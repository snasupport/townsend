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0730" windowHeight="11160" tabRatio="923" firstSheet="19" activeTab="29"/>
  </bookViews>
  <sheets>
    <sheet name="June Salary &amp; Benefits " sheetId="179" state="hidden" r:id="rId1"/>
    <sheet name="Salaries &amp; Fringe Allocations" sheetId="163" r:id="rId2"/>
    <sheet name="Jul-2019" sheetId="69" r:id="rId3"/>
    <sheet name="Jul-2019 GL" sheetId="178" r:id="rId4"/>
    <sheet name="JULY FR" sheetId="164" r:id="rId5"/>
    <sheet name="Aug-2019" sheetId="149" r:id="rId6"/>
    <sheet name="Aug 2019 GL" sheetId="180" r:id="rId7"/>
    <sheet name="AUG-FR" sheetId="165" r:id="rId8"/>
    <sheet name="Sept-2019" sheetId="150" r:id="rId9"/>
    <sheet name="Sept-2019 GL" sheetId="181" r:id="rId10"/>
    <sheet name="Sept-FR" sheetId="166" r:id="rId11"/>
    <sheet name="Oct-2019" sheetId="151" r:id="rId12"/>
    <sheet name="Oct-2019 GL" sheetId="182" r:id="rId13"/>
    <sheet name="Oct-FR" sheetId="167" r:id="rId14"/>
    <sheet name="Nov-2019" sheetId="152" r:id="rId15"/>
    <sheet name="Nov-19 GL" sheetId="183" r:id="rId16"/>
    <sheet name="Nov-FR " sheetId="168" r:id="rId17"/>
    <sheet name="Dec-2019" sheetId="153" r:id="rId18"/>
    <sheet name="Dec-19 GL" sheetId="184" r:id="rId19"/>
    <sheet name="Dec-FR" sheetId="169" r:id="rId20"/>
    <sheet name="Jan-2020" sheetId="154" r:id="rId21"/>
    <sheet name="Jan 2020 PL" sheetId="186" r:id="rId22"/>
    <sheet name="Jan-FR" sheetId="170" r:id="rId23"/>
    <sheet name="Jan-2020 GL" sheetId="185" r:id="rId24"/>
    <sheet name="Feb-2020" sheetId="155" r:id="rId25"/>
    <sheet name="Feb-2020 PL" sheetId="187" r:id="rId26"/>
    <sheet name="Feb-FR" sheetId="171" r:id="rId27"/>
    <sheet name="Mar-2020" sheetId="156" r:id="rId28"/>
    <sheet name="Mar-2020 PL" sheetId="188" r:id="rId29"/>
    <sheet name="Mar-2020 Bills" sheetId="189" r:id="rId30"/>
    <sheet name="Mar-FR " sheetId="172" r:id="rId31"/>
    <sheet name="Apr-2020" sheetId="157" r:id="rId32"/>
    <sheet name="Apr-FR" sheetId="173" r:id="rId33"/>
    <sheet name="May-2020" sheetId="158" r:id="rId34"/>
    <sheet name="May-FR " sheetId="174" r:id="rId35"/>
    <sheet name="Jun-2020" sheetId="159" r:id="rId36"/>
    <sheet name="Jun-FR " sheetId="175" r:id="rId37"/>
    <sheet name="PY 19 Closeout" sheetId="160" r:id="rId38"/>
    <sheet name="Closelout-FR " sheetId="177" r:id="rId39"/>
  </sheets>
  <definedNames>
    <definedName name="_xlnm.Print_Area" localSheetId="31">'Apr-2020'!$A$1:$I$87</definedName>
    <definedName name="_xlnm.Print_Area" localSheetId="6">'Aug 2019 GL'!$A$1:$H$157</definedName>
    <definedName name="_xlnm.Print_Area" localSheetId="5">'Aug-2019'!$A$1:$I$87</definedName>
    <definedName name="_xlnm.Print_Area" localSheetId="18">'Dec-19 GL'!$A$1:$H$192</definedName>
    <definedName name="_xlnm.Print_Area" localSheetId="17">'Dec-2019'!$A$1:$I$87</definedName>
    <definedName name="_xlnm.Print_Area" localSheetId="24">'Feb-2020'!$A$1:$I$87</definedName>
    <definedName name="_xlnm.Print_Area" localSheetId="20">'Jan-2020'!$A$1:$I$87</definedName>
    <definedName name="_xlnm.Print_Area" localSheetId="23">'Jan-2020 GL'!$A$1:$H$220</definedName>
    <definedName name="_xlnm.Print_Area" localSheetId="2">'Jul-2019'!$A$1:$I$87</definedName>
    <definedName name="_xlnm.Print_Area" localSheetId="3">'Jul-2019 GL'!$A$1:$H$158</definedName>
    <definedName name="_xlnm.Print_Area" localSheetId="4">'JULY FR'!$A$1:$N$36</definedName>
    <definedName name="_xlnm.Print_Area" localSheetId="35">'Jun-2020'!$A$1:$I$87</definedName>
    <definedName name="_xlnm.Print_Area" localSheetId="0">'June Salary &amp; Benefits '!$A$1:$L$43</definedName>
    <definedName name="_xlnm.Print_Area" localSheetId="27">'Mar-2020'!$A$1:$I$87</definedName>
    <definedName name="_xlnm.Print_Area" localSheetId="33">'May-2020'!$A$1:$I$87</definedName>
    <definedName name="_xlnm.Print_Area" localSheetId="14">'Nov-2019'!$A$1:$I$87</definedName>
    <definedName name="_xlnm.Print_Area" localSheetId="11">'Oct-2019'!$A$1:$I$87</definedName>
    <definedName name="_xlnm.Print_Area" localSheetId="12">'Oct-2019 GL'!$A$1:$H$170</definedName>
    <definedName name="_xlnm.Print_Area" localSheetId="37">'PY 19 Closeout'!$A$1:$I$87</definedName>
    <definedName name="_xlnm.Print_Area" localSheetId="1">'Salaries &amp; Fringe Allocations'!$A$263:$R$302</definedName>
    <definedName name="_xlnm.Print_Area" localSheetId="8">'Sept-2019'!$A$1:$I$87</definedName>
    <definedName name="_xlnm.Print_Area" localSheetId="9">'Sept-2019 GL'!$A$1:$H$142</definedName>
    <definedName name="_xlnm.Print_Titles" localSheetId="6">'Aug 2019 GL'!$1:$5</definedName>
    <definedName name="_xlnm.Print_Titles" localSheetId="18">'Dec-19 GL'!$1:$5</definedName>
    <definedName name="_xlnm.Print_Titles" localSheetId="23">'Jan-2020 GL'!$1:$5</definedName>
    <definedName name="_xlnm.Print_Titles" localSheetId="3">'Jul-2019 GL'!$1:$5</definedName>
    <definedName name="_xlnm.Print_Titles" localSheetId="15">'Nov-19 GL'!$1:$5</definedName>
    <definedName name="_xlnm.Print_Titles" localSheetId="12">'Oct-2019 GL'!$1:$5</definedName>
    <definedName name="_xlnm.Print_Titles" localSheetId="9">'Sept-2019 GL'!$1:$5</definedName>
  </definedNames>
  <calcPr calcId="152511"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 i="155" l="1"/>
  <c r="C9" i="155"/>
  <c r="B8" i="155"/>
  <c r="C44" i="155"/>
  <c r="C42" i="155"/>
  <c r="C41" i="155"/>
  <c r="D34" i="155"/>
  <c r="B31" i="155"/>
  <c r="D27" i="155"/>
  <c r="B26" i="155"/>
  <c r="D23" i="155"/>
  <c r="B26" i="154" l="1"/>
  <c r="E54" i="154"/>
  <c r="C45" i="154"/>
  <c r="C44" i="154"/>
  <c r="C42" i="154"/>
  <c r="C41" i="154"/>
  <c r="D36" i="154"/>
  <c r="B35" i="154"/>
  <c r="D34" i="154"/>
  <c r="B34" i="154"/>
  <c r="B33" i="154"/>
  <c r="B31" i="154"/>
  <c r="B30" i="154"/>
  <c r="B27" i="154"/>
  <c r="D27" i="154"/>
  <c r="D24" i="154"/>
  <c r="B24" i="154"/>
  <c r="D23" i="154"/>
  <c r="B280" i="163" l="1"/>
  <c r="B279" i="163"/>
  <c r="G197" i="185" l="1"/>
  <c r="G118" i="185"/>
  <c r="G161" i="185"/>
  <c r="G122" i="185"/>
  <c r="G16" i="185"/>
  <c r="G124" i="185" l="1"/>
  <c r="G109" i="185"/>
  <c r="G106" i="185"/>
  <c r="G110" i="185" l="1"/>
  <c r="G176" i="185" l="1"/>
  <c r="G36" i="185"/>
  <c r="M285" i="163"/>
  <c r="M284" i="163"/>
  <c r="K285" i="163"/>
  <c r="K284" i="163"/>
  <c r="G171" i="185"/>
  <c r="G179" i="185"/>
  <c r="G164" i="185"/>
  <c r="G166" i="185" s="1"/>
  <c r="G130" i="185"/>
  <c r="G135" i="185"/>
  <c r="G155" i="185"/>
  <c r="G140" i="185"/>
  <c r="G145" i="185"/>
  <c r="G192" i="185"/>
  <c r="G99" i="185"/>
  <c r="G82" i="185"/>
  <c r="G75" i="185"/>
  <c r="G72" i="185"/>
  <c r="G69" i="185"/>
  <c r="G66" i="185"/>
  <c r="G61" i="185"/>
  <c r="G54" i="185"/>
  <c r="G51" i="185"/>
  <c r="G48" i="185"/>
  <c r="G45" i="185"/>
  <c r="G30" i="185"/>
  <c r="G26" i="185"/>
  <c r="G23" i="185"/>
  <c r="G10" i="185"/>
  <c r="G147" i="185" l="1"/>
  <c r="G149" i="185" s="1"/>
  <c r="G18" i="185"/>
  <c r="G56" i="185"/>
  <c r="G77" i="185"/>
  <c r="N299" i="163"/>
  <c r="I299" i="163"/>
  <c r="G31" i="185" l="1"/>
  <c r="G84" i="185"/>
  <c r="H299" i="163"/>
  <c r="G86" i="185"/>
  <c r="L298" i="163"/>
  <c r="L297" i="163"/>
  <c r="L291" i="163"/>
  <c r="K258" i="163"/>
  <c r="E287" i="163" l="1"/>
  <c r="E265" i="163"/>
  <c r="E291" i="163" s="1"/>
  <c r="O299" i="163"/>
  <c r="M299" i="163"/>
  <c r="E299" i="163"/>
  <c r="C299" i="163"/>
  <c r="B299" i="163"/>
  <c r="D299" i="163" s="1"/>
  <c r="P298" i="163"/>
  <c r="O298" i="163"/>
  <c r="E298" i="163"/>
  <c r="C298" i="163"/>
  <c r="P297" i="163"/>
  <c r="O297" i="163"/>
  <c r="E297" i="163"/>
  <c r="C297" i="163"/>
  <c r="B297" i="163"/>
  <c r="D297" i="163" s="1"/>
  <c r="P296" i="163"/>
  <c r="O296" i="163"/>
  <c r="M296" i="163"/>
  <c r="K296" i="163"/>
  <c r="E296" i="163"/>
  <c r="C296" i="163"/>
  <c r="D296" i="163" s="1"/>
  <c r="F296" i="163" s="1"/>
  <c r="B296" i="163"/>
  <c r="P295" i="163"/>
  <c r="O295" i="163"/>
  <c r="M295" i="163"/>
  <c r="E295" i="163"/>
  <c r="B295" i="163"/>
  <c r="P294" i="163"/>
  <c r="O294" i="163"/>
  <c r="M294" i="163"/>
  <c r="K294" i="163"/>
  <c r="E294" i="163"/>
  <c r="C294" i="163"/>
  <c r="D294" i="163" s="1"/>
  <c r="F294" i="163" s="1"/>
  <c r="B294" i="163"/>
  <c r="P293" i="163"/>
  <c r="O293" i="163"/>
  <c r="E293" i="163"/>
  <c r="C293" i="163"/>
  <c r="P292" i="163"/>
  <c r="O292" i="163"/>
  <c r="E292" i="163"/>
  <c r="C292" i="163"/>
  <c r="P291" i="163"/>
  <c r="P300" i="163" s="1"/>
  <c r="O291" i="163"/>
  <c r="C291" i="163"/>
  <c r="P287" i="163"/>
  <c r="O287" i="163"/>
  <c r="N287" i="163"/>
  <c r="L287" i="163"/>
  <c r="J287" i="163"/>
  <c r="I287" i="163"/>
  <c r="H287" i="163"/>
  <c r="Q286" i="163"/>
  <c r="D286" i="163"/>
  <c r="F286" i="163" s="1"/>
  <c r="B285" i="163"/>
  <c r="D285" i="163" s="1"/>
  <c r="B284" i="163"/>
  <c r="D284" i="163" s="1"/>
  <c r="F284" i="163" s="1"/>
  <c r="Q283" i="163"/>
  <c r="F283" i="163"/>
  <c r="C283" i="163"/>
  <c r="D283" i="163" s="1"/>
  <c r="C282" i="163"/>
  <c r="D282" i="163" s="1"/>
  <c r="F282" i="163" s="1"/>
  <c r="Q281" i="163"/>
  <c r="D281" i="163"/>
  <c r="F281" i="163" s="1"/>
  <c r="D280" i="163"/>
  <c r="D279" i="163"/>
  <c r="B278" i="163"/>
  <c r="D278" i="163" s="1"/>
  <c r="P274" i="163"/>
  <c r="O274" i="163"/>
  <c r="N274" i="163"/>
  <c r="L274" i="163"/>
  <c r="J274" i="163"/>
  <c r="I274" i="163"/>
  <c r="H274" i="163"/>
  <c r="K299" i="163"/>
  <c r="F273" i="163"/>
  <c r="D273" i="163"/>
  <c r="B272" i="163"/>
  <c r="D272" i="163" s="1"/>
  <c r="D271" i="163"/>
  <c r="B271" i="163"/>
  <c r="Q270" i="163"/>
  <c r="D270" i="163"/>
  <c r="F270" i="163" s="1"/>
  <c r="C270" i="163"/>
  <c r="C269" i="163"/>
  <c r="C295" i="163" s="1"/>
  <c r="Q268" i="163"/>
  <c r="F268" i="163"/>
  <c r="D268" i="163"/>
  <c r="B267" i="163"/>
  <c r="D266" i="163"/>
  <c r="B266" i="163"/>
  <c r="B292" i="163" s="1"/>
  <c r="D292" i="163" s="1"/>
  <c r="L292" i="163" s="1"/>
  <c r="B265" i="163"/>
  <c r="E300" i="163" l="1"/>
  <c r="E274" i="163"/>
  <c r="O300" i="163"/>
  <c r="F280" i="163"/>
  <c r="K280" i="163"/>
  <c r="J292" i="163"/>
  <c r="F292" i="163"/>
  <c r="M272" i="163"/>
  <c r="M298" i="163" s="1"/>
  <c r="F272" i="163"/>
  <c r="M279" i="163"/>
  <c r="K279" i="163"/>
  <c r="Q279" i="163" s="1"/>
  <c r="F266" i="163"/>
  <c r="M266" i="163"/>
  <c r="K266" i="163"/>
  <c r="K272" i="163"/>
  <c r="F279" i="163"/>
  <c r="F285" i="163"/>
  <c r="Q285" i="163"/>
  <c r="F299" i="163"/>
  <c r="G299" i="163" s="1"/>
  <c r="J297" i="163"/>
  <c r="F297" i="163"/>
  <c r="B291" i="163"/>
  <c r="D291" i="163" s="1"/>
  <c r="D265" i="163"/>
  <c r="F271" i="163"/>
  <c r="M271" i="163"/>
  <c r="K271" i="163"/>
  <c r="F278" i="163"/>
  <c r="K278" i="163"/>
  <c r="B293" i="163"/>
  <c r="D293" i="163" s="1"/>
  <c r="L293" i="163" s="1"/>
  <c r="M278" i="163"/>
  <c r="M280" i="163"/>
  <c r="K282" i="163"/>
  <c r="Q282" i="163" s="1"/>
  <c r="Q284" i="163"/>
  <c r="D295" i="163"/>
  <c r="F295" i="163" s="1"/>
  <c r="D267" i="163"/>
  <c r="D269" i="163"/>
  <c r="Q273" i="163"/>
  <c r="B298" i="163"/>
  <c r="D298" i="163" s="1"/>
  <c r="G103" i="184"/>
  <c r="G118" i="184"/>
  <c r="G185" i="184"/>
  <c r="G178" i="184"/>
  <c r="G171" i="184"/>
  <c r="G167" i="184"/>
  <c r="G156" i="184"/>
  <c r="G150" i="184"/>
  <c r="G129" i="184"/>
  <c r="G124" i="184"/>
  <c r="G85" i="184"/>
  <c r="M267" i="163" l="1"/>
  <c r="M293" i="163" s="1"/>
  <c r="F267" i="163"/>
  <c r="K267" i="163"/>
  <c r="Q278" i="163"/>
  <c r="Q287" i="163" s="1"/>
  <c r="K287" i="163"/>
  <c r="K298" i="163"/>
  <c r="Q272" i="163"/>
  <c r="J298" i="163"/>
  <c r="F298" i="163"/>
  <c r="F287" i="163"/>
  <c r="M265" i="163"/>
  <c r="F265" i="163"/>
  <c r="K265" i="163"/>
  <c r="K292" i="163"/>
  <c r="Q266" i="163"/>
  <c r="M287" i="163"/>
  <c r="K297" i="163"/>
  <c r="Q271" i="163"/>
  <c r="J291" i="163"/>
  <c r="F291" i="163"/>
  <c r="M292" i="163"/>
  <c r="K269" i="163"/>
  <c r="F269" i="163"/>
  <c r="J293" i="163"/>
  <c r="F293" i="163"/>
  <c r="M297" i="163"/>
  <c r="Q280" i="163"/>
  <c r="G189" i="184"/>
  <c r="J300" i="163" l="1"/>
  <c r="F300" i="163"/>
  <c r="Q265" i="163"/>
  <c r="K274" i="163"/>
  <c r="K291" i="163"/>
  <c r="Q267" i="163"/>
  <c r="K293" i="163"/>
  <c r="K295" i="163"/>
  <c r="Q269" i="163"/>
  <c r="F274" i="163"/>
  <c r="Q299" i="163"/>
  <c r="L300" i="163"/>
  <c r="M291" i="163"/>
  <c r="M300" i="163" s="1"/>
  <c r="M274" i="163"/>
  <c r="D36" i="153"/>
  <c r="B35" i="153"/>
  <c r="D24" i="153"/>
  <c r="B33" i="153"/>
  <c r="G162" i="184"/>
  <c r="B30" i="153"/>
  <c r="G141" i="184"/>
  <c r="B27" i="153" s="1"/>
  <c r="D27" i="153"/>
  <c r="G114" i="184"/>
  <c r="G106" i="184"/>
  <c r="B24" i="153" s="1"/>
  <c r="G53" i="184"/>
  <c r="G56" i="184"/>
  <c r="B12" i="153"/>
  <c r="B11" i="153"/>
  <c r="D11" i="153"/>
  <c r="D10" i="153"/>
  <c r="D9" i="153"/>
  <c r="D8" i="153"/>
  <c r="D7" i="153"/>
  <c r="B7" i="153"/>
  <c r="B6" i="153"/>
  <c r="M257" i="163"/>
  <c r="M256" i="163"/>
  <c r="M255" i="163"/>
  <c r="M254" i="163"/>
  <c r="M253" i="163"/>
  <c r="M252" i="163"/>
  <c r="M251" i="163"/>
  <c r="M250" i="163"/>
  <c r="M249" i="163"/>
  <c r="K250" i="163"/>
  <c r="K251" i="163"/>
  <c r="K252" i="163"/>
  <c r="K253" i="163"/>
  <c r="K254" i="163"/>
  <c r="K255" i="163"/>
  <c r="K256" i="163"/>
  <c r="K257" i="163"/>
  <c r="K249" i="163"/>
  <c r="G250" i="163"/>
  <c r="G251" i="163"/>
  <c r="G252" i="163"/>
  <c r="G253" i="163"/>
  <c r="I253" i="163" s="1"/>
  <c r="G254" i="163"/>
  <c r="G255" i="163"/>
  <c r="G256" i="163"/>
  <c r="G257" i="163"/>
  <c r="I257" i="163" s="1"/>
  <c r="G249" i="163"/>
  <c r="I250" i="163"/>
  <c r="I251" i="163"/>
  <c r="I252" i="163"/>
  <c r="I254" i="163"/>
  <c r="I255" i="163"/>
  <c r="I256" i="163"/>
  <c r="I249" i="163"/>
  <c r="G76" i="184"/>
  <c r="G73" i="184"/>
  <c r="G70" i="184"/>
  <c r="G67" i="184"/>
  <c r="G62" i="184"/>
  <c r="N252" i="163" s="1"/>
  <c r="G25" i="184"/>
  <c r="G28" i="184"/>
  <c r="G33" i="184"/>
  <c r="G39" i="184"/>
  <c r="G50" i="184"/>
  <c r="G47" i="184"/>
  <c r="L250" i="163"/>
  <c r="L251" i="163"/>
  <c r="L256" i="163"/>
  <c r="L255" i="163"/>
  <c r="L257" i="163"/>
  <c r="L249" i="163"/>
  <c r="K300" i="163" l="1"/>
  <c r="F302" i="163"/>
  <c r="G297" i="163"/>
  <c r="G293" i="163"/>
  <c r="G296" i="163"/>
  <c r="G295" i="163"/>
  <c r="G291" i="163"/>
  <c r="G298" i="163"/>
  <c r="G294" i="163"/>
  <c r="G292" i="163"/>
  <c r="Q274" i="163"/>
  <c r="G108" i="184"/>
  <c r="G173" i="184"/>
  <c r="B34" i="153" s="1"/>
  <c r="G143" i="184"/>
  <c r="G119" i="184"/>
  <c r="N254" i="163"/>
  <c r="N251" i="163"/>
  <c r="G79" i="184"/>
  <c r="H256" i="163" s="1"/>
  <c r="N249" i="163"/>
  <c r="N250" i="163"/>
  <c r="N255" i="163"/>
  <c r="N257" i="163"/>
  <c r="N253" i="163"/>
  <c r="G57" i="184"/>
  <c r="G87" i="184" s="1"/>
  <c r="N256" i="163"/>
  <c r="F259" i="163"/>
  <c r="K229" i="163"/>
  <c r="G97" i="184"/>
  <c r="D23" i="153" s="1"/>
  <c r="B31" i="153"/>
  <c r="C45" i="153"/>
  <c r="C44" i="153"/>
  <c r="G11" i="184"/>
  <c r="C41" i="153" s="1"/>
  <c r="G19" i="184"/>
  <c r="E250" i="163"/>
  <c r="E251" i="163"/>
  <c r="E252" i="163"/>
  <c r="E253" i="163"/>
  <c r="E254" i="163"/>
  <c r="E255" i="163"/>
  <c r="E256" i="163"/>
  <c r="E257" i="163"/>
  <c r="B250" i="163"/>
  <c r="C250" i="163"/>
  <c r="B251" i="163"/>
  <c r="C251" i="163"/>
  <c r="B252" i="163"/>
  <c r="C252" i="163"/>
  <c r="B253" i="163"/>
  <c r="C253" i="163"/>
  <c r="B254" i="163"/>
  <c r="C254" i="163"/>
  <c r="B255" i="163"/>
  <c r="C255" i="163"/>
  <c r="B256" i="163"/>
  <c r="C256" i="163"/>
  <c r="B257" i="163"/>
  <c r="C257" i="163"/>
  <c r="C249" i="163"/>
  <c r="B249" i="163"/>
  <c r="E249" i="163"/>
  <c r="O257" i="163"/>
  <c r="D257" i="163"/>
  <c r="P256" i="163"/>
  <c r="O256" i="163"/>
  <c r="P255" i="163"/>
  <c r="O255" i="163"/>
  <c r="P254" i="163"/>
  <c r="O254" i="163"/>
  <c r="P253" i="163"/>
  <c r="O253" i="163"/>
  <c r="P252" i="163"/>
  <c r="O252" i="163"/>
  <c r="D252" i="163"/>
  <c r="P251" i="163"/>
  <c r="O251" i="163"/>
  <c r="D251" i="163"/>
  <c r="P250" i="163"/>
  <c r="O250" i="163"/>
  <c r="P249" i="163"/>
  <c r="P258" i="163" s="1"/>
  <c r="O249" i="163"/>
  <c r="O258" i="163" s="1"/>
  <c r="E258" i="163"/>
  <c r="D249" i="163"/>
  <c r="P245" i="163"/>
  <c r="O245" i="163"/>
  <c r="N245" i="163"/>
  <c r="L245" i="163"/>
  <c r="J245" i="163"/>
  <c r="I245" i="163"/>
  <c r="H245" i="163"/>
  <c r="E245" i="163"/>
  <c r="F244" i="163"/>
  <c r="D244" i="163"/>
  <c r="K244" i="163" s="1"/>
  <c r="K243" i="163"/>
  <c r="Q243" i="163" s="1"/>
  <c r="F243" i="163"/>
  <c r="D243" i="163"/>
  <c r="M243" i="163" s="1"/>
  <c r="B243" i="163"/>
  <c r="D242" i="163"/>
  <c r="F242" i="163" s="1"/>
  <c r="B242" i="163"/>
  <c r="Q241" i="163"/>
  <c r="D241" i="163"/>
  <c r="F241" i="163" s="1"/>
  <c r="C241" i="163"/>
  <c r="F240" i="163"/>
  <c r="D240" i="163"/>
  <c r="K240" i="163" s="1"/>
  <c r="Q240" i="163" s="1"/>
  <c r="C240" i="163"/>
  <c r="Q239" i="163"/>
  <c r="F239" i="163"/>
  <c r="D239" i="163"/>
  <c r="K238" i="163"/>
  <c r="Q238" i="163" s="1"/>
  <c r="F238" i="163"/>
  <c r="D238" i="163"/>
  <c r="M238" i="163" s="1"/>
  <c r="B238" i="163"/>
  <c r="D237" i="163"/>
  <c r="F237" i="163" s="1"/>
  <c r="B237" i="163"/>
  <c r="K236" i="163"/>
  <c r="F236" i="163"/>
  <c r="D236" i="163"/>
  <c r="M236" i="163" s="1"/>
  <c r="B236" i="163"/>
  <c r="P232" i="163"/>
  <c r="O232" i="163"/>
  <c r="N232" i="163"/>
  <c r="L232" i="163"/>
  <c r="J232" i="163"/>
  <c r="I232" i="163"/>
  <c r="H232" i="163"/>
  <c r="E232" i="163"/>
  <c r="D231" i="163"/>
  <c r="F231" i="163" s="1"/>
  <c r="F230" i="163"/>
  <c r="D230" i="163"/>
  <c r="K230" i="163" s="1"/>
  <c r="B230" i="163"/>
  <c r="D256" i="163" s="1"/>
  <c r="B229" i="163"/>
  <c r="D255" i="163" s="1"/>
  <c r="Q228" i="163"/>
  <c r="C228" i="163"/>
  <c r="D228" i="163" s="1"/>
  <c r="F228" i="163" s="1"/>
  <c r="D227" i="163"/>
  <c r="F227" i="163" s="1"/>
  <c r="C227" i="163"/>
  <c r="D253" i="163" s="1"/>
  <c r="F253" i="163" s="1"/>
  <c r="Q226" i="163"/>
  <c r="D226" i="163"/>
  <c r="F226" i="163" s="1"/>
  <c r="F225" i="163"/>
  <c r="D225" i="163"/>
  <c r="K225" i="163" s="1"/>
  <c r="B225" i="163"/>
  <c r="B224" i="163"/>
  <c r="D224" i="163" s="1"/>
  <c r="F223" i="163"/>
  <c r="D223" i="163"/>
  <c r="K223" i="163" s="1"/>
  <c r="B223" i="163"/>
  <c r="N293" i="163" l="1"/>
  <c r="I293" i="163"/>
  <c r="H293" i="163"/>
  <c r="G300" i="163"/>
  <c r="I291" i="163"/>
  <c r="N291" i="163"/>
  <c r="H291" i="163"/>
  <c r="N297" i="163"/>
  <c r="I297" i="163"/>
  <c r="H297" i="163"/>
  <c r="I292" i="163"/>
  <c r="N292" i="163"/>
  <c r="H292" i="163"/>
  <c r="I295" i="163"/>
  <c r="N295" i="163"/>
  <c r="H295" i="163"/>
  <c r="N294" i="163"/>
  <c r="I294" i="163"/>
  <c r="H294" i="163"/>
  <c r="I296" i="163"/>
  <c r="N296" i="163"/>
  <c r="H296" i="163"/>
  <c r="I298" i="163"/>
  <c r="N298" i="163"/>
  <c r="H298" i="163"/>
  <c r="B26" i="153"/>
  <c r="H251" i="163"/>
  <c r="H249" i="163"/>
  <c r="H253" i="163"/>
  <c r="H250" i="163"/>
  <c r="H252" i="163"/>
  <c r="H257" i="163"/>
  <c r="H255" i="163"/>
  <c r="H254" i="163"/>
  <c r="G20" i="184"/>
  <c r="G34" i="184" s="1"/>
  <c r="F252" i="163"/>
  <c r="Q230" i="163"/>
  <c r="F245" i="163"/>
  <c r="J256" i="163"/>
  <c r="F256" i="163"/>
  <c r="J255" i="163"/>
  <c r="F255" i="163"/>
  <c r="J249" i="163"/>
  <c r="F249" i="163"/>
  <c r="J251" i="163"/>
  <c r="F251" i="163"/>
  <c r="K224" i="163"/>
  <c r="F224" i="163"/>
  <c r="M224" i="163"/>
  <c r="F257" i="163"/>
  <c r="J257" i="163"/>
  <c r="M223" i="163"/>
  <c r="M225" i="163"/>
  <c r="K227" i="163"/>
  <c r="M230" i="163"/>
  <c r="K231" i="163"/>
  <c r="Q236" i="163"/>
  <c r="K237" i="163"/>
  <c r="K242" i="163"/>
  <c r="M244" i="163"/>
  <c r="Q244" i="163" s="1"/>
  <c r="M231" i="163"/>
  <c r="M237" i="163"/>
  <c r="M245" i="163" s="1"/>
  <c r="M242" i="163"/>
  <c r="D250" i="163"/>
  <c r="D254" i="163"/>
  <c r="F254" i="163" s="1"/>
  <c r="D229" i="163"/>
  <c r="G171" i="183"/>
  <c r="Q294" i="163" l="1"/>
  <c r="Q293" i="163"/>
  <c r="Q296" i="163"/>
  <c r="Q297" i="163"/>
  <c r="H300" i="163"/>
  <c r="Q291" i="163"/>
  <c r="N300" i="163"/>
  <c r="Q298" i="163"/>
  <c r="Q292" i="163"/>
  <c r="Q295" i="163"/>
  <c r="I300" i="163"/>
  <c r="F232" i="163"/>
  <c r="M258" i="163"/>
  <c r="Q224" i="163"/>
  <c r="M229" i="163"/>
  <c r="F229" i="163"/>
  <c r="Q237" i="163"/>
  <c r="Q227" i="163"/>
  <c r="J250" i="163"/>
  <c r="J258" i="163" s="1"/>
  <c r="F250" i="163"/>
  <c r="Q245" i="163"/>
  <c r="K245" i="163"/>
  <c r="Q253" i="163"/>
  <c r="Q225" i="163"/>
  <c r="Q231" i="163"/>
  <c r="Q242" i="163"/>
  <c r="L258" i="163"/>
  <c r="Q223" i="163"/>
  <c r="Q252" i="163"/>
  <c r="E54" i="152"/>
  <c r="B18" i="154" l="1"/>
  <c r="Q300" i="163"/>
  <c r="D18" i="154"/>
  <c r="Q257" i="163"/>
  <c r="F258" i="163"/>
  <c r="F260" i="163" s="1"/>
  <c r="Q251" i="163"/>
  <c r="Q254" i="163"/>
  <c r="Q256" i="163"/>
  <c r="Q229" i="163"/>
  <c r="Q232" i="163"/>
  <c r="K232" i="163"/>
  <c r="G258" i="163"/>
  <c r="I258" i="163"/>
  <c r="N258" i="163"/>
  <c r="M232" i="163"/>
  <c r="E42" i="153"/>
  <c r="E42" i="152"/>
  <c r="E42" i="69"/>
  <c r="F42" i="69" s="1"/>
  <c r="E42" i="160"/>
  <c r="E42" i="159"/>
  <c r="E42" i="158"/>
  <c r="E42" i="157"/>
  <c r="E43" i="157"/>
  <c r="E42" i="156"/>
  <c r="E42" i="155"/>
  <c r="E42" i="154"/>
  <c r="D18" i="153" l="1"/>
  <c r="Q250" i="163"/>
  <c r="Q249" i="163"/>
  <c r="H258" i="163"/>
  <c r="Q255" i="163"/>
  <c r="L49" i="151"/>
  <c r="B18" i="153" l="1"/>
  <c r="Q258" i="163"/>
  <c r="D27" i="152"/>
  <c r="B35" i="152"/>
  <c r="G161" i="183"/>
  <c r="G158" i="183"/>
  <c r="G155" i="183"/>
  <c r="G148" i="183"/>
  <c r="G145" i="183"/>
  <c r="G128" i="183"/>
  <c r="G130" i="183" s="1"/>
  <c r="G135" i="183"/>
  <c r="B30" i="152" s="1"/>
  <c r="G101" i="183"/>
  <c r="G107" i="183"/>
  <c r="B28" i="152" s="1"/>
  <c r="G102" i="183" l="1"/>
  <c r="B26" i="152" s="1"/>
  <c r="B27" i="152"/>
  <c r="G149" i="183"/>
  <c r="B33" i="152" s="1"/>
  <c r="G162" i="183"/>
  <c r="B34" i="152" s="1"/>
  <c r="G94" i="183" l="1"/>
  <c r="B24" i="152" s="1"/>
  <c r="D23" i="152"/>
  <c r="G49" i="183"/>
  <c r="G68" i="183"/>
  <c r="G63" i="183"/>
  <c r="G60" i="183"/>
  <c r="G57" i="183"/>
  <c r="G54" i="183"/>
  <c r="G65" i="183" l="1"/>
  <c r="G42" i="183" l="1"/>
  <c r="G39" i="183"/>
  <c r="G36" i="183"/>
  <c r="G33" i="183"/>
  <c r="G28" i="183"/>
  <c r="G22" i="183"/>
  <c r="B31" i="152" s="1"/>
  <c r="G18" i="183"/>
  <c r="C45" i="152" s="1"/>
  <c r="G15" i="183"/>
  <c r="C44" i="152" s="1"/>
  <c r="G11" i="183"/>
  <c r="G91" i="183"/>
  <c r="G29" i="183" l="1"/>
  <c r="F218" i="163"/>
  <c r="D24" i="152"/>
  <c r="G95" i="183"/>
  <c r="G23" i="183"/>
  <c r="G44" i="183"/>
  <c r="C41" i="152"/>
  <c r="G70" i="183" l="1"/>
  <c r="B202" i="163" l="1"/>
  <c r="B201" i="163"/>
  <c r="B189" i="163"/>
  <c r="B188" i="163"/>
  <c r="B171" i="163" l="1"/>
  <c r="B170" i="163"/>
  <c r="M213" i="163"/>
  <c r="M212" i="163"/>
  <c r="M211" i="163"/>
  <c r="K213" i="163"/>
  <c r="K211" i="163"/>
  <c r="C216" i="163"/>
  <c r="C214" i="163"/>
  <c r="C211" i="163"/>
  <c r="C209" i="163"/>
  <c r="C208" i="163"/>
  <c r="E216" i="163"/>
  <c r="E215" i="163"/>
  <c r="E214" i="163"/>
  <c r="E213" i="163"/>
  <c r="E212" i="163"/>
  <c r="E211" i="163"/>
  <c r="E210" i="163"/>
  <c r="E209" i="163"/>
  <c r="E208" i="163"/>
  <c r="B211" i="163"/>
  <c r="B212" i="163"/>
  <c r="B213" i="163"/>
  <c r="B214" i="163"/>
  <c r="B215" i="163"/>
  <c r="B216" i="163"/>
  <c r="D214" i="163" l="1"/>
  <c r="D215" i="163"/>
  <c r="M189" i="163"/>
  <c r="D189" i="163"/>
  <c r="K189" i="163" s="1"/>
  <c r="D188" i="163"/>
  <c r="F188" i="163" s="1"/>
  <c r="D202" i="163"/>
  <c r="D201" i="163"/>
  <c r="M201" i="163" s="1"/>
  <c r="L215" i="163" l="1"/>
  <c r="J215" i="163"/>
  <c r="L214" i="163"/>
  <c r="J214" i="163"/>
  <c r="K188" i="163"/>
  <c r="K201" i="163"/>
  <c r="F201" i="163"/>
  <c r="M188" i="163"/>
  <c r="F189" i="163"/>
  <c r="F202" i="163"/>
  <c r="K202" i="163"/>
  <c r="M202" i="163"/>
  <c r="P204" i="163"/>
  <c r="O204" i="163"/>
  <c r="N204" i="163"/>
  <c r="L204" i="163"/>
  <c r="J204" i="163"/>
  <c r="I204" i="163"/>
  <c r="H204" i="163"/>
  <c r="E204" i="163"/>
  <c r="D203" i="163"/>
  <c r="Q200" i="163"/>
  <c r="C200" i="163"/>
  <c r="D200" i="163" s="1"/>
  <c r="F200" i="163" s="1"/>
  <c r="C199" i="163"/>
  <c r="D199" i="163" s="1"/>
  <c r="K199" i="163" s="1"/>
  <c r="Q198" i="163"/>
  <c r="D198" i="163"/>
  <c r="F198" i="163" s="1"/>
  <c r="B197" i="163"/>
  <c r="D197" i="163" s="1"/>
  <c r="B196" i="163"/>
  <c r="D196" i="163" s="1"/>
  <c r="B195" i="163"/>
  <c r="D195" i="163" s="1"/>
  <c r="O216" i="163"/>
  <c r="D216" i="163"/>
  <c r="L216" i="163" s="1"/>
  <c r="P215" i="163"/>
  <c r="O215" i="163"/>
  <c r="P214" i="163"/>
  <c r="O214" i="163"/>
  <c r="F215" i="163"/>
  <c r="D11" i="152" s="1"/>
  <c r="P213" i="163"/>
  <c r="O213" i="163"/>
  <c r="P212" i="163"/>
  <c r="O212" i="163"/>
  <c r="P211" i="163"/>
  <c r="O211" i="163"/>
  <c r="P210" i="163"/>
  <c r="O210" i="163"/>
  <c r="P209" i="163"/>
  <c r="O209" i="163"/>
  <c r="P208" i="163"/>
  <c r="O208" i="163"/>
  <c r="P191" i="163"/>
  <c r="O191" i="163"/>
  <c r="N191" i="163"/>
  <c r="L191" i="163"/>
  <c r="J191" i="163"/>
  <c r="I191" i="163"/>
  <c r="H191" i="163"/>
  <c r="E191" i="163"/>
  <c r="D190" i="163"/>
  <c r="Q189" i="163"/>
  <c r="Q187" i="163"/>
  <c r="C187" i="163"/>
  <c r="C186" i="163"/>
  <c r="D186" i="163" s="1"/>
  <c r="K186" i="163" s="1"/>
  <c r="Q185" i="163"/>
  <c r="D185" i="163"/>
  <c r="F185" i="163" s="1"/>
  <c r="B184" i="163"/>
  <c r="B183" i="163"/>
  <c r="B182" i="163"/>
  <c r="P178" i="163"/>
  <c r="O178" i="163"/>
  <c r="N178" i="163"/>
  <c r="L178" i="163"/>
  <c r="J178" i="163"/>
  <c r="I178" i="163"/>
  <c r="H178" i="163"/>
  <c r="E178" i="163"/>
  <c r="D177" i="163"/>
  <c r="D176" i="163"/>
  <c r="D175" i="163"/>
  <c r="Q174" i="163"/>
  <c r="F174" i="163"/>
  <c r="D174" i="163"/>
  <c r="F173" i="163"/>
  <c r="C173" i="163"/>
  <c r="Q172" i="163"/>
  <c r="F172" i="163"/>
  <c r="D172" i="163"/>
  <c r="D171" i="163"/>
  <c r="D170" i="163"/>
  <c r="D169" i="163"/>
  <c r="D184" i="163" l="1"/>
  <c r="B210" i="163"/>
  <c r="M196" i="163"/>
  <c r="K196" i="163"/>
  <c r="C212" i="163"/>
  <c r="D212" i="163" s="1"/>
  <c r="F212" i="163" s="1"/>
  <c r="D9" i="152" s="1"/>
  <c r="M190" i="163"/>
  <c r="K190" i="163"/>
  <c r="Q190" i="163" s="1"/>
  <c r="K197" i="163"/>
  <c r="M197" i="163"/>
  <c r="D173" i="163"/>
  <c r="D182" i="163"/>
  <c r="B208" i="163"/>
  <c r="D187" i="163"/>
  <c r="F187" i="163" s="1"/>
  <c r="C213" i="163"/>
  <c r="F190" i="163"/>
  <c r="M169" i="163"/>
  <c r="K169" i="163"/>
  <c r="D183" i="163"/>
  <c r="B209" i="163"/>
  <c r="D209" i="163" s="1"/>
  <c r="K195" i="163"/>
  <c r="M195" i="163"/>
  <c r="F203" i="163"/>
  <c r="M203" i="163"/>
  <c r="K203" i="163"/>
  <c r="Q203" i="163" s="1"/>
  <c r="Q202" i="163"/>
  <c r="F176" i="163"/>
  <c r="K176" i="163"/>
  <c r="K215" i="163" s="1"/>
  <c r="M176" i="163"/>
  <c r="M215" i="163" s="1"/>
  <c r="K175" i="163"/>
  <c r="K214" i="163" s="1"/>
  <c r="M175" i="163"/>
  <c r="M214" i="163" s="1"/>
  <c r="K177" i="163"/>
  <c r="M177" i="163"/>
  <c r="M216" i="163" s="1"/>
  <c r="M171" i="163"/>
  <c r="K171" i="163"/>
  <c r="M170" i="163"/>
  <c r="K170" i="163"/>
  <c r="F175" i="163"/>
  <c r="Q175" i="163"/>
  <c r="Q201" i="163"/>
  <c r="Q188" i="163"/>
  <c r="D208" i="163"/>
  <c r="D211" i="163"/>
  <c r="F211" i="163" s="1"/>
  <c r="D8" i="152" s="1"/>
  <c r="D213" i="163"/>
  <c r="F213" i="163" s="1"/>
  <c r="D10" i="152" s="1"/>
  <c r="F214" i="163"/>
  <c r="B11" i="152" s="1"/>
  <c r="Q197" i="163"/>
  <c r="F197" i="163"/>
  <c r="F196" i="163"/>
  <c r="F195" i="163"/>
  <c r="E217" i="163"/>
  <c r="F199" i="163"/>
  <c r="F169" i="163"/>
  <c r="Q199" i="163"/>
  <c r="D210" i="163"/>
  <c r="F210" i="163" s="1"/>
  <c r="D7" i="152" s="1"/>
  <c r="F170" i="163"/>
  <c r="O217" i="163"/>
  <c r="Q169" i="163"/>
  <c r="F182" i="163"/>
  <c r="F171" i="163"/>
  <c r="F177" i="163"/>
  <c r="F186" i="163"/>
  <c r="J208" i="163"/>
  <c r="P217" i="163"/>
  <c r="J216" i="163"/>
  <c r="F216" i="163"/>
  <c r="B12" i="152" s="1"/>
  <c r="E11" i="151"/>
  <c r="E13" i="151"/>
  <c r="E14" i="151"/>
  <c r="L209" i="163" l="1"/>
  <c r="F209" i="163"/>
  <c r="B7" i="152" s="1"/>
  <c r="J209" i="163"/>
  <c r="K209" i="163"/>
  <c r="K208" i="163"/>
  <c r="K184" i="163"/>
  <c r="M184" i="163"/>
  <c r="M210" i="163" s="1"/>
  <c r="F184" i="163"/>
  <c r="K216" i="163"/>
  <c r="K210" i="163"/>
  <c r="M183" i="163"/>
  <c r="M209" i="163" s="1"/>
  <c r="K183" i="163"/>
  <c r="K182" i="163"/>
  <c r="Q182" i="163" s="1"/>
  <c r="M182" i="163"/>
  <c r="F183" i="163"/>
  <c r="F191" i="163" s="1"/>
  <c r="K173" i="163"/>
  <c r="Q171" i="163"/>
  <c r="J210" i="163"/>
  <c r="Q176" i="163"/>
  <c r="L208" i="163"/>
  <c r="F208" i="163"/>
  <c r="B6" i="152" s="1"/>
  <c r="F178" i="163"/>
  <c r="Q196" i="163"/>
  <c r="M204" i="163"/>
  <c r="Q195" i="163"/>
  <c r="K204" i="163"/>
  <c r="L210" i="163"/>
  <c r="F204" i="163"/>
  <c r="J217" i="163"/>
  <c r="K191" i="163"/>
  <c r="M178" i="163"/>
  <c r="Q186" i="163"/>
  <c r="Q183" i="163"/>
  <c r="Q170" i="163"/>
  <c r="Q177" i="163"/>
  <c r="G166" i="182"/>
  <c r="F217" i="163" l="1"/>
  <c r="G209" i="163" s="1"/>
  <c r="K212" i="163"/>
  <c r="K178" i="163"/>
  <c r="M191" i="163"/>
  <c r="L217" i="163"/>
  <c r="Q173" i="163"/>
  <c r="M208" i="163"/>
  <c r="M217" i="163" s="1"/>
  <c r="Q184" i="163"/>
  <c r="Q191" i="163" s="1"/>
  <c r="F219" i="163"/>
  <c r="G214" i="163"/>
  <c r="G210" i="163"/>
  <c r="G215" i="163"/>
  <c r="G213" i="163"/>
  <c r="G216" i="163"/>
  <c r="G212" i="163"/>
  <c r="G208" i="163"/>
  <c r="G211" i="163"/>
  <c r="Q204" i="163"/>
  <c r="Q178" i="163"/>
  <c r="K217" i="163"/>
  <c r="G147" i="182"/>
  <c r="N208" i="163" l="1"/>
  <c r="I208" i="163"/>
  <c r="H208" i="163"/>
  <c r="I215" i="163"/>
  <c r="N215" i="163"/>
  <c r="H215" i="163"/>
  <c r="N212" i="163"/>
  <c r="I212" i="163"/>
  <c r="H212" i="163"/>
  <c r="N210" i="163"/>
  <c r="I210" i="163"/>
  <c r="H210" i="163"/>
  <c r="N216" i="163"/>
  <c r="I216" i="163"/>
  <c r="H216" i="163"/>
  <c r="N214" i="163"/>
  <c r="I214" i="163"/>
  <c r="H214" i="163"/>
  <c r="N211" i="163"/>
  <c r="I211" i="163"/>
  <c r="H211" i="163"/>
  <c r="N213" i="163"/>
  <c r="I213" i="163"/>
  <c r="H213" i="163"/>
  <c r="I209" i="163"/>
  <c r="N209" i="163"/>
  <c r="H209" i="163"/>
  <c r="E54" i="15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P164" i="163" l="1"/>
  <c r="D163" i="163"/>
  <c r="F163" i="163" s="1"/>
  <c r="J163" i="163"/>
  <c r="L163" i="163"/>
  <c r="K150" i="163"/>
  <c r="M150" i="163"/>
  <c r="M163" i="163" s="1"/>
  <c r="D160" i="163"/>
  <c r="F150" i="163"/>
  <c r="F131" i="163"/>
  <c r="M131" i="163"/>
  <c r="K131" i="163"/>
  <c r="Q131" i="163" s="1"/>
  <c r="F142" i="163"/>
  <c r="K142" i="163"/>
  <c r="M142" i="163"/>
  <c r="F146" i="163"/>
  <c r="M146" i="163"/>
  <c r="M159" i="163" s="1"/>
  <c r="K146" i="163"/>
  <c r="K159" i="163" s="1"/>
  <c r="F158" i="163"/>
  <c r="G51" i="182"/>
  <c r="G76" i="182" s="1"/>
  <c r="D155" i="163"/>
  <c r="F161" i="163"/>
  <c r="F160" i="163"/>
  <c r="E164" i="163"/>
  <c r="C159" i="163"/>
  <c r="D159" i="163" s="1"/>
  <c r="F159" i="163" s="1"/>
  <c r="F130" i="163"/>
  <c r="K130" i="163"/>
  <c r="B156" i="163"/>
  <c r="D156" i="163" s="1"/>
  <c r="D133" i="163"/>
  <c r="K133" i="163" s="1"/>
  <c r="Q133" i="163" s="1"/>
  <c r="K149" i="163"/>
  <c r="M149" i="163"/>
  <c r="M135" i="163"/>
  <c r="M161" i="163" s="1"/>
  <c r="K135" i="163"/>
  <c r="M136" i="163"/>
  <c r="K136" i="163"/>
  <c r="M143" i="163"/>
  <c r="M156" i="163" s="1"/>
  <c r="K129" i="163"/>
  <c r="F129" i="163"/>
  <c r="F143" i="163"/>
  <c r="J162" i="163"/>
  <c r="L162" i="163"/>
  <c r="K148" i="163"/>
  <c r="Q148" i="163" s="1"/>
  <c r="F148" i="163"/>
  <c r="F136" i="163"/>
  <c r="K137" i="163"/>
  <c r="F137" i="163"/>
  <c r="B157" i="163"/>
  <c r="D157" i="163" s="1"/>
  <c r="D144" i="163"/>
  <c r="K144" i="163" s="1"/>
  <c r="O164" i="163"/>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C45" i="150"/>
  <c r="G26" i="181"/>
  <c r="F166" i="163" l="1"/>
  <c r="G159" i="163"/>
  <c r="G163" i="163"/>
  <c r="G158" i="163"/>
  <c r="G161" i="163"/>
  <c r="G160" i="163"/>
  <c r="G156" i="163"/>
  <c r="G155" i="163"/>
  <c r="G157" i="163"/>
  <c r="G162" i="163"/>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F106" i="163" s="1"/>
  <c r="E113" i="163"/>
  <c r="G49" i="181"/>
  <c r="G46" i="181"/>
  <c r="G42" i="181"/>
  <c r="G35" i="181"/>
  <c r="G39" i="181"/>
  <c r="G18" i="181"/>
  <c r="C42" i="150" s="1"/>
  <c r="E42" i="150"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M108" i="163" l="1"/>
  <c r="B115"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B27" i="150" s="1"/>
  <c r="G129" i="181"/>
  <c r="B34" i="150" s="1"/>
  <c r="D114" i="163"/>
  <c r="J114" i="163" s="1"/>
  <c r="D116" i="163"/>
  <c r="F116" i="163" s="1"/>
  <c r="D8" i="150" s="1"/>
  <c r="D119" i="163"/>
  <c r="L119" i="163" s="1"/>
  <c r="G117" i="181"/>
  <c r="B33" i="150" s="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D10" i="150" s="1"/>
  <c r="G19" i="181"/>
  <c r="G31" i="181" s="1"/>
  <c r="D117" i="163"/>
  <c r="F117" i="163" s="1"/>
  <c r="D9" i="150" s="1"/>
  <c r="E122" i="163"/>
  <c r="M102" i="163"/>
  <c r="K102" i="163"/>
  <c r="F102" i="163"/>
  <c r="M106" i="163"/>
  <c r="M119" i="163" s="1"/>
  <c r="K106" i="163"/>
  <c r="F107" i="163"/>
  <c r="M107" i="163"/>
  <c r="K107" i="163"/>
  <c r="K117" i="163"/>
  <c r="Q91" i="163"/>
  <c r="F94" i="163"/>
  <c r="K94" i="163"/>
  <c r="M94" i="163"/>
  <c r="F101" i="163"/>
  <c r="M101" i="163"/>
  <c r="K101" i="163"/>
  <c r="K87" i="163"/>
  <c r="D88" i="163"/>
  <c r="K89" i="163"/>
  <c r="M87" i="163"/>
  <c r="M89" i="163"/>
  <c r="B120" i="163"/>
  <c r="D120" i="163" s="1"/>
  <c r="F120" i="163" s="1"/>
  <c r="G147" i="180"/>
  <c r="G152" i="180"/>
  <c r="B36" i="149" s="1"/>
  <c r="B67" i="163"/>
  <c r="B54" i="163"/>
  <c r="G9" i="180"/>
  <c r="B62" i="163"/>
  <c r="B61" i="163"/>
  <c r="B66" i="163"/>
  <c r="B49" i="163"/>
  <c r="B48" i="163"/>
  <c r="L114" i="163" l="1"/>
  <c r="Q216" i="163"/>
  <c r="Q209" i="163"/>
  <c r="Q211" i="163"/>
  <c r="I164" i="163"/>
  <c r="Q215" i="163"/>
  <c r="Q159" i="163"/>
  <c r="Q156" i="163"/>
  <c r="Q162" i="163"/>
  <c r="Q213" i="163"/>
  <c r="F119" i="163"/>
  <c r="B11" i="150" s="1"/>
  <c r="Q158" i="163"/>
  <c r="H164" i="163"/>
  <c r="Q155" i="163"/>
  <c r="Q214" i="163"/>
  <c r="I217" i="163"/>
  <c r="Q163" i="163"/>
  <c r="Q210" i="163"/>
  <c r="H217" i="163"/>
  <c r="Q208" i="163"/>
  <c r="L115" i="163"/>
  <c r="Q212" i="163"/>
  <c r="N164" i="163"/>
  <c r="Q157" i="163"/>
  <c r="N217" i="163"/>
  <c r="Q161" i="163"/>
  <c r="F114" i="163"/>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D18" i="151" l="1"/>
  <c r="B18" i="152"/>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F42" i="149" s="1"/>
  <c r="C41" i="149"/>
  <c r="G68" i="180"/>
  <c r="C81" i="163"/>
  <c r="E81" i="163"/>
  <c r="B81" i="163"/>
  <c r="D68" i="163"/>
  <c r="D55" i="163"/>
  <c r="F55" i="163" s="1"/>
  <c r="F42" i="150" l="1"/>
  <c r="F42" i="151" s="1"/>
  <c r="F42" i="152" s="1"/>
  <c r="F42" i="153" s="1"/>
  <c r="F42" i="154" s="1"/>
  <c r="F42" i="155" s="1"/>
  <c r="F42" i="156" s="1"/>
  <c r="F42" i="157" s="1"/>
  <c r="F42" i="158" s="1"/>
  <c r="F42" i="159" s="1"/>
  <c r="F42" i="160" s="1"/>
  <c r="D81" i="163"/>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36" i="149"/>
  <c r="E36" i="150"/>
  <c r="E36" i="151"/>
  <c r="E36" i="152"/>
  <c r="E36" i="153"/>
  <c r="E36" i="154"/>
  <c r="E36" i="155"/>
  <c r="E36" i="156"/>
  <c r="E36" i="157"/>
  <c r="E36" i="158"/>
  <c r="E36" i="159"/>
  <c r="E36" i="160"/>
  <c r="E36" i="69"/>
  <c r="F36" i="69" s="1"/>
  <c r="C37" i="149"/>
  <c r="D37" i="149"/>
  <c r="C37" i="150"/>
  <c r="D37" i="150"/>
  <c r="C37" i="151"/>
  <c r="D37" i="151"/>
  <c r="C37" i="152"/>
  <c r="D37" i="152"/>
  <c r="C37" i="153"/>
  <c r="D37" i="153"/>
  <c r="C37" i="154"/>
  <c r="D37" i="154"/>
  <c r="C37" i="155"/>
  <c r="D37" i="155"/>
  <c r="C37" i="156"/>
  <c r="D37" i="156"/>
  <c r="C37" i="157"/>
  <c r="D37" i="157"/>
  <c r="C37" i="158"/>
  <c r="D37" i="158"/>
  <c r="C37" i="159"/>
  <c r="D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9" i="172"/>
  <c r="M13" i="172" s="1"/>
  <c r="M16" i="172" s="1"/>
  <c r="M17" i="172" s="1"/>
  <c r="M25" i="171"/>
  <c r="M21" i="171"/>
  <c r="M9" i="171"/>
  <c r="M13" i="171" s="1"/>
  <c r="M16" i="171" s="1"/>
  <c r="M17" i="171" s="1"/>
  <c r="M25" i="170"/>
  <c r="M21" i="170"/>
  <c r="M9" i="170"/>
  <c r="M13" i="170" s="1"/>
  <c r="M16" i="170" s="1"/>
  <c r="M17" i="170" s="1"/>
  <c r="M25" i="169"/>
  <c r="M21"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M10" i="172" l="1"/>
  <c r="M10" i="169"/>
  <c r="H36" i="154"/>
  <c r="I36" i="154"/>
  <c r="F36" i="155"/>
  <c r="M13" i="174"/>
  <c r="M16" i="174" s="1"/>
  <c r="M17" i="174" s="1"/>
  <c r="M10" i="177"/>
  <c r="M10" i="175"/>
  <c r="M10" i="173"/>
  <c r="M10" i="171"/>
  <c r="M10" i="170"/>
  <c r="M10" i="168"/>
  <c r="M10" i="167"/>
  <c r="M10" i="166"/>
  <c r="M10" i="165"/>
  <c r="M13" i="164"/>
  <c r="M16" i="164" s="1"/>
  <c r="M10" i="164"/>
  <c r="H36" i="155" l="1"/>
  <c r="I36" i="155"/>
  <c r="F36" i="156"/>
  <c r="I42" i="149"/>
  <c r="I42" i="155"/>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50" i="159"/>
  <c r="G48" i="159"/>
  <c r="D48" i="159"/>
  <c r="C48" i="159"/>
  <c r="B48" i="159"/>
  <c r="E47" i="159"/>
  <c r="E46" i="159"/>
  <c r="E45" i="159"/>
  <c r="E44" i="159"/>
  <c r="E43" i="159"/>
  <c r="E41" i="159"/>
  <c r="E35" i="159"/>
  <c r="E34" i="159"/>
  <c r="E33" i="159"/>
  <c r="E32" i="159"/>
  <c r="E31" i="159"/>
  <c r="E30" i="159"/>
  <c r="E29" i="159"/>
  <c r="E28" i="159"/>
  <c r="E27" i="159"/>
  <c r="E26" i="159"/>
  <c r="E25" i="159"/>
  <c r="E24" i="159"/>
  <c r="E23" i="159"/>
  <c r="E37" i="159" s="1"/>
  <c r="H19" i="159"/>
  <c r="E18" i="159"/>
  <c r="G16" i="159"/>
  <c r="G20" i="159" s="1"/>
  <c r="D16" i="159"/>
  <c r="D20" i="159" s="1"/>
  <c r="D52" i="159" s="1"/>
  <c r="D56" i="159" s="1"/>
  <c r="C16" i="159"/>
  <c r="C20" i="159" s="1"/>
  <c r="B16" i="159"/>
  <c r="B20" i="159" s="1"/>
  <c r="E12" i="159"/>
  <c r="E11" i="159"/>
  <c r="E10" i="159"/>
  <c r="E9" i="159"/>
  <c r="E8" i="159"/>
  <c r="E7" i="159"/>
  <c r="E6" i="159"/>
  <c r="E50" i="158"/>
  <c r="G48" i="158"/>
  <c r="D48" i="158"/>
  <c r="C48" i="158"/>
  <c r="B48" i="158"/>
  <c r="E47" i="158"/>
  <c r="E46" i="158"/>
  <c r="E45" i="158"/>
  <c r="E44" i="158"/>
  <c r="E43" i="158"/>
  <c r="E41" i="158"/>
  <c r="E35" i="158"/>
  <c r="E34" i="158"/>
  <c r="E33" i="158"/>
  <c r="E32" i="158"/>
  <c r="E31" i="158"/>
  <c r="E30" i="158"/>
  <c r="E29" i="158"/>
  <c r="E28" i="158"/>
  <c r="E27" i="158"/>
  <c r="E26" i="158"/>
  <c r="E25" i="158"/>
  <c r="E24" i="158"/>
  <c r="E23" i="158"/>
  <c r="H19" i="158"/>
  <c r="E18" i="158"/>
  <c r="G16" i="158"/>
  <c r="G20" i="158" s="1"/>
  <c r="D16" i="158"/>
  <c r="D20" i="158" s="1"/>
  <c r="D52" i="158" s="1"/>
  <c r="D56" i="158" s="1"/>
  <c r="C16" i="158"/>
  <c r="C20" i="158" s="1"/>
  <c r="C52" i="158" s="1"/>
  <c r="C56" i="158" s="1"/>
  <c r="B16" i="158"/>
  <c r="B20" i="158" s="1"/>
  <c r="E12" i="158"/>
  <c r="E11" i="158"/>
  <c r="E10" i="158"/>
  <c r="E9" i="158"/>
  <c r="E8" i="158"/>
  <c r="E7" i="158"/>
  <c r="E6" i="158"/>
  <c r="E50" i="157"/>
  <c r="G48" i="157"/>
  <c r="D48" i="157"/>
  <c r="C48" i="157"/>
  <c r="B48" i="157"/>
  <c r="E47" i="157"/>
  <c r="E46" i="157"/>
  <c r="E45" i="157"/>
  <c r="E44" i="157"/>
  <c r="E41" i="157"/>
  <c r="E35" i="157"/>
  <c r="E34" i="157"/>
  <c r="E33" i="157"/>
  <c r="E32" i="157"/>
  <c r="E31" i="157"/>
  <c r="E30" i="157"/>
  <c r="E29" i="157"/>
  <c r="E28" i="157"/>
  <c r="E27" i="157"/>
  <c r="E26" i="157"/>
  <c r="E25" i="157"/>
  <c r="E24" i="157"/>
  <c r="E23" i="157"/>
  <c r="E37" i="157" s="1"/>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C16" i="155"/>
  <c r="C20" i="155" s="1"/>
  <c r="B16" i="155"/>
  <c r="B20" i="155" s="1"/>
  <c r="E12" i="155"/>
  <c r="E11" i="155"/>
  <c r="E10" i="155"/>
  <c r="E9" i="155"/>
  <c r="E8" i="155"/>
  <c r="E7" i="155"/>
  <c r="E6" i="155"/>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C16" i="154"/>
  <c r="C20" i="154" s="1"/>
  <c r="B16" i="154"/>
  <c r="B20" i="154" s="1"/>
  <c r="E12" i="154"/>
  <c r="E11" i="154"/>
  <c r="E10" i="154"/>
  <c r="E9" i="154"/>
  <c r="E8" i="154"/>
  <c r="E7" i="154"/>
  <c r="E6" i="154"/>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H19" i="151"/>
  <c r="E18" i="151"/>
  <c r="G16" i="151"/>
  <c r="G20" i="151" s="1"/>
  <c r="D16" i="151"/>
  <c r="D20" i="151" s="1"/>
  <c r="D52" i="151" s="1"/>
  <c r="D56" i="151" s="1"/>
  <c r="C16" i="151"/>
  <c r="C20" i="151" s="1"/>
  <c r="B16" i="151"/>
  <c r="B20"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D52" i="155" l="1"/>
  <c r="D56" i="155" s="1"/>
  <c r="E37" i="155"/>
  <c r="D52" i="154"/>
  <c r="D56" i="154" s="1"/>
  <c r="E37" i="153"/>
  <c r="E37" i="154"/>
  <c r="E37" i="156"/>
  <c r="E37" i="158"/>
  <c r="E48" i="159"/>
  <c r="E37" i="160"/>
  <c r="B52" i="151"/>
  <c r="B56" i="151" s="1"/>
  <c r="D52" i="152"/>
  <c r="D56" i="152" s="1"/>
  <c r="C52" i="153"/>
  <c r="C56" i="153" s="1"/>
  <c r="E48" i="158"/>
  <c r="E37" i="152"/>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G52" i="152"/>
  <c r="G56" i="152" s="1"/>
  <c r="B52" i="154"/>
  <c r="B56" i="154" s="1"/>
  <c r="G52" i="158"/>
  <c r="G56" i="158" s="1"/>
  <c r="G52" i="153"/>
  <c r="G56" i="153" s="1"/>
  <c r="E16" i="154"/>
  <c r="E20" i="154" s="1"/>
  <c r="C52" i="154"/>
  <c r="C56" i="154" s="1"/>
  <c r="E48" i="154"/>
  <c r="E16" i="157"/>
  <c r="E20" i="157" s="1"/>
  <c r="E58" i="157" s="1"/>
  <c r="E62" i="157" s="1"/>
  <c r="G52" i="159"/>
  <c r="G56" i="159" s="1"/>
  <c r="B52" i="155"/>
  <c r="B56" i="155" s="1"/>
  <c r="G52" i="155"/>
  <c r="G56" i="155" s="1"/>
  <c r="E16" i="156"/>
  <c r="E20" i="156" s="1"/>
  <c r="E58" i="156" s="1"/>
  <c r="E62" i="156" s="1"/>
  <c r="C52" i="156"/>
  <c r="C56" i="156" s="1"/>
  <c r="E48" i="156"/>
  <c r="G52" i="160"/>
  <c r="G56" i="160" s="1"/>
  <c r="E16" i="159"/>
  <c r="E20" i="159" s="1"/>
  <c r="E16" i="160"/>
  <c r="E20" i="160" s="1"/>
  <c r="E58" i="160" s="1"/>
  <c r="E62"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8" i="155" l="1"/>
  <c r="E62" i="155" s="1"/>
  <c r="E58" i="154"/>
  <c r="E62" i="154" s="1"/>
  <c r="E58" i="153"/>
  <c r="E62" i="153" s="1"/>
  <c r="E52" i="159"/>
  <c r="E56" i="159" s="1"/>
  <c r="E58" i="159"/>
  <c r="E62" i="159" s="1"/>
  <c r="E52" i="158"/>
  <c r="E56" i="158" s="1"/>
  <c r="E58" i="158"/>
  <c r="E62" i="158" s="1"/>
  <c r="E52" i="152"/>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F43" i="149" s="1"/>
  <c r="E46" i="69"/>
  <c r="F46" i="69" s="1"/>
  <c r="F46" i="149" s="1"/>
  <c r="E45" i="69"/>
  <c r="F45" i="69" s="1"/>
  <c r="F45" i="149" s="1"/>
  <c r="E44" i="69"/>
  <c r="F44" i="69" s="1"/>
  <c r="F44" i="14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H41" i="69" s="1"/>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M12" i="164" s="1"/>
  <c r="M17" i="164"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8" i="69"/>
  <c r="E52" i="69"/>
  <c r="E56" i="69" s="1"/>
  <c r="F20" i="69"/>
  <c r="I20" i="69" s="1"/>
  <c r="H34" i="69"/>
  <c r="F48" i="149" l="1"/>
  <c r="H41" i="149"/>
  <c r="F37" i="149"/>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8" i="149"/>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H41" i="151" s="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8" i="151"/>
  <c r="F41" i="152"/>
  <c r="H41" i="152" s="1"/>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H41" i="153" s="1"/>
  <c r="F48" i="152"/>
  <c r="I48" i="152" s="1"/>
  <c r="H48" i="152"/>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4" s="1"/>
  <c r="H48" i="153"/>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8" i="154"/>
  <c r="F48" i="154"/>
  <c r="I48" i="154" s="1"/>
  <c r="F41" i="155"/>
  <c r="H41" i="155" s="1"/>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8" i="155"/>
  <c r="F41" i="156"/>
  <c r="H41" i="156" s="1"/>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7" s="1"/>
  <c r="H48" i="156"/>
  <c r="I10" i="157"/>
  <c r="H10" i="157"/>
  <c r="F10" i="158"/>
  <c r="H6" i="157"/>
  <c r="I6" i="157"/>
  <c r="F16" i="157"/>
  <c r="F6" i="158"/>
  <c r="H37" i="156" l="1"/>
  <c r="H52" i="156" s="1"/>
  <c r="H56" i="156" s="1"/>
  <c r="F37" i="157"/>
  <c r="I37" i="157" s="1"/>
  <c r="H23" i="157"/>
  <c r="I23" i="157"/>
  <c r="F23" i="158"/>
  <c r="H16" i="157"/>
  <c r="H20" i="157" s="1"/>
  <c r="F41" i="158"/>
  <c r="H41" i="158" s="1"/>
  <c r="I41" i="157"/>
  <c r="H48" i="157"/>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H41" i="159" s="1"/>
  <c r="F48" i="158"/>
  <c r="I48" i="158" s="1"/>
  <c r="H48" i="158"/>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H41" i="160" s="1"/>
  <c r="F48" i="159"/>
  <c r="I48" i="159" s="1"/>
  <c r="H48" i="159"/>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8" i="160"/>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<sst xmlns="http://schemas.openxmlformats.org/spreadsheetml/2006/main" count="5912" uniqueCount="1261">
  <si>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</si>
  <si>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</si>
  <si>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</si>
  <si>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</si>
  <si>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</si>
  <si>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</si>
  <si>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</si>
  <si>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</si>
  <si>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</si>
  <si>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</si>
  <si>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</si>
  <si>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</si>
  <si>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</si>
  <si>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</si>
  <si>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</si>
  <si>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</si>
  <si>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</si>
  <si>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</si>
  <si>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</si>
  <si>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</si>
  <si>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</si>
  <si>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</si>
  <si>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</si>
  <si>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</si>
  <si>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</si>
  <si>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</si>
  <si>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</si>
  <si>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</si>
  <si>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</si>
  <si>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</si>
  <si>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</si>
  <si>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</si>
  <si>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</si>
  <si>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</si>
  <si>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</si>
  <si>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</si>
  <si>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</si>
  <si>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</si>
  <si>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</si>
  <si>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</si>
  <si>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</si>
  <si>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</si>
  <si>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</si>
  <si>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</si>
  <si>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</si>
  <si>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</si>
  <si>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</si>
  <si>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</si>
  <si>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</si>
  <si>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</si>
  <si>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</si>
  <si>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</si>
  <si>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</si>
  <si>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</si>
  <si>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</si>
  <si>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</si>
  <si>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</si>
  <si>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</si>
  <si>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</si>
  <si>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</si>
  <si>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</si>
  <si>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</si>
  <si>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</si>
  <si>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</si>
  <si>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</si>
  <si>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</si>
  <si>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</si>
  <si>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</si>
  <si>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</si>
  <si>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</si>
  <si>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</si>
  <si>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</si>
  <si>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</si>
  <si>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</si>
  <si>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</si>
  <si>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</si>
  <si>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</si>
  <si>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</si>
  <si>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</si>
  <si>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</si>
  <si>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</si>
  <si>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</si>
  <si>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</si>
  <si>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</si>
  <si>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</si>
  <si>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</si>
  <si>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</si>
  <si>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</si>
  <si>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</si>
  <si>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</si>
  <si>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</si>
  <si>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</si>
  <si>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</si>
  <si>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</si>
  <si>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</si>
  <si>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</si>
  <si>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</si>
  <si>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</si>
  <si>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</si>
  <si>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</si>
  <si>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</si>
  <si>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</si>
  <si>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</si>
  <si>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</si>
  <si>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</si>
  <si>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</si>
  <si>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</si>
  <si>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</si>
  <si>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</si>
  <si>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</si>
  <si>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</si>
  <si>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</si>
  <si>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</si>
  <si>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</si>
  <si>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</si>
  <si>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</si>
  <si>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</si>
  <si>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</si>
  <si>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</si>
  <si>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</si>
  <si>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</si>
  <si>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</si>
  <si>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</si>
  <si>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</si>
  <si>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</si>
  <si>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</si>
  <si>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</si>
  <si>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</si>
  <si>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</si>
  <si>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</si>
  <si>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</si>
  <si>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</si>
  <si>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</si>
  <si>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</si>
  <si>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</si>
  <si>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</si>
  <si>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</si>
  <si>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</si>
  <si>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</si>
  <si>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</si>
  <si>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</si>
  <si>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</si>
  <si>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</si>
  <si>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</si>
  <si>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</si>
  <si>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</si>
  <si>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</si>
  <si>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</si>
  <si>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</si>
  <si>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</si>
  <si>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</si>
  <si>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</si>
  <si>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</si>
  <si>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</si>
  <si>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</si>
  <si>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</si>
  <si>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</si>
  <si>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</si>
  <si>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</si>
  <si>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</si>
  <si>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</si>
  <si>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</si>
  <si>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</si>
  <si>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</si>
  <si>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</si>
  <si>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</si>
  <si>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</si>
  <si>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</si>
  <si>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</si>
  <si>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</si>
  <si>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</si>
  <si>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</si>
  <si>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</si>
  <si>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</si>
  <si>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</si>
  <si>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</si>
  <si>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</si>
  <si>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</si>
  <si>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</si>
  <si>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</si>
  <si>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</si>
  <si>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</si>
  <si>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</si>
  <si>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</si>
  <si>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</si>
  <si>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</si>
  <si>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</si>
  <si>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</si>
  <si>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</si>
  <si>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</si>
  <si>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</si>
  <si>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</si>
  <si>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</si>
  <si>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</si>
  <si>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</si>
  <si>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</si>
  <si>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</si>
  <si>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</si>
  <si>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</si>
  <si>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</si>
  <si>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</si>
  <si>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</si>
  <si>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</si>
  <si>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</si>
  <si>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</si>
  <si>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</si>
  <si>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</si>
  <si>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</si>
  <si>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</si>
  <si>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</si>
  <si>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</si>
  <si>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</si>
  <si>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</si>
  <si>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</si>
  <si>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</si>
  <si>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</si>
  <si>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</si>
  <si>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</si>
  <si>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</si>
  <si>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</si>
  <si>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</si>
  <si>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</si>
  <si>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</si>
  <si>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</si>
  <si>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</si>
  <si>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</si>
  <si>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</si>
  <si>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</si>
  <si>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</si>
  <si>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</si>
  <si>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</si>
  <si>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</si>
  <si>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</si>
  <si>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</si>
  <si>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</si>
  <si>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</si>
  <si>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</si>
  <si>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</si>
  <si>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</si>
  <si>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</si>
  <si>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</si>
  <si>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</si>
  <si>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</si>
  <si>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</si>
  <si>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</si>
  <si>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</si>
  <si>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</si>
  <si>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</si>
  <si>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</si>
  <si>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</si>
  <si>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</si>
  <si>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</si>
  <si>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</si>
  <si>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</si>
  <si>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</si>
  <si>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</si>
  <si>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</si>
  <si>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</si>
  <si>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</si>
  <si>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</si>
  <si>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</si>
  <si>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</si>
  <si>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</si>
  <si>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</si>
  <si>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</si>
  <si>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</si>
  <si>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</si>
  <si>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</si>
  <si>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</si>
  <si>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</si>
  <si>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</si>
  <si>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</si>
  <si>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</si>
  <si>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</si>
  <si>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</si>
  <si>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</si>
  <si>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</si>
  <si>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</si>
  <si>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</si>
  <si>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</si>
  <si>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</si>
  <si>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</si>
  <si>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</si>
  <si>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</si>
  <si>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</si>
  <si>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</si>
  <si>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</si>
  <si>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</si>
  <si>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</si>
  <si>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</si>
  <si>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</si>
  <si>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</si>
  <si>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</si>
  <si>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</si>
  <si>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</si>
  <si>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</si>
  <si>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</si>
  <si>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</si>
  <si>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</si>
  <si>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</si>
  <si>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</si>
  <si>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</si>
  <si>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</si>
  <si>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</si>
  <si>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</si>
  <si>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</si>
  <si>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</si>
  <si>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</si>
  <si>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</si>
  <si>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</si>
  <si>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</si>
  <si>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</si>
  <si>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</si>
  <si>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</si>
  <si>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</si>
  <si>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</si>
  <si>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</si>
  <si>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</si>
  <si>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</si>
  <si>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</si>
  <si>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</si>
  <si>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</si>
  <si>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</si>
  <si>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</si>
  <si>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</si>
  <si>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</si>
  <si>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</si>
  <si>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</si>
  <si>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</si>
  <si>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</si>
  <si>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</si>
  <si>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</si>
  <si>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</si>
  <si>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</si>
  <si>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</si>
  <si>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</si>
  <si>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</si>
  <si>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</si>
  <si>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</si>
  <si>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</si>
  <si>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</si>
  <si>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</si>
  <si>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</si>
  <si>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</si>
  <si>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</si>
  <si>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</si>
  <si>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</si>
  <si>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</si>
  <si>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</si>
  <si>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</si>
  <si>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</si>
  <si>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</si>
  <si>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</si>
  <si>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</si>
  <si>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</si>
  <si>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</si>
  <si>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</si>
  <si>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</si>
  <si>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</si>
  <si>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</si>
  <si>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</si>
  <si>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</si>
  <si>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</si>
  <si>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</si>
  <si>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</si>
  <si>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</si>
  <si>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</si>
  <si>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</si>
  <si>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</si>
  <si>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</si>
  <si>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</si>
  <si>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</si>
  <si>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</si>
  <si>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</si>
  <si>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</si>
  <si>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</si>
  <si>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</si>
  <si>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</si>
  <si>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</si>
  <si>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</si>
  <si>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</si>
  <si>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</si>
  <si>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</si>
  <si>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</si>
  <si>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</si>
  <si>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</si>
  <si>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</si>
  <si>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</si>
  <si>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</si>
  <si>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</si>
  <si>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</si>
  <si>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</si>
  <si>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</si>
  <si>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</si>
  <si>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</si>
  <si>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</si>
  <si>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</si>
  <si>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</si>
  <si>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</si>
  <si>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</si>
  <si>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</si>
  <si>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</si>
  <si>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</si>
  <si>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</si>
  <si>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</si>
  <si>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</si>
  <si>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</si>
  <si>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</si>
  <si>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</si>
  <si>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</si>
  <si>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</si>
  <si>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</si>
  <si>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</si>
  <si>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</si>
  <si>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</si>
  <si>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</si>
  <si>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</si>
  <si>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</si>
  <si>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</si>
  <si>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</si>
  <si>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</si>
  <si>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</si>
  <si>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</si>
  <si>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</si>
  <si>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</si>
  <si>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</si>
  <si>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</si>
  <si>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</si>
  <si>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</si>
  <si>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</si>
  <si>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</si>
  <si>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</si>
  <si>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</si>
  <si>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</si>
  <si>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</si>
  <si>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</si>
  <si>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</si>
  <si>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</si>
  <si>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</si>
  <si>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</si>
  <si>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</si>
  <si>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</si>
  <si>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</si>
  <si>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</si>
  <si>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</si>
  <si>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</si>
  <si>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</si>
  <si>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</si>
  <si>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</si>
  <si>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</si>
  <si>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</si>
  <si>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</si>
  <si>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</si>
  <si>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</si>
  <si>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</si>
  <si>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</si>
  <si>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</si>
  <si>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</si>
  <si>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</si>
  <si>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</si>
  <si>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</si>
  <si>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</si>
  <si>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</si>
  <si>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</si>
  <si>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</si>
  <si>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</si>
  <si>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</si>
  <si>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</si>
  <si>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</si>
  <si>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</si>
  <si>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</si>
  <si>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</si>
  <si>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</si>
  <si>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</si>
  <si>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</si>
  <si>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</si>
  <si>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</si>
  <si>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</si>
  <si>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</si>
  <si>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</si>
  <si>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</si>
  <si>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</si>
  <si>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</si>
  <si>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</si>
  <si>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</si>
  <si>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</si>
  <si>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</si>
  <si>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</si>
  <si>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</si>
  <si>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</si>
  <si>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</si>
  <si>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</si>
  <si>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</si>
  <si>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</si>
  <si>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</si>
  <si>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</si>
  <si>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</si>
  <si>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</si>
  <si>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</si>
  <si>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</si>
  <si>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</si>
  <si>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</si>
  <si>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</si>
  <si>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</si>
  <si>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</si>
  <si>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</si>
  <si>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</si>
  <si>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</si>
  <si>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</si>
  <si>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</si>
  <si>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</si>
  <si>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</si>
  <si>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</si>
  <si>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</si>
  <si>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</si>
  <si>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</si>
  <si>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</si>
  <si>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</si>
  <si>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</si>
  <si>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</si>
  <si>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</si>
  <si>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</si>
  <si>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</si>
  <si>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</si>
  <si>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</si>
  <si>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</si>
  <si>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</si>
  <si>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</si>
  <si>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</si>
  <si>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</si>
  <si>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</si>
  <si>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</si>
  <si>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</si>
  <si>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</si>
  <si>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</si>
  <si>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</si>
  <si>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</si>
  <si>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</si>
  <si>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</si>
  <si>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</si>
  <si>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</si>
  <si>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</si>
  <si>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</si>
  <si>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</si>
  <si>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</si>
  <si>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</si>
  <si>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</si>
  <si>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</si>
  <si>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</si>
  <si>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</si>
  <si>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</si>
  <si>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</si>
  <si>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</si>
  <si>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</si>
  <si>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</si>
  <si>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</si>
  <si>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</si>
  <si>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</si>
  <si>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</si>
  <si>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</si>
  <si>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</si>
  <si>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</si>
  <si>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</si>
  <si>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</si>
  <si>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</si>
  <si>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</si>
  <si>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</si>
  <si>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</si>
  <si>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</si>
  <si>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</si>
  <si>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</si>
  <si>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</si>
  <si>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</si>
  <si>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</si>
  <si>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</si>
  <si>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</si>
  <si>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</si>
  <si>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</si>
  <si>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</si>
  <si>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</si>
  <si>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</si>
  <si>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</si>
  <si>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</si>
  <si>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</si>
  <si>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</si>
  <si>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</si>
  <si>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</si>
  <si>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</si>
  <si>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</si>
  <si>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</si>
  <si>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</si>
  <si>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</si>
  <si>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</si>
  <si>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</si>
  <si>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</si>
  <si>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</si>
  <si>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</si>
  <si>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</si>
  <si>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</si>
  <si>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</si>
  <si>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</si>
  <si>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</si>
  <si>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</si>
  <si>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</si>
  <si>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</si>
  <si>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</si>
  <si>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</si>
  <si>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</si>
  <si>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</si>
  <si>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</si>
  <si>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</si>
  <si>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</si>
  <si>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</si>
  <si>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</si>
  <si>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</si>
  <si>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</si>
  <si>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</si>
  <si>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</si>
  <si>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</si>
  <si>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</si>
  <si>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</si>
  <si>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</si>
  <si>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Total for Other Operating Expenses</t>
  </si>
  <si>
    <t xml:space="preserve">   Total for Communications</t>
  </si>
  <si>
    <t>USJP In-Kind Donations Nov 2019 est</t>
  </si>
  <si>
    <t xml:space="preserve">Payroll Period Ending           11/24/19 - 12/09/19 </t>
  </si>
  <si>
    <t xml:space="preserve">Payroll Period Ending           12/08/19 - 12/21/19 </t>
  </si>
  <si>
    <t>Thursday, Jan 09, 2020 07:22:16 PM GMT-8 - Accrual Basis</t>
  </si>
  <si>
    <t xml:space="preserve">   Total for 8435 GED &amp; ABE Classes</t>
  </si>
  <si>
    <t>Tabe Test Score-ez</t>
  </si>
  <si>
    <t>DATA Recognition Corporation</t>
  </si>
  <si>
    <t>12/03/2019</t>
  </si>
  <si>
    <t xml:space="preserve">   8435 GED &amp; ABE Classes</t>
  </si>
  <si>
    <t>Mileage Reimbursement for 11/04/19 - 12/09/19</t>
  </si>
  <si>
    <t>12.09.19AJ</t>
  </si>
  <si>
    <t>12/09/2019</t>
  </si>
  <si>
    <t>Mileage Reimbursement 11/26/19 - 12/09/19</t>
  </si>
  <si>
    <t>Vanessa Brown</t>
  </si>
  <si>
    <t>12.09.19VB</t>
  </si>
  <si>
    <t>Mileage Reimbursement - USJP 11/6/19 - 11/21/19</t>
  </si>
  <si>
    <t>12.04.19IC</t>
  </si>
  <si>
    <t>12/04/2019</t>
  </si>
  <si>
    <t>Parking Permit for Dec. 2019</t>
  </si>
  <si>
    <t>Mileage Reimbursement 11/4/19 - 11/13/19</t>
  </si>
  <si>
    <t>12.04.19GM</t>
  </si>
  <si>
    <t>12/30/2019</t>
  </si>
  <si>
    <t xml:space="preserve">      Total for 8250.1 Allocated Mortgage Interest</t>
  </si>
  <si>
    <t xml:space="preserve">   8220 Equipment Rental, Repair &amp; Maintenance</t>
  </si>
  <si>
    <t>USJP - Rent Expense  December 2019</t>
  </si>
  <si>
    <t>12.01.19CW</t>
  </si>
  <si>
    <t>12/01/2019</t>
  </si>
  <si>
    <t xml:space="preserve">   Total for 8140 Postage &amp; Shipping</t>
  </si>
  <si>
    <t>USJP - Returned Tabe Test Booklets to Data Recognition</t>
  </si>
  <si>
    <t>FedEx</t>
  </si>
  <si>
    <t>6-882-69113</t>
  </si>
  <si>
    <t>USJP E-Fax service for December 2019</t>
  </si>
  <si>
    <t>12.09.19VF</t>
  </si>
  <si>
    <t>VF12.04.19</t>
  </si>
  <si>
    <t>9844201970</t>
  </si>
  <si>
    <t>12/13/2019</t>
  </si>
  <si>
    <t xml:space="preserve">   Total for 7540 Instructors/Consultants/Subs</t>
  </si>
  <si>
    <t>Business Development  12/16/19 - 12/27/19</t>
  </si>
  <si>
    <t>Anthony Clark</t>
  </si>
  <si>
    <t>12.27.19AC</t>
  </si>
  <si>
    <t>12/27/2019</t>
  </si>
  <si>
    <t xml:space="preserve">   7540 Instructors/Consultants/Subs</t>
  </si>
  <si>
    <t xml:space="preserve">      Total for 7521 Allocated Acctg and Audit</t>
  </si>
  <si>
    <t xml:space="preserve">   7250 Payroll Taxes, etc.</t>
  </si>
  <si>
    <t>12/31/2019</t>
  </si>
  <si>
    <t>Employee Medical Contrib</t>
  </si>
  <si>
    <t>12.01.19PG</t>
  </si>
  <si>
    <t>To record Horizon Exp. Billing Period    12/15/19 - 01/15/20</t>
  </si>
  <si>
    <t>Salary Allocation - December</t>
  </si>
  <si>
    <t>12/16/2019</t>
  </si>
  <si>
    <t>12/02/2019</t>
  </si>
  <si>
    <t>USJP Employer Liability</t>
  </si>
  <si>
    <t>Re-issue pay check from 6/17/19 payroll - Check returned as undeliverable by postal service</t>
  </si>
  <si>
    <t>Edythe Walker</t>
  </si>
  <si>
    <t>12.20.19EW</t>
  </si>
  <si>
    <t>12/20/2019</t>
  </si>
  <si>
    <t>USJP Stale check for Edythe Walker Pay Date 06/17/19  19-12-26</t>
  </si>
  <si>
    <t>Valerie Dixon - Direct Deposit return closed account #12/16/19 Payroll  19-12-25</t>
  </si>
  <si>
    <t>12/19/2019</t>
  </si>
  <si>
    <t>Participant Wages for 11/21/19 - 12/04/19 Check Date 12/16/19 - Direct Deposit Returned by Bank</t>
  </si>
  <si>
    <t>Valerie Dixon</t>
  </si>
  <si>
    <t>12.16.19VD</t>
  </si>
  <si>
    <t>Valerie Dixon - Direct Deposit return incomplete account #12/02/19 payroll     19-12-07</t>
  </si>
  <si>
    <t>12/05/2019</t>
  </si>
  <si>
    <t>Participant Wages for 11/07/19 - 11/20/19 Check Date 12/02/19 - Direct Deposit Returned by Bank</t>
  </si>
  <si>
    <t>12.02.19VD</t>
  </si>
  <si>
    <t>USJP Participant Wages - 12/30/19</t>
  </si>
  <si>
    <t>USJP Participant Wages - 12/16/19</t>
  </si>
  <si>
    <t>USJP Participant Wages - 12/2/19</t>
  </si>
  <si>
    <t>December 2019</t>
  </si>
  <si>
    <r>
      <rPr>
        <b/>
        <sz val="24"/>
        <rFont val="Calibri"/>
        <family val="2"/>
        <scheme val="minor"/>
      </rPr>
      <t>Monthly</t>
    </r>
    <r>
      <rPr>
        <b/>
        <sz val="16"/>
        <rFont val="Calibri"/>
        <family val="2"/>
        <scheme val="minor"/>
      </rPr>
      <t xml:space="preserve"> Total for December 2019</t>
    </r>
  </si>
  <si>
    <t>TOTAL FOR CONTRACTUAL CONSULTANTS</t>
  </si>
  <si>
    <t xml:space="preserve">   Total for Supplies</t>
  </si>
  <si>
    <t xml:space="preserve">USJP In-Kind Donations Dec 2019 </t>
  </si>
  <si>
    <t>Business Development  12/30/19 - 12/31/19</t>
  </si>
  <si>
    <t>12.31.19AC</t>
  </si>
  <si>
    <t>Creditmemo</t>
  </si>
  <si>
    <t>CM702757</t>
  </si>
  <si>
    <t xml:space="preserve">Invoice #  6 </t>
  </si>
  <si>
    <t>Total for Fringe Benefits</t>
  </si>
  <si>
    <t>Payroll Period Ending           12/22/19 - 01/04/20</t>
  </si>
  <si>
    <t xml:space="preserve">Payroll Period Ending           01/05/20 - 01/15/20 </t>
  </si>
  <si>
    <r>
      <rPr>
        <b/>
        <sz val="24"/>
        <rFont val="Calibri"/>
        <family val="2"/>
        <scheme val="minor"/>
      </rPr>
      <t>Monthly</t>
    </r>
    <r>
      <rPr>
        <b/>
        <sz val="16"/>
        <rFont val="Calibri"/>
        <family val="2"/>
        <scheme val="minor"/>
      </rPr>
      <t xml:space="preserve"> Total for January 2020</t>
    </r>
  </si>
  <si>
    <t>Parking Permit for Jan. 2020</t>
  </si>
  <si>
    <t>01/01/2020</t>
  </si>
  <si>
    <t>USJP - Rent Expense  January 2020</t>
  </si>
  <si>
    <t>J2  EFAX SERVICES</t>
  </si>
  <si>
    <t>01/20/2020</t>
  </si>
  <si>
    <t>01/17/2020</t>
  </si>
  <si>
    <t>01/13/2020</t>
  </si>
  <si>
    <t>9846278391</t>
  </si>
  <si>
    <t>7303329877-0-1</t>
  </si>
  <si>
    <t>01/03/2020</t>
  </si>
  <si>
    <t>Business Development 01/13/20 - 01/17/20</t>
  </si>
  <si>
    <t>01.17.20AC</t>
  </si>
  <si>
    <t>01.01.20PL</t>
  </si>
  <si>
    <t>To record Horizon Exp. Billing Period    01/15/20 - 02/15/20</t>
  </si>
  <si>
    <t>01/27/2020</t>
  </si>
  <si>
    <t>01/30/2020</t>
  </si>
  <si>
    <t>Not included on the payroll spreadsheet 12.19.19 - 01.01.20</t>
  </si>
  <si>
    <t>Olivia Wicker</t>
  </si>
  <si>
    <t>Not added on payroll spreadsheet for payment 12.19.19-01.01.20</t>
  </si>
  <si>
    <t>Patricia Borden</t>
  </si>
  <si>
    <t>USJP Participant Wages - 1/27/20</t>
  </si>
  <si>
    <t>USJP Participant Wages - 1/13/20</t>
  </si>
  <si>
    <t>January 2020</t>
  </si>
  <si>
    <t>01/31/2020</t>
  </si>
  <si>
    <t>Allocated Acctg</t>
  </si>
  <si>
    <t>01.01.20IC</t>
  </si>
  <si>
    <t>Mileage Reimbursement - USJP 12/01/2019 - 12/31/2019</t>
  </si>
  <si>
    <t>01.01.20MT</t>
  </si>
  <si>
    <t>Mileage Reimbursement 12/13/2019</t>
  </si>
  <si>
    <t>01.31.20IC</t>
  </si>
  <si>
    <t>Mileage Reimbursement - USJP 01/15/20 -  01/29/20</t>
  </si>
  <si>
    <t>01.31.20GM</t>
  </si>
  <si>
    <t>Mileage Reimbursement 01/01/20 -  01/31/20</t>
  </si>
  <si>
    <t>01.31.20MT</t>
  </si>
  <si>
    <t>Mileage Reimbursement 01/10/20 &amp; 01/27/20</t>
  </si>
  <si>
    <t>Thursday, Feb 13, 2020 11:24:15 AM GMT-8 - Accrual Basis</t>
  </si>
  <si>
    <t>Business Development 01/27/20 - 01/31/20</t>
  </si>
  <si>
    <t>USJP In-Kind Donations Jan 2020</t>
  </si>
  <si>
    <t>Refund for 0K296-USJP Overpayment of Payroll for Manual Checks     20-01-49</t>
  </si>
  <si>
    <t>USJP Participant owed 32 hours for training 12/19/19 - 01/01/22. Check Date 01/13/20 not previously paid.</t>
  </si>
  <si>
    <t>Profit and Loss Detail</t>
  </si>
  <si>
    <t>Location</t>
  </si>
  <si>
    <t>Class</t>
  </si>
  <si>
    <t>Split</t>
  </si>
  <si>
    <t>Balance</t>
  </si>
  <si>
    <t>Ordinary Income/Expenses</t>
  </si>
  <si>
    <t xml:space="preserve">   Income</t>
  </si>
  <si>
    <t xml:space="preserve">      4500 Revenue from Government Grants</t>
  </si>
  <si>
    <t xml:space="preserve">         4520 Federal Grants</t>
  </si>
  <si>
    <t xml:space="preserve">            4521.1 USJP - Payroll Reimb</t>
  </si>
  <si>
    <t>451 USJP Program</t>
  </si>
  <si>
    <t>USJP Participant Payroll</t>
  </si>
  <si>
    <t>-Split-</t>
  </si>
  <si>
    <t xml:space="preserve">            Total for 4521.1 USJP - Payroll Reimb</t>
  </si>
  <si>
    <t xml:space="preserve">         Total for 4520 Federal Grants</t>
  </si>
  <si>
    <t xml:space="preserve">      Total for 4500 Revenue from Government Grants</t>
  </si>
  <si>
    <t xml:space="preserve">   Total for Income</t>
  </si>
  <si>
    <t xml:space="preserve">   Expenses</t>
  </si>
  <si>
    <t xml:space="preserve">      7100 Participant Salaries &amp; Wages</t>
  </si>
  <si>
    <t xml:space="preserve">         7112 Participant Wages - USJP</t>
  </si>
  <si>
    <t xml:space="preserve">            Total for 7112 Participant Wages - USJP</t>
  </si>
  <si>
    <t xml:space="preserve">            7112.1 USJP Manual Checks</t>
  </si>
  <si>
    <t>USJP Payroll Participant Return - Edythe Walker stale check              
 20-01-03</t>
  </si>
  <si>
    <t>1010 Cash:Checking Active:Bank of America:BOA Operating Acct 3973</t>
  </si>
  <si>
    <t>USJP Participant owed 32 hours for training from 12/19/19 - 01/01/22. Check Date 01/13/20 not previously paid.</t>
  </si>
  <si>
    <t>2000 Accounts Payable</t>
  </si>
  <si>
    <t>Refund for 0K296-USJP Overpayment pf Payroll for Manual Checks     20-01-49</t>
  </si>
  <si>
    <t xml:space="preserve">            Total for 7112.1 USJP Manual Checks</t>
  </si>
  <si>
    <t xml:space="preserve">         Total for 7112 Participant Wages - USJP with sub-accounts</t>
  </si>
  <si>
    <t xml:space="preserve">         7120 Payroll Taxes</t>
  </si>
  <si>
    <t xml:space="preserve">         Total for 7120 Payroll Taxes</t>
  </si>
  <si>
    <t xml:space="preserve">         7130 Worker's Compensation - USJP</t>
  </si>
  <si>
    <t xml:space="preserve">         Total for 7130 Worker's Compensation - USJP</t>
  </si>
  <si>
    <t xml:space="preserve">         7132 Payroll Expenses - Fees</t>
  </si>
  <si>
    <t xml:space="preserve">         Total for 7132 Payroll Expenses - Fees</t>
  </si>
  <si>
    <t xml:space="preserve">      Total for 7100 Participant Salaries &amp; Wages</t>
  </si>
  <si>
    <t xml:space="preserve">      7200 Salaries &amp; Related Expenses</t>
  </si>
  <si>
    <t xml:space="preserve">         7220 Salaries &amp; Wages</t>
  </si>
  <si>
    <t xml:space="preserve">            7222 Staff</t>
  </si>
  <si>
    <t xml:space="preserve">            Total for 7222 Staff</t>
  </si>
  <si>
    <t xml:space="preserve">         Total for 7220 Salaries &amp; Wages</t>
  </si>
  <si>
    <t xml:space="preserve">         7240 Employee Benefits</t>
  </si>
  <si>
    <t xml:space="preserve">            7241 Health Insurance</t>
  </si>
  <si>
    <t xml:space="preserve">            Total for 7241 Health Insurance</t>
  </si>
  <si>
    <t xml:space="preserve">            7242 Life and Dental Insurance</t>
  </si>
  <si>
    <t xml:space="preserve">            Total for 7242 Life and Dental Insurance</t>
  </si>
  <si>
    <t xml:space="preserve">            7244 Employee Contrib - Health</t>
  </si>
  <si>
    <t xml:space="preserve">            Total for 7244 Employee Contrib - Health</t>
  </si>
  <si>
    <t xml:space="preserve">            7247 Emp-ee Contrib -Dental</t>
  </si>
  <si>
    <t xml:space="preserve">            Total for 7247 Emp-ee Contrib -Dental</t>
  </si>
  <si>
    <t xml:space="preserve">         Total for 7240 Employee Benefits</t>
  </si>
  <si>
    <t xml:space="preserve">         7250 Payroll Taxes, etc.</t>
  </si>
  <si>
    <t xml:space="preserve">            7245 Worker's Compensation Insurance</t>
  </si>
  <si>
    <t xml:space="preserve">               7248 Allocated W Comp</t>
  </si>
  <si>
    <t xml:space="preserve">               Total for 7248 Allocated W Comp</t>
  </si>
  <si>
    <t xml:space="preserve">            Total for 7245 Worker's Compensation Insurance</t>
  </si>
  <si>
    <t xml:space="preserve">            7251 Social Security</t>
  </si>
  <si>
    <t xml:space="preserve">            Total for 7251 Social Security</t>
  </si>
  <si>
    <t xml:space="preserve">            7252 Medicare</t>
  </si>
  <si>
    <t xml:space="preserve">            Total for 7252 Medicare</t>
  </si>
  <si>
    <t xml:space="preserve">            7253 Unemployment</t>
  </si>
  <si>
    <t xml:space="preserve">            Total for 7253 Unemployment</t>
  </si>
  <si>
    <t xml:space="preserve">            7254 Disability</t>
  </si>
  <si>
    <t xml:space="preserve">            Total for 7254 Disability</t>
  </si>
  <si>
    <t xml:space="preserve">         Total for 7250 Payroll Taxes, etc.</t>
  </si>
  <si>
    <t xml:space="preserve">         7260 Payroll Service Fees</t>
  </si>
  <si>
    <t xml:space="preserve">            7260.1 Allocated Payroll Fees</t>
  </si>
  <si>
    <t xml:space="preserve">            Total for 7260.1 Allocated Payroll Fees</t>
  </si>
  <si>
    <t xml:space="preserve">         Total for 7260 Payroll Service Fees</t>
  </si>
  <si>
    <t xml:space="preserve">      Total for 7200 Salaries &amp; Related Expenses</t>
  </si>
  <si>
    <t xml:space="preserve">      7500 Contract Service Expenses</t>
  </si>
  <si>
    <t xml:space="preserve">         7515 IT Support</t>
  </si>
  <si>
    <t xml:space="preserve">            7515.5 Allocated IT consultants</t>
  </si>
  <si>
    <t xml:space="preserve">            Total for 7515.5 Allocated IT consultants</t>
  </si>
  <si>
    <t xml:space="preserve">         Total for 7515 IT Support</t>
  </si>
  <si>
    <t xml:space="preserve">         7520 Accounting Fees</t>
  </si>
  <si>
    <t xml:space="preserve">            7521 Allocated Acctg and Audit</t>
  </si>
  <si>
    <t xml:space="preserve">            Total for 7521 Allocated Acctg and Audit</t>
  </si>
  <si>
    <t xml:space="preserve">         Total for 7520 Accounting Fees</t>
  </si>
  <si>
    <t xml:space="preserve">         7540 Instructors/Consultants/Subs</t>
  </si>
  <si>
    <t>506 Central Ave</t>
  </si>
  <si>
    <t>01.31.20AC</t>
  </si>
  <si>
    <t xml:space="preserve">         Total for 7540 Instructors/Consultants/Subs</t>
  </si>
  <si>
    <t xml:space="preserve">      Total for 7500 Contract Service Expenses</t>
  </si>
  <si>
    <t xml:space="preserve">      8100 Operating Expenses</t>
  </si>
  <si>
    <t xml:space="preserve">         8110 Supplies</t>
  </si>
  <si>
    <t>508 Central Avenue</t>
  </si>
  <si>
    <t xml:space="preserve">            Total for 8110 Supplies</t>
  </si>
  <si>
    <t xml:space="preserve">            8112 Alloc Supplies</t>
  </si>
  <si>
    <t xml:space="preserve">            Total for 8112 Alloc Supplies</t>
  </si>
  <si>
    <t xml:space="preserve">         Total for 8110 Supplies with sub-accounts</t>
  </si>
  <si>
    <t xml:space="preserve">         8130 Telephone &amp; Telecommunications</t>
  </si>
  <si>
    <t xml:space="preserve">            8132 Cell Phone Services</t>
  </si>
  <si>
    <t xml:space="preserve">            Total for 8132 Cell Phone Services</t>
  </si>
  <si>
    <t xml:space="preserve">            8135 Telephone</t>
  </si>
  <si>
    <t>2150 Credit Cards:Visa Card-8978</t>
  </si>
  <si>
    <t xml:space="preserve">            Total for 8135 Telephone</t>
  </si>
  <si>
    <t xml:space="preserve">            8135.5 Allocated Telephone</t>
  </si>
  <si>
    <t xml:space="preserve">            Total for 8135.5 Allocated Telephone</t>
  </si>
  <si>
    <t xml:space="preserve">         Total for 8130 Telephone &amp; Telecommunications</t>
  </si>
  <si>
    <t xml:space="preserve">         8140 Postage &amp; Shipping</t>
  </si>
  <si>
    <t xml:space="preserve">         Total for 8140 Postage &amp; Shipping</t>
  </si>
  <si>
    <t xml:space="preserve">         8191 Web Hosting Alloc</t>
  </si>
  <si>
    <t xml:space="preserve">         Total for 8191 Web Hosting Alloc</t>
  </si>
  <si>
    <t xml:space="preserve">      Total for 8100 Operating Expenses</t>
  </si>
  <si>
    <t xml:space="preserve">      8200 Facility &amp; Equipment Expenses</t>
  </si>
  <si>
    <t xml:space="preserve">         8205 Rent, Parking, Other Occupancy</t>
  </si>
  <si>
    <t xml:space="preserve">         Total for 8205 Rent, Parking, Other Occupancy</t>
  </si>
  <si>
    <t xml:space="preserve">         8210 Utilities</t>
  </si>
  <si>
    <t xml:space="preserve">            8210.5 Allocated Utilities</t>
  </si>
  <si>
    <t xml:space="preserve">            Total for 8210.5 Allocated Utilities</t>
  </si>
  <si>
    <t xml:space="preserve">         Total for 8210 Utilities</t>
  </si>
  <si>
    <t xml:space="preserve">         8220 Equipment Rental, Repair &amp; Maintenance</t>
  </si>
  <si>
    <t xml:space="preserve">            8229.1 Allocated Cost</t>
  </si>
  <si>
    <t xml:space="preserve">            Total for 8229.1 Allocated Cost</t>
  </si>
  <si>
    <t xml:space="preserve">         Total for 8220 Equipment Rental, Repair &amp; Maintenance</t>
  </si>
  <si>
    <t xml:space="preserve">         8230 Building Repair &amp; Maintenance</t>
  </si>
  <si>
    <t xml:space="preserve">            8239 Alloc Repairs and Maint</t>
  </si>
  <si>
    <t xml:space="preserve">            Total for 8239 Alloc Repairs and Maint</t>
  </si>
  <si>
    <t xml:space="preserve">         Total for 8230 Building Repair &amp; Maintenance</t>
  </si>
  <si>
    <t xml:space="preserve">         8250 Mortgage Interest Expense</t>
  </si>
  <si>
    <t xml:space="preserve">            8250.1 Allocated Mortgage Interest</t>
  </si>
  <si>
    <t xml:space="preserve">            Total for 8250.1 Allocated Mortgage Interest</t>
  </si>
  <si>
    <t xml:space="preserve">         Total for 8250 Mortgage Interest Expense</t>
  </si>
  <si>
    <t xml:space="preserve">         8260 Property Insurance</t>
  </si>
  <si>
    <t xml:space="preserve">            8264 Other</t>
  </si>
  <si>
    <t xml:space="preserve">               8266 Allocated Insurance</t>
  </si>
  <si>
    <t xml:space="preserve">               Total for 8266 Allocated Insurance</t>
  </si>
  <si>
    <t xml:space="preserve">            Total for 8264 Other</t>
  </si>
  <si>
    <t xml:space="preserve">         Total for 8260 Property Insurance</t>
  </si>
  <si>
    <t xml:space="preserve">      Total for 8200 Facility &amp; Equipment Expenses</t>
  </si>
  <si>
    <t xml:space="preserve">      8300 Travel &amp; Meetings Expenses</t>
  </si>
  <si>
    <t xml:space="preserve">         8310 Transportation &amp; Parking</t>
  </si>
  <si>
    <t xml:space="preserve">         Total for 8310 Transportation &amp; Parking</t>
  </si>
  <si>
    <t xml:space="preserve">      Total for 8300 Travel &amp; Meetings Expenses</t>
  </si>
  <si>
    <t xml:space="preserve">   Total for Expenses</t>
  </si>
  <si>
    <t>Net Ordinary Income</t>
  </si>
  <si>
    <t>Other Income/Expense</t>
  </si>
  <si>
    <t xml:space="preserve">   Other Income</t>
  </si>
  <si>
    <t xml:space="preserve">      8800 Donated Services</t>
  </si>
  <si>
    <t xml:space="preserve">      Total for 8800 Donated Services</t>
  </si>
  <si>
    <t xml:space="preserve">   Total for Other Income</t>
  </si>
  <si>
    <t xml:space="preserve">   Other Expense</t>
  </si>
  <si>
    <t xml:space="preserve">      8850 Donated Services- Match</t>
  </si>
  <si>
    <t xml:space="preserve">      Total for 8850 Donated Services- Match</t>
  </si>
  <si>
    <t xml:space="preserve">   Total for Other Expense</t>
  </si>
  <si>
    <t>Net Other Income</t>
  </si>
  <si>
    <t>Net Income</t>
  </si>
  <si>
    <t>Monday, Feb 24, 2020 06:24:11 AM GMT-8 - Accrual Basis</t>
  </si>
  <si>
    <t>February 1 - July 1, 2020</t>
  </si>
  <si>
    <t>02/10/2020</t>
  </si>
  <si>
    <t>USJP Participant Wages - 2/10/20</t>
  </si>
  <si>
    <t>02/12/2020</t>
  </si>
  <si>
    <t>02.12.20DO</t>
  </si>
  <si>
    <t>Deborah Ore</t>
  </si>
  <si>
    <t>Net Pay for Retroactive increase for January 1 - February 12, 2020 from $11 per hour to $12.10 per hour</t>
  </si>
  <si>
    <t>06/01/2020</t>
  </si>
  <si>
    <t>WARD, RICHARD G Payroll 6/1/2020</t>
  </si>
  <si>
    <t>MORRIS, GWENDOLYN J Payroll 6/1/2020</t>
  </si>
  <si>
    <t>JANVIER, JHONNY Payroll 6/1/2020</t>
  </si>
  <si>
    <t>LEAKE, RAHMEL Payroll 6/1/2020</t>
  </si>
  <si>
    <t>CERNA, IRENE Payroll 6/1/2020</t>
  </si>
  <si>
    <t>SERMON, PATRICIA Payroll 6/1/2020</t>
  </si>
  <si>
    <t>02/01/2020</t>
  </si>
  <si>
    <t>To record Horizon Exp. Billing Period    02/15/20 - 03/15/20</t>
  </si>
  <si>
    <t>03/01/2020</t>
  </si>
  <si>
    <t>To record Horizon Exp. Billing Period    03/15/20 - 04/15/20</t>
  </si>
  <si>
    <t>02.01.20PL</t>
  </si>
  <si>
    <t>03.01.20PL</t>
  </si>
  <si>
    <t>02/28/2020</t>
  </si>
  <si>
    <t>04/01/2020</t>
  </si>
  <si>
    <t>02/21/2020</t>
  </si>
  <si>
    <t>02.21.20AC</t>
  </si>
  <si>
    <t>Business Development 02/17/20 - 02/21/20</t>
  </si>
  <si>
    <t>02/13/2020</t>
  </si>
  <si>
    <t>9848349443</t>
  </si>
  <si>
    <t>USJP - Rent Expense  February 2020</t>
  </si>
  <si>
    <t>02.10.20MT</t>
  </si>
  <si>
    <t>Mileage Reimbursement 02/10/2020</t>
  </si>
  <si>
    <t>Parking Permit for Feb. 2020</t>
  </si>
  <si>
    <t xml:space="preserve">      8400 Other Client Specific Expenses</t>
  </si>
  <si>
    <t xml:space="preserve">         8430 Job Training</t>
  </si>
  <si>
    <t>02/26/2020</t>
  </si>
  <si>
    <t>NJ Guard Training</t>
  </si>
  <si>
    <t>Specialized Training for SORA License USJP Participants   03/04/20 - 03/05/20</t>
  </si>
  <si>
    <t xml:space="preserve">         Total for 8430 Job Training</t>
  </si>
  <si>
    <t xml:space="preserve">      Total for 8400 Other Client Specific Expenses</t>
  </si>
  <si>
    <t>Monday, Mar 02, 2020 12:14:07 PM GMT-8 - Accrual Basis</t>
  </si>
  <si>
    <t>March 2020</t>
  </si>
  <si>
    <t>03.01.20DO</t>
  </si>
  <si>
    <t>03/12/2020</t>
  </si>
  <si>
    <t>Overpayment for check issued to Ms. Deborah Ore on 03/01/20         20-03-25</t>
  </si>
  <si>
    <t xml:space="preserve">         Total for 7112 Participant Wages - USJP</t>
  </si>
  <si>
    <t xml:space="preserve">            7221 Directors</t>
  </si>
  <si>
    <t xml:space="preserve">               7221c Director of Operations COO</t>
  </si>
  <si>
    <t>03/06/2020</t>
  </si>
  <si>
    <t>SERMON, PATRICIA Payroll Period 02/16/20 � 02/29/20</t>
  </si>
  <si>
    <t>03/20/2020</t>
  </si>
  <si>
    <t>SERMON, PATRICIA Payroll Period 03/01/20 � 03/14/20</t>
  </si>
  <si>
    <t xml:space="preserve">               Total for 7221c Director of Operations COO</t>
  </si>
  <si>
    <t xml:space="preserve">               7221g Program Director - Education</t>
  </si>
  <si>
    <t>MORRIS, GWENDOLYN J Payroll Period 03/01/20 � 03/14/20</t>
  </si>
  <si>
    <t xml:space="preserve">               Total for 7221g Program Director - Education</t>
  </si>
  <si>
    <t xml:space="preserve">               7221h Program Director - USJP</t>
  </si>
  <si>
    <t>MORRIS, GWENDOLYN J Payroll Period 02/16/20 � 02/29/20</t>
  </si>
  <si>
    <t xml:space="preserve">               Total for 7221h Program Director - USJP</t>
  </si>
  <si>
    <t xml:space="preserve">            Total for 7221 Directors</t>
  </si>
  <si>
    <t xml:space="preserve">            7224a Site Coordinator IC</t>
  </si>
  <si>
    <t>CERNA, IRENE Payroll Period 02/16/20 � 02/29/20</t>
  </si>
  <si>
    <t>LEAKE, RAHMEL Payroll Period 02/16/20 � 02/29/20</t>
  </si>
  <si>
    <t>CERNA, IRENE Payroll Period 03/01/20 � 03/14/20</t>
  </si>
  <si>
    <t>LEAKE, RAHMEL Payroll Period 03/01/20 � 03/14/20</t>
  </si>
  <si>
    <t xml:space="preserve">            Total for 7224a Site Coordinator IC</t>
  </si>
  <si>
    <t xml:space="preserve">            7224C J Payroll Coordinator</t>
  </si>
  <si>
    <t>MARTINEZ, Joanna Payroll Period 02/16/20 � 02/29/20</t>
  </si>
  <si>
    <t>MARTINEZ, Joanna Payroll Period 03/01/20 � 03/14/20</t>
  </si>
  <si>
    <t xml:space="preserve">            Total for 7224C J Payroll Coordinator</t>
  </si>
  <si>
    <t>03.06.20AC</t>
  </si>
  <si>
    <t>Business Development 03/02/20 - 03/06/20</t>
  </si>
  <si>
    <t>03/13/2020</t>
  </si>
  <si>
    <t>03.13.20AC</t>
  </si>
  <si>
    <t>Business Development 03/09/20 - 03/13/20</t>
  </si>
  <si>
    <t>7304322765-0-2</t>
  </si>
  <si>
    <t>504 Central Ave</t>
  </si>
  <si>
    <t>Classroom/Office Supplies</t>
  </si>
  <si>
    <t>7304322776-0-1</t>
  </si>
  <si>
    <t>7304322765-0-1</t>
  </si>
  <si>
    <t>7305081749-0-1</t>
  </si>
  <si>
    <t xml:space="preserve">         Total for 8110 Supplies</t>
  </si>
  <si>
    <t>USJP - Rent Expense  March 2020</t>
  </si>
  <si>
    <t>Parking Permit for March. 2020</t>
  </si>
  <si>
    <t>03/07/2020</t>
  </si>
  <si>
    <t>03/07.20GM</t>
  </si>
  <si>
    <t>Mileage Reimbursement 02/28/20 - 03/06/20</t>
  </si>
  <si>
    <t>03/09/2020</t>
  </si>
  <si>
    <t>03.09.20PW</t>
  </si>
  <si>
    <t>Pamela White</t>
  </si>
  <si>
    <t>Mileage Reimbursement for 02/24/20</t>
  </si>
  <si>
    <t>The Marilyn Center Limited Liability Company</t>
  </si>
  <si>
    <t>Specialized Training Chemical Dependency Associate</t>
  </si>
  <si>
    <t>Friday, Apr 03, 2020 05:29:13 AM GMT-7 - Accrual Basis</t>
  </si>
  <si>
    <t>Bills and Applied Payments</t>
  </si>
  <si>
    <t xml:space="preserve">Amount </t>
  </si>
  <si>
    <t>AFLAC</t>
  </si>
  <si>
    <t>03/02/2020</t>
  </si>
  <si>
    <t>Bill Payment (Check)</t>
  </si>
  <si>
    <t>03.23.20_404B</t>
  </si>
  <si>
    <t>February 2020 Premiums - 2 Payrolls</t>
  </si>
  <si>
    <t>03/31/2020</t>
  </si>
  <si>
    <t>03.31.20AFLAC</t>
  </si>
  <si>
    <t>03/28/2020</t>
  </si>
  <si>
    <t>March 2020 Premiums - 2 Payrolls</t>
  </si>
  <si>
    <t>Agee Associates, LLC</t>
  </si>
  <si>
    <t>03/11/2020</t>
  </si>
  <si>
    <t>620 - Accounting Services - 03/02/20-03/12/20</t>
  </si>
  <si>
    <t>03/26/2020</t>
  </si>
  <si>
    <t>620 - Accounting Services - 03/13/20 - 03/20/20</t>
  </si>
  <si>
    <t>451- USJP Job Development 03/02/20 - 03/06/20</t>
  </si>
  <si>
    <t>460: Business Development 02/24/20 - 02/28/20</t>
  </si>
  <si>
    <t>02.28.20AC</t>
  </si>
  <si>
    <t>451- USJP Job Development 03/09/20 - 03/13/20</t>
  </si>
  <si>
    <t>467- United Airlines Job Dev. 03/16/20 - 03/20/20</t>
  </si>
  <si>
    <t>03.20.20AC</t>
  </si>
  <si>
    <t>Business Development Consortium</t>
  </si>
  <si>
    <t>222-Enrollment Recruitment Flyer for Coding Program</t>
  </si>
  <si>
    <t>Cali Carting</t>
  </si>
  <si>
    <t>041- Thrift Store Trash Removal.</t>
  </si>
  <si>
    <t>950 Trash Removal Services</t>
  </si>
  <si>
    <t>451 USJP - Rent for March 2020</t>
  </si>
  <si>
    <t>Charles Love</t>
  </si>
  <si>
    <t>460- Job Readiness Consultant   02/24/20 - 03/06/20</t>
  </si>
  <si>
    <t>03.06.20CL</t>
  </si>
  <si>
    <t>467- Job Readiness Consultant   03/09/20 - 03/13/20</t>
  </si>
  <si>
    <t>03.13.20CL</t>
  </si>
  <si>
    <t>CIT</t>
  </si>
  <si>
    <t>368 Act # 900-0264269-000 Printer Lease</t>
  </si>
  <si>
    <t>03/08/2020</t>
  </si>
  <si>
    <t>950 - # 900-0239284-000 Copier Lease</t>
  </si>
  <si>
    <t>03/10/2020</t>
  </si>
  <si>
    <t>620 - Office Copier -  900-0286310-000</t>
  </si>
  <si>
    <t>City Fire Equipment Co.</t>
  </si>
  <si>
    <t>950 - Periodic Maintenance Annual Fire Extinguisher</t>
  </si>
  <si>
    <t>111 - Abbott Pre-School Fire Inspection</t>
  </si>
  <si>
    <t>111-Abbott Maintenance Wet Sprinkler System</t>
  </si>
  <si>
    <t>111-Abbott Maintenance Fire Alarm System</t>
  </si>
  <si>
    <t>111-Abbott Maintenance Kitchen Fire system</t>
  </si>
  <si>
    <t>City of Newark/Water</t>
  </si>
  <si>
    <t>02/27/2020</t>
  </si>
  <si>
    <t>111: Acct 0008106 504 Central Ave. Feb 2020</t>
  </si>
  <si>
    <t>451 - Parking Permit for March 2020</t>
  </si>
  <si>
    <t>Colonial Life</t>
  </si>
  <si>
    <t>112 -Life Insurance Premium R.Stewart &amp; Y. Green</t>
  </si>
  <si>
    <t>03/21/2020</t>
  </si>
  <si>
    <t>BCN E7560923 Life Insurance Premium R.Stewart &amp; Y. Green</t>
  </si>
  <si>
    <t>CoreLogic Credco, LLC</t>
  </si>
  <si>
    <t>02/29/2020</t>
  </si>
  <si>
    <t>561 - 0744-4890-8</t>
  </si>
  <si>
    <t>Dearborn Life Insurance Co.</t>
  </si>
  <si>
    <t>02/18/2020</t>
  </si>
  <si>
    <t>Acct # MJ00256-Life Ins. 03/01/20 - 05/31/20</t>
  </si>
  <si>
    <t>02.18.20DG</t>
  </si>
  <si>
    <t>451: Retroactive Increase 1/1/20 - 2/12/20</t>
  </si>
  <si>
    <t>E-Cubed Consulting, LLC</t>
  </si>
  <si>
    <t>06/01/2019</t>
  </si>
  <si>
    <t>950 Phone System Support - June 2019</t>
  </si>
  <si>
    <t>05/01/2019</t>
  </si>
  <si>
    <t>950 Phone System Support - May 2019</t>
  </si>
  <si>
    <t>03/01/2019</t>
  </si>
  <si>
    <t>950 Phone System Support - March 2019</t>
  </si>
  <si>
    <t>04/01/2019</t>
  </si>
  <si>
    <t>950 Phone System Support - April 2019</t>
  </si>
  <si>
    <t>Effective Alarm</t>
  </si>
  <si>
    <t>Quarterly Monitoring 504 Central Ave., Fire Alarm</t>
  </si>
  <si>
    <t>950 - Quarterly Monitoring 504 Central Ave., Intrusion Alarm / 1st  Qtr 2020</t>
  </si>
  <si>
    <t>Fire Alarm Monitoring 508 Central Ave., 1st Qtr 2020</t>
  </si>
  <si>
    <t>Quarterly Monitoring - 506 Central Ave.</t>
  </si>
  <si>
    <t>Intrusion Monitoring 508 Central Ave., 2nd Qtr 2020</t>
  </si>
  <si>
    <t>Empty Building Security</t>
  </si>
  <si>
    <t>339 - Security - Window &amp; Door. 479 S. 14th St.</t>
  </si>
  <si>
    <t>339 - Monthly Security - Window &amp; Door. 479 S. 14th St.</t>
  </si>
  <si>
    <t>339-State Home War.- 224 Fairmount.</t>
  </si>
  <si>
    <t>6-909-02314</t>
  </si>
  <si>
    <t>467: Overnight FedEx to NJ Dept of Labor &amp; Workforce</t>
  </si>
  <si>
    <t>6-943-17680</t>
  </si>
  <si>
    <t>610 - Delivery Charge</t>
  </si>
  <si>
    <t>6-951-00338</t>
  </si>
  <si>
    <t>Genuine Food Lab LLC</t>
  </si>
  <si>
    <t>111F Abbott Meals for Feb 2020</t>
  </si>
  <si>
    <t>GJT ENTERPRISES LLC</t>
  </si>
  <si>
    <t>573 - VITA Tax Preparation 02/22/20 - 03/06/20</t>
  </si>
  <si>
    <t>03.11.20GE</t>
  </si>
  <si>
    <t>03/18/2020</t>
  </si>
  <si>
    <t>573 - VITA Tax Preparation 03/10/20 - 03/18/20</t>
  </si>
  <si>
    <t>03.18.20GJ</t>
  </si>
  <si>
    <t>451 - Mile Reimb. 02/28/20 - 03/06/20</t>
  </si>
  <si>
    <t>Heather Wilson</t>
  </si>
  <si>
    <t>111 Abbott Petty Cash Replenishment &amp; Program Suppl</t>
  </si>
  <si>
    <t>03.10.20HWABBOTT</t>
  </si>
  <si>
    <t>112.1- Toddler classroom writing board</t>
  </si>
  <si>
    <t>03.10.20Toddler</t>
  </si>
  <si>
    <t>Homework Construction</t>
  </si>
  <si>
    <t>03/05/2020</t>
  </si>
  <si>
    <t>Payment #2 204 S 6th St. Rehab Project</t>
  </si>
  <si>
    <t>Employee. Health Insurance  03/15/20 - 04/15/20</t>
  </si>
  <si>
    <t>ITD Information and Data Technology LLC</t>
  </si>
  <si>
    <t>452 -Licenses Issued-Grant Program 1/01/20 - 5/31/20</t>
  </si>
  <si>
    <t>Julius Colon</t>
  </si>
  <si>
    <t>03/03/2020</t>
  </si>
  <si>
    <t>369 PSE&amp;G Consulting Services March 2020</t>
  </si>
  <si>
    <t>Kaplan Early Learning Company</t>
  </si>
  <si>
    <t>111 -Acct# 12854200  Pres-school Classroom Materials</t>
  </si>
  <si>
    <t>02/17/2020</t>
  </si>
  <si>
    <t>112.1 - Acct# 12854200 Classroom Materials</t>
  </si>
  <si>
    <t>111 - Acct# 12854200 Pres-school Classroom Materials</t>
  </si>
  <si>
    <t>Keturah Muhammad</t>
  </si>
  <si>
    <t>573 - Consultant Services 02/24/20-03/06/20</t>
  </si>
  <si>
    <t>03.11.20KM</t>
  </si>
  <si>
    <t>03/17/2020</t>
  </si>
  <si>
    <t>573 - Consultant Services  03/10/20 and 03/17/20</t>
  </si>
  <si>
    <t>03.17.20KM</t>
  </si>
  <si>
    <t>Local Initiatives Support Corp.</t>
  </si>
  <si>
    <t>03.02.20_CF10100</t>
  </si>
  <si>
    <t>02/20/2020</t>
  </si>
  <si>
    <t>Construction Loan Interest 217 Fairmount Ave</t>
  </si>
  <si>
    <t>02.20.20_12938</t>
  </si>
  <si>
    <t>Construction Loan Interest 224 Fairmount Ave</t>
  </si>
  <si>
    <t>02.20.20_13405</t>
  </si>
  <si>
    <t>Construction Loan Interest 227 Fairmount Ave</t>
  </si>
  <si>
    <t>02.20.20_13406</t>
  </si>
  <si>
    <t>Construction Loan Interest 229 Fairmount Ave</t>
  </si>
  <si>
    <t>02.20.20_13407</t>
  </si>
  <si>
    <t>Construction Loan Interest 479 So 14th St</t>
  </si>
  <si>
    <t>02.20.20_13409</t>
  </si>
  <si>
    <t>Construction Loan Interest 231 Fairmount Av</t>
  </si>
  <si>
    <t>02.20.20_13410</t>
  </si>
  <si>
    <t>Construction Loan Interest 204 S. 6th St</t>
  </si>
  <si>
    <t>02.20.20_13411</t>
  </si>
  <si>
    <t>Construction Loan Interest 221 Fairmount Ave</t>
  </si>
  <si>
    <t>02.20.20_13404</t>
  </si>
  <si>
    <t>Mutual of America</t>
  </si>
  <si>
    <t>03.09.20_403B</t>
  </si>
  <si>
    <t>Employee 403B Contributions for03/06/20</t>
  </si>
  <si>
    <t>03.06.20_403B</t>
  </si>
  <si>
    <t>03.09.20_403BLoan</t>
  </si>
  <si>
    <t>Loan Repayment 03/06/20 Payroll</t>
  </si>
  <si>
    <t>03.06.20_403BLoan</t>
  </si>
  <si>
    <t>03/23/2020</t>
  </si>
  <si>
    <t>03.23.20_403BLOA</t>
  </si>
  <si>
    <t>Loan Repayment 03/20/20 Payroll</t>
  </si>
  <si>
    <t>03.20.20403BLOAN</t>
  </si>
  <si>
    <t>03.23.20_403B</t>
  </si>
  <si>
    <t>Employee 403B Contributions for 03/20/20</t>
  </si>
  <si>
    <t>03.20.20403B</t>
  </si>
  <si>
    <t>Nationwide Pest Management</t>
  </si>
  <si>
    <t>950 - Monthly Pest Control Services - March 2020</t>
  </si>
  <si>
    <t>NCOR - National Coalition of Resources</t>
  </si>
  <si>
    <t>452 PACE Program Evaluation</t>
  </si>
  <si>
    <t>013619-NJ</t>
  </si>
  <si>
    <t>New Community Corporation</t>
  </si>
  <si>
    <t>041 -March. 2020 Rent for Thrift Store</t>
  </si>
  <si>
    <t>03.01.20NC</t>
  </si>
  <si>
    <t>New Jersey Redevelopment Authority</t>
  </si>
  <si>
    <t>339: Loan Application Fee 513 Central Ave</t>
  </si>
  <si>
    <t>03.18.20NJRA</t>
  </si>
  <si>
    <t>New Jersey State Chamber of Commerce</t>
  </si>
  <si>
    <t>610-83rd Annual Walk to Washington Dinner</t>
  </si>
  <si>
    <t>R1107</t>
  </si>
  <si>
    <t>NJ E-Z Pass</t>
  </si>
  <si>
    <t>01/23/2020</t>
  </si>
  <si>
    <t>041- Violation #T122052566377-01</t>
  </si>
  <si>
    <t>T122052566377-01</t>
  </si>
  <si>
    <t>01/22/2020</t>
  </si>
  <si>
    <t>041- Violation #T132052570685-01</t>
  </si>
  <si>
    <t>T132052570685-01</t>
  </si>
  <si>
    <t>451 - Specialized Training for SORA License for USJP</t>
  </si>
  <si>
    <t>OCA Architects</t>
  </si>
  <si>
    <t>369 : Conceptual Plan Design 3rd Payment</t>
  </si>
  <si>
    <t>P19-026</t>
  </si>
  <si>
    <t>Optimum</t>
  </si>
  <si>
    <t>041 -  07844-281669-01-8  03/08/20 - 04/07/20</t>
  </si>
  <si>
    <t>03.08.20OPT</t>
  </si>
  <si>
    <t>Patricia  Mise</t>
  </si>
  <si>
    <t>950 - Allocated 02/27/20 - 03/11/20</t>
  </si>
  <si>
    <t>03/27/2020</t>
  </si>
  <si>
    <t>03.27.20PM</t>
  </si>
  <si>
    <t>03/24/2020</t>
  </si>
  <si>
    <t>950 - Allocated 03/12/20 - 03/24/20</t>
  </si>
  <si>
    <t>570 - Reimbursement for items purchased</t>
  </si>
  <si>
    <t>02.20.20PS</t>
  </si>
  <si>
    <t>334H- Reimbursement for items purchased</t>
  </si>
  <si>
    <t>02.20.20PS3</t>
  </si>
  <si>
    <t>575 - Reimbursement 02/20/20</t>
  </si>
  <si>
    <t>02.20.20PS2</t>
  </si>
  <si>
    <t>Reimbursement 02/20/20</t>
  </si>
  <si>
    <t>02.20.20PS1</t>
  </si>
  <si>
    <t>Paycom</t>
  </si>
  <si>
    <t>600 - Closed Americorps - 0WF91</t>
  </si>
  <si>
    <t>0WF9101SA</t>
  </si>
  <si>
    <t>Philadelphia Insurance</t>
  </si>
  <si>
    <t>03.20.20_PHILA</t>
  </si>
  <si>
    <t>Acct #:78814372  Insurance Premium 9/27/19 - 9/27/20</t>
  </si>
  <si>
    <t>950 - Lease 04/30/20-07/30/20</t>
  </si>
  <si>
    <t>3310769795</t>
  </si>
  <si>
    <t>Dental &amp; Life Insurance # 1013829 - 10001  March  2020</t>
  </si>
  <si>
    <t>PRINTING DELITE INC</t>
  </si>
  <si>
    <t>761 Gala Journals</t>
  </si>
  <si>
    <t>Professional Account Management. LLC</t>
  </si>
  <si>
    <t>08/18/2019</t>
  </si>
  <si>
    <t>041: Violation # T12194856172701 lIC#U24KLR</t>
  </si>
  <si>
    <t>02534571029212</t>
  </si>
  <si>
    <t>PSE&amp;G</t>
  </si>
  <si>
    <t>02/19/2020</t>
  </si>
  <si>
    <t>Acct  74 455 873 06 - 224 Fairmount Ave FL 1</t>
  </si>
  <si>
    <t>603405901630</t>
  </si>
  <si>
    <t>603405901631</t>
  </si>
  <si>
    <t>339-513 Central Ave.Util. Acct #74095582</t>
  </si>
  <si>
    <t>603905697804</t>
  </si>
  <si>
    <t>334 #73 484 776 07   231 Fairmount Ave</t>
  </si>
  <si>
    <t>601606298152</t>
  </si>
  <si>
    <t>334 - 204 S. 6th St  Acct # 73 484 355 05</t>
  </si>
  <si>
    <t>601606298137</t>
  </si>
  <si>
    <t>111: Acct  65 702 018 08  504 Central Ave.</t>
  </si>
  <si>
    <t>605803975914</t>
  </si>
  <si>
    <t>335- 152 Littleton Ave ACCT#73 766 329 05</t>
  </si>
  <si>
    <t>603006715791</t>
  </si>
  <si>
    <t>ReadyRefresh by Nestle</t>
  </si>
  <si>
    <t>950 - Acct# 0429958465 Drinking Water</t>
  </si>
  <si>
    <t>10C0429958465</t>
  </si>
  <si>
    <t>Renaissance Services, Inc.</t>
  </si>
  <si>
    <t>222-Newark Kids Code Recruitment</t>
  </si>
  <si>
    <t>ULEC01</t>
  </si>
  <si>
    <t>Sampson Development Group, LLC</t>
  </si>
  <si>
    <t>338 NHTF - 479 S.14th St.</t>
  </si>
  <si>
    <t>Santos Contractors Corp</t>
  </si>
  <si>
    <t>224 Fairmount Ave - Project Completion</t>
  </si>
  <si>
    <t>Sharp Electronics Corporation</t>
  </si>
  <si>
    <t>Act# 811920  IT Support/Help Desk March 2020</t>
  </si>
  <si>
    <t>9002639497</t>
  </si>
  <si>
    <t>Sincox Associates Architects/Planners</t>
  </si>
  <si>
    <t>02/05/2020</t>
  </si>
  <si>
    <t>221: 152 Littleton Ave Site Plan  &amp; Preliminary Design</t>
  </si>
  <si>
    <t>451 USJP-Office Supplies</t>
  </si>
  <si>
    <t>03/04/2020</t>
  </si>
  <si>
    <t>950 - Office Supplies</t>
  </si>
  <si>
    <t>7305430686-0-2</t>
  </si>
  <si>
    <t>7305430686-0-1</t>
  </si>
  <si>
    <t>7304118418-0-2</t>
  </si>
  <si>
    <t>7304655214-0-1</t>
  </si>
  <si>
    <t>7304611986-0-1</t>
  </si>
  <si>
    <t>7304611986-0-2</t>
  </si>
  <si>
    <t>7304118418-0-1</t>
  </si>
  <si>
    <t>7305061504-0-1</t>
  </si>
  <si>
    <t>02/04/2020</t>
  </si>
  <si>
    <t>334H: Office Supplies</t>
  </si>
  <si>
    <t>7304412350-0-2</t>
  </si>
  <si>
    <t>02/11/2020</t>
  </si>
  <si>
    <t>460-Office Supplies</t>
  </si>
  <si>
    <t>7304608529-0-3</t>
  </si>
  <si>
    <t>7304608529-0-2</t>
  </si>
  <si>
    <t>7304412350-0-1</t>
  </si>
  <si>
    <t>7304608529-0-1</t>
  </si>
  <si>
    <t>Takiya Harris</t>
  </si>
  <si>
    <t>452 PACE Employment Stipend</t>
  </si>
  <si>
    <t>03.18.20TH</t>
  </si>
  <si>
    <t>451 - Specialized Training Chemical Dependency Assoc</t>
  </si>
  <si>
    <t>The Red Queen Group LLC</t>
  </si>
  <si>
    <t>950 - Strategic Planning Dashboard - Training</t>
  </si>
  <si>
    <t>600 - LOC - Payoff</t>
  </si>
  <si>
    <t>Verizon</t>
  </si>
  <si>
    <t>950 Allocated Acct#  356-165-807-0001-39</t>
  </si>
  <si>
    <t>03.01.20VR</t>
  </si>
  <si>
    <t>WSM Associates</t>
  </si>
  <si>
    <t>339- Kitchen &amp; Bathroom Mod. 513 Central Ave.</t>
  </si>
  <si>
    <t>Friday, Apr 03, 2020 05:31:15 AM GMT-7</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</si>
</sst>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92">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amily val="2"/>
    </font>
    <font>
      <sz val="9"/>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9"/>
      <name val="Calibri"/>
      <family val="2"/>
      <scheme val="minor"/>
    </font>
    <font>
      <sz val="9"/>
      <color theme="1"/>
      <name val="Arial"/>
      <family val="2"/>
    </font>
    <font>
      <sz val="9"/>
      <color rgb="FFFF0000"/>
      <name val="Arial"/>
      <family val="2"/>
    </font>
    <font>
      <sz val="20"/>
      <name val="Bradley Hand ITC"/>
      <family val="4"/>
    </font>
    <font>
      <b/>
      <sz val="11"/>
      <color indexed="8"/>
      <name val="Calibri"/>
      <family val="2"/>
      <scheme val="minor"/>
    </font>
    <font>
      <b/>
      <sz val="8"/>
      <color indexed="8"/>
      <name val="Arial"/>
      <family val="2"/>
    </font>
    <font>
      <sz val="8"/>
      <color indexed="8"/>
      <name val="Arial"/>
      <family val="2"/>
    </font>
  </fonts>
  <fills count="13">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
      <patternFill patternType="solid">
        <fgColor theme="7" tint="0.79998168889431442"/>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604">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43" fontId="14" fillId="2" borderId="17" xfId="1" applyFont="1" applyFill="1" applyBorder="1" applyAlignment="1" applyProtection="1"/>
    <xf numFmtId="44" fontId="23" fillId="2" borderId="0" xfId="2" applyFont="1" applyFill="1" applyBorder="1" applyAlignment="1"/>
    <xf numFmtId="44" fontId="23" fillId="2" borderId="0" xfId="2" applyFont="1" applyFill="1" applyBorder="1" applyAlignment="1">
      <alignment horizontal="left"/>
    </xf>
    <xf numFmtId="0" fontId="22" fillId="5" borderId="7" xfId="0" applyFont="1" applyFill="1" applyBorder="1" applyAlignment="1">
      <alignment horizontal="center"/>
    </xf>
    <xf numFmtId="0" fontId="22" fillId="5" borderId="2" xfId="0" applyFont="1" applyFill="1" applyBorder="1" applyAlignment="1">
      <alignment horizontal="center" wrapText="1"/>
    </xf>
    <xf numFmtId="0" fontId="22" fillId="5" borderId="7" xfId="0" applyFont="1" applyFill="1" applyBorder="1" applyAlignment="1">
      <alignment horizontal="center" wrapText="1"/>
    </xf>
    <xf numFmtId="164" fontId="22" fillId="5" borderId="2" xfId="4" applyNumberFormat="1" applyFont="1" applyFill="1" applyBorder="1" applyAlignment="1">
      <alignment horizontal="right"/>
    </xf>
    <xf numFmtId="0" fontId="88" fillId="2" borderId="7" xfId="4" applyFont="1" applyFill="1" applyBorder="1" applyAlignment="1"/>
    <xf numFmtId="0" fontId="88" fillId="2" borderId="15" xfId="4" applyFont="1" applyFill="1" applyBorder="1" applyAlignment="1"/>
    <xf numFmtId="0" fontId="41" fillId="0" borderId="0" xfId="14" applyFont="1"/>
    <xf numFmtId="0" fontId="40" fillId="0" borderId="0" xfId="13" applyFont="1" applyAlignment="1">
      <alignment horizontal="left"/>
    </xf>
    <xf numFmtId="0" fontId="39" fillId="0" borderId="0" xfId="14" applyAlignment="1">
      <alignment wrapText="1"/>
    </xf>
    <xf numFmtId="0" fontId="42" fillId="0" borderId="7" xfId="14" applyFont="1" applyBorder="1" applyAlignment="1">
      <alignment horizontal="center" wrapText="1"/>
    </xf>
    <xf numFmtId="0" fontId="39" fillId="0" borderId="7" xfId="14" applyBorder="1" applyAlignment="1">
      <alignment horizontal="left" wrapText="1"/>
    </xf>
    <xf numFmtId="10" fontId="1" fillId="0" borderId="20" xfId="3" applyNumberFormat="1" applyFont="1" applyFill="1" applyBorder="1" applyAlignment="1">
      <alignment horizontal="center"/>
    </xf>
    <xf numFmtId="0" fontId="21" fillId="0" borderId="42" xfId="9" applyNumberFormat="1" applyFont="1" applyFill="1" applyBorder="1" applyAlignment="1">
      <alignment horizontal="left" indent="2"/>
    </xf>
    <xf numFmtId="40" fontId="21" fillId="0" borderId="43" xfId="9" applyNumberFormat="1" applyFont="1" applyFill="1" applyBorder="1" applyAlignment="1">
      <alignment horizontal="right"/>
    </xf>
    <xf numFmtId="0" fontId="46" fillId="0" borderId="0" xfId="14" applyFont="1"/>
    <xf numFmtId="167" fontId="42" fillId="0" borderId="24" xfId="14" applyNumberFormat="1" applyFont="1" applyFill="1" applyBorder="1" applyAlignment="1">
      <alignment horizontal="right"/>
    </xf>
    <xf numFmtId="167" fontId="48" fillId="0" borderId="6" xfId="13" applyNumberFormat="1" applyFont="1" applyFill="1" applyBorder="1" applyAlignment="1">
      <alignment horizontal="right"/>
    </xf>
    <xf numFmtId="0" fontId="75" fillId="0" borderId="0" xfId="14" applyFont="1" applyFill="1"/>
    <xf numFmtId="167" fontId="42" fillId="0" borderId="0" xfId="14" applyNumberFormat="1" applyFont="1" applyFill="1" applyBorder="1" applyAlignment="1">
      <alignment horizontal="right"/>
    </xf>
    <xf numFmtId="167" fontId="41" fillId="0" borderId="7" xfId="14" applyNumberFormat="1" applyFont="1" applyFill="1" applyBorder="1" applyAlignment="1">
      <alignment horizontal="right"/>
    </xf>
    <xf numFmtId="167" fontId="41" fillId="7" borderId="9" xfId="14" applyNumberFormat="1" applyFont="1" applyFill="1" applyBorder="1" applyAlignment="1">
      <alignment horizontal="right"/>
    </xf>
    <xf numFmtId="40" fontId="0" fillId="0" borderId="0" xfId="0" applyNumberFormat="1"/>
    <xf numFmtId="44" fontId="2" fillId="0" borderId="0" xfId="2" applyFont="1" applyFill="1" applyBorder="1" applyAlignment="1">
      <alignment horizontal="left"/>
    </xf>
    <xf numFmtId="44" fontId="36" fillId="0" borderId="57" xfId="2" applyFont="1" applyFill="1" applyBorder="1"/>
    <xf numFmtId="44" fontId="0" fillId="0" borderId="0" xfId="2" applyFont="1"/>
    <xf numFmtId="0" fontId="22" fillId="5" borderId="7" xfId="0" applyFont="1" applyFill="1" applyBorder="1" applyAlignment="1">
      <alignment horizontal="center"/>
    </xf>
    <xf numFmtId="0" fontId="33" fillId="0" borderId="0" xfId="12" applyFont="1" applyFill="1" applyBorder="1" applyAlignment="1">
      <alignment horizontal="right" wrapText="1"/>
    </xf>
    <xf numFmtId="0" fontId="89" fillId="0" borderId="0" xfId="14" applyFont="1" applyAlignment="1"/>
    <xf numFmtId="0" fontId="90" fillId="0" borderId="0" xfId="0" applyFont="1"/>
    <xf numFmtId="0" fontId="91" fillId="0" borderId="0" xfId="0" applyFont="1" applyAlignment="1">
      <alignment horizontal="left"/>
    </xf>
    <xf numFmtId="168" fontId="91" fillId="0" borderId="0" xfId="0" applyNumberFormat="1" applyFont="1" applyAlignment="1">
      <alignment horizontal="right"/>
    </xf>
    <xf numFmtId="167" fontId="90" fillId="0" borderId="24" xfId="0" applyNumberFormat="1" applyFont="1" applyBorder="1" applyAlignment="1">
      <alignment horizontal="right"/>
    </xf>
    <xf numFmtId="0" fontId="91" fillId="0" borderId="0" xfId="0" applyFont="1" applyAlignment="1">
      <alignment horizontal="center"/>
    </xf>
    <xf numFmtId="167" fontId="90" fillId="0" borderId="0" xfId="0" applyNumberFormat="1" applyFont="1" applyBorder="1" applyAlignment="1">
      <alignment horizontal="right"/>
    </xf>
    <xf numFmtId="167" fontId="90" fillId="7" borderId="24" xfId="0" applyNumberFormat="1" applyFont="1" applyFill="1" applyBorder="1" applyAlignment="1">
      <alignment horizontal="right"/>
    </xf>
    <xf numFmtId="44" fontId="2" fillId="7" borderId="43" xfId="2" applyFont="1" applyFill="1" applyBorder="1" applyAlignment="1">
      <alignment horizontal="left"/>
    </xf>
    <xf numFmtId="167" fontId="90" fillId="0" borderId="24" xfId="0" applyNumberFormat="1" applyFont="1" applyFill="1" applyBorder="1" applyAlignment="1">
      <alignment horizontal="right"/>
    </xf>
    <xf numFmtId="167" fontId="90" fillId="7" borderId="9" xfId="0" applyNumberFormat="1" applyFont="1" applyFill="1" applyBorder="1" applyAlignment="1">
      <alignment horizontal="right"/>
    </xf>
    <xf numFmtId="0" fontId="55" fillId="0" borderId="0" xfId="13" applyFont="1"/>
    <xf numFmtId="0" fontId="46" fillId="0" borderId="0" xfId="0" applyFont="1"/>
    <xf numFmtId="0" fontId="42" fillId="0" borderId="0" xfId="13" applyFont="1"/>
    <xf numFmtId="0" fontId="80" fillId="0" borderId="0" xfId="13" applyFont="1"/>
    <xf numFmtId="0" fontId="87" fillId="0" borderId="0" xfId="13" applyFont="1"/>
    <xf numFmtId="167" fontId="59" fillId="0" borderId="0" xfId="13" applyNumberFormat="1" applyFont="1" applyAlignment="1">
      <alignment horizontal="right"/>
    </xf>
    <xf numFmtId="0" fontId="57" fillId="0" borderId="0" xfId="13" applyFont="1"/>
    <xf numFmtId="0" fontId="55" fillId="0" borderId="0" xfId="0" applyFont="1"/>
    <xf numFmtId="14" fontId="40" fillId="0" borderId="0" xfId="14" quotePrefix="1" applyNumberFormat="1" applyFont="1" applyAlignment="1">
      <alignment horizontal="left"/>
    </xf>
    <xf numFmtId="0" fontId="42" fillId="0" borderId="7" xfId="0" applyFont="1" applyBorder="1" applyAlignment="1">
      <alignment horizontal="center" wrapText="1"/>
    </xf>
    <xf numFmtId="0" fontId="41" fillId="0" borderId="0" xfId="0" applyFont="1" applyAlignment="1">
      <alignment horizontal="left" wrapText="1"/>
    </xf>
    <xf numFmtId="0" fontId="40" fillId="0" borderId="0" xfId="0" applyFont="1" applyAlignment="1">
      <alignment horizontal="left" wrapText="1"/>
    </xf>
    <xf numFmtId="0" fontId="40" fillId="0" borderId="0" xfId="0" quotePrefix="1" applyFont="1" applyAlignment="1">
      <alignment horizontal="left" wrapText="1"/>
    </xf>
    <xf numFmtId="168" fontId="40" fillId="0" borderId="0" xfId="0" applyNumberFormat="1" applyFont="1" applyAlignment="1">
      <alignment horizontal="right" wrapText="1"/>
    </xf>
    <xf numFmtId="167" fontId="41" fillId="0" borderId="24" xfId="0" applyNumberFormat="1" applyFont="1" applyBorder="1" applyAlignment="1">
      <alignment horizontal="right" wrapText="1"/>
    </xf>
    <xf numFmtId="0" fontId="0" fillId="0" borderId="0" xfId="0"/>
    <xf numFmtId="0" fontId="41" fillId="12" borderId="0" xfId="0" applyFont="1" applyFill="1" applyAlignment="1">
      <alignment horizontal="left" wrapText="1"/>
    </xf>
    <xf numFmtId="0" fontId="0" fillId="0" borderId="0" xfId="0"/>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33" fillId="0" borderId="0" xfId="12" applyFont="1" applyFill="1" applyBorder="1" applyAlignment="1">
      <alignment horizontal="right" vertical="top" wrapText="1" indent="1"/>
    </xf>
    <xf numFmtId="0" fontId="28" fillId="0" borderId="32" xfId="12" applyFont="1" applyFill="1" applyBorder="1" applyAlignment="1">
      <alignment horizontal="left" wrapText="1"/>
    </xf>
    <xf numFmtId="0" fontId="28" fillId="0" borderId="34" xfId="12" applyFont="1" applyFill="1" applyBorder="1" applyAlignment="1">
      <alignment horizontal="left" wrapText="1"/>
    </xf>
    <xf numFmtId="0" fontId="28" fillId="0" borderId="33" xfId="12" applyFont="1" applyFill="1" applyBorder="1" applyAlignment="1">
      <alignment horizontal="left" wrapTex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27" fillId="0" borderId="32" xfId="12" applyFont="1" applyFill="1" applyBorder="1" applyAlignment="1">
      <alignment horizontal="left" wrapText="1"/>
    </xf>
    <xf numFmtId="0" fontId="27"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27" fillId="0" borderId="33" xfId="12" applyFont="1" applyFill="1" applyBorder="1" applyAlignment="1">
      <alignment horizontal="lef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44" fontId="28" fillId="0" borderId="32" xfId="12" applyNumberFormat="1"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0" fontId="26" fillId="0" borderId="31" xfId="12" applyFont="1" applyFill="1" applyBorder="1" applyAlignment="1">
      <alignment horizontal="center"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27" fillId="0" borderId="32" xfId="12" applyFont="1" applyFill="1" applyBorder="1" applyAlignment="1">
      <alignment horizontal="left" vertical="top" wrapText="1"/>
    </xf>
    <xf numFmtId="0" fontId="27" fillId="0" borderId="34" xfId="12" applyFont="1" applyFill="1" applyBorder="1" applyAlignment="1">
      <alignment horizontal="left"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27" fillId="0" borderId="33"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44" fillId="0" borderId="0" xfId="0" applyFont="1" applyAlignment="1">
      <alignment horizontal="center"/>
    </xf>
    <xf numFmtId="0" fontId="0" fillId="0" borderId="0" xfId="0"/>
    <xf numFmtId="0" fontId="43" fillId="0" borderId="0" xfId="0" applyFont="1" applyAlignment="1">
      <alignment horizontal="center"/>
    </xf>
    <xf numFmtId="0" fontId="40" fillId="0" borderId="0" xfId="0" applyFont="1" applyAlignment="1">
      <alignment horizontal="center"/>
    </xf>
    <xf numFmtId="0" fontId="33" fillId="0" borderId="0" xfId="12" applyFont="1" applyFill="1" applyBorder="1" applyAlignment="1">
      <alignment horizontal="right" wrapText="1"/>
    </xf>
    <xf numFmtId="0" fontId="27" fillId="0" borderId="32" xfId="12" applyFont="1" applyFill="1" applyBorder="1" applyAlignment="1">
      <alignment horizontal="center" wrapText="1"/>
    </xf>
    <xf numFmtId="0" fontId="27" fillId="0" borderId="33" xfId="12" applyFont="1" applyFill="1" applyBorder="1" applyAlignment="1">
      <alignment horizontal="center" wrapText="1"/>
    </xf>
    <xf numFmtId="0" fontId="27" fillId="0" borderId="34" xfId="12" applyFont="1" applyFill="1" applyBorder="1" applyAlignment="1">
      <alignment horizontal="center" wrapText="1"/>
    </xf>
    <xf numFmtId="0" fontId="91" fillId="0" borderId="0" xfId="0" applyFont="1" applyAlignment="1">
      <alignment horizontal="center"/>
    </xf>
    <xf numFmtId="0" fontId="22" fillId="5" borderId="2" xfId="0" applyFont="1" applyFill="1" applyBorder="1" applyAlignment="1">
      <alignment horizontal="center"/>
    </xf>
    <xf numFmtId="0" fontId="22" fillId="5" borderId="7" xfId="0" applyFont="1" applyFill="1" applyBorder="1" applyAlignment="1">
      <alignment horizontal="center"/>
    </xf>
    <xf numFmtId="0" fontId="22" fillId="5" borderId="2" xfId="4" applyFont="1" applyFill="1" applyBorder="1" applyAlignment="1">
      <alignment horizontal="center" wrapText="1"/>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 ref="H223" dT="2019-08-20T00:18:23.80" personId="{00000000-0000-0000-0000-000000000000}" id="{D7BE13D6-B04D-4D86-8B4B-A38CA02CF3DA}">
    <text>Do not enter amount here- See monthly total below</text>
  </threadedComment>
  <threadedComment ref="I223" dT="2019-08-20T00:18:23.80" personId="{00000000-0000-0000-0000-000000000000}" id="{4C20F48B-EC5F-4457-A1AA-B8F6A817907F}">
    <text>Do not enter amount here- See monthly total below</text>
  </threadedComment>
  <threadedComment ref="J223" dT="2019-08-20T00:18:23.80" personId="{00000000-0000-0000-0000-000000000000}" id="{62B974F0-86CF-4763-A8A9-F71D9E960567}">
    <text>Do not enter amount here- See monthly total below</text>
  </threadedComment>
  <threadedComment ref="L223" dT="2019-08-20T00:18:23.80" personId="{00000000-0000-0000-0000-000000000000}" id="{2493E82A-D1D4-42A6-8C25-E7CE0C659DC5}">
    <text>Do not enter amount here- See monthly total below</text>
  </threadedComment>
  <threadedComment ref="N223" dT="2019-08-20T00:18:23.80" personId="{00000000-0000-0000-0000-000000000000}" id="{5C6A7123-4B45-4D68-B8C6-44C5B7EF521D}">
    <text>Do not enter amount here- See monthly total below</text>
  </threadedComment>
  <threadedComment ref="H224" dT="2019-08-20T00:18:23.80" personId="{00000000-0000-0000-0000-000000000000}" id="{15AD20FA-FFC1-44C1-8BAE-2C872468DFB0}">
    <text>Do not enter amount here- See monthly total below</text>
  </threadedComment>
  <threadedComment ref="I224" dT="2019-08-20T00:18:23.80" personId="{00000000-0000-0000-0000-000000000000}" id="{14D93F75-5568-44C7-81BB-E7E61996A190}">
    <text>Do not enter amount here- See monthly total below</text>
  </threadedComment>
  <threadedComment ref="J224" dT="2019-08-20T00:18:23.80" personId="{00000000-0000-0000-0000-000000000000}" id="{F27F802C-C414-4E8A-BB49-2C764B38A3A6}">
    <text>Do not enter amount here- See monthly total below</text>
  </threadedComment>
  <threadedComment ref="L224" dT="2019-08-20T00:18:23.80" personId="{00000000-0000-0000-0000-000000000000}" id="{9B922107-CD79-4580-8BA6-C34760B4D8DD}">
    <text>Do not enter amount here- See monthly total below</text>
  </threadedComment>
  <threadedComment ref="N224" dT="2019-08-20T00:18:23.80" personId="{00000000-0000-0000-0000-000000000000}" id="{398F82F1-F882-45E6-9A9D-A0E4FB22A57C}">
    <text>Do not enter amount here- See monthly total below</text>
  </threadedComment>
  <threadedComment ref="H225" dT="2019-08-20T00:18:23.80" personId="{00000000-0000-0000-0000-000000000000}" id="{E61B7FC6-8034-4AAD-8903-D9EF64677ABC}">
    <text>Do not enter amount here- See monthly total below</text>
  </threadedComment>
  <threadedComment ref="I225" dT="2019-08-20T00:18:23.80" personId="{00000000-0000-0000-0000-000000000000}" id="{3EC0CEC1-D976-4CF2-B49E-EF8ED540BD3A}">
    <text>Do not enter amount here- See monthly total below</text>
  </threadedComment>
  <threadedComment ref="J225" dT="2019-08-20T00:18:23.80" personId="{00000000-0000-0000-0000-000000000000}" id="{B2A0F238-260B-4F97-84E1-73B2B096E847}">
    <text>Do not enter amount here- See monthly total below</text>
  </threadedComment>
  <threadedComment ref="L225" dT="2019-08-20T00:18:23.80" personId="{00000000-0000-0000-0000-000000000000}" id="{504EC77F-66C1-4FA5-B75B-DE94B0B97B68}">
    <text>Do not enter amount here- See monthly total below</text>
  </threadedComment>
  <threadedComment ref="N225" dT="2019-08-20T00:18:23.80" personId="{00000000-0000-0000-0000-000000000000}" id="{AF0AFEA6-4490-44E2-AB62-8DE12464FA28}">
    <text>Do not enter amount here- See monthly total below</text>
  </threadedComment>
  <threadedComment ref="H226" dT="2019-08-20T00:18:23.80" personId="{00000000-0000-0000-0000-000000000000}" id="{08FDDCB6-8548-43A1-8D84-2DABFA4E7AA2}">
    <text>Do not enter amount here- See monthly total below</text>
  </threadedComment>
  <threadedComment ref="I226" dT="2019-08-20T00:18:23.80" personId="{00000000-0000-0000-0000-000000000000}" id="{6397A5FC-A647-48D6-80C7-9A7F50CAF8F4}">
    <text>Do not enter amount here- See monthly total below</text>
  </threadedComment>
  <threadedComment ref="J226" dT="2019-08-20T00:18:23.80" personId="{00000000-0000-0000-0000-000000000000}" id="{C6221389-55D6-4C3B-B49D-487D6A5ACFA6}">
    <text>Do not enter amount here- See monthly total below</text>
  </threadedComment>
  <threadedComment ref="L226" dT="2019-08-20T00:18:23.80" personId="{00000000-0000-0000-0000-000000000000}" id="{962FEA5F-E09B-43A7-B703-93491657045E}">
    <text>Do not enter amount here- See monthly total below</text>
  </threadedComment>
  <threadedComment ref="N226" dT="2019-08-20T00:18:23.80" personId="{00000000-0000-0000-0000-000000000000}" id="{AADDF876-3F25-4149-8125-A0BF5A7A9A67}">
    <text>Do not enter amount here- See monthly total below</text>
  </threadedComment>
  <threadedComment ref="H227" dT="2019-08-20T00:18:23.80" personId="{00000000-0000-0000-0000-000000000000}" id="{9DEBBA0F-FCE0-4B57-A9E1-31AF6925D770}">
    <text>Do not enter amount here- See monthly total below</text>
  </threadedComment>
  <threadedComment ref="I227" dT="2019-08-20T00:18:23.80" personId="{00000000-0000-0000-0000-000000000000}" id="{366EC991-7022-4733-A417-0DAE9CA94ED0}">
    <text>Do not enter amount here- See monthly total below</text>
  </threadedComment>
  <threadedComment ref="J227" dT="2019-08-20T00:18:23.80" personId="{00000000-0000-0000-0000-000000000000}" id="{0E4F9523-C495-4CC8-BB2C-9952CCEBE463}">
    <text>Do not enter amount here- See monthly total below</text>
  </threadedComment>
  <threadedComment ref="L227" dT="2019-08-20T00:18:23.80" personId="{00000000-0000-0000-0000-000000000000}" id="{269003BD-24C1-4338-8733-48DE83209125}">
    <text>Do not enter amount here- See monthly total below</text>
  </threadedComment>
  <threadedComment ref="N227" dT="2019-08-20T00:18:23.80" personId="{00000000-0000-0000-0000-000000000000}" id="{070A26BB-F15F-4A60-8ADA-AD9237369EE9}">
    <text>Do not enter amount here- See monthly total below</text>
  </threadedComment>
  <threadedComment ref="H228" dT="2019-08-20T00:18:23.80" personId="{00000000-0000-0000-0000-000000000000}" id="{CCC52594-541C-4329-A4C7-5218D8093572}">
    <text>Do not enter amount here- See monthly total below</text>
  </threadedComment>
  <threadedComment ref="I228" dT="2019-08-20T00:18:23.80" personId="{00000000-0000-0000-0000-000000000000}" id="{B93AE79B-97EE-48A4-BA06-6E1BE6D05C5A}">
    <text>Do not enter amount here- See monthly total below</text>
  </threadedComment>
  <threadedComment ref="J228" dT="2019-08-20T00:18:23.80" personId="{00000000-0000-0000-0000-000000000000}" id="{0CB1CC94-E13B-4527-94FA-055F943904F5}">
    <text>Do not enter amount here- See monthly total below</text>
  </threadedComment>
  <threadedComment ref="L228" dT="2019-08-20T00:18:23.80" personId="{00000000-0000-0000-0000-000000000000}" id="{12F0513D-9579-44E5-8AE1-014FB4864673}">
    <text>Do not enter amount here- See monthly total below</text>
  </threadedComment>
  <threadedComment ref="N228" dT="2019-08-20T00:18:23.80" personId="{00000000-0000-0000-0000-000000000000}" id="{6D59B90E-FF5B-469B-B003-A2D6C4A2B7E4}">
    <text>Do not enter amount here- See monthly total below</text>
  </threadedComment>
  <threadedComment ref="H229" dT="2019-08-20T00:18:23.80" personId="{00000000-0000-0000-0000-000000000000}" id="{D70E6DE1-D7C0-4E01-AF67-4B1E63E03A75}">
    <text>Do not enter amount here- See monthly total below</text>
  </threadedComment>
  <threadedComment ref="I229" dT="2019-08-20T00:18:23.80" personId="{00000000-0000-0000-0000-000000000000}" id="{D1C23DDE-0C78-4A20-9D06-DF5BC1827FCE}">
    <text>Do not enter amount here- See monthly total below</text>
  </threadedComment>
  <threadedComment ref="J229" dT="2019-08-20T00:18:23.80" personId="{00000000-0000-0000-0000-000000000000}" id="{25290F80-7A1B-420E-A88A-622A534BF4FA}">
    <text>Do not enter amount here- See monthly total below</text>
  </threadedComment>
  <threadedComment ref="L229" dT="2019-08-20T00:18:23.80" personId="{00000000-0000-0000-0000-000000000000}" id="{242FF1E4-7DD8-401D-B15A-0FB51BC123EA}">
    <text>Do not enter amount here- See monthly total below</text>
  </threadedComment>
  <threadedComment ref="N229" dT="2019-08-20T00:18:23.80" personId="{00000000-0000-0000-0000-000000000000}" id="{E5C144B6-A783-417A-80D5-98A57E4DAD6B}">
    <text>Do not enter amount here- See monthly total below</text>
  </threadedComment>
  <threadedComment ref="H230" dT="2019-08-20T00:18:23.80" personId="{00000000-0000-0000-0000-000000000000}" id="{73D0082F-2047-4F00-BF51-D3C37A3181F1}">
    <text>Do not enter amount here- See monthly total below</text>
  </threadedComment>
  <threadedComment ref="I230" dT="2019-08-20T00:18:23.80" personId="{00000000-0000-0000-0000-000000000000}" id="{1F20C424-B9F5-4857-AD4A-8213DD684151}">
    <text>Do not enter amount here- See monthly total below</text>
  </threadedComment>
  <threadedComment ref="J230" dT="2019-08-20T00:18:23.80" personId="{00000000-0000-0000-0000-000000000000}" id="{1B45B1C0-E3EE-444F-81C9-01D8319F20FA}">
    <text>Do not enter amount here- See monthly total below</text>
  </threadedComment>
  <threadedComment ref="L230" dT="2019-08-20T00:18:23.80" personId="{00000000-0000-0000-0000-000000000000}" id="{5AD0731F-BD8B-457E-B46E-969A9E0BD664}">
    <text>Do not enter amount here- See monthly total below</text>
  </threadedComment>
  <threadedComment ref="N230" dT="2019-08-20T00:18:23.80" personId="{00000000-0000-0000-0000-000000000000}" id="{D62388A7-D4B1-4674-A6D8-B206CE76D074}">
    <text>Do not enter amount here- See monthly total below</text>
  </threadedComment>
  <threadedComment ref="H236" dT="2019-08-20T00:18:23.80" personId="{00000000-0000-0000-0000-000000000000}" id="{1C7FCFFE-B9BC-4EF4-B0DE-8E26398E0A23}">
    <text>Do not enter amount here- See monthly total below</text>
  </threadedComment>
  <threadedComment ref="I236" dT="2019-08-20T00:18:23.80" personId="{00000000-0000-0000-0000-000000000000}" id="{9C805217-97CE-40A3-80E4-C9416C5F910B}">
    <text>Do not enter amount here- See monthly total below</text>
  </threadedComment>
  <threadedComment ref="J236" dT="2019-08-20T00:18:23.80" personId="{00000000-0000-0000-0000-000000000000}" id="{19185770-D092-462A-AD61-0411DE897D74}">
    <text>Do not enter amount here- See monthly total below</text>
  </threadedComment>
  <threadedComment ref="L236" dT="2019-08-20T00:18:23.80" personId="{00000000-0000-0000-0000-000000000000}" id="{269A88FB-B966-4558-8438-4091AF652577}">
    <text>Do not enter amount here- See monthly total below</text>
  </threadedComment>
  <threadedComment ref="N236" dT="2019-08-20T00:18:23.80" personId="{00000000-0000-0000-0000-000000000000}" id="{88CAC12B-9510-42A9-A8D0-2B70F572E036}">
    <text>Do not enter amount here- See monthly total below</text>
  </threadedComment>
  <threadedComment ref="H237" dT="2019-08-20T00:18:23.80" personId="{00000000-0000-0000-0000-000000000000}" id="{5D53F86C-9CFC-4E2F-A775-0A54AB80882A}">
    <text>Do not enter amount here- See monthly total below</text>
  </threadedComment>
  <threadedComment ref="I237" dT="2019-08-20T00:18:23.80" personId="{00000000-0000-0000-0000-000000000000}" id="{F2735BC2-D27F-4A96-AC82-F9DBDDD3003D}">
    <text>Do not enter amount here- See monthly total below</text>
  </threadedComment>
  <threadedComment ref="J237" dT="2019-08-20T00:18:23.80" personId="{00000000-0000-0000-0000-000000000000}" id="{9E2C5E04-FB91-4510-9C4E-A22253C17B5D}">
    <text>Do not enter amount here- See monthly total below</text>
  </threadedComment>
  <threadedComment ref="L237" dT="2019-08-20T00:18:23.80" personId="{00000000-0000-0000-0000-000000000000}" id="{E5DE8591-E4B3-44D6-A64B-5D8E017717EA}">
    <text>Do not enter amount here- See monthly total below</text>
  </threadedComment>
  <threadedComment ref="N237" dT="2019-08-20T00:18:23.80" personId="{00000000-0000-0000-0000-000000000000}" id="{39E3A1D0-3714-416A-ADF5-8AEC870FA8FD}">
    <text>Do not enter amount here- See monthly total below</text>
  </threadedComment>
  <threadedComment ref="H238" dT="2019-08-20T00:18:23.80" personId="{00000000-0000-0000-0000-000000000000}" id="{7A832897-9D64-4CA1-9234-3F4EB0663DC1}">
    <text>Do not enter amount here- See monthly total below</text>
  </threadedComment>
  <threadedComment ref="I238" dT="2019-08-20T00:18:23.80" personId="{00000000-0000-0000-0000-000000000000}" id="{4CEE2D9E-4D84-46CC-A12F-418D8954F0EB}">
    <text>Do not enter amount here- See monthly total below</text>
  </threadedComment>
  <threadedComment ref="J238" dT="2019-08-20T00:18:23.80" personId="{00000000-0000-0000-0000-000000000000}" id="{E976412C-E98F-4AC8-910B-08479DD6B1B7}">
    <text>Do not enter amount here- See monthly total below</text>
  </threadedComment>
  <threadedComment ref="L238" dT="2019-08-20T00:18:23.80" personId="{00000000-0000-0000-0000-000000000000}" id="{60DF4183-E430-4020-B45F-4CA46B55469F}">
    <text>Do not enter amount here- See monthly total below</text>
  </threadedComment>
  <threadedComment ref="N238" dT="2019-08-20T00:18:23.80" personId="{00000000-0000-0000-0000-000000000000}" id="{05E89FFD-DD57-4D38-A760-33421E3A5578}">
    <text>Do not enter amount here- See monthly total below</text>
  </threadedComment>
  <threadedComment ref="H239" dT="2019-08-20T00:18:23.80" personId="{00000000-0000-0000-0000-000000000000}" id="{98F7F899-2774-4F53-8673-8AA48CF1B5F0}">
    <text>Do not enter amount here- See monthly total below</text>
  </threadedComment>
  <threadedComment ref="I239" dT="2019-08-20T00:18:23.80" personId="{00000000-0000-0000-0000-000000000000}" id="{00CA8B53-9D0D-4D1A-B69C-81B0A893641C}">
    <text>Do not enter amount here- See monthly total below</text>
  </threadedComment>
  <threadedComment ref="J239" dT="2019-08-20T00:18:23.80" personId="{00000000-0000-0000-0000-000000000000}" id="{A2DE56F9-890B-4DC3-B829-948D800D09A5}">
    <text>Do not enter amount here- See monthly total below</text>
  </threadedComment>
  <threadedComment ref="L239" dT="2019-08-20T00:18:23.80" personId="{00000000-0000-0000-0000-000000000000}" id="{D293DF19-E97A-44A6-85DE-2740E70D91BF}">
    <text>Do not enter amount here- See monthly total below</text>
  </threadedComment>
  <threadedComment ref="N239" dT="2019-08-20T00:18:23.80" personId="{00000000-0000-0000-0000-000000000000}" id="{94DFF104-9961-41A6-9B1D-529483CD8876}">
    <text>Do not enter amount here- See monthly total below</text>
  </threadedComment>
  <threadedComment ref="H240" dT="2019-08-20T00:18:23.80" personId="{00000000-0000-0000-0000-000000000000}" id="{2AF06BC2-4ADF-47F6-B0D2-F4886B7DABFD}">
    <text>Do not enter amount here- See monthly total below</text>
  </threadedComment>
  <threadedComment ref="I240" dT="2019-08-20T00:18:23.80" personId="{00000000-0000-0000-0000-000000000000}" id="{456B03E9-4555-4022-BC19-2665FB92E2EB}">
    <text>Do not enter amount here- See monthly total below</text>
  </threadedComment>
  <threadedComment ref="J240" dT="2019-08-20T00:18:23.80" personId="{00000000-0000-0000-0000-000000000000}" id="{1CF47B02-44CF-40C5-9838-D864602F8103}">
    <text>Do not enter amount here- See monthly total below</text>
  </threadedComment>
  <threadedComment ref="L240" dT="2019-08-20T00:18:23.80" personId="{00000000-0000-0000-0000-000000000000}" id="{C56CB412-FDD1-4146-B3F9-5AC709E13C3B}">
    <text>Do not enter amount here- See monthly total below</text>
  </threadedComment>
  <threadedComment ref="N240" dT="2019-08-20T00:18:23.80" personId="{00000000-0000-0000-0000-000000000000}" id="{CA7985B6-6F47-44DC-9C35-99BE6C32DA60}">
    <text>Do not enter amount here- See monthly total below</text>
  </threadedComment>
  <threadedComment ref="H241" dT="2019-08-20T00:18:23.80" personId="{00000000-0000-0000-0000-000000000000}" id="{4FF2944F-EC37-4A69-9B39-3EA1CDA5DC67}">
    <text>Do not enter amount here- See monthly total below</text>
  </threadedComment>
  <threadedComment ref="I241" dT="2019-08-20T00:18:23.80" personId="{00000000-0000-0000-0000-000000000000}" id="{549C2496-964C-47E3-A3FD-7EDC94D12B8D}">
    <text>Do not enter amount here- See monthly total below</text>
  </threadedComment>
  <threadedComment ref="J241" dT="2019-08-20T00:18:23.80" personId="{00000000-0000-0000-0000-000000000000}" id="{26F1A3B5-33BC-4E06-88AE-A5985B77DD0E}">
    <text>Do not enter amount here- See monthly total below</text>
  </threadedComment>
  <threadedComment ref="L241" dT="2019-08-20T00:18:23.80" personId="{00000000-0000-0000-0000-000000000000}" id="{79DE2EC3-93EE-4988-9427-D9CC45A61DCB}">
    <text>Do not enter amount here- See monthly total below</text>
  </threadedComment>
  <threadedComment ref="N241" dT="2019-08-20T00:18:23.80" personId="{00000000-0000-0000-0000-000000000000}" id="{11B9257F-BF36-420B-9EFD-3CF4198A9842}">
    <text>Do not enter amount here- See monthly total below</text>
  </threadedComment>
  <threadedComment ref="H242" dT="2019-08-20T00:18:23.80" personId="{00000000-0000-0000-0000-000000000000}" id="{40140561-799D-43D7-B5A3-7F4F01A0010D}">
    <text>Do not enter amount here- See monthly total below</text>
  </threadedComment>
  <threadedComment ref="I242" dT="2019-08-20T00:18:23.80" personId="{00000000-0000-0000-0000-000000000000}" id="{FAA7C202-399E-4CD0-84D6-6EAEF64B9286}">
    <text>Do not enter amount here- See monthly total below</text>
  </threadedComment>
  <threadedComment ref="J242" dT="2019-08-20T00:18:23.80" personId="{00000000-0000-0000-0000-000000000000}" id="{1D58D944-1DD1-427A-A71C-C077B1ABC425}">
    <text>Do not enter amount here- See monthly total below</text>
  </threadedComment>
  <threadedComment ref="L242" dT="2019-08-20T00:18:23.80" personId="{00000000-0000-0000-0000-000000000000}" id="{3FEE6A3B-165F-4255-9983-AE0872E8531E}">
    <text>Do not enter amount here- See monthly total below</text>
  </threadedComment>
  <threadedComment ref="N242" dT="2019-08-20T00:18:23.80" personId="{00000000-0000-0000-0000-000000000000}" id="{A06E8857-B31E-419A-A149-CAFAE733996A}">
    <text>Do not enter amount here- See monthly total below</text>
  </threadedComment>
  <threadedComment ref="H243" dT="2019-08-20T00:18:23.80" personId="{00000000-0000-0000-0000-000000000000}" id="{C0BF53F2-965D-43AF-8376-90F622746FB6}">
    <text>Do not enter amount here- See monthly total below</text>
  </threadedComment>
  <threadedComment ref="I243" dT="2019-08-20T00:18:23.80" personId="{00000000-0000-0000-0000-000000000000}" id="{58A0B114-8ABF-46CA-8F47-88B68161E9ED}">
    <text>Do not enter amount here- See monthly total below</text>
  </threadedComment>
  <threadedComment ref="J243" dT="2019-08-20T00:18:23.80" personId="{00000000-0000-0000-0000-000000000000}" id="{90FCE72E-4392-4DAD-BF9F-C8044AB17890}">
    <text>Do not enter amount here- See monthly total below</text>
  </threadedComment>
  <threadedComment ref="L243" dT="2019-08-20T00:18:23.80" personId="{00000000-0000-0000-0000-000000000000}" id="{BE31F57B-F48C-4E3D-9B49-7D850EF6FAEB}">
    <text>Do not enter amount here- See monthly total below</text>
  </threadedComment>
  <threadedComment ref="N243" dT="2019-08-20T00:18:23.80" personId="{00000000-0000-0000-0000-000000000000}" id="{86828569-6919-4779-A602-B6693D5C0C48}">
    <text>Do not enter amount here- See monthly total below</text>
  </threadedComment>
  <threadedComment ref="H265" dT="2019-08-20T00:18:23.80" personId="{00000000-0000-0000-0000-000000000000}" id="{BD4D6B85-015A-402F-ACB7-3718E3FC591C}">
    <text>Do not enter amount here- See monthly total below</text>
  </threadedComment>
  <threadedComment ref="I265" dT="2019-08-20T00:18:23.80" personId="{00000000-0000-0000-0000-000000000000}" id="{14CBD685-2779-4A92-9C54-7E151B0214F8}">
    <text>Do not enter amount here- See monthly total below</text>
  </threadedComment>
  <threadedComment ref="J265" dT="2019-08-20T00:18:23.80" personId="{00000000-0000-0000-0000-000000000000}" id="{986C599F-6FB7-46B9-9C9B-6A41E1A49B89}">
    <text>Do not enter amount here- See monthly total below</text>
  </threadedComment>
  <threadedComment ref="L265" dT="2019-08-20T00:18:23.80" personId="{00000000-0000-0000-0000-000000000000}" id="{893CEC65-CAF4-4650-8E64-5F641A9CB347}">
    <text>Do not enter amount here- See monthly total below</text>
  </threadedComment>
  <threadedComment ref="N265" dT="2019-08-20T00:18:23.80" personId="{00000000-0000-0000-0000-000000000000}" id="{BD28458C-2ECD-44D2-94DE-7E3D5622D1EA}">
    <text>Do not enter amount here- See monthly total below</text>
  </threadedComment>
  <threadedComment ref="H266" dT="2019-08-20T00:18:23.80" personId="{00000000-0000-0000-0000-000000000000}" id="{E8926E4C-C191-4E8E-8830-8132A20FAEEB}">
    <text>Do not enter amount here- See monthly total below</text>
  </threadedComment>
  <threadedComment ref="I266" dT="2019-08-20T00:18:23.80" personId="{00000000-0000-0000-0000-000000000000}" id="{142A17F7-0159-4586-B1DE-66DEF4DE6D5F}">
    <text>Do not enter amount here- See monthly total below</text>
  </threadedComment>
  <threadedComment ref="J266" dT="2019-08-20T00:18:23.80" personId="{00000000-0000-0000-0000-000000000000}" id="{5144BE56-72F3-4332-8599-7CF4924739C2}">
    <text>Do not enter amount here- See monthly total below</text>
  </threadedComment>
  <threadedComment ref="L266" dT="2019-08-20T00:18:23.80" personId="{00000000-0000-0000-0000-000000000000}" id="{67A9137A-BCF0-45A9-86BF-1ECD25889575}">
    <text>Do not enter amount here- See monthly total below</text>
  </threadedComment>
  <threadedComment ref="N266" dT="2019-08-20T00:18:23.80" personId="{00000000-0000-0000-0000-000000000000}" id="{6FC0F3E4-57BD-4AD2-962B-DFFDFD038DA7}">
    <text>Do not enter amount here- See monthly total below</text>
  </threadedComment>
  <threadedComment ref="H267" dT="2019-08-20T00:18:23.80" personId="{00000000-0000-0000-0000-000000000000}" id="{5F42BDFB-228A-4371-AD03-F0FCBB98BE69}">
    <text>Do not enter amount here- See monthly total below</text>
  </threadedComment>
  <threadedComment ref="I267" dT="2019-08-20T00:18:23.80" personId="{00000000-0000-0000-0000-000000000000}" id="{5C6B330C-170B-43D9-BF2F-0453D3142225}">
    <text>Do not enter amount here- See monthly total below</text>
  </threadedComment>
  <threadedComment ref="J267" dT="2019-08-20T00:18:23.80" personId="{00000000-0000-0000-0000-000000000000}" id="{EDE6DC92-B6EB-4F63-AB79-A19B2D0FC79B}">
    <text>Do not enter amount here- See monthly total below</text>
  </threadedComment>
  <threadedComment ref="L267" dT="2019-08-20T00:18:23.80" personId="{00000000-0000-0000-0000-000000000000}" id="{7AE0BD63-1E08-4047-98B1-C423CA11383F}">
    <text>Do not enter amount here- See monthly total below</text>
  </threadedComment>
  <threadedComment ref="N267" dT="2019-08-20T00:18:23.80" personId="{00000000-0000-0000-0000-000000000000}" id="{682FC8DF-F4DB-4605-B74C-3FA9B7C7A6B4}">
    <text>Do not enter amount here- See monthly total below</text>
  </threadedComment>
  <threadedComment ref="H268" dT="2019-08-20T00:18:23.80" personId="{00000000-0000-0000-0000-000000000000}" id="{1B32EEA4-BFD0-4D55-BBC9-16A2CF12446D}">
    <text>Do not enter amount here- See monthly total below</text>
  </threadedComment>
  <threadedComment ref="I268" dT="2019-08-20T00:18:23.80" personId="{00000000-0000-0000-0000-000000000000}" id="{009A339F-12C7-49A5-B148-CB3D09C11B55}">
    <text>Do not enter amount here- See monthly total below</text>
  </threadedComment>
  <threadedComment ref="J268" dT="2019-08-20T00:18:23.80" personId="{00000000-0000-0000-0000-000000000000}" id="{2D868E10-B4BA-4E46-A63A-35FCFDDD389B}">
    <text>Do not enter amount here- See monthly total below</text>
  </threadedComment>
  <threadedComment ref="L268" dT="2019-08-20T00:18:23.80" personId="{00000000-0000-0000-0000-000000000000}" id="{9B5F48DA-9979-48ED-B52F-33B0B51A68FC}">
    <text>Do not enter amount here- See monthly total below</text>
  </threadedComment>
  <threadedComment ref="N268" dT="2019-08-20T00:18:23.80" personId="{00000000-0000-0000-0000-000000000000}" id="{8957231C-D749-405A-8BDB-253E6F6A21BC}">
    <text>Do not enter amount here- See monthly total below</text>
  </threadedComment>
  <threadedComment ref="H269" dT="2019-08-20T00:18:23.80" personId="{00000000-0000-0000-0000-000000000000}" id="{A945E70E-C49F-42D0-A265-C3AC5B89DD75}">
    <text>Do not enter amount here- See monthly total below</text>
  </threadedComment>
  <threadedComment ref="I269" dT="2019-08-20T00:18:23.80" personId="{00000000-0000-0000-0000-000000000000}" id="{5EFB0A38-A899-4B91-96AA-359ED3340268}">
    <text>Do not enter amount here- See monthly total below</text>
  </threadedComment>
  <threadedComment ref="J269" dT="2019-08-20T00:18:23.80" personId="{00000000-0000-0000-0000-000000000000}" id="{76B15EF7-4726-4105-9561-46682D335C2D}">
    <text>Do not enter amount here- See monthly total below</text>
  </threadedComment>
  <threadedComment ref="L269" dT="2019-08-20T00:18:23.80" personId="{00000000-0000-0000-0000-000000000000}" id="{8BC3AA99-F4BC-4DB2-B802-B7CFF2543E54}">
    <text>Do not enter amount here- See monthly total below</text>
  </threadedComment>
  <threadedComment ref="N269" dT="2019-08-20T00:18:23.80" personId="{00000000-0000-0000-0000-000000000000}" id="{7A0B0B44-9CE1-4152-9211-21E32B662391}">
    <text>Do not enter amount here- See monthly total below</text>
  </threadedComment>
  <threadedComment ref="H270" dT="2019-08-20T00:18:23.80" personId="{00000000-0000-0000-0000-000000000000}" id="{B173082E-8154-4ED3-B024-DA6CB23CE154}">
    <text>Do not enter amount here- See monthly total below</text>
  </threadedComment>
  <threadedComment ref="I270" dT="2019-08-20T00:18:23.80" personId="{00000000-0000-0000-0000-000000000000}" id="{8E696F58-8BE8-4325-A57D-070AADD30B36}">
    <text>Do not enter amount here- See monthly total below</text>
  </threadedComment>
  <threadedComment ref="J270" dT="2019-08-20T00:18:23.80" personId="{00000000-0000-0000-0000-000000000000}" id="{05CB15BD-6283-4A0B-9233-42DA538A11D8}">
    <text>Do not enter amount here- See monthly total below</text>
  </threadedComment>
  <threadedComment ref="L270" dT="2019-08-20T00:18:23.80" personId="{00000000-0000-0000-0000-000000000000}" id="{FEABB4D8-AAC7-423F-9DB7-A8C58FCC9117}">
    <text>Do not enter amount here- See monthly total below</text>
  </threadedComment>
  <threadedComment ref="N270" dT="2019-08-20T00:18:23.80" personId="{00000000-0000-0000-0000-000000000000}" id="{FA89334A-061C-447D-B8C6-43C5CFB7AEE0}">
    <text>Do not enter amount here- See monthly total below</text>
  </threadedComment>
  <threadedComment ref="H271" dT="2019-08-20T00:18:23.80" personId="{00000000-0000-0000-0000-000000000000}" id="{4B7A87B5-1548-41D6-9203-B2DEDB9DC0D4}">
    <text>Do not enter amount here- See monthly total below</text>
  </threadedComment>
  <threadedComment ref="I271" dT="2019-08-20T00:18:23.80" personId="{00000000-0000-0000-0000-000000000000}" id="{12608143-1715-4916-A6F3-8123D5F9B81F}">
    <text>Do not enter amount here- See monthly total below</text>
  </threadedComment>
  <threadedComment ref="J271" dT="2019-08-20T00:18:23.80" personId="{00000000-0000-0000-0000-000000000000}" id="{5EE4F015-B80C-42F1-BE70-B41E0E05A40A}">
    <text>Do not enter amount here- See monthly total below</text>
  </threadedComment>
  <threadedComment ref="L271" dT="2019-08-20T00:18:23.80" personId="{00000000-0000-0000-0000-000000000000}" id="{36728B03-1293-40BE-B7AF-D8C3BFF6E1FA}">
    <text>Do not enter amount here- See monthly total below</text>
  </threadedComment>
  <threadedComment ref="N271" dT="2019-08-20T00:18:23.80" personId="{00000000-0000-0000-0000-000000000000}" id="{E618F297-1FDD-4787-AD85-E4CC53181EA2}">
    <text>Do not enter amount here- See monthly total below</text>
  </threadedComment>
  <threadedComment ref="H272" dT="2019-08-20T00:18:23.80" personId="{00000000-0000-0000-0000-000000000000}" id="{52D26C2A-1EDF-460B-ACB8-4FE2F9240C3C}">
    <text>Do not enter amount here- See monthly total below</text>
  </threadedComment>
  <threadedComment ref="I272" dT="2019-08-20T00:18:23.80" personId="{00000000-0000-0000-0000-000000000000}" id="{702E060B-629E-4A3D-8D8C-77468ABD7DEE}">
    <text>Do not enter amount here- See monthly total below</text>
  </threadedComment>
  <threadedComment ref="J272" dT="2019-08-20T00:18:23.80" personId="{00000000-0000-0000-0000-000000000000}" id="{6D391C36-C896-475C-B3D3-F5F05D38727E}">
    <text>Do not enter amount here- See monthly total below</text>
  </threadedComment>
  <threadedComment ref="L272" dT="2019-08-20T00:18:23.80" personId="{00000000-0000-0000-0000-000000000000}" id="{E884B255-C698-45A6-B7AE-2C1782C908A6}">
    <text>Do not enter amount here- See monthly total below</text>
  </threadedComment>
  <threadedComment ref="N272" dT="2019-08-20T00:18:23.80" personId="{00000000-0000-0000-0000-000000000000}" id="{3E86089F-6934-431E-A186-BC4B05DB91A2}">
    <text>Do not enter amount here- See monthly total below</text>
  </threadedComment>
  <threadedComment ref="H278" dT="2019-08-20T00:18:23.80" personId="{00000000-0000-0000-0000-000000000000}" id="{B16B25FE-9B6E-4222-843A-8CDF1446FFFC}">
    <text>Do not enter amount here- See monthly total below</text>
  </threadedComment>
  <threadedComment ref="I278" dT="2019-08-20T00:18:23.80" personId="{00000000-0000-0000-0000-000000000000}" id="{00B91A79-0507-4C82-BA91-13280B3C0CE3}">
    <text>Do not enter amount here- See monthly total below</text>
  </threadedComment>
  <threadedComment ref="J278" dT="2019-08-20T00:18:23.80" personId="{00000000-0000-0000-0000-000000000000}" id="{3271FB23-0329-46E5-8977-EC4BC94C0821}">
    <text>Do not enter amount here- See monthly total below</text>
  </threadedComment>
  <threadedComment ref="L278" dT="2019-08-20T00:18:23.80" personId="{00000000-0000-0000-0000-000000000000}" id="{41CFCA30-92A0-43F1-AAF5-FB32414D294D}">
    <text>Do not enter amount here- See monthly total below</text>
  </threadedComment>
  <threadedComment ref="N278" dT="2019-08-20T00:18:23.80" personId="{00000000-0000-0000-0000-000000000000}" id="{DC3230D7-8713-418F-92E4-8949331C8BCC}">
    <text>Do not enter amount here- See monthly total below</text>
  </threadedComment>
  <threadedComment ref="H279" dT="2019-08-20T00:18:23.80" personId="{00000000-0000-0000-0000-000000000000}" id="{78B4D480-BD13-4759-9750-33B64D18AE1F}">
    <text>Do not enter amount here- See monthly total below</text>
  </threadedComment>
  <threadedComment ref="I279" dT="2019-08-20T00:18:23.80" personId="{00000000-0000-0000-0000-000000000000}" id="{5BD411F6-B50F-4408-B28C-6B88ED5681C4}">
    <text>Do not enter amount here- See monthly total below</text>
  </threadedComment>
  <threadedComment ref="J279" dT="2019-08-20T00:18:23.80" personId="{00000000-0000-0000-0000-000000000000}" id="{1993BDED-1463-4F69-A027-7B5DC4646B80}">
    <text>Do not enter amount here- See monthly total below</text>
  </threadedComment>
  <threadedComment ref="L279" dT="2019-08-20T00:18:23.80" personId="{00000000-0000-0000-0000-000000000000}" id="{2547376A-D8A1-41FC-832E-61A5C53166F5}">
    <text>Do not enter amount here- See monthly total below</text>
  </threadedComment>
  <threadedComment ref="N279" dT="2019-08-20T00:18:23.80" personId="{00000000-0000-0000-0000-000000000000}" id="{5D632C1C-079F-4777-86FC-A23E4217A092}">
    <text>Do not enter amount here- See monthly total below</text>
  </threadedComment>
  <threadedComment ref="H280" dT="2019-08-20T00:18:23.80" personId="{00000000-0000-0000-0000-000000000000}" id="{CB84CFA0-8939-4166-A2BA-F6BEA83A032F}">
    <text>Do not enter amount here- See monthly total below</text>
  </threadedComment>
  <threadedComment ref="I280" dT="2019-08-20T00:18:23.80" personId="{00000000-0000-0000-0000-000000000000}" id="{BC0556B0-E018-42BA-BE4F-B7FB14401921}">
    <text>Do not enter amount here- See monthly total below</text>
  </threadedComment>
  <threadedComment ref="J280" dT="2019-08-20T00:18:23.80" personId="{00000000-0000-0000-0000-000000000000}" id="{1E4AD257-5570-4CD6-A0EB-6439B1000B2F}">
    <text>Do not enter amount here- See monthly total below</text>
  </threadedComment>
  <threadedComment ref="L280" dT="2019-08-20T00:18:23.80" personId="{00000000-0000-0000-0000-000000000000}" id="{BD1B8F51-42F0-4262-BC92-F5D6F2FA9CCF}">
    <text>Do not enter amount here- See monthly total below</text>
  </threadedComment>
  <threadedComment ref="N280" dT="2019-08-20T00:18:23.80" personId="{00000000-0000-0000-0000-000000000000}" id="{5A942F96-F361-4E15-9F2F-B939C767421F}">
    <text>Do not enter amount here- See monthly total below</text>
  </threadedComment>
  <threadedComment ref="H281" dT="2019-08-20T00:18:23.80" personId="{00000000-0000-0000-0000-000000000000}" id="{F7E98563-B4D2-4F09-A225-17EEFDDC2E10}">
    <text>Do not enter amount here- See monthly total below</text>
  </threadedComment>
  <threadedComment ref="I281" dT="2019-08-20T00:18:23.80" personId="{00000000-0000-0000-0000-000000000000}" id="{04895A47-DDB5-4743-B927-55482BFC6370}">
    <text>Do not enter amount here- See monthly total below</text>
  </threadedComment>
  <threadedComment ref="J281" dT="2019-08-20T00:18:23.80" personId="{00000000-0000-0000-0000-000000000000}" id="{854CFA94-28B3-4237-9493-8C90E40B3FF9}">
    <text>Do not enter amount here- See monthly total below</text>
  </threadedComment>
  <threadedComment ref="L281" dT="2019-08-20T00:18:23.80" personId="{00000000-0000-0000-0000-000000000000}" id="{1C7ACE0C-1684-4909-A2F0-7B454C39CB6A}">
    <text>Do not enter amount here- See monthly total below</text>
  </threadedComment>
  <threadedComment ref="N281" dT="2019-08-20T00:18:23.80" personId="{00000000-0000-0000-0000-000000000000}" id="{9C3E1ED2-4C90-4432-A945-AA4DCC71724F}">
    <text>Do not enter amount here- See monthly total below</text>
  </threadedComment>
  <threadedComment ref="H282" dT="2019-08-20T00:18:23.80" personId="{00000000-0000-0000-0000-000000000000}" id="{F2662447-EA1E-4D69-BADF-4C1B484A3056}">
    <text>Do not enter amount here- See monthly total below</text>
  </threadedComment>
  <threadedComment ref="I282" dT="2019-08-20T00:18:23.80" personId="{00000000-0000-0000-0000-000000000000}" id="{8B3CEE3B-01EA-4FC6-9514-80894EB51A2C}">
    <text>Do not enter amount here- See monthly total below</text>
  </threadedComment>
  <threadedComment ref="J282" dT="2019-08-20T00:18:23.80" personId="{00000000-0000-0000-0000-000000000000}" id="{AC9C1EBA-91CB-4F8C-8A74-40BDB190A1D1}">
    <text>Do not enter amount here- See monthly total below</text>
  </threadedComment>
  <threadedComment ref="L282" dT="2019-08-20T00:18:23.80" personId="{00000000-0000-0000-0000-000000000000}" id="{0572A87E-BDC8-41DB-B2C8-D45F9C61B15C}">
    <text>Do not enter amount here- See monthly total below</text>
  </threadedComment>
  <threadedComment ref="N282" dT="2019-08-20T00:18:23.80" personId="{00000000-0000-0000-0000-000000000000}" id="{4D47748E-0001-4C80-B661-3F5214DB482A}">
    <text>Do not enter amount here- See monthly total below</text>
  </threadedComment>
  <threadedComment ref="H283" dT="2019-08-20T00:18:23.80" personId="{00000000-0000-0000-0000-000000000000}" id="{1F9CEA17-C9EE-4F2D-97AE-E9F5B79E0BC8}">
    <text>Do not enter amount here- See monthly total below</text>
  </threadedComment>
  <threadedComment ref="I283" dT="2019-08-20T00:18:23.80" personId="{00000000-0000-0000-0000-000000000000}" id="{3668618D-15EC-46A5-B3D5-9BB0792C2660}">
    <text>Do not enter amount here- See monthly total below</text>
  </threadedComment>
  <threadedComment ref="J283" dT="2019-08-20T00:18:23.80" personId="{00000000-0000-0000-0000-000000000000}" id="{C17164D0-8337-43F2-883E-0A18E33E997B}">
    <text>Do not enter amount here- See monthly total below</text>
  </threadedComment>
  <threadedComment ref="L283" dT="2019-08-20T00:18:23.80" personId="{00000000-0000-0000-0000-000000000000}" id="{F4DC7C77-F9D6-48FB-B77B-203D53F4972C}">
    <text>Do not enter amount here- See monthly total below</text>
  </threadedComment>
  <threadedComment ref="N283" dT="2019-08-20T00:18:23.80" personId="{00000000-0000-0000-0000-000000000000}" id="{BEED885F-62C9-4516-861C-3E8C9DD4DC76}">
    <text>Do not enter amount here- See monthly total below</text>
  </threadedComment>
  <threadedComment ref="H284" dT="2019-08-20T00:18:23.80" personId="{00000000-0000-0000-0000-000000000000}" id="{5FCFA48F-A712-4CA4-9F68-05D410F9156B}">
    <text>Do not enter amount here- See monthly total below</text>
  </threadedComment>
  <threadedComment ref="I284" dT="2019-08-20T00:18:23.80" personId="{00000000-0000-0000-0000-000000000000}" id="{3304729C-E630-424E-A243-1453178858A4}">
    <text>Do not enter amount here- See monthly total below</text>
  </threadedComment>
  <threadedComment ref="J284" dT="2019-08-20T00:18:23.80" personId="{00000000-0000-0000-0000-000000000000}" id="{4DA05861-1E5E-40AB-B981-DC827B978355}">
    <text>Do not enter amount here- See monthly total below</text>
  </threadedComment>
  <threadedComment ref="L284" dT="2019-08-20T00:18:23.80" personId="{00000000-0000-0000-0000-000000000000}" id="{AAC9C899-A20E-45F9-97AB-CD35F17712A3}">
    <text>Do not enter amount here- See monthly total below</text>
  </threadedComment>
  <threadedComment ref="N284" dT="2019-08-20T00:18:23.80" personId="{00000000-0000-0000-0000-000000000000}" id="{9A78C33B-C516-4E64-826F-65DE85FF86BF}">
    <text>Do not enter amount here- See monthly total below</text>
  </threadedComment>
  <threadedComment ref="H285" dT="2019-08-20T00:18:23.80" personId="{00000000-0000-0000-0000-000000000000}" id="{F1093B8E-BCEA-4579-AD3F-2E7EB9878C05}">
    <text>Do not enter amount here- See monthly total below</text>
  </threadedComment>
  <threadedComment ref="I285" dT="2019-08-20T00:18:23.80" personId="{00000000-0000-0000-0000-000000000000}" id="{26AF7BC2-D198-4D24-896F-9F27D0D1C648}">
    <text>Do not enter amount here- See monthly total below</text>
  </threadedComment>
  <threadedComment ref="J285" dT="2019-08-20T00:18:23.80" personId="{00000000-0000-0000-0000-000000000000}" id="{9CEF4C6C-D645-4CDC-BF6F-6723912A7A52}">
    <text>Do not enter amount here- See monthly total below</text>
  </threadedComment>
  <threadedComment ref="L285" dT="2019-08-20T00:18:23.80" personId="{00000000-0000-0000-0000-000000000000}" id="{9D63434D-8804-4E77-9F3C-A41FB1477102}">
    <text>Do not enter amount here- See monthly total below</text>
  </threadedComment>
  <threadedComment ref="N285" dT="2019-08-20T00:18:23.80" personId="{00000000-0000-0000-0000-000000000000}" id="{014FA720-6D0F-4E65-92C6-F9CEB6E041EF}">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O42"/>
  <sheetViews>
    <sheetView workbookViewId="0">
      <selection activeCell="E8" sqref="E8"/>
    </sheetView>
  </sheetViews>
  <sheetFormatPr defaultColWidth="9.1796875" defaultRowHeight="12.5"/>
  <cols>
    <col min="1" max="1" width="2.26953125" style="222" customWidth="1"/>
    <col min="2" max="2" width="30.453125" style="222" customWidth="1"/>
    <col min="3" max="4" width="18.453125" style="222" bestFit="1" customWidth="1"/>
    <col min="5" max="5" width="12" style="222" customWidth="1"/>
    <col min="6" max="6" width="13.1796875" style="222" customWidth="1"/>
    <col min="7" max="7" width="30.453125" style="222" customWidth="1"/>
    <col min="8" max="8" width="12.7265625" style="222" customWidth="1"/>
    <col min="9" max="9" width="12.81640625" style="222" customWidth="1"/>
    <col min="10" max="10" width="13.54296875" style="222" customWidth="1"/>
    <col min="11" max="11" width="15" style="222" customWidth="1"/>
    <col min="12" max="12" width="22.54296875" style="222" customWidth="1"/>
    <col min="13" max="13" width="9.7265625" style="222" bestFit="1" customWidth="1"/>
    <col min="14" max="16384" width="9.1796875" style="222"/>
  </cols>
  <sheetData>
    <row r="1" spans="2:12" ht="13" thickBot="1"/>
    <row r="2" spans="2:12" ht="13.5" thickBot="1">
      <c r="B2" s="245" t="s">
        <v>297</v>
      </c>
      <c r="C2" s="246"/>
      <c r="D2" s="246"/>
      <c r="E2" s="247"/>
      <c r="G2" s="248"/>
      <c r="K2" s="223" t="s">
        <v>159</v>
      </c>
      <c r="L2" s="223" t="s">
        <v>298</v>
      </c>
    </row>
    <row r="3" spans="2:12">
      <c r="K3" s="224">
        <v>43658</v>
      </c>
      <c r="L3" s="222" t="s">
        <v>321</v>
      </c>
    </row>
    <row r="4" spans="2:12">
      <c r="K4" s="224">
        <v>43672</v>
      </c>
      <c r="L4" s="222" t="s">
        <v>320</v>
      </c>
    </row>
    <row r="5" spans="2:12">
      <c r="K5" s="224"/>
      <c r="L5" s="225"/>
    </row>
    <row r="6" spans="2:12">
      <c r="I6" s="226"/>
    </row>
    <row r="8" spans="2:12">
      <c r="B8" s="227" t="s">
        <v>299</v>
      </c>
      <c r="C8" s="228">
        <v>43658</v>
      </c>
      <c r="D8" s="228">
        <v>43672</v>
      </c>
      <c r="E8" s="228"/>
      <c r="F8" s="229" t="s">
        <v>66</v>
      </c>
      <c r="G8" s="227" t="s">
        <v>322</v>
      </c>
      <c r="H8" s="227" t="s">
        <v>300</v>
      </c>
      <c r="I8" s="227"/>
    </row>
    <row r="9" spans="2:12" ht="20.25" customHeight="1">
      <c r="J9" s="230" t="s">
        <v>301</v>
      </c>
      <c r="K9" s="230" t="s">
        <v>302</v>
      </c>
    </row>
    <row r="10" spans="2:12">
      <c r="B10" s="222" t="s">
        <v>154</v>
      </c>
      <c r="C10" s="231">
        <v>0</v>
      </c>
      <c r="D10" s="231">
        <v>0</v>
      </c>
      <c r="E10" s="231">
        <v>0</v>
      </c>
      <c r="F10" s="231">
        <f>SUM(C10:E10)</f>
        <v>0</v>
      </c>
      <c r="H10" s="231">
        <v>0.5</v>
      </c>
      <c r="I10" s="231">
        <f>F10*H10</f>
        <v>0</v>
      </c>
    </row>
    <row r="11" spans="2:12">
      <c r="B11" s="222" t="s">
        <v>146</v>
      </c>
      <c r="C11" s="231"/>
      <c r="D11" s="231"/>
      <c r="E11" s="231"/>
      <c r="F11" s="231">
        <f t="shared" ref="F11:F19" si="0">SUM(C11:E11)</f>
        <v>0</v>
      </c>
      <c r="H11" s="231">
        <v>1</v>
      </c>
      <c r="I11" s="231">
        <f t="shared" ref="I11:I12" si="1">F11*H11</f>
        <v>0</v>
      </c>
    </row>
    <row r="12" spans="2:12">
      <c r="B12" s="222" t="s">
        <v>314</v>
      </c>
      <c r="C12" s="231"/>
      <c r="D12" s="231"/>
      <c r="E12" s="231"/>
      <c r="F12" s="231">
        <f t="shared" si="0"/>
        <v>0</v>
      </c>
      <c r="H12" s="231">
        <v>1</v>
      </c>
      <c r="I12" s="231">
        <f t="shared" si="1"/>
        <v>0</v>
      </c>
      <c r="J12" s="232"/>
      <c r="K12" s="231"/>
      <c r="L12" s="232"/>
    </row>
    <row r="13" spans="2:12">
      <c r="B13" s="222" t="s">
        <v>315</v>
      </c>
      <c r="C13" s="231"/>
      <c r="D13" s="231"/>
      <c r="E13" s="231"/>
      <c r="F13" s="231">
        <f>SUM(C13:E13)</f>
        <v>0</v>
      </c>
      <c r="H13" s="231">
        <v>0.2</v>
      </c>
      <c r="I13" s="231">
        <f>F13*H13</f>
        <v>0</v>
      </c>
      <c r="J13" s="231">
        <f>SUM(I10:I13)</f>
        <v>0</v>
      </c>
      <c r="K13" s="231">
        <f>SUM(I10:I13)</f>
        <v>0</v>
      </c>
    </row>
    <row r="14" spans="2:12">
      <c r="B14" s="222" t="s">
        <v>316</v>
      </c>
      <c r="C14" s="233"/>
      <c r="D14" s="231"/>
      <c r="E14" s="231"/>
      <c r="F14" s="231"/>
      <c r="H14" s="231"/>
      <c r="I14" s="231"/>
      <c r="J14" s="231"/>
      <c r="K14" s="231"/>
    </row>
    <row r="15" spans="2:12">
      <c r="B15" s="222" t="s">
        <v>317</v>
      </c>
      <c r="C15" s="231"/>
      <c r="D15" s="231"/>
      <c r="E15" s="231"/>
      <c r="F15" s="231">
        <f>SUM(C15:E15)</f>
        <v>0</v>
      </c>
      <c r="H15" s="231">
        <v>1</v>
      </c>
      <c r="I15" s="231">
        <f>F15*H15</f>
        <v>0</v>
      </c>
      <c r="J15" s="231">
        <f>I15</f>
        <v>0</v>
      </c>
      <c r="K15" s="231">
        <f>I15</f>
        <v>0</v>
      </c>
      <c r="L15" s="222" t="s">
        <v>307</v>
      </c>
    </row>
    <row r="16" spans="2:12">
      <c r="B16" s="222" t="s">
        <v>318</v>
      </c>
      <c r="C16" s="231"/>
      <c r="D16" s="231"/>
      <c r="E16" s="231"/>
      <c r="F16" s="231"/>
      <c r="H16" s="231"/>
      <c r="I16" s="231"/>
      <c r="J16" s="231"/>
      <c r="K16" s="231"/>
    </row>
    <row r="17" spans="2:15">
      <c r="B17" s="222" t="s">
        <v>319</v>
      </c>
    </row>
    <row r="18" spans="2:15">
      <c r="B18" s="222" t="s">
        <v>149</v>
      </c>
      <c r="C18" s="231"/>
      <c r="D18" s="231"/>
      <c r="E18" s="231"/>
      <c r="F18" s="231">
        <f t="shared" si="0"/>
        <v>0</v>
      </c>
      <c r="H18" s="231"/>
      <c r="I18" s="231"/>
    </row>
    <row r="19" spans="2:15" ht="13" thickBot="1">
      <c r="C19" s="231"/>
      <c r="D19" s="231"/>
      <c r="E19" s="231"/>
      <c r="F19" s="231">
        <f t="shared" si="0"/>
        <v>0</v>
      </c>
      <c r="H19" s="231"/>
      <c r="I19" s="231"/>
    </row>
    <row r="20" spans="2:15" ht="18.75" customHeight="1" thickBot="1">
      <c r="C20" s="234">
        <f>SUM(C10:C19)</f>
        <v>0</v>
      </c>
      <c r="D20" s="235">
        <f>SUM(D10:D19)</f>
        <v>0</v>
      </c>
      <c r="E20" s="235">
        <f>SUM(E10:E19)</f>
        <v>0</v>
      </c>
      <c r="F20" s="235">
        <f>SUM(F10:F19)</f>
        <v>0</v>
      </c>
      <c r="H20" s="235"/>
      <c r="I20" s="236">
        <f>SUM(I10:I19)</f>
        <v>0</v>
      </c>
      <c r="J20" s="237">
        <f>SUM(J10:J19)</f>
        <v>0</v>
      </c>
      <c r="K20" s="237">
        <f>SUM(K10:K19)</f>
        <v>0</v>
      </c>
    </row>
    <row r="21" spans="2:15">
      <c r="C21" s="231"/>
      <c r="D21" s="231"/>
      <c r="E21" s="231"/>
      <c r="F21" s="231"/>
      <c r="H21" s="231"/>
    </row>
    <row r="22" spans="2:15">
      <c r="B22" s="222" t="s">
        <v>308</v>
      </c>
      <c r="I22" s="238">
        <v>0</v>
      </c>
    </row>
    <row r="23" spans="2:15">
      <c r="B23" s="222" t="s">
        <v>309</v>
      </c>
      <c r="I23" s="238">
        <v>0</v>
      </c>
      <c r="J23" s="231">
        <f>SUM(I22:I23)</f>
        <v>0</v>
      </c>
      <c r="K23" s="231">
        <f>J23</f>
        <v>0</v>
      </c>
    </row>
    <row r="26" spans="2:15">
      <c r="B26" s="227" t="s">
        <v>310</v>
      </c>
      <c r="C26" s="239" t="s">
        <v>311</v>
      </c>
      <c r="D26" s="239" t="s">
        <v>312</v>
      </c>
      <c r="E26" s="228"/>
      <c r="F26" s="229" t="s">
        <v>66</v>
      </c>
      <c r="G26" s="227"/>
      <c r="H26" s="227" t="s">
        <v>300</v>
      </c>
      <c r="I26" s="227"/>
    </row>
    <row r="27" spans="2:15">
      <c r="J27" s="230" t="s">
        <v>301</v>
      </c>
      <c r="K27" s="230" t="s">
        <v>302</v>
      </c>
    </row>
    <row r="28" spans="2:15">
      <c r="B28" s="222" t="s">
        <v>303</v>
      </c>
      <c r="C28" s="231">
        <v>1118.6500000000001</v>
      </c>
      <c r="D28" s="231">
        <v>63.88</v>
      </c>
      <c r="E28" s="231"/>
      <c r="F28" s="231">
        <f>SUM(C28:E28)</f>
        <v>1182.5300000000002</v>
      </c>
      <c r="H28" s="231">
        <v>0.5</v>
      </c>
      <c r="I28" s="231">
        <v>0</v>
      </c>
      <c r="J28" s="232">
        <f>SUM(I28:I30)</f>
        <v>0</v>
      </c>
      <c r="K28" s="231">
        <f>J28</f>
        <v>0</v>
      </c>
      <c r="M28" s="232"/>
      <c r="N28" s="232"/>
      <c r="O28" s="232"/>
    </row>
    <row r="29" spans="2:15">
      <c r="B29" s="222" t="s">
        <v>304</v>
      </c>
      <c r="C29" s="231"/>
      <c r="D29" s="231"/>
      <c r="E29" s="231"/>
      <c r="F29" s="231">
        <f t="shared" ref="F29:F32" si="2">SUM(C29:E29)</f>
        <v>0</v>
      </c>
      <c r="H29" s="231">
        <v>1</v>
      </c>
      <c r="I29" s="231">
        <f t="shared" ref="I29:I30" si="3">F29*H29</f>
        <v>0</v>
      </c>
      <c r="O29" s="232"/>
    </row>
    <row r="30" spans="2:15">
      <c r="B30" s="222" t="s">
        <v>305</v>
      </c>
      <c r="C30" s="231"/>
      <c r="D30" s="231"/>
      <c r="E30" s="231"/>
      <c r="F30" s="231">
        <f t="shared" si="2"/>
        <v>0</v>
      </c>
      <c r="H30" s="231">
        <v>1</v>
      </c>
      <c r="I30" s="231">
        <f t="shared" si="3"/>
        <v>0</v>
      </c>
      <c r="O30" s="232"/>
    </row>
    <row r="31" spans="2:15">
      <c r="B31" s="222" t="s">
        <v>306</v>
      </c>
      <c r="C31" s="231">
        <v>1073.08</v>
      </c>
      <c r="D31" s="231">
        <v>67.819999999999993</v>
      </c>
      <c r="E31" s="231"/>
      <c r="F31" s="231">
        <f>SUM(C31:E31)</f>
        <v>1140.8999999999999</v>
      </c>
      <c r="H31" s="231">
        <v>0.2</v>
      </c>
      <c r="I31" s="231">
        <v>0</v>
      </c>
      <c r="J31" s="231">
        <f t="shared" ref="J31:K33" si="4">I31</f>
        <v>0</v>
      </c>
      <c r="K31" s="231">
        <f t="shared" si="4"/>
        <v>0</v>
      </c>
      <c r="M31" s="232"/>
      <c r="N31" s="232"/>
      <c r="O31" s="232"/>
    </row>
    <row r="32" spans="2:15">
      <c r="B32" s="222" t="s">
        <v>306</v>
      </c>
      <c r="C32" s="231"/>
      <c r="D32" s="231"/>
      <c r="E32" s="231"/>
      <c r="F32" s="231">
        <f t="shared" si="2"/>
        <v>0</v>
      </c>
      <c r="H32" s="231">
        <v>1</v>
      </c>
      <c r="I32" s="231">
        <f t="shared" ref="I32" si="5">F32*H32</f>
        <v>0</v>
      </c>
      <c r="J32" s="231">
        <f t="shared" si="4"/>
        <v>0</v>
      </c>
      <c r="K32" s="231">
        <f t="shared" si="4"/>
        <v>0</v>
      </c>
      <c r="O32" s="232"/>
    </row>
    <row r="33" spans="2:15">
      <c r="B33" s="222" t="s">
        <v>313</v>
      </c>
      <c r="C33" s="231"/>
      <c r="D33" s="231"/>
      <c r="E33" s="231"/>
      <c r="F33" s="231">
        <f>SUM(C33:E33)</f>
        <v>0</v>
      </c>
      <c r="H33" s="231">
        <v>1</v>
      </c>
      <c r="I33" s="231">
        <v>0</v>
      </c>
      <c r="J33" s="231">
        <f t="shared" si="4"/>
        <v>0</v>
      </c>
      <c r="K33" s="231">
        <f t="shared" si="4"/>
        <v>0</v>
      </c>
      <c r="O33" s="232"/>
    </row>
    <row r="34" spans="2:15" ht="13" thickBot="1">
      <c r="C34" s="231"/>
      <c r="D34" s="231"/>
      <c r="E34" s="231"/>
      <c r="F34" s="231">
        <f t="shared" ref="F34:F36" si="6">SUM(C34:E34)</f>
        <v>0</v>
      </c>
      <c r="H34" s="231"/>
      <c r="I34" s="231"/>
      <c r="J34" s="237">
        <f>SUM(J28:J33)</f>
        <v>0</v>
      </c>
      <c r="K34" s="237">
        <f>SUM(K28:K33)</f>
        <v>0</v>
      </c>
      <c r="M34" s="240"/>
      <c r="N34" s="240"/>
      <c r="O34" s="232"/>
    </row>
    <row r="35" spans="2:15">
      <c r="C35" s="231"/>
      <c r="D35" s="231"/>
      <c r="E35" s="231"/>
      <c r="F35" s="231">
        <f t="shared" si="6"/>
        <v>0</v>
      </c>
      <c r="H35" s="231"/>
      <c r="I35" s="231"/>
    </row>
    <row r="36" spans="2:15" ht="13" thickBot="1">
      <c r="C36" s="231"/>
      <c r="D36" s="231"/>
      <c r="E36" s="231"/>
      <c r="F36" s="231">
        <f t="shared" si="6"/>
        <v>0</v>
      </c>
      <c r="H36" s="231"/>
      <c r="I36" s="231"/>
    </row>
    <row r="37" spans="2:15" ht="13" thickBot="1">
      <c r="C37" s="234">
        <f>SUM(C28:C36)</f>
        <v>2191.73</v>
      </c>
      <c r="D37" s="235">
        <f>SUM(D28:D36)</f>
        <v>131.69999999999999</v>
      </c>
      <c r="E37" s="235"/>
      <c r="F37" s="235">
        <f t="shared" ref="F37" si="7">SUM(F28:F36)</f>
        <v>2323.4300000000003</v>
      </c>
      <c r="H37" s="235"/>
      <c r="I37" s="236">
        <f>SUM(I28:I36)</f>
        <v>0</v>
      </c>
      <c r="J37" s="232"/>
    </row>
    <row r="38" spans="2:15" ht="13" thickBot="1"/>
    <row r="39" spans="2:15" ht="13" thickBot="1">
      <c r="I39" s="241">
        <f>I22+I37+I23</f>
        <v>0</v>
      </c>
      <c r="J39" s="242">
        <f>J34+J23</f>
        <v>0</v>
      </c>
      <c r="K39" s="243">
        <f>K34+K23</f>
        <v>0</v>
      </c>
    </row>
    <row r="42" spans="2:15" ht="13">
      <c r="B42" s="244"/>
      <c r="C42" s="244"/>
      <c r="G42" s="244"/>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00"/>
    <pageSetUpPr fitToPage="1"/>
  </sheetPr>
  <dimension ref="A1:R305"/>
  <sheetViews>
    <sheetView topLeftCell="D286" workbookViewId="0">
      <selection activeCell="H300" sqref="H300"/>
    </sheetView>
  </sheetViews>
  <sheetFormatPr defaultRowHeight="14.5"/>
  <cols>
    <col min="1" max="1" width="49.1796875" bestFit="1" customWidth="1"/>
    <col min="2" max="2" width="10.7265625" style="137" customWidth="1"/>
    <col min="3" max="3" width="9.1796875" style="137"/>
    <col min="4" max="4" width="12.453125" customWidth="1"/>
    <col min="5" max="5" width="12.26953125" customWidth="1"/>
    <col min="6" max="6" width="12.72656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7" width="12.26953125" customWidth="1"/>
  </cols>
  <sheetData>
    <row r="1" spans="1:17" s="5" customFormat="1" ht="21">
      <c r="A1" s="50" t="s">
        <v>72</v>
      </c>
      <c r="B1" s="129"/>
      <c r="C1" s="129"/>
      <c r="D1" s="215" t="s">
        <v>70</v>
      </c>
      <c r="E1" s="496" t="s">
        <v>448</v>
      </c>
      <c r="F1" s="496"/>
      <c r="G1" s="496"/>
      <c r="H1" s="496"/>
      <c r="I1" s="496"/>
      <c r="J1" s="496"/>
      <c r="K1" s="496"/>
      <c r="L1" s="496"/>
      <c r="M1" s="219"/>
    </row>
    <row r="2" spans="1:17" s="5" customFormat="1" ht="21">
      <c r="A2" s="493" t="str">
        <f>'Jul-2019'!A2</f>
        <v>Urban League of Essex County</v>
      </c>
      <c r="B2" s="494"/>
      <c r="C2" s="495"/>
      <c r="D2" s="215" t="s">
        <v>71</v>
      </c>
      <c r="E2" s="496">
        <v>2019</v>
      </c>
      <c r="F2" s="496"/>
      <c r="G2" s="496"/>
      <c r="H2" s="496"/>
      <c r="I2" s="496"/>
      <c r="J2" s="496"/>
      <c r="K2" s="496"/>
      <c r="L2" s="496"/>
      <c r="M2" s="219"/>
    </row>
    <row r="4" spans="1:17">
      <c r="A4" s="23" t="s">
        <v>158</v>
      </c>
      <c r="B4" s="130" t="s">
        <v>159</v>
      </c>
      <c r="C4" s="131"/>
      <c r="D4" s="126">
        <v>43658</v>
      </c>
      <c r="E4" s="24"/>
      <c r="F4" s="24"/>
      <c r="G4" s="24"/>
      <c r="H4" s="25"/>
      <c r="I4" s="28"/>
      <c r="J4" s="26"/>
      <c r="K4" s="26"/>
      <c r="L4" s="26"/>
      <c r="M4" s="26"/>
      <c r="N4" s="27"/>
      <c r="O4" s="28"/>
      <c r="P4" s="29"/>
      <c r="Q4" s="30"/>
    </row>
    <row r="5" spans="1:17" ht="43.5">
      <c r="A5" s="53" t="s">
        <v>61</v>
      </c>
      <c r="B5" s="132" t="s">
        <v>68</v>
      </c>
      <c r="C5" s="132" t="s">
        <v>69</v>
      </c>
      <c r="D5" s="54" t="s">
        <v>62</v>
      </c>
      <c r="E5" s="54" t="s">
        <v>63</v>
      </c>
      <c r="F5" s="54" t="s">
        <v>67</v>
      </c>
      <c r="G5" s="54"/>
      <c r="H5" s="55" t="s">
        <v>289</v>
      </c>
      <c r="I5" s="54" t="s">
        <v>288</v>
      </c>
      <c r="J5" s="55" t="s">
        <v>291</v>
      </c>
      <c r="K5" s="55" t="s">
        <v>292</v>
      </c>
      <c r="L5" s="55" t="s">
        <v>283</v>
      </c>
      <c r="M5" s="55" t="s">
        <v>293</v>
      </c>
      <c r="N5" s="54" t="s">
        <v>290</v>
      </c>
      <c r="O5" s="54" t="s">
        <v>64</v>
      </c>
      <c r="P5" s="54" t="s">
        <v>139</v>
      </c>
      <c r="Q5" s="54" t="s">
        <v>65</v>
      </c>
    </row>
    <row r="6" spans="1:17" s="3" customFormat="1">
      <c r="A6" s="125" t="s">
        <v>294</v>
      </c>
      <c r="B6" s="133">
        <v>7</v>
      </c>
      <c r="C6" s="133">
        <v>35</v>
      </c>
      <c r="D6" s="207">
        <f>B6/C6</f>
        <v>0.2</v>
      </c>
      <c r="E6" s="57">
        <f>3153.85-1576.93</f>
        <v>1576.9199999999998</v>
      </c>
      <c r="F6" s="57">
        <f>ROUND(D6*E6,2)</f>
        <v>315.38</v>
      </c>
      <c r="G6" s="208"/>
      <c r="H6" s="211"/>
      <c r="I6" s="211"/>
      <c r="J6" s="211"/>
      <c r="K6" s="57">
        <f>-103.26*D6</f>
        <v>-20.652000000000001</v>
      </c>
      <c r="L6" s="211"/>
      <c r="M6" s="58">
        <f>-3.37*D6</f>
        <v>-0.67400000000000004</v>
      </c>
      <c r="N6" s="211"/>
      <c r="O6" s="56"/>
      <c r="P6" s="56"/>
      <c r="Q6" s="59">
        <f t="shared" ref="Q6:Q14" si="0">SUM(H6:P6)</f>
        <v>-21.326000000000001</v>
      </c>
    </row>
    <row r="7" spans="1:17" s="3" customFormat="1" ht="15" customHeight="1">
      <c r="A7" s="125" t="s">
        <v>161</v>
      </c>
      <c r="B7" s="133">
        <v>14.5</v>
      </c>
      <c r="C7" s="133">
        <v>35</v>
      </c>
      <c r="D7" s="207">
        <f>B7/C7</f>
        <v>0.41428571428571431</v>
      </c>
      <c r="E7" s="57">
        <f>2500/2</f>
        <v>1250</v>
      </c>
      <c r="F7" s="57">
        <f>ROUND(D7*E7,2)</f>
        <v>517.86</v>
      </c>
      <c r="G7" s="208"/>
      <c r="H7" s="211"/>
      <c r="I7" s="211"/>
      <c r="J7" s="211"/>
      <c r="K7" s="57">
        <f>-94.11*D7</f>
        <v>-38.988428571428571</v>
      </c>
      <c r="L7" s="211"/>
      <c r="M7" s="58">
        <f>-3.37*D7</f>
        <v>-1.3961428571428574</v>
      </c>
      <c r="N7" s="211"/>
      <c r="O7" s="56"/>
      <c r="P7" s="56"/>
      <c r="Q7" s="59">
        <f t="shared" si="0"/>
        <v>-40.384571428571427</v>
      </c>
    </row>
    <row r="8" spans="1:17" s="3" customFormat="1">
      <c r="A8" s="125" t="s">
        <v>162</v>
      </c>
      <c r="B8" s="133">
        <v>20.5</v>
      </c>
      <c r="C8" s="133">
        <v>35</v>
      </c>
      <c r="D8" s="207">
        <f>B8/C8</f>
        <v>0.58571428571428574</v>
      </c>
      <c r="E8" s="57"/>
      <c r="F8" s="57">
        <f>ROUND(D8*E7,2)</f>
        <v>732.14</v>
      </c>
      <c r="G8" s="208"/>
      <c r="H8" s="211"/>
      <c r="I8" s="211"/>
      <c r="J8" s="211"/>
      <c r="K8" s="57">
        <f>-94.11*D8</f>
        <v>-55.121571428571428</v>
      </c>
      <c r="L8" s="211"/>
      <c r="M8" s="58">
        <f>-3.37*D8</f>
        <v>-1.973857142857143</v>
      </c>
      <c r="N8" s="211"/>
      <c r="O8" s="56"/>
      <c r="P8" s="56"/>
      <c r="Q8" s="59">
        <f t="shared" si="0"/>
        <v>-57.09542857142857</v>
      </c>
    </row>
    <row r="9" spans="1:17" s="3" customFormat="1" ht="15" customHeight="1">
      <c r="A9" s="125" t="s">
        <v>165</v>
      </c>
      <c r="B9" s="133">
        <v>0</v>
      </c>
      <c r="C9" s="133">
        <v>0</v>
      </c>
      <c r="D9" s="207">
        <v>0</v>
      </c>
      <c r="E9" s="57">
        <v>0</v>
      </c>
      <c r="F9" s="57">
        <f t="shared" ref="F9:F11" si="1">ROUND(E9,2)</f>
        <v>0</v>
      </c>
      <c r="G9" s="208"/>
      <c r="H9" s="211"/>
      <c r="I9" s="211"/>
      <c r="J9" s="211"/>
      <c r="K9" s="57">
        <v>0</v>
      </c>
      <c r="L9" s="211"/>
      <c r="M9" s="58"/>
      <c r="N9" s="211"/>
      <c r="O9" s="56"/>
      <c r="P9" s="56"/>
      <c r="Q9" s="59">
        <f t="shared" si="0"/>
        <v>0</v>
      </c>
    </row>
    <row r="10" spans="1:17" s="3" customFormat="1">
      <c r="A10" s="125" t="s">
        <v>166</v>
      </c>
      <c r="B10" s="133">
        <v>35</v>
      </c>
      <c r="C10" s="133">
        <v>35</v>
      </c>
      <c r="D10" s="207">
        <f>B10/C10</f>
        <v>1</v>
      </c>
      <c r="E10" s="57">
        <f>1038.47-461.44</f>
        <v>577.03</v>
      </c>
      <c r="F10" s="57">
        <f t="shared" si="1"/>
        <v>577.03</v>
      </c>
      <c r="G10" s="208"/>
      <c r="H10" s="211"/>
      <c r="I10" s="211"/>
      <c r="J10" s="211"/>
      <c r="K10" s="57">
        <f>-103.26*D10</f>
        <v>-103.26</v>
      </c>
      <c r="L10" s="211"/>
      <c r="M10" s="58"/>
      <c r="N10" s="211"/>
      <c r="O10" s="56"/>
      <c r="P10" s="56"/>
      <c r="Q10" s="59">
        <f t="shared" si="0"/>
        <v>-103.26</v>
      </c>
    </row>
    <row r="11" spans="1:17">
      <c r="A11" s="125" t="s">
        <v>167</v>
      </c>
      <c r="B11" s="133">
        <v>24</v>
      </c>
      <c r="C11" s="133">
        <f t="shared" ref="C11" si="2">+B11</f>
        <v>24</v>
      </c>
      <c r="D11" s="207">
        <f>B11/C11</f>
        <v>1</v>
      </c>
      <c r="E11" s="57">
        <f>1278.68-932.6</f>
        <v>346.08000000000004</v>
      </c>
      <c r="F11" s="57">
        <f t="shared" si="1"/>
        <v>346.08</v>
      </c>
      <c r="G11" s="208"/>
      <c r="H11" s="211"/>
      <c r="I11" s="211"/>
      <c r="J11" s="211"/>
      <c r="K11" s="57">
        <v>0</v>
      </c>
      <c r="L11" s="211"/>
      <c r="M11" s="59"/>
      <c r="N11" s="211"/>
      <c r="O11" s="59"/>
      <c r="P11" s="59"/>
      <c r="Q11" s="59">
        <f t="shared" si="0"/>
        <v>0</v>
      </c>
    </row>
    <row r="12" spans="1:17">
      <c r="A12" s="125" t="s">
        <v>163</v>
      </c>
      <c r="B12" s="133">
        <v>15</v>
      </c>
      <c r="C12" s="133">
        <v>35</v>
      </c>
      <c r="D12" s="207">
        <f>B12/C12</f>
        <v>0.42857142857142855</v>
      </c>
      <c r="E12" s="57">
        <f>2538.47-1769.23</f>
        <v>769.23999999999978</v>
      </c>
      <c r="F12" s="57">
        <f>ROUND(D12*E12,2)</f>
        <v>329.67</v>
      </c>
      <c r="G12" s="208"/>
      <c r="H12" s="211"/>
      <c r="I12" s="211"/>
      <c r="J12" s="211"/>
      <c r="K12" s="57">
        <f>-191.25*D12</f>
        <v>-81.964285714285708</v>
      </c>
      <c r="L12" s="211"/>
      <c r="M12" s="58">
        <f>-6.08*D12</f>
        <v>-2.6057142857142854</v>
      </c>
      <c r="N12" s="211"/>
      <c r="O12" s="59"/>
      <c r="P12" s="59"/>
      <c r="Q12" s="59">
        <f t="shared" si="0"/>
        <v>-84.57</v>
      </c>
    </row>
    <row r="13" spans="1:17">
      <c r="A13" s="125" t="s">
        <v>164</v>
      </c>
      <c r="B13" s="133">
        <v>20</v>
      </c>
      <c r="C13" s="133">
        <v>35</v>
      </c>
      <c r="D13" s="207">
        <f>B13/C13</f>
        <v>0.5714285714285714</v>
      </c>
      <c r="E13" s="57"/>
      <c r="F13" s="57">
        <f>ROUND(D13*E12,2)</f>
        <v>439.57</v>
      </c>
      <c r="G13" s="208"/>
      <c r="H13" s="211"/>
      <c r="I13" s="211"/>
      <c r="J13" s="211"/>
      <c r="K13" s="57">
        <f>-191.25*D13</f>
        <v>-109.28571428571428</v>
      </c>
      <c r="L13" s="211"/>
      <c r="M13" s="58">
        <f>-6.08*D13</f>
        <v>-3.4742857142857142</v>
      </c>
      <c r="N13" s="211"/>
      <c r="O13" s="59"/>
      <c r="P13" s="59"/>
      <c r="Q13" s="59">
        <f t="shared" si="0"/>
        <v>-112.75999999999999</v>
      </c>
    </row>
    <row r="14" spans="1:17">
      <c r="A14" s="125" t="s">
        <v>149</v>
      </c>
      <c r="B14" s="133"/>
      <c r="C14" s="133"/>
      <c r="D14" s="127"/>
      <c r="E14" s="57"/>
      <c r="F14" s="57"/>
      <c r="G14" s="57"/>
      <c r="H14" s="59"/>
      <c r="I14" s="59"/>
      <c r="J14" s="59"/>
      <c r="K14" s="59"/>
      <c r="L14" s="59"/>
      <c r="M14" s="59"/>
      <c r="N14" s="59"/>
      <c r="O14" s="59"/>
      <c r="P14" s="59"/>
      <c r="Q14" s="59">
        <f t="shared" si="0"/>
        <v>0</v>
      </c>
    </row>
    <row r="15" spans="1:17">
      <c r="A15" s="51" t="s">
        <v>66</v>
      </c>
      <c r="B15" s="134"/>
      <c r="C15" s="251">
        <f>SUM(C6:C14)</f>
        <v>234</v>
      </c>
      <c r="D15" s="52"/>
      <c r="E15" s="62">
        <f>SUBTOTAL(109,'Salaries &amp; Fringe Allocations'!E6:E14)</f>
        <v>4519.2699999999995</v>
      </c>
      <c r="F15" s="62">
        <f>SUBTOTAL(109,'Salaries &amp; Fringe Allocations'!F6:F14)</f>
        <v>3257.73</v>
      </c>
      <c r="G15" s="209"/>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160</v>
      </c>
      <c r="B17" s="130" t="s">
        <v>159</v>
      </c>
      <c r="C17" s="131"/>
      <c r="D17" s="126">
        <v>43672</v>
      </c>
      <c r="E17" s="24"/>
      <c r="F17" s="24"/>
      <c r="G17" s="24"/>
      <c r="H17" s="25"/>
      <c r="I17" s="28"/>
      <c r="J17" s="26"/>
      <c r="K17" s="26"/>
      <c r="L17" s="26"/>
      <c r="M17" s="26"/>
      <c r="N17" s="27"/>
      <c r="O17" s="28"/>
      <c r="P17" s="29"/>
      <c r="Q17" s="30"/>
    </row>
    <row r="18" spans="1:18" s="3" customFormat="1" ht="43.5">
      <c r="A18" s="53" t="s">
        <v>61</v>
      </c>
      <c r="B18" s="132" t="s">
        <v>68</v>
      </c>
      <c r="C18" s="132" t="s">
        <v>69</v>
      </c>
      <c r="D18" s="54" t="s">
        <v>62</v>
      </c>
      <c r="E18" s="54" t="s">
        <v>63</v>
      </c>
      <c r="F18" s="54" t="s">
        <v>67</v>
      </c>
      <c r="G18" s="54"/>
      <c r="H18" s="55" t="s">
        <v>289</v>
      </c>
      <c r="I18" s="54" t="s">
        <v>288</v>
      </c>
      <c r="J18" s="55" t="s">
        <v>291</v>
      </c>
      <c r="K18" s="55" t="s">
        <v>292</v>
      </c>
      <c r="L18" s="55" t="s">
        <v>283</v>
      </c>
      <c r="M18" s="55" t="s">
        <v>293</v>
      </c>
      <c r="N18" s="54" t="s">
        <v>290</v>
      </c>
      <c r="O18" s="54" t="s">
        <v>64</v>
      </c>
      <c r="P18" s="54" t="s">
        <v>139</v>
      </c>
      <c r="Q18" s="54" t="s">
        <v>65</v>
      </c>
    </row>
    <row r="19" spans="1:18" s="3" customFormat="1">
      <c r="A19" s="125" t="s">
        <v>294</v>
      </c>
      <c r="B19" s="133">
        <v>14</v>
      </c>
      <c r="C19" s="133">
        <v>70</v>
      </c>
      <c r="D19" s="207">
        <f t="shared" ref="D19:D25" si="3">B19/C19</f>
        <v>0.2</v>
      </c>
      <c r="E19" s="212">
        <v>3153.85</v>
      </c>
      <c r="F19" s="57">
        <f t="shared" ref="F19:F25" si="4">ROUND(D19*E19,2)</f>
        <v>630.77</v>
      </c>
      <c r="G19" s="208"/>
      <c r="H19" s="211"/>
      <c r="I19" s="211"/>
      <c r="J19" s="211"/>
      <c r="K19" s="57">
        <f>-103.26*D19</f>
        <v>-20.652000000000001</v>
      </c>
      <c r="L19" s="211"/>
      <c r="M19" s="58">
        <f>-3.37*D19</f>
        <v>-0.67400000000000004</v>
      </c>
      <c r="N19" s="211"/>
      <c r="O19" s="57"/>
      <c r="P19" s="57"/>
      <c r="Q19" s="59">
        <f t="shared" ref="Q19:Q27" si="5">SUM(H19:P19)</f>
        <v>-21.326000000000001</v>
      </c>
    </row>
    <row r="20" spans="1:18" s="3" customFormat="1" ht="15" customHeight="1">
      <c r="A20" s="125" t="s">
        <v>161</v>
      </c>
      <c r="B20" s="133">
        <f>14+15</f>
        <v>29</v>
      </c>
      <c r="C20" s="133">
        <v>70</v>
      </c>
      <c r="D20" s="207">
        <f t="shared" si="3"/>
        <v>0.41428571428571431</v>
      </c>
      <c r="E20" s="212">
        <v>2500</v>
      </c>
      <c r="F20" s="212">
        <f t="shared" si="4"/>
        <v>1035.71</v>
      </c>
      <c r="G20" s="213"/>
      <c r="H20" s="211"/>
      <c r="I20" s="211"/>
      <c r="J20" s="211"/>
      <c r="K20" s="212">
        <f>-97.01*D20</f>
        <v>-40.18985714285715</v>
      </c>
      <c r="L20" s="211"/>
      <c r="M20" s="58">
        <f>-3.37*D20</f>
        <v>-1.3961428571428574</v>
      </c>
      <c r="N20" s="211"/>
      <c r="O20" s="57"/>
      <c r="P20" s="57"/>
      <c r="Q20" s="59">
        <f t="shared" si="5"/>
        <v>-41.586000000000006</v>
      </c>
    </row>
    <row r="21" spans="1:18" s="3" customFormat="1">
      <c r="A21" s="125" t="s">
        <v>162</v>
      </c>
      <c r="B21" s="133">
        <f>21+20</f>
        <v>41</v>
      </c>
      <c r="C21" s="133"/>
      <c r="D21" s="207">
        <f>B21/C20</f>
        <v>0.58571428571428574</v>
      </c>
      <c r="E21" s="212">
        <v>0</v>
      </c>
      <c r="F21" s="57">
        <f>ROUND(D21*E20,2)</f>
        <v>1464.29</v>
      </c>
      <c r="G21" s="213"/>
      <c r="H21" s="211"/>
      <c r="I21" s="211"/>
      <c r="J21" s="211"/>
      <c r="K21" s="212">
        <f>-97.01*D21</f>
        <v>-56.820142857142862</v>
      </c>
      <c r="L21" s="211"/>
      <c r="M21" s="58">
        <f>-3.37*D21</f>
        <v>-1.973857142857143</v>
      </c>
      <c r="N21" s="211"/>
      <c r="O21" s="57"/>
      <c r="P21" s="57"/>
      <c r="Q21" s="59">
        <f t="shared" si="5"/>
        <v>-58.794000000000004</v>
      </c>
    </row>
    <row r="22" spans="1:18" s="3" customFormat="1" ht="15" customHeight="1">
      <c r="A22" s="125" t="s">
        <v>165</v>
      </c>
      <c r="B22" s="133">
        <v>35</v>
      </c>
      <c r="C22" s="133">
        <v>35</v>
      </c>
      <c r="D22" s="207">
        <f t="shared" si="3"/>
        <v>1</v>
      </c>
      <c r="E22" s="212">
        <v>769.24</v>
      </c>
      <c r="F22" s="212">
        <f t="shared" si="4"/>
        <v>769.24</v>
      </c>
      <c r="G22" s="213"/>
      <c r="H22" s="211"/>
      <c r="I22" s="211"/>
      <c r="J22" s="211"/>
      <c r="K22" s="212">
        <v>0</v>
      </c>
      <c r="L22" s="211"/>
      <c r="M22" s="58"/>
      <c r="N22" s="211"/>
      <c r="O22" s="57"/>
      <c r="P22" s="57"/>
      <c r="Q22" s="59">
        <f t="shared" si="5"/>
        <v>0</v>
      </c>
    </row>
    <row r="23" spans="1:18" s="3" customFormat="1">
      <c r="A23" s="125" t="s">
        <v>166</v>
      </c>
      <c r="B23" s="133">
        <v>70</v>
      </c>
      <c r="C23" s="133">
        <v>70</v>
      </c>
      <c r="D23" s="207">
        <f t="shared" si="3"/>
        <v>1</v>
      </c>
      <c r="E23" s="212">
        <v>1153.8499999999999</v>
      </c>
      <c r="F23" s="212">
        <f t="shared" si="4"/>
        <v>1153.8499999999999</v>
      </c>
      <c r="G23" s="213"/>
      <c r="H23" s="211"/>
      <c r="I23" s="211"/>
      <c r="J23" s="211"/>
      <c r="K23" s="212">
        <f>-103.26*D23</f>
        <v>-103.26</v>
      </c>
      <c r="L23" s="211"/>
      <c r="M23" s="58"/>
      <c r="N23" s="211"/>
      <c r="O23" s="57"/>
      <c r="P23" s="57"/>
      <c r="Q23" s="59">
        <f t="shared" si="5"/>
        <v>-103.26</v>
      </c>
    </row>
    <row r="24" spans="1:18" s="3" customFormat="1">
      <c r="A24" s="125" t="s">
        <v>167</v>
      </c>
      <c r="B24" s="133">
        <v>60</v>
      </c>
      <c r="C24" s="133">
        <v>60</v>
      </c>
      <c r="D24" s="207">
        <f t="shared" si="3"/>
        <v>1</v>
      </c>
      <c r="E24" s="212">
        <v>865.2</v>
      </c>
      <c r="F24" s="212">
        <f t="shared" si="4"/>
        <v>865.2</v>
      </c>
      <c r="G24" s="213"/>
      <c r="H24" s="211"/>
      <c r="I24" s="211"/>
      <c r="J24" s="211"/>
      <c r="K24" s="212">
        <v>0</v>
      </c>
      <c r="L24" s="211"/>
      <c r="M24" s="59"/>
      <c r="N24" s="211"/>
      <c r="O24" s="57"/>
      <c r="P24" s="57"/>
      <c r="Q24" s="59">
        <f t="shared" si="5"/>
        <v>0</v>
      </c>
    </row>
    <row r="25" spans="1:18" s="3" customFormat="1">
      <c r="A25" s="125" t="s">
        <v>163</v>
      </c>
      <c r="B25" s="133">
        <v>30</v>
      </c>
      <c r="C25" s="133">
        <v>70</v>
      </c>
      <c r="D25" s="207">
        <f t="shared" si="3"/>
        <v>0.42857142857142855</v>
      </c>
      <c r="E25" s="212">
        <v>1538.47</v>
      </c>
      <c r="F25" s="212">
        <f t="shared" si="4"/>
        <v>659.34</v>
      </c>
      <c r="G25" s="213"/>
      <c r="H25" s="211"/>
      <c r="I25" s="211"/>
      <c r="J25" s="211"/>
      <c r="K25" s="212">
        <f>-127.17*D25</f>
        <v>-54.501428571428569</v>
      </c>
      <c r="L25" s="211"/>
      <c r="M25" s="58">
        <f>-6.08*D25</f>
        <v>-2.6057142857142854</v>
      </c>
      <c r="N25" s="211"/>
      <c r="O25" s="57"/>
      <c r="P25" s="57"/>
      <c r="Q25" s="59">
        <f t="shared" si="5"/>
        <v>-57.107142857142854</v>
      </c>
    </row>
    <row r="26" spans="1:18" s="3" customFormat="1">
      <c r="A26" s="125" t="s">
        <v>164</v>
      </c>
      <c r="B26" s="133">
        <v>40</v>
      </c>
      <c r="C26" s="133"/>
      <c r="D26" s="207">
        <f>B26/C25</f>
        <v>0.5714285714285714</v>
      </c>
      <c r="E26" s="212">
        <v>0</v>
      </c>
      <c r="F26" s="57">
        <f>ROUND(D26*E25,2)</f>
        <v>879.13</v>
      </c>
      <c r="G26" s="213"/>
      <c r="H26" s="211"/>
      <c r="I26" s="211"/>
      <c r="J26" s="211"/>
      <c r="K26" s="212">
        <f>-127.17*D26</f>
        <v>-72.668571428571425</v>
      </c>
      <c r="L26" s="211"/>
      <c r="M26" s="58">
        <f>-6.08*D26</f>
        <v>-3.4742857142857142</v>
      </c>
      <c r="N26" s="211"/>
      <c r="O26" s="57"/>
      <c r="P26" s="57"/>
      <c r="Q26" s="59">
        <f t="shared" si="5"/>
        <v>-76.142857142857139</v>
      </c>
    </row>
    <row r="27" spans="1:18" s="3" customFormat="1">
      <c r="A27" s="125" t="s">
        <v>149</v>
      </c>
      <c r="B27" s="133"/>
      <c r="C27" s="133"/>
      <c r="D27" s="127"/>
      <c r="E27" s="212"/>
      <c r="F27" s="212"/>
      <c r="G27" s="212"/>
      <c r="H27" s="59"/>
      <c r="I27" s="59"/>
      <c r="J27" s="59"/>
      <c r="K27" s="59"/>
      <c r="L27" s="59"/>
      <c r="M27" s="57"/>
      <c r="N27" s="59"/>
      <c r="O27" s="59"/>
      <c r="P27" s="59"/>
      <c r="Q27" s="59">
        <f t="shared" si="5"/>
        <v>0</v>
      </c>
    </row>
    <row r="28" spans="1:18">
      <c r="A28" s="60" t="s">
        <v>66</v>
      </c>
      <c r="B28" s="135"/>
      <c r="C28" s="251">
        <f>SUM(C19:C27)</f>
        <v>375</v>
      </c>
      <c r="D28" s="61"/>
      <c r="E28" s="62">
        <f>SUBTOTAL(109,'Salaries &amp; Fringe Allocations'!E19:E27)</f>
        <v>9980.61</v>
      </c>
      <c r="F28" s="62">
        <f>SUBTOTAL(109,'Salaries &amp; Fringe Allocations'!F19:F27)</f>
        <v>7457.5300000000007</v>
      </c>
      <c r="G28" s="209"/>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0" t="s">
        <v>296</v>
      </c>
      <c r="B30" s="131"/>
      <c r="C30" s="131"/>
      <c r="D30" s="22"/>
      <c r="E30" s="24"/>
      <c r="F30" s="24"/>
      <c r="G30" s="24"/>
      <c r="H30" s="25"/>
      <c r="I30" s="28"/>
      <c r="J30" s="26"/>
      <c r="K30" s="26"/>
      <c r="L30" s="26"/>
      <c r="M30" s="26"/>
      <c r="N30" s="27"/>
      <c r="O30" s="28"/>
      <c r="P30" s="29"/>
      <c r="Q30" s="30"/>
    </row>
    <row r="31" spans="1:18" s="3" customFormat="1" ht="43.5">
      <c r="A31" s="53" t="s">
        <v>61</v>
      </c>
      <c r="B31" s="132" t="s">
        <v>68</v>
      </c>
      <c r="C31" s="132" t="s">
        <v>69</v>
      </c>
      <c r="D31" s="54" t="s">
        <v>62</v>
      </c>
      <c r="E31" s="54" t="s">
        <v>63</v>
      </c>
      <c r="F31" s="54" t="s">
        <v>67</v>
      </c>
      <c r="G31" s="54" t="s">
        <v>295</v>
      </c>
      <c r="H31" s="55" t="s">
        <v>289</v>
      </c>
      <c r="I31" s="54" t="s">
        <v>288</v>
      </c>
      <c r="J31" s="55" t="s">
        <v>291</v>
      </c>
      <c r="K31" s="55" t="s">
        <v>292</v>
      </c>
      <c r="L31" s="55" t="s">
        <v>283</v>
      </c>
      <c r="M31" s="55" t="s">
        <v>293</v>
      </c>
      <c r="N31" s="54" t="s">
        <v>290</v>
      </c>
      <c r="O31" s="54" t="s">
        <v>64</v>
      </c>
      <c r="P31" s="54" t="s">
        <v>139</v>
      </c>
      <c r="Q31" s="54" t="s">
        <v>65</v>
      </c>
    </row>
    <row r="32" spans="1:18">
      <c r="A32" s="125" t="s">
        <v>294</v>
      </c>
      <c r="B32" s="136">
        <f t="shared" ref="B32:C39" si="6">+B6+B19</f>
        <v>21</v>
      </c>
      <c r="C32" s="136">
        <f t="shared" si="6"/>
        <v>105</v>
      </c>
      <c r="D32" s="214">
        <f t="shared" ref="D32:D38" si="7">B32/C32</f>
        <v>0.2</v>
      </c>
      <c r="E32" s="57">
        <f t="shared" ref="E32:E39" si="8">+E6+E19</f>
        <v>4730.7699999999995</v>
      </c>
      <c r="F32" s="57">
        <f t="shared" ref="F32:F38" si="9">ROUND(D32*E32,2)</f>
        <v>946.15</v>
      </c>
      <c r="G32" s="208">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5" t="s">
        <v>161</v>
      </c>
      <c r="B33" s="136">
        <f t="shared" si="6"/>
        <v>43.5</v>
      </c>
      <c r="C33" s="136">
        <f t="shared" si="6"/>
        <v>105</v>
      </c>
      <c r="D33" s="214">
        <f t="shared" si="7"/>
        <v>0.41428571428571431</v>
      </c>
      <c r="E33" s="57">
        <f t="shared" si="8"/>
        <v>3750</v>
      </c>
      <c r="F33" s="57">
        <f t="shared" si="9"/>
        <v>1553.57</v>
      </c>
      <c r="G33" s="208">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5" t="s">
        <v>162</v>
      </c>
      <c r="B34" s="136">
        <f t="shared" si="6"/>
        <v>61.5</v>
      </c>
      <c r="C34" s="136"/>
      <c r="D34" s="214">
        <f>B34/C33</f>
        <v>0.58571428571428574</v>
      </c>
      <c r="E34" s="57">
        <f t="shared" si="8"/>
        <v>0</v>
      </c>
      <c r="F34" s="57">
        <f>ROUND(D34*E33,2)</f>
        <v>2196.4299999999998</v>
      </c>
      <c r="G34" s="208">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5" t="s">
        <v>165</v>
      </c>
      <c r="B35" s="136">
        <f t="shared" si="6"/>
        <v>35</v>
      </c>
      <c r="C35" s="136">
        <f t="shared" si="6"/>
        <v>35</v>
      </c>
      <c r="D35" s="214">
        <f t="shared" si="7"/>
        <v>1</v>
      </c>
      <c r="E35" s="57">
        <f t="shared" si="8"/>
        <v>769.24</v>
      </c>
      <c r="F35" s="57">
        <f t="shared" si="9"/>
        <v>769.24</v>
      </c>
      <c r="G35" s="208">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5" t="s">
        <v>166</v>
      </c>
      <c r="B36" s="136">
        <f t="shared" si="6"/>
        <v>105</v>
      </c>
      <c r="C36" s="136">
        <f t="shared" si="6"/>
        <v>105</v>
      </c>
      <c r="D36" s="214">
        <f t="shared" si="7"/>
        <v>1</v>
      </c>
      <c r="E36" s="57">
        <f t="shared" si="8"/>
        <v>1730.8799999999999</v>
      </c>
      <c r="F36" s="57">
        <f t="shared" si="9"/>
        <v>1730.88</v>
      </c>
      <c r="G36" s="208">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5" t="s">
        <v>167</v>
      </c>
      <c r="B37" s="136">
        <f t="shared" si="6"/>
        <v>84</v>
      </c>
      <c r="C37" s="136">
        <f t="shared" si="6"/>
        <v>84</v>
      </c>
      <c r="D37" s="214">
        <f t="shared" si="7"/>
        <v>1</v>
      </c>
      <c r="E37" s="57">
        <f t="shared" si="8"/>
        <v>1211.2800000000002</v>
      </c>
      <c r="F37" s="57">
        <f t="shared" si="9"/>
        <v>1211.28</v>
      </c>
      <c r="G37" s="208">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5" t="s">
        <v>163</v>
      </c>
      <c r="B38" s="136">
        <f t="shared" si="6"/>
        <v>45</v>
      </c>
      <c r="C38" s="136">
        <f t="shared" si="6"/>
        <v>105</v>
      </c>
      <c r="D38" s="214">
        <f t="shared" si="7"/>
        <v>0.42857142857142855</v>
      </c>
      <c r="E38" s="57">
        <f t="shared" si="8"/>
        <v>2307.71</v>
      </c>
      <c r="F38" s="57">
        <f t="shared" si="9"/>
        <v>989.02</v>
      </c>
      <c r="G38" s="208">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5" t="s">
        <v>164</v>
      </c>
      <c r="B39" s="136">
        <f t="shared" si="6"/>
        <v>60</v>
      </c>
      <c r="C39" s="136"/>
      <c r="D39" s="214">
        <f>B39/C38</f>
        <v>0.5714285714285714</v>
      </c>
      <c r="E39" s="57">
        <f t="shared" si="8"/>
        <v>0</v>
      </c>
      <c r="F39" s="57">
        <f>ROUND(D39*E38,2)</f>
        <v>1318.69</v>
      </c>
      <c r="G39" s="208">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5" t="s">
        <v>149</v>
      </c>
      <c r="B40" s="136"/>
      <c r="C40" s="136"/>
      <c r="D40" s="128"/>
      <c r="E40" s="57"/>
      <c r="F40" s="57"/>
      <c r="G40" s="57"/>
      <c r="H40" s="57"/>
      <c r="I40" s="57"/>
      <c r="J40" s="57"/>
      <c r="K40" s="57"/>
      <c r="L40" s="57"/>
      <c r="M40" s="57"/>
      <c r="N40" s="59"/>
      <c r="O40" s="57"/>
      <c r="P40" s="57"/>
      <c r="Q40" s="59">
        <f t="shared" si="14"/>
        <v>0</v>
      </c>
      <c r="R40" s="3" t="s">
        <v>24</v>
      </c>
    </row>
    <row r="41" spans="1:18">
      <c r="A41" s="60" t="s">
        <v>323</v>
      </c>
      <c r="B41" s="135"/>
      <c r="C41" s="251">
        <f>SUM(C32:C40)</f>
        <v>539</v>
      </c>
      <c r="D41" s="61"/>
      <c r="E41" s="62">
        <f>SUBTOTAL(109,'Salaries &amp; Fringe Allocations'!E32:E40)</f>
        <v>14499.880000000001</v>
      </c>
      <c r="F41" s="62">
        <f>SUBTOTAL(109,'Salaries &amp; Fringe Allocations'!F32:F40)</f>
        <v>10715.26</v>
      </c>
      <c r="G41" s="209">
        <f>SUM(G32:G40)</f>
        <v>0.99999999999999989</v>
      </c>
      <c r="H41" s="250">
        <f>SUBTOTAL(109,'Salaries &amp; Fringe Allocations'!H32:H40)</f>
        <v>1075.3299999999997</v>
      </c>
      <c r="I41" s="250">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2"/>
      <c r="B42" s="217"/>
      <c r="C42" s="217"/>
      <c r="D42" s="216"/>
      <c r="E42" s="216"/>
      <c r="F42" s="218"/>
      <c r="G42" s="218"/>
      <c r="H42" s="218"/>
      <c r="I42" s="218"/>
      <c r="J42" s="218"/>
      <c r="K42" s="218"/>
      <c r="L42" s="218"/>
      <c r="M42" s="218"/>
      <c r="N42" s="218"/>
      <c r="O42" s="218"/>
      <c r="P42" s="218"/>
      <c r="Q42" s="218"/>
    </row>
    <row r="43" spans="1:18" s="1" customFormat="1" ht="15" thickBot="1">
      <c r="A43" s="253"/>
      <c r="B43" s="254"/>
      <c r="C43" s="254"/>
      <c r="D43" s="255"/>
      <c r="E43" s="255"/>
      <c r="F43" s="256"/>
      <c r="G43" s="257"/>
      <c r="H43" s="257"/>
      <c r="I43" s="257"/>
      <c r="J43" s="256"/>
      <c r="K43" s="256"/>
      <c r="L43" s="257"/>
      <c r="M43" s="257"/>
      <c r="N43" s="257"/>
      <c r="O43" s="257"/>
      <c r="P43" s="257"/>
      <c r="Q43" s="257"/>
    </row>
    <row r="44" spans="1:18" ht="15" thickTop="1"/>
    <row r="45" spans="1:18" s="3" customFormat="1">
      <c r="A45" s="23" t="s">
        <v>360</v>
      </c>
      <c r="B45" s="130" t="s">
        <v>159</v>
      </c>
      <c r="C45" s="131"/>
      <c r="D45" s="126">
        <v>43686</v>
      </c>
      <c r="E45" s="24"/>
      <c r="F45" s="24"/>
      <c r="G45" s="24"/>
      <c r="H45" s="25"/>
      <c r="I45" s="28"/>
      <c r="J45" s="26"/>
      <c r="K45" s="26"/>
      <c r="L45" s="26"/>
      <c r="M45" s="26"/>
      <c r="N45" s="27"/>
      <c r="O45" s="28"/>
      <c r="P45" s="29"/>
      <c r="Q45" s="30"/>
    </row>
    <row r="46" spans="1:18" s="3" customFormat="1" ht="43.5">
      <c r="A46" s="53" t="s">
        <v>61</v>
      </c>
      <c r="B46" s="132" t="s">
        <v>68</v>
      </c>
      <c r="C46" s="132" t="s">
        <v>69</v>
      </c>
      <c r="D46" s="54" t="s">
        <v>62</v>
      </c>
      <c r="E46" s="54" t="s">
        <v>63</v>
      </c>
      <c r="F46" s="54" t="s">
        <v>67</v>
      </c>
      <c r="G46" s="54"/>
      <c r="H46" s="55" t="s">
        <v>289</v>
      </c>
      <c r="I46" s="54" t="s">
        <v>288</v>
      </c>
      <c r="J46" s="55" t="s">
        <v>291</v>
      </c>
      <c r="K46" s="55" t="s">
        <v>292</v>
      </c>
      <c r="L46" s="55" t="s">
        <v>283</v>
      </c>
      <c r="M46" s="55" t="s">
        <v>293</v>
      </c>
      <c r="N46" s="54" t="s">
        <v>290</v>
      </c>
      <c r="O46" s="54" t="s">
        <v>64</v>
      </c>
      <c r="P46" s="54" t="s">
        <v>139</v>
      </c>
      <c r="Q46" s="54" t="s">
        <v>65</v>
      </c>
    </row>
    <row r="47" spans="1:18" s="3" customFormat="1">
      <c r="A47" s="125" t="s">
        <v>294</v>
      </c>
      <c r="B47" s="133">
        <v>14</v>
      </c>
      <c r="C47" s="133">
        <v>70</v>
      </c>
      <c r="D47" s="207">
        <f t="shared" ref="D47:D55" si="15">B47/C47</f>
        <v>0.2</v>
      </c>
      <c r="E47" s="57">
        <v>3153.85</v>
      </c>
      <c r="F47" s="57">
        <f>ROUND(D47*E47,2)</f>
        <v>630.77</v>
      </c>
      <c r="G47" s="208"/>
      <c r="H47" s="211"/>
      <c r="I47" s="211"/>
      <c r="J47" s="211"/>
      <c r="K47" s="57">
        <f>-103.26*D47</f>
        <v>-20.652000000000001</v>
      </c>
      <c r="L47" s="211"/>
      <c r="M47" s="58">
        <f>-3.37*D47</f>
        <v>-0.67400000000000004</v>
      </c>
      <c r="N47" s="211"/>
      <c r="O47" s="56"/>
      <c r="P47" s="56"/>
      <c r="Q47" s="59">
        <f t="shared" ref="Q47:Q55" si="16">SUM(H47:P47)</f>
        <v>-21.326000000000001</v>
      </c>
    </row>
    <row r="48" spans="1:18" s="3" customFormat="1" ht="15" customHeight="1">
      <c r="A48" s="125" t="s">
        <v>161</v>
      </c>
      <c r="B48" s="133">
        <f>14.5+15.5</f>
        <v>30</v>
      </c>
      <c r="C48" s="133">
        <v>70</v>
      </c>
      <c r="D48" s="207">
        <f t="shared" si="15"/>
        <v>0.42857142857142855</v>
      </c>
      <c r="E48" s="57">
        <v>2500</v>
      </c>
      <c r="F48" s="57">
        <f>ROUND(D48*E48,2)</f>
        <v>1071.43</v>
      </c>
      <c r="G48" s="208"/>
      <c r="H48" s="211"/>
      <c r="I48" s="211"/>
      <c r="J48" s="211"/>
      <c r="K48" s="57">
        <f>-97.01*D48</f>
        <v>-41.575714285714284</v>
      </c>
      <c r="L48" s="211"/>
      <c r="M48" s="58">
        <f>-3.37*D48</f>
        <v>-1.4442857142857142</v>
      </c>
      <c r="N48" s="211"/>
      <c r="O48" s="56"/>
      <c r="P48" s="56"/>
      <c r="Q48" s="59">
        <f t="shared" si="16"/>
        <v>-43.019999999999996</v>
      </c>
    </row>
    <row r="49" spans="1:17" s="3" customFormat="1">
      <c r="A49" s="125" t="s">
        <v>162</v>
      </c>
      <c r="B49" s="133">
        <f>20.5+19.5</f>
        <v>40</v>
      </c>
      <c r="C49" s="133">
        <v>70</v>
      </c>
      <c r="D49" s="207">
        <f t="shared" si="15"/>
        <v>0.5714285714285714</v>
      </c>
      <c r="E49" s="57"/>
      <c r="F49" s="57">
        <f>ROUND(D49*E48,2)</f>
        <v>1428.57</v>
      </c>
      <c r="G49" s="208"/>
      <c r="H49" s="211"/>
      <c r="I49" s="211"/>
      <c r="J49" s="211"/>
      <c r="K49" s="57">
        <f>-97.01*D49</f>
        <v>-55.434285714285714</v>
      </c>
      <c r="L49" s="211"/>
      <c r="M49" s="58">
        <f>-3.37*D49</f>
        <v>-1.9257142857142857</v>
      </c>
      <c r="N49" s="211"/>
      <c r="O49" s="56"/>
      <c r="P49" s="56"/>
      <c r="Q49" s="59">
        <f t="shared" si="16"/>
        <v>-57.36</v>
      </c>
    </row>
    <row r="50" spans="1:17" s="3" customFormat="1" ht="15" customHeight="1">
      <c r="A50" s="125" t="s">
        <v>165</v>
      </c>
      <c r="B50" s="133">
        <v>70</v>
      </c>
      <c r="C50" s="133">
        <v>70</v>
      </c>
      <c r="D50" s="207">
        <f t="shared" si="15"/>
        <v>1</v>
      </c>
      <c r="E50" s="57">
        <v>1538.47</v>
      </c>
      <c r="F50" s="57">
        <f t="shared" ref="F50:F52" si="17">ROUND(E50,2)</f>
        <v>1538.47</v>
      </c>
      <c r="G50" s="208"/>
      <c r="H50" s="211"/>
      <c r="I50" s="211"/>
      <c r="J50" s="211"/>
      <c r="K50" s="57">
        <v>0</v>
      </c>
      <c r="L50" s="211"/>
      <c r="M50" s="58"/>
      <c r="N50" s="211"/>
      <c r="O50" s="56"/>
      <c r="P50" s="56"/>
      <c r="Q50" s="59">
        <f t="shared" si="16"/>
        <v>0</v>
      </c>
    </row>
    <row r="51" spans="1:17" s="3" customFormat="1">
      <c r="A51" s="125" t="s">
        <v>166</v>
      </c>
      <c r="B51" s="133">
        <v>70</v>
      </c>
      <c r="C51" s="133">
        <v>70</v>
      </c>
      <c r="D51" s="207">
        <f t="shared" si="15"/>
        <v>1</v>
      </c>
      <c r="E51" s="57">
        <v>1153.8499999999999</v>
      </c>
      <c r="F51" s="57">
        <f t="shared" si="17"/>
        <v>1153.8499999999999</v>
      </c>
      <c r="G51" s="208"/>
      <c r="H51" s="211"/>
      <c r="I51" s="211"/>
      <c r="J51" s="211"/>
      <c r="K51" s="57">
        <f>-103.26*D51</f>
        <v>-103.26</v>
      </c>
      <c r="L51" s="211"/>
      <c r="M51" s="58"/>
      <c r="N51" s="211"/>
      <c r="O51" s="56"/>
      <c r="P51" s="56"/>
      <c r="Q51" s="59">
        <f t="shared" si="16"/>
        <v>-103.26</v>
      </c>
    </row>
    <row r="52" spans="1:17" s="3" customFormat="1">
      <c r="A52" s="125" t="s">
        <v>167</v>
      </c>
      <c r="B52" s="133">
        <v>60</v>
      </c>
      <c r="C52" s="133">
        <v>60</v>
      </c>
      <c r="D52" s="207">
        <f t="shared" si="15"/>
        <v>1</v>
      </c>
      <c r="E52" s="57">
        <v>865.2</v>
      </c>
      <c r="F52" s="57">
        <f t="shared" si="17"/>
        <v>865.2</v>
      </c>
      <c r="G52" s="208"/>
      <c r="H52" s="211"/>
      <c r="I52" s="211"/>
      <c r="J52" s="211"/>
      <c r="K52" s="57">
        <v>0</v>
      </c>
      <c r="L52" s="211"/>
      <c r="M52" s="59"/>
      <c r="N52" s="211"/>
      <c r="O52" s="59"/>
      <c r="P52" s="59"/>
      <c r="Q52" s="59">
        <f t="shared" si="16"/>
        <v>0</v>
      </c>
    </row>
    <row r="53" spans="1:17" s="3" customFormat="1">
      <c r="A53" s="125" t="s">
        <v>163</v>
      </c>
      <c r="B53" s="133">
        <v>30</v>
      </c>
      <c r="C53" s="133">
        <v>70</v>
      </c>
      <c r="D53" s="207">
        <f t="shared" si="15"/>
        <v>0.42857142857142855</v>
      </c>
      <c r="E53" s="57">
        <v>1538.47</v>
      </c>
      <c r="F53" s="57">
        <f>ROUND(D53*E53,2)</f>
        <v>659.34</v>
      </c>
      <c r="G53" s="208"/>
      <c r="H53" s="211"/>
      <c r="I53" s="211"/>
      <c r="J53" s="211"/>
      <c r="K53" s="57">
        <f>-127.17*D53</f>
        <v>-54.501428571428569</v>
      </c>
      <c r="L53" s="211"/>
      <c r="M53" s="58">
        <f>-6.08*D53</f>
        <v>-2.6057142857142854</v>
      </c>
      <c r="N53" s="211"/>
      <c r="O53" s="59"/>
      <c r="P53" s="59"/>
      <c r="Q53" s="59">
        <f t="shared" si="16"/>
        <v>-57.107142857142854</v>
      </c>
    </row>
    <row r="54" spans="1:17" s="3" customFormat="1">
      <c r="A54" s="125" t="s">
        <v>164</v>
      </c>
      <c r="B54" s="133">
        <f>18.25*2</f>
        <v>36.5</v>
      </c>
      <c r="C54" s="133">
        <v>70</v>
      </c>
      <c r="D54" s="207">
        <f t="shared" si="15"/>
        <v>0.52142857142857146</v>
      </c>
      <c r="E54" s="57"/>
      <c r="F54" s="57">
        <f>ROUND(D54*E53,2)</f>
        <v>802.2</v>
      </c>
      <c r="G54" s="208"/>
      <c r="H54" s="211"/>
      <c r="I54" s="211"/>
      <c r="J54" s="211"/>
      <c r="K54" s="57">
        <f>-127.17*D54</f>
        <v>-66.310071428571433</v>
      </c>
      <c r="L54" s="211"/>
      <c r="M54" s="58">
        <f>-6.08*D54</f>
        <v>-3.1702857142857144</v>
      </c>
      <c r="N54" s="211"/>
      <c r="O54" s="59"/>
      <c r="P54" s="59"/>
      <c r="Q54" s="59">
        <f t="shared" si="16"/>
        <v>-69.480357142857144</v>
      </c>
    </row>
    <row r="55" spans="1:17" s="3" customFormat="1">
      <c r="A55" s="125" t="s">
        <v>363</v>
      </c>
      <c r="B55" s="133">
        <v>7</v>
      </c>
      <c r="C55" s="133">
        <v>70</v>
      </c>
      <c r="D55" s="127">
        <f t="shared" si="15"/>
        <v>0.1</v>
      </c>
      <c r="E55" s="57">
        <v>4230.7700000000004</v>
      </c>
      <c r="F55" s="57">
        <f>ROUND(D55*E55,2)</f>
        <v>423.08</v>
      </c>
      <c r="G55" s="57"/>
      <c r="H55" s="211"/>
      <c r="I55" s="211"/>
      <c r="J55" s="211"/>
      <c r="K55" s="57">
        <f>-103.26*D55</f>
        <v>-10.326000000000001</v>
      </c>
      <c r="L55" s="211"/>
      <c r="M55" s="58">
        <f>-3.37*D55</f>
        <v>-0.33700000000000002</v>
      </c>
      <c r="N55" s="211"/>
      <c r="O55" s="59"/>
      <c r="P55" s="59"/>
      <c r="Q55" s="59">
        <f t="shared" si="16"/>
        <v>-10.663</v>
      </c>
    </row>
    <row r="56" spans="1:17" s="3" customFormat="1">
      <c r="A56" s="51" t="s">
        <v>66</v>
      </c>
      <c r="B56" s="134"/>
      <c r="C56" s="251"/>
      <c r="D56" s="52"/>
      <c r="E56" s="62">
        <f>SUBTOTAL(109,'Salaries &amp; Fringe Allocations'!E47:E55)</f>
        <v>14980.61</v>
      </c>
      <c r="F56" s="62">
        <f>SUBTOTAL(109,'Salaries &amp; Fringe Allocations'!F47:F55)</f>
        <v>8572.91</v>
      </c>
      <c r="G56" s="209"/>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7"/>
      <c r="C57" s="137"/>
    </row>
    <row r="58" spans="1:17" s="3" customFormat="1">
      <c r="A58" s="23" t="s">
        <v>361</v>
      </c>
      <c r="B58" s="130" t="s">
        <v>159</v>
      </c>
      <c r="C58" s="131"/>
      <c r="D58" s="126">
        <v>43700</v>
      </c>
      <c r="E58" s="24"/>
      <c r="F58" s="24"/>
      <c r="G58" s="24"/>
      <c r="H58" s="25"/>
      <c r="I58" s="28"/>
      <c r="J58" s="26"/>
      <c r="K58" s="26"/>
      <c r="L58" s="26"/>
      <c r="M58" s="26"/>
      <c r="N58" s="27"/>
      <c r="O58" s="28"/>
      <c r="P58" s="29"/>
      <c r="Q58" s="30"/>
    </row>
    <row r="59" spans="1:17" s="3" customFormat="1" ht="43.5">
      <c r="A59" s="53" t="s">
        <v>61</v>
      </c>
      <c r="B59" s="132" t="s">
        <v>68</v>
      </c>
      <c r="C59" s="132" t="s">
        <v>69</v>
      </c>
      <c r="D59" s="54" t="s">
        <v>62</v>
      </c>
      <c r="E59" s="54" t="s">
        <v>63</v>
      </c>
      <c r="F59" s="54" t="s">
        <v>67</v>
      </c>
      <c r="G59" s="54"/>
      <c r="H59" s="55" t="s">
        <v>289</v>
      </c>
      <c r="I59" s="54" t="s">
        <v>288</v>
      </c>
      <c r="J59" s="55" t="s">
        <v>291</v>
      </c>
      <c r="K59" s="55" t="s">
        <v>292</v>
      </c>
      <c r="L59" s="55" t="s">
        <v>283</v>
      </c>
      <c r="M59" s="55" t="s">
        <v>293</v>
      </c>
      <c r="N59" s="54" t="s">
        <v>290</v>
      </c>
      <c r="O59" s="54" t="s">
        <v>64</v>
      </c>
      <c r="P59" s="54" t="s">
        <v>139</v>
      </c>
      <c r="Q59" s="54" t="s">
        <v>65</v>
      </c>
    </row>
    <row r="60" spans="1:17" s="3" customFormat="1">
      <c r="A60" s="125" t="s">
        <v>294</v>
      </c>
      <c r="B60" s="133">
        <v>14</v>
      </c>
      <c r="C60" s="133">
        <v>70</v>
      </c>
      <c r="D60" s="207">
        <f t="shared" ref="D60:D61" si="18">B60/C60</f>
        <v>0.2</v>
      </c>
      <c r="E60" s="212">
        <v>3153.85</v>
      </c>
      <c r="F60" s="57">
        <f t="shared" ref="F60:F61" si="19">ROUND(D60*E60,2)</f>
        <v>630.77</v>
      </c>
      <c r="G60" s="208"/>
      <c r="H60" s="211"/>
      <c r="I60" s="211"/>
      <c r="J60" s="211"/>
      <c r="K60" s="57">
        <f>-103.26*D60</f>
        <v>-20.652000000000001</v>
      </c>
      <c r="L60" s="211"/>
      <c r="M60" s="58">
        <f>-3.37*D60</f>
        <v>-0.67400000000000004</v>
      </c>
      <c r="N60" s="211"/>
      <c r="O60" s="57"/>
      <c r="P60" s="57"/>
      <c r="Q60" s="59">
        <f t="shared" ref="Q60:Q68" si="20">SUM(H60:P60)</f>
        <v>-21.326000000000001</v>
      </c>
    </row>
    <row r="61" spans="1:17" s="3" customFormat="1" ht="15" customHeight="1">
      <c r="A61" s="125" t="s">
        <v>161</v>
      </c>
      <c r="B61" s="133">
        <f>14+15</f>
        <v>29</v>
      </c>
      <c r="C61" s="133">
        <v>70</v>
      </c>
      <c r="D61" s="207">
        <f t="shared" si="18"/>
        <v>0.41428571428571431</v>
      </c>
      <c r="E61" s="212">
        <v>2500</v>
      </c>
      <c r="F61" s="212">
        <f t="shared" si="19"/>
        <v>1035.71</v>
      </c>
      <c r="G61" s="213"/>
      <c r="H61" s="211"/>
      <c r="I61" s="211"/>
      <c r="J61" s="211"/>
      <c r="K61" s="57">
        <f>-97.01*D61</f>
        <v>-40.18985714285715</v>
      </c>
      <c r="L61" s="211"/>
      <c r="M61" s="58">
        <f>-3.37*D61</f>
        <v>-1.3961428571428574</v>
      </c>
      <c r="N61" s="211"/>
      <c r="O61" s="57"/>
      <c r="P61" s="57"/>
      <c r="Q61" s="59">
        <f t="shared" si="20"/>
        <v>-41.586000000000006</v>
      </c>
    </row>
    <row r="62" spans="1:17" s="3" customFormat="1">
      <c r="A62" s="125" t="s">
        <v>162</v>
      </c>
      <c r="B62" s="133">
        <f>21+20</f>
        <v>41</v>
      </c>
      <c r="C62" s="133">
        <v>70</v>
      </c>
      <c r="D62" s="207">
        <f>B62/C61</f>
        <v>0.58571428571428574</v>
      </c>
      <c r="E62" s="212">
        <v>0</v>
      </c>
      <c r="F62" s="57">
        <f>ROUND(D62*E61,2)</f>
        <v>1464.29</v>
      </c>
      <c r="G62" s="213"/>
      <c r="H62" s="211"/>
      <c r="I62" s="211"/>
      <c r="J62" s="211"/>
      <c r="K62" s="57">
        <f>-97.01*D62</f>
        <v>-56.820142857142862</v>
      </c>
      <c r="L62" s="211"/>
      <c r="M62" s="58">
        <f>-3.37*D62</f>
        <v>-1.973857142857143</v>
      </c>
      <c r="N62" s="211"/>
      <c r="O62" s="57"/>
      <c r="P62" s="57"/>
      <c r="Q62" s="59">
        <f t="shared" si="20"/>
        <v>-58.794000000000004</v>
      </c>
    </row>
    <row r="63" spans="1:17" s="3" customFormat="1" ht="15" customHeight="1">
      <c r="A63" s="125" t="s">
        <v>165</v>
      </c>
      <c r="B63" s="133">
        <v>70</v>
      </c>
      <c r="C63" s="133">
        <v>70</v>
      </c>
      <c r="D63" s="207">
        <f t="shared" ref="D63:D66" si="21">B63/C63</f>
        <v>1</v>
      </c>
      <c r="E63" s="212">
        <v>1538.47</v>
      </c>
      <c r="F63" s="212">
        <f t="shared" ref="F63:F66" si="22">ROUND(D63*E63,2)</f>
        <v>1538.47</v>
      </c>
      <c r="G63" s="213"/>
      <c r="H63" s="211"/>
      <c r="I63" s="211"/>
      <c r="J63" s="211"/>
      <c r="K63" s="57">
        <v>0</v>
      </c>
      <c r="L63" s="211"/>
      <c r="M63" s="58"/>
      <c r="N63" s="211"/>
      <c r="O63" s="57"/>
      <c r="P63" s="57"/>
      <c r="Q63" s="59">
        <f t="shared" si="20"/>
        <v>0</v>
      </c>
    </row>
    <row r="64" spans="1:17" s="3" customFormat="1">
      <c r="A64" s="125" t="s">
        <v>166</v>
      </c>
      <c r="B64" s="133">
        <v>70</v>
      </c>
      <c r="C64" s="133">
        <v>70</v>
      </c>
      <c r="D64" s="207">
        <f t="shared" si="21"/>
        <v>1</v>
      </c>
      <c r="E64" s="212">
        <v>1153.8499999999999</v>
      </c>
      <c r="F64" s="212">
        <f t="shared" si="22"/>
        <v>1153.8499999999999</v>
      </c>
      <c r="G64" s="213"/>
      <c r="H64" s="211"/>
      <c r="I64" s="211"/>
      <c r="J64" s="211"/>
      <c r="K64" s="57">
        <f>-103.26*D64</f>
        <v>-103.26</v>
      </c>
      <c r="L64" s="211"/>
      <c r="M64" s="58"/>
      <c r="N64" s="211"/>
      <c r="O64" s="57"/>
      <c r="P64" s="57"/>
      <c r="Q64" s="59">
        <f t="shared" si="20"/>
        <v>-103.26</v>
      </c>
    </row>
    <row r="65" spans="1:18" s="3" customFormat="1">
      <c r="A65" s="125" t="s">
        <v>167</v>
      </c>
      <c r="B65" s="133">
        <v>60</v>
      </c>
      <c r="C65" s="133">
        <v>60</v>
      </c>
      <c r="D65" s="207">
        <f t="shared" si="21"/>
        <v>1</v>
      </c>
      <c r="E65" s="212">
        <v>865.2</v>
      </c>
      <c r="F65" s="212">
        <f t="shared" si="22"/>
        <v>865.2</v>
      </c>
      <c r="G65" s="213"/>
      <c r="H65" s="211"/>
      <c r="I65" s="211"/>
      <c r="J65" s="211"/>
      <c r="K65" s="57">
        <v>0</v>
      </c>
      <c r="L65" s="211"/>
      <c r="M65" s="59"/>
      <c r="N65" s="211"/>
      <c r="O65" s="57"/>
      <c r="P65" s="57"/>
      <c r="Q65" s="59">
        <f t="shared" si="20"/>
        <v>0</v>
      </c>
    </row>
    <row r="66" spans="1:18" s="3" customFormat="1">
      <c r="A66" s="125" t="s">
        <v>163</v>
      </c>
      <c r="B66" s="133">
        <f>15*2</f>
        <v>30</v>
      </c>
      <c r="C66" s="133">
        <v>70</v>
      </c>
      <c r="D66" s="207">
        <f t="shared" si="21"/>
        <v>0.42857142857142855</v>
      </c>
      <c r="E66" s="212">
        <v>1538.47</v>
      </c>
      <c r="F66" s="212">
        <f t="shared" si="22"/>
        <v>659.34</v>
      </c>
      <c r="G66" s="213"/>
      <c r="H66" s="211"/>
      <c r="I66" s="211"/>
      <c r="J66" s="211"/>
      <c r="K66" s="57">
        <f>-127.17*D66</f>
        <v>-54.501428571428569</v>
      </c>
      <c r="L66" s="211"/>
      <c r="M66" s="58">
        <f>-6.08*D66</f>
        <v>-2.6057142857142854</v>
      </c>
      <c r="N66" s="211"/>
      <c r="O66" s="57"/>
      <c r="P66" s="57"/>
      <c r="Q66" s="59">
        <f t="shared" si="20"/>
        <v>-57.107142857142854</v>
      </c>
    </row>
    <row r="67" spans="1:18" s="3" customFormat="1">
      <c r="A67" s="125" t="s">
        <v>164</v>
      </c>
      <c r="B67" s="133">
        <f>18.25*2</f>
        <v>36.5</v>
      </c>
      <c r="C67" s="133">
        <v>70</v>
      </c>
      <c r="D67" s="207">
        <f>B67/C66</f>
        <v>0.52142857142857146</v>
      </c>
      <c r="E67" s="212">
        <v>0</v>
      </c>
      <c r="F67" s="57">
        <f>ROUND(D67*E66,2)</f>
        <v>802.2</v>
      </c>
      <c r="G67" s="213"/>
      <c r="H67" s="211"/>
      <c r="I67" s="211"/>
      <c r="J67" s="211"/>
      <c r="K67" s="57">
        <f>-127.17*D67</f>
        <v>-66.310071428571433</v>
      </c>
      <c r="L67" s="211"/>
      <c r="M67" s="58">
        <f>-6.08*D67</f>
        <v>-3.1702857142857144</v>
      </c>
      <c r="N67" s="211"/>
      <c r="O67" s="57"/>
      <c r="P67" s="57"/>
      <c r="Q67" s="59">
        <f t="shared" si="20"/>
        <v>-69.480357142857144</v>
      </c>
    </row>
    <row r="68" spans="1:18" s="3" customFormat="1">
      <c r="A68" s="125" t="s">
        <v>363</v>
      </c>
      <c r="B68" s="133">
        <v>7</v>
      </c>
      <c r="C68" s="133">
        <v>70</v>
      </c>
      <c r="D68" s="127">
        <f t="shared" ref="D68" si="23">B68/C68</f>
        <v>0.1</v>
      </c>
      <c r="E68" s="57">
        <v>4230.7700000000004</v>
      </c>
      <c r="F68" s="57">
        <f>ROUND(D68*E68,2)</f>
        <v>423.08</v>
      </c>
      <c r="G68" s="212"/>
      <c r="H68" s="211"/>
      <c r="I68" s="211"/>
      <c r="J68" s="211"/>
      <c r="K68" s="57">
        <f>-103.26*D68</f>
        <v>-10.326000000000001</v>
      </c>
      <c r="L68" s="211"/>
      <c r="M68" s="58">
        <f>-3.37*D68</f>
        <v>-0.33700000000000002</v>
      </c>
      <c r="N68" s="211"/>
      <c r="O68" s="59"/>
      <c r="P68" s="59"/>
      <c r="Q68" s="59">
        <f t="shared" si="20"/>
        <v>-10.663</v>
      </c>
    </row>
    <row r="69" spans="1:18" s="3" customFormat="1">
      <c r="A69" s="60" t="s">
        <v>66</v>
      </c>
      <c r="B69" s="135"/>
      <c r="C69" s="333"/>
      <c r="D69" s="61"/>
      <c r="E69" s="62">
        <f>SUBTOTAL(109,'Salaries &amp; Fringe Allocations'!E60:E68)</f>
        <v>14980.61</v>
      </c>
      <c r="F69" s="62">
        <f>SUBTOTAL(109,'Salaries &amp; Fringe Allocations'!F60:F68)</f>
        <v>8572.91</v>
      </c>
      <c r="G69" s="209"/>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7"/>
      <c r="C70" s="137"/>
    </row>
    <row r="71" spans="1:18" s="3" customFormat="1" ht="21">
      <c r="A71" s="220" t="s">
        <v>362</v>
      </c>
      <c r="B71" s="131"/>
      <c r="C71" s="131"/>
      <c r="D71" s="22"/>
      <c r="E71" s="24"/>
      <c r="F71" s="24"/>
      <c r="G71" s="24"/>
      <c r="H71" s="25"/>
      <c r="I71" s="28"/>
      <c r="J71" s="26"/>
      <c r="K71" s="26"/>
      <c r="L71" s="26"/>
      <c r="M71" s="26"/>
      <c r="N71" s="27"/>
      <c r="O71" s="28"/>
      <c r="P71" s="29"/>
      <c r="Q71" s="30"/>
    </row>
    <row r="72" spans="1:18" s="3" customFormat="1" ht="43.5">
      <c r="A72" s="53" t="s">
        <v>61</v>
      </c>
      <c r="B72" s="132" t="s">
        <v>68</v>
      </c>
      <c r="C72" s="132" t="s">
        <v>69</v>
      </c>
      <c r="D72" s="54" t="s">
        <v>62</v>
      </c>
      <c r="E72" s="54" t="s">
        <v>63</v>
      </c>
      <c r="F72" s="54" t="s">
        <v>67</v>
      </c>
      <c r="G72" s="54" t="s">
        <v>295</v>
      </c>
      <c r="H72" s="55" t="s">
        <v>289</v>
      </c>
      <c r="I72" s="54" t="s">
        <v>288</v>
      </c>
      <c r="J72" s="55" t="s">
        <v>291</v>
      </c>
      <c r="K72" s="55" t="s">
        <v>292</v>
      </c>
      <c r="L72" s="55" t="s">
        <v>283</v>
      </c>
      <c r="M72" s="55" t="s">
        <v>293</v>
      </c>
      <c r="N72" s="54" t="s">
        <v>290</v>
      </c>
      <c r="O72" s="54" t="s">
        <v>64</v>
      </c>
      <c r="P72" s="54" t="s">
        <v>139</v>
      </c>
      <c r="Q72" s="54" t="s">
        <v>65</v>
      </c>
    </row>
    <row r="73" spans="1:18" s="3" customFormat="1">
      <c r="A73" s="125" t="s">
        <v>294</v>
      </c>
      <c r="B73" s="136">
        <f t="shared" ref="B73:C73" si="24">+B47+B60</f>
        <v>28</v>
      </c>
      <c r="C73" s="136">
        <f t="shared" si="24"/>
        <v>140</v>
      </c>
      <c r="D73" s="214">
        <f t="shared" ref="D73:D74" si="25">B73/C73</f>
        <v>0.2</v>
      </c>
      <c r="E73" s="57">
        <f t="shared" ref="E73:E81" si="26">+E47+E60</f>
        <v>6307.7</v>
      </c>
      <c r="F73" s="57">
        <f t="shared" ref="F73:F74" si="27">ROUND(D73*E73,2)</f>
        <v>1261.54</v>
      </c>
      <c r="G73" s="356">
        <f t="shared" ref="G73:G81" si="28">+F73/$F$122</f>
        <v>8.4450377018979478E-2</v>
      </c>
      <c r="H73" s="57">
        <f>+G73*'Aug 2019 GL'!$G$62</f>
        <v>134.02274832912042</v>
      </c>
      <c r="I73" s="57">
        <f>+G73*'Aug 2019 GL'!$G$66</f>
        <v>17.987930305042628</v>
      </c>
      <c r="J73" s="212">
        <f>1118.65*D73</f>
        <v>223.73000000000002</v>
      </c>
      <c r="K73" s="212">
        <f t="shared" ref="K73:K81" si="29">+K47+K60</f>
        <v>-41.304000000000002</v>
      </c>
      <c r="L73" s="212">
        <f>63.88*D73</f>
        <v>12.776000000000002</v>
      </c>
      <c r="M73" s="212">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5" t="s">
        <v>161</v>
      </c>
      <c r="B74" s="136">
        <f t="shared" ref="B74:C74" si="33">+B48+B61</f>
        <v>59</v>
      </c>
      <c r="C74" s="136">
        <f t="shared" si="33"/>
        <v>140</v>
      </c>
      <c r="D74" s="214">
        <f t="shared" si="25"/>
        <v>0.42142857142857143</v>
      </c>
      <c r="E74" s="57">
        <f t="shared" si="26"/>
        <v>5000</v>
      </c>
      <c r="F74" s="57">
        <f t="shared" si="27"/>
        <v>2107.14</v>
      </c>
      <c r="G74" s="356">
        <f t="shared" si="28"/>
        <v>0.14105677777301742</v>
      </c>
      <c r="H74" s="57">
        <f>+G74*'Aug 2019 GL'!$G$62</f>
        <v>223.85710632577866</v>
      </c>
      <c r="I74" s="57">
        <f>+G74*'Aug 2019 GL'!$G$66</f>
        <v>30.045093665652711</v>
      </c>
      <c r="J74" s="212">
        <f>1050.94*D74</f>
        <v>442.89614285714288</v>
      </c>
      <c r="K74" s="212">
        <f t="shared" si="29"/>
        <v>-81.765571428571434</v>
      </c>
      <c r="L74" s="212">
        <f>79.63*D74</f>
        <v>33.55835714285714</v>
      </c>
      <c r="M74" s="212">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5" t="s">
        <v>162</v>
      </c>
      <c r="B75" s="136">
        <f t="shared" ref="B75" si="35">+B49+B62</f>
        <v>81</v>
      </c>
      <c r="C75" s="136"/>
      <c r="D75" s="214">
        <f>B75/C74</f>
        <v>0.57857142857142863</v>
      </c>
      <c r="E75" s="57">
        <f t="shared" si="26"/>
        <v>0</v>
      </c>
      <c r="F75" s="57">
        <f>ROUND(D75*E74,2)</f>
        <v>2892.86</v>
      </c>
      <c r="G75" s="356">
        <f t="shared" si="28"/>
        <v>0.19365467417848423</v>
      </c>
      <c r="H75" s="57">
        <f>+G75*'Aug 2019 GL'!$G$62</f>
        <v>307.32996792125448</v>
      </c>
      <c r="I75" s="57">
        <f>+G75*'Aug 2019 GL'!$G$66</f>
        <v>41.248445600017142</v>
      </c>
      <c r="J75" s="212">
        <f>1050.94*D75</f>
        <v>608.04385714285718</v>
      </c>
      <c r="K75" s="212">
        <f t="shared" si="29"/>
        <v>-112.25442857142858</v>
      </c>
      <c r="L75" s="212">
        <f>79.63*D75</f>
        <v>46.071642857142862</v>
      </c>
      <c r="M75" s="212">
        <f t="shared" si="30"/>
        <v>-3.8995714285714289</v>
      </c>
      <c r="N75" s="57">
        <f>+$G75*'Aug 2019 GL'!$G$47</f>
        <v>95.665409044171213</v>
      </c>
      <c r="O75" s="57">
        <f t="shared" ref="O75:P75" si="36">+O49+O62</f>
        <v>0</v>
      </c>
      <c r="P75" s="57">
        <f t="shared" si="36"/>
        <v>0</v>
      </c>
      <c r="Q75" s="59">
        <f t="shared" si="32"/>
        <v>982.20532256544288</v>
      </c>
    </row>
    <row r="76" spans="1:18" s="3" customFormat="1">
      <c r="A76" s="125" t="s">
        <v>165</v>
      </c>
      <c r="B76" s="136">
        <f t="shared" ref="B76:C76" si="37">+B50+B63</f>
        <v>140</v>
      </c>
      <c r="C76" s="136">
        <f t="shared" si="37"/>
        <v>140</v>
      </c>
      <c r="D76" s="214">
        <f t="shared" ref="D76:D79" si="38">B76/C76</f>
        <v>1</v>
      </c>
      <c r="E76" s="57">
        <f t="shared" si="26"/>
        <v>3076.94</v>
      </c>
      <c r="F76" s="57">
        <f t="shared" ref="F76:F79" si="39">ROUND(D76*E76,2)</f>
        <v>3076.94</v>
      </c>
      <c r="G76" s="356">
        <f t="shared" si="28"/>
        <v>0.2059774109935307</v>
      </c>
      <c r="H76" s="57">
        <f>+G76*'Aug 2019 GL'!$G$62</f>
        <v>326.88615124673322</v>
      </c>
      <c r="I76" s="57">
        <f>+G76*'Aug 2019 GL'!$G$66</f>
        <v>43.873188541622042</v>
      </c>
      <c r="J76" s="212">
        <v>0</v>
      </c>
      <c r="K76" s="212">
        <f t="shared" si="29"/>
        <v>0</v>
      </c>
      <c r="L76" s="212">
        <v>0</v>
      </c>
      <c r="M76" s="212">
        <f t="shared" si="30"/>
        <v>0</v>
      </c>
      <c r="N76" s="57">
        <f>+$G76*'Aug 2019 GL'!$G$47</f>
        <v>101.75284103080416</v>
      </c>
      <c r="O76" s="57">
        <f t="shared" ref="O76:P76" si="40">+O50+O63</f>
        <v>0</v>
      </c>
      <c r="P76" s="57">
        <f t="shared" si="40"/>
        <v>0</v>
      </c>
      <c r="Q76" s="59">
        <f t="shared" si="32"/>
        <v>472.51218081915943</v>
      </c>
    </row>
    <row r="77" spans="1:18" s="3" customFormat="1">
      <c r="A77" s="125" t="s">
        <v>166</v>
      </c>
      <c r="B77" s="136">
        <f t="shared" ref="B77:C77" si="41">+B51+B64</f>
        <v>140</v>
      </c>
      <c r="C77" s="136">
        <f t="shared" si="41"/>
        <v>140</v>
      </c>
      <c r="D77" s="214">
        <f t="shared" si="38"/>
        <v>1</v>
      </c>
      <c r="E77" s="57">
        <f t="shared" si="26"/>
        <v>2307.6999999999998</v>
      </c>
      <c r="F77" s="57">
        <f t="shared" si="39"/>
        <v>2307.6999999999998</v>
      </c>
      <c r="G77" s="356">
        <f t="shared" si="28"/>
        <v>0.15448272353369605</v>
      </c>
      <c r="H77" s="57">
        <f>+G77*'Aug 2019 GL'!$G$62</f>
        <v>245.16408224797564</v>
      </c>
      <c r="I77" s="57">
        <f>+G77*'Aug 2019 GL'!$G$66</f>
        <v>32.904820112677257</v>
      </c>
      <c r="J77" s="212">
        <v>1118.6500000000001</v>
      </c>
      <c r="K77" s="212">
        <f t="shared" si="29"/>
        <v>-206.52</v>
      </c>
      <c r="L77" s="212">
        <v>0</v>
      </c>
      <c r="M77" s="212">
        <f t="shared" si="30"/>
        <v>0</v>
      </c>
      <c r="N77" s="57">
        <f>+$G77*'Aug 2019 GL'!$G$47</f>
        <v>76.314465425645849</v>
      </c>
      <c r="O77" s="57">
        <f t="shared" ref="O77:P77" si="42">+O51+O64</f>
        <v>0</v>
      </c>
      <c r="P77" s="57">
        <f t="shared" si="42"/>
        <v>0</v>
      </c>
      <c r="Q77" s="59">
        <f t="shared" si="32"/>
        <v>1266.5133677862989</v>
      </c>
    </row>
    <row r="78" spans="1:18" s="3" customFormat="1">
      <c r="A78" s="125" t="s">
        <v>167</v>
      </c>
      <c r="B78" s="136">
        <f t="shared" ref="B78:C78" si="43">+B52+B65</f>
        <v>120</v>
      </c>
      <c r="C78" s="136">
        <f t="shared" si="43"/>
        <v>120</v>
      </c>
      <c r="D78" s="214">
        <f t="shared" si="38"/>
        <v>1</v>
      </c>
      <c r="E78" s="57">
        <f t="shared" si="26"/>
        <v>1730.4</v>
      </c>
      <c r="F78" s="57">
        <f t="shared" si="39"/>
        <v>1730.4</v>
      </c>
      <c r="G78" s="356">
        <f t="shared" si="28"/>
        <v>0.1158369392913757</v>
      </c>
      <c r="H78" s="57">
        <f>+G78*'Aug 2019 GL'!$G$62</f>
        <v>183.83322265541324</v>
      </c>
      <c r="I78" s="57">
        <f>+G78*'Aug 2019 GL'!$G$66</f>
        <v>24.673268069063024</v>
      </c>
      <c r="J78" s="212">
        <v>0</v>
      </c>
      <c r="K78" s="212">
        <f t="shared" si="29"/>
        <v>0</v>
      </c>
      <c r="L78" s="212">
        <v>0</v>
      </c>
      <c r="M78" s="212">
        <f t="shared" si="30"/>
        <v>0</v>
      </c>
      <c r="N78" s="57">
        <f>+$G78*'Aug 2019 GL'!$G$47</f>
        <v>57.223448009939595</v>
      </c>
      <c r="O78" s="57">
        <f t="shared" ref="O78:P78" si="44">+O52+O65</f>
        <v>0</v>
      </c>
      <c r="P78" s="57">
        <f t="shared" si="44"/>
        <v>0</v>
      </c>
      <c r="Q78" s="59">
        <f t="shared" si="32"/>
        <v>265.72993873441584</v>
      </c>
    </row>
    <row r="79" spans="1:18" s="3" customFormat="1">
      <c r="A79" s="125" t="s">
        <v>163</v>
      </c>
      <c r="B79" s="136">
        <f t="shared" ref="B79:C79" si="45">+B53+B66</f>
        <v>60</v>
      </c>
      <c r="C79" s="136">
        <f t="shared" si="45"/>
        <v>140</v>
      </c>
      <c r="D79" s="214">
        <f t="shared" si="38"/>
        <v>0.42857142857142855</v>
      </c>
      <c r="E79" s="57">
        <f t="shared" si="26"/>
        <v>3076.94</v>
      </c>
      <c r="F79" s="57">
        <f t="shared" si="39"/>
        <v>1318.69</v>
      </c>
      <c r="G79" s="356">
        <f t="shared" si="28"/>
        <v>8.8276128914785146E-2</v>
      </c>
      <c r="H79" s="57">
        <f>+G79*'Aug 2019 GL'!$G$62</f>
        <v>140.09421658776404</v>
      </c>
      <c r="I79" s="57">
        <f>+G79*'Aug 2019 GL'!$G$66</f>
        <v>18.802815458849235</v>
      </c>
      <c r="J79" s="212">
        <f>1377.69*D79</f>
        <v>590.43857142857144</v>
      </c>
      <c r="K79" s="212">
        <f t="shared" si="29"/>
        <v>-109.00285714285714</v>
      </c>
      <c r="L79" s="212">
        <f>77.55*D79</f>
        <v>33.23571428571428</v>
      </c>
      <c r="M79" s="212">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5" t="s">
        <v>164</v>
      </c>
      <c r="B80" s="136">
        <f t="shared" ref="B80:C81" si="47">+B54+B67</f>
        <v>73</v>
      </c>
      <c r="C80" s="136"/>
      <c r="D80" s="214">
        <f>B80/C79</f>
        <v>0.52142857142857146</v>
      </c>
      <c r="E80" s="57">
        <f t="shared" si="26"/>
        <v>0</v>
      </c>
      <c r="F80" s="57">
        <f>ROUND(D80*E79,2)</f>
        <v>1604.4</v>
      </c>
      <c r="G80" s="356">
        <f t="shared" si="28"/>
        <v>0.10740221070219785</v>
      </c>
      <c r="H80" s="57">
        <f>+G80*'Aug 2019 GL'!$G$62</f>
        <v>170.44730838438798</v>
      </c>
      <c r="I80" s="57">
        <f>+G80*'Aug 2019 GL'!$G$66</f>
        <v>22.876670879568142</v>
      </c>
      <c r="J80" s="212">
        <f>1377.69*D80</f>
        <v>718.36692857142862</v>
      </c>
      <c r="K80" s="212">
        <f t="shared" si="29"/>
        <v>-132.62014285714287</v>
      </c>
      <c r="L80" s="212">
        <f>77.55*D80</f>
        <v>40.436785714285719</v>
      </c>
      <c r="M80" s="212">
        <f t="shared" si="30"/>
        <v>-6.3405714285714287</v>
      </c>
      <c r="N80" s="57">
        <f>+$G80*'Aug 2019 GL'!$G$47</f>
        <v>53.056692086885739</v>
      </c>
      <c r="O80" s="57">
        <f t="shared" ref="O80:P81" si="48">+O54+O67</f>
        <v>0</v>
      </c>
      <c r="P80" s="57">
        <f t="shared" si="48"/>
        <v>0</v>
      </c>
      <c r="Q80" s="59">
        <f t="shared" si="32"/>
        <v>866.22367135084187</v>
      </c>
    </row>
    <row r="81" spans="1:18" s="3" customFormat="1">
      <c r="A81" s="125" t="s">
        <v>435</v>
      </c>
      <c r="B81" s="136">
        <f t="shared" si="47"/>
        <v>14</v>
      </c>
      <c r="C81" s="136">
        <f t="shared" si="47"/>
        <v>140</v>
      </c>
      <c r="D81" s="214">
        <f>B81/C81</f>
        <v>0.1</v>
      </c>
      <c r="E81" s="57">
        <f t="shared" si="26"/>
        <v>8461.5400000000009</v>
      </c>
      <c r="F81" s="57">
        <f>ROUND(D81*E81,2)</f>
        <v>846.15</v>
      </c>
      <c r="G81" s="356">
        <f t="shared" si="28"/>
        <v>5.6643219013752626E-2</v>
      </c>
      <c r="H81" s="57">
        <f>+G81*'Aug 2019 GL'!$G$62</f>
        <v>89.892788574825417</v>
      </c>
      <c r="I81" s="57">
        <f>+G81*'Aug 2019 GL'!$G$66</f>
        <v>12.06500564992931</v>
      </c>
      <c r="J81" s="212">
        <f>1118.65*D81</f>
        <v>111.86500000000001</v>
      </c>
      <c r="K81" s="212">
        <f t="shared" si="29"/>
        <v>-20.652000000000001</v>
      </c>
      <c r="L81" s="212">
        <f>49.83*D81</f>
        <v>4.9830000000000005</v>
      </c>
      <c r="M81" s="212">
        <f t="shared" si="30"/>
        <v>-0.67400000000000004</v>
      </c>
      <c r="N81" s="57">
        <f>+$G81*'Aug 2019 GL'!$G$47</f>
        <v>27.981750192793797</v>
      </c>
      <c r="O81" s="57">
        <f t="shared" si="48"/>
        <v>0</v>
      </c>
      <c r="P81" s="57"/>
      <c r="Q81" s="59">
        <f t="shared" si="32"/>
        <v>225.46154441754851</v>
      </c>
      <c r="R81" s="3" t="s">
        <v>24</v>
      </c>
    </row>
    <row r="82" spans="1:18" s="3" customFormat="1">
      <c r="A82" s="60" t="s">
        <v>323</v>
      </c>
      <c r="B82" s="135"/>
      <c r="C82" s="333"/>
      <c r="D82" s="61"/>
      <c r="E82" s="62">
        <f>SUBTOTAL(109,'Salaries &amp; Fringe Allocations'!E73:E81)</f>
        <v>29961.22</v>
      </c>
      <c r="F82" s="321">
        <f>SUBTOTAL(109,'Salaries &amp; Fringe Allocations'!F73:F81)</f>
        <v>17145.82</v>
      </c>
      <c r="G82" s="209">
        <f>SUM(G73:G81)</f>
        <v>1.1477804614198195</v>
      </c>
      <c r="H82" s="250">
        <f>SUBTOTAL(109,'Salaries &amp; Fringe Allocations'!H73:H81)</f>
        <v>1821.527592273253</v>
      </c>
      <c r="I82" s="250">
        <f>SUBTOTAL(109,'Salaries &amp; Fringe Allocations'!I73:I81)</f>
        <v>244.4772382824215</v>
      </c>
      <c r="J82" s="250">
        <f>SUBTOTAL(109,'Salaries &amp; Fringe Allocations'!J73:J81)</f>
        <v>3813.9904999999999</v>
      </c>
      <c r="K82" s="250">
        <f>SUBTOTAL(109,'Salaries &amp; Fringe Allocations'!K73:K81)</f>
        <v>-704.11900000000014</v>
      </c>
      <c r="L82" s="250">
        <f>SUBTOTAL(109,'Salaries &amp; Fringe Allocations'!L73:L81)</f>
        <v>171.06150000000002</v>
      </c>
      <c r="M82" s="250">
        <f>SUBTOTAL(109,'Salaries &amp; Fringe Allocations'!M73:M81)</f>
        <v>-20.314</v>
      </c>
      <c r="N82" s="250">
        <f>SUBTOTAL(109,'Salaries &amp; Fringe Allocations'!N73:N81)</f>
        <v>567.00354794139071</v>
      </c>
      <c r="O82" s="62">
        <f>SUBTOTAL(109,'Salaries &amp; Fringe Allocations'!O73:O81)</f>
        <v>0</v>
      </c>
      <c r="P82" s="62">
        <f>SUBTOTAL(109,'Salaries &amp; Fringe Allocations'!P73:P81)</f>
        <v>0</v>
      </c>
      <c r="Q82" s="321">
        <f>SUBTOTAL(109,'Salaries &amp; Fringe Allocations'!Q73:Q81)</f>
        <v>5893.6273784970663</v>
      </c>
    </row>
    <row r="83" spans="1:18" s="3" customFormat="1">
      <c r="A83" s="252"/>
      <c r="B83" s="217"/>
      <c r="C83" s="217"/>
      <c r="D83" s="216"/>
      <c r="E83" s="216"/>
      <c r="F83" s="218"/>
      <c r="G83" s="218"/>
      <c r="H83" s="218"/>
      <c r="I83" s="218"/>
      <c r="J83" s="218"/>
      <c r="K83" s="218"/>
      <c r="L83" s="218"/>
      <c r="M83" s="218"/>
      <c r="N83" s="218"/>
      <c r="O83" s="218"/>
      <c r="P83" s="218"/>
      <c r="Q83" s="218"/>
    </row>
    <row r="84" spans="1:18" s="1" customFormat="1" ht="15" thickBot="1">
      <c r="A84" s="253"/>
      <c r="B84" s="254"/>
      <c r="C84" s="254"/>
      <c r="D84" s="255"/>
      <c r="E84" s="255"/>
      <c r="F84" s="256"/>
      <c r="G84" s="257"/>
      <c r="H84" s="257"/>
      <c r="I84" s="257"/>
      <c r="J84" s="256"/>
      <c r="K84" s="256"/>
      <c r="L84" s="257"/>
      <c r="M84" s="257"/>
      <c r="N84" s="257"/>
      <c r="O84" s="257"/>
      <c r="P84" s="257"/>
      <c r="Q84" s="257"/>
    </row>
    <row r="85" spans="1:18" s="3" customFormat="1" ht="15" thickTop="1">
      <c r="A85" s="23" t="s">
        <v>449</v>
      </c>
      <c r="B85" s="130" t="s">
        <v>159</v>
      </c>
      <c r="C85" s="131"/>
      <c r="D85" s="126">
        <v>43714</v>
      </c>
      <c r="E85" s="24"/>
      <c r="F85" s="24"/>
      <c r="G85" s="24"/>
      <c r="H85" s="25"/>
      <c r="I85" s="28"/>
      <c r="J85" s="26"/>
      <c r="K85" s="26"/>
      <c r="L85" s="26"/>
      <c r="M85" s="26"/>
      <c r="N85" s="27"/>
      <c r="O85" s="28"/>
      <c r="P85" s="29"/>
      <c r="Q85" s="30"/>
    </row>
    <row r="86" spans="1:18" s="3" customFormat="1" ht="43.5">
      <c r="A86" s="53" t="s">
        <v>61</v>
      </c>
      <c r="B86" s="132" t="s">
        <v>68</v>
      </c>
      <c r="C86" s="132" t="s">
        <v>69</v>
      </c>
      <c r="D86" s="54" t="s">
        <v>62</v>
      </c>
      <c r="E86" s="54" t="s">
        <v>63</v>
      </c>
      <c r="F86" s="54" t="s">
        <v>67</v>
      </c>
      <c r="G86" s="54"/>
      <c r="H86" s="55" t="s">
        <v>289</v>
      </c>
      <c r="I86" s="54" t="s">
        <v>288</v>
      </c>
      <c r="J86" s="55" t="s">
        <v>291</v>
      </c>
      <c r="K86" s="55" t="s">
        <v>292</v>
      </c>
      <c r="L86" s="55" t="s">
        <v>283</v>
      </c>
      <c r="M86" s="55" t="s">
        <v>293</v>
      </c>
      <c r="N86" s="54" t="s">
        <v>290</v>
      </c>
      <c r="O86" s="54" t="s">
        <v>64</v>
      </c>
      <c r="P86" s="54" t="s">
        <v>139</v>
      </c>
      <c r="Q86" s="54" t="s">
        <v>65</v>
      </c>
    </row>
    <row r="87" spans="1:18" s="3" customFormat="1">
      <c r="A87" s="125" t="s">
        <v>294</v>
      </c>
      <c r="B87" s="133">
        <v>14</v>
      </c>
      <c r="C87" s="133">
        <v>70</v>
      </c>
      <c r="D87" s="207">
        <f t="shared" ref="D87:D95" si="49">B87/C87</f>
        <v>0.2</v>
      </c>
      <c r="E87" s="212">
        <v>3153.85</v>
      </c>
      <c r="F87" s="57">
        <f>ROUND(D87*E87,2)</f>
        <v>630.77</v>
      </c>
      <c r="G87" s="208"/>
      <c r="H87" s="211"/>
      <c r="I87" s="211"/>
      <c r="J87" s="211"/>
      <c r="K87" s="212">
        <f>-103.26*D87</f>
        <v>-20.652000000000001</v>
      </c>
      <c r="L87" s="211"/>
      <c r="M87" s="58">
        <f>-3.37*D87</f>
        <v>-0.67400000000000004</v>
      </c>
      <c r="N87" s="211"/>
      <c r="O87" s="56"/>
      <c r="P87" s="56"/>
      <c r="Q87" s="59">
        <f t="shared" ref="Q87:Q95" si="50">SUM(H87:P87)</f>
        <v>-21.326000000000001</v>
      </c>
    </row>
    <row r="88" spans="1:18" s="3" customFormat="1" ht="15" customHeight="1">
      <c r="A88" s="125" t="s">
        <v>161</v>
      </c>
      <c r="B88" s="133">
        <v>29</v>
      </c>
      <c r="C88" s="133">
        <v>70</v>
      </c>
      <c r="D88" s="207">
        <f t="shared" si="49"/>
        <v>0.41428571428571431</v>
      </c>
      <c r="E88" s="212">
        <v>2500</v>
      </c>
      <c r="F88" s="57">
        <f>ROUND(D88*E88,2)</f>
        <v>1035.71</v>
      </c>
      <c r="G88" s="208"/>
      <c r="H88" s="211"/>
      <c r="I88" s="211"/>
      <c r="J88" s="211"/>
      <c r="K88" s="212">
        <f>-97.01*D88</f>
        <v>-40.18985714285715</v>
      </c>
      <c r="L88" s="211"/>
      <c r="M88" s="58">
        <f>-3.37*D88</f>
        <v>-1.3961428571428574</v>
      </c>
      <c r="N88" s="211"/>
      <c r="O88" s="56"/>
      <c r="P88" s="56"/>
      <c r="Q88" s="59">
        <f t="shared" si="50"/>
        <v>-41.586000000000006</v>
      </c>
    </row>
    <row r="89" spans="1:18" s="3" customFormat="1">
      <c r="A89" s="125" t="s">
        <v>162</v>
      </c>
      <c r="B89" s="133">
        <v>41</v>
      </c>
      <c r="C89" s="133">
        <v>70</v>
      </c>
      <c r="D89" s="207">
        <f t="shared" si="49"/>
        <v>0.58571428571428574</v>
      </c>
      <c r="E89" s="212"/>
      <c r="F89" s="57">
        <f>ROUND(D89*E88,2)</f>
        <v>1464.29</v>
      </c>
      <c r="G89" s="208"/>
      <c r="H89" s="211"/>
      <c r="I89" s="211"/>
      <c r="J89" s="211"/>
      <c r="K89" s="212">
        <f>-97.01*D89</f>
        <v>-56.820142857142862</v>
      </c>
      <c r="L89" s="211"/>
      <c r="M89" s="58">
        <f>-3.37*D89</f>
        <v>-1.973857142857143</v>
      </c>
      <c r="N89" s="211"/>
      <c r="O89" s="56"/>
      <c r="P89" s="56"/>
      <c r="Q89" s="59">
        <f t="shared" si="50"/>
        <v>-58.794000000000004</v>
      </c>
    </row>
    <row r="90" spans="1:18" s="3" customFormat="1" ht="15" customHeight="1">
      <c r="A90" s="125" t="s">
        <v>165</v>
      </c>
      <c r="B90" s="133">
        <v>70</v>
      </c>
      <c r="C90" s="133">
        <v>70</v>
      </c>
      <c r="D90" s="207">
        <f t="shared" si="49"/>
        <v>1</v>
      </c>
      <c r="E90" s="212">
        <v>1538.47</v>
      </c>
      <c r="F90" s="57">
        <f t="shared" ref="F90:F92" si="51">ROUND(E90,2)</f>
        <v>1538.47</v>
      </c>
      <c r="G90" s="208"/>
      <c r="H90" s="211"/>
      <c r="I90" s="211"/>
      <c r="J90" s="211"/>
      <c r="K90" s="212">
        <v>0</v>
      </c>
      <c r="L90" s="211"/>
      <c r="M90" s="58"/>
      <c r="N90" s="211"/>
      <c r="O90" s="56"/>
      <c r="P90" s="56"/>
      <c r="Q90" s="59">
        <f t="shared" si="50"/>
        <v>0</v>
      </c>
    </row>
    <row r="91" spans="1:18" s="3" customFormat="1">
      <c r="A91" s="125" t="s">
        <v>166</v>
      </c>
      <c r="B91" s="133">
        <v>35</v>
      </c>
      <c r="C91" s="133">
        <v>35</v>
      </c>
      <c r="D91" s="207">
        <f t="shared" si="49"/>
        <v>1</v>
      </c>
      <c r="E91" s="212">
        <v>576.92999999999995</v>
      </c>
      <c r="F91" s="57">
        <f t="shared" si="51"/>
        <v>576.92999999999995</v>
      </c>
      <c r="G91" s="208"/>
      <c r="H91" s="211"/>
      <c r="I91" s="211"/>
      <c r="J91" s="211"/>
      <c r="K91" s="212">
        <f>-103.26*D91</f>
        <v>-103.26</v>
      </c>
      <c r="L91" s="211"/>
      <c r="M91" s="58"/>
      <c r="N91" s="211"/>
      <c r="O91" s="56"/>
      <c r="P91" s="56"/>
      <c r="Q91" s="59">
        <f t="shared" si="50"/>
        <v>-103.26</v>
      </c>
    </row>
    <row r="92" spans="1:18" s="3" customFormat="1">
      <c r="A92" s="125" t="s">
        <v>167</v>
      </c>
      <c r="B92" s="133">
        <v>60</v>
      </c>
      <c r="C92" s="133">
        <v>60</v>
      </c>
      <c r="D92" s="207">
        <f t="shared" si="49"/>
        <v>1</v>
      </c>
      <c r="E92" s="212">
        <v>865.2</v>
      </c>
      <c r="F92" s="57">
        <f t="shared" si="51"/>
        <v>865.2</v>
      </c>
      <c r="G92" s="208"/>
      <c r="H92" s="211"/>
      <c r="I92" s="211"/>
      <c r="J92" s="211"/>
      <c r="K92" s="212">
        <v>0</v>
      </c>
      <c r="L92" s="211"/>
      <c r="M92" s="348"/>
      <c r="N92" s="211"/>
      <c r="O92" s="59"/>
      <c r="P92" s="59"/>
      <c r="Q92" s="59">
        <f t="shared" si="50"/>
        <v>0</v>
      </c>
    </row>
    <row r="93" spans="1:18" s="3" customFormat="1">
      <c r="A93" s="125" t="s">
        <v>163</v>
      </c>
      <c r="B93" s="133">
        <v>30</v>
      </c>
      <c r="C93" s="133">
        <v>70</v>
      </c>
      <c r="D93" s="207">
        <f t="shared" si="49"/>
        <v>0.42857142857142855</v>
      </c>
      <c r="E93" s="212">
        <v>1538.47</v>
      </c>
      <c r="F93" s="57">
        <f>ROUND(D93*E93,2)</f>
        <v>659.34</v>
      </c>
      <c r="G93" s="208"/>
      <c r="H93" s="211"/>
      <c r="I93" s="211"/>
      <c r="J93" s="211"/>
      <c r="K93" s="212">
        <f>-127.17*D93</f>
        <v>-54.501428571428569</v>
      </c>
      <c r="L93" s="211"/>
      <c r="M93" s="58">
        <f>-6.08*D93</f>
        <v>-2.6057142857142854</v>
      </c>
      <c r="N93" s="211"/>
      <c r="O93" s="59"/>
      <c r="P93" s="59"/>
      <c r="Q93" s="59">
        <f t="shared" si="50"/>
        <v>-57.107142857142854</v>
      </c>
    </row>
    <row r="94" spans="1:18" s="3" customFormat="1">
      <c r="A94" s="125" t="s">
        <v>164</v>
      </c>
      <c r="B94" s="133">
        <f>18.25*2</f>
        <v>36.5</v>
      </c>
      <c r="C94" s="133">
        <v>70</v>
      </c>
      <c r="D94" s="207">
        <f t="shared" si="49"/>
        <v>0.52142857142857146</v>
      </c>
      <c r="E94" s="212"/>
      <c r="F94" s="57">
        <f>ROUND(D94*E93,2)</f>
        <v>802.2</v>
      </c>
      <c r="G94" s="208"/>
      <c r="H94" s="211"/>
      <c r="I94" s="211"/>
      <c r="J94" s="211"/>
      <c r="K94" s="212">
        <f>-127.17*D94</f>
        <v>-66.310071428571433</v>
      </c>
      <c r="L94" s="211"/>
      <c r="M94" s="58">
        <f>-6.08*D94</f>
        <v>-3.1702857142857144</v>
      </c>
      <c r="N94" s="211"/>
      <c r="O94" s="59"/>
      <c r="P94" s="59"/>
      <c r="Q94" s="59">
        <f t="shared" si="50"/>
        <v>-69.480357142857144</v>
      </c>
    </row>
    <row r="95" spans="1:18" s="3" customFormat="1">
      <c r="A95" s="125" t="s">
        <v>363</v>
      </c>
      <c r="B95" s="133">
        <v>7</v>
      </c>
      <c r="C95" s="133">
        <v>70</v>
      </c>
      <c r="D95" s="127">
        <f t="shared" si="49"/>
        <v>0.1</v>
      </c>
      <c r="E95" s="212">
        <v>4230.7700000000004</v>
      </c>
      <c r="F95" s="57">
        <f>ROUND(D95*E95,2)</f>
        <v>423.08</v>
      </c>
      <c r="G95" s="57"/>
      <c r="H95" s="211"/>
      <c r="I95" s="211"/>
      <c r="J95" s="211"/>
      <c r="K95" s="212">
        <f>-103.26*D95</f>
        <v>-10.326000000000001</v>
      </c>
      <c r="L95" s="211"/>
      <c r="M95" s="58">
        <f>-3.37*D95</f>
        <v>-0.33700000000000002</v>
      </c>
      <c r="N95" s="211"/>
      <c r="O95" s="59"/>
      <c r="P95" s="59"/>
      <c r="Q95" s="59">
        <f t="shared" si="50"/>
        <v>-10.663</v>
      </c>
    </row>
    <row r="96" spans="1:18" s="3" customFormat="1">
      <c r="A96" s="51" t="s">
        <v>66</v>
      </c>
      <c r="B96" s="134"/>
      <c r="C96" s="251"/>
      <c r="D96" s="377"/>
      <c r="E96" s="62">
        <f>SUBTOTAL(109,'Salaries &amp; Fringe Allocations'!E87:E95)</f>
        <v>14403.69</v>
      </c>
      <c r="F96" s="62">
        <f>SUBTOTAL(109,'Salaries &amp; Fringe Allocations'!F87:F95)</f>
        <v>7995.99</v>
      </c>
      <c r="G96" s="209"/>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7"/>
      <c r="C97" s="137"/>
      <c r="D97" s="1"/>
    </row>
    <row r="98" spans="1:17" s="3" customFormat="1">
      <c r="A98" s="23" t="s">
        <v>450</v>
      </c>
      <c r="B98" s="130" t="s">
        <v>159</v>
      </c>
      <c r="C98" s="131"/>
      <c r="D98" s="378">
        <v>43728</v>
      </c>
      <c r="E98" s="24"/>
      <c r="F98" s="24"/>
      <c r="G98" s="24"/>
      <c r="H98" s="25"/>
      <c r="I98" s="28"/>
      <c r="J98" s="26"/>
      <c r="K98" s="26"/>
      <c r="L98" s="26"/>
      <c r="M98" s="26"/>
      <c r="N98" s="27"/>
      <c r="O98" s="28"/>
      <c r="P98" s="29"/>
      <c r="Q98" s="30"/>
    </row>
    <row r="99" spans="1:17" s="3" customFormat="1" ht="43.5">
      <c r="A99" s="53" t="s">
        <v>61</v>
      </c>
      <c r="B99" s="132" t="s">
        <v>68</v>
      </c>
      <c r="C99" s="132" t="s">
        <v>69</v>
      </c>
      <c r="D99" s="379" t="s">
        <v>62</v>
      </c>
      <c r="E99" s="54" t="s">
        <v>63</v>
      </c>
      <c r="F99" s="54" t="s">
        <v>67</v>
      </c>
      <c r="G99" s="54"/>
      <c r="H99" s="55" t="s">
        <v>289</v>
      </c>
      <c r="I99" s="54" t="s">
        <v>288</v>
      </c>
      <c r="J99" s="55" t="s">
        <v>291</v>
      </c>
      <c r="K99" s="55" t="s">
        <v>292</v>
      </c>
      <c r="L99" s="55" t="s">
        <v>283</v>
      </c>
      <c r="M99" s="55" t="s">
        <v>293</v>
      </c>
      <c r="N99" s="54" t="s">
        <v>290</v>
      </c>
      <c r="O99" s="54" t="s">
        <v>64</v>
      </c>
      <c r="P99" s="54" t="s">
        <v>139</v>
      </c>
      <c r="Q99" s="54" t="s">
        <v>65</v>
      </c>
    </row>
    <row r="100" spans="1:17" s="3" customFormat="1">
      <c r="A100" s="125" t="s">
        <v>294</v>
      </c>
      <c r="B100" s="133">
        <v>14</v>
      </c>
      <c r="C100" s="133">
        <v>70</v>
      </c>
      <c r="D100" s="207">
        <f t="shared" ref="D100:D101" si="52">B100/C100</f>
        <v>0.2</v>
      </c>
      <c r="E100" s="212">
        <v>3153.85</v>
      </c>
      <c r="F100" s="57">
        <f t="shared" ref="F100:F101" si="53">ROUND(D100*E100,2)</f>
        <v>630.77</v>
      </c>
      <c r="G100" s="208"/>
      <c r="H100" s="211"/>
      <c r="I100" s="211"/>
      <c r="J100" s="211"/>
      <c r="K100" s="212">
        <f>-103.26*D100</f>
        <v>-20.652000000000001</v>
      </c>
      <c r="L100" s="211"/>
      <c r="M100" s="58">
        <f>-3.37*D100</f>
        <v>-0.67400000000000004</v>
      </c>
      <c r="N100" s="211"/>
      <c r="O100" s="57"/>
      <c r="P100" s="57"/>
      <c r="Q100" s="59">
        <f t="shared" ref="Q100:Q108" si="54">SUM(H100:P100)</f>
        <v>-21.326000000000001</v>
      </c>
    </row>
    <row r="101" spans="1:17" s="3" customFormat="1" ht="15" customHeight="1">
      <c r="A101" s="125" t="s">
        <v>161</v>
      </c>
      <c r="B101" s="133">
        <f>14+15</f>
        <v>29</v>
      </c>
      <c r="C101" s="133">
        <v>70</v>
      </c>
      <c r="D101" s="207">
        <f t="shared" si="52"/>
        <v>0.41428571428571431</v>
      </c>
      <c r="E101" s="212">
        <v>2500</v>
      </c>
      <c r="F101" s="212">
        <f t="shared" si="53"/>
        <v>1035.71</v>
      </c>
      <c r="G101" s="213"/>
      <c r="H101" s="211"/>
      <c r="I101" s="211"/>
      <c r="J101" s="211"/>
      <c r="K101" s="212">
        <f>-97.01*D101</f>
        <v>-40.18985714285715</v>
      </c>
      <c r="L101" s="211"/>
      <c r="M101" s="58">
        <f>-3.37*D101</f>
        <v>-1.3961428571428574</v>
      </c>
      <c r="N101" s="211"/>
      <c r="O101" s="57"/>
      <c r="P101" s="57"/>
      <c r="Q101" s="59">
        <f t="shared" si="54"/>
        <v>-41.586000000000006</v>
      </c>
    </row>
    <row r="102" spans="1:17" s="3" customFormat="1">
      <c r="A102" s="125" t="s">
        <v>162</v>
      </c>
      <c r="B102" s="133">
        <f>21+20</f>
        <v>41</v>
      </c>
      <c r="C102" s="133">
        <v>70</v>
      </c>
      <c r="D102" s="207">
        <f>B102/C101</f>
        <v>0.58571428571428574</v>
      </c>
      <c r="E102" s="212">
        <v>0</v>
      </c>
      <c r="F102" s="57">
        <f>ROUND(D102*E101,2)</f>
        <v>1464.29</v>
      </c>
      <c r="G102" s="213"/>
      <c r="H102" s="211"/>
      <c r="I102" s="211"/>
      <c r="J102" s="211"/>
      <c r="K102" s="212">
        <f>-97.01*D102</f>
        <v>-56.820142857142862</v>
      </c>
      <c r="L102" s="211"/>
      <c r="M102" s="58">
        <f>-3.37*D102</f>
        <v>-1.973857142857143</v>
      </c>
      <c r="N102" s="211"/>
      <c r="O102" s="57"/>
      <c r="P102" s="57"/>
      <c r="Q102" s="59">
        <f t="shared" si="54"/>
        <v>-58.794000000000004</v>
      </c>
    </row>
    <row r="103" spans="1:17" s="3" customFormat="1" ht="15" customHeight="1">
      <c r="A103" s="125" t="s">
        <v>165</v>
      </c>
      <c r="B103" s="133">
        <v>70</v>
      </c>
      <c r="C103" s="133">
        <v>70</v>
      </c>
      <c r="D103" s="207">
        <f t="shared" ref="D103:D106" si="55">B103/C103</f>
        <v>1</v>
      </c>
      <c r="E103" s="212">
        <v>1538.47</v>
      </c>
      <c r="F103" s="212">
        <f t="shared" ref="F103:F106" si="56">ROUND(D103*E103,2)</f>
        <v>1538.47</v>
      </c>
      <c r="G103" s="213"/>
      <c r="H103" s="211"/>
      <c r="I103" s="211"/>
      <c r="J103" s="211"/>
      <c r="K103" s="212">
        <v>0</v>
      </c>
      <c r="L103" s="211"/>
      <c r="M103" s="58"/>
      <c r="N103" s="211"/>
      <c r="O103" s="57"/>
      <c r="P103" s="57"/>
      <c r="Q103" s="59">
        <f t="shared" si="54"/>
        <v>0</v>
      </c>
    </row>
    <row r="104" spans="1:17" s="3" customFormat="1">
      <c r="A104" s="125" t="s">
        <v>166</v>
      </c>
      <c r="B104" s="133">
        <v>70</v>
      </c>
      <c r="C104" s="133">
        <v>70</v>
      </c>
      <c r="D104" s="207">
        <f t="shared" si="55"/>
        <v>1</v>
      </c>
      <c r="E104" s="212">
        <v>1153.8499999999999</v>
      </c>
      <c r="F104" s="212">
        <f t="shared" si="56"/>
        <v>1153.8499999999999</v>
      </c>
      <c r="G104" s="213"/>
      <c r="H104" s="211"/>
      <c r="I104" s="211"/>
      <c r="J104" s="211"/>
      <c r="K104" s="212">
        <f>-103.26*D104</f>
        <v>-103.26</v>
      </c>
      <c r="L104" s="211"/>
      <c r="M104" s="58"/>
      <c r="N104" s="211"/>
      <c r="O104" s="57"/>
      <c r="P104" s="57"/>
      <c r="Q104" s="59">
        <f t="shared" si="54"/>
        <v>-103.26</v>
      </c>
    </row>
    <row r="105" spans="1:17" s="3" customFormat="1">
      <c r="A105" s="125" t="s">
        <v>167</v>
      </c>
      <c r="B105" s="133">
        <v>28</v>
      </c>
      <c r="C105" s="133">
        <v>28</v>
      </c>
      <c r="D105" s="207">
        <f t="shared" si="55"/>
        <v>1</v>
      </c>
      <c r="E105" s="212">
        <v>403.76</v>
      </c>
      <c r="F105" s="212">
        <f t="shared" si="56"/>
        <v>403.76</v>
      </c>
      <c r="G105" s="213"/>
      <c r="H105" s="211"/>
      <c r="I105" s="211"/>
      <c r="J105" s="211"/>
      <c r="K105" s="212">
        <v>0</v>
      </c>
      <c r="L105" s="211"/>
      <c r="M105" s="348"/>
      <c r="N105" s="211"/>
      <c r="O105" s="57"/>
      <c r="P105" s="57"/>
      <c r="Q105" s="59">
        <f t="shared" si="54"/>
        <v>0</v>
      </c>
    </row>
    <row r="106" spans="1:17" s="3" customFormat="1">
      <c r="A106" s="125" t="s">
        <v>163</v>
      </c>
      <c r="B106" s="133">
        <v>2</v>
      </c>
      <c r="C106" s="133">
        <v>14</v>
      </c>
      <c r="D106" s="207">
        <f t="shared" si="55"/>
        <v>0.14285714285714285</v>
      </c>
      <c r="E106" s="212">
        <v>307.7</v>
      </c>
      <c r="F106" s="212">
        <f t="shared" si="56"/>
        <v>43.96</v>
      </c>
      <c r="G106" s="213"/>
      <c r="H106" s="211"/>
      <c r="I106" s="211"/>
      <c r="J106" s="211"/>
      <c r="K106" s="212">
        <f>-127.17*D106</f>
        <v>-18.167142857142856</v>
      </c>
      <c r="L106" s="211"/>
      <c r="M106" s="58">
        <f>-6.08*D106</f>
        <v>-0.86857142857142855</v>
      </c>
      <c r="N106" s="211"/>
      <c r="O106" s="57"/>
      <c r="P106" s="57"/>
      <c r="Q106" s="59">
        <f t="shared" si="54"/>
        <v>-19.035714285714285</v>
      </c>
    </row>
    <row r="107" spans="1:17" s="3" customFormat="1">
      <c r="A107" s="125" t="s">
        <v>164</v>
      </c>
      <c r="B107" s="133">
        <v>11.3</v>
      </c>
      <c r="C107" s="133">
        <v>14</v>
      </c>
      <c r="D107" s="207">
        <f>B107/C106</f>
        <v>0.80714285714285716</v>
      </c>
      <c r="E107" s="212">
        <v>0</v>
      </c>
      <c r="F107" s="212">
        <f>ROUND(D107*E106,2)</f>
        <v>248.36</v>
      </c>
      <c r="G107" s="213"/>
      <c r="H107" s="211"/>
      <c r="I107" s="211"/>
      <c r="J107" s="211"/>
      <c r="K107" s="212">
        <f>-127.17*D107</f>
        <v>-102.64435714285715</v>
      </c>
      <c r="L107" s="211"/>
      <c r="M107" s="58">
        <f>-6.08*D107</f>
        <v>-4.9074285714285715</v>
      </c>
      <c r="N107" s="211"/>
      <c r="O107" s="57"/>
      <c r="P107" s="57"/>
      <c r="Q107" s="59">
        <f t="shared" si="54"/>
        <v>-107.55178571428571</v>
      </c>
    </row>
    <row r="108" spans="1:17" s="3" customFormat="1">
      <c r="A108" s="125" t="s">
        <v>363</v>
      </c>
      <c r="B108" s="133">
        <v>7</v>
      </c>
      <c r="C108" s="133">
        <v>70</v>
      </c>
      <c r="D108" s="127">
        <f t="shared" ref="D108" si="57">B108/C108</f>
        <v>0.1</v>
      </c>
      <c r="E108" s="57">
        <v>4230.7700000000004</v>
      </c>
      <c r="F108" s="212">
        <f>ROUND(D108*E108,2)</f>
        <v>423.08</v>
      </c>
      <c r="G108" s="212"/>
      <c r="H108" s="211"/>
      <c r="I108" s="211"/>
      <c r="J108" s="211"/>
      <c r="K108" s="57">
        <f>-103.26*D108</f>
        <v>-10.326000000000001</v>
      </c>
      <c r="L108" s="211"/>
      <c r="M108" s="58">
        <f>-3.37*D108</f>
        <v>-0.33700000000000002</v>
      </c>
      <c r="N108" s="211"/>
      <c r="O108" s="59"/>
      <c r="P108" s="59"/>
      <c r="Q108" s="59">
        <f t="shared" si="54"/>
        <v>-10.663</v>
      </c>
    </row>
    <row r="109" spans="1:17" s="3" customFormat="1">
      <c r="A109" s="60" t="s">
        <v>66</v>
      </c>
      <c r="B109" s="135"/>
      <c r="C109" s="333"/>
      <c r="D109" s="380"/>
      <c r="E109" s="62">
        <f>SUBTOTAL(109,'Salaries &amp; Fringe Allocations'!E100:E108)</f>
        <v>13288.400000000001</v>
      </c>
      <c r="F109" s="62">
        <f>SUBTOTAL(109,'Salaries &amp; Fringe Allocations'!F100:F108)</f>
        <v>6942.25</v>
      </c>
      <c r="G109" s="209"/>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7"/>
      <c r="C110" s="137"/>
      <c r="D110" s="1"/>
    </row>
    <row r="111" spans="1:17" s="3" customFormat="1" ht="31">
      <c r="A111" s="220" t="s">
        <v>451</v>
      </c>
      <c r="B111" s="131"/>
      <c r="C111" s="131"/>
      <c r="D111" s="381"/>
      <c r="E111" s="24"/>
      <c r="F111" s="24"/>
      <c r="G111" s="24"/>
      <c r="H111" s="25"/>
      <c r="I111" s="28"/>
      <c r="J111" s="26"/>
      <c r="K111" s="26"/>
      <c r="L111" s="26"/>
      <c r="M111" s="26"/>
      <c r="N111" s="27"/>
      <c r="O111" s="28"/>
      <c r="P111" s="29"/>
      <c r="Q111" s="30"/>
    </row>
    <row r="112" spans="1:17" s="3" customFormat="1" ht="43.5">
      <c r="A112" s="53" t="s">
        <v>61</v>
      </c>
      <c r="B112" s="132" t="s">
        <v>68</v>
      </c>
      <c r="C112" s="132" t="s">
        <v>69</v>
      </c>
      <c r="D112" s="379" t="s">
        <v>62</v>
      </c>
      <c r="E112" s="54" t="s">
        <v>63</v>
      </c>
      <c r="F112" s="54" t="s">
        <v>67</v>
      </c>
      <c r="G112" s="54" t="s">
        <v>295</v>
      </c>
      <c r="H112" s="55" t="s">
        <v>289</v>
      </c>
      <c r="I112" s="54" t="s">
        <v>288</v>
      </c>
      <c r="J112" s="55" t="s">
        <v>291</v>
      </c>
      <c r="K112" s="55" t="s">
        <v>292</v>
      </c>
      <c r="L112" s="55" t="s">
        <v>283</v>
      </c>
      <c r="M112" s="55" t="s">
        <v>293</v>
      </c>
      <c r="N112" s="54" t="s">
        <v>290</v>
      </c>
      <c r="O112" s="54" t="s">
        <v>64</v>
      </c>
      <c r="P112" s="54" t="s">
        <v>139</v>
      </c>
      <c r="Q112" s="54" t="s">
        <v>65</v>
      </c>
    </row>
    <row r="113" spans="1:18" s="3" customFormat="1">
      <c r="A113" s="125" t="s">
        <v>294</v>
      </c>
      <c r="B113" s="136">
        <f t="shared" ref="B113:C113" si="58">+B87+B100</f>
        <v>28</v>
      </c>
      <c r="C113" s="136">
        <f t="shared" si="58"/>
        <v>140</v>
      </c>
      <c r="D113" s="214">
        <f t="shared" ref="D113:D114" si="59">B113/C113</f>
        <v>0.2</v>
      </c>
      <c r="E113" s="57">
        <f>+E87+E100</f>
        <v>6307.7</v>
      </c>
      <c r="F113" s="57">
        <f t="shared" ref="F113:F114" si="60">ROUND(D113*E113,2)</f>
        <v>1261.54</v>
      </c>
      <c r="G113" s="296">
        <f t="shared" ref="G113:G121" si="61">+F113/$F$122</f>
        <v>8.4450377018979478E-2</v>
      </c>
      <c r="H113" s="57">
        <f>+G113*'Sept-2019 GL'!$G$69</f>
        <v>116.54152028619168</v>
      </c>
      <c r="I113" s="57">
        <f>+G113*'Sept-2019 GL'!$G$73</f>
        <v>15.538869371492224</v>
      </c>
      <c r="J113" s="212">
        <f>1118.65*D113</f>
        <v>223.73000000000002</v>
      </c>
      <c r="K113" s="212">
        <f t="shared" ref="K113:K121" si="62">+K87+K100</f>
        <v>-41.304000000000002</v>
      </c>
      <c r="L113" s="212">
        <f>63.88*D113</f>
        <v>12.776000000000002</v>
      </c>
      <c r="M113" s="212">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5" t="s">
        <v>161</v>
      </c>
      <c r="B114" s="136">
        <f t="shared" ref="B114:C115" si="66">+B88+B101</f>
        <v>58</v>
      </c>
      <c r="C114" s="136">
        <f t="shared" si="66"/>
        <v>140</v>
      </c>
      <c r="D114" s="214">
        <f t="shared" si="59"/>
        <v>0.41428571428571431</v>
      </c>
      <c r="E114" s="57">
        <f t="shared" ref="E114:E121" si="67">+E88+E101</f>
        <v>5000</v>
      </c>
      <c r="F114" s="57">
        <f t="shared" si="60"/>
        <v>2071.4299999999998</v>
      </c>
      <c r="G114" s="296">
        <f t="shared" si="61"/>
        <v>0.13866626858317979</v>
      </c>
      <c r="H114" s="57">
        <f>+G114*'Sept-2019 GL'!$G$69</f>
        <v>191.35945064478813</v>
      </c>
      <c r="I114" s="57">
        <f>+G114*'Sept-2019 GL'!$G$73</f>
        <v>25.514593419305083</v>
      </c>
      <c r="J114" s="212">
        <f>1050.94*D114</f>
        <v>435.3894285714286</v>
      </c>
      <c r="K114" s="212">
        <f t="shared" si="62"/>
        <v>-80.3797142857143</v>
      </c>
      <c r="L114" s="212">
        <f>79.63*D114</f>
        <v>32.989571428571431</v>
      </c>
      <c r="M114" s="212">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5" t="s">
        <v>162</v>
      </c>
      <c r="B115" s="136">
        <f t="shared" si="66"/>
        <v>82</v>
      </c>
      <c r="C115" s="136"/>
      <c r="D115" s="214">
        <f>B115/C114</f>
        <v>0.58571428571428574</v>
      </c>
      <c r="E115" s="57">
        <f t="shared" si="67"/>
        <v>0</v>
      </c>
      <c r="F115" s="57">
        <f>ROUND(D115*E114,2)</f>
        <v>2928.57</v>
      </c>
      <c r="G115" s="296">
        <f t="shared" si="61"/>
        <v>0.19604518336832186</v>
      </c>
      <c r="H115" s="57">
        <f>+G115*'Sept-2019 GL'!$G$69</f>
        <v>270.54235304828416</v>
      </c>
      <c r="I115" s="57">
        <f>+G115*'Sept-2019 GL'!$G$73</f>
        <v>36.072313739771225</v>
      </c>
      <c r="J115" s="212">
        <f>1050.94*D115</f>
        <v>615.55057142857152</v>
      </c>
      <c r="K115" s="212">
        <f t="shared" si="62"/>
        <v>-113.64028571428572</v>
      </c>
      <c r="L115" s="212">
        <f>79.63*D115</f>
        <v>46.640428571428572</v>
      </c>
      <c r="M115" s="212">
        <f t="shared" si="63"/>
        <v>-3.947714285714286</v>
      </c>
      <c r="N115" s="57">
        <f>+$G115*'Sept-2019 GL'!$G$55</f>
        <v>91.553100633006309</v>
      </c>
      <c r="O115" s="57">
        <f t="shared" ref="O115:P115" si="69">+O89+O102</f>
        <v>0</v>
      </c>
      <c r="P115" s="57">
        <f t="shared" si="69"/>
        <v>0</v>
      </c>
      <c r="Q115" s="59">
        <f t="shared" si="65"/>
        <v>942.77076742106192</v>
      </c>
    </row>
    <row r="116" spans="1:18" s="3" customFormat="1">
      <c r="A116" s="125" t="s">
        <v>165</v>
      </c>
      <c r="B116" s="136">
        <f t="shared" ref="B116:C116" si="70">+B90+B103</f>
        <v>140</v>
      </c>
      <c r="C116" s="136">
        <f t="shared" si="70"/>
        <v>140</v>
      </c>
      <c r="D116" s="214">
        <f t="shared" ref="D116:D119" si="71">B116/C116</f>
        <v>1</v>
      </c>
      <c r="E116" s="57">
        <f t="shared" si="67"/>
        <v>3076.94</v>
      </c>
      <c r="F116" s="57">
        <f t="shared" ref="F116:F119" si="72">ROUND(D116*E116,2)</f>
        <v>3076.94</v>
      </c>
      <c r="G116" s="296">
        <f t="shared" si="61"/>
        <v>0.2059774109935307</v>
      </c>
      <c r="H116" s="57">
        <f>+G116*'Sept-2019 GL'!$G$69</f>
        <v>284.24882717107238</v>
      </c>
      <c r="I116" s="57">
        <f>+G116*'Sept-2019 GL'!$G$73</f>
        <v>37.899843622809648</v>
      </c>
      <c r="J116" s="212">
        <v>0</v>
      </c>
      <c r="K116" s="212">
        <f t="shared" si="62"/>
        <v>0</v>
      </c>
      <c r="L116" s="212">
        <v>0</v>
      </c>
      <c r="M116" s="212">
        <f t="shared" si="63"/>
        <v>0</v>
      </c>
      <c r="N116" s="57">
        <f>+$G116*'Sept-2019 GL'!$G$55</f>
        <v>96.191450933978842</v>
      </c>
      <c r="O116" s="57">
        <f t="shared" ref="O116:P116" si="73">+O90+O103</f>
        <v>0</v>
      </c>
      <c r="P116" s="57">
        <f t="shared" si="73"/>
        <v>0</v>
      </c>
      <c r="Q116" s="59">
        <f t="shared" si="65"/>
        <v>418.34012172786089</v>
      </c>
    </row>
    <row r="117" spans="1:18" s="3" customFormat="1">
      <c r="A117" s="125" t="s">
        <v>166</v>
      </c>
      <c r="B117" s="136">
        <f t="shared" ref="B117:C117" si="74">+B91+B104</f>
        <v>105</v>
      </c>
      <c r="C117" s="136">
        <f t="shared" si="74"/>
        <v>105</v>
      </c>
      <c r="D117" s="214">
        <f t="shared" si="71"/>
        <v>1</v>
      </c>
      <c r="E117" s="57">
        <f t="shared" si="67"/>
        <v>1730.7799999999997</v>
      </c>
      <c r="F117" s="57">
        <f t="shared" si="72"/>
        <v>1730.78</v>
      </c>
      <c r="G117" s="296">
        <f t="shared" si="61"/>
        <v>0.115862377361724</v>
      </c>
      <c r="H117" s="57">
        <f>+G117*'Sept-2019 GL'!$G$69</f>
        <v>159.89008075917911</v>
      </c>
      <c r="I117" s="57">
        <f>+G117*'Sept-2019 GL'!$G$73</f>
        <v>21.318677434557216</v>
      </c>
      <c r="J117" s="212">
        <v>1118.6500000000001</v>
      </c>
      <c r="K117" s="212">
        <f t="shared" si="62"/>
        <v>-206.52</v>
      </c>
      <c r="L117" s="212">
        <v>0</v>
      </c>
      <c r="M117" s="212">
        <f t="shared" si="63"/>
        <v>0</v>
      </c>
      <c r="N117" s="57">
        <f>+$G117*'Sept-2019 GL'!$G$55</f>
        <v>54.10773022792511</v>
      </c>
      <c r="O117" s="57">
        <f t="shared" ref="O117:P117" si="75">+O91+O104</f>
        <v>0</v>
      </c>
      <c r="P117" s="57">
        <f t="shared" si="75"/>
        <v>0</v>
      </c>
      <c r="Q117" s="59">
        <f t="shared" si="65"/>
        <v>1147.4464884216613</v>
      </c>
    </row>
    <row r="118" spans="1:18" s="3" customFormat="1">
      <c r="A118" s="125" t="s">
        <v>167</v>
      </c>
      <c r="B118" s="136">
        <f t="shared" ref="B118:C118" si="76">+B92+B105</f>
        <v>88</v>
      </c>
      <c r="C118" s="136">
        <f t="shared" si="76"/>
        <v>88</v>
      </c>
      <c r="D118" s="214">
        <f t="shared" si="71"/>
        <v>1</v>
      </c>
      <c r="E118" s="57">
        <f t="shared" si="67"/>
        <v>1268.96</v>
      </c>
      <c r="F118" s="57">
        <f t="shared" si="72"/>
        <v>1268.96</v>
      </c>
      <c r="G118" s="296">
        <f t="shared" si="61"/>
        <v>8.4947088813675506E-2</v>
      </c>
      <c r="H118" s="57">
        <f>+G118*'Sept-2019 GL'!$G$69</f>
        <v>117.22698256287219</v>
      </c>
      <c r="I118" s="57">
        <f>+G118*'Sept-2019 GL'!$G$73</f>
        <v>15.630264341716293</v>
      </c>
      <c r="J118" s="212">
        <v>0</v>
      </c>
      <c r="K118" s="212">
        <f t="shared" si="62"/>
        <v>0</v>
      </c>
      <c r="L118" s="212">
        <v>0</v>
      </c>
      <c r="M118" s="212">
        <f t="shared" si="63"/>
        <v>0</v>
      </c>
      <c r="N118" s="57">
        <f>+$G118*'Sept-2019 GL'!$G$55</f>
        <v>39.670290475986462</v>
      </c>
      <c r="O118" s="57">
        <f t="shared" ref="O118:P118" si="77">+O92+O105</f>
        <v>0</v>
      </c>
      <c r="P118" s="57">
        <f t="shared" si="77"/>
        <v>0</v>
      </c>
      <c r="Q118" s="59">
        <f t="shared" si="65"/>
        <v>172.52753738057496</v>
      </c>
    </row>
    <row r="119" spans="1:18" s="3" customFormat="1">
      <c r="A119" s="125" t="s">
        <v>163</v>
      </c>
      <c r="B119" s="136">
        <f t="shared" ref="B119:C119" si="78">+B93+B106</f>
        <v>32</v>
      </c>
      <c r="C119" s="136">
        <f t="shared" si="78"/>
        <v>84</v>
      </c>
      <c r="D119" s="214">
        <f t="shared" si="71"/>
        <v>0.38095238095238093</v>
      </c>
      <c r="E119" s="57">
        <f t="shared" si="67"/>
        <v>1846.17</v>
      </c>
      <c r="F119" s="57">
        <f t="shared" si="72"/>
        <v>703.3</v>
      </c>
      <c r="G119" s="296">
        <f t="shared" si="61"/>
        <v>4.7080512831498222E-2</v>
      </c>
      <c r="H119" s="57">
        <f>+G119*'Sept-2019 GL'!$G$69</f>
        <v>64.971107707467553</v>
      </c>
      <c r="I119" s="57">
        <f>+G119*'Sept-2019 GL'!$G$73</f>
        <v>8.6628143609956734</v>
      </c>
      <c r="J119" s="212">
        <f>1377.69*D119</f>
        <v>524.83428571428567</v>
      </c>
      <c r="K119" s="212">
        <f t="shared" si="62"/>
        <v>-72.668571428571425</v>
      </c>
      <c r="L119" s="212">
        <f>77.55*D119</f>
        <v>29.542857142857141</v>
      </c>
      <c r="M119" s="212">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5" t="s">
        <v>164</v>
      </c>
      <c r="B120" s="136">
        <f t="shared" ref="B120" si="80">+B94+B107</f>
        <v>47.8</v>
      </c>
      <c r="C120" s="136"/>
      <c r="D120" s="214">
        <f>B120/C119</f>
        <v>0.56904761904761902</v>
      </c>
      <c r="E120" s="57">
        <f t="shared" si="67"/>
        <v>0</v>
      </c>
      <c r="F120" s="57">
        <f>ROUND(D120*E119,2)+0.01</f>
        <v>1050.57</v>
      </c>
      <c r="G120" s="296">
        <f t="shared" si="61"/>
        <v>7.0327562015337811E-2</v>
      </c>
      <c r="H120" s="57">
        <f>+G120*'Sept-2019 GL'!$G$69</f>
        <v>97.05203558116618</v>
      </c>
      <c r="I120" s="57">
        <f>+G120*'Sept-2019 GL'!$G$73</f>
        <v>12.940271410822158</v>
      </c>
      <c r="J120" s="212">
        <f>1377.69*D120</f>
        <v>783.97121428571427</v>
      </c>
      <c r="K120" s="212">
        <f t="shared" si="62"/>
        <v>-168.95442857142859</v>
      </c>
      <c r="L120" s="212">
        <f>77.55*D120</f>
        <v>44.129642857142855</v>
      </c>
      <c r="M120" s="212">
        <f t="shared" si="63"/>
        <v>-8.0777142857142863</v>
      </c>
      <c r="N120" s="57">
        <f>+$G120*'Sept-2019 GL'!$G$55</f>
        <v>32.842971461162755</v>
      </c>
      <c r="O120" s="57">
        <f t="shared" ref="O120:P120" si="81">+O94+O107</f>
        <v>0</v>
      </c>
      <c r="P120" s="57">
        <f t="shared" si="81"/>
        <v>0</v>
      </c>
      <c r="Q120" s="59">
        <f t="shared" si="65"/>
        <v>793.90399273886533</v>
      </c>
    </row>
    <row r="121" spans="1:18" s="3" customFormat="1">
      <c r="A121" s="125" t="s">
        <v>435</v>
      </c>
      <c r="B121" s="136">
        <f t="shared" ref="B121:C121" si="82">+B95+B108</f>
        <v>14</v>
      </c>
      <c r="C121" s="136">
        <f t="shared" si="82"/>
        <v>140</v>
      </c>
      <c r="D121" s="214">
        <f>B121/C121</f>
        <v>0.1</v>
      </c>
      <c r="E121" s="57">
        <f t="shared" si="67"/>
        <v>8461.5400000000009</v>
      </c>
      <c r="F121" s="57">
        <f>ROUND(D121*E121,2)</f>
        <v>846.15</v>
      </c>
      <c r="G121" s="296">
        <f t="shared" si="61"/>
        <v>5.6643219013752626E-2</v>
      </c>
      <c r="H121" s="57">
        <f>+G121*'Sept-2019 GL'!$G$69</f>
        <v>78.16764223897863</v>
      </c>
      <c r="I121" s="57">
        <f>+G121*'Sept-2019 GL'!$G$73</f>
        <v>10.422352298530484</v>
      </c>
      <c r="J121" s="212">
        <f>1118.65*D121</f>
        <v>111.86500000000001</v>
      </c>
      <c r="K121" s="212">
        <f t="shared" si="62"/>
        <v>-20.652000000000001</v>
      </c>
      <c r="L121" s="212">
        <f>49.83*D121</f>
        <v>4.9830000000000005</v>
      </c>
      <c r="M121" s="212">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323</v>
      </c>
      <c r="B122" s="135"/>
      <c r="C122" s="333"/>
      <c r="D122" s="61"/>
      <c r="E122" s="62">
        <f>SUBTOTAL(109,'Salaries &amp; Fringe Allocations'!E113:E121)</f>
        <v>27692.090000000004</v>
      </c>
      <c r="F122" s="321">
        <f>SUBTOTAL(109,'Salaries &amp; Fringe Allocations'!F113:F121)</f>
        <v>14938.24</v>
      </c>
      <c r="G122" s="357">
        <f>SUM(G113:G121)</f>
        <v>1.0000000000000002</v>
      </c>
      <c r="H122" s="321">
        <f>SUBTOTAL(109,'Salaries &amp; Fringe Allocations'!H113:H121)</f>
        <v>1380.0000000000002</v>
      </c>
      <c r="I122" s="321">
        <f>SUBTOTAL(109,'Salaries &amp; Fringe Allocations'!I113:I121)</f>
        <v>184</v>
      </c>
      <c r="J122" s="321">
        <f>SUBTOTAL(109,'Salaries &amp; Fringe Allocations'!J113:J121)</f>
        <v>3813.9904999999999</v>
      </c>
      <c r="K122" s="321">
        <f>SUBTOTAL(109,'Salaries &amp; Fringe Allocations'!K113:K121)</f>
        <v>-704.11900000000014</v>
      </c>
      <c r="L122" s="321">
        <f>SUBTOTAL(109,'Salaries &amp; Fringe Allocations'!L113:L121)</f>
        <v>171.06150000000002</v>
      </c>
      <c r="M122" s="321">
        <f>SUBTOTAL(109,'Salaries &amp; Fringe Allocations'!M113:M121)</f>
        <v>-20.314</v>
      </c>
      <c r="N122" s="321">
        <f>SUBTOTAL(109,'Salaries &amp; Fringe Allocations'!N113:N121)</f>
        <v>466.99999999999994</v>
      </c>
      <c r="O122" s="62">
        <f>SUBTOTAL(109,'Salaries &amp; Fringe Allocations'!O113:O121)</f>
        <v>0</v>
      </c>
      <c r="P122" s="62">
        <f>SUBTOTAL(109,'Salaries &amp; Fringe Allocations'!P113:P121)</f>
        <v>0</v>
      </c>
      <c r="Q122" s="321">
        <f>SUBTOTAL(109,'Salaries &amp; Fringe Allocations'!Q113:Q121)</f>
        <v>5291.6189999999997</v>
      </c>
    </row>
    <row r="123" spans="1:18" s="3" customFormat="1">
      <c r="A123" s="252"/>
      <c r="B123" s="217"/>
      <c r="C123" s="217"/>
      <c r="D123" s="216"/>
      <c r="E123" s="372" t="s">
        <v>509</v>
      </c>
      <c r="F123" s="373">
        <v>14938.24</v>
      </c>
      <c r="G123" s="218"/>
      <c r="H123" s="218"/>
      <c r="I123" s="218"/>
      <c r="J123" s="218"/>
      <c r="K123" s="218"/>
      <c r="L123" s="218"/>
      <c r="M123" s="218"/>
      <c r="N123" s="218"/>
      <c r="O123" s="218"/>
      <c r="P123" s="218"/>
      <c r="Q123" s="218"/>
    </row>
    <row r="124" spans="1:18" s="1" customFormat="1" ht="15" thickBot="1">
      <c r="A124" s="253"/>
      <c r="B124" s="254"/>
      <c r="C124" s="254"/>
      <c r="D124" s="255"/>
      <c r="E124" s="374" t="s">
        <v>510</v>
      </c>
      <c r="F124" s="256">
        <f>+F122-F123</f>
        <v>0</v>
      </c>
      <c r="G124" s="257"/>
      <c r="H124" s="257"/>
      <c r="I124" s="257"/>
      <c r="J124" s="256"/>
      <c r="K124" s="256"/>
      <c r="L124" s="257"/>
      <c r="M124" s="257"/>
      <c r="N124" s="257"/>
      <c r="O124" s="257"/>
      <c r="P124" s="257"/>
      <c r="Q124" s="257"/>
    </row>
    <row r="125" spans="1:18" ht="15" thickTop="1"/>
    <row r="126" spans="1:18" s="1" customFormat="1" ht="15" thickBot="1">
      <c r="A126" s="253"/>
      <c r="B126" s="254"/>
      <c r="C126" s="254"/>
      <c r="D126" s="255"/>
      <c r="E126" s="255"/>
      <c r="F126" s="256"/>
      <c r="G126" s="257"/>
      <c r="H126" s="257"/>
      <c r="I126" s="257"/>
      <c r="J126" s="256"/>
      <c r="K126" s="256"/>
      <c r="L126" s="257"/>
      <c r="M126" s="257"/>
      <c r="N126" s="257"/>
      <c r="O126" s="257"/>
      <c r="P126" s="257"/>
      <c r="Q126" s="257"/>
    </row>
    <row r="127" spans="1:18" s="3" customFormat="1" ht="15" thickTop="1">
      <c r="A127" s="23" t="s">
        <v>511</v>
      </c>
      <c r="B127" s="130" t="s">
        <v>159</v>
      </c>
      <c r="C127" s="131"/>
      <c r="D127" s="126">
        <v>43742</v>
      </c>
      <c r="E127" s="24"/>
      <c r="F127" s="24"/>
      <c r="G127" s="24"/>
      <c r="H127" s="25"/>
      <c r="I127" s="28"/>
      <c r="J127" s="26"/>
      <c r="K127" s="26"/>
      <c r="L127" s="26"/>
      <c r="M127" s="26"/>
      <c r="N127" s="27"/>
      <c r="O127" s="28"/>
      <c r="P127" s="29"/>
      <c r="Q127" s="30"/>
    </row>
    <row r="128" spans="1:18" s="3" customFormat="1" ht="43.5">
      <c r="A128" s="53" t="s">
        <v>61</v>
      </c>
      <c r="B128" s="132" t="s">
        <v>68</v>
      </c>
      <c r="C128" s="132" t="s">
        <v>69</v>
      </c>
      <c r="D128" s="54" t="s">
        <v>62</v>
      </c>
      <c r="E128" s="54" t="s">
        <v>63</v>
      </c>
      <c r="F128" s="54" t="s">
        <v>67</v>
      </c>
      <c r="G128" s="54"/>
      <c r="H128" s="55" t="s">
        <v>289</v>
      </c>
      <c r="I128" s="54" t="s">
        <v>288</v>
      </c>
      <c r="J128" s="55" t="s">
        <v>291</v>
      </c>
      <c r="K128" s="55" t="s">
        <v>292</v>
      </c>
      <c r="L128" s="55" t="s">
        <v>283</v>
      </c>
      <c r="M128" s="55" t="s">
        <v>293</v>
      </c>
      <c r="N128" s="54" t="s">
        <v>290</v>
      </c>
      <c r="O128" s="54" t="s">
        <v>64</v>
      </c>
      <c r="P128" s="54" t="s">
        <v>139</v>
      </c>
      <c r="Q128" s="54" t="s">
        <v>65</v>
      </c>
    </row>
    <row r="129" spans="1:17" s="3" customFormat="1">
      <c r="A129" s="125" t="s">
        <v>294</v>
      </c>
      <c r="B129" s="133">
        <v>14</v>
      </c>
      <c r="C129" s="133">
        <v>70</v>
      </c>
      <c r="D129" s="207">
        <f t="shared" ref="D129:D137" si="84">B129/C129</f>
        <v>0.2</v>
      </c>
      <c r="E129" s="212">
        <v>3153.85</v>
      </c>
      <c r="F129" s="212">
        <f>ROUND(D129*E129,2)</f>
        <v>630.77</v>
      </c>
      <c r="G129" s="208"/>
      <c r="H129" s="211"/>
      <c r="I129" s="211"/>
      <c r="J129" s="211"/>
      <c r="K129" s="212">
        <f>-103.26*D129</f>
        <v>-20.652000000000001</v>
      </c>
      <c r="L129" s="211"/>
      <c r="M129" s="58">
        <f>-3.49*D129</f>
        <v>-0.69800000000000006</v>
      </c>
      <c r="N129" s="211"/>
      <c r="O129" s="56"/>
      <c r="P129" s="56"/>
      <c r="Q129" s="59">
        <f t="shared" ref="Q129:Q137" si="85">SUM(H129:P129)</f>
        <v>-21.35</v>
      </c>
    </row>
    <row r="130" spans="1:17" s="3" customFormat="1" ht="15" customHeight="1">
      <c r="A130" s="125" t="s">
        <v>161</v>
      </c>
      <c r="B130" s="133">
        <f>14+18.4</f>
        <v>32.4</v>
      </c>
      <c r="C130" s="133">
        <v>70</v>
      </c>
      <c r="D130" s="207">
        <f t="shared" si="84"/>
        <v>0.46285714285714286</v>
      </c>
      <c r="E130" s="212">
        <v>2500</v>
      </c>
      <c r="F130" s="212">
        <f>ROUND(D130*E130,2)</f>
        <v>1157.1400000000001</v>
      </c>
      <c r="G130" s="208"/>
      <c r="H130" s="211"/>
      <c r="I130" s="211"/>
      <c r="J130" s="211"/>
      <c r="K130" s="212">
        <f>-97.01*D130</f>
        <v>-44.901771428571429</v>
      </c>
      <c r="L130" s="211"/>
      <c r="M130" s="58">
        <f>-3.49*D130</f>
        <v>-1.6153714285714287</v>
      </c>
      <c r="N130" s="211"/>
      <c r="O130" s="56"/>
      <c r="P130" s="56"/>
      <c r="Q130" s="59">
        <f t="shared" si="85"/>
        <v>-46.517142857142858</v>
      </c>
    </row>
    <row r="131" spans="1:17" s="3" customFormat="1">
      <c r="A131" s="125" t="s">
        <v>162</v>
      </c>
      <c r="B131" s="133">
        <f>21+16.6</f>
        <v>37.6</v>
      </c>
      <c r="C131" s="133">
        <v>70</v>
      </c>
      <c r="D131" s="207">
        <f t="shared" si="84"/>
        <v>0.53714285714285714</v>
      </c>
      <c r="E131" s="212"/>
      <c r="F131" s="212">
        <f>ROUND(D131*E130,2)</f>
        <v>1342.86</v>
      </c>
      <c r="G131" s="208"/>
      <c r="H131" s="211"/>
      <c r="I131" s="211"/>
      <c r="J131" s="211"/>
      <c r="K131" s="212">
        <f>-97.01*D131</f>
        <v>-52.108228571428576</v>
      </c>
      <c r="L131" s="211"/>
      <c r="M131" s="58">
        <f>-3.49*D131</f>
        <v>-1.8746285714285715</v>
      </c>
      <c r="N131" s="211"/>
      <c r="O131" s="56"/>
      <c r="P131" s="56"/>
      <c r="Q131" s="59">
        <f t="shared" si="85"/>
        <v>-53.982857142857149</v>
      </c>
    </row>
    <row r="132" spans="1:17" s="3" customFormat="1" ht="15" customHeight="1">
      <c r="A132" s="125" t="s">
        <v>165</v>
      </c>
      <c r="B132" s="133">
        <v>70</v>
      </c>
      <c r="C132" s="133">
        <v>70</v>
      </c>
      <c r="D132" s="207">
        <f t="shared" si="84"/>
        <v>1</v>
      </c>
      <c r="E132" s="212">
        <v>1538.47</v>
      </c>
      <c r="F132" s="212">
        <f t="shared" ref="F132:F134" si="86">ROUND(E132,2)</f>
        <v>1538.47</v>
      </c>
      <c r="G132" s="208"/>
      <c r="H132" s="211"/>
      <c r="I132" s="211"/>
      <c r="J132" s="211"/>
      <c r="K132" s="212">
        <v>0</v>
      </c>
      <c r="L132" s="211"/>
      <c r="M132" s="58"/>
      <c r="N132" s="211"/>
      <c r="O132" s="56"/>
      <c r="P132" s="56"/>
      <c r="Q132" s="59">
        <f t="shared" si="85"/>
        <v>0</v>
      </c>
    </row>
    <row r="133" spans="1:17" s="3" customFormat="1">
      <c r="A133" s="125" t="s">
        <v>166</v>
      </c>
      <c r="B133" s="133">
        <v>70</v>
      </c>
      <c r="C133" s="133">
        <f>+B133</f>
        <v>70</v>
      </c>
      <c r="D133" s="207">
        <f t="shared" si="84"/>
        <v>1</v>
      </c>
      <c r="E133" s="212">
        <v>1153.8499999999999</v>
      </c>
      <c r="F133" s="212">
        <f t="shared" si="86"/>
        <v>1153.8499999999999</v>
      </c>
      <c r="G133" s="208"/>
      <c r="H133" s="211"/>
      <c r="I133" s="211"/>
      <c r="J133" s="211"/>
      <c r="K133" s="212">
        <f>-103.26*D133</f>
        <v>-103.26</v>
      </c>
      <c r="L133" s="211"/>
      <c r="M133" s="58"/>
      <c r="N133" s="211"/>
      <c r="O133" s="56"/>
      <c r="P133" s="56"/>
      <c r="Q133" s="59">
        <f t="shared" si="85"/>
        <v>-103.26</v>
      </c>
    </row>
    <row r="134" spans="1:17" s="3" customFormat="1" ht="15" customHeight="1">
      <c r="A134" s="125" t="s">
        <v>513</v>
      </c>
      <c r="B134" s="133">
        <v>60</v>
      </c>
      <c r="C134" s="133">
        <v>60</v>
      </c>
      <c r="D134" s="207">
        <f t="shared" si="84"/>
        <v>1</v>
      </c>
      <c r="E134" s="212">
        <v>865.2</v>
      </c>
      <c r="F134" s="212">
        <f t="shared" si="86"/>
        <v>865.2</v>
      </c>
      <c r="G134" s="208"/>
      <c r="H134" s="211"/>
      <c r="I134" s="211"/>
      <c r="J134" s="211"/>
      <c r="K134" s="212">
        <v>0</v>
      </c>
      <c r="L134" s="211"/>
      <c r="M134" s="348"/>
      <c r="N134" s="211"/>
      <c r="O134" s="59"/>
      <c r="P134" s="59"/>
      <c r="Q134" s="59">
        <f t="shared" si="85"/>
        <v>0</v>
      </c>
    </row>
    <row r="135" spans="1:17" s="3" customFormat="1">
      <c r="A135" s="125" t="s">
        <v>163</v>
      </c>
      <c r="B135" s="133">
        <v>0</v>
      </c>
      <c r="C135" s="133">
        <f>+B135</f>
        <v>0</v>
      </c>
      <c r="D135" s="207"/>
      <c r="E135" s="212">
        <v>0</v>
      </c>
      <c r="F135" s="57">
        <f>ROUND(D135*E135,2)</f>
        <v>0</v>
      </c>
      <c r="G135" s="208"/>
      <c r="H135" s="211"/>
      <c r="I135" s="211"/>
      <c r="J135" s="211"/>
      <c r="K135" s="212">
        <f>-127.17*D135</f>
        <v>0</v>
      </c>
      <c r="L135" s="211"/>
      <c r="M135" s="58">
        <f>-6.08*D135</f>
        <v>0</v>
      </c>
      <c r="N135" s="211"/>
      <c r="O135" s="59"/>
      <c r="P135" s="59"/>
      <c r="Q135" s="59">
        <f t="shared" si="85"/>
        <v>0</v>
      </c>
    </row>
    <row r="136" spans="1:17" s="3" customFormat="1">
      <c r="A136" s="125" t="s">
        <v>164</v>
      </c>
      <c r="B136" s="133">
        <v>0</v>
      </c>
      <c r="C136" s="133">
        <f>+B136</f>
        <v>0</v>
      </c>
      <c r="D136" s="207"/>
      <c r="E136" s="212"/>
      <c r="F136" s="57">
        <f>ROUND(D136*E135,2)</f>
        <v>0</v>
      </c>
      <c r="G136" s="208"/>
      <c r="H136" s="211"/>
      <c r="I136" s="211"/>
      <c r="J136" s="211"/>
      <c r="K136" s="212">
        <f>-127.17*D136</f>
        <v>0</v>
      </c>
      <c r="L136" s="211"/>
      <c r="M136" s="58">
        <f>-6.08*D136</f>
        <v>0</v>
      </c>
      <c r="N136" s="211"/>
      <c r="O136" s="59"/>
      <c r="P136" s="59"/>
      <c r="Q136" s="59">
        <f t="shared" si="85"/>
        <v>0</v>
      </c>
    </row>
    <row r="137" spans="1:17" s="3" customFormat="1">
      <c r="A137" s="125" t="s">
        <v>363</v>
      </c>
      <c r="B137" s="133">
        <v>7</v>
      </c>
      <c r="C137" s="133">
        <v>70</v>
      </c>
      <c r="D137" s="127">
        <f t="shared" si="84"/>
        <v>0.1</v>
      </c>
      <c r="E137" s="212">
        <v>4230.7700000000004</v>
      </c>
      <c r="F137" s="212">
        <f>ROUND(D137*E137,2)</f>
        <v>423.08</v>
      </c>
      <c r="G137" s="57"/>
      <c r="H137" s="211"/>
      <c r="I137" s="211"/>
      <c r="J137" s="211"/>
      <c r="K137" s="212">
        <f>-103.26*D137</f>
        <v>-10.326000000000001</v>
      </c>
      <c r="L137" s="211"/>
      <c r="M137" s="58">
        <f>-3.49*D137</f>
        <v>-0.34900000000000003</v>
      </c>
      <c r="N137" s="211"/>
      <c r="O137" s="59"/>
      <c r="P137" s="59"/>
      <c r="Q137" s="59">
        <f t="shared" si="85"/>
        <v>-10.675000000000001</v>
      </c>
    </row>
    <row r="138" spans="1:17" s="3" customFormat="1">
      <c r="A138" s="51" t="s">
        <v>66</v>
      </c>
      <c r="B138" s="134"/>
      <c r="C138" s="251"/>
      <c r="D138" s="377"/>
      <c r="E138" s="62">
        <f>SUBTOTAL(109,'Salaries &amp; Fringe Allocations'!E129:E137)</f>
        <v>13442.140000000001</v>
      </c>
      <c r="F138" s="62">
        <f>SUBTOTAL(109,'Salaries &amp; Fringe Allocations'!F129:F137)</f>
        <v>7111.37</v>
      </c>
      <c r="G138" s="209"/>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7"/>
      <c r="C139" s="137"/>
      <c r="D139" s="1"/>
    </row>
    <row r="140" spans="1:17" s="3" customFormat="1">
      <c r="A140" s="23" t="s">
        <v>512</v>
      </c>
      <c r="B140" s="130" t="s">
        <v>159</v>
      </c>
      <c r="C140" s="131"/>
      <c r="D140" s="378">
        <v>43756</v>
      </c>
      <c r="E140" s="24"/>
      <c r="F140" s="24"/>
      <c r="G140" s="24"/>
      <c r="H140" s="25"/>
      <c r="I140" s="28"/>
      <c r="J140" s="26"/>
      <c r="K140" s="26"/>
      <c r="L140" s="26"/>
      <c r="M140" s="26"/>
      <c r="N140" s="27"/>
      <c r="O140" s="28"/>
      <c r="P140" s="29"/>
      <c r="Q140" s="30"/>
    </row>
    <row r="141" spans="1:17" s="3" customFormat="1" ht="43.5">
      <c r="A141" s="53" t="s">
        <v>61</v>
      </c>
      <c r="B141" s="132" t="s">
        <v>68</v>
      </c>
      <c r="C141" s="132" t="s">
        <v>69</v>
      </c>
      <c r="D141" s="379" t="s">
        <v>62</v>
      </c>
      <c r="E141" s="54" t="s">
        <v>63</v>
      </c>
      <c r="F141" s="54" t="s">
        <v>67</v>
      </c>
      <c r="G141" s="54"/>
      <c r="H141" s="55" t="s">
        <v>289</v>
      </c>
      <c r="I141" s="54" t="s">
        <v>288</v>
      </c>
      <c r="J141" s="55" t="s">
        <v>291</v>
      </c>
      <c r="K141" s="55" t="s">
        <v>292</v>
      </c>
      <c r="L141" s="55" t="s">
        <v>283</v>
      </c>
      <c r="M141" s="55" t="s">
        <v>293</v>
      </c>
      <c r="N141" s="54" t="s">
        <v>290</v>
      </c>
      <c r="O141" s="54" t="s">
        <v>64</v>
      </c>
      <c r="P141" s="54" t="s">
        <v>139</v>
      </c>
      <c r="Q141" s="54" t="s">
        <v>65</v>
      </c>
    </row>
    <row r="142" spans="1:17" s="3" customFormat="1">
      <c r="A142" s="125" t="s">
        <v>294</v>
      </c>
      <c r="B142" s="133">
        <f>7.5+6.5</f>
        <v>14</v>
      </c>
      <c r="C142" s="133">
        <v>70</v>
      </c>
      <c r="D142" s="207">
        <f t="shared" ref="D142:D143" si="87">B142/C142</f>
        <v>0.2</v>
      </c>
      <c r="E142" s="212">
        <v>3153.85</v>
      </c>
      <c r="F142" s="212">
        <f t="shared" ref="F142:F143" si="88">ROUND(D142*E142,2)</f>
        <v>630.77</v>
      </c>
      <c r="G142" s="208"/>
      <c r="H142" s="211"/>
      <c r="I142" s="211"/>
      <c r="J142" s="211"/>
      <c r="K142" s="212">
        <f>-98.62*D142</f>
        <v>-19.724000000000004</v>
      </c>
      <c r="L142" s="211"/>
      <c r="M142" s="58">
        <f>-7.94*D142</f>
        <v>-1.5880000000000001</v>
      </c>
      <c r="N142" s="211"/>
      <c r="O142" s="57"/>
      <c r="P142" s="57"/>
      <c r="Q142" s="59">
        <f t="shared" ref="Q142:Q150" si="89">SUM(H142:P142)</f>
        <v>-21.312000000000005</v>
      </c>
    </row>
    <row r="143" spans="1:17" s="3" customFormat="1" ht="15" customHeight="1">
      <c r="A143" s="125" t="s">
        <v>161</v>
      </c>
      <c r="B143" s="133">
        <f>14+15</f>
        <v>29</v>
      </c>
      <c r="C143" s="133">
        <v>70</v>
      </c>
      <c r="D143" s="207">
        <f t="shared" si="87"/>
        <v>0.41428571428571431</v>
      </c>
      <c r="E143" s="212">
        <v>2500</v>
      </c>
      <c r="F143" s="212">
        <f t="shared" si="88"/>
        <v>1035.71</v>
      </c>
      <c r="G143" s="213"/>
      <c r="H143" s="211"/>
      <c r="I143" s="211"/>
      <c r="J143" s="211"/>
      <c r="K143" s="212">
        <f>-95.42*D143</f>
        <v>-39.531142857142861</v>
      </c>
      <c r="L143" s="211"/>
      <c r="M143" s="58">
        <f>-3.37*D143</f>
        <v>-1.3961428571428574</v>
      </c>
      <c r="N143" s="211"/>
      <c r="O143" s="57"/>
      <c r="P143" s="57"/>
      <c r="Q143" s="59">
        <f t="shared" si="89"/>
        <v>-40.927285714285716</v>
      </c>
    </row>
    <row r="144" spans="1:17" s="3" customFormat="1">
      <c r="A144" s="125" t="s">
        <v>162</v>
      </c>
      <c r="B144" s="133">
        <f>21+20</f>
        <v>41</v>
      </c>
      <c r="C144" s="133">
        <v>70</v>
      </c>
      <c r="D144" s="207">
        <f>B144/C143</f>
        <v>0.58571428571428574</v>
      </c>
      <c r="E144" s="212">
        <v>0</v>
      </c>
      <c r="F144" s="212">
        <f>ROUND(D144*E143,2)</f>
        <v>1464.29</v>
      </c>
      <c r="G144" s="213"/>
      <c r="H144" s="211"/>
      <c r="I144" s="211"/>
      <c r="J144" s="211"/>
      <c r="K144" s="212">
        <f>-95.42*D144</f>
        <v>-55.888857142857148</v>
      </c>
      <c r="L144" s="211"/>
      <c r="M144" s="58">
        <f>-3.37*D144</f>
        <v>-1.973857142857143</v>
      </c>
      <c r="N144" s="211"/>
      <c r="O144" s="57"/>
      <c r="P144" s="57"/>
      <c r="Q144" s="59">
        <f t="shared" si="89"/>
        <v>-57.86271428571429</v>
      </c>
    </row>
    <row r="145" spans="1:18" s="3" customFormat="1" ht="15" customHeight="1">
      <c r="A145" s="125" t="s">
        <v>165</v>
      </c>
      <c r="B145" s="133">
        <v>70</v>
      </c>
      <c r="C145" s="133">
        <v>70</v>
      </c>
      <c r="D145" s="207">
        <f t="shared" ref="D145:D147" si="90">B145/C145</f>
        <v>1</v>
      </c>
      <c r="E145" s="212">
        <v>1538.47</v>
      </c>
      <c r="F145" s="212">
        <f t="shared" ref="F145:F148" si="91">ROUND(D145*E145,2)</f>
        <v>1538.47</v>
      </c>
      <c r="G145" s="213"/>
      <c r="H145" s="211"/>
      <c r="I145" s="211"/>
      <c r="J145" s="211"/>
      <c r="K145" s="212">
        <v>0</v>
      </c>
      <c r="L145" s="211"/>
      <c r="M145" s="58"/>
      <c r="N145" s="211"/>
      <c r="O145" s="57"/>
      <c r="P145" s="57"/>
      <c r="Q145" s="59">
        <f t="shared" si="89"/>
        <v>0</v>
      </c>
    </row>
    <row r="146" spans="1:18" s="3" customFormat="1">
      <c r="A146" s="125" t="s">
        <v>166</v>
      </c>
      <c r="B146" s="133">
        <v>63</v>
      </c>
      <c r="C146" s="133">
        <f>+B146</f>
        <v>63</v>
      </c>
      <c r="D146" s="207">
        <f t="shared" si="90"/>
        <v>1</v>
      </c>
      <c r="E146" s="212">
        <v>1038.47</v>
      </c>
      <c r="F146" s="212">
        <f t="shared" si="91"/>
        <v>1038.47</v>
      </c>
      <c r="G146" s="213"/>
      <c r="H146" s="211"/>
      <c r="I146" s="211"/>
      <c r="J146" s="211"/>
      <c r="K146" s="212">
        <f>-98.62*D146</f>
        <v>-98.62</v>
      </c>
      <c r="L146" s="211"/>
      <c r="M146" s="58">
        <f>-3.28*D146</f>
        <v>-3.28</v>
      </c>
      <c r="N146" s="211"/>
      <c r="O146" s="57"/>
      <c r="P146" s="57"/>
      <c r="Q146" s="59">
        <f t="shared" si="89"/>
        <v>-101.9</v>
      </c>
    </row>
    <row r="147" spans="1:18" s="3" customFormat="1" ht="15" customHeight="1">
      <c r="A147" s="125" t="s">
        <v>513</v>
      </c>
      <c r="B147" s="133">
        <v>50</v>
      </c>
      <c r="C147" s="133">
        <f>+B147</f>
        <v>50</v>
      </c>
      <c r="D147" s="207">
        <f t="shared" si="90"/>
        <v>1</v>
      </c>
      <c r="E147" s="212">
        <v>721</v>
      </c>
      <c r="F147" s="212">
        <f t="shared" si="91"/>
        <v>721</v>
      </c>
      <c r="G147" s="213"/>
      <c r="H147" s="211"/>
      <c r="I147" s="211"/>
      <c r="J147" s="211"/>
      <c r="K147" s="212">
        <v>0</v>
      </c>
      <c r="L147" s="211"/>
      <c r="M147" s="348"/>
      <c r="N147" s="211"/>
      <c r="O147" s="57"/>
      <c r="P147" s="57"/>
      <c r="Q147" s="59">
        <f t="shared" si="89"/>
        <v>0</v>
      </c>
    </row>
    <row r="148" spans="1:18" s="3" customFormat="1">
      <c r="A148" s="125" t="s">
        <v>163</v>
      </c>
      <c r="B148" s="133">
        <v>0</v>
      </c>
      <c r="C148" s="133">
        <f>+B148</f>
        <v>0</v>
      </c>
      <c r="D148" s="207"/>
      <c r="E148" s="212">
        <v>0</v>
      </c>
      <c r="F148" s="212">
        <f t="shared" si="91"/>
        <v>0</v>
      </c>
      <c r="G148" s="213"/>
      <c r="H148" s="211"/>
      <c r="I148" s="211"/>
      <c r="J148" s="211"/>
      <c r="K148" s="212">
        <f>-127.17*D148</f>
        <v>0</v>
      </c>
      <c r="L148" s="211"/>
      <c r="M148" s="58">
        <f>-6.08*D148</f>
        <v>0</v>
      </c>
      <c r="N148" s="211"/>
      <c r="O148" s="57"/>
      <c r="P148" s="57"/>
      <c r="Q148" s="59">
        <f t="shared" si="89"/>
        <v>0</v>
      </c>
    </row>
    <row r="149" spans="1:18" s="3" customFormat="1">
      <c r="A149" s="125" t="s">
        <v>164</v>
      </c>
      <c r="B149" s="133">
        <v>0</v>
      </c>
      <c r="C149" s="133">
        <f>+B149</f>
        <v>0</v>
      </c>
      <c r="D149" s="207"/>
      <c r="E149" s="212">
        <v>0</v>
      </c>
      <c r="F149" s="212">
        <f>ROUND(D149*E148,2)</f>
        <v>0</v>
      </c>
      <c r="G149" s="213"/>
      <c r="H149" s="211"/>
      <c r="I149" s="211"/>
      <c r="J149" s="211"/>
      <c r="K149" s="212">
        <f>-127.17*D149</f>
        <v>0</v>
      </c>
      <c r="L149" s="211"/>
      <c r="M149" s="58">
        <f>-6.08*D149</f>
        <v>0</v>
      </c>
      <c r="N149" s="211"/>
      <c r="O149" s="57"/>
      <c r="P149" s="57"/>
      <c r="Q149" s="59">
        <f t="shared" si="89"/>
        <v>0</v>
      </c>
    </row>
    <row r="150" spans="1:18" s="3" customFormat="1">
      <c r="A150" s="125" t="s">
        <v>363</v>
      </c>
      <c r="B150" s="133">
        <v>7</v>
      </c>
      <c r="C150" s="133">
        <v>70</v>
      </c>
      <c r="D150" s="127">
        <f t="shared" ref="D150" si="92">B150/C150</f>
        <v>0.1</v>
      </c>
      <c r="E150" s="212">
        <v>4230.7700000000004</v>
      </c>
      <c r="F150" s="212">
        <f>ROUND(D150*E150,2)</f>
        <v>423.08</v>
      </c>
      <c r="G150" s="212"/>
      <c r="H150" s="211"/>
      <c r="I150" s="211"/>
      <c r="J150" s="211"/>
      <c r="K150" s="57">
        <f>-98.62*D150</f>
        <v>-9.8620000000000019</v>
      </c>
      <c r="L150" s="211"/>
      <c r="M150" s="58">
        <f>-7.94*D150</f>
        <v>-0.79400000000000004</v>
      </c>
      <c r="N150" s="211"/>
      <c r="O150" s="59"/>
      <c r="P150" s="59"/>
      <c r="Q150" s="59">
        <f t="shared" si="89"/>
        <v>-10.656000000000002</v>
      </c>
    </row>
    <row r="151" spans="1:18" s="3" customFormat="1">
      <c r="A151" s="60" t="s">
        <v>66</v>
      </c>
      <c r="B151" s="135"/>
      <c r="C151" s="333"/>
      <c r="D151" s="380"/>
      <c r="E151" s="62">
        <f>SUBTOTAL(109,'Salaries &amp; Fringe Allocations'!E142:E150)</f>
        <v>13182.560000000001</v>
      </c>
      <c r="F151" s="62">
        <f>SUBTOTAL(109,'Salaries &amp; Fringe Allocations'!F142:F150)</f>
        <v>6851.79</v>
      </c>
      <c r="G151" s="209"/>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7"/>
      <c r="C152" s="137"/>
      <c r="D152" s="1"/>
    </row>
    <row r="153" spans="1:18" s="3" customFormat="1" ht="31">
      <c r="A153" s="220" t="s">
        <v>514</v>
      </c>
      <c r="B153" s="131"/>
      <c r="C153" s="131"/>
      <c r="D153" s="381"/>
      <c r="E153" s="24"/>
      <c r="F153" s="24"/>
      <c r="G153" s="24"/>
      <c r="H153" s="25"/>
      <c r="I153" s="28"/>
      <c r="J153" s="26"/>
      <c r="K153" s="26"/>
      <c r="L153" s="26"/>
      <c r="M153" s="26"/>
      <c r="N153" s="27"/>
      <c r="O153" s="28"/>
      <c r="P153" s="29"/>
      <c r="Q153" s="30"/>
    </row>
    <row r="154" spans="1:18" s="3" customFormat="1" ht="43.5">
      <c r="A154" s="53" t="s">
        <v>61</v>
      </c>
      <c r="B154" s="132" t="s">
        <v>68</v>
      </c>
      <c r="C154" s="132" t="s">
        <v>69</v>
      </c>
      <c r="D154" s="379" t="s">
        <v>62</v>
      </c>
      <c r="E154" s="54" t="s">
        <v>63</v>
      </c>
      <c r="F154" s="54" t="s">
        <v>67</v>
      </c>
      <c r="G154" s="54" t="s">
        <v>295</v>
      </c>
      <c r="H154" s="55" t="s">
        <v>289</v>
      </c>
      <c r="I154" s="54" t="s">
        <v>288</v>
      </c>
      <c r="J154" s="55" t="s">
        <v>291</v>
      </c>
      <c r="K154" s="55" t="s">
        <v>292</v>
      </c>
      <c r="L154" s="55" t="s">
        <v>283</v>
      </c>
      <c r="M154" s="55" t="s">
        <v>293</v>
      </c>
      <c r="N154" s="54" t="s">
        <v>290</v>
      </c>
      <c r="O154" s="54" t="s">
        <v>64</v>
      </c>
      <c r="P154" s="54" t="s">
        <v>139</v>
      </c>
      <c r="Q154" s="54" t="s">
        <v>65</v>
      </c>
    </row>
    <row r="155" spans="1:18" s="3" customFormat="1">
      <c r="A155" s="125" t="s">
        <v>294</v>
      </c>
      <c r="B155" s="136">
        <f t="shared" ref="B155:C155" si="93">+B129+B142</f>
        <v>28</v>
      </c>
      <c r="C155" s="136">
        <f t="shared" si="93"/>
        <v>140</v>
      </c>
      <c r="D155" s="214">
        <f t="shared" ref="D155:D156" si="94">B155/C155</f>
        <v>0.2</v>
      </c>
      <c r="E155" s="57">
        <f>+E129+E142</f>
        <v>6307.7</v>
      </c>
      <c r="F155" s="57">
        <f t="shared" ref="F155:F156" si="95">ROUND(D155*E155,2)</f>
        <v>1261.54</v>
      </c>
      <c r="G155" s="296">
        <f>+F155/$F$164</f>
        <v>9.034780833837637E-2</v>
      </c>
      <c r="H155" s="57">
        <f>+G155*'Oct-2019 GL'!$G$70</f>
        <v>116.91006398985903</v>
      </c>
      <c r="I155" s="57">
        <f>+G155*'Oct-2019 GL'!$G$74</f>
        <v>12.739040975711069</v>
      </c>
      <c r="J155" s="212">
        <f>1068.35*D155</f>
        <v>213.67</v>
      </c>
      <c r="K155" s="212">
        <f t="shared" ref="K155:K163" si="96">+K129+K142</f>
        <v>-40.376000000000005</v>
      </c>
      <c r="L155" s="212">
        <f>67.21*D155</f>
        <v>13.442</v>
      </c>
      <c r="M155" s="212">
        <f t="shared" ref="M155:M163" si="97">+M129+M142</f>
        <v>-2.286</v>
      </c>
      <c r="N155" s="57">
        <f>+$G155*'Oct-2019 GL'!$G$56</f>
        <v>37.7554456265241</v>
      </c>
      <c r="O155" s="57">
        <f t="shared" ref="O155:P155" si="98">+O129+O142</f>
        <v>0</v>
      </c>
      <c r="P155" s="57">
        <f t="shared" si="98"/>
        <v>0</v>
      </c>
      <c r="Q155" s="59">
        <f t="shared" ref="Q155:Q163" si="99">SUM(H155:P155)</f>
        <v>351.8545505920942</v>
      </c>
      <c r="R155" s="3" t="s">
        <v>24</v>
      </c>
    </row>
    <row r="156" spans="1:18" s="3" customFormat="1">
      <c r="A156" s="125" t="s">
        <v>161</v>
      </c>
      <c r="B156" s="136">
        <f t="shared" ref="B156:C156" si="100">+B130+B143</f>
        <v>61.4</v>
      </c>
      <c r="C156" s="136">
        <f t="shared" si="100"/>
        <v>140</v>
      </c>
      <c r="D156" s="214">
        <f t="shared" si="94"/>
        <v>0.43857142857142856</v>
      </c>
      <c r="E156" s="57">
        <f t="shared" ref="E156:E163" si="101">+E130+E143</f>
        <v>5000</v>
      </c>
      <c r="F156" s="57">
        <f t="shared" si="95"/>
        <v>2192.86</v>
      </c>
      <c r="G156" s="296">
        <f t="shared" ref="G156:G163" si="102">+F156/$F$164</f>
        <v>0.15704622524287143</v>
      </c>
      <c r="H156" s="57">
        <f>+G156*'Oct-2019 GL'!$G$70</f>
        <v>203.21781546427562</v>
      </c>
      <c r="I156" s="57">
        <f>+G156*'Oct-2019 GL'!$G$74</f>
        <v>22.143517759244872</v>
      </c>
      <c r="J156" s="212">
        <f>1033.68*D156</f>
        <v>453.34251428571429</v>
      </c>
      <c r="K156" s="212">
        <f t="shared" si="96"/>
        <v>-84.43291428571429</v>
      </c>
      <c r="L156" s="212">
        <f>84.46*D156</f>
        <v>37.04174285714285</v>
      </c>
      <c r="M156" s="212">
        <f t="shared" si="97"/>
        <v>-3.011514285714286</v>
      </c>
      <c r="N156" s="57">
        <f>+$G156*'Oct-2019 GL'!$G$56</f>
        <v>65.628047066743534</v>
      </c>
      <c r="O156" s="57">
        <f t="shared" ref="O156:P156" si="103">+O130+O143</f>
        <v>0</v>
      </c>
      <c r="P156" s="57">
        <f t="shared" si="103"/>
        <v>0</v>
      </c>
      <c r="Q156" s="59">
        <f t="shared" si="99"/>
        <v>693.92920886169247</v>
      </c>
      <c r="R156" s="3" t="s">
        <v>24</v>
      </c>
    </row>
    <row r="157" spans="1:18" s="3" customFormat="1">
      <c r="A157" s="125" t="s">
        <v>162</v>
      </c>
      <c r="B157" s="136">
        <f t="shared" ref="B157" si="104">+B131+B144</f>
        <v>78.599999999999994</v>
      </c>
      <c r="C157" s="136"/>
      <c r="D157" s="214">
        <f>B157/C156</f>
        <v>0.56142857142857139</v>
      </c>
      <c r="E157" s="57">
        <f t="shared" si="101"/>
        <v>0</v>
      </c>
      <c r="F157" s="57">
        <f>ROUND(D157*E156,2)</f>
        <v>2807.14</v>
      </c>
      <c r="G157" s="296">
        <f t="shared" si="102"/>
        <v>0.2010391637989995</v>
      </c>
      <c r="H157" s="57">
        <f>+G157*'Oct-2019 GL'!$G$70</f>
        <v>260.14467795590537</v>
      </c>
      <c r="I157" s="57">
        <f>+G157*'Oct-2019 GL'!$G$74</f>
        <v>28.34652209565893</v>
      </c>
      <c r="J157" s="212">
        <f>1033.68*D157</f>
        <v>580.33748571428566</v>
      </c>
      <c r="K157" s="212">
        <f t="shared" si="96"/>
        <v>-107.99708571428573</v>
      </c>
      <c r="L157" s="212">
        <f>84.46*D157</f>
        <v>47.418257142857136</v>
      </c>
      <c r="M157" s="212">
        <f t="shared" si="97"/>
        <v>-3.8484857142857143</v>
      </c>
      <c r="N157" s="57">
        <f>+$G157*'Oct-2019 GL'!$G$56</f>
        <v>84.012256159963897</v>
      </c>
      <c r="O157" s="57">
        <f t="shared" ref="O157:P157" si="105">+O131+O144</f>
        <v>0</v>
      </c>
      <c r="P157" s="57">
        <f t="shared" si="105"/>
        <v>0</v>
      </c>
      <c r="Q157" s="59">
        <f t="shared" si="99"/>
        <v>888.41362764009955</v>
      </c>
    </row>
    <row r="158" spans="1:18" s="3" customFormat="1">
      <c r="A158" s="125" t="s">
        <v>165</v>
      </c>
      <c r="B158" s="136">
        <f t="shared" ref="B158:C158" si="106">+B132+B145</f>
        <v>140</v>
      </c>
      <c r="C158" s="136">
        <f t="shared" si="106"/>
        <v>140</v>
      </c>
      <c r="D158" s="214">
        <f t="shared" ref="D158:D160" si="107">B158/C158</f>
        <v>1</v>
      </c>
      <c r="E158" s="57">
        <f t="shared" si="101"/>
        <v>3076.94</v>
      </c>
      <c r="F158" s="57">
        <f t="shared" ref="F158:F161" si="108">ROUND(D158*E158,2)</f>
        <v>3076.94</v>
      </c>
      <c r="G158" s="296">
        <f t="shared" si="102"/>
        <v>0.22036145139169888</v>
      </c>
      <c r="H158" s="57">
        <f>+G158*'Oct-2019 GL'!$G$70</f>
        <v>285.14771810085836</v>
      </c>
      <c r="I158" s="57">
        <f>+G158*'Oct-2019 GL'!$G$74</f>
        <v>31.070964646229541</v>
      </c>
      <c r="J158" s="212">
        <v>0</v>
      </c>
      <c r="K158" s="212">
        <f t="shared" si="96"/>
        <v>0</v>
      </c>
      <c r="L158" s="212">
        <v>0</v>
      </c>
      <c r="M158" s="212">
        <f t="shared" si="97"/>
        <v>0</v>
      </c>
      <c r="N158" s="57">
        <f>+$G158*'Oct-2019 GL'!$G$56</f>
        <v>92.086846922077044</v>
      </c>
      <c r="O158" s="57">
        <f t="shared" ref="O158:P158" si="109">+O132+O145</f>
        <v>0</v>
      </c>
      <c r="P158" s="57">
        <f t="shared" si="109"/>
        <v>0</v>
      </c>
      <c r="Q158" s="59">
        <f t="shared" si="99"/>
        <v>408.30552966916491</v>
      </c>
    </row>
    <row r="159" spans="1:18" s="3" customFormat="1">
      <c r="A159" s="125" t="s">
        <v>166</v>
      </c>
      <c r="B159" s="136">
        <f t="shared" ref="B159:C159" si="110">+B133+B146</f>
        <v>133</v>
      </c>
      <c r="C159" s="136">
        <f t="shared" si="110"/>
        <v>133</v>
      </c>
      <c r="D159" s="214">
        <f t="shared" si="107"/>
        <v>1</v>
      </c>
      <c r="E159" s="57">
        <f t="shared" si="101"/>
        <v>2192.3199999999997</v>
      </c>
      <c r="F159" s="57">
        <f t="shared" si="108"/>
        <v>2192.3200000000002</v>
      </c>
      <c r="G159" s="296">
        <f t="shared" si="102"/>
        <v>0.1570075520208549</v>
      </c>
      <c r="H159" s="57">
        <f>+G159*'Oct-2019 GL'!$G$70</f>
        <v>203.16777231498622</v>
      </c>
      <c r="I159" s="57">
        <f>+G159*'Oct-2019 GL'!$G$74</f>
        <v>22.13806483494054</v>
      </c>
      <c r="J159" s="212">
        <v>1068.3499999999999</v>
      </c>
      <c r="K159" s="212">
        <f t="shared" si="96"/>
        <v>-201.88</v>
      </c>
      <c r="L159" s="212">
        <v>0</v>
      </c>
      <c r="M159" s="212">
        <f t="shared" si="97"/>
        <v>-3.28</v>
      </c>
      <c r="N159" s="57">
        <f>+$G159*'Oct-2019 GL'!$G$56</f>
        <v>65.611885913995053</v>
      </c>
      <c r="O159" s="57">
        <f t="shared" ref="O159:P159" si="111">+O133+O146</f>
        <v>0</v>
      </c>
      <c r="P159" s="57">
        <f t="shared" si="111"/>
        <v>0</v>
      </c>
      <c r="Q159" s="59">
        <f t="shared" si="99"/>
        <v>1154.1077230639219</v>
      </c>
    </row>
    <row r="160" spans="1:18" s="3" customFormat="1" ht="15" customHeight="1">
      <c r="A160" s="125" t="s">
        <v>513</v>
      </c>
      <c r="B160" s="136">
        <f t="shared" ref="B160:C160" si="112">+B134+B147</f>
        <v>110</v>
      </c>
      <c r="C160" s="136">
        <f t="shared" si="112"/>
        <v>110</v>
      </c>
      <c r="D160" s="214">
        <f t="shared" si="107"/>
        <v>1</v>
      </c>
      <c r="E160" s="57">
        <f t="shared" si="101"/>
        <v>1586.2</v>
      </c>
      <c r="F160" s="57">
        <f t="shared" si="108"/>
        <v>1586.2</v>
      </c>
      <c r="G160" s="296">
        <f t="shared" si="102"/>
        <v>0.11359900881964313</v>
      </c>
      <c r="H160" s="57">
        <f>+G160*'Oct-2019 GL'!$G$70</f>
        <v>146.99711741261822</v>
      </c>
      <c r="I160" s="57">
        <f>+G160*'Oct-2019 GL'!$G$74</f>
        <v>16.017460243569683</v>
      </c>
      <c r="J160" s="212">
        <v>0</v>
      </c>
      <c r="K160" s="212">
        <f t="shared" si="96"/>
        <v>0</v>
      </c>
      <c r="L160" s="212">
        <v>0</v>
      </c>
      <c r="M160" s="212">
        <f t="shared" si="97"/>
        <v>0</v>
      </c>
      <c r="N160" s="57">
        <f>+$G160*'Oct-2019 GL'!$G$56</f>
        <v>47.471889795640664</v>
      </c>
      <c r="O160" s="57">
        <f t="shared" ref="O160:P160" si="113">+O134+O147</f>
        <v>0</v>
      </c>
      <c r="P160" s="57">
        <f t="shared" si="113"/>
        <v>0</v>
      </c>
      <c r="Q160" s="59">
        <f t="shared" si="99"/>
        <v>210.48646745182856</v>
      </c>
    </row>
    <row r="161" spans="1:18" s="3" customFormat="1">
      <c r="A161" s="125" t="s">
        <v>163</v>
      </c>
      <c r="B161" s="136">
        <v>0</v>
      </c>
      <c r="C161" s="136">
        <v>70</v>
      </c>
      <c r="D161" s="214"/>
      <c r="E161" s="57">
        <f t="shared" si="101"/>
        <v>0</v>
      </c>
      <c r="F161" s="57">
        <f t="shared" si="108"/>
        <v>0</v>
      </c>
      <c r="G161" s="296">
        <f t="shared" si="102"/>
        <v>0</v>
      </c>
      <c r="H161" s="57">
        <f>+G161*'Oct-2019 GL'!$G$70</f>
        <v>0</v>
      </c>
      <c r="I161" s="57">
        <f>+G161*'Oct-2019 GL'!$G$74</f>
        <v>0</v>
      </c>
      <c r="J161" s="212">
        <f>1332.17*0.95</f>
        <v>1265.5615</v>
      </c>
      <c r="K161" s="212">
        <f t="shared" si="96"/>
        <v>0</v>
      </c>
      <c r="L161" s="212">
        <f>80.41*0.95</f>
        <v>76.389499999999998</v>
      </c>
      <c r="M161" s="212">
        <f t="shared" si="97"/>
        <v>0</v>
      </c>
      <c r="N161" s="57">
        <f>+$G161*'Oct-2019 GL'!$G$56</f>
        <v>0</v>
      </c>
      <c r="O161" s="57">
        <f t="shared" ref="O161:P161" si="114">+O135+O148</f>
        <v>0</v>
      </c>
      <c r="P161" s="57">
        <f t="shared" si="114"/>
        <v>0</v>
      </c>
      <c r="Q161" s="59">
        <f t="shared" si="99"/>
        <v>1341.951</v>
      </c>
      <c r="R161" s="3" t="s">
        <v>24</v>
      </c>
    </row>
    <row r="162" spans="1:18" s="3" customFormat="1">
      <c r="A162" s="125" t="s">
        <v>164</v>
      </c>
      <c r="B162" s="136">
        <v>0</v>
      </c>
      <c r="C162" s="136"/>
      <c r="D162" s="214"/>
      <c r="E162" s="57">
        <f t="shared" si="101"/>
        <v>0</v>
      </c>
      <c r="F162" s="57">
        <f>ROUND(D162*E161,2)</f>
        <v>0</v>
      </c>
      <c r="G162" s="296">
        <f t="shared" si="102"/>
        <v>0</v>
      </c>
      <c r="H162" s="57">
        <f>+G162*'Oct-2019 GL'!$G$70</f>
        <v>0</v>
      </c>
      <c r="I162" s="57">
        <f>+G162*'Oct-2019 GL'!$G$74</f>
        <v>0</v>
      </c>
      <c r="J162" s="212">
        <f>1377.69*D162</f>
        <v>0</v>
      </c>
      <c r="K162" s="212">
        <f t="shared" si="96"/>
        <v>0</v>
      </c>
      <c r="L162" s="212">
        <f>77.55*D162</f>
        <v>0</v>
      </c>
      <c r="M162" s="212">
        <f t="shared" si="97"/>
        <v>0</v>
      </c>
      <c r="N162" s="57">
        <f>+$G162*'Oct-2019 GL'!$G$56</f>
        <v>0</v>
      </c>
      <c r="O162" s="57">
        <f t="shared" ref="O162:P163" si="115">+O136+O149</f>
        <v>0</v>
      </c>
      <c r="P162" s="57">
        <f t="shared" si="115"/>
        <v>0</v>
      </c>
      <c r="Q162" s="59">
        <f t="shared" si="99"/>
        <v>0</v>
      </c>
    </row>
    <row r="163" spans="1:18" s="3" customFormat="1">
      <c r="A163" s="125" t="s">
        <v>435</v>
      </c>
      <c r="B163" s="136">
        <f t="shared" ref="B163:C163" si="116">+B137+B150</f>
        <v>14</v>
      </c>
      <c r="C163" s="136">
        <f t="shared" si="116"/>
        <v>140</v>
      </c>
      <c r="D163" s="214">
        <f>B163/C163</f>
        <v>0.1</v>
      </c>
      <c r="E163" s="57">
        <f t="shared" si="101"/>
        <v>8461.5400000000009</v>
      </c>
      <c r="F163" s="57">
        <f>ROUND(D163*E163,2)</f>
        <v>846.15</v>
      </c>
      <c r="G163" s="296">
        <f t="shared" si="102"/>
        <v>6.0598790387555813E-2</v>
      </c>
      <c r="H163" s="57">
        <f>+G163*'Oct-2019 GL'!$G$70</f>
        <v>78.414834761497218</v>
      </c>
      <c r="I163" s="57">
        <f>+G163*'Oct-2019 GL'!$G$74</f>
        <v>8.5444294446453704</v>
      </c>
      <c r="J163" s="212">
        <f>1068.35*D163</f>
        <v>106.83499999999999</v>
      </c>
      <c r="K163" s="212">
        <f t="shared" si="96"/>
        <v>-20.188000000000002</v>
      </c>
      <c r="L163" s="212">
        <f>52.02*D163</f>
        <v>5.2020000000000008</v>
      </c>
      <c r="M163" s="212">
        <f t="shared" si="97"/>
        <v>-1.143</v>
      </c>
      <c r="N163" s="57">
        <f>+$G163*'Oct-2019 GL'!$G$56</f>
        <v>25.323628515055699</v>
      </c>
      <c r="O163" s="57">
        <f t="shared" si="115"/>
        <v>0</v>
      </c>
      <c r="P163" s="57"/>
      <c r="Q163" s="59">
        <f t="shared" si="99"/>
        <v>202.98889272119831</v>
      </c>
      <c r="R163" s="3" t="s">
        <v>24</v>
      </c>
    </row>
    <row r="164" spans="1:18" s="3" customFormat="1">
      <c r="A164" s="60" t="s">
        <v>323</v>
      </c>
      <c r="B164" s="135"/>
      <c r="C164" s="333"/>
      <c r="D164" s="61"/>
      <c r="E164" s="62">
        <f>SUBTOTAL(109,'Salaries &amp; Fringe Allocations'!E155:E163)</f>
        <v>26624.7</v>
      </c>
      <c r="F164" s="250">
        <f>SUBTOTAL(109,'Salaries &amp; Fringe Allocations'!F155:F163)</f>
        <v>13963.15</v>
      </c>
      <c r="G164" s="391">
        <f>SUM(G155:G163)</f>
        <v>1</v>
      </c>
      <c r="H164" s="250">
        <f>SUBTOTAL(109,'Salaries &amp; Fringe Allocations'!H155:H163)</f>
        <v>1294</v>
      </c>
      <c r="I164" s="250">
        <f>SUBTOTAL(109,'Salaries &amp; Fringe Allocations'!I155:I163)</f>
        <v>141</v>
      </c>
      <c r="J164" s="250">
        <f>SUBTOTAL(109,'Salaries &amp; Fringe Allocations'!J155:J163)</f>
        <v>3688.0964999999997</v>
      </c>
      <c r="K164" s="250">
        <f>SUBTOTAL(109,'Salaries &amp; Fringe Allocations'!K155:K163)</f>
        <v>-454.87400000000002</v>
      </c>
      <c r="L164" s="250">
        <f>SUBTOTAL(109,'Salaries &amp; Fringe Allocations'!L155:L163)</f>
        <v>179.49349999999998</v>
      </c>
      <c r="M164" s="250">
        <f>SUBTOTAL(109,'Salaries &amp; Fringe Allocations'!M155:M163)</f>
        <v>-13.569000000000001</v>
      </c>
      <c r="N164" s="250">
        <f>SUBTOTAL(109,'Salaries &amp; Fringe Allocations'!N155:N163)</f>
        <v>417.89</v>
      </c>
      <c r="O164" s="250">
        <f>SUBTOTAL(109,'Salaries &amp; Fringe Allocations'!O155:O163)</f>
        <v>0</v>
      </c>
      <c r="P164" s="250">
        <f>SUBTOTAL(109,'Salaries &amp; Fringe Allocations'!P155:P163)</f>
        <v>0</v>
      </c>
      <c r="Q164" s="250">
        <f>SUBTOTAL(109,'Salaries &amp; Fringe Allocations'!Q155:Q163)</f>
        <v>5252.0370000000003</v>
      </c>
    </row>
    <row r="165" spans="1:18" s="3" customFormat="1">
      <c r="A165" s="252"/>
      <c r="B165" s="217"/>
      <c r="C165" s="217"/>
      <c r="D165" s="216"/>
      <c r="E165" s="372" t="s">
        <v>509</v>
      </c>
      <c r="F165" s="373">
        <f>+'Oct-2019 GL'!G32</f>
        <v>13963.15</v>
      </c>
      <c r="G165" s="373"/>
      <c r="H165" s="373"/>
      <c r="I165" s="373"/>
      <c r="J165" s="373"/>
      <c r="K165" s="373"/>
      <c r="L165" s="373"/>
      <c r="M165" s="373"/>
      <c r="N165" s="373"/>
      <c r="O165" s="373"/>
      <c r="P165" s="373"/>
      <c r="Q165" s="373"/>
    </row>
    <row r="166" spans="1:18" s="1" customFormat="1" ht="15" thickBot="1">
      <c r="A166" s="253"/>
      <c r="B166" s="254"/>
      <c r="C166" s="254"/>
      <c r="D166" s="255"/>
      <c r="E166" s="374" t="s">
        <v>510</v>
      </c>
      <c r="F166" s="256">
        <f>+F164-F165</f>
        <v>0</v>
      </c>
      <c r="G166" s="257"/>
      <c r="H166" s="257"/>
      <c r="I166" s="257"/>
      <c r="J166" s="256"/>
      <c r="K166" s="256"/>
      <c r="L166" s="257"/>
      <c r="M166" s="257"/>
      <c r="N166" s="257"/>
      <c r="O166" s="257"/>
      <c r="P166" s="257"/>
      <c r="Q166" s="257"/>
    </row>
    <row r="167" spans="1:18" s="3" customFormat="1" ht="15" thickTop="1">
      <c r="A167" s="23" t="s">
        <v>570</v>
      </c>
      <c r="B167" s="130" t="s">
        <v>159</v>
      </c>
      <c r="C167" s="131"/>
      <c r="D167" s="126">
        <v>43770</v>
      </c>
      <c r="E167" s="24"/>
      <c r="F167" s="24"/>
      <c r="G167" s="24"/>
      <c r="H167" s="25"/>
      <c r="I167" s="28"/>
      <c r="J167" s="26"/>
      <c r="K167" s="26"/>
      <c r="L167" s="26"/>
      <c r="M167" s="26"/>
      <c r="N167" s="27"/>
      <c r="O167" s="28"/>
      <c r="P167" s="29"/>
      <c r="Q167" s="30"/>
    </row>
    <row r="168" spans="1:18" s="3" customFormat="1" ht="43.5">
      <c r="A168" s="53" t="s">
        <v>61</v>
      </c>
      <c r="B168" s="132" t="s">
        <v>68</v>
      </c>
      <c r="C168" s="132" t="s">
        <v>69</v>
      </c>
      <c r="D168" s="54" t="s">
        <v>62</v>
      </c>
      <c r="E168" s="54" t="s">
        <v>63</v>
      </c>
      <c r="F168" s="54" t="s">
        <v>67</v>
      </c>
      <c r="G168" s="54"/>
      <c r="H168" s="55" t="s">
        <v>289</v>
      </c>
      <c r="I168" s="54" t="s">
        <v>288</v>
      </c>
      <c r="J168" s="55" t="s">
        <v>291</v>
      </c>
      <c r="K168" s="55" t="s">
        <v>292</v>
      </c>
      <c r="L168" s="55" t="s">
        <v>283</v>
      </c>
      <c r="M168" s="55" t="s">
        <v>293</v>
      </c>
      <c r="N168" s="54" t="s">
        <v>290</v>
      </c>
      <c r="O168" s="54" t="s">
        <v>64</v>
      </c>
      <c r="P168" s="54" t="s">
        <v>139</v>
      </c>
      <c r="Q168" s="54" t="s">
        <v>65</v>
      </c>
    </row>
    <row r="169" spans="1:18" s="3" customFormat="1">
      <c r="A169" s="125" t="s">
        <v>294</v>
      </c>
      <c r="B169" s="133">
        <v>14</v>
      </c>
      <c r="C169" s="133">
        <v>70</v>
      </c>
      <c r="D169" s="127">
        <f t="shared" ref="D169:D176" si="117">B169/C169</f>
        <v>0.2</v>
      </c>
      <c r="E169" s="212">
        <v>3153.85</v>
      </c>
      <c r="F169" s="212">
        <f>ROUND(D169*E169,2)</f>
        <v>630.77</v>
      </c>
      <c r="G169" s="208"/>
      <c r="H169" s="211"/>
      <c r="I169" s="211"/>
      <c r="J169" s="211"/>
      <c r="K169" s="212">
        <f>-98.62*D169</f>
        <v>-19.724000000000004</v>
      </c>
      <c r="L169" s="211"/>
      <c r="M169" s="58">
        <f>-7.94*D169</f>
        <v>-1.5880000000000001</v>
      </c>
      <c r="N169" s="211"/>
      <c r="O169" s="56"/>
      <c r="P169" s="56"/>
      <c r="Q169" s="59">
        <f t="shared" ref="Q169:Q177" si="118">SUM(H169:P169)</f>
        <v>-21.312000000000005</v>
      </c>
    </row>
    <row r="170" spans="1:18" s="3" customFormat="1" ht="15" customHeight="1">
      <c r="A170" s="125" t="s">
        <v>161</v>
      </c>
      <c r="B170" s="133">
        <f>14+15</f>
        <v>29</v>
      </c>
      <c r="C170" s="133">
        <v>70</v>
      </c>
      <c r="D170" s="127">
        <f t="shared" si="117"/>
        <v>0.41428571428571431</v>
      </c>
      <c r="E170" s="212">
        <v>2500</v>
      </c>
      <c r="F170" s="212">
        <f>ROUND(D170*E170,2)</f>
        <v>1035.71</v>
      </c>
      <c r="G170" s="208"/>
      <c r="H170" s="211"/>
      <c r="I170" s="211"/>
      <c r="J170" s="211"/>
      <c r="K170" s="212">
        <f>-95.42*D170</f>
        <v>-39.531142857142861</v>
      </c>
      <c r="L170" s="211"/>
      <c r="M170" s="58">
        <f>-3.28*D170</f>
        <v>-1.3588571428571428</v>
      </c>
      <c r="N170" s="211"/>
      <c r="O170" s="56"/>
      <c r="P170" s="56"/>
      <c r="Q170" s="59">
        <f t="shared" si="118"/>
        <v>-40.89</v>
      </c>
    </row>
    <row r="171" spans="1:18" s="3" customFormat="1">
      <c r="A171" s="125" t="s">
        <v>162</v>
      </c>
      <c r="B171" s="133">
        <f>21+20</f>
        <v>41</v>
      </c>
      <c r="C171" s="133">
        <v>70</v>
      </c>
      <c r="D171" s="127">
        <f t="shared" si="117"/>
        <v>0.58571428571428574</v>
      </c>
      <c r="E171" s="212"/>
      <c r="F171" s="212">
        <f>ROUND(D171*E170,2)</f>
        <v>1464.29</v>
      </c>
      <c r="G171" s="208"/>
      <c r="H171" s="211"/>
      <c r="I171" s="211"/>
      <c r="J171" s="211"/>
      <c r="K171" s="212">
        <f>-95.42*D171</f>
        <v>-55.888857142857148</v>
      </c>
      <c r="L171" s="211"/>
      <c r="M171" s="58">
        <f>-3.28*D171</f>
        <v>-1.921142857142857</v>
      </c>
      <c r="N171" s="211"/>
      <c r="O171" s="56"/>
      <c r="P171" s="56"/>
      <c r="Q171" s="59">
        <f t="shared" si="118"/>
        <v>-57.81</v>
      </c>
    </row>
    <row r="172" spans="1:18" s="3" customFormat="1" ht="15" customHeight="1">
      <c r="A172" s="125" t="s">
        <v>165</v>
      </c>
      <c r="B172" s="133">
        <v>70</v>
      </c>
      <c r="C172" s="133">
        <v>70</v>
      </c>
      <c r="D172" s="127">
        <f t="shared" si="117"/>
        <v>1</v>
      </c>
      <c r="E172" s="212">
        <v>1538.47</v>
      </c>
      <c r="F172" s="212">
        <f t="shared" ref="F172:F174" si="119">ROUND(E172,2)</f>
        <v>1538.47</v>
      </c>
      <c r="G172" s="208"/>
      <c r="H172" s="211"/>
      <c r="I172" s="211"/>
      <c r="J172" s="211"/>
      <c r="K172" s="212">
        <v>0</v>
      </c>
      <c r="L172" s="211"/>
      <c r="M172" s="58"/>
      <c r="N172" s="211"/>
      <c r="O172" s="56"/>
      <c r="P172" s="56"/>
      <c r="Q172" s="59">
        <f t="shared" si="118"/>
        <v>0</v>
      </c>
    </row>
    <row r="173" spans="1:18" s="3" customFormat="1">
      <c r="A173" s="125" t="s">
        <v>166</v>
      </c>
      <c r="B173" s="133">
        <v>70</v>
      </c>
      <c r="C173" s="133">
        <f>+B173</f>
        <v>70</v>
      </c>
      <c r="D173" s="127">
        <f t="shared" si="117"/>
        <v>1</v>
      </c>
      <c r="E173" s="212">
        <v>1153.8499999999999</v>
      </c>
      <c r="F173" s="212">
        <f t="shared" si="119"/>
        <v>1153.8499999999999</v>
      </c>
      <c r="G173" s="208"/>
      <c r="H173" s="211"/>
      <c r="I173" s="211"/>
      <c r="J173" s="211"/>
      <c r="K173" s="212">
        <f>-98.62*D173</f>
        <v>-98.62</v>
      </c>
      <c r="L173" s="211"/>
      <c r="M173" s="58">
        <v>-3.28</v>
      </c>
      <c r="N173" s="211"/>
      <c r="O173" s="56"/>
      <c r="P173" s="56"/>
      <c r="Q173" s="59">
        <f t="shared" si="118"/>
        <v>-101.9</v>
      </c>
    </row>
    <row r="174" spans="1:18" s="3" customFormat="1" ht="15" customHeight="1">
      <c r="A174" s="125" t="s">
        <v>513</v>
      </c>
      <c r="B174" s="133">
        <v>50</v>
      </c>
      <c r="C174" s="133">
        <v>50</v>
      </c>
      <c r="D174" s="127">
        <f t="shared" si="117"/>
        <v>1</v>
      </c>
      <c r="E174" s="212">
        <v>721</v>
      </c>
      <c r="F174" s="212">
        <f t="shared" si="119"/>
        <v>721</v>
      </c>
      <c r="G174" s="208"/>
      <c r="H174" s="211"/>
      <c r="I174" s="211"/>
      <c r="J174" s="211"/>
      <c r="K174" s="212">
        <v>0</v>
      </c>
      <c r="L174" s="211"/>
      <c r="M174" s="348"/>
      <c r="N174" s="211"/>
      <c r="O174" s="59"/>
      <c r="P174" s="59"/>
      <c r="Q174" s="59">
        <f t="shared" si="118"/>
        <v>0</v>
      </c>
    </row>
    <row r="175" spans="1:18" s="3" customFormat="1">
      <c r="A175" s="125" t="s">
        <v>163</v>
      </c>
      <c r="B175" s="133">
        <v>11.75</v>
      </c>
      <c r="C175" s="133">
        <v>35</v>
      </c>
      <c r="D175" s="127">
        <f t="shared" si="117"/>
        <v>0.33571428571428569</v>
      </c>
      <c r="E175" s="212">
        <v>769.24</v>
      </c>
      <c r="F175" s="57">
        <f>ROUND(D175*E175,2)</f>
        <v>258.24</v>
      </c>
      <c r="G175" s="208"/>
      <c r="H175" s="211"/>
      <c r="I175" s="211"/>
      <c r="J175" s="211"/>
      <c r="K175" s="212">
        <f>-255.06*D175</f>
        <v>-85.627285714285705</v>
      </c>
      <c r="L175" s="211"/>
      <c r="M175" s="58">
        <f>-20.43*D175</f>
        <v>-6.8586428571428568</v>
      </c>
      <c r="N175" s="211"/>
      <c r="O175" s="59"/>
      <c r="P175" s="59"/>
      <c r="Q175" s="59">
        <f t="shared" si="118"/>
        <v>-92.485928571428559</v>
      </c>
    </row>
    <row r="176" spans="1:18" s="3" customFormat="1">
      <c r="A176" s="125" t="s">
        <v>164</v>
      </c>
      <c r="B176" s="133">
        <v>21.5</v>
      </c>
      <c r="C176" s="133">
        <v>35</v>
      </c>
      <c r="D176" s="127">
        <f t="shared" si="117"/>
        <v>0.61428571428571432</v>
      </c>
      <c r="E176" s="212"/>
      <c r="F176" s="57">
        <f>ROUND(D176*E175,2)</f>
        <v>472.53</v>
      </c>
      <c r="G176" s="208"/>
      <c r="H176" s="211"/>
      <c r="I176" s="211"/>
      <c r="J176" s="211"/>
      <c r="K176" s="212">
        <f>-255.06*D176</f>
        <v>-156.67971428571428</v>
      </c>
      <c r="L176" s="211"/>
      <c r="M176" s="58">
        <f>-20.43*D176</f>
        <v>-12.549857142857144</v>
      </c>
      <c r="N176" s="211"/>
      <c r="O176" s="59"/>
      <c r="P176" s="59"/>
      <c r="Q176" s="59">
        <f t="shared" si="118"/>
        <v>-169.22957142857143</v>
      </c>
    </row>
    <row r="177" spans="1:17" s="3" customFormat="1">
      <c r="A177" s="125" t="s">
        <v>363</v>
      </c>
      <c r="B177" s="133">
        <v>3.5</v>
      </c>
      <c r="C177" s="133">
        <v>70</v>
      </c>
      <c r="D177" s="127">
        <f t="shared" ref="D177" si="120">B177/C177</f>
        <v>0.05</v>
      </c>
      <c r="E177" s="212">
        <v>4230.7700000000004</v>
      </c>
      <c r="F177" s="212">
        <f>ROUND(D177*E177,2)</f>
        <v>211.54</v>
      </c>
      <c r="G177" s="57"/>
      <c r="H177" s="211"/>
      <c r="I177" s="211"/>
      <c r="J177" s="211"/>
      <c r="K177" s="57">
        <f>-98.62*D177</f>
        <v>-4.9310000000000009</v>
      </c>
      <c r="L177" s="211"/>
      <c r="M177" s="58">
        <f>-7.94*D177</f>
        <v>-0.39700000000000002</v>
      </c>
      <c r="N177" s="211"/>
      <c r="O177" s="59"/>
      <c r="P177" s="59"/>
      <c r="Q177" s="59">
        <f t="shared" si="118"/>
        <v>-5.3280000000000012</v>
      </c>
    </row>
    <row r="178" spans="1:17" s="3" customFormat="1">
      <c r="A178" s="51" t="s">
        <v>66</v>
      </c>
      <c r="B178" s="134"/>
      <c r="C178" s="251"/>
      <c r="D178" s="377"/>
      <c r="E178" s="62">
        <f>SUBTOTAL(109,'Salaries &amp; Fringe Allocations'!E169:E177)</f>
        <v>14067.18</v>
      </c>
      <c r="F178" s="62">
        <f>SUBTOTAL(109,'Salaries &amp; Fringe Allocations'!F169:F177)</f>
        <v>7486.4</v>
      </c>
      <c r="G178" s="209"/>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c r="B179" s="137"/>
      <c r="C179" s="137"/>
      <c r="D179" s="1"/>
    </row>
    <row r="180" spans="1:17" s="3" customFormat="1">
      <c r="A180" s="23" t="s">
        <v>572</v>
      </c>
      <c r="B180" s="130" t="s">
        <v>159</v>
      </c>
      <c r="C180" s="131"/>
      <c r="D180" s="378">
        <v>43784</v>
      </c>
      <c r="E180" s="24"/>
      <c r="F180" s="24"/>
      <c r="G180" s="24"/>
      <c r="H180" s="25"/>
      <c r="I180" s="28"/>
      <c r="J180" s="26"/>
      <c r="K180" s="26"/>
      <c r="L180" s="26"/>
      <c r="M180" s="26"/>
      <c r="N180" s="27"/>
      <c r="O180" s="28"/>
      <c r="P180" s="29"/>
      <c r="Q180" s="30"/>
    </row>
    <row r="181" spans="1:17" s="3" customFormat="1" ht="43.5">
      <c r="A181" s="53" t="s">
        <v>61</v>
      </c>
      <c r="B181" s="132" t="s">
        <v>68</v>
      </c>
      <c r="C181" s="132" t="s">
        <v>69</v>
      </c>
      <c r="D181" s="54" t="s">
        <v>62</v>
      </c>
      <c r="E181" s="54" t="s">
        <v>63</v>
      </c>
      <c r="F181" s="54" t="s">
        <v>67</v>
      </c>
      <c r="G181" s="54"/>
      <c r="H181" s="55" t="s">
        <v>289</v>
      </c>
      <c r="I181" s="54" t="s">
        <v>288</v>
      </c>
      <c r="J181" s="55" t="s">
        <v>291</v>
      </c>
      <c r="K181" s="55" t="s">
        <v>292</v>
      </c>
      <c r="L181" s="55" t="s">
        <v>283</v>
      </c>
      <c r="M181" s="55" t="s">
        <v>293</v>
      </c>
      <c r="N181" s="54" t="s">
        <v>290</v>
      </c>
      <c r="O181" s="54" t="s">
        <v>64</v>
      </c>
      <c r="P181" s="54" t="s">
        <v>139</v>
      </c>
      <c r="Q181" s="54" t="s">
        <v>65</v>
      </c>
    </row>
    <row r="182" spans="1:17" s="3" customFormat="1">
      <c r="A182" s="125" t="s">
        <v>294</v>
      </c>
      <c r="B182" s="133">
        <f>7.5+6.5</f>
        <v>14</v>
      </c>
      <c r="C182" s="133">
        <v>70</v>
      </c>
      <c r="D182" s="207">
        <f t="shared" ref="D182" si="121">B182/C182</f>
        <v>0.2</v>
      </c>
      <c r="E182" s="212">
        <v>3153.85</v>
      </c>
      <c r="F182" s="212">
        <f t="shared" ref="F182:F183" si="122">ROUND(D182*E182,2)</f>
        <v>630.77</v>
      </c>
      <c r="G182" s="208"/>
      <c r="H182" s="211"/>
      <c r="I182" s="211"/>
      <c r="J182" s="211"/>
      <c r="K182" s="212">
        <f>-98.62*D182</f>
        <v>-19.724000000000004</v>
      </c>
      <c r="L182" s="211"/>
      <c r="M182" s="58">
        <f>-7.94*D182</f>
        <v>-1.5880000000000001</v>
      </c>
      <c r="N182" s="211"/>
      <c r="O182" s="57"/>
      <c r="P182" s="57"/>
      <c r="Q182" s="59">
        <f t="shared" ref="Q182:Q190" si="123">SUM(H182:P182)</f>
        <v>-21.312000000000005</v>
      </c>
    </row>
    <row r="183" spans="1:17" s="3" customFormat="1" ht="15" customHeight="1">
      <c r="A183" s="125" t="s">
        <v>161</v>
      </c>
      <c r="B183" s="133">
        <f>14+15</f>
        <v>29</v>
      </c>
      <c r="C183" s="133">
        <v>70</v>
      </c>
      <c r="D183" s="207">
        <f>B183/C183</f>
        <v>0.41428571428571431</v>
      </c>
      <c r="E183" s="212">
        <v>2500</v>
      </c>
      <c r="F183" s="212">
        <f t="shared" si="122"/>
        <v>1035.71</v>
      </c>
      <c r="G183" s="213"/>
      <c r="H183" s="211"/>
      <c r="I183" s="211"/>
      <c r="J183" s="211"/>
      <c r="K183" s="212">
        <f>-95.42*D183</f>
        <v>-39.531142857142861</v>
      </c>
      <c r="L183" s="211"/>
      <c r="M183" s="58">
        <f>-3.28*D183</f>
        <v>-1.3588571428571428</v>
      </c>
      <c r="N183" s="211"/>
      <c r="O183" s="57"/>
      <c r="P183" s="57"/>
      <c r="Q183" s="59">
        <f t="shared" si="123"/>
        <v>-40.89</v>
      </c>
    </row>
    <row r="184" spans="1:17" s="3" customFormat="1">
      <c r="A184" s="125" t="s">
        <v>162</v>
      </c>
      <c r="B184" s="133">
        <f>21+20</f>
        <v>41</v>
      </c>
      <c r="C184" s="133">
        <v>70</v>
      </c>
      <c r="D184" s="207">
        <f>B184/C184</f>
        <v>0.58571428571428574</v>
      </c>
      <c r="E184" s="212">
        <v>0</v>
      </c>
      <c r="F184" s="212">
        <f>ROUND(D184*E183,2)</f>
        <v>1464.29</v>
      </c>
      <c r="G184" s="213"/>
      <c r="H184" s="211"/>
      <c r="I184" s="211"/>
      <c r="J184" s="211"/>
      <c r="K184" s="212">
        <f>-95.42*D184</f>
        <v>-55.888857142857148</v>
      </c>
      <c r="L184" s="211"/>
      <c r="M184" s="58">
        <f>-3.28*D184</f>
        <v>-1.921142857142857</v>
      </c>
      <c r="N184" s="211"/>
      <c r="O184" s="57"/>
      <c r="P184" s="57"/>
      <c r="Q184" s="59">
        <f t="shared" si="123"/>
        <v>-57.81</v>
      </c>
    </row>
    <row r="185" spans="1:17" s="3" customFormat="1" ht="15" customHeight="1">
      <c r="A185" s="125" t="s">
        <v>165</v>
      </c>
      <c r="B185" s="133">
        <v>70</v>
      </c>
      <c r="C185" s="133">
        <v>70</v>
      </c>
      <c r="D185" s="207">
        <f t="shared" ref="D185:D189" si="124">B185/C185</f>
        <v>1</v>
      </c>
      <c r="E185" s="212">
        <v>1538.47</v>
      </c>
      <c r="F185" s="212">
        <f t="shared" ref="F185:F187" si="125">ROUND(D185*E185,2)</f>
        <v>1538.47</v>
      </c>
      <c r="G185" s="213"/>
      <c r="H185" s="211"/>
      <c r="I185" s="211"/>
      <c r="J185" s="211"/>
      <c r="K185" s="212">
        <v>0</v>
      </c>
      <c r="L185" s="211"/>
      <c r="M185" s="58"/>
      <c r="N185" s="211"/>
      <c r="O185" s="57"/>
      <c r="P185" s="57"/>
      <c r="Q185" s="59">
        <f t="shared" si="123"/>
        <v>0</v>
      </c>
    </row>
    <row r="186" spans="1:17" s="3" customFormat="1">
      <c r="A186" s="125" t="s">
        <v>166</v>
      </c>
      <c r="B186" s="133">
        <v>70</v>
      </c>
      <c r="C186" s="133">
        <f>+B186</f>
        <v>70</v>
      </c>
      <c r="D186" s="207">
        <f t="shared" si="124"/>
        <v>1</v>
      </c>
      <c r="E186" s="212">
        <v>1153.8499999999999</v>
      </c>
      <c r="F186" s="212">
        <f t="shared" si="125"/>
        <v>1153.8499999999999</v>
      </c>
      <c r="G186" s="213"/>
      <c r="H186" s="211"/>
      <c r="I186" s="211"/>
      <c r="J186" s="211"/>
      <c r="K186" s="212">
        <f>-98.62*D186</f>
        <v>-98.62</v>
      </c>
      <c r="L186" s="211"/>
      <c r="M186" s="58">
        <v>-3.28</v>
      </c>
      <c r="N186" s="211"/>
      <c r="O186" s="57"/>
      <c r="P186" s="57"/>
      <c r="Q186" s="59">
        <f t="shared" si="123"/>
        <v>-101.9</v>
      </c>
    </row>
    <row r="187" spans="1:17" s="3" customFormat="1" ht="15" customHeight="1">
      <c r="A187" s="125" t="s">
        <v>513</v>
      </c>
      <c r="B187" s="133">
        <v>50</v>
      </c>
      <c r="C187" s="133">
        <f>+B187</f>
        <v>50</v>
      </c>
      <c r="D187" s="207">
        <f t="shared" si="124"/>
        <v>1</v>
      </c>
      <c r="E187" s="212">
        <v>721</v>
      </c>
      <c r="F187" s="212">
        <f t="shared" si="125"/>
        <v>721</v>
      </c>
      <c r="G187" s="213"/>
      <c r="H187" s="211"/>
      <c r="I187" s="211"/>
      <c r="J187" s="211"/>
      <c r="K187" s="212">
        <v>0</v>
      </c>
      <c r="L187" s="211"/>
      <c r="M187" s="348"/>
      <c r="N187" s="211"/>
      <c r="O187" s="57"/>
      <c r="P187" s="57"/>
      <c r="Q187" s="59">
        <f t="shared" si="123"/>
        <v>0</v>
      </c>
    </row>
    <row r="188" spans="1:17" s="3" customFormat="1">
      <c r="A188" s="125" t="s">
        <v>163</v>
      </c>
      <c r="B188" s="133">
        <f>11.75*2</f>
        <v>23.5</v>
      </c>
      <c r="C188" s="133">
        <v>70</v>
      </c>
      <c r="D188" s="207">
        <f t="shared" si="124"/>
        <v>0.33571428571428569</v>
      </c>
      <c r="E188" s="212">
        <v>1538.47</v>
      </c>
      <c r="F188" s="57">
        <f>ROUND(D188*E188,2)</f>
        <v>516.49</v>
      </c>
      <c r="G188" s="213"/>
      <c r="H188" s="211"/>
      <c r="I188" s="211"/>
      <c r="J188" s="211"/>
      <c r="K188" s="212">
        <f>-122.976*D188</f>
        <v>-41.284799999999997</v>
      </c>
      <c r="L188" s="211"/>
      <c r="M188" s="58">
        <f>-14.35*D188</f>
        <v>-4.8174999999999999</v>
      </c>
      <c r="N188" s="211"/>
      <c r="O188" s="57"/>
      <c r="P188" s="57"/>
      <c r="Q188" s="59">
        <f t="shared" si="123"/>
        <v>-46.1023</v>
      </c>
    </row>
    <row r="189" spans="1:17" s="3" customFormat="1">
      <c r="A189" s="125" t="s">
        <v>164</v>
      </c>
      <c r="B189" s="133">
        <f>21.5*2</f>
        <v>43</v>
      </c>
      <c r="C189" s="133">
        <v>70</v>
      </c>
      <c r="D189" s="207">
        <f t="shared" si="124"/>
        <v>0.61428571428571432</v>
      </c>
      <c r="E189" s="212"/>
      <c r="F189" s="57">
        <f>ROUND(D189*E188,2)</f>
        <v>945.06</v>
      </c>
      <c r="G189" s="213"/>
      <c r="H189" s="211"/>
      <c r="I189" s="211"/>
      <c r="J189" s="211"/>
      <c r="K189" s="212">
        <f>-122.97*D189</f>
        <v>-75.538714285714292</v>
      </c>
      <c r="L189" s="211"/>
      <c r="M189" s="58">
        <f>-14.35*D189</f>
        <v>-8.8149999999999995</v>
      </c>
      <c r="N189" s="211"/>
      <c r="O189" s="57"/>
      <c r="P189" s="57"/>
      <c r="Q189" s="59">
        <f t="shared" si="123"/>
        <v>-84.35371428571429</v>
      </c>
    </row>
    <row r="190" spans="1:17" s="3" customFormat="1">
      <c r="A190" s="125" t="s">
        <v>363</v>
      </c>
      <c r="B190" s="133">
        <v>7</v>
      </c>
      <c r="C190" s="133">
        <v>70</v>
      </c>
      <c r="D190" s="127">
        <f t="shared" ref="D190" si="126">B190/C190</f>
        <v>0.1</v>
      </c>
      <c r="E190" s="212">
        <v>4230.7700000000004</v>
      </c>
      <c r="F190" s="212">
        <f>ROUND(D190*E190,2)</f>
        <v>423.08</v>
      </c>
      <c r="G190" s="212"/>
      <c r="H190" s="211"/>
      <c r="I190" s="211"/>
      <c r="J190" s="211"/>
      <c r="K190" s="57">
        <f>-98.62*D190</f>
        <v>-9.8620000000000019</v>
      </c>
      <c r="L190" s="211"/>
      <c r="M190" s="58">
        <f>-7.94*D190</f>
        <v>-0.79400000000000004</v>
      </c>
      <c r="N190" s="211"/>
      <c r="O190" s="59"/>
      <c r="P190" s="59"/>
      <c r="Q190" s="59">
        <f t="shared" si="123"/>
        <v>-10.656000000000002</v>
      </c>
    </row>
    <row r="191" spans="1:17" s="3" customFormat="1">
      <c r="A191" s="60" t="s">
        <v>66</v>
      </c>
      <c r="B191" s="135"/>
      <c r="C191" s="333"/>
      <c r="D191" s="380"/>
      <c r="E191" s="62">
        <f>SUBTOTAL(109,'Salaries &amp; Fringe Allocations'!E182:E190)</f>
        <v>14836.41</v>
      </c>
      <c r="F191" s="62">
        <f>SUBTOTAL(109,'Salaries &amp; Fringe Allocations'!F182:F190)</f>
        <v>8428.7199999999993</v>
      </c>
      <c r="G191" s="209"/>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c r="B192" s="137"/>
      <c r="C192" s="137"/>
      <c r="D192" s="1"/>
    </row>
    <row r="193" spans="1:18" s="3" customFormat="1">
      <c r="A193" s="23" t="s">
        <v>573</v>
      </c>
      <c r="B193" s="130" t="s">
        <v>159</v>
      </c>
      <c r="C193" s="131"/>
      <c r="D193" s="378">
        <v>43798</v>
      </c>
      <c r="E193" s="24"/>
      <c r="F193" s="24"/>
      <c r="G193" s="24"/>
      <c r="H193" s="25"/>
      <c r="I193" s="28"/>
      <c r="J193" s="26"/>
      <c r="K193" s="26"/>
      <c r="L193" s="26"/>
      <c r="M193" s="26"/>
      <c r="N193" s="27"/>
      <c r="O193" s="28"/>
      <c r="P193" s="29"/>
      <c r="Q193" s="30"/>
    </row>
    <row r="194" spans="1:18" s="3" customFormat="1" ht="43.5">
      <c r="A194" s="53" t="s">
        <v>61</v>
      </c>
      <c r="B194" s="132" t="s">
        <v>68</v>
      </c>
      <c r="C194" s="132" t="s">
        <v>69</v>
      </c>
      <c r="D194" s="54" t="s">
        <v>62</v>
      </c>
      <c r="E194" s="54" t="s">
        <v>63</v>
      </c>
      <c r="F194" s="54" t="s">
        <v>67</v>
      </c>
      <c r="G194" s="54"/>
      <c r="H194" s="55" t="s">
        <v>289</v>
      </c>
      <c r="I194" s="54" t="s">
        <v>288</v>
      </c>
      <c r="J194" s="55" t="s">
        <v>291</v>
      </c>
      <c r="K194" s="55" t="s">
        <v>292</v>
      </c>
      <c r="L194" s="55" t="s">
        <v>283</v>
      </c>
      <c r="M194" s="55" t="s">
        <v>293</v>
      </c>
      <c r="N194" s="54" t="s">
        <v>290</v>
      </c>
      <c r="O194" s="54" t="s">
        <v>64</v>
      </c>
      <c r="P194" s="54" t="s">
        <v>139</v>
      </c>
      <c r="Q194" s="54" t="s">
        <v>65</v>
      </c>
    </row>
    <row r="195" spans="1:18" s="3" customFormat="1">
      <c r="A195" s="125" t="s">
        <v>294</v>
      </c>
      <c r="B195" s="133">
        <f>7.5+6.5</f>
        <v>14</v>
      </c>
      <c r="C195" s="133">
        <v>70</v>
      </c>
      <c r="D195" s="207">
        <f t="shared" ref="D195:D196" si="127">B195/C195</f>
        <v>0.2</v>
      </c>
      <c r="E195" s="212">
        <v>3153.85</v>
      </c>
      <c r="F195" s="212">
        <f t="shared" ref="F195:F196" si="128">ROUND(D195*E195,2)</f>
        <v>630.77</v>
      </c>
      <c r="G195" s="208"/>
      <c r="H195" s="211"/>
      <c r="I195" s="211"/>
      <c r="J195" s="211"/>
      <c r="K195" s="212">
        <f>-98.62*D195</f>
        <v>-19.724000000000004</v>
      </c>
      <c r="L195" s="211"/>
      <c r="M195" s="58">
        <f>-7.94*D195</f>
        <v>-1.5880000000000001</v>
      </c>
      <c r="N195" s="211"/>
      <c r="O195" s="57"/>
      <c r="P195" s="57"/>
      <c r="Q195" s="59">
        <f t="shared" ref="Q195:Q203" si="129">SUM(H195:P195)</f>
        <v>-21.312000000000005</v>
      </c>
    </row>
    <row r="196" spans="1:18" s="3" customFormat="1" ht="15" customHeight="1">
      <c r="A196" s="125" t="s">
        <v>161</v>
      </c>
      <c r="B196" s="133">
        <f>14+15</f>
        <v>29</v>
      </c>
      <c r="C196" s="133">
        <v>70</v>
      </c>
      <c r="D196" s="207">
        <f t="shared" si="127"/>
        <v>0.41428571428571431</v>
      </c>
      <c r="E196" s="212">
        <v>2500</v>
      </c>
      <c r="F196" s="212">
        <f t="shared" si="128"/>
        <v>1035.71</v>
      </c>
      <c r="G196" s="213"/>
      <c r="H196" s="211"/>
      <c r="I196" s="211"/>
      <c r="J196" s="211"/>
      <c r="K196" s="212">
        <f>-95.42*D196</f>
        <v>-39.531142857142861</v>
      </c>
      <c r="L196" s="211"/>
      <c r="M196" s="58">
        <f>-3.28*D196</f>
        <v>-1.3588571428571428</v>
      </c>
      <c r="N196" s="211"/>
      <c r="O196" s="57"/>
      <c r="P196" s="57"/>
      <c r="Q196" s="59">
        <f t="shared" si="129"/>
        <v>-40.89</v>
      </c>
    </row>
    <row r="197" spans="1:18" s="3" customFormat="1">
      <c r="A197" s="125" t="s">
        <v>162</v>
      </c>
      <c r="B197" s="133">
        <f>21+20</f>
        <v>41</v>
      </c>
      <c r="C197" s="133">
        <v>70</v>
      </c>
      <c r="D197" s="207">
        <f>B197/C197</f>
        <v>0.58571428571428574</v>
      </c>
      <c r="E197" s="212">
        <v>0</v>
      </c>
      <c r="F197" s="212">
        <f>ROUND(D197*E196,2)</f>
        <v>1464.29</v>
      </c>
      <c r="G197" s="213"/>
      <c r="H197" s="211"/>
      <c r="I197" s="211"/>
      <c r="J197" s="211"/>
      <c r="K197" s="212">
        <f>-95.42*D197</f>
        <v>-55.888857142857148</v>
      </c>
      <c r="L197" s="211"/>
      <c r="M197" s="58">
        <f>-3.28*D197</f>
        <v>-1.921142857142857</v>
      </c>
      <c r="N197" s="211"/>
      <c r="O197" s="57"/>
      <c r="P197" s="57"/>
      <c r="Q197" s="59">
        <f t="shared" si="129"/>
        <v>-57.81</v>
      </c>
    </row>
    <row r="198" spans="1:18" s="3" customFormat="1" ht="15" customHeight="1">
      <c r="A198" s="125" t="s">
        <v>165</v>
      </c>
      <c r="B198" s="133">
        <v>70</v>
      </c>
      <c r="C198" s="133">
        <v>70</v>
      </c>
      <c r="D198" s="207">
        <f t="shared" ref="D198:D202" si="130">B198/C198</f>
        <v>1</v>
      </c>
      <c r="E198" s="212">
        <v>1538.47</v>
      </c>
      <c r="F198" s="212">
        <f t="shared" ref="F198:F200" si="131">ROUND(D198*E198,2)</f>
        <v>1538.47</v>
      </c>
      <c r="G198" s="213"/>
      <c r="H198" s="211"/>
      <c r="I198" s="211"/>
      <c r="J198" s="211"/>
      <c r="K198" s="212">
        <v>0</v>
      </c>
      <c r="L198" s="211"/>
      <c r="M198" s="58"/>
      <c r="N198" s="211"/>
      <c r="O198" s="57"/>
      <c r="P198" s="57"/>
      <c r="Q198" s="59">
        <f t="shared" si="129"/>
        <v>0</v>
      </c>
    </row>
    <row r="199" spans="1:18" s="3" customFormat="1">
      <c r="A199" s="125" t="s">
        <v>166</v>
      </c>
      <c r="B199" s="133">
        <v>70</v>
      </c>
      <c r="C199" s="133">
        <f>+B199</f>
        <v>70</v>
      </c>
      <c r="D199" s="207">
        <f t="shared" si="130"/>
        <v>1</v>
      </c>
      <c r="E199" s="212">
        <v>1153.8499999999999</v>
      </c>
      <c r="F199" s="212">
        <f t="shared" si="131"/>
        <v>1153.8499999999999</v>
      </c>
      <c r="G199" s="213"/>
      <c r="H199" s="211"/>
      <c r="I199" s="211"/>
      <c r="J199" s="211"/>
      <c r="K199" s="212">
        <f>-98.62*D199</f>
        <v>-98.62</v>
      </c>
      <c r="L199" s="211"/>
      <c r="M199" s="58">
        <v>-3.28</v>
      </c>
      <c r="N199" s="211"/>
      <c r="O199" s="57"/>
      <c r="P199" s="57"/>
      <c r="Q199" s="59">
        <f t="shared" si="129"/>
        <v>-101.9</v>
      </c>
    </row>
    <row r="200" spans="1:18" s="3" customFormat="1" ht="15" customHeight="1">
      <c r="A200" s="125" t="s">
        <v>513</v>
      </c>
      <c r="B200" s="133">
        <v>50</v>
      </c>
      <c r="C200" s="133">
        <f>+B200</f>
        <v>50</v>
      </c>
      <c r="D200" s="207">
        <f t="shared" si="130"/>
        <v>1</v>
      </c>
      <c r="E200" s="212">
        <v>721</v>
      </c>
      <c r="F200" s="212">
        <f t="shared" si="131"/>
        <v>721</v>
      </c>
      <c r="G200" s="213"/>
      <c r="H200" s="211"/>
      <c r="I200" s="211"/>
      <c r="J200" s="211"/>
      <c r="K200" s="212">
        <v>0</v>
      </c>
      <c r="L200" s="211"/>
      <c r="M200" s="348"/>
      <c r="N200" s="211"/>
      <c r="O200" s="57"/>
      <c r="P200" s="57"/>
      <c r="Q200" s="59">
        <f t="shared" si="129"/>
        <v>0</v>
      </c>
    </row>
    <row r="201" spans="1:18" s="3" customFormat="1">
      <c r="A201" s="125" t="s">
        <v>163</v>
      </c>
      <c r="B201" s="133">
        <f>11.75*2</f>
        <v>23.5</v>
      </c>
      <c r="C201" s="133">
        <v>70</v>
      </c>
      <c r="D201" s="207">
        <f t="shared" si="130"/>
        <v>0.33571428571428569</v>
      </c>
      <c r="E201" s="212">
        <v>1538.47</v>
      </c>
      <c r="F201" s="57">
        <f>ROUND(D201*E201,2)</f>
        <v>516.49</v>
      </c>
      <c r="G201" s="213"/>
      <c r="H201" s="211"/>
      <c r="I201" s="211"/>
      <c r="J201" s="211"/>
      <c r="K201" s="212">
        <f>-255.06*D201</f>
        <v>-85.627285714285705</v>
      </c>
      <c r="L201" s="211"/>
      <c r="M201" s="58">
        <f>-20.43*D201</f>
        <v>-6.8586428571428568</v>
      </c>
      <c r="N201" s="211"/>
      <c r="O201" s="57"/>
      <c r="P201" s="57"/>
      <c r="Q201" s="59">
        <f t="shared" si="129"/>
        <v>-92.485928571428559</v>
      </c>
    </row>
    <row r="202" spans="1:18" s="3" customFormat="1">
      <c r="A202" s="125" t="s">
        <v>164</v>
      </c>
      <c r="B202" s="133">
        <f>21.5*2</f>
        <v>43</v>
      </c>
      <c r="C202" s="133">
        <v>70</v>
      </c>
      <c r="D202" s="207">
        <f t="shared" si="130"/>
        <v>0.61428571428571432</v>
      </c>
      <c r="E202" s="212"/>
      <c r="F202" s="57">
        <f>ROUND(D202*E201,2)</f>
        <v>945.06</v>
      </c>
      <c r="G202" s="213"/>
      <c r="H202" s="211"/>
      <c r="I202" s="211"/>
      <c r="J202" s="211"/>
      <c r="K202" s="212">
        <f>-255.06*D202</f>
        <v>-156.67971428571428</v>
      </c>
      <c r="L202" s="211"/>
      <c r="M202" s="58">
        <f>-20.43*D202</f>
        <v>-12.549857142857144</v>
      </c>
      <c r="N202" s="211"/>
      <c r="O202" s="57"/>
      <c r="P202" s="57"/>
      <c r="Q202" s="59">
        <f t="shared" si="129"/>
        <v>-169.22957142857143</v>
      </c>
    </row>
    <row r="203" spans="1:18" s="3" customFormat="1">
      <c r="A203" s="125" t="s">
        <v>363</v>
      </c>
      <c r="B203" s="133">
        <v>7</v>
      </c>
      <c r="C203" s="133">
        <v>70</v>
      </c>
      <c r="D203" s="127">
        <f t="shared" ref="D203" si="132">B203/C203</f>
        <v>0.1</v>
      </c>
      <c r="E203" s="212">
        <v>4230.7700000000004</v>
      </c>
      <c r="F203" s="212">
        <f>ROUND(D203*E203,2)</f>
        <v>423.08</v>
      </c>
      <c r="G203" s="212"/>
      <c r="H203" s="211"/>
      <c r="I203" s="211"/>
      <c r="J203" s="211"/>
      <c r="K203" s="57">
        <f>-98.62*D203</f>
        <v>-9.8620000000000019</v>
      </c>
      <c r="L203" s="211"/>
      <c r="M203" s="58">
        <f>-7.94*D203</f>
        <v>-0.79400000000000004</v>
      </c>
      <c r="N203" s="211"/>
      <c r="O203" s="59"/>
      <c r="P203" s="59"/>
      <c r="Q203" s="59">
        <f t="shared" si="129"/>
        <v>-10.656000000000002</v>
      </c>
    </row>
    <row r="204" spans="1:18" s="3" customFormat="1">
      <c r="A204" s="60" t="s">
        <v>66</v>
      </c>
      <c r="B204" s="135"/>
      <c r="C204" s="333"/>
      <c r="D204" s="380"/>
      <c r="E204" s="62">
        <f>SUBTOTAL(109,'Salaries &amp; Fringe Allocations'!E195:E203)</f>
        <v>14836.41</v>
      </c>
      <c r="F204" s="62">
        <f>SUBTOTAL(109,'Salaries &amp; Fringe Allocations'!F195:F203)</f>
        <v>8428.7199999999993</v>
      </c>
      <c r="G204" s="209"/>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c r="B205" s="137"/>
      <c r="C205" s="137"/>
      <c r="D205" s="1"/>
    </row>
    <row r="206" spans="1:18" s="3" customFormat="1" ht="31">
      <c r="A206" s="220" t="s">
        <v>571</v>
      </c>
      <c r="B206" s="131"/>
      <c r="C206" s="131"/>
      <c r="D206" s="381"/>
      <c r="E206" s="24"/>
      <c r="F206" s="24"/>
      <c r="G206" s="24"/>
      <c r="H206" s="25"/>
      <c r="I206" s="28"/>
      <c r="J206" s="26"/>
      <c r="K206" s="26"/>
      <c r="L206" s="26"/>
      <c r="M206" s="26"/>
      <c r="N206" s="27"/>
      <c r="O206" s="28"/>
      <c r="P206" s="29"/>
      <c r="Q206" s="30"/>
    </row>
    <row r="207" spans="1:18" s="3" customFormat="1" ht="43.5">
      <c r="A207" s="53" t="s">
        <v>61</v>
      </c>
      <c r="B207" s="132" t="s">
        <v>68</v>
      </c>
      <c r="C207" s="132" t="s">
        <v>69</v>
      </c>
      <c r="D207" s="54" t="s">
        <v>62</v>
      </c>
      <c r="E207" s="54" t="s">
        <v>63</v>
      </c>
      <c r="F207" s="54" t="s">
        <v>67</v>
      </c>
      <c r="G207" s="54" t="s">
        <v>295</v>
      </c>
      <c r="H207" s="55" t="s">
        <v>289</v>
      </c>
      <c r="I207" s="54" t="s">
        <v>288</v>
      </c>
      <c r="J207" s="55" t="s">
        <v>291</v>
      </c>
      <c r="K207" s="55" t="s">
        <v>292</v>
      </c>
      <c r="L207" s="55" t="s">
        <v>283</v>
      </c>
      <c r="M207" s="55" t="s">
        <v>293</v>
      </c>
      <c r="N207" s="54" t="s">
        <v>290</v>
      </c>
      <c r="O207" s="54" t="s">
        <v>64</v>
      </c>
      <c r="P207" s="54" t="s">
        <v>139</v>
      </c>
      <c r="Q207" s="54" t="s">
        <v>65</v>
      </c>
    </row>
    <row r="208" spans="1:18" s="3" customFormat="1">
      <c r="A208" s="125" t="s">
        <v>294</v>
      </c>
      <c r="B208" s="136">
        <f>+B169+B182+B195</f>
        <v>42</v>
      </c>
      <c r="C208" s="136">
        <f>+C169+C182+C195</f>
        <v>210</v>
      </c>
      <c r="D208" s="214">
        <f t="shared" ref="D208:D209" si="133">B208/C208</f>
        <v>0.2</v>
      </c>
      <c r="E208" s="57">
        <f>+E169+E182+E195</f>
        <v>9461.5499999999993</v>
      </c>
      <c r="F208" s="57">
        <f t="shared" ref="F208:F209" si="134">ROUND(D208*E208,2)</f>
        <v>1892.31</v>
      </c>
      <c r="G208" s="296">
        <f t="shared" ref="G208:G216" si="135">+F208/$F$217</f>
        <v>7.7732632868369511E-2</v>
      </c>
      <c r="H208" s="57">
        <f>+G208*'Nov-19 GL'!$G$65</f>
        <v>168.52434805862509</v>
      </c>
      <c r="I208" s="57">
        <f>+G208*'Nov-19 GL'!$G$68</f>
        <v>19.744088748565854</v>
      </c>
      <c r="J208" s="212">
        <f>1068.35*D208</f>
        <v>213.67</v>
      </c>
      <c r="K208" s="212">
        <f>+K169+K182+K195</f>
        <v>-59.172000000000011</v>
      </c>
      <c r="L208" s="212">
        <f>67.21*D208</f>
        <v>13.442</v>
      </c>
      <c r="M208" s="212">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c r="A209" s="125" t="s">
        <v>161</v>
      </c>
      <c r="B209" s="136">
        <f t="shared" ref="B209:B216" si="138">+B170+B183+B196</f>
        <v>87</v>
      </c>
      <c r="C209" s="136">
        <f t="shared" ref="C209" si="139">+C170+C183+C196</f>
        <v>210</v>
      </c>
      <c r="D209" s="214">
        <f t="shared" si="133"/>
        <v>0.41428571428571431</v>
      </c>
      <c r="E209" s="57">
        <f t="shared" ref="E209:E216" si="140">+E170+E183+E196</f>
        <v>7500</v>
      </c>
      <c r="F209" s="57">
        <f t="shared" si="134"/>
        <v>3107.14</v>
      </c>
      <c r="G209" s="296">
        <f t="shared" si="135"/>
        <v>0.12763562676867196</v>
      </c>
      <c r="H209" s="57">
        <f>+G209*'Nov-19 GL'!$G$65</f>
        <v>276.71403883448079</v>
      </c>
      <c r="I209" s="57">
        <f>+G209*'Nov-19 GL'!$G$68</f>
        <v>32.419449199242678</v>
      </c>
      <c r="J209" s="212">
        <f>1033.68*D209</f>
        <v>428.23885714285717</v>
      </c>
      <c r="K209" s="212">
        <f t="shared" ref="K209" si="141">+K170+K183+K196</f>
        <v>-118.59342857142857</v>
      </c>
      <c r="L209" s="212">
        <f>84.46*D209</f>
        <v>34.990571428571428</v>
      </c>
      <c r="M209" s="212">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c r="A210" s="125" t="s">
        <v>162</v>
      </c>
      <c r="B210" s="136">
        <f t="shared" si="138"/>
        <v>123</v>
      </c>
      <c r="C210" s="136"/>
      <c r="D210" s="214">
        <f>B210/C209</f>
        <v>0.58571428571428574</v>
      </c>
      <c r="E210" s="57">
        <f t="shared" si="140"/>
        <v>0</v>
      </c>
      <c r="F210" s="57">
        <f>ROUND(D210*E209,2)</f>
        <v>4392.8599999999997</v>
      </c>
      <c r="G210" s="296">
        <f t="shared" si="135"/>
        <v>0.18045065217757433</v>
      </c>
      <c r="H210" s="57">
        <f>+G210*'Nov-19 GL'!$G$65</f>
        <v>391.21701392098117</v>
      </c>
      <c r="I210" s="57">
        <f>+G210*'Nov-19 GL'!$G$68</f>
        <v>45.834465653103884</v>
      </c>
      <c r="J210" s="212">
        <f>1033.68*D210</f>
        <v>605.44114285714295</v>
      </c>
      <c r="K210" s="212">
        <f t="shared" ref="K210" si="143">+K171+K184+K197</f>
        <v>-167.66657142857144</v>
      </c>
      <c r="L210" s="212">
        <f>84.46*D210</f>
        <v>49.469428571428573</v>
      </c>
      <c r="M210" s="212">
        <f t="shared" ref="M210" si="144">+M171+M184+M197</f>
        <v>-5.7634285714285713</v>
      </c>
      <c r="N210" s="57">
        <f>+$G210*'Nov-19 GL'!$G$49</f>
        <v>103.93957565428282</v>
      </c>
      <c r="O210" s="57">
        <f t="shared" si="136"/>
        <v>0</v>
      </c>
      <c r="P210" s="57">
        <f t="shared" si="136"/>
        <v>0</v>
      </c>
      <c r="Q210" s="59">
        <f t="shared" si="137"/>
        <v>1022.4716266569395</v>
      </c>
    </row>
    <row r="211" spans="1:18" s="3" customFormat="1">
      <c r="A211" s="125" t="s">
        <v>165</v>
      </c>
      <c r="B211" s="136">
        <f t="shared" si="138"/>
        <v>210</v>
      </c>
      <c r="C211" s="136">
        <f t="shared" ref="C211" si="145">+C172+C185+C198</f>
        <v>210</v>
      </c>
      <c r="D211" s="214">
        <f t="shared" ref="D211:D214" si="146">B211/C211</f>
        <v>1</v>
      </c>
      <c r="E211" s="57">
        <f t="shared" si="140"/>
        <v>4615.41</v>
      </c>
      <c r="F211" s="57">
        <f t="shared" ref="F211:F214" si="147">ROUND(D211*E211,2)</f>
        <v>4615.41</v>
      </c>
      <c r="G211" s="296">
        <f t="shared" si="135"/>
        <v>0.18959259902817263</v>
      </c>
      <c r="H211" s="57">
        <f>+G211*'Nov-19 GL'!$G$65</f>
        <v>411.03675469307825</v>
      </c>
      <c r="I211" s="57">
        <f>+G211*'Nov-19 GL'!$G$68</f>
        <v>48.156520153155846</v>
      </c>
      <c r="J211" s="212">
        <v>0</v>
      </c>
      <c r="K211" s="212">
        <f t="shared" ref="K211" si="148">+K172+K185+K198</f>
        <v>0</v>
      </c>
      <c r="L211" s="212">
        <v>0</v>
      </c>
      <c r="M211" s="212">
        <f t="shared" ref="M211" si="149">+M172+M185+M198</f>
        <v>0</v>
      </c>
      <c r="N211" s="57">
        <f>+$G211*'Nov-19 GL'!$G$49</f>
        <v>109.20533704022743</v>
      </c>
      <c r="O211" s="57">
        <f t="shared" ref="O211:P211" si="150">+O172+O185</f>
        <v>0</v>
      </c>
      <c r="P211" s="57">
        <f t="shared" si="150"/>
        <v>0</v>
      </c>
      <c r="Q211" s="59">
        <f t="shared" si="137"/>
        <v>568.39861188646148</v>
      </c>
    </row>
    <row r="212" spans="1:18" s="3" customFormat="1">
      <c r="A212" s="125" t="s">
        <v>166</v>
      </c>
      <c r="B212" s="136">
        <f t="shared" si="138"/>
        <v>210</v>
      </c>
      <c r="C212" s="136">
        <f t="shared" ref="C212" si="151">+C173+C186+C199</f>
        <v>210</v>
      </c>
      <c r="D212" s="214">
        <f t="shared" si="146"/>
        <v>1</v>
      </c>
      <c r="E212" s="57">
        <f t="shared" si="140"/>
        <v>3461.5499999999997</v>
      </c>
      <c r="F212" s="57">
        <f t="shared" si="147"/>
        <v>3461.55</v>
      </c>
      <c r="G212" s="296">
        <f t="shared" si="135"/>
        <v>0.14219414118485052</v>
      </c>
      <c r="H212" s="57">
        <f>+G212*'Nov-19 GL'!$G$65</f>
        <v>308.2768980887559</v>
      </c>
      <c r="I212" s="57">
        <f>+G212*'Nov-19 GL'!$G$68</f>
        <v>36.117311860952029</v>
      </c>
      <c r="J212" s="212">
        <v>1068.3499999999999</v>
      </c>
      <c r="K212" s="212">
        <f t="shared" ref="K212" si="152">+K173+K186+K199</f>
        <v>-295.86</v>
      </c>
      <c r="L212" s="212">
        <v>379.22</v>
      </c>
      <c r="M212" s="212">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c r="A213" s="125" t="s">
        <v>513</v>
      </c>
      <c r="B213" s="136">
        <f t="shared" si="138"/>
        <v>150</v>
      </c>
      <c r="C213" s="136">
        <f t="shared" ref="C213" si="155">+C174+C187+C200</f>
        <v>150</v>
      </c>
      <c r="D213" s="214">
        <f t="shared" si="146"/>
        <v>1</v>
      </c>
      <c r="E213" s="57">
        <f t="shared" si="140"/>
        <v>2163</v>
      </c>
      <c r="F213" s="57">
        <f t="shared" si="147"/>
        <v>2163</v>
      </c>
      <c r="G213" s="296">
        <f t="shared" si="135"/>
        <v>8.8852082848097438E-2</v>
      </c>
      <c r="H213" s="57">
        <f>+G213*'Nov-19 GL'!$G$65</f>
        <v>192.63131561467526</v>
      </c>
      <c r="I213" s="57">
        <f>+G213*'Nov-19 GL'!$G$68</f>
        <v>22.568429043416749</v>
      </c>
      <c r="J213" s="212">
        <v>0</v>
      </c>
      <c r="K213" s="212">
        <f t="shared" ref="K213" si="156">+K174+K187+K200</f>
        <v>0</v>
      </c>
      <c r="L213" s="212">
        <v>0</v>
      </c>
      <c r="M213" s="212">
        <f t="shared" ref="M213" si="157">+M174+M187+M200</f>
        <v>0</v>
      </c>
      <c r="N213" s="57">
        <f>+$G213*'Nov-19 GL'!$G$49</f>
        <v>51.178799720504124</v>
      </c>
      <c r="O213" s="57">
        <f t="shared" ref="O213:P213" si="158">+O174+O187</f>
        <v>0</v>
      </c>
      <c r="P213" s="57">
        <f t="shared" si="158"/>
        <v>0</v>
      </c>
      <c r="Q213" s="59">
        <f t="shared" si="137"/>
        <v>266.37854437859613</v>
      </c>
    </row>
    <row r="214" spans="1:18" s="3" customFormat="1">
      <c r="A214" s="125" t="s">
        <v>163</v>
      </c>
      <c r="B214" s="136">
        <f t="shared" si="138"/>
        <v>58.75</v>
      </c>
      <c r="C214" s="136">
        <f t="shared" ref="C214" si="159">+C175+C188+C201</f>
        <v>175</v>
      </c>
      <c r="D214" s="214">
        <f t="shared" si="146"/>
        <v>0.33571428571428569</v>
      </c>
      <c r="E214" s="57">
        <f t="shared" si="140"/>
        <v>3846.1800000000003</v>
      </c>
      <c r="F214" s="57">
        <f t="shared" si="147"/>
        <v>1291.22</v>
      </c>
      <c r="G214" s="296">
        <f t="shared" si="135"/>
        <v>5.3040955346796287E-2</v>
      </c>
      <c r="H214" s="57">
        <f>+G214*'Nov-19 GL'!$G$65</f>
        <v>114.99279119185435</v>
      </c>
      <c r="I214" s="57">
        <f>+G214*'Nov-19 GL'!$G$68</f>
        <v>13.472402658086256</v>
      </c>
      <c r="J214" s="212">
        <f>1332.17*D214</f>
        <v>447.2285</v>
      </c>
      <c r="K214" s="212">
        <f t="shared" ref="K214" si="160">+K175+K188+K201</f>
        <v>-212.5393714285714</v>
      </c>
      <c r="L214" s="212">
        <f>80.41*D214</f>
        <v>26.994785714285712</v>
      </c>
      <c r="M214" s="212">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c r="A215" s="125" t="s">
        <v>164</v>
      </c>
      <c r="B215" s="136">
        <f t="shared" si="138"/>
        <v>107.5</v>
      </c>
      <c r="C215" s="136"/>
      <c r="D215" s="214">
        <f>B215/C214</f>
        <v>0.61428571428571432</v>
      </c>
      <c r="E215" s="57">
        <f t="shared" si="140"/>
        <v>0</v>
      </c>
      <c r="F215" s="57">
        <f>ROUND(D215*E214,2)</f>
        <v>2362.65</v>
      </c>
      <c r="G215" s="296">
        <f t="shared" si="135"/>
        <v>9.7053339593646523E-2</v>
      </c>
      <c r="H215" s="57">
        <f>+G215*'Nov-19 GL'!$G$65</f>
        <v>210.41164023902567</v>
      </c>
      <c r="I215" s="57">
        <f>+G215*'Nov-19 GL'!$G$68</f>
        <v>24.651548256786217</v>
      </c>
      <c r="J215" s="212">
        <f>1332.17*D215</f>
        <v>818.33300000000008</v>
      </c>
      <c r="K215" s="212">
        <f t="shared" ref="K215" si="163">+K176+K189+K202</f>
        <v>-388.89814285714283</v>
      </c>
      <c r="L215" s="212">
        <f>80.41*D215</f>
        <v>49.394714285714286</v>
      </c>
      <c r="M215" s="212">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c r="A216" s="125" t="s">
        <v>435</v>
      </c>
      <c r="B216" s="136">
        <f t="shared" si="138"/>
        <v>17.5</v>
      </c>
      <c r="C216" s="136">
        <f t="shared" ref="C216" si="166">+C177+C190+C203</f>
        <v>210</v>
      </c>
      <c r="D216" s="128">
        <f>B216/C216</f>
        <v>8.3333333333333329E-2</v>
      </c>
      <c r="E216" s="57">
        <f t="shared" si="140"/>
        <v>12692.310000000001</v>
      </c>
      <c r="F216" s="57">
        <f>ROUND(D216*E216,2)</f>
        <v>1057.69</v>
      </c>
      <c r="G216" s="296">
        <f t="shared" si="135"/>
        <v>4.3447970183820704E-2</v>
      </c>
      <c r="H216" s="57">
        <f>+G216*'Nov-19 GL'!$G$65</f>
        <v>94.195199358523283</v>
      </c>
      <c r="I216" s="57">
        <f>+G216*'Nov-19 GL'!$G$68</f>
        <v>11.035784426690459</v>
      </c>
      <c r="J216" s="212">
        <f>1068.35*D216</f>
        <v>89.029166666666654</v>
      </c>
      <c r="K216" s="212">
        <f t="shared" ref="K216" si="167">+K177+K190+K203</f>
        <v>-24.655000000000005</v>
      </c>
      <c r="L216" s="212">
        <f>52.02*D216</f>
        <v>4.335</v>
      </c>
      <c r="M216" s="212">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c r="A217" s="60" t="s">
        <v>323</v>
      </c>
      <c r="B217" s="135"/>
      <c r="C217" s="333"/>
      <c r="D217" s="61"/>
      <c r="E217" s="62">
        <f>SUBTOTAL(109,'Salaries &amp; Fringe Allocations'!E208:E216)</f>
        <v>43740</v>
      </c>
      <c r="F217" s="250">
        <f>SUBTOTAL(109,'Salaries &amp; Fringe Allocations'!F208:F216)</f>
        <v>24343.83</v>
      </c>
      <c r="G217" s="391">
        <f>SUM(G208:G216)</f>
        <v>0.99999999999999989</v>
      </c>
      <c r="H217" s="250">
        <f>SUBTOTAL(109,'Salaries &amp; Fringe Allocations'!H208:H216)</f>
        <v>2168</v>
      </c>
      <c r="I217" s="250">
        <f>SUBTOTAL(109,'Salaries &amp; Fringe Allocations'!I208:I216)</f>
        <v>253.99999999999997</v>
      </c>
      <c r="J217" s="250">
        <f>SUBTOTAL(109,'Salaries &amp; Fringe Allocations'!J208:J216)</f>
        <v>3670.2906666666668</v>
      </c>
      <c r="K217" s="250">
        <f>SUBTOTAL(109,'Salaries &amp; Fringe Allocations'!K208:K216)</f>
        <v>-1267.3845142857142</v>
      </c>
      <c r="L217" s="250">
        <f>SUBTOTAL(109,'Salaries &amp; Fringe Allocations'!L208:L216)</f>
        <v>557.84649999999999</v>
      </c>
      <c r="M217" s="250">
        <f>SUBTOTAL(109,'Salaries &amp; Fringe Allocations'!M208:M216)</f>
        <v>-78.878500000000017</v>
      </c>
      <c r="N217" s="250">
        <f>SUBTOTAL(109,'Salaries &amp; Fringe Allocations'!N208:N216)</f>
        <v>576</v>
      </c>
      <c r="O217" s="250">
        <f>SUBTOTAL(109,'Salaries &amp; Fringe Allocations'!O208:O216)</f>
        <v>0</v>
      </c>
      <c r="P217" s="250">
        <f>SUBTOTAL(109,'Salaries &amp; Fringe Allocations'!P208:P216)</f>
        <v>0</v>
      </c>
      <c r="Q217" s="250">
        <f>SUBTOTAL(109,'Salaries &amp; Fringe Allocations'!Q208:Q216)</f>
        <v>5879.8741523809531</v>
      </c>
    </row>
    <row r="218" spans="1:18" s="3" customFormat="1">
      <c r="A218" s="252"/>
      <c r="B218" s="217"/>
      <c r="C218" s="217"/>
      <c r="D218" s="216"/>
      <c r="E218" s="372" t="s">
        <v>509</v>
      </c>
      <c r="F218" s="373">
        <f>+'Nov-19 GL'!G28</f>
        <v>24343</v>
      </c>
      <c r="G218" s="373"/>
      <c r="H218" s="373"/>
      <c r="I218" s="373"/>
      <c r="J218" s="373"/>
      <c r="K218" s="373"/>
      <c r="L218" s="373"/>
      <c r="M218" s="373"/>
      <c r="N218" s="373"/>
      <c r="O218" s="373"/>
      <c r="P218" s="373"/>
      <c r="Q218" s="373"/>
    </row>
    <row r="219" spans="1:18" s="1" customFormat="1" ht="15" thickBot="1">
      <c r="A219" s="253"/>
      <c r="B219" s="254"/>
      <c r="C219" s="254"/>
      <c r="D219" s="255"/>
      <c r="E219" s="374" t="s">
        <v>510</v>
      </c>
      <c r="F219" s="256">
        <f>+F217-F218</f>
        <v>0.83000000000174623</v>
      </c>
      <c r="G219" s="257"/>
      <c r="H219" s="257"/>
      <c r="I219" s="257"/>
      <c r="J219" s="256"/>
      <c r="K219" s="256"/>
      <c r="L219" s="257"/>
      <c r="M219" s="257"/>
      <c r="N219" s="257"/>
      <c r="O219" s="257"/>
      <c r="P219" s="257"/>
      <c r="Q219" s="257"/>
    </row>
    <row r="220" spans="1:18" ht="15" thickTop="1"/>
    <row r="221" spans="1:18" s="3" customFormat="1">
      <c r="A221" s="23" t="s">
        <v>625</v>
      </c>
      <c r="B221" s="130" t="s">
        <v>159</v>
      </c>
      <c r="C221" s="131"/>
      <c r="D221" s="378">
        <v>43812</v>
      </c>
      <c r="E221" s="24"/>
      <c r="F221" s="24"/>
      <c r="G221" s="24"/>
      <c r="H221" s="25"/>
      <c r="I221" s="28"/>
      <c r="J221" s="26"/>
      <c r="K221" s="26"/>
      <c r="L221" s="26"/>
      <c r="M221" s="26"/>
      <c r="N221" s="27"/>
      <c r="O221" s="28"/>
      <c r="P221" s="29"/>
      <c r="Q221" s="30"/>
    </row>
    <row r="222" spans="1:18" s="3" customFormat="1" ht="43.5">
      <c r="A222" s="53" t="s">
        <v>61</v>
      </c>
      <c r="B222" s="132" t="s">
        <v>68</v>
      </c>
      <c r="C222" s="132" t="s">
        <v>69</v>
      </c>
      <c r="D222" s="54" t="s">
        <v>62</v>
      </c>
      <c r="E222" s="54" t="s">
        <v>63</v>
      </c>
      <c r="F222" s="54" t="s">
        <v>67</v>
      </c>
      <c r="G222" s="54"/>
      <c r="H222" s="55" t="s">
        <v>289</v>
      </c>
      <c r="I222" s="54" t="s">
        <v>288</v>
      </c>
      <c r="J222" s="55" t="s">
        <v>291</v>
      </c>
      <c r="K222" s="55" t="s">
        <v>292</v>
      </c>
      <c r="L222" s="55" t="s">
        <v>283</v>
      </c>
      <c r="M222" s="55" t="s">
        <v>293</v>
      </c>
      <c r="N222" s="54" t="s">
        <v>290</v>
      </c>
      <c r="O222" s="54" t="s">
        <v>64</v>
      </c>
      <c r="P222" s="54" t="s">
        <v>139</v>
      </c>
      <c r="Q222" s="54" t="s">
        <v>65</v>
      </c>
    </row>
    <row r="223" spans="1:18" s="3" customFormat="1">
      <c r="A223" s="125" t="s">
        <v>294</v>
      </c>
      <c r="B223" s="133">
        <f>7.5+6.5</f>
        <v>14</v>
      </c>
      <c r="C223" s="133">
        <v>70</v>
      </c>
      <c r="D223" s="207">
        <f t="shared" ref="D223" si="170">B223/C223</f>
        <v>0.2</v>
      </c>
      <c r="E223" s="212">
        <v>3153.85</v>
      </c>
      <c r="F223" s="212">
        <f t="shared" ref="F223:F224" si="171">ROUND(D223*E223,2)</f>
        <v>630.77</v>
      </c>
      <c r="G223" s="208"/>
      <c r="H223" s="211"/>
      <c r="I223" s="211"/>
      <c r="J223" s="211"/>
      <c r="K223" s="212">
        <f>-98.62*D223</f>
        <v>-19.724000000000004</v>
      </c>
      <c r="L223" s="211"/>
      <c r="M223" s="58">
        <f>-7.94*D223</f>
        <v>-1.5880000000000001</v>
      </c>
      <c r="N223" s="211"/>
      <c r="O223" s="57"/>
      <c r="P223" s="57"/>
      <c r="Q223" s="59">
        <f t="shared" ref="Q223:Q231" si="172">SUM(H223:P223)</f>
        <v>-21.312000000000005</v>
      </c>
    </row>
    <row r="224" spans="1:18" s="3" customFormat="1" ht="15" customHeight="1">
      <c r="A224" s="125" t="s">
        <v>161</v>
      </c>
      <c r="B224" s="133">
        <f>14+15</f>
        <v>29</v>
      </c>
      <c r="C224" s="133">
        <v>70</v>
      </c>
      <c r="D224" s="207">
        <f>B224/C224</f>
        <v>0.41428571428571431</v>
      </c>
      <c r="E224" s="212">
        <v>2500</v>
      </c>
      <c r="F224" s="212">
        <f t="shared" si="171"/>
        <v>1035.71</v>
      </c>
      <c r="G224" s="213"/>
      <c r="H224" s="211"/>
      <c r="I224" s="211"/>
      <c r="J224" s="211"/>
      <c r="K224" s="212">
        <f>-95.42*D224</f>
        <v>-39.531142857142861</v>
      </c>
      <c r="L224" s="211"/>
      <c r="M224" s="58">
        <f>-3.28*D224</f>
        <v>-1.3588571428571428</v>
      </c>
      <c r="N224" s="211"/>
      <c r="O224" s="57"/>
      <c r="P224" s="57"/>
      <c r="Q224" s="59">
        <f t="shared" si="172"/>
        <v>-40.89</v>
      </c>
    </row>
    <row r="225" spans="1:17" s="3" customFormat="1">
      <c r="A225" s="125" t="s">
        <v>162</v>
      </c>
      <c r="B225" s="133">
        <f>21+20</f>
        <v>41</v>
      </c>
      <c r="C225" s="133">
        <v>70</v>
      </c>
      <c r="D225" s="207">
        <f>B225/C225</f>
        <v>0.58571428571428574</v>
      </c>
      <c r="E225" s="212">
        <v>0</v>
      </c>
      <c r="F225" s="212">
        <f>ROUND(D225*E224,2)</f>
        <v>1464.29</v>
      </c>
      <c r="G225" s="213"/>
      <c r="H225" s="211"/>
      <c r="I225" s="211"/>
      <c r="J225" s="211"/>
      <c r="K225" s="212">
        <f>-95.42*D225</f>
        <v>-55.888857142857148</v>
      </c>
      <c r="L225" s="211"/>
      <c r="M225" s="58">
        <f>-3.28*D225</f>
        <v>-1.921142857142857</v>
      </c>
      <c r="N225" s="211"/>
      <c r="O225" s="57"/>
      <c r="P225" s="57"/>
      <c r="Q225" s="59">
        <f t="shared" si="172"/>
        <v>-57.81</v>
      </c>
    </row>
    <row r="226" spans="1:17" s="3" customFormat="1" ht="15" customHeight="1">
      <c r="A226" s="125" t="s">
        <v>165</v>
      </c>
      <c r="B226" s="133">
        <v>70</v>
      </c>
      <c r="C226" s="133">
        <v>70</v>
      </c>
      <c r="D226" s="207">
        <f t="shared" ref="D226:D231" si="173">B226/C226</f>
        <v>1</v>
      </c>
      <c r="E226" s="212">
        <v>1538.47</v>
      </c>
      <c r="F226" s="212">
        <f t="shared" ref="F226:F228" si="174">ROUND(D226*E226,2)</f>
        <v>1538.47</v>
      </c>
      <c r="G226" s="213"/>
      <c r="H226" s="211"/>
      <c r="I226" s="211"/>
      <c r="J226" s="211"/>
      <c r="K226" s="212">
        <v>0</v>
      </c>
      <c r="L226" s="211"/>
      <c r="M226" s="58"/>
      <c r="N226" s="211"/>
      <c r="O226" s="57"/>
      <c r="P226" s="57"/>
      <c r="Q226" s="59">
        <f t="shared" si="172"/>
        <v>0</v>
      </c>
    </row>
    <row r="227" spans="1:17" s="3" customFormat="1">
      <c r="A227" s="125" t="s">
        <v>166</v>
      </c>
      <c r="B227" s="133">
        <v>70</v>
      </c>
      <c r="C227" s="133">
        <f>+B227</f>
        <v>70</v>
      </c>
      <c r="D227" s="207">
        <f t="shared" si="173"/>
        <v>1</v>
      </c>
      <c r="E227" s="212">
        <v>1153.8499999999999</v>
      </c>
      <c r="F227" s="212">
        <f t="shared" si="174"/>
        <v>1153.8499999999999</v>
      </c>
      <c r="G227" s="213"/>
      <c r="H227" s="211"/>
      <c r="I227" s="211"/>
      <c r="J227" s="211"/>
      <c r="K227" s="212">
        <f>-98.62*D227</f>
        <v>-98.62</v>
      </c>
      <c r="L227" s="211"/>
      <c r="M227" s="58">
        <v>-3.28</v>
      </c>
      <c r="N227" s="211"/>
      <c r="O227" s="57"/>
      <c r="P227" s="57"/>
      <c r="Q227" s="59">
        <f t="shared" si="172"/>
        <v>-101.9</v>
      </c>
    </row>
    <row r="228" spans="1:17" s="3" customFormat="1" ht="15" customHeight="1">
      <c r="A228" s="125" t="s">
        <v>513</v>
      </c>
      <c r="B228" s="133">
        <v>50</v>
      </c>
      <c r="C228" s="133">
        <f>+B228</f>
        <v>50</v>
      </c>
      <c r="D228" s="207">
        <f t="shared" si="173"/>
        <v>1</v>
      </c>
      <c r="E228" s="212">
        <v>620.05999999999995</v>
      </c>
      <c r="F228" s="212">
        <f t="shared" si="174"/>
        <v>620.05999999999995</v>
      </c>
      <c r="G228" s="213"/>
      <c r="H228" s="211"/>
      <c r="I228" s="211"/>
      <c r="J228" s="211"/>
      <c r="K228" s="212">
        <v>0</v>
      </c>
      <c r="L228" s="211"/>
      <c r="M228" s="348"/>
      <c r="N228" s="211"/>
      <c r="O228" s="57"/>
      <c r="P228" s="57"/>
      <c r="Q228" s="59">
        <f t="shared" si="172"/>
        <v>0</v>
      </c>
    </row>
    <row r="229" spans="1:17" s="3" customFormat="1">
      <c r="A229" s="125" t="s">
        <v>163</v>
      </c>
      <c r="B229" s="133">
        <f>11.75*2</f>
        <v>23.5</v>
      </c>
      <c r="C229" s="133">
        <v>70</v>
      </c>
      <c r="D229" s="207">
        <f t="shared" si="173"/>
        <v>0.33571428571428569</v>
      </c>
      <c r="E229" s="212">
        <v>1538.47</v>
      </c>
      <c r="F229" s="57">
        <f>ROUND(D229*E229,2)</f>
        <v>516.49</v>
      </c>
      <c r="G229" s="213"/>
      <c r="H229" s="211"/>
      <c r="I229" s="211"/>
      <c r="J229" s="211"/>
      <c r="K229" s="212">
        <f>-122.97*D229</f>
        <v>-41.282785714285708</v>
      </c>
      <c r="L229" s="211"/>
      <c r="M229" s="58">
        <f>-14.35*D229</f>
        <v>-4.8174999999999999</v>
      </c>
      <c r="N229" s="211"/>
      <c r="O229" s="57"/>
      <c r="P229" s="57"/>
      <c r="Q229" s="59">
        <f t="shared" si="172"/>
        <v>-46.100285714285711</v>
      </c>
    </row>
    <row r="230" spans="1:17" s="3" customFormat="1">
      <c r="A230" s="125" t="s">
        <v>164</v>
      </c>
      <c r="B230" s="133">
        <f>21.5*2</f>
        <v>43</v>
      </c>
      <c r="C230" s="133">
        <v>70</v>
      </c>
      <c r="D230" s="207">
        <f t="shared" si="173"/>
        <v>0.61428571428571432</v>
      </c>
      <c r="E230" s="212"/>
      <c r="F230" s="57">
        <f>ROUND(D230*E229,2)</f>
        <v>945.06</v>
      </c>
      <c r="G230" s="213"/>
      <c r="H230" s="211"/>
      <c r="I230" s="211"/>
      <c r="J230" s="211"/>
      <c r="K230" s="212">
        <f>-122.97*D230</f>
        <v>-75.538714285714292</v>
      </c>
      <c r="L230" s="211"/>
      <c r="M230" s="58">
        <f>-14.35*D230</f>
        <v>-8.8149999999999995</v>
      </c>
      <c r="N230" s="211"/>
      <c r="O230" s="57"/>
      <c r="P230" s="57"/>
      <c r="Q230" s="59">
        <f t="shared" si="172"/>
        <v>-84.35371428571429</v>
      </c>
    </row>
    <row r="231" spans="1:17" s="3" customFormat="1">
      <c r="A231" s="125" t="s">
        <v>363</v>
      </c>
      <c r="B231" s="133">
        <v>7</v>
      </c>
      <c r="C231" s="133">
        <v>70</v>
      </c>
      <c r="D231" s="127">
        <f t="shared" si="173"/>
        <v>0.1</v>
      </c>
      <c r="E231" s="212">
        <v>4230.7700000000004</v>
      </c>
      <c r="F231" s="212">
        <f>ROUND(D231*E231,2)</f>
        <v>423.08</v>
      </c>
      <c r="G231" s="212"/>
      <c r="H231" s="211"/>
      <c r="I231" s="211"/>
      <c r="J231" s="211"/>
      <c r="K231" s="57">
        <f>-98.62*D231</f>
        <v>-9.8620000000000019</v>
      </c>
      <c r="L231" s="211"/>
      <c r="M231" s="58">
        <f>-7.94*D231</f>
        <v>-0.79400000000000004</v>
      </c>
      <c r="N231" s="211"/>
      <c r="O231" s="59"/>
      <c r="P231" s="59"/>
      <c r="Q231" s="59">
        <f t="shared" si="172"/>
        <v>-10.656000000000002</v>
      </c>
    </row>
    <row r="232" spans="1:17" s="3" customFormat="1">
      <c r="A232" s="60" t="s">
        <v>66</v>
      </c>
      <c r="B232" s="135"/>
      <c r="C232" s="333"/>
      <c r="D232" s="380"/>
      <c r="E232" s="62">
        <f>SUBTOTAL(109,'Salaries &amp; Fringe Allocations'!E223:E231)</f>
        <v>14735.47</v>
      </c>
      <c r="F232" s="62">
        <f>SUBTOTAL(109,'Salaries &amp; Fringe Allocations'!F223:F231)</f>
        <v>8327.7799999999988</v>
      </c>
      <c r="G232" s="209"/>
      <c r="H232" s="62">
        <f>SUBTOTAL(109,'Salaries &amp; Fringe Allocations'!H223:H231)</f>
        <v>0</v>
      </c>
      <c r="I232" s="62">
        <f>SUBTOTAL(109,'Salaries &amp; Fringe Allocations'!I223:I231)</f>
        <v>0</v>
      </c>
      <c r="J232" s="62">
        <f>SUBTOTAL(109,'Salaries &amp; Fringe Allocations'!J223:J231)</f>
        <v>0</v>
      </c>
      <c r="K232" s="62">
        <f>SUBTOTAL(109,'Salaries &amp; Fringe Allocations'!K223:K231)</f>
        <v>-340.44750000000005</v>
      </c>
      <c r="L232" s="62">
        <f>SUBTOTAL(109,'Salaries &amp; Fringe Allocations'!L223:L231)</f>
        <v>0</v>
      </c>
      <c r="M232" s="62">
        <f>SUBTOTAL(109,'Salaries &amp; Fringe Allocations'!M223:M231)</f>
        <v>-22.574499999999997</v>
      </c>
      <c r="N232" s="62">
        <f>SUBTOTAL(109,'Salaries &amp; Fringe Allocations'!N223:N231)</f>
        <v>0</v>
      </c>
      <c r="O232" s="62">
        <f>SUBTOTAL(109,'Salaries &amp; Fringe Allocations'!O223:O231)</f>
        <v>0</v>
      </c>
      <c r="P232" s="62">
        <f>SUBTOTAL(109,'Salaries &amp; Fringe Allocations'!P223:P231)</f>
        <v>0</v>
      </c>
      <c r="Q232" s="62">
        <f>SUBTOTAL(109,'Salaries &amp; Fringe Allocations'!Q223:Q231)</f>
        <v>-363.02199999999999</v>
      </c>
    </row>
    <row r="233" spans="1:17" s="3" customFormat="1">
      <c r="B233" s="137"/>
      <c r="C233" s="137"/>
      <c r="D233" s="1"/>
    </row>
    <row r="234" spans="1:17" s="3" customFormat="1">
      <c r="A234" s="23" t="s">
        <v>626</v>
      </c>
      <c r="B234" s="130" t="s">
        <v>159</v>
      </c>
      <c r="C234" s="131"/>
      <c r="D234" s="378">
        <v>43826</v>
      </c>
      <c r="E234" s="24"/>
      <c r="F234" s="24"/>
      <c r="G234" s="24"/>
      <c r="H234" s="25"/>
      <c r="I234" s="28"/>
      <c r="J234" s="26"/>
      <c r="K234" s="26"/>
      <c r="L234" s="26"/>
      <c r="M234" s="26"/>
      <c r="N234" s="27"/>
      <c r="O234" s="28"/>
      <c r="P234" s="29"/>
      <c r="Q234" s="30"/>
    </row>
    <row r="235" spans="1:17" s="3" customFormat="1" ht="43.5">
      <c r="A235" s="53" t="s">
        <v>61</v>
      </c>
      <c r="B235" s="132" t="s">
        <v>68</v>
      </c>
      <c r="C235" s="132" t="s">
        <v>69</v>
      </c>
      <c r="D235" s="54" t="s">
        <v>62</v>
      </c>
      <c r="E235" s="54" t="s">
        <v>63</v>
      </c>
      <c r="F235" s="54" t="s">
        <v>67</v>
      </c>
      <c r="G235" s="54"/>
      <c r="H235" s="55" t="s">
        <v>289</v>
      </c>
      <c r="I235" s="54" t="s">
        <v>288</v>
      </c>
      <c r="J235" s="55" t="s">
        <v>291</v>
      </c>
      <c r="K235" s="55" t="s">
        <v>292</v>
      </c>
      <c r="L235" s="55" t="s">
        <v>283</v>
      </c>
      <c r="M235" s="55" t="s">
        <v>293</v>
      </c>
      <c r="N235" s="54" t="s">
        <v>290</v>
      </c>
      <c r="O235" s="54" t="s">
        <v>64</v>
      </c>
      <c r="P235" s="54" t="s">
        <v>139</v>
      </c>
      <c r="Q235" s="54" t="s">
        <v>65</v>
      </c>
    </row>
    <row r="236" spans="1:17" s="3" customFormat="1">
      <c r="A236" s="125" t="s">
        <v>294</v>
      </c>
      <c r="B236" s="133">
        <f>7.5+6.5</f>
        <v>14</v>
      </c>
      <c r="C236" s="133">
        <v>70</v>
      </c>
      <c r="D236" s="207">
        <f t="shared" ref="D236:D237" si="175">B236/C236</f>
        <v>0.2</v>
      </c>
      <c r="E236" s="212">
        <v>3153.85</v>
      </c>
      <c r="F236" s="212">
        <f t="shared" ref="F236:F237" si="176">ROUND(D236*E236,2)</f>
        <v>630.77</v>
      </c>
      <c r="G236" s="208"/>
      <c r="H236" s="211"/>
      <c r="I236" s="211"/>
      <c r="J236" s="211"/>
      <c r="K236" s="212">
        <f>-98.62*D236</f>
        <v>-19.724000000000004</v>
      </c>
      <c r="L236" s="211"/>
      <c r="M236" s="58">
        <f>-7.94*D236</f>
        <v>-1.5880000000000001</v>
      </c>
      <c r="N236" s="211"/>
      <c r="O236" s="57"/>
      <c r="P236" s="57"/>
      <c r="Q236" s="59">
        <f t="shared" ref="Q236:Q244" si="177">SUM(H236:P236)</f>
        <v>-21.312000000000005</v>
      </c>
    </row>
    <row r="237" spans="1:17" s="3" customFormat="1" ht="15" customHeight="1">
      <c r="A237" s="125" t="s">
        <v>161</v>
      </c>
      <c r="B237" s="133">
        <f>14+15</f>
        <v>29</v>
      </c>
      <c r="C237" s="133">
        <v>70</v>
      </c>
      <c r="D237" s="207">
        <f t="shared" si="175"/>
        <v>0.41428571428571431</v>
      </c>
      <c r="E237" s="212">
        <v>2500</v>
      </c>
      <c r="F237" s="212">
        <f t="shared" si="176"/>
        <v>1035.71</v>
      </c>
      <c r="G237" s="213"/>
      <c r="H237" s="211"/>
      <c r="I237" s="211"/>
      <c r="J237" s="211"/>
      <c r="K237" s="212">
        <f>-95.42*D237</f>
        <v>-39.531142857142861</v>
      </c>
      <c r="L237" s="211"/>
      <c r="M237" s="58">
        <f>-3.28*D237</f>
        <v>-1.3588571428571428</v>
      </c>
      <c r="N237" s="211"/>
      <c r="O237" s="57"/>
      <c r="P237" s="57"/>
      <c r="Q237" s="59">
        <f t="shared" si="177"/>
        <v>-40.89</v>
      </c>
    </row>
    <row r="238" spans="1:17" s="3" customFormat="1">
      <c r="A238" s="125" t="s">
        <v>162</v>
      </c>
      <c r="B238" s="133">
        <f>21+20</f>
        <v>41</v>
      </c>
      <c r="C238" s="133">
        <v>70</v>
      </c>
      <c r="D238" s="207">
        <f>B238/C238</f>
        <v>0.58571428571428574</v>
      </c>
      <c r="E238" s="212">
        <v>0</v>
      </c>
      <c r="F238" s="212">
        <f>ROUND(D238*E237,2)</f>
        <v>1464.29</v>
      </c>
      <c r="G238" s="213"/>
      <c r="H238" s="211"/>
      <c r="I238" s="211"/>
      <c r="J238" s="211"/>
      <c r="K238" s="212">
        <f>-95.42*D238</f>
        <v>-55.888857142857148</v>
      </c>
      <c r="L238" s="211"/>
      <c r="M238" s="58">
        <f>-3.28*D238</f>
        <v>-1.921142857142857</v>
      </c>
      <c r="N238" s="211"/>
      <c r="O238" s="57"/>
      <c r="P238" s="57"/>
      <c r="Q238" s="59">
        <f t="shared" si="177"/>
        <v>-57.81</v>
      </c>
    </row>
    <row r="239" spans="1:17" s="3" customFormat="1" ht="15" customHeight="1">
      <c r="A239" s="125" t="s">
        <v>165</v>
      </c>
      <c r="B239" s="133">
        <v>70</v>
      </c>
      <c r="C239" s="133">
        <v>70</v>
      </c>
      <c r="D239" s="207">
        <f t="shared" ref="D239:D244" si="178">B239/C239</f>
        <v>1</v>
      </c>
      <c r="E239" s="212">
        <v>1538.47</v>
      </c>
      <c r="F239" s="212">
        <f t="shared" ref="F239:F241" si="179">ROUND(D239*E239,2)</f>
        <v>1538.47</v>
      </c>
      <c r="G239" s="213"/>
      <c r="H239" s="211"/>
      <c r="I239" s="211"/>
      <c r="J239" s="211"/>
      <c r="K239" s="212">
        <v>0</v>
      </c>
      <c r="L239" s="211"/>
      <c r="M239" s="58"/>
      <c r="N239" s="211"/>
      <c r="O239" s="57"/>
      <c r="P239" s="57"/>
      <c r="Q239" s="59">
        <f t="shared" si="177"/>
        <v>0</v>
      </c>
    </row>
    <row r="240" spans="1:17" s="3" customFormat="1">
      <c r="A240" s="125" t="s">
        <v>166</v>
      </c>
      <c r="B240" s="133">
        <v>70</v>
      </c>
      <c r="C240" s="133">
        <f>+B240</f>
        <v>70</v>
      </c>
      <c r="D240" s="207">
        <f t="shared" si="178"/>
        <v>1</v>
      </c>
      <c r="E240" s="212">
        <v>1153.8499999999999</v>
      </c>
      <c r="F240" s="212">
        <f t="shared" si="179"/>
        <v>1153.8499999999999</v>
      </c>
      <c r="G240" s="213"/>
      <c r="H240" s="211"/>
      <c r="I240" s="211"/>
      <c r="J240" s="211"/>
      <c r="K240" s="212">
        <f>-98.62*D240</f>
        <v>-98.62</v>
      </c>
      <c r="L240" s="211"/>
      <c r="M240" s="58">
        <v>-3.28</v>
      </c>
      <c r="N240" s="211"/>
      <c r="O240" s="57"/>
      <c r="P240" s="57"/>
      <c r="Q240" s="59">
        <f t="shared" si="177"/>
        <v>-101.9</v>
      </c>
    </row>
    <row r="241" spans="1:18" s="3" customFormat="1" ht="15" customHeight="1">
      <c r="A241" s="125" t="s">
        <v>513</v>
      </c>
      <c r="B241" s="133">
        <v>50</v>
      </c>
      <c r="C241" s="133">
        <f>+B241</f>
        <v>50</v>
      </c>
      <c r="D241" s="207">
        <f t="shared" si="178"/>
        <v>1</v>
      </c>
      <c r="E241" s="212">
        <v>735.42</v>
      </c>
      <c r="F241" s="212">
        <f t="shared" si="179"/>
        <v>735.42</v>
      </c>
      <c r="G241" s="213"/>
      <c r="H241" s="211"/>
      <c r="I241" s="211"/>
      <c r="J241" s="211"/>
      <c r="K241" s="212">
        <v>0</v>
      </c>
      <c r="L241" s="211"/>
      <c r="M241" s="348"/>
      <c r="N241" s="211"/>
      <c r="O241" s="57"/>
      <c r="P241" s="57"/>
      <c r="Q241" s="59">
        <f t="shared" si="177"/>
        <v>0</v>
      </c>
    </row>
    <row r="242" spans="1:18" s="3" customFormat="1">
      <c r="A242" s="125" t="s">
        <v>163</v>
      </c>
      <c r="B242" s="133">
        <f>11.75*2</f>
        <v>23.5</v>
      </c>
      <c r="C242" s="133">
        <v>70</v>
      </c>
      <c r="D242" s="207">
        <f t="shared" si="178"/>
        <v>0.33571428571428569</v>
      </c>
      <c r="E242" s="212">
        <v>1538.47</v>
      </c>
      <c r="F242" s="57">
        <f>ROUND(D242*E242,2)</f>
        <v>516.49</v>
      </c>
      <c r="G242" s="213"/>
      <c r="H242" s="211"/>
      <c r="I242" s="211"/>
      <c r="J242" s="211"/>
      <c r="K242" s="212">
        <f>-255.06*D242</f>
        <v>-85.627285714285705</v>
      </c>
      <c r="L242" s="211"/>
      <c r="M242" s="58">
        <f>-20.43*D242</f>
        <v>-6.8586428571428568</v>
      </c>
      <c r="N242" s="211"/>
      <c r="O242" s="57"/>
      <c r="P242" s="57"/>
      <c r="Q242" s="59">
        <f t="shared" si="177"/>
        <v>-92.485928571428559</v>
      </c>
    </row>
    <row r="243" spans="1:18" s="3" customFormat="1">
      <c r="A243" s="125" t="s">
        <v>164</v>
      </c>
      <c r="B243" s="133">
        <f>21.5*2</f>
        <v>43</v>
      </c>
      <c r="C243" s="133">
        <v>70</v>
      </c>
      <c r="D243" s="207">
        <f t="shared" si="178"/>
        <v>0.61428571428571432</v>
      </c>
      <c r="E243" s="212"/>
      <c r="F243" s="57">
        <f>ROUND(D243*E242,2)</f>
        <v>945.06</v>
      </c>
      <c r="G243" s="213"/>
      <c r="H243" s="211"/>
      <c r="I243" s="211"/>
      <c r="J243" s="211"/>
      <c r="K243" s="212">
        <f>-255.06*D243</f>
        <v>-156.67971428571428</v>
      </c>
      <c r="L243" s="211"/>
      <c r="M243" s="58">
        <f>-20.43*D243</f>
        <v>-12.549857142857144</v>
      </c>
      <c r="N243" s="211"/>
      <c r="O243" s="57"/>
      <c r="P243" s="57"/>
      <c r="Q243" s="59">
        <f t="shared" si="177"/>
        <v>-169.22957142857143</v>
      </c>
    </row>
    <row r="244" spans="1:18" s="3" customFormat="1">
      <c r="A244" s="125" t="s">
        <v>363</v>
      </c>
      <c r="B244" s="133">
        <v>7</v>
      </c>
      <c r="C244" s="133">
        <v>70</v>
      </c>
      <c r="D244" s="127">
        <f t="shared" si="178"/>
        <v>0.1</v>
      </c>
      <c r="E244" s="212">
        <v>4230.7700000000004</v>
      </c>
      <c r="F244" s="212">
        <f>ROUND(D244*E244,2)</f>
        <v>423.08</v>
      </c>
      <c r="G244" s="212"/>
      <c r="H244" s="211"/>
      <c r="I244" s="211"/>
      <c r="J244" s="211"/>
      <c r="K244" s="57">
        <f>-98.62*D244</f>
        <v>-9.8620000000000019</v>
      </c>
      <c r="L244" s="211"/>
      <c r="M244" s="58">
        <f>-7.94*D244</f>
        <v>-0.79400000000000004</v>
      </c>
      <c r="N244" s="211"/>
      <c r="O244" s="59"/>
      <c r="P244" s="59"/>
      <c r="Q244" s="59">
        <f t="shared" si="177"/>
        <v>-10.656000000000002</v>
      </c>
    </row>
    <row r="245" spans="1:18" s="3" customFormat="1">
      <c r="A245" s="60" t="s">
        <v>66</v>
      </c>
      <c r="B245" s="135"/>
      <c r="C245" s="333"/>
      <c r="D245" s="380"/>
      <c r="E245" s="62">
        <f>SUBTOTAL(109,'Salaries &amp; Fringe Allocations'!E236:E244)</f>
        <v>14850.83</v>
      </c>
      <c r="F245" s="62">
        <f>SUBTOTAL(109,'Salaries &amp; Fringe Allocations'!F236:F244)</f>
        <v>8443.14</v>
      </c>
      <c r="G245" s="209"/>
      <c r="H245" s="62">
        <f>SUBTOTAL(109,'Salaries &amp; Fringe Allocations'!H236:H244)</f>
        <v>0</v>
      </c>
      <c r="I245" s="62">
        <f>SUBTOTAL(109,'Salaries &amp; Fringe Allocations'!I236:I244)</f>
        <v>0</v>
      </c>
      <c r="J245" s="62">
        <f>SUBTOTAL(109,'Salaries &amp; Fringe Allocations'!J236:J244)</f>
        <v>0</v>
      </c>
      <c r="K245" s="62">
        <f>SUBTOTAL(109,'Salaries &amp; Fringe Allocations'!K236:K244)</f>
        <v>-465.93299999999999</v>
      </c>
      <c r="L245" s="62">
        <f>SUBTOTAL(109,'Salaries &amp; Fringe Allocations'!L236:L244)</f>
        <v>0</v>
      </c>
      <c r="M245" s="62">
        <f>SUBTOTAL(109,'Salaries &amp; Fringe Allocations'!M236:M244)</f>
        <v>-28.3505</v>
      </c>
      <c r="N245" s="62">
        <f>SUBTOTAL(109,'Salaries &amp; Fringe Allocations'!N236:N244)</f>
        <v>0</v>
      </c>
      <c r="O245" s="62">
        <f>SUBTOTAL(109,'Salaries &amp; Fringe Allocations'!O236:O244)</f>
        <v>0</v>
      </c>
      <c r="P245" s="62">
        <f>SUBTOTAL(109,'Salaries &amp; Fringe Allocations'!P236:P244)</f>
        <v>0</v>
      </c>
      <c r="Q245" s="62">
        <f>SUBTOTAL(109,'Salaries &amp; Fringe Allocations'!Q236:Q244)</f>
        <v>-494.2835</v>
      </c>
    </row>
    <row r="246" spans="1:18" s="3" customFormat="1">
      <c r="B246" s="137"/>
      <c r="C246" s="137"/>
      <c r="D246" s="1"/>
    </row>
    <row r="247" spans="1:18" s="3" customFormat="1" ht="31">
      <c r="A247" s="220" t="s">
        <v>694</v>
      </c>
      <c r="B247" s="131"/>
      <c r="C247" s="131"/>
      <c r="D247" s="381"/>
      <c r="E247" s="24"/>
      <c r="F247" s="24"/>
      <c r="G247" s="24"/>
      <c r="H247" s="25"/>
      <c r="I247" s="28"/>
      <c r="J247" s="26"/>
      <c r="K247" s="26"/>
      <c r="L247" s="26"/>
      <c r="M247" s="26"/>
      <c r="N247" s="27"/>
      <c r="O247" s="28"/>
      <c r="P247" s="29"/>
      <c r="Q247" s="30"/>
    </row>
    <row r="248" spans="1:18" s="3" customFormat="1" ht="43.5">
      <c r="A248" s="53" t="s">
        <v>61</v>
      </c>
      <c r="B248" s="132" t="s">
        <v>68</v>
      </c>
      <c r="C248" s="132" t="s">
        <v>69</v>
      </c>
      <c r="D248" s="54" t="s">
        <v>62</v>
      </c>
      <c r="E248" s="54" t="s">
        <v>63</v>
      </c>
      <c r="F248" s="54" t="s">
        <v>67</v>
      </c>
      <c r="G248" s="54" t="s">
        <v>295</v>
      </c>
      <c r="H248" s="55" t="s">
        <v>289</v>
      </c>
      <c r="I248" s="54" t="s">
        <v>288</v>
      </c>
      <c r="J248" s="55" t="s">
        <v>291</v>
      </c>
      <c r="K248" s="55" t="s">
        <v>292</v>
      </c>
      <c r="L248" s="55" t="s">
        <v>283</v>
      </c>
      <c r="M248" s="55" t="s">
        <v>293</v>
      </c>
      <c r="N248" s="54" t="s">
        <v>290</v>
      </c>
      <c r="O248" s="54" t="s">
        <v>64</v>
      </c>
      <c r="P248" s="54" t="s">
        <v>139</v>
      </c>
      <c r="Q248" s="54" t="s">
        <v>65</v>
      </c>
    </row>
    <row r="249" spans="1:18" s="1" customFormat="1">
      <c r="A249" s="125" t="s">
        <v>294</v>
      </c>
      <c r="B249" s="136">
        <f>+B223+B236</f>
        <v>28</v>
      </c>
      <c r="C249" s="136">
        <f>+C223+C236</f>
        <v>140</v>
      </c>
      <c r="D249" s="214">
        <f t="shared" ref="D249:D250" si="180">B249/C249</f>
        <v>0.2</v>
      </c>
      <c r="E249" s="212">
        <f>+E223+E236</f>
        <v>6307.7</v>
      </c>
      <c r="F249" s="212">
        <f t="shared" ref="F249:F250" si="181">ROUND(D249*E249,2)</f>
        <v>1261.54</v>
      </c>
      <c r="G249" s="448">
        <f>+F249/$F$258</f>
        <v>7.5221961850586425E-2</v>
      </c>
      <c r="H249" s="212">
        <f>+G249*'Dec-19 GL'!$G$79</f>
        <v>106.66474190413155</v>
      </c>
      <c r="I249" s="212">
        <f>+G249*'Dec-19 GL'!$G$85</f>
        <v>12.938177438300865</v>
      </c>
      <c r="J249" s="212">
        <f>1068.35*D249</f>
        <v>213.67</v>
      </c>
      <c r="K249" s="212">
        <f>K223+K236</f>
        <v>-39.448000000000008</v>
      </c>
      <c r="L249" s="212">
        <f>91.06*D249</f>
        <v>18.212</v>
      </c>
      <c r="M249" s="212">
        <f>M223+M236</f>
        <v>-3.1760000000000002</v>
      </c>
      <c r="N249" s="212">
        <f>+$G249*'Dec-19 GL'!$G$62</f>
        <v>37.460537001592037</v>
      </c>
      <c r="O249" s="212">
        <f t="shared" ref="O249:P249" si="182">+O210+O223</f>
        <v>0</v>
      </c>
      <c r="P249" s="212">
        <f t="shared" si="182"/>
        <v>0</v>
      </c>
      <c r="Q249" s="348">
        <f t="shared" ref="Q249:Q257" si="183">SUM(H249:P249)</f>
        <v>346.32145634402445</v>
      </c>
      <c r="R249" s="1" t="s">
        <v>24</v>
      </c>
    </row>
    <row r="250" spans="1:18" s="1" customFormat="1">
      <c r="A250" s="125" t="s">
        <v>161</v>
      </c>
      <c r="B250" s="136">
        <f t="shared" ref="B250:C250" si="184">+B224+B237</f>
        <v>58</v>
      </c>
      <c r="C250" s="136">
        <f t="shared" si="184"/>
        <v>140</v>
      </c>
      <c r="D250" s="214">
        <f t="shared" si="180"/>
        <v>0.41428571428571431</v>
      </c>
      <c r="E250" s="212">
        <f t="shared" ref="E250:E257" si="185">+E224+E237</f>
        <v>5000</v>
      </c>
      <c r="F250" s="212">
        <f t="shared" si="181"/>
        <v>2071.4299999999998</v>
      </c>
      <c r="G250" s="448">
        <f t="shared" ref="G250:G257" si="186">+F250/$F$258</f>
        <v>0.12351334752458125</v>
      </c>
      <c r="H250" s="212">
        <f>+G250*'Dec-19 GL'!$G$79</f>
        <v>175.1419267898562</v>
      </c>
      <c r="I250" s="212">
        <f>+G250*'Dec-19 GL'!$G$85</f>
        <v>21.244295774227975</v>
      </c>
      <c r="J250" s="212">
        <f>1033.68*D250</f>
        <v>428.23885714285717</v>
      </c>
      <c r="K250" s="212">
        <f t="shared" ref="K250:M257" si="187">K224+K237</f>
        <v>-79.062285714285721</v>
      </c>
      <c r="L250" s="212">
        <f>78.04*D250</f>
        <v>32.330857142857148</v>
      </c>
      <c r="M250" s="212">
        <f t="shared" si="187"/>
        <v>-2.7177142857142855</v>
      </c>
      <c r="N250" s="212">
        <f>+$G250*'Dec-19 GL'!$G$62</f>
        <v>61.50964706724146</v>
      </c>
      <c r="O250" s="212">
        <f t="shared" ref="O250:P250" si="188">+O211+O224</f>
        <v>0</v>
      </c>
      <c r="P250" s="212">
        <f t="shared" si="188"/>
        <v>0</v>
      </c>
      <c r="Q250" s="348">
        <f t="shared" si="183"/>
        <v>636.68558391703982</v>
      </c>
      <c r="R250" s="1" t="s">
        <v>24</v>
      </c>
    </row>
    <row r="251" spans="1:18" s="1" customFormat="1">
      <c r="A251" s="125" t="s">
        <v>162</v>
      </c>
      <c r="B251" s="136">
        <f t="shared" ref="B251:C251" si="189">+B225+B238</f>
        <v>82</v>
      </c>
      <c r="C251" s="136">
        <f t="shared" si="189"/>
        <v>140</v>
      </c>
      <c r="D251" s="214">
        <f>B251/C250</f>
        <v>0.58571428571428574</v>
      </c>
      <c r="E251" s="212">
        <f t="shared" si="185"/>
        <v>0</v>
      </c>
      <c r="F251" s="212">
        <f>ROUND(D251*E250,2)</f>
        <v>2928.57</v>
      </c>
      <c r="G251" s="448">
        <f t="shared" si="186"/>
        <v>0.17462211330340052</v>
      </c>
      <c r="H251" s="212">
        <f>+G251*'Dec-19 GL'!$G$79</f>
        <v>247.61415666422195</v>
      </c>
      <c r="I251" s="212">
        <f>+G251*'Dec-19 GL'!$G$85</f>
        <v>30.035003488184891</v>
      </c>
      <c r="J251" s="212">
        <f>1033.68*D251</f>
        <v>605.44114285714295</v>
      </c>
      <c r="K251" s="212">
        <f t="shared" si="187"/>
        <v>-111.7777142857143</v>
      </c>
      <c r="L251" s="212">
        <f>78.04*D251</f>
        <v>45.709142857142865</v>
      </c>
      <c r="M251" s="212">
        <f t="shared" si="187"/>
        <v>-3.8422857142857141</v>
      </c>
      <c r="N251" s="212">
        <f>+$G251*'Dec-19 GL'!$G$62</f>
        <v>86.961812425093456</v>
      </c>
      <c r="O251" s="212">
        <f t="shared" ref="O251:P251" si="190">+O212+O225</f>
        <v>0</v>
      </c>
      <c r="P251" s="212">
        <f t="shared" si="190"/>
        <v>0</v>
      </c>
      <c r="Q251" s="348">
        <f t="shared" si="183"/>
        <v>900.14125829178624</v>
      </c>
    </row>
    <row r="252" spans="1:18" s="1" customFormat="1">
      <c r="A252" s="125" t="s">
        <v>165</v>
      </c>
      <c r="B252" s="136">
        <f t="shared" ref="B252:C252" si="191">+B226+B239</f>
        <v>140</v>
      </c>
      <c r="C252" s="136">
        <f t="shared" si="191"/>
        <v>140</v>
      </c>
      <c r="D252" s="214">
        <f t="shared" ref="D252:D255" si="192">B252/C252</f>
        <v>1</v>
      </c>
      <c r="E252" s="212">
        <f t="shared" si="185"/>
        <v>3076.94</v>
      </c>
      <c r="F252" s="212">
        <f t="shared" ref="F252:F255" si="193">ROUND(D252*E252,2)</f>
        <v>3076.94</v>
      </c>
      <c r="G252" s="448">
        <f t="shared" si="186"/>
        <v>0.18346898496801006</v>
      </c>
      <c r="H252" s="212">
        <f>+G252*'Dec-19 GL'!$G$79</f>
        <v>260.15902068463828</v>
      </c>
      <c r="I252" s="212">
        <f>+G252*'Dec-19 GL'!$G$85</f>
        <v>31.556665414497729</v>
      </c>
      <c r="J252" s="212">
        <v>0</v>
      </c>
      <c r="K252" s="212">
        <f t="shared" si="187"/>
        <v>0</v>
      </c>
      <c r="L252" s="212">
        <v>0</v>
      </c>
      <c r="M252" s="212">
        <f t="shared" si="187"/>
        <v>0</v>
      </c>
      <c r="N252" s="212">
        <f>+$G252*'Dec-19 GL'!$G$62</f>
        <v>91.367554514069013</v>
      </c>
      <c r="O252" s="212">
        <f t="shared" ref="O252:P252" si="194">+O213+O226</f>
        <v>0</v>
      </c>
      <c r="P252" s="212">
        <f t="shared" si="194"/>
        <v>0</v>
      </c>
      <c r="Q252" s="348">
        <f t="shared" si="183"/>
        <v>383.08324061320502</v>
      </c>
    </row>
    <row r="253" spans="1:18" s="1" customFormat="1">
      <c r="A253" s="125" t="s">
        <v>166</v>
      </c>
      <c r="B253" s="136">
        <f t="shared" ref="B253:C253" si="195">+B227+B240</f>
        <v>140</v>
      </c>
      <c r="C253" s="136">
        <f t="shared" si="195"/>
        <v>140</v>
      </c>
      <c r="D253" s="214">
        <f t="shared" si="192"/>
        <v>1</v>
      </c>
      <c r="E253" s="212">
        <f t="shared" si="185"/>
        <v>2307.6999999999998</v>
      </c>
      <c r="F253" s="212">
        <f t="shared" si="193"/>
        <v>2307.6999999999998</v>
      </c>
      <c r="G253" s="448">
        <f t="shared" si="186"/>
        <v>0.13760144059054669</v>
      </c>
      <c r="H253" s="212">
        <f>+G253*'Dec-19 GL'!$G$79</f>
        <v>195.11884275739521</v>
      </c>
      <c r="I253" s="212">
        <f>+G253*'Dec-19 GL'!$G$85</f>
        <v>23.66744778157403</v>
      </c>
      <c r="J253" s="212">
        <v>1068.3499999999999</v>
      </c>
      <c r="K253" s="212">
        <f t="shared" si="187"/>
        <v>-197.24</v>
      </c>
      <c r="L253" s="212">
        <v>43.54</v>
      </c>
      <c r="M253" s="212">
        <f t="shared" si="187"/>
        <v>-6.56</v>
      </c>
      <c r="N253" s="212">
        <f>+$G253*'Dec-19 GL'!$G$62</f>
        <v>68.525517414092249</v>
      </c>
      <c r="O253" s="212">
        <f t="shared" ref="O253:P253" si="196">+O214+O227</f>
        <v>0</v>
      </c>
      <c r="P253" s="212">
        <f t="shared" si="196"/>
        <v>0</v>
      </c>
      <c r="Q253" s="348">
        <f t="shared" si="183"/>
        <v>1195.4018079530615</v>
      </c>
    </row>
    <row r="254" spans="1:18" s="1" customFormat="1" ht="15" customHeight="1">
      <c r="A254" s="125" t="s">
        <v>513</v>
      </c>
      <c r="B254" s="136">
        <f t="shared" ref="B254:C254" si="197">+B228+B241</f>
        <v>100</v>
      </c>
      <c r="C254" s="136">
        <f t="shared" si="197"/>
        <v>100</v>
      </c>
      <c r="D254" s="214">
        <f t="shared" si="192"/>
        <v>1</v>
      </c>
      <c r="E254" s="212">
        <f t="shared" si="185"/>
        <v>1355.48</v>
      </c>
      <c r="F254" s="212">
        <f t="shared" si="193"/>
        <v>1355.48</v>
      </c>
      <c r="G254" s="448">
        <f t="shared" si="186"/>
        <v>8.0823330888622549E-2</v>
      </c>
      <c r="H254" s="212">
        <f>+G254*'Dec-19 GL'!$G$79</f>
        <v>114.60748320006678</v>
      </c>
      <c r="I254" s="212">
        <f>+G254*'Dec-19 GL'!$G$85</f>
        <v>13.901612912843078</v>
      </c>
      <c r="J254" s="212">
        <v>0</v>
      </c>
      <c r="K254" s="212">
        <f t="shared" si="187"/>
        <v>0</v>
      </c>
      <c r="L254" s="212">
        <v>0</v>
      </c>
      <c r="M254" s="212">
        <f t="shared" si="187"/>
        <v>0</v>
      </c>
      <c r="N254" s="212">
        <f>+$G254*'Dec-19 GL'!$G$62</f>
        <v>40.250018782534028</v>
      </c>
      <c r="O254" s="212">
        <f t="shared" ref="O254:P254" si="198">+O215+O228</f>
        <v>0</v>
      </c>
      <c r="P254" s="212">
        <f t="shared" si="198"/>
        <v>0</v>
      </c>
      <c r="Q254" s="348">
        <f t="shared" si="183"/>
        <v>168.75911489544387</v>
      </c>
    </row>
    <row r="255" spans="1:18" s="1" customFormat="1">
      <c r="A255" s="125" t="s">
        <v>163</v>
      </c>
      <c r="B255" s="136">
        <f t="shared" ref="B255:C255" si="199">+B229+B242</f>
        <v>47</v>
      </c>
      <c r="C255" s="136">
        <f t="shared" si="199"/>
        <v>140</v>
      </c>
      <c r="D255" s="214">
        <f t="shared" si="192"/>
        <v>0.33571428571428569</v>
      </c>
      <c r="E255" s="212">
        <f t="shared" si="185"/>
        <v>3076.94</v>
      </c>
      <c r="F255" s="212">
        <f t="shared" si="193"/>
        <v>1032.97</v>
      </c>
      <c r="G255" s="448">
        <f t="shared" si="186"/>
        <v>6.1592997394296072E-2</v>
      </c>
      <c r="H255" s="212">
        <f>+G255*'Dec-19 GL'!$G$79</f>
        <v>87.338870305111826</v>
      </c>
      <c r="I255" s="212">
        <f>+G255*'Dec-19 GL'!$G$85</f>
        <v>10.593995551818924</v>
      </c>
      <c r="J255" s="212">
        <f>1332.17*D255</f>
        <v>447.2285</v>
      </c>
      <c r="K255" s="212">
        <f t="shared" si="187"/>
        <v>-126.91007142857141</v>
      </c>
      <c r="L255" s="212">
        <f>123.49*D255</f>
        <v>41.457357142857141</v>
      </c>
      <c r="M255" s="212">
        <f t="shared" si="187"/>
        <v>-11.676142857142857</v>
      </c>
      <c r="N255" s="212">
        <f>+$G255*'Dec-19 GL'!$G$62</f>
        <v>30.673312702359443</v>
      </c>
      <c r="O255" s="212">
        <f t="shared" ref="O255:P255" si="200">+O216+O229</f>
        <v>0</v>
      </c>
      <c r="P255" s="212">
        <f t="shared" si="200"/>
        <v>0</v>
      </c>
      <c r="Q255" s="348">
        <f t="shared" si="183"/>
        <v>478.70582141643303</v>
      </c>
      <c r="R255" s="1" t="s">
        <v>24</v>
      </c>
    </row>
    <row r="256" spans="1:18" s="1" customFormat="1">
      <c r="A256" s="125" t="s">
        <v>164</v>
      </c>
      <c r="B256" s="136">
        <f t="shared" ref="B256:C256" si="201">+B230+B243</f>
        <v>86</v>
      </c>
      <c r="C256" s="136">
        <f t="shared" si="201"/>
        <v>140</v>
      </c>
      <c r="D256" s="214">
        <f>B256/C255</f>
        <v>0.61428571428571432</v>
      </c>
      <c r="E256" s="212">
        <f t="shared" si="185"/>
        <v>0</v>
      </c>
      <c r="F256" s="212">
        <f>ROUND(D256*E255,2)</f>
        <v>1890.12</v>
      </c>
      <c r="G256" s="448">
        <f t="shared" si="186"/>
        <v>0.11270235944403698</v>
      </c>
      <c r="H256" s="212">
        <f>+G256*'Dec-19 GL'!$G$79</f>
        <v>159.81194569164444</v>
      </c>
      <c r="I256" s="212">
        <f>+G256*'Dec-19 GL'!$G$85</f>
        <v>19.384805824374361</v>
      </c>
      <c r="J256" s="212">
        <f>1332.17*D256</f>
        <v>818.33300000000008</v>
      </c>
      <c r="K256" s="212">
        <f t="shared" si="187"/>
        <v>-232.21842857142857</v>
      </c>
      <c r="L256" s="212">
        <f>123.49*D256</f>
        <v>75.858142857142852</v>
      </c>
      <c r="M256" s="212">
        <f t="shared" si="187"/>
        <v>-21.364857142857144</v>
      </c>
      <c r="N256" s="212">
        <f>+$G256*'Dec-19 GL'!$G$62</f>
        <v>56.125775003130414</v>
      </c>
      <c r="O256" s="212">
        <f t="shared" ref="O256:P257" si="202">+O217+O230</f>
        <v>0</v>
      </c>
      <c r="P256" s="212">
        <f t="shared" si="202"/>
        <v>0</v>
      </c>
      <c r="Q256" s="348">
        <f t="shared" si="183"/>
        <v>875.93038366200653</v>
      </c>
    </row>
    <row r="257" spans="1:18" s="1" customFormat="1">
      <c r="A257" s="125" t="s">
        <v>435</v>
      </c>
      <c r="B257" s="136">
        <f t="shared" ref="B257:C257" si="203">+B231+B244</f>
        <v>14</v>
      </c>
      <c r="C257" s="136">
        <f t="shared" si="203"/>
        <v>140</v>
      </c>
      <c r="D257" s="128">
        <f>B257/C257</f>
        <v>0.1</v>
      </c>
      <c r="E257" s="212">
        <f t="shared" si="185"/>
        <v>8461.5400000000009</v>
      </c>
      <c r="F257" s="212">
        <f>ROUND(D257*E257,2)</f>
        <v>846.15</v>
      </c>
      <c r="G257" s="448">
        <f t="shared" si="186"/>
        <v>5.0453464035919354E-2</v>
      </c>
      <c r="H257" s="212">
        <f>+G257*'Dec-19 GL'!$G$79</f>
        <v>71.543012002933651</v>
      </c>
      <c r="I257" s="212">
        <f>+G257*'Dec-19 GL'!$G$85</f>
        <v>8.6779958141781286</v>
      </c>
      <c r="J257" s="212">
        <f>1068.35*D257</f>
        <v>106.83499999999999</v>
      </c>
      <c r="K257" s="212">
        <f t="shared" si="187"/>
        <v>-19.724000000000004</v>
      </c>
      <c r="L257" s="212">
        <f>75.87*D257</f>
        <v>7.5870000000000006</v>
      </c>
      <c r="M257" s="212">
        <f t="shared" si="187"/>
        <v>-1.5880000000000001</v>
      </c>
      <c r="N257" s="212">
        <f>+$G257*'Dec-19 GL'!$G$62</f>
        <v>25.12582508988784</v>
      </c>
      <c r="O257" s="212">
        <f t="shared" si="202"/>
        <v>0</v>
      </c>
      <c r="P257" s="212"/>
      <c r="Q257" s="348">
        <f t="shared" si="183"/>
        <v>198.45683290699964</v>
      </c>
      <c r="R257" s="1" t="s">
        <v>24</v>
      </c>
    </row>
    <row r="258" spans="1:18" s="1" customFormat="1">
      <c r="A258" s="449" t="s">
        <v>323</v>
      </c>
      <c r="B258" s="450"/>
      <c r="C258" s="333"/>
      <c r="D258" s="380"/>
      <c r="E258" s="250">
        <f>SUBTOTAL(109,'Salaries &amp; Fringe Allocations'!E249:E257)</f>
        <v>29586.3</v>
      </c>
      <c r="F258" s="250">
        <f>SUBTOTAL(109,'Salaries &amp; Fringe Allocations'!F249:F257)</f>
        <v>16770.900000000001</v>
      </c>
      <c r="G258" s="391">
        <f>SUM(G249:G257)</f>
        <v>0.99999999999999989</v>
      </c>
      <c r="H258" s="250">
        <f>SUBTOTAL(109,'Salaries &amp; Fringe Allocations'!H249:H257)</f>
        <v>1418</v>
      </c>
      <c r="I258" s="250">
        <f>SUBTOTAL(109,'Salaries &amp; Fringe Allocations'!I249:I257)</f>
        <v>171.99999999999997</v>
      </c>
      <c r="J258" s="250">
        <f>SUBTOTAL(109,'Salaries &amp; Fringe Allocations'!J249:J257)</f>
        <v>3688.0965000000001</v>
      </c>
      <c r="K258" s="250">
        <f>SUBTOTAL(109,'Salaries &amp; Fringe Allocations'!K249:K257)</f>
        <v>-806.3805000000001</v>
      </c>
      <c r="L258" s="250">
        <f>SUBTOTAL(109,'Salaries &amp; Fringe Allocations'!L249:L257)</f>
        <v>264.69450000000001</v>
      </c>
      <c r="M258" s="250">
        <f>SUBTOTAL(109,'Salaries &amp; Fringe Allocations'!M249:M257)</f>
        <v>-50.925000000000004</v>
      </c>
      <c r="N258" s="250">
        <f>SUBTOTAL(109,'Salaries &amp; Fringe Allocations'!N249:N257)</f>
        <v>497.99999999999994</v>
      </c>
      <c r="O258" s="250">
        <f>SUBTOTAL(109,'Salaries &amp; Fringe Allocations'!O249:O257)</f>
        <v>0</v>
      </c>
      <c r="P258" s="250">
        <f>SUBTOTAL(109,'Salaries &amp; Fringe Allocations'!P249:P257)</f>
        <v>0</v>
      </c>
      <c r="Q258" s="250">
        <f>SUBTOTAL(109,'Salaries &amp; Fringe Allocations'!Q249:Q257)</f>
        <v>5183.4854999999998</v>
      </c>
    </row>
    <row r="259" spans="1:18" s="3" customFormat="1">
      <c r="A259" s="252"/>
      <c r="B259" s="217"/>
      <c r="C259" s="217"/>
      <c r="D259" s="216"/>
      <c r="E259" s="372" t="s">
        <v>509</v>
      </c>
      <c r="F259" s="373">
        <f>+'Dec-19 GL'!G39</f>
        <v>16771</v>
      </c>
      <c r="G259" s="373"/>
      <c r="H259" s="373"/>
      <c r="I259" s="373"/>
      <c r="J259" s="373"/>
      <c r="K259" s="373"/>
      <c r="L259" s="373"/>
      <c r="M259" s="373"/>
      <c r="N259" s="373"/>
      <c r="O259" s="373"/>
      <c r="P259" s="373"/>
      <c r="Q259" s="373"/>
    </row>
    <row r="260" spans="1:18" s="1" customFormat="1" ht="15" thickBot="1">
      <c r="A260" s="253"/>
      <c r="B260" s="254"/>
      <c r="C260" s="254"/>
      <c r="D260" s="255"/>
      <c r="E260" s="374" t="s">
        <v>510</v>
      </c>
      <c r="F260" s="256">
        <f>+F258-F259</f>
        <v>-9.9999999998544808E-2</v>
      </c>
      <c r="G260" s="257"/>
      <c r="H260" s="257"/>
      <c r="I260" s="257"/>
      <c r="J260" s="256"/>
      <c r="K260" s="256"/>
      <c r="L260" s="257"/>
      <c r="M260" s="257"/>
      <c r="N260" s="257"/>
      <c r="O260" s="257"/>
      <c r="P260" s="257"/>
      <c r="Q260" s="257"/>
    </row>
    <row r="261" spans="1:18" ht="15" thickTop="1"/>
    <row r="262" spans="1:18" s="3" customFormat="1">
      <c r="B262" s="137"/>
      <c r="C262" s="137"/>
    </row>
    <row r="263" spans="1:18" s="3" customFormat="1">
      <c r="A263" s="23" t="s">
        <v>704</v>
      </c>
      <c r="B263" s="130" t="s">
        <v>159</v>
      </c>
      <c r="C263" s="131"/>
      <c r="D263" s="378">
        <v>43840</v>
      </c>
      <c r="E263" s="24"/>
      <c r="F263" s="24"/>
      <c r="G263" s="24"/>
      <c r="H263" s="25"/>
      <c r="I263" s="28"/>
      <c r="J263" s="26"/>
      <c r="K263" s="26"/>
      <c r="L263" s="26"/>
      <c r="M263" s="26"/>
      <c r="N263" s="27"/>
      <c r="O263" s="28"/>
      <c r="P263" s="29"/>
      <c r="Q263" s="30"/>
    </row>
    <row r="264" spans="1:18" s="3" customFormat="1" ht="43.5">
      <c r="A264" s="53" t="s">
        <v>61</v>
      </c>
      <c r="B264" s="132" t="s">
        <v>68</v>
      </c>
      <c r="C264" s="132" t="s">
        <v>69</v>
      </c>
      <c r="D264" s="54" t="s">
        <v>62</v>
      </c>
      <c r="E264" s="54" t="s">
        <v>63</v>
      </c>
      <c r="F264" s="54" t="s">
        <v>67</v>
      </c>
      <c r="G264" s="54"/>
      <c r="H264" s="55" t="s">
        <v>289</v>
      </c>
      <c r="I264" s="54" t="s">
        <v>288</v>
      </c>
      <c r="J264" s="55" t="s">
        <v>291</v>
      </c>
      <c r="K264" s="55" t="s">
        <v>292</v>
      </c>
      <c r="L264" s="55" t="s">
        <v>283</v>
      </c>
      <c r="M264" s="55" t="s">
        <v>293</v>
      </c>
      <c r="N264" s="54" t="s">
        <v>290</v>
      </c>
      <c r="O264" s="54" t="s">
        <v>64</v>
      </c>
      <c r="P264" s="54" t="s">
        <v>139</v>
      </c>
      <c r="Q264" s="54" t="s">
        <v>65</v>
      </c>
    </row>
    <row r="265" spans="1:18" s="3" customFormat="1">
      <c r="A265" s="125" t="s">
        <v>294</v>
      </c>
      <c r="B265" s="133">
        <f>7.5+6.5</f>
        <v>14</v>
      </c>
      <c r="C265" s="133">
        <v>70</v>
      </c>
      <c r="D265" s="207">
        <f t="shared" ref="D265" si="204">B265/C265</f>
        <v>0.2</v>
      </c>
      <c r="E265" s="212">
        <f>3246.39+10000</f>
        <v>13246.39</v>
      </c>
      <c r="F265" s="212">
        <f t="shared" ref="F265:F266" si="205">ROUND(D265*E265,2)</f>
        <v>2649.28</v>
      </c>
      <c r="G265" s="208"/>
      <c r="H265" s="211"/>
      <c r="I265" s="211"/>
      <c r="J265" s="211"/>
      <c r="K265" s="212">
        <f>-98.62*D265</f>
        <v>-19.724000000000004</v>
      </c>
      <c r="L265" s="211"/>
      <c r="M265" s="58">
        <f>-7.94*D265</f>
        <v>-1.5880000000000001</v>
      </c>
      <c r="N265" s="211"/>
      <c r="O265" s="57"/>
      <c r="P265" s="57"/>
      <c r="Q265" s="59">
        <f t="shared" ref="Q265:Q273" si="206">SUM(H265:P265)</f>
        <v>-21.312000000000005</v>
      </c>
    </row>
    <row r="266" spans="1:18" s="3" customFormat="1" ht="15" customHeight="1">
      <c r="A266" s="125" t="s">
        <v>161</v>
      </c>
      <c r="B266" s="133">
        <f>14+15</f>
        <v>29</v>
      </c>
      <c r="C266" s="133">
        <v>70</v>
      </c>
      <c r="D266" s="207">
        <f>B266/C266</f>
        <v>0.41428571428571431</v>
      </c>
      <c r="E266" s="212">
        <v>2500</v>
      </c>
      <c r="F266" s="212">
        <f t="shared" si="205"/>
        <v>1035.71</v>
      </c>
      <c r="G266" s="213"/>
      <c r="H266" s="211"/>
      <c r="I266" s="211"/>
      <c r="J266" s="211"/>
      <c r="K266" s="212">
        <f>-95.42*D266</f>
        <v>-39.531142857142861</v>
      </c>
      <c r="L266" s="211"/>
      <c r="M266" s="58">
        <f>-3.28*D266</f>
        <v>-1.3588571428571428</v>
      </c>
      <c r="N266" s="211"/>
      <c r="O266" s="57"/>
      <c r="P266" s="57"/>
      <c r="Q266" s="59">
        <f t="shared" si="206"/>
        <v>-40.89</v>
      </c>
    </row>
    <row r="267" spans="1:18" s="3" customFormat="1">
      <c r="A267" s="125" t="s">
        <v>162</v>
      </c>
      <c r="B267" s="133">
        <f>21+20</f>
        <v>41</v>
      </c>
      <c r="C267" s="133">
        <v>70</v>
      </c>
      <c r="D267" s="207">
        <f>B267/C267</f>
        <v>0.58571428571428574</v>
      </c>
      <c r="E267" s="212">
        <v>0</v>
      </c>
      <c r="F267" s="212">
        <f>ROUND(D267*E266,2)</f>
        <v>1464.29</v>
      </c>
      <c r="G267" s="213"/>
      <c r="H267" s="211"/>
      <c r="I267" s="211"/>
      <c r="J267" s="211"/>
      <c r="K267" s="212">
        <f>-95.42*D267</f>
        <v>-55.888857142857148</v>
      </c>
      <c r="L267" s="211"/>
      <c r="M267" s="58">
        <f>-3.28*D267</f>
        <v>-1.921142857142857</v>
      </c>
      <c r="N267" s="211"/>
      <c r="O267" s="57"/>
      <c r="P267" s="57"/>
      <c r="Q267" s="59">
        <f t="shared" si="206"/>
        <v>-57.81</v>
      </c>
    </row>
    <row r="268" spans="1:18" s="3" customFormat="1" ht="15" customHeight="1">
      <c r="A268" s="125" t="s">
        <v>165</v>
      </c>
      <c r="B268" s="133">
        <v>70</v>
      </c>
      <c r="C268" s="133">
        <v>70</v>
      </c>
      <c r="D268" s="207">
        <f t="shared" ref="D268:D273" si="207">B268/C268</f>
        <v>1</v>
      </c>
      <c r="E268" s="212">
        <v>1538.47</v>
      </c>
      <c r="F268" s="212">
        <f t="shared" ref="F268:F270" si="208">ROUND(D268*E268,2)</f>
        <v>1538.47</v>
      </c>
      <c r="G268" s="213"/>
      <c r="H268" s="211"/>
      <c r="I268" s="211"/>
      <c r="J268" s="211"/>
      <c r="K268" s="212">
        <v>0</v>
      </c>
      <c r="L268" s="211"/>
      <c r="M268" s="58"/>
      <c r="N268" s="211"/>
      <c r="O268" s="57"/>
      <c r="P268" s="57"/>
      <c r="Q268" s="59">
        <f t="shared" si="206"/>
        <v>0</v>
      </c>
    </row>
    <row r="269" spans="1:18" s="3" customFormat="1">
      <c r="A269" s="125" t="s">
        <v>166</v>
      </c>
      <c r="B269" s="133">
        <v>70</v>
      </c>
      <c r="C269" s="133">
        <f>+B269</f>
        <v>70</v>
      </c>
      <c r="D269" s="207">
        <f t="shared" si="207"/>
        <v>1</v>
      </c>
      <c r="E269" s="212">
        <v>1153.8499999999999</v>
      </c>
      <c r="F269" s="212">
        <f t="shared" si="208"/>
        <v>1153.8499999999999</v>
      </c>
      <c r="G269" s="213"/>
      <c r="H269" s="211"/>
      <c r="I269" s="211"/>
      <c r="J269" s="211"/>
      <c r="K269" s="212">
        <f>-98.62*D269</f>
        <v>-98.62</v>
      </c>
      <c r="L269" s="211"/>
      <c r="M269" s="58">
        <v>-3.28</v>
      </c>
      <c r="N269" s="211"/>
      <c r="O269" s="57"/>
      <c r="P269" s="57"/>
      <c r="Q269" s="59">
        <f t="shared" si="206"/>
        <v>-101.9</v>
      </c>
    </row>
    <row r="270" spans="1:18" s="3" customFormat="1" ht="15" customHeight="1">
      <c r="A270" s="125" t="s">
        <v>513</v>
      </c>
      <c r="B270" s="133">
        <v>50</v>
      </c>
      <c r="C270" s="133">
        <f>+B270</f>
        <v>50</v>
      </c>
      <c r="D270" s="207">
        <f t="shared" si="207"/>
        <v>1</v>
      </c>
      <c r="E270" s="212">
        <v>425.39</v>
      </c>
      <c r="F270" s="212">
        <f t="shared" si="208"/>
        <v>425.39</v>
      </c>
      <c r="G270" s="213"/>
      <c r="H270" s="211"/>
      <c r="I270" s="211"/>
      <c r="J270" s="211"/>
      <c r="K270" s="212">
        <v>0</v>
      </c>
      <c r="L270" s="211"/>
      <c r="M270" s="348"/>
      <c r="N270" s="211"/>
      <c r="O270" s="57"/>
      <c r="P270" s="57"/>
      <c r="Q270" s="59">
        <f t="shared" si="206"/>
        <v>0</v>
      </c>
    </row>
    <row r="271" spans="1:18" s="3" customFormat="1">
      <c r="A271" s="125" t="s">
        <v>163</v>
      </c>
      <c r="B271" s="133">
        <f>11.75*2</f>
        <v>23.5</v>
      </c>
      <c r="C271" s="133">
        <v>70</v>
      </c>
      <c r="D271" s="207">
        <f t="shared" si="207"/>
        <v>0.33571428571428569</v>
      </c>
      <c r="E271" s="212">
        <v>1538.47</v>
      </c>
      <c r="F271" s="57">
        <f>ROUND(D271*E271,2)</f>
        <v>516.49</v>
      </c>
      <c r="G271" s="213"/>
      <c r="H271" s="211"/>
      <c r="I271" s="211"/>
      <c r="J271" s="211"/>
      <c r="K271" s="212">
        <f>-122.97*D271</f>
        <v>-41.282785714285708</v>
      </c>
      <c r="L271" s="211"/>
      <c r="M271" s="58">
        <f>-14.35*D271</f>
        <v>-4.8174999999999999</v>
      </c>
      <c r="N271" s="211"/>
      <c r="O271" s="57"/>
      <c r="P271" s="57"/>
      <c r="Q271" s="59">
        <f t="shared" si="206"/>
        <v>-46.100285714285711</v>
      </c>
    </row>
    <row r="272" spans="1:18" s="3" customFormat="1">
      <c r="A272" s="125" t="s">
        <v>164</v>
      </c>
      <c r="B272" s="133">
        <f>21.5*2</f>
        <v>43</v>
      </c>
      <c r="C272" s="133">
        <v>70</v>
      </c>
      <c r="D272" s="207">
        <f t="shared" si="207"/>
        <v>0.61428571428571432</v>
      </c>
      <c r="E272" s="212"/>
      <c r="F272" s="57">
        <f>ROUND(D272*E271,2)</f>
        <v>945.06</v>
      </c>
      <c r="G272" s="213"/>
      <c r="H272" s="211"/>
      <c r="I272" s="211"/>
      <c r="J272" s="211"/>
      <c r="K272" s="212">
        <f>-122.97*D272</f>
        <v>-75.538714285714292</v>
      </c>
      <c r="L272" s="211"/>
      <c r="M272" s="58">
        <f>-14.35*D272</f>
        <v>-8.8149999999999995</v>
      </c>
      <c r="N272" s="211"/>
      <c r="O272" s="57"/>
      <c r="P272" s="57"/>
      <c r="Q272" s="59">
        <f t="shared" si="206"/>
        <v>-84.35371428571429</v>
      </c>
    </row>
    <row r="273" spans="1:17" s="3" customFormat="1">
      <c r="A273" s="125" t="s">
        <v>363</v>
      </c>
      <c r="B273" s="133">
        <v>7</v>
      </c>
      <c r="C273" s="133">
        <v>70</v>
      </c>
      <c r="D273" s="127">
        <f t="shared" si="207"/>
        <v>0.1</v>
      </c>
      <c r="E273" s="212">
        <v>0</v>
      </c>
      <c r="F273" s="212">
        <f>ROUND(D273*E273,2)</f>
        <v>0</v>
      </c>
      <c r="G273" s="212"/>
      <c r="H273" s="211"/>
      <c r="I273" s="211"/>
      <c r="J273" s="211"/>
      <c r="K273" s="57">
        <v>0</v>
      </c>
      <c r="L273" s="211"/>
      <c r="M273" s="58">
        <v>0</v>
      </c>
      <c r="N273" s="211"/>
      <c r="O273" s="59"/>
      <c r="P273" s="59"/>
      <c r="Q273" s="59">
        <f t="shared" si="206"/>
        <v>0</v>
      </c>
    </row>
    <row r="274" spans="1:17" s="3" customFormat="1">
      <c r="A274" s="60" t="s">
        <v>66</v>
      </c>
      <c r="B274" s="135"/>
      <c r="C274" s="333"/>
      <c r="D274" s="380"/>
      <c r="E274" s="62">
        <f>SUBTOTAL(109,'Salaries &amp; Fringe Allocations'!E265:E273)</f>
        <v>20402.57</v>
      </c>
      <c r="F274" s="62">
        <f>SUBTOTAL(109,'Salaries &amp; Fringe Allocations'!F265:F273)</f>
        <v>9728.5399999999991</v>
      </c>
      <c r="G274" s="209"/>
      <c r="H274" s="62">
        <f>SUBTOTAL(109,'Salaries &amp; Fringe Allocations'!H265:H273)</f>
        <v>0</v>
      </c>
      <c r="I274" s="62">
        <f>SUBTOTAL(109,'Salaries &amp; Fringe Allocations'!I265:I273)</f>
        <v>0</v>
      </c>
      <c r="J274" s="62">
        <f>SUBTOTAL(109,'Salaries &amp; Fringe Allocations'!J265:J273)</f>
        <v>0</v>
      </c>
      <c r="K274" s="62">
        <f>SUBTOTAL(109,'Salaries &amp; Fringe Allocations'!K265:K273)</f>
        <v>-330.58550000000002</v>
      </c>
      <c r="L274" s="62">
        <f>SUBTOTAL(109,'Salaries &amp; Fringe Allocations'!L265:L273)</f>
        <v>0</v>
      </c>
      <c r="M274" s="62">
        <f>SUBTOTAL(109,'Salaries &amp; Fringe Allocations'!M265:M273)</f>
        <v>-21.780499999999996</v>
      </c>
      <c r="N274" s="62">
        <f>SUBTOTAL(109,'Salaries &amp; Fringe Allocations'!N265:N273)</f>
        <v>0</v>
      </c>
      <c r="O274" s="62">
        <f>SUBTOTAL(109,'Salaries &amp; Fringe Allocations'!O265:O273)</f>
        <v>0</v>
      </c>
      <c r="P274" s="62">
        <f>SUBTOTAL(109,'Salaries &amp; Fringe Allocations'!P265:P273)</f>
        <v>0</v>
      </c>
      <c r="Q274" s="62">
        <f>SUBTOTAL(109,'Salaries &amp; Fringe Allocations'!Q265:Q273)</f>
        <v>-352.36599999999999</v>
      </c>
    </row>
    <row r="275" spans="1:17" s="3" customFormat="1">
      <c r="B275" s="137"/>
      <c r="C275" s="137"/>
      <c r="D275" s="1"/>
    </row>
    <row r="276" spans="1:17" s="3" customFormat="1">
      <c r="A276" s="23" t="s">
        <v>705</v>
      </c>
      <c r="B276" s="130" t="s">
        <v>159</v>
      </c>
      <c r="C276" s="131"/>
      <c r="D276" s="378">
        <v>43854</v>
      </c>
      <c r="E276" s="24"/>
      <c r="F276" s="24"/>
      <c r="G276" s="24"/>
      <c r="H276" s="25"/>
      <c r="I276" s="28"/>
      <c r="J276" s="26"/>
      <c r="K276" s="26"/>
      <c r="L276" s="26"/>
      <c r="M276" s="26"/>
      <c r="N276" s="27"/>
      <c r="O276" s="28"/>
      <c r="P276" s="29"/>
      <c r="Q276" s="30"/>
    </row>
    <row r="277" spans="1:17" s="3" customFormat="1" ht="43.5">
      <c r="A277" s="53" t="s">
        <v>61</v>
      </c>
      <c r="B277" s="132" t="s">
        <v>68</v>
      </c>
      <c r="C277" s="132" t="s">
        <v>69</v>
      </c>
      <c r="D277" s="54" t="s">
        <v>62</v>
      </c>
      <c r="E277" s="54" t="s">
        <v>63</v>
      </c>
      <c r="F277" s="54" t="s">
        <v>67</v>
      </c>
      <c r="G277" s="54"/>
      <c r="H277" s="55" t="s">
        <v>289</v>
      </c>
      <c r="I277" s="54" t="s">
        <v>288</v>
      </c>
      <c r="J277" s="55" t="s">
        <v>291</v>
      </c>
      <c r="K277" s="55" t="s">
        <v>292</v>
      </c>
      <c r="L277" s="55" t="s">
        <v>283</v>
      </c>
      <c r="M277" s="55" t="s">
        <v>293</v>
      </c>
      <c r="N277" s="54" t="s">
        <v>290</v>
      </c>
      <c r="O277" s="54" t="s">
        <v>64</v>
      </c>
      <c r="P277" s="54" t="s">
        <v>139</v>
      </c>
      <c r="Q277" s="54" t="s">
        <v>65</v>
      </c>
    </row>
    <row r="278" spans="1:17" s="3" customFormat="1">
      <c r="A278" s="125" t="s">
        <v>294</v>
      </c>
      <c r="B278" s="133">
        <f>7.5+6.5</f>
        <v>14</v>
      </c>
      <c r="C278" s="133">
        <v>70</v>
      </c>
      <c r="D278" s="207">
        <f t="shared" ref="D278:D279" si="209">B278/C278</f>
        <v>0.2</v>
      </c>
      <c r="E278" s="212">
        <v>3461.54</v>
      </c>
      <c r="F278" s="212">
        <f t="shared" ref="F278:F279" si="210">ROUND(D278*E278,2)</f>
        <v>692.31</v>
      </c>
      <c r="G278" s="208"/>
      <c r="H278" s="211"/>
      <c r="I278" s="211"/>
      <c r="J278" s="211"/>
      <c r="K278" s="212">
        <f>-98.62*D278</f>
        <v>-19.724000000000004</v>
      </c>
      <c r="L278" s="211"/>
      <c r="M278" s="58">
        <f>-7.94*D278</f>
        <v>-1.5880000000000001</v>
      </c>
      <c r="N278" s="211"/>
      <c r="O278" s="57"/>
      <c r="P278" s="57"/>
      <c r="Q278" s="59">
        <f t="shared" ref="Q278:Q286" si="211">SUM(H278:P278)</f>
        <v>-21.312000000000005</v>
      </c>
    </row>
    <row r="279" spans="1:17" s="3" customFormat="1" ht="15" customHeight="1">
      <c r="A279" s="125" t="s">
        <v>161</v>
      </c>
      <c r="B279" s="133">
        <f>14+15</f>
        <v>29</v>
      </c>
      <c r="C279" s="133">
        <v>70</v>
      </c>
      <c r="D279" s="207">
        <f t="shared" si="209"/>
        <v>0.41428571428571431</v>
      </c>
      <c r="E279" s="212">
        <v>2500</v>
      </c>
      <c r="F279" s="212">
        <f t="shared" si="210"/>
        <v>1035.71</v>
      </c>
      <c r="G279" s="213"/>
      <c r="H279" s="211"/>
      <c r="I279" s="211"/>
      <c r="J279" s="211"/>
      <c r="K279" s="212">
        <f>-95.42*D279</f>
        <v>-39.531142857142861</v>
      </c>
      <c r="L279" s="211"/>
      <c r="M279" s="58">
        <f>-3.28*D279</f>
        <v>-1.3588571428571428</v>
      </c>
      <c r="N279" s="211"/>
      <c r="O279" s="57"/>
      <c r="P279" s="57"/>
      <c r="Q279" s="59">
        <f t="shared" si="211"/>
        <v>-40.89</v>
      </c>
    </row>
    <row r="280" spans="1:17" s="3" customFormat="1">
      <c r="A280" s="125" t="s">
        <v>162</v>
      </c>
      <c r="B280" s="133">
        <f>21+20</f>
        <v>41</v>
      </c>
      <c r="C280" s="133">
        <v>70</v>
      </c>
      <c r="D280" s="207">
        <f>B280/C280</f>
        <v>0.58571428571428574</v>
      </c>
      <c r="E280" s="212">
        <v>0</v>
      </c>
      <c r="F280" s="212">
        <f>ROUND(D280*E279,2)</f>
        <v>1464.29</v>
      </c>
      <c r="G280" s="213"/>
      <c r="H280" s="211"/>
      <c r="I280" s="211"/>
      <c r="J280" s="211"/>
      <c r="K280" s="212">
        <f>-95.42*D280</f>
        <v>-55.888857142857148</v>
      </c>
      <c r="L280" s="211"/>
      <c r="M280" s="58">
        <f>-3.28*D280</f>
        <v>-1.921142857142857</v>
      </c>
      <c r="N280" s="211"/>
      <c r="O280" s="57"/>
      <c r="P280" s="57"/>
      <c r="Q280" s="59">
        <f t="shared" si="211"/>
        <v>-57.81</v>
      </c>
    </row>
    <row r="281" spans="1:17" s="3" customFormat="1" ht="15" customHeight="1">
      <c r="A281" s="125" t="s">
        <v>165</v>
      </c>
      <c r="B281" s="133">
        <v>70</v>
      </c>
      <c r="C281" s="133">
        <v>70</v>
      </c>
      <c r="D281" s="207">
        <f t="shared" ref="D281:D286" si="212">B281/C281</f>
        <v>1</v>
      </c>
      <c r="E281" s="212">
        <v>1538.47</v>
      </c>
      <c r="F281" s="212">
        <f t="shared" ref="F281:F283" si="213">ROUND(D281*E281,2)</f>
        <v>1538.47</v>
      </c>
      <c r="G281" s="213"/>
      <c r="H281" s="211"/>
      <c r="I281" s="211"/>
      <c r="J281" s="211"/>
      <c r="K281" s="212">
        <v>0</v>
      </c>
      <c r="L281" s="211"/>
      <c r="M281" s="58"/>
      <c r="N281" s="211"/>
      <c r="O281" s="57"/>
      <c r="P281" s="57"/>
      <c r="Q281" s="59">
        <f t="shared" si="211"/>
        <v>0</v>
      </c>
    </row>
    <row r="282" spans="1:17" s="3" customFormat="1">
      <c r="A282" s="125" t="s">
        <v>166</v>
      </c>
      <c r="B282" s="133">
        <v>70</v>
      </c>
      <c r="C282" s="133">
        <f>+B282</f>
        <v>70</v>
      </c>
      <c r="D282" s="207">
        <f t="shared" si="212"/>
        <v>1</v>
      </c>
      <c r="E282" s="212">
        <v>1153.8499999999999</v>
      </c>
      <c r="F282" s="212">
        <f t="shared" si="213"/>
        <v>1153.8499999999999</v>
      </c>
      <c r="G282" s="213"/>
      <c r="H282" s="211"/>
      <c r="I282" s="211"/>
      <c r="J282" s="211"/>
      <c r="K282" s="212">
        <f>-98.62*D282</f>
        <v>-98.62</v>
      </c>
      <c r="L282" s="211"/>
      <c r="M282" s="58">
        <v>-3.28</v>
      </c>
      <c r="N282" s="211"/>
      <c r="O282" s="57"/>
      <c r="P282" s="57"/>
      <c r="Q282" s="59">
        <f t="shared" si="211"/>
        <v>-101.9</v>
      </c>
    </row>
    <row r="283" spans="1:17" s="3" customFormat="1" ht="15" customHeight="1">
      <c r="A283" s="125" t="s">
        <v>513</v>
      </c>
      <c r="B283" s="133">
        <v>50</v>
      </c>
      <c r="C283" s="133">
        <f>+B283</f>
        <v>50</v>
      </c>
      <c r="D283" s="207">
        <f t="shared" si="212"/>
        <v>1</v>
      </c>
      <c r="E283" s="212">
        <v>749.84</v>
      </c>
      <c r="F283" s="212">
        <f t="shared" si="213"/>
        <v>749.84</v>
      </c>
      <c r="G283" s="213"/>
      <c r="H283" s="211"/>
      <c r="I283" s="211"/>
      <c r="J283" s="211"/>
      <c r="K283" s="212">
        <v>0</v>
      </c>
      <c r="L283" s="211"/>
      <c r="M283" s="348"/>
      <c r="N283" s="211"/>
      <c r="O283" s="57"/>
      <c r="P283" s="57"/>
      <c r="Q283" s="59">
        <f t="shared" si="211"/>
        <v>0</v>
      </c>
    </row>
    <row r="284" spans="1:17" s="3" customFormat="1">
      <c r="A284" s="125" t="s">
        <v>163</v>
      </c>
      <c r="B284" s="133">
        <f>11.75*2</f>
        <v>23.5</v>
      </c>
      <c r="C284" s="133">
        <v>70</v>
      </c>
      <c r="D284" s="207">
        <f t="shared" si="212"/>
        <v>0.33571428571428569</v>
      </c>
      <c r="E284" s="212">
        <v>1538.47</v>
      </c>
      <c r="F284" s="57">
        <f>ROUND(D284*E284,2)</f>
        <v>516.49</v>
      </c>
      <c r="G284" s="213"/>
      <c r="H284" s="211"/>
      <c r="I284" s="211"/>
      <c r="J284" s="211"/>
      <c r="K284" s="212">
        <f>-122.97*D284</f>
        <v>-41.282785714285708</v>
      </c>
      <c r="L284" s="211"/>
      <c r="M284" s="58">
        <f>-14.35*D284</f>
        <v>-4.8174999999999999</v>
      </c>
      <c r="N284" s="211"/>
      <c r="O284" s="57"/>
      <c r="P284" s="57"/>
      <c r="Q284" s="59">
        <f t="shared" si="211"/>
        <v>-46.100285714285711</v>
      </c>
    </row>
    <row r="285" spans="1:17" s="3" customFormat="1">
      <c r="A285" s="125" t="s">
        <v>164</v>
      </c>
      <c r="B285" s="133">
        <f>21.5*2</f>
        <v>43</v>
      </c>
      <c r="C285" s="133">
        <v>70</v>
      </c>
      <c r="D285" s="207">
        <f t="shared" si="212"/>
        <v>0.61428571428571432</v>
      </c>
      <c r="E285" s="212"/>
      <c r="F285" s="57">
        <f>ROUND(D285*E284,2)</f>
        <v>945.06</v>
      </c>
      <c r="G285" s="213"/>
      <c r="H285" s="211"/>
      <c r="I285" s="211"/>
      <c r="J285" s="211"/>
      <c r="K285" s="212">
        <f>-122.97*D285</f>
        <v>-75.538714285714292</v>
      </c>
      <c r="L285" s="211"/>
      <c r="M285" s="58">
        <f>-14.35*D285</f>
        <v>-8.8149999999999995</v>
      </c>
      <c r="N285" s="211"/>
      <c r="O285" s="57"/>
      <c r="P285" s="57"/>
      <c r="Q285" s="59">
        <f t="shared" si="211"/>
        <v>-84.35371428571429</v>
      </c>
    </row>
    <row r="286" spans="1:17" s="3" customFormat="1">
      <c r="A286" s="125" t="s">
        <v>363</v>
      </c>
      <c r="B286" s="133">
        <v>7</v>
      </c>
      <c r="C286" s="133">
        <v>70</v>
      </c>
      <c r="D286" s="127">
        <f t="shared" si="212"/>
        <v>0.1</v>
      </c>
      <c r="E286" s="212">
        <v>0</v>
      </c>
      <c r="F286" s="212">
        <f>ROUND(D286*E286,2)</f>
        <v>0</v>
      </c>
      <c r="G286" s="212"/>
      <c r="H286" s="211"/>
      <c r="I286" s="211"/>
      <c r="J286" s="211"/>
      <c r="K286" s="57">
        <v>0</v>
      </c>
      <c r="L286" s="211"/>
      <c r="M286" s="58">
        <v>0</v>
      </c>
      <c r="N286" s="211"/>
      <c r="O286" s="59"/>
      <c r="P286" s="59"/>
      <c r="Q286" s="59">
        <f t="shared" si="211"/>
        <v>0</v>
      </c>
    </row>
    <row r="287" spans="1:17" s="3" customFormat="1">
      <c r="A287" s="60" t="s">
        <v>66</v>
      </c>
      <c r="B287" s="135"/>
      <c r="C287" s="333"/>
      <c r="D287" s="380"/>
      <c r="E287" s="62">
        <f>SUBTOTAL(109,'Salaries &amp; Fringe Allocations'!E278:E286)</f>
        <v>10942.17</v>
      </c>
      <c r="F287" s="62">
        <f>SUBTOTAL(109,'Salaries &amp; Fringe Allocations'!F278:F286)</f>
        <v>8096.0199999999986</v>
      </c>
      <c r="G287" s="209"/>
      <c r="H287" s="62">
        <f>SUBTOTAL(109,'Salaries &amp; Fringe Allocations'!H278:H286)</f>
        <v>0</v>
      </c>
      <c r="I287" s="62">
        <f>SUBTOTAL(109,'Salaries &amp; Fringe Allocations'!I278:I286)</f>
        <v>0</v>
      </c>
      <c r="J287" s="62">
        <f>SUBTOTAL(109,'Salaries &amp; Fringe Allocations'!J278:J286)</f>
        <v>0</v>
      </c>
      <c r="K287" s="62">
        <f>SUBTOTAL(109,'Salaries &amp; Fringe Allocations'!K278:K286)</f>
        <v>-330.58550000000002</v>
      </c>
      <c r="L287" s="62">
        <f>SUBTOTAL(109,'Salaries &amp; Fringe Allocations'!L278:L286)</f>
        <v>0</v>
      </c>
      <c r="M287" s="62">
        <f>SUBTOTAL(109,'Salaries &amp; Fringe Allocations'!M278:M286)</f>
        <v>-21.780499999999996</v>
      </c>
      <c r="N287" s="62">
        <f>SUBTOTAL(109,'Salaries &amp; Fringe Allocations'!N278:N286)</f>
        <v>0</v>
      </c>
      <c r="O287" s="62">
        <f>SUBTOTAL(109,'Salaries &amp; Fringe Allocations'!O278:O286)</f>
        <v>0</v>
      </c>
      <c r="P287" s="62">
        <f>SUBTOTAL(109,'Salaries &amp; Fringe Allocations'!P278:P286)</f>
        <v>0</v>
      </c>
      <c r="Q287" s="62">
        <f>SUBTOTAL(109,'Salaries &amp; Fringe Allocations'!Q278:Q286)</f>
        <v>-352.36599999999999</v>
      </c>
    </row>
    <row r="288" spans="1:17" s="3" customFormat="1">
      <c r="B288" s="137"/>
      <c r="C288" s="137"/>
      <c r="D288" s="1"/>
    </row>
    <row r="289" spans="1:18" s="3" customFormat="1" ht="31">
      <c r="A289" s="220" t="s">
        <v>706</v>
      </c>
      <c r="B289" s="131"/>
      <c r="C289" s="131"/>
      <c r="D289" s="381"/>
      <c r="E289" s="24"/>
      <c r="F289" s="24"/>
      <c r="G289" s="24"/>
      <c r="H289" s="25"/>
      <c r="I289" s="28"/>
      <c r="J289" s="26"/>
      <c r="K289" s="26"/>
      <c r="L289" s="26"/>
      <c r="M289" s="26"/>
      <c r="N289" s="27"/>
      <c r="O289" s="28"/>
      <c r="P289" s="29"/>
      <c r="Q289" s="30"/>
    </row>
    <row r="290" spans="1:18" s="3" customFormat="1" ht="43.5">
      <c r="A290" s="53" t="s">
        <v>61</v>
      </c>
      <c r="B290" s="132" t="s">
        <v>68</v>
      </c>
      <c r="C290" s="132" t="s">
        <v>69</v>
      </c>
      <c r="D290" s="54" t="s">
        <v>62</v>
      </c>
      <c r="E290" s="54" t="s">
        <v>63</v>
      </c>
      <c r="F290" s="54" t="s">
        <v>67</v>
      </c>
      <c r="G290" s="54" t="s">
        <v>295</v>
      </c>
      <c r="H290" s="55" t="s">
        <v>289</v>
      </c>
      <c r="I290" s="54" t="s">
        <v>288</v>
      </c>
      <c r="J290" s="55" t="s">
        <v>291</v>
      </c>
      <c r="K290" s="55" t="s">
        <v>292</v>
      </c>
      <c r="L290" s="55" t="s">
        <v>283</v>
      </c>
      <c r="M290" s="55" t="s">
        <v>293</v>
      </c>
      <c r="N290" s="54" t="s">
        <v>290</v>
      </c>
      <c r="O290" s="54" t="s">
        <v>64</v>
      </c>
      <c r="P290" s="54" t="s">
        <v>139</v>
      </c>
      <c r="Q290" s="54" t="s">
        <v>65</v>
      </c>
    </row>
    <row r="291" spans="1:18" s="1" customFormat="1">
      <c r="A291" s="125" t="s">
        <v>294</v>
      </c>
      <c r="B291" s="136">
        <f>+B265+B278</f>
        <v>28</v>
      </c>
      <c r="C291" s="136">
        <f>+C265+C278</f>
        <v>140</v>
      </c>
      <c r="D291" s="214">
        <f t="shared" ref="D291:D292" si="214">B291/C291</f>
        <v>0.2</v>
      </c>
      <c r="E291" s="212">
        <f>+E265+E278</f>
        <v>16707.93</v>
      </c>
      <c r="F291" s="212">
        <f t="shared" ref="F291:F292" si="215">ROUND(D291*E291,2)</f>
        <v>3341.59</v>
      </c>
      <c r="G291" s="448">
        <f>+F291/$F$300</f>
        <v>0.18747121245697648</v>
      </c>
      <c r="H291" s="212">
        <f>+G291*'Jan-2020 GL'!$G$77</f>
        <v>360.50714155476578</v>
      </c>
      <c r="I291" s="212">
        <f>+G291*'Jan-2020 GL'!$G$82</f>
        <v>46.680331901787142</v>
      </c>
      <c r="J291" s="212">
        <f>1068.35*D291</f>
        <v>213.67</v>
      </c>
      <c r="K291" s="212">
        <f>K265+K278</f>
        <v>-39.448000000000008</v>
      </c>
      <c r="L291" s="212">
        <f>75.16*D291</f>
        <v>15.032</v>
      </c>
      <c r="M291" s="212">
        <f>M265+M278</f>
        <v>-3.1760000000000002</v>
      </c>
      <c r="N291" s="212">
        <f>+$G291*'Jan-2020 GL'!$G$61</f>
        <v>89.79871076689173</v>
      </c>
      <c r="O291" s="212">
        <f t="shared" ref="O291:P291" si="216">+O252+O265</f>
        <v>0</v>
      </c>
      <c r="P291" s="212">
        <f t="shared" si="216"/>
        <v>0</v>
      </c>
      <c r="Q291" s="348">
        <f t="shared" ref="Q291:Q299" si="217">SUM(H291:P291)</f>
        <v>683.06418422344473</v>
      </c>
      <c r="R291" s="1" t="s">
        <v>24</v>
      </c>
    </row>
    <row r="292" spans="1:18" s="1" customFormat="1">
      <c r="A292" s="125" t="s">
        <v>161</v>
      </c>
      <c r="B292" s="136">
        <f t="shared" ref="B292:C292" si="218">+B266+B279</f>
        <v>58</v>
      </c>
      <c r="C292" s="136">
        <f t="shared" si="218"/>
        <v>140</v>
      </c>
      <c r="D292" s="214">
        <f t="shared" si="214"/>
        <v>0.41428571428571431</v>
      </c>
      <c r="E292" s="212">
        <f t="shared" ref="E292:E299" si="219">+E266+E279</f>
        <v>5000</v>
      </c>
      <c r="F292" s="212">
        <f t="shared" si="215"/>
        <v>2071.4299999999998</v>
      </c>
      <c r="G292" s="448">
        <f t="shared" ref="G292:G298" si="220">+F292/$F$300</f>
        <v>0.1162121904900825</v>
      </c>
      <c r="H292" s="212">
        <f>+G292*'Jan-2020 GL'!$G$77</f>
        <v>223.47604231242863</v>
      </c>
      <c r="I292" s="212">
        <f>+G292*'Jan-2020 GL'!$G$82</f>
        <v>28.936835432030541</v>
      </c>
      <c r="J292" s="212">
        <f>1033.68*D292</f>
        <v>428.23885714285717</v>
      </c>
      <c r="K292" s="212">
        <f t="shared" ref="K292" si="221">K266+K279</f>
        <v>-79.062285714285721</v>
      </c>
      <c r="L292" s="212">
        <f>82.32*D292</f>
        <v>34.103999999999999</v>
      </c>
      <c r="M292" s="212">
        <f t="shared" ref="M292" si="222">M266+M279</f>
        <v>-2.7177142857142855</v>
      </c>
      <c r="N292" s="212">
        <f>+$G292*'Jan-2020 GL'!$G$61</f>
        <v>55.665639244749514</v>
      </c>
      <c r="O292" s="212">
        <f t="shared" ref="O292:P292" si="223">+O253+O266</f>
        <v>0</v>
      </c>
      <c r="P292" s="212">
        <f t="shared" si="223"/>
        <v>0</v>
      </c>
      <c r="Q292" s="348">
        <f t="shared" si="217"/>
        <v>688.64137413206595</v>
      </c>
      <c r="R292" s="1" t="s">
        <v>24</v>
      </c>
    </row>
    <row r="293" spans="1:18" s="1" customFormat="1">
      <c r="A293" s="125" t="s">
        <v>162</v>
      </c>
      <c r="B293" s="136">
        <f t="shared" ref="B293:C293" si="224">+B267+B280</f>
        <v>82</v>
      </c>
      <c r="C293" s="136">
        <f t="shared" si="224"/>
        <v>140</v>
      </c>
      <c r="D293" s="214">
        <f>B293/C292</f>
        <v>0.58571428571428574</v>
      </c>
      <c r="E293" s="212">
        <f t="shared" si="219"/>
        <v>0</v>
      </c>
      <c r="F293" s="212">
        <f>ROUND(D293*E292,2)</f>
        <v>2928.57</v>
      </c>
      <c r="G293" s="448">
        <f t="shared" si="220"/>
        <v>0.16429979999495081</v>
      </c>
      <c r="H293" s="212">
        <f>+G293*'Jan-2020 GL'!$G$77</f>
        <v>315.94851539029042</v>
      </c>
      <c r="I293" s="212">
        <f>+G293*'Jan-2020 GL'!$G$82</f>
        <v>40.910650198742751</v>
      </c>
      <c r="J293" s="212">
        <f>1033.68*D293</f>
        <v>605.44114285714295</v>
      </c>
      <c r="K293" s="212">
        <f t="shared" ref="K293" si="225">K267+K280</f>
        <v>-111.7777142857143</v>
      </c>
      <c r="L293" s="212">
        <f>82.32*D293</f>
        <v>48.216000000000001</v>
      </c>
      <c r="M293" s="212">
        <f t="shared" ref="M293" si="226">M267+M280</f>
        <v>-3.8422857142857141</v>
      </c>
      <c r="N293" s="212">
        <f>+$G293*'Jan-2020 GL'!$G$61</f>
        <v>78.699604197581436</v>
      </c>
      <c r="O293" s="212">
        <f t="shared" ref="O293:P293" si="227">+O254+O267</f>
        <v>0</v>
      </c>
      <c r="P293" s="212">
        <f t="shared" si="227"/>
        <v>0</v>
      </c>
      <c r="Q293" s="348">
        <f t="shared" si="217"/>
        <v>973.59591264375763</v>
      </c>
    </row>
    <row r="294" spans="1:18" s="1" customFormat="1">
      <c r="A294" s="125" t="s">
        <v>165</v>
      </c>
      <c r="B294" s="136">
        <f t="shared" ref="B294:C294" si="228">+B268+B281</f>
        <v>140</v>
      </c>
      <c r="C294" s="136">
        <f t="shared" si="228"/>
        <v>140</v>
      </c>
      <c r="D294" s="214">
        <f t="shared" ref="D294:D297" si="229">B294/C294</f>
        <v>1</v>
      </c>
      <c r="E294" s="212">
        <f t="shared" si="219"/>
        <v>3076.94</v>
      </c>
      <c r="F294" s="212">
        <f t="shared" ref="F294:F297" si="230">ROUND(D294*E294,2)</f>
        <v>3076.94</v>
      </c>
      <c r="G294" s="448">
        <f t="shared" si="220"/>
        <v>0.17262371280060368</v>
      </c>
      <c r="H294" s="212">
        <f>+G294*'Jan-2020 GL'!$G$77</f>
        <v>331.95539971556087</v>
      </c>
      <c r="I294" s="212">
        <f>+G294*'Jan-2020 GL'!$G$82</f>
        <v>42.983304487350317</v>
      </c>
      <c r="J294" s="212">
        <v>0</v>
      </c>
      <c r="K294" s="212">
        <f t="shared" ref="K294" si="231">K268+K281</f>
        <v>0</v>
      </c>
      <c r="L294" s="212">
        <v>0</v>
      </c>
      <c r="M294" s="212">
        <f t="shared" ref="M294" si="232">M268+M281</f>
        <v>0</v>
      </c>
      <c r="N294" s="212">
        <f>+$G294*'Jan-2020 GL'!$G$61</f>
        <v>82.686758431489167</v>
      </c>
      <c r="O294" s="212">
        <f t="shared" ref="O294:P294" si="233">+O255+O268</f>
        <v>0</v>
      </c>
      <c r="P294" s="212">
        <f t="shared" si="233"/>
        <v>0</v>
      </c>
      <c r="Q294" s="348">
        <f t="shared" si="217"/>
        <v>457.62546263440038</v>
      </c>
    </row>
    <row r="295" spans="1:18" s="1" customFormat="1">
      <c r="A295" s="125" t="s">
        <v>166</v>
      </c>
      <c r="B295" s="136">
        <f t="shared" ref="B295:C295" si="234">+B269+B282</f>
        <v>140</v>
      </c>
      <c r="C295" s="136">
        <f t="shared" si="234"/>
        <v>140</v>
      </c>
      <c r="D295" s="214">
        <f t="shared" si="229"/>
        <v>1</v>
      </c>
      <c r="E295" s="212">
        <f t="shared" si="219"/>
        <v>2307.6999999999998</v>
      </c>
      <c r="F295" s="212">
        <f t="shared" si="230"/>
        <v>2307.6999999999998</v>
      </c>
      <c r="G295" s="448">
        <f t="shared" si="220"/>
        <v>0.12946750408846225</v>
      </c>
      <c r="H295" s="212">
        <f>+G295*'Jan-2020 GL'!$G$77</f>
        <v>248.96601036211291</v>
      </c>
      <c r="I295" s="212">
        <f>+G295*'Jan-2020 GL'!$G$82</f>
        <v>32.237408518027102</v>
      </c>
      <c r="J295" s="212">
        <v>1068.3499999999999</v>
      </c>
      <c r="K295" s="212">
        <f t="shared" ref="K295" si="235">K269+K282</f>
        <v>-197.24</v>
      </c>
      <c r="L295" s="212">
        <v>47.82</v>
      </c>
      <c r="M295" s="212">
        <f t="shared" ref="M295" si="236">M269+M282</f>
        <v>-6.56</v>
      </c>
      <c r="N295" s="212">
        <f>+$G295*'Jan-2020 GL'!$G$61</f>
        <v>62.014934458373418</v>
      </c>
      <c r="O295" s="212">
        <f t="shared" ref="O295:P295" si="237">+O256+O269</f>
        <v>0</v>
      </c>
      <c r="P295" s="212">
        <f t="shared" si="237"/>
        <v>0</v>
      </c>
      <c r="Q295" s="348">
        <f t="shared" si="217"/>
        <v>1255.5883533385131</v>
      </c>
    </row>
    <row r="296" spans="1:18" s="1" customFormat="1" ht="15" customHeight="1">
      <c r="A296" s="125" t="s">
        <v>513</v>
      </c>
      <c r="B296" s="136">
        <f t="shared" ref="B296:C296" si="238">+B270+B283</f>
        <v>100</v>
      </c>
      <c r="C296" s="136">
        <f t="shared" si="238"/>
        <v>100</v>
      </c>
      <c r="D296" s="214">
        <f t="shared" si="229"/>
        <v>1</v>
      </c>
      <c r="E296" s="212">
        <f t="shared" si="219"/>
        <v>1175.23</v>
      </c>
      <c r="F296" s="212">
        <f t="shared" si="230"/>
        <v>1175.23</v>
      </c>
      <c r="G296" s="448">
        <f t="shared" si="220"/>
        <v>6.5933221315545132E-2</v>
      </c>
      <c r="H296" s="212">
        <f>+G296*'Jan-2020 GL'!$G$77</f>
        <v>126.78958458979329</v>
      </c>
      <c r="I296" s="212">
        <f>+G296*'Jan-2020 GL'!$G$82</f>
        <v>16.417372107570738</v>
      </c>
      <c r="J296" s="212">
        <v>0</v>
      </c>
      <c r="K296" s="212">
        <f t="shared" ref="K296" si="239">K270+K283</f>
        <v>0</v>
      </c>
      <c r="L296" s="212">
        <v>0</v>
      </c>
      <c r="M296" s="212">
        <f t="shared" ref="M296" si="240">M270+M283</f>
        <v>0</v>
      </c>
      <c r="N296" s="212">
        <f>+$G296*'Jan-2020 GL'!$G$61</f>
        <v>31.582013010146117</v>
      </c>
      <c r="O296" s="212">
        <f t="shared" ref="O296:P296" si="241">+O257+O270</f>
        <v>0</v>
      </c>
      <c r="P296" s="212">
        <f t="shared" si="241"/>
        <v>0</v>
      </c>
      <c r="Q296" s="348">
        <f t="shared" si="217"/>
        <v>174.78896970751015</v>
      </c>
    </row>
    <row r="297" spans="1:18" s="1" customFormat="1">
      <c r="A297" s="125" t="s">
        <v>163</v>
      </c>
      <c r="B297" s="136">
        <f t="shared" ref="B297:C297" si="242">+B271+B284</f>
        <v>47</v>
      </c>
      <c r="C297" s="136">
        <f t="shared" si="242"/>
        <v>140</v>
      </c>
      <c r="D297" s="214">
        <f t="shared" si="229"/>
        <v>0.33571428571428569</v>
      </c>
      <c r="E297" s="212">
        <f t="shared" si="219"/>
        <v>3076.94</v>
      </c>
      <c r="F297" s="212">
        <f t="shared" si="230"/>
        <v>1032.97</v>
      </c>
      <c r="G297" s="448">
        <f t="shared" si="220"/>
        <v>5.7952094162264968E-2</v>
      </c>
      <c r="H297" s="212">
        <f>+G297*'Jan-2020 GL'!$G$77</f>
        <v>111.44187707403553</v>
      </c>
      <c r="I297" s="212">
        <f>+G297*'Jan-2020 GL'!$G$82</f>
        <v>14.430071446403977</v>
      </c>
      <c r="J297" s="212">
        <f>1332.17*D297</f>
        <v>447.2285</v>
      </c>
      <c r="K297" s="212">
        <f t="shared" ref="K297" si="243">K271+K284</f>
        <v>-82.565571428571417</v>
      </c>
      <c r="L297" s="212">
        <f>94.77*D297</f>
        <v>31.815642857142855</v>
      </c>
      <c r="M297" s="212">
        <f t="shared" ref="M297" si="244">M271+M284</f>
        <v>-9.6349999999999998</v>
      </c>
      <c r="N297" s="212">
        <f>+$G297*'Jan-2020 GL'!$G$61</f>
        <v>27.75905310372492</v>
      </c>
      <c r="O297" s="212">
        <f t="shared" ref="O297:P297" si="245">+O258+O271</f>
        <v>0</v>
      </c>
      <c r="P297" s="212">
        <f t="shared" si="245"/>
        <v>0</v>
      </c>
      <c r="Q297" s="348">
        <f t="shared" si="217"/>
        <v>540.47457305273588</v>
      </c>
      <c r="R297" s="1" t="s">
        <v>24</v>
      </c>
    </row>
    <row r="298" spans="1:18" s="1" customFormat="1">
      <c r="A298" s="125" t="s">
        <v>164</v>
      </c>
      <c r="B298" s="136">
        <f t="shared" ref="B298:C298" si="246">+B272+B285</f>
        <v>86</v>
      </c>
      <c r="C298" s="136">
        <f t="shared" si="246"/>
        <v>140</v>
      </c>
      <c r="D298" s="214">
        <f>B298/C297</f>
        <v>0.61428571428571432</v>
      </c>
      <c r="E298" s="212">
        <f t="shared" si="219"/>
        <v>0</v>
      </c>
      <c r="F298" s="212">
        <f>ROUND(D298*E297,2)</f>
        <v>1890.12</v>
      </c>
      <c r="G298" s="448">
        <f t="shared" si="220"/>
        <v>0.10604026469111422</v>
      </c>
      <c r="H298" s="212">
        <f>+G298*'Jan-2020 GL'!$G$77</f>
        <v>203.91542900101263</v>
      </c>
      <c r="I298" s="212">
        <f>+G298*'Jan-2020 GL'!$G$82</f>
        <v>26.404025908087441</v>
      </c>
      <c r="J298" s="212">
        <f>1332.17*D298</f>
        <v>818.33300000000008</v>
      </c>
      <c r="K298" s="212">
        <f t="shared" ref="K298" si="247">K272+K285</f>
        <v>-151.07742857142858</v>
      </c>
      <c r="L298" s="212">
        <f>94.77*D298</f>
        <v>58.215857142857146</v>
      </c>
      <c r="M298" s="212">
        <f t="shared" ref="M298" si="248">M272+M285</f>
        <v>-17.63</v>
      </c>
      <c r="N298" s="212">
        <f>+$G298*'Jan-2020 GL'!$G$61</f>
        <v>50.793286787043712</v>
      </c>
      <c r="O298" s="212">
        <f t="shared" ref="O298:P298" si="249">+O259+O272</f>
        <v>0</v>
      </c>
      <c r="P298" s="212">
        <f t="shared" si="249"/>
        <v>0</v>
      </c>
      <c r="Q298" s="348">
        <f t="shared" si="217"/>
        <v>988.95417026757264</v>
      </c>
    </row>
    <row r="299" spans="1:18" s="1" customFormat="1">
      <c r="A299" s="125" t="s">
        <v>435</v>
      </c>
      <c r="B299" s="136">
        <f t="shared" ref="B299:C299" si="250">+B273+B286</f>
        <v>14</v>
      </c>
      <c r="C299" s="136">
        <f t="shared" si="250"/>
        <v>140</v>
      </c>
      <c r="D299" s="128">
        <f>B299/C299</f>
        <v>0.1</v>
      </c>
      <c r="E299" s="212">
        <f t="shared" si="219"/>
        <v>0</v>
      </c>
      <c r="F299" s="212">
        <f>ROUND(D299*E299,2)</f>
        <v>0</v>
      </c>
      <c r="G299" s="448">
        <f t="shared" ref="G299" si="251">+F299/$F$258</f>
        <v>0</v>
      </c>
      <c r="H299" s="212">
        <f>+G299*'Jan-2020 GL'!$G$77</f>
        <v>0</v>
      </c>
      <c r="I299" s="212">
        <f>+G299*'Jan-2020 GL'!$G$82</f>
        <v>0</v>
      </c>
      <c r="J299" s="212">
        <v>0</v>
      </c>
      <c r="K299" s="212">
        <f t="shared" ref="K299" si="252">K273+K286</f>
        <v>0</v>
      </c>
      <c r="L299" s="212">
        <v>0</v>
      </c>
      <c r="M299" s="212">
        <f t="shared" ref="M299" si="253">M273+M286</f>
        <v>0</v>
      </c>
      <c r="N299" s="212">
        <f>+$G299*'Jan-2020 GL'!$G$61</f>
        <v>0</v>
      </c>
      <c r="O299" s="212">
        <f t="shared" ref="O299" si="254">+O260+O273</f>
        <v>0</v>
      </c>
      <c r="P299" s="212"/>
      <c r="Q299" s="348">
        <f t="shared" si="217"/>
        <v>0</v>
      </c>
      <c r="R299" s="1" t="s">
        <v>24</v>
      </c>
    </row>
    <row r="300" spans="1:18" s="1" customFormat="1">
      <c r="A300" s="449" t="s">
        <v>323</v>
      </c>
      <c r="B300" s="450"/>
      <c r="C300" s="333"/>
      <c r="D300" s="380"/>
      <c r="E300" s="250">
        <f>SUBTOTAL(109,'Salaries &amp; Fringe Allocations'!E291:E299)</f>
        <v>31344.739999999998</v>
      </c>
      <c r="F300" s="472">
        <f>SUBTOTAL(109,'Salaries &amp; Fringe Allocations'!F291:F299)</f>
        <v>17824.55</v>
      </c>
      <c r="G300" s="391">
        <f>SUM(G291:G299)</f>
        <v>1.0000000000000002</v>
      </c>
      <c r="H300" s="321">
        <f>SUBTOTAL(109,'Salaries &amp; Fringe Allocations'!H291:H299)</f>
        <v>1923</v>
      </c>
      <c r="I300" s="321">
        <f>SUBTOTAL(109,'Salaries &amp; Fringe Allocations'!I291:I299)</f>
        <v>249.00000000000006</v>
      </c>
      <c r="J300" s="321">
        <f>SUBTOTAL(109,'Salaries &amp; Fringe Allocations'!J291:J299)</f>
        <v>3581.2615000000001</v>
      </c>
      <c r="K300" s="321">
        <f>SUBTOTAL(109,'Salaries &amp; Fringe Allocations'!K291:K299)</f>
        <v>-661.17100000000005</v>
      </c>
      <c r="L300" s="321">
        <f>SUBTOTAL(109,'Salaries &amp; Fringe Allocations'!L291:L299)</f>
        <v>235.20349999999999</v>
      </c>
      <c r="M300" s="321">
        <f>SUBTOTAL(109,'Salaries &amp; Fringe Allocations'!M291:M299)</f>
        <v>-43.560999999999993</v>
      </c>
      <c r="N300" s="250">
        <f>SUBTOTAL(109,'Salaries &amp; Fringe Allocations'!N291:N299)</f>
        <v>479</v>
      </c>
      <c r="O300" s="250">
        <f>SUBTOTAL(109,'Salaries &amp; Fringe Allocations'!O291:O299)</f>
        <v>0</v>
      </c>
      <c r="P300" s="250">
        <f>SUBTOTAL(109,'Salaries &amp; Fringe Allocations'!P291:P299)</f>
        <v>0</v>
      </c>
      <c r="Q300" s="250">
        <f>SUBTOTAL(109,'Salaries &amp; Fringe Allocations'!Q291:Q299)</f>
        <v>5762.7330000000002</v>
      </c>
    </row>
    <row r="301" spans="1:18" s="3" customFormat="1">
      <c r="A301" s="252"/>
      <c r="B301" s="217"/>
      <c r="C301" s="217"/>
      <c r="D301" s="216"/>
      <c r="E301" s="372" t="s">
        <v>509</v>
      </c>
      <c r="F301" s="459">
        <v>17825</v>
      </c>
      <c r="G301" s="373"/>
      <c r="H301" s="373"/>
      <c r="I301" s="373"/>
      <c r="J301" s="373"/>
      <c r="K301" s="373"/>
      <c r="L301" s="373"/>
      <c r="M301" s="373"/>
      <c r="N301" s="373"/>
      <c r="O301" s="373"/>
      <c r="P301" s="373"/>
      <c r="Q301" s="373"/>
    </row>
    <row r="302" spans="1:18" s="1" customFormat="1" ht="15" thickBot="1">
      <c r="A302" s="253"/>
      <c r="B302" s="254"/>
      <c r="C302" s="254"/>
      <c r="D302" s="255"/>
      <c r="E302" s="374" t="s">
        <v>510</v>
      </c>
      <c r="F302" s="460">
        <f>+F300-F301</f>
        <v>-0.4500000000007276</v>
      </c>
      <c r="G302" s="257"/>
      <c r="H302" s="257"/>
      <c r="I302" s="257"/>
      <c r="J302" s="256"/>
      <c r="K302" s="256"/>
      <c r="L302" s="257"/>
      <c r="M302" s="257"/>
      <c r="N302" s="257"/>
      <c r="O302" s="257"/>
      <c r="P302" s="257"/>
      <c r="Q302" s="257"/>
    </row>
    <row r="303" spans="1:18" s="3" customFormat="1" ht="15" thickTop="1">
      <c r="B303" s="137"/>
      <c r="C303" s="137"/>
      <c r="F303" s="461"/>
    </row>
    <row r="304" spans="1:18">
      <c r="F304" s="461"/>
    </row>
    <row r="305" spans="6:6">
      <c r="F305" s="458"/>
    </row>
  </sheetData>
  <mergeCells count="3">
    <mergeCell ref="A2:C2"/>
    <mergeCell ref="E1:L1"/>
    <mergeCell ref="E2:L2"/>
  </mergeCells>
  <pageMargins left="0.17" right="0.17" top="0.25" bottom="0.45" header="0.05" footer="9.5299999999999996E-2"/>
  <pageSetup paperSize="5" scale="7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I95"/>
  <sheetViews>
    <sheetView zoomScaleNormal="100" zoomScaleSheetLayoutView="70" workbookViewId="0">
      <pane xSplit="1" ySplit="5" topLeftCell="B6" activePane="bottomRight" state="frozen"/>
      <selection activeCell="A5" sqref="A5"/>
      <selection pane="topRight" activeCell="A5" sqref="A5"/>
      <selection pane="bottomLeft" activeCell="A5" sqref="A5"/>
      <selection pane="bottomRight" activeCell="B11" sqref="B1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4" t="s">
        <v>36</v>
      </c>
      <c r="F1" s="104"/>
      <c r="G1" s="497">
        <v>43647</v>
      </c>
      <c r="H1" s="498"/>
      <c r="I1" s="106" t="s">
        <v>49</v>
      </c>
    </row>
    <row r="2" spans="1:9" ht="21">
      <c r="A2" s="37" t="s">
        <v>152</v>
      </c>
      <c r="B2" s="35"/>
      <c r="C2" s="35"/>
      <c r="D2" s="36"/>
      <c r="E2" s="505"/>
      <c r="F2" s="65"/>
      <c r="G2" s="499"/>
      <c r="H2" s="49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Allocations'!F32</f>
        <v>946.15</v>
      </c>
      <c r="C6" s="140"/>
      <c r="D6" s="141"/>
      <c r="E6" s="142">
        <f>SUM(B6:D6)</f>
        <v>946.15</v>
      </c>
      <c r="F6" s="143">
        <f>E6</f>
        <v>946.15</v>
      </c>
      <c r="G6" s="143">
        <v>16400</v>
      </c>
      <c r="H6" s="144">
        <f>G6-F6</f>
        <v>15453.85</v>
      </c>
      <c r="I6" s="108">
        <f>F6/G6</f>
        <v>5.7692073170731703E-2</v>
      </c>
    </row>
    <row r="7" spans="1:9" s="103" customFormat="1" ht="25.5" customHeight="1">
      <c r="A7" s="138" t="s">
        <v>146</v>
      </c>
      <c r="B7" s="139">
        <f>+'Salaries &amp; Fringe Allocations'!F33</f>
        <v>1553.57</v>
      </c>
      <c r="C7" s="140"/>
      <c r="D7" s="141">
        <f>+'Salaries &amp; Fringe Allocations'!F34</f>
        <v>2196.4299999999998</v>
      </c>
      <c r="E7" s="142">
        <f>SUM(B7:D7)</f>
        <v>3750</v>
      </c>
      <c r="F7" s="143">
        <f>E7</f>
        <v>3750</v>
      </c>
      <c r="G7" s="143">
        <v>66000</v>
      </c>
      <c r="H7" s="144">
        <f>G7-F7</f>
        <v>62250</v>
      </c>
      <c r="I7" s="108">
        <f t="shared" ref="I7:I20" si="0">F7/G7</f>
        <v>5.6818181818181816E-2</v>
      </c>
    </row>
    <row r="8" spans="1:9" s="103" customFormat="1" ht="25.5" customHeight="1">
      <c r="A8" s="138" t="s">
        <v>155</v>
      </c>
      <c r="B8" s="139"/>
      <c r="C8" s="140"/>
      <c r="D8" s="141">
        <f>+'Salaries &amp; Fringe Allocations'!F35</f>
        <v>769.24</v>
      </c>
      <c r="E8" s="142">
        <f t="shared" ref="E8:E12" si="1">SUM(B8:D8)</f>
        <v>769.24</v>
      </c>
      <c r="F8" s="143">
        <f t="shared" ref="F8:F12" si="2">E8</f>
        <v>769.24</v>
      </c>
      <c r="G8" s="143">
        <v>40000</v>
      </c>
      <c r="H8" s="144">
        <f t="shared" ref="H8:H12" si="3">G8-F8</f>
        <v>39230.76</v>
      </c>
      <c r="I8" s="108">
        <f t="shared" si="0"/>
        <v>1.9231000000000002E-2</v>
      </c>
    </row>
    <row r="9" spans="1:9" s="103" customFormat="1" ht="25.5" customHeight="1">
      <c r="A9" s="138" t="s">
        <v>147</v>
      </c>
      <c r="B9" s="139"/>
      <c r="C9" s="140"/>
      <c r="D9" s="141">
        <f>+'Salaries &amp; Fringe Allocations'!F36</f>
        <v>1730.88</v>
      </c>
      <c r="E9" s="142">
        <f t="shared" si="1"/>
        <v>1730.88</v>
      </c>
      <c r="F9" s="143">
        <f t="shared" si="2"/>
        <v>1730.88</v>
      </c>
      <c r="G9" s="143">
        <v>30000</v>
      </c>
      <c r="H9" s="144">
        <f t="shared" si="3"/>
        <v>28269.119999999999</v>
      </c>
      <c r="I9" s="108">
        <f t="shared" si="0"/>
        <v>5.7696000000000004E-2</v>
      </c>
    </row>
    <row r="10" spans="1:9" s="103" customFormat="1" ht="25.5" customHeight="1">
      <c r="A10" s="138" t="s">
        <v>156</v>
      </c>
      <c r="B10" s="139"/>
      <c r="C10" s="140"/>
      <c r="D10" s="141">
        <f>+'Salaries &amp; Fringe Allocations'!F37</f>
        <v>1211.28</v>
      </c>
      <c r="E10" s="142">
        <f t="shared" si="1"/>
        <v>1211.28</v>
      </c>
      <c r="F10" s="143">
        <f t="shared" si="2"/>
        <v>1211.28</v>
      </c>
      <c r="G10" s="143">
        <v>21500</v>
      </c>
      <c r="H10" s="144">
        <f t="shared" si="3"/>
        <v>20288.72</v>
      </c>
      <c r="I10" s="108">
        <f t="shared" si="0"/>
        <v>5.6338604651162791E-2</v>
      </c>
    </row>
    <row r="11" spans="1:9" s="103" customFormat="1" ht="25.5" customHeight="1">
      <c r="A11" s="138" t="s">
        <v>148</v>
      </c>
      <c r="B11" s="139">
        <f>+'Salaries &amp; Fringe Allocations'!F38</f>
        <v>989.02</v>
      </c>
      <c r="C11" s="140"/>
      <c r="D11" s="141">
        <f>+'Salaries &amp; Fringe Allocations'!F39</f>
        <v>1318.69</v>
      </c>
      <c r="E11" s="142">
        <f t="shared" si="1"/>
        <v>2307.71</v>
      </c>
      <c r="F11" s="143">
        <f t="shared" si="2"/>
        <v>2307.71</v>
      </c>
      <c r="G11" s="143">
        <v>36000</v>
      </c>
      <c r="H11" s="144">
        <f t="shared" si="3"/>
        <v>33692.29</v>
      </c>
      <c r="I11" s="108">
        <f t="shared" si="0"/>
        <v>6.4103055555555552E-2</v>
      </c>
    </row>
    <row r="12" spans="1:9" s="103" customFormat="1" ht="25.5" customHeight="1">
      <c r="A12" s="138" t="s">
        <v>149</v>
      </c>
      <c r="B12" s="139"/>
      <c r="C12" s="140"/>
      <c r="D12" s="141"/>
      <c r="E12" s="142">
        <f t="shared" si="1"/>
        <v>0</v>
      </c>
      <c r="F12" s="143">
        <f t="shared" si="2"/>
        <v>0</v>
      </c>
      <c r="G12" s="143">
        <v>4000</v>
      </c>
      <c r="H12" s="144">
        <f t="shared" si="3"/>
        <v>4000</v>
      </c>
      <c r="I12" s="108">
        <f t="shared" si="0"/>
        <v>0</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3488.74</v>
      </c>
      <c r="C16" s="147">
        <f>SUM(C6:C15)</f>
        <v>0</v>
      </c>
      <c r="D16" s="147">
        <f t="shared" ref="D16" si="4">SUM(D6:D15)</f>
        <v>7226.52</v>
      </c>
      <c r="E16" s="147">
        <f>SUM(E6:E15)</f>
        <v>10715.259999999998</v>
      </c>
      <c r="F16" s="148">
        <f>SUM(F6:F15)</f>
        <v>10715.259999999998</v>
      </c>
      <c r="G16" s="148">
        <f>SUM(G6:G15)</f>
        <v>213900</v>
      </c>
      <c r="H16" s="148">
        <f>SUM(H6:H15)</f>
        <v>203184.74000000002</v>
      </c>
      <c r="I16" s="108">
        <f t="shared" si="0"/>
        <v>5.0094717157550248E-2</v>
      </c>
    </row>
    <row r="17" spans="1:9" s="103" customFormat="1" ht="15.5">
      <c r="A17" s="150"/>
      <c r="B17" s="151"/>
      <c r="C17" s="152"/>
      <c r="D17" s="152"/>
      <c r="E17" s="153"/>
      <c r="F17" s="70"/>
      <c r="G17" s="70"/>
      <c r="H17" s="70"/>
      <c r="I17" s="109"/>
    </row>
    <row r="18" spans="1:9" s="103" customFormat="1" ht="15.5">
      <c r="A18" s="117" t="s">
        <v>34</v>
      </c>
      <c r="B18" s="154">
        <f>+'Salaries &amp; Fringe Allocations'!Q32+'Salaries &amp; Fringe Allocations'!Q33+'Salaries &amp; Fringe Allocations'!Q38+'Salaries &amp; Fringe Allocations'!Q40</f>
        <v>1578.9289400299867</v>
      </c>
      <c r="C18" s="155"/>
      <c r="D18" s="155">
        <f>+'Salaries &amp; Fringe Allocations'!Q34+'Salaries &amp; Fringe Allocations'!Q35+'Salaries &amp; Fringe Allocations'!Q36+'Salaries &amp; Fringe Allocations'!Q37+'Salaries &amp; Fringe Allocations'!Q39</f>
        <v>3171.3150599700134</v>
      </c>
      <c r="E18" s="156">
        <f>SUM(B18:D18)</f>
        <v>4750.2440000000006</v>
      </c>
      <c r="F18" s="71">
        <f>E18</f>
        <v>4750.2440000000006</v>
      </c>
      <c r="G18" s="71">
        <v>68136</v>
      </c>
      <c r="H18" s="72">
        <f>G18-F18</f>
        <v>63385.756000000001</v>
      </c>
      <c r="I18" s="108">
        <f t="shared" si="0"/>
        <v>6.9717095221322065E-2</v>
      </c>
    </row>
    <row r="19" spans="1:9" s="103" customFormat="1" ht="15.5">
      <c r="A19" s="150"/>
      <c r="B19" s="151"/>
      <c r="C19" s="152"/>
      <c r="D19" s="152"/>
      <c r="E19" s="153"/>
      <c r="F19" s="70"/>
      <c r="G19" s="70"/>
      <c r="H19" s="70"/>
      <c r="I19" s="109"/>
    </row>
    <row r="20" spans="1:9" s="103" customFormat="1" ht="16" thickBot="1">
      <c r="A20" s="117" t="s">
        <v>6</v>
      </c>
      <c r="B20" s="157">
        <f t="shared" ref="B20:F20" si="5">B16+B18</f>
        <v>5067.6689400299865</v>
      </c>
      <c r="C20" s="158">
        <f t="shared" si="5"/>
        <v>0</v>
      </c>
      <c r="D20" s="158">
        <f t="shared" si="5"/>
        <v>10397.835059970013</v>
      </c>
      <c r="E20" s="159">
        <f t="shared" si="5"/>
        <v>15465.503999999999</v>
      </c>
      <c r="F20" s="198">
        <f t="shared" si="5"/>
        <v>15465.503999999999</v>
      </c>
      <c r="G20" s="73">
        <f>G16+G18</f>
        <v>282036</v>
      </c>
      <c r="H20" s="73">
        <f>H16+H18</f>
        <v>266570.49600000004</v>
      </c>
      <c r="I20" s="110">
        <f t="shared" si="0"/>
        <v>5.4835212526060502E-2</v>
      </c>
    </row>
    <row r="21" spans="1:9" s="103" customFormat="1" ht="16" thickTop="1">
      <c r="A21" s="117"/>
      <c r="B21" s="151"/>
      <c r="C21" s="152"/>
      <c r="D21" s="152"/>
      <c r="E21" s="160"/>
      <c r="F21" s="74"/>
      <c r="G21" s="74"/>
      <c r="H21" s="74"/>
      <c r="I21" s="109"/>
    </row>
    <row r="22" spans="1:9" s="103" customFormat="1" ht="15.5">
      <c r="A22" s="295" t="s">
        <v>22</v>
      </c>
      <c r="B22" s="151"/>
      <c r="C22" s="152"/>
      <c r="D22" s="152"/>
      <c r="E22" s="160"/>
      <c r="F22" s="74"/>
      <c r="G22" s="74"/>
      <c r="H22" s="74"/>
      <c r="I22" s="109"/>
    </row>
    <row r="23" spans="1:9" s="103" customFormat="1" ht="24" customHeight="1">
      <c r="A23" s="161" t="s">
        <v>169</v>
      </c>
      <c r="B23" s="139"/>
      <c r="C23" s="140"/>
      <c r="D23" s="141">
        <f>+'Jul-2019 GL'!G72</f>
        <v>268.02</v>
      </c>
      <c r="E23" s="142">
        <f>SUM(B23:D23)</f>
        <v>268.02</v>
      </c>
      <c r="F23" s="143">
        <f>E23</f>
        <v>268.02</v>
      </c>
      <c r="G23" s="143">
        <v>4000</v>
      </c>
      <c r="H23" s="144">
        <f>G23-F23</f>
        <v>3731.98</v>
      </c>
      <c r="I23" s="108">
        <f t="shared" ref="I23:I37" si="6">F23/G23</f>
        <v>6.7004999999999995E-2</v>
      </c>
    </row>
    <row r="24" spans="1:9" s="103" customFormat="1" ht="24" customHeight="1">
      <c r="A24" s="161" t="s">
        <v>0</v>
      </c>
      <c r="B24" s="139">
        <f>+'Jul-2019 GL'!G76</f>
        <v>55.59</v>
      </c>
      <c r="C24" s="140"/>
      <c r="D24" s="141"/>
      <c r="E24" s="142">
        <f t="shared" ref="E24:E33" si="7">SUM(B24:D24)</f>
        <v>55.59</v>
      </c>
      <c r="F24" s="143">
        <f t="shared" ref="F24:F32" si="8">E24</f>
        <v>55.59</v>
      </c>
      <c r="G24" s="143">
        <v>7000</v>
      </c>
      <c r="H24" s="144">
        <f t="shared" ref="H24:H31" si="9">G24-F24</f>
        <v>6944.41</v>
      </c>
      <c r="I24" s="108">
        <f t="shared" si="6"/>
        <v>7.9414285714285715E-3</v>
      </c>
    </row>
    <row r="25" spans="1:9" s="103" customFormat="1" ht="24" customHeight="1">
      <c r="A25" s="161" t="s">
        <v>39</v>
      </c>
      <c r="B25" s="139"/>
      <c r="C25" s="140"/>
      <c r="D25" s="141"/>
      <c r="E25" s="142">
        <f t="shared" si="7"/>
        <v>0</v>
      </c>
      <c r="F25" s="143">
        <f t="shared" si="8"/>
        <v>0</v>
      </c>
      <c r="G25" s="143">
        <v>2000</v>
      </c>
      <c r="H25" s="144">
        <f t="shared" si="9"/>
        <v>2000</v>
      </c>
      <c r="I25" s="108">
        <f t="shared" si="6"/>
        <v>0</v>
      </c>
    </row>
    <row r="26" spans="1:9" s="103" customFormat="1" ht="24" customHeight="1">
      <c r="A26" s="161" t="s">
        <v>40</v>
      </c>
      <c r="B26" s="139">
        <f>+'Jul-2019 GL'!G81</f>
        <v>361.69</v>
      </c>
      <c r="C26" s="140"/>
      <c r="D26" s="141"/>
      <c r="E26" s="142">
        <f t="shared" si="7"/>
        <v>361.69</v>
      </c>
      <c r="F26" s="143">
        <f t="shared" si="8"/>
        <v>361.69</v>
      </c>
      <c r="G26" s="143">
        <v>13200</v>
      </c>
      <c r="H26" s="144">
        <f t="shared" si="9"/>
        <v>12838.31</v>
      </c>
      <c r="I26" s="108">
        <f t="shared" si="6"/>
        <v>2.7400757575757575E-2</v>
      </c>
    </row>
    <row r="27" spans="1:9" s="103" customFormat="1" ht="24" customHeight="1">
      <c r="A27" s="161" t="s">
        <v>41</v>
      </c>
      <c r="B27" s="139">
        <f>+'Jul-2019 GL'!G94</f>
        <v>332.27</v>
      </c>
      <c r="C27" s="140"/>
      <c r="D27" s="141">
        <f>+'Jul-2019 GL'!G86</f>
        <v>648</v>
      </c>
      <c r="E27" s="142">
        <f t="shared" si="7"/>
        <v>980.27</v>
      </c>
      <c r="F27" s="143">
        <f t="shared" si="8"/>
        <v>980.27</v>
      </c>
      <c r="G27" s="143">
        <v>12000</v>
      </c>
      <c r="H27" s="144">
        <f t="shared" si="9"/>
        <v>11019.73</v>
      </c>
      <c r="I27" s="108">
        <f t="shared" si="6"/>
        <v>8.168916666666666E-2</v>
      </c>
    </row>
    <row r="28" spans="1:9" s="103" customFormat="1" ht="24" customHeight="1">
      <c r="A28" s="161" t="s">
        <v>42</v>
      </c>
      <c r="B28" s="139">
        <f>+'Jul-2019 GL'!G101</f>
        <v>1130.29</v>
      </c>
      <c r="C28" s="9"/>
      <c r="D28" s="9"/>
      <c r="E28" s="142">
        <f>SUM(B28:D28)</f>
        <v>1130.29</v>
      </c>
      <c r="F28" s="143">
        <f t="shared" si="8"/>
        <v>1130.29</v>
      </c>
      <c r="G28" s="143">
        <v>6000</v>
      </c>
      <c r="H28" s="144">
        <f t="shared" si="9"/>
        <v>4869.71</v>
      </c>
      <c r="I28" s="108">
        <f t="shared" si="6"/>
        <v>0.18838166666666667</v>
      </c>
    </row>
    <row r="29" spans="1:9" s="103" customFormat="1" ht="24" customHeight="1">
      <c r="A29" s="161" t="s">
        <v>37</v>
      </c>
      <c r="B29" s="139"/>
      <c r="C29" s="140"/>
      <c r="D29" s="141"/>
      <c r="E29" s="142">
        <f t="shared" si="7"/>
        <v>0</v>
      </c>
      <c r="F29" s="143">
        <f t="shared" si="8"/>
        <v>0</v>
      </c>
      <c r="G29" s="143">
        <v>570</v>
      </c>
      <c r="H29" s="144">
        <f t="shared" si="9"/>
        <v>570</v>
      </c>
      <c r="I29" s="108">
        <f t="shared" si="6"/>
        <v>0</v>
      </c>
    </row>
    <row r="30" spans="1:9" s="103" customFormat="1" ht="24" customHeight="1">
      <c r="A30" s="162" t="s">
        <v>43</v>
      </c>
      <c r="B30" s="139">
        <f>+'Jul-2019 GL'!G106</f>
        <v>200.95</v>
      </c>
      <c r="C30" s="140"/>
      <c r="D30" s="141"/>
      <c r="E30" s="142">
        <f t="shared" si="7"/>
        <v>200.95</v>
      </c>
      <c r="F30" s="143">
        <f t="shared" si="8"/>
        <v>200.95</v>
      </c>
      <c r="G30" s="143">
        <v>6475</v>
      </c>
      <c r="H30" s="144">
        <f t="shared" si="9"/>
        <v>6274.05</v>
      </c>
      <c r="I30" s="108">
        <f t="shared" si="6"/>
        <v>3.1034749034749034E-2</v>
      </c>
    </row>
    <row r="31" spans="1:9" s="103" customFormat="1" ht="24" customHeight="1">
      <c r="A31" s="162" t="s">
        <v>76</v>
      </c>
      <c r="B31" s="139">
        <f>+'Jul-2019 GL'!G25</f>
        <v>872.26</v>
      </c>
      <c r="C31" s="140"/>
      <c r="D31" s="141"/>
      <c r="E31" s="142">
        <f t="shared" si="7"/>
        <v>872.26</v>
      </c>
      <c r="F31" s="143">
        <f t="shared" si="8"/>
        <v>872.26</v>
      </c>
      <c r="G31" s="143">
        <v>13000</v>
      </c>
      <c r="H31" s="144">
        <f t="shared" si="9"/>
        <v>12127.74</v>
      </c>
      <c r="I31" s="108">
        <f t="shared" si="6"/>
        <v>6.7096923076923082E-2</v>
      </c>
    </row>
    <row r="32" spans="1:9" s="103" customFormat="1" ht="24" customHeight="1">
      <c r="A32" s="162" t="s">
        <v>81</v>
      </c>
      <c r="B32" s="139"/>
      <c r="C32" s="140"/>
      <c r="D32" s="141"/>
      <c r="E32" s="142">
        <f t="shared" si="7"/>
        <v>0</v>
      </c>
      <c r="F32" s="143">
        <f t="shared" si="8"/>
        <v>0</v>
      </c>
      <c r="G32" s="143">
        <v>1500</v>
      </c>
      <c r="H32" s="144">
        <f>G32-F32</f>
        <v>1500</v>
      </c>
      <c r="I32" s="108">
        <f t="shared" si="6"/>
        <v>0</v>
      </c>
    </row>
    <row r="33" spans="1:9" s="103" customFormat="1" ht="24" customHeight="1">
      <c r="A33" s="162" t="s">
        <v>45</v>
      </c>
      <c r="B33" s="139">
        <f>+'Jul-2019 GL'!G115</f>
        <v>267.88</v>
      </c>
      <c r="C33" s="140"/>
      <c r="D33" s="141"/>
      <c r="E33" s="142">
        <f t="shared" si="7"/>
        <v>267.88</v>
      </c>
      <c r="F33" s="143">
        <f t="shared" ref="F33:F35" si="10">E33</f>
        <v>267.88</v>
      </c>
      <c r="G33" s="143">
        <v>3000.7</v>
      </c>
      <c r="H33" s="144">
        <f>G33-F33</f>
        <v>2732.8199999999997</v>
      </c>
      <c r="I33" s="108">
        <f t="shared" si="6"/>
        <v>8.9272503082614058E-2</v>
      </c>
    </row>
    <row r="34" spans="1:9" s="103" customFormat="1" ht="24" customHeight="1">
      <c r="A34" s="162" t="s">
        <v>77</v>
      </c>
      <c r="B34" s="139">
        <f>+'Jul-2019 GL'!G129</f>
        <v>182.85</v>
      </c>
      <c r="C34" s="140"/>
      <c r="D34" s="141"/>
      <c r="E34" s="142">
        <f t="shared" ref="E34:E35" si="11">SUM(B34:D34)</f>
        <v>182.85</v>
      </c>
      <c r="F34" s="143">
        <f t="shared" si="10"/>
        <v>182.85</v>
      </c>
      <c r="G34" s="143">
        <v>3000</v>
      </c>
      <c r="H34" s="144">
        <f t="shared" ref="H34:H35" si="12">G34-F34</f>
        <v>2817.15</v>
      </c>
      <c r="I34" s="108">
        <f t="shared" si="6"/>
        <v>6.0949999999999997E-2</v>
      </c>
    </row>
    <row r="35" spans="1:9" s="103" customFormat="1" ht="24" customHeight="1">
      <c r="A35" s="162" t="s">
        <v>150</v>
      </c>
      <c r="B35" s="139">
        <f>+'Jul-2019 GL'!G134</f>
        <v>320.72000000000003</v>
      </c>
      <c r="C35" s="140"/>
      <c r="D35" s="141"/>
      <c r="E35" s="142">
        <f t="shared" si="11"/>
        <v>320.72000000000003</v>
      </c>
      <c r="F35" s="143">
        <f t="shared" si="10"/>
        <v>320.72000000000003</v>
      </c>
      <c r="G35" s="143">
        <v>4000</v>
      </c>
      <c r="H35" s="144">
        <f t="shared" si="12"/>
        <v>3679.2799999999997</v>
      </c>
      <c r="I35" s="108">
        <f t="shared" si="6"/>
        <v>8.0180000000000001E-2</v>
      </c>
    </row>
    <row r="36" spans="1:9" s="103" customFormat="1" ht="24" customHeight="1">
      <c r="A36" s="162" t="s">
        <v>151</v>
      </c>
      <c r="B36" s="151"/>
      <c r="C36" s="152"/>
      <c r="D36" s="163"/>
      <c r="E36" s="142">
        <f t="shared" ref="E36" si="13">SUM(B36:D36)</f>
        <v>0</v>
      </c>
      <c r="F36" s="143">
        <f t="shared" ref="F36" si="14">E36</f>
        <v>0</v>
      </c>
      <c r="G36" s="164">
        <v>1000</v>
      </c>
      <c r="H36" s="144">
        <f t="shared" ref="H36" si="15">G36-F36</f>
        <v>1000</v>
      </c>
      <c r="I36" s="108">
        <f t="shared" ref="I36" si="16">F36/G36</f>
        <v>0</v>
      </c>
    </row>
    <row r="37" spans="1:9" s="168" customFormat="1" ht="24.75" customHeight="1" thickBot="1">
      <c r="A37" s="117" t="s">
        <v>21</v>
      </c>
      <c r="B37" s="165">
        <f>SUM(B23:B36)</f>
        <v>3724.5</v>
      </c>
      <c r="C37" s="166">
        <f t="shared" ref="C37:E37" si="17">SUM(C23:C36)</f>
        <v>0</v>
      </c>
      <c r="D37" s="166">
        <f t="shared" si="17"/>
        <v>916.02</v>
      </c>
      <c r="E37" s="166">
        <f t="shared" si="17"/>
        <v>4640.5200000000004</v>
      </c>
      <c r="F37" s="167">
        <f>SUM(F23:F36)</f>
        <v>4640.5200000000004</v>
      </c>
      <c r="G37" s="167">
        <f>SUM(G23:G36)</f>
        <v>76745.7</v>
      </c>
      <c r="H37" s="167">
        <f>SUM(H23:H36)</f>
        <v>72105.179999999993</v>
      </c>
      <c r="I37" s="110">
        <f t="shared" si="6"/>
        <v>6.0466188985180934E-2</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+'Jul-2019 GL'!G10</f>
        <v>58923.44</v>
      </c>
      <c r="D41" s="170"/>
      <c r="E41" s="171">
        <f>SUM(B41:D41)</f>
        <v>58923.44</v>
      </c>
      <c r="F41" s="144">
        <f>E41</f>
        <v>58923.44</v>
      </c>
      <c r="G41" s="144">
        <v>1452829.24</v>
      </c>
      <c r="H41" s="144">
        <f>G41-F41-F42</f>
        <v>1393905.8</v>
      </c>
      <c r="I41" s="108">
        <f t="shared" ref="I41:I56" si="18">F41/G41</f>
        <v>4.0557718951196219E-2</v>
      </c>
    </row>
    <row r="42" spans="1:9" s="168" customFormat="1" ht="21.75" customHeight="1">
      <c r="A42" s="138" t="s">
        <v>83</v>
      </c>
      <c r="B42" s="139"/>
      <c r="C42" s="170">
        <v>0</v>
      </c>
      <c r="D42" s="170"/>
      <c r="E42" s="171">
        <f>SUM(B42:D42)</f>
        <v>0</v>
      </c>
      <c r="F42" s="144">
        <f>E42</f>
        <v>0</v>
      </c>
      <c r="G42" s="144"/>
      <c r="H42" s="144"/>
      <c r="I42" s="108" t="e">
        <f t="shared" si="18"/>
        <v>#DIV/0!</v>
      </c>
    </row>
    <row r="43" spans="1:9" s="168" customFormat="1" ht="21.75" customHeight="1">
      <c r="A43" s="138" t="s">
        <v>80</v>
      </c>
      <c r="B43" s="139"/>
      <c r="C43" s="140">
        <v>0</v>
      </c>
      <c r="D43" s="140"/>
      <c r="E43" s="172">
        <f>SUM(B43:D43)</f>
        <v>0</v>
      </c>
      <c r="F43" s="144">
        <f>E43</f>
        <v>0</v>
      </c>
      <c r="G43" s="144">
        <v>12820</v>
      </c>
      <c r="H43" s="144">
        <f>G43-F43</f>
        <v>12820</v>
      </c>
      <c r="I43" s="108">
        <f>F43/G43</f>
        <v>0</v>
      </c>
    </row>
    <row r="44" spans="1:9" s="168" customFormat="1" ht="21.75" customHeight="1">
      <c r="A44" s="138" t="s">
        <v>78</v>
      </c>
      <c r="B44" s="139"/>
      <c r="C44" s="170">
        <f>+'Jul-2019 GL'!G18</f>
        <v>4535.75</v>
      </c>
      <c r="D44" s="170"/>
      <c r="E44" s="171">
        <f t="shared" ref="E44:E47" si="19">SUM(B44:D44)</f>
        <v>4535.75</v>
      </c>
      <c r="F44" s="144">
        <f t="shared" ref="F44:F47" si="20">E44</f>
        <v>4535.75</v>
      </c>
      <c r="G44" s="144">
        <v>111141.44</v>
      </c>
      <c r="H44" s="144">
        <f t="shared" ref="H44:H47" si="21">G44-F44</f>
        <v>106605.69</v>
      </c>
      <c r="I44" s="108">
        <f t="shared" si="18"/>
        <v>4.0810610335802737E-2</v>
      </c>
    </row>
    <row r="45" spans="1:9" s="168" customFormat="1" ht="21.75" customHeight="1">
      <c r="A45" s="138" t="s">
        <v>29</v>
      </c>
      <c r="B45" s="139"/>
      <c r="C45" s="170">
        <f>+'Jul-2019 GL'!G20</f>
        <v>2049.1999999999998</v>
      </c>
      <c r="D45" s="170"/>
      <c r="E45" s="171">
        <f t="shared" si="19"/>
        <v>2049.1999999999998</v>
      </c>
      <c r="F45" s="144">
        <f>E45</f>
        <v>2049.1999999999998</v>
      </c>
      <c r="G45" s="144">
        <v>22373.57</v>
      </c>
      <c r="H45" s="144">
        <f t="shared" si="21"/>
        <v>20324.37</v>
      </c>
      <c r="I45" s="108">
        <f t="shared" si="18"/>
        <v>9.1590211128577154E-2</v>
      </c>
    </row>
    <row r="46" spans="1:9" s="168" customFormat="1" ht="21.75" customHeight="1">
      <c r="A46" s="138" t="s">
        <v>79</v>
      </c>
      <c r="B46" s="139"/>
      <c r="C46" s="140">
        <v>0</v>
      </c>
      <c r="D46" s="140"/>
      <c r="E46" s="172">
        <f t="shared" si="19"/>
        <v>0</v>
      </c>
      <c r="F46" s="144">
        <f>E46</f>
        <v>0</v>
      </c>
      <c r="G46" s="144">
        <v>8500</v>
      </c>
      <c r="H46" s="144">
        <f t="shared" si="21"/>
        <v>8500</v>
      </c>
      <c r="I46" s="108">
        <f t="shared" si="18"/>
        <v>0</v>
      </c>
    </row>
    <row r="47" spans="1:9" s="168" customFormat="1" ht="21.75" customHeight="1">
      <c r="A47" s="138" t="s">
        <v>168</v>
      </c>
      <c r="B47" s="151"/>
      <c r="C47" s="152">
        <v>0</v>
      </c>
      <c r="D47" s="152"/>
      <c r="E47" s="172">
        <f t="shared" si="19"/>
        <v>0</v>
      </c>
      <c r="F47" s="144">
        <f t="shared" si="20"/>
        <v>0</v>
      </c>
      <c r="G47" s="74">
        <v>29630</v>
      </c>
      <c r="H47" s="144">
        <f t="shared" si="21"/>
        <v>29630</v>
      </c>
      <c r="I47" s="108">
        <f t="shared" si="18"/>
        <v>0</v>
      </c>
    </row>
    <row r="48" spans="1:9" s="168" customFormat="1" ht="21.75" customHeight="1" thickBot="1">
      <c r="A48" s="117" t="s">
        <v>30</v>
      </c>
      <c r="B48" s="165">
        <f>SUM(B41:B47)</f>
        <v>0</v>
      </c>
      <c r="C48" s="166">
        <f t="shared" ref="C48:H48" si="22">SUM(C41:C47)</f>
        <v>65508.39</v>
      </c>
      <c r="D48" s="166">
        <f t="shared" si="22"/>
        <v>0</v>
      </c>
      <c r="E48" s="166">
        <f t="shared" si="22"/>
        <v>65508.39</v>
      </c>
      <c r="F48" s="75">
        <f t="shared" si="22"/>
        <v>65508.39</v>
      </c>
      <c r="G48" s="75">
        <f t="shared" si="22"/>
        <v>1637294.25</v>
      </c>
      <c r="H48" s="75">
        <f t="shared" si="22"/>
        <v>1571785.86</v>
      </c>
      <c r="I48" s="110">
        <f t="shared" si="18"/>
        <v>4.0010150893768789E-2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4">
        <f>E50</f>
        <v>0</v>
      </c>
      <c r="G50" s="76">
        <v>17532.59</v>
      </c>
      <c r="H50" s="144">
        <f>G50-F50</f>
        <v>17532.59</v>
      </c>
      <c r="I50" s="108">
        <f t="shared" si="18"/>
        <v>0</v>
      </c>
    </row>
    <row r="51" spans="1:9" s="175" customFormat="1" ht="15.5">
      <c r="A51" s="117"/>
      <c r="B51" s="173"/>
      <c r="C51" s="174"/>
      <c r="D51" s="174"/>
      <c r="E51" s="174"/>
      <c r="F51" s="69"/>
      <c r="G51" s="69"/>
      <c r="H51" s="69"/>
      <c r="I51" s="109"/>
    </row>
    <row r="52" spans="1:9" s="103" customFormat="1" ht="16" thickBot="1">
      <c r="A52" s="117" t="s">
        <v>31</v>
      </c>
      <c r="B52" s="157">
        <f>B20+B37+B48+B50</f>
        <v>8792.1689400299874</v>
      </c>
      <c r="C52" s="158">
        <f>C20+C37+C48</f>
        <v>65508.39</v>
      </c>
      <c r="D52" s="158">
        <f>D20+D37+D48</f>
        <v>11313.855059970014</v>
      </c>
      <c r="E52" s="158">
        <f>E37+E20+E48+E50</f>
        <v>85614.41399999999</v>
      </c>
      <c r="F52" s="77">
        <f>F37+F20+F48+F50</f>
        <v>85614.41399999999</v>
      </c>
      <c r="G52" s="77">
        <f>G37+G20+G48+G50</f>
        <v>2013608.54</v>
      </c>
      <c r="H52" s="77">
        <f>H37+H20+H48+H50</f>
        <v>1927994.1260000002</v>
      </c>
      <c r="I52" s="110">
        <f t="shared" si="18"/>
        <v>4.2517903703368276E-2</v>
      </c>
    </row>
    <row r="53" spans="1:9" s="103" customFormat="1" ht="16" thickTop="1">
      <c r="A53" s="117"/>
      <c r="B53" s="178"/>
      <c r="C53" s="100"/>
      <c r="D53" s="100"/>
      <c r="E53" s="152"/>
      <c r="F53" s="78"/>
      <c r="G53" s="78"/>
      <c r="H53" s="78"/>
      <c r="I53" s="109"/>
    </row>
    <row r="54" spans="1:9" s="103" customFormat="1" ht="15.5">
      <c r="A54" s="117" t="s">
        <v>32</v>
      </c>
      <c r="B54" s="178"/>
      <c r="C54" s="100"/>
      <c r="D54" s="100"/>
      <c r="E54" s="179">
        <v>7492.14</v>
      </c>
      <c r="F54" s="76">
        <f>E54</f>
        <v>7492.14</v>
      </c>
      <c r="G54" s="76">
        <v>242467.32</v>
      </c>
      <c r="H54" s="180">
        <f>G54-F54</f>
        <v>234975.18</v>
      </c>
      <c r="I54" s="108">
        <f t="shared" si="18"/>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23">B52+B54</f>
        <v>8792.1689400299874</v>
      </c>
      <c r="C56" s="99">
        <f t="shared" si="23"/>
        <v>65508.39</v>
      </c>
      <c r="D56" s="99">
        <f t="shared" si="23"/>
        <v>11313.855059970014</v>
      </c>
      <c r="E56" s="158">
        <f t="shared" si="23"/>
        <v>93106.553999999989</v>
      </c>
      <c r="F56" s="77">
        <f t="shared" si="23"/>
        <v>93106.553999999989</v>
      </c>
      <c r="G56" s="77">
        <f t="shared" si="23"/>
        <v>2256075.86</v>
      </c>
      <c r="H56" s="77">
        <f t="shared" si="23"/>
        <v>2162969.3060000003</v>
      </c>
      <c r="I56" s="110">
        <f t="shared" si="18"/>
        <v>4.1269247923250235E-2</v>
      </c>
    </row>
    <row r="57" spans="1:9" s="103" customFormat="1" ht="15" thickTop="1">
      <c r="A57" s="182"/>
      <c r="B57" s="183"/>
      <c r="C57" s="183"/>
      <c r="D57" s="183"/>
      <c r="E57" s="184"/>
      <c r="F57" s="436" t="s">
        <v>47</v>
      </c>
      <c r="G57" s="79"/>
      <c r="H57" s="185"/>
      <c r="I57" s="109"/>
    </row>
    <row r="58" spans="1:9" s="103" customFormat="1" ht="21.5" thickBot="1">
      <c r="A58" s="117" t="s">
        <v>35</v>
      </c>
      <c r="B58" s="101"/>
      <c r="C58" s="101"/>
      <c r="D58" s="101"/>
      <c r="E58" s="186">
        <f>+E20+E37-E31+E42+E45+E46+E47+E50</f>
        <v>21282.964</v>
      </c>
      <c r="F58" s="80"/>
      <c r="G58" s="80"/>
      <c r="H58" s="80"/>
      <c r="I58" s="109"/>
    </row>
    <row r="59" spans="1:9" s="103" customFormat="1" ht="15.5" thickTop="1" thickBot="1">
      <c r="A59" s="182"/>
      <c r="B59" s="101"/>
      <c r="C59" s="101"/>
      <c r="D59" s="101"/>
      <c r="E59" s="184"/>
      <c r="F59" s="80"/>
      <c r="G59" s="80"/>
      <c r="H59" s="80"/>
      <c r="I59" s="109"/>
    </row>
    <row r="60" spans="1:9" s="103" customFormat="1">
      <c r="A60" s="501" t="s">
        <v>7</v>
      </c>
      <c r="B60" s="502"/>
      <c r="C60" s="502"/>
      <c r="D60" s="502"/>
      <c r="E60" s="503"/>
      <c r="F60" s="81"/>
      <c r="G60" s="82"/>
      <c r="H60" s="82"/>
      <c r="I60" s="109"/>
    </row>
    <row r="61" spans="1:9" s="103" customFormat="1">
      <c r="A61" s="187"/>
      <c r="B61" s="188"/>
      <c r="C61" s="188"/>
      <c r="D61" s="188"/>
      <c r="E61" s="189"/>
      <c r="F61" s="81"/>
      <c r="G61" s="82"/>
      <c r="H61" s="82"/>
      <c r="I61" s="109"/>
    </row>
    <row r="62" spans="1:9" s="103" customFormat="1" ht="21">
      <c r="A62" s="187" t="s">
        <v>8</v>
      </c>
      <c r="B62" s="188"/>
      <c r="C62" s="188"/>
      <c r="D62" s="188"/>
      <c r="E62" s="199">
        <f>E58</f>
        <v>21282.964</v>
      </c>
      <c r="F62" s="83"/>
      <c r="G62" s="82"/>
      <c r="H62" s="82"/>
      <c r="I62" s="109"/>
    </row>
    <row r="63" spans="1:9" s="103" customFormat="1" ht="16" hidden="1">
      <c r="A63" s="187"/>
      <c r="B63" s="188"/>
      <c r="C63" s="188"/>
      <c r="D63" s="188"/>
      <c r="E63" s="190"/>
      <c r="F63" s="83"/>
      <c r="G63" s="82"/>
      <c r="H63" s="82"/>
      <c r="I63" s="109"/>
    </row>
    <row r="64" spans="1:9" s="103" customFormat="1">
      <c r="A64" s="187"/>
      <c r="B64" s="188"/>
      <c r="C64" s="188"/>
      <c r="D64" s="188"/>
      <c r="E64" s="191"/>
      <c r="F64" s="83"/>
      <c r="G64" s="82"/>
      <c r="H64" s="82"/>
      <c r="I64" s="109"/>
    </row>
    <row r="65" spans="1:9" s="103" customFormat="1">
      <c r="A65" s="192" t="s">
        <v>9</v>
      </c>
      <c r="B65" s="188"/>
      <c r="C65" s="188"/>
      <c r="D65" s="188"/>
      <c r="E65" s="21"/>
      <c r="F65" s="83"/>
      <c r="G65" s="82"/>
      <c r="H65" s="82"/>
      <c r="I65" s="109"/>
    </row>
    <row r="66" spans="1:9" s="103" customFormat="1" hidden="1">
      <c r="A66" s="192"/>
      <c r="B66" s="188"/>
      <c r="C66" s="188"/>
      <c r="D66" s="188"/>
      <c r="E66" s="191"/>
      <c r="F66" s="83"/>
      <c r="G66" s="82"/>
      <c r="H66" s="82"/>
      <c r="I66" s="109"/>
    </row>
    <row r="67" spans="1:9" s="103" customFormat="1" ht="16">
      <c r="A67" s="187"/>
      <c r="B67" s="188"/>
      <c r="C67" s="188"/>
      <c r="D67" s="188"/>
      <c r="E67" s="190"/>
      <c r="F67" s="83"/>
      <c r="G67" s="82"/>
      <c r="H67" s="82"/>
      <c r="I67" s="109"/>
    </row>
    <row r="68" spans="1:9" s="103" customFormat="1" ht="16">
      <c r="A68" s="192" t="s">
        <v>23</v>
      </c>
      <c r="B68" s="188"/>
      <c r="C68" s="188"/>
      <c r="D68" s="188"/>
      <c r="E68" s="193"/>
      <c r="F68" s="83"/>
      <c r="G68" s="82"/>
      <c r="H68" s="82"/>
      <c r="I68" s="109"/>
    </row>
    <row r="69" spans="1:9" s="103" customFormat="1" ht="16" hidden="1">
      <c r="A69" s="192"/>
      <c r="B69" s="188"/>
      <c r="C69" s="188"/>
      <c r="D69" s="188"/>
      <c r="E69" s="190"/>
      <c r="F69" s="83"/>
      <c r="G69" s="82"/>
      <c r="H69" s="82"/>
      <c r="I69" s="109"/>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73</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74</v>
      </c>
      <c r="B82" s="7" t="s">
        <v>153</v>
      </c>
      <c r="C82" s="7"/>
      <c r="D82" s="7"/>
      <c r="E82" s="7"/>
      <c r="F82" s="86" t="s">
        <v>75</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
  <sheetViews>
    <sheetView workbookViewId="0">
      <pane ySplit="5" topLeftCell="A81" activePane="bottomLeft" state="frozen"/>
      <selection pane="bottomLeft" activeCell="D113" sqref="D113"/>
    </sheetView>
  </sheetViews>
  <sheetFormatPr defaultColWidth="9.1796875" defaultRowHeight="14.5"/>
  <cols>
    <col min="1" max="1" width="1.453125" style="201" customWidth="1"/>
    <col min="2" max="3" width="12" style="201" customWidth="1"/>
    <col min="4" max="4" width="12.81640625" style="201" customWidth="1"/>
    <col min="5" max="5" width="26.54296875" style="201" customWidth="1"/>
    <col min="6" max="6" width="67" style="201" customWidth="1"/>
    <col min="7" max="7" width="12" style="278" customWidth="1"/>
    <col min="8" max="16384" width="9.1796875" style="201"/>
  </cols>
  <sheetData>
    <row r="1" spans="1:8" ht="18">
      <c r="A1" s="506" t="s">
        <v>277</v>
      </c>
      <c r="B1" s="506"/>
      <c r="C1" s="506"/>
      <c r="D1" s="506"/>
      <c r="E1" s="506"/>
      <c r="F1" s="506"/>
      <c r="G1" s="506"/>
      <c r="H1" s="506"/>
    </row>
    <row r="2" spans="1:8" ht="18">
      <c r="A2" s="506" t="s">
        <v>276</v>
      </c>
      <c r="B2" s="506"/>
      <c r="C2" s="506"/>
      <c r="D2" s="506"/>
      <c r="E2" s="506"/>
      <c r="F2" s="506"/>
      <c r="G2" s="506"/>
      <c r="H2" s="506"/>
    </row>
    <row r="3" spans="1:8">
      <c r="A3" s="507" t="s">
        <v>275</v>
      </c>
      <c r="B3" s="507"/>
      <c r="C3" s="507"/>
      <c r="D3" s="507"/>
      <c r="E3" s="507"/>
      <c r="F3" s="507"/>
      <c r="G3" s="507"/>
      <c r="H3" s="507"/>
    </row>
    <row r="5" spans="1:8" s="204" customFormat="1" ht="28.5" customHeight="1">
      <c r="A5" s="202"/>
      <c r="B5" s="203" t="s">
        <v>153</v>
      </c>
      <c r="C5" s="203" t="s">
        <v>279</v>
      </c>
      <c r="D5" s="203" t="s">
        <v>274</v>
      </c>
      <c r="E5" s="203" t="s">
        <v>273</v>
      </c>
      <c r="F5" s="203" t="s">
        <v>272</v>
      </c>
      <c r="G5" s="277" t="s">
        <v>271</v>
      </c>
      <c r="H5" s="203" t="s">
        <v>278</v>
      </c>
    </row>
    <row r="6" spans="1:8">
      <c r="A6" s="205" t="s">
        <v>270</v>
      </c>
    </row>
    <row r="7" spans="1:8">
      <c r="A7" s="205" t="s">
        <v>269</v>
      </c>
    </row>
    <row r="8" spans="1:8">
      <c r="B8" s="206" t="s">
        <v>259</v>
      </c>
      <c r="C8" s="206" t="s">
        <v>186</v>
      </c>
      <c r="D8" s="206" t="s">
        <v>258</v>
      </c>
      <c r="E8" s="206"/>
      <c r="F8" s="206" t="s">
        <v>257</v>
      </c>
      <c r="G8" s="279">
        <v>13768.8</v>
      </c>
      <c r="H8" s="206"/>
    </row>
    <row r="9" spans="1:8">
      <c r="B9" s="206" t="s">
        <v>256</v>
      </c>
      <c r="C9" s="206" t="s">
        <v>186</v>
      </c>
      <c r="D9" s="206" t="s">
        <v>255</v>
      </c>
      <c r="E9" s="206"/>
      <c r="F9" s="206" t="s">
        <v>254</v>
      </c>
      <c r="G9" s="279">
        <v>45154.64</v>
      </c>
      <c r="H9" s="206"/>
    </row>
    <row r="10" spans="1:8">
      <c r="A10" s="205" t="s">
        <v>268</v>
      </c>
      <c r="G10" s="280">
        <f>SUM(G8:G9)</f>
        <v>58923.44</v>
      </c>
    </row>
    <row r="11" spans="1:8">
      <c r="A11" s="205" t="s">
        <v>267</v>
      </c>
    </row>
    <row r="12" spans="1:8">
      <c r="B12" s="206" t="s">
        <v>256</v>
      </c>
      <c r="C12" s="206" t="s">
        <v>186</v>
      </c>
      <c r="D12" s="206" t="s">
        <v>255</v>
      </c>
      <c r="E12" s="206"/>
      <c r="F12" s="210" t="s">
        <v>351</v>
      </c>
      <c r="G12" s="279">
        <v>284.81</v>
      </c>
      <c r="H12" s="206"/>
    </row>
    <row r="13" spans="1:8">
      <c r="B13" s="206" t="s">
        <v>266</v>
      </c>
      <c r="C13" s="206" t="s">
        <v>265</v>
      </c>
      <c r="D13" s="206"/>
      <c r="E13" s="206" t="s">
        <v>264</v>
      </c>
      <c r="F13" s="210" t="s">
        <v>352</v>
      </c>
      <c r="G13" s="279">
        <v>-38.76</v>
      </c>
      <c r="H13" s="206"/>
    </row>
    <row r="14" spans="1:8">
      <c r="A14" s="205" t="s">
        <v>263</v>
      </c>
      <c r="G14" s="281">
        <f>SUM(G12:G13)</f>
        <v>246.05</v>
      </c>
    </row>
    <row r="15" spans="1:8">
      <c r="A15" s="205" t="s">
        <v>262</v>
      </c>
    </row>
    <row r="16" spans="1:8">
      <c r="B16" s="206" t="s">
        <v>259</v>
      </c>
      <c r="C16" s="206" t="s">
        <v>186</v>
      </c>
      <c r="D16" s="206" t="s">
        <v>258</v>
      </c>
      <c r="E16" s="206"/>
      <c r="F16" s="206" t="s">
        <v>257</v>
      </c>
      <c r="G16" s="279">
        <v>1052.81</v>
      </c>
      <c r="H16" s="206"/>
    </row>
    <row r="17" spans="1:9">
      <c r="B17" s="206" t="s">
        <v>256</v>
      </c>
      <c r="C17" s="206" t="s">
        <v>186</v>
      </c>
      <c r="D17" s="206" t="s">
        <v>255</v>
      </c>
      <c r="E17" s="206"/>
      <c r="F17" s="206" t="s">
        <v>254</v>
      </c>
      <c r="G17" s="279">
        <v>3482.94</v>
      </c>
      <c r="H17" s="206"/>
    </row>
    <row r="18" spans="1:9">
      <c r="A18" s="205" t="s">
        <v>261</v>
      </c>
      <c r="G18" s="280">
        <f>SUM(G16:G17)</f>
        <v>4535.75</v>
      </c>
    </row>
    <row r="19" spans="1:9" s="3" customFormat="1">
      <c r="A19" s="267" t="s">
        <v>340</v>
      </c>
      <c r="G19" s="282"/>
    </row>
    <row r="20" spans="1:9">
      <c r="B20" s="206" t="s">
        <v>187</v>
      </c>
      <c r="C20" s="206" t="s">
        <v>186</v>
      </c>
      <c r="D20" s="206">
        <v>139</v>
      </c>
      <c r="E20" s="206"/>
      <c r="F20" s="210" t="s">
        <v>286</v>
      </c>
      <c r="G20" s="279">
        <v>2049.1999999999998</v>
      </c>
      <c r="H20" s="206"/>
      <c r="I20" s="260"/>
    </row>
    <row r="21" spans="1:9" s="3" customFormat="1">
      <c r="A21" s="267" t="s">
        <v>341</v>
      </c>
      <c r="G21" s="283">
        <f>SUM(G20)</f>
        <v>2049.1999999999998</v>
      </c>
      <c r="I21" s="268" t="s">
        <v>342</v>
      </c>
    </row>
    <row r="22" spans="1:9">
      <c r="A22" s="205" t="s">
        <v>260</v>
      </c>
    </row>
    <row r="23" spans="1:9">
      <c r="B23" s="206" t="s">
        <v>259</v>
      </c>
      <c r="C23" s="206" t="s">
        <v>186</v>
      </c>
      <c r="D23" s="206" t="s">
        <v>258</v>
      </c>
      <c r="E23" s="206"/>
      <c r="F23" s="206" t="s">
        <v>257</v>
      </c>
      <c r="G23" s="279">
        <v>393.64</v>
      </c>
      <c r="H23" s="206"/>
    </row>
    <row r="24" spans="1:9">
      <c r="B24" s="206" t="s">
        <v>256</v>
      </c>
      <c r="C24" s="206" t="s">
        <v>186</v>
      </c>
      <c r="D24" s="206" t="s">
        <v>255</v>
      </c>
      <c r="E24" s="206"/>
      <c r="F24" s="206" t="s">
        <v>254</v>
      </c>
      <c r="G24" s="279">
        <v>478.62</v>
      </c>
      <c r="H24" s="206"/>
    </row>
    <row r="25" spans="1:9">
      <c r="A25" s="205" t="s">
        <v>253</v>
      </c>
      <c r="G25" s="280">
        <f>SUM(G23:G24)</f>
        <v>872.26</v>
      </c>
    </row>
    <row r="26" spans="1:9">
      <c r="A26" s="205" t="s">
        <v>252</v>
      </c>
    </row>
    <row r="27" spans="1:9">
      <c r="B27" s="206" t="s">
        <v>187</v>
      </c>
      <c r="C27" s="206" t="s">
        <v>186</v>
      </c>
      <c r="D27" s="206" t="s">
        <v>251</v>
      </c>
      <c r="E27" s="206"/>
      <c r="F27" s="206" t="s">
        <v>250</v>
      </c>
      <c r="G27" s="279">
        <v>10715.26</v>
      </c>
      <c r="H27" s="206"/>
    </row>
    <row r="28" spans="1:9">
      <c r="A28" s="205" t="s">
        <v>249</v>
      </c>
      <c r="G28" s="280">
        <f>SUM(G27:G27)</f>
        <v>10715.26</v>
      </c>
    </row>
    <row r="29" spans="1:9">
      <c r="A29" s="205" t="s">
        <v>248</v>
      </c>
    </row>
    <row r="30" spans="1:9">
      <c r="A30" s="205" t="s">
        <v>247</v>
      </c>
    </row>
    <row r="31" spans="1:9">
      <c r="B31" s="206" t="s">
        <v>187</v>
      </c>
      <c r="C31" s="206" t="s">
        <v>186</v>
      </c>
      <c r="D31" s="206">
        <v>153</v>
      </c>
      <c r="E31" s="206" t="s">
        <v>280</v>
      </c>
      <c r="F31" s="206" t="s">
        <v>281</v>
      </c>
      <c r="G31" s="279">
        <v>223.73</v>
      </c>
      <c r="H31" s="206" t="s">
        <v>282</v>
      </c>
    </row>
    <row r="32" spans="1:9">
      <c r="B32" s="206" t="s">
        <v>187</v>
      </c>
      <c r="C32" s="206" t="s">
        <v>186</v>
      </c>
      <c r="D32" s="206">
        <v>153</v>
      </c>
      <c r="E32" s="206" t="s">
        <v>280</v>
      </c>
      <c r="F32" s="210" t="s">
        <v>324</v>
      </c>
      <c r="G32" s="284">
        <v>3547.28</v>
      </c>
      <c r="H32" s="206" t="s">
        <v>282</v>
      </c>
    </row>
    <row r="33" spans="1:8">
      <c r="A33" s="205" t="s">
        <v>246</v>
      </c>
      <c r="G33" s="281">
        <f>SUM(G31:G32)</f>
        <v>3771.01</v>
      </c>
    </row>
    <row r="34" spans="1:8">
      <c r="A34" s="205" t="s">
        <v>245</v>
      </c>
    </row>
    <row r="35" spans="1:8">
      <c r="B35" s="206" t="s">
        <v>183</v>
      </c>
      <c r="C35" s="206" t="s">
        <v>174</v>
      </c>
      <c r="D35" s="206" t="s">
        <v>244</v>
      </c>
      <c r="E35" s="206" t="s">
        <v>243</v>
      </c>
      <c r="F35" s="206" t="s">
        <v>242</v>
      </c>
      <c r="G35" s="284">
        <v>169.96</v>
      </c>
      <c r="H35" s="206">
        <v>12274</v>
      </c>
    </row>
    <row r="36" spans="1:8">
      <c r="A36" s="205" t="s">
        <v>241</v>
      </c>
      <c r="G36" s="281">
        <f>SUM(G35)</f>
        <v>169.96</v>
      </c>
    </row>
    <row r="37" spans="1:8">
      <c r="A37" s="205" t="s">
        <v>240</v>
      </c>
    </row>
    <row r="38" spans="1:8">
      <c r="B38" s="206" t="s">
        <v>187</v>
      </c>
      <c r="C38" s="206" t="s">
        <v>186</v>
      </c>
      <c r="D38" s="206">
        <v>154</v>
      </c>
      <c r="E38" s="206"/>
      <c r="F38" s="210" t="s">
        <v>325</v>
      </c>
      <c r="G38" s="279">
        <v>-757.36</v>
      </c>
      <c r="H38" s="206"/>
    </row>
    <row r="39" spans="1:8">
      <c r="A39" s="205" t="s">
        <v>239</v>
      </c>
      <c r="G39" s="281">
        <f>SUM(G38)</f>
        <v>-757.36</v>
      </c>
    </row>
    <row r="40" spans="1:8">
      <c r="A40" s="205" t="s">
        <v>238</v>
      </c>
    </row>
    <row r="41" spans="1:8">
      <c r="B41" s="206" t="s">
        <v>187</v>
      </c>
      <c r="C41" s="206" t="s">
        <v>186</v>
      </c>
      <c r="D41" s="206">
        <v>155</v>
      </c>
      <c r="E41" s="206"/>
      <c r="F41" s="206" t="s">
        <v>237</v>
      </c>
      <c r="G41" s="279">
        <v>-20.25</v>
      </c>
      <c r="H41" s="206"/>
    </row>
    <row r="42" spans="1:8">
      <c r="A42" s="205" t="s">
        <v>236</v>
      </c>
      <c r="G42" s="281">
        <f>SUM(G41)</f>
        <v>-20.25</v>
      </c>
    </row>
    <row r="43" spans="1:8" ht="15" thickBot="1">
      <c r="A43" s="205" t="s">
        <v>235</v>
      </c>
      <c r="G43" s="285">
        <f>+G33+G36+G39+G42</f>
        <v>3163.36</v>
      </c>
    </row>
    <row r="44" spans="1:8" ht="15" thickTop="1">
      <c r="A44" s="221" t="s">
        <v>234</v>
      </c>
    </row>
    <row r="45" spans="1:8">
      <c r="B45" s="206" t="s">
        <v>187</v>
      </c>
      <c r="C45" s="206" t="s">
        <v>186</v>
      </c>
      <c r="D45" s="206">
        <v>139</v>
      </c>
      <c r="E45" s="206"/>
      <c r="F45" s="210" t="s">
        <v>287</v>
      </c>
      <c r="G45" s="279">
        <v>371.1</v>
      </c>
      <c r="H45" s="206"/>
    </row>
    <row r="46" spans="1:8">
      <c r="A46" s="205" t="s">
        <v>233</v>
      </c>
      <c r="G46" s="280">
        <f>SUM(G45)</f>
        <v>371.1</v>
      </c>
    </row>
    <row r="47" spans="1:8" s="249" customFormat="1" ht="15.5">
      <c r="A47" s="274" t="s">
        <v>284</v>
      </c>
      <c r="G47" s="286"/>
    </row>
    <row r="48" spans="1:8">
      <c r="A48" s="205" t="s">
        <v>232</v>
      </c>
    </row>
    <row r="49" spans="1:8">
      <c r="B49" s="206" t="s">
        <v>187</v>
      </c>
      <c r="C49" s="206" t="s">
        <v>186</v>
      </c>
      <c r="D49" s="206">
        <v>133</v>
      </c>
      <c r="E49" s="206"/>
      <c r="F49" s="206" t="s">
        <v>231</v>
      </c>
      <c r="G49" s="279">
        <v>671.31</v>
      </c>
      <c r="H49" s="206"/>
    </row>
    <row r="50" spans="1:8">
      <c r="A50" s="205" t="s">
        <v>230</v>
      </c>
      <c r="G50" s="281">
        <f>SUM(G49)</f>
        <v>671.31</v>
      </c>
    </row>
    <row r="51" spans="1:8">
      <c r="A51" s="205" t="s">
        <v>229</v>
      </c>
    </row>
    <row r="52" spans="1:8">
      <c r="B52" s="206" t="s">
        <v>187</v>
      </c>
      <c r="C52" s="206" t="s">
        <v>186</v>
      </c>
      <c r="D52" s="206">
        <v>134</v>
      </c>
      <c r="E52" s="206"/>
      <c r="F52" s="206" t="s">
        <v>228</v>
      </c>
      <c r="G52" s="279">
        <v>157.01</v>
      </c>
      <c r="H52" s="206"/>
    </row>
    <row r="53" spans="1:8">
      <c r="A53" s="205" t="s">
        <v>227</v>
      </c>
      <c r="G53" s="281">
        <f>SUM(G52)</f>
        <v>157.01</v>
      </c>
    </row>
    <row r="54" spans="1:8">
      <c r="A54" s="205" t="s">
        <v>226</v>
      </c>
    </row>
    <row r="55" spans="1:8">
      <c r="B55" s="206" t="s">
        <v>187</v>
      </c>
      <c r="C55" s="206" t="s">
        <v>186</v>
      </c>
      <c r="D55" s="206">
        <v>135</v>
      </c>
      <c r="E55" s="206"/>
      <c r="F55" s="206" t="s">
        <v>225</v>
      </c>
      <c r="G55" s="279">
        <v>208.74</v>
      </c>
      <c r="H55" s="206"/>
    </row>
    <row r="56" spans="1:8">
      <c r="A56" s="205" t="s">
        <v>224</v>
      </c>
      <c r="G56" s="281">
        <f>SUM(G55)</f>
        <v>208.74</v>
      </c>
    </row>
    <row r="57" spans="1:8">
      <c r="A57" s="205" t="s">
        <v>223</v>
      </c>
    </row>
    <row r="58" spans="1:8">
      <c r="B58" s="206" t="s">
        <v>187</v>
      </c>
      <c r="C58" s="206" t="s">
        <v>186</v>
      </c>
      <c r="D58" s="206">
        <v>137</v>
      </c>
      <c r="E58" s="206"/>
      <c r="F58" s="206" t="s">
        <v>222</v>
      </c>
      <c r="G58" s="279">
        <v>38.270000000000003</v>
      </c>
      <c r="H58" s="206"/>
    </row>
    <row r="59" spans="1:8">
      <c r="A59" s="205" t="s">
        <v>221</v>
      </c>
      <c r="G59" s="281">
        <f>SUM(G58)</f>
        <v>38.270000000000003</v>
      </c>
    </row>
    <row r="60" spans="1:8" s="249" customFormat="1" ht="15.5">
      <c r="A60" s="274" t="s">
        <v>285</v>
      </c>
      <c r="G60" s="280">
        <f>+G50+G53+G56+G59</f>
        <v>1075.33</v>
      </c>
    </row>
    <row r="61" spans="1:8">
      <c r="A61" s="205" t="s">
        <v>220</v>
      </c>
    </row>
    <row r="62" spans="1:8">
      <c r="B62" s="206" t="s">
        <v>187</v>
      </c>
      <c r="C62" s="206" t="s">
        <v>186</v>
      </c>
      <c r="D62" s="206">
        <v>146</v>
      </c>
      <c r="E62" s="206"/>
      <c r="F62" s="206" t="s">
        <v>219</v>
      </c>
      <c r="G62" s="279">
        <v>140.46</v>
      </c>
      <c r="H62" s="206"/>
    </row>
    <row r="63" spans="1:8">
      <c r="A63" s="205" t="s">
        <v>218</v>
      </c>
      <c r="G63" s="280">
        <f>SUM(G62)</f>
        <v>140.46</v>
      </c>
    </row>
    <row r="64" spans="1:8">
      <c r="A64" s="205"/>
    </row>
    <row r="65" spans="1:8" ht="15" thickBot="1">
      <c r="A65" s="276" t="s">
        <v>356</v>
      </c>
      <c r="G65" s="287">
        <f>+G43+G46+G60+G63</f>
        <v>4750.25</v>
      </c>
    </row>
    <row r="66" spans="1:8" ht="15" thickTop="1"/>
    <row r="67" spans="1:8">
      <c r="A67" s="221" t="s">
        <v>327</v>
      </c>
    </row>
    <row r="68" spans="1:8">
      <c r="A68" s="205" t="s">
        <v>184</v>
      </c>
    </row>
    <row r="69" spans="1:8">
      <c r="B69" s="206" t="s">
        <v>183</v>
      </c>
      <c r="C69" s="206" t="s">
        <v>174</v>
      </c>
      <c r="D69" s="206" t="s">
        <v>182</v>
      </c>
      <c r="E69" s="206" t="s">
        <v>181</v>
      </c>
      <c r="F69" s="206" t="s">
        <v>180</v>
      </c>
      <c r="G69" s="279">
        <v>150</v>
      </c>
      <c r="H69" s="206">
        <v>12260</v>
      </c>
    </row>
    <row r="70" spans="1:8">
      <c r="B70" s="206" t="s">
        <v>179</v>
      </c>
      <c r="C70" s="206" t="s">
        <v>174</v>
      </c>
      <c r="D70" s="206" t="s">
        <v>178</v>
      </c>
      <c r="E70" s="206" t="s">
        <v>177</v>
      </c>
      <c r="F70" s="206" t="s">
        <v>176</v>
      </c>
      <c r="G70" s="279">
        <v>15.12</v>
      </c>
      <c r="H70" s="206">
        <v>12343</v>
      </c>
    </row>
    <row r="71" spans="1:8">
      <c r="B71" s="206" t="s">
        <v>175</v>
      </c>
      <c r="C71" s="206" t="s">
        <v>174</v>
      </c>
      <c r="D71" s="206" t="s">
        <v>173</v>
      </c>
      <c r="E71" s="206" t="s">
        <v>172</v>
      </c>
      <c r="F71" s="206" t="s">
        <v>171</v>
      </c>
      <c r="G71" s="279">
        <v>102.9</v>
      </c>
      <c r="H71" s="206">
        <v>12358</v>
      </c>
    </row>
    <row r="72" spans="1:8" s="259" customFormat="1">
      <c r="A72" s="221" t="s">
        <v>328</v>
      </c>
      <c r="G72" s="280">
        <v>268.02</v>
      </c>
    </row>
    <row r="73" spans="1:8">
      <c r="A73" s="205"/>
      <c r="G73" s="281"/>
    </row>
    <row r="74" spans="1:8">
      <c r="A74" s="221" t="s">
        <v>326</v>
      </c>
    </row>
    <row r="75" spans="1:8">
      <c r="B75" s="206" t="s">
        <v>187</v>
      </c>
      <c r="C75" s="206" t="s">
        <v>186</v>
      </c>
      <c r="D75" s="206">
        <v>144</v>
      </c>
      <c r="E75" s="206"/>
      <c r="F75" s="206" t="s">
        <v>212</v>
      </c>
      <c r="G75" s="279">
        <v>55.59</v>
      </c>
      <c r="H75" s="206"/>
    </row>
    <row r="76" spans="1:8" s="258" customFormat="1">
      <c r="A76" s="221" t="s">
        <v>211</v>
      </c>
      <c r="G76" s="288">
        <f>SUM(G75)</f>
        <v>55.59</v>
      </c>
    </row>
    <row r="77" spans="1:8">
      <c r="A77" s="205"/>
      <c r="G77" s="289"/>
    </row>
    <row r="78" spans="1:8">
      <c r="A78" s="221" t="s">
        <v>357</v>
      </c>
    </row>
    <row r="79" spans="1:8">
      <c r="A79" s="205" t="s">
        <v>214</v>
      </c>
    </row>
    <row r="80" spans="1:8">
      <c r="B80" s="206" t="s">
        <v>187</v>
      </c>
      <c r="C80" s="206" t="s">
        <v>186</v>
      </c>
      <c r="D80" s="206">
        <v>145</v>
      </c>
      <c r="E80" s="206"/>
      <c r="F80" s="206" t="s">
        <v>213</v>
      </c>
      <c r="G80" s="279">
        <v>361.69</v>
      </c>
      <c r="H80" s="206"/>
    </row>
    <row r="81" spans="1:8" s="258" customFormat="1">
      <c r="A81" s="221" t="s">
        <v>358</v>
      </c>
      <c r="G81" s="280">
        <f>SUM(G80)</f>
        <v>361.69</v>
      </c>
    </row>
    <row r="82" spans="1:8" s="258" customFormat="1">
      <c r="A82" s="221"/>
      <c r="G82" s="289"/>
    </row>
    <row r="83" spans="1:8">
      <c r="A83" s="221" t="s">
        <v>329</v>
      </c>
      <c r="G83" s="289"/>
    </row>
    <row r="84" spans="1:8">
      <c r="A84" s="205" t="s">
        <v>200</v>
      </c>
    </row>
    <row r="85" spans="1:8">
      <c r="B85" s="206" t="s">
        <v>183</v>
      </c>
      <c r="C85" s="206" t="s">
        <v>174</v>
      </c>
      <c r="D85" s="206" t="s">
        <v>199</v>
      </c>
      <c r="E85" s="206" t="s">
        <v>181</v>
      </c>
      <c r="F85" s="206" t="s">
        <v>198</v>
      </c>
      <c r="G85" s="279">
        <v>648</v>
      </c>
      <c r="H85" s="206">
        <v>12260</v>
      </c>
    </row>
    <row r="86" spans="1:8" s="258" customFormat="1">
      <c r="A86" s="221" t="s">
        <v>344</v>
      </c>
      <c r="G86" s="280">
        <f>SUM(G85)</f>
        <v>648</v>
      </c>
    </row>
    <row r="87" spans="1:8">
      <c r="A87" s="205" t="s">
        <v>197</v>
      </c>
    </row>
    <row r="88" spans="1:8">
      <c r="A88" s="205" t="s">
        <v>196</v>
      </c>
    </row>
    <row r="89" spans="1:8">
      <c r="B89" s="206" t="s">
        <v>187</v>
      </c>
      <c r="C89" s="206" t="s">
        <v>186</v>
      </c>
      <c r="D89" s="206">
        <v>148</v>
      </c>
      <c r="E89" s="206"/>
      <c r="F89" s="206" t="s">
        <v>195</v>
      </c>
      <c r="G89" s="279">
        <v>112.71</v>
      </c>
      <c r="H89" s="206"/>
    </row>
    <row r="90" spans="1:8">
      <c r="A90" s="205" t="s">
        <v>194</v>
      </c>
      <c r="G90" s="281">
        <f>SUM(G89)</f>
        <v>112.71</v>
      </c>
    </row>
    <row r="91" spans="1:8">
      <c r="A91" s="205" t="s">
        <v>191</v>
      </c>
    </row>
    <row r="92" spans="1:8">
      <c r="B92" s="206" t="s">
        <v>187</v>
      </c>
      <c r="C92" s="206" t="s">
        <v>186</v>
      </c>
      <c r="D92" s="206">
        <v>151</v>
      </c>
      <c r="E92" s="206"/>
      <c r="F92" s="206" t="s">
        <v>190</v>
      </c>
      <c r="G92" s="279">
        <v>219.56</v>
      </c>
      <c r="H92" s="206"/>
    </row>
    <row r="93" spans="1:8">
      <c r="A93" s="205" t="s">
        <v>189</v>
      </c>
      <c r="G93" s="281">
        <f>SUM(G92)</f>
        <v>219.56</v>
      </c>
    </row>
    <row r="94" spans="1:8" s="259" customFormat="1">
      <c r="A94" s="275" t="s">
        <v>343</v>
      </c>
      <c r="G94" s="288">
        <f>+G90+G93</f>
        <v>332.27</v>
      </c>
    </row>
    <row r="95" spans="1:8">
      <c r="A95" s="205"/>
      <c r="G95" s="289"/>
    </row>
    <row r="96" spans="1:8" s="258" customFormat="1">
      <c r="A96" s="274" t="s">
        <v>353</v>
      </c>
      <c r="G96" s="288">
        <f>+G86+G94</f>
        <v>980.27</v>
      </c>
    </row>
    <row r="97" spans="1:8">
      <c r="A97" s="205"/>
      <c r="G97" s="289"/>
    </row>
    <row r="98" spans="1:8">
      <c r="A98" s="221" t="s">
        <v>330</v>
      </c>
    </row>
    <row r="99" spans="1:8">
      <c r="A99" s="205" t="s">
        <v>214</v>
      </c>
    </row>
    <row r="100" spans="1:8">
      <c r="B100" s="206" t="s">
        <v>187</v>
      </c>
      <c r="C100" s="206" t="s">
        <v>186</v>
      </c>
      <c r="D100" s="206">
        <v>145</v>
      </c>
      <c r="E100" s="206"/>
      <c r="F100" s="206" t="s">
        <v>359</v>
      </c>
      <c r="G100" s="279">
        <v>1130.29</v>
      </c>
      <c r="H100" s="206"/>
    </row>
    <row r="101" spans="1:8" s="258" customFormat="1">
      <c r="A101" s="221" t="s">
        <v>331</v>
      </c>
      <c r="G101" s="280">
        <f>SUM(G100)</f>
        <v>1130.29</v>
      </c>
    </row>
    <row r="102" spans="1:8">
      <c r="G102" s="281"/>
    </row>
    <row r="103" spans="1:8">
      <c r="A103" s="221" t="s">
        <v>332</v>
      </c>
    </row>
    <row r="104" spans="1:8">
      <c r="A104" s="205" t="s">
        <v>193</v>
      </c>
    </row>
    <row r="105" spans="1:8">
      <c r="B105" s="206" t="s">
        <v>187</v>
      </c>
      <c r="C105" s="206" t="s">
        <v>186</v>
      </c>
      <c r="D105" s="206">
        <v>141</v>
      </c>
      <c r="E105" s="206"/>
      <c r="F105" s="206" t="s">
        <v>192</v>
      </c>
      <c r="G105" s="279">
        <v>200.95</v>
      </c>
      <c r="H105" s="206"/>
    </row>
    <row r="106" spans="1:8" s="258" customFormat="1">
      <c r="A106" s="221" t="s">
        <v>333</v>
      </c>
      <c r="G106" s="280">
        <f>SUM(G105)</f>
        <v>200.95</v>
      </c>
    </row>
    <row r="107" spans="1:8">
      <c r="G107" s="281"/>
    </row>
    <row r="108" spans="1:8">
      <c r="A108" s="221" t="s">
        <v>334</v>
      </c>
    </row>
    <row r="109" spans="1:8">
      <c r="A109" s="205" t="s">
        <v>217</v>
      </c>
    </row>
    <row r="110" spans="1:8">
      <c r="B110" s="206" t="s">
        <v>187</v>
      </c>
      <c r="C110" s="206" t="s">
        <v>186</v>
      </c>
      <c r="D110" s="206">
        <v>142</v>
      </c>
      <c r="E110" s="206"/>
      <c r="F110" s="206" t="s">
        <v>216</v>
      </c>
      <c r="G110" s="279">
        <v>242.69</v>
      </c>
      <c r="H110" s="206"/>
    </row>
    <row r="111" spans="1:8">
      <c r="A111" s="205" t="s">
        <v>215</v>
      </c>
      <c r="G111" s="281">
        <f>SUM(G110)</f>
        <v>242.69</v>
      </c>
    </row>
    <row r="112" spans="1:8">
      <c r="A112" s="205" t="s">
        <v>203</v>
      </c>
    </row>
    <row r="113" spans="1:8">
      <c r="B113" s="206" t="s">
        <v>187</v>
      </c>
      <c r="C113" s="206" t="s">
        <v>186</v>
      </c>
      <c r="D113" s="206">
        <v>152</v>
      </c>
      <c r="E113" s="206"/>
      <c r="F113" s="206" t="s">
        <v>202</v>
      </c>
      <c r="G113" s="279">
        <v>25.19</v>
      </c>
      <c r="H113" s="206"/>
    </row>
    <row r="114" spans="1:8">
      <c r="A114" s="205" t="s">
        <v>201</v>
      </c>
      <c r="G114" s="281">
        <f>SUM(G113)</f>
        <v>25.19</v>
      </c>
    </row>
    <row r="115" spans="1:8">
      <c r="A115" s="221" t="s">
        <v>335</v>
      </c>
      <c r="G115" s="288">
        <f>+G114+G111</f>
        <v>267.88</v>
      </c>
    </row>
    <row r="121" spans="1:8">
      <c r="A121" s="221" t="s">
        <v>338</v>
      </c>
    </row>
    <row r="122" spans="1:8">
      <c r="A122" s="205" t="s">
        <v>210</v>
      </c>
    </row>
    <row r="123" spans="1:8">
      <c r="A123" s="205" t="s">
        <v>209</v>
      </c>
    </row>
    <row r="124" spans="1:8">
      <c r="B124" s="206" t="s">
        <v>187</v>
      </c>
      <c r="C124" s="206" t="s">
        <v>186</v>
      </c>
      <c r="D124" s="206">
        <v>149</v>
      </c>
      <c r="E124" s="206"/>
      <c r="F124" s="206" t="s">
        <v>208</v>
      </c>
      <c r="G124" s="279">
        <v>111.74</v>
      </c>
      <c r="H124" s="206"/>
    </row>
    <row r="125" spans="1:8">
      <c r="A125" s="205" t="s">
        <v>207</v>
      </c>
      <c r="G125" s="281">
        <f>SUM(G124)</f>
        <v>111.74</v>
      </c>
    </row>
    <row r="126" spans="1:8">
      <c r="A126" s="205" t="s">
        <v>206</v>
      </c>
    </row>
    <row r="127" spans="1:8">
      <c r="B127" s="206" t="s">
        <v>187</v>
      </c>
      <c r="C127" s="206" t="s">
        <v>186</v>
      </c>
      <c r="D127" s="206">
        <v>147</v>
      </c>
      <c r="E127" s="206"/>
      <c r="F127" s="206" t="s">
        <v>205</v>
      </c>
      <c r="G127" s="279">
        <v>71.11</v>
      </c>
      <c r="H127" s="206"/>
    </row>
    <row r="128" spans="1:8">
      <c r="A128" s="205" t="s">
        <v>204</v>
      </c>
      <c r="G128" s="281">
        <f>SUM(G127)</f>
        <v>71.11</v>
      </c>
    </row>
    <row r="129" spans="1:9" s="258" customFormat="1">
      <c r="A129" s="221" t="s">
        <v>339</v>
      </c>
      <c r="G129" s="288">
        <f>+G125+G128</f>
        <v>182.85</v>
      </c>
    </row>
    <row r="130" spans="1:9">
      <c r="A130" s="205"/>
      <c r="G130" s="289"/>
    </row>
    <row r="131" spans="1:9">
      <c r="A131" s="221" t="s">
        <v>336</v>
      </c>
      <c r="G131" s="289"/>
    </row>
    <row r="132" spans="1:9">
      <c r="A132" s="205" t="s">
        <v>188</v>
      </c>
      <c r="G132" s="290"/>
    </row>
    <row r="133" spans="1:9">
      <c r="B133" s="206" t="s">
        <v>187</v>
      </c>
      <c r="C133" s="206" t="s">
        <v>186</v>
      </c>
      <c r="D133" s="206">
        <v>140</v>
      </c>
      <c r="E133" s="206"/>
      <c r="F133" s="206" t="s">
        <v>185</v>
      </c>
      <c r="G133" s="279">
        <v>320.72000000000003</v>
      </c>
      <c r="H133" s="206"/>
    </row>
    <row r="134" spans="1:9" s="258" customFormat="1">
      <c r="A134" s="221" t="s">
        <v>337</v>
      </c>
      <c r="G134" s="288">
        <f>SUM(G133)</f>
        <v>320.72000000000003</v>
      </c>
    </row>
    <row r="135" spans="1:9">
      <c r="A135" s="205"/>
      <c r="G135" s="289"/>
    </row>
    <row r="136" spans="1:9" s="269" customFormat="1">
      <c r="A136" s="273" t="s">
        <v>349</v>
      </c>
      <c r="G136" s="291"/>
    </row>
    <row r="137" spans="1:9" s="269" customFormat="1">
      <c r="B137" s="270">
        <v>43677</v>
      </c>
      <c r="C137" s="271" t="s">
        <v>186</v>
      </c>
      <c r="D137" s="272" t="s">
        <v>345</v>
      </c>
      <c r="E137" s="271"/>
      <c r="F137" s="271" t="s">
        <v>350</v>
      </c>
      <c r="G137" s="292">
        <v>7492.14</v>
      </c>
      <c r="I137" s="271"/>
    </row>
    <row r="138" spans="1:9" s="269" customFormat="1">
      <c r="A138" s="273" t="s">
        <v>346</v>
      </c>
      <c r="G138" s="293">
        <f>SUM(G137)</f>
        <v>7492.14</v>
      </c>
      <c r="I138" s="271"/>
    </row>
    <row r="139" spans="1:9" s="269" customFormat="1">
      <c r="A139" s="273" t="s">
        <v>347</v>
      </c>
      <c r="G139" s="291"/>
      <c r="I139" s="271"/>
    </row>
    <row r="140" spans="1:9" s="269" customFormat="1">
      <c r="B140" s="270">
        <v>43677</v>
      </c>
      <c r="C140" s="271" t="s">
        <v>186</v>
      </c>
      <c r="D140" s="272" t="s">
        <v>345</v>
      </c>
      <c r="E140" s="271"/>
      <c r="F140" s="271" t="s">
        <v>350</v>
      </c>
      <c r="G140" s="292">
        <f>+G137</f>
        <v>7492.14</v>
      </c>
      <c r="I140" s="271"/>
    </row>
    <row r="141" spans="1:9" s="269" customFormat="1">
      <c r="A141" s="273" t="s">
        <v>348</v>
      </c>
      <c r="G141" s="293">
        <f>SUM(G140)</f>
        <v>7492.14</v>
      </c>
      <c r="I141" s="271"/>
    </row>
    <row r="142" spans="1:9" s="269" customFormat="1">
      <c r="A142" s="273"/>
      <c r="G142" s="294"/>
      <c r="I142" s="271"/>
    </row>
    <row r="143" spans="1:9" s="269" customFormat="1">
      <c r="A143" s="273"/>
      <c r="G143" s="294"/>
      <c r="I143" s="271"/>
    </row>
    <row r="144" spans="1:9" s="269" customFormat="1">
      <c r="A144" s="273"/>
      <c r="G144" s="294"/>
      <c r="I144" s="271"/>
    </row>
    <row r="145" spans="1:9" s="269" customFormat="1">
      <c r="A145" s="273"/>
      <c r="G145" s="294"/>
      <c r="I145" s="271"/>
    </row>
    <row r="146" spans="1:9" s="269" customFormat="1">
      <c r="A146" s="273"/>
      <c r="G146" s="294"/>
      <c r="I146" s="271"/>
    </row>
    <row r="147" spans="1:9" s="269" customFormat="1">
      <c r="A147" s="273"/>
      <c r="G147" s="294"/>
      <c r="I147" s="271"/>
    </row>
    <row r="148" spans="1:9" s="269" customFormat="1">
      <c r="A148" s="273"/>
      <c r="G148" s="294"/>
      <c r="I148" s="271"/>
    </row>
    <row r="149" spans="1:9" s="269" customFormat="1">
      <c r="A149" s="273"/>
      <c r="G149" s="294"/>
      <c r="I149" s="271"/>
    </row>
    <row r="150" spans="1:9" s="269" customFormat="1">
      <c r="A150" s="273"/>
      <c r="G150" s="294"/>
      <c r="I150" s="271"/>
    </row>
    <row r="151" spans="1:9" s="269" customFormat="1">
      <c r="A151" s="273"/>
      <c r="G151" s="294"/>
      <c r="I151" s="271"/>
    </row>
    <row r="152" spans="1:9" s="269" customFormat="1">
      <c r="A152" s="273"/>
      <c r="G152" s="294"/>
      <c r="I152" s="271"/>
    </row>
    <row r="153" spans="1:9" s="269" customFormat="1">
      <c r="A153" s="273"/>
      <c r="G153" s="294"/>
      <c r="I153" s="271"/>
    </row>
    <row r="154" spans="1:9" s="269" customFormat="1">
      <c r="A154" s="273"/>
      <c r="G154" s="294"/>
      <c r="I154" s="271"/>
    </row>
    <row r="155" spans="1:9" s="269" customFormat="1">
      <c r="A155" s="273"/>
      <c r="G155" s="294"/>
      <c r="I155" s="271"/>
    </row>
    <row r="158" spans="1:9">
      <c r="A158" s="508" t="s">
        <v>170</v>
      </c>
      <c r="B158" s="508"/>
      <c r="C158" s="508"/>
      <c r="D158" s="508"/>
      <c r="E158" s="508"/>
      <c r="F158" s="508"/>
      <c r="G158" s="508"/>
      <c r="H158" s="508"/>
    </row>
    <row r="159" spans="1:9">
      <c r="A159" s="205"/>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2" customFormat="1" ht="20">
      <c r="A1" s="548" t="s">
        <v>84</v>
      </c>
      <c r="B1" s="548"/>
      <c r="C1" s="548"/>
      <c r="D1" s="548"/>
      <c r="E1" s="548"/>
      <c r="F1" s="548"/>
      <c r="G1" s="548"/>
      <c r="H1" s="548"/>
      <c r="I1" s="548"/>
      <c r="J1" s="548"/>
      <c r="K1" s="548"/>
      <c r="L1" s="548"/>
      <c r="M1" s="548"/>
      <c r="N1" s="548"/>
      <c r="O1" s="261"/>
    </row>
    <row r="2" spans="1:15" s="264" customFormat="1" ht="34.5" customHeight="1">
      <c r="A2" s="526" t="s">
        <v>85</v>
      </c>
      <c r="B2" s="531"/>
      <c r="C2" s="531"/>
      <c r="D2" s="531"/>
      <c r="E2" s="531"/>
      <c r="F2" s="531"/>
      <c r="G2" s="531"/>
      <c r="H2" s="527"/>
      <c r="I2" s="526" t="s">
        <v>145</v>
      </c>
      <c r="J2" s="531"/>
      <c r="K2" s="531"/>
      <c r="L2" s="531"/>
      <c r="M2" s="527"/>
      <c r="N2" s="263" t="s">
        <v>122</v>
      </c>
    </row>
    <row r="3" spans="1:15" s="264" customFormat="1" ht="34.5" customHeight="1">
      <c r="A3" s="526" t="s">
        <v>354</v>
      </c>
      <c r="B3" s="531"/>
      <c r="C3" s="531"/>
      <c r="D3" s="531"/>
      <c r="E3" s="531"/>
      <c r="F3" s="531"/>
      <c r="G3" s="531"/>
      <c r="H3" s="531"/>
      <c r="I3" s="531"/>
      <c r="J3" s="531"/>
      <c r="K3" s="531"/>
      <c r="L3" s="531"/>
      <c r="M3" s="531"/>
      <c r="N3" s="527"/>
    </row>
    <row r="4" spans="1:15" s="264" customFormat="1" ht="38.25" customHeight="1">
      <c r="A4" s="526" t="s">
        <v>355</v>
      </c>
      <c r="B4" s="531"/>
      <c r="C4" s="531"/>
      <c r="D4" s="531"/>
      <c r="E4" s="531"/>
      <c r="F4" s="531"/>
      <c r="G4" s="531"/>
      <c r="H4" s="531"/>
      <c r="I4" s="531"/>
      <c r="J4" s="531"/>
      <c r="K4" s="531"/>
      <c r="L4" s="527"/>
      <c r="M4" s="265" t="s">
        <v>124</v>
      </c>
      <c r="N4" s="265" t="s">
        <v>140</v>
      </c>
    </row>
    <row r="5" spans="1:15" s="264" customFormat="1" ht="34.4" customHeight="1">
      <c r="A5" s="526" t="s">
        <v>125</v>
      </c>
      <c r="B5" s="531"/>
      <c r="C5" s="531"/>
      <c r="D5" s="531"/>
      <c r="E5" s="531"/>
      <c r="F5" s="531"/>
      <c r="G5" s="527"/>
      <c r="H5" s="526" t="s">
        <v>126</v>
      </c>
      <c r="I5" s="531"/>
      <c r="J5" s="531"/>
      <c r="K5" s="531"/>
      <c r="L5" s="527"/>
      <c r="M5" s="526" t="s">
        <v>127</v>
      </c>
      <c r="N5" s="527"/>
    </row>
    <row r="6" spans="1:15" s="264" customFormat="1" ht="17.899999999999999" customHeight="1">
      <c r="A6" s="528" t="s">
        <v>87</v>
      </c>
      <c r="B6" s="529"/>
      <c r="C6" s="529"/>
      <c r="D6" s="529"/>
      <c r="E6" s="529"/>
      <c r="F6" s="529"/>
      <c r="G6" s="529"/>
      <c r="H6" s="529"/>
      <c r="I6" s="529"/>
      <c r="J6" s="529"/>
      <c r="K6" s="529"/>
      <c r="L6" s="530"/>
      <c r="M6" s="544" t="s">
        <v>88</v>
      </c>
      <c r="N6" s="545"/>
    </row>
    <row r="7" spans="1:15" s="264" customFormat="1" ht="27.75" customHeight="1">
      <c r="A7" s="534" t="s">
        <v>89</v>
      </c>
      <c r="B7" s="535"/>
      <c r="C7" s="535"/>
      <c r="D7" s="535"/>
      <c r="E7" s="535"/>
      <c r="F7" s="535"/>
      <c r="G7" s="535"/>
      <c r="H7" s="535"/>
      <c r="I7" s="535"/>
      <c r="J7" s="535"/>
      <c r="K7" s="535"/>
      <c r="L7" s="535"/>
      <c r="M7" s="535"/>
      <c r="N7" s="536"/>
    </row>
    <row r="8" spans="1:15" s="264" customFormat="1" ht="27.75" customHeight="1">
      <c r="A8" s="526" t="s">
        <v>90</v>
      </c>
      <c r="B8" s="531"/>
      <c r="C8" s="531"/>
      <c r="D8" s="531"/>
      <c r="E8" s="531"/>
      <c r="F8" s="531"/>
      <c r="G8" s="531"/>
      <c r="H8" s="531"/>
      <c r="I8" s="531"/>
      <c r="J8" s="531"/>
      <c r="K8" s="531"/>
      <c r="L8" s="527"/>
      <c r="M8" s="546"/>
      <c r="N8" s="547"/>
    </row>
    <row r="9" spans="1:15" s="264" customFormat="1" ht="27.75" customHeight="1">
      <c r="A9" s="526" t="s">
        <v>91</v>
      </c>
      <c r="B9" s="531"/>
      <c r="C9" s="531"/>
      <c r="D9" s="531"/>
      <c r="E9" s="531"/>
      <c r="F9" s="531"/>
      <c r="G9" s="531"/>
      <c r="H9" s="531"/>
      <c r="I9" s="531"/>
      <c r="J9" s="531"/>
      <c r="K9" s="531"/>
      <c r="L9" s="527"/>
      <c r="M9" s="546">
        <f>M8</f>
        <v>0</v>
      </c>
      <c r="N9" s="547"/>
    </row>
    <row r="10" spans="1:15" s="264" customFormat="1" ht="27.75" customHeight="1">
      <c r="A10" s="526" t="s">
        <v>92</v>
      </c>
      <c r="B10" s="531"/>
      <c r="C10" s="531"/>
      <c r="D10" s="531"/>
      <c r="E10" s="531"/>
      <c r="F10" s="531"/>
      <c r="G10" s="531"/>
      <c r="H10" s="531"/>
      <c r="I10" s="531"/>
      <c r="J10" s="531"/>
      <c r="K10" s="531"/>
      <c r="L10" s="527"/>
      <c r="M10" s="532">
        <f>M8-M9</f>
        <v>0</v>
      </c>
      <c r="N10" s="533"/>
    </row>
    <row r="11" spans="1:15" s="264" customFormat="1" ht="27.75" customHeight="1">
      <c r="A11" s="534" t="s">
        <v>93</v>
      </c>
      <c r="B11" s="535"/>
      <c r="C11" s="535"/>
      <c r="D11" s="535"/>
      <c r="E11" s="535"/>
      <c r="F11" s="535"/>
      <c r="G11" s="535"/>
      <c r="H11" s="535"/>
      <c r="I11" s="535"/>
      <c r="J11" s="535"/>
      <c r="K11" s="535"/>
      <c r="L11" s="535"/>
      <c r="M11" s="535"/>
      <c r="N11" s="536"/>
    </row>
    <row r="12" spans="1:15" s="264" customFormat="1" ht="27.75" customHeight="1">
      <c r="A12" s="526" t="s">
        <v>94</v>
      </c>
      <c r="B12" s="531"/>
      <c r="C12" s="531"/>
      <c r="D12" s="531"/>
      <c r="E12" s="531"/>
      <c r="F12" s="531"/>
      <c r="G12" s="531"/>
      <c r="H12" s="531"/>
      <c r="I12" s="531"/>
      <c r="J12" s="531"/>
      <c r="K12" s="531"/>
      <c r="L12" s="527"/>
      <c r="M12" s="543">
        <f>+'Jul-2019'!G56</f>
        <v>2256075.86</v>
      </c>
      <c r="N12" s="511"/>
    </row>
    <row r="13" spans="1:15" s="264" customFormat="1" ht="27.75" customHeight="1">
      <c r="A13" s="526" t="s">
        <v>142</v>
      </c>
      <c r="B13" s="531"/>
      <c r="C13" s="531"/>
      <c r="D13" s="531"/>
      <c r="E13" s="531"/>
      <c r="F13" s="531"/>
      <c r="G13" s="531"/>
      <c r="H13" s="531"/>
      <c r="I13" s="531"/>
      <c r="J13" s="531"/>
      <c r="K13" s="531"/>
      <c r="L13" s="527"/>
      <c r="M13" s="543">
        <f>M9</f>
        <v>0</v>
      </c>
      <c r="N13" s="511"/>
    </row>
    <row r="14" spans="1:15" s="264" customFormat="1" ht="27.75" customHeight="1">
      <c r="A14" s="526" t="s">
        <v>143</v>
      </c>
      <c r="B14" s="531"/>
      <c r="C14" s="531"/>
      <c r="D14" s="531"/>
      <c r="E14" s="531"/>
      <c r="F14" s="531"/>
      <c r="G14" s="531"/>
      <c r="H14" s="531"/>
      <c r="I14" s="531"/>
      <c r="J14" s="531"/>
      <c r="K14" s="531"/>
      <c r="L14" s="527"/>
      <c r="M14" s="537">
        <v>0</v>
      </c>
      <c r="N14" s="538"/>
    </row>
    <row r="15" spans="1:15" s="264" customFormat="1" ht="27.75" customHeight="1">
      <c r="A15" s="526" t="s">
        <v>95</v>
      </c>
      <c r="B15" s="531"/>
      <c r="C15" s="531"/>
      <c r="D15" s="531"/>
      <c r="E15" s="531"/>
      <c r="F15" s="531"/>
      <c r="G15" s="531"/>
      <c r="H15" s="531"/>
      <c r="I15" s="531"/>
      <c r="J15" s="531"/>
      <c r="K15" s="531"/>
      <c r="L15" s="527"/>
      <c r="M15" s="537">
        <v>0</v>
      </c>
      <c r="N15" s="538"/>
    </row>
    <row r="16" spans="1:15" s="264" customFormat="1" ht="27.75" customHeight="1">
      <c r="A16" s="526" t="s">
        <v>96</v>
      </c>
      <c r="B16" s="531"/>
      <c r="C16" s="531"/>
      <c r="D16" s="531"/>
      <c r="E16" s="531"/>
      <c r="F16" s="531"/>
      <c r="G16" s="531"/>
      <c r="H16" s="531"/>
      <c r="I16" s="531"/>
      <c r="J16" s="531"/>
      <c r="K16" s="531"/>
      <c r="L16" s="527"/>
      <c r="M16" s="539">
        <f>M13+M14+M15</f>
        <v>0</v>
      </c>
      <c r="N16" s="540"/>
    </row>
    <row r="17" spans="1:14" s="264" customFormat="1" ht="27.75" customHeight="1">
      <c r="A17" s="526" t="s">
        <v>97</v>
      </c>
      <c r="B17" s="531"/>
      <c r="C17" s="531"/>
      <c r="D17" s="531"/>
      <c r="E17" s="531"/>
      <c r="F17" s="531"/>
      <c r="G17" s="531"/>
      <c r="H17" s="531"/>
      <c r="I17" s="531"/>
      <c r="J17" s="531"/>
      <c r="K17" s="531"/>
      <c r="L17" s="527"/>
      <c r="M17" s="539">
        <f>M12-M16</f>
        <v>2256075.86</v>
      </c>
      <c r="N17" s="540"/>
    </row>
    <row r="18" spans="1:14" s="264" customFormat="1" ht="27.75" customHeight="1">
      <c r="A18" s="534" t="s">
        <v>98</v>
      </c>
      <c r="B18" s="535"/>
      <c r="C18" s="535"/>
      <c r="D18" s="535"/>
      <c r="E18" s="535"/>
      <c r="F18" s="535"/>
      <c r="G18" s="535"/>
      <c r="H18" s="535"/>
      <c r="I18" s="535"/>
      <c r="J18" s="535"/>
      <c r="K18" s="535"/>
      <c r="L18" s="535"/>
      <c r="M18" s="535"/>
      <c r="N18" s="536"/>
    </row>
    <row r="19" spans="1:14" s="264" customFormat="1" ht="27.75" customHeight="1">
      <c r="A19" s="526" t="s">
        <v>99</v>
      </c>
      <c r="B19" s="531"/>
      <c r="C19" s="531"/>
      <c r="D19" s="531"/>
      <c r="E19" s="531"/>
      <c r="F19" s="531"/>
      <c r="G19" s="531"/>
      <c r="H19" s="531"/>
      <c r="I19" s="531"/>
      <c r="J19" s="531"/>
      <c r="K19" s="531"/>
      <c r="L19" s="527"/>
      <c r="M19" s="541">
        <f>+'Jul-2019'!G54</f>
        <v>242467.32</v>
      </c>
      <c r="N19" s="542"/>
    </row>
    <row r="20" spans="1:14" s="264" customFormat="1" ht="27.75" customHeight="1">
      <c r="A20" s="526" t="s">
        <v>100</v>
      </c>
      <c r="B20" s="531"/>
      <c r="C20" s="531"/>
      <c r="D20" s="531"/>
      <c r="E20" s="531"/>
      <c r="F20" s="531"/>
      <c r="G20" s="531"/>
      <c r="H20" s="531"/>
      <c r="I20" s="531"/>
      <c r="J20" s="531"/>
      <c r="K20" s="531"/>
      <c r="L20" s="527"/>
      <c r="M20" s="537">
        <f>+'Jul-2019'!E54</f>
        <v>7492.14</v>
      </c>
      <c r="N20" s="538"/>
    </row>
    <row r="21" spans="1:14" s="264" customFormat="1" ht="27.75" customHeight="1">
      <c r="A21" s="526" t="s">
        <v>101</v>
      </c>
      <c r="B21" s="531"/>
      <c r="C21" s="531"/>
      <c r="D21" s="531"/>
      <c r="E21" s="531"/>
      <c r="F21" s="531"/>
      <c r="G21" s="531"/>
      <c r="H21" s="531"/>
      <c r="I21" s="531"/>
      <c r="J21" s="531"/>
      <c r="K21" s="531"/>
      <c r="L21" s="527"/>
      <c r="M21" s="532">
        <f>M19-M20</f>
        <v>234975.18</v>
      </c>
      <c r="N21" s="533"/>
    </row>
    <row r="22" spans="1:14" s="264" customFormat="1" ht="27.75" customHeight="1">
      <c r="A22" s="534" t="s">
        <v>102</v>
      </c>
      <c r="B22" s="535"/>
      <c r="C22" s="535"/>
      <c r="D22" s="535"/>
      <c r="E22" s="535"/>
      <c r="F22" s="535"/>
      <c r="G22" s="535"/>
      <c r="H22" s="535"/>
      <c r="I22" s="535"/>
      <c r="J22" s="535"/>
      <c r="K22" s="535"/>
      <c r="L22" s="535"/>
      <c r="M22" s="535"/>
      <c r="N22" s="536"/>
    </row>
    <row r="23" spans="1:14" s="264" customFormat="1" ht="27.75" customHeight="1">
      <c r="A23" s="526" t="s">
        <v>103</v>
      </c>
      <c r="B23" s="531"/>
      <c r="C23" s="531"/>
      <c r="D23" s="531"/>
      <c r="E23" s="531"/>
      <c r="F23" s="531"/>
      <c r="G23" s="531"/>
      <c r="H23" s="531"/>
      <c r="I23" s="531"/>
      <c r="J23" s="531"/>
      <c r="K23" s="531"/>
      <c r="L23" s="527"/>
      <c r="M23" s="537">
        <v>0</v>
      </c>
      <c r="N23" s="538"/>
    </row>
    <row r="24" spans="1:14" s="264" customFormat="1" ht="27.75" customHeight="1">
      <c r="A24" s="526" t="s">
        <v>104</v>
      </c>
      <c r="B24" s="531"/>
      <c r="C24" s="531"/>
      <c r="D24" s="531"/>
      <c r="E24" s="531"/>
      <c r="F24" s="531"/>
      <c r="G24" s="531"/>
      <c r="H24" s="531"/>
      <c r="I24" s="531"/>
      <c r="J24" s="531"/>
      <c r="K24" s="531"/>
      <c r="L24" s="527"/>
      <c r="M24" s="537">
        <v>0</v>
      </c>
      <c r="N24" s="538"/>
    </row>
    <row r="25" spans="1:14" s="264" customFormat="1" ht="27.75" customHeight="1">
      <c r="A25" s="526" t="s">
        <v>105</v>
      </c>
      <c r="B25" s="531"/>
      <c r="C25" s="531"/>
      <c r="D25" s="531"/>
      <c r="E25" s="531"/>
      <c r="F25" s="531"/>
      <c r="G25" s="531"/>
      <c r="H25" s="531"/>
      <c r="I25" s="531"/>
      <c r="J25" s="531"/>
      <c r="K25" s="531"/>
      <c r="L25" s="527"/>
      <c r="M25" s="532">
        <f>M23-M24</f>
        <v>0</v>
      </c>
      <c r="N25" s="533"/>
    </row>
    <row r="26" spans="1:14" s="264" customFormat="1" ht="17.899999999999999" customHeight="1">
      <c r="A26" s="517" t="s">
        <v>106</v>
      </c>
      <c r="B26" s="518"/>
      <c r="C26" s="518"/>
      <c r="D26" s="518"/>
      <c r="E26" s="518"/>
      <c r="F26" s="518"/>
      <c r="G26" s="518"/>
      <c r="H26" s="518"/>
      <c r="I26" s="518"/>
      <c r="J26" s="518"/>
      <c r="K26" s="518"/>
      <c r="L26" s="518"/>
      <c r="M26" s="518"/>
      <c r="N26" s="519"/>
    </row>
    <row r="27" spans="1:14" s="264" customFormat="1" ht="15.65" customHeight="1">
      <c r="A27" s="510"/>
      <c r="B27" s="512"/>
      <c r="C27" s="512"/>
      <c r="D27" s="512"/>
      <c r="E27" s="512"/>
      <c r="F27" s="512"/>
      <c r="G27" s="512"/>
      <c r="H27" s="512"/>
      <c r="I27" s="512"/>
      <c r="J27" s="512"/>
      <c r="K27" s="512"/>
      <c r="L27" s="512"/>
      <c r="M27" s="512"/>
      <c r="N27" s="511"/>
    </row>
    <row r="28" spans="1:14" s="264" customFormat="1" ht="17.899999999999999" customHeight="1">
      <c r="A28" s="528" t="s">
        <v>107</v>
      </c>
      <c r="B28" s="529"/>
      <c r="C28" s="529"/>
      <c r="D28" s="529"/>
      <c r="E28" s="529"/>
      <c r="F28" s="529"/>
      <c r="G28" s="529"/>
      <c r="H28" s="529"/>
      <c r="I28" s="529"/>
      <c r="J28" s="529"/>
      <c r="K28" s="529"/>
      <c r="L28" s="529"/>
      <c r="M28" s="529"/>
      <c r="N28" s="530"/>
    </row>
    <row r="29" spans="1:14" s="264" customFormat="1" ht="30" customHeight="1">
      <c r="A29" s="526" t="s">
        <v>108</v>
      </c>
      <c r="B29" s="527"/>
      <c r="C29" s="265" t="s">
        <v>109</v>
      </c>
      <c r="D29" s="526" t="s">
        <v>110</v>
      </c>
      <c r="E29" s="531"/>
      <c r="F29" s="527"/>
      <c r="G29" s="510" t="s">
        <v>111</v>
      </c>
      <c r="H29" s="511"/>
      <c r="I29" s="266" t="s">
        <v>112</v>
      </c>
      <c r="J29" s="526" t="s">
        <v>113</v>
      </c>
      <c r="K29" s="531"/>
      <c r="L29" s="527"/>
      <c r="M29" s="265" t="s">
        <v>114</v>
      </c>
      <c r="N29" s="265" t="s">
        <v>115</v>
      </c>
    </row>
    <row r="30" spans="1:14" s="264" customFormat="1" ht="16.5">
      <c r="A30" s="510"/>
      <c r="B30" s="511"/>
      <c r="C30" s="45"/>
      <c r="D30" s="510"/>
      <c r="E30" s="512"/>
      <c r="F30" s="511"/>
      <c r="G30" s="513"/>
      <c r="H30" s="511"/>
      <c r="I30" s="266"/>
      <c r="J30" s="514"/>
      <c r="K30" s="515"/>
      <c r="L30" s="516"/>
      <c r="M30" s="265"/>
      <c r="N30" s="265"/>
    </row>
    <row r="31" spans="1:14" s="264" customFormat="1" ht="15.65" customHeight="1">
      <c r="A31" s="510"/>
      <c r="B31" s="511"/>
      <c r="C31" s="45"/>
      <c r="D31" s="510"/>
      <c r="E31" s="512"/>
      <c r="F31" s="511"/>
      <c r="G31" s="513"/>
      <c r="H31" s="511"/>
      <c r="I31" s="46"/>
      <c r="J31" s="514"/>
      <c r="K31" s="515"/>
      <c r="L31" s="516"/>
      <c r="M31" s="47"/>
      <c r="N31" s="48"/>
    </row>
    <row r="32" spans="1:14" s="264" customFormat="1" ht="75.75" customHeight="1">
      <c r="A32" s="517" t="s">
        <v>116</v>
      </c>
      <c r="B32" s="518"/>
      <c r="C32" s="518"/>
      <c r="D32" s="518"/>
      <c r="E32" s="518"/>
      <c r="F32" s="518"/>
      <c r="G32" s="518"/>
      <c r="H32" s="518"/>
      <c r="I32" s="518"/>
      <c r="J32" s="518"/>
      <c r="K32" s="518"/>
      <c r="L32" s="518"/>
      <c r="M32" s="518"/>
      <c r="N32" s="519"/>
    </row>
    <row r="33" spans="1:15" s="264" customFormat="1" ht="31.4" customHeight="1">
      <c r="A33" s="520" t="s">
        <v>117</v>
      </c>
      <c r="B33" s="521"/>
      <c r="C33" s="521"/>
      <c r="D33" s="521"/>
      <c r="E33" s="521"/>
      <c r="F33" s="521"/>
      <c r="G33" s="521"/>
      <c r="H33" s="521"/>
      <c r="I33" s="521"/>
      <c r="J33" s="521"/>
      <c r="K33" s="521"/>
      <c r="L33" s="522"/>
      <c r="M33" s="526" t="s">
        <v>118</v>
      </c>
      <c r="N33" s="527"/>
    </row>
    <row r="34" spans="1:15" s="264" customFormat="1" ht="31.4" customHeight="1">
      <c r="A34" s="523"/>
      <c r="B34" s="524"/>
      <c r="C34" s="524"/>
      <c r="D34" s="524"/>
      <c r="E34" s="524"/>
      <c r="F34" s="524"/>
      <c r="G34" s="524"/>
      <c r="H34" s="524"/>
      <c r="I34" s="524"/>
      <c r="J34" s="524"/>
      <c r="K34" s="524"/>
      <c r="L34" s="525"/>
      <c r="M34" s="526" t="s">
        <v>119</v>
      </c>
      <c r="N34" s="527"/>
    </row>
    <row r="35" spans="1:15" s="264" customFormat="1" ht="31.4" customHeight="1">
      <c r="A35" s="520" t="s">
        <v>120</v>
      </c>
      <c r="B35" s="521"/>
      <c r="C35" s="521"/>
      <c r="D35" s="521"/>
      <c r="E35" s="521"/>
      <c r="F35" s="521"/>
      <c r="G35" s="521"/>
      <c r="H35" s="521"/>
      <c r="I35" s="521"/>
      <c r="J35" s="521"/>
      <c r="K35" s="521"/>
      <c r="L35" s="522"/>
      <c r="M35" s="520" t="s">
        <v>121</v>
      </c>
      <c r="N35" s="522"/>
    </row>
    <row r="36" spans="1:15" s="264" customFormat="1" ht="31" customHeight="1">
      <c r="A36" s="523"/>
      <c r="B36" s="524"/>
      <c r="C36" s="524"/>
      <c r="D36" s="524"/>
      <c r="E36" s="524"/>
      <c r="F36" s="524"/>
      <c r="G36" s="524"/>
      <c r="H36" s="524"/>
      <c r="I36" s="524"/>
      <c r="J36" s="524"/>
      <c r="K36" s="524"/>
      <c r="L36" s="525"/>
      <c r="M36" s="523"/>
      <c r="N36" s="52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5:L36"/>
    <mergeCell ref="M35:N36"/>
    <mergeCell ref="A29:B29"/>
    <mergeCell ref="D29:F29"/>
    <mergeCell ref="G29:H29"/>
    <mergeCell ref="J29:L29"/>
    <mergeCell ref="A39:O39"/>
    <mergeCell ref="A30:B30"/>
    <mergeCell ref="D30:F30"/>
    <mergeCell ref="G30:H30"/>
    <mergeCell ref="J30:L30"/>
    <mergeCell ref="A31:B31"/>
    <mergeCell ref="D31:F31"/>
    <mergeCell ref="G31:H31"/>
    <mergeCell ref="J31:L31"/>
    <mergeCell ref="A32:N32"/>
    <mergeCell ref="A33:L34"/>
    <mergeCell ref="M33:N33"/>
    <mergeCell ref="M34:N34"/>
  </mergeCells>
  <printOptions horizontalCentered="1"/>
  <pageMargins left="0.17" right="0.17" top="0.25" bottom="0" header="9.2999999999999999E-2" footer="0"/>
  <pageSetup scale="62"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I95"/>
  <sheetViews>
    <sheetView zoomScaleNormal="100" zoomScaleSheetLayoutView="70" workbookViewId="0">
      <pane xSplit="1" ySplit="5" topLeftCell="B34"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9">
        <v>43678</v>
      </c>
      <c r="H1" s="550"/>
      <c r="I1" s="106" t="s">
        <v>49</v>
      </c>
    </row>
    <row r="2" spans="1:9" ht="21">
      <c r="A2" s="37" t="s">
        <v>152</v>
      </c>
      <c r="B2" s="35"/>
      <c r="C2" s="35"/>
      <c r="D2" s="36"/>
      <c r="E2" s="36" t="s">
        <v>38</v>
      </c>
      <c r="F2" s="65"/>
      <c r="G2" s="551"/>
      <c r="H2" s="55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Allocations'!F73</f>
        <v>1261.54</v>
      </c>
      <c r="C6" s="140"/>
      <c r="D6" s="141"/>
      <c r="E6" s="142">
        <f>SUM(B6:D6)</f>
        <v>1261.54</v>
      </c>
      <c r="F6" s="143">
        <f>E6+'Jul-2019'!F6</f>
        <v>2207.69</v>
      </c>
      <c r="G6" s="143">
        <v>16400</v>
      </c>
      <c r="H6" s="144">
        <f>G6-F6</f>
        <v>14192.31</v>
      </c>
      <c r="I6" s="108">
        <f>F6/G6</f>
        <v>0.13461524390243904</v>
      </c>
    </row>
    <row r="7" spans="1:9" s="103" customFormat="1" ht="25.5" customHeight="1">
      <c r="A7" s="138" t="s">
        <v>146</v>
      </c>
      <c r="B7" s="139">
        <f>+'Salaries &amp; Fringe Allocations'!F74</f>
        <v>2107.14</v>
      </c>
      <c r="C7" s="140"/>
      <c r="D7" s="141">
        <f>+'Salaries &amp; Fringe Allocations'!F75</f>
        <v>2892.86</v>
      </c>
      <c r="E7" s="142">
        <f t="shared" ref="E7:E12" si="0">SUM(B7:D7)</f>
        <v>5000</v>
      </c>
      <c r="F7" s="143">
        <f>E7+'Jul-2019'!F7</f>
        <v>8750</v>
      </c>
      <c r="G7" s="143">
        <v>66000</v>
      </c>
      <c r="H7" s="144">
        <f>G7-F7</f>
        <v>57250</v>
      </c>
      <c r="I7" s="108">
        <f t="shared" ref="I7:I20" si="1">F7/G7</f>
        <v>0.13257575757575757</v>
      </c>
    </row>
    <row r="8" spans="1:9" s="103" customFormat="1" ht="25.5" customHeight="1">
      <c r="A8" s="138" t="s">
        <v>155</v>
      </c>
      <c r="B8" s="139"/>
      <c r="C8" s="140"/>
      <c r="D8" s="141">
        <f>+'Salaries &amp; Fringe Allocations'!F76</f>
        <v>3076.94</v>
      </c>
      <c r="E8" s="142">
        <f t="shared" si="0"/>
        <v>3076.94</v>
      </c>
      <c r="F8" s="143">
        <f>E8+'Jul-2019'!F8</f>
        <v>3846.1800000000003</v>
      </c>
      <c r="G8" s="143">
        <v>40000</v>
      </c>
      <c r="H8" s="144">
        <f t="shared" ref="H8:H12" si="2">G8-F8</f>
        <v>36153.82</v>
      </c>
      <c r="I8" s="108">
        <f t="shared" si="1"/>
        <v>9.6154500000000004E-2</v>
      </c>
    </row>
    <row r="9" spans="1:9" s="103" customFormat="1" ht="25.5" customHeight="1">
      <c r="A9" s="138" t="s">
        <v>147</v>
      </c>
      <c r="B9" s="139"/>
      <c r="C9" s="140"/>
      <c r="D9" s="141">
        <f>+'Salaries &amp; Fringe Allocations'!F77</f>
        <v>2307.6999999999998</v>
      </c>
      <c r="E9" s="142">
        <f t="shared" si="0"/>
        <v>2307.6999999999998</v>
      </c>
      <c r="F9" s="143">
        <f>E9+'Jul-2019'!F9</f>
        <v>4038.58</v>
      </c>
      <c r="G9" s="143">
        <v>30000</v>
      </c>
      <c r="H9" s="144">
        <f t="shared" si="2"/>
        <v>25961.42</v>
      </c>
      <c r="I9" s="108">
        <f t="shared" si="1"/>
        <v>0.13461933333333334</v>
      </c>
    </row>
    <row r="10" spans="1:9" s="103" customFormat="1" ht="25.5" customHeight="1">
      <c r="A10" s="138" t="s">
        <v>156</v>
      </c>
      <c r="B10" s="139"/>
      <c r="C10" s="140"/>
      <c r="D10" s="141">
        <f>+'Salaries &amp; Fringe Allocations'!F78</f>
        <v>1730.4</v>
      </c>
      <c r="E10" s="142">
        <f t="shared" si="0"/>
        <v>1730.4</v>
      </c>
      <c r="F10" s="143">
        <f>E10+'Jul-2019'!F10</f>
        <v>2941.6800000000003</v>
      </c>
      <c r="G10" s="143">
        <v>21500</v>
      </c>
      <c r="H10" s="144">
        <f t="shared" si="2"/>
        <v>18558.32</v>
      </c>
      <c r="I10" s="108">
        <f t="shared" si="1"/>
        <v>0.13682232558139537</v>
      </c>
    </row>
    <row r="11" spans="1:9" s="103" customFormat="1" ht="25.5" customHeight="1">
      <c r="A11" s="138" t="s">
        <v>148</v>
      </c>
      <c r="B11" s="139">
        <f>+'Salaries &amp; Fringe Allocations'!F79</f>
        <v>1318.69</v>
      </c>
      <c r="C11" s="140"/>
      <c r="D11" s="141">
        <f>+'Salaries &amp; Fringe Allocations'!F80</f>
        <v>1604.4</v>
      </c>
      <c r="E11" s="142">
        <f t="shared" si="0"/>
        <v>2923.09</v>
      </c>
      <c r="F11" s="143">
        <f>E11+'Jul-2019'!F11</f>
        <v>5230.8</v>
      </c>
      <c r="G11" s="143">
        <v>36000</v>
      </c>
      <c r="H11" s="144">
        <f t="shared" si="2"/>
        <v>30769.200000000001</v>
      </c>
      <c r="I11" s="108">
        <f t="shared" si="1"/>
        <v>0.14530000000000001</v>
      </c>
    </row>
    <row r="12" spans="1:9" s="103" customFormat="1" ht="25.5" customHeight="1">
      <c r="A12" s="138" t="s">
        <v>363</v>
      </c>
      <c r="B12" s="139">
        <f>+'Salaries &amp; Fringe Allocations'!F81</f>
        <v>846.15</v>
      </c>
      <c r="C12" s="140"/>
      <c r="D12" s="141"/>
      <c r="E12" s="142">
        <f t="shared" si="0"/>
        <v>846.15</v>
      </c>
      <c r="F12" s="143">
        <f>E12+'Jul-2019'!F12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5533.5199999999995</v>
      </c>
      <c r="C16" s="147">
        <f>SUM(C6:C15)</f>
        <v>0</v>
      </c>
      <c r="D16" s="147">
        <f t="shared" ref="D16" si="3">SUM(D6:D15)</f>
        <v>11612.3</v>
      </c>
      <c r="E16" s="147">
        <f>SUM(E6:E15)</f>
        <v>17145.82</v>
      </c>
      <c r="F16" s="148">
        <f>SUM(F6:F15)</f>
        <v>27861.08</v>
      </c>
      <c r="G16" s="148">
        <f>SUM(G6:G15)</f>
        <v>213900</v>
      </c>
      <c r="H16" s="148">
        <f>SUM(H6:H15)</f>
        <v>186038.92</v>
      </c>
      <c r="I16" s="108">
        <f t="shared" si="1"/>
        <v>0.13025282842449742</v>
      </c>
    </row>
    <row r="17" spans="1:9" s="103" customFormat="1" ht="15.5">
      <c r="A17" s="150"/>
      <c r="B17" s="151"/>
      <c r="C17" s="152"/>
      <c r="D17" s="152"/>
      <c r="E17" s="153"/>
      <c r="F17" s="70"/>
      <c r="G17" s="70"/>
      <c r="H17" s="70"/>
      <c r="I17" s="109"/>
    </row>
    <row r="18" spans="1:9" s="103" customFormat="1" ht="15.5">
      <c r="A18" s="117" t="s">
        <v>34</v>
      </c>
      <c r="B18" s="154">
        <f>+'Salaries &amp; Fringe Allocations'!Q73+'Salaries &amp; Fringe Allocations'!Q74+'Salaries &amp; Fringe Allocations'!Q79+'Salaries &amp; Fringe Allocations'!Q81</f>
        <v>2040.4428972409066</v>
      </c>
      <c r="C18" s="155"/>
      <c r="D18" s="155">
        <f>+'Salaries &amp; Fringe Allocations'!Q75+'Salaries &amp; Fringe Allocations'!Q76+'Salaries &amp; Fringe Allocations'!Q77+'Salaries &amp; Fringe Allocations'!Q78+'Salaries &amp; Fringe Allocations'!Q80</f>
        <v>3853.184481256159</v>
      </c>
      <c r="E18" s="156">
        <f>SUM(B18:D18)</f>
        <v>5893.6273784970654</v>
      </c>
      <c r="F18" s="143">
        <f>E18+'Jul-2019'!F18</f>
        <v>10643.871378497066</v>
      </c>
      <c r="G18" s="71">
        <v>68136</v>
      </c>
      <c r="H18" s="72">
        <f>G18-F18</f>
        <v>57492.128621502932</v>
      </c>
      <c r="I18" s="108">
        <f t="shared" si="1"/>
        <v>0.15621509009183202</v>
      </c>
    </row>
    <row r="19" spans="1:9" s="103" customFormat="1" ht="15.5">
      <c r="A19" s="150"/>
      <c r="B19" s="151"/>
      <c r="C19" s="152"/>
      <c r="D19" s="152"/>
      <c r="E19" s="153"/>
      <c r="F19" s="70"/>
      <c r="G19" s="70"/>
      <c r="H19" s="70">
        <f t="shared" ref="H19:H35" si="4">G19-F19</f>
        <v>0</v>
      </c>
      <c r="I19" s="109"/>
    </row>
    <row r="20" spans="1:9" s="103" customFormat="1" ht="16" thickBot="1">
      <c r="A20" s="117" t="s">
        <v>6</v>
      </c>
      <c r="B20" s="157">
        <f>B16+B18</f>
        <v>7573.9628972409064</v>
      </c>
      <c r="C20" s="158">
        <f t="shared" ref="C20:F20" si="5">C16+C18</f>
        <v>0</v>
      </c>
      <c r="D20" s="158">
        <f t="shared" si="5"/>
        <v>15465.484481256159</v>
      </c>
      <c r="E20" s="159">
        <f t="shared" si="5"/>
        <v>23039.447378497065</v>
      </c>
      <c r="F20" s="198">
        <f t="shared" si="5"/>
        <v>38504.95137849707</v>
      </c>
      <c r="G20" s="73">
        <f>G16+G18</f>
        <v>282036</v>
      </c>
      <c r="H20" s="73">
        <f>H16+H18</f>
        <v>243531.04862150294</v>
      </c>
      <c r="I20" s="110">
        <f t="shared" si="1"/>
        <v>0.13652495205752838</v>
      </c>
    </row>
    <row r="21" spans="1:9" s="103" customFormat="1" ht="16" thickTop="1">
      <c r="A21" s="117"/>
      <c r="B21" s="151"/>
      <c r="C21" s="152"/>
      <c r="D21" s="152"/>
      <c r="E21" s="160"/>
      <c r="F21" s="74"/>
      <c r="G21" s="74"/>
      <c r="H21" s="74"/>
      <c r="I21" s="109"/>
    </row>
    <row r="22" spans="1:9" s="103" customFormat="1" ht="15.5">
      <c r="A22" s="117" t="s">
        <v>22</v>
      </c>
      <c r="B22" s="151"/>
      <c r="C22" s="152"/>
      <c r="D22" s="152"/>
      <c r="E22" s="160"/>
      <c r="F22" s="74"/>
      <c r="G22" s="74"/>
      <c r="H22" s="74"/>
      <c r="I22" s="109"/>
    </row>
    <row r="23" spans="1:9" s="103" customFormat="1" ht="24" customHeight="1">
      <c r="A23" s="161" t="s">
        <v>169</v>
      </c>
      <c r="B23" s="139"/>
      <c r="C23" s="140"/>
      <c r="D23" s="141">
        <f>+'Aug 2019 GL'!G77</f>
        <v>287.13</v>
      </c>
      <c r="E23" s="142">
        <f>SUM(B23:D23)</f>
        <v>287.13</v>
      </c>
      <c r="F23" s="143">
        <f>E23+'Jul-2019'!F23</f>
        <v>555.15</v>
      </c>
      <c r="G23" s="143">
        <v>4000</v>
      </c>
      <c r="H23" s="144">
        <f>G23-F23</f>
        <v>3444.85</v>
      </c>
      <c r="I23" s="108">
        <f t="shared" ref="I23:I37" si="6">F23/G23</f>
        <v>0.13878750000000001</v>
      </c>
    </row>
    <row r="24" spans="1:9" s="103" customFormat="1" ht="24" customHeight="1">
      <c r="A24" s="161" t="str">
        <f>'Jul-2019'!A24</f>
        <v>Supplies</v>
      </c>
      <c r="B24" s="139">
        <f>+'Aug 2019 GL'!G85</f>
        <v>86</v>
      </c>
      <c r="C24" s="140"/>
      <c r="D24" s="141">
        <f>+'Aug 2019 GL'!G81</f>
        <v>329.9</v>
      </c>
      <c r="E24" s="142">
        <f t="shared" ref="E24:E35" si="7">SUM(B24:D24)</f>
        <v>415.9</v>
      </c>
      <c r="F24" s="143">
        <f>E24+'Jul-2019'!F24</f>
        <v>471.49</v>
      </c>
      <c r="G24" s="143">
        <v>7000</v>
      </c>
      <c r="H24" s="144">
        <f t="shared" ref="H24:H31" si="8">G24-F24</f>
        <v>6528.51</v>
      </c>
      <c r="I24" s="108">
        <f t="shared" si="6"/>
        <v>6.7355714285714283E-2</v>
      </c>
    </row>
    <row r="25" spans="1:9" s="103" customFormat="1" ht="24" customHeight="1">
      <c r="A25" s="161" t="str">
        <f>'Jul-2019'!A25</f>
        <v xml:space="preserve">Staff Development </v>
      </c>
      <c r="B25" s="139"/>
      <c r="C25" s="140"/>
      <c r="D25" s="141"/>
      <c r="E25" s="142">
        <f t="shared" si="7"/>
        <v>0</v>
      </c>
      <c r="F25" s="143">
        <f>E25+'Jul-2019'!F25</f>
        <v>0</v>
      </c>
      <c r="G25" s="143">
        <v>2000</v>
      </c>
      <c r="H25" s="144">
        <f t="shared" si="8"/>
        <v>2000</v>
      </c>
      <c r="I25" s="108">
        <f t="shared" si="6"/>
        <v>0</v>
      </c>
    </row>
    <row r="26" spans="1:9" s="103" customFormat="1" ht="24" customHeight="1">
      <c r="A26" s="161" t="str">
        <f>'Jul-2019'!A26</f>
        <v xml:space="preserve">Contractual/Consultants </v>
      </c>
      <c r="B26" s="139">
        <f>+'Aug 2019 GL'!G92</f>
        <v>496</v>
      </c>
      <c r="C26" s="140"/>
      <c r="D26" s="141"/>
      <c r="E26" s="142">
        <f t="shared" si="7"/>
        <v>496</v>
      </c>
      <c r="F26" s="143">
        <f>E26+'Jul-2019'!F26</f>
        <v>857.69</v>
      </c>
      <c r="G26" s="143">
        <v>13200</v>
      </c>
      <c r="H26" s="144">
        <f t="shared" si="8"/>
        <v>12342.31</v>
      </c>
      <c r="I26" s="108">
        <f t="shared" si="6"/>
        <v>6.497651515151516E-2</v>
      </c>
    </row>
    <row r="27" spans="1:9" s="103" customFormat="1" ht="24" customHeight="1">
      <c r="A27" s="161" t="str">
        <f>'Jul-2019'!A27</f>
        <v>Occupancy</v>
      </c>
      <c r="B27" s="139">
        <f>+'Aug 2019 GL'!G105</f>
        <v>273</v>
      </c>
      <c r="C27" s="140"/>
      <c r="D27" s="141">
        <f>+'Aug 2019 GL'!G97</f>
        <v>648</v>
      </c>
      <c r="E27" s="142">
        <f t="shared" si="7"/>
        <v>921</v>
      </c>
      <c r="F27" s="143">
        <f>E27+'Jul-2019'!F27</f>
        <v>1901.27</v>
      </c>
      <c r="G27" s="143">
        <v>12000</v>
      </c>
      <c r="H27" s="144">
        <f t="shared" si="8"/>
        <v>10098.73</v>
      </c>
      <c r="I27" s="108">
        <f t="shared" si="6"/>
        <v>0.15843916666666666</v>
      </c>
    </row>
    <row r="28" spans="1:9" s="103" customFormat="1" ht="24" customHeight="1">
      <c r="A28" s="161" t="str">
        <f>'Jul-2019'!A28</f>
        <v>Audit  (100% Admin)</v>
      </c>
      <c r="B28" s="139"/>
      <c r="C28" s="9"/>
      <c r="D28" s="9"/>
      <c r="E28" s="142">
        <f>SUM(B28:D28)</f>
        <v>0</v>
      </c>
      <c r="F28" s="143">
        <f>E28+'Jul-2019'!F28</f>
        <v>1130.29</v>
      </c>
      <c r="G28" s="143">
        <v>6000</v>
      </c>
      <c r="H28" s="144">
        <f t="shared" si="8"/>
        <v>4869.71</v>
      </c>
      <c r="I28" s="108">
        <f t="shared" si="6"/>
        <v>0.18838166666666667</v>
      </c>
    </row>
    <row r="29" spans="1:9" s="103" customFormat="1" ht="24" customHeight="1">
      <c r="A29" s="161" t="str">
        <f>'Jul-2019'!A29</f>
        <v>Marketing and Outreach</v>
      </c>
      <c r="B29" s="139"/>
      <c r="C29" s="140"/>
      <c r="D29" s="141"/>
      <c r="E29" s="142">
        <f t="shared" si="7"/>
        <v>0</v>
      </c>
      <c r="F29" s="143">
        <f>E29+'Jul-2019'!F29</f>
        <v>0</v>
      </c>
      <c r="G29" s="143">
        <v>570</v>
      </c>
      <c r="H29" s="144">
        <f t="shared" si="8"/>
        <v>570</v>
      </c>
      <c r="I29" s="108">
        <f t="shared" si="6"/>
        <v>0</v>
      </c>
    </row>
    <row r="30" spans="1:9" s="103" customFormat="1" ht="24" customHeight="1">
      <c r="A30" s="161" t="str">
        <f>'Jul-2019'!A30</f>
        <v>Rental Equipment</v>
      </c>
      <c r="B30" s="139">
        <f>+'Aug 2019 GL'!G116</f>
        <v>522</v>
      </c>
      <c r="C30" s="140"/>
      <c r="D30" s="141"/>
      <c r="E30" s="142">
        <f t="shared" si="7"/>
        <v>522</v>
      </c>
      <c r="F30" s="143">
        <f>E30+'Jul-2019'!F30</f>
        <v>722.95</v>
      </c>
      <c r="G30" s="143">
        <v>6475</v>
      </c>
      <c r="H30" s="144">
        <f t="shared" si="8"/>
        <v>5752.05</v>
      </c>
      <c r="I30" s="108">
        <f t="shared" si="6"/>
        <v>0.11165250965250965</v>
      </c>
    </row>
    <row r="31" spans="1:9" s="103" customFormat="1" ht="24" customHeight="1">
      <c r="A31" s="161" t="str">
        <f>'Jul-2019'!A31</f>
        <v>Participant Payroll fees</v>
      </c>
      <c r="B31" s="139">
        <f>+'Aug 2019 GL'!G25</f>
        <v>1001.69</v>
      </c>
      <c r="C31" s="140"/>
      <c r="D31" s="141"/>
      <c r="E31" s="142">
        <f t="shared" si="7"/>
        <v>1001.69</v>
      </c>
      <c r="F31" s="143">
        <f>E31+'Jul-2019'!F31</f>
        <v>1873.95</v>
      </c>
      <c r="G31" s="143">
        <v>13000</v>
      </c>
      <c r="H31" s="144">
        <f t="shared" si="8"/>
        <v>11126.05</v>
      </c>
      <c r="I31" s="108">
        <f t="shared" si="6"/>
        <v>0.14415</v>
      </c>
    </row>
    <row r="32" spans="1:9" s="103" customFormat="1" ht="24" customHeight="1">
      <c r="A32" s="161" t="str">
        <f>'Jul-2019'!A32</f>
        <v>Infrastructure Costs</v>
      </c>
      <c r="B32" s="139"/>
      <c r="C32" s="140"/>
      <c r="D32" s="141"/>
      <c r="E32" s="142">
        <f t="shared" si="7"/>
        <v>0</v>
      </c>
      <c r="F32" s="143">
        <f>E32+'Jul-2019'!F32</f>
        <v>0</v>
      </c>
      <c r="G32" s="143">
        <v>1500</v>
      </c>
      <c r="H32" s="144">
        <f>G32-F32</f>
        <v>1500</v>
      </c>
      <c r="I32" s="108">
        <f t="shared" si="6"/>
        <v>0</v>
      </c>
    </row>
    <row r="33" spans="1:9" s="103" customFormat="1" ht="24" customHeight="1">
      <c r="A33" s="161" t="str">
        <f>'Jul-2019'!A33</f>
        <v>Other Operating costs</v>
      </c>
      <c r="B33" s="139">
        <f>+'Aug 2019 GL'!G132</f>
        <v>575.94000000000005</v>
      </c>
      <c r="C33" s="140"/>
      <c r="D33" s="141"/>
      <c r="E33" s="142">
        <f t="shared" si="7"/>
        <v>575.94000000000005</v>
      </c>
      <c r="F33" s="143">
        <f>E33+'Jul-2019'!F33</f>
        <v>843.82</v>
      </c>
      <c r="G33" s="143">
        <v>3000.7</v>
      </c>
      <c r="H33" s="144">
        <f>G33-F33</f>
        <v>2156.8799999999997</v>
      </c>
      <c r="I33" s="108">
        <f t="shared" si="6"/>
        <v>0.28120771819908691</v>
      </c>
    </row>
    <row r="34" spans="1:9" s="103" customFormat="1" ht="24" customHeight="1">
      <c r="A34" s="161" t="s">
        <v>77</v>
      </c>
      <c r="B34" s="139">
        <f>+'Aug 2019 GL'!G141</f>
        <v>272</v>
      </c>
      <c r="C34" s="140"/>
      <c r="D34" s="141"/>
      <c r="E34" s="142">
        <f t="shared" si="7"/>
        <v>272</v>
      </c>
      <c r="F34" s="143">
        <f>E34+'Jul-2019'!F34</f>
        <v>454.85</v>
      </c>
      <c r="G34" s="143">
        <v>3000</v>
      </c>
      <c r="H34" s="144">
        <f t="shared" si="4"/>
        <v>2545.15</v>
      </c>
      <c r="I34" s="108">
        <f t="shared" si="6"/>
        <v>0.15161666666666668</v>
      </c>
    </row>
    <row r="35" spans="1:9" s="103" customFormat="1" ht="24" customHeight="1">
      <c r="A35" s="161" t="s">
        <v>150</v>
      </c>
      <c r="B35" s="139">
        <f>+'Aug 2019 GL'!G147</f>
        <v>503</v>
      </c>
      <c r="C35" s="140"/>
      <c r="D35" s="141"/>
      <c r="E35" s="142">
        <f t="shared" si="7"/>
        <v>503</v>
      </c>
      <c r="F35" s="143">
        <f>E35+'Jul-2019'!F35</f>
        <v>823.72</v>
      </c>
      <c r="G35" s="143">
        <v>4000</v>
      </c>
      <c r="H35" s="144">
        <f t="shared" si="4"/>
        <v>3176.2799999999997</v>
      </c>
      <c r="I35" s="108">
        <f t="shared" si="6"/>
        <v>0.20593</v>
      </c>
    </row>
    <row r="36" spans="1:9" s="103" customFormat="1" ht="24" customHeight="1">
      <c r="A36" s="161" t="s">
        <v>151</v>
      </c>
      <c r="B36" s="151">
        <f>+'Aug 2019 GL'!G152</f>
        <v>38</v>
      </c>
      <c r="C36" s="152"/>
      <c r="D36" s="163"/>
      <c r="E36" s="142">
        <f t="shared" ref="E36" si="9">SUM(B36:D36)</f>
        <v>38</v>
      </c>
      <c r="F36" s="143">
        <f>E36+'Jul-2019'!F36</f>
        <v>38</v>
      </c>
      <c r="G36" s="164">
        <v>1000</v>
      </c>
      <c r="H36" s="144">
        <f t="shared" ref="H36" si="10">G36-F36</f>
        <v>962</v>
      </c>
      <c r="I36" s="108">
        <f t="shared" ref="I36" si="11">F36/G36</f>
        <v>3.7999999999999999E-2</v>
      </c>
    </row>
    <row r="37" spans="1:9" s="168" customFormat="1" ht="24.75" customHeight="1" thickBot="1">
      <c r="A37" s="117" t="s">
        <v>21</v>
      </c>
      <c r="B37" s="165">
        <f>SUM(B23:B36)</f>
        <v>3767.63</v>
      </c>
      <c r="C37" s="166">
        <f t="shared" ref="C37:E37" si="12">SUM(C23:C36)</f>
        <v>0</v>
      </c>
      <c r="D37" s="166">
        <f t="shared" si="12"/>
        <v>1265.03</v>
      </c>
      <c r="E37" s="166">
        <f t="shared" si="12"/>
        <v>5032.66</v>
      </c>
      <c r="F37" s="167">
        <f>SUM(F23:F36)</f>
        <v>9673.1799999999985</v>
      </c>
      <c r="G37" s="167">
        <f>SUM(G23:G36)</f>
        <v>76745.7</v>
      </c>
      <c r="H37" s="167">
        <f>SUM(H23:H36)</f>
        <v>67072.51999999999</v>
      </c>
      <c r="I37" s="110">
        <f t="shared" si="6"/>
        <v>0.12604198020214813</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+'Aug 2019 GL'!G9-C42</f>
        <v>94574.04</v>
      </c>
      <c r="D41" s="170"/>
      <c r="E41" s="171">
        <f>SUM(B41:D41)</f>
        <v>94574.04</v>
      </c>
      <c r="F41" s="143">
        <f>E41+'Jul-2019'!F41</f>
        <v>153497.47999999998</v>
      </c>
      <c r="G41" s="144">
        <v>1452829.24</v>
      </c>
      <c r="H41" s="144">
        <f>G41-F41-F42</f>
        <v>1298821.8</v>
      </c>
      <c r="I41" s="108">
        <f t="shared" ref="I41:I56" si="13">F41/G41</f>
        <v>0.10565417860119609</v>
      </c>
    </row>
    <row r="42" spans="1:9" s="168" customFormat="1" ht="21.75" customHeight="1">
      <c r="A42" s="138" t="s">
        <v>83</v>
      </c>
      <c r="B42" s="139"/>
      <c r="C42" s="170">
        <f>SUM('Aug 2019 GL'!G11:G12)</f>
        <v>509.96000000000004</v>
      </c>
      <c r="D42" s="170"/>
      <c r="E42" s="171">
        <f>SUM(B42:D42)</f>
        <v>509.96000000000004</v>
      </c>
      <c r="F42" s="143">
        <f>E42+'Jul-2019'!F42</f>
        <v>509.96000000000004</v>
      </c>
      <c r="G42" s="144"/>
      <c r="H42" s="144"/>
      <c r="I42" s="108" t="e">
        <f t="shared" si="13"/>
        <v>#DIV/0!</v>
      </c>
    </row>
    <row r="43" spans="1:9" s="168" customFormat="1" ht="21.75" customHeight="1">
      <c r="A43" s="138" t="s">
        <v>80</v>
      </c>
      <c r="B43" s="139"/>
      <c r="C43" s="170"/>
      <c r="D43" s="170"/>
      <c r="E43" s="171">
        <f t="shared" ref="E43:E47" si="14">SUM(B43:D43)</f>
        <v>0</v>
      </c>
      <c r="F43" s="143">
        <f>E43+'Jul-2019'!F43</f>
        <v>0</v>
      </c>
      <c r="G43" s="144">
        <v>12820</v>
      </c>
      <c r="H43" s="144">
        <f t="shared" ref="H43:H47" si="15">G43-F43</f>
        <v>12820</v>
      </c>
      <c r="I43" s="108">
        <f t="shared" si="13"/>
        <v>0</v>
      </c>
    </row>
    <row r="44" spans="1:9" s="168" customFormat="1" ht="21.75" customHeight="1">
      <c r="A44" s="138" t="s">
        <v>78</v>
      </c>
      <c r="B44" s="139"/>
      <c r="C44" s="170">
        <f>+'Aug 2019 GL'!G18</f>
        <v>7276</v>
      </c>
      <c r="D44" s="170"/>
      <c r="E44" s="171">
        <f t="shared" si="14"/>
        <v>7276</v>
      </c>
      <c r="F44" s="143">
        <f>E44+'Jul-2019'!F44</f>
        <v>11811.75</v>
      </c>
      <c r="G44" s="144">
        <v>111141.44</v>
      </c>
      <c r="H44" s="144">
        <f t="shared" si="15"/>
        <v>99329.69</v>
      </c>
      <c r="I44" s="108">
        <f t="shared" si="13"/>
        <v>0.1062767407008583</v>
      </c>
    </row>
    <row r="45" spans="1:9" s="168" customFormat="1" ht="21.75" customHeight="1">
      <c r="A45" s="138" t="s">
        <v>29</v>
      </c>
      <c r="B45" s="139"/>
      <c r="C45" s="170">
        <f>+'Aug 2019 GL'!G21</f>
        <v>2741</v>
      </c>
      <c r="D45" s="140"/>
      <c r="E45" s="172">
        <f t="shared" si="14"/>
        <v>2741</v>
      </c>
      <c r="F45" s="143">
        <f>E45+'Jul-2019'!F45</f>
        <v>4790.2</v>
      </c>
      <c r="G45" s="144">
        <v>22373.57</v>
      </c>
      <c r="H45" s="144">
        <f t="shared" si="15"/>
        <v>17583.37</v>
      </c>
      <c r="I45" s="108">
        <f t="shared" si="13"/>
        <v>0.21410083415386993</v>
      </c>
    </row>
    <row r="46" spans="1:9" s="168" customFormat="1" ht="21.75" customHeight="1">
      <c r="A46" s="138" t="s">
        <v>79</v>
      </c>
      <c r="B46" s="139"/>
      <c r="C46" s="140"/>
      <c r="D46" s="140"/>
      <c r="E46" s="172">
        <f t="shared" si="14"/>
        <v>0</v>
      </c>
      <c r="F46" s="143">
        <f>E46+'Jul-2019'!F46</f>
        <v>0</v>
      </c>
      <c r="G46" s="144">
        <v>8500</v>
      </c>
      <c r="H46" s="144">
        <f t="shared" si="15"/>
        <v>8500</v>
      </c>
      <c r="I46" s="108">
        <f t="shared" si="13"/>
        <v>0</v>
      </c>
    </row>
    <row r="47" spans="1:9" s="168" customFormat="1" ht="21.75" customHeight="1">
      <c r="A47" s="138" t="s">
        <v>168</v>
      </c>
      <c r="B47" s="151"/>
      <c r="C47" s="152"/>
      <c r="D47" s="152"/>
      <c r="E47" s="172">
        <f t="shared" si="14"/>
        <v>0</v>
      </c>
      <c r="F47" s="143">
        <f>E47+'Jul-2019'!F47</f>
        <v>0</v>
      </c>
      <c r="G47" s="74">
        <v>29630</v>
      </c>
      <c r="H47" s="144">
        <f t="shared" si="15"/>
        <v>29630</v>
      </c>
      <c r="I47" s="108">
        <f t="shared" si="13"/>
        <v>0</v>
      </c>
    </row>
    <row r="48" spans="1:9" s="168" customFormat="1" ht="21.75" customHeight="1" thickBot="1">
      <c r="A48" s="117" t="s">
        <v>30</v>
      </c>
      <c r="B48" s="165">
        <f t="shared" ref="B48:H48" si="16">SUM(B41:B47)</f>
        <v>0</v>
      </c>
      <c r="C48" s="166">
        <f t="shared" si="16"/>
        <v>105101</v>
      </c>
      <c r="D48" s="166">
        <f t="shared" si="16"/>
        <v>0</v>
      </c>
      <c r="E48" s="166">
        <f t="shared" si="16"/>
        <v>105101</v>
      </c>
      <c r="F48" s="75">
        <f t="shared" si="16"/>
        <v>170609.38999999998</v>
      </c>
      <c r="G48" s="75">
        <f t="shared" si="16"/>
        <v>1637294.25</v>
      </c>
      <c r="H48" s="75">
        <f t="shared" si="16"/>
        <v>1466684.86</v>
      </c>
      <c r="I48" s="110">
        <f t="shared" si="13"/>
        <v>0.10420203332418713</v>
      </c>
    </row>
    <row r="49" spans="1:9" s="175" customFormat="1" ht="16" thickTop="1">
      <c r="A49" s="117"/>
      <c r="B49" s="173"/>
      <c r="C49" s="98"/>
      <c r="D49" s="173"/>
      <c r="E49" s="174"/>
      <c r="F49" s="69"/>
      <c r="G49" s="69"/>
      <c r="H49" s="69"/>
      <c r="I49" s="109"/>
    </row>
    <row r="50" spans="1:9" s="175" customFormat="1" ht="15.5">
      <c r="A50" s="10" t="s">
        <v>157</v>
      </c>
      <c r="B50" s="176">
        <v>0</v>
      </c>
      <c r="C50" s="9"/>
      <c r="D50" s="9"/>
      <c r="E50" s="332">
        <f>B50</f>
        <v>0</v>
      </c>
      <c r="F50" s="143">
        <f>E50+'Jul-2019'!F50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11341.592897240906</v>
      </c>
      <c r="C52" s="158">
        <f>C20+C37+C48</f>
        <v>105101</v>
      </c>
      <c r="D52" s="158">
        <f>D20+D37+D48</f>
        <v>16730.514481256159</v>
      </c>
      <c r="E52" s="158">
        <f>E37+E20+E48+E50</f>
        <v>133173.10737849708</v>
      </c>
      <c r="F52" s="77">
        <f>F37+F20+F48+F50</f>
        <v>218787.52137849707</v>
      </c>
      <c r="G52" s="77">
        <f>G37+G20+G48+G50</f>
        <v>2013608.54</v>
      </c>
      <c r="H52" s="77">
        <f>H37+H20+H48+H50</f>
        <v>1794821.0186215031</v>
      </c>
      <c r="I52" s="110">
        <f t="shared" si="13"/>
        <v>0.1086544464985717</v>
      </c>
    </row>
    <row r="53" spans="1:9" s="103" customFormat="1" ht="16" thickTop="1">
      <c r="A53" s="117"/>
      <c r="B53" s="178"/>
      <c r="C53" s="100"/>
      <c r="D53" s="100"/>
      <c r="E53" s="152"/>
      <c r="F53" s="78"/>
      <c r="G53" s="78"/>
      <c r="H53" s="78"/>
      <c r="I53" s="109"/>
    </row>
    <row r="54" spans="1:9" s="103" customFormat="1" ht="15.5">
      <c r="A54" s="117" t="s">
        <v>32</v>
      </c>
      <c r="B54" s="178"/>
      <c r="C54" s="100"/>
      <c r="D54" s="100"/>
      <c r="E54" s="331">
        <v>0</v>
      </c>
      <c r="F54" s="143">
        <f>E54+'Jul-2019'!F54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17">B52+B54</f>
        <v>11341.592897240906</v>
      </c>
      <c r="C56" s="99">
        <f t="shared" si="17"/>
        <v>105101</v>
      </c>
      <c r="D56" s="99">
        <f t="shared" si="17"/>
        <v>16730.514481256159</v>
      </c>
      <c r="E56" s="158">
        <f t="shared" si="17"/>
        <v>133173.10737849708</v>
      </c>
      <c r="F56" s="77">
        <f>F52+F54</f>
        <v>226279.66137849708</v>
      </c>
      <c r="G56" s="77">
        <f t="shared" si="17"/>
        <v>2256075.86</v>
      </c>
      <c r="H56" s="77">
        <f t="shared" si="17"/>
        <v>2029796.1986215031</v>
      </c>
      <c r="I56" s="110">
        <f t="shared" si="13"/>
        <v>0.10029789573587171</v>
      </c>
    </row>
    <row r="57" spans="1:9" s="103" customFormat="1" ht="15" thickTop="1">
      <c r="A57" s="121"/>
      <c r="B57" s="183"/>
      <c r="C57" s="183"/>
      <c r="D57" s="183"/>
      <c r="E57" s="184"/>
      <c r="F57" s="436" t="s">
        <v>47</v>
      </c>
      <c r="G57" s="79"/>
      <c r="H57" s="185"/>
      <c r="I57" s="111"/>
    </row>
    <row r="58" spans="1:9" s="103" customFormat="1" ht="21.5" thickBot="1">
      <c r="A58" s="117" t="s">
        <v>35</v>
      </c>
      <c r="B58" s="101"/>
      <c r="C58" s="101"/>
      <c r="D58" s="101"/>
      <c r="E58" s="186">
        <f>+E20+E37-E31+E42+E45+E46+E47+E50</f>
        <v>30321.377378497065</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30321.377378497065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35" t="s">
        <v>444</v>
      </c>
      <c r="B77" s="336"/>
      <c r="C77" s="337"/>
      <c r="D77" s="337"/>
      <c r="E77" s="337"/>
      <c r="F77" s="338"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35" t="s">
        <v>443</v>
      </c>
      <c r="B81" s="336"/>
      <c r="C81" s="337"/>
      <c r="D81" s="337"/>
      <c r="E81" s="337"/>
      <c r="F81" s="338" t="s">
        <v>447</v>
      </c>
      <c r="G81" s="339"/>
      <c r="H81" s="340"/>
      <c r="I81" s="341"/>
    </row>
    <row r="82" spans="1:9" s="347" customFormat="1" ht="15.5">
      <c r="A82" s="343" t="s">
        <v>19</v>
      </c>
      <c r="B82" s="344" t="s">
        <v>153</v>
      </c>
      <c r="C82" s="344"/>
      <c r="D82" s="344"/>
      <c r="E82" s="344"/>
      <c r="F82" s="552" t="s">
        <v>446</v>
      </c>
      <c r="G82" s="552"/>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XFD157"/>
  <sheetViews>
    <sheetView workbookViewId="0">
      <pane ySplit="5" topLeftCell="A117" activePane="bottomLeft" state="frozen"/>
      <selection pane="bottomLeft" activeCell="A132" sqref="A132"/>
    </sheetView>
  </sheetViews>
  <sheetFormatPr defaultColWidth="9.1796875" defaultRowHeight="14.5"/>
  <cols>
    <col min="1" max="1" width="2" style="269" customWidth="1"/>
    <col min="2" max="4" width="12" style="269" customWidth="1"/>
    <col min="5" max="5" width="30.1796875" style="269" customWidth="1"/>
    <col min="6" max="6" width="54.7265625" style="269" customWidth="1"/>
    <col min="7" max="7" width="12" style="269" customWidth="1"/>
    <col min="8" max="8" width="10.26953125" style="297" customWidth="1"/>
    <col min="9" max="16384" width="9.1796875" style="269"/>
  </cols>
  <sheetData>
    <row r="1" spans="1:8" ht="18">
      <c r="A1" s="553" t="s">
        <v>277</v>
      </c>
      <c r="B1" s="553"/>
      <c r="C1" s="553"/>
      <c r="D1" s="553"/>
      <c r="E1" s="553"/>
      <c r="F1" s="553"/>
      <c r="G1" s="553"/>
      <c r="H1" s="553"/>
    </row>
    <row r="2" spans="1:8" ht="18">
      <c r="A2" s="553" t="s">
        <v>276</v>
      </c>
      <c r="B2" s="553"/>
      <c r="C2" s="553"/>
      <c r="D2" s="553"/>
      <c r="E2" s="553"/>
      <c r="F2" s="553"/>
      <c r="G2" s="553"/>
      <c r="H2" s="553"/>
    </row>
    <row r="3" spans="1:8">
      <c r="A3" s="554" t="s">
        <v>431</v>
      </c>
      <c r="B3" s="554"/>
      <c r="C3" s="554"/>
      <c r="D3" s="554"/>
      <c r="E3" s="554"/>
      <c r="F3" s="554"/>
      <c r="G3" s="554"/>
      <c r="H3" s="554"/>
    </row>
    <row r="4" spans="1:8">
      <c r="A4" s="317"/>
      <c r="B4" s="317"/>
      <c r="C4" s="317"/>
      <c r="D4" s="317"/>
      <c r="E4" s="317"/>
      <c r="F4" s="317"/>
      <c r="G4" s="317"/>
      <c r="H4" s="318"/>
    </row>
    <row r="5" spans="1:8">
      <c r="A5" s="304"/>
      <c r="B5" s="302" t="s">
        <v>153</v>
      </c>
      <c r="C5" s="302" t="s">
        <v>430</v>
      </c>
      <c r="D5" s="302" t="s">
        <v>274</v>
      </c>
      <c r="E5" s="302" t="s">
        <v>273</v>
      </c>
      <c r="F5" s="302" t="s">
        <v>272</v>
      </c>
      <c r="G5" s="303" t="s">
        <v>271</v>
      </c>
      <c r="H5" s="302" t="s">
        <v>278</v>
      </c>
    </row>
    <row r="6" spans="1:8">
      <c r="A6" s="299" t="s">
        <v>270</v>
      </c>
      <c r="H6" s="305"/>
    </row>
    <row r="7" spans="1:8">
      <c r="B7" s="301" t="s">
        <v>418</v>
      </c>
      <c r="C7" s="301" t="s">
        <v>186</v>
      </c>
      <c r="D7" s="301" t="s">
        <v>417</v>
      </c>
      <c r="E7" s="301"/>
      <c r="F7" s="301" t="s">
        <v>429</v>
      </c>
      <c r="G7" s="300">
        <v>46610</v>
      </c>
      <c r="H7" s="305"/>
    </row>
    <row r="8" spans="1:8">
      <c r="B8" s="301" t="s">
        <v>416</v>
      </c>
      <c r="C8" s="301" t="s">
        <v>186</v>
      </c>
      <c r="D8" s="301">
        <v>162</v>
      </c>
      <c r="E8" s="301"/>
      <c r="F8" s="301" t="s">
        <v>428</v>
      </c>
      <c r="G8" s="300">
        <v>48474</v>
      </c>
      <c r="H8" s="305"/>
    </row>
    <row r="9" spans="1:8">
      <c r="A9" s="299" t="s">
        <v>268</v>
      </c>
      <c r="G9" s="311">
        <f>SUM(G7:G8)</f>
        <v>95084</v>
      </c>
      <c r="H9" s="305"/>
    </row>
    <row r="10" spans="1:8">
      <c r="A10" s="299" t="s">
        <v>267</v>
      </c>
      <c r="H10" s="305"/>
    </row>
    <row r="11" spans="1:8">
      <c r="B11" s="301" t="s">
        <v>424</v>
      </c>
      <c r="C11" s="301" t="s">
        <v>174</v>
      </c>
      <c r="D11" s="301" t="s">
        <v>427</v>
      </c>
      <c r="E11" s="301" t="s">
        <v>426</v>
      </c>
      <c r="F11" s="301" t="s">
        <v>425</v>
      </c>
      <c r="G11" s="300">
        <v>236.8</v>
      </c>
      <c r="H11" s="305">
        <v>12375</v>
      </c>
    </row>
    <row r="12" spans="1:8">
      <c r="B12" s="301" t="s">
        <v>424</v>
      </c>
      <c r="C12" s="301" t="s">
        <v>174</v>
      </c>
      <c r="D12" s="301" t="s">
        <v>423</v>
      </c>
      <c r="E12" s="301" t="s">
        <v>422</v>
      </c>
      <c r="F12" s="301" t="s">
        <v>421</v>
      </c>
      <c r="G12" s="300">
        <v>273.16000000000003</v>
      </c>
      <c r="H12" s="305">
        <v>12376</v>
      </c>
    </row>
    <row r="13" spans="1:8">
      <c r="A13" s="299" t="s">
        <v>263</v>
      </c>
      <c r="G13" s="311">
        <f>SUM(G11:G12)</f>
        <v>509.96000000000004</v>
      </c>
      <c r="H13" s="305"/>
    </row>
    <row r="14" spans="1:8">
      <c r="A14" s="299" t="s">
        <v>420</v>
      </c>
      <c r="G14" s="298">
        <f>+G13+G9</f>
        <v>95593.96</v>
      </c>
      <c r="H14" s="305"/>
    </row>
    <row r="15" spans="1:8">
      <c r="A15" s="299" t="s">
        <v>262</v>
      </c>
      <c r="H15" s="305"/>
    </row>
    <row r="16" spans="1:8">
      <c r="B16" s="301" t="s">
        <v>418</v>
      </c>
      <c r="C16" s="301" t="s">
        <v>186</v>
      </c>
      <c r="D16" s="301" t="s">
        <v>417</v>
      </c>
      <c r="E16" s="301"/>
      <c r="F16" s="301" t="s">
        <v>419</v>
      </c>
      <c r="G16" s="300">
        <v>3565.8</v>
      </c>
      <c r="H16" s="305"/>
    </row>
    <row r="17" spans="1:8">
      <c r="B17" s="301" t="s">
        <v>416</v>
      </c>
      <c r="C17" s="301" t="s">
        <v>186</v>
      </c>
      <c r="D17" s="301">
        <v>162</v>
      </c>
      <c r="E17" s="301"/>
      <c r="F17" s="301" t="s">
        <v>419</v>
      </c>
      <c r="G17" s="300">
        <v>3710.2</v>
      </c>
      <c r="H17" s="305"/>
    </row>
    <row r="18" spans="1:8">
      <c r="A18" s="299" t="s">
        <v>261</v>
      </c>
      <c r="G18" s="311">
        <v>7276</v>
      </c>
      <c r="H18" s="305"/>
    </row>
    <row r="19" spans="1:8" s="308" customFormat="1">
      <c r="A19" s="307" t="s">
        <v>340</v>
      </c>
    </row>
    <row r="20" spans="1:8" s="308" customFormat="1">
      <c r="B20" s="309" t="s">
        <v>380</v>
      </c>
      <c r="C20" s="309" t="s">
        <v>186</v>
      </c>
      <c r="D20" s="309">
        <v>192</v>
      </c>
      <c r="E20" s="309"/>
      <c r="F20" s="309" t="s">
        <v>411</v>
      </c>
      <c r="G20" s="310">
        <v>2741</v>
      </c>
    </row>
    <row r="21" spans="1:8" s="308" customFormat="1">
      <c r="A21" s="307" t="s">
        <v>341</v>
      </c>
      <c r="G21" s="319">
        <f>SUM(G20)</f>
        <v>2741</v>
      </c>
    </row>
    <row r="22" spans="1:8">
      <c r="A22" s="299" t="s">
        <v>260</v>
      </c>
      <c r="H22" s="305"/>
    </row>
    <row r="23" spans="1:8">
      <c r="B23" s="301" t="s">
        <v>418</v>
      </c>
      <c r="C23" s="301" t="s">
        <v>186</v>
      </c>
      <c r="D23" s="301" t="s">
        <v>417</v>
      </c>
      <c r="E23" s="301"/>
      <c r="F23" s="301" t="s">
        <v>415</v>
      </c>
      <c r="G23" s="300">
        <v>401.87</v>
      </c>
      <c r="H23" s="305"/>
    </row>
    <row r="24" spans="1:8">
      <c r="B24" s="301" t="s">
        <v>416</v>
      </c>
      <c r="C24" s="301" t="s">
        <v>186</v>
      </c>
      <c r="D24" s="301">
        <v>162</v>
      </c>
      <c r="E24" s="301"/>
      <c r="F24" s="301" t="s">
        <v>415</v>
      </c>
      <c r="G24" s="300">
        <v>599.82000000000005</v>
      </c>
      <c r="H24" s="305"/>
    </row>
    <row r="25" spans="1:8">
      <c r="A25" s="299" t="s">
        <v>253</v>
      </c>
      <c r="G25" s="311">
        <f>SUM(G23:G24)</f>
        <v>1001.69</v>
      </c>
      <c r="H25" s="305"/>
    </row>
    <row r="26" spans="1:8">
      <c r="A26" s="299" t="s">
        <v>414</v>
      </c>
      <c r="H26" s="305"/>
    </row>
    <row r="27" spans="1:8">
      <c r="A27" s="299" t="s">
        <v>252</v>
      </c>
      <c r="H27" s="305"/>
    </row>
    <row r="28" spans="1:8">
      <c r="B28" s="301" t="s">
        <v>380</v>
      </c>
      <c r="C28" s="301" t="s">
        <v>186</v>
      </c>
      <c r="D28" s="301">
        <v>175</v>
      </c>
      <c r="E28" s="301"/>
      <c r="F28" s="301" t="s">
        <v>434</v>
      </c>
      <c r="G28" s="300">
        <v>17145.830000000002</v>
      </c>
      <c r="H28" s="305"/>
    </row>
    <row r="29" spans="1:8">
      <c r="A29" s="299" t="s">
        <v>249</v>
      </c>
      <c r="G29" s="311">
        <f>SUM(G28)</f>
        <v>17145.830000000002</v>
      </c>
      <c r="H29" s="305"/>
    </row>
    <row r="30" spans="1:8">
      <c r="A30" s="299" t="s">
        <v>248</v>
      </c>
      <c r="H30" s="305"/>
    </row>
    <row r="31" spans="1:8">
      <c r="A31" s="299" t="s">
        <v>247</v>
      </c>
      <c r="H31" s="305"/>
    </row>
    <row r="32" spans="1:8">
      <c r="B32" s="301" t="s">
        <v>413</v>
      </c>
      <c r="C32" s="301" t="s">
        <v>186</v>
      </c>
      <c r="D32" s="301">
        <v>202</v>
      </c>
      <c r="E32" s="301"/>
      <c r="F32" s="301" t="s">
        <v>432</v>
      </c>
      <c r="G32" s="300">
        <v>3813.99</v>
      </c>
      <c r="H32" s="305" t="s">
        <v>436</v>
      </c>
    </row>
    <row r="33" spans="1:8">
      <c r="A33" s="299" t="s">
        <v>246</v>
      </c>
      <c r="G33" s="311">
        <f>SUM(G32)</f>
        <v>3813.99</v>
      </c>
      <c r="H33" s="305"/>
    </row>
    <row r="34" spans="1:8">
      <c r="A34" s="299" t="s">
        <v>245</v>
      </c>
      <c r="H34" s="305"/>
    </row>
    <row r="35" spans="1:8">
      <c r="B35" s="301" t="s">
        <v>412</v>
      </c>
      <c r="C35" s="301" t="s">
        <v>174</v>
      </c>
      <c r="D35" s="301"/>
      <c r="E35" s="301" t="s">
        <v>243</v>
      </c>
      <c r="F35" s="301" t="s">
        <v>242</v>
      </c>
      <c r="G35" s="300">
        <v>171.06</v>
      </c>
      <c r="H35" s="305">
        <v>12345</v>
      </c>
    </row>
    <row r="36" spans="1:8">
      <c r="A36" s="299" t="s">
        <v>241</v>
      </c>
      <c r="G36" s="311">
        <f>SUM(G35)</f>
        <v>171.06</v>
      </c>
      <c r="H36" s="305"/>
    </row>
    <row r="37" spans="1:8" s="201" customFormat="1">
      <c r="A37" s="205" t="s">
        <v>240</v>
      </c>
      <c r="G37" s="278"/>
    </row>
    <row r="38" spans="1:8" s="201" customFormat="1">
      <c r="B38" s="320">
        <v>43708</v>
      </c>
      <c r="C38" s="206" t="s">
        <v>186</v>
      </c>
      <c r="D38" s="206">
        <v>154</v>
      </c>
      <c r="E38" s="206"/>
      <c r="F38" s="210" t="s">
        <v>325</v>
      </c>
      <c r="G38" s="279">
        <v>-704.12</v>
      </c>
      <c r="H38" s="206"/>
    </row>
    <row r="39" spans="1:8" s="201" customFormat="1">
      <c r="A39" s="205" t="s">
        <v>239</v>
      </c>
      <c r="G39" s="280">
        <f>SUM(G38)</f>
        <v>-704.12</v>
      </c>
    </row>
    <row r="40" spans="1:8" s="201" customFormat="1">
      <c r="A40" s="205" t="s">
        <v>238</v>
      </c>
      <c r="G40" s="278"/>
    </row>
    <row r="41" spans="1:8" s="201" customFormat="1">
      <c r="B41" s="320">
        <v>43708</v>
      </c>
      <c r="C41" s="206" t="s">
        <v>186</v>
      </c>
      <c r="D41" s="206">
        <v>155</v>
      </c>
      <c r="E41" s="206"/>
      <c r="F41" s="206" t="s">
        <v>237</v>
      </c>
      <c r="G41" s="279">
        <v>-20.309999999999999</v>
      </c>
      <c r="H41" s="206"/>
    </row>
    <row r="42" spans="1:8" s="201" customFormat="1">
      <c r="A42" s="205" t="s">
        <v>236</v>
      </c>
      <c r="G42" s="280">
        <f>SUM(G41)</f>
        <v>-20.309999999999999</v>
      </c>
    </row>
    <row r="43" spans="1:8" s="201" customFormat="1" ht="15" thickBot="1">
      <c r="A43" s="205" t="s">
        <v>235</v>
      </c>
      <c r="G43" s="287">
        <f>+G33+G36+G39+G42</f>
        <v>3260.62</v>
      </c>
    </row>
    <row r="44" spans="1:8" ht="15" thickTop="1">
      <c r="A44" s="299"/>
      <c r="H44" s="305"/>
    </row>
    <row r="45" spans="1:8">
      <c r="A45" s="299" t="s">
        <v>234</v>
      </c>
      <c r="H45" s="305"/>
    </row>
    <row r="46" spans="1:8">
      <c r="B46" s="301" t="s">
        <v>380</v>
      </c>
      <c r="C46" s="301" t="s">
        <v>186</v>
      </c>
      <c r="D46" s="301">
        <v>192</v>
      </c>
      <c r="E46" s="301"/>
      <c r="F46" s="301" t="s">
        <v>411</v>
      </c>
      <c r="G46" s="300">
        <v>494</v>
      </c>
      <c r="H46" s="305"/>
    </row>
    <row r="47" spans="1:8">
      <c r="A47" s="299" t="s">
        <v>233</v>
      </c>
      <c r="G47" s="311">
        <f>SUM(G46)</f>
        <v>494</v>
      </c>
      <c r="H47" s="305"/>
    </row>
    <row r="48" spans="1:8" s="249" customFormat="1" ht="15.5">
      <c r="A48" s="274" t="s">
        <v>284</v>
      </c>
      <c r="G48" s="286"/>
    </row>
    <row r="49" spans="1:8">
      <c r="A49" s="299" t="s">
        <v>232</v>
      </c>
      <c r="H49" s="305"/>
    </row>
    <row r="50" spans="1:8">
      <c r="B50" s="301" t="s">
        <v>380</v>
      </c>
      <c r="C50" s="301" t="s">
        <v>186</v>
      </c>
      <c r="D50" s="301">
        <v>202</v>
      </c>
      <c r="E50" s="301"/>
      <c r="F50" s="301" t="s">
        <v>231</v>
      </c>
      <c r="G50" s="300">
        <v>1031</v>
      </c>
      <c r="H50" s="305"/>
    </row>
    <row r="51" spans="1:8">
      <c r="A51" s="299" t="s">
        <v>230</v>
      </c>
      <c r="G51" s="298">
        <f>SUM(G50)</f>
        <v>1031</v>
      </c>
      <c r="H51" s="305"/>
    </row>
    <row r="52" spans="1:8">
      <c r="A52" s="299" t="s">
        <v>229</v>
      </c>
      <c r="H52" s="305"/>
    </row>
    <row r="53" spans="1:8">
      <c r="B53" s="301" t="s">
        <v>380</v>
      </c>
      <c r="C53" s="301" t="s">
        <v>186</v>
      </c>
      <c r="D53" s="301">
        <v>200</v>
      </c>
      <c r="E53" s="301"/>
      <c r="F53" s="301" t="s">
        <v>228</v>
      </c>
      <c r="G53" s="300">
        <v>241</v>
      </c>
      <c r="H53" s="305"/>
    </row>
    <row r="54" spans="1:8">
      <c r="A54" s="299" t="s">
        <v>227</v>
      </c>
      <c r="G54" s="298">
        <v>241</v>
      </c>
      <c r="H54" s="305"/>
    </row>
    <row r="55" spans="1:8">
      <c r="A55" s="299" t="s">
        <v>226</v>
      </c>
      <c r="H55" s="305"/>
    </row>
    <row r="56" spans="1:8">
      <c r="B56" s="301" t="s">
        <v>380</v>
      </c>
      <c r="C56" s="301" t="s">
        <v>186</v>
      </c>
      <c r="D56" s="301">
        <v>199</v>
      </c>
      <c r="E56" s="301"/>
      <c r="F56" s="301" t="s">
        <v>225</v>
      </c>
      <c r="G56" s="300">
        <v>260</v>
      </c>
      <c r="H56" s="305"/>
    </row>
    <row r="57" spans="1:8">
      <c r="A57" s="299" t="s">
        <v>224</v>
      </c>
      <c r="G57" s="298">
        <v>260</v>
      </c>
      <c r="H57" s="305"/>
    </row>
    <row r="58" spans="1:8">
      <c r="A58" s="299" t="s">
        <v>223</v>
      </c>
      <c r="H58" s="305"/>
    </row>
    <row r="59" spans="1:8">
      <c r="B59" s="301" t="s">
        <v>380</v>
      </c>
      <c r="C59" s="301" t="s">
        <v>186</v>
      </c>
      <c r="D59" s="301">
        <v>194</v>
      </c>
      <c r="E59" s="301"/>
      <c r="F59" s="301" t="s">
        <v>222</v>
      </c>
      <c r="G59" s="300">
        <v>55</v>
      </c>
      <c r="H59" s="305"/>
    </row>
    <row r="60" spans="1:8">
      <c r="A60" s="299" t="s">
        <v>221</v>
      </c>
      <c r="G60" s="298">
        <v>55</v>
      </c>
      <c r="H60" s="305"/>
    </row>
    <row r="62" spans="1:8" s="313" customFormat="1">
      <c r="A62" s="312" t="s">
        <v>410</v>
      </c>
      <c r="G62" s="315">
        <f>+G51+G54+G57+G60</f>
        <v>1587</v>
      </c>
      <c r="H62" s="314"/>
    </row>
    <row r="63" spans="1:8">
      <c r="A63" s="299" t="s">
        <v>409</v>
      </c>
      <c r="H63" s="305"/>
    </row>
    <row r="64" spans="1:8">
      <c r="A64" s="299" t="s">
        <v>220</v>
      </c>
      <c r="H64" s="305"/>
    </row>
    <row r="65" spans="1:8">
      <c r="B65" s="301" t="s">
        <v>380</v>
      </c>
      <c r="C65" s="301" t="s">
        <v>186</v>
      </c>
      <c r="D65" s="301">
        <v>198</v>
      </c>
      <c r="E65" s="301"/>
      <c r="F65" s="301" t="s">
        <v>219</v>
      </c>
      <c r="G65" s="300">
        <v>213</v>
      </c>
      <c r="H65" s="305"/>
    </row>
    <row r="66" spans="1:8">
      <c r="A66" s="299" t="s">
        <v>408</v>
      </c>
      <c r="G66" s="311">
        <f>SUM(G65)</f>
        <v>213</v>
      </c>
      <c r="H66" s="305"/>
    </row>
    <row r="67" spans="1:8">
      <c r="G67" s="298"/>
      <c r="H67" s="305"/>
    </row>
    <row r="68" spans="1:8" s="201" customFormat="1" ht="15" thickBot="1">
      <c r="A68" s="276" t="s">
        <v>356</v>
      </c>
      <c r="G68" s="287">
        <f>+G43+G47+G62+G66</f>
        <v>5554.62</v>
      </c>
    </row>
    <row r="69" spans="1:8" s="201" customFormat="1" ht="15" thickTop="1">
      <c r="A69" s="276"/>
      <c r="G69" s="289"/>
    </row>
    <row r="70" spans="1:8" s="201" customFormat="1">
      <c r="A70" s="276" t="s">
        <v>327</v>
      </c>
      <c r="G70" s="278"/>
    </row>
    <row r="71" spans="1:8">
      <c r="A71" s="299" t="s">
        <v>379</v>
      </c>
      <c r="H71" s="305"/>
    </row>
    <row r="72" spans="1:8">
      <c r="A72" s="299" t="s">
        <v>184</v>
      </c>
      <c r="H72" s="305"/>
    </row>
    <row r="73" spans="1:8">
      <c r="B73" s="301" t="s">
        <v>375</v>
      </c>
      <c r="C73" s="301" t="s">
        <v>378</v>
      </c>
      <c r="D73" s="301">
        <v>12381</v>
      </c>
      <c r="E73" s="301" t="s">
        <v>377</v>
      </c>
      <c r="F73" s="301" t="s">
        <v>376</v>
      </c>
      <c r="G73" s="300">
        <v>150</v>
      </c>
      <c r="H73" s="305">
        <v>12381</v>
      </c>
    </row>
    <row r="74" spans="1:8">
      <c r="B74" s="301" t="s">
        <v>375</v>
      </c>
      <c r="C74" s="301" t="s">
        <v>174</v>
      </c>
      <c r="D74" s="301" t="s">
        <v>374</v>
      </c>
      <c r="E74" s="301" t="s">
        <v>373</v>
      </c>
      <c r="F74" s="301" t="s">
        <v>372</v>
      </c>
      <c r="G74" s="300">
        <v>57.89</v>
      </c>
      <c r="H74" s="305">
        <v>12461</v>
      </c>
    </row>
    <row r="75" spans="1:8">
      <c r="B75" s="301" t="s">
        <v>368</v>
      </c>
      <c r="C75" s="301" t="s">
        <v>174</v>
      </c>
      <c r="D75" s="301" t="s">
        <v>371</v>
      </c>
      <c r="E75" s="301" t="s">
        <v>370</v>
      </c>
      <c r="F75" s="301" t="s">
        <v>369</v>
      </c>
      <c r="G75" s="300">
        <v>30.24</v>
      </c>
      <c r="H75" s="305">
        <v>12462</v>
      </c>
    </row>
    <row r="76" spans="1:8">
      <c r="B76" s="301" t="s">
        <v>368</v>
      </c>
      <c r="C76" s="301" t="s">
        <v>174</v>
      </c>
      <c r="D76" s="301" t="s">
        <v>367</v>
      </c>
      <c r="E76" s="301" t="s">
        <v>172</v>
      </c>
      <c r="F76" s="301" t="s">
        <v>366</v>
      </c>
      <c r="G76" s="300">
        <v>49</v>
      </c>
      <c r="H76" s="305">
        <v>12463</v>
      </c>
    </row>
    <row r="77" spans="1:8">
      <c r="A77" s="299" t="s">
        <v>365</v>
      </c>
      <c r="G77" s="311">
        <f>SUM(G73:G76)</f>
        <v>287.13</v>
      </c>
      <c r="H77" s="305"/>
    </row>
    <row r="78" spans="1:8">
      <c r="A78" s="299"/>
      <c r="G78" s="330"/>
      <c r="H78" s="305"/>
    </row>
    <row r="79" spans="1:8">
      <c r="A79" s="322" t="s">
        <v>400</v>
      </c>
      <c r="H79" s="305"/>
    </row>
    <row r="80" spans="1:8">
      <c r="B80" s="301" t="s">
        <v>399</v>
      </c>
      <c r="C80" s="301" t="s">
        <v>174</v>
      </c>
      <c r="D80" s="301" t="s">
        <v>398</v>
      </c>
      <c r="E80" s="301" t="s">
        <v>397</v>
      </c>
      <c r="F80" s="301" t="s">
        <v>396</v>
      </c>
      <c r="G80" s="300">
        <v>329.9</v>
      </c>
      <c r="H80" s="305">
        <v>12449</v>
      </c>
    </row>
    <row r="81" spans="1:8">
      <c r="A81" s="299" t="s">
        <v>395</v>
      </c>
      <c r="G81" s="311">
        <f>SUM(G80)</f>
        <v>329.9</v>
      </c>
      <c r="H81" s="305"/>
    </row>
    <row r="82" spans="1:8">
      <c r="A82" s="299"/>
      <c r="G82" s="330"/>
      <c r="H82" s="305"/>
    </row>
    <row r="83" spans="1:8">
      <c r="A83" s="299" t="s">
        <v>394</v>
      </c>
      <c r="H83" s="305"/>
    </row>
    <row r="84" spans="1:8">
      <c r="B84" s="301" t="s">
        <v>380</v>
      </c>
      <c r="C84" s="301" t="s">
        <v>186</v>
      </c>
      <c r="D84" s="301">
        <v>185</v>
      </c>
      <c r="E84" s="301"/>
      <c r="F84" s="301" t="s">
        <v>212</v>
      </c>
      <c r="G84" s="300">
        <v>86</v>
      </c>
      <c r="H84" s="305"/>
    </row>
    <row r="85" spans="1:8">
      <c r="A85" s="299" t="s">
        <v>393</v>
      </c>
      <c r="G85" s="311">
        <f>SUM(G84)</f>
        <v>86</v>
      </c>
      <c r="H85" s="305"/>
    </row>
    <row r="86" spans="1:8" s="325" customFormat="1">
      <c r="A86" s="324"/>
      <c r="G86" s="326"/>
      <c r="H86" s="327"/>
    </row>
    <row r="87" spans="1:8">
      <c r="A87" s="322" t="s">
        <v>437</v>
      </c>
      <c r="G87" s="311">
        <f>+G81+G85</f>
        <v>415.9</v>
      </c>
      <c r="H87" s="305"/>
    </row>
    <row r="88" spans="1:8">
      <c r="A88" s="299"/>
      <c r="G88" s="306"/>
      <c r="H88" s="305"/>
    </row>
    <row r="89" spans="1:8">
      <c r="A89" s="276" t="s">
        <v>357</v>
      </c>
      <c r="G89" s="306"/>
      <c r="H89" s="305"/>
    </row>
    <row r="90" spans="1:8">
      <c r="A90" s="299" t="s">
        <v>406</v>
      </c>
      <c r="H90" s="305"/>
    </row>
    <row r="91" spans="1:8">
      <c r="B91" s="301" t="s">
        <v>380</v>
      </c>
      <c r="C91" s="301" t="s">
        <v>186</v>
      </c>
      <c r="D91" s="301">
        <v>180</v>
      </c>
      <c r="E91" s="301"/>
      <c r="F91" s="301" t="s">
        <v>213</v>
      </c>
      <c r="G91" s="300">
        <v>496</v>
      </c>
      <c r="H91" s="305"/>
    </row>
    <row r="92" spans="1:8">
      <c r="A92" s="276" t="s">
        <v>358</v>
      </c>
      <c r="G92" s="311">
        <v>496</v>
      </c>
      <c r="H92" s="305"/>
    </row>
    <row r="93" spans="1:8">
      <c r="A93" s="299"/>
      <c r="G93" s="298"/>
      <c r="H93" s="305"/>
    </row>
    <row r="94" spans="1:8" s="201" customFormat="1">
      <c r="A94" s="276" t="s">
        <v>329</v>
      </c>
      <c r="G94" s="289"/>
    </row>
    <row r="95" spans="1:8">
      <c r="A95" s="299" t="s">
        <v>200</v>
      </c>
      <c r="H95" s="305"/>
    </row>
    <row r="96" spans="1:8">
      <c r="B96" s="301" t="s">
        <v>388</v>
      </c>
      <c r="C96" s="301" t="s">
        <v>174</v>
      </c>
      <c r="D96" s="301" t="s">
        <v>391</v>
      </c>
      <c r="E96" s="301" t="s">
        <v>181</v>
      </c>
      <c r="F96" s="301" t="s">
        <v>390</v>
      </c>
      <c r="G96" s="300">
        <v>648</v>
      </c>
      <c r="H96" s="305">
        <v>12363</v>
      </c>
    </row>
    <row r="97" spans="1:8">
      <c r="A97" s="276" t="s">
        <v>344</v>
      </c>
      <c r="G97" s="298">
        <v>648</v>
      </c>
      <c r="H97" s="305"/>
    </row>
    <row r="98" spans="1:8">
      <c r="A98" s="299" t="s">
        <v>197</v>
      </c>
      <c r="H98" s="305"/>
    </row>
    <row r="99" spans="1:8">
      <c r="A99" s="299" t="s">
        <v>196</v>
      </c>
      <c r="H99" s="305"/>
    </row>
    <row r="100" spans="1:8">
      <c r="B100" s="301" t="s">
        <v>380</v>
      </c>
      <c r="C100" s="301" t="s">
        <v>186</v>
      </c>
      <c r="D100" s="301">
        <v>189</v>
      </c>
      <c r="E100" s="301"/>
      <c r="F100" s="301" t="s">
        <v>195</v>
      </c>
      <c r="G100" s="300">
        <v>176</v>
      </c>
      <c r="H100" s="305"/>
    </row>
    <row r="101" spans="1:8">
      <c r="A101" s="299" t="s">
        <v>194</v>
      </c>
      <c r="G101" s="298">
        <v>176</v>
      </c>
      <c r="H101" s="305"/>
    </row>
    <row r="102" spans="1:8">
      <c r="A102" s="299" t="s">
        <v>191</v>
      </c>
      <c r="H102" s="305"/>
    </row>
    <row r="103" spans="1:8">
      <c r="B103" s="301" t="s">
        <v>380</v>
      </c>
      <c r="C103" s="301" t="s">
        <v>186</v>
      </c>
      <c r="D103" s="301">
        <v>184</v>
      </c>
      <c r="E103" s="301"/>
      <c r="F103" s="301" t="s">
        <v>190</v>
      </c>
      <c r="G103" s="300">
        <v>97</v>
      </c>
      <c r="H103" s="305"/>
    </row>
    <row r="104" spans="1:8">
      <c r="A104" s="299" t="s">
        <v>189</v>
      </c>
      <c r="G104" s="298">
        <v>97</v>
      </c>
      <c r="H104" s="305"/>
    </row>
    <row r="105" spans="1:8" s="259" customFormat="1">
      <c r="A105" s="328" t="s">
        <v>343</v>
      </c>
      <c r="G105" s="288">
        <f>+G101+G104</f>
        <v>273</v>
      </c>
    </row>
    <row r="106" spans="1:8" s="201" customFormat="1">
      <c r="A106" s="205"/>
      <c r="G106" s="289"/>
    </row>
    <row r="107" spans="1:8" s="258" customFormat="1">
      <c r="A107" s="276" t="s">
        <v>353</v>
      </c>
      <c r="G107" s="288">
        <f>+G97+G105</f>
        <v>921</v>
      </c>
    </row>
    <row r="108" spans="1:8">
      <c r="A108" s="299"/>
      <c r="G108" s="298"/>
      <c r="H108" s="305"/>
    </row>
    <row r="109" spans="1:8" s="201" customFormat="1">
      <c r="A109" s="276" t="s">
        <v>332</v>
      </c>
      <c r="G109" s="278"/>
    </row>
    <row r="110" spans="1:8">
      <c r="A110" s="299" t="s">
        <v>389</v>
      </c>
      <c r="H110" s="305"/>
    </row>
    <row r="111" spans="1:8">
      <c r="B111" s="301" t="s">
        <v>388</v>
      </c>
      <c r="C111" s="301" t="s">
        <v>174</v>
      </c>
      <c r="D111" s="301" t="s">
        <v>387</v>
      </c>
      <c r="E111" s="301" t="s">
        <v>386</v>
      </c>
      <c r="F111" s="301" t="s">
        <v>385</v>
      </c>
      <c r="G111" s="300">
        <v>228</v>
      </c>
      <c r="H111" s="305">
        <v>12418</v>
      </c>
    </row>
    <row r="112" spans="1:8">
      <c r="A112" s="299" t="s">
        <v>384</v>
      </c>
      <c r="G112" s="298">
        <f>SUM(G111)</f>
        <v>228</v>
      </c>
      <c r="H112" s="305"/>
    </row>
    <row r="113" spans="1:8">
      <c r="A113" s="299" t="s">
        <v>193</v>
      </c>
      <c r="H113" s="305"/>
    </row>
    <row r="114" spans="1:8">
      <c r="B114" s="301" t="s">
        <v>380</v>
      </c>
      <c r="C114" s="301" t="s">
        <v>186</v>
      </c>
      <c r="D114" s="301">
        <v>183</v>
      </c>
      <c r="E114" s="301"/>
      <c r="F114" s="301" t="s">
        <v>192</v>
      </c>
      <c r="G114" s="300">
        <v>294</v>
      </c>
      <c r="H114" s="305"/>
    </row>
    <row r="115" spans="1:8">
      <c r="A115" s="299" t="s">
        <v>383</v>
      </c>
      <c r="G115" s="298">
        <f>SUM(G114)</f>
        <v>294</v>
      </c>
      <c r="H115" s="305"/>
    </row>
    <row r="116" spans="1:8">
      <c r="A116" s="276" t="s">
        <v>333</v>
      </c>
      <c r="G116" s="311">
        <f>+G112+G115</f>
        <v>522</v>
      </c>
      <c r="H116" s="305"/>
    </row>
    <row r="117" spans="1:8">
      <c r="A117" s="299"/>
      <c r="G117" s="306"/>
      <c r="H117" s="305"/>
    </row>
    <row r="118" spans="1:8">
      <c r="A118" s="299"/>
      <c r="G118" s="306"/>
      <c r="H118" s="305"/>
    </row>
    <row r="119" spans="1:8">
      <c r="A119" s="299"/>
      <c r="G119" s="306"/>
      <c r="H119" s="305"/>
    </row>
    <row r="120" spans="1:8">
      <c r="A120" s="221" t="s">
        <v>334</v>
      </c>
      <c r="G120" s="306"/>
      <c r="H120" s="305"/>
    </row>
    <row r="121" spans="1:8">
      <c r="A121" s="299" t="s">
        <v>217</v>
      </c>
      <c r="H121" s="305"/>
    </row>
    <row r="122" spans="1:8">
      <c r="A122" s="299" t="s">
        <v>407</v>
      </c>
      <c r="H122" s="305"/>
    </row>
    <row r="123" spans="1:8">
      <c r="B123" s="301" t="s">
        <v>380</v>
      </c>
      <c r="C123" s="301" t="s">
        <v>186</v>
      </c>
      <c r="D123" s="301">
        <v>181</v>
      </c>
      <c r="E123" s="301"/>
      <c r="F123" s="301" t="s">
        <v>216</v>
      </c>
      <c r="G123" s="300">
        <v>380</v>
      </c>
      <c r="H123" s="305"/>
    </row>
    <row r="124" spans="1:8">
      <c r="A124" s="299" t="s">
        <v>215</v>
      </c>
      <c r="G124" s="298">
        <f>SUM(G123)</f>
        <v>380</v>
      </c>
      <c r="H124" s="305"/>
    </row>
    <row r="125" spans="1:8">
      <c r="A125" s="299" t="s">
        <v>203</v>
      </c>
      <c r="G125" s="317"/>
      <c r="H125" s="305"/>
    </row>
    <row r="126" spans="1:8">
      <c r="B126" s="301" t="s">
        <v>380</v>
      </c>
      <c r="C126" s="301" t="s">
        <v>186</v>
      </c>
      <c r="D126" s="301">
        <v>188</v>
      </c>
      <c r="E126" s="301"/>
      <c r="F126" s="301" t="s">
        <v>202</v>
      </c>
      <c r="G126" s="300">
        <v>39</v>
      </c>
      <c r="H126" s="305"/>
    </row>
    <row r="127" spans="1:8">
      <c r="A127" s="299" t="s">
        <v>201</v>
      </c>
      <c r="G127" s="298">
        <f>SUM(G126)</f>
        <v>39</v>
      </c>
      <c r="H127" s="305"/>
    </row>
    <row r="128" spans="1:8">
      <c r="A128" s="299" t="s">
        <v>405</v>
      </c>
      <c r="H128" s="305"/>
    </row>
    <row r="129" spans="1:8">
      <c r="B129" s="301" t="s">
        <v>368</v>
      </c>
      <c r="C129" s="301" t="s">
        <v>174</v>
      </c>
      <c r="D129" s="301" t="s">
        <v>404</v>
      </c>
      <c r="E129" s="301" t="s">
        <v>403</v>
      </c>
      <c r="F129" s="301" t="s">
        <v>402</v>
      </c>
      <c r="G129" s="300">
        <v>156.94</v>
      </c>
      <c r="H129" s="305">
        <v>12464</v>
      </c>
    </row>
    <row r="130" spans="1:8">
      <c r="A130" s="299" t="s">
        <v>401</v>
      </c>
      <c r="G130" s="298">
        <f>SUM(G129)</f>
        <v>156.94</v>
      </c>
      <c r="H130" s="305"/>
    </row>
    <row r="131" spans="1:8">
      <c r="A131" s="299"/>
      <c r="G131" s="323"/>
      <c r="H131" s="305"/>
    </row>
    <row r="132" spans="1:8">
      <c r="A132" s="276" t="s">
        <v>335</v>
      </c>
      <c r="G132" s="311">
        <f>+G124+G127+G130</f>
        <v>575.94000000000005</v>
      </c>
      <c r="H132" s="305"/>
    </row>
    <row r="133" spans="1:8">
      <c r="A133" s="276"/>
      <c r="G133" s="330"/>
      <c r="H133" s="305"/>
    </row>
    <row r="134" spans="1:8">
      <c r="A134" s="276" t="s">
        <v>338</v>
      </c>
      <c r="H134" s="305"/>
    </row>
    <row r="135" spans="1:8">
      <c r="A135" s="299" t="s">
        <v>209</v>
      </c>
      <c r="H135" s="305"/>
    </row>
    <row r="136" spans="1:8">
      <c r="B136" s="301" t="s">
        <v>380</v>
      </c>
      <c r="C136" s="301" t="s">
        <v>186</v>
      </c>
      <c r="D136" s="301">
        <v>176</v>
      </c>
      <c r="E136" s="301" t="s">
        <v>433</v>
      </c>
      <c r="F136" s="301" t="s">
        <v>208</v>
      </c>
      <c r="G136" s="300">
        <v>161</v>
      </c>
      <c r="H136" s="305"/>
    </row>
    <row r="137" spans="1:8">
      <c r="A137" s="299" t="s">
        <v>207</v>
      </c>
      <c r="G137" s="298">
        <f>SUM(G136)</f>
        <v>161</v>
      </c>
      <c r="H137" s="305"/>
    </row>
    <row r="138" spans="1:8">
      <c r="A138" s="299" t="s">
        <v>206</v>
      </c>
      <c r="H138" s="305"/>
    </row>
    <row r="139" spans="1:8">
      <c r="B139" s="301" t="s">
        <v>380</v>
      </c>
      <c r="C139" s="301" t="s">
        <v>186</v>
      </c>
      <c r="D139" s="301">
        <v>187</v>
      </c>
      <c r="E139" s="301"/>
      <c r="F139" s="301" t="s">
        <v>205</v>
      </c>
      <c r="G139" s="300">
        <v>111</v>
      </c>
      <c r="H139" s="305"/>
    </row>
    <row r="140" spans="1:8">
      <c r="A140" s="299" t="s">
        <v>204</v>
      </c>
      <c r="G140" s="298">
        <f>SUM(G139)</f>
        <v>111</v>
      </c>
      <c r="H140" s="305"/>
    </row>
    <row r="141" spans="1:8">
      <c r="A141" s="322" t="s">
        <v>438</v>
      </c>
      <c r="G141" s="311">
        <f>+G137+G140</f>
        <v>272</v>
      </c>
      <c r="H141" s="305"/>
    </row>
    <row r="142" spans="1:8">
      <c r="A142" s="299"/>
      <c r="G142" s="306"/>
      <c r="H142" s="305"/>
    </row>
    <row r="143" spans="1:8">
      <c r="A143" s="322" t="s">
        <v>439</v>
      </c>
      <c r="H143" s="305"/>
    </row>
    <row r="144" spans="1:8">
      <c r="A144" s="299" t="s">
        <v>382</v>
      </c>
      <c r="H144" s="305"/>
    </row>
    <row r="145" spans="1:16384">
      <c r="A145" s="299" t="s">
        <v>381</v>
      </c>
      <c r="H145" s="305"/>
    </row>
    <row r="146" spans="1:16384">
      <c r="B146" s="301" t="s">
        <v>380</v>
      </c>
      <c r="C146" s="301" t="s">
        <v>186</v>
      </c>
      <c r="D146" s="301">
        <v>182</v>
      </c>
      <c r="E146" s="301"/>
      <c r="F146" s="301" t="s">
        <v>185</v>
      </c>
      <c r="G146" s="300">
        <v>503</v>
      </c>
      <c r="H146" s="305"/>
    </row>
    <row r="147" spans="1:16384" s="313" customFormat="1">
      <c r="A147" s="322" t="s">
        <v>440</v>
      </c>
      <c r="G147" s="329">
        <f>SUM(G146)</f>
        <v>503</v>
      </c>
      <c r="H147" s="314"/>
    </row>
    <row r="148" spans="1:16384" s="313" customForma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c r="EG148" s="322"/>
      <c r="EH148" s="322"/>
      <c r="EI148" s="322"/>
      <c r="EJ148" s="322"/>
      <c r="EK148" s="322"/>
      <c r="EL148" s="322"/>
      <c r="EM148" s="322"/>
      <c r="EN148" s="322"/>
      <c r="EO148" s="322"/>
      <c r="EP148" s="322"/>
      <c r="EQ148" s="322"/>
      <c r="ER148" s="322"/>
      <c r="ES148" s="322"/>
      <c r="ET148" s="322"/>
      <c r="EU148" s="322"/>
      <c r="EV148" s="322"/>
      <c r="EW148" s="322"/>
      <c r="EX148" s="322"/>
      <c r="EY148" s="322"/>
      <c r="EZ148" s="322"/>
      <c r="FA148" s="322"/>
      <c r="FB148" s="322"/>
      <c r="FC148" s="322"/>
      <c r="FD148" s="322"/>
      <c r="FE148" s="322"/>
      <c r="FF148" s="322"/>
      <c r="FG148" s="322"/>
      <c r="FH148" s="322"/>
      <c r="FI148" s="322"/>
      <c r="FJ148" s="322"/>
      <c r="FK148" s="322"/>
      <c r="FL148" s="322"/>
      <c r="FM148" s="322"/>
      <c r="FN148" s="322"/>
      <c r="FO148" s="322"/>
      <c r="FP148" s="322"/>
      <c r="FQ148" s="322"/>
      <c r="FR148" s="322"/>
      <c r="FS148" s="322"/>
      <c r="FT148" s="322"/>
      <c r="FU148" s="322"/>
      <c r="FV148" s="322"/>
      <c r="FW148" s="322"/>
      <c r="FX148" s="322"/>
      <c r="FY148" s="322"/>
      <c r="FZ148" s="322"/>
      <c r="GA148" s="322"/>
      <c r="GB148" s="322"/>
      <c r="GC148" s="322"/>
      <c r="GD148" s="322"/>
      <c r="GE148" s="322"/>
      <c r="GF148" s="322"/>
      <c r="GG148" s="322"/>
      <c r="GH148" s="322"/>
      <c r="GI148" s="322"/>
      <c r="GJ148" s="322"/>
      <c r="GK148" s="322"/>
      <c r="GL148" s="322"/>
      <c r="GM148" s="322"/>
      <c r="GN148" s="322"/>
      <c r="GO148" s="322"/>
      <c r="GP148" s="322"/>
      <c r="GQ148" s="322"/>
      <c r="GR148" s="322"/>
      <c r="GS148" s="322"/>
      <c r="GT148" s="322"/>
      <c r="GU148" s="322"/>
      <c r="GV148" s="322"/>
      <c r="GW148" s="322"/>
      <c r="GX148" s="322"/>
      <c r="GY148" s="322"/>
      <c r="GZ148" s="322"/>
      <c r="HA148" s="322"/>
      <c r="HB148" s="322"/>
      <c r="HC148" s="322"/>
      <c r="HD148" s="322"/>
      <c r="HE148" s="322"/>
      <c r="HF148" s="322"/>
      <c r="HG148" s="322"/>
      <c r="HH148" s="322"/>
      <c r="HI148" s="322"/>
      <c r="HJ148" s="322"/>
      <c r="HK148" s="322"/>
      <c r="HL148" s="322"/>
      <c r="HM148" s="322"/>
      <c r="HN148" s="322"/>
      <c r="HO148" s="322"/>
      <c r="HP148" s="322"/>
      <c r="HQ148" s="322"/>
      <c r="HR148" s="322"/>
      <c r="HS148" s="322"/>
      <c r="HT148" s="322"/>
      <c r="HU148" s="322"/>
      <c r="HV148" s="322"/>
      <c r="HW148" s="322"/>
      <c r="HX148" s="322"/>
      <c r="HY148" s="322"/>
      <c r="HZ148" s="322"/>
      <c r="IA148" s="322"/>
      <c r="IB148" s="322"/>
      <c r="IC148" s="322"/>
      <c r="ID148" s="322"/>
      <c r="IE148" s="322"/>
      <c r="IF148" s="322"/>
      <c r="IG148" s="322"/>
      <c r="IH148" s="322"/>
      <c r="II148" s="322"/>
      <c r="IJ148" s="322"/>
      <c r="IK148" s="322"/>
      <c r="IL148" s="322"/>
      <c r="IM148" s="322"/>
      <c r="IN148" s="322"/>
      <c r="IO148" s="322"/>
      <c r="IP148" s="322"/>
      <c r="IQ148" s="322"/>
      <c r="IR148" s="322"/>
      <c r="IS148" s="322"/>
      <c r="IT148" s="322"/>
      <c r="IU148" s="322"/>
      <c r="IV148" s="322"/>
      <c r="IW148" s="322"/>
      <c r="IX148" s="322"/>
      <c r="IY148" s="322"/>
      <c r="IZ148" s="322"/>
      <c r="JA148" s="322"/>
      <c r="JB148" s="322"/>
      <c r="JC148" s="322"/>
      <c r="JD148" s="322"/>
      <c r="JE148" s="322"/>
      <c r="JF148" s="322"/>
      <c r="JG148" s="322"/>
      <c r="JH148" s="322"/>
      <c r="JI148" s="322"/>
      <c r="JJ148" s="322"/>
      <c r="JK148" s="322"/>
      <c r="JL148" s="322"/>
      <c r="JM148" s="322"/>
      <c r="JN148" s="322"/>
      <c r="JO148" s="322"/>
      <c r="JP148" s="322"/>
      <c r="JQ148" s="322"/>
      <c r="JR148" s="322"/>
      <c r="JS148" s="322"/>
      <c r="JT148" s="322"/>
      <c r="JU148" s="322"/>
      <c r="JV148" s="322"/>
      <c r="JW148" s="322"/>
      <c r="JX148" s="322"/>
      <c r="JY148" s="322"/>
      <c r="JZ148" s="322"/>
      <c r="KA148" s="322"/>
      <c r="KB148" s="322"/>
      <c r="KC148" s="322"/>
      <c r="KD148" s="322"/>
      <c r="KE148" s="322"/>
      <c r="KF148" s="322"/>
      <c r="KG148" s="322"/>
      <c r="KH148" s="322"/>
      <c r="KI148" s="322"/>
      <c r="KJ148" s="322"/>
      <c r="KK148" s="322"/>
      <c r="KL148" s="322"/>
      <c r="KM148" s="322"/>
      <c r="KN148" s="322"/>
      <c r="KO148" s="322"/>
      <c r="KP148" s="322"/>
      <c r="KQ148" s="322"/>
      <c r="KR148" s="322"/>
      <c r="KS148" s="322"/>
      <c r="KT148" s="322"/>
      <c r="KU148" s="322"/>
      <c r="KV148" s="322"/>
      <c r="KW148" s="322"/>
      <c r="KX148" s="322"/>
      <c r="KY148" s="322"/>
      <c r="KZ148" s="322"/>
      <c r="LA148" s="322"/>
      <c r="LB148" s="322"/>
      <c r="LC148" s="322"/>
      <c r="LD148" s="322"/>
      <c r="LE148" s="322"/>
      <c r="LF148" s="322"/>
      <c r="LG148" s="322"/>
      <c r="LH148" s="322"/>
      <c r="LI148" s="322"/>
      <c r="LJ148" s="322"/>
      <c r="LK148" s="322"/>
      <c r="LL148" s="322"/>
      <c r="LM148" s="322"/>
      <c r="LN148" s="322"/>
      <c r="LO148" s="322"/>
      <c r="LP148" s="322"/>
      <c r="LQ148" s="322"/>
      <c r="LR148" s="322"/>
      <c r="LS148" s="322"/>
      <c r="LT148" s="322"/>
      <c r="LU148" s="322"/>
      <c r="LV148" s="322"/>
      <c r="LW148" s="322"/>
      <c r="LX148" s="322"/>
      <c r="LY148" s="322"/>
      <c r="LZ148" s="322"/>
      <c r="MA148" s="322"/>
      <c r="MB148" s="322"/>
      <c r="MC148" s="322"/>
      <c r="MD148" s="322"/>
      <c r="ME148" s="322"/>
      <c r="MF148" s="322"/>
      <c r="MG148" s="322"/>
      <c r="MH148" s="322"/>
      <c r="MI148" s="322"/>
      <c r="MJ148" s="322"/>
      <c r="MK148" s="322"/>
      <c r="ML148" s="322"/>
      <c r="MM148" s="322"/>
      <c r="MN148" s="322"/>
      <c r="MO148" s="322"/>
      <c r="MP148" s="322"/>
      <c r="MQ148" s="322"/>
      <c r="MR148" s="322"/>
      <c r="MS148" s="322"/>
      <c r="MT148" s="322"/>
      <c r="MU148" s="322"/>
      <c r="MV148" s="322"/>
      <c r="MW148" s="322"/>
      <c r="MX148" s="322"/>
      <c r="MY148" s="322"/>
      <c r="MZ148" s="322"/>
      <c r="NA148" s="322"/>
      <c r="NB148" s="322"/>
      <c r="NC148" s="322"/>
      <c r="ND148" s="322"/>
      <c r="NE148" s="322"/>
      <c r="NF148" s="322"/>
      <c r="NG148" s="322"/>
      <c r="NH148" s="322"/>
      <c r="NI148" s="322"/>
      <c r="NJ148" s="322"/>
      <c r="NK148" s="322"/>
      <c r="NL148" s="322"/>
      <c r="NM148" s="322"/>
      <c r="NN148" s="322"/>
      <c r="NO148" s="322"/>
      <c r="NP148" s="322"/>
      <c r="NQ148" s="322"/>
      <c r="NR148" s="322"/>
      <c r="NS148" s="322"/>
      <c r="NT148" s="322"/>
      <c r="NU148" s="322"/>
      <c r="NV148" s="322"/>
      <c r="NW148" s="322"/>
      <c r="NX148" s="322"/>
      <c r="NY148" s="322"/>
      <c r="NZ148" s="322"/>
      <c r="OA148" s="322"/>
      <c r="OB148" s="322"/>
      <c r="OC148" s="322"/>
      <c r="OD148" s="322"/>
      <c r="OE148" s="322"/>
      <c r="OF148" s="322"/>
      <c r="OG148" s="322"/>
      <c r="OH148" s="322"/>
      <c r="OI148" s="322"/>
      <c r="OJ148" s="322"/>
      <c r="OK148" s="322"/>
      <c r="OL148" s="322"/>
      <c r="OM148" s="322"/>
      <c r="ON148" s="322"/>
      <c r="OO148" s="322"/>
      <c r="OP148" s="322"/>
      <c r="OQ148" s="322"/>
      <c r="OR148" s="322"/>
      <c r="OS148" s="322"/>
      <c r="OT148" s="322"/>
      <c r="OU148" s="322"/>
      <c r="OV148" s="322"/>
      <c r="OW148" s="322"/>
      <c r="OX148" s="322"/>
      <c r="OY148" s="322"/>
      <c r="OZ148" s="322"/>
      <c r="PA148" s="322"/>
      <c r="PB148" s="322"/>
      <c r="PC148" s="322"/>
      <c r="PD148" s="322"/>
      <c r="PE148" s="322"/>
      <c r="PF148" s="322"/>
      <c r="PG148" s="322"/>
      <c r="PH148" s="322"/>
      <c r="PI148" s="322"/>
      <c r="PJ148" s="322"/>
      <c r="PK148" s="322"/>
      <c r="PL148" s="322"/>
      <c r="PM148" s="322"/>
      <c r="PN148" s="322"/>
      <c r="PO148" s="322"/>
      <c r="PP148" s="322"/>
      <c r="PQ148" s="322"/>
      <c r="PR148" s="322"/>
      <c r="PS148" s="322"/>
      <c r="PT148" s="322"/>
      <c r="PU148" s="322"/>
      <c r="PV148" s="322"/>
      <c r="PW148" s="322"/>
      <c r="PX148" s="322"/>
      <c r="PY148" s="322"/>
      <c r="PZ148" s="322"/>
      <c r="QA148" s="322"/>
      <c r="QB148" s="322"/>
      <c r="QC148" s="322"/>
      <c r="QD148" s="322"/>
      <c r="QE148" s="322"/>
      <c r="QF148" s="322"/>
      <c r="QG148" s="322"/>
      <c r="QH148" s="322"/>
      <c r="QI148" s="322"/>
      <c r="QJ148" s="322"/>
      <c r="QK148" s="322"/>
      <c r="QL148" s="322"/>
      <c r="QM148" s="322"/>
      <c r="QN148" s="322"/>
      <c r="QO148" s="322"/>
      <c r="QP148" s="322"/>
      <c r="QQ148" s="322"/>
      <c r="QR148" s="322"/>
      <c r="QS148" s="322"/>
      <c r="QT148" s="322"/>
      <c r="QU148" s="322"/>
      <c r="QV148" s="322"/>
      <c r="QW148" s="322"/>
      <c r="QX148" s="322"/>
      <c r="QY148" s="322"/>
      <c r="QZ148" s="322"/>
      <c r="RA148" s="322"/>
      <c r="RB148" s="322"/>
      <c r="RC148" s="322"/>
      <c r="RD148" s="322"/>
      <c r="RE148" s="322"/>
      <c r="RF148" s="322"/>
      <c r="RG148" s="322"/>
      <c r="RH148" s="322"/>
      <c r="RI148" s="322"/>
      <c r="RJ148" s="322"/>
      <c r="RK148" s="322"/>
      <c r="RL148" s="322"/>
      <c r="RM148" s="322"/>
      <c r="RN148" s="322"/>
      <c r="RO148" s="322"/>
      <c r="RP148" s="322"/>
      <c r="RQ148" s="322"/>
      <c r="RR148" s="322"/>
      <c r="RS148" s="322"/>
      <c r="RT148" s="322"/>
      <c r="RU148" s="322"/>
      <c r="RV148" s="322"/>
      <c r="RW148" s="322"/>
      <c r="RX148" s="322"/>
      <c r="RY148" s="322"/>
      <c r="RZ148" s="322"/>
      <c r="SA148" s="322"/>
      <c r="SB148" s="322"/>
      <c r="SC148" s="322"/>
      <c r="SD148" s="322"/>
      <c r="SE148" s="322"/>
      <c r="SF148" s="322"/>
      <c r="SG148" s="322"/>
      <c r="SH148" s="322"/>
      <c r="SI148" s="322"/>
      <c r="SJ148" s="322"/>
      <c r="SK148" s="322"/>
      <c r="SL148" s="322"/>
      <c r="SM148" s="322"/>
      <c r="SN148" s="322"/>
      <c r="SO148" s="322"/>
      <c r="SP148" s="322"/>
      <c r="SQ148" s="322"/>
      <c r="SR148" s="322"/>
      <c r="SS148" s="322"/>
      <c r="ST148" s="322"/>
      <c r="SU148" s="322"/>
      <c r="SV148" s="322"/>
      <c r="SW148" s="322"/>
      <c r="SX148" s="322"/>
      <c r="SY148" s="322"/>
      <c r="SZ148" s="322"/>
      <c r="TA148" s="322"/>
      <c r="TB148" s="322"/>
      <c r="TC148" s="322"/>
      <c r="TD148" s="322"/>
      <c r="TE148" s="322"/>
      <c r="TF148" s="322"/>
      <c r="TG148" s="322"/>
      <c r="TH148" s="322"/>
      <c r="TI148" s="322"/>
      <c r="TJ148" s="322"/>
      <c r="TK148" s="322"/>
      <c r="TL148" s="322"/>
      <c r="TM148" s="322"/>
      <c r="TN148" s="322"/>
      <c r="TO148" s="322"/>
      <c r="TP148" s="322"/>
      <c r="TQ148" s="322"/>
      <c r="TR148" s="322"/>
      <c r="TS148" s="322"/>
      <c r="TT148" s="322"/>
      <c r="TU148" s="322"/>
      <c r="TV148" s="322"/>
      <c r="TW148" s="322"/>
      <c r="TX148" s="322"/>
      <c r="TY148" s="322"/>
      <c r="TZ148" s="322"/>
      <c r="UA148" s="322"/>
      <c r="UB148" s="322"/>
      <c r="UC148" s="322"/>
      <c r="UD148" s="322"/>
      <c r="UE148" s="322"/>
      <c r="UF148" s="322"/>
      <c r="UG148" s="322"/>
      <c r="UH148" s="322"/>
      <c r="UI148" s="322"/>
      <c r="UJ148" s="322"/>
      <c r="UK148" s="322"/>
      <c r="UL148" s="322"/>
      <c r="UM148" s="322"/>
      <c r="UN148" s="322"/>
      <c r="UO148" s="322"/>
      <c r="UP148" s="322"/>
      <c r="UQ148" s="322"/>
      <c r="UR148" s="322"/>
      <c r="US148" s="322"/>
      <c r="UT148" s="322"/>
      <c r="UU148" s="322"/>
      <c r="UV148" s="322"/>
      <c r="UW148" s="322"/>
      <c r="UX148" s="322"/>
      <c r="UY148" s="322"/>
      <c r="UZ148" s="322"/>
      <c r="VA148" s="322"/>
      <c r="VB148" s="322"/>
      <c r="VC148" s="322"/>
      <c r="VD148" s="322"/>
      <c r="VE148" s="322"/>
      <c r="VF148" s="322"/>
      <c r="VG148" s="322"/>
      <c r="VH148" s="322"/>
      <c r="VI148" s="322"/>
      <c r="VJ148" s="322"/>
      <c r="VK148" s="322"/>
      <c r="VL148" s="322"/>
      <c r="VM148" s="322"/>
      <c r="VN148" s="322"/>
      <c r="VO148" s="322"/>
      <c r="VP148" s="322"/>
      <c r="VQ148" s="322"/>
      <c r="VR148" s="322"/>
      <c r="VS148" s="322"/>
      <c r="VT148" s="322"/>
      <c r="VU148" s="322"/>
      <c r="VV148" s="322"/>
      <c r="VW148" s="322"/>
      <c r="VX148" s="322"/>
      <c r="VY148" s="322"/>
      <c r="VZ148" s="322"/>
      <c r="WA148" s="322"/>
      <c r="WB148" s="322"/>
      <c r="WC148" s="322"/>
      <c r="WD148" s="322"/>
      <c r="WE148" s="322"/>
      <c r="WF148" s="322"/>
      <c r="WG148" s="322"/>
      <c r="WH148" s="322"/>
      <c r="WI148" s="322"/>
      <c r="WJ148" s="322"/>
      <c r="WK148" s="322"/>
      <c r="WL148" s="322"/>
      <c r="WM148" s="322"/>
      <c r="WN148" s="322"/>
      <c r="WO148" s="322"/>
      <c r="WP148" s="322"/>
      <c r="WQ148" s="322"/>
      <c r="WR148" s="322"/>
      <c r="WS148" s="322"/>
      <c r="WT148" s="322"/>
      <c r="WU148" s="322"/>
      <c r="WV148" s="322"/>
      <c r="WW148" s="322"/>
      <c r="WX148" s="322"/>
      <c r="WY148" s="322"/>
      <c r="WZ148" s="322"/>
      <c r="XA148" s="322"/>
      <c r="XB148" s="322"/>
      <c r="XC148" s="322"/>
      <c r="XD148" s="322"/>
      <c r="XE148" s="322"/>
      <c r="XF148" s="322"/>
      <c r="XG148" s="322"/>
      <c r="XH148" s="322"/>
      <c r="XI148" s="322"/>
      <c r="XJ148" s="322"/>
      <c r="XK148" s="322"/>
      <c r="XL148" s="322"/>
      <c r="XM148" s="322"/>
      <c r="XN148" s="322"/>
      <c r="XO148" s="322"/>
      <c r="XP148" s="322"/>
      <c r="XQ148" s="322"/>
      <c r="XR148" s="322"/>
      <c r="XS148" s="322"/>
      <c r="XT148" s="322"/>
      <c r="XU148" s="322"/>
      <c r="XV148" s="322"/>
      <c r="XW148" s="322"/>
      <c r="XX148" s="322"/>
      <c r="XY148" s="322"/>
      <c r="XZ148" s="322"/>
      <c r="YA148" s="322"/>
      <c r="YB148" s="322"/>
      <c r="YC148" s="322"/>
      <c r="YD148" s="322"/>
      <c r="YE148" s="322"/>
      <c r="YF148" s="322"/>
      <c r="YG148" s="322"/>
      <c r="YH148" s="322"/>
      <c r="YI148" s="322"/>
      <c r="YJ148" s="322"/>
      <c r="YK148" s="322"/>
      <c r="YL148" s="322"/>
      <c r="YM148" s="322"/>
      <c r="YN148" s="322"/>
      <c r="YO148" s="322"/>
      <c r="YP148" s="322"/>
      <c r="YQ148" s="322"/>
      <c r="YR148" s="322"/>
      <c r="YS148" s="322"/>
      <c r="YT148" s="322"/>
      <c r="YU148" s="322"/>
      <c r="YV148" s="322"/>
      <c r="YW148" s="322"/>
      <c r="YX148" s="322"/>
      <c r="YY148" s="322"/>
      <c r="YZ148" s="322"/>
      <c r="ZA148" s="322"/>
      <c r="ZB148" s="322"/>
      <c r="ZC148" s="322"/>
      <c r="ZD148" s="322"/>
      <c r="ZE148" s="322"/>
      <c r="ZF148" s="322"/>
      <c r="ZG148" s="322"/>
      <c r="ZH148" s="322"/>
      <c r="ZI148" s="322"/>
      <c r="ZJ148" s="322"/>
      <c r="ZK148" s="322"/>
      <c r="ZL148" s="322"/>
      <c r="ZM148" s="322"/>
      <c r="ZN148" s="322"/>
      <c r="ZO148" s="322"/>
      <c r="ZP148" s="322"/>
      <c r="ZQ148" s="322"/>
      <c r="ZR148" s="322"/>
      <c r="ZS148" s="322"/>
      <c r="ZT148" s="322"/>
      <c r="ZU148" s="322"/>
      <c r="ZV148" s="322"/>
      <c r="ZW148" s="322"/>
      <c r="ZX148" s="322"/>
      <c r="ZY148" s="322"/>
      <c r="ZZ148" s="322"/>
      <c r="AAA148" s="322"/>
      <c r="AAB148" s="322"/>
      <c r="AAC148" s="322"/>
      <c r="AAD148" s="322"/>
      <c r="AAE148" s="322"/>
      <c r="AAF148" s="322"/>
      <c r="AAG148" s="322"/>
      <c r="AAH148" s="322"/>
      <c r="AAI148" s="322"/>
      <c r="AAJ148" s="322"/>
      <c r="AAK148" s="322"/>
      <c r="AAL148" s="322"/>
      <c r="AAM148" s="322"/>
      <c r="AAN148" s="322"/>
      <c r="AAO148" s="322"/>
      <c r="AAP148" s="322"/>
      <c r="AAQ148" s="322"/>
      <c r="AAR148" s="322"/>
      <c r="AAS148" s="322"/>
      <c r="AAT148" s="322"/>
      <c r="AAU148" s="322"/>
      <c r="AAV148" s="322"/>
      <c r="AAW148" s="322"/>
      <c r="AAX148" s="322"/>
      <c r="AAY148" s="322"/>
      <c r="AAZ148" s="322"/>
      <c r="ABA148" s="322"/>
      <c r="ABB148" s="322"/>
      <c r="ABC148" s="322"/>
      <c r="ABD148" s="322"/>
      <c r="ABE148" s="322"/>
      <c r="ABF148" s="322"/>
      <c r="ABG148" s="322"/>
      <c r="ABH148" s="322"/>
      <c r="ABI148" s="322"/>
      <c r="ABJ148" s="322"/>
      <c r="ABK148" s="322"/>
      <c r="ABL148" s="322"/>
      <c r="ABM148" s="322"/>
      <c r="ABN148" s="322"/>
      <c r="ABO148" s="322"/>
      <c r="ABP148" s="322"/>
      <c r="ABQ148" s="322"/>
      <c r="ABR148" s="322"/>
      <c r="ABS148" s="322"/>
      <c r="ABT148" s="322"/>
      <c r="ABU148" s="322"/>
      <c r="ABV148" s="322"/>
      <c r="ABW148" s="322"/>
      <c r="ABX148" s="322"/>
      <c r="ABY148" s="322"/>
      <c r="ABZ148" s="322"/>
      <c r="ACA148" s="322"/>
      <c r="ACB148" s="322"/>
      <c r="ACC148" s="322"/>
      <c r="ACD148" s="322"/>
      <c r="ACE148" s="322"/>
      <c r="ACF148" s="322"/>
      <c r="ACG148" s="322"/>
      <c r="ACH148" s="322"/>
      <c r="ACI148" s="322"/>
      <c r="ACJ148" s="322"/>
      <c r="ACK148" s="322"/>
      <c r="ACL148" s="322"/>
      <c r="ACM148" s="322"/>
      <c r="ACN148" s="322"/>
      <c r="ACO148" s="322"/>
      <c r="ACP148" s="322"/>
      <c r="ACQ148" s="322"/>
      <c r="ACR148" s="322"/>
      <c r="ACS148" s="322"/>
      <c r="ACT148" s="322"/>
      <c r="ACU148" s="322"/>
      <c r="ACV148" s="322"/>
      <c r="ACW148" s="322"/>
      <c r="ACX148" s="322"/>
      <c r="ACY148" s="322"/>
      <c r="ACZ148" s="322"/>
      <c r="ADA148" s="322"/>
      <c r="ADB148" s="322"/>
      <c r="ADC148" s="322"/>
      <c r="ADD148" s="322"/>
      <c r="ADE148" s="322"/>
      <c r="ADF148" s="322"/>
      <c r="ADG148" s="322"/>
      <c r="ADH148" s="322"/>
      <c r="ADI148" s="322"/>
      <c r="ADJ148" s="322"/>
      <c r="ADK148" s="322"/>
      <c r="ADL148" s="322"/>
      <c r="ADM148" s="322"/>
      <c r="ADN148" s="322"/>
      <c r="ADO148" s="322"/>
      <c r="ADP148" s="322"/>
      <c r="ADQ148" s="322"/>
      <c r="ADR148" s="322"/>
      <c r="ADS148" s="322"/>
      <c r="ADT148" s="322"/>
      <c r="ADU148" s="322"/>
      <c r="ADV148" s="322"/>
      <c r="ADW148" s="322"/>
      <c r="ADX148" s="322"/>
      <c r="ADY148" s="322"/>
      <c r="ADZ148" s="322"/>
      <c r="AEA148" s="322"/>
      <c r="AEB148" s="322"/>
      <c r="AEC148" s="322"/>
      <c r="AED148" s="322"/>
      <c r="AEE148" s="322"/>
      <c r="AEF148" s="322"/>
      <c r="AEG148" s="322"/>
      <c r="AEH148" s="322"/>
      <c r="AEI148" s="322"/>
      <c r="AEJ148" s="322"/>
      <c r="AEK148" s="322"/>
      <c r="AEL148" s="322"/>
      <c r="AEM148" s="322"/>
      <c r="AEN148" s="322"/>
      <c r="AEO148" s="322"/>
      <c r="AEP148" s="322"/>
      <c r="AEQ148" s="322"/>
      <c r="AER148" s="322"/>
      <c r="AES148" s="322"/>
      <c r="AET148" s="322"/>
      <c r="AEU148" s="322"/>
      <c r="AEV148" s="322"/>
      <c r="AEW148" s="322"/>
      <c r="AEX148" s="322"/>
      <c r="AEY148" s="322"/>
      <c r="AEZ148" s="322"/>
      <c r="AFA148" s="322"/>
      <c r="AFB148" s="322"/>
      <c r="AFC148" s="322"/>
      <c r="AFD148" s="322"/>
      <c r="AFE148" s="322"/>
      <c r="AFF148" s="322"/>
      <c r="AFG148" s="322"/>
      <c r="AFH148" s="322"/>
      <c r="AFI148" s="322"/>
      <c r="AFJ148" s="322"/>
      <c r="AFK148" s="322"/>
      <c r="AFL148" s="322"/>
      <c r="AFM148" s="322"/>
      <c r="AFN148" s="322"/>
      <c r="AFO148" s="322"/>
      <c r="AFP148" s="322"/>
      <c r="AFQ148" s="322"/>
      <c r="AFR148" s="322"/>
      <c r="AFS148" s="322"/>
      <c r="AFT148" s="322"/>
      <c r="AFU148" s="322"/>
      <c r="AFV148" s="322"/>
      <c r="AFW148" s="322"/>
      <c r="AFX148" s="322"/>
      <c r="AFY148" s="322"/>
      <c r="AFZ148" s="322"/>
      <c r="AGA148" s="322"/>
      <c r="AGB148" s="322"/>
      <c r="AGC148" s="322"/>
      <c r="AGD148" s="322"/>
      <c r="AGE148" s="322"/>
      <c r="AGF148" s="322"/>
      <c r="AGG148" s="322"/>
      <c r="AGH148" s="322"/>
      <c r="AGI148" s="322"/>
      <c r="AGJ148" s="322"/>
      <c r="AGK148" s="322"/>
      <c r="AGL148" s="322"/>
      <c r="AGM148" s="322"/>
      <c r="AGN148" s="322"/>
      <c r="AGO148" s="322"/>
      <c r="AGP148" s="322"/>
      <c r="AGQ148" s="322"/>
      <c r="AGR148" s="322"/>
      <c r="AGS148" s="322"/>
      <c r="AGT148" s="322"/>
      <c r="AGU148" s="322"/>
      <c r="AGV148" s="322"/>
      <c r="AGW148" s="322"/>
      <c r="AGX148" s="322"/>
      <c r="AGY148" s="322"/>
      <c r="AGZ148" s="322"/>
      <c r="AHA148" s="322"/>
      <c r="AHB148" s="322"/>
      <c r="AHC148" s="322"/>
      <c r="AHD148" s="322"/>
      <c r="AHE148" s="322"/>
      <c r="AHF148" s="322"/>
      <c r="AHG148" s="322"/>
      <c r="AHH148" s="322"/>
      <c r="AHI148" s="322"/>
      <c r="AHJ148" s="322"/>
      <c r="AHK148" s="322"/>
      <c r="AHL148" s="322"/>
      <c r="AHM148" s="322"/>
      <c r="AHN148" s="322"/>
      <c r="AHO148" s="322"/>
      <c r="AHP148" s="322"/>
      <c r="AHQ148" s="322"/>
      <c r="AHR148" s="322"/>
      <c r="AHS148" s="322"/>
      <c r="AHT148" s="322"/>
      <c r="AHU148" s="322"/>
      <c r="AHV148" s="322"/>
      <c r="AHW148" s="322"/>
      <c r="AHX148" s="322"/>
      <c r="AHY148" s="322"/>
      <c r="AHZ148" s="322"/>
      <c r="AIA148" s="322"/>
      <c r="AIB148" s="322"/>
      <c r="AIC148" s="322"/>
      <c r="AID148" s="322"/>
      <c r="AIE148" s="322"/>
      <c r="AIF148" s="322"/>
      <c r="AIG148" s="322"/>
      <c r="AIH148" s="322"/>
      <c r="AII148" s="322"/>
      <c r="AIJ148" s="322"/>
      <c r="AIK148" s="322"/>
      <c r="AIL148" s="322"/>
      <c r="AIM148" s="322"/>
      <c r="AIN148" s="322"/>
      <c r="AIO148" s="322"/>
      <c r="AIP148" s="322"/>
      <c r="AIQ148" s="322"/>
      <c r="AIR148" s="322"/>
      <c r="AIS148" s="322"/>
      <c r="AIT148" s="322"/>
      <c r="AIU148" s="322"/>
      <c r="AIV148" s="322"/>
      <c r="AIW148" s="322"/>
      <c r="AIX148" s="322"/>
      <c r="AIY148" s="322"/>
      <c r="AIZ148" s="322"/>
      <c r="AJA148" s="322"/>
      <c r="AJB148" s="322"/>
      <c r="AJC148" s="322"/>
      <c r="AJD148" s="322"/>
      <c r="AJE148" s="322"/>
      <c r="AJF148" s="322"/>
      <c r="AJG148" s="322"/>
      <c r="AJH148" s="322"/>
      <c r="AJI148" s="322"/>
      <c r="AJJ148" s="322"/>
      <c r="AJK148" s="322"/>
      <c r="AJL148" s="322"/>
      <c r="AJM148" s="322"/>
      <c r="AJN148" s="322"/>
      <c r="AJO148" s="322"/>
      <c r="AJP148" s="322"/>
      <c r="AJQ148" s="322"/>
      <c r="AJR148" s="322"/>
      <c r="AJS148" s="322"/>
      <c r="AJT148" s="322"/>
      <c r="AJU148" s="322"/>
      <c r="AJV148" s="322"/>
      <c r="AJW148" s="322"/>
      <c r="AJX148" s="322"/>
      <c r="AJY148" s="322"/>
      <c r="AJZ148" s="322"/>
      <c r="AKA148" s="322"/>
      <c r="AKB148" s="322"/>
      <c r="AKC148" s="322"/>
      <c r="AKD148" s="322"/>
      <c r="AKE148" s="322"/>
      <c r="AKF148" s="322"/>
      <c r="AKG148" s="322"/>
      <c r="AKH148" s="322"/>
      <c r="AKI148" s="322"/>
      <c r="AKJ148" s="322"/>
      <c r="AKK148" s="322"/>
      <c r="AKL148" s="322"/>
      <c r="AKM148" s="322"/>
      <c r="AKN148" s="322"/>
      <c r="AKO148" s="322"/>
      <c r="AKP148" s="322"/>
      <c r="AKQ148" s="322"/>
      <c r="AKR148" s="322"/>
      <c r="AKS148" s="322"/>
      <c r="AKT148" s="322"/>
      <c r="AKU148" s="322"/>
      <c r="AKV148" s="322"/>
      <c r="AKW148" s="322"/>
      <c r="AKX148" s="322"/>
      <c r="AKY148" s="322"/>
      <c r="AKZ148" s="322"/>
      <c r="ALA148" s="322"/>
      <c r="ALB148" s="322"/>
      <c r="ALC148" s="322"/>
      <c r="ALD148" s="322"/>
      <c r="ALE148" s="322"/>
      <c r="ALF148" s="322"/>
      <c r="ALG148" s="322"/>
      <c r="ALH148" s="322"/>
      <c r="ALI148" s="322"/>
      <c r="ALJ148" s="322"/>
      <c r="ALK148" s="322"/>
      <c r="ALL148" s="322"/>
      <c r="ALM148" s="322"/>
      <c r="ALN148" s="322"/>
      <c r="ALO148" s="322"/>
      <c r="ALP148" s="322"/>
      <c r="ALQ148" s="322"/>
      <c r="ALR148" s="322"/>
      <c r="ALS148" s="322"/>
      <c r="ALT148" s="322"/>
      <c r="ALU148" s="322"/>
      <c r="ALV148" s="322"/>
      <c r="ALW148" s="322"/>
      <c r="ALX148" s="322"/>
      <c r="ALY148" s="322"/>
      <c r="ALZ148" s="322"/>
      <c r="AMA148" s="322"/>
      <c r="AMB148" s="322"/>
      <c r="AMC148" s="322"/>
      <c r="AMD148" s="322"/>
      <c r="AME148" s="322"/>
      <c r="AMF148" s="322"/>
      <c r="AMG148" s="322"/>
      <c r="AMH148" s="322"/>
      <c r="AMI148" s="322"/>
      <c r="AMJ148" s="322"/>
      <c r="AMK148" s="322"/>
      <c r="AML148" s="322"/>
      <c r="AMM148" s="322"/>
      <c r="AMN148" s="322"/>
      <c r="AMO148" s="322"/>
      <c r="AMP148" s="322"/>
      <c r="AMQ148" s="322"/>
      <c r="AMR148" s="322"/>
      <c r="AMS148" s="322"/>
      <c r="AMT148" s="322"/>
      <c r="AMU148" s="322"/>
      <c r="AMV148" s="322"/>
      <c r="AMW148" s="322"/>
      <c r="AMX148" s="322"/>
      <c r="AMY148" s="322"/>
      <c r="AMZ148" s="322"/>
      <c r="ANA148" s="322"/>
      <c r="ANB148" s="322"/>
      <c r="ANC148" s="322"/>
      <c r="AND148" s="322"/>
      <c r="ANE148" s="322"/>
      <c r="ANF148" s="322"/>
      <c r="ANG148" s="322"/>
      <c r="ANH148" s="322"/>
      <c r="ANI148" s="322"/>
      <c r="ANJ148" s="322"/>
      <c r="ANK148" s="322"/>
      <c r="ANL148" s="322"/>
      <c r="ANM148" s="322"/>
      <c r="ANN148" s="322"/>
      <c r="ANO148" s="322"/>
      <c r="ANP148" s="322"/>
      <c r="ANQ148" s="322"/>
      <c r="ANR148" s="322"/>
      <c r="ANS148" s="322"/>
      <c r="ANT148" s="322"/>
      <c r="ANU148" s="322"/>
      <c r="ANV148" s="322"/>
      <c r="ANW148" s="322"/>
      <c r="ANX148" s="322"/>
      <c r="ANY148" s="322"/>
      <c r="ANZ148" s="322"/>
      <c r="AOA148" s="322"/>
      <c r="AOB148" s="322"/>
      <c r="AOC148" s="322"/>
      <c r="AOD148" s="322"/>
      <c r="AOE148" s="322"/>
      <c r="AOF148" s="322"/>
      <c r="AOG148" s="322"/>
      <c r="AOH148" s="322"/>
      <c r="AOI148" s="322"/>
      <c r="AOJ148" s="322"/>
      <c r="AOK148" s="322"/>
      <c r="AOL148" s="322"/>
      <c r="AOM148" s="322"/>
      <c r="AON148" s="322"/>
      <c r="AOO148" s="322"/>
      <c r="AOP148" s="322"/>
      <c r="AOQ148" s="322"/>
      <c r="AOR148" s="322"/>
      <c r="AOS148" s="322"/>
      <c r="AOT148" s="322"/>
      <c r="AOU148" s="322"/>
      <c r="AOV148" s="322"/>
      <c r="AOW148" s="322"/>
      <c r="AOX148" s="322"/>
      <c r="AOY148" s="322"/>
      <c r="AOZ148" s="322"/>
      <c r="APA148" s="322"/>
      <c r="APB148" s="322"/>
      <c r="APC148" s="322"/>
      <c r="APD148" s="322"/>
      <c r="APE148" s="322"/>
      <c r="APF148" s="322"/>
      <c r="APG148" s="322"/>
      <c r="APH148" s="322"/>
      <c r="API148" s="322"/>
      <c r="APJ148" s="322"/>
      <c r="APK148" s="322"/>
      <c r="APL148" s="322"/>
      <c r="APM148" s="322"/>
      <c r="APN148" s="322"/>
      <c r="APO148" s="322"/>
      <c r="APP148" s="322"/>
      <c r="APQ148" s="322"/>
      <c r="APR148" s="322"/>
      <c r="APS148" s="322"/>
      <c r="APT148" s="322"/>
      <c r="APU148" s="322"/>
      <c r="APV148" s="322"/>
      <c r="APW148" s="322"/>
      <c r="APX148" s="322"/>
      <c r="APY148" s="322"/>
      <c r="APZ148" s="322"/>
      <c r="AQA148" s="322"/>
      <c r="AQB148" s="322"/>
      <c r="AQC148" s="322"/>
      <c r="AQD148" s="322"/>
      <c r="AQE148" s="322"/>
      <c r="AQF148" s="322"/>
      <c r="AQG148" s="322"/>
      <c r="AQH148" s="322"/>
      <c r="AQI148" s="322"/>
      <c r="AQJ148" s="322"/>
      <c r="AQK148" s="322"/>
      <c r="AQL148" s="322"/>
      <c r="AQM148" s="322"/>
      <c r="AQN148" s="322"/>
      <c r="AQO148" s="322"/>
      <c r="AQP148" s="322"/>
      <c r="AQQ148" s="322"/>
      <c r="AQR148" s="322"/>
      <c r="AQS148" s="322"/>
      <c r="AQT148" s="322"/>
      <c r="AQU148" s="322"/>
      <c r="AQV148" s="322"/>
      <c r="AQW148" s="322"/>
      <c r="AQX148" s="322"/>
      <c r="AQY148" s="322"/>
      <c r="AQZ148" s="322"/>
      <c r="ARA148" s="322"/>
      <c r="ARB148" s="322"/>
      <c r="ARC148" s="322"/>
      <c r="ARD148" s="322"/>
      <c r="ARE148" s="322"/>
      <c r="ARF148" s="322"/>
      <c r="ARG148" s="322"/>
      <c r="ARH148" s="322"/>
      <c r="ARI148" s="322"/>
      <c r="ARJ148" s="322"/>
      <c r="ARK148" s="322"/>
      <c r="ARL148" s="322"/>
      <c r="ARM148" s="322"/>
      <c r="ARN148" s="322"/>
      <c r="ARO148" s="322"/>
      <c r="ARP148" s="322"/>
      <c r="ARQ148" s="322"/>
      <c r="ARR148" s="322"/>
      <c r="ARS148" s="322"/>
      <c r="ART148" s="322"/>
      <c r="ARU148" s="322"/>
      <c r="ARV148" s="322"/>
      <c r="ARW148" s="322"/>
      <c r="ARX148" s="322"/>
      <c r="ARY148" s="322"/>
      <c r="ARZ148" s="322"/>
      <c r="ASA148" s="322"/>
      <c r="ASB148" s="322"/>
      <c r="ASC148" s="322"/>
      <c r="ASD148" s="322"/>
      <c r="ASE148" s="322"/>
      <c r="ASF148" s="322"/>
      <c r="ASG148" s="322"/>
      <c r="ASH148" s="322"/>
      <c r="ASI148" s="322"/>
      <c r="ASJ148" s="322"/>
      <c r="ASK148" s="322"/>
      <c r="ASL148" s="322"/>
      <c r="ASM148" s="322"/>
      <c r="ASN148" s="322"/>
      <c r="ASO148" s="322"/>
      <c r="ASP148" s="322"/>
      <c r="ASQ148" s="322"/>
      <c r="ASR148" s="322"/>
      <c r="ASS148" s="322"/>
      <c r="AST148" s="322"/>
      <c r="ASU148" s="322"/>
      <c r="ASV148" s="322"/>
      <c r="ASW148" s="322"/>
      <c r="ASX148" s="322"/>
      <c r="ASY148" s="322"/>
      <c r="ASZ148" s="322"/>
      <c r="ATA148" s="322"/>
      <c r="ATB148" s="322"/>
      <c r="ATC148" s="322"/>
      <c r="ATD148" s="322"/>
      <c r="ATE148" s="322"/>
      <c r="ATF148" s="322"/>
      <c r="ATG148" s="322"/>
      <c r="ATH148" s="322"/>
      <c r="ATI148" s="322"/>
      <c r="ATJ148" s="322"/>
      <c r="ATK148" s="322"/>
      <c r="ATL148" s="322"/>
      <c r="ATM148" s="322"/>
      <c r="ATN148" s="322"/>
      <c r="ATO148" s="322"/>
      <c r="ATP148" s="322"/>
      <c r="ATQ148" s="322"/>
      <c r="ATR148" s="322"/>
      <c r="ATS148" s="322"/>
      <c r="ATT148" s="322"/>
      <c r="ATU148" s="322"/>
      <c r="ATV148" s="322"/>
      <c r="ATW148" s="322"/>
      <c r="ATX148" s="322"/>
      <c r="ATY148" s="322"/>
      <c r="ATZ148" s="322"/>
      <c r="AUA148" s="322"/>
      <c r="AUB148" s="322"/>
      <c r="AUC148" s="322"/>
      <c r="AUD148" s="322"/>
      <c r="AUE148" s="322"/>
      <c r="AUF148" s="322"/>
      <c r="AUG148" s="322"/>
      <c r="AUH148" s="322"/>
      <c r="AUI148" s="322"/>
      <c r="AUJ148" s="322"/>
      <c r="AUK148" s="322"/>
      <c r="AUL148" s="322"/>
      <c r="AUM148" s="322"/>
      <c r="AUN148" s="322"/>
      <c r="AUO148" s="322"/>
      <c r="AUP148" s="322"/>
      <c r="AUQ148" s="322"/>
      <c r="AUR148" s="322"/>
      <c r="AUS148" s="322"/>
      <c r="AUT148" s="322"/>
      <c r="AUU148" s="322"/>
      <c r="AUV148" s="322"/>
      <c r="AUW148" s="322"/>
      <c r="AUX148" s="322"/>
      <c r="AUY148" s="322"/>
      <c r="AUZ148" s="322"/>
      <c r="AVA148" s="322"/>
      <c r="AVB148" s="322"/>
      <c r="AVC148" s="322"/>
      <c r="AVD148" s="322"/>
      <c r="AVE148" s="322"/>
      <c r="AVF148" s="322"/>
      <c r="AVG148" s="322"/>
      <c r="AVH148" s="322"/>
      <c r="AVI148" s="322"/>
      <c r="AVJ148" s="322"/>
      <c r="AVK148" s="322"/>
      <c r="AVL148" s="322"/>
      <c r="AVM148" s="322"/>
      <c r="AVN148" s="322"/>
      <c r="AVO148" s="322"/>
      <c r="AVP148" s="322"/>
      <c r="AVQ148" s="322"/>
      <c r="AVR148" s="322"/>
      <c r="AVS148" s="322"/>
      <c r="AVT148" s="322"/>
      <c r="AVU148" s="322"/>
      <c r="AVV148" s="322"/>
      <c r="AVW148" s="322"/>
      <c r="AVX148" s="322"/>
      <c r="AVY148" s="322"/>
      <c r="AVZ148" s="322"/>
      <c r="AWA148" s="322"/>
      <c r="AWB148" s="322"/>
      <c r="AWC148" s="322"/>
      <c r="AWD148" s="322"/>
      <c r="AWE148" s="322"/>
      <c r="AWF148" s="322"/>
      <c r="AWG148" s="322"/>
      <c r="AWH148" s="322"/>
      <c r="AWI148" s="322"/>
      <c r="AWJ148" s="322"/>
      <c r="AWK148" s="322"/>
      <c r="AWL148" s="322"/>
      <c r="AWM148" s="322"/>
      <c r="AWN148" s="322"/>
      <c r="AWO148" s="322"/>
      <c r="AWP148" s="322"/>
      <c r="AWQ148" s="322"/>
      <c r="AWR148" s="322"/>
      <c r="AWS148" s="322"/>
      <c r="AWT148" s="322"/>
      <c r="AWU148" s="322"/>
      <c r="AWV148" s="322"/>
      <c r="AWW148" s="322"/>
      <c r="AWX148" s="322"/>
      <c r="AWY148" s="322"/>
      <c r="AWZ148" s="322"/>
      <c r="AXA148" s="322"/>
      <c r="AXB148" s="322"/>
      <c r="AXC148" s="322"/>
      <c r="AXD148" s="322"/>
      <c r="AXE148" s="322"/>
      <c r="AXF148" s="322"/>
      <c r="AXG148" s="322"/>
      <c r="AXH148" s="322"/>
      <c r="AXI148" s="322"/>
      <c r="AXJ148" s="322"/>
      <c r="AXK148" s="322"/>
      <c r="AXL148" s="322"/>
      <c r="AXM148" s="322"/>
      <c r="AXN148" s="322"/>
      <c r="AXO148" s="322"/>
      <c r="AXP148" s="322"/>
      <c r="AXQ148" s="322"/>
      <c r="AXR148" s="322"/>
      <c r="AXS148" s="322"/>
      <c r="AXT148" s="322"/>
      <c r="AXU148" s="322"/>
      <c r="AXV148" s="322"/>
      <c r="AXW148" s="322"/>
      <c r="AXX148" s="322"/>
      <c r="AXY148" s="322"/>
      <c r="AXZ148" s="322"/>
      <c r="AYA148" s="322"/>
      <c r="AYB148" s="322"/>
      <c r="AYC148" s="322"/>
      <c r="AYD148" s="322"/>
      <c r="AYE148" s="322"/>
      <c r="AYF148" s="322"/>
      <c r="AYG148" s="322"/>
      <c r="AYH148" s="322"/>
      <c r="AYI148" s="322"/>
      <c r="AYJ148" s="322"/>
      <c r="AYK148" s="322"/>
      <c r="AYL148" s="322"/>
      <c r="AYM148" s="322"/>
      <c r="AYN148" s="322"/>
      <c r="AYO148" s="322"/>
      <c r="AYP148" s="322"/>
      <c r="AYQ148" s="322"/>
      <c r="AYR148" s="322"/>
      <c r="AYS148" s="322"/>
      <c r="AYT148" s="322"/>
      <c r="AYU148" s="322"/>
      <c r="AYV148" s="322"/>
      <c r="AYW148" s="322"/>
      <c r="AYX148" s="322"/>
      <c r="AYY148" s="322"/>
      <c r="AYZ148" s="322"/>
      <c r="AZA148" s="322"/>
      <c r="AZB148" s="322"/>
      <c r="AZC148" s="322"/>
      <c r="AZD148" s="322"/>
      <c r="AZE148" s="322"/>
      <c r="AZF148" s="322"/>
      <c r="AZG148" s="322"/>
      <c r="AZH148" s="322"/>
      <c r="AZI148" s="322"/>
      <c r="AZJ148" s="322"/>
      <c r="AZK148" s="322"/>
      <c r="AZL148" s="322"/>
      <c r="AZM148" s="322"/>
      <c r="AZN148" s="322"/>
      <c r="AZO148" s="322"/>
      <c r="AZP148" s="322"/>
      <c r="AZQ148" s="322"/>
      <c r="AZR148" s="322"/>
      <c r="AZS148" s="322"/>
      <c r="AZT148" s="322"/>
      <c r="AZU148" s="322"/>
      <c r="AZV148" s="322"/>
      <c r="AZW148" s="322"/>
      <c r="AZX148" s="322"/>
      <c r="AZY148" s="322"/>
      <c r="AZZ148" s="322"/>
      <c r="BAA148" s="322"/>
      <c r="BAB148" s="322"/>
      <c r="BAC148" s="322"/>
      <c r="BAD148" s="322"/>
      <c r="BAE148" s="322"/>
      <c r="BAF148" s="322"/>
      <c r="BAG148" s="322"/>
      <c r="BAH148" s="322"/>
      <c r="BAI148" s="322"/>
      <c r="BAJ148" s="322"/>
      <c r="BAK148" s="322"/>
      <c r="BAL148" s="322"/>
      <c r="BAM148" s="322"/>
      <c r="BAN148" s="322"/>
      <c r="BAO148" s="322"/>
      <c r="BAP148" s="322"/>
      <c r="BAQ148" s="322"/>
      <c r="BAR148" s="322"/>
      <c r="BAS148" s="322"/>
      <c r="BAT148" s="322"/>
      <c r="BAU148" s="322"/>
      <c r="BAV148" s="322"/>
      <c r="BAW148" s="322"/>
      <c r="BAX148" s="322"/>
      <c r="BAY148" s="322"/>
      <c r="BAZ148" s="322"/>
      <c r="BBA148" s="322"/>
      <c r="BBB148" s="322"/>
      <c r="BBC148" s="322"/>
      <c r="BBD148" s="322"/>
      <c r="BBE148" s="322"/>
      <c r="BBF148" s="322"/>
      <c r="BBG148" s="322"/>
      <c r="BBH148" s="322"/>
      <c r="BBI148" s="322"/>
      <c r="BBJ148" s="322"/>
      <c r="BBK148" s="322"/>
      <c r="BBL148" s="322"/>
      <c r="BBM148" s="322"/>
      <c r="BBN148" s="322"/>
      <c r="BBO148" s="322"/>
      <c r="BBP148" s="322"/>
      <c r="BBQ148" s="322"/>
      <c r="BBR148" s="322"/>
      <c r="BBS148" s="322"/>
      <c r="BBT148" s="322"/>
      <c r="BBU148" s="322"/>
      <c r="BBV148" s="322"/>
      <c r="BBW148" s="322"/>
      <c r="BBX148" s="322"/>
      <c r="BBY148" s="322"/>
      <c r="BBZ148" s="322"/>
      <c r="BCA148" s="322"/>
      <c r="BCB148" s="322"/>
      <c r="BCC148" s="322"/>
      <c r="BCD148" s="322"/>
      <c r="BCE148" s="322"/>
      <c r="BCF148" s="322"/>
      <c r="BCG148" s="322"/>
      <c r="BCH148" s="322"/>
      <c r="BCI148" s="322"/>
      <c r="BCJ148" s="322"/>
      <c r="BCK148" s="322"/>
      <c r="BCL148" s="322"/>
      <c r="BCM148" s="322"/>
      <c r="BCN148" s="322"/>
      <c r="BCO148" s="322"/>
      <c r="BCP148" s="322"/>
      <c r="BCQ148" s="322"/>
      <c r="BCR148" s="322"/>
      <c r="BCS148" s="322"/>
      <c r="BCT148" s="322"/>
      <c r="BCU148" s="322"/>
      <c r="BCV148" s="322"/>
      <c r="BCW148" s="322"/>
      <c r="BCX148" s="322"/>
      <c r="BCY148" s="322"/>
      <c r="BCZ148" s="322"/>
      <c r="BDA148" s="322"/>
      <c r="BDB148" s="322"/>
      <c r="BDC148" s="322"/>
      <c r="BDD148" s="322"/>
      <c r="BDE148" s="322"/>
      <c r="BDF148" s="322"/>
      <c r="BDG148" s="322"/>
      <c r="BDH148" s="322"/>
      <c r="BDI148" s="322"/>
      <c r="BDJ148" s="322"/>
      <c r="BDK148" s="322"/>
      <c r="BDL148" s="322"/>
      <c r="BDM148" s="322"/>
      <c r="BDN148" s="322"/>
      <c r="BDO148" s="322"/>
      <c r="BDP148" s="322"/>
      <c r="BDQ148" s="322"/>
      <c r="BDR148" s="322"/>
      <c r="BDS148" s="322"/>
      <c r="BDT148" s="322"/>
      <c r="BDU148" s="322"/>
      <c r="BDV148" s="322"/>
      <c r="BDW148" s="322"/>
      <c r="BDX148" s="322"/>
      <c r="BDY148" s="322"/>
      <c r="BDZ148" s="322"/>
      <c r="BEA148" s="322"/>
      <c r="BEB148" s="322"/>
      <c r="BEC148" s="322"/>
      <c r="BED148" s="322"/>
      <c r="BEE148" s="322"/>
      <c r="BEF148" s="322"/>
      <c r="BEG148" s="322"/>
      <c r="BEH148" s="322"/>
      <c r="BEI148" s="322"/>
      <c r="BEJ148" s="322"/>
      <c r="BEK148" s="322"/>
      <c r="BEL148" s="322"/>
      <c r="BEM148" s="322"/>
      <c r="BEN148" s="322"/>
      <c r="BEO148" s="322"/>
      <c r="BEP148" s="322"/>
      <c r="BEQ148" s="322"/>
      <c r="BER148" s="322"/>
      <c r="BES148" s="322"/>
      <c r="BET148" s="322"/>
      <c r="BEU148" s="322"/>
      <c r="BEV148" s="322"/>
      <c r="BEW148" s="322"/>
      <c r="BEX148" s="322"/>
      <c r="BEY148" s="322"/>
      <c r="BEZ148" s="322"/>
      <c r="BFA148" s="322"/>
      <c r="BFB148" s="322"/>
      <c r="BFC148" s="322"/>
      <c r="BFD148" s="322"/>
      <c r="BFE148" s="322"/>
      <c r="BFF148" s="322"/>
      <c r="BFG148" s="322"/>
      <c r="BFH148" s="322"/>
      <c r="BFI148" s="322"/>
      <c r="BFJ148" s="322"/>
      <c r="BFK148" s="322"/>
      <c r="BFL148" s="322"/>
      <c r="BFM148" s="322"/>
      <c r="BFN148" s="322"/>
      <c r="BFO148" s="322"/>
      <c r="BFP148" s="322"/>
      <c r="BFQ148" s="322"/>
      <c r="BFR148" s="322"/>
      <c r="BFS148" s="322"/>
      <c r="BFT148" s="322"/>
      <c r="BFU148" s="322"/>
      <c r="BFV148" s="322"/>
      <c r="BFW148" s="322"/>
      <c r="BFX148" s="322"/>
      <c r="BFY148" s="322"/>
      <c r="BFZ148" s="322"/>
      <c r="BGA148" s="322"/>
      <c r="BGB148" s="322"/>
      <c r="BGC148" s="322"/>
      <c r="BGD148" s="322"/>
      <c r="BGE148" s="322"/>
      <c r="BGF148" s="322"/>
      <c r="BGG148" s="322"/>
      <c r="BGH148" s="322"/>
      <c r="BGI148" s="322"/>
      <c r="BGJ148" s="322"/>
      <c r="BGK148" s="322"/>
      <c r="BGL148" s="322"/>
      <c r="BGM148" s="322"/>
      <c r="BGN148" s="322"/>
      <c r="BGO148" s="322"/>
      <c r="BGP148" s="322"/>
      <c r="BGQ148" s="322"/>
      <c r="BGR148" s="322"/>
      <c r="BGS148" s="322"/>
      <c r="BGT148" s="322"/>
      <c r="BGU148" s="322"/>
      <c r="BGV148" s="322"/>
      <c r="BGW148" s="322"/>
      <c r="BGX148" s="322"/>
      <c r="BGY148" s="322"/>
      <c r="BGZ148" s="322"/>
      <c r="BHA148" s="322"/>
      <c r="BHB148" s="322"/>
      <c r="BHC148" s="322"/>
      <c r="BHD148" s="322"/>
      <c r="BHE148" s="322"/>
      <c r="BHF148" s="322"/>
      <c r="BHG148" s="322"/>
      <c r="BHH148" s="322"/>
      <c r="BHI148" s="322"/>
      <c r="BHJ148" s="322"/>
      <c r="BHK148" s="322"/>
      <c r="BHL148" s="322"/>
      <c r="BHM148" s="322"/>
      <c r="BHN148" s="322"/>
      <c r="BHO148" s="322"/>
      <c r="BHP148" s="322"/>
      <c r="BHQ148" s="322"/>
      <c r="BHR148" s="322"/>
      <c r="BHS148" s="322"/>
      <c r="BHT148" s="322"/>
      <c r="BHU148" s="322"/>
      <c r="BHV148" s="322"/>
      <c r="BHW148" s="322"/>
      <c r="BHX148" s="322"/>
      <c r="BHY148" s="322"/>
      <c r="BHZ148" s="322"/>
      <c r="BIA148" s="322"/>
      <c r="BIB148" s="322"/>
      <c r="BIC148" s="322"/>
      <c r="BID148" s="322"/>
      <c r="BIE148" s="322"/>
      <c r="BIF148" s="322"/>
      <c r="BIG148" s="322"/>
      <c r="BIH148" s="322"/>
      <c r="BII148" s="322"/>
      <c r="BIJ148" s="322"/>
      <c r="BIK148" s="322"/>
      <c r="BIL148" s="322"/>
      <c r="BIM148" s="322"/>
      <c r="BIN148" s="322"/>
      <c r="BIO148" s="322"/>
      <c r="BIP148" s="322"/>
      <c r="BIQ148" s="322"/>
      <c r="BIR148" s="322"/>
      <c r="BIS148" s="322"/>
      <c r="BIT148" s="322"/>
      <c r="BIU148" s="322"/>
      <c r="BIV148" s="322"/>
      <c r="BIW148" s="322"/>
      <c r="BIX148" s="322"/>
      <c r="BIY148" s="322"/>
      <c r="BIZ148" s="322"/>
      <c r="BJA148" s="322"/>
      <c r="BJB148" s="322"/>
      <c r="BJC148" s="322"/>
      <c r="BJD148" s="322"/>
      <c r="BJE148" s="322"/>
      <c r="BJF148" s="322"/>
      <c r="BJG148" s="322"/>
      <c r="BJH148" s="322"/>
      <c r="BJI148" s="322"/>
      <c r="BJJ148" s="322"/>
      <c r="BJK148" s="322"/>
      <c r="BJL148" s="322"/>
      <c r="BJM148" s="322"/>
      <c r="BJN148" s="322"/>
      <c r="BJO148" s="322"/>
      <c r="BJP148" s="322"/>
      <c r="BJQ148" s="322"/>
      <c r="BJR148" s="322"/>
      <c r="BJS148" s="322"/>
      <c r="BJT148" s="322"/>
      <c r="BJU148" s="322"/>
      <c r="BJV148" s="322"/>
      <c r="BJW148" s="322"/>
      <c r="BJX148" s="322"/>
      <c r="BJY148" s="322"/>
      <c r="BJZ148" s="322"/>
      <c r="BKA148" s="322"/>
      <c r="BKB148" s="322"/>
      <c r="BKC148" s="322"/>
      <c r="BKD148" s="322"/>
      <c r="BKE148" s="322"/>
      <c r="BKF148" s="322"/>
      <c r="BKG148" s="322"/>
      <c r="BKH148" s="322"/>
      <c r="BKI148" s="322"/>
      <c r="BKJ148" s="322"/>
      <c r="BKK148" s="322"/>
      <c r="BKL148" s="322"/>
      <c r="BKM148" s="322"/>
      <c r="BKN148" s="322"/>
      <c r="BKO148" s="322"/>
      <c r="BKP148" s="322"/>
      <c r="BKQ148" s="322"/>
      <c r="BKR148" s="322"/>
      <c r="BKS148" s="322"/>
      <c r="BKT148" s="322"/>
      <c r="BKU148" s="322"/>
      <c r="BKV148" s="322"/>
      <c r="BKW148" s="322"/>
      <c r="BKX148" s="322"/>
      <c r="BKY148" s="322"/>
      <c r="BKZ148" s="322"/>
      <c r="BLA148" s="322"/>
      <c r="BLB148" s="322"/>
      <c r="BLC148" s="322"/>
      <c r="BLD148" s="322"/>
      <c r="BLE148" s="322"/>
      <c r="BLF148" s="322"/>
      <c r="BLG148" s="322"/>
      <c r="BLH148" s="322"/>
      <c r="BLI148" s="322"/>
      <c r="BLJ148" s="322"/>
      <c r="BLK148" s="322"/>
      <c r="BLL148" s="322"/>
      <c r="BLM148" s="322"/>
      <c r="BLN148" s="322"/>
      <c r="BLO148" s="322"/>
      <c r="BLP148" s="322"/>
      <c r="BLQ148" s="322"/>
      <c r="BLR148" s="322"/>
      <c r="BLS148" s="322"/>
      <c r="BLT148" s="322"/>
      <c r="BLU148" s="322"/>
      <c r="BLV148" s="322"/>
      <c r="BLW148" s="322"/>
      <c r="BLX148" s="322"/>
      <c r="BLY148" s="322"/>
      <c r="BLZ148" s="322"/>
      <c r="BMA148" s="322"/>
      <c r="BMB148" s="322"/>
      <c r="BMC148" s="322"/>
      <c r="BMD148" s="322"/>
      <c r="BME148" s="322"/>
      <c r="BMF148" s="322"/>
      <c r="BMG148" s="322"/>
      <c r="BMH148" s="322"/>
      <c r="BMI148" s="322"/>
      <c r="BMJ148" s="322"/>
      <c r="BMK148" s="322"/>
      <c r="BML148" s="322"/>
      <c r="BMM148" s="322"/>
      <c r="BMN148" s="322"/>
      <c r="BMO148" s="322"/>
      <c r="BMP148" s="322"/>
      <c r="BMQ148" s="322"/>
      <c r="BMR148" s="322"/>
      <c r="BMS148" s="322"/>
      <c r="BMT148" s="322"/>
      <c r="BMU148" s="322"/>
      <c r="BMV148" s="322"/>
      <c r="BMW148" s="322"/>
      <c r="BMX148" s="322"/>
      <c r="BMY148" s="322"/>
      <c r="BMZ148" s="322"/>
      <c r="BNA148" s="322"/>
      <c r="BNB148" s="322"/>
      <c r="BNC148" s="322"/>
      <c r="BND148" s="322"/>
      <c r="BNE148" s="322"/>
      <c r="BNF148" s="322"/>
      <c r="BNG148" s="322"/>
      <c r="BNH148" s="322"/>
      <c r="BNI148" s="322"/>
      <c r="BNJ148" s="322"/>
      <c r="BNK148" s="322"/>
      <c r="BNL148" s="322"/>
      <c r="BNM148" s="322"/>
      <c r="BNN148" s="322"/>
      <c r="BNO148" s="322"/>
      <c r="BNP148" s="322"/>
      <c r="BNQ148" s="322"/>
      <c r="BNR148" s="322"/>
      <c r="BNS148" s="322"/>
      <c r="BNT148" s="322"/>
      <c r="BNU148" s="322"/>
      <c r="BNV148" s="322"/>
      <c r="BNW148" s="322"/>
      <c r="BNX148" s="322"/>
      <c r="BNY148" s="322"/>
      <c r="BNZ148" s="322"/>
      <c r="BOA148" s="322"/>
      <c r="BOB148" s="322"/>
      <c r="BOC148" s="322"/>
      <c r="BOD148" s="322"/>
      <c r="BOE148" s="322"/>
      <c r="BOF148" s="322"/>
      <c r="BOG148" s="322"/>
      <c r="BOH148" s="322"/>
      <c r="BOI148" s="322"/>
      <c r="BOJ148" s="322"/>
      <c r="BOK148" s="322"/>
      <c r="BOL148" s="322"/>
      <c r="BOM148" s="322"/>
      <c r="BON148" s="322"/>
      <c r="BOO148" s="322"/>
      <c r="BOP148" s="322"/>
      <c r="BOQ148" s="322"/>
      <c r="BOR148" s="322"/>
      <c r="BOS148" s="322"/>
      <c r="BOT148" s="322"/>
      <c r="BOU148" s="322"/>
      <c r="BOV148" s="322"/>
      <c r="BOW148" s="322"/>
      <c r="BOX148" s="322"/>
      <c r="BOY148" s="322"/>
      <c r="BOZ148" s="322"/>
      <c r="BPA148" s="322"/>
      <c r="BPB148" s="322"/>
      <c r="BPC148" s="322"/>
      <c r="BPD148" s="322"/>
      <c r="BPE148" s="322"/>
      <c r="BPF148" s="322"/>
      <c r="BPG148" s="322"/>
      <c r="BPH148" s="322"/>
      <c r="BPI148" s="322"/>
      <c r="BPJ148" s="322"/>
      <c r="BPK148" s="322"/>
      <c r="BPL148" s="322"/>
      <c r="BPM148" s="322"/>
      <c r="BPN148" s="322"/>
      <c r="BPO148" s="322"/>
      <c r="BPP148" s="322"/>
      <c r="BPQ148" s="322"/>
      <c r="BPR148" s="322"/>
      <c r="BPS148" s="322"/>
      <c r="BPT148" s="322"/>
      <c r="BPU148" s="322"/>
      <c r="BPV148" s="322"/>
      <c r="BPW148" s="322"/>
      <c r="BPX148" s="322"/>
      <c r="BPY148" s="322"/>
      <c r="BPZ148" s="322"/>
      <c r="BQA148" s="322"/>
      <c r="BQB148" s="322"/>
      <c r="BQC148" s="322"/>
      <c r="BQD148" s="322"/>
      <c r="BQE148" s="322"/>
      <c r="BQF148" s="322"/>
      <c r="BQG148" s="322"/>
      <c r="BQH148" s="322"/>
      <c r="BQI148" s="322"/>
      <c r="BQJ148" s="322"/>
      <c r="BQK148" s="322"/>
      <c r="BQL148" s="322"/>
      <c r="BQM148" s="322"/>
      <c r="BQN148" s="322"/>
      <c r="BQO148" s="322"/>
      <c r="BQP148" s="322"/>
      <c r="BQQ148" s="322"/>
      <c r="BQR148" s="322"/>
      <c r="BQS148" s="322"/>
      <c r="BQT148" s="322"/>
      <c r="BQU148" s="322"/>
      <c r="BQV148" s="322"/>
      <c r="BQW148" s="322"/>
      <c r="BQX148" s="322"/>
      <c r="BQY148" s="322"/>
      <c r="BQZ148" s="322"/>
      <c r="BRA148" s="322"/>
      <c r="BRB148" s="322"/>
      <c r="BRC148" s="322"/>
      <c r="BRD148" s="322"/>
      <c r="BRE148" s="322"/>
      <c r="BRF148" s="322"/>
      <c r="BRG148" s="322"/>
      <c r="BRH148" s="322"/>
      <c r="BRI148" s="322"/>
      <c r="BRJ148" s="322"/>
      <c r="BRK148" s="322"/>
      <c r="BRL148" s="322"/>
      <c r="BRM148" s="322"/>
      <c r="BRN148" s="322"/>
      <c r="BRO148" s="322"/>
      <c r="BRP148" s="322"/>
      <c r="BRQ148" s="322"/>
      <c r="BRR148" s="322"/>
      <c r="BRS148" s="322"/>
      <c r="BRT148" s="322"/>
      <c r="BRU148" s="322"/>
      <c r="BRV148" s="322"/>
      <c r="BRW148" s="322"/>
      <c r="BRX148" s="322"/>
      <c r="BRY148" s="322"/>
      <c r="BRZ148" s="322"/>
      <c r="BSA148" s="322"/>
      <c r="BSB148" s="322"/>
      <c r="BSC148" s="322"/>
      <c r="BSD148" s="322"/>
      <c r="BSE148" s="322"/>
      <c r="BSF148" s="322"/>
      <c r="BSG148" s="322"/>
      <c r="BSH148" s="322"/>
      <c r="BSI148" s="322"/>
      <c r="BSJ148" s="322"/>
      <c r="BSK148" s="322"/>
      <c r="BSL148" s="322"/>
      <c r="BSM148" s="322"/>
      <c r="BSN148" s="322"/>
      <c r="BSO148" s="322"/>
      <c r="BSP148" s="322"/>
      <c r="BSQ148" s="322"/>
      <c r="BSR148" s="322"/>
      <c r="BSS148" s="322"/>
      <c r="BST148" s="322"/>
      <c r="BSU148" s="322"/>
      <c r="BSV148" s="322"/>
      <c r="BSW148" s="322"/>
      <c r="BSX148" s="322"/>
      <c r="BSY148" s="322"/>
      <c r="BSZ148" s="322"/>
      <c r="BTA148" s="322"/>
      <c r="BTB148" s="322"/>
      <c r="BTC148" s="322"/>
      <c r="BTD148" s="322"/>
      <c r="BTE148" s="322"/>
      <c r="BTF148" s="322"/>
      <c r="BTG148" s="322"/>
      <c r="BTH148" s="322"/>
      <c r="BTI148" s="322"/>
      <c r="BTJ148" s="322"/>
      <c r="BTK148" s="322"/>
      <c r="BTL148" s="322"/>
      <c r="BTM148" s="322"/>
      <c r="BTN148" s="322"/>
      <c r="BTO148" s="322"/>
      <c r="BTP148" s="322"/>
      <c r="BTQ148" s="322"/>
      <c r="BTR148" s="322"/>
      <c r="BTS148" s="322"/>
      <c r="BTT148" s="322"/>
      <c r="BTU148" s="322"/>
      <c r="BTV148" s="322"/>
      <c r="BTW148" s="322"/>
      <c r="BTX148" s="322"/>
      <c r="BTY148" s="322"/>
      <c r="BTZ148" s="322"/>
      <c r="BUA148" s="322"/>
      <c r="BUB148" s="322"/>
      <c r="BUC148" s="322"/>
      <c r="BUD148" s="322"/>
      <c r="BUE148" s="322"/>
      <c r="BUF148" s="322"/>
      <c r="BUG148" s="322"/>
      <c r="BUH148" s="322"/>
      <c r="BUI148" s="322"/>
      <c r="BUJ148" s="322"/>
      <c r="BUK148" s="322"/>
      <c r="BUL148" s="322"/>
      <c r="BUM148" s="322"/>
      <c r="BUN148" s="322"/>
      <c r="BUO148" s="322"/>
      <c r="BUP148" s="322"/>
      <c r="BUQ148" s="322"/>
      <c r="BUR148" s="322"/>
      <c r="BUS148" s="322"/>
      <c r="BUT148" s="322"/>
      <c r="BUU148" s="322"/>
      <c r="BUV148" s="322"/>
      <c r="BUW148" s="322"/>
      <c r="BUX148" s="322"/>
      <c r="BUY148" s="322"/>
      <c r="BUZ148" s="322"/>
      <c r="BVA148" s="322"/>
      <c r="BVB148" s="322"/>
      <c r="BVC148" s="322"/>
      <c r="BVD148" s="322"/>
      <c r="BVE148" s="322"/>
      <c r="BVF148" s="322"/>
      <c r="BVG148" s="322"/>
      <c r="BVH148" s="322"/>
      <c r="BVI148" s="322"/>
      <c r="BVJ148" s="322"/>
      <c r="BVK148" s="322"/>
      <c r="BVL148" s="322"/>
      <c r="BVM148" s="322"/>
      <c r="BVN148" s="322"/>
      <c r="BVO148" s="322"/>
      <c r="BVP148" s="322"/>
      <c r="BVQ148" s="322"/>
      <c r="BVR148" s="322"/>
      <c r="BVS148" s="322"/>
      <c r="BVT148" s="322"/>
      <c r="BVU148" s="322"/>
      <c r="BVV148" s="322"/>
      <c r="BVW148" s="322"/>
      <c r="BVX148" s="322"/>
      <c r="BVY148" s="322"/>
      <c r="BVZ148" s="322"/>
      <c r="BWA148" s="322"/>
      <c r="BWB148" s="322"/>
      <c r="BWC148" s="322"/>
      <c r="BWD148" s="322"/>
      <c r="BWE148" s="322"/>
      <c r="BWF148" s="322"/>
      <c r="BWG148" s="322"/>
      <c r="BWH148" s="322"/>
      <c r="BWI148" s="322"/>
      <c r="BWJ148" s="322"/>
      <c r="BWK148" s="322"/>
      <c r="BWL148" s="322"/>
      <c r="BWM148" s="322"/>
      <c r="BWN148" s="322"/>
      <c r="BWO148" s="322"/>
      <c r="BWP148" s="322"/>
      <c r="BWQ148" s="322"/>
      <c r="BWR148" s="322"/>
      <c r="BWS148" s="322"/>
      <c r="BWT148" s="322"/>
      <c r="BWU148" s="322"/>
      <c r="BWV148" s="322"/>
      <c r="BWW148" s="322"/>
      <c r="BWX148" s="322"/>
      <c r="BWY148" s="322"/>
      <c r="BWZ148" s="322"/>
      <c r="BXA148" s="322"/>
      <c r="BXB148" s="322"/>
      <c r="BXC148" s="322"/>
      <c r="BXD148" s="322"/>
      <c r="BXE148" s="322"/>
      <c r="BXF148" s="322"/>
      <c r="BXG148" s="322"/>
      <c r="BXH148" s="322"/>
      <c r="BXI148" s="322"/>
      <c r="BXJ148" s="322"/>
      <c r="BXK148" s="322"/>
      <c r="BXL148" s="322"/>
      <c r="BXM148" s="322"/>
      <c r="BXN148" s="322"/>
      <c r="BXO148" s="322"/>
      <c r="BXP148" s="322"/>
      <c r="BXQ148" s="322"/>
      <c r="BXR148" s="322"/>
      <c r="BXS148" s="322"/>
      <c r="BXT148" s="322"/>
      <c r="BXU148" s="322"/>
      <c r="BXV148" s="322"/>
      <c r="BXW148" s="322"/>
      <c r="BXX148" s="322"/>
      <c r="BXY148" s="322"/>
      <c r="BXZ148" s="322"/>
      <c r="BYA148" s="322"/>
      <c r="BYB148" s="322"/>
      <c r="BYC148" s="322"/>
      <c r="BYD148" s="322"/>
      <c r="BYE148" s="322"/>
      <c r="BYF148" s="322"/>
      <c r="BYG148" s="322"/>
      <c r="BYH148" s="322"/>
      <c r="BYI148" s="322"/>
      <c r="BYJ148" s="322"/>
      <c r="BYK148" s="322"/>
      <c r="BYL148" s="322"/>
      <c r="BYM148" s="322"/>
      <c r="BYN148" s="322"/>
      <c r="BYO148" s="322"/>
      <c r="BYP148" s="322"/>
      <c r="BYQ148" s="322"/>
      <c r="BYR148" s="322"/>
      <c r="BYS148" s="322"/>
      <c r="BYT148" s="322"/>
      <c r="BYU148" s="322"/>
      <c r="BYV148" s="322"/>
      <c r="BYW148" s="322"/>
      <c r="BYX148" s="322"/>
      <c r="BYY148" s="322"/>
      <c r="BYZ148" s="322"/>
      <c r="BZA148" s="322"/>
      <c r="BZB148" s="322"/>
      <c r="BZC148" s="322"/>
      <c r="BZD148" s="322"/>
      <c r="BZE148" s="322"/>
      <c r="BZF148" s="322"/>
      <c r="BZG148" s="322"/>
      <c r="BZH148" s="322"/>
      <c r="BZI148" s="322"/>
      <c r="BZJ148" s="322"/>
      <c r="BZK148" s="322"/>
      <c r="BZL148" s="322"/>
      <c r="BZM148" s="322"/>
      <c r="BZN148" s="322"/>
      <c r="BZO148" s="322"/>
      <c r="BZP148" s="322"/>
      <c r="BZQ148" s="322"/>
      <c r="BZR148" s="322"/>
      <c r="BZS148" s="322"/>
      <c r="BZT148" s="322"/>
      <c r="BZU148" s="322"/>
      <c r="BZV148" s="322"/>
      <c r="BZW148" s="322"/>
      <c r="BZX148" s="322"/>
      <c r="BZY148" s="322"/>
      <c r="BZZ148" s="322"/>
      <c r="CAA148" s="322"/>
      <c r="CAB148" s="322"/>
      <c r="CAC148" s="322"/>
      <c r="CAD148" s="322"/>
      <c r="CAE148" s="322"/>
      <c r="CAF148" s="322"/>
      <c r="CAG148" s="322"/>
      <c r="CAH148" s="322"/>
      <c r="CAI148" s="322"/>
      <c r="CAJ148" s="322"/>
      <c r="CAK148" s="322"/>
      <c r="CAL148" s="322"/>
      <c r="CAM148" s="322"/>
      <c r="CAN148" s="322"/>
      <c r="CAO148" s="322"/>
      <c r="CAP148" s="322"/>
      <c r="CAQ148" s="322"/>
      <c r="CAR148" s="322"/>
      <c r="CAS148" s="322"/>
      <c r="CAT148" s="322"/>
      <c r="CAU148" s="322"/>
      <c r="CAV148" s="322"/>
      <c r="CAW148" s="322"/>
      <c r="CAX148" s="322"/>
      <c r="CAY148" s="322"/>
      <c r="CAZ148" s="322"/>
      <c r="CBA148" s="322"/>
      <c r="CBB148" s="322"/>
      <c r="CBC148" s="322"/>
      <c r="CBD148" s="322"/>
      <c r="CBE148" s="322"/>
      <c r="CBF148" s="322"/>
      <c r="CBG148" s="322"/>
      <c r="CBH148" s="322"/>
      <c r="CBI148" s="322"/>
      <c r="CBJ148" s="322"/>
      <c r="CBK148" s="322"/>
      <c r="CBL148" s="322"/>
      <c r="CBM148" s="322"/>
      <c r="CBN148" s="322"/>
      <c r="CBO148" s="322"/>
      <c r="CBP148" s="322"/>
      <c r="CBQ148" s="322"/>
      <c r="CBR148" s="322"/>
      <c r="CBS148" s="322"/>
      <c r="CBT148" s="322"/>
      <c r="CBU148" s="322"/>
      <c r="CBV148" s="322"/>
      <c r="CBW148" s="322"/>
      <c r="CBX148" s="322"/>
      <c r="CBY148" s="322"/>
      <c r="CBZ148" s="322"/>
      <c r="CCA148" s="322"/>
      <c r="CCB148" s="322"/>
      <c r="CCC148" s="322"/>
      <c r="CCD148" s="322"/>
      <c r="CCE148" s="322"/>
      <c r="CCF148" s="322"/>
      <c r="CCG148" s="322"/>
      <c r="CCH148" s="322"/>
      <c r="CCI148" s="322"/>
      <c r="CCJ148" s="322"/>
      <c r="CCK148" s="322"/>
      <c r="CCL148" s="322"/>
      <c r="CCM148" s="322"/>
      <c r="CCN148" s="322"/>
      <c r="CCO148" s="322"/>
      <c r="CCP148" s="322"/>
      <c r="CCQ148" s="322"/>
      <c r="CCR148" s="322"/>
      <c r="CCS148" s="322"/>
      <c r="CCT148" s="322"/>
      <c r="CCU148" s="322"/>
      <c r="CCV148" s="322"/>
      <c r="CCW148" s="322"/>
      <c r="CCX148" s="322"/>
      <c r="CCY148" s="322"/>
      <c r="CCZ148" s="322"/>
      <c r="CDA148" s="322"/>
      <c r="CDB148" s="322"/>
      <c r="CDC148" s="322"/>
      <c r="CDD148" s="322"/>
      <c r="CDE148" s="322"/>
      <c r="CDF148" s="322"/>
      <c r="CDG148" s="322"/>
      <c r="CDH148" s="322"/>
      <c r="CDI148" s="322"/>
      <c r="CDJ148" s="322"/>
      <c r="CDK148" s="322"/>
      <c r="CDL148" s="322"/>
      <c r="CDM148" s="322"/>
      <c r="CDN148" s="322"/>
      <c r="CDO148" s="322"/>
      <c r="CDP148" s="322"/>
      <c r="CDQ148" s="322"/>
      <c r="CDR148" s="322"/>
      <c r="CDS148" s="322"/>
      <c r="CDT148" s="322"/>
      <c r="CDU148" s="322"/>
      <c r="CDV148" s="322"/>
      <c r="CDW148" s="322"/>
      <c r="CDX148" s="322"/>
      <c r="CDY148" s="322"/>
      <c r="CDZ148" s="322"/>
      <c r="CEA148" s="322"/>
      <c r="CEB148" s="322"/>
      <c r="CEC148" s="322"/>
      <c r="CED148" s="322"/>
      <c r="CEE148" s="322"/>
      <c r="CEF148" s="322"/>
      <c r="CEG148" s="322"/>
      <c r="CEH148" s="322"/>
      <c r="CEI148" s="322"/>
      <c r="CEJ148" s="322"/>
      <c r="CEK148" s="322"/>
      <c r="CEL148" s="322"/>
      <c r="CEM148" s="322"/>
      <c r="CEN148" s="322"/>
      <c r="CEO148" s="322"/>
      <c r="CEP148" s="322"/>
      <c r="CEQ148" s="322"/>
      <c r="CER148" s="322"/>
      <c r="CES148" s="322"/>
      <c r="CET148" s="322"/>
      <c r="CEU148" s="322"/>
      <c r="CEV148" s="322"/>
      <c r="CEW148" s="322"/>
      <c r="CEX148" s="322"/>
      <c r="CEY148" s="322"/>
      <c r="CEZ148" s="322"/>
      <c r="CFA148" s="322"/>
      <c r="CFB148" s="322"/>
      <c r="CFC148" s="322"/>
      <c r="CFD148" s="322"/>
      <c r="CFE148" s="322"/>
      <c r="CFF148" s="322"/>
      <c r="CFG148" s="322"/>
      <c r="CFH148" s="322"/>
      <c r="CFI148" s="322"/>
      <c r="CFJ148" s="322"/>
      <c r="CFK148" s="322"/>
      <c r="CFL148" s="322"/>
      <c r="CFM148" s="322"/>
      <c r="CFN148" s="322"/>
      <c r="CFO148" s="322"/>
      <c r="CFP148" s="322"/>
      <c r="CFQ148" s="322"/>
      <c r="CFR148" s="322"/>
      <c r="CFS148" s="322"/>
      <c r="CFT148" s="322"/>
      <c r="CFU148" s="322"/>
      <c r="CFV148" s="322"/>
      <c r="CFW148" s="322"/>
      <c r="CFX148" s="322"/>
      <c r="CFY148" s="322"/>
      <c r="CFZ148" s="322"/>
      <c r="CGA148" s="322"/>
      <c r="CGB148" s="322"/>
      <c r="CGC148" s="322"/>
      <c r="CGD148" s="322"/>
      <c r="CGE148" s="322"/>
      <c r="CGF148" s="322"/>
      <c r="CGG148" s="322"/>
      <c r="CGH148" s="322"/>
      <c r="CGI148" s="322"/>
      <c r="CGJ148" s="322"/>
      <c r="CGK148" s="322"/>
      <c r="CGL148" s="322"/>
      <c r="CGM148" s="322"/>
      <c r="CGN148" s="322"/>
      <c r="CGO148" s="322"/>
      <c r="CGP148" s="322"/>
      <c r="CGQ148" s="322"/>
      <c r="CGR148" s="322"/>
      <c r="CGS148" s="322"/>
      <c r="CGT148" s="322"/>
      <c r="CGU148" s="322"/>
      <c r="CGV148" s="322"/>
      <c r="CGW148" s="322"/>
      <c r="CGX148" s="322"/>
      <c r="CGY148" s="322"/>
      <c r="CGZ148" s="322"/>
      <c r="CHA148" s="322"/>
      <c r="CHB148" s="322"/>
      <c r="CHC148" s="322"/>
      <c r="CHD148" s="322"/>
      <c r="CHE148" s="322"/>
      <c r="CHF148" s="322"/>
      <c r="CHG148" s="322"/>
      <c r="CHH148" s="322"/>
      <c r="CHI148" s="322"/>
      <c r="CHJ148" s="322"/>
      <c r="CHK148" s="322"/>
      <c r="CHL148" s="322"/>
      <c r="CHM148" s="322"/>
      <c r="CHN148" s="322"/>
      <c r="CHO148" s="322"/>
      <c r="CHP148" s="322"/>
      <c r="CHQ148" s="322"/>
      <c r="CHR148" s="322"/>
      <c r="CHS148" s="322"/>
      <c r="CHT148" s="322"/>
      <c r="CHU148" s="322"/>
      <c r="CHV148" s="322"/>
      <c r="CHW148" s="322"/>
      <c r="CHX148" s="322"/>
      <c r="CHY148" s="322"/>
      <c r="CHZ148" s="322"/>
      <c r="CIA148" s="322"/>
      <c r="CIB148" s="322"/>
      <c r="CIC148" s="322"/>
      <c r="CID148" s="322"/>
      <c r="CIE148" s="322"/>
      <c r="CIF148" s="322"/>
      <c r="CIG148" s="322"/>
      <c r="CIH148" s="322"/>
      <c r="CII148" s="322"/>
      <c r="CIJ148" s="322"/>
      <c r="CIK148" s="322"/>
      <c r="CIL148" s="322"/>
      <c r="CIM148" s="322"/>
      <c r="CIN148" s="322"/>
      <c r="CIO148" s="322"/>
      <c r="CIP148" s="322"/>
      <c r="CIQ148" s="322"/>
      <c r="CIR148" s="322"/>
      <c r="CIS148" s="322"/>
      <c r="CIT148" s="322"/>
      <c r="CIU148" s="322"/>
      <c r="CIV148" s="322"/>
      <c r="CIW148" s="322"/>
      <c r="CIX148" s="322"/>
      <c r="CIY148" s="322"/>
      <c r="CIZ148" s="322"/>
      <c r="CJA148" s="322"/>
      <c r="CJB148" s="322"/>
      <c r="CJC148" s="322"/>
      <c r="CJD148" s="322"/>
      <c r="CJE148" s="322"/>
      <c r="CJF148" s="322"/>
      <c r="CJG148" s="322"/>
      <c r="CJH148" s="322"/>
      <c r="CJI148" s="322"/>
      <c r="CJJ148" s="322"/>
      <c r="CJK148" s="322"/>
      <c r="CJL148" s="322"/>
      <c r="CJM148" s="322"/>
      <c r="CJN148" s="322"/>
      <c r="CJO148" s="322"/>
      <c r="CJP148" s="322"/>
      <c r="CJQ148" s="322"/>
      <c r="CJR148" s="322"/>
      <c r="CJS148" s="322"/>
      <c r="CJT148" s="322"/>
      <c r="CJU148" s="322"/>
      <c r="CJV148" s="322"/>
      <c r="CJW148" s="322"/>
      <c r="CJX148" s="322"/>
      <c r="CJY148" s="322"/>
      <c r="CJZ148" s="322"/>
      <c r="CKA148" s="322"/>
      <c r="CKB148" s="322"/>
      <c r="CKC148" s="322"/>
      <c r="CKD148" s="322"/>
      <c r="CKE148" s="322"/>
      <c r="CKF148" s="322"/>
      <c r="CKG148" s="322"/>
      <c r="CKH148" s="322"/>
      <c r="CKI148" s="322"/>
      <c r="CKJ148" s="322"/>
      <c r="CKK148" s="322"/>
      <c r="CKL148" s="322"/>
      <c r="CKM148" s="322"/>
      <c r="CKN148" s="322"/>
      <c r="CKO148" s="322"/>
      <c r="CKP148" s="322"/>
      <c r="CKQ148" s="322"/>
      <c r="CKR148" s="322"/>
      <c r="CKS148" s="322"/>
      <c r="CKT148" s="322"/>
      <c r="CKU148" s="322"/>
      <c r="CKV148" s="322"/>
      <c r="CKW148" s="322"/>
      <c r="CKX148" s="322"/>
      <c r="CKY148" s="322"/>
      <c r="CKZ148" s="322"/>
      <c r="CLA148" s="322"/>
      <c r="CLB148" s="322"/>
      <c r="CLC148" s="322"/>
      <c r="CLD148" s="322"/>
      <c r="CLE148" s="322"/>
      <c r="CLF148" s="322"/>
      <c r="CLG148" s="322"/>
      <c r="CLH148" s="322"/>
      <c r="CLI148" s="322"/>
      <c r="CLJ148" s="322"/>
      <c r="CLK148" s="322"/>
      <c r="CLL148" s="322"/>
      <c r="CLM148" s="322"/>
      <c r="CLN148" s="322"/>
      <c r="CLO148" s="322"/>
      <c r="CLP148" s="322"/>
      <c r="CLQ148" s="322"/>
      <c r="CLR148" s="322"/>
      <c r="CLS148" s="322"/>
      <c r="CLT148" s="322"/>
      <c r="CLU148" s="322"/>
      <c r="CLV148" s="322"/>
      <c r="CLW148" s="322"/>
      <c r="CLX148" s="322"/>
      <c r="CLY148" s="322"/>
      <c r="CLZ148" s="322"/>
      <c r="CMA148" s="322"/>
      <c r="CMB148" s="322"/>
      <c r="CMC148" s="322"/>
      <c r="CMD148" s="322"/>
      <c r="CME148" s="322"/>
      <c r="CMF148" s="322"/>
      <c r="CMG148" s="322"/>
      <c r="CMH148" s="322"/>
      <c r="CMI148" s="322"/>
      <c r="CMJ148" s="322"/>
      <c r="CMK148" s="322"/>
      <c r="CML148" s="322"/>
      <c r="CMM148" s="322"/>
      <c r="CMN148" s="322"/>
      <c r="CMO148" s="322"/>
      <c r="CMP148" s="322"/>
      <c r="CMQ148" s="322"/>
      <c r="CMR148" s="322"/>
      <c r="CMS148" s="322"/>
      <c r="CMT148" s="322"/>
      <c r="CMU148" s="322"/>
      <c r="CMV148" s="322"/>
      <c r="CMW148" s="322"/>
      <c r="CMX148" s="322"/>
      <c r="CMY148" s="322"/>
      <c r="CMZ148" s="322"/>
      <c r="CNA148" s="322"/>
      <c r="CNB148" s="322"/>
      <c r="CNC148" s="322"/>
      <c r="CND148" s="322"/>
      <c r="CNE148" s="322"/>
      <c r="CNF148" s="322"/>
      <c r="CNG148" s="322"/>
      <c r="CNH148" s="322"/>
      <c r="CNI148" s="322"/>
      <c r="CNJ148" s="322"/>
      <c r="CNK148" s="322"/>
      <c r="CNL148" s="322"/>
      <c r="CNM148" s="322"/>
      <c r="CNN148" s="322"/>
      <c r="CNO148" s="322"/>
      <c r="CNP148" s="322"/>
      <c r="CNQ148" s="322"/>
      <c r="CNR148" s="322"/>
      <c r="CNS148" s="322"/>
      <c r="CNT148" s="322"/>
      <c r="CNU148" s="322"/>
      <c r="CNV148" s="322"/>
      <c r="CNW148" s="322"/>
      <c r="CNX148" s="322"/>
      <c r="CNY148" s="322"/>
      <c r="CNZ148" s="322"/>
      <c r="COA148" s="322"/>
      <c r="COB148" s="322"/>
      <c r="COC148" s="322"/>
      <c r="COD148" s="322"/>
      <c r="COE148" s="322"/>
      <c r="COF148" s="322"/>
      <c r="COG148" s="322"/>
      <c r="COH148" s="322"/>
      <c r="COI148" s="322"/>
      <c r="COJ148" s="322"/>
      <c r="COK148" s="322"/>
      <c r="COL148" s="322"/>
      <c r="COM148" s="322"/>
      <c r="CON148" s="322"/>
      <c r="COO148" s="322"/>
      <c r="COP148" s="322"/>
      <c r="COQ148" s="322"/>
      <c r="COR148" s="322"/>
      <c r="COS148" s="322"/>
      <c r="COT148" s="322"/>
      <c r="COU148" s="322"/>
      <c r="COV148" s="322"/>
      <c r="COW148" s="322"/>
      <c r="COX148" s="322"/>
      <c r="COY148" s="322"/>
      <c r="COZ148" s="322"/>
      <c r="CPA148" s="322"/>
      <c r="CPB148" s="322"/>
      <c r="CPC148" s="322"/>
      <c r="CPD148" s="322"/>
      <c r="CPE148" s="322"/>
      <c r="CPF148" s="322"/>
      <c r="CPG148" s="322"/>
      <c r="CPH148" s="322"/>
      <c r="CPI148" s="322"/>
      <c r="CPJ148" s="322"/>
      <c r="CPK148" s="322"/>
      <c r="CPL148" s="322"/>
      <c r="CPM148" s="322"/>
      <c r="CPN148" s="322"/>
      <c r="CPO148" s="322"/>
      <c r="CPP148" s="322"/>
      <c r="CPQ148" s="322"/>
      <c r="CPR148" s="322"/>
      <c r="CPS148" s="322"/>
      <c r="CPT148" s="322"/>
      <c r="CPU148" s="322"/>
      <c r="CPV148" s="322"/>
      <c r="CPW148" s="322"/>
      <c r="CPX148" s="322"/>
      <c r="CPY148" s="322"/>
      <c r="CPZ148" s="322"/>
      <c r="CQA148" s="322"/>
      <c r="CQB148" s="322"/>
      <c r="CQC148" s="322"/>
      <c r="CQD148" s="322"/>
      <c r="CQE148" s="322"/>
      <c r="CQF148" s="322"/>
      <c r="CQG148" s="322"/>
      <c r="CQH148" s="322"/>
      <c r="CQI148" s="322"/>
      <c r="CQJ148" s="322"/>
      <c r="CQK148" s="322"/>
      <c r="CQL148" s="322"/>
      <c r="CQM148" s="322"/>
      <c r="CQN148" s="322"/>
      <c r="CQO148" s="322"/>
      <c r="CQP148" s="322"/>
      <c r="CQQ148" s="322"/>
      <c r="CQR148" s="322"/>
      <c r="CQS148" s="322"/>
      <c r="CQT148" s="322"/>
      <c r="CQU148" s="322"/>
      <c r="CQV148" s="322"/>
      <c r="CQW148" s="322"/>
      <c r="CQX148" s="322"/>
      <c r="CQY148" s="322"/>
      <c r="CQZ148" s="322"/>
      <c r="CRA148" s="322"/>
      <c r="CRB148" s="322"/>
      <c r="CRC148" s="322"/>
      <c r="CRD148" s="322"/>
      <c r="CRE148" s="322"/>
      <c r="CRF148" s="322"/>
      <c r="CRG148" s="322"/>
      <c r="CRH148" s="322"/>
      <c r="CRI148" s="322"/>
      <c r="CRJ148" s="322"/>
      <c r="CRK148" s="322"/>
      <c r="CRL148" s="322"/>
      <c r="CRM148" s="322"/>
      <c r="CRN148" s="322"/>
      <c r="CRO148" s="322"/>
      <c r="CRP148" s="322"/>
      <c r="CRQ148" s="322"/>
      <c r="CRR148" s="322"/>
      <c r="CRS148" s="322"/>
      <c r="CRT148" s="322"/>
      <c r="CRU148" s="322"/>
      <c r="CRV148" s="322"/>
      <c r="CRW148" s="322"/>
      <c r="CRX148" s="322"/>
      <c r="CRY148" s="322"/>
      <c r="CRZ148" s="322"/>
      <c r="CSA148" s="322"/>
      <c r="CSB148" s="322"/>
      <c r="CSC148" s="322"/>
      <c r="CSD148" s="322"/>
      <c r="CSE148" s="322"/>
      <c r="CSF148" s="322"/>
      <c r="CSG148" s="322"/>
      <c r="CSH148" s="322"/>
      <c r="CSI148" s="322"/>
      <c r="CSJ148" s="322"/>
      <c r="CSK148" s="322"/>
      <c r="CSL148" s="322"/>
      <c r="CSM148" s="322"/>
      <c r="CSN148" s="322"/>
      <c r="CSO148" s="322"/>
      <c r="CSP148" s="322"/>
      <c r="CSQ148" s="322"/>
      <c r="CSR148" s="322"/>
      <c r="CSS148" s="322"/>
      <c r="CST148" s="322"/>
      <c r="CSU148" s="322"/>
      <c r="CSV148" s="322"/>
      <c r="CSW148" s="322"/>
      <c r="CSX148" s="322"/>
      <c r="CSY148" s="322"/>
      <c r="CSZ148" s="322"/>
      <c r="CTA148" s="322"/>
      <c r="CTB148" s="322"/>
      <c r="CTC148" s="322"/>
      <c r="CTD148" s="322"/>
      <c r="CTE148" s="322"/>
      <c r="CTF148" s="322"/>
      <c r="CTG148" s="322"/>
      <c r="CTH148" s="322"/>
      <c r="CTI148" s="322"/>
      <c r="CTJ148" s="322"/>
      <c r="CTK148" s="322"/>
      <c r="CTL148" s="322"/>
      <c r="CTM148" s="322"/>
      <c r="CTN148" s="322"/>
      <c r="CTO148" s="322"/>
      <c r="CTP148" s="322"/>
      <c r="CTQ148" s="322"/>
      <c r="CTR148" s="322"/>
      <c r="CTS148" s="322"/>
      <c r="CTT148" s="322"/>
      <c r="CTU148" s="322"/>
      <c r="CTV148" s="322"/>
      <c r="CTW148" s="322"/>
      <c r="CTX148" s="322"/>
      <c r="CTY148" s="322"/>
      <c r="CTZ148" s="322"/>
      <c r="CUA148" s="322"/>
      <c r="CUB148" s="322"/>
      <c r="CUC148" s="322"/>
      <c r="CUD148" s="322"/>
      <c r="CUE148" s="322"/>
      <c r="CUF148" s="322"/>
      <c r="CUG148" s="322"/>
      <c r="CUH148" s="322"/>
      <c r="CUI148" s="322"/>
      <c r="CUJ148" s="322"/>
      <c r="CUK148" s="322"/>
      <c r="CUL148" s="322"/>
      <c r="CUM148" s="322"/>
      <c r="CUN148" s="322"/>
      <c r="CUO148" s="322"/>
      <c r="CUP148" s="322"/>
      <c r="CUQ148" s="322"/>
      <c r="CUR148" s="322"/>
      <c r="CUS148" s="322"/>
      <c r="CUT148" s="322"/>
      <c r="CUU148" s="322"/>
      <c r="CUV148" s="322"/>
      <c r="CUW148" s="322"/>
      <c r="CUX148" s="322"/>
      <c r="CUY148" s="322"/>
      <c r="CUZ148" s="322"/>
      <c r="CVA148" s="322"/>
      <c r="CVB148" s="322"/>
      <c r="CVC148" s="322"/>
      <c r="CVD148" s="322"/>
      <c r="CVE148" s="322"/>
      <c r="CVF148" s="322"/>
      <c r="CVG148" s="322"/>
      <c r="CVH148" s="322"/>
      <c r="CVI148" s="322"/>
      <c r="CVJ148" s="322"/>
      <c r="CVK148" s="322"/>
      <c r="CVL148" s="322"/>
      <c r="CVM148" s="322"/>
      <c r="CVN148" s="322"/>
      <c r="CVO148" s="322"/>
      <c r="CVP148" s="322"/>
      <c r="CVQ148" s="322"/>
      <c r="CVR148" s="322"/>
      <c r="CVS148" s="322"/>
      <c r="CVT148" s="322"/>
      <c r="CVU148" s="322"/>
      <c r="CVV148" s="322"/>
      <c r="CVW148" s="322"/>
      <c r="CVX148" s="322"/>
      <c r="CVY148" s="322"/>
      <c r="CVZ148" s="322"/>
      <c r="CWA148" s="322"/>
      <c r="CWB148" s="322"/>
      <c r="CWC148" s="322"/>
      <c r="CWD148" s="322"/>
      <c r="CWE148" s="322"/>
      <c r="CWF148" s="322"/>
      <c r="CWG148" s="322"/>
      <c r="CWH148" s="322"/>
      <c r="CWI148" s="322"/>
      <c r="CWJ148" s="322"/>
      <c r="CWK148" s="322"/>
      <c r="CWL148" s="322"/>
      <c r="CWM148" s="322"/>
      <c r="CWN148" s="322"/>
      <c r="CWO148" s="322"/>
      <c r="CWP148" s="322"/>
      <c r="CWQ148" s="322"/>
      <c r="CWR148" s="322"/>
      <c r="CWS148" s="322"/>
      <c r="CWT148" s="322"/>
      <c r="CWU148" s="322"/>
      <c r="CWV148" s="322"/>
      <c r="CWW148" s="322"/>
      <c r="CWX148" s="322"/>
      <c r="CWY148" s="322"/>
      <c r="CWZ148" s="322"/>
      <c r="CXA148" s="322"/>
      <c r="CXB148" s="322"/>
      <c r="CXC148" s="322"/>
      <c r="CXD148" s="322"/>
      <c r="CXE148" s="322"/>
      <c r="CXF148" s="322"/>
      <c r="CXG148" s="322"/>
      <c r="CXH148" s="322"/>
      <c r="CXI148" s="322"/>
      <c r="CXJ148" s="322"/>
      <c r="CXK148" s="322"/>
      <c r="CXL148" s="322"/>
      <c r="CXM148" s="322"/>
      <c r="CXN148" s="322"/>
      <c r="CXO148" s="322"/>
      <c r="CXP148" s="322"/>
      <c r="CXQ148" s="322"/>
      <c r="CXR148" s="322"/>
      <c r="CXS148" s="322"/>
      <c r="CXT148" s="322"/>
      <c r="CXU148" s="322"/>
      <c r="CXV148" s="322"/>
      <c r="CXW148" s="322"/>
      <c r="CXX148" s="322"/>
      <c r="CXY148" s="322"/>
      <c r="CXZ148" s="322"/>
      <c r="CYA148" s="322"/>
      <c r="CYB148" s="322"/>
      <c r="CYC148" s="322"/>
      <c r="CYD148" s="322"/>
      <c r="CYE148" s="322"/>
      <c r="CYF148" s="322"/>
      <c r="CYG148" s="322"/>
      <c r="CYH148" s="322"/>
      <c r="CYI148" s="322"/>
      <c r="CYJ148" s="322"/>
      <c r="CYK148" s="322"/>
      <c r="CYL148" s="322"/>
      <c r="CYM148" s="322"/>
      <c r="CYN148" s="322"/>
      <c r="CYO148" s="322"/>
      <c r="CYP148" s="322"/>
      <c r="CYQ148" s="322"/>
      <c r="CYR148" s="322"/>
      <c r="CYS148" s="322"/>
      <c r="CYT148" s="322"/>
      <c r="CYU148" s="322"/>
      <c r="CYV148" s="322"/>
      <c r="CYW148" s="322"/>
      <c r="CYX148" s="322"/>
      <c r="CYY148" s="322"/>
      <c r="CYZ148" s="322"/>
      <c r="CZA148" s="322"/>
      <c r="CZB148" s="322"/>
      <c r="CZC148" s="322"/>
      <c r="CZD148" s="322"/>
      <c r="CZE148" s="322"/>
      <c r="CZF148" s="322"/>
      <c r="CZG148" s="322"/>
      <c r="CZH148" s="322"/>
      <c r="CZI148" s="322"/>
      <c r="CZJ148" s="322"/>
      <c r="CZK148" s="322"/>
      <c r="CZL148" s="322"/>
      <c r="CZM148" s="322"/>
      <c r="CZN148" s="322"/>
      <c r="CZO148" s="322"/>
      <c r="CZP148" s="322"/>
      <c r="CZQ148" s="322"/>
      <c r="CZR148" s="322"/>
      <c r="CZS148" s="322"/>
      <c r="CZT148" s="322"/>
      <c r="CZU148" s="322"/>
      <c r="CZV148" s="322"/>
      <c r="CZW148" s="322"/>
      <c r="CZX148" s="322"/>
      <c r="CZY148" s="322"/>
      <c r="CZZ148" s="322"/>
      <c r="DAA148" s="322"/>
      <c r="DAB148" s="322"/>
      <c r="DAC148" s="322"/>
      <c r="DAD148" s="322"/>
      <c r="DAE148" s="322"/>
      <c r="DAF148" s="322"/>
      <c r="DAG148" s="322"/>
      <c r="DAH148" s="322"/>
      <c r="DAI148" s="322"/>
      <c r="DAJ148" s="322"/>
      <c r="DAK148" s="322"/>
      <c r="DAL148" s="322"/>
      <c r="DAM148" s="322"/>
      <c r="DAN148" s="322"/>
      <c r="DAO148" s="322"/>
      <c r="DAP148" s="322"/>
      <c r="DAQ148" s="322"/>
      <c r="DAR148" s="322"/>
      <c r="DAS148" s="322"/>
      <c r="DAT148" s="322"/>
      <c r="DAU148" s="322"/>
      <c r="DAV148" s="322"/>
      <c r="DAW148" s="322"/>
      <c r="DAX148" s="322"/>
      <c r="DAY148" s="322"/>
      <c r="DAZ148" s="322"/>
      <c r="DBA148" s="322"/>
      <c r="DBB148" s="322"/>
      <c r="DBC148" s="322"/>
      <c r="DBD148" s="322"/>
      <c r="DBE148" s="322"/>
      <c r="DBF148" s="322"/>
      <c r="DBG148" s="322"/>
      <c r="DBH148" s="322"/>
      <c r="DBI148" s="322"/>
      <c r="DBJ148" s="322"/>
      <c r="DBK148" s="322"/>
      <c r="DBL148" s="322"/>
      <c r="DBM148" s="322"/>
      <c r="DBN148" s="322"/>
      <c r="DBO148" s="322"/>
      <c r="DBP148" s="322"/>
      <c r="DBQ148" s="322"/>
      <c r="DBR148" s="322"/>
      <c r="DBS148" s="322"/>
      <c r="DBT148" s="322"/>
      <c r="DBU148" s="322"/>
      <c r="DBV148" s="322"/>
      <c r="DBW148" s="322"/>
      <c r="DBX148" s="322"/>
      <c r="DBY148" s="322"/>
      <c r="DBZ148" s="322"/>
      <c r="DCA148" s="322"/>
      <c r="DCB148" s="322"/>
      <c r="DCC148" s="322"/>
      <c r="DCD148" s="322"/>
      <c r="DCE148" s="322"/>
      <c r="DCF148" s="322"/>
      <c r="DCG148" s="322"/>
      <c r="DCH148" s="322"/>
      <c r="DCI148" s="322"/>
      <c r="DCJ148" s="322"/>
      <c r="DCK148" s="322"/>
      <c r="DCL148" s="322"/>
      <c r="DCM148" s="322"/>
      <c r="DCN148" s="322"/>
      <c r="DCO148" s="322"/>
      <c r="DCP148" s="322"/>
      <c r="DCQ148" s="322"/>
      <c r="DCR148" s="322"/>
      <c r="DCS148" s="322"/>
      <c r="DCT148" s="322"/>
      <c r="DCU148" s="322"/>
      <c r="DCV148" s="322"/>
      <c r="DCW148" s="322"/>
      <c r="DCX148" s="322"/>
      <c r="DCY148" s="322"/>
      <c r="DCZ148" s="322"/>
      <c r="DDA148" s="322"/>
      <c r="DDB148" s="322"/>
      <c r="DDC148" s="322"/>
      <c r="DDD148" s="322"/>
      <c r="DDE148" s="322"/>
      <c r="DDF148" s="322"/>
      <c r="DDG148" s="322"/>
      <c r="DDH148" s="322"/>
      <c r="DDI148" s="322"/>
      <c r="DDJ148" s="322"/>
      <c r="DDK148" s="322"/>
      <c r="DDL148" s="322"/>
      <c r="DDM148" s="322"/>
      <c r="DDN148" s="322"/>
      <c r="DDO148" s="322"/>
      <c r="DDP148" s="322"/>
      <c r="DDQ148" s="322"/>
      <c r="DDR148" s="322"/>
      <c r="DDS148" s="322"/>
      <c r="DDT148" s="322"/>
      <c r="DDU148" s="322"/>
      <c r="DDV148" s="322"/>
      <c r="DDW148" s="322"/>
      <c r="DDX148" s="322"/>
      <c r="DDY148" s="322"/>
      <c r="DDZ148" s="322"/>
      <c r="DEA148" s="322"/>
      <c r="DEB148" s="322"/>
      <c r="DEC148" s="322"/>
      <c r="DED148" s="322"/>
      <c r="DEE148" s="322"/>
      <c r="DEF148" s="322"/>
      <c r="DEG148" s="322"/>
      <c r="DEH148" s="322"/>
      <c r="DEI148" s="322"/>
      <c r="DEJ148" s="322"/>
      <c r="DEK148" s="322"/>
      <c r="DEL148" s="322"/>
      <c r="DEM148" s="322"/>
      <c r="DEN148" s="322"/>
      <c r="DEO148" s="322"/>
      <c r="DEP148" s="322"/>
      <c r="DEQ148" s="322"/>
      <c r="DER148" s="322"/>
      <c r="DES148" s="322"/>
      <c r="DET148" s="322"/>
      <c r="DEU148" s="322"/>
      <c r="DEV148" s="322"/>
      <c r="DEW148" s="322"/>
      <c r="DEX148" s="322"/>
      <c r="DEY148" s="322"/>
      <c r="DEZ148" s="322"/>
      <c r="DFA148" s="322"/>
      <c r="DFB148" s="322"/>
      <c r="DFC148" s="322"/>
      <c r="DFD148" s="322"/>
      <c r="DFE148" s="322"/>
      <c r="DFF148" s="322"/>
      <c r="DFG148" s="322"/>
      <c r="DFH148" s="322"/>
      <c r="DFI148" s="322"/>
      <c r="DFJ148" s="322"/>
      <c r="DFK148" s="322"/>
      <c r="DFL148" s="322"/>
      <c r="DFM148" s="322"/>
      <c r="DFN148" s="322"/>
      <c r="DFO148" s="322"/>
      <c r="DFP148" s="322"/>
      <c r="DFQ148" s="322"/>
      <c r="DFR148" s="322"/>
      <c r="DFS148" s="322"/>
      <c r="DFT148" s="322"/>
      <c r="DFU148" s="322"/>
      <c r="DFV148" s="322"/>
      <c r="DFW148" s="322"/>
      <c r="DFX148" s="322"/>
      <c r="DFY148" s="322"/>
      <c r="DFZ148" s="322"/>
      <c r="DGA148" s="322"/>
      <c r="DGB148" s="322"/>
      <c r="DGC148" s="322"/>
      <c r="DGD148" s="322"/>
      <c r="DGE148" s="322"/>
      <c r="DGF148" s="322"/>
      <c r="DGG148" s="322"/>
      <c r="DGH148" s="322"/>
      <c r="DGI148" s="322"/>
      <c r="DGJ148" s="322"/>
      <c r="DGK148" s="322"/>
      <c r="DGL148" s="322"/>
      <c r="DGM148" s="322"/>
      <c r="DGN148" s="322"/>
      <c r="DGO148" s="322"/>
      <c r="DGP148" s="322"/>
      <c r="DGQ148" s="322"/>
      <c r="DGR148" s="322"/>
      <c r="DGS148" s="322"/>
      <c r="DGT148" s="322"/>
      <c r="DGU148" s="322"/>
      <c r="DGV148" s="322"/>
      <c r="DGW148" s="322"/>
      <c r="DGX148" s="322"/>
      <c r="DGY148" s="322"/>
      <c r="DGZ148" s="322"/>
      <c r="DHA148" s="322"/>
      <c r="DHB148" s="322"/>
      <c r="DHC148" s="322"/>
      <c r="DHD148" s="322"/>
      <c r="DHE148" s="322"/>
      <c r="DHF148" s="322"/>
      <c r="DHG148" s="322"/>
      <c r="DHH148" s="322"/>
      <c r="DHI148" s="322"/>
      <c r="DHJ148" s="322"/>
      <c r="DHK148" s="322"/>
      <c r="DHL148" s="322"/>
      <c r="DHM148" s="322"/>
      <c r="DHN148" s="322"/>
      <c r="DHO148" s="322"/>
      <c r="DHP148" s="322"/>
      <c r="DHQ148" s="322"/>
      <c r="DHR148" s="322"/>
      <c r="DHS148" s="322"/>
      <c r="DHT148" s="322"/>
      <c r="DHU148" s="322"/>
      <c r="DHV148" s="322"/>
      <c r="DHW148" s="322"/>
      <c r="DHX148" s="322"/>
      <c r="DHY148" s="322"/>
      <c r="DHZ148" s="322"/>
      <c r="DIA148" s="322"/>
      <c r="DIB148" s="322"/>
      <c r="DIC148" s="322"/>
      <c r="DID148" s="322"/>
      <c r="DIE148" s="322"/>
      <c r="DIF148" s="322"/>
      <c r="DIG148" s="322"/>
      <c r="DIH148" s="322"/>
      <c r="DII148" s="322"/>
      <c r="DIJ148" s="322"/>
      <c r="DIK148" s="322"/>
      <c r="DIL148" s="322"/>
      <c r="DIM148" s="322"/>
      <c r="DIN148" s="322"/>
      <c r="DIO148" s="322"/>
      <c r="DIP148" s="322"/>
      <c r="DIQ148" s="322"/>
      <c r="DIR148" s="322"/>
      <c r="DIS148" s="322"/>
      <c r="DIT148" s="322"/>
      <c r="DIU148" s="322"/>
      <c r="DIV148" s="322"/>
      <c r="DIW148" s="322"/>
      <c r="DIX148" s="322"/>
      <c r="DIY148" s="322"/>
      <c r="DIZ148" s="322"/>
      <c r="DJA148" s="322"/>
      <c r="DJB148" s="322"/>
      <c r="DJC148" s="322"/>
      <c r="DJD148" s="322"/>
      <c r="DJE148" s="322"/>
      <c r="DJF148" s="322"/>
      <c r="DJG148" s="322"/>
      <c r="DJH148" s="322"/>
      <c r="DJI148" s="322"/>
      <c r="DJJ148" s="322"/>
      <c r="DJK148" s="322"/>
      <c r="DJL148" s="322"/>
      <c r="DJM148" s="322"/>
      <c r="DJN148" s="322"/>
      <c r="DJO148" s="322"/>
      <c r="DJP148" s="322"/>
      <c r="DJQ148" s="322"/>
      <c r="DJR148" s="322"/>
      <c r="DJS148" s="322"/>
      <c r="DJT148" s="322"/>
      <c r="DJU148" s="322"/>
      <c r="DJV148" s="322"/>
      <c r="DJW148" s="322"/>
      <c r="DJX148" s="322"/>
      <c r="DJY148" s="322"/>
      <c r="DJZ148" s="322"/>
      <c r="DKA148" s="322"/>
      <c r="DKB148" s="322"/>
      <c r="DKC148" s="322"/>
      <c r="DKD148" s="322"/>
      <c r="DKE148" s="322"/>
      <c r="DKF148" s="322"/>
      <c r="DKG148" s="322"/>
      <c r="DKH148" s="322"/>
      <c r="DKI148" s="322"/>
      <c r="DKJ148" s="322"/>
      <c r="DKK148" s="322"/>
      <c r="DKL148" s="322"/>
      <c r="DKM148" s="322"/>
      <c r="DKN148" s="322"/>
      <c r="DKO148" s="322"/>
      <c r="DKP148" s="322"/>
      <c r="DKQ148" s="322"/>
      <c r="DKR148" s="322"/>
      <c r="DKS148" s="322"/>
      <c r="DKT148" s="322"/>
      <c r="DKU148" s="322"/>
      <c r="DKV148" s="322"/>
      <c r="DKW148" s="322"/>
      <c r="DKX148" s="322"/>
      <c r="DKY148" s="322"/>
      <c r="DKZ148" s="322"/>
      <c r="DLA148" s="322"/>
      <c r="DLB148" s="322"/>
      <c r="DLC148" s="322"/>
      <c r="DLD148" s="322"/>
      <c r="DLE148" s="322"/>
      <c r="DLF148" s="322"/>
      <c r="DLG148" s="322"/>
      <c r="DLH148" s="322"/>
      <c r="DLI148" s="322"/>
      <c r="DLJ148" s="322"/>
      <c r="DLK148" s="322"/>
      <c r="DLL148" s="322"/>
      <c r="DLM148" s="322"/>
      <c r="DLN148" s="322"/>
      <c r="DLO148" s="322"/>
      <c r="DLP148" s="322"/>
      <c r="DLQ148" s="322"/>
      <c r="DLR148" s="322"/>
      <c r="DLS148" s="322"/>
      <c r="DLT148" s="322"/>
      <c r="DLU148" s="322"/>
      <c r="DLV148" s="322"/>
      <c r="DLW148" s="322"/>
      <c r="DLX148" s="322"/>
      <c r="DLY148" s="322"/>
      <c r="DLZ148" s="322"/>
      <c r="DMA148" s="322"/>
      <c r="DMB148" s="322"/>
      <c r="DMC148" s="322"/>
      <c r="DMD148" s="322"/>
      <c r="DME148" s="322"/>
      <c r="DMF148" s="322"/>
      <c r="DMG148" s="322"/>
      <c r="DMH148" s="322"/>
      <c r="DMI148" s="322"/>
      <c r="DMJ148" s="322"/>
      <c r="DMK148" s="322"/>
      <c r="DML148" s="322"/>
      <c r="DMM148" s="322"/>
      <c r="DMN148" s="322"/>
      <c r="DMO148" s="322"/>
      <c r="DMP148" s="322"/>
      <c r="DMQ148" s="322"/>
      <c r="DMR148" s="322"/>
      <c r="DMS148" s="322"/>
      <c r="DMT148" s="322"/>
      <c r="DMU148" s="322"/>
      <c r="DMV148" s="322"/>
      <c r="DMW148" s="322"/>
      <c r="DMX148" s="322"/>
      <c r="DMY148" s="322"/>
      <c r="DMZ148" s="322"/>
      <c r="DNA148" s="322"/>
      <c r="DNB148" s="322"/>
      <c r="DNC148" s="322"/>
      <c r="DND148" s="322"/>
      <c r="DNE148" s="322"/>
      <c r="DNF148" s="322"/>
      <c r="DNG148" s="322"/>
      <c r="DNH148" s="322"/>
      <c r="DNI148" s="322"/>
      <c r="DNJ148" s="322"/>
      <c r="DNK148" s="322"/>
      <c r="DNL148" s="322"/>
      <c r="DNM148" s="322"/>
      <c r="DNN148" s="322"/>
      <c r="DNO148" s="322"/>
      <c r="DNP148" s="322"/>
      <c r="DNQ148" s="322"/>
      <c r="DNR148" s="322"/>
      <c r="DNS148" s="322"/>
      <c r="DNT148" s="322"/>
      <c r="DNU148" s="322"/>
      <c r="DNV148" s="322"/>
      <c r="DNW148" s="322"/>
      <c r="DNX148" s="322"/>
      <c r="DNY148" s="322"/>
      <c r="DNZ148" s="322"/>
      <c r="DOA148" s="322"/>
      <c r="DOB148" s="322"/>
      <c r="DOC148" s="322"/>
      <c r="DOD148" s="322"/>
      <c r="DOE148" s="322"/>
      <c r="DOF148" s="322"/>
      <c r="DOG148" s="322"/>
      <c r="DOH148" s="322"/>
      <c r="DOI148" s="322"/>
      <c r="DOJ148" s="322"/>
      <c r="DOK148" s="322"/>
      <c r="DOL148" s="322"/>
      <c r="DOM148" s="322"/>
      <c r="DON148" s="322"/>
      <c r="DOO148" s="322"/>
      <c r="DOP148" s="322"/>
      <c r="DOQ148" s="322"/>
      <c r="DOR148" s="322"/>
      <c r="DOS148" s="322"/>
      <c r="DOT148" s="322"/>
      <c r="DOU148" s="322"/>
      <c r="DOV148" s="322"/>
      <c r="DOW148" s="322"/>
      <c r="DOX148" s="322"/>
      <c r="DOY148" s="322"/>
      <c r="DOZ148" s="322"/>
      <c r="DPA148" s="322"/>
      <c r="DPB148" s="322"/>
      <c r="DPC148" s="322"/>
      <c r="DPD148" s="322"/>
      <c r="DPE148" s="322"/>
      <c r="DPF148" s="322"/>
      <c r="DPG148" s="322"/>
      <c r="DPH148" s="322"/>
      <c r="DPI148" s="322"/>
      <c r="DPJ148" s="322"/>
      <c r="DPK148" s="322"/>
      <c r="DPL148" s="322"/>
      <c r="DPM148" s="322"/>
      <c r="DPN148" s="322"/>
      <c r="DPO148" s="322"/>
      <c r="DPP148" s="322"/>
      <c r="DPQ148" s="322"/>
      <c r="DPR148" s="322"/>
      <c r="DPS148" s="322"/>
      <c r="DPT148" s="322"/>
      <c r="DPU148" s="322"/>
      <c r="DPV148" s="322"/>
      <c r="DPW148" s="322"/>
      <c r="DPX148" s="322"/>
      <c r="DPY148" s="322"/>
      <c r="DPZ148" s="322"/>
      <c r="DQA148" s="322"/>
      <c r="DQB148" s="322"/>
      <c r="DQC148" s="322"/>
      <c r="DQD148" s="322"/>
      <c r="DQE148" s="322"/>
      <c r="DQF148" s="322"/>
      <c r="DQG148" s="322"/>
      <c r="DQH148" s="322"/>
      <c r="DQI148" s="322"/>
      <c r="DQJ148" s="322"/>
      <c r="DQK148" s="322"/>
      <c r="DQL148" s="322"/>
      <c r="DQM148" s="322"/>
      <c r="DQN148" s="322"/>
      <c r="DQO148" s="322"/>
      <c r="DQP148" s="322"/>
      <c r="DQQ148" s="322"/>
      <c r="DQR148" s="322"/>
      <c r="DQS148" s="322"/>
      <c r="DQT148" s="322"/>
      <c r="DQU148" s="322"/>
      <c r="DQV148" s="322"/>
      <c r="DQW148" s="322"/>
      <c r="DQX148" s="322"/>
      <c r="DQY148" s="322"/>
      <c r="DQZ148" s="322"/>
      <c r="DRA148" s="322"/>
      <c r="DRB148" s="322"/>
      <c r="DRC148" s="322"/>
      <c r="DRD148" s="322"/>
      <c r="DRE148" s="322"/>
      <c r="DRF148" s="322"/>
      <c r="DRG148" s="322"/>
      <c r="DRH148" s="322"/>
      <c r="DRI148" s="322"/>
      <c r="DRJ148" s="322"/>
      <c r="DRK148" s="322"/>
      <c r="DRL148" s="322"/>
      <c r="DRM148" s="322"/>
      <c r="DRN148" s="322"/>
      <c r="DRO148" s="322"/>
      <c r="DRP148" s="322"/>
      <c r="DRQ148" s="322"/>
      <c r="DRR148" s="322"/>
      <c r="DRS148" s="322"/>
      <c r="DRT148" s="322"/>
      <c r="DRU148" s="322"/>
      <c r="DRV148" s="322"/>
      <c r="DRW148" s="322"/>
      <c r="DRX148" s="322"/>
      <c r="DRY148" s="322"/>
      <c r="DRZ148" s="322"/>
      <c r="DSA148" s="322"/>
      <c r="DSB148" s="322"/>
      <c r="DSC148" s="322"/>
      <c r="DSD148" s="322"/>
      <c r="DSE148" s="322"/>
      <c r="DSF148" s="322"/>
      <c r="DSG148" s="322"/>
      <c r="DSH148" s="322"/>
      <c r="DSI148" s="322"/>
      <c r="DSJ148" s="322"/>
      <c r="DSK148" s="322"/>
      <c r="DSL148" s="322"/>
      <c r="DSM148" s="322"/>
      <c r="DSN148" s="322"/>
      <c r="DSO148" s="322"/>
      <c r="DSP148" s="322"/>
      <c r="DSQ148" s="322"/>
      <c r="DSR148" s="322"/>
      <c r="DSS148" s="322"/>
      <c r="DST148" s="322"/>
      <c r="DSU148" s="322"/>
      <c r="DSV148" s="322"/>
      <c r="DSW148" s="322"/>
      <c r="DSX148" s="322"/>
      <c r="DSY148" s="322"/>
      <c r="DSZ148" s="322"/>
      <c r="DTA148" s="322"/>
      <c r="DTB148" s="322"/>
      <c r="DTC148" s="322"/>
      <c r="DTD148" s="322"/>
      <c r="DTE148" s="322"/>
      <c r="DTF148" s="322"/>
      <c r="DTG148" s="322"/>
      <c r="DTH148" s="322"/>
      <c r="DTI148" s="322"/>
      <c r="DTJ148" s="322"/>
      <c r="DTK148" s="322"/>
      <c r="DTL148" s="322"/>
      <c r="DTM148" s="322"/>
      <c r="DTN148" s="322"/>
      <c r="DTO148" s="322"/>
      <c r="DTP148" s="322"/>
      <c r="DTQ148" s="322"/>
      <c r="DTR148" s="322"/>
      <c r="DTS148" s="322"/>
      <c r="DTT148" s="322"/>
      <c r="DTU148" s="322"/>
      <c r="DTV148" s="322"/>
      <c r="DTW148" s="322"/>
      <c r="DTX148" s="322"/>
      <c r="DTY148" s="322"/>
      <c r="DTZ148" s="322"/>
      <c r="DUA148" s="322"/>
      <c r="DUB148" s="322"/>
      <c r="DUC148" s="322"/>
      <c r="DUD148" s="322"/>
      <c r="DUE148" s="322"/>
      <c r="DUF148" s="322"/>
      <c r="DUG148" s="322"/>
      <c r="DUH148" s="322"/>
      <c r="DUI148" s="322"/>
      <c r="DUJ148" s="322"/>
      <c r="DUK148" s="322"/>
      <c r="DUL148" s="322"/>
      <c r="DUM148" s="322"/>
      <c r="DUN148" s="322"/>
      <c r="DUO148" s="322"/>
      <c r="DUP148" s="322"/>
      <c r="DUQ148" s="322"/>
      <c r="DUR148" s="322"/>
      <c r="DUS148" s="322"/>
      <c r="DUT148" s="322"/>
      <c r="DUU148" s="322"/>
      <c r="DUV148" s="322"/>
      <c r="DUW148" s="322"/>
      <c r="DUX148" s="322"/>
      <c r="DUY148" s="322"/>
      <c r="DUZ148" s="322"/>
      <c r="DVA148" s="322"/>
      <c r="DVB148" s="322"/>
      <c r="DVC148" s="322"/>
      <c r="DVD148" s="322"/>
      <c r="DVE148" s="322"/>
      <c r="DVF148" s="322"/>
      <c r="DVG148" s="322"/>
      <c r="DVH148" s="322"/>
      <c r="DVI148" s="322"/>
      <c r="DVJ148" s="322"/>
      <c r="DVK148" s="322"/>
      <c r="DVL148" s="322"/>
      <c r="DVM148" s="322"/>
      <c r="DVN148" s="322"/>
      <c r="DVO148" s="322"/>
      <c r="DVP148" s="322"/>
      <c r="DVQ148" s="322"/>
      <c r="DVR148" s="322"/>
      <c r="DVS148" s="322"/>
      <c r="DVT148" s="322"/>
      <c r="DVU148" s="322"/>
      <c r="DVV148" s="322"/>
      <c r="DVW148" s="322"/>
      <c r="DVX148" s="322"/>
      <c r="DVY148" s="322"/>
      <c r="DVZ148" s="322"/>
      <c r="DWA148" s="322"/>
      <c r="DWB148" s="322"/>
      <c r="DWC148" s="322"/>
      <c r="DWD148" s="322"/>
      <c r="DWE148" s="322"/>
      <c r="DWF148" s="322"/>
      <c r="DWG148" s="322"/>
      <c r="DWH148" s="322"/>
      <c r="DWI148" s="322"/>
      <c r="DWJ148" s="322"/>
      <c r="DWK148" s="322"/>
      <c r="DWL148" s="322"/>
      <c r="DWM148" s="322"/>
      <c r="DWN148" s="322"/>
      <c r="DWO148" s="322"/>
      <c r="DWP148" s="322"/>
      <c r="DWQ148" s="322"/>
      <c r="DWR148" s="322"/>
      <c r="DWS148" s="322"/>
      <c r="DWT148" s="322"/>
      <c r="DWU148" s="322"/>
      <c r="DWV148" s="322"/>
      <c r="DWW148" s="322"/>
      <c r="DWX148" s="322"/>
      <c r="DWY148" s="322"/>
      <c r="DWZ148" s="322"/>
      <c r="DXA148" s="322"/>
      <c r="DXB148" s="322"/>
      <c r="DXC148" s="322"/>
      <c r="DXD148" s="322"/>
      <c r="DXE148" s="322"/>
      <c r="DXF148" s="322"/>
      <c r="DXG148" s="322"/>
      <c r="DXH148" s="322"/>
      <c r="DXI148" s="322"/>
      <c r="DXJ148" s="322"/>
      <c r="DXK148" s="322"/>
      <c r="DXL148" s="322"/>
      <c r="DXM148" s="322"/>
      <c r="DXN148" s="322"/>
      <c r="DXO148" s="322"/>
      <c r="DXP148" s="322"/>
      <c r="DXQ148" s="322"/>
      <c r="DXR148" s="322"/>
      <c r="DXS148" s="322"/>
      <c r="DXT148" s="322"/>
      <c r="DXU148" s="322"/>
      <c r="DXV148" s="322"/>
      <c r="DXW148" s="322"/>
      <c r="DXX148" s="322"/>
      <c r="DXY148" s="322"/>
      <c r="DXZ148" s="322"/>
      <c r="DYA148" s="322"/>
      <c r="DYB148" s="322"/>
      <c r="DYC148" s="322"/>
      <c r="DYD148" s="322"/>
      <c r="DYE148" s="322"/>
      <c r="DYF148" s="322"/>
      <c r="DYG148" s="322"/>
      <c r="DYH148" s="322"/>
      <c r="DYI148" s="322"/>
      <c r="DYJ148" s="322"/>
      <c r="DYK148" s="322"/>
      <c r="DYL148" s="322"/>
      <c r="DYM148" s="322"/>
      <c r="DYN148" s="322"/>
      <c r="DYO148" s="322"/>
      <c r="DYP148" s="322"/>
      <c r="DYQ148" s="322"/>
      <c r="DYR148" s="322"/>
      <c r="DYS148" s="322"/>
      <c r="DYT148" s="322"/>
      <c r="DYU148" s="322"/>
      <c r="DYV148" s="322"/>
      <c r="DYW148" s="322"/>
      <c r="DYX148" s="322"/>
      <c r="DYY148" s="322"/>
      <c r="DYZ148" s="322"/>
      <c r="DZA148" s="322"/>
      <c r="DZB148" s="322"/>
      <c r="DZC148" s="322"/>
      <c r="DZD148" s="322"/>
      <c r="DZE148" s="322"/>
      <c r="DZF148" s="322"/>
      <c r="DZG148" s="322"/>
      <c r="DZH148" s="322"/>
      <c r="DZI148" s="322"/>
      <c r="DZJ148" s="322"/>
      <c r="DZK148" s="322"/>
      <c r="DZL148" s="322"/>
      <c r="DZM148" s="322"/>
      <c r="DZN148" s="322"/>
      <c r="DZO148" s="322"/>
      <c r="DZP148" s="322"/>
      <c r="DZQ148" s="322"/>
      <c r="DZR148" s="322"/>
      <c r="DZS148" s="322"/>
      <c r="DZT148" s="322"/>
      <c r="DZU148" s="322"/>
      <c r="DZV148" s="322"/>
      <c r="DZW148" s="322"/>
      <c r="DZX148" s="322"/>
      <c r="DZY148" s="322"/>
      <c r="DZZ148" s="322"/>
      <c r="EAA148" s="322"/>
      <c r="EAB148" s="322"/>
      <c r="EAC148" s="322"/>
      <c r="EAD148" s="322"/>
      <c r="EAE148" s="322"/>
      <c r="EAF148" s="322"/>
      <c r="EAG148" s="322"/>
      <c r="EAH148" s="322"/>
      <c r="EAI148" s="322"/>
      <c r="EAJ148" s="322"/>
      <c r="EAK148" s="322"/>
      <c r="EAL148" s="322"/>
      <c r="EAM148" s="322"/>
      <c r="EAN148" s="322"/>
      <c r="EAO148" s="322"/>
      <c r="EAP148" s="322"/>
      <c r="EAQ148" s="322"/>
      <c r="EAR148" s="322"/>
      <c r="EAS148" s="322"/>
      <c r="EAT148" s="322"/>
      <c r="EAU148" s="322"/>
      <c r="EAV148" s="322"/>
      <c r="EAW148" s="322"/>
      <c r="EAX148" s="322"/>
      <c r="EAY148" s="322"/>
      <c r="EAZ148" s="322"/>
      <c r="EBA148" s="322"/>
      <c r="EBB148" s="322"/>
      <c r="EBC148" s="322"/>
      <c r="EBD148" s="322"/>
      <c r="EBE148" s="322"/>
      <c r="EBF148" s="322"/>
      <c r="EBG148" s="322"/>
      <c r="EBH148" s="322"/>
      <c r="EBI148" s="322"/>
      <c r="EBJ148" s="322"/>
      <c r="EBK148" s="322"/>
      <c r="EBL148" s="322"/>
      <c r="EBM148" s="322"/>
      <c r="EBN148" s="322"/>
      <c r="EBO148" s="322"/>
      <c r="EBP148" s="322"/>
      <c r="EBQ148" s="322"/>
      <c r="EBR148" s="322"/>
      <c r="EBS148" s="322"/>
      <c r="EBT148" s="322"/>
      <c r="EBU148" s="322"/>
      <c r="EBV148" s="322"/>
      <c r="EBW148" s="322"/>
      <c r="EBX148" s="322"/>
      <c r="EBY148" s="322"/>
      <c r="EBZ148" s="322"/>
      <c r="ECA148" s="322"/>
      <c r="ECB148" s="322"/>
      <c r="ECC148" s="322"/>
      <c r="ECD148" s="322"/>
      <c r="ECE148" s="322"/>
      <c r="ECF148" s="322"/>
      <c r="ECG148" s="322"/>
      <c r="ECH148" s="322"/>
      <c r="ECI148" s="322"/>
      <c r="ECJ148" s="322"/>
      <c r="ECK148" s="322"/>
      <c r="ECL148" s="322"/>
      <c r="ECM148" s="322"/>
      <c r="ECN148" s="322"/>
      <c r="ECO148" s="322"/>
      <c r="ECP148" s="322"/>
      <c r="ECQ148" s="322"/>
      <c r="ECR148" s="322"/>
      <c r="ECS148" s="322"/>
      <c r="ECT148" s="322"/>
      <c r="ECU148" s="322"/>
      <c r="ECV148" s="322"/>
      <c r="ECW148" s="322"/>
      <c r="ECX148" s="322"/>
      <c r="ECY148" s="322"/>
      <c r="ECZ148" s="322"/>
      <c r="EDA148" s="322"/>
      <c r="EDB148" s="322"/>
      <c r="EDC148" s="322"/>
      <c r="EDD148" s="322"/>
      <c r="EDE148" s="322"/>
      <c r="EDF148" s="322"/>
      <c r="EDG148" s="322"/>
      <c r="EDH148" s="322"/>
      <c r="EDI148" s="322"/>
      <c r="EDJ148" s="322"/>
      <c r="EDK148" s="322"/>
      <c r="EDL148" s="322"/>
      <c r="EDM148" s="322"/>
      <c r="EDN148" s="322"/>
      <c r="EDO148" s="322"/>
      <c r="EDP148" s="322"/>
      <c r="EDQ148" s="322"/>
      <c r="EDR148" s="322"/>
      <c r="EDS148" s="322"/>
      <c r="EDT148" s="322"/>
      <c r="EDU148" s="322"/>
      <c r="EDV148" s="322"/>
      <c r="EDW148" s="322"/>
      <c r="EDX148" s="322"/>
      <c r="EDY148" s="322"/>
      <c r="EDZ148" s="322"/>
      <c r="EEA148" s="322"/>
      <c r="EEB148" s="322"/>
      <c r="EEC148" s="322"/>
      <c r="EED148" s="322"/>
      <c r="EEE148" s="322"/>
      <c r="EEF148" s="322"/>
      <c r="EEG148" s="322"/>
      <c r="EEH148" s="322"/>
      <c r="EEI148" s="322"/>
      <c r="EEJ148" s="322"/>
      <c r="EEK148" s="322"/>
      <c r="EEL148" s="322"/>
      <c r="EEM148" s="322"/>
      <c r="EEN148" s="322"/>
      <c r="EEO148" s="322"/>
      <c r="EEP148" s="322"/>
      <c r="EEQ148" s="322"/>
      <c r="EER148" s="322"/>
      <c r="EES148" s="322"/>
      <c r="EET148" s="322"/>
      <c r="EEU148" s="322"/>
      <c r="EEV148" s="322"/>
      <c r="EEW148" s="322"/>
      <c r="EEX148" s="322"/>
      <c r="EEY148" s="322"/>
      <c r="EEZ148" s="322"/>
      <c r="EFA148" s="322"/>
      <c r="EFB148" s="322"/>
      <c r="EFC148" s="322"/>
      <c r="EFD148" s="322"/>
      <c r="EFE148" s="322"/>
      <c r="EFF148" s="322"/>
      <c r="EFG148" s="322"/>
      <c r="EFH148" s="322"/>
      <c r="EFI148" s="322"/>
      <c r="EFJ148" s="322"/>
      <c r="EFK148" s="322"/>
      <c r="EFL148" s="322"/>
      <c r="EFM148" s="322"/>
      <c r="EFN148" s="322"/>
      <c r="EFO148" s="322"/>
      <c r="EFP148" s="322"/>
      <c r="EFQ148" s="322"/>
      <c r="EFR148" s="322"/>
      <c r="EFS148" s="322"/>
      <c r="EFT148" s="322"/>
      <c r="EFU148" s="322"/>
      <c r="EFV148" s="322"/>
      <c r="EFW148" s="322"/>
      <c r="EFX148" s="322"/>
      <c r="EFY148" s="322"/>
      <c r="EFZ148" s="322"/>
      <c r="EGA148" s="322"/>
      <c r="EGB148" s="322"/>
      <c r="EGC148" s="322"/>
      <c r="EGD148" s="322"/>
      <c r="EGE148" s="322"/>
      <c r="EGF148" s="322"/>
      <c r="EGG148" s="322"/>
      <c r="EGH148" s="322"/>
      <c r="EGI148" s="322"/>
      <c r="EGJ148" s="322"/>
      <c r="EGK148" s="322"/>
      <c r="EGL148" s="322"/>
      <c r="EGM148" s="322"/>
      <c r="EGN148" s="322"/>
      <c r="EGO148" s="322"/>
      <c r="EGP148" s="322"/>
      <c r="EGQ148" s="322"/>
      <c r="EGR148" s="322"/>
      <c r="EGS148" s="322"/>
      <c r="EGT148" s="322"/>
      <c r="EGU148" s="322"/>
      <c r="EGV148" s="322"/>
      <c r="EGW148" s="322"/>
      <c r="EGX148" s="322"/>
      <c r="EGY148" s="322"/>
      <c r="EGZ148" s="322"/>
      <c r="EHA148" s="322"/>
      <c r="EHB148" s="322"/>
      <c r="EHC148" s="322"/>
      <c r="EHD148" s="322"/>
      <c r="EHE148" s="322"/>
      <c r="EHF148" s="322"/>
      <c r="EHG148" s="322"/>
      <c r="EHH148" s="322"/>
      <c r="EHI148" s="322"/>
      <c r="EHJ148" s="322"/>
      <c r="EHK148" s="322"/>
      <c r="EHL148" s="322"/>
      <c r="EHM148" s="322"/>
      <c r="EHN148" s="322"/>
      <c r="EHO148" s="322"/>
      <c r="EHP148" s="322"/>
      <c r="EHQ148" s="322"/>
      <c r="EHR148" s="322"/>
      <c r="EHS148" s="322"/>
      <c r="EHT148" s="322"/>
      <c r="EHU148" s="322"/>
      <c r="EHV148" s="322"/>
      <c r="EHW148" s="322"/>
      <c r="EHX148" s="322"/>
      <c r="EHY148" s="322"/>
      <c r="EHZ148" s="322"/>
      <c r="EIA148" s="322"/>
      <c r="EIB148" s="322"/>
      <c r="EIC148" s="322"/>
      <c r="EID148" s="322"/>
      <c r="EIE148" s="322"/>
      <c r="EIF148" s="322"/>
      <c r="EIG148" s="322"/>
      <c r="EIH148" s="322"/>
      <c r="EII148" s="322"/>
      <c r="EIJ148" s="322"/>
      <c r="EIK148" s="322"/>
      <c r="EIL148" s="322"/>
      <c r="EIM148" s="322"/>
      <c r="EIN148" s="322"/>
      <c r="EIO148" s="322"/>
      <c r="EIP148" s="322"/>
      <c r="EIQ148" s="322"/>
      <c r="EIR148" s="322"/>
      <c r="EIS148" s="322"/>
      <c r="EIT148" s="322"/>
      <c r="EIU148" s="322"/>
      <c r="EIV148" s="322"/>
      <c r="EIW148" s="322"/>
      <c r="EIX148" s="322"/>
      <c r="EIY148" s="322"/>
      <c r="EIZ148" s="322"/>
      <c r="EJA148" s="322"/>
      <c r="EJB148" s="322"/>
      <c r="EJC148" s="322"/>
      <c r="EJD148" s="322"/>
      <c r="EJE148" s="322"/>
      <c r="EJF148" s="322"/>
      <c r="EJG148" s="322"/>
      <c r="EJH148" s="322"/>
      <c r="EJI148" s="322"/>
      <c r="EJJ148" s="322"/>
      <c r="EJK148" s="322"/>
      <c r="EJL148" s="322"/>
      <c r="EJM148" s="322"/>
      <c r="EJN148" s="322"/>
      <c r="EJO148" s="322"/>
      <c r="EJP148" s="322"/>
      <c r="EJQ148" s="322"/>
      <c r="EJR148" s="322"/>
      <c r="EJS148" s="322"/>
      <c r="EJT148" s="322"/>
      <c r="EJU148" s="322"/>
      <c r="EJV148" s="322"/>
      <c r="EJW148" s="322"/>
      <c r="EJX148" s="322"/>
      <c r="EJY148" s="322"/>
      <c r="EJZ148" s="322"/>
      <c r="EKA148" s="322"/>
      <c r="EKB148" s="322"/>
      <c r="EKC148" s="322"/>
      <c r="EKD148" s="322"/>
      <c r="EKE148" s="322"/>
      <c r="EKF148" s="322"/>
      <c r="EKG148" s="322"/>
      <c r="EKH148" s="322"/>
      <c r="EKI148" s="322"/>
      <c r="EKJ148" s="322"/>
      <c r="EKK148" s="322"/>
      <c r="EKL148" s="322"/>
      <c r="EKM148" s="322"/>
      <c r="EKN148" s="322"/>
      <c r="EKO148" s="322"/>
      <c r="EKP148" s="322"/>
      <c r="EKQ148" s="322"/>
      <c r="EKR148" s="322"/>
      <c r="EKS148" s="322"/>
      <c r="EKT148" s="322"/>
      <c r="EKU148" s="322"/>
      <c r="EKV148" s="322"/>
      <c r="EKW148" s="322"/>
      <c r="EKX148" s="322"/>
      <c r="EKY148" s="322"/>
      <c r="EKZ148" s="322"/>
      <c r="ELA148" s="322"/>
      <c r="ELB148" s="322"/>
      <c r="ELC148" s="322"/>
      <c r="ELD148" s="322"/>
      <c r="ELE148" s="322"/>
      <c r="ELF148" s="322"/>
      <c r="ELG148" s="322"/>
      <c r="ELH148" s="322"/>
      <c r="ELI148" s="322"/>
      <c r="ELJ148" s="322"/>
      <c r="ELK148" s="322"/>
      <c r="ELL148" s="322"/>
      <c r="ELM148" s="322"/>
      <c r="ELN148" s="322"/>
      <c r="ELO148" s="322"/>
      <c r="ELP148" s="322"/>
      <c r="ELQ148" s="322"/>
      <c r="ELR148" s="322"/>
      <c r="ELS148" s="322"/>
      <c r="ELT148" s="322"/>
      <c r="ELU148" s="322"/>
      <c r="ELV148" s="322"/>
      <c r="ELW148" s="322"/>
      <c r="ELX148" s="322"/>
      <c r="ELY148" s="322"/>
      <c r="ELZ148" s="322"/>
      <c r="EMA148" s="322"/>
      <c r="EMB148" s="322"/>
      <c r="EMC148" s="322"/>
      <c r="EMD148" s="322"/>
      <c r="EME148" s="322"/>
      <c r="EMF148" s="322"/>
      <c r="EMG148" s="322"/>
      <c r="EMH148" s="322"/>
      <c r="EMI148" s="322"/>
      <c r="EMJ148" s="322"/>
      <c r="EMK148" s="322"/>
      <c r="EML148" s="322"/>
      <c r="EMM148" s="322"/>
      <c r="EMN148" s="322"/>
      <c r="EMO148" s="322"/>
      <c r="EMP148" s="322"/>
      <c r="EMQ148" s="322"/>
      <c r="EMR148" s="322"/>
      <c r="EMS148" s="322"/>
      <c r="EMT148" s="322"/>
      <c r="EMU148" s="322"/>
      <c r="EMV148" s="322"/>
      <c r="EMW148" s="322"/>
      <c r="EMX148" s="322"/>
      <c r="EMY148" s="322"/>
      <c r="EMZ148" s="322"/>
      <c r="ENA148" s="322"/>
      <c r="ENB148" s="322"/>
      <c r="ENC148" s="322"/>
      <c r="END148" s="322"/>
      <c r="ENE148" s="322"/>
      <c r="ENF148" s="322"/>
      <c r="ENG148" s="322"/>
      <c r="ENH148" s="322"/>
      <c r="ENI148" s="322"/>
      <c r="ENJ148" s="322"/>
      <c r="ENK148" s="322"/>
      <c r="ENL148" s="322"/>
      <c r="ENM148" s="322"/>
      <c r="ENN148" s="322"/>
      <c r="ENO148" s="322"/>
      <c r="ENP148" s="322"/>
      <c r="ENQ148" s="322"/>
      <c r="ENR148" s="322"/>
      <c r="ENS148" s="322"/>
      <c r="ENT148" s="322"/>
      <c r="ENU148" s="322"/>
      <c r="ENV148" s="322"/>
      <c r="ENW148" s="322"/>
      <c r="ENX148" s="322"/>
      <c r="ENY148" s="322"/>
      <c r="ENZ148" s="322"/>
      <c r="EOA148" s="322"/>
      <c r="EOB148" s="322"/>
      <c r="EOC148" s="322"/>
      <c r="EOD148" s="322"/>
      <c r="EOE148" s="322"/>
      <c r="EOF148" s="322"/>
      <c r="EOG148" s="322"/>
      <c r="EOH148" s="322"/>
      <c r="EOI148" s="322"/>
      <c r="EOJ148" s="322"/>
      <c r="EOK148" s="322"/>
      <c r="EOL148" s="322"/>
      <c r="EOM148" s="322"/>
      <c r="EON148" s="322"/>
      <c r="EOO148" s="322"/>
      <c r="EOP148" s="322"/>
      <c r="EOQ148" s="322"/>
      <c r="EOR148" s="322"/>
      <c r="EOS148" s="322"/>
      <c r="EOT148" s="322"/>
      <c r="EOU148" s="322"/>
      <c r="EOV148" s="322"/>
      <c r="EOW148" s="322"/>
      <c r="EOX148" s="322"/>
      <c r="EOY148" s="322"/>
      <c r="EOZ148" s="322"/>
      <c r="EPA148" s="322"/>
      <c r="EPB148" s="322"/>
      <c r="EPC148" s="322"/>
      <c r="EPD148" s="322"/>
      <c r="EPE148" s="322"/>
      <c r="EPF148" s="322"/>
      <c r="EPG148" s="322"/>
      <c r="EPH148" s="322"/>
      <c r="EPI148" s="322"/>
      <c r="EPJ148" s="322"/>
      <c r="EPK148" s="322"/>
      <c r="EPL148" s="322"/>
      <c r="EPM148" s="322"/>
      <c r="EPN148" s="322"/>
      <c r="EPO148" s="322"/>
      <c r="EPP148" s="322"/>
      <c r="EPQ148" s="322"/>
      <c r="EPR148" s="322"/>
      <c r="EPS148" s="322"/>
      <c r="EPT148" s="322"/>
      <c r="EPU148" s="322"/>
      <c r="EPV148" s="322"/>
      <c r="EPW148" s="322"/>
      <c r="EPX148" s="322"/>
      <c r="EPY148" s="322"/>
      <c r="EPZ148" s="322"/>
      <c r="EQA148" s="322"/>
      <c r="EQB148" s="322"/>
      <c r="EQC148" s="322"/>
      <c r="EQD148" s="322"/>
      <c r="EQE148" s="322"/>
      <c r="EQF148" s="322"/>
      <c r="EQG148" s="322"/>
      <c r="EQH148" s="322"/>
      <c r="EQI148" s="322"/>
      <c r="EQJ148" s="322"/>
      <c r="EQK148" s="322"/>
      <c r="EQL148" s="322"/>
      <c r="EQM148" s="322"/>
      <c r="EQN148" s="322"/>
      <c r="EQO148" s="322"/>
      <c r="EQP148" s="322"/>
      <c r="EQQ148" s="322"/>
      <c r="EQR148" s="322"/>
      <c r="EQS148" s="322"/>
      <c r="EQT148" s="322"/>
      <c r="EQU148" s="322"/>
      <c r="EQV148" s="322"/>
      <c r="EQW148" s="322"/>
      <c r="EQX148" s="322"/>
      <c r="EQY148" s="322"/>
      <c r="EQZ148" s="322"/>
      <c r="ERA148" s="322"/>
      <c r="ERB148" s="322"/>
      <c r="ERC148" s="322"/>
      <c r="ERD148" s="322"/>
      <c r="ERE148" s="322"/>
      <c r="ERF148" s="322"/>
      <c r="ERG148" s="322"/>
      <c r="ERH148" s="322"/>
      <c r="ERI148" s="322"/>
      <c r="ERJ148" s="322"/>
      <c r="ERK148" s="322"/>
      <c r="ERL148" s="322"/>
      <c r="ERM148" s="322"/>
      <c r="ERN148" s="322"/>
      <c r="ERO148" s="322"/>
      <c r="ERP148" s="322"/>
      <c r="ERQ148" s="322"/>
      <c r="ERR148" s="322"/>
      <c r="ERS148" s="322"/>
      <c r="ERT148" s="322"/>
      <c r="ERU148" s="322"/>
      <c r="ERV148" s="322"/>
      <c r="ERW148" s="322"/>
      <c r="ERX148" s="322"/>
      <c r="ERY148" s="322"/>
      <c r="ERZ148" s="322"/>
      <c r="ESA148" s="322"/>
      <c r="ESB148" s="322"/>
      <c r="ESC148" s="322"/>
      <c r="ESD148" s="322"/>
      <c r="ESE148" s="322"/>
      <c r="ESF148" s="322"/>
      <c r="ESG148" s="322"/>
      <c r="ESH148" s="322"/>
      <c r="ESI148" s="322"/>
      <c r="ESJ148" s="322"/>
      <c r="ESK148" s="322"/>
      <c r="ESL148" s="322"/>
      <c r="ESM148" s="322"/>
      <c r="ESN148" s="322"/>
      <c r="ESO148" s="322"/>
      <c r="ESP148" s="322"/>
      <c r="ESQ148" s="322"/>
      <c r="ESR148" s="322"/>
      <c r="ESS148" s="322"/>
      <c r="EST148" s="322"/>
      <c r="ESU148" s="322"/>
      <c r="ESV148" s="322"/>
      <c r="ESW148" s="322"/>
      <c r="ESX148" s="322"/>
      <c r="ESY148" s="322"/>
      <c r="ESZ148" s="322"/>
      <c r="ETA148" s="322"/>
      <c r="ETB148" s="322"/>
      <c r="ETC148" s="322"/>
      <c r="ETD148" s="322"/>
      <c r="ETE148" s="322"/>
      <c r="ETF148" s="322"/>
      <c r="ETG148" s="322"/>
      <c r="ETH148" s="322"/>
      <c r="ETI148" s="322"/>
      <c r="ETJ148" s="322"/>
      <c r="ETK148" s="322"/>
      <c r="ETL148" s="322"/>
      <c r="ETM148" s="322"/>
      <c r="ETN148" s="322"/>
      <c r="ETO148" s="322"/>
      <c r="ETP148" s="322"/>
      <c r="ETQ148" s="322"/>
      <c r="ETR148" s="322"/>
      <c r="ETS148" s="322"/>
      <c r="ETT148" s="322"/>
      <c r="ETU148" s="322"/>
      <c r="ETV148" s="322"/>
      <c r="ETW148" s="322"/>
      <c r="ETX148" s="322"/>
      <c r="ETY148" s="322"/>
      <c r="ETZ148" s="322"/>
      <c r="EUA148" s="322"/>
      <c r="EUB148" s="322"/>
      <c r="EUC148" s="322"/>
      <c r="EUD148" s="322"/>
      <c r="EUE148" s="322"/>
      <c r="EUF148" s="322"/>
      <c r="EUG148" s="322"/>
      <c r="EUH148" s="322"/>
      <c r="EUI148" s="322"/>
      <c r="EUJ148" s="322"/>
      <c r="EUK148" s="322"/>
      <c r="EUL148" s="322"/>
      <c r="EUM148" s="322"/>
      <c r="EUN148" s="322"/>
      <c r="EUO148" s="322"/>
      <c r="EUP148" s="322"/>
      <c r="EUQ148" s="322"/>
      <c r="EUR148" s="322"/>
      <c r="EUS148" s="322"/>
      <c r="EUT148" s="322"/>
      <c r="EUU148" s="322"/>
      <c r="EUV148" s="322"/>
      <c r="EUW148" s="322"/>
      <c r="EUX148" s="322"/>
      <c r="EUY148" s="322"/>
      <c r="EUZ148" s="322"/>
      <c r="EVA148" s="322"/>
      <c r="EVB148" s="322"/>
      <c r="EVC148" s="322"/>
      <c r="EVD148" s="322"/>
      <c r="EVE148" s="322"/>
      <c r="EVF148" s="322"/>
      <c r="EVG148" s="322"/>
      <c r="EVH148" s="322"/>
      <c r="EVI148" s="322"/>
      <c r="EVJ148" s="322"/>
      <c r="EVK148" s="322"/>
      <c r="EVL148" s="322"/>
      <c r="EVM148" s="322"/>
      <c r="EVN148" s="322"/>
      <c r="EVO148" s="322"/>
      <c r="EVP148" s="322"/>
      <c r="EVQ148" s="322"/>
      <c r="EVR148" s="322"/>
      <c r="EVS148" s="322"/>
      <c r="EVT148" s="322"/>
      <c r="EVU148" s="322"/>
      <c r="EVV148" s="322"/>
      <c r="EVW148" s="322"/>
      <c r="EVX148" s="322"/>
      <c r="EVY148" s="322"/>
      <c r="EVZ148" s="322"/>
      <c r="EWA148" s="322"/>
      <c r="EWB148" s="322"/>
      <c r="EWC148" s="322"/>
      <c r="EWD148" s="322"/>
      <c r="EWE148" s="322"/>
      <c r="EWF148" s="322"/>
      <c r="EWG148" s="322"/>
      <c r="EWH148" s="322"/>
      <c r="EWI148" s="322"/>
      <c r="EWJ148" s="322"/>
      <c r="EWK148" s="322"/>
      <c r="EWL148" s="322"/>
      <c r="EWM148" s="322"/>
      <c r="EWN148" s="322"/>
      <c r="EWO148" s="322"/>
      <c r="EWP148" s="322"/>
      <c r="EWQ148" s="322"/>
      <c r="EWR148" s="322"/>
      <c r="EWS148" s="322"/>
      <c r="EWT148" s="322"/>
      <c r="EWU148" s="322"/>
      <c r="EWV148" s="322"/>
      <c r="EWW148" s="322"/>
      <c r="EWX148" s="322"/>
      <c r="EWY148" s="322"/>
      <c r="EWZ148" s="322"/>
      <c r="EXA148" s="322"/>
      <c r="EXB148" s="322"/>
      <c r="EXC148" s="322"/>
      <c r="EXD148" s="322"/>
      <c r="EXE148" s="322"/>
      <c r="EXF148" s="322"/>
      <c r="EXG148" s="322"/>
      <c r="EXH148" s="322"/>
      <c r="EXI148" s="322"/>
      <c r="EXJ148" s="322"/>
      <c r="EXK148" s="322"/>
      <c r="EXL148" s="322"/>
      <c r="EXM148" s="322"/>
      <c r="EXN148" s="322"/>
      <c r="EXO148" s="322"/>
      <c r="EXP148" s="322"/>
      <c r="EXQ148" s="322"/>
      <c r="EXR148" s="322"/>
      <c r="EXS148" s="322"/>
      <c r="EXT148" s="322"/>
      <c r="EXU148" s="322"/>
      <c r="EXV148" s="322"/>
      <c r="EXW148" s="322"/>
      <c r="EXX148" s="322"/>
      <c r="EXY148" s="322"/>
      <c r="EXZ148" s="322"/>
      <c r="EYA148" s="322"/>
      <c r="EYB148" s="322"/>
      <c r="EYC148" s="322"/>
      <c r="EYD148" s="322"/>
      <c r="EYE148" s="322"/>
      <c r="EYF148" s="322"/>
      <c r="EYG148" s="322"/>
      <c r="EYH148" s="322"/>
      <c r="EYI148" s="322"/>
      <c r="EYJ148" s="322"/>
      <c r="EYK148" s="322"/>
      <c r="EYL148" s="322"/>
      <c r="EYM148" s="322"/>
      <c r="EYN148" s="322"/>
      <c r="EYO148" s="322"/>
      <c r="EYP148" s="322"/>
      <c r="EYQ148" s="322"/>
      <c r="EYR148" s="322"/>
      <c r="EYS148" s="322"/>
      <c r="EYT148" s="322"/>
      <c r="EYU148" s="322"/>
      <c r="EYV148" s="322"/>
      <c r="EYW148" s="322"/>
      <c r="EYX148" s="322"/>
      <c r="EYY148" s="322"/>
      <c r="EYZ148" s="322"/>
      <c r="EZA148" s="322"/>
      <c r="EZB148" s="322"/>
      <c r="EZC148" s="322"/>
      <c r="EZD148" s="322"/>
      <c r="EZE148" s="322"/>
      <c r="EZF148" s="322"/>
      <c r="EZG148" s="322"/>
      <c r="EZH148" s="322"/>
      <c r="EZI148" s="322"/>
      <c r="EZJ148" s="322"/>
      <c r="EZK148" s="322"/>
      <c r="EZL148" s="322"/>
      <c r="EZM148" s="322"/>
      <c r="EZN148" s="322"/>
      <c r="EZO148" s="322"/>
      <c r="EZP148" s="322"/>
      <c r="EZQ148" s="322"/>
      <c r="EZR148" s="322"/>
      <c r="EZS148" s="322"/>
      <c r="EZT148" s="322"/>
      <c r="EZU148" s="322"/>
      <c r="EZV148" s="322"/>
      <c r="EZW148" s="322"/>
      <c r="EZX148" s="322"/>
      <c r="EZY148" s="322"/>
      <c r="EZZ148" s="322"/>
      <c r="FAA148" s="322"/>
      <c r="FAB148" s="322"/>
      <c r="FAC148" s="322"/>
      <c r="FAD148" s="322"/>
      <c r="FAE148" s="322"/>
      <c r="FAF148" s="322"/>
      <c r="FAG148" s="322"/>
      <c r="FAH148" s="322"/>
      <c r="FAI148" s="322"/>
      <c r="FAJ148" s="322"/>
      <c r="FAK148" s="322"/>
      <c r="FAL148" s="322"/>
      <c r="FAM148" s="322"/>
      <c r="FAN148" s="322"/>
      <c r="FAO148" s="322"/>
      <c r="FAP148" s="322"/>
      <c r="FAQ148" s="322"/>
      <c r="FAR148" s="322"/>
      <c r="FAS148" s="322"/>
      <c r="FAT148" s="322"/>
      <c r="FAU148" s="322"/>
      <c r="FAV148" s="322"/>
      <c r="FAW148" s="322"/>
      <c r="FAX148" s="322"/>
      <c r="FAY148" s="322"/>
      <c r="FAZ148" s="322"/>
      <c r="FBA148" s="322"/>
      <c r="FBB148" s="322"/>
      <c r="FBC148" s="322"/>
      <c r="FBD148" s="322"/>
      <c r="FBE148" s="322"/>
      <c r="FBF148" s="322"/>
      <c r="FBG148" s="322"/>
      <c r="FBH148" s="322"/>
      <c r="FBI148" s="322"/>
      <c r="FBJ148" s="322"/>
      <c r="FBK148" s="322"/>
      <c r="FBL148" s="322"/>
      <c r="FBM148" s="322"/>
      <c r="FBN148" s="322"/>
      <c r="FBO148" s="322"/>
      <c r="FBP148" s="322"/>
      <c r="FBQ148" s="322"/>
      <c r="FBR148" s="322"/>
      <c r="FBS148" s="322"/>
      <c r="FBT148" s="322"/>
      <c r="FBU148" s="322"/>
      <c r="FBV148" s="322"/>
      <c r="FBW148" s="322"/>
      <c r="FBX148" s="322"/>
      <c r="FBY148" s="322"/>
      <c r="FBZ148" s="322"/>
      <c r="FCA148" s="322"/>
      <c r="FCB148" s="322"/>
      <c r="FCC148" s="322"/>
      <c r="FCD148" s="322"/>
      <c r="FCE148" s="322"/>
      <c r="FCF148" s="322"/>
      <c r="FCG148" s="322"/>
      <c r="FCH148" s="322"/>
      <c r="FCI148" s="322"/>
      <c r="FCJ148" s="322"/>
      <c r="FCK148" s="322"/>
      <c r="FCL148" s="322"/>
      <c r="FCM148" s="322"/>
      <c r="FCN148" s="322"/>
      <c r="FCO148" s="322"/>
      <c r="FCP148" s="322"/>
      <c r="FCQ148" s="322"/>
      <c r="FCR148" s="322"/>
      <c r="FCS148" s="322"/>
      <c r="FCT148" s="322"/>
      <c r="FCU148" s="322"/>
      <c r="FCV148" s="322"/>
      <c r="FCW148" s="322"/>
      <c r="FCX148" s="322"/>
      <c r="FCY148" s="322"/>
      <c r="FCZ148" s="322"/>
      <c r="FDA148" s="322"/>
      <c r="FDB148" s="322"/>
      <c r="FDC148" s="322"/>
      <c r="FDD148" s="322"/>
      <c r="FDE148" s="322"/>
      <c r="FDF148" s="322"/>
      <c r="FDG148" s="322"/>
      <c r="FDH148" s="322"/>
      <c r="FDI148" s="322"/>
      <c r="FDJ148" s="322"/>
      <c r="FDK148" s="322"/>
      <c r="FDL148" s="322"/>
      <c r="FDM148" s="322"/>
      <c r="FDN148" s="322"/>
      <c r="FDO148" s="322"/>
      <c r="FDP148" s="322"/>
      <c r="FDQ148" s="322"/>
      <c r="FDR148" s="322"/>
      <c r="FDS148" s="322"/>
      <c r="FDT148" s="322"/>
      <c r="FDU148" s="322"/>
      <c r="FDV148" s="322"/>
      <c r="FDW148" s="322"/>
      <c r="FDX148" s="322"/>
      <c r="FDY148" s="322"/>
      <c r="FDZ148" s="322"/>
      <c r="FEA148" s="322"/>
      <c r="FEB148" s="322"/>
      <c r="FEC148" s="322"/>
      <c r="FED148" s="322"/>
      <c r="FEE148" s="322"/>
      <c r="FEF148" s="322"/>
      <c r="FEG148" s="322"/>
      <c r="FEH148" s="322"/>
      <c r="FEI148" s="322"/>
      <c r="FEJ148" s="322"/>
      <c r="FEK148" s="322"/>
      <c r="FEL148" s="322"/>
      <c r="FEM148" s="322"/>
      <c r="FEN148" s="322"/>
      <c r="FEO148" s="322"/>
      <c r="FEP148" s="322"/>
      <c r="FEQ148" s="322"/>
      <c r="FER148" s="322"/>
      <c r="FES148" s="322"/>
      <c r="FET148" s="322"/>
      <c r="FEU148" s="322"/>
      <c r="FEV148" s="322"/>
      <c r="FEW148" s="322"/>
      <c r="FEX148" s="322"/>
      <c r="FEY148" s="322"/>
      <c r="FEZ148" s="322"/>
      <c r="FFA148" s="322"/>
      <c r="FFB148" s="322"/>
      <c r="FFC148" s="322"/>
      <c r="FFD148" s="322"/>
      <c r="FFE148" s="322"/>
      <c r="FFF148" s="322"/>
      <c r="FFG148" s="322"/>
      <c r="FFH148" s="322"/>
      <c r="FFI148" s="322"/>
      <c r="FFJ148" s="322"/>
      <c r="FFK148" s="322"/>
      <c r="FFL148" s="322"/>
      <c r="FFM148" s="322"/>
      <c r="FFN148" s="322"/>
      <c r="FFO148" s="322"/>
      <c r="FFP148" s="322"/>
      <c r="FFQ148" s="322"/>
      <c r="FFR148" s="322"/>
      <c r="FFS148" s="322"/>
      <c r="FFT148" s="322"/>
      <c r="FFU148" s="322"/>
      <c r="FFV148" s="322"/>
      <c r="FFW148" s="322"/>
      <c r="FFX148" s="322"/>
      <c r="FFY148" s="322"/>
      <c r="FFZ148" s="322"/>
      <c r="FGA148" s="322"/>
      <c r="FGB148" s="322"/>
      <c r="FGC148" s="322"/>
      <c r="FGD148" s="322"/>
      <c r="FGE148" s="322"/>
      <c r="FGF148" s="322"/>
      <c r="FGG148" s="322"/>
      <c r="FGH148" s="322"/>
      <c r="FGI148" s="322"/>
      <c r="FGJ148" s="322"/>
      <c r="FGK148" s="322"/>
      <c r="FGL148" s="322"/>
      <c r="FGM148" s="322"/>
      <c r="FGN148" s="322"/>
      <c r="FGO148" s="322"/>
      <c r="FGP148" s="322"/>
      <c r="FGQ148" s="322"/>
      <c r="FGR148" s="322"/>
      <c r="FGS148" s="322"/>
      <c r="FGT148" s="322"/>
      <c r="FGU148" s="322"/>
      <c r="FGV148" s="322"/>
      <c r="FGW148" s="322"/>
      <c r="FGX148" s="322"/>
      <c r="FGY148" s="322"/>
      <c r="FGZ148" s="322"/>
      <c r="FHA148" s="322"/>
      <c r="FHB148" s="322"/>
      <c r="FHC148" s="322"/>
      <c r="FHD148" s="322"/>
      <c r="FHE148" s="322"/>
      <c r="FHF148" s="322"/>
      <c r="FHG148" s="322"/>
      <c r="FHH148" s="322"/>
      <c r="FHI148" s="322"/>
      <c r="FHJ148" s="322"/>
      <c r="FHK148" s="322"/>
      <c r="FHL148" s="322"/>
      <c r="FHM148" s="322"/>
      <c r="FHN148" s="322"/>
      <c r="FHO148" s="322"/>
      <c r="FHP148" s="322"/>
      <c r="FHQ148" s="322"/>
      <c r="FHR148" s="322"/>
      <c r="FHS148" s="322"/>
      <c r="FHT148" s="322"/>
      <c r="FHU148" s="322"/>
      <c r="FHV148" s="322"/>
      <c r="FHW148" s="322"/>
      <c r="FHX148" s="322"/>
      <c r="FHY148" s="322"/>
      <c r="FHZ148" s="322"/>
      <c r="FIA148" s="322"/>
      <c r="FIB148" s="322"/>
      <c r="FIC148" s="322"/>
      <c r="FID148" s="322"/>
      <c r="FIE148" s="322"/>
      <c r="FIF148" s="322"/>
      <c r="FIG148" s="322"/>
      <c r="FIH148" s="322"/>
      <c r="FII148" s="322"/>
      <c r="FIJ148" s="322"/>
      <c r="FIK148" s="322"/>
      <c r="FIL148" s="322"/>
      <c r="FIM148" s="322"/>
      <c r="FIN148" s="322"/>
      <c r="FIO148" s="322"/>
      <c r="FIP148" s="322"/>
      <c r="FIQ148" s="322"/>
      <c r="FIR148" s="322"/>
      <c r="FIS148" s="322"/>
      <c r="FIT148" s="322"/>
      <c r="FIU148" s="322"/>
      <c r="FIV148" s="322"/>
      <c r="FIW148" s="322"/>
      <c r="FIX148" s="322"/>
      <c r="FIY148" s="322"/>
      <c r="FIZ148" s="322"/>
      <c r="FJA148" s="322"/>
      <c r="FJB148" s="322"/>
      <c r="FJC148" s="322"/>
      <c r="FJD148" s="322"/>
      <c r="FJE148" s="322"/>
      <c r="FJF148" s="322"/>
      <c r="FJG148" s="322"/>
      <c r="FJH148" s="322"/>
      <c r="FJI148" s="322"/>
      <c r="FJJ148" s="322"/>
      <c r="FJK148" s="322"/>
      <c r="FJL148" s="322"/>
      <c r="FJM148" s="322"/>
      <c r="FJN148" s="322"/>
      <c r="FJO148" s="322"/>
      <c r="FJP148" s="322"/>
      <c r="FJQ148" s="322"/>
      <c r="FJR148" s="322"/>
      <c r="FJS148" s="322"/>
      <c r="FJT148" s="322"/>
      <c r="FJU148" s="322"/>
      <c r="FJV148" s="322"/>
      <c r="FJW148" s="322"/>
      <c r="FJX148" s="322"/>
      <c r="FJY148" s="322"/>
      <c r="FJZ148" s="322"/>
      <c r="FKA148" s="322"/>
      <c r="FKB148" s="322"/>
      <c r="FKC148" s="322"/>
      <c r="FKD148" s="322"/>
      <c r="FKE148" s="322"/>
      <c r="FKF148" s="322"/>
      <c r="FKG148" s="322"/>
      <c r="FKH148" s="322"/>
      <c r="FKI148" s="322"/>
      <c r="FKJ148" s="322"/>
      <c r="FKK148" s="322"/>
      <c r="FKL148" s="322"/>
      <c r="FKM148" s="322"/>
      <c r="FKN148" s="322"/>
      <c r="FKO148" s="322"/>
      <c r="FKP148" s="322"/>
      <c r="FKQ148" s="322"/>
      <c r="FKR148" s="322"/>
      <c r="FKS148" s="322"/>
      <c r="FKT148" s="322"/>
      <c r="FKU148" s="322"/>
      <c r="FKV148" s="322"/>
      <c r="FKW148" s="322"/>
      <c r="FKX148" s="322"/>
      <c r="FKY148" s="322"/>
      <c r="FKZ148" s="322"/>
      <c r="FLA148" s="322"/>
      <c r="FLB148" s="322"/>
      <c r="FLC148" s="322"/>
      <c r="FLD148" s="322"/>
      <c r="FLE148" s="322"/>
      <c r="FLF148" s="322"/>
      <c r="FLG148" s="322"/>
      <c r="FLH148" s="322"/>
      <c r="FLI148" s="322"/>
      <c r="FLJ148" s="322"/>
      <c r="FLK148" s="322"/>
      <c r="FLL148" s="322"/>
      <c r="FLM148" s="322"/>
      <c r="FLN148" s="322"/>
      <c r="FLO148" s="322"/>
      <c r="FLP148" s="322"/>
      <c r="FLQ148" s="322"/>
      <c r="FLR148" s="322"/>
      <c r="FLS148" s="322"/>
      <c r="FLT148" s="322"/>
      <c r="FLU148" s="322"/>
      <c r="FLV148" s="322"/>
      <c r="FLW148" s="322"/>
      <c r="FLX148" s="322"/>
      <c r="FLY148" s="322"/>
      <c r="FLZ148" s="322"/>
      <c r="FMA148" s="322"/>
      <c r="FMB148" s="322"/>
      <c r="FMC148" s="322"/>
      <c r="FMD148" s="322"/>
      <c r="FME148" s="322"/>
      <c r="FMF148" s="322"/>
      <c r="FMG148" s="322"/>
      <c r="FMH148" s="322"/>
      <c r="FMI148" s="322"/>
      <c r="FMJ148" s="322"/>
      <c r="FMK148" s="322"/>
      <c r="FML148" s="322"/>
      <c r="FMM148" s="322"/>
      <c r="FMN148" s="322"/>
      <c r="FMO148" s="322"/>
      <c r="FMP148" s="322"/>
      <c r="FMQ148" s="322"/>
      <c r="FMR148" s="322"/>
      <c r="FMS148" s="322"/>
      <c r="FMT148" s="322"/>
      <c r="FMU148" s="322"/>
      <c r="FMV148" s="322"/>
      <c r="FMW148" s="322"/>
      <c r="FMX148" s="322"/>
      <c r="FMY148" s="322"/>
      <c r="FMZ148" s="322"/>
      <c r="FNA148" s="322"/>
      <c r="FNB148" s="322"/>
      <c r="FNC148" s="322"/>
      <c r="FND148" s="322"/>
      <c r="FNE148" s="322"/>
      <c r="FNF148" s="322"/>
      <c r="FNG148" s="322"/>
      <c r="FNH148" s="322"/>
      <c r="FNI148" s="322"/>
      <c r="FNJ148" s="322"/>
      <c r="FNK148" s="322"/>
      <c r="FNL148" s="322"/>
      <c r="FNM148" s="322"/>
      <c r="FNN148" s="322"/>
      <c r="FNO148" s="322"/>
      <c r="FNP148" s="322"/>
      <c r="FNQ148" s="322"/>
      <c r="FNR148" s="322"/>
      <c r="FNS148" s="322"/>
      <c r="FNT148" s="322"/>
      <c r="FNU148" s="322"/>
      <c r="FNV148" s="322"/>
      <c r="FNW148" s="322"/>
      <c r="FNX148" s="322"/>
      <c r="FNY148" s="322"/>
      <c r="FNZ148" s="322"/>
      <c r="FOA148" s="322"/>
      <c r="FOB148" s="322"/>
      <c r="FOC148" s="322"/>
      <c r="FOD148" s="322"/>
      <c r="FOE148" s="322"/>
      <c r="FOF148" s="322"/>
      <c r="FOG148" s="322"/>
      <c r="FOH148" s="322"/>
      <c r="FOI148" s="322"/>
      <c r="FOJ148" s="322"/>
      <c r="FOK148" s="322"/>
      <c r="FOL148" s="322"/>
      <c r="FOM148" s="322"/>
      <c r="FON148" s="322"/>
      <c r="FOO148" s="322"/>
      <c r="FOP148" s="322"/>
      <c r="FOQ148" s="322"/>
      <c r="FOR148" s="322"/>
      <c r="FOS148" s="322"/>
      <c r="FOT148" s="322"/>
      <c r="FOU148" s="322"/>
      <c r="FOV148" s="322"/>
      <c r="FOW148" s="322"/>
      <c r="FOX148" s="322"/>
      <c r="FOY148" s="322"/>
      <c r="FOZ148" s="322"/>
      <c r="FPA148" s="322"/>
      <c r="FPB148" s="322"/>
      <c r="FPC148" s="322"/>
      <c r="FPD148" s="322"/>
      <c r="FPE148" s="322"/>
      <c r="FPF148" s="322"/>
      <c r="FPG148" s="322"/>
      <c r="FPH148" s="322"/>
      <c r="FPI148" s="322"/>
      <c r="FPJ148" s="322"/>
      <c r="FPK148" s="322"/>
      <c r="FPL148" s="322"/>
      <c r="FPM148" s="322"/>
      <c r="FPN148" s="322"/>
      <c r="FPO148" s="322"/>
      <c r="FPP148" s="322"/>
      <c r="FPQ148" s="322"/>
      <c r="FPR148" s="322"/>
      <c r="FPS148" s="322"/>
      <c r="FPT148" s="322"/>
      <c r="FPU148" s="322"/>
      <c r="FPV148" s="322"/>
      <c r="FPW148" s="322"/>
      <c r="FPX148" s="322"/>
      <c r="FPY148" s="322"/>
      <c r="FPZ148" s="322"/>
      <c r="FQA148" s="322"/>
      <c r="FQB148" s="322"/>
      <c r="FQC148" s="322"/>
      <c r="FQD148" s="322"/>
      <c r="FQE148" s="322"/>
      <c r="FQF148" s="322"/>
      <c r="FQG148" s="322"/>
      <c r="FQH148" s="322"/>
      <c r="FQI148" s="322"/>
      <c r="FQJ148" s="322"/>
      <c r="FQK148" s="322"/>
      <c r="FQL148" s="322"/>
      <c r="FQM148" s="322"/>
      <c r="FQN148" s="322"/>
      <c r="FQO148" s="322"/>
      <c r="FQP148" s="322"/>
      <c r="FQQ148" s="322"/>
      <c r="FQR148" s="322"/>
      <c r="FQS148" s="322"/>
      <c r="FQT148" s="322"/>
      <c r="FQU148" s="322"/>
      <c r="FQV148" s="322"/>
      <c r="FQW148" s="322"/>
      <c r="FQX148" s="322"/>
      <c r="FQY148" s="322"/>
      <c r="FQZ148" s="322"/>
      <c r="FRA148" s="322"/>
      <c r="FRB148" s="322"/>
      <c r="FRC148" s="322"/>
      <c r="FRD148" s="322"/>
      <c r="FRE148" s="322"/>
      <c r="FRF148" s="322"/>
      <c r="FRG148" s="322"/>
      <c r="FRH148" s="322"/>
      <c r="FRI148" s="322"/>
      <c r="FRJ148" s="322"/>
      <c r="FRK148" s="322"/>
      <c r="FRL148" s="322"/>
      <c r="FRM148" s="322"/>
      <c r="FRN148" s="322"/>
      <c r="FRO148" s="322"/>
      <c r="FRP148" s="322"/>
      <c r="FRQ148" s="322"/>
      <c r="FRR148" s="322"/>
      <c r="FRS148" s="322"/>
      <c r="FRT148" s="322"/>
      <c r="FRU148" s="322"/>
      <c r="FRV148" s="322"/>
      <c r="FRW148" s="322"/>
      <c r="FRX148" s="322"/>
      <c r="FRY148" s="322"/>
      <c r="FRZ148" s="322"/>
      <c r="FSA148" s="322"/>
      <c r="FSB148" s="322"/>
      <c r="FSC148" s="322"/>
      <c r="FSD148" s="322"/>
      <c r="FSE148" s="322"/>
      <c r="FSF148" s="322"/>
      <c r="FSG148" s="322"/>
      <c r="FSH148" s="322"/>
      <c r="FSI148" s="322"/>
      <c r="FSJ148" s="322"/>
      <c r="FSK148" s="322"/>
      <c r="FSL148" s="322"/>
      <c r="FSM148" s="322"/>
      <c r="FSN148" s="322"/>
      <c r="FSO148" s="322"/>
      <c r="FSP148" s="322"/>
      <c r="FSQ148" s="322"/>
      <c r="FSR148" s="322"/>
      <c r="FSS148" s="322"/>
      <c r="FST148" s="322"/>
      <c r="FSU148" s="322"/>
      <c r="FSV148" s="322"/>
      <c r="FSW148" s="322"/>
      <c r="FSX148" s="322"/>
      <c r="FSY148" s="322"/>
      <c r="FSZ148" s="322"/>
      <c r="FTA148" s="322"/>
      <c r="FTB148" s="322"/>
      <c r="FTC148" s="322"/>
      <c r="FTD148" s="322"/>
      <c r="FTE148" s="322"/>
      <c r="FTF148" s="322"/>
      <c r="FTG148" s="322"/>
      <c r="FTH148" s="322"/>
      <c r="FTI148" s="322"/>
      <c r="FTJ148" s="322"/>
      <c r="FTK148" s="322"/>
      <c r="FTL148" s="322"/>
      <c r="FTM148" s="322"/>
      <c r="FTN148" s="322"/>
      <c r="FTO148" s="322"/>
      <c r="FTP148" s="322"/>
      <c r="FTQ148" s="322"/>
      <c r="FTR148" s="322"/>
      <c r="FTS148" s="322"/>
      <c r="FTT148" s="322"/>
      <c r="FTU148" s="322"/>
      <c r="FTV148" s="322"/>
      <c r="FTW148" s="322"/>
      <c r="FTX148" s="322"/>
      <c r="FTY148" s="322"/>
      <c r="FTZ148" s="322"/>
      <c r="FUA148" s="322"/>
      <c r="FUB148" s="322"/>
      <c r="FUC148" s="322"/>
      <c r="FUD148" s="322"/>
      <c r="FUE148" s="322"/>
      <c r="FUF148" s="322"/>
      <c r="FUG148" s="322"/>
      <c r="FUH148" s="322"/>
      <c r="FUI148" s="322"/>
      <c r="FUJ148" s="322"/>
      <c r="FUK148" s="322"/>
      <c r="FUL148" s="322"/>
      <c r="FUM148" s="322"/>
      <c r="FUN148" s="322"/>
      <c r="FUO148" s="322"/>
      <c r="FUP148" s="322"/>
      <c r="FUQ148" s="322"/>
      <c r="FUR148" s="322"/>
      <c r="FUS148" s="322"/>
      <c r="FUT148" s="322"/>
      <c r="FUU148" s="322"/>
      <c r="FUV148" s="322"/>
      <c r="FUW148" s="322"/>
      <c r="FUX148" s="322"/>
      <c r="FUY148" s="322"/>
      <c r="FUZ148" s="322"/>
      <c r="FVA148" s="322"/>
      <c r="FVB148" s="322"/>
      <c r="FVC148" s="322"/>
      <c r="FVD148" s="322"/>
      <c r="FVE148" s="322"/>
      <c r="FVF148" s="322"/>
      <c r="FVG148" s="322"/>
      <c r="FVH148" s="322"/>
      <c r="FVI148" s="322"/>
      <c r="FVJ148" s="322"/>
      <c r="FVK148" s="322"/>
      <c r="FVL148" s="322"/>
      <c r="FVM148" s="322"/>
      <c r="FVN148" s="322"/>
      <c r="FVO148" s="322"/>
      <c r="FVP148" s="322"/>
      <c r="FVQ148" s="322"/>
      <c r="FVR148" s="322"/>
      <c r="FVS148" s="322"/>
      <c r="FVT148" s="322"/>
      <c r="FVU148" s="322"/>
      <c r="FVV148" s="322"/>
      <c r="FVW148" s="322"/>
      <c r="FVX148" s="322"/>
      <c r="FVY148" s="322"/>
      <c r="FVZ148" s="322"/>
      <c r="FWA148" s="322"/>
      <c r="FWB148" s="322"/>
      <c r="FWC148" s="322"/>
      <c r="FWD148" s="322"/>
      <c r="FWE148" s="322"/>
      <c r="FWF148" s="322"/>
      <c r="FWG148" s="322"/>
      <c r="FWH148" s="322"/>
      <c r="FWI148" s="322"/>
      <c r="FWJ148" s="322"/>
      <c r="FWK148" s="322"/>
      <c r="FWL148" s="322"/>
      <c r="FWM148" s="322"/>
      <c r="FWN148" s="322"/>
      <c r="FWO148" s="322"/>
      <c r="FWP148" s="322"/>
      <c r="FWQ148" s="322"/>
      <c r="FWR148" s="322"/>
      <c r="FWS148" s="322"/>
      <c r="FWT148" s="322"/>
      <c r="FWU148" s="322"/>
      <c r="FWV148" s="322"/>
      <c r="FWW148" s="322"/>
      <c r="FWX148" s="322"/>
      <c r="FWY148" s="322"/>
      <c r="FWZ148" s="322"/>
      <c r="FXA148" s="322"/>
      <c r="FXB148" s="322"/>
      <c r="FXC148" s="322"/>
      <c r="FXD148" s="322"/>
      <c r="FXE148" s="322"/>
      <c r="FXF148" s="322"/>
      <c r="FXG148" s="322"/>
      <c r="FXH148" s="322"/>
      <c r="FXI148" s="322"/>
      <c r="FXJ148" s="322"/>
      <c r="FXK148" s="322"/>
      <c r="FXL148" s="322"/>
      <c r="FXM148" s="322"/>
      <c r="FXN148" s="322"/>
      <c r="FXO148" s="322"/>
      <c r="FXP148" s="322"/>
      <c r="FXQ148" s="322"/>
      <c r="FXR148" s="322"/>
      <c r="FXS148" s="322"/>
      <c r="FXT148" s="322"/>
      <c r="FXU148" s="322"/>
      <c r="FXV148" s="322"/>
      <c r="FXW148" s="322"/>
      <c r="FXX148" s="322"/>
      <c r="FXY148" s="322"/>
      <c r="FXZ148" s="322"/>
      <c r="FYA148" s="322"/>
      <c r="FYB148" s="322"/>
      <c r="FYC148" s="322"/>
      <c r="FYD148" s="322"/>
      <c r="FYE148" s="322"/>
      <c r="FYF148" s="322"/>
      <c r="FYG148" s="322"/>
      <c r="FYH148" s="322"/>
      <c r="FYI148" s="322"/>
      <c r="FYJ148" s="322"/>
      <c r="FYK148" s="322"/>
      <c r="FYL148" s="322"/>
      <c r="FYM148" s="322"/>
      <c r="FYN148" s="322"/>
      <c r="FYO148" s="322"/>
      <c r="FYP148" s="322"/>
      <c r="FYQ148" s="322"/>
      <c r="FYR148" s="322"/>
      <c r="FYS148" s="322"/>
      <c r="FYT148" s="322"/>
      <c r="FYU148" s="322"/>
      <c r="FYV148" s="322"/>
      <c r="FYW148" s="322"/>
      <c r="FYX148" s="322"/>
      <c r="FYY148" s="322"/>
      <c r="FYZ148" s="322"/>
      <c r="FZA148" s="322"/>
      <c r="FZB148" s="322"/>
      <c r="FZC148" s="322"/>
      <c r="FZD148" s="322"/>
      <c r="FZE148" s="322"/>
      <c r="FZF148" s="322"/>
      <c r="FZG148" s="322"/>
      <c r="FZH148" s="322"/>
      <c r="FZI148" s="322"/>
      <c r="FZJ148" s="322"/>
      <c r="FZK148" s="322"/>
      <c r="FZL148" s="322"/>
      <c r="FZM148" s="322"/>
      <c r="FZN148" s="322"/>
      <c r="FZO148" s="322"/>
      <c r="FZP148" s="322"/>
      <c r="FZQ148" s="322"/>
      <c r="FZR148" s="322"/>
      <c r="FZS148" s="322"/>
      <c r="FZT148" s="322"/>
      <c r="FZU148" s="322"/>
      <c r="FZV148" s="322"/>
      <c r="FZW148" s="322"/>
      <c r="FZX148" s="322"/>
      <c r="FZY148" s="322"/>
      <c r="FZZ148" s="322"/>
      <c r="GAA148" s="322"/>
      <c r="GAB148" s="322"/>
      <c r="GAC148" s="322"/>
      <c r="GAD148" s="322"/>
      <c r="GAE148" s="322"/>
      <c r="GAF148" s="322"/>
      <c r="GAG148" s="322"/>
      <c r="GAH148" s="322"/>
      <c r="GAI148" s="322"/>
      <c r="GAJ148" s="322"/>
      <c r="GAK148" s="322"/>
      <c r="GAL148" s="322"/>
      <c r="GAM148" s="322"/>
      <c r="GAN148" s="322"/>
      <c r="GAO148" s="322"/>
      <c r="GAP148" s="322"/>
      <c r="GAQ148" s="322"/>
      <c r="GAR148" s="322"/>
      <c r="GAS148" s="322"/>
      <c r="GAT148" s="322"/>
      <c r="GAU148" s="322"/>
      <c r="GAV148" s="322"/>
      <c r="GAW148" s="322"/>
      <c r="GAX148" s="322"/>
      <c r="GAY148" s="322"/>
      <c r="GAZ148" s="322"/>
      <c r="GBA148" s="322"/>
      <c r="GBB148" s="322"/>
      <c r="GBC148" s="322"/>
      <c r="GBD148" s="322"/>
      <c r="GBE148" s="322"/>
      <c r="GBF148" s="322"/>
      <c r="GBG148" s="322"/>
      <c r="GBH148" s="322"/>
      <c r="GBI148" s="322"/>
      <c r="GBJ148" s="322"/>
      <c r="GBK148" s="322"/>
      <c r="GBL148" s="322"/>
      <c r="GBM148" s="322"/>
      <c r="GBN148" s="322"/>
      <c r="GBO148" s="322"/>
      <c r="GBP148" s="322"/>
      <c r="GBQ148" s="322"/>
      <c r="GBR148" s="322"/>
      <c r="GBS148" s="322"/>
      <c r="GBT148" s="322"/>
      <c r="GBU148" s="322"/>
      <c r="GBV148" s="322"/>
      <c r="GBW148" s="322"/>
      <c r="GBX148" s="322"/>
      <c r="GBY148" s="322"/>
      <c r="GBZ148" s="322"/>
      <c r="GCA148" s="322"/>
      <c r="GCB148" s="322"/>
      <c r="GCC148" s="322"/>
      <c r="GCD148" s="322"/>
      <c r="GCE148" s="322"/>
      <c r="GCF148" s="322"/>
      <c r="GCG148" s="322"/>
      <c r="GCH148" s="322"/>
      <c r="GCI148" s="322"/>
      <c r="GCJ148" s="322"/>
      <c r="GCK148" s="322"/>
      <c r="GCL148" s="322"/>
      <c r="GCM148" s="322"/>
      <c r="GCN148" s="322"/>
      <c r="GCO148" s="322"/>
      <c r="GCP148" s="322"/>
      <c r="GCQ148" s="322"/>
      <c r="GCR148" s="322"/>
      <c r="GCS148" s="322"/>
      <c r="GCT148" s="322"/>
      <c r="GCU148" s="322"/>
      <c r="GCV148" s="322"/>
      <c r="GCW148" s="322"/>
      <c r="GCX148" s="322"/>
      <c r="GCY148" s="322"/>
      <c r="GCZ148" s="322"/>
      <c r="GDA148" s="322"/>
      <c r="GDB148" s="322"/>
      <c r="GDC148" s="322"/>
      <c r="GDD148" s="322"/>
      <c r="GDE148" s="322"/>
      <c r="GDF148" s="322"/>
      <c r="GDG148" s="322"/>
      <c r="GDH148" s="322"/>
      <c r="GDI148" s="322"/>
      <c r="GDJ148" s="322"/>
      <c r="GDK148" s="322"/>
      <c r="GDL148" s="322"/>
      <c r="GDM148" s="322"/>
      <c r="GDN148" s="322"/>
      <c r="GDO148" s="322"/>
      <c r="GDP148" s="322"/>
      <c r="GDQ148" s="322"/>
      <c r="GDR148" s="322"/>
      <c r="GDS148" s="322"/>
      <c r="GDT148" s="322"/>
      <c r="GDU148" s="322"/>
      <c r="GDV148" s="322"/>
      <c r="GDW148" s="322"/>
      <c r="GDX148" s="322"/>
      <c r="GDY148" s="322"/>
      <c r="GDZ148" s="322"/>
      <c r="GEA148" s="322"/>
      <c r="GEB148" s="322"/>
      <c r="GEC148" s="322"/>
      <c r="GED148" s="322"/>
      <c r="GEE148" s="322"/>
      <c r="GEF148" s="322"/>
      <c r="GEG148" s="322"/>
      <c r="GEH148" s="322"/>
      <c r="GEI148" s="322"/>
      <c r="GEJ148" s="322"/>
      <c r="GEK148" s="322"/>
      <c r="GEL148" s="322"/>
      <c r="GEM148" s="322"/>
      <c r="GEN148" s="322"/>
      <c r="GEO148" s="322"/>
      <c r="GEP148" s="322"/>
      <c r="GEQ148" s="322"/>
      <c r="GER148" s="322"/>
      <c r="GES148" s="322"/>
      <c r="GET148" s="322"/>
      <c r="GEU148" s="322"/>
      <c r="GEV148" s="322"/>
      <c r="GEW148" s="322"/>
      <c r="GEX148" s="322"/>
      <c r="GEY148" s="322"/>
      <c r="GEZ148" s="322"/>
      <c r="GFA148" s="322"/>
      <c r="GFB148" s="322"/>
      <c r="GFC148" s="322"/>
      <c r="GFD148" s="322"/>
      <c r="GFE148" s="322"/>
      <c r="GFF148" s="322"/>
      <c r="GFG148" s="322"/>
      <c r="GFH148" s="322"/>
      <c r="GFI148" s="322"/>
      <c r="GFJ148" s="322"/>
      <c r="GFK148" s="322"/>
      <c r="GFL148" s="322"/>
      <c r="GFM148" s="322"/>
      <c r="GFN148" s="322"/>
      <c r="GFO148" s="322"/>
      <c r="GFP148" s="322"/>
      <c r="GFQ148" s="322"/>
      <c r="GFR148" s="322"/>
      <c r="GFS148" s="322"/>
      <c r="GFT148" s="322"/>
      <c r="GFU148" s="322"/>
      <c r="GFV148" s="322"/>
      <c r="GFW148" s="322"/>
      <c r="GFX148" s="322"/>
      <c r="GFY148" s="322"/>
      <c r="GFZ148" s="322"/>
      <c r="GGA148" s="322"/>
      <c r="GGB148" s="322"/>
      <c r="GGC148" s="322"/>
      <c r="GGD148" s="322"/>
      <c r="GGE148" s="322"/>
      <c r="GGF148" s="322"/>
      <c r="GGG148" s="322"/>
      <c r="GGH148" s="322"/>
      <c r="GGI148" s="322"/>
      <c r="GGJ148" s="322"/>
      <c r="GGK148" s="322"/>
      <c r="GGL148" s="322"/>
      <c r="GGM148" s="322"/>
      <c r="GGN148" s="322"/>
      <c r="GGO148" s="322"/>
      <c r="GGP148" s="322"/>
      <c r="GGQ148" s="322"/>
      <c r="GGR148" s="322"/>
      <c r="GGS148" s="322"/>
      <c r="GGT148" s="322"/>
      <c r="GGU148" s="322"/>
      <c r="GGV148" s="322"/>
      <c r="GGW148" s="322"/>
      <c r="GGX148" s="322"/>
      <c r="GGY148" s="322"/>
      <c r="GGZ148" s="322"/>
      <c r="GHA148" s="322"/>
      <c r="GHB148" s="322"/>
      <c r="GHC148" s="322"/>
      <c r="GHD148" s="322"/>
      <c r="GHE148" s="322"/>
      <c r="GHF148" s="322"/>
      <c r="GHG148" s="322"/>
      <c r="GHH148" s="322"/>
      <c r="GHI148" s="322"/>
      <c r="GHJ148" s="322"/>
      <c r="GHK148" s="322"/>
      <c r="GHL148" s="322"/>
      <c r="GHM148" s="322"/>
      <c r="GHN148" s="322"/>
      <c r="GHO148" s="322"/>
      <c r="GHP148" s="322"/>
      <c r="GHQ148" s="322"/>
      <c r="GHR148" s="322"/>
      <c r="GHS148" s="322"/>
      <c r="GHT148" s="322"/>
      <c r="GHU148" s="322"/>
      <c r="GHV148" s="322"/>
      <c r="GHW148" s="322"/>
      <c r="GHX148" s="322"/>
      <c r="GHY148" s="322"/>
      <c r="GHZ148" s="322"/>
      <c r="GIA148" s="322"/>
      <c r="GIB148" s="322"/>
      <c r="GIC148" s="322"/>
      <c r="GID148" s="322"/>
      <c r="GIE148" s="322"/>
      <c r="GIF148" s="322"/>
      <c r="GIG148" s="322"/>
      <c r="GIH148" s="322"/>
      <c r="GII148" s="322"/>
      <c r="GIJ148" s="322"/>
      <c r="GIK148" s="322"/>
      <c r="GIL148" s="322"/>
      <c r="GIM148" s="322"/>
      <c r="GIN148" s="322"/>
      <c r="GIO148" s="322"/>
      <c r="GIP148" s="322"/>
      <c r="GIQ148" s="322"/>
      <c r="GIR148" s="322"/>
      <c r="GIS148" s="322"/>
      <c r="GIT148" s="322"/>
      <c r="GIU148" s="322"/>
      <c r="GIV148" s="322"/>
      <c r="GIW148" s="322"/>
      <c r="GIX148" s="322"/>
      <c r="GIY148" s="322"/>
      <c r="GIZ148" s="322"/>
      <c r="GJA148" s="322"/>
      <c r="GJB148" s="322"/>
      <c r="GJC148" s="322"/>
      <c r="GJD148" s="322"/>
      <c r="GJE148" s="322"/>
      <c r="GJF148" s="322"/>
      <c r="GJG148" s="322"/>
      <c r="GJH148" s="322"/>
      <c r="GJI148" s="322"/>
      <c r="GJJ148" s="322"/>
      <c r="GJK148" s="322"/>
      <c r="GJL148" s="322"/>
      <c r="GJM148" s="322"/>
      <c r="GJN148" s="322"/>
      <c r="GJO148" s="322"/>
      <c r="GJP148" s="322"/>
      <c r="GJQ148" s="322"/>
      <c r="GJR148" s="322"/>
      <c r="GJS148" s="322"/>
      <c r="GJT148" s="322"/>
      <c r="GJU148" s="322"/>
      <c r="GJV148" s="322"/>
      <c r="GJW148" s="322"/>
      <c r="GJX148" s="322"/>
      <c r="GJY148" s="322"/>
      <c r="GJZ148" s="322"/>
      <c r="GKA148" s="322"/>
      <c r="GKB148" s="322"/>
      <c r="GKC148" s="322"/>
      <c r="GKD148" s="322"/>
      <c r="GKE148" s="322"/>
      <c r="GKF148" s="322"/>
      <c r="GKG148" s="322"/>
      <c r="GKH148" s="322"/>
      <c r="GKI148" s="322"/>
      <c r="GKJ148" s="322"/>
      <c r="GKK148" s="322"/>
      <c r="GKL148" s="322"/>
      <c r="GKM148" s="322"/>
      <c r="GKN148" s="322"/>
      <c r="GKO148" s="322"/>
      <c r="GKP148" s="322"/>
      <c r="GKQ148" s="322"/>
      <c r="GKR148" s="322"/>
      <c r="GKS148" s="322"/>
      <c r="GKT148" s="322"/>
      <c r="GKU148" s="322"/>
      <c r="GKV148" s="322"/>
      <c r="GKW148" s="322"/>
      <c r="GKX148" s="322"/>
      <c r="GKY148" s="322"/>
      <c r="GKZ148" s="322"/>
      <c r="GLA148" s="322"/>
      <c r="GLB148" s="322"/>
      <c r="GLC148" s="322"/>
      <c r="GLD148" s="322"/>
      <c r="GLE148" s="322"/>
      <c r="GLF148" s="322"/>
      <c r="GLG148" s="322"/>
      <c r="GLH148" s="322"/>
      <c r="GLI148" s="322"/>
      <c r="GLJ148" s="322"/>
      <c r="GLK148" s="322"/>
      <c r="GLL148" s="322"/>
      <c r="GLM148" s="322"/>
      <c r="GLN148" s="322"/>
      <c r="GLO148" s="322"/>
      <c r="GLP148" s="322"/>
      <c r="GLQ148" s="322"/>
      <c r="GLR148" s="322"/>
      <c r="GLS148" s="322"/>
      <c r="GLT148" s="322"/>
      <c r="GLU148" s="322"/>
      <c r="GLV148" s="322"/>
      <c r="GLW148" s="322"/>
      <c r="GLX148" s="322"/>
      <c r="GLY148" s="322"/>
      <c r="GLZ148" s="322"/>
      <c r="GMA148" s="322"/>
      <c r="GMB148" s="322"/>
      <c r="GMC148" s="322"/>
      <c r="GMD148" s="322"/>
      <c r="GME148" s="322"/>
      <c r="GMF148" s="322"/>
      <c r="GMG148" s="322"/>
      <c r="GMH148" s="322"/>
      <c r="GMI148" s="322"/>
      <c r="GMJ148" s="322"/>
      <c r="GMK148" s="322"/>
      <c r="GML148" s="322"/>
      <c r="GMM148" s="322"/>
      <c r="GMN148" s="322"/>
      <c r="GMO148" s="322"/>
      <c r="GMP148" s="322"/>
      <c r="GMQ148" s="322"/>
      <c r="GMR148" s="322"/>
      <c r="GMS148" s="322"/>
      <c r="GMT148" s="322"/>
      <c r="GMU148" s="322"/>
      <c r="GMV148" s="322"/>
      <c r="GMW148" s="322"/>
      <c r="GMX148" s="322"/>
      <c r="GMY148" s="322"/>
      <c r="GMZ148" s="322"/>
      <c r="GNA148" s="322"/>
      <c r="GNB148" s="322"/>
      <c r="GNC148" s="322"/>
      <c r="GND148" s="322"/>
      <c r="GNE148" s="322"/>
      <c r="GNF148" s="322"/>
      <c r="GNG148" s="322"/>
      <c r="GNH148" s="322"/>
      <c r="GNI148" s="322"/>
      <c r="GNJ148" s="322"/>
      <c r="GNK148" s="322"/>
      <c r="GNL148" s="322"/>
      <c r="GNM148" s="322"/>
      <c r="GNN148" s="322"/>
      <c r="GNO148" s="322"/>
      <c r="GNP148" s="322"/>
      <c r="GNQ148" s="322"/>
      <c r="GNR148" s="322"/>
      <c r="GNS148" s="322"/>
      <c r="GNT148" s="322"/>
      <c r="GNU148" s="322"/>
      <c r="GNV148" s="322"/>
      <c r="GNW148" s="322"/>
      <c r="GNX148" s="322"/>
      <c r="GNY148" s="322"/>
      <c r="GNZ148" s="322"/>
      <c r="GOA148" s="322"/>
      <c r="GOB148" s="322"/>
      <c r="GOC148" s="322"/>
      <c r="GOD148" s="322"/>
      <c r="GOE148" s="322"/>
      <c r="GOF148" s="322"/>
      <c r="GOG148" s="322"/>
      <c r="GOH148" s="322"/>
      <c r="GOI148" s="322"/>
      <c r="GOJ148" s="322"/>
      <c r="GOK148" s="322"/>
      <c r="GOL148" s="322"/>
      <c r="GOM148" s="322"/>
      <c r="GON148" s="322"/>
      <c r="GOO148" s="322"/>
      <c r="GOP148" s="322"/>
      <c r="GOQ148" s="322"/>
      <c r="GOR148" s="322"/>
      <c r="GOS148" s="322"/>
      <c r="GOT148" s="322"/>
      <c r="GOU148" s="322"/>
      <c r="GOV148" s="322"/>
      <c r="GOW148" s="322"/>
      <c r="GOX148" s="322"/>
      <c r="GOY148" s="322"/>
      <c r="GOZ148" s="322"/>
      <c r="GPA148" s="322"/>
      <c r="GPB148" s="322"/>
      <c r="GPC148" s="322"/>
      <c r="GPD148" s="322"/>
      <c r="GPE148" s="322"/>
      <c r="GPF148" s="322"/>
      <c r="GPG148" s="322"/>
      <c r="GPH148" s="322"/>
      <c r="GPI148" s="322"/>
      <c r="GPJ148" s="322"/>
      <c r="GPK148" s="322"/>
      <c r="GPL148" s="322"/>
      <c r="GPM148" s="322"/>
      <c r="GPN148" s="322"/>
      <c r="GPO148" s="322"/>
      <c r="GPP148" s="322"/>
      <c r="GPQ148" s="322"/>
      <c r="GPR148" s="322"/>
      <c r="GPS148" s="322"/>
      <c r="GPT148" s="322"/>
      <c r="GPU148" s="322"/>
      <c r="GPV148" s="322"/>
      <c r="GPW148" s="322"/>
      <c r="GPX148" s="322"/>
      <c r="GPY148" s="322"/>
      <c r="GPZ148" s="322"/>
      <c r="GQA148" s="322"/>
      <c r="GQB148" s="322"/>
      <c r="GQC148" s="322"/>
      <c r="GQD148" s="322"/>
      <c r="GQE148" s="322"/>
      <c r="GQF148" s="322"/>
      <c r="GQG148" s="322"/>
      <c r="GQH148" s="322"/>
      <c r="GQI148" s="322"/>
      <c r="GQJ148" s="322"/>
      <c r="GQK148" s="322"/>
      <c r="GQL148" s="322"/>
      <c r="GQM148" s="322"/>
      <c r="GQN148" s="322"/>
      <c r="GQO148" s="322"/>
      <c r="GQP148" s="322"/>
      <c r="GQQ148" s="322"/>
      <c r="GQR148" s="322"/>
      <c r="GQS148" s="322"/>
      <c r="GQT148" s="322"/>
      <c r="GQU148" s="322"/>
      <c r="GQV148" s="322"/>
      <c r="GQW148" s="322"/>
      <c r="GQX148" s="322"/>
      <c r="GQY148" s="322"/>
      <c r="GQZ148" s="322"/>
      <c r="GRA148" s="322"/>
      <c r="GRB148" s="322"/>
      <c r="GRC148" s="322"/>
      <c r="GRD148" s="322"/>
      <c r="GRE148" s="322"/>
      <c r="GRF148" s="322"/>
      <c r="GRG148" s="322"/>
      <c r="GRH148" s="322"/>
      <c r="GRI148" s="322"/>
      <c r="GRJ148" s="322"/>
      <c r="GRK148" s="322"/>
      <c r="GRL148" s="322"/>
      <c r="GRM148" s="322"/>
      <c r="GRN148" s="322"/>
      <c r="GRO148" s="322"/>
      <c r="GRP148" s="322"/>
      <c r="GRQ148" s="322"/>
      <c r="GRR148" s="322"/>
      <c r="GRS148" s="322"/>
      <c r="GRT148" s="322"/>
      <c r="GRU148" s="322"/>
      <c r="GRV148" s="322"/>
      <c r="GRW148" s="322"/>
      <c r="GRX148" s="322"/>
      <c r="GRY148" s="322"/>
      <c r="GRZ148" s="322"/>
      <c r="GSA148" s="322"/>
      <c r="GSB148" s="322"/>
      <c r="GSC148" s="322"/>
      <c r="GSD148" s="322"/>
      <c r="GSE148" s="322"/>
      <c r="GSF148" s="322"/>
      <c r="GSG148" s="322"/>
      <c r="GSH148" s="322"/>
      <c r="GSI148" s="322"/>
      <c r="GSJ148" s="322"/>
      <c r="GSK148" s="322"/>
      <c r="GSL148" s="322"/>
      <c r="GSM148" s="322"/>
      <c r="GSN148" s="322"/>
      <c r="GSO148" s="322"/>
      <c r="GSP148" s="322"/>
      <c r="GSQ148" s="322"/>
      <c r="GSR148" s="322"/>
      <c r="GSS148" s="322"/>
      <c r="GST148" s="322"/>
      <c r="GSU148" s="322"/>
      <c r="GSV148" s="322"/>
      <c r="GSW148" s="322"/>
      <c r="GSX148" s="322"/>
      <c r="GSY148" s="322"/>
      <c r="GSZ148" s="322"/>
      <c r="GTA148" s="322"/>
      <c r="GTB148" s="322"/>
      <c r="GTC148" s="322"/>
      <c r="GTD148" s="322"/>
      <c r="GTE148" s="322"/>
      <c r="GTF148" s="322"/>
      <c r="GTG148" s="322"/>
      <c r="GTH148" s="322"/>
      <c r="GTI148" s="322"/>
      <c r="GTJ148" s="322"/>
      <c r="GTK148" s="322"/>
      <c r="GTL148" s="322"/>
      <c r="GTM148" s="322"/>
      <c r="GTN148" s="322"/>
      <c r="GTO148" s="322"/>
      <c r="GTP148" s="322"/>
      <c r="GTQ148" s="322"/>
      <c r="GTR148" s="322"/>
      <c r="GTS148" s="322"/>
      <c r="GTT148" s="322"/>
      <c r="GTU148" s="322"/>
      <c r="GTV148" s="322"/>
      <c r="GTW148" s="322"/>
      <c r="GTX148" s="322"/>
      <c r="GTY148" s="322"/>
      <c r="GTZ148" s="322"/>
      <c r="GUA148" s="322"/>
      <c r="GUB148" s="322"/>
      <c r="GUC148" s="322"/>
      <c r="GUD148" s="322"/>
      <c r="GUE148" s="322"/>
      <c r="GUF148" s="322"/>
      <c r="GUG148" s="322"/>
      <c r="GUH148" s="322"/>
      <c r="GUI148" s="322"/>
      <c r="GUJ148" s="322"/>
      <c r="GUK148" s="322"/>
      <c r="GUL148" s="322"/>
      <c r="GUM148" s="322"/>
      <c r="GUN148" s="322"/>
      <c r="GUO148" s="322"/>
      <c r="GUP148" s="322"/>
      <c r="GUQ148" s="322"/>
      <c r="GUR148" s="322"/>
      <c r="GUS148" s="322"/>
      <c r="GUT148" s="322"/>
      <c r="GUU148" s="322"/>
      <c r="GUV148" s="322"/>
      <c r="GUW148" s="322"/>
      <c r="GUX148" s="322"/>
      <c r="GUY148" s="322"/>
      <c r="GUZ148" s="322"/>
      <c r="GVA148" s="322"/>
      <c r="GVB148" s="322"/>
      <c r="GVC148" s="322"/>
      <c r="GVD148" s="322"/>
      <c r="GVE148" s="322"/>
      <c r="GVF148" s="322"/>
      <c r="GVG148" s="322"/>
      <c r="GVH148" s="322"/>
      <c r="GVI148" s="322"/>
      <c r="GVJ148" s="322"/>
      <c r="GVK148" s="322"/>
      <c r="GVL148" s="322"/>
      <c r="GVM148" s="322"/>
      <c r="GVN148" s="322"/>
      <c r="GVO148" s="322"/>
      <c r="GVP148" s="322"/>
      <c r="GVQ148" s="322"/>
      <c r="GVR148" s="322"/>
      <c r="GVS148" s="322"/>
      <c r="GVT148" s="322"/>
      <c r="GVU148" s="322"/>
      <c r="GVV148" s="322"/>
      <c r="GVW148" s="322"/>
      <c r="GVX148" s="322"/>
      <c r="GVY148" s="322"/>
      <c r="GVZ148" s="322"/>
      <c r="GWA148" s="322"/>
      <c r="GWB148" s="322"/>
      <c r="GWC148" s="322"/>
      <c r="GWD148" s="322"/>
      <c r="GWE148" s="322"/>
      <c r="GWF148" s="322"/>
      <c r="GWG148" s="322"/>
      <c r="GWH148" s="322"/>
      <c r="GWI148" s="322"/>
      <c r="GWJ148" s="322"/>
      <c r="GWK148" s="322"/>
      <c r="GWL148" s="322"/>
      <c r="GWM148" s="322"/>
      <c r="GWN148" s="322"/>
      <c r="GWO148" s="322"/>
      <c r="GWP148" s="322"/>
      <c r="GWQ148" s="322"/>
      <c r="GWR148" s="322"/>
      <c r="GWS148" s="322"/>
      <c r="GWT148" s="322"/>
      <c r="GWU148" s="322"/>
      <c r="GWV148" s="322"/>
      <c r="GWW148" s="322"/>
      <c r="GWX148" s="322"/>
      <c r="GWY148" s="322"/>
      <c r="GWZ148" s="322"/>
      <c r="GXA148" s="322"/>
      <c r="GXB148" s="322"/>
      <c r="GXC148" s="322"/>
      <c r="GXD148" s="322"/>
      <c r="GXE148" s="322"/>
      <c r="GXF148" s="322"/>
      <c r="GXG148" s="322"/>
      <c r="GXH148" s="322"/>
      <c r="GXI148" s="322"/>
      <c r="GXJ148" s="322"/>
      <c r="GXK148" s="322"/>
      <c r="GXL148" s="322"/>
      <c r="GXM148" s="322"/>
      <c r="GXN148" s="322"/>
      <c r="GXO148" s="322"/>
      <c r="GXP148" s="322"/>
      <c r="GXQ148" s="322"/>
      <c r="GXR148" s="322"/>
      <c r="GXS148" s="322"/>
      <c r="GXT148" s="322"/>
      <c r="GXU148" s="322"/>
      <c r="GXV148" s="322"/>
      <c r="GXW148" s="322"/>
      <c r="GXX148" s="322"/>
      <c r="GXY148" s="322"/>
      <c r="GXZ148" s="322"/>
      <c r="GYA148" s="322"/>
      <c r="GYB148" s="322"/>
      <c r="GYC148" s="322"/>
      <c r="GYD148" s="322"/>
      <c r="GYE148" s="322"/>
      <c r="GYF148" s="322"/>
      <c r="GYG148" s="322"/>
      <c r="GYH148" s="322"/>
      <c r="GYI148" s="322"/>
      <c r="GYJ148" s="322"/>
      <c r="GYK148" s="322"/>
      <c r="GYL148" s="322"/>
      <c r="GYM148" s="322"/>
      <c r="GYN148" s="322"/>
      <c r="GYO148" s="322"/>
      <c r="GYP148" s="322"/>
      <c r="GYQ148" s="322"/>
      <c r="GYR148" s="322"/>
      <c r="GYS148" s="322"/>
      <c r="GYT148" s="322"/>
      <c r="GYU148" s="322"/>
      <c r="GYV148" s="322"/>
      <c r="GYW148" s="322"/>
      <c r="GYX148" s="322"/>
      <c r="GYY148" s="322"/>
      <c r="GYZ148" s="322"/>
      <c r="GZA148" s="322"/>
      <c r="GZB148" s="322"/>
      <c r="GZC148" s="322"/>
      <c r="GZD148" s="322"/>
      <c r="GZE148" s="322"/>
      <c r="GZF148" s="322"/>
      <c r="GZG148" s="322"/>
      <c r="GZH148" s="322"/>
      <c r="GZI148" s="322"/>
      <c r="GZJ148" s="322"/>
      <c r="GZK148" s="322"/>
      <c r="GZL148" s="322"/>
      <c r="GZM148" s="322"/>
      <c r="GZN148" s="322"/>
      <c r="GZO148" s="322"/>
      <c r="GZP148" s="322"/>
      <c r="GZQ148" s="322"/>
      <c r="GZR148" s="322"/>
      <c r="GZS148" s="322"/>
      <c r="GZT148" s="322"/>
      <c r="GZU148" s="322"/>
      <c r="GZV148" s="322"/>
      <c r="GZW148" s="322"/>
      <c r="GZX148" s="322"/>
      <c r="GZY148" s="322"/>
      <c r="GZZ148" s="322"/>
      <c r="HAA148" s="322"/>
      <c r="HAB148" s="322"/>
      <c r="HAC148" s="322"/>
      <c r="HAD148" s="322"/>
      <c r="HAE148" s="322"/>
      <c r="HAF148" s="322"/>
      <c r="HAG148" s="322"/>
      <c r="HAH148" s="322"/>
      <c r="HAI148" s="322"/>
      <c r="HAJ148" s="322"/>
      <c r="HAK148" s="322"/>
      <c r="HAL148" s="322"/>
      <c r="HAM148" s="322"/>
      <c r="HAN148" s="322"/>
      <c r="HAO148" s="322"/>
      <c r="HAP148" s="322"/>
      <c r="HAQ148" s="322"/>
      <c r="HAR148" s="322"/>
      <c r="HAS148" s="322"/>
      <c r="HAT148" s="322"/>
      <c r="HAU148" s="322"/>
      <c r="HAV148" s="322"/>
      <c r="HAW148" s="322"/>
      <c r="HAX148" s="322"/>
      <c r="HAY148" s="322"/>
      <c r="HAZ148" s="322"/>
      <c r="HBA148" s="322"/>
      <c r="HBB148" s="322"/>
      <c r="HBC148" s="322"/>
      <c r="HBD148" s="322"/>
      <c r="HBE148" s="322"/>
      <c r="HBF148" s="322"/>
      <c r="HBG148" s="322"/>
      <c r="HBH148" s="322"/>
      <c r="HBI148" s="322"/>
      <c r="HBJ148" s="322"/>
      <c r="HBK148" s="322"/>
      <c r="HBL148" s="322"/>
      <c r="HBM148" s="322"/>
      <c r="HBN148" s="322"/>
      <c r="HBO148" s="322"/>
      <c r="HBP148" s="322"/>
      <c r="HBQ148" s="322"/>
      <c r="HBR148" s="322"/>
      <c r="HBS148" s="322"/>
      <c r="HBT148" s="322"/>
      <c r="HBU148" s="322"/>
      <c r="HBV148" s="322"/>
      <c r="HBW148" s="322"/>
      <c r="HBX148" s="322"/>
      <c r="HBY148" s="322"/>
      <c r="HBZ148" s="322"/>
      <c r="HCA148" s="322"/>
      <c r="HCB148" s="322"/>
      <c r="HCC148" s="322"/>
      <c r="HCD148" s="322"/>
      <c r="HCE148" s="322"/>
      <c r="HCF148" s="322"/>
      <c r="HCG148" s="322"/>
      <c r="HCH148" s="322"/>
      <c r="HCI148" s="322"/>
      <c r="HCJ148" s="322"/>
      <c r="HCK148" s="322"/>
      <c r="HCL148" s="322"/>
      <c r="HCM148" s="322"/>
      <c r="HCN148" s="322"/>
      <c r="HCO148" s="322"/>
      <c r="HCP148" s="322"/>
      <c r="HCQ148" s="322"/>
      <c r="HCR148" s="322"/>
      <c r="HCS148" s="322"/>
      <c r="HCT148" s="322"/>
      <c r="HCU148" s="322"/>
      <c r="HCV148" s="322"/>
      <c r="HCW148" s="322"/>
      <c r="HCX148" s="322"/>
      <c r="HCY148" s="322"/>
      <c r="HCZ148" s="322"/>
      <c r="HDA148" s="322"/>
      <c r="HDB148" s="322"/>
      <c r="HDC148" s="322"/>
      <c r="HDD148" s="322"/>
      <c r="HDE148" s="322"/>
      <c r="HDF148" s="322"/>
      <c r="HDG148" s="322"/>
      <c r="HDH148" s="322"/>
      <c r="HDI148" s="322"/>
      <c r="HDJ148" s="322"/>
      <c r="HDK148" s="322"/>
      <c r="HDL148" s="322"/>
      <c r="HDM148" s="322"/>
      <c r="HDN148" s="322"/>
      <c r="HDO148" s="322"/>
      <c r="HDP148" s="322"/>
      <c r="HDQ148" s="322"/>
      <c r="HDR148" s="322"/>
      <c r="HDS148" s="322"/>
      <c r="HDT148" s="322"/>
      <c r="HDU148" s="322"/>
      <c r="HDV148" s="322"/>
      <c r="HDW148" s="322"/>
      <c r="HDX148" s="322"/>
      <c r="HDY148" s="322"/>
      <c r="HDZ148" s="322"/>
      <c r="HEA148" s="322"/>
      <c r="HEB148" s="322"/>
      <c r="HEC148" s="322"/>
      <c r="HED148" s="322"/>
      <c r="HEE148" s="322"/>
      <c r="HEF148" s="322"/>
      <c r="HEG148" s="322"/>
      <c r="HEH148" s="322"/>
      <c r="HEI148" s="322"/>
      <c r="HEJ148" s="322"/>
      <c r="HEK148" s="322"/>
      <c r="HEL148" s="322"/>
      <c r="HEM148" s="322"/>
      <c r="HEN148" s="322"/>
      <c r="HEO148" s="322"/>
      <c r="HEP148" s="322"/>
      <c r="HEQ148" s="322"/>
      <c r="HER148" s="322"/>
      <c r="HES148" s="322"/>
      <c r="HET148" s="322"/>
      <c r="HEU148" s="322"/>
      <c r="HEV148" s="322"/>
      <c r="HEW148" s="322"/>
      <c r="HEX148" s="322"/>
      <c r="HEY148" s="322"/>
      <c r="HEZ148" s="322"/>
      <c r="HFA148" s="322"/>
      <c r="HFB148" s="322"/>
      <c r="HFC148" s="322"/>
      <c r="HFD148" s="322"/>
      <c r="HFE148" s="322"/>
      <c r="HFF148" s="322"/>
      <c r="HFG148" s="322"/>
      <c r="HFH148" s="322"/>
      <c r="HFI148" s="322"/>
      <c r="HFJ148" s="322"/>
      <c r="HFK148" s="322"/>
      <c r="HFL148" s="322"/>
      <c r="HFM148" s="322"/>
      <c r="HFN148" s="322"/>
      <c r="HFO148" s="322"/>
      <c r="HFP148" s="322"/>
      <c r="HFQ148" s="322"/>
      <c r="HFR148" s="322"/>
      <c r="HFS148" s="322"/>
      <c r="HFT148" s="322"/>
      <c r="HFU148" s="322"/>
      <c r="HFV148" s="322"/>
      <c r="HFW148" s="322"/>
      <c r="HFX148" s="322"/>
      <c r="HFY148" s="322"/>
      <c r="HFZ148" s="322"/>
      <c r="HGA148" s="322"/>
      <c r="HGB148" s="322"/>
      <c r="HGC148" s="322"/>
      <c r="HGD148" s="322"/>
      <c r="HGE148" s="322"/>
      <c r="HGF148" s="322"/>
      <c r="HGG148" s="322"/>
      <c r="HGH148" s="322"/>
      <c r="HGI148" s="322"/>
      <c r="HGJ148" s="322"/>
      <c r="HGK148" s="322"/>
      <c r="HGL148" s="322"/>
      <c r="HGM148" s="322"/>
      <c r="HGN148" s="322"/>
      <c r="HGO148" s="322"/>
      <c r="HGP148" s="322"/>
      <c r="HGQ148" s="322"/>
      <c r="HGR148" s="322"/>
      <c r="HGS148" s="322"/>
      <c r="HGT148" s="322"/>
      <c r="HGU148" s="322"/>
      <c r="HGV148" s="322"/>
      <c r="HGW148" s="322"/>
      <c r="HGX148" s="322"/>
      <c r="HGY148" s="322"/>
      <c r="HGZ148" s="322"/>
      <c r="HHA148" s="322"/>
      <c r="HHB148" s="322"/>
      <c r="HHC148" s="322"/>
      <c r="HHD148" s="322"/>
      <c r="HHE148" s="322"/>
      <c r="HHF148" s="322"/>
      <c r="HHG148" s="322"/>
      <c r="HHH148" s="322"/>
      <c r="HHI148" s="322"/>
      <c r="HHJ148" s="322"/>
      <c r="HHK148" s="322"/>
      <c r="HHL148" s="322"/>
      <c r="HHM148" s="322"/>
      <c r="HHN148" s="322"/>
      <c r="HHO148" s="322"/>
      <c r="HHP148" s="322"/>
      <c r="HHQ148" s="322"/>
      <c r="HHR148" s="322"/>
      <c r="HHS148" s="322"/>
      <c r="HHT148" s="322"/>
      <c r="HHU148" s="322"/>
      <c r="HHV148" s="322"/>
      <c r="HHW148" s="322"/>
      <c r="HHX148" s="322"/>
      <c r="HHY148" s="322"/>
      <c r="HHZ148" s="322"/>
      <c r="HIA148" s="322"/>
      <c r="HIB148" s="322"/>
      <c r="HIC148" s="322"/>
      <c r="HID148" s="322"/>
      <c r="HIE148" s="322"/>
      <c r="HIF148" s="322"/>
      <c r="HIG148" s="322"/>
      <c r="HIH148" s="322"/>
      <c r="HII148" s="322"/>
      <c r="HIJ148" s="322"/>
      <c r="HIK148" s="322"/>
      <c r="HIL148" s="322"/>
      <c r="HIM148" s="322"/>
      <c r="HIN148" s="322"/>
      <c r="HIO148" s="322"/>
      <c r="HIP148" s="322"/>
      <c r="HIQ148" s="322"/>
      <c r="HIR148" s="322"/>
      <c r="HIS148" s="322"/>
      <c r="HIT148" s="322"/>
      <c r="HIU148" s="322"/>
      <c r="HIV148" s="322"/>
      <c r="HIW148" s="322"/>
      <c r="HIX148" s="322"/>
      <c r="HIY148" s="322"/>
      <c r="HIZ148" s="322"/>
      <c r="HJA148" s="322"/>
      <c r="HJB148" s="322"/>
      <c r="HJC148" s="322"/>
      <c r="HJD148" s="322"/>
      <c r="HJE148" s="322"/>
      <c r="HJF148" s="322"/>
      <c r="HJG148" s="322"/>
      <c r="HJH148" s="322"/>
      <c r="HJI148" s="322"/>
      <c r="HJJ148" s="322"/>
      <c r="HJK148" s="322"/>
      <c r="HJL148" s="322"/>
      <c r="HJM148" s="322"/>
      <c r="HJN148" s="322"/>
      <c r="HJO148" s="322"/>
      <c r="HJP148" s="322"/>
      <c r="HJQ148" s="322"/>
      <c r="HJR148" s="322"/>
      <c r="HJS148" s="322"/>
      <c r="HJT148" s="322"/>
      <c r="HJU148" s="322"/>
      <c r="HJV148" s="322"/>
      <c r="HJW148" s="322"/>
      <c r="HJX148" s="322"/>
      <c r="HJY148" s="322"/>
      <c r="HJZ148" s="322"/>
      <c r="HKA148" s="322"/>
      <c r="HKB148" s="322"/>
      <c r="HKC148" s="322"/>
      <c r="HKD148" s="322"/>
      <c r="HKE148" s="322"/>
      <c r="HKF148" s="322"/>
      <c r="HKG148" s="322"/>
      <c r="HKH148" s="322"/>
      <c r="HKI148" s="322"/>
      <c r="HKJ148" s="322"/>
      <c r="HKK148" s="322"/>
      <c r="HKL148" s="322"/>
      <c r="HKM148" s="322"/>
      <c r="HKN148" s="322"/>
      <c r="HKO148" s="322"/>
      <c r="HKP148" s="322"/>
      <c r="HKQ148" s="322"/>
      <c r="HKR148" s="322"/>
      <c r="HKS148" s="322"/>
      <c r="HKT148" s="322"/>
      <c r="HKU148" s="322"/>
      <c r="HKV148" s="322"/>
      <c r="HKW148" s="322"/>
      <c r="HKX148" s="322"/>
      <c r="HKY148" s="322"/>
      <c r="HKZ148" s="322"/>
      <c r="HLA148" s="322"/>
      <c r="HLB148" s="322"/>
      <c r="HLC148" s="322"/>
      <c r="HLD148" s="322"/>
      <c r="HLE148" s="322"/>
      <c r="HLF148" s="322"/>
      <c r="HLG148" s="322"/>
      <c r="HLH148" s="322"/>
      <c r="HLI148" s="322"/>
      <c r="HLJ148" s="322"/>
      <c r="HLK148" s="322"/>
      <c r="HLL148" s="322"/>
      <c r="HLM148" s="322"/>
      <c r="HLN148" s="322"/>
      <c r="HLO148" s="322"/>
      <c r="HLP148" s="322"/>
      <c r="HLQ148" s="322"/>
      <c r="HLR148" s="322"/>
      <c r="HLS148" s="322"/>
      <c r="HLT148" s="322"/>
      <c r="HLU148" s="322"/>
      <c r="HLV148" s="322"/>
      <c r="HLW148" s="322"/>
      <c r="HLX148" s="322"/>
      <c r="HLY148" s="322"/>
      <c r="HLZ148" s="322"/>
      <c r="HMA148" s="322"/>
      <c r="HMB148" s="322"/>
      <c r="HMC148" s="322"/>
      <c r="HMD148" s="322"/>
      <c r="HME148" s="322"/>
      <c r="HMF148" s="322"/>
      <c r="HMG148" s="322"/>
      <c r="HMH148" s="322"/>
      <c r="HMI148" s="322"/>
      <c r="HMJ148" s="322"/>
      <c r="HMK148" s="322"/>
      <c r="HML148" s="322"/>
      <c r="HMM148" s="322"/>
      <c r="HMN148" s="322"/>
      <c r="HMO148" s="322"/>
      <c r="HMP148" s="322"/>
      <c r="HMQ148" s="322"/>
      <c r="HMR148" s="322"/>
      <c r="HMS148" s="322"/>
      <c r="HMT148" s="322"/>
      <c r="HMU148" s="322"/>
      <c r="HMV148" s="322"/>
      <c r="HMW148" s="322"/>
      <c r="HMX148" s="322"/>
      <c r="HMY148" s="322"/>
      <c r="HMZ148" s="322"/>
      <c r="HNA148" s="322"/>
      <c r="HNB148" s="322"/>
      <c r="HNC148" s="322"/>
      <c r="HND148" s="322"/>
      <c r="HNE148" s="322"/>
      <c r="HNF148" s="322"/>
      <c r="HNG148" s="322"/>
      <c r="HNH148" s="322"/>
      <c r="HNI148" s="322"/>
      <c r="HNJ148" s="322"/>
      <c r="HNK148" s="322"/>
      <c r="HNL148" s="322"/>
      <c r="HNM148" s="322"/>
      <c r="HNN148" s="322"/>
      <c r="HNO148" s="322"/>
      <c r="HNP148" s="322"/>
      <c r="HNQ148" s="322"/>
      <c r="HNR148" s="322"/>
      <c r="HNS148" s="322"/>
      <c r="HNT148" s="322"/>
      <c r="HNU148" s="322"/>
      <c r="HNV148" s="322"/>
      <c r="HNW148" s="322"/>
      <c r="HNX148" s="322"/>
      <c r="HNY148" s="322"/>
      <c r="HNZ148" s="322"/>
      <c r="HOA148" s="322"/>
      <c r="HOB148" s="322"/>
      <c r="HOC148" s="322"/>
      <c r="HOD148" s="322"/>
      <c r="HOE148" s="322"/>
      <c r="HOF148" s="322"/>
      <c r="HOG148" s="322"/>
      <c r="HOH148" s="322"/>
      <c r="HOI148" s="322"/>
      <c r="HOJ148" s="322"/>
      <c r="HOK148" s="322"/>
      <c r="HOL148" s="322"/>
      <c r="HOM148" s="322"/>
      <c r="HON148" s="322"/>
      <c r="HOO148" s="322"/>
      <c r="HOP148" s="322"/>
      <c r="HOQ148" s="322"/>
      <c r="HOR148" s="322"/>
      <c r="HOS148" s="322"/>
      <c r="HOT148" s="322"/>
      <c r="HOU148" s="322"/>
      <c r="HOV148" s="322"/>
      <c r="HOW148" s="322"/>
      <c r="HOX148" s="322"/>
      <c r="HOY148" s="322"/>
      <c r="HOZ148" s="322"/>
      <c r="HPA148" s="322"/>
      <c r="HPB148" s="322"/>
      <c r="HPC148" s="322"/>
      <c r="HPD148" s="322"/>
      <c r="HPE148" s="322"/>
      <c r="HPF148" s="322"/>
      <c r="HPG148" s="322"/>
      <c r="HPH148" s="322"/>
      <c r="HPI148" s="322"/>
      <c r="HPJ148" s="322"/>
      <c r="HPK148" s="322"/>
      <c r="HPL148" s="322"/>
      <c r="HPM148" s="322"/>
      <c r="HPN148" s="322"/>
      <c r="HPO148" s="322"/>
      <c r="HPP148" s="322"/>
      <c r="HPQ148" s="322"/>
      <c r="HPR148" s="322"/>
      <c r="HPS148" s="322"/>
      <c r="HPT148" s="322"/>
      <c r="HPU148" s="322"/>
      <c r="HPV148" s="322"/>
      <c r="HPW148" s="322"/>
      <c r="HPX148" s="322"/>
      <c r="HPY148" s="322"/>
      <c r="HPZ148" s="322"/>
      <c r="HQA148" s="322"/>
      <c r="HQB148" s="322"/>
      <c r="HQC148" s="322"/>
      <c r="HQD148" s="322"/>
      <c r="HQE148" s="322"/>
      <c r="HQF148" s="322"/>
      <c r="HQG148" s="322"/>
      <c r="HQH148" s="322"/>
      <c r="HQI148" s="322"/>
      <c r="HQJ148" s="322"/>
      <c r="HQK148" s="322"/>
      <c r="HQL148" s="322"/>
      <c r="HQM148" s="322"/>
      <c r="HQN148" s="322"/>
      <c r="HQO148" s="322"/>
      <c r="HQP148" s="322"/>
      <c r="HQQ148" s="322"/>
      <c r="HQR148" s="322"/>
      <c r="HQS148" s="322"/>
      <c r="HQT148" s="322"/>
      <c r="HQU148" s="322"/>
      <c r="HQV148" s="322"/>
      <c r="HQW148" s="322"/>
      <c r="HQX148" s="322"/>
      <c r="HQY148" s="322"/>
      <c r="HQZ148" s="322"/>
      <c r="HRA148" s="322"/>
      <c r="HRB148" s="322"/>
      <c r="HRC148" s="322"/>
      <c r="HRD148" s="322"/>
      <c r="HRE148" s="322"/>
      <c r="HRF148" s="322"/>
      <c r="HRG148" s="322"/>
      <c r="HRH148" s="322"/>
      <c r="HRI148" s="322"/>
      <c r="HRJ148" s="322"/>
      <c r="HRK148" s="322"/>
      <c r="HRL148" s="322"/>
      <c r="HRM148" s="322"/>
      <c r="HRN148" s="322"/>
      <c r="HRO148" s="322"/>
      <c r="HRP148" s="322"/>
      <c r="HRQ148" s="322"/>
      <c r="HRR148" s="322"/>
      <c r="HRS148" s="322"/>
      <c r="HRT148" s="322"/>
      <c r="HRU148" s="322"/>
      <c r="HRV148" s="322"/>
      <c r="HRW148" s="322"/>
      <c r="HRX148" s="322"/>
      <c r="HRY148" s="322"/>
      <c r="HRZ148" s="322"/>
      <c r="HSA148" s="322"/>
      <c r="HSB148" s="322"/>
      <c r="HSC148" s="322"/>
      <c r="HSD148" s="322"/>
      <c r="HSE148" s="322"/>
      <c r="HSF148" s="322"/>
      <c r="HSG148" s="322"/>
      <c r="HSH148" s="322"/>
      <c r="HSI148" s="322"/>
      <c r="HSJ148" s="322"/>
      <c r="HSK148" s="322"/>
      <c r="HSL148" s="322"/>
      <c r="HSM148" s="322"/>
      <c r="HSN148" s="322"/>
      <c r="HSO148" s="322"/>
      <c r="HSP148" s="322"/>
      <c r="HSQ148" s="322"/>
      <c r="HSR148" s="322"/>
      <c r="HSS148" s="322"/>
      <c r="HST148" s="322"/>
      <c r="HSU148" s="322"/>
      <c r="HSV148" s="322"/>
      <c r="HSW148" s="322"/>
      <c r="HSX148" s="322"/>
      <c r="HSY148" s="322"/>
      <c r="HSZ148" s="322"/>
      <c r="HTA148" s="322"/>
      <c r="HTB148" s="322"/>
      <c r="HTC148" s="322"/>
      <c r="HTD148" s="322"/>
      <c r="HTE148" s="322"/>
      <c r="HTF148" s="322"/>
      <c r="HTG148" s="322"/>
      <c r="HTH148" s="322"/>
      <c r="HTI148" s="322"/>
      <c r="HTJ148" s="322"/>
      <c r="HTK148" s="322"/>
      <c r="HTL148" s="322"/>
      <c r="HTM148" s="322"/>
      <c r="HTN148" s="322"/>
      <c r="HTO148" s="322"/>
      <c r="HTP148" s="322"/>
      <c r="HTQ148" s="322"/>
      <c r="HTR148" s="322"/>
      <c r="HTS148" s="322"/>
      <c r="HTT148" s="322"/>
      <c r="HTU148" s="322"/>
      <c r="HTV148" s="322"/>
      <c r="HTW148" s="322"/>
      <c r="HTX148" s="322"/>
      <c r="HTY148" s="322"/>
      <c r="HTZ148" s="322"/>
      <c r="HUA148" s="322"/>
      <c r="HUB148" s="322"/>
      <c r="HUC148" s="322"/>
      <c r="HUD148" s="322"/>
      <c r="HUE148" s="322"/>
      <c r="HUF148" s="322"/>
      <c r="HUG148" s="322"/>
      <c r="HUH148" s="322"/>
      <c r="HUI148" s="322"/>
      <c r="HUJ148" s="322"/>
      <c r="HUK148" s="322"/>
      <c r="HUL148" s="322"/>
      <c r="HUM148" s="322"/>
      <c r="HUN148" s="322"/>
      <c r="HUO148" s="322"/>
      <c r="HUP148" s="322"/>
      <c r="HUQ148" s="322"/>
      <c r="HUR148" s="322"/>
      <c r="HUS148" s="322"/>
      <c r="HUT148" s="322"/>
      <c r="HUU148" s="322"/>
      <c r="HUV148" s="322"/>
      <c r="HUW148" s="322"/>
      <c r="HUX148" s="322"/>
      <c r="HUY148" s="322"/>
      <c r="HUZ148" s="322"/>
      <c r="HVA148" s="322"/>
      <c r="HVB148" s="322"/>
      <c r="HVC148" s="322"/>
      <c r="HVD148" s="322"/>
      <c r="HVE148" s="322"/>
      <c r="HVF148" s="322"/>
      <c r="HVG148" s="322"/>
      <c r="HVH148" s="322"/>
      <c r="HVI148" s="322"/>
      <c r="HVJ148" s="322"/>
      <c r="HVK148" s="322"/>
      <c r="HVL148" s="322"/>
      <c r="HVM148" s="322"/>
      <c r="HVN148" s="322"/>
      <c r="HVO148" s="322"/>
      <c r="HVP148" s="322"/>
      <c r="HVQ148" s="322"/>
      <c r="HVR148" s="322"/>
      <c r="HVS148" s="322"/>
      <c r="HVT148" s="322"/>
      <c r="HVU148" s="322"/>
      <c r="HVV148" s="322"/>
      <c r="HVW148" s="322"/>
      <c r="HVX148" s="322"/>
      <c r="HVY148" s="322"/>
      <c r="HVZ148" s="322"/>
      <c r="HWA148" s="322"/>
      <c r="HWB148" s="322"/>
      <c r="HWC148" s="322"/>
      <c r="HWD148" s="322"/>
      <c r="HWE148" s="322"/>
      <c r="HWF148" s="322"/>
      <c r="HWG148" s="322"/>
      <c r="HWH148" s="322"/>
      <c r="HWI148" s="322"/>
      <c r="HWJ148" s="322"/>
      <c r="HWK148" s="322"/>
      <c r="HWL148" s="322"/>
      <c r="HWM148" s="322"/>
      <c r="HWN148" s="322"/>
      <c r="HWO148" s="322"/>
      <c r="HWP148" s="322"/>
      <c r="HWQ148" s="322"/>
      <c r="HWR148" s="322"/>
      <c r="HWS148" s="322"/>
      <c r="HWT148" s="322"/>
      <c r="HWU148" s="322"/>
      <c r="HWV148" s="322"/>
      <c r="HWW148" s="322"/>
      <c r="HWX148" s="322"/>
      <c r="HWY148" s="322"/>
      <c r="HWZ148" s="322"/>
      <c r="HXA148" s="322"/>
      <c r="HXB148" s="322"/>
      <c r="HXC148" s="322"/>
      <c r="HXD148" s="322"/>
      <c r="HXE148" s="322"/>
      <c r="HXF148" s="322"/>
      <c r="HXG148" s="322"/>
      <c r="HXH148" s="322"/>
      <c r="HXI148" s="322"/>
      <c r="HXJ148" s="322"/>
      <c r="HXK148" s="322"/>
      <c r="HXL148" s="322"/>
      <c r="HXM148" s="322"/>
      <c r="HXN148" s="322"/>
      <c r="HXO148" s="322"/>
      <c r="HXP148" s="322"/>
      <c r="HXQ148" s="322"/>
      <c r="HXR148" s="322"/>
      <c r="HXS148" s="322"/>
      <c r="HXT148" s="322"/>
      <c r="HXU148" s="322"/>
      <c r="HXV148" s="322"/>
      <c r="HXW148" s="322"/>
      <c r="HXX148" s="322"/>
      <c r="HXY148" s="322"/>
      <c r="HXZ148" s="322"/>
      <c r="HYA148" s="322"/>
      <c r="HYB148" s="322"/>
      <c r="HYC148" s="322"/>
      <c r="HYD148" s="322"/>
      <c r="HYE148" s="322"/>
      <c r="HYF148" s="322"/>
      <c r="HYG148" s="322"/>
      <c r="HYH148" s="322"/>
      <c r="HYI148" s="322"/>
      <c r="HYJ148" s="322"/>
      <c r="HYK148" s="322"/>
      <c r="HYL148" s="322"/>
      <c r="HYM148" s="322"/>
      <c r="HYN148" s="322"/>
      <c r="HYO148" s="322"/>
      <c r="HYP148" s="322"/>
      <c r="HYQ148" s="322"/>
      <c r="HYR148" s="322"/>
      <c r="HYS148" s="322"/>
      <c r="HYT148" s="322"/>
      <c r="HYU148" s="322"/>
      <c r="HYV148" s="322"/>
      <c r="HYW148" s="322"/>
      <c r="HYX148" s="322"/>
      <c r="HYY148" s="322"/>
      <c r="HYZ148" s="322"/>
      <c r="HZA148" s="322"/>
      <c r="HZB148" s="322"/>
      <c r="HZC148" s="322"/>
      <c r="HZD148" s="322"/>
      <c r="HZE148" s="322"/>
      <c r="HZF148" s="322"/>
      <c r="HZG148" s="322"/>
      <c r="HZH148" s="322"/>
      <c r="HZI148" s="322"/>
      <c r="HZJ148" s="322"/>
      <c r="HZK148" s="322"/>
      <c r="HZL148" s="322"/>
      <c r="HZM148" s="322"/>
      <c r="HZN148" s="322"/>
      <c r="HZO148" s="322"/>
      <c r="HZP148" s="322"/>
      <c r="HZQ148" s="322"/>
      <c r="HZR148" s="322"/>
      <c r="HZS148" s="322"/>
      <c r="HZT148" s="322"/>
      <c r="HZU148" s="322"/>
      <c r="HZV148" s="322"/>
      <c r="HZW148" s="322"/>
      <c r="HZX148" s="322"/>
      <c r="HZY148" s="322"/>
      <c r="HZZ148" s="322"/>
      <c r="IAA148" s="322"/>
      <c r="IAB148" s="322"/>
      <c r="IAC148" s="322"/>
      <c r="IAD148" s="322"/>
      <c r="IAE148" s="322"/>
      <c r="IAF148" s="322"/>
      <c r="IAG148" s="322"/>
      <c r="IAH148" s="322"/>
      <c r="IAI148" s="322"/>
      <c r="IAJ148" s="322"/>
      <c r="IAK148" s="322"/>
      <c r="IAL148" s="322"/>
      <c r="IAM148" s="322"/>
      <c r="IAN148" s="322"/>
      <c r="IAO148" s="322"/>
      <c r="IAP148" s="322"/>
      <c r="IAQ148" s="322"/>
      <c r="IAR148" s="322"/>
      <c r="IAS148" s="322"/>
      <c r="IAT148" s="322"/>
      <c r="IAU148" s="322"/>
      <c r="IAV148" s="322"/>
      <c r="IAW148" s="322"/>
      <c r="IAX148" s="322"/>
      <c r="IAY148" s="322"/>
      <c r="IAZ148" s="322"/>
      <c r="IBA148" s="322"/>
      <c r="IBB148" s="322"/>
      <c r="IBC148" s="322"/>
      <c r="IBD148" s="322"/>
      <c r="IBE148" s="322"/>
      <c r="IBF148" s="322"/>
      <c r="IBG148" s="322"/>
      <c r="IBH148" s="322"/>
      <c r="IBI148" s="322"/>
      <c r="IBJ148" s="322"/>
      <c r="IBK148" s="322"/>
      <c r="IBL148" s="322"/>
      <c r="IBM148" s="322"/>
      <c r="IBN148" s="322"/>
      <c r="IBO148" s="322"/>
      <c r="IBP148" s="322"/>
      <c r="IBQ148" s="322"/>
      <c r="IBR148" s="322"/>
      <c r="IBS148" s="322"/>
      <c r="IBT148" s="322"/>
      <c r="IBU148" s="322"/>
      <c r="IBV148" s="322"/>
      <c r="IBW148" s="322"/>
      <c r="IBX148" s="322"/>
      <c r="IBY148" s="322"/>
      <c r="IBZ148" s="322"/>
      <c r="ICA148" s="322"/>
      <c r="ICB148" s="322"/>
      <c r="ICC148" s="322"/>
      <c r="ICD148" s="322"/>
      <c r="ICE148" s="322"/>
      <c r="ICF148" s="322"/>
      <c r="ICG148" s="322"/>
      <c r="ICH148" s="322"/>
      <c r="ICI148" s="322"/>
      <c r="ICJ148" s="322"/>
      <c r="ICK148" s="322"/>
      <c r="ICL148" s="322"/>
      <c r="ICM148" s="322"/>
      <c r="ICN148" s="322"/>
      <c r="ICO148" s="322"/>
      <c r="ICP148" s="322"/>
      <c r="ICQ148" s="322"/>
      <c r="ICR148" s="322"/>
      <c r="ICS148" s="322"/>
      <c r="ICT148" s="322"/>
      <c r="ICU148" s="322"/>
      <c r="ICV148" s="322"/>
      <c r="ICW148" s="322"/>
      <c r="ICX148" s="322"/>
      <c r="ICY148" s="322"/>
      <c r="ICZ148" s="322"/>
      <c r="IDA148" s="322"/>
      <c r="IDB148" s="322"/>
      <c r="IDC148" s="322"/>
      <c r="IDD148" s="322"/>
      <c r="IDE148" s="322"/>
      <c r="IDF148" s="322"/>
      <c r="IDG148" s="322"/>
      <c r="IDH148" s="322"/>
      <c r="IDI148" s="322"/>
      <c r="IDJ148" s="322"/>
      <c r="IDK148" s="322"/>
      <c r="IDL148" s="322"/>
      <c r="IDM148" s="322"/>
      <c r="IDN148" s="322"/>
      <c r="IDO148" s="322"/>
      <c r="IDP148" s="322"/>
      <c r="IDQ148" s="322"/>
      <c r="IDR148" s="322"/>
      <c r="IDS148" s="322"/>
      <c r="IDT148" s="322"/>
      <c r="IDU148" s="322"/>
      <c r="IDV148" s="322"/>
      <c r="IDW148" s="322"/>
      <c r="IDX148" s="322"/>
      <c r="IDY148" s="322"/>
      <c r="IDZ148" s="322"/>
      <c r="IEA148" s="322"/>
      <c r="IEB148" s="322"/>
      <c r="IEC148" s="322"/>
      <c r="IED148" s="322"/>
      <c r="IEE148" s="322"/>
      <c r="IEF148" s="322"/>
      <c r="IEG148" s="322"/>
      <c r="IEH148" s="322"/>
      <c r="IEI148" s="322"/>
      <c r="IEJ148" s="322"/>
      <c r="IEK148" s="322"/>
      <c r="IEL148" s="322"/>
      <c r="IEM148" s="322"/>
      <c r="IEN148" s="322"/>
      <c r="IEO148" s="322"/>
      <c r="IEP148" s="322"/>
      <c r="IEQ148" s="322"/>
      <c r="IER148" s="322"/>
      <c r="IES148" s="322"/>
      <c r="IET148" s="322"/>
      <c r="IEU148" s="322"/>
      <c r="IEV148" s="322"/>
      <c r="IEW148" s="322"/>
      <c r="IEX148" s="322"/>
      <c r="IEY148" s="322"/>
      <c r="IEZ148" s="322"/>
      <c r="IFA148" s="322"/>
      <c r="IFB148" s="322"/>
      <c r="IFC148" s="322"/>
      <c r="IFD148" s="322"/>
      <c r="IFE148" s="322"/>
      <c r="IFF148" s="322"/>
      <c r="IFG148" s="322"/>
      <c r="IFH148" s="322"/>
      <c r="IFI148" s="322"/>
      <c r="IFJ148" s="322"/>
      <c r="IFK148" s="322"/>
      <c r="IFL148" s="322"/>
      <c r="IFM148" s="322"/>
      <c r="IFN148" s="322"/>
      <c r="IFO148" s="322"/>
      <c r="IFP148" s="322"/>
      <c r="IFQ148" s="322"/>
      <c r="IFR148" s="322"/>
      <c r="IFS148" s="322"/>
      <c r="IFT148" s="322"/>
      <c r="IFU148" s="322"/>
      <c r="IFV148" s="322"/>
      <c r="IFW148" s="322"/>
      <c r="IFX148" s="322"/>
      <c r="IFY148" s="322"/>
      <c r="IFZ148" s="322"/>
      <c r="IGA148" s="322"/>
      <c r="IGB148" s="322"/>
      <c r="IGC148" s="322"/>
      <c r="IGD148" s="322"/>
      <c r="IGE148" s="322"/>
      <c r="IGF148" s="322"/>
      <c r="IGG148" s="322"/>
      <c r="IGH148" s="322"/>
      <c r="IGI148" s="322"/>
      <c r="IGJ148" s="322"/>
      <c r="IGK148" s="322"/>
      <c r="IGL148" s="322"/>
      <c r="IGM148" s="322"/>
      <c r="IGN148" s="322"/>
      <c r="IGO148" s="322"/>
      <c r="IGP148" s="322"/>
      <c r="IGQ148" s="322"/>
      <c r="IGR148" s="322"/>
      <c r="IGS148" s="322"/>
      <c r="IGT148" s="322"/>
      <c r="IGU148" s="322"/>
      <c r="IGV148" s="322"/>
      <c r="IGW148" s="322"/>
      <c r="IGX148" s="322"/>
      <c r="IGY148" s="322"/>
      <c r="IGZ148" s="322"/>
      <c r="IHA148" s="322"/>
      <c r="IHB148" s="322"/>
      <c r="IHC148" s="322"/>
      <c r="IHD148" s="322"/>
      <c r="IHE148" s="322"/>
      <c r="IHF148" s="322"/>
      <c r="IHG148" s="322"/>
      <c r="IHH148" s="322"/>
      <c r="IHI148" s="322"/>
      <c r="IHJ148" s="322"/>
      <c r="IHK148" s="322"/>
      <c r="IHL148" s="322"/>
      <c r="IHM148" s="322"/>
      <c r="IHN148" s="322"/>
      <c r="IHO148" s="322"/>
      <c r="IHP148" s="322"/>
      <c r="IHQ148" s="322"/>
      <c r="IHR148" s="322"/>
      <c r="IHS148" s="322"/>
      <c r="IHT148" s="322"/>
      <c r="IHU148" s="322"/>
      <c r="IHV148" s="322"/>
      <c r="IHW148" s="322"/>
      <c r="IHX148" s="322"/>
      <c r="IHY148" s="322"/>
      <c r="IHZ148" s="322"/>
      <c r="IIA148" s="322"/>
      <c r="IIB148" s="322"/>
      <c r="IIC148" s="322"/>
      <c r="IID148" s="322"/>
      <c r="IIE148" s="322"/>
      <c r="IIF148" s="322"/>
      <c r="IIG148" s="322"/>
      <c r="IIH148" s="322"/>
      <c r="III148" s="322"/>
      <c r="IIJ148" s="322"/>
      <c r="IIK148" s="322"/>
      <c r="IIL148" s="322"/>
      <c r="IIM148" s="322"/>
      <c r="IIN148" s="322"/>
      <c r="IIO148" s="322"/>
      <c r="IIP148" s="322"/>
      <c r="IIQ148" s="322"/>
      <c r="IIR148" s="322"/>
      <c r="IIS148" s="322"/>
      <c r="IIT148" s="322"/>
      <c r="IIU148" s="322"/>
      <c r="IIV148" s="322"/>
      <c r="IIW148" s="322"/>
      <c r="IIX148" s="322"/>
      <c r="IIY148" s="322"/>
      <c r="IIZ148" s="322"/>
      <c r="IJA148" s="322"/>
      <c r="IJB148" s="322"/>
      <c r="IJC148" s="322"/>
      <c r="IJD148" s="322"/>
      <c r="IJE148" s="322"/>
      <c r="IJF148" s="322"/>
      <c r="IJG148" s="322"/>
      <c r="IJH148" s="322"/>
      <c r="IJI148" s="322"/>
      <c r="IJJ148" s="322"/>
      <c r="IJK148" s="322"/>
      <c r="IJL148" s="322"/>
      <c r="IJM148" s="322"/>
      <c r="IJN148" s="322"/>
      <c r="IJO148" s="322"/>
      <c r="IJP148" s="322"/>
      <c r="IJQ148" s="322"/>
      <c r="IJR148" s="322"/>
      <c r="IJS148" s="322"/>
      <c r="IJT148" s="322"/>
      <c r="IJU148" s="322"/>
      <c r="IJV148" s="322"/>
      <c r="IJW148" s="322"/>
      <c r="IJX148" s="322"/>
      <c r="IJY148" s="322"/>
      <c r="IJZ148" s="322"/>
      <c r="IKA148" s="322"/>
      <c r="IKB148" s="322"/>
      <c r="IKC148" s="322"/>
      <c r="IKD148" s="322"/>
      <c r="IKE148" s="322"/>
      <c r="IKF148" s="322"/>
      <c r="IKG148" s="322"/>
      <c r="IKH148" s="322"/>
      <c r="IKI148" s="322"/>
      <c r="IKJ148" s="322"/>
      <c r="IKK148" s="322"/>
      <c r="IKL148" s="322"/>
      <c r="IKM148" s="322"/>
      <c r="IKN148" s="322"/>
      <c r="IKO148" s="322"/>
      <c r="IKP148" s="322"/>
      <c r="IKQ148" s="322"/>
      <c r="IKR148" s="322"/>
      <c r="IKS148" s="322"/>
      <c r="IKT148" s="322"/>
      <c r="IKU148" s="322"/>
      <c r="IKV148" s="322"/>
      <c r="IKW148" s="322"/>
      <c r="IKX148" s="322"/>
      <c r="IKY148" s="322"/>
      <c r="IKZ148" s="322"/>
      <c r="ILA148" s="322"/>
      <c r="ILB148" s="322"/>
      <c r="ILC148" s="322"/>
      <c r="ILD148" s="322"/>
      <c r="ILE148" s="322"/>
      <c r="ILF148" s="322"/>
      <c r="ILG148" s="322"/>
      <c r="ILH148" s="322"/>
      <c r="ILI148" s="322"/>
      <c r="ILJ148" s="322"/>
      <c r="ILK148" s="322"/>
      <c r="ILL148" s="322"/>
      <c r="ILM148" s="322"/>
      <c r="ILN148" s="322"/>
      <c r="ILO148" s="322"/>
      <c r="ILP148" s="322"/>
      <c r="ILQ148" s="322"/>
      <c r="ILR148" s="322"/>
      <c r="ILS148" s="322"/>
      <c r="ILT148" s="322"/>
      <c r="ILU148" s="322"/>
      <c r="ILV148" s="322"/>
      <c r="ILW148" s="322"/>
      <c r="ILX148" s="322"/>
      <c r="ILY148" s="322"/>
      <c r="ILZ148" s="322"/>
      <c r="IMA148" s="322"/>
      <c r="IMB148" s="322"/>
      <c r="IMC148" s="322"/>
      <c r="IMD148" s="322"/>
      <c r="IME148" s="322"/>
      <c r="IMF148" s="322"/>
      <c r="IMG148" s="322"/>
      <c r="IMH148" s="322"/>
      <c r="IMI148" s="322"/>
      <c r="IMJ148" s="322"/>
      <c r="IMK148" s="322"/>
      <c r="IML148" s="322"/>
      <c r="IMM148" s="322"/>
      <c r="IMN148" s="322"/>
      <c r="IMO148" s="322"/>
      <c r="IMP148" s="322"/>
      <c r="IMQ148" s="322"/>
      <c r="IMR148" s="322"/>
      <c r="IMS148" s="322"/>
      <c r="IMT148" s="322"/>
      <c r="IMU148" s="322"/>
      <c r="IMV148" s="322"/>
      <c r="IMW148" s="322"/>
      <c r="IMX148" s="322"/>
      <c r="IMY148" s="322"/>
      <c r="IMZ148" s="322"/>
      <c r="INA148" s="322"/>
      <c r="INB148" s="322"/>
      <c r="INC148" s="322"/>
      <c r="IND148" s="322"/>
      <c r="INE148" s="322"/>
      <c r="INF148" s="322"/>
      <c r="ING148" s="322"/>
      <c r="INH148" s="322"/>
      <c r="INI148" s="322"/>
      <c r="INJ148" s="322"/>
      <c r="INK148" s="322"/>
      <c r="INL148" s="322"/>
      <c r="INM148" s="322"/>
      <c r="INN148" s="322"/>
      <c r="INO148" s="322"/>
      <c r="INP148" s="322"/>
      <c r="INQ148" s="322"/>
      <c r="INR148" s="322"/>
      <c r="INS148" s="322"/>
      <c r="INT148" s="322"/>
      <c r="INU148" s="322"/>
      <c r="INV148" s="322"/>
      <c r="INW148" s="322"/>
      <c r="INX148" s="322"/>
      <c r="INY148" s="322"/>
      <c r="INZ148" s="322"/>
      <c r="IOA148" s="322"/>
      <c r="IOB148" s="322"/>
      <c r="IOC148" s="322"/>
      <c r="IOD148" s="322"/>
      <c r="IOE148" s="322"/>
      <c r="IOF148" s="322"/>
      <c r="IOG148" s="322"/>
      <c r="IOH148" s="322"/>
      <c r="IOI148" s="322"/>
      <c r="IOJ148" s="322"/>
      <c r="IOK148" s="322"/>
      <c r="IOL148" s="322"/>
      <c r="IOM148" s="322"/>
      <c r="ION148" s="322"/>
      <c r="IOO148" s="322"/>
      <c r="IOP148" s="322"/>
      <c r="IOQ148" s="322"/>
      <c r="IOR148" s="322"/>
      <c r="IOS148" s="322"/>
      <c r="IOT148" s="322"/>
      <c r="IOU148" s="322"/>
      <c r="IOV148" s="322"/>
      <c r="IOW148" s="322"/>
      <c r="IOX148" s="322"/>
      <c r="IOY148" s="322"/>
      <c r="IOZ148" s="322"/>
      <c r="IPA148" s="322"/>
      <c r="IPB148" s="322"/>
      <c r="IPC148" s="322"/>
      <c r="IPD148" s="322"/>
      <c r="IPE148" s="322"/>
      <c r="IPF148" s="322"/>
      <c r="IPG148" s="322"/>
      <c r="IPH148" s="322"/>
      <c r="IPI148" s="322"/>
      <c r="IPJ148" s="322"/>
      <c r="IPK148" s="322"/>
      <c r="IPL148" s="322"/>
      <c r="IPM148" s="322"/>
      <c r="IPN148" s="322"/>
      <c r="IPO148" s="322"/>
      <c r="IPP148" s="322"/>
      <c r="IPQ148" s="322"/>
      <c r="IPR148" s="322"/>
      <c r="IPS148" s="322"/>
      <c r="IPT148" s="322"/>
      <c r="IPU148" s="322"/>
      <c r="IPV148" s="322"/>
      <c r="IPW148" s="322"/>
      <c r="IPX148" s="322"/>
      <c r="IPY148" s="322"/>
      <c r="IPZ148" s="322"/>
      <c r="IQA148" s="322"/>
      <c r="IQB148" s="322"/>
      <c r="IQC148" s="322"/>
      <c r="IQD148" s="322"/>
      <c r="IQE148" s="322"/>
      <c r="IQF148" s="322"/>
      <c r="IQG148" s="322"/>
      <c r="IQH148" s="322"/>
      <c r="IQI148" s="322"/>
      <c r="IQJ148" s="322"/>
      <c r="IQK148" s="322"/>
      <c r="IQL148" s="322"/>
      <c r="IQM148" s="322"/>
      <c r="IQN148" s="322"/>
      <c r="IQO148" s="322"/>
      <c r="IQP148" s="322"/>
      <c r="IQQ148" s="322"/>
      <c r="IQR148" s="322"/>
      <c r="IQS148" s="322"/>
      <c r="IQT148" s="322"/>
      <c r="IQU148" s="322"/>
      <c r="IQV148" s="322"/>
      <c r="IQW148" s="322"/>
      <c r="IQX148" s="322"/>
      <c r="IQY148" s="322"/>
      <c r="IQZ148" s="322"/>
      <c r="IRA148" s="322"/>
      <c r="IRB148" s="322"/>
      <c r="IRC148" s="322"/>
      <c r="IRD148" s="322"/>
      <c r="IRE148" s="322"/>
      <c r="IRF148" s="322"/>
      <c r="IRG148" s="322"/>
      <c r="IRH148" s="322"/>
      <c r="IRI148" s="322"/>
      <c r="IRJ148" s="322"/>
      <c r="IRK148" s="322"/>
      <c r="IRL148" s="322"/>
      <c r="IRM148" s="322"/>
      <c r="IRN148" s="322"/>
      <c r="IRO148" s="322"/>
      <c r="IRP148" s="322"/>
      <c r="IRQ148" s="322"/>
      <c r="IRR148" s="322"/>
      <c r="IRS148" s="322"/>
      <c r="IRT148" s="322"/>
      <c r="IRU148" s="322"/>
      <c r="IRV148" s="322"/>
      <c r="IRW148" s="322"/>
      <c r="IRX148" s="322"/>
      <c r="IRY148" s="322"/>
      <c r="IRZ148" s="322"/>
      <c r="ISA148" s="322"/>
      <c r="ISB148" s="322"/>
      <c r="ISC148" s="322"/>
      <c r="ISD148" s="322"/>
      <c r="ISE148" s="322"/>
      <c r="ISF148" s="322"/>
      <c r="ISG148" s="322"/>
      <c r="ISH148" s="322"/>
      <c r="ISI148" s="322"/>
      <c r="ISJ148" s="322"/>
      <c r="ISK148" s="322"/>
      <c r="ISL148" s="322"/>
      <c r="ISM148" s="322"/>
      <c r="ISN148" s="322"/>
      <c r="ISO148" s="322"/>
      <c r="ISP148" s="322"/>
      <c r="ISQ148" s="322"/>
      <c r="ISR148" s="322"/>
      <c r="ISS148" s="322"/>
      <c r="IST148" s="322"/>
      <c r="ISU148" s="322"/>
      <c r="ISV148" s="322"/>
      <c r="ISW148" s="322"/>
      <c r="ISX148" s="322"/>
      <c r="ISY148" s="322"/>
      <c r="ISZ148" s="322"/>
      <c r="ITA148" s="322"/>
      <c r="ITB148" s="322"/>
      <c r="ITC148" s="322"/>
      <c r="ITD148" s="322"/>
      <c r="ITE148" s="322"/>
      <c r="ITF148" s="322"/>
      <c r="ITG148" s="322"/>
      <c r="ITH148" s="322"/>
      <c r="ITI148" s="322"/>
      <c r="ITJ148" s="322"/>
      <c r="ITK148" s="322"/>
      <c r="ITL148" s="322"/>
      <c r="ITM148" s="322"/>
      <c r="ITN148" s="322"/>
      <c r="ITO148" s="322"/>
      <c r="ITP148" s="322"/>
      <c r="ITQ148" s="322"/>
      <c r="ITR148" s="322"/>
      <c r="ITS148" s="322"/>
      <c r="ITT148" s="322"/>
      <c r="ITU148" s="322"/>
      <c r="ITV148" s="322"/>
      <c r="ITW148" s="322"/>
      <c r="ITX148" s="322"/>
      <c r="ITY148" s="322"/>
      <c r="ITZ148" s="322"/>
      <c r="IUA148" s="322"/>
      <c r="IUB148" s="322"/>
      <c r="IUC148" s="322"/>
      <c r="IUD148" s="322"/>
      <c r="IUE148" s="322"/>
      <c r="IUF148" s="322"/>
      <c r="IUG148" s="322"/>
      <c r="IUH148" s="322"/>
      <c r="IUI148" s="322"/>
      <c r="IUJ148" s="322"/>
      <c r="IUK148" s="322"/>
      <c r="IUL148" s="322"/>
      <c r="IUM148" s="322"/>
      <c r="IUN148" s="322"/>
      <c r="IUO148" s="322"/>
      <c r="IUP148" s="322"/>
      <c r="IUQ148" s="322"/>
      <c r="IUR148" s="322"/>
      <c r="IUS148" s="322"/>
      <c r="IUT148" s="322"/>
      <c r="IUU148" s="322"/>
      <c r="IUV148" s="322"/>
      <c r="IUW148" s="322"/>
      <c r="IUX148" s="322"/>
      <c r="IUY148" s="322"/>
      <c r="IUZ148" s="322"/>
      <c r="IVA148" s="322"/>
      <c r="IVB148" s="322"/>
      <c r="IVC148" s="322"/>
      <c r="IVD148" s="322"/>
      <c r="IVE148" s="322"/>
      <c r="IVF148" s="322"/>
      <c r="IVG148" s="322"/>
      <c r="IVH148" s="322"/>
      <c r="IVI148" s="322"/>
      <c r="IVJ148" s="322"/>
      <c r="IVK148" s="322"/>
      <c r="IVL148" s="322"/>
      <c r="IVM148" s="322"/>
      <c r="IVN148" s="322"/>
      <c r="IVO148" s="322"/>
      <c r="IVP148" s="322"/>
      <c r="IVQ148" s="322"/>
      <c r="IVR148" s="322"/>
      <c r="IVS148" s="322"/>
      <c r="IVT148" s="322"/>
      <c r="IVU148" s="322"/>
      <c r="IVV148" s="322"/>
      <c r="IVW148" s="322"/>
      <c r="IVX148" s="322"/>
      <c r="IVY148" s="322"/>
      <c r="IVZ148" s="322"/>
      <c r="IWA148" s="322"/>
      <c r="IWB148" s="322"/>
      <c r="IWC148" s="322"/>
      <c r="IWD148" s="322"/>
      <c r="IWE148" s="322"/>
      <c r="IWF148" s="322"/>
      <c r="IWG148" s="322"/>
      <c r="IWH148" s="322"/>
      <c r="IWI148" s="322"/>
      <c r="IWJ148" s="322"/>
      <c r="IWK148" s="322"/>
      <c r="IWL148" s="322"/>
      <c r="IWM148" s="322"/>
      <c r="IWN148" s="322"/>
      <c r="IWO148" s="322"/>
      <c r="IWP148" s="322"/>
      <c r="IWQ148" s="322"/>
      <c r="IWR148" s="322"/>
      <c r="IWS148" s="322"/>
      <c r="IWT148" s="322"/>
      <c r="IWU148" s="322"/>
      <c r="IWV148" s="322"/>
      <c r="IWW148" s="322"/>
      <c r="IWX148" s="322"/>
      <c r="IWY148" s="322"/>
      <c r="IWZ148" s="322"/>
      <c r="IXA148" s="322"/>
      <c r="IXB148" s="322"/>
      <c r="IXC148" s="322"/>
      <c r="IXD148" s="322"/>
      <c r="IXE148" s="322"/>
      <c r="IXF148" s="322"/>
      <c r="IXG148" s="322"/>
      <c r="IXH148" s="322"/>
      <c r="IXI148" s="322"/>
      <c r="IXJ148" s="322"/>
      <c r="IXK148" s="322"/>
      <c r="IXL148" s="322"/>
      <c r="IXM148" s="322"/>
      <c r="IXN148" s="322"/>
      <c r="IXO148" s="322"/>
      <c r="IXP148" s="322"/>
      <c r="IXQ148" s="322"/>
      <c r="IXR148" s="322"/>
      <c r="IXS148" s="322"/>
      <c r="IXT148" s="322"/>
      <c r="IXU148" s="322"/>
      <c r="IXV148" s="322"/>
      <c r="IXW148" s="322"/>
      <c r="IXX148" s="322"/>
      <c r="IXY148" s="322"/>
      <c r="IXZ148" s="322"/>
      <c r="IYA148" s="322"/>
      <c r="IYB148" s="322"/>
      <c r="IYC148" s="322"/>
      <c r="IYD148" s="322"/>
      <c r="IYE148" s="322"/>
      <c r="IYF148" s="322"/>
      <c r="IYG148" s="322"/>
      <c r="IYH148" s="322"/>
      <c r="IYI148" s="322"/>
      <c r="IYJ148" s="322"/>
      <c r="IYK148" s="322"/>
      <c r="IYL148" s="322"/>
      <c r="IYM148" s="322"/>
      <c r="IYN148" s="322"/>
      <c r="IYO148" s="322"/>
      <c r="IYP148" s="322"/>
      <c r="IYQ148" s="322"/>
      <c r="IYR148" s="322"/>
      <c r="IYS148" s="322"/>
      <c r="IYT148" s="322"/>
      <c r="IYU148" s="322"/>
      <c r="IYV148" s="322"/>
      <c r="IYW148" s="322"/>
      <c r="IYX148" s="322"/>
      <c r="IYY148" s="322"/>
      <c r="IYZ148" s="322"/>
      <c r="IZA148" s="322"/>
      <c r="IZB148" s="322"/>
      <c r="IZC148" s="322"/>
      <c r="IZD148" s="322"/>
      <c r="IZE148" s="322"/>
      <c r="IZF148" s="322"/>
      <c r="IZG148" s="322"/>
      <c r="IZH148" s="322"/>
      <c r="IZI148" s="322"/>
      <c r="IZJ148" s="322"/>
      <c r="IZK148" s="322"/>
      <c r="IZL148" s="322"/>
      <c r="IZM148" s="322"/>
      <c r="IZN148" s="322"/>
      <c r="IZO148" s="322"/>
      <c r="IZP148" s="322"/>
      <c r="IZQ148" s="322"/>
      <c r="IZR148" s="322"/>
      <c r="IZS148" s="322"/>
      <c r="IZT148" s="322"/>
      <c r="IZU148" s="322"/>
      <c r="IZV148" s="322"/>
      <c r="IZW148" s="322"/>
      <c r="IZX148" s="322"/>
      <c r="IZY148" s="322"/>
      <c r="IZZ148" s="322"/>
      <c r="JAA148" s="322"/>
      <c r="JAB148" s="322"/>
      <c r="JAC148" s="322"/>
      <c r="JAD148" s="322"/>
      <c r="JAE148" s="322"/>
      <c r="JAF148" s="322"/>
      <c r="JAG148" s="322"/>
      <c r="JAH148" s="322"/>
      <c r="JAI148" s="322"/>
      <c r="JAJ148" s="322"/>
      <c r="JAK148" s="322"/>
      <c r="JAL148" s="322"/>
      <c r="JAM148" s="322"/>
      <c r="JAN148" s="322"/>
      <c r="JAO148" s="322"/>
      <c r="JAP148" s="322"/>
      <c r="JAQ148" s="322"/>
      <c r="JAR148" s="322"/>
      <c r="JAS148" s="322"/>
      <c r="JAT148" s="322"/>
      <c r="JAU148" s="322"/>
      <c r="JAV148" s="322"/>
      <c r="JAW148" s="322"/>
      <c r="JAX148" s="322"/>
      <c r="JAY148" s="322"/>
      <c r="JAZ148" s="322"/>
      <c r="JBA148" s="322"/>
      <c r="JBB148" s="322"/>
      <c r="JBC148" s="322"/>
      <c r="JBD148" s="322"/>
      <c r="JBE148" s="322"/>
      <c r="JBF148" s="322"/>
      <c r="JBG148" s="322"/>
      <c r="JBH148" s="322"/>
      <c r="JBI148" s="322"/>
      <c r="JBJ148" s="322"/>
      <c r="JBK148" s="322"/>
      <c r="JBL148" s="322"/>
      <c r="JBM148" s="322"/>
      <c r="JBN148" s="322"/>
      <c r="JBO148" s="322"/>
      <c r="JBP148" s="322"/>
      <c r="JBQ148" s="322"/>
      <c r="JBR148" s="322"/>
      <c r="JBS148" s="322"/>
      <c r="JBT148" s="322"/>
      <c r="JBU148" s="322"/>
      <c r="JBV148" s="322"/>
      <c r="JBW148" s="322"/>
      <c r="JBX148" s="322"/>
      <c r="JBY148" s="322"/>
      <c r="JBZ148" s="322"/>
      <c r="JCA148" s="322"/>
      <c r="JCB148" s="322"/>
      <c r="JCC148" s="322"/>
      <c r="JCD148" s="322"/>
      <c r="JCE148" s="322"/>
      <c r="JCF148" s="322"/>
      <c r="JCG148" s="322"/>
      <c r="JCH148" s="322"/>
      <c r="JCI148" s="322"/>
      <c r="JCJ148" s="322"/>
      <c r="JCK148" s="322"/>
      <c r="JCL148" s="322"/>
      <c r="JCM148" s="322"/>
      <c r="JCN148" s="322"/>
      <c r="JCO148" s="322"/>
      <c r="JCP148" s="322"/>
      <c r="JCQ148" s="322"/>
      <c r="JCR148" s="322"/>
      <c r="JCS148" s="322"/>
      <c r="JCT148" s="322"/>
      <c r="JCU148" s="322"/>
      <c r="JCV148" s="322"/>
      <c r="JCW148" s="322"/>
      <c r="JCX148" s="322"/>
      <c r="JCY148" s="322"/>
      <c r="JCZ148" s="322"/>
      <c r="JDA148" s="322"/>
      <c r="JDB148" s="322"/>
      <c r="JDC148" s="322"/>
      <c r="JDD148" s="322"/>
      <c r="JDE148" s="322"/>
      <c r="JDF148" s="322"/>
      <c r="JDG148" s="322"/>
      <c r="JDH148" s="322"/>
      <c r="JDI148" s="322"/>
      <c r="JDJ148" s="322"/>
      <c r="JDK148" s="322"/>
      <c r="JDL148" s="322"/>
      <c r="JDM148" s="322"/>
      <c r="JDN148" s="322"/>
      <c r="JDO148" s="322"/>
      <c r="JDP148" s="322"/>
      <c r="JDQ148" s="322"/>
      <c r="JDR148" s="322"/>
      <c r="JDS148" s="322"/>
      <c r="JDT148" s="322"/>
      <c r="JDU148" s="322"/>
      <c r="JDV148" s="322"/>
      <c r="JDW148" s="322"/>
      <c r="JDX148" s="322"/>
      <c r="JDY148" s="322"/>
      <c r="JDZ148" s="322"/>
      <c r="JEA148" s="322"/>
      <c r="JEB148" s="322"/>
      <c r="JEC148" s="322"/>
      <c r="JED148" s="322"/>
      <c r="JEE148" s="322"/>
      <c r="JEF148" s="322"/>
      <c r="JEG148" s="322"/>
      <c r="JEH148" s="322"/>
      <c r="JEI148" s="322"/>
      <c r="JEJ148" s="322"/>
      <c r="JEK148" s="322"/>
      <c r="JEL148" s="322"/>
      <c r="JEM148" s="322"/>
      <c r="JEN148" s="322"/>
      <c r="JEO148" s="322"/>
      <c r="JEP148" s="322"/>
      <c r="JEQ148" s="322"/>
      <c r="JER148" s="322"/>
      <c r="JES148" s="322"/>
      <c r="JET148" s="322"/>
      <c r="JEU148" s="322"/>
      <c r="JEV148" s="322"/>
      <c r="JEW148" s="322"/>
      <c r="JEX148" s="322"/>
      <c r="JEY148" s="322"/>
      <c r="JEZ148" s="322"/>
      <c r="JFA148" s="322"/>
      <c r="JFB148" s="322"/>
      <c r="JFC148" s="322"/>
      <c r="JFD148" s="322"/>
      <c r="JFE148" s="322"/>
      <c r="JFF148" s="322"/>
      <c r="JFG148" s="322"/>
      <c r="JFH148" s="322"/>
      <c r="JFI148" s="322"/>
      <c r="JFJ148" s="322"/>
      <c r="JFK148" s="322"/>
      <c r="JFL148" s="322"/>
      <c r="JFM148" s="322"/>
      <c r="JFN148" s="322"/>
      <c r="JFO148" s="322"/>
      <c r="JFP148" s="322"/>
      <c r="JFQ148" s="322"/>
      <c r="JFR148" s="322"/>
      <c r="JFS148" s="322"/>
      <c r="JFT148" s="322"/>
      <c r="JFU148" s="322"/>
      <c r="JFV148" s="322"/>
      <c r="JFW148" s="322"/>
      <c r="JFX148" s="322"/>
      <c r="JFY148" s="322"/>
      <c r="JFZ148" s="322"/>
      <c r="JGA148" s="322"/>
      <c r="JGB148" s="322"/>
      <c r="JGC148" s="322"/>
      <c r="JGD148" s="322"/>
      <c r="JGE148" s="322"/>
      <c r="JGF148" s="322"/>
      <c r="JGG148" s="322"/>
      <c r="JGH148" s="322"/>
      <c r="JGI148" s="322"/>
      <c r="JGJ148" s="322"/>
      <c r="JGK148" s="322"/>
      <c r="JGL148" s="322"/>
      <c r="JGM148" s="322"/>
      <c r="JGN148" s="322"/>
      <c r="JGO148" s="322"/>
      <c r="JGP148" s="322"/>
      <c r="JGQ148" s="322"/>
      <c r="JGR148" s="322"/>
      <c r="JGS148" s="322"/>
      <c r="JGT148" s="322"/>
      <c r="JGU148" s="322"/>
      <c r="JGV148" s="322"/>
      <c r="JGW148" s="322"/>
      <c r="JGX148" s="322"/>
      <c r="JGY148" s="322"/>
      <c r="JGZ148" s="322"/>
      <c r="JHA148" s="322"/>
      <c r="JHB148" s="322"/>
      <c r="JHC148" s="322"/>
      <c r="JHD148" s="322"/>
      <c r="JHE148" s="322"/>
      <c r="JHF148" s="322"/>
      <c r="JHG148" s="322"/>
      <c r="JHH148" s="322"/>
      <c r="JHI148" s="322"/>
      <c r="JHJ148" s="322"/>
      <c r="JHK148" s="322"/>
      <c r="JHL148" s="322"/>
      <c r="JHM148" s="322"/>
      <c r="JHN148" s="322"/>
      <c r="JHO148" s="322"/>
      <c r="JHP148" s="322"/>
      <c r="JHQ148" s="322"/>
      <c r="JHR148" s="322"/>
      <c r="JHS148" s="322"/>
      <c r="JHT148" s="322"/>
      <c r="JHU148" s="322"/>
      <c r="JHV148" s="322"/>
      <c r="JHW148" s="322"/>
      <c r="JHX148" s="322"/>
      <c r="JHY148" s="322"/>
      <c r="JHZ148" s="322"/>
      <c r="JIA148" s="322"/>
      <c r="JIB148" s="322"/>
      <c r="JIC148" s="322"/>
      <c r="JID148" s="322"/>
      <c r="JIE148" s="322"/>
      <c r="JIF148" s="322"/>
      <c r="JIG148" s="322"/>
      <c r="JIH148" s="322"/>
      <c r="JII148" s="322"/>
      <c r="JIJ148" s="322"/>
      <c r="JIK148" s="322"/>
      <c r="JIL148" s="322"/>
      <c r="JIM148" s="322"/>
      <c r="JIN148" s="322"/>
      <c r="JIO148" s="322"/>
      <c r="JIP148" s="322"/>
      <c r="JIQ148" s="322"/>
      <c r="JIR148" s="322"/>
      <c r="JIS148" s="322"/>
      <c r="JIT148" s="322"/>
      <c r="JIU148" s="322"/>
      <c r="JIV148" s="322"/>
      <c r="JIW148" s="322"/>
      <c r="JIX148" s="322"/>
      <c r="JIY148" s="322"/>
      <c r="JIZ148" s="322"/>
      <c r="JJA148" s="322"/>
      <c r="JJB148" s="322"/>
      <c r="JJC148" s="322"/>
      <c r="JJD148" s="322"/>
      <c r="JJE148" s="322"/>
      <c r="JJF148" s="322"/>
      <c r="JJG148" s="322"/>
      <c r="JJH148" s="322"/>
      <c r="JJI148" s="322"/>
      <c r="JJJ148" s="322"/>
      <c r="JJK148" s="322"/>
      <c r="JJL148" s="322"/>
      <c r="JJM148" s="322"/>
      <c r="JJN148" s="322"/>
      <c r="JJO148" s="322"/>
      <c r="JJP148" s="322"/>
      <c r="JJQ148" s="322"/>
      <c r="JJR148" s="322"/>
      <c r="JJS148" s="322"/>
      <c r="JJT148" s="322"/>
      <c r="JJU148" s="322"/>
      <c r="JJV148" s="322"/>
      <c r="JJW148" s="322"/>
      <c r="JJX148" s="322"/>
      <c r="JJY148" s="322"/>
      <c r="JJZ148" s="322"/>
      <c r="JKA148" s="322"/>
      <c r="JKB148" s="322"/>
      <c r="JKC148" s="322"/>
      <c r="JKD148" s="322"/>
      <c r="JKE148" s="322"/>
      <c r="JKF148" s="322"/>
      <c r="JKG148" s="322"/>
      <c r="JKH148" s="322"/>
      <c r="JKI148" s="322"/>
      <c r="JKJ148" s="322"/>
      <c r="JKK148" s="322"/>
      <c r="JKL148" s="322"/>
      <c r="JKM148" s="322"/>
      <c r="JKN148" s="322"/>
      <c r="JKO148" s="322"/>
      <c r="JKP148" s="322"/>
      <c r="JKQ148" s="322"/>
      <c r="JKR148" s="322"/>
      <c r="JKS148" s="322"/>
      <c r="JKT148" s="322"/>
      <c r="JKU148" s="322"/>
      <c r="JKV148" s="322"/>
      <c r="JKW148" s="322"/>
      <c r="JKX148" s="322"/>
      <c r="JKY148" s="322"/>
      <c r="JKZ148" s="322"/>
      <c r="JLA148" s="322"/>
      <c r="JLB148" s="322"/>
      <c r="JLC148" s="322"/>
      <c r="JLD148" s="322"/>
      <c r="JLE148" s="322"/>
      <c r="JLF148" s="322"/>
      <c r="JLG148" s="322"/>
      <c r="JLH148" s="322"/>
      <c r="JLI148" s="322"/>
      <c r="JLJ148" s="322"/>
      <c r="JLK148" s="322"/>
      <c r="JLL148" s="322"/>
      <c r="JLM148" s="322"/>
      <c r="JLN148" s="322"/>
      <c r="JLO148" s="322"/>
      <c r="JLP148" s="322"/>
      <c r="JLQ148" s="322"/>
      <c r="JLR148" s="322"/>
      <c r="JLS148" s="322"/>
      <c r="JLT148" s="322"/>
      <c r="JLU148" s="322"/>
      <c r="JLV148" s="322"/>
      <c r="JLW148" s="322"/>
      <c r="JLX148" s="322"/>
      <c r="JLY148" s="322"/>
      <c r="JLZ148" s="322"/>
      <c r="JMA148" s="322"/>
      <c r="JMB148" s="322"/>
      <c r="JMC148" s="322"/>
      <c r="JMD148" s="322"/>
      <c r="JME148" s="322"/>
      <c r="JMF148" s="322"/>
      <c r="JMG148" s="322"/>
      <c r="JMH148" s="322"/>
      <c r="JMI148" s="322"/>
      <c r="JMJ148" s="322"/>
      <c r="JMK148" s="322"/>
      <c r="JML148" s="322"/>
      <c r="JMM148" s="322"/>
      <c r="JMN148" s="322"/>
      <c r="JMO148" s="322"/>
      <c r="JMP148" s="322"/>
      <c r="JMQ148" s="322"/>
      <c r="JMR148" s="322"/>
      <c r="JMS148" s="322"/>
      <c r="JMT148" s="322"/>
      <c r="JMU148" s="322"/>
      <c r="JMV148" s="322"/>
      <c r="JMW148" s="322"/>
      <c r="JMX148" s="322"/>
      <c r="JMY148" s="322"/>
      <c r="JMZ148" s="322"/>
      <c r="JNA148" s="322"/>
      <c r="JNB148" s="322"/>
      <c r="JNC148" s="322"/>
      <c r="JND148" s="322"/>
      <c r="JNE148" s="322"/>
      <c r="JNF148" s="322"/>
      <c r="JNG148" s="322"/>
      <c r="JNH148" s="322"/>
      <c r="JNI148" s="322"/>
      <c r="JNJ148" s="322"/>
      <c r="JNK148" s="322"/>
      <c r="JNL148" s="322"/>
      <c r="JNM148" s="322"/>
      <c r="JNN148" s="322"/>
      <c r="JNO148" s="322"/>
      <c r="JNP148" s="322"/>
      <c r="JNQ148" s="322"/>
      <c r="JNR148" s="322"/>
      <c r="JNS148" s="322"/>
      <c r="JNT148" s="322"/>
      <c r="JNU148" s="322"/>
      <c r="JNV148" s="322"/>
      <c r="JNW148" s="322"/>
      <c r="JNX148" s="322"/>
      <c r="JNY148" s="322"/>
      <c r="JNZ148" s="322"/>
      <c r="JOA148" s="322"/>
      <c r="JOB148" s="322"/>
      <c r="JOC148" s="322"/>
      <c r="JOD148" s="322"/>
      <c r="JOE148" s="322"/>
      <c r="JOF148" s="322"/>
      <c r="JOG148" s="322"/>
      <c r="JOH148" s="322"/>
      <c r="JOI148" s="322"/>
      <c r="JOJ148" s="322"/>
      <c r="JOK148" s="322"/>
      <c r="JOL148" s="322"/>
      <c r="JOM148" s="322"/>
      <c r="JON148" s="322"/>
      <c r="JOO148" s="322"/>
      <c r="JOP148" s="322"/>
      <c r="JOQ148" s="322"/>
      <c r="JOR148" s="322"/>
      <c r="JOS148" s="322"/>
      <c r="JOT148" s="322"/>
      <c r="JOU148" s="322"/>
      <c r="JOV148" s="322"/>
      <c r="JOW148" s="322"/>
      <c r="JOX148" s="322"/>
      <c r="JOY148" s="322"/>
      <c r="JOZ148" s="322"/>
      <c r="JPA148" s="322"/>
      <c r="JPB148" s="322"/>
      <c r="JPC148" s="322"/>
      <c r="JPD148" s="322"/>
      <c r="JPE148" s="322"/>
      <c r="JPF148" s="322"/>
      <c r="JPG148" s="322"/>
      <c r="JPH148" s="322"/>
      <c r="JPI148" s="322"/>
      <c r="JPJ148" s="322"/>
      <c r="JPK148" s="322"/>
      <c r="JPL148" s="322"/>
      <c r="JPM148" s="322"/>
      <c r="JPN148" s="322"/>
      <c r="JPO148" s="322"/>
      <c r="JPP148" s="322"/>
      <c r="JPQ148" s="322"/>
      <c r="JPR148" s="322"/>
      <c r="JPS148" s="322"/>
      <c r="JPT148" s="322"/>
      <c r="JPU148" s="322"/>
      <c r="JPV148" s="322"/>
      <c r="JPW148" s="322"/>
      <c r="JPX148" s="322"/>
      <c r="JPY148" s="322"/>
      <c r="JPZ148" s="322"/>
      <c r="JQA148" s="322"/>
      <c r="JQB148" s="322"/>
      <c r="JQC148" s="322"/>
      <c r="JQD148" s="322"/>
      <c r="JQE148" s="322"/>
      <c r="JQF148" s="322"/>
      <c r="JQG148" s="322"/>
      <c r="JQH148" s="322"/>
      <c r="JQI148" s="322"/>
      <c r="JQJ148" s="322"/>
      <c r="JQK148" s="322"/>
      <c r="JQL148" s="322"/>
      <c r="JQM148" s="322"/>
      <c r="JQN148" s="322"/>
      <c r="JQO148" s="322"/>
      <c r="JQP148" s="322"/>
      <c r="JQQ148" s="322"/>
      <c r="JQR148" s="322"/>
      <c r="JQS148" s="322"/>
      <c r="JQT148" s="322"/>
      <c r="JQU148" s="322"/>
      <c r="JQV148" s="322"/>
      <c r="JQW148" s="322"/>
      <c r="JQX148" s="322"/>
      <c r="JQY148" s="322"/>
      <c r="JQZ148" s="322"/>
      <c r="JRA148" s="322"/>
      <c r="JRB148" s="322"/>
      <c r="JRC148" s="322"/>
      <c r="JRD148" s="322"/>
      <c r="JRE148" s="322"/>
      <c r="JRF148" s="322"/>
      <c r="JRG148" s="322"/>
      <c r="JRH148" s="322"/>
      <c r="JRI148" s="322"/>
      <c r="JRJ148" s="322"/>
      <c r="JRK148" s="322"/>
      <c r="JRL148" s="322"/>
      <c r="JRM148" s="322"/>
      <c r="JRN148" s="322"/>
      <c r="JRO148" s="322"/>
      <c r="JRP148" s="322"/>
      <c r="JRQ148" s="322"/>
      <c r="JRR148" s="322"/>
      <c r="JRS148" s="322"/>
      <c r="JRT148" s="322"/>
      <c r="JRU148" s="322"/>
      <c r="JRV148" s="322"/>
      <c r="JRW148" s="322"/>
      <c r="JRX148" s="322"/>
      <c r="JRY148" s="322"/>
      <c r="JRZ148" s="322"/>
      <c r="JSA148" s="322"/>
      <c r="JSB148" s="322"/>
      <c r="JSC148" s="322"/>
      <c r="JSD148" s="322"/>
      <c r="JSE148" s="322"/>
      <c r="JSF148" s="322"/>
      <c r="JSG148" s="322"/>
      <c r="JSH148" s="322"/>
      <c r="JSI148" s="322"/>
      <c r="JSJ148" s="322"/>
      <c r="JSK148" s="322"/>
      <c r="JSL148" s="322"/>
      <c r="JSM148" s="322"/>
      <c r="JSN148" s="322"/>
      <c r="JSO148" s="322"/>
      <c r="JSP148" s="322"/>
      <c r="JSQ148" s="322"/>
      <c r="JSR148" s="322"/>
      <c r="JSS148" s="322"/>
      <c r="JST148" s="322"/>
      <c r="JSU148" s="322"/>
      <c r="JSV148" s="322"/>
      <c r="JSW148" s="322"/>
      <c r="JSX148" s="322"/>
      <c r="JSY148" s="322"/>
      <c r="JSZ148" s="322"/>
      <c r="JTA148" s="322"/>
      <c r="JTB148" s="322"/>
      <c r="JTC148" s="322"/>
      <c r="JTD148" s="322"/>
      <c r="JTE148" s="322"/>
      <c r="JTF148" s="322"/>
      <c r="JTG148" s="322"/>
      <c r="JTH148" s="322"/>
      <c r="JTI148" s="322"/>
      <c r="JTJ148" s="322"/>
      <c r="JTK148" s="322"/>
      <c r="JTL148" s="322"/>
      <c r="JTM148" s="322"/>
      <c r="JTN148" s="322"/>
      <c r="JTO148" s="322"/>
      <c r="JTP148" s="322"/>
      <c r="JTQ148" s="322"/>
      <c r="JTR148" s="322"/>
      <c r="JTS148" s="322"/>
      <c r="JTT148" s="322"/>
      <c r="JTU148" s="322"/>
      <c r="JTV148" s="322"/>
      <c r="JTW148" s="322"/>
      <c r="JTX148" s="322"/>
      <c r="JTY148" s="322"/>
      <c r="JTZ148" s="322"/>
      <c r="JUA148" s="322"/>
      <c r="JUB148" s="322"/>
      <c r="JUC148" s="322"/>
      <c r="JUD148" s="322"/>
      <c r="JUE148" s="322"/>
      <c r="JUF148" s="322"/>
      <c r="JUG148" s="322"/>
      <c r="JUH148" s="322"/>
      <c r="JUI148" s="322"/>
      <c r="JUJ148" s="322"/>
      <c r="JUK148" s="322"/>
      <c r="JUL148" s="322"/>
      <c r="JUM148" s="322"/>
      <c r="JUN148" s="322"/>
      <c r="JUO148" s="322"/>
      <c r="JUP148" s="322"/>
      <c r="JUQ148" s="322"/>
      <c r="JUR148" s="322"/>
      <c r="JUS148" s="322"/>
      <c r="JUT148" s="322"/>
      <c r="JUU148" s="322"/>
      <c r="JUV148" s="322"/>
      <c r="JUW148" s="322"/>
      <c r="JUX148" s="322"/>
      <c r="JUY148" s="322"/>
      <c r="JUZ148" s="322"/>
      <c r="JVA148" s="322"/>
      <c r="JVB148" s="322"/>
      <c r="JVC148" s="322"/>
      <c r="JVD148" s="322"/>
      <c r="JVE148" s="322"/>
      <c r="JVF148" s="322"/>
      <c r="JVG148" s="322"/>
      <c r="JVH148" s="322"/>
      <c r="JVI148" s="322"/>
      <c r="JVJ148" s="322"/>
      <c r="JVK148" s="322"/>
      <c r="JVL148" s="322"/>
      <c r="JVM148" s="322"/>
      <c r="JVN148" s="322"/>
      <c r="JVO148" s="322"/>
      <c r="JVP148" s="322"/>
      <c r="JVQ148" s="322"/>
      <c r="JVR148" s="322"/>
      <c r="JVS148" s="322"/>
      <c r="JVT148" s="322"/>
      <c r="JVU148" s="322"/>
      <c r="JVV148" s="322"/>
      <c r="JVW148" s="322"/>
      <c r="JVX148" s="322"/>
      <c r="JVY148" s="322"/>
      <c r="JVZ148" s="322"/>
      <c r="JWA148" s="322"/>
      <c r="JWB148" s="322"/>
      <c r="JWC148" s="322"/>
      <c r="JWD148" s="322"/>
      <c r="JWE148" s="322"/>
      <c r="JWF148" s="322"/>
      <c r="JWG148" s="322"/>
      <c r="JWH148" s="322"/>
      <c r="JWI148" s="322"/>
      <c r="JWJ148" s="322"/>
      <c r="JWK148" s="322"/>
      <c r="JWL148" s="322"/>
      <c r="JWM148" s="322"/>
      <c r="JWN148" s="322"/>
      <c r="JWO148" s="322"/>
      <c r="JWP148" s="322"/>
      <c r="JWQ148" s="322"/>
      <c r="JWR148" s="322"/>
      <c r="JWS148" s="322"/>
      <c r="JWT148" s="322"/>
      <c r="JWU148" s="322"/>
      <c r="JWV148" s="322"/>
      <c r="JWW148" s="322"/>
      <c r="JWX148" s="322"/>
      <c r="JWY148" s="322"/>
      <c r="JWZ148" s="322"/>
      <c r="JXA148" s="322"/>
      <c r="JXB148" s="322"/>
      <c r="JXC148" s="322"/>
      <c r="JXD148" s="322"/>
      <c r="JXE148" s="322"/>
      <c r="JXF148" s="322"/>
      <c r="JXG148" s="322"/>
      <c r="JXH148" s="322"/>
      <c r="JXI148" s="322"/>
      <c r="JXJ148" s="322"/>
      <c r="JXK148" s="322"/>
      <c r="JXL148" s="322"/>
      <c r="JXM148" s="322"/>
      <c r="JXN148" s="322"/>
      <c r="JXO148" s="322"/>
      <c r="JXP148" s="322"/>
      <c r="JXQ148" s="322"/>
      <c r="JXR148" s="322"/>
      <c r="JXS148" s="322"/>
      <c r="JXT148" s="322"/>
      <c r="JXU148" s="322"/>
      <c r="JXV148" s="322"/>
      <c r="JXW148" s="322"/>
      <c r="JXX148" s="322"/>
      <c r="JXY148" s="322"/>
      <c r="JXZ148" s="322"/>
      <c r="JYA148" s="322"/>
      <c r="JYB148" s="322"/>
      <c r="JYC148" s="322"/>
      <c r="JYD148" s="322"/>
      <c r="JYE148" s="322"/>
      <c r="JYF148" s="322"/>
      <c r="JYG148" s="322"/>
      <c r="JYH148" s="322"/>
      <c r="JYI148" s="322"/>
      <c r="JYJ148" s="322"/>
      <c r="JYK148" s="322"/>
      <c r="JYL148" s="322"/>
      <c r="JYM148" s="322"/>
      <c r="JYN148" s="322"/>
      <c r="JYO148" s="322"/>
      <c r="JYP148" s="322"/>
      <c r="JYQ148" s="322"/>
      <c r="JYR148" s="322"/>
      <c r="JYS148" s="322"/>
      <c r="JYT148" s="322"/>
      <c r="JYU148" s="322"/>
      <c r="JYV148" s="322"/>
      <c r="JYW148" s="322"/>
      <c r="JYX148" s="322"/>
      <c r="JYY148" s="322"/>
      <c r="JYZ148" s="322"/>
      <c r="JZA148" s="322"/>
      <c r="JZB148" s="322"/>
      <c r="JZC148" s="322"/>
      <c r="JZD148" s="322"/>
      <c r="JZE148" s="322"/>
      <c r="JZF148" s="322"/>
      <c r="JZG148" s="322"/>
      <c r="JZH148" s="322"/>
      <c r="JZI148" s="322"/>
      <c r="JZJ148" s="322"/>
      <c r="JZK148" s="322"/>
      <c r="JZL148" s="322"/>
      <c r="JZM148" s="322"/>
      <c r="JZN148" s="322"/>
      <c r="JZO148" s="322"/>
      <c r="JZP148" s="322"/>
      <c r="JZQ148" s="322"/>
      <c r="JZR148" s="322"/>
      <c r="JZS148" s="322"/>
      <c r="JZT148" s="322"/>
      <c r="JZU148" s="322"/>
      <c r="JZV148" s="322"/>
      <c r="JZW148" s="322"/>
      <c r="JZX148" s="322"/>
      <c r="JZY148" s="322"/>
      <c r="JZZ148" s="322"/>
      <c r="KAA148" s="322"/>
      <c r="KAB148" s="322"/>
      <c r="KAC148" s="322"/>
      <c r="KAD148" s="322"/>
      <c r="KAE148" s="322"/>
      <c r="KAF148" s="322"/>
      <c r="KAG148" s="322"/>
      <c r="KAH148" s="322"/>
      <c r="KAI148" s="322"/>
      <c r="KAJ148" s="322"/>
      <c r="KAK148" s="322"/>
      <c r="KAL148" s="322"/>
      <c r="KAM148" s="322"/>
      <c r="KAN148" s="322"/>
      <c r="KAO148" s="322"/>
      <c r="KAP148" s="322"/>
      <c r="KAQ148" s="322"/>
      <c r="KAR148" s="322"/>
      <c r="KAS148" s="322"/>
      <c r="KAT148" s="322"/>
      <c r="KAU148" s="322"/>
      <c r="KAV148" s="322"/>
      <c r="KAW148" s="322"/>
      <c r="KAX148" s="322"/>
      <c r="KAY148" s="322"/>
      <c r="KAZ148" s="322"/>
      <c r="KBA148" s="322"/>
      <c r="KBB148" s="322"/>
      <c r="KBC148" s="322"/>
      <c r="KBD148" s="322"/>
      <c r="KBE148" s="322"/>
      <c r="KBF148" s="322"/>
      <c r="KBG148" s="322"/>
      <c r="KBH148" s="322"/>
      <c r="KBI148" s="322"/>
      <c r="KBJ148" s="322"/>
      <c r="KBK148" s="322"/>
      <c r="KBL148" s="322"/>
      <c r="KBM148" s="322"/>
      <c r="KBN148" s="322"/>
      <c r="KBO148" s="322"/>
      <c r="KBP148" s="322"/>
      <c r="KBQ148" s="322"/>
      <c r="KBR148" s="322"/>
      <c r="KBS148" s="322"/>
      <c r="KBT148" s="322"/>
      <c r="KBU148" s="322"/>
      <c r="KBV148" s="322"/>
      <c r="KBW148" s="322"/>
      <c r="KBX148" s="322"/>
      <c r="KBY148" s="322"/>
      <c r="KBZ148" s="322"/>
      <c r="KCA148" s="322"/>
      <c r="KCB148" s="322"/>
      <c r="KCC148" s="322"/>
      <c r="KCD148" s="322"/>
      <c r="KCE148" s="322"/>
      <c r="KCF148" s="322"/>
      <c r="KCG148" s="322"/>
      <c r="KCH148" s="322"/>
      <c r="KCI148" s="322"/>
      <c r="KCJ148" s="322"/>
      <c r="KCK148" s="322"/>
      <c r="KCL148" s="322"/>
      <c r="KCM148" s="322"/>
      <c r="KCN148" s="322"/>
      <c r="KCO148" s="322"/>
      <c r="KCP148" s="322"/>
      <c r="KCQ148" s="322"/>
      <c r="KCR148" s="322"/>
      <c r="KCS148" s="322"/>
      <c r="KCT148" s="322"/>
      <c r="KCU148" s="322"/>
      <c r="KCV148" s="322"/>
      <c r="KCW148" s="322"/>
      <c r="KCX148" s="322"/>
      <c r="KCY148" s="322"/>
      <c r="KCZ148" s="322"/>
      <c r="KDA148" s="322"/>
      <c r="KDB148" s="322"/>
      <c r="KDC148" s="322"/>
      <c r="KDD148" s="322"/>
      <c r="KDE148" s="322"/>
      <c r="KDF148" s="322"/>
      <c r="KDG148" s="322"/>
      <c r="KDH148" s="322"/>
      <c r="KDI148" s="322"/>
      <c r="KDJ148" s="322"/>
      <c r="KDK148" s="322"/>
      <c r="KDL148" s="322"/>
      <c r="KDM148" s="322"/>
      <c r="KDN148" s="322"/>
      <c r="KDO148" s="322"/>
      <c r="KDP148" s="322"/>
      <c r="KDQ148" s="322"/>
      <c r="KDR148" s="322"/>
      <c r="KDS148" s="322"/>
      <c r="KDT148" s="322"/>
      <c r="KDU148" s="322"/>
      <c r="KDV148" s="322"/>
      <c r="KDW148" s="322"/>
      <c r="KDX148" s="322"/>
      <c r="KDY148" s="322"/>
      <c r="KDZ148" s="322"/>
      <c r="KEA148" s="322"/>
      <c r="KEB148" s="322"/>
      <c r="KEC148" s="322"/>
      <c r="KED148" s="322"/>
      <c r="KEE148" s="322"/>
      <c r="KEF148" s="322"/>
      <c r="KEG148" s="322"/>
      <c r="KEH148" s="322"/>
      <c r="KEI148" s="322"/>
      <c r="KEJ148" s="322"/>
      <c r="KEK148" s="322"/>
      <c r="KEL148" s="322"/>
      <c r="KEM148" s="322"/>
      <c r="KEN148" s="322"/>
      <c r="KEO148" s="322"/>
      <c r="KEP148" s="322"/>
      <c r="KEQ148" s="322"/>
      <c r="KER148" s="322"/>
      <c r="KES148" s="322"/>
      <c r="KET148" s="322"/>
      <c r="KEU148" s="322"/>
      <c r="KEV148" s="322"/>
      <c r="KEW148" s="322"/>
      <c r="KEX148" s="322"/>
      <c r="KEY148" s="322"/>
      <c r="KEZ148" s="322"/>
      <c r="KFA148" s="322"/>
      <c r="KFB148" s="322"/>
      <c r="KFC148" s="322"/>
      <c r="KFD148" s="322"/>
      <c r="KFE148" s="322"/>
      <c r="KFF148" s="322"/>
      <c r="KFG148" s="322"/>
      <c r="KFH148" s="322"/>
      <c r="KFI148" s="322"/>
      <c r="KFJ148" s="322"/>
      <c r="KFK148" s="322"/>
      <c r="KFL148" s="322"/>
      <c r="KFM148" s="322"/>
      <c r="KFN148" s="322"/>
      <c r="KFO148" s="322"/>
      <c r="KFP148" s="322"/>
      <c r="KFQ148" s="322"/>
      <c r="KFR148" s="322"/>
      <c r="KFS148" s="322"/>
      <c r="KFT148" s="322"/>
      <c r="KFU148" s="322"/>
      <c r="KFV148" s="322"/>
      <c r="KFW148" s="322"/>
      <c r="KFX148" s="322"/>
      <c r="KFY148" s="322"/>
      <c r="KFZ148" s="322"/>
      <c r="KGA148" s="322"/>
      <c r="KGB148" s="322"/>
      <c r="KGC148" s="322"/>
      <c r="KGD148" s="322"/>
      <c r="KGE148" s="322"/>
      <c r="KGF148" s="322"/>
      <c r="KGG148" s="322"/>
      <c r="KGH148" s="322"/>
      <c r="KGI148" s="322"/>
      <c r="KGJ148" s="322"/>
      <c r="KGK148" s="322"/>
      <c r="KGL148" s="322"/>
      <c r="KGM148" s="322"/>
      <c r="KGN148" s="322"/>
      <c r="KGO148" s="322"/>
      <c r="KGP148" s="322"/>
      <c r="KGQ148" s="322"/>
      <c r="KGR148" s="322"/>
      <c r="KGS148" s="322"/>
      <c r="KGT148" s="322"/>
      <c r="KGU148" s="322"/>
      <c r="KGV148" s="322"/>
      <c r="KGW148" s="322"/>
      <c r="KGX148" s="322"/>
      <c r="KGY148" s="322"/>
      <c r="KGZ148" s="322"/>
      <c r="KHA148" s="322"/>
      <c r="KHB148" s="322"/>
      <c r="KHC148" s="322"/>
      <c r="KHD148" s="322"/>
      <c r="KHE148" s="322"/>
      <c r="KHF148" s="322"/>
      <c r="KHG148" s="322"/>
      <c r="KHH148" s="322"/>
      <c r="KHI148" s="322"/>
      <c r="KHJ148" s="322"/>
      <c r="KHK148" s="322"/>
      <c r="KHL148" s="322"/>
      <c r="KHM148" s="322"/>
      <c r="KHN148" s="322"/>
      <c r="KHO148" s="322"/>
      <c r="KHP148" s="322"/>
      <c r="KHQ148" s="322"/>
      <c r="KHR148" s="322"/>
      <c r="KHS148" s="322"/>
      <c r="KHT148" s="322"/>
      <c r="KHU148" s="322"/>
      <c r="KHV148" s="322"/>
      <c r="KHW148" s="322"/>
      <c r="KHX148" s="322"/>
      <c r="KHY148" s="322"/>
      <c r="KHZ148" s="322"/>
      <c r="KIA148" s="322"/>
      <c r="KIB148" s="322"/>
      <c r="KIC148" s="322"/>
      <c r="KID148" s="322"/>
      <c r="KIE148" s="322"/>
      <c r="KIF148" s="322"/>
      <c r="KIG148" s="322"/>
      <c r="KIH148" s="322"/>
      <c r="KII148" s="322"/>
      <c r="KIJ148" s="322"/>
      <c r="KIK148" s="322"/>
      <c r="KIL148" s="322"/>
      <c r="KIM148" s="322"/>
      <c r="KIN148" s="322"/>
      <c r="KIO148" s="322"/>
      <c r="KIP148" s="322"/>
      <c r="KIQ148" s="322"/>
      <c r="KIR148" s="322"/>
      <c r="KIS148" s="322"/>
      <c r="KIT148" s="322"/>
      <c r="KIU148" s="322"/>
      <c r="KIV148" s="322"/>
      <c r="KIW148" s="322"/>
      <c r="KIX148" s="322"/>
      <c r="KIY148" s="322"/>
      <c r="KIZ148" s="322"/>
      <c r="KJA148" s="322"/>
      <c r="KJB148" s="322"/>
      <c r="KJC148" s="322"/>
      <c r="KJD148" s="322"/>
      <c r="KJE148" s="322"/>
      <c r="KJF148" s="322"/>
      <c r="KJG148" s="322"/>
      <c r="KJH148" s="322"/>
      <c r="KJI148" s="322"/>
      <c r="KJJ148" s="322"/>
      <c r="KJK148" s="322"/>
      <c r="KJL148" s="322"/>
      <c r="KJM148" s="322"/>
      <c r="KJN148" s="322"/>
      <c r="KJO148" s="322"/>
      <c r="KJP148" s="322"/>
      <c r="KJQ148" s="322"/>
      <c r="KJR148" s="322"/>
      <c r="KJS148" s="322"/>
      <c r="KJT148" s="322"/>
      <c r="KJU148" s="322"/>
      <c r="KJV148" s="322"/>
      <c r="KJW148" s="322"/>
      <c r="KJX148" s="322"/>
      <c r="KJY148" s="322"/>
      <c r="KJZ148" s="322"/>
      <c r="KKA148" s="322"/>
      <c r="KKB148" s="322"/>
      <c r="KKC148" s="322"/>
      <c r="KKD148" s="322"/>
      <c r="KKE148" s="322"/>
      <c r="KKF148" s="322"/>
      <c r="KKG148" s="322"/>
      <c r="KKH148" s="322"/>
      <c r="KKI148" s="322"/>
      <c r="KKJ148" s="322"/>
      <c r="KKK148" s="322"/>
      <c r="KKL148" s="322"/>
      <c r="KKM148" s="322"/>
      <c r="KKN148" s="322"/>
      <c r="KKO148" s="322"/>
      <c r="KKP148" s="322"/>
      <c r="KKQ148" s="322"/>
      <c r="KKR148" s="322"/>
      <c r="KKS148" s="322"/>
      <c r="KKT148" s="322"/>
      <c r="KKU148" s="322"/>
      <c r="KKV148" s="322"/>
      <c r="KKW148" s="322"/>
      <c r="KKX148" s="322"/>
      <c r="KKY148" s="322"/>
      <c r="KKZ148" s="322"/>
      <c r="KLA148" s="322"/>
      <c r="KLB148" s="322"/>
      <c r="KLC148" s="322"/>
      <c r="KLD148" s="322"/>
      <c r="KLE148" s="322"/>
      <c r="KLF148" s="322"/>
      <c r="KLG148" s="322"/>
      <c r="KLH148" s="322"/>
      <c r="KLI148" s="322"/>
      <c r="KLJ148" s="322"/>
      <c r="KLK148" s="322"/>
      <c r="KLL148" s="322"/>
      <c r="KLM148" s="322"/>
      <c r="KLN148" s="322"/>
      <c r="KLO148" s="322"/>
      <c r="KLP148" s="322"/>
      <c r="KLQ148" s="322"/>
      <c r="KLR148" s="322"/>
      <c r="KLS148" s="322"/>
      <c r="KLT148" s="322"/>
      <c r="KLU148" s="322"/>
      <c r="KLV148" s="322"/>
      <c r="KLW148" s="322"/>
      <c r="KLX148" s="322"/>
      <c r="KLY148" s="322"/>
      <c r="KLZ148" s="322"/>
      <c r="KMA148" s="322"/>
      <c r="KMB148" s="322"/>
      <c r="KMC148" s="322"/>
      <c r="KMD148" s="322"/>
      <c r="KME148" s="322"/>
      <c r="KMF148" s="322"/>
      <c r="KMG148" s="322"/>
      <c r="KMH148" s="322"/>
      <c r="KMI148" s="322"/>
      <c r="KMJ148" s="322"/>
      <c r="KMK148" s="322"/>
      <c r="KML148" s="322"/>
      <c r="KMM148" s="322"/>
      <c r="KMN148" s="322"/>
      <c r="KMO148" s="322"/>
      <c r="KMP148" s="322"/>
      <c r="KMQ148" s="322"/>
      <c r="KMR148" s="322"/>
      <c r="KMS148" s="322"/>
      <c r="KMT148" s="322"/>
      <c r="KMU148" s="322"/>
      <c r="KMV148" s="322"/>
      <c r="KMW148" s="322"/>
      <c r="KMX148" s="322"/>
      <c r="KMY148" s="322"/>
      <c r="KMZ148" s="322"/>
      <c r="KNA148" s="322"/>
      <c r="KNB148" s="322"/>
      <c r="KNC148" s="322"/>
      <c r="KND148" s="322"/>
      <c r="KNE148" s="322"/>
      <c r="KNF148" s="322"/>
      <c r="KNG148" s="322"/>
      <c r="KNH148" s="322"/>
      <c r="KNI148" s="322"/>
      <c r="KNJ148" s="322"/>
      <c r="KNK148" s="322"/>
      <c r="KNL148" s="322"/>
      <c r="KNM148" s="322"/>
      <c r="KNN148" s="322"/>
      <c r="KNO148" s="322"/>
      <c r="KNP148" s="322"/>
      <c r="KNQ148" s="322"/>
      <c r="KNR148" s="322"/>
      <c r="KNS148" s="322"/>
      <c r="KNT148" s="322"/>
      <c r="KNU148" s="322"/>
      <c r="KNV148" s="322"/>
      <c r="KNW148" s="322"/>
      <c r="KNX148" s="322"/>
      <c r="KNY148" s="322"/>
      <c r="KNZ148" s="322"/>
      <c r="KOA148" s="322"/>
      <c r="KOB148" s="322"/>
      <c r="KOC148" s="322"/>
      <c r="KOD148" s="322"/>
      <c r="KOE148" s="322"/>
      <c r="KOF148" s="322"/>
      <c r="KOG148" s="322"/>
      <c r="KOH148" s="322"/>
      <c r="KOI148" s="322"/>
      <c r="KOJ148" s="322"/>
      <c r="KOK148" s="322"/>
      <c r="KOL148" s="322"/>
      <c r="KOM148" s="322"/>
      <c r="KON148" s="322"/>
      <c r="KOO148" s="322"/>
      <c r="KOP148" s="322"/>
      <c r="KOQ148" s="322"/>
      <c r="KOR148" s="322"/>
      <c r="KOS148" s="322"/>
      <c r="KOT148" s="322"/>
      <c r="KOU148" s="322"/>
      <c r="KOV148" s="322"/>
      <c r="KOW148" s="322"/>
      <c r="KOX148" s="322"/>
      <c r="KOY148" s="322"/>
      <c r="KOZ148" s="322"/>
      <c r="KPA148" s="322"/>
      <c r="KPB148" s="322"/>
      <c r="KPC148" s="322"/>
      <c r="KPD148" s="322"/>
      <c r="KPE148" s="322"/>
      <c r="KPF148" s="322"/>
      <c r="KPG148" s="322"/>
      <c r="KPH148" s="322"/>
      <c r="KPI148" s="322"/>
      <c r="KPJ148" s="322"/>
      <c r="KPK148" s="322"/>
      <c r="KPL148" s="322"/>
      <c r="KPM148" s="322"/>
      <c r="KPN148" s="322"/>
      <c r="KPO148" s="322"/>
      <c r="KPP148" s="322"/>
      <c r="KPQ148" s="322"/>
      <c r="KPR148" s="322"/>
      <c r="KPS148" s="322"/>
      <c r="KPT148" s="322"/>
      <c r="KPU148" s="322"/>
      <c r="KPV148" s="322"/>
      <c r="KPW148" s="322"/>
      <c r="KPX148" s="322"/>
      <c r="KPY148" s="322"/>
      <c r="KPZ148" s="322"/>
      <c r="KQA148" s="322"/>
      <c r="KQB148" s="322"/>
      <c r="KQC148" s="322"/>
      <c r="KQD148" s="322"/>
      <c r="KQE148" s="322"/>
      <c r="KQF148" s="322"/>
      <c r="KQG148" s="322"/>
      <c r="KQH148" s="322"/>
      <c r="KQI148" s="322"/>
      <c r="KQJ148" s="322"/>
      <c r="KQK148" s="322"/>
      <c r="KQL148" s="322"/>
      <c r="KQM148" s="322"/>
      <c r="KQN148" s="322"/>
      <c r="KQO148" s="322"/>
      <c r="KQP148" s="322"/>
      <c r="KQQ148" s="322"/>
      <c r="KQR148" s="322"/>
      <c r="KQS148" s="322"/>
      <c r="KQT148" s="322"/>
      <c r="KQU148" s="322"/>
      <c r="KQV148" s="322"/>
      <c r="KQW148" s="322"/>
      <c r="KQX148" s="322"/>
      <c r="KQY148" s="322"/>
      <c r="KQZ148" s="322"/>
      <c r="KRA148" s="322"/>
      <c r="KRB148" s="322"/>
      <c r="KRC148" s="322"/>
      <c r="KRD148" s="322"/>
      <c r="KRE148" s="322"/>
      <c r="KRF148" s="322"/>
      <c r="KRG148" s="322"/>
      <c r="KRH148" s="322"/>
      <c r="KRI148" s="322"/>
      <c r="KRJ148" s="322"/>
      <c r="KRK148" s="322"/>
      <c r="KRL148" s="322"/>
      <c r="KRM148" s="322"/>
      <c r="KRN148" s="322"/>
      <c r="KRO148" s="322"/>
      <c r="KRP148" s="322"/>
      <c r="KRQ148" s="322"/>
      <c r="KRR148" s="322"/>
      <c r="KRS148" s="322"/>
      <c r="KRT148" s="322"/>
      <c r="KRU148" s="322"/>
      <c r="KRV148" s="322"/>
      <c r="KRW148" s="322"/>
      <c r="KRX148" s="322"/>
      <c r="KRY148" s="322"/>
      <c r="KRZ148" s="322"/>
      <c r="KSA148" s="322"/>
      <c r="KSB148" s="322"/>
      <c r="KSC148" s="322"/>
      <c r="KSD148" s="322"/>
      <c r="KSE148" s="322"/>
      <c r="KSF148" s="322"/>
      <c r="KSG148" s="322"/>
      <c r="KSH148" s="322"/>
      <c r="KSI148" s="322"/>
      <c r="KSJ148" s="322"/>
      <c r="KSK148" s="322"/>
      <c r="KSL148" s="322"/>
      <c r="KSM148" s="322"/>
      <c r="KSN148" s="322"/>
      <c r="KSO148" s="322"/>
      <c r="KSP148" s="322"/>
      <c r="KSQ148" s="322"/>
      <c r="KSR148" s="322"/>
      <c r="KSS148" s="322"/>
      <c r="KST148" s="322"/>
      <c r="KSU148" s="322"/>
      <c r="KSV148" s="322"/>
      <c r="KSW148" s="322"/>
      <c r="KSX148" s="322"/>
      <c r="KSY148" s="322"/>
      <c r="KSZ148" s="322"/>
      <c r="KTA148" s="322"/>
      <c r="KTB148" s="322"/>
      <c r="KTC148" s="322"/>
      <c r="KTD148" s="322"/>
      <c r="KTE148" s="322"/>
      <c r="KTF148" s="322"/>
      <c r="KTG148" s="322"/>
      <c r="KTH148" s="322"/>
      <c r="KTI148" s="322"/>
      <c r="KTJ148" s="322"/>
      <c r="KTK148" s="322"/>
      <c r="KTL148" s="322"/>
      <c r="KTM148" s="322"/>
      <c r="KTN148" s="322"/>
      <c r="KTO148" s="322"/>
      <c r="KTP148" s="322"/>
      <c r="KTQ148" s="322"/>
      <c r="KTR148" s="322"/>
      <c r="KTS148" s="322"/>
      <c r="KTT148" s="322"/>
      <c r="KTU148" s="322"/>
      <c r="KTV148" s="322"/>
      <c r="KTW148" s="322"/>
      <c r="KTX148" s="322"/>
      <c r="KTY148" s="322"/>
      <c r="KTZ148" s="322"/>
      <c r="KUA148" s="322"/>
      <c r="KUB148" s="322"/>
      <c r="KUC148" s="322"/>
      <c r="KUD148" s="322"/>
      <c r="KUE148" s="322"/>
      <c r="KUF148" s="322"/>
      <c r="KUG148" s="322"/>
      <c r="KUH148" s="322"/>
      <c r="KUI148" s="322"/>
      <c r="KUJ148" s="322"/>
      <c r="KUK148" s="322"/>
      <c r="KUL148" s="322"/>
      <c r="KUM148" s="322"/>
      <c r="KUN148" s="322"/>
      <c r="KUO148" s="322"/>
      <c r="KUP148" s="322"/>
      <c r="KUQ148" s="322"/>
      <c r="KUR148" s="322"/>
      <c r="KUS148" s="322"/>
      <c r="KUT148" s="322"/>
      <c r="KUU148" s="322"/>
      <c r="KUV148" s="322"/>
      <c r="KUW148" s="322"/>
      <c r="KUX148" s="322"/>
      <c r="KUY148" s="322"/>
      <c r="KUZ148" s="322"/>
      <c r="KVA148" s="322"/>
      <c r="KVB148" s="322"/>
      <c r="KVC148" s="322"/>
      <c r="KVD148" s="322"/>
      <c r="KVE148" s="322"/>
      <c r="KVF148" s="322"/>
      <c r="KVG148" s="322"/>
      <c r="KVH148" s="322"/>
      <c r="KVI148" s="322"/>
      <c r="KVJ148" s="322"/>
      <c r="KVK148" s="322"/>
      <c r="KVL148" s="322"/>
      <c r="KVM148" s="322"/>
      <c r="KVN148" s="322"/>
      <c r="KVO148" s="322"/>
      <c r="KVP148" s="322"/>
      <c r="KVQ148" s="322"/>
      <c r="KVR148" s="322"/>
      <c r="KVS148" s="322"/>
      <c r="KVT148" s="322"/>
      <c r="KVU148" s="322"/>
      <c r="KVV148" s="322"/>
      <c r="KVW148" s="322"/>
      <c r="KVX148" s="322"/>
      <c r="KVY148" s="322"/>
      <c r="KVZ148" s="322"/>
      <c r="KWA148" s="322"/>
      <c r="KWB148" s="322"/>
      <c r="KWC148" s="322"/>
      <c r="KWD148" s="322"/>
      <c r="KWE148" s="322"/>
      <c r="KWF148" s="322"/>
      <c r="KWG148" s="322"/>
      <c r="KWH148" s="322"/>
      <c r="KWI148" s="322"/>
      <c r="KWJ148" s="322"/>
      <c r="KWK148" s="322"/>
      <c r="KWL148" s="322"/>
      <c r="KWM148" s="322"/>
      <c r="KWN148" s="322"/>
      <c r="KWO148" s="322"/>
      <c r="KWP148" s="322"/>
      <c r="KWQ148" s="322"/>
      <c r="KWR148" s="322"/>
      <c r="KWS148" s="322"/>
      <c r="KWT148" s="322"/>
      <c r="KWU148" s="322"/>
      <c r="KWV148" s="322"/>
      <c r="KWW148" s="322"/>
      <c r="KWX148" s="322"/>
      <c r="KWY148" s="322"/>
      <c r="KWZ148" s="322"/>
      <c r="KXA148" s="322"/>
      <c r="KXB148" s="322"/>
      <c r="KXC148" s="322"/>
      <c r="KXD148" s="322"/>
      <c r="KXE148" s="322"/>
      <c r="KXF148" s="322"/>
      <c r="KXG148" s="322"/>
      <c r="KXH148" s="322"/>
      <c r="KXI148" s="322"/>
      <c r="KXJ148" s="322"/>
      <c r="KXK148" s="322"/>
      <c r="KXL148" s="322"/>
      <c r="KXM148" s="322"/>
      <c r="KXN148" s="322"/>
      <c r="KXO148" s="322"/>
      <c r="KXP148" s="322"/>
      <c r="KXQ148" s="322"/>
      <c r="KXR148" s="322"/>
      <c r="KXS148" s="322"/>
      <c r="KXT148" s="322"/>
      <c r="KXU148" s="322"/>
      <c r="KXV148" s="322"/>
      <c r="KXW148" s="322"/>
      <c r="KXX148" s="322"/>
      <c r="KXY148" s="322"/>
      <c r="KXZ148" s="322"/>
      <c r="KYA148" s="322"/>
      <c r="KYB148" s="322"/>
      <c r="KYC148" s="322"/>
      <c r="KYD148" s="322"/>
      <c r="KYE148" s="322"/>
      <c r="KYF148" s="322"/>
      <c r="KYG148" s="322"/>
      <c r="KYH148" s="322"/>
      <c r="KYI148" s="322"/>
      <c r="KYJ148" s="322"/>
      <c r="KYK148" s="322"/>
      <c r="KYL148" s="322"/>
      <c r="KYM148" s="322"/>
      <c r="KYN148" s="322"/>
      <c r="KYO148" s="322"/>
      <c r="KYP148" s="322"/>
      <c r="KYQ148" s="322"/>
      <c r="KYR148" s="322"/>
      <c r="KYS148" s="322"/>
      <c r="KYT148" s="322"/>
      <c r="KYU148" s="322"/>
      <c r="KYV148" s="322"/>
      <c r="KYW148" s="322"/>
      <c r="KYX148" s="322"/>
      <c r="KYY148" s="322"/>
      <c r="KYZ148" s="322"/>
      <c r="KZA148" s="322"/>
      <c r="KZB148" s="322"/>
      <c r="KZC148" s="322"/>
      <c r="KZD148" s="322"/>
      <c r="KZE148" s="322"/>
      <c r="KZF148" s="322"/>
      <c r="KZG148" s="322"/>
      <c r="KZH148" s="322"/>
      <c r="KZI148" s="322"/>
      <c r="KZJ148" s="322"/>
      <c r="KZK148" s="322"/>
      <c r="KZL148" s="322"/>
      <c r="KZM148" s="322"/>
      <c r="KZN148" s="322"/>
      <c r="KZO148" s="322"/>
      <c r="KZP148" s="322"/>
      <c r="KZQ148" s="322"/>
      <c r="KZR148" s="322"/>
      <c r="KZS148" s="322"/>
      <c r="KZT148" s="322"/>
      <c r="KZU148" s="322"/>
      <c r="KZV148" s="322"/>
      <c r="KZW148" s="322"/>
      <c r="KZX148" s="322"/>
      <c r="KZY148" s="322"/>
      <c r="KZZ148" s="322"/>
      <c r="LAA148" s="322"/>
      <c r="LAB148" s="322"/>
      <c r="LAC148" s="322"/>
      <c r="LAD148" s="322"/>
      <c r="LAE148" s="322"/>
      <c r="LAF148" s="322"/>
      <c r="LAG148" s="322"/>
      <c r="LAH148" s="322"/>
      <c r="LAI148" s="322"/>
      <c r="LAJ148" s="322"/>
      <c r="LAK148" s="322"/>
      <c r="LAL148" s="322"/>
      <c r="LAM148" s="322"/>
      <c r="LAN148" s="322"/>
      <c r="LAO148" s="322"/>
      <c r="LAP148" s="322"/>
      <c r="LAQ148" s="322"/>
      <c r="LAR148" s="322"/>
      <c r="LAS148" s="322"/>
      <c r="LAT148" s="322"/>
      <c r="LAU148" s="322"/>
      <c r="LAV148" s="322"/>
      <c r="LAW148" s="322"/>
      <c r="LAX148" s="322"/>
      <c r="LAY148" s="322"/>
      <c r="LAZ148" s="322"/>
      <c r="LBA148" s="322"/>
      <c r="LBB148" s="322"/>
      <c r="LBC148" s="322"/>
      <c r="LBD148" s="322"/>
      <c r="LBE148" s="322"/>
      <c r="LBF148" s="322"/>
      <c r="LBG148" s="322"/>
      <c r="LBH148" s="322"/>
      <c r="LBI148" s="322"/>
      <c r="LBJ148" s="322"/>
      <c r="LBK148" s="322"/>
      <c r="LBL148" s="322"/>
      <c r="LBM148" s="322"/>
      <c r="LBN148" s="322"/>
      <c r="LBO148" s="322"/>
      <c r="LBP148" s="322"/>
      <c r="LBQ148" s="322"/>
      <c r="LBR148" s="322"/>
      <c r="LBS148" s="322"/>
      <c r="LBT148" s="322"/>
      <c r="LBU148" s="322"/>
      <c r="LBV148" s="322"/>
      <c r="LBW148" s="322"/>
      <c r="LBX148" s="322"/>
      <c r="LBY148" s="322"/>
      <c r="LBZ148" s="322"/>
      <c r="LCA148" s="322"/>
      <c r="LCB148" s="322"/>
      <c r="LCC148" s="322"/>
      <c r="LCD148" s="322"/>
      <c r="LCE148" s="322"/>
      <c r="LCF148" s="322"/>
      <c r="LCG148" s="322"/>
      <c r="LCH148" s="322"/>
      <c r="LCI148" s="322"/>
      <c r="LCJ148" s="322"/>
      <c r="LCK148" s="322"/>
      <c r="LCL148" s="322"/>
      <c r="LCM148" s="322"/>
      <c r="LCN148" s="322"/>
      <c r="LCO148" s="322"/>
      <c r="LCP148" s="322"/>
      <c r="LCQ148" s="322"/>
      <c r="LCR148" s="322"/>
      <c r="LCS148" s="322"/>
      <c r="LCT148" s="322"/>
      <c r="LCU148" s="322"/>
      <c r="LCV148" s="322"/>
      <c r="LCW148" s="322"/>
      <c r="LCX148" s="322"/>
      <c r="LCY148" s="322"/>
      <c r="LCZ148" s="322"/>
      <c r="LDA148" s="322"/>
      <c r="LDB148" s="322"/>
      <c r="LDC148" s="322"/>
      <c r="LDD148" s="322"/>
      <c r="LDE148" s="322"/>
      <c r="LDF148" s="322"/>
      <c r="LDG148" s="322"/>
      <c r="LDH148" s="322"/>
      <c r="LDI148" s="322"/>
      <c r="LDJ148" s="322"/>
      <c r="LDK148" s="322"/>
      <c r="LDL148" s="322"/>
      <c r="LDM148" s="322"/>
      <c r="LDN148" s="322"/>
      <c r="LDO148" s="322"/>
      <c r="LDP148" s="322"/>
      <c r="LDQ148" s="322"/>
      <c r="LDR148" s="322"/>
      <c r="LDS148" s="322"/>
      <c r="LDT148" s="322"/>
      <c r="LDU148" s="322"/>
      <c r="LDV148" s="322"/>
      <c r="LDW148" s="322"/>
      <c r="LDX148" s="322"/>
      <c r="LDY148" s="322"/>
      <c r="LDZ148" s="322"/>
      <c r="LEA148" s="322"/>
      <c r="LEB148" s="322"/>
      <c r="LEC148" s="322"/>
      <c r="LED148" s="322"/>
      <c r="LEE148" s="322"/>
      <c r="LEF148" s="322"/>
      <c r="LEG148" s="322"/>
      <c r="LEH148" s="322"/>
      <c r="LEI148" s="322"/>
      <c r="LEJ148" s="322"/>
      <c r="LEK148" s="322"/>
      <c r="LEL148" s="322"/>
      <c r="LEM148" s="322"/>
      <c r="LEN148" s="322"/>
      <c r="LEO148" s="322"/>
      <c r="LEP148" s="322"/>
      <c r="LEQ148" s="322"/>
      <c r="LER148" s="322"/>
      <c r="LES148" s="322"/>
      <c r="LET148" s="322"/>
      <c r="LEU148" s="322"/>
      <c r="LEV148" s="322"/>
      <c r="LEW148" s="322"/>
      <c r="LEX148" s="322"/>
      <c r="LEY148" s="322"/>
      <c r="LEZ148" s="322"/>
      <c r="LFA148" s="322"/>
      <c r="LFB148" s="322"/>
      <c r="LFC148" s="322"/>
      <c r="LFD148" s="322"/>
      <c r="LFE148" s="322"/>
      <c r="LFF148" s="322"/>
      <c r="LFG148" s="322"/>
      <c r="LFH148" s="322"/>
      <c r="LFI148" s="322"/>
      <c r="LFJ148" s="322"/>
      <c r="LFK148" s="322"/>
      <c r="LFL148" s="322"/>
      <c r="LFM148" s="322"/>
      <c r="LFN148" s="322"/>
      <c r="LFO148" s="322"/>
      <c r="LFP148" s="322"/>
      <c r="LFQ148" s="322"/>
      <c r="LFR148" s="322"/>
      <c r="LFS148" s="322"/>
      <c r="LFT148" s="322"/>
      <c r="LFU148" s="322"/>
      <c r="LFV148" s="322"/>
      <c r="LFW148" s="322"/>
      <c r="LFX148" s="322"/>
      <c r="LFY148" s="322"/>
      <c r="LFZ148" s="322"/>
      <c r="LGA148" s="322"/>
      <c r="LGB148" s="322"/>
      <c r="LGC148" s="322"/>
      <c r="LGD148" s="322"/>
      <c r="LGE148" s="322"/>
      <c r="LGF148" s="322"/>
      <c r="LGG148" s="322"/>
      <c r="LGH148" s="322"/>
      <c r="LGI148" s="322"/>
      <c r="LGJ148" s="322"/>
      <c r="LGK148" s="322"/>
      <c r="LGL148" s="322"/>
      <c r="LGM148" s="322"/>
      <c r="LGN148" s="322"/>
      <c r="LGO148" s="322"/>
      <c r="LGP148" s="322"/>
      <c r="LGQ148" s="322"/>
      <c r="LGR148" s="322"/>
      <c r="LGS148" s="322"/>
      <c r="LGT148" s="322"/>
      <c r="LGU148" s="322"/>
      <c r="LGV148" s="322"/>
      <c r="LGW148" s="322"/>
      <c r="LGX148" s="322"/>
      <c r="LGY148" s="322"/>
      <c r="LGZ148" s="322"/>
      <c r="LHA148" s="322"/>
      <c r="LHB148" s="322"/>
      <c r="LHC148" s="322"/>
      <c r="LHD148" s="322"/>
      <c r="LHE148" s="322"/>
      <c r="LHF148" s="322"/>
      <c r="LHG148" s="322"/>
      <c r="LHH148" s="322"/>
      <c r="LHI148" s="322"/>
      <c r="LHJ148" s="322"/>
      <c r="LHK148" s="322"/>
      <c r="LHL148" s="322"/>
      <c r="LHM148" s="322"/>
      <c r="LHN148" s="322"/>
      <c r="LHO148" s="322"/>
      <c r="LHP148" s="322"/>
      <c r="LHQ148" s="322"/>
      <c r="LHR148" s="322"/>
      <c r="LHS148" s="322"/>
      <c r="LHT148" s="322"/>
      <c r="LHU148" s="322"/>
      <c r="LHV148" s="322"/>
      <c r="LHW148" s="322"/>
      <c r="LHX148" s="322"/>
      <c r="LHY148" s="322"/>
      <c r="LHZ148" s="322"/>
      <c r="LIA148" s="322"/>
      <c r="LIB148" s="322"/>
      <c r="LIC148" s="322"/>
      <c r="LID148" s="322"/>
      <c r="LIE148" s="322"/>
      <c r="LIF148" s="322"/>
      <c r="LIG148" s="322"/>
      <c r="LIH148" s="322"/>
      <c r="LII148" s="322"/>
      <c r="LIJ148" s="322"/>
      <c r="LIK148" s="322"/>
      <c r="LIL148" s="322"/>
      <c r="LIM148" s="322"/>
      <c r="LIN148" s="322"/>
      <c r="LIO148" s="322"/>
      <c r="LIP148" s="322"/>
      <c r="LIQ148" s="322"/>
      <c r="LIR148" s="322"/>
      <c r="LIS148" s="322"/>
      <c r="LIT148" s="322"/>
      <c r="LIU148" s="322"/>
      <c r="LIV148" s="322"/>
      <c r="LIW148" s="322"/>
      <c r="LIX148" s="322"/>
      <c r="LIY148" s="322"/>
      <c r="LIZ148" s="322"/>
      <c r="LJA148" s="322"/>
      <c r="LJB148" s="322"/>
      <c r="LJC148" s="322"/>
      <c r="LJD148" s="322"/>
      <c r="LJE148" s="322"/>
      <c r="LJF148" s="322"/>
      <c r="LJG148" s="322"/>
      <c r="LJH148" s="322"/>
      <c r="LJI148" s="322"/>
      <c r="LJJ148" s="322"/>
      <c r="LJK148" s="322"/>
      <c r="LJL148" s="322"/>
      <c r="LJM148" s="322"/>
      <c r="LJN148" s="322"/>
      <c r="LJO148" s="322"/>
      <c r="LJP148" s="322"/>
      <c r="LJQ148" s="322"/>
      <c r="LJR148" s="322"/>
      <c r="LJS148" s="322"/>
      <c r="LJT148" s="322"/>
      <c r="LJU148" s="322"/>
      <c r="LJV148" s="322"/>
      <c r="LJW148" s="322"/>
      <c r="LJX148" s="322"/>
      <c r="LJY148" s="322"/>
      <c r="LJZ148" s="322"/>
      <c r="LKA148" s="322"/>
      <c r="LKB148" s="322"/>
      <c r="LKC148" s="322"/>
      <c r="LKD148" s="322"/>
      <c r="LKE148" s="322"/>
      <c r="LKF148" s="322"/>
      <c r="LKG148" s="322"/>
      <c r="LKH148" s="322"/>
      <c r="LKI148" s="322"/>
      <c r="LKJ148" s="322"/>
      <c r="LKK148" s="322"/>
      <c r="LKL148" s="322"/>
      <c r="LKM148" s="322"/>
      <c r="LKN148" s="322"/>
      <c r="LKO148" s="322"/>
      <c r="LKP148" s="322"/>
      <c r="LKQ148" s="322"/>
      <c r="LKR148" s="322"/>
      <c r="LKS148" s="322"/>
      <c r="LKT148" s="322"/>
      <c r="LKU148" s="322"/>
      <c r="LKV148" s="322"/>
      <c r="LKW148" s="322"/>
      <c r="LKX148" s="322"/>
      <c r="LKY148" s="322"/>
      <c r="LKZ148" s="322"/>
      <c r="LLA148" s="322"/>
      <c r="LLB148" s="322"/>
      <c r="LLC148" s="322"/>
      <c r="LLD148" s="322"/>
      <c r="LLE148" s="322"/>
      <c r="LLF148" s="322"/>
      <c r="LLG148" s="322"/>
      <c r="LLH148" s="322"/>
      <c r="LLI148" s="322"/>
      <c r="LLJ148" s="322"/>
      <c r="LLK148" s="322"/>
      <c r="LLL148" s="322"/>
      <c r="LLM148" s="322"/>
      <c r="LLN148" s="322"/>
      <c r="LLO148" s="322"/>
      <c r="LLP148" s="322"/>
      <c r="LLQ148" s="322"/>
      <c r="LLR148" s="322"/>
      <c r="LLS148" s="322"/>
      <c r="LLT148" s="322"/>
      <c r="LLU148" s="322"/>
      <c r="LLV148" s="322"/>
      <c r="LLW148" s="322"/>
      <c r="LLX148" s="322"/>
      <c r="LLY148" s="322"/>
      <c r="LLZ148" s="322"/>
      <c r="LMA148" s="322"/>
      <c r="LMB148" s="322"/>
      <c r="LMC148" s="322"/>
      <c r="LMD148" s="322"/>
      <c r="LME148" s="322"/>
      <c r="LMF148" s="322"/>
      <c r="LMG148" s="322"/>
      <c r="LMH148" s="322"/>
      <c r="LMI148" s="322"/>
      <c r="LMJ148" s="322"/>
      <c r="LMK148" s="322"/>
      <c r="LML148" s="322"/>
      <c r="LMM148" s="322"/>
      <c r="LMN148" s="322"/>
      <c r="LMO148" s="322"/>
      <c r="LMP148" s="322"/>
      <c r="LMQ148" s="322"/>
      <c r="LMR148" s="322"/>
      <c r="LMS148" s="322"/>
      <c r="LMT148" s="322"/>
      <c r="LMU148" s="322"/>
      <c r="LMV148" s="322"/>
      <c r="LMW148" s="322"/>
      <c r="LMX148" s="322"/>
      <c r="LMY148" s="322"/>
      <c r="LMZ148" s="322"/>
      <c r="LNA148" s="322"/>
      <c r="LNB148" s="322"/>
      <c r="LNC148" s="322"/>
      <c r="LND148" s="322"/>
      <c r="LNE148" s="322"/>
      <c r="LNF148" s="322"/>
      <c r="LNG148" s="322"/>
      <c r="LNH148" s="322"/>
      <c r="LNI148" s="322"/>
      <c r="LNJ148" s="322"/>
      <c r="LNK148" s="322"/>
      <c r="LNL148" s="322"/>
      <c r="LNM148" s="322"/>
      <c r="LNN148" s="322"/>
      <c r="LNO148" s="322"/>
      <c r="LNP148" s="322"/>
      <c r="LNQ148" s="322"/>
      <c r="LNR148" s="322"/>
      <c r="LNS148" s="322"/>
      <c r="LNT148" s="322"/>
      <c r="LNU148" s="322"/>
      <c r="LNV148" s="322"/>
      <c r="LNW148" s="322"/>
      <c r="LNX148" s="322"/>
      <c r="LNY148" s="322"/>
      <c r="LNZ148" s="322"/>
      <c r="LOA148" s="322"/>
      <c r="LOB148" s="322"/>
      <c r="LOC148" s="322"/>
      <c r="LOD148" s="322"/>
      <c r="LOE148" s="322"/>
      <c r="LOF148" s="322"/>
      <c r="LOG148" s="322"/>
      <c r="LOH148" s="322"/>
      <c r="LOI148" s="322"/>
      <c r="LOJ148" s="322"/>
      <c r="LOK148" s="322"/>
      <c r="LOL148" s="322"/>
      <c r="LOM148" s="322"/>
      <c r="LON148" s="322"/>
      <c r="LOO148" s="322"/>
      <c r="LOP148" s="322"/>
      <c r="LOQ148" s="322"/>
      <c r="LOR148" s="322"/>
      <c r="LOS148" s="322"/>
      <c r="LOT148" s="322"/>
      <c r="LOU148" s="322"/>
      <c r="LOV148" s="322"/>
      <c r="LOW148" s="322"/>
      <c r="LOX148" s="322"/>
      <c r="LOY148" s="322"/>
      <c r="LOZ148" s="322"/>
      <c r="LPA148" s="322"/>
      <c r="LPB148" s="322"/>
      <c r="LPC148" s="322"/>
      <c r="LPD148" s="322"/>
      <c r="LPE148" s="322"/>
      <c r="LPF148" s="322"/>
      <c r="LPG148" s="322"/>
      <c r="LPH148" s="322"/>
      <c r="LPI148" s="322"/>
      <c r="LPJ148" s="322"/>
      <c r="LPK148" s="322"/>
      <c r="LPL148" s="322"/>
      <c r="LPM148" s="322"/>
      <c r="LPN148" s="322"/>
      <c r="LPO148" s="322"/>
      <c r="LPP148" s="322"/>
      <c r="LPQ148" s="322"/>
      <c r="LPR148" s="322"/>
      <c r="LPS148" s="322"/>
      <c r="LPT148" s="322"/>
      <c r="LPU148" s="322"/>
      <c r="LPV148" s="322"/>
      <c r="LPW148" s="322"/>
      <c r="LPX148" s="322"/>
      <c r="LPY148" s="322"/>
      <c r="LPZ148" s="322"/>
      <c r="LQA148" s="322"/>
      <c r="LQB148" s="322"/>
      <c r="LQC148" s="322"/>
      <c r="LQD148" s="322"/>
      <c r="LQE148" s="322"/>
      <c r="LQF148" s="322"/>
      <c r="LQG148" s="322"/>
      <c r="LQH148" s="322"/>
      <c r="LQI148" s="322"/>
      <c r="LQJ148" s="322"/>
      <c r="LQK148" s="322"/>
      <c r="LQL148" s="322"/>
      <c r="LQM148" s="322"/>
      <c r="LQN148" s="322"/>
      <c r="LQO148" s="322"/>
      <c r="LQP148" s="322"/>
      <c r="LQQ148" s="322"/>
      <c r="LQR148" s="322"/>
      <c r="LQS148" s="322"/>
      <c r="LQT148" s="322"/>
      <c r="LQU148" s="322"/>
      <c r="LQV148" s="322"/>
      <c r="LQW148" s="322"/>
      <c r="LQX148" s="322"/>
      <c r="LQY148" s="322"/>
      <c r="LQZ148" s="322"/>
      <c r="LRA148" s="322"/>
      <c r="LRB148" s="322"/>
      <c r="LRC148" s="322"/>
      <c r="LRD148" s="322"/>
      <c r="LRE148" s="322"/>
      <c r="LRF148" s="322"/>
      <c r="LRG148" s="322"/>
      <c r="LRH148" s="322"/>
      <c r="LRI148" s="322"/>
      <c r="LRJ148" s="322"/>
      <c r="LRK148" s="322"/>
      <c r="LRL148" s="322"/>
      <c r="LRM148" s="322"/>
      <c r="LRN148" s="322"/>
      <c r="LRO148" s="322"/>
      <c r="LRP148" s="322"/>
      <c r="LRQ148" s="322"/>
      <c r="LRR148" s="322"/>
      <c r="LRS148" s="322"/>
      <c r="LRT148" s="322"/>
      <c r="LRU148" s="322"/>
      <c r="LRV148" s="322"/>
      <c r="LRW148" s="322"/>
      <c r="LRX148" s="322"/>
      <c r="LRY148" s="322"/>
      <c r="LRZ148" s="322"/>
      <c r="LSA148" s="322"/>
      <c r="LSB148" s="322"/>
      <c r="LSC148" s="322"/>
      <c r="LSD148" s="322"/>
      <c r="LSE148" s="322"/>
      <c r="LSF148" s="322"/>
      <c r="LSG148" s="322"/>
      <c r="LSH148" s="322"/>
      <c r="LSI148" s="322"/>
      <c r="LSJ148" s="322"/>
      <c r="LSK148" s="322"/>
      <c r="LSL148" s="322"/>
      <c r="LSM148" s="322"/>
      <c r="LSN148" s="322"/>
      <c r="LSO148" s="322"/>
      <c r="LSP148" s="322"/>
      <c r="LSQ148" s="322"/>
      <c r="LSR148" s="322"/>
      <c r="LSS148" s="322"/>
      <c r="LST148" s="322"/>
      <c r="LSU148" s="322"/>
      <c r="LSV148" s="322"/>
      <c r="LSW148" s="322"/>
      <c r="LSX148" s="322"/>
      <c r="LSY148" s="322"/>
      <c r="LSZ148" s="322"/>
      <c r="LTA148" s="322"/>
      <c r="LTB148" s="322"/>
      <c r="LTC148" s="322"/>
      <c r="LTD148" s="322"/>
      <c r="LTE148" s="322"/>
      <c r="LTF148" s="322"/>
      <c r="LTG148" s="322"/>
      <c r="LTH148" s="322"/>
      <c r="LTI148" s="322"/>
      <c r="LTJ148" s="322"/>
      <c r="LTK148" s="322"/>
      <c r="LTL148" s="322"/>
      <c r="LTM148" s="322"/>
      <c r="LTN148" s="322"/>
      <c r="LTO148" s="322"/>
      <c r="LTP148" s="322"/>
      <c r="LTQ148" s="322"/>
      <c r="LTR148" s="322"/>
      <c r="LTS148" s="322"/>
      <c r="LTT148" s="322"/>
      <c r="LTU148" s="322"/>
      <c r="LTV148" s="322"/>
      <c r="LTW148" s="322"/>
      <c r="LTX148" s="322"/>
      <c r="LTY148" s="322"/>
      <c r="LTZ148" s="322"/>
      <c r="LUA148" s="322"/>
      <c r="LUB148" s="322"/>
      <c r="LUC148" s="322"/>
      <c r="LUD148" s="322"/>
      <c r="LUE148" s="322"/>
      <c r="LUF148" s="322"/>
      <c r="LUG148" s="322"/>
      <c r="LUH148" s="322"/>
      <c r="LUI148" s="322"/>
      <c r="LUJ148" s="322"/>
      <c r="LUK148" s="322"/>
      <c r="LUL148" s="322"/>
      <c r="LUM148" s="322"/>
      <c r="LUN148" s="322"/>
      <c r="LUO148" s="322"/>
      <c r="LUP148" s="322"/>
      <c r="LUQ148" s="322"/>
      <c r="LUR148" s="322"/>
      <c r="LUS148" s="322"/>
      <c r="LUT148" s="322"/>
      <c r="LUU148" s="322"/>
      <c r="LUV148" s="322"/>
      <c r="LUW148" s="322"/>
      <c r="LUX148" s="322"/>
      <c r="LUY148" s="322"/>
      <c r="LUZ148" s="322"/>
      <c r="LVA148" s="322"/>
      <c r="LVB148" s="322"/>
      <c r="LVC148" s="322"/>
      <c r="LVD148" s="322"/>
      <c r="LVE148" s="322"/>
      <c r="LVF148" s="322"/>
      <c r="LVG148" s="322"/>
      <c r="LVH148" s="322"/>
      <c r="LVI148" s="322"/>
      <c r="LVJ148" s="322"/>
      <c r="LVK148" s="322"/>
      <c r="LVL148" s="322"/>
      <c r="LVM148" s="322"/>
      <c r="LVN148" s="322"/>
      <c r="LVO148" s="322"/>
      <c r="LVP148" s="322"/>
      <c r="LVQ148" s="322"/>
      <c r="LVR148" s="322"/>
      <c r="LVS148" s="322"/>
      <c r="LVT148" s="322"/>
      <c r="LVU148" s="322"/>
      <c r="LVV148" s="322"/>
      <c r="LVW148" s="322"/>
      <c r="LVX148" s="322"/>
      <c r="LVY148" s="322"/>
      <c r="LVZ148" s="322"/>
      <c r="LWA148" s="322"/>
      <c r="LWB148" s="322"/>
      <c r="LWC148" s="322"/>
      <c r="LWD148" s="322"/>
      <c r="LWE148" s="322"/>
      <c r="LWF148" s="322"/>
      <c r="LWG148" s="322"/>
      <c r="LWH148" s="322"/>
      <c r="LWI148" s="322"/>
      <c r="LWJ148" s="322"/>
      <c r="LWK148" s="322"/>
      <c r="LWL148" s="322"/>
      <c r="LWM148" s="322"/>
      <c r="LWN148" s="322"/>
      <c r="LWO148" s="322"/>
      <c r="LWP148" s="322"/>
      <c r="LWQ148" s="322"/>
      <c r="LWR148" s="322"/>
      <c r="LWS148" s="322"/>
      <c r="LWT148" s="322"/>
      <c r="LWU148" s="322"/>
      <c r="LWV148" s="322"/>
      <c r="LWW148" s="322"/>
      <c r="LWX148" s="322"/>
      <c r="LWY148" s="322"/>
      <c r="LWZ148" s="322"/>
      <c r="LXA148" s="322"/>
      <c r="LXB148" s="322"/>
      <c r="LXC148" s="322"/>
      <c r="LXD148" s="322"/>
      <c r="LXE148" s="322"/>
      <c r="LXF148" s="322"/>
      <c r="LXG148" s="322"/>
      <c r="LXH148" s="322"/>
      <c r="LXI148" s="322"/>
      <c r="LXJ148" s="322"/>
      <c r="LXK148" s="322"/>
      <c r="LXL148" s="322"/>
      <c r="LXM148" s="322"/>
      <c r="LXN148" s="322"/>
      <c r="LXO148" s="322"/>
      <c r="LXP148" s="322"/>
      <c r="LXQ148" s="322"/>
      <c r="LXR148" s="322"/>
      <c r="LXS148" s="322"/>
      <c r="LXT148" s="322"/>
      <c r="LXU148" s="322"/>
      <c r="LXV148" s="322"/>
      <c r="LXW148" s="322"/>
      <c r="LXX148" s="322"/>
      <c r="LXY148" s="322"/>
      <c r="LXZ148" s="322"/>
      <c r="LYA148" s="322"/>
      <c r="LYB148" s="322"/>
      <c r="LYC148" s="322"/>
      <c r="LYD148" s="322"/>
      <c r="LYE148" s="322"/>
      <c r="LYF148" s="322"/>
      <c r="LYG148" s="322"/>
      <c r="LYH148" s="322"/>
      <c r="LYI148" s="322"/>
      <c r="LYJ148" s="322"/>
      <c r="LYK148" s="322"/>
      <c r="LYL148" s="322"/>
      <c r="LYM148" s="322"/>
      <c r="LYN148" s="322"/>
      <c r="LYO148" s="322"/>
      <c r="LYP148" s="322"/>
      <c r="LYQ148" s="322"/>
      <c r="LYR148" s="322"/>
      <c r="LYS148" s="322"/>
      <c r="LYT148" s="322"/>
      <c r="LYU148" s="322"/>
      <c r="LYV148" s="322"/>
      <c r="LYW148" s="322"/>
      <c r="LYX148" s="322"/>
      <c r="LYY148" s="322"/>
      <c r="LYZ148" s="322"/>
      <c r="LZA148" s="322"/>
      <c r="LZB148" s="322"/>
      <c r="LZC148" s="322"/>
      <c r="LZD148" s="322"/>
      <c r="LZE148" s="322"/>
      <c r="LZF148" s="322"/>
      <c r="LZG148" s="322"/>
      <c r="LZH148" s="322"/>
      <c r="LZI148" s="322"/>
      <c r="LZJ148" s="322"/>
      <c r="LZK148" s="322"/>
      <c r="LZL148" s="322"/>
      <c r="LZM148" s="322"/>
      <c r="LZN148" s="322"/>
      <c r="LZO148" s="322"/>
      <c r="LZP148" s="322"/>
      <c r="LZQ148" s="322"/>
      <c r="LZR148" s="322"/>
      <c r="LZS148" s="322"/>
      <c r="LZT148" s="322"/>
      <c r="LZU148" s="322"/>
      <c r="LZV148" s="322"/>
      <c r="LZW148" s="322"/>
      <c r="LZX148" s="322"/>
      <c r="LZY148" s="322"/>
      <c r="LZZ148" s="322"/>
      <c r="MAA148" s="322"/>
      <c r="MAB148" s="322"/>
      <c r="MAC148" s="322"/>
      <c r="MAD148" s="322"/>
      <c r="MAE148" s="322"/>
      <c r="MAF148" s="322"/>
      <c r="MAG148" s="322"/>
      <c r="MAH148" s="322"/>
      <c r="MAI148" s="322"/>
      <c r="MAJ148" s="322"/>
      <c r="MAK148" s="322"/>
      <c r="MAL148" s="322"/>
      <c r="MAM148" s="322"/>
      <c r="MAN148" s="322"/>
      <c r="MAO148" s="322"/>
      <c r="MAP148" s="322"/>
      <c r="MAQ148" s="322"/>
      <c r="MAR148" s="322"/>
      <c r="MAS148" s="322"/>
      <c r="MAT148" s="322"/>
      <c r="MAU148" s="322"/>
      <c r="MAV148" s="322"/>
      <c r="MAW148" s="322"/>
      <c r="MAX148" s="322"/>
      <c r="MAY148" s="322"/>
      <c r="MAZ148" s="322"/>
      <c r="MBA148" s="322"/>
      <c r="MBB148" s="322"/>
      <c r="MBC148" s="322"/>
      <c r="MBD148" s="322"/>
      <c r="MBE148" s="322"/>
      <c r="MBF148" s="322"/>
      <c r="MBG148" s="322"/>
      <c r="MBH148" s="322"/>
      <c r="MBI148" s="322"/>
      <c r="MBJ148" s="322"/>
      <c r="MBK148" s="322"/>
      <c r="MBL148" s="322"/>
      <c r="MBM148" s="322"/>
      <c r="MBN148" s="322"/>
      <c r="MBO148" s="322"/>
      <c r="MBP148" s="322"/>
      <c r="MBQ148" s="322"/>
      <c r="MBR148" s="322"/>
      <c r="MBS148" s="322"/>
      <c r="MBT148" s="322"/>
      <c r="MBU148" s="322"/>
      <c r="MBV148" s="322"/>
      <c r="MBW148" s="322"/>
      <c r="MBX148" s="322"/>
      <c r="MBY148" s="322"/>
      <c r="MBZ148" s="322"/>
      <c r="MCA148" s="322"/>
      <c r="MCB148" s="322"/>
      <c r="MCC148" s="322"/>
      <c r="MCD148" s="322"/>
      <c r="MCE148" s="322"/>
      <c r="MCF148" s="322"/>
      <c r="MCG148" s="322"/>
      <c r="MCH148" s="322"/>
      <c r="MCI148" s="322"/>
      <c r="MCJ148" s="322"/>
      <c r="MCK148" s="322"/>
      <c r="MCL148" s="322"/>
      <c r="MCM148" s="322"/>
      <c r="MCN148" s="322"/>
      <c r="MCO148" s="322"/>
      <c r="MCP148" s="322"/>
      <c r="MCQ148" s="322"/>
      <c r="MCR148" s="322"/>
      <c r="MCS148" s="322"/>
      <c r="MCT148" s="322"/>
      <c r="MCU148" s="322"/>
      <c r="MCV148" s="322"/>
      <c r="MCW148" s="322"/>
      <c r="MCX148" s="322"/>
      <c r="MCY148" s="322"/>
      <c r="MCZ148" s="322"/>
      <c r="MDA148" s="322"/>
      <c r="MDB148" s="322"/>
      <c r="MDC148" s="322"/>
      <c r="MDD148" s="322"/>
      <c r="MDE148" s="322"/>
      <c r="MDF148" s="322"/>
      <c r="MDG148" s="322"/>
      <c r="MDH148" s="322"/>
      <c r="MDI148" s="322"/>
      <c r="MDJ148" s="322"/>
      <c r="MDK148" s="322"/>
      <c r="MDL148" s="322"/>
      <c r="MDM148" s="322"/>
      <c r="MDN148" s="322"/>
      <c r="MDO148" s="322"/>
      <c r="MDP148" s="322"/>
      <c r="MDQ148" s="322"/>
      <c r="MDR148" s="322"/>
      <c r="MDS148" s="322"/>
      <c r="MDT148" s="322"/>
      <c r="MDU148" s="322"/>
      <c r="MDV148" s="322"/>
      <c r="MDW148" s="322"/>
      <c r="MDX148" s="322"/>
      <c r="MDY148" s="322"/>
      <c r="MDZ148" s="322"/>
      <c r="MEA148" s="322"/>
      <c r="MEB148" s="322"/>
      <c r="MEC148" s="322"/>
      <c r="MED148" s="322"/>
      <c r="MEE148" s="322"/>
      <c r="MEF148" s="322"/>
      <c r="MEG148" s="322"/>
      <c r="MEH148" s="322"/>
      <c r="MEI148" s="322"/>
      <c r="MEJ148" s="322"/>
      <c r="MEK148" s="322"/>
      <c r="MEL148" s="322"/>
      <c r="MEM148" s="322"/>
      <c r="MEN148" s="322"/>
      <c r="MEO148" s="322"/>
      <c r="MEP148" s="322"/>
      <c r="MEQ148" s="322"/>
      <c r="MER148" s="322"/>
      <c r="MES148" s="322"/>
      <c r="MET148" s="322"/>
      <c r="MEU148" s="322"/>
      <c r="MEV148" s="322"/>
      <c r="MEW148" s="322"/>
      <c r="MEX148" s="322"/>
      <c r="MEY148" s="322"/>
      <c r="MEZ148" s="322"/>
      <c r="MFA148" s="322"/>
      <c r="MFB148" s="322"/>
      <c r="MFC148" s="322"/>
      <c r="MFD148" s="322"/>
      <c r="MFE148" s="322"/>
      <c r="MFF148" s="322"/>
      <c r="MFG148" s="322"/>
      <c r="MFH148" s="322"/>
      <c r="MFI148" s="322"/>
      <c r="MFJ148" s="322"/>
      <c r="MFK148" s="322"/>
      <c r="MFL148" s="322"/>
      <c r="MFM148" s="322"/>
      <c r="MFN148" s="322"/>
      <c r="MFO148" s="322"/>
      <c r="MFP148" s="322"/>
      <c r="MFQ148" s="322"/>
      <c r="MFR148" s="322"/>
      <c r="MFS148" s="322"/>
      <c r="MFT148" s="322"/>
      <c r="MFU148" s="322"/>
      <c r="MFV148" s="322"/>
      <c r="MFW148" s="322"/>
      <c r="MFX148" s="322"/>
      <c r="MFY148" s="322"/>
      <c r="MFZ148" s="322"/>
      <c r="MGA148" s="322"/>
      <c r="MGB148" s="322"/>
      <c r="MGC148" s="322"/>
      <c r="MGD148" s="322"/>
      <c r="MGE148" s="322"/>
      <c r="MGF148" s="322"/>
      <c r="MGG148" s="322"/>
      <c r="MGH148" s="322"/>
      <c r="MGI148" s="322"/>
      <c r="MGJ148" s="322"/>
      <c r="MGK148" s="322"/>
      <c r="MGL148" s="322"/>
      <c r="MGM148" s="322"/>
      <c r="MGN148" s="322"/>
      <c r="MGO148" s="322"/>
      <c r="MGP148" s="322"/>
      <c r="MGQ148" s="322"/>
      <c r="MGR148" s="322"/>
      <c r="MGS148" s="322"/>
      <c r="MGT148" s="322"/>
      <c r="MGU148" s="322"/>
      <c r="MGV148" s="322"/>
      <c r="MGW148" s="322"/>
      <c r="MGX148" s="322"/>
      <c r="MGY148" s="322"/>
      <c r="MGZ148" s="322"/>
      <c r="MHA148" s="322"/>
      <c r="MHB148" s="322"/>
      <c r="MHC148" s="322"/>
      <c r="MHD148" s="322"/>
      <c r="MHE148" s="322"/>
      <c r="MHF148" s="322"/>
      <c r="MHG148" s="322"/>
      <c r="MHH148" s="322"/>
      <c r="MHI148" s="322"/>
      <c r="MHJ148" s="322"/>
      <c r="MHK148" s="322"/>
      <c r="MHL148" s="322"/>
      <c r="MHM148" s="322"/>
      <c r="MHN148" s="322"/>
      <c r="MHO148" s="322"/>
      <c r="MHP148" s="322"/>
      <c r="MHQ148" s="322"/>
      <c r="MHR148" s="322"/>
      <c r="MHS148" s="322"/>
      <c r="MHT148" s="322"/>
      <c r="MHU148" s="322"/>
      <c r="MHV148" s="322"/>
      <c r="MHW148" s="322"/>
      <c r="MHX148" s="322"/>
      <c r="MHY148" s="322"/>
      <c r="MHZ148" s="322"/>
      <c r="MIA148" s="322"/>
      <c r="MIB148" s="322"/>
      <c r="MIC148" s="322"/>
      <c r="MID148" s="322"/>
      <c r="MIE148" s="322"/>
      <c r="MIF148" s="322"/>
      <c r="MIG148" s="322"/>
      <c r="MIH148" s="322"/>
      <c r="MII148" s="322"/>
      <c r="MIJ148" s="322"/>
      <c r="MIK148" s="322"/>
      <c r="MIL148" s="322"/>
      <c r="MIM148" s="322"/>
      <c r="MIN148" s="322"/>
      <c r="MIO148" s="322"/>
      <c r="MIP148" s="322"/>
      <c r="MIQ148" s="322"/>
      <c r="MIR148" s="322"/>
      <c r="MIS148" s="322"/>
      <c r="MIT148" s="322"/>
      <c r="MIU148" s="322"/>
      <c r="MIV148" s="322"/>
      <c r="MIW148" s="322"/>
      <c r="MIX148" s="322"/>
      <c r="MIY148" s="322"/>
      <c r="MIZ148" s="322"/>
      <c r="MJA148" s="322"/>
      <c r="MJB148" s="322"/>
      <c r="MJC148" s="322"/>
      <c r="MJD148" s="322"/>
      <c r="MJE148" s="322"/>
      <c r="MJF148" s="322"/>
      <c r="MJG148" s="322"/>
      <c r="MJH148" s="322"/>
      <c r="MJI148" s="322"/>
      <c r="MJJ148" s="322"/>
      <c r="MJK148" s="322"/>
      <c r="MJL148" s="322"/>
      <c r="MJM148" s="322"/>
      <c r="MJN148" s="322"/>
      <c r="MJO148" s="322"/>
      <c r="MJP148" s="322"/>
      <c r="MJQ148" s="322"/>
      <c r="MJR148" s="322"/>
      <c r="MJS148" s="322"/>
      <c r="MJT148" s="322"/>
      <c r="MJU148" s="322"/>
      <c r="MJV148" s="322"/>
      <c r="MJW148" s="322"/>
      <c r="MJX148" s="322"/>
      <c r="MJY148" s="322"/>
      <c r="MJZ148" s="322"/>
      <c r="MKA148" s="322"/>
      <c r="MKB148" s="322"/>
      <c r="MKC148" s="322"/>
      <c r="MKD148" s="322"/>
      <c r="MKE148" s="322"/>
      <c r="MKF148" s="322"/>
      <c r="MKG148" s="322"/>
      <c r="MKH148" s="322"/>
      <c r="MKI148" s="322"/>
      <c r="MKJ148" s="322"/>
      <c r="MKK148" s="322"/>
      <c r="MKL148" s="322"/>
      <c r="MKM148" s="322"/>
      <c r="MKN148" s="322"/>
      <c r="MKO148" s="322"/>
      <c r="MKP148" s="322"/>
      <c r="MKQ148" s="322"/>
      <c r="MKR148" s="322"/>
      <c r="MKS148" s="322"/>
      <c r="MKT148" s="322"/>
      <c r="MKU148" s="322"/>
      <c r="MKV148" s="322"/>
      <c r="MKW148" s="322"/>
      <c r="MKX148" s="322"/>
      <c r="MKY148" s="322"/>
      <c r="MKZ148" s="322"/>
      <c r="MLA148" s="322"/>
      <c r="MLB148" s="322"/>
      <c r="MLC148" s="322"/>
      <c r="MLD148" s="322"/>
      <c r="MLE148" s="322"/>
      <c r="MLF148" s="322"/>
      <c r="MLG148" s="322"/>
      <c r="MLH148" s="322"/>
      <c r="MLI148" s="322"/>
      <c r="MLJ148" s="322"/>
      <c r="MLK148" s="322"/>
      <c r="MLL148" s="322"/>
      <c r="MLM148" s="322"/>
      <c r="MLN148" s="322"/>
      <c r="MLO148" s="322"/>
      <c r="MLP148" s="322"/>
      <c r="MLQ148" s="322"/>
      <c r="MLR148" s="322"/>
      <c r="MLS148" s="322"/>
      <c r="MLT148" s="322"/>
      <c r="MLU148" s="322"/>
      <c r="MLV148" s="322"/>
      <c r="MLW148" s="322"/>
      <c r="MLX148" s="322"/>
      <c r="MLY148" s="322"/>
      <c r="MLZ148" s="322"/>
      <c r="MMA148" s="322"/>
      <c r="MMB148" s="322"/>
      <c r="MMC148" s="322"/>
      <c r="MMD148" s="322"/>
      <c r="MME148" s="322"/>
      <c r="MMF148" s="322"/>
      <c r="MMG148" s="322"/>
      <c r="MMH148" s="322"/>
      <c r="MMI148" s="322"/>
      <c r="MMJ148" s="322"/>
      <c r="MMK148" s="322"/>
      <c r="MML148" s="322"/>
      <c r="MMM148" s="322"/>
      <c r="MMN148" s="322"/>
      <c r="MMO148" s="322"/>
      <c r="MMP148" s="322"/>
      <c r="MMQ148" s="322"/>
      <c r="MMR148" s="322"/>
      <c r="MMS148" s="322"/>
      <c r="MMT148" s="322"/>
      <c r="MMU148" s="322"/>
      <c r="MMV148" s="322"/>
      <c r="MMW148" s="322"/>
      <c r="MMX148" s="322"/>
      <c r="MMY148" s="322"/>
      <c r="MMZ148" s="322"/>
      <c r="MNA148" s="322"/>
      <c r="MNB148" s="322"/>
      <c r="MNC148" s="322"/>
      <c r="MND148" s="322"/>
      <c r="MNE148" s="322"/>
      <c r="MNF148" s="322"/>
      <c r="MNG148" s="322"/>
      <c r="MNH148" s="322"/>
      <c r="MNI148" s="322"/>
      <c r="MNJ148" s="322"/>
      <c r="MNK148" s="322"/>
      <c r="MNL148" s="322"/>
      <c r="MNM148" s="322"/>
      <c r="MNN148" s="322"/>
      <c r="MNO148" s="322"/>
      <c r="MNP148" s="322"/>
      <c r="MNQ148" s="322"/>
      <c r="MNR148" s="322"/>
      <c r="MNS148" s="322"/>
      <c r="MNT148" s="322"/>
      <c r="MNU148" s="322"/>
      <c r="MNV148" s="322"/>
      <c r="MNW148" s="322"/>
      <c r="MNX148" s="322"/>
      <c r="MNY148" s="322"/>
      <c r="MNZ148" s="322"/>
      <c r="MOA148" s="322"/>
      <c r="MOB148" s="322"/>
      <c r="MOC148" s="322"/>
      <c r="MOD148" s="322"/>
      <c r="MOE148" s="322"/>
      <c r="MOF148" s="322"/>
      <c r="MOG148" s="322"/>
      <c r="MOH148" s="322"/>
      <c r="MOI148" s="322"/>
      <c r="MOJ148" s="322"/>
      <c r="MOK148" s="322"/>
      <c r="MOL148" s="322"/>
      <c r="MOM148" s="322"/>
      <c r="MON148" s="322"/>
      <c r="MOO148" s="322"/>
      <c r="MOP148" s="322"/>
      <c r="MOQ148" s="322"/>
      <c r="MOR148" s="322"/>
      <c r="MOS148" s="322"/>
      <c r="MOT148" s="322"/>
      <c r="MOU148" s="322"/>
      <c r="MOV148" s="322"/>
      <c r="MOW148" s="322"/>
      <c r="MOX148" s="322"/>
      <c r="MOY148" s="322"/>
      <c r="MOZ148" s="322"/>
      <c r="MPA148" s="322"/>
      <c r="MPB148" s="322"/>
      <c r="MPC148" s="322"/>
      <c r="MPD148" s="322"/>
      <c r="MPE148" s="322"/>
      <c r="MPF148" s="322"/>
      <c r="MPG148" s="322"/>
      <c r="MPH148" s="322"/>
      <c r="MPI148" s="322"/>
      <c r="MPJ148" s="322"/>
      <c r="MPK148" s="322"/>
      <c r="MPL148" s="322"/>
      <c r="MPM148" s="322"/>
      <c r="MPN148" s="322"/>
      <c r="MPO148" s="322"/>
      <c r="MPP148" s="322"/>
      <c r="MPQ148" s="322"/>
      <c r="MPR148" s="322"/>
      <c r="MPS148" s="322"/>
      <c r="MPT148" s="322"/>
      <c r="MPU148" s="322"/>
      <c r="MPV148" s="322"/>
      <c r="MPW148" s="322"/>
      <c r="MPX148" s="322"/>
      <c r="MPY148" s="322"/>
      <c r="MPZ148" s="322"/>
      <c r="MQA148" s="322"/>
      <c r="MQB148" s="322"/>
      <c r="MQC148" s="322"/>
      <c r="MQD148" s="322"/>
      <c r="MQE148" s="322"/>
      <c r="MQF148" s="322"/>
      <c r="MQG148" s="322"/>
      <c r="MQH148" s="322"/>
      <c r="MQI148" s="322"/>
      <c r="MQJ148" s="322"/>
      <c r="MQK148" s="322"/>
      <c r="MQL148" s="322"/>
      <c r="MQM148" s="322"/>
      <c r="MQN148" s="322"/>
      <c r="MQO148" s="322"/>
      <c r="MQP148" s="322"/>
      <c r="MQQ148" s="322"/>
      <c r="MQR148" s="322"/>
      <c r="MQS148" s="322"/>
      <c r="MQT148" s="322"/>
      <c r="MQU148" s="322"/>
      <c r="MQV148" s="322"/>
      <c r="MQW148" s="322"/>
      <c r="MQX148" s="322"/>
      <c r="MQY148" s="322"/>
      <c r="MQZ148" s="322"/>
      <c r="MRA148" s="322"/>
      <c r="MRB148" s="322"/>
      <c r="MRC148" s="322"/>
      <c r="MRD148" s="322"/>
      <c r="MRE148" s="322"/>
      <c r="MRF148" s="322"/>
      <c r="MRG148" s="322"/>
      <c r="MRH148" s="322"/>
      <c r="MRI148" s="322"/>
      <c r="MRJ148" s="322"/>
      <c r="MRK148" s="322"/>
      <c r="MRL148" s="322"/>
      <c r="MRM148" s="322"/>
      <c r="MRN148" s="322"/>
      <c r="MRO148" s="322"/>
      <c r="MRP148" s="322"/>
      <c r="MRQ148" s="322"/>
      <c r="MRR148" s="322"/>
      <c r="MRS148" s="322"/>
      <c r="MRT148" s="322"/>
      <c r="MRU148" s="322"/>
      <c r="MRV148" s="322"/>
      <c r="MRW148" s="322"/>
      <c r="MRX148" s="322"/>
      <c r="MRY148" s="322"/>
      <c r="MRZ148" s="322"/>
      <c r="MSA148" s="322"/>
      <c r="MSB148" s="322"/>
      <c r="MSC148" s="322"/>
      <c r="MSD148" s="322"/>
      <c r="MSE148" s="322"/>
      <c r="MSF148" s="322"/>
      <c r="MSG148" s="322"/>
      <c r="MSH148" s="322"/>
      <c r="MSI148" s="322"/>
      <c r="MSJ148" s="322"/>
      <c r="MSK148" s="322"/>
      <c r="MSL148" s="322"/>
      <c r="MSM148" s="322"/>
      <c r="MSN148" s="322"/>
      <c r="MSO148" s="322"/>
      <c r="MSP148" s="322"/>
      <c r="MSQ148" s="322"/>
      <c r="MSR148" s="322"/>
      <c r="MSS148" s="322"/>
      <c r="MST148" s="322"/>
      <c r="MSU148" s="322"/>
      <c r="MSV148" s="322"/>
      <c r="MSW148" s="322"/>
      <c r="MSX148" s="322"/>
      <c r="MSY148" s="322"/>
      <c r="MSZ148" s="322"/>
      <c r="MTA148" s="322"/>
      <c r="MTB148" s="322"/>
      <c r="MTC148" s="322"/>
      <c r="MTD148" s="322"/>
      <c r="MTE148" s="322"/>
      <c r="MTF148" s="322"/>
      <c r="MTG148" s="322"/>
      <c r="MTH148" s="322"/>
      <c r="MTI148" s="322"/>
      <c r="MTJ148" s="322"/>
      <c r="MTK148" s="322"/>
      <c r="MTL148" s="322"/>
      <c r="MTM148" s="322"/>
      <c r="MTN148" s="322"/>
      <c r="MTO148" s="322"/>
      <c r="MTP148" s="322"/>
      <c r="MTQ148" s="322"/>
      <c r="MTR148" s="322"/>
      <c r="MTS148" s="322"/>
      <c r="MTT148" s="322"/>
      <c r="MTU148" s="322"/>
      <c r="MTV148" s="322"/>
      <c r="MTW148" s="322"/>
      <c r="MTX148" s="322"/>
      <c r="MTY148" s="322"/>
      <c r="MTZ148" s="322"/>
      <c r="MUA148" s="322"/>
      <c r="MUB148" s="322"/>
      <c r="MUC148" s="322"/>
      <c r="MUD148" s="322"/>
      <c r="MUE148" s="322"/>
      <c r="MUF148" s="322"/>
      <c r="MUG148" s="322"/>
      <c r="MUH148" s="322"/>
      <c r="MUI148" s="322"/>
      <c r="MUJ148" s="322"/>
      <c r="MUK148" s="322"/>
      <c r="MUL148" s="322"/>
      <c r="MUM148" s="322"/>
      <c r="MUN148" s="322"/>
      <c r="MUO148" s="322"/>
      <c r="MUP148" s="322"/>
      <c r="MUQ148" s="322"/>
      <c r="MUR148" s="322"/>
      <c r="MUS148" s="322"/>
      <c r="MUT148" s="322"/>
      <c r="MUU148" s="322"/>
      <c r="MUV148" s="322"/>
      <c r="MUW148" s="322"/>
      <c r="MUX148" s="322"/>
      <c r="MUY148" s="322"/>
      <c r="MUZ148" s="322"/>
      <c r="MVA148" s="322"/>
      <c r="MVB148" s="322"/>
      <c r="MVC148" s="322"/>
      <c r="MVD148" s="322"/>
      <c r="MVE148" s="322"/>
      <c r="MVF148" s="322"/>
      <c r="MVG148" s="322"/>
      <c r="MVH148" s="322"/>
      <c r="MVI148" s="322"/>
      <c r="MVJ148" s="322"/>
      <c r="MVK148" s="322"/>
      <c r="MVL148" s="322"/>
      <c r="MVM148" s="322"/>
      <c r="MVN148" s="322"/>
      <c r="MVO148" s="322"/>
      <c r="MVP148" s="322"/>
      <c r="MVQ148" s="322"/>
      <c r="MVR148" s="322"/>
      <c r="MVS148" s="322"/>
      <c r="MVT148" s="322"/>
      <c r="MVU148" s="322"/>
      <c r="MVV148" s="322"/>
      <c r="MVW148" s="322"/>
      <c r="MVX148" s="322"/>
      <c r="MVY148" s="322"/>
      <c r="MVZ148" s="322"/>
      <c r="MWA148" s="322"/>
      <c r="MWB148" s="322"/>
      <c r="MWC148" s="322"/>
      <c r="MWD148" s="322"/>
      <c r="MWE148" s="322"/>
      <c r="MWF148" s="322"/>
      <c r="MWG148" s="322"/>
      <c r="MWH148" s="322"/>
      <c r="MWI148" s="322"/>
      <c r="MWJ148" s="322"/>
      <c r="MWK148" s="322"/>
      <c r="MWL148" s="322"/>
      <c r="MWM148" s="322"/>
      <c r="MWN148" s="322"/>
      <c r="MWO148" s="322"/>
      <c r="MWP148" s="322"/>
      <c r="MWQ148" s="322"/>
      <c r="MWR148" s="322"/>
      <c r="MWS148" s="322"/>
      <c r="MWT148" s="322"/>
      <c r="MWU148" s="322"/>
      <c r="MWV148" s="322"/>
      <c r="MWW148" s="322"/>
      <c r="MWX148" s="322"/>
      <c r="MWY148" s="322"/>
      <c r="MWZ148" s="322"/>
      <c r="MXA148" s="322"/>
      <c r="MXB148" s="322"/>
      <c r="MXC148" s="322"/>
      <c r="MXD148" s="322"/>
      <c r="MXE148" s="322"/>
      <c r="MXF148" s="322"/>
      <c r="MXG148" s="322"/>
      <c r="MXH148" s="322"/>
      <c r="MXI148" s="322"/>
      <c r="MXJ148" s="322"/>
      <c r="MXK148" s="322"/>
      <c r="MXL148" s="322"/>
      <c r="MXM148" s="322"/>
      <c r="MXN148" s="322"/>
      <c r="MXO148" s="322"/>
      <c r="MXP148" s="322"/>
      <c r="MXQ148" s="322"/>
      <c r="MXR148" s="322"/>
      <c r="MXS148" s="322"/>
      <c r="MXT148" s="322"/>
      <c r="MXU148" s="322"/>
      <c r="MXV148" s="322"/>
      <c r="MXW148" s="322"/>
      <c r="MXX148" s="322"/>
      <c r="MXY148" s="322"/>
      <c r="MXZ148" s="322"/>
      <c r="MYA148" s="322"/>
      <c r="MYB148" s="322"/>
      <c r="MYC148" s="322"/>
      <c r="MYD148" s="322"/>
      <c r="MYE148" s="322"/>
      <c r="MYF148" s="322"/>
      <c r="MYG148" s="322"/>
      <c r="MYH148" s="322"/>
      <c r="MYI148" s="322"/>
      <c r="MYJ148" s="322"/>
      <c r="MYK148" s="322"/>
      <c r="MYL148" s="322"/>
      <c r="MYM148" s="322"/>
      <c r="MYN148" s="322"/>
      <c r="MYO148" s="322"/>
      <c r="MYP148" s="322"/>
      <c r="MYQ148" s="322"/>
      <c r="MYR148" s="322"/>
      <c r="MYS148" s="322"/>
      <c r="MYT148" s="322"/>
      <c r="MYU148" s="322"/>
      <c r="MYV148" s="322"/>
      <c r="MYW148" s="322"/>
      <c r="MYX148" s="322"/>
      <c r="MYY148" s="322"/>
      <c r="MYZ148" s="322"/>
      <c r="MZA148" s="322"/>
      <c r="MZB148" s="322"/>
      <c r="MZC148" s="322"/>
      <c r="MZD148" s="322"/>
      <c r="MZE148" s="322"/>
      <c r="MZF148" s="322"/>
      <c r="MZG148" s="322"/>
      <c r="MZH148" s="322"/>
      <c r="MZI148" s="322"/>
      <c r="MZJ148" s="322"/>
      <c r="MZK148" s="322"/>
      <c r="MZL148" s="322"/>
      <c r="MZM148" s="322"/>
      <c r="MZN148" s="322"/>
      <c r="MZO148" s="322"/>
      <c r="MZP148" s="322"/>
      <c r="MZQ148" s="322"/>
      <c r="MZR148" s="322"/>
      <c r="MZS148" s="322"/>
      <c r="MZT148" s="322"/>
      <c r="MZU148" s="322"/>
      <c r="MZV148" s="322"/>
      <c r="MZW148" s="322"/>
      <c r="MZX148" s="322"/>
      <c r="MZY148" s="322"/>
      <c r="MZZ148" s="322"/>
      <c r="NAA148" s="322"/>
      <c r="NAB148" s="322"/>
      <c r="NAC148" s="322"/>
      <c r="NAD148" s="322"/>
      <c r="NAE148" s="322"/>
      <c r="NAF148" s="322"/>
      <c r="NAG148" s="322"/>
      <c r="NAH148" s="322"/>
      <c r="NAI148" s="322"/>
      <c r="NAJ148" s="322"/>
      <c r="NAK148" s="322"/>
      <c r="NAL148" s="322"/>
      <c r="NAM148" s="322"/>
      <c r="NAN148" s="322"/>
      <c r="NAO148" s="322"/>
      <c r="NAP148" s="322"/>
      <c r="NAQ148" s="322"/>
      <c r="NAR148" s="322"/>
      <c r="NAS148" s="322"/>
      <c r="NAT148" s="322"/>
      <c r="NAU148" s="322"/>
      <c r="NAV148" s="322"/>
      <c r="NAW148" s="322"/>
      <c r="NAX148" s="322"/>
      <c r="NAY148" s="322"/>
      <c r="NAZ148" s="322"/>
      <c r="NBA148" s="322"/>
      <c r="NBB148" s="322"/>
      <c r="NBC148" s="322"/>
      <c r="NBD148" s="322"/>
      <c r="NBE148" s="322"/>
      <c r="NBF148" s="322"/>
      <c r="NBG148" s="322"/>
      <c r="NBH148" s="322"/>
      <c r="NBI148" s="322"/>
      <c r="NBJ148" s="322"/>
      <c r="NBK148" s="322"/>
      <c r="NBL148" s="322"/>
      <c r="NBM148" s="322"/>
      <c r="NBN148" s="322"/>
      <c r="NBO148" s="322"/>
      <c r="NBP148" s="322"/>
      <c r="NBQ148" s="322"/>
      <c r="NBR148" s="322"/>
      <c r="NBS148" s="322"/>
      <c r="NBT148" s="322"/>
      <c r="NBU148" s="322"/>
      <c r="NBV148" s="322"/>
      <c r="NBW148" s="322"/>
      <c r="NBX148" s="322"/>
      <c r="NBY148" s="322"/>
      <c r="NBZ148" s="322"/>
      <c r="NCA148" s="322"/>
      <c r="NCB148" s="322"/>
      <c r="NCC148" s="322"/>
      <c r="NCD148" s="322"/>
      <c r="NCE148" s="322"/>
      <c r="NCF148" s="322"/>
      <c r="NCG148" s="322"/>
      <c r="NCH148" s="322"/>
      <c r="NCI148" s="322"/>
      <c r="NCJ148" s="322"/>
      <c r="NCK148" s="322"/>
      <c r="NCL148" s="322"/>
      <c r="NCM148" s="322"/>
      <c r="NCN148" s="322"/>
      <c r="NCO148" s="322"/>
      <c r="NCP148" s="322"/>
      <c r="NCQ148" s="322"/>
      <c r="NCR148" s="322"/>
      <c r="NCS148" s="322"/>
      <c r="NCT148" s="322"/>
      <c r="NCU148" s="322"/>
      <c r="NCV148" s="322"/>
      <c r="NCW148" s="322"/>
      <c r="NCX148" s="322"/>
      <c r="NCY148" s="322"/>
      <c r="NCZ148" s="322"/>
      <c r="NDA148" s="322"/>
      <c r="NDB148" s="322"/>
      <c r="NDC148" s="322"/>
      <c r="NDD148" s="322"/>
      <c r="NDE148" s="322"/>
      <c r="NDF148" s="322"/>
      <c r="NDG148" s="322"/>
      <c r="NDH148" s="322"/>
      <c r="NDI148" s="322"/>
      <c r="NDJ148" s="322"/>
      <c r="NDK148" s="322"/>
      <c r="NDL148" s="322"/>
      <c r="NDM148" s="322"/>
      <c r="NDN148" s="322"/>
      <c r="NDO148" s="322"/>
      <c r="NDP148" s="322"/>
      <c r="NDQ148" s="322"/>
      <c r="NDR148" s="322"/>
      <c r="NDS148" s="322"/>
      <c r="NDT148" s="322"/>
      <c r="NDU148" s="322"/>
      <c r="NDV148" s="322"/>
      <c r="NDW148" s="322"/>
      <c r="NDX148" s="322"/>
      <c r="NDY148" s="322"/>
      <c r="NDZ148" s="322"/>
      <c r="NEA148" s="322"/>
      <c r="NEB148" s="322"/>
      <c r="NEC148" s="322"/>
      <c r="NED148" s="322"/>
      <c r="NEE148" s="322"/>
      <c r="NEF148" s="322"/>
      <c r="NEG148" s="322"/>
      <c r="NEH148" s="322"/>
      <c r="NEI148" s="322"/>
      <c r="NEJ148" s="322"/>
      <c r="NEK148" s="322"/>
      <c r="NEL148" s="322"/>
      <c r="NEM148" s="322"/>
      <c r="NEN148" s="322"/>
      <c r="NEO148" s="322"/>
      <c r="NEP148" s="322"/>
      <c r="NEQ148" s="322"/>
      <c r="NER148" s="322"/>
      <c r="NES148" s="322"/>
      <c r="NET148" s="322"/>
      <c r="NEU148" s="322"/>
      <c r="NEV148" s="322"/>
      <c r="NEW148" s="322"/>
      <c r="NEX148" s="322"/>
      <c r="NEY148" s="322"/>
      <c r="NEZ148" s="322"/>
      <c r="NFA148" s="322"/>
      <c r="NFB148" s="322"/>
      <c r="NFC148" s="322"/>
      <c r="NFD148" s="322"/>
      <c r="NFE148" s="322"/>
      <c r="NFF148" s="322"/>
      <c r="NFG148" s="322"/>
      <c r="NFH148" s="322"/>
      <c r="NFI148" s="322"/>
      <c r="NFJ148" s="322"/>
      <c r="NFK148" s="322"/>
      <c r="NFL148" s="322"/>
      <c r="NFM148" s="322"/>
      <c r="NFN148" s="322"/>
      <c r="NFO148" s="322"/>
      <c r="NFP148" s="322"/>
      <c r="NFQ148" s="322"/>
      <c r="NFR148" s="322"/>
      <c r="NFS148" s="322"/>
      <c r="NFT148" s="322"/>
      <c r="NFU148" s="322"/>
      <c r="NFV148" s="322"/>
      <c r="NFW148" s="322"/>
      <c r="NFX148" s="322"/>
      <c r="NFY148" s="322"/>
      <c r="NFZ148" s="322"/>
      <c r="NGA148" s="322"/>
      <c r="NGB148" s="322"/>
      <c r="NGC148" s="322"/>
      <c r="NGD148" s="322"/>
      <c r="NGE148" s="322"/>
      <c r="NGF148" s="322"/>
      <c r="NGG148" s="322"/>
      <c r="NGH148" s="322"/>
      <c r="NGI148" s="322"/>
      <c r="NGJ148" s="322"/>
      <c r="NGK148" s="322"/>
      <c r="NGL148" s="322"/>
      <c r="NGM148" s="322"/>
      <c r="NGN148" s="322"/>
      <c r="NGO148" s="322"/>
      <c r="NGP148" s="322"/>
      <c r="NGQ148" s="322"/>
      <c r="NGR148" s="322"/>
      <c r="NGS148" s="322"/>
      <c r="NGT148" s="322"/>
      <c r="NGU148" s="322"/>
      <c r="NGV148" s="322"/>
      <c r="NGW148" s="322"/>
      <c r="NGX148" s="322"/>
      <c r="NGY148" s="322"/>
      <c r="NGZ148" s="322"/>
      <c r="NHA148" s="322"/>
      <c r="NHB148" s="322"/>
      <c r="NHC148" s="322"/>
      <c r="NHD148" s="322"/>
      <c r="NHE148" s="322"/>
      <c r="NHF148" s="322"/>
      <c r="NHG148" s="322"/>
      <c r="NHH148" s="322"/>
      <c r="NHI148" s="322"/>
      <c r="NHJ148" s="322"/>
      <c r="NHK148" s="322"/>
      <c r="NHL148" s="322"/>
      <c r="NHM148" s="322"/>
      <c r="NHN148" s="322"/>
      <c r="NHO148" s="322"/>
      <c r="NHP148" s="322"/>
      <c r="NHQ148" s="322"/>
      <c r="NHR148" s="322"/>
      <c r="NHS148" s="322"/>
      <c r="NHT148" s="322"/>
      <c r="NHU148" s="322"/>
      <c r="NHV148" s="322"/>
      <c r="NHW148" s="322"/>
      <c r="NHX148" s="322"/>
      <c r="NHY148" s="322"/>
      <c r="NHZ148" s="322"/>
      <c r="NIA148" s="322"/>
      <c r="NIB148" s="322"/>
      <c r="NIC148" s="322"/>
      <c r="NID148" s="322"/>
      <c r="NIE148" s="322"/>
      <c r="NIF148" s="322"/>
      <c r="NIG148" s="322"/>
      <c r="NIH148" s="322"/>
      <c r="NII148" s="322"/>
      <c r="NIJ148" s="322"/>
      <c r="NIK148" s="322"/>
      <c r="NIL148" s="322"/>
      <c r="NIM148" s="322"/>
      <c r="NIN148" s="322"/>
      <c r="NIO148" s="322"/>
      <c r="NIP148" s="322"/>
      <c r="NIQ148" s="322"/>
      <c r="NIR148" s="322"/>
      <c r="NIS148" s="322"/>
      <c r="NIT148" s="322"/>
      <c r="NIU148" s="322"/>
      <c r="NIV148" s="322"/>
      <c r="NIW148" s="322"/>
      <c r="NIX148" s="322"/>
      <c r="NIY148" s="322"/>
      <c r="NIZ148" s="322"/>
      <c r="NJA148" s="322"/>
      <c r="NJB148" s="322"/>
      <c r="NJC148" s="322"/>
      <c r="NJD148" s="322"/>
      <c r="NJE148" s="322"/>
      <c r="NJF148" s="322"/>
      <c r="NJG148" s="322"/>
      <c r="NJH148" s="322"/>
      <c r="NJI148" s="322"/>
      <c r="NJJ148" s="322"/>
      <c r="NJK148" s="322"/>
      <c r="NJL148" s="322"/>
      <c r="NJM148" s="322"/>
      <c r="NJN148" s="322"/>
      <c r="NJO148" s="322"/>
      <c r="NJP148" s="322"/>
      <c r="NJQ148" s="322"/>
      <c r="NJR148" s="322"/>
      <c r="NJS148" s="322"/>
      <c r="NJT148" s="322"/>
      <c r="NJU148" s="322"/>
      <c r="NJV148" s="322"/>
      <c r="NJW148" s="322"/>
      <c r="NJX148" s="322"/>
      <c r="NJY148" s="322"/>
      <c r="NJZ148" s="322"/>
      <c r="NKA148" s="322"/>
      <c r="NKB148" s="322"/>
      <c r="NKC148" s="322"/>
      <c r="NKD148" s="322"/>
      <c r="NKE148" s="322"/>
      <c r="NKF148" s="322"/>
      <c r="NKG148" s="322"/>
      <c r="NKH148" s="322"/>
      <c r="NKI148" s="322"/>
      <c r="NKJ148" s="322"/>
      <c r="NKK148" s="322"/>
      <c r="NKL148" s="322"/>
      <c r="NKM148" s="322"/>
      <c r="NKN148" s="322"/>
      <c r="NKO148" s="322"/>
      <c r="NKP148" s="322"/>
      <c r="NKQ148" s="322"/>
      <c r="NKR148" s="322"/>
      <c r="NKS148" s="322"/>
      <c r="NKT148" s="322"/>
      <c r="NKU148" s="322"/>
      <c r="NKV148" s="322"/>
      <c r="NKW148" s="322"/>
      <c r="NKX148" s="322"/>
      <c r="NKY148" s="322"/>
      <c r="NKZ148" s="322"/>
      <c r="NLA148" s="322"/>
      <c r="NLB148" s="322"/>
      <c r="NLC148" s="322"/>
      <c r="NLD148" s="322"/>
      <c r="NLE148" s="322"/>
      <c r="NLF148" s="322"/>
      <c r="NLG148" s="322"/>
      <c r="NLH148" s="322"/>
      <c r="NLI148" s="322"/>
      <c r="NLJ148" s="322"/>
      <c r="NLK148" s="322"/>
      <c r="NLL148" s="322"/>
      <c r="NLM148" s="322"/>
      <c r="NLN148" s="322"/>
      <c r="NLO148" s="322"/>
      <c r="NLP148" s="322"/>
      <c r="NLQ148" s="322"/>
      <c r="NLR148" s="322"/>
      <c r="NLS148" s="322"/>
      <c r="NLT148" s="322"/>
      <c r="NLU148" s="322"/>
      <c r="NLV148" s="322"/>
      <c r="NLW148" s="322"/>
      <c r="NLX148" s="322"/>
      <c r="NLY148" s="322"/>
      <c r="NLZ148" s="322"/>
      <c r="NMA148" s="322"/>
      <c r="NMB148" s="322"/>
      <c r="NMC148" s="322"/>
      <c r="NMD148" s="322"/>
      <c r="NME148" s="322"/>
      <c r="NMF148" s="322"/>
      <c r="NMG148" s="322"/>
      <c r="NMH148" s="322"/>
      <c r="NMI148" s="322"/>
      <c r="NMJ148" s="322"/>
      <c r="NMK148" s="322"/>
      <c r="NML148" s="322"/>
      <c r="NMM148" s="322"/>
      <c r="NMN148" s="322"/>
      <c r="NMO148" s="322"/>
      <c r="NMP148" s="322"/>
      <c r="NMQ148" s="322"/>
      <c r="NMR148" s="322"/>
      <c r="NMS148" s="322"/>
      <c r="NMT148" s="322"/>
      <c r="NMU148" s="322"/>
      <c r="NMV148" s="322"/>
      <c r="NMW148" s="322"/>
      <c r="NMX148" s="322"/>
      <c r="NMY148" s="322"/>
      <c r="NMZ148" s="322"/>
      <c r="NNA148" s="322"/>
      <c r="NNB148" s="322"/>
      <c r="NNC148" s="322"/>
      <c r="NND148" s="322"/>
      <c r="NNE148" s="322"/>
      <c r="NNF148" s="322"/>
      <c r="NNG148" s="322"/>
      <c r="NNH148" s="322"/>
      <c r="NNI148" s="322"/>
      <c r="NNJ148" s="322"/>
      <c r="NNK148" s="322"/>
      <c r="NNL148" s="322"/>
      <c r="NNM148" s="322"/>
      <c r="NNN148" s="322"/>
      <c r="NNO148" s="322"/>
      <c r="NNP148" s="322"/>
      <c r="NNQ148" s="322"/>
      <c r="NNR148" s="322"/>
      <c r="NNS148" s="322"/>
      <c r="NNT148" s="322"/>
      <c r="NNU148" s="322"/>
      <c r="NNV148" s="322"/>
      <c r="NNW148" s="322"/>
      <c r="NNX148" s="322"/>
      <c r="NNY148" s="322"/>
      <c r="NNZ148" s="322"/>
      <c r="NOA148" s="322"/>
      <c r="NOB148" s="322"/>
      <c r="NOC148" s="322"/>
      <c r="NOD148" s="322"/>
      <c r="NOE148" s="322"/>
      <c r="NOF148" s="322"/>
      <c r="NOG148" s="322"/>
      <c r="NOH148" s="322"/>
      <c r="NOI148" s="322"/>
      <c r="NOJ148" s="322"/>
      <c r="NOK148" s="322"/>
      <c r="NOL148" s="322"/>
      <c r="NOM148" s="322"/>
      <c r="NON148" s="322"/>
      <c r="NOO148" s="322"/>
      <c r="NOP148" s="322"/>
      <c r="NOQ148" s="322"/>
      <c r="NOR148" s="322"/>
      <c r="NOS148" s="322"/>
      <c r="NOT148" s="322"/>
      <c r="NOU148" s="322"/>
      <c r="NOV148" s="322"/>
      <c r="NOW148" s="322"/>
      <c r="NOX148" s="322"/>
      <c r="NOY148" s="322"/>
      <c r="NOZ148" s="322"/>
      <c r="NPA148" s="322"/>
      <c r="NPB148" s="322"/>
      <c r="NPC148" s="322"/>
      <c r="NPD148" s="322"/>
      <c r="NPE148" s="322"/>
      <c r="NPF148" s="322"/>
      <c r="NPG148" s="322"/>
      <c r="NPH148" s="322"/>
      <c r="NPI148" s="322"/>
      <c r="NPJ148" s="322"/>
      <c r="NPK148" s="322"/>
      <c r="NPL148" s="322"/>
      <c r="NPM148" s="322"/>
      <c r="NPN148" s="322"/>
      <c r="NPO148" s="322"/>
      <c r="NPP148" s="322"/>
      <c r="NPQ148" s="322"/>
      <c r="NPR148" s="322"/>
      <c r="NPS148" s="322"/>
      <c r="NPT148" s="322"/>
      <c r="NPU148" s="322"/>
      <c r="NPV148" s="322"/>
      <c r="NPW148" s="322"/>
      <c r="NPX148" s="322"/>
      <c r="NPY148" s="322"/>
      <c r="NPZ148" s="322"/>
      <c r="NQA148" s="322"/>
      <c r="NQB148" s="322"/>
      <c r="NQC148" s="322"/>
      <c r="NQD148" s="322"/>
      <c r="NQE148" s="322"/>
      <c r="NQF148" s="322"/>
      <c r="NQG148" s="322"/>
      <c r="NQH148" s="322"/>
      <c r="NQI148" s="322"/>
      <c r="NQJ148" s="322"/>
      <c r="NQK148" s="322"/>
      <c r="NQL148" s="322"/>
      <c r="NQM148" s="322"/>
      <c r="NQN148" s="322"/>
      <c r="NQO148" s="322"/>
      <c r="NQP148" s="322"/>
      <c r="NQQ148" s="322"/>
      <c r="NQR148" s="322"/>
      <c r="NQS148" s="322"/>
      <c r="NQT148" s="322"/>
      <c r="NQU148" s="322"/>
      <c r="NQV148" s="322"/>
      <c r="NQW148" s="322"/>
      <c r="NQX148" s="322"/>
      <c r="NQY148" s="322"/>
      <c r="NQZ148" s="322"/>
      <c r="NRA148" s="322"/>
      <c r="NRB148" s="322"/>
      <c r="NRC148" s="322"/>
      <c r="NRD148" s="322"/>
      <c r="NRE148" s="322"/>
      <c r="NRF148" s="322"/>
      <c r="NRG148" s="322"/>
      <c r="NRH148" s="322"/>
      <c r="NRI148" s="322"/>
      <c r="NRJ148" s="322"/>
      <c r="NRK148" s="322"/>
      <c r="NRL148" s="322"/>
      <c r="NRM148" s="322"/>
      <c r="NRN148" s="322"/>
      <c r="NRO148" s="322"/>
      <c r="NRP148" s="322"/>
      <c r="NRQ148" s="322"/>
      <c r="NRR148" s="322"/>
      <c r="NRS148" s="322"/>
      <c r="NRT148" s="322"/>
      <c r="NRU148" s="322"/>
      <c r="NRV148" s="322"/>
      <c r="NRW148" s="322"/>
      <c r="NRX148" s="322"/>
      <c r="NRY148" s="322"/>
      <c r="NRZ148" s="322"/>
      <c r="NSA148" s="322"/>
      <c r="NSB148" s="322"/>
      <c r="NSC148" s="322"/>
      <c r="NSD148" s="322"/>
      <c r="NSE148" s="322"/>
      <c r="NSF148" s="322"/>
      <c r="NSG148" s="322"/>
      <c r="NSH148" s="322"/>
      <c r="NSI148" s="322"/>
      <c r="NSJ148" s="322"/>
      <c r="NSK148" s="322"/>
      <c r="NSL148" s="322"/>
      <c r="NSM148" s="322"/>
      <c r="NSN148" s="322"/>
      <c r="NSO148" s="322"/>
      <c r="NSP148" s="322"/>
      <c r="NSQ148" s="322"/>
      <c r="NSR148" s="322"/>
      <c r="NSS148" s="322"/>
      <c r="NST148" s="322"/>
      <c r="NSU148" s="322"/>
      <c r="NSV148" s="322"/>
      <c r="NSW148" s="322"/>
      <c r="NSX148" s="322"/>
      <c r="NSY148" s="322"/>
      <c r="NSZ148" s="322"/>
      <c r="NTA148" s="322"/>
      <c r="NTB148" s="322"/>
      <c r="NTC148" s="322"/>
      <c r="NTD148" s="322"/>
      <c r="NTE148" s="322"/>
      <c r="NTF148" s="322"/>
      <c r="NTG148" s="322"/>
      <c r="NTH148" s="322"/>
      <c r="NTI148" s="322"/>
      <c r="NTJ148" s="322"/>
      <c r="NTK148" s="322"/>
      <c r="NTL148" s="322"/>
      <c r="NTM148" s="322"/>
      <c r="NTN148" s="322"/>
      <c r="NTO148" s="322"/>
      <c r="NTP148" s="322"/>
      <c r="NTQ148" s="322"/>
      <c r="NTR148" s="322"/>
      <c r="NTS148" s="322"/>
      <c r="NTT148" s="322"/>
      <c r="NTU148" s="322"/>
      <c r="NTV148" s="322"/>
      <c r="NTW148" s="322"/>
      <c r="NTX148" s="322"/>
      <c r="NTY148" s="322"/>
      <c r="NTZ148" s="322"/>
      <c r="NUA148" s="322"/>
      <c r="NUB148" s="322"/>
      <c r="NUC148" s="322"/>
      <c r="NUD148" s="322"/>
      <c r="NUE148" s="322"/>
      <c r="NUF148" s="322"/>
      <c r="NUG148" s="322"/>
      <c r="NUH148" s="322"/>
      <c r="NUI148" s="322"/>
      <c r="NUJ148" s="322"/>
      <c r="NUK148" s="322"/>
      <c r="NUL148" s="322"/>
      <c r="NUM148" s="322"/>
      <c r="NUN148" s="322"/>
      <c r="NUO148" s="322"/>
      <c r="NUP148" s="322"/>
      <c r="NUQ148" s="322"/>
      <c r="NUR148" s="322"/>
      <c r="NUS148" s="322"/>
      <c r="NUT148" s="322"/>
      <c r="NUU148" s="322"/>
      <c r="NUV148" s="322"/>
      <c r="NUW148" s="322"/>
      <c r="NUX148" s="322"/>
      <c r="NUY148" s="322"/>
      <c r="NUZ148" s="322"/>
      <c r="NVA148" s="322"/>
      <c r="NVB148" s="322"/>
      <c r="NVC148" s="322"/>
      <c r="NVD148" s="322"/>
      <c r="NVE148" s="322"/>
      <c r="NVF148" s="322"/>
      <c r="NVG148" s="322"/>
      <c r="NVH148" s="322"/>
      <c r="NVI148" s="322"/>
      <c r="NVJ148" s="322"/>
      <c r="NVK148" s="322"/>
      <c r="NVL148" s="322"/>
      <c r="NVM148" s="322"/>
      <c r="NVN148" s="322"/>
      <c r="NVO148" s="322"/>
      <c r="NVP148" s="322"/>
      <c r="NVQ148" s="322"/>
      <c r="NVR148" s="322"/>
      <c r="NVS148" s="322"/>
      <c r="NVT148" s="322"/>
      <c r="NVU148" s="322"/>
      <c r="NVV148" s="322"/>
      <c r="NVW148" s="322"/>
      <c r="NVX148" s="322"/>
      <c r="NVY148" s="322"/>
      <c r="NVZ148" s="322"/>
      <c r="NWA148" s="322"/>
      <c r="NWB148" s="322"/>
      <c r="NWC148" s="322"/>
      <c r="NWD148" s="322"/>
      <c r="NWE148" s="322"/>
      <c r="NWF148" s="322"/>
      <c r="NWG148" s="322"/>
      <c r="NWH148" s="322"/>
      <c r="NWI148" s="322"/>
      <c r="NWJ148" s="322"/>
      <c r="NWK148" s="322"/>
      <c r="NWL148" s="322"/>
      <c r="NWM148" s="322"/>
      <c r="NWN148" s="322"/>
      <c r="NWO148" s="322"/>
      <c r="NWP148" s="322"/>
      <c r="NWQ148" s="322"/>
      <c r="NWR148" s="322"/>
      <c r="NWS148" s="322"/>
      <c r="NWT148" s="322"/>
      <c r="NWU148" s="322"/>
      <c r="NWV148" s="322"/>
      <c r="NWW148" s="322"/>
      <c r="NWX148" s="322"/>
      <c r="NWY148" s="322"/>
      <c r="NWZ148" s="322"/>
      <c r="NXA148" s="322"/>
      <c r="NXB148" s="322"/>
      <c r="NXC148" s="322"/>
      <c r="NXD148" s="322"/>
      <c r="NXE148" s="322"/>
      <c r="NXF148" s="322"/>
      <c r="NXG148" s="322"/>
      <c r="NXH148" s="322"/>
      <c r="NXI148" s="322"/>
      <c r="NXJ148" s="322"/>
      <c r="NXK148" s="322"/>
      <c r="NXL148" s="322"/>
      <c r="NXM148" s="322"/>
      <c r="NXN148" s="322"/>
      <c r="NXO148" s="322"/>
      <c r="NXP148" s="322"/>
      <c r="NXQ148" s="322"/>
      <c r="NXR148" s="322"/>
      <c r="NXS148" s="322"/>
      <c r="NXT148" s="322"/>
      <c r="NXU148" s="322"/>
      <c r="NXV148" s="322"/>
      <c r="NXW148" s="322"/>
      <c r="NXX148" s="322"/>
      <c r="NXY148" s="322"/>
      <c r="NXZ148" s="322"/>
      <c r="NYA148" s="322"/>
      <c r="NYB148" s="322"/>
      <c r="NYC148" s="322"/>
      <c r="NYD148" s="322"/>
      <c r="NYE148" s="322"/>
      <c r="NYF148" s="322"/>
      <c r="NYG148" s="322"/>
      <c r="NYH148" s="322"/>
      <c r="NYI148" s="322"/>
      <c r="NYJ148" s="322"/>
      <c r="NYK148" s="322"/>
      <c r="NYL148" s="322"/>
      <c r="NYM148" s="322"/>
      <c r="NYN148" s="322"/>
      <c r="NYO148" s="322"/>
      <c r="NYP148" s="322"/>
      <c r="NYQ148" s="322"/>
      <c r="NYR148" s="322"/>
      <c r="NYS148" s="322"/>
      <c r="NYT148" s="322"/>
      <c r="NYU148" s="322"/>
      <c r="NYV148" s="322"/>
      <c r="NYW148" s="322"/>
      <c r="NYX148" s="322"/>
      <c r="NYY148" s="322"/>
      <c r="NYZ148" s="322"/>
      <c r="NZA148" s="322"/>
      <c r="NZB148" s="322"/>
      <c r="NZC148" s="322"/>
      <c r="NZD148" s="322"/>
      <c r="NZE148" s="322"/>
      <c r="NZF148" s="322"/>
      <c r="NZG148" s="322"/>
      <c r="NZH148" s="322"/>
      <c r="NZI148" s="322"/>
      <c r="NZJ148" s="322"/>
      <c r="NZK148" s="322"/>
      <c r="NZL148" s="322"/>
      <c r="NZM148" s="322"/>
      <c r="NZN148" s="322"/>
      <c r="NZO148" s="322"/>
      <c r="NZP148" s="322"/>
      <c r="NZQ148" s="322"/>
      <c r="NZR148" s="322"/>
      <c r="NZS148" s="322"/>
      <c r="NZT148" s="322"/>
      <c r="NZU148" s="322"/>
      <c r="NZV148" s="322"/>
      <c r="NZW148" s="322"/>
      <c r="NZX148" s="322"/>
      <c r="NZY148" s="322"/>
      <c r="NZZ148" s="322"/>
      <c r="OAA148" s="322"/>
      <c r="OAB148" s="322"/>
      <c r="OAC148" s="322"/>
      <c r="OAD148" s="322"/>
      <c r="OAE148" s="322"/>
      <c r="OAF148" s="322"/>
      <c r="OAG148" s="322"/>
      <c r="OAH148" s="322"/>
      <c r="OAI148" s="322"/>
      <c r="OAJ148" s="322"/>
      <c r="OAK148" s="322"/>
      <c r="OAL148" s="322"/>
      <c r="OAM148" s="322"/>
      <c r="OAN148" s="322"/>
      <c r="OAO148" s="322"/>
      <c r="OAP148" s="322"/>
      <c r="OAQ148" s="322"/>
      <c r="OAR148" s="322"/>
      <c r="OAS148" s="322"/>
      <c r="OAT148" s="322"/>
      <c r="OAU148" s="322"/>
      <c r="OAV148" s="322"/>
      <c r="OAW148" s="322"/>
      <c r="OAX148" s="322"/>
      <c r="OAY148" s="322"/>
      <c r="OAZ148" s="322"/>
      <c r="OBA148" s="322"/>
      <c r="OBB148" s="322"/>
      <c r="OBC148" s="322"/>
      <c r="OBD148" s="322"/>
      <c r="OBE148" s="322"/>
      <c r="OBF148" s="322"/>
      <c r="OBG148" s="322"/>
      <c r="OBH148" s="322"/>
      <c r="OBI148" s="322"/>
      <c r="OBJ148" s="322"/>
      <c r="OBK148" s="322"/>
      <c r="OBL148" s="322"/>
      <c r="OBM148" s="322"/>
      <c r="OBN148" s="322"/>
      <c r="OBO148" s="322"/>
      <c r="OBP148" s="322"/>
      <c r="OBQ148" s="322"/>
      <c r="OBR148" s="322"/>
      <c r="OBS148" s="322"/>
      <c r="OBT148" s="322"/>
      <c r="OBU148" s="322"/>
      <c r="OBV148" s="322"/>
      <c r="OBW148" s="322"/>
      <c r="OBX148" s="322"/>
      <c r="OBY148" s="322"/>
      <c r="OBZ148" s="322"/>
      <c r="OCA148" s="322"/>
      <c r="OCB148" s="322"/>
      <c r="OCC148" s="322"/>
      <c r="OCD148" s="322"/>
      <c r="OCE148" s="322"/>
      <c r="OCF148" s="322"/>
      <c r="OCG148" s="322"/>
      <c r="OCH148" s="322"/>
      <c r="OCI148" s="322"/>
      <c r="OCJ148" s="322"/>
      <c r="OCK148" s="322"/>
      <c r="OCL148" s="322"/>
      <c r="OCM148" s="322"/>
      <c r="OCN148" s="322"/>
      <c r="OCO148" s="322"/>
      <c r="OCP148" s="322"/>
      <c r="OCQ148" s="322"/>
      <c r="OCR148" s="322"/>
      <c r="OCS148" s="322"/>
      <c r="OCT148" s="322"/>
      <c r="OCU148" s="322"/>
      <c r="OCV148" s="322"/>
      <c r="OCW148" s="322"/>
      <c r="OCX148" s="322"/>
      <c r="OCY148" s="322"/>
      <c r="OCZ148" s="322"/>
      <c r="ODA148" s="322"/>
      <c r="ODB148" s="322"/>
      <c r="ODC148" s="322"/>
      <c r="ODD148" s="322"/>
      <c r="ODE148" s="322"/>
      <c r="ODF148" s="322"/>
      <c r="ODG148" s="322"/>
      <c r="ODH148" s="322"/>
      <c r="ODI148" s="322"/>
      <c r="ODJ148" s="322"/>
      <c r="ODK148" s="322"/>
      <c r="ODL148" s="322"/>
      <c r="ODM148" s="322"/>
      <c r="ODN148" s="322"/>
      <c r="ODO148" s="322"/>
      <c r="ODP148" s="322"/>
      <c r="ODQ148" s="322"/>
      <c r="ODR148" s="322"/>
      <c r="ODS148" s="322"/>
      <c r="ODT148" s="322"/>
      <c r="ODU148" s="322"/>
      <c r="ODV148" s="322"/>
      <c r="ODW148" s="322"/>
      <c r="ODX148" s="322"/>
      <c r="ODY148" s="322"/>
      <c r="ODZ148" s="322"/>
      <c r="OEA148" s="322"/>
      <c r="OEB148" s="322"/>
      <c r="OEC148" s="322"/>
      <c r="OED148" s="322"/>
      <c r="OEE148" s="322"/>
      <c r="OEF148" s="322"/>
      <c r="OEG148" s="322"/>
      <c r="OEH148" s="322"/>
      <c r="OEI148" s="322"/>
      <c r="OEJ148" s="322"/>
      <c r="OEK148" s="322"/>
      <c r="OEL148" s="322"/>
      <c r="OEM148" s="322"/>
      <c r="OEN148" s="322"/>
      <c r="OEO148" s="322"/>
      <c r="OEP148" s="322"/>
      <c r="OEQ148" s="322"/>
      <c r="OER148" s="322"/>
      <c r="OES148" s="322"/>
      <c r="OET148" s="322"/>
      <c r="OEU148" s="322"/>
      <c r="OEV148" s="322"/>
      <c r="OEW148" s="322"/>
      <c r="OEX148" s="322"/>
      <c r="OEY148" s="322"/>
      <c r="OEZ148" s="322"/>
      <c r="OFA148" s="322"/>
      <c r="OFB148" s="322"/>
      <c r="OFC148" s="322"/>
      <c r="OFD148" s="322"/>
      <c r="OFE148" s="322"/>
      <c r="OFF148" s="322"/>
      <c r="OFG148" s="322"/>
      <c r="OFH148" s="322"/>
      <c r="OFI148" s="322"/>
      <c r="OFJ148" s="322"/>
      <c r="OFK148" s="322"/>
      <c r="OFL148" s="322"/>
      <c r="OFM148" s="322"/>
      <c r="OFN148" s="322"/>
      <c r="OFO148" s="322"/>
      <c r="OFP148" s="322"/>
      <c r="OFQ148" s="322"/>
      <c r="OFR148" s="322"/>
      <c r="OFS148" s="322"/>
      <c r="OFT148" s="322"/>
      <c r="OFU148" s="322"/>
      <c r="OFV148" s="322"/>
      <c r="OFW148" s="322"/>
      <c r="OFX148" s="322"/>
      <c r="OFY148" s="322"/>
      <c r="OFZ148" s="322"/>
      <c r="OGA148" s="322"/>
      <c r="OGB148" s="322"/>
      <c r="OGC148" s="322"/>
      <c r="OGD148" s="322"/>
      <c r="OGE148" s="322"/>
      <c r="OGF148" s="322"/>
      <c r="OGG148" s="322"/>
      <c r="OGH148" s="322"/>
      <c r="OGI148" s="322"/>
      <c r="OGJ148" s="322"/>
      <c r="OGK148" s="322"/>
      <c r="OGL148" s="322"/>
      <c r="OGM148" s="322"/>
      <c r="OGN148" s="322"/>
      <c r="OGO148" s="322"/>
      <c r="OGP148" s="322"/>
      <c r="OGQ148" s="322"/>
      <c r="OGR148" s="322"/>
      <c r="OGS148" s="322"/>
      <c r="OGT148" s="322"/>
      <c r="OGU148" s="322"/>
      <c r="OGV148" s="322"/>
      <c r="OGW148" s="322"/>
      <c r="OGX148" s="322"/>
      <c r="OGY148" s="322"/>
      <c r="OGZ148" s="322"/>
      <c r="OHA148" s="322"/>
      <c r="OHB148" s="322"/>
      <c r="OHC148" s="322"/>
      <c r="OHD148" s="322"/>
      <c r="OHE148" s="322"/>
      <c r="OHF148" s="322"/>
      <c r="OHG148" s="322"/>
      <c r="OHH148" s="322"/>
      <c r="OHI148" s="322"/>
      <c r="OHJ148" s="322"/>
      <c r="OHK148" s="322"/>
      <c r="OHL148" s="322"/>
      <c r="OHM148" s="322"/>
      <c r="OHN148" s="322"/>
      <c r="OHO148" s="322"/>
      <c r="OHP148" s="322"/>
      <c r="OHQ148" s="322"/>
      <c r="OHR148" s="322"/>
      <c r="OHS148" s="322"/>
      <c r="OHT148" s="322"/>
      <c r="OHU148" s="322"/>
      <c r="OHV148" s="322"/>
      <c r="OHW148" s="322"/>
      <c r="OHX148" s="322"/>
      <c r="OHY148" s="322"/>
      <c r="OHZ148" s="322"/>
      <c r="OIA148" s="322"/>
      <c r="OIB148" s="322"/>
      <c r="OIC148" s="322"/>
      <c r="OID148" s="322"/>
      <c r="OIE148" s="322"/>
      <c r="OIF148" s="322"/>
      <c r="OIG148" s="322"/>
      <c r="OIH148" s="322"/>
      <c r="OII148" s="322"/>
      <c r="OIJ148" s="322"/>
      <c r="OIK148" s="322"/>
      <c r="OIL148" s="322"/>
      <c r="OIM148" s="322"/>
      <c r="OIN148" s="322"/>
      <c r="OIO148" s="322"/>
      <c r="OIP148" s="322"/>
      <c r="OIQ148" s="322"/>
      <c r="OIR148" s="322"/>
      <c r="OIS148" s="322"/>
      <c r="OIT148" s="322"/>
      <c r="OIU148" s="322"/>
      <c r="OIV148" s="322"/>
      <c r="OIW148" s="322"/>
      <c r="OIX148" s="322"/>
      <c r="OIY148" s="322"/>
      <c r="OIZ148" s="322"/>
      <c r="OJA148" s="322"/>
      <c r="OJB148" s="322"/>
      <c r="OJC148" s="322"/>
      <c r="OJD148" s="322"/>
      <c r="OJE148" s="322"/>
      <c r="OJF148" s="322"/>
      <c r="OJG148" s="322"/>
      <c r="OJH148" s="322"/>
      <c r="OJI148" s="322"/>
      <c r="OJJ148" s="322"/>
      <c r="OJK148" s="322"/>
      <c r="OJL148" s="322"/>
      <c r="OJM148" s="322"/>
      <c r="OJN148" s="322"/>
      <c r="OJO148" s="322"/>
      <c r="OJP148" s="322"/>
      <c r="OJQ148" s="322"/>
      <c r="OJR148" s="322"/>
      <c r="OJS148" s="322"/>
      <c r="OJT148" s="322"/>
      <c r="OJU148" s="322"/>
      <c r="OJV148" s="322"/>
      <c r="OJW148" s="322"/>
      <c r="OJX148" s="322"/>
      <c r="OJY148" s="322"/>
      <c r="OJZ148" s="322"/>
      <c r="OKA148" s="322"/>
      <c r="OKB148" s="322"/>
      <c r="OKC148" s="322"/>
      <c r="OKD148" s="322"/>
      <c r="OKE148" s="322"/>
      <c r="OKF148" s="322"/>
      <c r="OKG148" s="322"/>
      <c r="OKH148" s="322"/>
      <c r="OKI148" s="322"/>
      <c r="OKJ148" s="322"/>
      <c r="OKK148" s="322"/>
      <c r="OKL148" s="322"/>
      <c r="OKM148" s="322"/>
      <c r="OKN148" s="322"/>
      <c r="OKO148" s="322"/>
      <c r="OKP148" s="322"/>
      <c r="OKQ148" s="322"/>
      <c r="OKR148" s="322"/>
      <c r="OKS148" s="322"/>
      <c r="OKT148" s="322"/>
      <c r="OKU148" s="322"/>
      <c r="OKV148" s="322"/>
      <c r="OKW148" s="322"/>
      <c r="OKX148" s="322"/>
      <c r="OKY148" s="322"/>
      <c r="OKZ148" s="322"/>
      <c r="OLA148" s="322"/>
      <c r="OLB148" s="322"/>
      <c r="OLC148" s="322"/>
      <c r="OLD148" s="322"/>
      <c r="OLE148" s="322"/>
      <c r="OLF148" s="322"/>
      <c r="OLG148" s="322"/>
      <c r="OLH148" s="322"/>
      <c r="OLI148" s="322"/>
      <c r="OLJ148" s="322"/>
      <c r="OLK148" s="322"/>
      <c r="OLL148" s="322"/>
      <c r="OLM148" s="322"/>
      <c r="OLN148" s="322"/>
      <c r="OLO148" s="322"/>
      <c r="OLP148" s="322"/>
      <c r="OLQ148" s="322"/>
      <c r="OLR148" s="322"/>
      <c r="OLS148" s="322"/>
      <c r="OLT148" s="322"/>
      <c r="OLU148" s="322"/>
      <c r="OLV148" s="322"/>
      <c r="OLW148" s="322"/>
      <c r="OLX148" s="322"/>
      <c r="OLY148" s="322"/>
      <c r="OLZ148" s="322"/>
      <c r="OMA148" s="322"/>
      <c r="OMB148" s="322"/>
      <c r="OMC148" s="322"/>
      <c r="OMD148" s="322"/>
      <c r="OME148" s="322"/>
      <c r="OMF148" s="322"/>
      <c r="OMG148" s="322"/>
      <c r="OMH148" s="322"/>
      <c r="OMI148" s="322"/>
      <c r="OMJ148" s="322"/>
      <c r="OMK148" s="322"/>
      <c r="OML148" s="322"/>
      <c r="OMM148" s="322"/>
      <c r="OMN148" s="322"/>
      <c r="OMO148" s="322"/>
      <c r="OMP148" s="322"/>
      <c r="OMQ148" s="322"/>
      <c r="OMR148" s="322"/>
      <c r="OMS148" s="322"/>
      <c r="OMT148" s="322"/>
      <c r="OMU148" s="322"/>
      <c r="OMV148" s="322"/>
      <c r="OMW148" s="322"/>
      <c r="OMX148" s="322"/>
      <c r="OMY148" s="322"/>
      <c r="OMZ148" s="322"/>
      <c r="ONA148" s="322"/>
      <c r="ONB148" s="322"/>
      <c r="ONC148" s="322"/>
      <c r="OND148" s="322"/>
      <c r="ONE148" s="322"/>
      <c r="ONF148" s="322"/>
      <c r="ONG148" s="322"/>
      <c r="ONH148" s="322"/>
      <c r="ONI148" s="322"/>
      <c r="ONJ148" s="322"/>
      <c r="ONK148" s="322"/>
      <c r="ONL148" s="322"/>
      <c r="ONM148" s="322"/>
      <c r="ONN148" s="322"/>
      <c r="ONO148" s="322"/>
      <c r="ONP148" s="322"/>
      <c r="ONQ148" s="322"/>
      <c r="ONR148" s="322"/>
      <c r="ONS148" s="322"/>
      <c r="ONT148" s="322"/>
      <c r="ONU148" s="322"/>
      <c r="ONV148" s="322"/>
      <c r="ONW148" s="322"/>
      <c r="ONX148" s="322"/>
      <c r="ONY148" s="322"/>
      <c r="ONZ148" s="322"/>
      <c r="OOA148" s="322"/>
      <c r="OOB148" s="322"/>
      <c r="OOC148" s="322"/>
      <c r="OOD148" s="322"/>
      <c r="OOE148" s="322"/>
      <c r="OOF148" s="322"/>
      <c r="OOG148" s="322"/>
      <c r="OOH148" s="322"/>
      <c r="OOI148" s="322"/>
      <c r="OOJ148" s="322"/>
      <c r="OOK148" s="322"/>
      <c r="OOL148" s="322"/>
      <c r="OOM148" s="322"/>
      <c r="OON148" s="322"/>
      <c r="OOO148" s="322"/>
      <c r="OOP148" s="322"/>
      <c r="OOQ148" s="322"/>
      <c r="OOR148" s="322"/>
      <c r="OOS148" s="322"/>
      <c r="OOT148" s="322"/>
      <c r="OOU148" s="322"/>
      <c r="OOV148" s="322"/>
      <c r="OOW148" s="322"/>
      <c r="OOX148" s="322"/>
      <c r="OOY148" s="322"/>
      <c r="OOZ148" s="322"/>
      <c r="OPA148" s="322"/>
      <c r="OPB148" s="322"/>
      <c r="OPC148" s="322"/>
      <c r="OPD148" s="322"/>
      <c r="OPE148" s="322"/>
      <c r="OPF148" s="322"/>
      <c r="OPG148" s="322"/>
      <c r="OPH148" s="322"/>
      <c r="OPI148" s="322"/>
      <c r="OPJ148" s="322"/>
      <c r="OPK148" s="322"/>
      <c r="OPL148" s="322"/>
      <c r="OPM148" s="322"/>
      <c r="OPN148" s="322"/>
      <c r="OPO148" s="322"/>
      <c r="OPP148" s="322"/>
      <c r="OPQ148" s="322"/>
      <c r="OPR148" s="322"/>
      <c r="OPS148" s="322"/>
      <c r="OPT148" s="322"/>
      <c r="OPU148" s="322"/>
      <c r="OPV148" s="322"/>
      <c r="OPW148" s="322"/>
      <c r="OPX148" s="322"/>
      <c r="OPY148" s="322"/>
      <c r="OPZ148" s="322"/>
      <c r="OQA148" s="322"/>
      <c r="OQB148" s="322"/>
      <c r="OQC148" s="322"/>
      <c r="OQD148" s="322"/>
      <c r="OQE148" s="322"/>
      <c r="OQF148" s="322"/>
      <c r="OQG148" s="322"/>
      <c r="OQH148" s="322"/>
      <c r="OQI148" s="322"/>
      <c r="OQJ148" s="322"/>
      <c r="OQK148" s="322"/>
      <c r="OQL148" s="322"/>
      <c r="OQM148" s="322"/>
      <c r="OQN148" s="322"/>
      <c r="OQO148" s="322"/>
      <c r="OQP148" s="322"/>
      <c r="OQQ148" s="322"/>
      <c r="OQR148" s="322"/>
      <c r="OQS148" s="322"/>
      <c r="OQT148" s="322"/>
      <c r="OQU148" s="322"/>
      <c r="OQV148" s="322"/>
      <c r="OQW148" s="322"/>
      <c r="OQX148" s="322"/>
      <c r="OQY148" s="322"/>
      <c r="OQZ148" s="322"/>
      <c r="ORA148" s="322"/>
      <c r="ORB148" s="322"/>
      <c r="ORC148" s="322"/>
      <c r="ORD148" s="322"/>
      <c r="ORE148" s="322"/>
      <c r="ORF148" s="322"/>
      <c r="ORG148" s="322"/>
      <c r="ORH148" s="322"/>
      <c r="ORI148" s="322"/>
      <c r="ORJ148" s="322"/>
      <c r="ORK148" s="322"/>
      <c r="ORL148" s="322"/>
      <c r="ORM148" s="322"/>
      <c r="ORN148" s="322"/>
      <c r="ORO148" s="322"/>
      <c r="ORP148" s="322"/>
      <c r="ORQ148" s="322"/>
      <c r="ORR148" s="322"/>
      <c r="ORS148" s="322"/>
      <c r="ORT148" s="322"/>
      <c r="ORU148" s="322"/>
      <c r="ORV148" s="322"/>
      <c r="ORW148" s="322"/>
      <c r="ORX148" s="322"/>
      <c r="ORY148" s="322"/>
      <c r="ORZ148" s="322"/>
      <c r="OSA148" s="322"/>
      <c r="OSB148" s="322"/>
      <c r="OSC148" s="322"/>
      <c r="OSD148" s="322"/>
      <c r="OSE148" s="322"/>
      <c r="OSF148" s="322"/>
      <c r="OSG148" s="322"/>
      <c r="OSH148" s="322"/>
      <c r="OSI148" s="322"/>
      <c r="OSJ148" s="322"/>
      <c r="OSK148" s="322"/>
      <c r="OSL148" s="322"/>
      <c r="OSM148" s="322"/>
      <c r="OSN148" s="322"/>
      <c r="OSO148" s="322"/>
      <c r="OSP148" s="322"/>
      <c r="OSQ148" s="322"/>
      <c r="OSR148" s="322"/>
      <c r="OSS148" s="322"/>
      <c r="OST148" s="322"/>
      <c r="OSU148" s="322"/>
      <c r="OSV148" s="322"/>
      <c r="OSW148" s="322"/>
      <c r="OSX148" s="322"/>
      <c r="OSY148" s="322"/>
      <c r="OSZ148" s="322"/>
      <c r="OTA148" s="322"/>
      <c r="OTB148" s="322"/>
      <c r="OTC148" s="322"/>
      <c r="OTD148" s="322"/>
      <c r="OTE148" s="322"/>
      <c r="OTF148" s="322"/>
      <c r="OTG148" s="322"/>
      <c r="OTH148" s="322"/>
      <c r="OTI148" s="322"/>
      <c r="OTJ148" s="322"/>
      <c r="OTK148" s="322"/>
      <c r="OTL148" s="322"/>
      <c r="OTM148" s="322"/>
      <c r="OTN148" s="322"/>
      <c r="OTO148" s="322"/>
      <c r="OTP148" s="322"/>
      <c r="OTQ148" s="322"/>
      <c r="OTR148" s="322"/>
      <c r="OTS148" s="322"/>
      <c r="OTT148" s="322"/>
      <c r="OTU148" s="322"/>
      <c r="OTV148" s="322"/>
      <c r="OTW148" s="322"/>
      <c r="OTX148" s="322"/>
      <c r="OTY148" s="322"/>
      <c r="OTZ148" s="322"/>
      <c r="OUA148" s="322"/>
      <c r="OUB148" s="322"/>
      <c r="OUC148" s="322"/>
      <c r="OUD148" s="322"/>
      <c r="OUE148" s="322"/>
      <c r="OUF148" s="322"/>
      <c r="OUG148" s="322"/>
      <c r="OUH148" s="322"/>
      <c r="OUI148" s="322"/>
      <c r="OUJ148" s="322"/>
      <c r="OUK148" s="322"/>
      <c r="OUL148" s="322"/>
      <c r="OUM148" s="322"/>
      <c r="OUN148" s="322"/>
      <c r="OUO148" s="322"/>
      <c r="OUP148" s="322"/>
      <c r="OUQ148" s="322"/>
      <c r="OUR148" s="322"/>
      <c r="OUS148" s="322"/>
      <c r="OUT148" s="322"/>
      <c r="OUU148" s="322"/>
      <c r="OUV148" s="322"/>
      <c r="OUW148" s="322"/>
      <c r="OUX148" s="322"/>
      <c r="OUY148" s="322"/>
      <c r="OUZ148" s="322"/>
      <c r="OVA148" s="322"/>
      <c r="OVB148" s="322"/>
      <c r="OVC148" s="322"/>
      <c r="OVD148" s="322"/>
      <c r="OVE148" s="322"/>
      <c r="OVF148" s="322"/>
      <c r="OVG148" s="322"/>
      <c r="OVH148" s="322"/>
      <c r="OVI148" s="322"/>
      <c r="OVJ148" s="322"/>
      <c r="OVK148" s="322"/>
      <c r="OVL148" s="322"/>
      <c r="OVM148" s="322"/>
      <c r="OVN148" s="322"/>
      <c r="OVO148" s="322"/>
      <c r="OVP148" s="322"/>
      <c r="OVQ148" s="322"/>
      <c r="OVR148" s="322"/>
      <c r="OVS148" s="322"/>
      <c r="OVT148" s="322"/>
      <c r="OVU148" s="322"/>
      <c r="OVV148" s="322"/>
      <c r="OVW148" s="322"/>
      <c r="OVX148" s="322"/>
      <c r="OVY148" s="322"/>
      <c r="OVZ148" s="322"/>
      <c r="OWA148" s="322"/>
      <c r="OWB148" s="322"/>
      <c r="OWC148" s="322"/>
      <c r="OWD148" s="322"/>
      <c r="OWE148" s="322"/>
      <c r="OWF148" s="322"/>
      <c r="OWG148" s="322"/>
      <c r="OWH148" s="322"/>
      <c r="OWI148" s="322"/>
      <c r="OWJ148" s="322"/>
      <c r="OWK148" s="322"/>
      <c r="OWL148" s="322"/>
      <c r="OWM148" s="322"/>
      <c r="OWN148" s="322"/>
      <c r="OWO148" s="322"/>
      <c r="OWP148" s="322"/>
      <c r="OWQ148" s="322"/>
      <c r="OWR148" s="322"/>
      <c r="OWS148" s="322"/>
      <c r="OWT148" s="322"/>
      <c r="OWU148" s="322"/>
      <c r="OWV148" s="322"/>
      <c r="OWW148" s="322"/>
      <c r="OWX148" s="322"/>
      <c r="OWY148" s="322"/>
      <c r="OWZ148" s="322"/>
      <c r="OXA148" s="322"/>
      <c r="OXB148" s="322"/>
      <c r="OXC148" s="322"/>
      <c r="OXD148" s="322"/>
      <c r="OXE148" s="322"/>
      <c r="OXF148" s="322"/>
      <c r="OXG148" s="322"/>
      <c r="OXH148" s="322"/>
      <c r="OXI148" s="322"/>
      <c r="OXJ148" s="322"/>
      <c r="OXK148" s="322"/>
      <c r="OXL148" s="322"/>
      <c r="OXM148" s="322"/>
      <c r="OXN148" s="322"/>
      <c r="OXO148" s="322"/>
      <c r="OXP148" s="322"/>
      <c r="OXQ148" s="322"/>
      <c r="OXR148" s="322"/>
      <c r="OXS148" s="322"/>
      <c r="OXT148" s="322"/>
      <c r="OXU148" s="322"/>
      <c r="OXV148" s="322"/>
      <c r="OXW148" s="322"/>
      <c r="OXX148" s="322"/>
      <c r="OXY148" s="322"/>
      <c r="OXZ148" s="322"/>
      <c r="OYA148" s="322"/>
      <c r="OYB148" s="322"/>
      <c r="OYC148" s="322"/>
      <c r="OYD148" s="322"/>
      <c r="OYE148" s="322"/>
      <c r="OYF148" s="322"/>
      <c r="OYG148" s="322"/>
      <c r="OYH148" s="322"/>
      <c r="OYI148" s="322"/>
      <c r="OYJ148" s="322"/>
      <c r="OYK148" s="322"/>
      <c r="OYL148" s="322"/>
      <c r="OYM148" s="322"/>
      <c r="OYN148" s="322"/>
      <c r="OYO148" s="322"/>
      <c r="OYP148" s="322"/>
      <c r="OYQ148" s="322"/>
      <c r="OYR148" s="322"/>
      <c r="OYS148" s="322"/>
      <c r="OYT148" s="322"/>
      <c r="OYU148" s="322"/>
      <c r="OYV148" s="322"/>
      <c r="OYW148" s="322"/>
      <c r="OYX148" s="322"/>
      <c r="OYY148" s="322"/>
      <c r="OYZ148" s="322"/>
      <c r="OZA148" s="322"/>
      <c r="OZB148" s="322"/>
      <c r="OZC148" s="322"/>
      <c r="OZD148" s="322"/>
      <c r="OZE148" s="322"/>
      <c r="OZF148" s="322"/>
      <c r="OZG148" s="322"/>
      <c r="OZH148" s="322"/>
      <c r="OZI148" s="322"/>
      <c r="OZJ148" s="322"/>
      <c r="OZK148" s="322"/>
      <c r="OZL148" s="322"/>
      <c r="OZM148" s="322"/>
      <c r="OZN148" s="322"/>
      <c r="OZO148" s="322"/>
      <c r="OZP148" s="322"/>
      <c r="OZQ148" s="322"/>
      <c r="OZR148" s="322"/>
      <c r="OZS148" s="322"/>
      <c r="OZT148" s="322"/>
      <c r="OZU148" s="322"/>
      <c r="OZV148" s="322"/>
      <c r="OZW148" s="322"/>
      <c r="OZX148" s="322"/>
      <c r="OZY148" s="322"/>
      <c r="OZZ148" s="322"/>
      <c r="PAA148" s="322"/>
      <c r="PAB148" s="322"/>
      <c r="PAC148" s="322"/>
      <c r="PAD148" s="322"/>
      <c r="PAE148" s="322"/>
      <c r="PAF148" s="322"/>
      <c r="PAG148" s="322"/>
      <c r="PAH148" s="322"/>
      <c r="PAI148" s="322"/>
      <c r="PAJ148" s="322"/>
      <c r="PAK148" s="322"/>
      <c r="PAL148" s="322"/>
      <c r="PAM148" s="322"/>
      <c r="PAN148" s="322"/>
      <c r="PAO148" s="322"/>
      <c r="PAP148" s="322"/>
      <c r="PAQ148" s="322"/>
      <c r="PAR148" s="322"/>
      <c r="PAS148" s="322"/>
      <c r="PAT148" s="322"/>
      <c r="PAU148" s="322"/>
      <c r="PAV148" s="322"/>
      <c r="PAW148" s="322"/>
      <c r="PAX148" s="322"/>
      <c r="PAY148" s="322"/>
      <c r="PAZ148" s="322"/>
      <c r="PBA148" s="322"/>
      <c r="PBB148" s="322"/>
      <c r="PBC148" s="322"/>
      <c r="PBD148" s="322"/>
      <c r="PBE148" s="322"/>
      <c r="PBF148" s="322"/>
      <c r="PBG148" s="322"/>
      <c r="PBH148" s="322"/>
      <c r="PBI148" s="322"/>
      <c r="PBJ148" s="322"/>
      <c r="PBK148" s="322"/>
      <c r="PBL148" s="322"/>
      <c r="PBM148" s="322"/>
      <c r="PBN148" s="322"/>
      <c r="PBO148" s="322"/>
      <c r="PBP148" s="322"/>
      <c r="PBQ148" s="322"/>
      <c r="PBR148" s="322"/>
      <c r="PBS148" s="322"/>
      <c r="PBT148" s="322"/>
      <c r="PBU148" s="322"/>
      <c r="PBV148" s="322"/>
      <c r="PBW148" s="322"/>
      <c r="PBX148" s="322"/>
      <c r="PBY148" s="322"/>
      <c r="PBZ148" s="322"/>
      <c r="PCA148" s="322"/>
      <c r="PCB148" s="322"/>
      <c r="PCC148" s="322"/>
      <c r="PCD148" s="322"/>
      <c r="PCE148" s="322"/>
      <c r="PCF148" s="322"/>
      <c r="PCG148" s="322"/>
      <c r="PCH148" s="322"/>
      <c r="PCI148" s="322"/>
      <c r="PCJ148" s="322"/>
      <c r="PCK148" s="322"/>
      <c r="PCL148" s="322"/>
      <c r="PCM148" s="322"/>
      <c r="PCN148" s="322"/>
      <c r="PCO148" s="322"/>
      <c r="PCP148" s="322"/>
      <c r="PCQ148" s="322"/>
      <c r="PCR148" s="322"/>
      <c r="PCS148" s="322"/>
      <c r="PCT148" s="322"/>
      <c r="PCU148" s="322"/>
      <c r="PCV148" s="322"/>
      <c r="PCW148" s="322"/>
      <c r="PCX148" s="322"/>
      <c r="PCY148" s="322"/>
      <c r="PCZ148" s="322"/>
      <c r="PDA148" s="322"/>
      <c r="PDB148" s="322"/>
      <c r="PDC148" s="322"/>
      <c r="PDD148" s="322"/>
      <c r="PDE148" s="322"/>
      <c r="PDF148" s="322"/>
      <c r="PDG148" s="322"/>
      <c r="PDH148" s="322"/>
      <c r="PDI148" s="322"/>
      <c r="PDJ148" s="322"/>
      <c r="PDK148" s="322"/>
      <c r="PDL148" s="322"/>
      <c r="PDM148" s="322"/>
      <c r="PDN148" s="322"/>
      <c r="PDO148" s="322"/>
      <c r="PDP148" s="322"/>
      <c r="PDQ148" s="322"/>
      <c r="PDR148" s="322"/>
      <c r="PDS148" s="322"/>
      <c r="PDT148" s="322"/>
      <c r="PDU148" s="322"/>
      <c r="PDV148" s="322"/>
      <c r="PDW148" s="322"/>
      <c r="PDX148" s="322"/>
      <c r="PDY148" s="322"/>
      <c r="PDZ148" s="322"/>
      <c r="PEA148" s="322"/>
      <c r="PEB148" s="322"/>
      <c r="PEC148" s="322"/>
      <c r="PED148" s="322"/>
      <c r="PEE148" s="322"/>
      <c r="PEF148" s="322"/>
      <c r="PEG148" s="322"/>
      <c r="PEH148" s="322"/>
      <c r="PEI148" s="322"/>
      <c r="PEJ148" s="322"/>
      <c r="PEK148" s="322"/>
      <c r="PEL148" s="322"/>
      <c r="PEM148" s="322"/>
      <c r="PEN148" s="322"/>
      <c r="PEO148" s="322"/>
      <c r="PEP148" s="322"/>
      <c r="PEQ148" s="322"/>
      <c r="PER148" s="322"/>
      <c r="PES148" s="322"/>
      <c r="PET148" s="322"/>
      <c r="PEU148" s="322"/>
      <c r="PEV148" s="322"/>
      <c r="PEW148" s="322"/>
      <c r="PEX148" s="322"/>
      <c r="PEY148" s="322"/>
      <c r="PEZ148" s="322"/>
      <c r="PFA148" s="322"/>
      <c r="PFB148" s="322"/>
      <c r="PFC148" s="322"/>
      <c r="PFD148" s="322"/>
      <c r="PFE148" s="322"/>
      <c r="PFF148" s="322"/>
      <c r="PFG148" s="322"/>
      <c r="PFH148" s="322"/>
      <c r="PFI148" s="322"/>
      <c r="PFJ148" s="322"/>
      <c r="PFK148" s="322"/>
      <c r="PFL148" s="322"/>
      <c r="PFM148" s="322"/>
      <c r="PFN148" s="322"/>
      <c r="PFO148" s="322"/>
      <c r="PFP148" s="322"/>
      <c r="PFQ148" s="322"/>
      <c r="PFR148" s="322"/>
      <c r="PFS148" s="322"/>
      <c r="PFT148" s="322"/>
      <c r="PFU148" s="322"/>
      <c r="PFV148" s="322"/>
      <c r="PFW148" s="322"/>
      <c r="PFX148" s="322"/>
      <c r="PFY148" s="322"/>
      <c r="PFZ148" s="322"/>
      <c r="PGA148" s="322"/>
      <c r="PGB148" s="322"/>
      <c r="PGC148" s="322"/>
      <c r="PGD148" s="322"/>
      <c r="PGE148" s="322"/>
      <c r="PGF148" s="322"/>
      <c r="PGG148" s="322"/>
      <c r="PGH148" s="322"/>
      <c r="PGI148" s="322"/>
      <c r="PGJ148" s="322"/>
      <c r="PGK148" s="322"/>
      <c r="PGL148" s="322"/>
      <c r="PGM148" s="322"/>
      <c r="PGN148" s="322"/>
      <c r="PGO148" s="322"/>
      <c r="PGP148" s="322"/>
      <c r="PGQ148" s="322"/>
      <c r="PGR148" s="322"/>
      <c r="PGS148" s="322"/>
      <c r="PGT148" s="322"/>
      <c r="PGU148" s="322"/>
      <c r="PGV148" s="322"/>
      <c r="PGW148" s="322"/>
      <c r="PGX148" s="322"/>
      <c r="PGY148" s="322"/>
      <c r="PGZ148" s="322"/>
      <c r="PHA148" s="322"/>
      <c r="PHB148" s="322"/>
      <c r="PHC148" s="322"/>
      <c r="PHD148" s="322"/>
      <c r="PHE148" s="322"/>
      <c r="PHF148" s="322"/>
      <c r="PHG148" s="322"/>
      <c r="PHH148" s="322"/>
      <c r="PHI148" s="322"/>
      <c r="PHJ148" s="322"/>
      <c r="PHK148" s="322"/>
      <c r="PHL148" s="322"/>
      <c r="PHM148" s="322"/>
      <c r="PHN148" s="322"/>
      <c r="PHO148" s="322"/>
      <c r="PHP148" s="322"/>
      <c r="PHQ148" s="322"/>
      <c r="PHR148" s="322"/>
      <c r="PHS148" s="322"/>
      <c r="PHT148" s="322"/>
      <c r="PHU148" s="322"/>
      <c r="PHV148" s="322"/>
      <c r="PHW148" s="322"/>
      <c r="PHX148" s="322"/>
      <c r="PHY148" s="322"/>
      <c r="PHZ148" s="322"/>
      <c r="PIA148" s="322"/>
      <c r="PIB148" s="322"/>
      <c r="PIC148" s="322"/>
      <c r="PID148" s="322"/>
      <c r="PIE148" s="322"/>
      <c r="PIF148" s="322"/>
      <c r="PIG148" s="322"/>
      <c r="PIH148" s="322"/>
      <c r="PII148" s="322"/>
      <c r="PIJ148" s="322"/>
      <c r="PIK148" s="322"/>
      <c r="PIL148" s="322"/>
      <c r="PIM148" s="322"/>
      <c r="PIN148" s="322"/>
      <c r="PIO148" s="322"/>
      <c r="PIP148" s="322"/>
      <c r="PIQ148" s="322"/>
      <c r="PIR148" s="322"/>
      <c r="PIS148" s="322"/>
      <c r="PIT148" s="322"/>
      <c r="PIU148" s="322"/>
      <c r="PIV148" s="322"/>
      <c r="PIW148" s="322"/>
      <c r="PIX148" s="322"/>
      <c r="PIY148" s="322"/>
      <c r="PIZ148" s="322"/>
      <c r="PJA148" s="322"/>
      <c r="PJB148" s="322"/>
      <c r="PJC148" s="322"/>
      <c r="PJD148" s="322"/>
      <c r="PJE148" s="322"/>
      <c r="PJF148" s="322"/>
      <c r="PJG148" s="322"/>
      <c r="PJH148" s="322"/>
      <c r="PJI148" s="322"/>
      <c r="PJJ148" s="322"/>
      <c r="PJK148" s="322"/>
      <c r="PJL148" s="322"/>
      <c r="PJM148" s="322"/>
      <c r="PJN148" s="322"/>
      <c r="PJO148" s="322"/>
      <c r="PJP148" s="322"/>
      <c r="PJQ148" s="322"/>
      <c r="PJR148" s="322"/>
      <c r="PJS148" s="322"/>
      <c r="PJT148" s="322"/>
      <c r="PJU148" s="322"/>
      <c r="PJV148" s="322"/>
      <c r="PJW148" s="322"/>
      <c r="PJX148" s="322"/>
      <c r="PJY148" s="322"/>
      <c r="PJZ148" s="322"/>
      <c r="PKA148" s="322"/>
      <c r="PKB148" s="322"/>
      <c r="PKC148" s="322"/>
      <c r="PKD148" s="322"/>
      <c r="PKE148" s="322"/>
      <c r="PKF148" s="322"/>
      <c r="PKG148" s="322"/>
      <c r="PKH148" s="322"/>
      <c r="PKI148" s="322"/>
      <c r="PKJ148" s="322"/>
      <c r="PKK148" s="322"/>
      <c r="PKL148" s="322"/>
      <c r="PKM148" s="322"/>
      <c r="PKN148" s="322"/>
      <c r="PKO148" s="322"/>
      <c r="PKP148" s="322"/>
      <c r="PKQ148" s="322"/>
      <c r="PKR148" s="322"/>
      <c r="PKS148" s="322"/>
      <c r="PKT148" s="322"/>
      <c r="PKU148" s="322"/>
      <c r="PKV148" s="322"/>
      <c r="PKW148" s="322"/>
      <c r="PKX148" s="322"/>
      <c r="PKY148" s="322"/>
      <c r="PKZ148" s="322"/>
      <c r="PLA148" s="322"/>
      <c r="PLB148" s="322"/>
      <c r="PLC148" s="322"/>
      <c r="PLD148" s="322"/>
      <c r="PLE148" s="322"/>
      <c r="PLF148" s="322"/>
      <c r="PLG148" s="322"/>
      <c r="PLH148" s="322"/>
      <c r="PLI148" s="322"/>
      <c r="PLJ148" s="322"/>
      <c r="PLK148" s="322"/>
      <c r="PLL148" s="322"/>
      <c r="PLM148" s="322"/>
      <c r="PLN148" s="322"/>
      <c r="PLO148" s="322"/>
      <c r="PLP148" s="322"/>
      <c r="PLQ148" s="322"/>
      <c r="PLR148" s="322"/>
      <c r="PLS148" s="322"/>
      <c r="PLT148" s="322"/>
      <c r="PLU148" s="322"/>
      <c r="PLV148" s="322"/>
      <c r="PLW148" s="322"/>
      <c r="PLX148" s="322"/>
      <c r="PLY148" s="322"/>
      <c r="PLZ148" s="322"/>
      <c r="PMA148" s="322"/>
      <c r="PMB148" s="322"/>
      <c r="PMC148" s="322"/>
      <c r="PMD148" s="322"/>
      <c r="PME148" s="322"/>
      <c r="PMF148" s="322"/>
      <c r="PMG148" s="322"/>
      <c r="PMH148" s="322"/>
      <c r="PMI148" s="322"/>
      <c r="PMJ148" s="322"/>
      <c r="PMK148" s="322"/>
      <c r="PML148" s="322"/>
      <c r="PMM148" s="322"/>
      <c r="PMN148" s="322"/>
      <c r="PMO148" s="322"/>
      <c r="PMP148" s="322"/>
      <c r="PMQ148" s="322"/>
      <c r="PMR148" s="322"/>
      <c r="PMS148" s="322"/>
      <c r="PMT148" s="322"/>
      <c r="PMU148" s="322"/>
      <c r="PMV148" s="322"/>
      <c r="PMW148" s="322"/>
      <c r="PMX148" s="322"/>
      <c r="PMY148" s="322"/>
      <c r="PMZ148" s="322"/>
      <c r="PNA148" s="322"/>
      <c r="PNB148" s="322"/>
      <c r="PNC148" s="322"/>
      <c r="PND148" s="322"/>
      <c r="PNE148" s="322"/>
      <c r="PNF148" s="322"/>
      <c r="PNG148" s="322"/>
      <c r="PNH148" s="322"/>
      <c r="PNI148" s="322"/>
      <c r="PNJ148" s="322"/>
      <c r="PNK148" s="322"/>
      <c r="PNL148" s="322"/>
      <c r="PNM148" s="322"/>
      <c r="PNN148" s="322"/>
      <c r="PNO148" s="322"/>
      <c r="PNP148" s="322"/>
      <c r="PNQ148" s="322"/>
      <c r="PNR148" s="322"/>
      <c r="PNS148" s="322"/>
      <c r="PNT148" s="322"/>
      <c r="PNU148" s="322"/>
      <c r="PNV148" s="322"/>
      <c r="PNW148" s="322"/>
      <c r="PNX148" s="322"/>
      <c r="PNY148" s="322"/>
      <c r="PNZ148" s="322"/>
      <c r="POA148" s="322"/>
      <c r="POB148" s="322"/>
      <c r="POC148" s="322"/>
      <c r="POD148" s="322"/>
      <c r="POE148" s="322"/>
      <c r="POF148" s="322"/>
      <c r="POG148" s="322"/>
      <c r="POH148" s="322"/>
      <c r="POI148" s="322"/>
      <c r="POJ148" s="322"/>
      <c r="POK148" s="322"/>
      <c r="POL148" s="322"/>
      <c r="POM148" s="322"/>
      <c r="PON148" s="322"/>
      <c r="POO148" s="322"/>
      <c r="POP148" s="322"/>
      <c r="POQ148" s="322"/>
      <c r="POR148" s="322"/>
      <c r="POS148" s="322"/>
      <c r="POT148" s="322"/>
      <c r="POU148" s="322"/>
      <c r="POV148" s="322"/>
      <c r="POW148" s="322"/>
      <c r="POX148" s="322"/>
      <c r="POY148" s="322"/>
      <c r="POZ148" s="322"/>
      <c r="PPA148" s="322"/>
      <c r="PPB148" s="322"/>
      <c r="PPC148" s="322"/>
      <c r="PPD148" s="322"/>
      <c r="PPE148" s="322"/>
      <c r="PPF148" s="322"/>
      <c r="PPG148" s="322"/>
      <c r="PPH148" s="322"/>
      <c r="PPI148" s="322"/>
      <c r="PPJ148" s="322"/>
      <c r="PPK148" s="322"/>
      <c r="PPL148" s="322"/>
      <c r="PPM148" s="322"/>
      <c r="PPN148" s="322"/>
      <c r="PPO148" s="322"/>
      <c r="PPP148" s="322"/>
      <c r="PPQ148" s="322"/>
      <c r="PPR148" s="322"/>
      <c r="PPS148" s="322"/>
      <c r="PPT148" s="322"/>
      <c r="PPU148" s="322"/>
      <c r="PPV148" s="322"/>
      <c r="PPW148" s="322"/>
      <c r="PPX148" s="322"/>
      <c r="PPY148" s="322"/>
      <c r="PPZ148" s="322"/>
      <c r="PQA148" s="322"/>
      <c r="PQB148" s="322"/>
      <c r="PQC148" s="322"/>
      <c r="PQD148" s="322"/>
      <c r="PQE148" s="322"/>
      <c r="PQF148" s="322"/>
      <c r="PQG148" s="322"/>
      <c r="PQH148" s="322"/>
      <c r="PQI148" s="322"/>
      <c r="PQJ148" s="322"/>
      <c r="PQK148" s="322"/>
      <c r="PQL148" s="322"/>
      <c r="PQM148" s="322"/>
      <c r="PQN148" s="322"/>
      <c r="PQO148" s="322"/>
      <c r="PQP148" s="322"/>
      <c r="PQQ148" s="322"/>
      <c r="PQR148" s="322"/>
      <c r="PQS148" s="322"/>
      <c r="PQT148" s="322"/>
      <c r="PQU148" s="322"/>
      <c r="PQV148" s="322"/>
      <c r="PQW148" s="322"/>
      <c r="PQX148" s="322"/>
      <c r="PQY148" s="322"/>
      <c r="PQZ148" s="322"/>
      <c r="PRA148" s="322"/>
      <c r="PRB148" s="322"/>
      <c r="PRC148" s="322"/>
      <c r="PRD148" s="322"/>
      <c r="PRE148" s="322"/>
      <c r="PRF148" s="322"/>
      <c r="PRG148" s="322"/>
      <c r="PRH148" s="322"/>
      <c r="PRI148" s="322"/>
      <c r="PRJ148" s="322"/>
      <c r="PRK148" s="322"/>
      <c r="PRL148" s="322"/>
      <c r="PRM148" s="322"/>
      <c r="PRN148" s="322"/>
      <c r="PRO148" s="322"/>
      <c r="PRP148" s="322"/>
      <c r="PRQ148" s="322"/>
      <c r="PRR148" s="322"/>
      <c r="PRS148" s="322"/>
      <c r="PRT148" s="322"/>
      <c r="PRU148" s="322"/>
      <c r="PRV148" s="322"/>
      <c r="PRW148" s="322"/>
      <c r="PRX148" s="322"/>
      <c r="PRY148" s="322"/>
      <c r="PRZ148" s="322"/>
      <c r="PSA148" s="322"/>
      <c r="PSB148" s="322"/>
      <c r="PSC148" s="322"/>
      <c r="PSD148" s="322"/>
      <c r="PSE148" s="322"/>
      <c r="PSF148" s="322"/>
      <c r="PSG148" s="322"/>
      <c r="PSH148" s="322"/>
      <c r="PSI148" s="322"/>
      <c r="PSJ148" s="322"/>
      <c r="PSK148" s="322"/>
      <c r="PSL148" s="322"/>
      <c r="PSM148" s="322"/>
      <c r="PSN148" s="322"/>
      <c r="PSO148" s="322"/>
      <c r="PSP148" s="322"/>
      <c r="PSQ148" s="322"/>
      <c r="PSR148" s="322"/>
      <c r="PSS148" s="322"/>
      <c r="PST148" s="322"/>
      <c r="PSU148" s="322"/>
      <c r="PSV148" s="322"/>
      <c r="PSW148" s="322"/>
      <c r="PSX148" s="322"/>
      <c r="PSY148" s="322"/>
      <c r="PSZ148" s="322"/>
      <c r="PTA148" s="322"/>
      <c r="PTB148" s="322"/>
      <c r="PTC148" s="322"/>
      <c r="PTD148" s="322"/>
      <c r="PTE148" s="322"/>
      <c r="PTF148" s="322"/>
      <c r="PTG148" s="322"/>
      <c r="PTH148" s="322"/>
      <c r="PTI148" s="322"/>
      <c r="PTJ148" s="322"/>
      <c r="PTK148" s="322"/>
      <c r="PTL148" s="322"/>
      <c r="PTM148" s="322"/>
      <c r="PTN148" s="322"/>
      <c r="PTO148" s="322"/>
      <c r="PTP148" s="322"/>
      <c r="PTQ148" s="322"/>
      <c r="PTR148" s="322"/>
      <c r="PTS148" s="322"/>
      <c r="PTT148" s="322"/>
      <c r="PTU148" s="322"/>
      <c r="PTV148" s="322"/>
      <c r="PTW148" s="322"/>
      <c r="PTX148" s="322"/>
      <c r="PTY148" s="322"/>
      <c r="PTZ148" s="322"/>
      <c r="PUA148" s="322"/>
      <c r="PUB148" s="322"/>
      <c r="PUC148" s="322"/>
      <c r="PUD148" s="322"/>
      <c r="PUE148" s="322"/>
      <c r="PUF148" s="322"/>
      <c r="PUG148" s="322"/>
      <c r="PUH148" s="322"/>
      <c r="PUI148" s="322"/>
      <c r="PUJ148" s="322"/>
      <c r="PUK148" s="322"/>
      <c r="PUL148" s="322"/>
      <c r="PUM148" s="322"/>
      <c r="PUN148" s="322"/>
      <c r="PUO148" s="322"/>
      <c r="PUP148" s="322"/>
      <c r="PUQ148" s="322"/>
      <c r="PUR148" s="322"/>
      <c r="PUS148" s="322"/>
      <c r="PUT148" s="322"/>
      <c r="PUU148" s="322"/>
      <c r="PUV148" s="322"/>
      <c r="PUW148" s="322"/>
      <c r="PUX148" s="322"/>
      <c r="PUY148" s="322"/>
      <c r="PUZ148" s="322"/>
      <c r="PVA148" s="322"/>
      <c r="PVB148" s="322"/>
      <c r="PVC148" s="322"/>
      <c r="PVD148" s="322"/>
      <c r="PVE148" s="322"/>
      <c r="PVF148" s="322"/>
      <c r="PVG148" s="322"/>
      <c r="PVH148" s="322"/>
      <c r="PVI148" s="322"/>
      <c r="PVJ148" s="322"/>
      <c r="PVK148" s="322"/>
      <c r="PVL148" s="322"/>
      <c r="PVM148" s="322"/>
      <c r="PVN148" s="322"/>
      <c r="PVO148" s="322"/>
      <c r="PVP148" s="322"/>
      <c r="PVQ148" s="322"/>
      <c r="PVR148" s="322"/>
      <c r="PVS148" s="322"/>
      <c r="PVT148" s="322"/>
      <c r="PVU148" s="322"/>
      <c r="PVV148" s="322"/>
      <c r="PVW148" s="322"/>
      <c r="PVX148" s="322"/>
      <c r="PVY148" s="322"/>
      <c r="PVZ148" s="322"/>
      <c r="PWA148" s="322"/>
      <c r="PWB148" s="322"/>
      <c r="PWC148" s="322"/>
      <c r="PWD148" s="322"/>
      <c r="PWE148" s="322"/>
      <c r="PWF148" s="322"/>
      <c r="PWG148" s="322"/>
      <c r="PWH148" s="322"/>
      <c r="PWI148" s="322"/>
      <c r="PWJ148" s="322"/>
      <c r="PWK148" s="322"/>
      <c r="PWL148" s="322"/>
      <c r="PWM148" s="322"/>
      <c r="PWN148" s="322"/>
      <c r="PWO148" s="322"/>
      <c r="PWP148" s="322"/>
      <c r="PWQ148" s="322"/>
      <c r="PWR148" s="322"/>
      <c r="PWS148" s="322"/>
      <c r="PWT148" s="322"/>
      <c r="PWU148" s="322"/>
      <c r="PWV148" s="322"/>
      <c r="PWW148" s="322"/>
      <c r="PWX148" s="322"/>
      <c r="PWY148" s="322"/>
      <c r="PWZ148" s="322"/>
      <c r="PXA148" s="322"/>
      <c r="PXB148" s="322"/>
      <c r="PXC148" s="322"/>
      <c r="PXD148" s="322"/>
      <c r="PXE148" s="322"/>
      <c r="PXF148" s="322"/>
      <c r="PXG148" s="322"/>
      <c r="PXH148" s="322"/>
      <c r="PXI148" s="322"/>
      <c r="PXJ148" s="322"/>
      <c r="PXK148" s="322"/>
      <c r="PXL148" s="322"/>
      <c r="PXM148" s="322"/>
      <c r="PXN148" s="322"/>
      <c r="PXO148" s="322"/>
      <c r="PXP148" s="322"/>
      <c r="PXQ148" s="322"/>
      <c r="PXR148" s="322"/>
      <c r="PXS148" s="322"/>
      <c r="PXT148" s="322"/>
      <c r="PXU148" s="322"/>
      <c r="PXV148" s="322"/>
      <c r="PXW148" s="322"/>
      <c r="PXX148" s="322"/>
      <c r="PXY148" s="322"/>
      <c r="PXZ148" s="322"/>
      <c r="PYA148" s="322"/>
      <c r="PYB148" s="322"/>
      <c r="PYC148" s="322"/>
      <c r="PYD148" s="322"/>
      <c r="PYE148" s="322"/>
      <c r="PYF148" s="322"/>
      <c r="PYG148" s="322"/>
      <c r="PYH148" s="322"/>
      <c r="PYI148" s="322"/>
      <c r="PYJ148" s="322"/>
      <c r="PYK148" s="322"/>
      <c r="PYL148" s="322"/>
      <c r="PYM148" s="322"/>
      <c r="PYN148" s="322"/>
      <c r="PYO148" s="322"/>
      <c r="PYP148" s="322"/>
      <c r="PYQ148" s="322"/>
      <c r="PYR148" s="322"/>
      <c r="PYS148" s="322"/>
      <c r="PYT148" s="322"/>
      <c r="PYU148" s="322"/>
      <c r="PYV148" s="322"/>
      <c r="PYW148" s="322"/>
      <c r="PYX148" s="322"/>
      <c r="PYY148" s="322"/>
      <c r="PYZ148" s="322"/>
      <c r="PZA148" s="322"/>
      <c r="PZB148" s="322"/>
      <c r="PZC148" s="322"/>
      <c r="PZD148" s="322"/>
      <c r="PZE148" s="322"/>
      <c r="PZF148" s="322"/>
      <c r="PZG148" s="322"/>
      <c r="PZH148" s="322"/>
      <c r="PZI148" s="322"/>
      <c r="PZJ148" s="322"/>
      <c r="PZK148" s="322"/>
      <c r="PZL148" s="322"/>
      <c r="PZM148" s="322"/>
      <c r="PZN148" s="322"/>
      <c r="PZO148" s="322"/>
      <c r="PZP148" s="322"/>
      <c r="PZQ148" s="322"/>
      <c r="PZR148" s="322"/>
      <c r="PZS148" s="322"/>
      <c r="PZT148" s="322"/>
      <c r="PZU148" s="322"/>
      <c r="PZV148" s="322"/>
      <c r="PZW148" s="322"/>
      <c r="PZX148" s="322"/>
      <c r="PZY148" s="322"/>
      <c r="PZZ148" s="322"/>
      <c r="QAA148" s="322"/>
      <c r="QAB148" s="322"/>
      <c r="QAC148" s="322"/>
      <c r="QAD148" s="322"/>
      <c r="QAE148" s="322"/>
      <c r="QAF148" s="322"/>
      <c r="QAG148" s="322"/>
      <c r="QAH148" s="322"/>
      <c r="QAI148" s="322"/>
      <c r="QAJ148" s="322"/>
      <c r="QAK148" s="322"/>
      <c r="QAL148" s="322"/>
      <c r="QAM148" s="322"/>
      <c r="QAN148" s="322"/>
      <c r="QAO148" s="322"/>
      <c r="QAP148" s="322"/>
      <c r="QAQ148" s="322"/>
      <c r="QAR148" s="322"/>
      <c r="QAS148" s="322"/>
      <c r="QAT148" s="322"/>
      <c r="QAU148" s="322"/>
      <c r="QAV148" s="322"/>
      <c r="QAW148" s="322"/>
      <c r="QAX148" s="322"/>
      <c r="QAY148" s="322"/>
      <c r="QAZ148" s="322"/>
      <c r="QBA148" s="322"/>
      <c r="QBB148" s="322"/>
      <c r="QBC148" s="322"/>
      <c r="QBD148" s="322"/>
      <c r="QBE148" s="322"/>
      <c r="QBF148" s="322"/>
      <c r="QBG148" s="322"/>
      <c r="QBH148" s="322"/>
      <c r="QBI148" s="322"/>
      <c r="QBJ148" s="322"/>
      <c r="QBK148" s="322"/>
      <c r="QBL148" s="322"/>
      <c r="QBM148" s="322"/>
      <c r="QBN148" s="322"/>
      <c r="QBO148" s="322"/>
      <c r="QBP148" s="322"/>
      <c r="QBQ148" s="322"/>
      <c r="QBR148" s="322"/>
      <c r="QBS148" s="322"/>
      <c r="QBT148" s="322"/>
      <c r="QBU148" s="322"/>
      <c r="QBV148" s="322"/>
      <c r="QBW148" s="322"/>
      <c r="QBX148" s="322"/>
      <c r="QBY148" s="322"/>
      <c r="QBZ148" s="322"/>
      <c r="QCA148" s="322"/>
      <c r="QCB148" s="322"/>
      <c r="QCC148" s="322"/>
      <c r="QCD148" s="322"/>
      <c r="QCE148" s="322"/>
      <c r="QCF148" s="322"/>
      <c r="QCG148" s="322"/>
      <c r="QCH148" s="322"/>
      <c r="QCI148" s="322"/>
      <c r="QCJ148" s="322"/>
      <c r="QCK148" s="322"/>
      <c r="QCL148" s="322"/>
      <c r="QCM148" s="322"/>
      <c r="QCN148" s="322"/>
      <c r="QCO148" s="322"/>
      <c r="QCP148" s="322"/>
      <c r="QCQ148" s="322"/>
      <c r="QCR148" s="322"/>
      <c r="QCS148" s="322"/>
      <c r="QCT148" s="322"/>
      <c r="QCU148" s="322"/>
      <c r="QCV148" s="322"/>
      <c r="QCW148" s="322"/>
      <c r="QCX148" s="322"/>
      <c r="QCY148" s="322"/>
      <c r="QCZ148" s="322"/>
      <c r="QDA148" s="322"/>
      <c r="QDB148" s="322"/>
      <c r="QDC148" s="322"/>
      <c r="QDD148" s="322"/>
      <c r="QDE148" s="322"/>
      <c r="QDF148" s="322"/>
      <c r="QDG148" s="322"/>
      <c r="QDH148" s="322"/>
      <c r="QDI148" s="322"/>
      <c r="QDJ148" s="322"/>
      <c r="QDK148" s="322"/>
      <c r="QDL148" s="322"/>
      <c r="QDM148" s="322"/>
      <c r="QDN148" s="322"/>
      <c r="QDO148" s="322"/>
      <c r="QDP148" s="322"/>
      <c r="QDQ148" s="322"/>
      <c r="QDR148" s="322"/>
      <c r="QDS148" s="322"/>
      <c r="QDT148" s="322"/>
      <c r="QDU148" s="322"/>
      <c r="QDV148" s="322"/>
      <c r="QDW148" s="322"/>
      <c r="QDX148" s="322"/>
      <c r="QDY148" s="322"/>
      <c r="QDZ148" s="322"/>
      <c r="QEA148" s="322"/>
      <c r="QEB148" s="322"/>
      <c r="QEC148" s="322"/>
      <c r="QED148" s="322"/>
      <c r="QEE148" s="322"/>
      <c r="QEF148" s="322"/>
      <c r="QEG148" s="322"/>
      <c r="QEH148" s="322"/>
      <c r="QEI148" s="322"/>
      <c r="QEJ148" s="322"/>
      <c r="QEK148" s="322"/>
      <c r="QEL148" s="322"/>
      <c r="QEM148" s="322"/>
      <c r="QEN148" s="322"/>
      <c r="QEO148" s="322"/>
      <c r="QEP148" s="322"/>
      <c r="QEQ148" s="322"/>
      <c r="QER148" s="322"/>
      <c r="QES148" s="322"/>
      <c r="QET148" s="322"/>
      <c r="QEU148" s="322"/>
      <c r="QEV148" s="322"/>
      <c r="QEW148" s="322"/>
      <c r="QEX148" s="322"/>
      <c r="QEY148" s="322"/>
      <c r="QEZ148" s="322"/>
      <c r="QFA148" s="322"/>
      <c r="QFB148" s="322"/>
      <c r="QFC148" s="322"/>
      <c r="QFD148" s="322"/>
      <c r="QFE148" s="322"/>
      <c r="QFF148" s="322"/>
      <c r="QFG148" s="322"/>
      <c r="QFH148" s="322"/>
      <c r="QFI148" s="322"/>
      <c r="QFJ148" s="322"/>
      <c r="QFK148" s="322"/>
      <c r="QFL148" s="322"/>
      <c r="QFM148" s="322"/>
      <c r="QFN148" s="322"/>
      <c r="QFO148" s="322"/>
      <c r="QFP148" s="322"/>
      <c r="QFQ148" s="322"/>
      <c r="QFR148" s="322"/>
      <c r="QFS148" s="322"/>
      <c r="QFT148" s="322"/>
      <c r="QFU148" s="322"/>
      <c r="QFV148" s="322"/>
      <c r="QFW148" s="322"/>
      <c r="QFX148" s="322"/>
      <c r="QFY148" s="322"/>
      <c r="QFZ148" s="322"/>
      <c r="QGA148" s="322"/>
      <c r="QGB148" s="322"/>
      <c r="QGC148" s="322"/>
      <c r="QGD148" s="322"/>
      <c r="QGE148" s="322"/>
      <c r="QGF148" s="322"/>
      <c r="QGG148" s="322"/>
      <c r="QGH148" s="322"/>
      <c r="QGI148" s="322"/>
      <c r="QGJ148" s="322"/>
      <c r="QGK148" s="322"/>
      <c r="QGL148" s="322"/>
      <c r="QGM148" s="322"/>
      <c r="QGN148" s="322"/>
      <c r="QGO148" s="322"/>
      <c r="QGP148" s="322"/>
      <c r="QGQ148" s="322"/>
      <c r="QGR148" s="322"/>
      <c r="QGS148" s="322"/>
      <c r="QGT148" s="322"/>
      <c r="QGU148" s="322"/>
      <c r="QGV148" s="322"/>
      <c r="QGW148" s="322"/>
      <c r="QGX148" s="322"/>
      <c r="QGY148" s="322"/>
      <c r="QGZ148" s="322"/>
      <c r="QHA148" s="322"/>
      <c r="QHB148" s="322"/>
      <c r="QHC148" s="322"/>
      <c r="QHD148" s="322"/>
      <c r="QHE148" s="322"/>
      <c r="QHF148" s="322"/>
      <c r="QHG148" s="322"/>
      <c r="QHH148" s="322"/>
      <c r="QHI148" s="322"/>
      <c r="QHJ148" s="322"/>
      <c r="QHK148" s="322"/>
      <c r="QHL148" s="322"/>
      <c r="QHM148" s="322"/>
      <c r="QHN148" s="322"/>
      <c r="QHO148" s="322"/>
      <c r="QHP148" s="322"/>
      <c r="QHQ148" s="322"/>
      <c r="QHR148" s="322"/>
      <c r="QHS148" s="322"/>
      <c r="QHT148" s="322"/>
      <c r="QHU148" s="322"/>
      <c r="QHV148" s="322"/>
      <c r="QHW148" s="322"/>
      <c r="QHX148" s="322"/>
      <c r="QHY148" s="322"/>
      <c r="QHZ148" s="322"/>
      <c r="QIA148" s="322"/>
      <c r="QIB148" s="322"/>
      <c r="QIC148" s="322"/>
      <c r="QID148" s="322"/>
      <c r="QIE148" s="322"/>
      <c r="QIF148" s="322"/>
      <c r="QIG148" s="322"/>
      <c r="QIH148" s="322"/>
      <c r="QII148" s="322"/>
      <c r="QIJ148" s="322"/>
      <c r="QIK148" s="322"/>
      <c r="QIL148" s="322"/>
      <c r="QIM148" s="322"/>
      <c r="QIN148" s="322"/>
      <c r="QIO148" s="322"/>
      <c r="QIP148" s="322"/>
      <c r="QIQ148" s="322"/>
      <c r="QIR148" s="322"/>
      <c r="QIS148" s="322"/>
      <c r="QIT148" s="322"/>
      <c r="QIU148" s="322"/>
      <c r="QIV148" s="322"/>
      <c r="QIW148" s="322"/>
      <c r="QIX148" s="322"/>
      <c r="QIY148" s="322"/>
      <c r="QIZ148" s="322"/>
      <c r="QJA148" s="322"/>
      <c r="QJB148" s="322"/>
      <c r="QJC148" s="322"/>
      <c r="QJD148" s="322"/>
      <c r="QJE148" s="322"/>
      <c r="QJF148" s="322"/>
      <c r="QJG148" s="322"/>
      <c r="QJH148" s="322"/>
      <c r="QJI148" s="322"/>
      <c r="QJJ148" s="322"/>
      <c r="QJK148" s="322"/>
      <c r="QJL148" s="322"/>
      <c r="QJM148" s="322"/>
      <c r="QJN148" s="322"/>
      <c r="QJO148" s="322"/>
      <c r="QJP148" s="322"/>
      <c r="QJQ148" s="322"/>
      <c r="QJR148" s="322"/>
      <c r="QJS148" s="322"/>
      <c r="QJT148" s="322"/>
      <c r="QJU148" s="322"/>
      <c r="QJV148" s="322"/>
      <c r="QJW148" s="322"/>
      <c r="QJX148" s="322"/>
      <c r="QJY148" s="322"/>
      <c r="QJZ148" s="322"/>
      <c r="QKA148" s="322"/>
      <c r="QKB148" s="322"/>
      <c r="QKC148" s="322"/>
      <c r="QKD148" s="322"/>
      <c r="QKE148" s="322"/>
      <c r="QKF148" s="322"/>
      <c r="QKG148" s="322"/>
      <c r="QKH148" s="322"/>
      <c r="QKI148" s="322"/>
      <c r="QKJ148" s="322"/>
      <c r="QKK148" s="322"/>
      <c r="QKL148" s="322"/>
      <c r="QKM148" s="322"/>
      <c r="QKN148" s="322"/>
      <c r="QKO148" s="322"/>
      <c r="QKP148" s="322"/>
      <c r="QKQ148" s="322"/>
      <c r="QKR148" s="322"/>
      <c r="QKS148" s="322"/>
      <c r="QKT148" s="322"/>
      <c r="QKU148" s="322"/>
      <c r="QKV148" s="322"/>
      <c r="QKW148" s="322"/>
      <c r="QKX148" s="322"/>
      <c r="QKY148" s="322"/>
      <c r="QKZ148" s="322"/>
      <c r="QLA148" s="322"/>
      <c r="QLB148" s="322"/>
      <c r="QLC148" s="322"/>
      <c r="QLD148" s="322"/>
      <c r="QLE148" s="322"/>
      <c r="QLF148" s="322"/>
      <c r="QLG148" s="322"/>
      <c r="QLH148" s="322"/>
      <c r="QLI148" s="322"/>
      <c r="QLJ148" s="322"/>
      <c r="QLK148" s="322"/>
      <c r="QLL148" s="322"/>
      <c r="QLM148" s="322"/>
      <c r="QLN148" s="322"/>
      <c r="QLO148" s="322"/>
      <c r="QLP148" s="322"/>
      <c r="QLQ148" s="322"/>
      <c r="QLR148" s="322"/>
      <c r="QLS148" s="322"/>
      <c r="QLT148" s="322"/>
      <c r="QLU148" s="322"/>
      <c r="QLV148" s="322"/>
      <c r="QLW148" s="322"/>
      <c r="QLX148" s="322"/>
      <c r="QLY148" s="322"/>
      <c r="QLZ148" s="322"/>
      <c r="QMA148" s="322"/>
      <c r="QMB148" s="322"/>
      <c r="QMC148" s="322"/>
      <c r="QMD148" s="322"/>
      <c r="QME148" s="322"/>
      <c r="QMF148" s="322"/>
      <c r="QMG148" s="322"/>
      <c r="QMH148" s="322"/>
      <c r="QMI148" s="322"/>
      <c r="QMJ148" s="322"/>
      <c r="QMK148" s="322"/>
      <c r="QML148" s="322"/>
      <c r="QMM148" s="322"/>
      <c r="QMN148" s="322"/>
      <c r="QMO148" s="322"/>
      <c r="QMP148" s="322"/>
      <c r="QMQ148" s="322"/>
      <c r="QMR148" s="322"/>
      <c r="QMS148" s="322"/>
      <c r="QMT148" s="322"/>
      <c r="QMU148" s="322"/>
      <c r="QMV148" s="322"/>
      <c r="QMW148" s="322"/>
      <c r="QMX148" s="322"/>
      <c r="QMY148" s="322"/>
      <c r="QMZ148" s="322"/>
      <c r="QNA148" s="322"/>
      <c r="QNB148" s="322"/>
      <c r="QNC148" s="322"/>
      <c r="QND148" s="322"/>
      <c r="QNE148" s="322"/>
      <c r="QNF148" s="322"/>
      <c r="QNG148" s="322"/>
      <c r="QNH148" s="322"/>
      <c r="QNI148" s="322"/>
      <c r="QNJ148" s="322"/>
      <c r="QNK148" s="322"/>
      <c r="QNL148" s="322"/>
      <c r="QNM148" s="322"/>
      <c r="QNN148" s="322"/>
      <c r="QNO148" s="322"/>
      <c r="QNP148" s="322"/>
      <c r="QNQ148" s="322"/>
      <c r="QNR148" s="322"/>
      <c r="QNS148" s="322"/>
      <c r="QNT148" s="322"/>
      <c r="QNU148" s="322"/>
      <c r="QNV148" s="322"/>
      <c r="QNW148" s="322"/>
      <c r="QNX148" s="322"/>
      <c r="QNY148" s="322"/>
      <c r="QNZ148" s="322"/>
      <c r="QOA148" s="322"/>
      <c r="QOB148" s="322"/>
      <c r="QOC148" s="322"/>
      <c r="QOD148" s="322"/>
      <c r="QOE148" s="322"/>
      <c r="QOF148" s="322"/>
      <c r="QOG148" s="322"/>
      <c r="QOH148" s="322"/>
      <c r="QOI148" s="322"/>
      <c r="QOJ148" s="322"/>
      <c r="QOK148" s="322"/>
      <c r="QOL148" s="322"/>
      <c r="QOM148" s="322"/>
      <c r="QON148" s="322"/>
      <c r="QOO148" s="322"/>
      <c r="QOP148" s="322"/>
      <c r="QOQ148" s="322"/>
      <c r="QOR148" s="322"/>
      <c r="QOS148" s="322"/>
      <c r="QOT148" s="322"/>
      <c r="QOU148" s="322"/>
      <c r="QOV148" s="322"/>
      <c r="QOW148" s="322"/>
      <c r="QOX148" s="322"/>
      <c r="QOY148" s="322"/>
      <c r="QOZ148" s="322"/>
      <c r="QPA148" s="322"/>
      <c r="QPB148" s="322"/>
      <c r="QPC148" s="322"/>
      <c r="QPD148" s="322"/>
      <c r="QPE148" s="322"/>
      <c r="QPF148" s="322"/>
      <c r="QPG148" s="322"/>
      <c r="QPH148" s="322"/>
      <c r="QPI148" s="322"/>
      <c r="QPJ148" s="322"/>
      <c r="QPK148" s="322"/>
      <c r="QPL148" s="322"/>
      <c r="QPM148" s="322"/>
      <c r="QPN148" s="322"/>
      <c r="QPO148" s="322"/>
      <c r="QPP148" s="322"/>
      <c r="QPQ148" s="322"/>
      <c r="QPR148" s="322"/>
      <c r="QPS148" s="322"/>
      <c r="QPT148" s="322"/>
      <c r="QPU148" s="322"/>
      <c r="QPV148" s="322"/>
      <c r="QPW148" s="322"/>
      <c r="QPX148" s="322"/>
      <c r="QPY148" s="322"/>
      <c r="QPZ148" s="322"/>
      <c r="QQA148" s="322"/>
      <c r="QQB148" s="322"/>
      <c r="QQC148" s="322"/>
      <c r="QQD148" s="322"/>
      <c r="QQE148" s="322"/>
      <c r="QQF148" s="322"/>
      <c r="QQG148" s="322"/>
      <c r="QQH148" s="322"/>
      <c r="QQI148" s="322"/>
      <c r="QQJ148" s="322"/>
      <c r="QQK148" s="322"/>
      <c r="QQL148" s="322"/>
      <c r="QQM148" s="322"/>
      <c r="QQN148" s="322"/>
      <c r="QQO148" s="322"/>
      <c r="QQP148" s="322"/>
      <c r="QQQ148" s="322"/>
      <c r="QQR148" s="322"/>
      <c r="QQS148" s="322"/>
      <c r="QQT148" s="322"/>
      <c r="QQU148" s="322"/>
      <c r="QQV148" s="322"/>
      <c r="QQW148" s="322"/>
      <c r="QQX148" s="322"/>
      <c r="QQY148" s="322"/>
      <c r="QQZ148" s="322"/>
      <c r="QRA148" s="322"/>
      <c r="QRB148" s="322"/>
      <c r="QRC148" s="322"/>
      <c r="QRD148" s="322"/>
      <c r="QRE148" s="322"/>
      <c r="QRF148" s="322"/>
      <c r="QRG148" s="322"/>
      <c r="QRH148" s="322"/>
      <c r="QRI148" s="322"/>
      <c r="QRJ148" s="322"/>
      <c r="QRK148" s="322"/>
      <c r="QRL148" s="322"/>
      <c r="QRM148" s="322"/>
      <c r="QRN148" s="322"/>
      <c r="QRO148" s="322"/>
      <c r="QRP148" s="322"/>
      <c r="QRQ148" s="322"/>
      <c r="QRR148" s="322"/>
      <c r="QRS148" s="322"/>
      <c r="QRT148" s="322"/>
      <c r="QRU148" s="322"/>
      <c r="QRV148" s="322"/>
      <c r="QRW148" s="322"/>
      <c r="QRX148" s="322"/>
      <c r="QRY148" s="322"/>
      <c r="QRZ148" s="322"/>
      <c r="QSA148" s="322"/>
      <c r="QSB148" s="322"/>
      <c r="QSC148" s="322"/>
      <c r="QSD148" s="322"/>
      <c r="QSE148" s="322"/>
      <c r="QSF148" s="322"/>
      <c r="QSG148" s="322"/>
      <c r="QSH148" s="322"/>
      <c r="QSI148" s="322"/>
      <c r="QSJ148" s="322"/>
      <c r="QSK148" s="322"/>
      <c r="QSL148" s="322"/>
      <c r="QSM148" s="322"/>
      <c r="QSN148" s="322"/>
      <c r="QSO148" s="322"/>
      <c r="QSP148" s="322"/>
      <c r="QSQ148" s="322"/>
      <c r="QSR148" s="322"/>
      <c r="QSS148" s="322"/>
      <c r="QST148" s="322"/>
      <c r="QSU148" s="322"/>
      <c r="QSV148" s="322"/>
      <c r="QSW148" s="322"/>
      <c r="QSX148" s="322"/>
      <c r="QSY148" s="322"/>
      <c r="QSZ148" s="322"/>
      <c r="QTA148" s="322"/>
      <c r="QTB148" s="322"/>
      <c r="QTC148" s="322"/>
      <c r="QTD148" s="322"/>
      <c r="QTE148" s="322"/>
      <c r="QTF148" s="322"/>
      <c r="QTG148" s="322"/>
      <c r="QTH148" s="322"/>
      <c r="QTI148" s="322"/>
      <c r="QTJ148" s="322"/>
      <c r="QTK148" s="322"/>
      <c r="QTL148" s="322"/>
      <c r="QTM148" s="322"/>
      <c r="QTN148" s="322"/>
      <c r="QTO148" s="322"/>
      <c r="QTP148" s="322"/>
      <c r="QTQ148" s="322"/>
      <c r="QTR148" s="322"/>
      <c r="QTS148" s="322"/>
      <c r="QTT148" s="322"/>
      <c r="QTU148" s="322"/>
      <c r="QTV148" s="322"/>
      <c r="QTW148" s="322"/>
      <c r="QTX148" s="322"/>
      <c r="QTY148" s="322"/>
      <c r="QTZ148" s="322"/>
      <c r="QUA148" s="322"/>
      <c r="QUB148" s="322"/>
      <c r="QUC148" s="322"/>
      <c r="QUD148" s="322"/>
      <c r="QUE148" s="322"/>
      <c r="QUF148" s="322"/>
      <c r="QUG148" s="322"/>
      <c r="QUH148" s="322"/>
      <c r="QUI148" s="322"/>
      <c r="QUJ148" s="322"/>
      <c r="QUK148" s="322"/>
      <c r="QUL148" s="322"/>
      <c r="QUM148" s="322"/>
      <c r="QUN148" s="322"/>
      <c r="QUO148" s="322"/>
      <c r="QUP148" s="322"/>
      <c r="QUQ148" s="322"/>
      <c r="QUR148" s="322"/>
      <c r="QUS148" s="322"/>
      <c r="QUT148" s="322"/>
      <c r="QUU148" s="322"/>
      <c r="QUV148" s="322"/>
      <c r="QUW148" s="322"/>
      <c r="QUX148" s="322"/>
      <c r="QUY148" s="322"/>
      <c r="QUZ148" s="322"/>
      <c r="QVA148" s="322"/>
      <c r="QVB148" s="322"/>
      <c r="QVC148" s="322"/>
      <c r="QVD148" s="322"/>
      <c r="QVE148" s="322"/>
      <c r="QVF148" s="322"/>
      <c r="QVG148" s="322"/>
      <c r="QVH148" s="322"/>
      <c r="QVI148" s="322"/>
      <c r="QVJ148" s="322"/>
      <c r="QVK148" s="322"/>
      <c r="QVL148" s="322"/>
      <c r="QVM148" s="322"/>
      <c r="QVN148" s="322"/>
      <c r="QVO148" s="322"/>
      <c r="QVP148" s="322"/>
      <c r="QVQ148" s="322"/>
      <c r="QVR148" s="322"/>
      <c r="QVS148" s="322"/>
      <c r="QVT148" s="322"/>
      <c r="QVU148" s="322"/>
      <c r="QVV148" s="322"/>
      <c r="QVW148" s="322"/>
      <c r="QVX148" s="322"/>
      <c r="QVY148" s="322"/>
      <c r="QVZ148" s="322"/>
      <c r="QWA148" s="322"/>
      <c r="QWB148" s="322"/>
      <c r="QWC148" s="322"/>
      <c r="QWD148" s="322"/>
      <c r="QWE148" s="322"/>
      <c r="QWF148" s="322"/>
      <c r="QWG148" s="322"/>
      <c r="QWH148" s="322"/>
      <c r="QWI148" s="322"/>
      <c r="QWJ148" s="322"/>
      <c r="QWK148" s="322"/>
      <c r="QWL148" s="322"/>
      <c r="QWM148" s="322"/>
      <c r="QWN148" s="322"/>
      <c r="QWO148" s="322"/>
      <c r="QWP148" s="322"/>
      <c r="QWQ148" s="322"/>
      <c r="QWR148" s="322"/>
      <c r="QWS148" s="322"/>
      <c r="QWT148" s="322"/>
      <c r="QWU148" s="322"/>
      <c r="QWV148" s="322"/>
      <c r="QWW148" s="322"/>
      <c r="QWX148" s="322"/>
      <c r="QWY148" s="322"/>
      <c r="QWZ148" s="322"/>
      <c r="QXA148" s="322"/>
      <c r="QXB148" s="322"/>
      <c r="QXC148" s="322"/>
      <c r="QXD148" s="322"/>
      <c r="QXE148" s="322"/>
      <c r="QXF148" s="322"/>
      <c r="QXG148" s="322"/>
      <c r="QXH148" s="322"/>
      <c r="QXI148" s="322"/>
      <c r="QXJ148" s="322"/>
      <c r="QXK148" s="322"/>
      <c r="QXL148" s="322"/>
      <c r="QXM148" s="322"/>
      <c r="QXN148" s="322"/>
      <c r="QXO148" s="322"/>
      <c r="QXP148" s="322"/>
      <c r="QXQ148" s="322"/>
      <c r="QXR148" s="322"/>
      <c r="QXS148" s="322"/>
      <c r="QXT148" s="322"/>
      <c r="QXU148" s="322"/>
      <c r="QXV148" s="322"/>
      <c r="QXW148" s="322"/>
      <c r="QXX148" s="322"/>
      <c r="QXY148" s="322"/>
      <c r="QXZ148" s="322"/>
      <c r="QYA148" s="322"/>
      <c r="QYB148" s="322"/>
      <c r="QYC148" s="322"/>
      <c r="QYD148" s="322"/>
      <c r="QYE148" s="322"/>
      <c r="QYF148" s="322"/>
      <c r="QYG148" s="322"/>
      <c r="QYH148" s="322"/>
      <c r="QYI148" s="322"/>
      <c r="QYJ148" s="322"/>
      <c r="QYK148" s="322"/>
      <c r="QYL148" s="322"/>
      <c r="QYM148" s="322"/>
      <c r="QYN148" s="322"/>
      <c r="QYO148" s="322"/>
      <c r="QYP148" s="322"/>
      <c r="QYQ148" s="322"/>
      <c r="QYR148" s="322"/>
      <c r="QYS148" s="322"/>
      <c r="QYT148" s="322"/>
      <c r="QYU148" s="322"/>
      <c r="QYV148" s="322"/>
      <c r="QYW148" s="322"/>
      <c r="QYX148" s="322"/>
      <c r="QYY148" s="322"/>
      <c r="QYZ148" s="322"/>
      <c r="QZA148" s="322"/>
      <c r="QZB148" s="322"/>
      <c r="QZC148" s="322"/>
      <c r="QZD148" s="322"/>
      <c r="QZE148" s="322"/>
      <c r="QZF148" s="322"/>
      <c r="QZG148" s="322"/>
      <c r="QZH148" s="322"/>
      <c r="QZI148" s="322"/>
      <c r="QZJ148" s="322"/>
      <c r="QZK148" s="322"/>
      <c r="QZL148" s="322"/>
      <c r="QZM148" s="322"/>
      <c r="QZN148" s="322"/>
      <c r="QZO148" s="322"/>
      <c r="QZP148" s="322"/>
      <c r="QZQ148" s="322"/>
      <c r="QZR148" s="322"/>
      <c r="QZS148" s="322"/>
      <c r="QZT148" s="322"/>
      <c r="QZU148" s="322"/>
      <c r="QZV148" s="322"/>
      <c r="QZW148" s="322"/>
      <c r="QZX148" s="322"/>
      <c r="QZY148" s="322"/>
      <c r="QZZ148" s="322"/>
      <c r="RAA148" s="322"/>
      <c r="RAB148" s="322"/>
      <c r="RAC148" s="322"/>
      <c r="RAD148" s="322"/>
      <c r="RAE148" s="322"/>
      <c r="RAF148" s="322"/>
      <c r="RAG148" s="322"/>
      <c r="RAH148" s="322"/>
      <c r="RAI148" s="322"/>
      <c r="RAJ148" s="322"/>
      <c r="RAK148" s="322"/>
      <c r="RAL148" s="322"/>
      <c r="RAM148" s="322"/>
      <c r="RAN148" s="322"/>
      <c r="RAO148" s="322"/>
      <c r="RAP148" s="322"/>
      <c r="RAQ148" s="322"/>
      <c r="RAR148" s="322"/>
      <c r="RAS148" s="322"/>
      <c r="RAT148" s="322"/>
      <c r="RAU148" s="322"/>
      <c r="RAV148" s="322"/>
      <c r="RAW148" s="322"/>
      <c r="RAX148" s="322"/>
      <c r="RAY148" s="322"/>
      <c r="RAZ148" s="322"/>
      <c r="RBA148" s="322"/>
      <c r="RBB148" s="322"/>
      <c r="RBC148" s="322"/>
      <c r="RBD148" s="322"/>
      <c r="RBE148" s="322"/>
      <c r="RBF148" s="322"/>
      <c r="RBG148" s="322"/>
      <c r="RBH148" s="322"/>
      <c r="RBI148" s="322"/>
      <c r="RBJ148" s="322"/>
      <c r="RBK148" s="322"/>
      <c r="RBL148" s="322"/>
      <c r="RBM148" s="322"/>
      <c r="RBN148" s="322"/>
      <c r="RBO148" s="322"/>
      <c r="RBP148" s="322"/>
      <c r="RBQ148" s="322"/>
      <c r="RBR148" s="322"/>
      <c r="RBS148" s="322"/>
      <c r="RBT148" s="322"/>
      <c r="RBU148" s="322"/>
      <c r="RBV148" s="322"/>
      <c r="RBW148" s="322"/>
      <c r="RBX148" s="322"/>
      <c r="RBY148" s="322"/>
      <c r="RBZ148" s="322"/>
      <c r="RCA148" s="322"/>
      <c r="RCB148" s="322"/>
      <c r="RCC148" s="322"/>
      <c r="RCD148" s="322"/>
      <c r="RCE148" s="322"/>
      <c r="RCF148" s="322"/>
      <c r="RCG148" s="322"/>
      <c r="RCH148" s="322"/>
      <c r="RCI148" s="322"/>
      <c r="RCJ148" s="322"/>
      <c r="RCK148" s="322"/>
      <c r="RCL148" s="322"/>
      <c r="RCM148" s="322"/>
      <c r="RCN148" s="322"/>
      <c r="RCO148" s="322"/>
      <c r="RCP148" s="322"/>
      <c r="RCQ148" s="322"/>
      <c r="RCR148" s="322"/>
      <c r="RCS148" s="322"/>
      <c r="RCT148" s="322"/>
      <c r="RCU148" s="322"/>
      <c r="RCV148" s="322"/>
      <c r="RCW148" s="322"/>
      <c r="RCX148" s="322"/>
      <c r="RCY148" s="322"/>
      <c r="RCZ148" s="322"/>
      <c r="RDA148" s="322"/>
      <c r="RDB148" s="322"/>
      <c r="RDC148" s="322"/>
      <c r="RDD148" s="322"/>
      <c r="RDE148" s="322"/>
      <c r="RDF148" s="322"/>
      <c r="RDG148" s="322"/>
      <c r="RDH148" s="322"/>
      <c r="RDI148" s="322"/>
      <c r="RDJ148" s="322"/>
      <c r="RDK148" s="322"/>
      <c r="RDL148" s="322"/>
      <c r="RDM148" s="322"/>
      <c r="RDN148" s="322"/>
      <c r="RDO148" s="322"/>
      <c r="RDP148" s="322"/>
      <c r="RDQ148" s="322"/>
      <c r="RDR148" s="322"/>
      <c r="RDS148" s="322"/>
      <c r="RDT148" s="322"/>
      <c r="RDU148" s="322"/>
      <c r="RDV148" s="322"/>
      <c r="RDW148" s="322"/>
      <c r="RDX148" s="322"/>
      <c r="RDY148" s="322"/>
      <c r="RDZ148" s="322"/>
      <c r="REA148" s="322"/>
      <c r="REB148" s="322"/>
      <c r="REC148" s="322"/>
      <c r="RED148" s="322"/>
      <c r="REE148" s="322"/>
      <c r="REF148" s="322"/>
      <c r="REG148" s="322"/>
      <c r="REH148" s="322"/>
      <c r="REI148" s="322"/>
      <c r="REJ148" s="322"/>
      <c r="REK148" s="322"/>
      <c r="REL148" s="322"/>
      <c r="REM148" s="322"/>
      <c r="REN148" s="322"/>
      <c r="REO148" s="322"/>
      <c r="REP148" s="322"/>
      <c r="REQ148" s="322"/>
      <c r="RER148" s="322"/>
      <c r="RES148" s="322"/>
      <c r="RET148" s="322"/>
      <c r="REU148" s="322"/>
      <c r="REV148" s="322"/>
      <c r="REW148" s="322"/>
      <c r="REX148" s="322"/>
      <c r="REY148" s="322"/>
      <c r="REZ148" s="322"/>
      <c r="RFA148" s="322"/>
      <c r="RFB148" s="322"/>
      <c r="RFC148" s="322"/>
      <c r="RFD148" s="322"/>
      <c r="RFE148" s="322"/>
      <c r="RFF148" s="322"/>
      <c r="RFG148" s="322"/>
      <c r="RFH148" s="322"/>
      <c r="RFI148" s="322"/>
      <c r="RFJ148" s="322"/>
      <c r="RFK148" s="322"/>
      <c r="RFL148" s="322"/>
      <c r="RFM148" s="322"/>
      <c r="RFN148" s="322"/>
      <c r="RFO148" s="322"/>
      <c r="RFP148" s="322"/>
      <c r="RFQ148" s="322"/>
      <c r="RFR148" s="322"/>
      <c r="RFS148" s="322"/>
      <c r="RFT148" s="322"/>
      <c r="RFU148" s="322"/>
      <c r="RFV148" s="322"/>
      <c r="RFW148" s="322"/>
      <c r="RFX148" s="322"/>
      <c r="RFY148" s="322"/>
      <c r="RFZ148" s="322"/>
      <c r="RGA148" s="322"/>
      <c r="RGB148" s="322"/>
      <c r="RGC148" s="322"/>
      <c r="RGD148" s="322"/>
      <c r="RGE148" s="322"/>
      <c r="RGF148" s="322"/>
      <c r="RGG148" s="322"/>
      <c r="RGH148" s="322"/>
      <c r="RGI148" s="322"/>
      <c r="RGJ148" s="322"/>
      <c r="RGK148" s="322"/>
      <c r="RGL148" s="322"/>
      <c r="RGM148" s="322"/>
      <c r="RGN148" s="322"/>
      <c r="RGO148" s="322"/>
      <c r="RGP148" s="322"/>
      <c r="RGQ148" s="322"/>
      <c r="RGR148" s="322"/>
      <c r="RGS148" s="322"/>
      <c r="RGT148" s="322"/>
      <c r="RGU148" s="322"/>
      <c r="RGV148" s="322"/>
      <c r="RGW148" s="322"/>
      <c r="RGX148" s="322"/>
      <c r="RGY148" s="322"/>
      <c r="RGZ148" s="322"/>
      <c r="RHA148" s="322"/>
      <c r="RHB148" s="322"/>
      <c r="RHC148" s="322"/>
      <c r="RHD148" s="322"/>
      <c r="RHE148" s="322"/>
      <c r="RHF148" s="322"/>
      <c r="RHG148" s="322"/>
      <c r="RHH148" s="322"/>
      <c r="RHI148" s="322"/>
      <c r="RHJ148" s="322"/>
      <c r="RHK148" s="322"/>
      <c r="RHL148" s="322"/>
      <c r="RHM148" s="322"/>
      <c r="RHN148" s="322"/>
      <c r="RHO148" s="322"/>
      <c r="RHP148" s="322"/>
      <c r="RHQ148" s="322"/>
      <c r="RHR148" s="322"/>
      <c r="RHS148" s="322"/>
      <c r="RHT148" s="322"/>
      <c r="RHU148" s="322"/>
      <c r="RHV148" s="322"/>
      <c r="RHW148" s="322"/>
      <c r="RHX148" s="322"/>
      <c r="RHY148" s="322"/>
      <c r="RHZ148" s="322"/>
      <c r="RIA148" s="322"/>
      <c r="RIB148" s="322"/>
      <c r="RIC148" s="322"/>
      <c r="RID148" s="322"/>
      <c r="RIE148" s="322"/>
      <c r="RIF148" s="322"/>
      <c r="RIG148" s="322"/>
      <c r="RIH148" s="322"/>
      <c r="RII148" s="322"/>
      <c r="RIJ148" s="322"/>
      <c r="RIK148" s="322"/>
      <c r="RIL148" s="322"/>
      <c r="RIM148" s="322"/>
      <c r="RIN148" s="322"/>
      <c r="RIO148" s="322"/>
      <c r="RIP148" s="322"/>
      <c r="RIQ148" s="322"/>
      <c r="RIR148" s="322"/>
      <c r="RIS148" s="322"/>
      <c r="RIT148" s="322"/>
      <c r="RIU148" s="322"/>
      <c r="RIV148" s="322"/>
      <c r="RIW148" s="322"/>
      <c r="RIX148" s="322"/>
      <c r="RIY148" s="322"/>
      <c r="RIZ148" s="322"/>
      <c r="RJA148" s="322"/>
      <c r="RJB148" s="322"/>
      <c r="RJC148" s="322"/>
      <c r="RJD148" s="322"/>
      <c r="RJE148" s="322"/>
      <c r="RJF148" s="322"/>
      <c r="RJG148" s="322"/>
      <c r="RJH148" s="322"/>
      <c r="RJI148" s="322"/>
      <c r="RJJ148" s="322"/>
      <c r="RJK148" s="322"/>
      <c r="RJL148" s="322"/>
      <c r="RJM148" s="322"/>
      <c r="RJN148" s="322"/>
      <c r="RJO148" s="322"/>
      <c r="RJP148" s="322"/>
      <c r="RJQ148" s="322"/>
      <c r="RJR148" s="322"/>
      <c r="RJS148" s="322"/>
      <c r="RJT148" s="322"/>
      <c r="RJU148" s="322"/>
      <c r="RJV148" s="322"/>
      <c r="RJW148" s="322"/>
      <c r="RJX148" s="322"/>
      <c r="RJY148" s="322"/>
      <c r="RJZ148" s="322"/>
      <c r="RKA148" s="322"/>
      <c r="RKB148" s="322"/>
      <c r="RKC148" s="322"/>
      <c r="RKD148" s="322"/>
      <c r="RKE148" s="322"/>
      <c r="RKF148" s="322"/>
      <c r="RKG148" s="322"/>
      <c r="RKH148" s="322"/>
      <c r="RKI148" s="322"/>
      <c r="RKJ148" s="322"/>
      <c r="RKK148" s="322"/>
      <c r="RKL148" s="322"/>
      <c r="RKM148" s="322"/>
      <c r="RKN148" s="322"/>
      <c r="RKO148" s="322"/>
      <c r="RKP148" s="322"/>
      <c r="RKQ148" s="322"/>
      <c r="RKR148" s="322"/>
      <c r="RKS148" s="322"/>
      <c r="RKT148" s="322"/>
      <c r="RKU148" s="322"/>
      <c r="RKV148" s="322"/>
      <c r="RKW148" s="322"/>
      <c r="RKX148" s="322"/>
      <c r="RKY148" s="322"/>
      <c r="RKZ148" s="322"/>
      <c r="RLA148" s="322"/>
      <c r="RLB148" s="322"/>
      <c r="RLC148" s="322"/>
      <c r="RLD148" s="322"/>
      <c r="RLE148" s="322"/>
      <c r="RLF148" s="322"/>
      <c r="RLG148" s="322"/>
      <c r="RLH148" s="322"/>
      <c r="RLI148" s="322"/>
      <c r="RLJ148" s="322"/>
      <c r="RLK148" s="322"/>
      <c r="RLL148" s="322"/>
      <c r="RLM148" s="322"/>
      <c r="RLN148" s="322"/>
      <c r="RLO148" s="322"/>
      <c r="RLP148" s="322"/>
      <c r="RLQ148" s="322"/>
      <c r="RLR148" s="322"/>
      <c r="RLS148" s="322"/>
      <c r="RLT148" s="322"/>
      <c r="RLU148" s="322"/>
      <c r="RLV148" s="322"/>
      <c r="RLW148" s="322"/>
      <c r="RLX148" s="322"/>
      <c r="RLY148" s="322"/>
      <c r="RLZ148" s="322"/>
      <c r="RMA148" s="322"/>
      <c r="RMB148" s="322"/>
      <c r="RMC148" s="322"/>
      <c r="RMD148" s="322"/>
      <c r="RME148" s="322"/>
      <c r="RMF148" s="322"/>
      <c r="RMG148" s="322"/>
      <c r="RMH148" s="322"/>
      <c r="RMI148" s="322"/>
      <c r="RMJ148" s="322"/>
      <c r="RMK148" s="322"/>
      <c r="RML148" s="322"/>
      <c r="RMM148" s="322"/>
      <c r="RMN148" s="322"/>
      <c r="RMO148" s="322"/>
      <c r="RMP148" s="322"/>
      <c r="RMQ148" s="322"/>
      <c r="RMR148" s="322"/>
      <c r="RMS148" s="322"/>
      <c r="RMT148" s="322"/>
      <c r="RMU148" s="322"/>
      <c r="RMV148" s="322"/>
      <c r="RMW148" s="322"/>
      <c r="RMX148" s="322"/>
      <c r="RMY148" s="322"/>
      <c r="RMZ148" s="322"/>
      <c r="RNA148" s="322"/>
      <c r="RNB148" s="322"/>
      <c r="RNC148" s="322"/>
      <c r="RND148" s="322"/>
      <c r="RNE148" s="322"/>
      <c r="RNF148" s="322"/>
      <c r="RNG148" s="322"/>
      <c r="RNH148" s="322"/>
      <c r="RNI148" s="322"/>
      <c r="RNJ148" s="322"/>
      <c r="RNK148" s="322"/>
      <c r="RNL148" s="322"/>
      <c r="RNM148" s="322"/>
      <c r="RNN148" s="322"/>
      <c r="RNO148" s="322"/>
      <c r="RNP148" s="322"/>
      <c r="RNQ148" s="322"/>
      <c r="RNR148" s="322"/>
      <c r="RNS148" s="322"/>
      <c r="RNT148" s="322"/>
      <c r="RNU148" s="322"/>
      <c r="RNV148" s="322"/>
      <c r="RNW148" s="322"/>
      <c r="RNX148" s="322"/>
      <c r="RNY148" s="322"/>
      <c r="RNZ148" s="322"/>
      <c r="ROA148" s="322"/>
      <c r="ROB148" s="322"/>
      <c r="ROC148" s="322"/>
      <c r="ROD148" s="322"/>
      <c r="ROE148" s="322"/>
      <c r="ROF148" s="322"/>
      <c r="ROG148" s="322"/>
      <c r="ROH148" s="322"/>
      <c r="ROI148" s="322"/>
      <c r="ROJ148" s="322"/>
      <c r="ROK148" s="322"/>
      <c r="ROL148" s="322"/>
      <c r="ROM148" s="322"/>
      <c r="RON148" s="322"/>
      <c r="ROO148" s="322"/>
      <c r="ROP148" s="322"/>
      <c r="ROQ148" s="322"/>
      <c r="ROR148" s="322"/>
      <c r="ROS148" s="322"/>
      <c r="ROT148" s="322"/>
      <c r="ROU148" s="322"/>
      <c r="ROV148" s="322"/>
      <c r="ROW148" s="322"/>
      <c r="ROX148" s="322"/>
      <c r="ROY148" s="322"/>
      <c r="ROZ148" s="322"/>
      <c r="RPA148" s="322"/>
      <c r="RPB148" s="322"/>
      <c r="RPC148" s="322"/>
      <c r="RPD148" s="322"/>
      <c r="RPE148" s="322"/>
      <c r="RPF148" s="322"/>
      <c r="RPG148" s="322"/>
      <c r="RPH148" s="322"/>
      <c r="RPI148" s="322"/>
      <c r="RPJ148" s="322"/>
      <c r="RPK148" s="322"/>
      <c r="RPL148" s="322"/>
      <c r="RPM148" s="322"/>
      <c r="RPN148" s="322"/>
      <c r="RPO148" s="322"/>
      <c r="RPP148" s="322"/>
      <c r="RPQ148" s="322"/>
      <c r="RPR148" s="322"/>
      <c r="RPS148" s="322"/>
      <c r="RPT148" s="322"/>
      <c r="RPU148" s="322"/>
      <c r="RPV148" s="322"/>
      <c r="RPW148" s="322"/>
      <c r="RPX148" s="322"/>
      <c r="RPY148" s="322"/>
      <c r="RPZ148" s="322"/>
      <c r="RQA148" s="322"/>
      <c r="RQB148" s="322"/>
      <c r="RQC148" s="322"/>
      <c r="RQD148" s="322"/>
      <c r="RQE148" s="322"/>
      <c r="RQF148" s="322"/>
      <c r="RQG148" s="322"/>
      <c r="RQH148" s="322"/>
      <c r="RQI148" s="322"/>
      <c r="RQJ148" s="322"/>
      <c r="RQK148" s="322"/>
      <c r="RQL148" s="322"/>
      <c r="RQM148" s="322"/>
      <c r="RQN148" s="322"/>
      <c r="RQO148" s="322"/>
      <c r="RQP148" s="322"/>
      <c r="RQQ148" s="322"/>
      <c r="RQR148" s="322"/>
      <c r="RQS148" s="322"/>
      <c r="RQT148" s="322"/>
      <c r="RQU148" s="322"/>
      <c r="RQV148" s="322"/>
      <c r="RQW148" s="322"/>
      <c r="RQX148" s="322"/>
      <c r="RQY148" s="322"/>
      <c r="RQZ148" s="322"/>
      <c r="RRA148" s="322"/>
      <c r="RRB148" s="322"/>
      <c r="RRC148" s="322"/>
      <c r="RRD148" s="322"/>
      <c r="RRE148" s="322"/>
      <c r="RRF148" s="322"/>
      <c r="RRG148" s="322"/>
      <c r="RRH148" s="322"/>
      <c r="RRI148" s="322"/>
      <c r="RRJ148" s="322"/>
      <c r="RRK148" s="322"/>
      <c r="RRL148" s="322"/>
      <c r="RRM148" s="322"/>
      <c r="RRN148" s="322"/>
      <c r="RRO148" s="322"/>
      <c r="RRP148" s="322"/>
      <c r="RRQ148" s="322"/>
      <c r="RRR148" s="322"/>
      <c r="RRS148" s="322"/>
      <c r="RRT148" s="322"/>
      <c r="RRU148" s="322"/>
      <c r="RRV148" s="322"/>
      <c r="RRW148" s="322"/>
      <c r="RRX148" s="322"/>
      <c r="RRY148" s="322"/>
      <c r="RRZ148" s="322"/>
      <c r="RSA148" s="322"/>
      <c r="RSB148" s="322"/>
      <c r="RSC148" s="322"/>
      <c r="RSD148" s="322"/>
      <c r="RSE148" s="322"/>
      <c r="RSF148" s="322"/>
      <c r="RSG148" s="322"/>
      <c r="RSH148" s="322"/>
      <c r="RSI148" s="322"/>
      <c r="RSJ148" s="322"/>
      <c r="RSK148" s="322"/>
      <c r="RSL148" s="322"/>
      <c r="RSM148" s="322"/>
      <c r="RSN148" s="322"/>
      <c r="RSO148" s="322"/>
      <c r="RSP148" s="322"/>
      <c r="RSQ148" s="322"/>
      <c r="RSR148" s="322"/>
      <c r="RSS148" s="322"/>
      <c r="RST148" s="322"/>
      <c r="RSU148" s="322"/>
      <c r="RSV148" s="322"/>
      <c r="RSW148" s="322"/>
      <c r="RSX148" s="322"/>
      <c r="RSY148" s="322"/>
      <c r="RSZ148" s="322"/>
      <c r="RTA148" s="322"/>
      <c r="RTB148" s="322"/>
      <c r="RTC148" s="322"/>
      <c r="RTD148" s="322"/>
      <c r="RTE148" s="322"/>
      <c r="RTF148" s="322"/>
      <c r="RTG148" s="322"/>
      <c r="RTH148" s="322"/>
      <c r="RTI148" s="322"/>
      <c r="RTJ148" s="322"/>
      <c r="RTK148" s="322"/>
      <c r="RTL148" s="322"/>
      <c r="RTM148" s="322"/>
      <c r="RTN148" s="322"/>
      <c r="RTO148" s="322"/>
      <c r="RTP148" s="322"/>
      <c r="RTQ148" s="322"/>
      <c r="RTR148" s="322"/>
      <c r="RTS148" s="322"/>
      <c r="RTT148" s="322"/>
      <c r="RTU148" s="322"/>
      <c r="RTV148" s="322"/>
      <c r="RTW148" s="322"/>
      <c r="RTX148" s="322"/>
      <c r="RTY148" s="322"/>
      <c r="RTZ148" s="322"/>
      <c r="RUA148" s="322"/>
      <c r="RUB148" s="322"/>
      <c r="RUC148" s="322"/>
      <c r="RUD148" s="322"/>
      <c r="RUE148" s="322"/>
      <c r="RUF148" s="322"/>
      <c r="RUG148" s="322"/>
      <c r="RUH148" s="322"/>
      <c r="RUI148" s="322"/>
      <c r="RUJ148" s="322"/>
      <c r="RUK148" s="322"/>
      <c r="RUL148" s="322"/>
      <c r="RUM148" s="322"/>
      <c r="RUN148" s="322"/>
      <c r="RUO148" s="322"/>
      <c r="RUP148" s="322"/>
      <c r="RUQ148" s="322"/>
      <c r="RUR148" s="322"/>
      <c r="RUS148" s="322"/>
      <c r="RUT148" s="322"/>
      <c r="RUU148" s="322"/>
      <c r="RUV148" s="322"/>
      <c r="RUW148" s="322"/>
      <c r="RUX148" s="322"/>
      <c r="RUY148" s="322"/>
      <c r="RUZ148" s="322"/>
      <c r="RVA148" s="322"/>
      <c r="RVB148" s="322"/>
      <c r="RVC148" s="322"/>
      <c r="RVD148" s="322"/>
      <c r="RVE148" s="322"/>
      <c r="RVF148" s="322"/>
      <c r="RVG148" s="322"/>
      <c r="RVH148" s="322"/>
      <c r="RVI148" s="322"/>
      <c r="RVJ148" s="322"/>
      <c r="RVK148" s="322"/>
      <c r="RVL148" s="322"/>
      <c r="RVM148" s="322"/>
      <c r="RVN148" s="322"/>
      <c r="RVO148" s="322"/>
      <c r="RVP148" s="322"/>
      <c r="RVQ148" s="322"/>
      <c r="RVR148" s="322"/>
      <c r="RVS148" s="322"/>
      <c r="RVT148" s="322"/>
      <c r="RVU148" s="322"/>
      <c r="RVV148" s="322"/>
      <c r="RVW148" s="322"/>
      <c r="RVX148" s="322"/>
      <c r="RVY148" s="322"/>
      <c r="RVZ148" s="322"/>
      <c r="RWA148" s="322"/>
      <c r="RWB148" s="322"/>
      <c r="RWC148" s="322"/>
      <c r="RWD148" s="322"/>
      <c r="RWE148" s="322"/>
      <c r="RWF148" s="322"/>
      <c r="RWG148" s="322"/>
      <c r="RWH148" s="322"/>
      <c r="RWI148" s="322"/>
      <c r="RWJ148" s="322"/>
      <c r="RWK148" s="322"/>
      <c r="RWL148" s="322"/>
      <c r="RWM148" s="322"/>
      <c r="RWN148" s="322"/>
      <c r="RWO148" s="322"/>
      <c r="RWP148" s="322"/>
      <c r="RWQ148" s="322"/>
      <c r="RWR148" s="322"/>
      <c r="RWS148" s="322"/>
      <c r="RWT148" s="322"/>
      <c r="RWU148" s="322"/>
      <c r="RWV148" s="322"/>
      <c r="RWW148" s="322"/>
      <c r="RWX148" s="322"/>
      <c r="RWY148" s="322"/>
      <c r="RWZ148" s="322"/>
      <c r="RXA148" s="322"/>
      <c r="RXB148" s="322"/>
      <c r="RXC148" s="322"/>
      <c r="RXD148" s="322"/>
      <c r="RXE148" s="322"/>
      <c r="RXF148" s="322"/>
      <c r="RXG148" s="322"/>
      <c r="RXH148" s="322"/>
      <c r="RXI148" s="322"/>
      <c r="RXJ148" s="322"/>
      <c r="RXK148" s="322"/>
      <c r="RXL148" s="322"/>
      <c r="RXM148" s="322"/>
      <c r="RXN148" s="322"/>
      <c r="RXO148" s="322"/>
      <c r="RXP148" s="322"/>
      <c r="RXQ148" s="322"/>
      <c r="RXR148" s="322"/>
      <c r="RXS148" s="322"/>
      <c r="RXT148" s="322"/>
      <c r="RXU148" s="322"/>
      <c r="RXV148" s="322"/>
      <c r="RXW148" s="322"/>
      <c r="RXX148" s="322"/>
      <c r="RXY148" s="322"/>
      <c r="RXZ148" s="322"/>
      <c r="RYA148" s="322"/>
      <c r="RYB148" s="322"/>
      <c r="RYC148" s="322"/>
      <c r="RYD148" s="322"/>
      <c r="RYE148" s="322"/>
      <c r="RYF148" s="322"/>
      <c r="RYG148" s="322"/>
      <c r="RYH148" s="322"/>
      <c r="RYI148" s="322"/>
      <c r="RYJ148" s="322"/>
      <c r="RYK148" s="322"/>
      <c r="RYL148" s="322"/>
      <c r="RYM148" s="322"/>
      <c r="RYN148" s="322"/>
      <c r="RYO148" s="322"/>
      <c r="RYP148" s="322"/>
      <c r="RYQ148" s="322"/>
      <c r="RYR148" s="322"/>
      <c r="RYS148" s="322"/>
      <c r="RYT148" s="322"/>
      <c r="RYU148" s="322"/>
      <c r="RYV148" s="322"/>
      <c r="RYW148" s="322"/>
      <c r="RYX148" s="322"/>
      <c r="RYY148" s="322"/>
      <c r="RYZ148" s="322"/>
      <c r="RZA148" s="322"/>
      <c r="RZB148" s="322"/>
      <c r="RZC148" s="322"/>
      <c r="RZD148" s="322"/>
      <c r="RZE148" s="322"/>
      <c r="RZF148" s="322"/>
      <c r="RZG148" s="322"/>
      <c r="RZH148" s="322"/>
      <c r="RZI148" s="322"/>
      <c r="RZJ148" s="322"/>
      <c r="RZK148" s="322"/>
      <c r="RZL148" s="322"/>
      <c r="RZM148" s="322"/>
      <c r="RZN148" s="322"/>
      <c r="RZO148" s="322"/>
      <c r="RZP148" s="322"/>
      <c r="RZQ148" s="322"/>
      <c r="RZR148" s="322"/>
      <c r="RZS148" s="322"/>
      <c r="RZT148" s="322"/>
      <c r="RZU148" s="322"/>
      <c r="RZV148" s="322"/>
      <c r="RZW148" s="322"/>
      <c r="RZX148" s="322"/>
      <c r="RZY148" s="322"/>
      <c r="RZZ148" s="322"/>
      <c r="SAA148" s="322"/>
      <c r="SAB148" s="322"/>
      <c r="SAC148" s="322"/>
      <c r="SAD148" s="322"/>
      <c r="SAE148" s="322"/>
      <c r="SAF148" s="322"/>
      <c r="SAG148" s="322"/>
      <c r="SAH148" s="322"/>
      <c r="SAI148" s="322"/>
      <c r="SAJ148" s="322"/>
      <c r="SAK148" s="322"/>
      <c r="SAL148" s="322"/>
      <c r="SAM148" s="322"/>
      <c r="SAN148" s="322"/>
      <c r="SAO148" s="322"/>
      <c r="SAP148" s="322"/>
      <c r="SAQ148" s="322"/>
      <c r="SAR148" s="322"/>
      <c r="SAS148" s="322"/>
      <c r="SAT148" s="322"/>
      <c r="SAU148" s="322"/>
      <c r="SAV148" s="322"/>
      <c r="SAW148" s="322"/>
      <c r="SAX148" s="322"/>
      <c r="SAY148" s="322"/>
      <c r="SAZ148" s="322"/>
      <c r="SBA148" s="322"/>
      <c r="SBB148" s="322"/>
      <c r="SBC148" s="322"/>
      <c r="SBD148" s="322"/>
      <c r="SBE148" s="322"/>
      <c r="SBF148" s="322"/>
      <c r="SBG148" s="322"/>
      <c r="SBH148" s="322"/>
      <c r="SBI148" s="322"/>
      <c r="SBJ148" s="322"/>
      <c r="SBK148" s="322"/>
      <c r="SBL148" s="322"/>
      <c r="SBM148" s="322"/>
      <c r="SBN148" s="322"/>
      <c r="SBO148" s="322"/>
      <c r="SBP148" s="322"/>
      <c r="SBQ148" s="322"/>
      <c r="SBR148" s="322"/>
      <c r="SBS148" s="322"/>
      <c r="SBT148" s="322"/>
      <c r="SBU148" s="322"/>
      <c r="SBV148" s="322"/>
      <c r="SBW148" s="322"/>
      <c r="SBX148" s="322"/>
      <c r="SBY148" s="322"/>
      <c r="SBZ148" s="322"/>
      <c r="SCA148" s="322"/>
      <c r="SCB148" s="322"/>
      <c r="SCC148" s="322"/>
      <c r="SCD148" s="322"/>
      <c r="SCE148" s="322"/>
      <c r="SCF148" s="322"/>
      <c r="SCG148" s="322"/>
      <c r="SCH148" s="322"/>
      <c r="SCI148" s="322"/>
      <c r="SCJ148" s="322"/>
      <c r="SCK148" s="322"/>
      <c r="SCL148" s="322"/>
      <c r="SCM148" s="322"/>
      <c r="SCN148" s="322"/>
      <c r="SCO148" s="322"/>
      <c r="SCP148" s="322"/>
      <c r="SCQ148" s="322"/>
      <c r="SCR148" s="322"/>
      <c r="SCS148" s="322"/>
      <c r="SCT148" s="322"/>
      <c r="SCU148" s="322"/>
      <c r="SCV148" s="322"/>
      <c r="SCW148" s="322"/>
      <c r="SCX148" s="322"/>
      <c r="SCY148" s="322"/>
      <c r="SCZ148" s="322"/>
      <c r="SDA148" s="322"/>
      <c r="SDB148" s="322"/>
      <c r="SDC148" s="322"/>
      <c r="SDD148" s="322"/>
      <c r="SDE148" s="322"/>
      <c r="SDF148" s="322"/>
      <c r="SDG148" s="322"/>
      <c r="SDH148" s="322"/>
      <c r="SDI148" s="322"/>
      <c r="SDJ148" s="322"/>
      <c r="SDK148" s="322"/>
      <c r="SDL148" s="322"/>
      <c r="SDM148" s="322"/>
      <c r="SDN148" s="322"/>
      <c r="SDO148" s="322"/>
      <c r="SDP148" s="322"/>
      <c r="SDQ148" s="322"/>
      <c r="SDR148" s="322"/>
      <c r="SDS148" s="322"/>
      <c r="SDT148" s="322"/>
      <c r="SDU148" s="322"/>
      <c r="SDV148" s="322"/>
      <c r="SDW148" s="322"/>
      <c r="SDX148" s="322"/>
      <c r="SDY148" s="322"/>
      <c r="SDZ148" s="322"/>
      <c r="SEA148" s="322"/>
      <c r="SEB148" s="322"/>
      <c r="SEC148" s="322"/>
      <c r="SED148" s="322"/>
      <c r="SEE148" s="322"/>
      <c r="SEF148" s="322"/>
      <c r="SEG148" s="322"/>
      <c r="SEH148" s="322"/>
      <c r="SEI148" s="322"/>
      <c r="SEJ148" s="322"/>
      <c r="SEK148" s="322"/>
      <c r="SEL148" s="322"/>
      <c r="SEM148" s="322"/>
      <c r="SEN148" s="322"/>
      <c r="SEO148" s="322"/>
      <c r="SEP148" s="322"/>
      <c r="SEQ148" s="322"/>
      <c r="SER148" s="322"/>
      <c r="SES148" s="322"/>
      <c r="SET148" s="322"/>
      <c r="SEU148" s="322"/>
      <c r="SEV148" s="322"/>
      <c r="SEW148" s="322"/>
      <c r="SEX148" s="322"/>
      <c r="SEY148" s="322"/>
      <c r="SEZ148" s="322"/>
      <c r="SFA148" s="322"/>
      <c r="SFB148" s="322"/>
      <c r="SFC148" s="322"/>
      <c r="SFD148" s="322"/>
      <c r="SFE148" s="322"/>
      <c r="SFF148" s="322"/>
      <c r="SFG148" s="322"/>
      <c r="SFH148" s="322"/>
      <c r="SFI148" s="322"/>
      <c r="SFJ148" s="322"/>
      <c r="SFK148" s="322"/>
      <c r="SFL148" s="322"/>
      <c r="SFM148" s="322"/>
      <c r="SFN148" s="322"/>
      <c r="SFO148" s="322"/>
      <c r="SFP148" s="322"/>
      <c r="SFQ148" s="322"/>
      <c r="SFR148" s="322"/>
      <c r="SFS148" s="322"/>
      <c r="SFT148" s="322"/>
      <c r="SFU148" s="322"/>
      <c r="SFV148" s="322"/>
      <c r="SFW148" s="322"/>
      <c r="SFX148" s="322"/>
      <c r="SFY148" s="322"/>
      <c r="SFZ148" s="322"/>
      <c r="SGA148" s="322"/>
      <c r="SGB148" s="322"/>
      <c r="SGC148" s="322"/>
      <c r="SGD148" s="322"/>
      <c r="SGE148" s="322"/>
      <c r="SGF148" s="322"/>
      <c r="SGG148" s="322"/>
      <c r="SGH148" s="322"/>
      <c r="SGI148" s="322"/>
      <c r="SGJ148" s="322"/>
      <c r="SGK148" s="322"/>
      <c r="SGL148" s="322"/>
      <c r="SGM148" s="322"/>
      <c r="SGN148" s="322"/>
      <c r="SGO148" s="322"/>
      <c r="SGP148" s="322"/>
      <c r="SGQ148" s="322"/>
      <c r="SGR148" s="322"/>
      <c r="SGS148" s="322"/>
      <c r="SGT148" s="322"/>
      <c r="SGU148" s="322"/>
      <c r="SGV148" s="322"/>
      <c r="SGW148" s="322"/>
      <c r="SGX148" s="322"/>
      <c r="SGY148" s="322"/>
      <c r="SGZ148" s="322"/>
      <c r="SHA148" s="322"/>
      <c r="SHB148" s="322"/>
      <c r="SHC148" s="322"/>
      <c r="SHD148" s="322"/>
      <c r="SHE148" s="322"/>
      <c r="SHF148" s="322"/>
      <c r="SHG148" s="322"/>
      <c r="SHH148" s="322"/>
      <c r="SHI148" s="322"/>
      <c r="SHJ148" s="322"/>
      <c r="SHK148" s="322"/>
      <c r="SHL148" s="322"/>
      <c r="SHM148" s="322"/>
      <c r="SHN148" s="322"/>
      <c r="SHO148" s="322"/>
      <c r="SHP148" s="322"/>
      <c r="SHQ148" s="322"/>
      <c r="SHR148" s="322"/>
      <c r="SHS148" s="322"/>
      <c r="SHT148" s="322"/>
      <c r="SHU148" s="322"/>
      <c r="SHV148" s="322"/>
      <c r="SHW148" s="322"/>
      <c r="SHX148" s="322"/>
      <c r="SHY148" s="322"/>
      <c r="SHZ148" s="322"/>
      <c r="SIA148" s="322"/>
      <c r="SIB148" s="322"/>
      <c r="SIC148" s="322"/>
      <c r="SID148" s="322"/>
      <c r="SIE148" s="322"/>
      <c r="SIF148" s="322"/>
      <c r="SIG148" s="322"/>
      <c r="SIH148" s="322"/>
      <c r="SII148" s="322"/>
      <c r="SIJ148" s="322"/>
      <c r="SIK148" s="322"/>
      <c r="SIL148" s="322"/>
      <c r="SIM148" s="322"/>
      <c r="SIN148" s="322"/>
      <c r="SIO148" s="322"/>
      <c r="SIP148" s="322"/>
      <c r="SIQ148" s="322"/>
      <c r="SIR148" s="322"/>
      <c r="SIS148" s="322"/>
      <c r="SIT148" s="322"/>
      <c r="SIU148" s="322"/>
      <c r="SIV148" s="322"/>
      <c r="SIW148" s="322"/>
      <c r="SIX148" s="322"/>
      <c r="SIY148" s="322"/>
      <c r="SIZ148" s="322"/>
      <c r="SJA148" s="322"/>
      <c r="SJB148" s="322"/>
      <c r="SJC148" s="322"/>
      <c r="SJD148" s="322"/>
      <c r="SJE148" s="322"/>
      <c r="SJF148" s="322"/>
      <c r="SJG148" s="322"/>
      <c r="SJH148" s="322"/>
      <c r="SJI148" s="322"/>
      <c r="SJJ148" s="322"/>
      <c r="SJK148" s="322"/>
      <c r="SJL148" s="322"/>
      <c r="SJM148" s="322"/>
      <c r="SJN148" s="322"/>
      <c r="SJO148" s="322"/>
      <c r="SJP148" s="322"/>
      <c r="SJQ148" s="322"/>
      <c r="SJR148" s="322"/>
      <c r="SJS148" s="322"/>
      <c r="SJT148" s="322"/>
      <c r="SJU148" s="322"/>
      <c r="SJV148" s="322"/>
      <c r="SJW148" s="322"/>
      <c r="SJX148" s="322"/>
      <c r="SJY148" s="322"/>
      <c r="SJZ148" s="322"/>
      <c r="SKA148" s="322"/>
      <c r="SKB148" s="322"/>
      <c r="SKC148" s="322"/>
      <c r="SKD148" s="322"/>
      <c r="SKE148" s="322"/>
      <c r="SKF148" s="322"/>
      <c r="SKG148" s="322"/>
      <c r="SKH148" s="322"/>
      <c r="SKI148" s="322"/>
      <c r="SKJ148" s="322"/>
      <c r="SKK148" s="322"/>
      <c r="SKL148" s="322"/>
      <c r="SKM148" s="322"/>
      <c r="SKN148" s="322"/>
      <c r="SKO148" s="322"/>
      <c r="SKP148" s="322"/>
      <c r="SKQ148" s="322"/>
      <c r="SKR148" s="322"/>
      <c r="SKS148" s="322"/>
      <c r="SKT148" s="322"/>
      <c r="SKU148" s="322"/>
      <c r="SKV148" s="322"/>
      <c r="SKW148" s="322"/>
      <c r="SKX148" s="322"/>
      <c r="SKY148" s="322"/>
      <c r="SKZ148" s="322"/>
      <c r="SLA148" s="322"/>
      <c r="SLB148" s="322"/>
      <c r="SLC148" s="322"/>
      <c r="SLD148" s="322"/>
      <c r="SLE148" s="322"/>
      <c r="SLF148" s="322"/>
      <c r="SLG148" s="322"/>
      <c r="SLH148" s="322"/>
      <c r="SLI148" s="322"/>
      <c r="SLJ148" s="322"/>
      <c r="SLK148" s="322"/>
      <c r="SLL148" s="322"/>
      <c r="SLM148" s="322"/>
      <c r="SLN148" s="322"/>
      <c r="SLO148" s="322"/>
      <c r="SLP148" s="322"/>
      <c r="SLQ148" s="322"/>
      <c r="SLR148" s="322"/>
      <c r="SLS148" s="322"/>
      <c r="SLT148" s="322"/>
      <c r="SLU148" s="322"/>
      <c r="SLV148" s="322"/>
      <c r="SLW148" s="322"/>
      <c r="SLX148" s="322"/>
      <c r="SLY148" s="322"/>
      <c r="SLZ148" s="322"/>
      <c r="SMA148" s="322"/>
      <c r="SMB148" s="322"/>
      <c r="SMC148" s="322"/>
      <c r="SMD148" s="322"/>
      <c r="SME148" s="322"/>
      <c r="SMF148" s="322"/>
      <c r="SMG148" s="322"/>
      <c r="SMH148" s="322"/>
      <c r="SMI148" s="322"/>
      <c r="SMJ148" s="322"/>
      <c r="SMK148" s="322"/>
      <c r="SML148" s="322"/>
      <c r="SMM148" s="322"/>
      <c r="SMN148" s="322"/>
      <c r="SMO148" s="322"/>
      <c r="SMP148" s="322"/>
      <c r="SMQ148" s="322"/>
      <c r="SMR148" s="322"/>
      <c r="SMS148" s="322"/>
      <c r="SMT148" s="322"/>
      <c r="SMU148" s="322"/>
      <c r="SMV148" s="322"/>
      <c r="SMW148" s="322"/>
      <c r="SMX148" s="322"/>
      <c r="SMY148" s="322"/>
      <c r="SMZ148" s="322"/>
      <c r="SNA148" s="322"/>
      <c r="SNB148" s="322"/>
      <c r="SNC148" s="322"/>
      <c r="SND148" s="322"/>
      <c r="SNE148" s="322"/>
      <c r="SNF148" s="322"/>
      <c r="SNG148" s="322"/>
      <c r="SNH148" s="322"/>
      <c r="SNI148" s="322"/>
      <c r="SNJ148" s="322"/>
      <c r="SNK148" s="322"/>
      <c r="SNL148" s="322"/>
      <c r="SNM148" s="322"/>
      <c r="SNN148" s="322"/>
      <c r="SNO148" s="322"/>
      <c r="SNP148" s="322"/>
      <c r="SNQ148" s="322"/>
      <c r="SNR148" s="322"/>
      <c r="SNS148" s="322"/>
      <c r="SNT148" s="322"/>
      <c r="SNU148" s="322"/>
      <c r="SNV148" s="322"/>
      <c r="SNW148" s="322"/>
      <c r="SNX148" s="322"/>
      <c r="SNY148" s="322"/>
      <c r="SNZ148" s="322"/>
      <c r="SOA148" s="322"/>
      <c r="SOB148" s="322"/>
      <c r="SOC148" s="322"/>
      <c r="SOD148" s="322"/>
      <c r="SOE148" s="322"/>
      <c r="SOF148" s="322"/>
      <c r="SOG148" s="322"/>
      <c r="SOH148" s="322"/>
      <c r="SOI148" s="322"/>
      <c r="SOJ148" s="322"/>
      <c r="SOK148" s="322"/>
      <c r="SOL148" s="322"/>
      <c r="SOM148" s="322"/>
      <c r="SON148" s="322"/>
      <c r="SOO148" s="322"/>
      <c r="SOP148" s="322"/>
      <c r="SOQ148" s="322"/>
      <c r="SOR148" s="322"/>
      <c r="SOS148" s="322"/>
      <c r="SOT148" s="322"/>
      <c r="SOU148" s="322"/>
      <c r="SOV148" s="322"/>
      <c r="SOW148" s="322"/>
      <c r="SOX148" s="322"/>
      <c r="SOY148" s="322"/>
      <c r="SOZ148" s="322"/>
      <c r="SPA148" s="322"/>
      <c r="SPB148" s="322"/>
      <c r="SPC148" s="322"/>
      <c r="SPD148" s="322"/>
      <c r="SPE148" s="322"/>
      <c r="SPF148" s="322"/>
      <c r="SPG148" s="322"/>
      <c r="SPH148" s="322"/>
      <c r="SPI148" s="322"/>
      <c r="SPJ148" s="322"/>
      <c r="SPK148" s="322"/>
      <c r="SPL148" s="322"/>
      <c r="SPM148" s="322"/>
      <c r="SPN148" s="322"/>
      <c r="SPO148" s="322"/>
      <c r="SPP148" s="322"/>
      <c r="SPQ148" s="322"/>
      <c r="SPR148" s="322"/>
      <c r="SPS148" s="322"/>
      <c r="SPT148" s="322"/>
      <c r="SPU148" s="322"/>
      <c r="SPV148" s="322"/>
      <c r="SPW148" s="322"/>
      <c r="SPX148" s="322"/>
      <c r="SPY148" s="322"/>
      <c r="SPZ148" s="322"/>
      <c r="SQA148" s="322"/>
      <c r="SQB148" s="322"/>
      <c r="SQC148" s="322"/>
      <c r="SQD148" s="322"/>
      <c r="SQE148" s="322"/>
      <c r="SQF148" s="322"/>
      <c r="SQG148" s="322"/>
      <c r="SQH148" s="322"/>
      <c r="SQI148" s="322"/>
      <c r="SQJ148" s="322"/>
      <c r="SQK148" s="322"/>
      <c r="SQL148" s="322"/>
      <c r="SQM148" s="322"/>
      <c r="SQN148" s="322"/>
      <c r="SQO148" s="322"/>
      <c r="SQP148" s="322"/>
      <c r="SQQ148" s="322"/>
      <c r="SQR148" s="322"/>
      <c r="SQS148" s="322"/>
      <c r="SQT148" s="322"/>
      <c r="SQU148" s="322"/>
      <c r="SQV148" s="322"/>
      <c r="SQW148" s="322"/>
      <c r="SQX148" s="322"/>
      <c r="SQY148" s="322"/>
      <c r="SQZ148" s="322"/>
      <c r="SRA148" s="322"/>
      <c r="SRB148" s="322"/>
      <c r="SRC148" s="322"/>
      <c r="SRD148" s="322"/>
      <c r="SRE148" s="322"/>
      <c r="SRF148" s="322"/>
      <c r="SRG148" s="322"/>
      <c r="SRH148" s="322"/>
      <c r="SRI148" s="322"/>
      <c r="SRJ148" s="322"/>
      <c r="SRK148" s="322"/>
      <c r="SRL148" s="322"/>
      <c r="SRM148" s="322"/>
      <c r="SRN148" s="322"/>
      <c r="SRO148" s="322"/>
      <c r="SRP148" s="322"/>
      <c r="SRQ148" s="322"/>
      <c r="SRR148" s="322"/>
      <c r="SRS148" s="322"/>
      <c r="SRT148" s="322"/>
      <c r="SRU148" s="322"/>
      <c r="SRV148" s="322"/>
      <c r="SRW148" s="322"/>
      <c r="SRX148" s="322"/>
      <c r="SRY148" s="322"/>
      <c r="SRZ148" s="322"/>
      <c r="SSA148" s="322"/>
      <c r="SSB148" s="322"/>
      <c r="SSC148" s="322"/>
      <c r="SSD148" s="322"/>
      <c r="SSE148" s="322"/>
      <c r="SSF148" s="322"/>
      <c r="SSG148" s="322"/>
      <c r="SSH148" s="322"/>
      <c r="SSI148" s="322"/>
      <c r="SSJ148" s="322"/>
      <c r="SSK148" s="322"/>
      <c r="SSL148" s="322"/>
      <c r="SSM148" s="322"/>
      <c r="SSN148" s="322"/>
      <c r="SSO148" s="322"/>
      <c r="SSP148" s="322"/>
      <c r="SSQ148" s="322"/>
      <c r="SSR148" s="322"/>
      <c r="SSS148" s="322"/>
      <c r="SST148" s="322"/>
      <c r="SSU148" s="322"/>
      <c r="SSV148" s="322"/>
      <c r="SSW148" s="322"/>
      <c r="SSX148" s="322"/>
      <c r="SSY148" s="322"/>
      <c r="SSZ148" s="322"/>
      <c r="STA148" s="322"/>
      <c r="STB148" s="322"/>
      <c r="STC148" s="322"/>
      <c r="STD148" s="322"/>
      <c r="STE148" s="322"/>
      <c r="STF148" s="322"/>
      <c r="STG148" s="322"/>
      <c r="STH148" s="322"/>
      <c r="STI148" s="322"/>
      <c r="STJ148" s="322"/>
      <c r="STK148" s="322"/>
      <c r="STL148" s="322"/>
      <c r="STM148" s="322"/>
      <c r="STN148" s="322"/>
      <c r="STO148" s="322"/>
      <c r="STP148" s="322"/>
      <c r="STQ148" s="322"/>
      <c r="STR148" s="322"/>
      <c r="STS148" s="322"/>
      <c r="STT148" s="322"/>
      <c r="STU148" s="322"/>
      <c r="STV148" s="322"/>
      <c r="STW148" s="322"/>
      <c r="STX148" s="322"/>
      <c r="STY148" s="322"/>
      <c r="STZ148" s="322"/>
      <c r="SUA148" s="322"/>
      <c r="SUB148" s="322"/>
      <c r="SUC148" s="322"/>
      <c r="SUD148" s="322"/>
      <c r="SUE148" s="322"/>
      <c r="SUF148" s="322"/>
      <c r="SUG148" s="322"/>
      <c r="SUH148" s="322"/>
      <c r="SUI148" s="322"/>
      <c r="SUJ148" s="322"/>
      <c r="SUK148" s="322"/>
      <c r="SUL148" s="322"/>
      <c r="SUM148" s="322"/>
      <c r="SUN148" s="322"/>
      <c r="SUO148" s="322"/>
      <c r="SUP148" s="322"/>
      <c r="SUQ148" s="322"/>
      <c r="SUR148" s="322"/>
      <c r="SUS148" s="322"/>
      <c r="SUT148" s="322"/>
      <c r="SUU148" s="322"/>
      <c r="SUV148" s="322"/>
      <c r="SUW148" s="322"/>
      <c r="SUX148" s="322"/>
      <c r="SUY148" s="322"/>
      <c r="SUZ148" s="322"/>
      <c r="SVA148" s="322"/>
      <c r="SVB148" s="322"/>
      <c r="SVC148" s="322"/>
      <c r="SVD148" s="322"/>
      <c r="SVE148" s="322"/>
      <c r="SVF148" s="322"/>
      <c r="SVG148" s="322"/>
      <c r="SVH148" s="322"/>
      <c r="SVI148" s="322"/>
      <c r="SVJ148" s="322"/>
      <c r="SVK148" s="322"/>
      <c r="SVL148" s="322"/>
      <c r="SVM148" s="322"/>
      <c r="SVN148" s="322"/>
      <c r="SVO148" s="322"/>
      <c r="SVP148" s="322"/>
      <c r="SVQ148" s="322"/>
      <c r="SVR148" s="322"/>
      <c r="SVS148" s="322"/>
      <c r="SVT148" s="322"/>
      <c r="SVU148" s="322"/>
      <c r="SVV148" s="322"/>
      <c r="SVW148" s="322"/>
      <c r="SVX148" s="322"/>
      <c r="SVY148" s="322"/>
      <c r="SVZ148" s="322"/>
      <c r="SWA148" s="322"/>
      <c r="SWB148" s="322"/>
      <c r="SWC148" s="322"/>
      <c r="SWD148" s="322"/>
      <c r="SWE148" s="322"/>
      <c r="SWF148" s="322"/>
      <c r="SWG148" s="322"/>
      <c r="SWH148" s="322"/>
      <c r="SWI148" s="322"/>
      <c r="SWJ148" s="322"/>
      <c r="SWK148" s="322"/>
      <c r="SWL148" s="322"/>
      <c r="SWM148" s="322"/>
      <c r="SWN148" s="322"/>
      <c r="SWO148" s="322"/>
      <c r="SWP148" s="322"/>
      <c r="SWQ148" s="322"/>
      <c r="SWR148" s="322"/>
      <c r="SWS148" s="322"/>
      <c r="SWT148" s="322"/>
      <c r="SWU148" s="322"/>
      <c r="SWV148" s="322"/>
      <c r="SWW148" s="322"/>
      <c r="SWX148" s="322"/>
      <c r="SWY148" s="322"/>
      <c r="SWZ148" s="322"/>
      <c r="SXA148" s="322"/>
      <c r="SXB148" s="322"/>
      <c r="SXC148" s="322"/>
      <c r="SXD148" s="322"/>
      <c r="SXE148" s="322"/>
      <c r="SXF148" s="322"/>
      <c r="SXG148" s="322"/>
      <c r="SXH148" s="322"/>
      <c r="SXI148" s="322"/>
      <c r="SXJ148" s="322"/>
      <c r="SXK148" s="322"/>
      <c r="SXL148" s="322"/>
      <c r="SXM148" s="322"/>
      <c r="SXN148" s="322"/>
      <c r="SXO148" s="322"/>
      <c r="SXP148" s="322"/>
      <c r="SXQ148" s="322"/>
      <c r="SXR148" s="322"/>
      <c r="SXS148" s="322"/>
      <c r="SXT148" s="322"/>
      <c r="SXU148" s="322"/>
      <c r="SXV148" s="322"/>
      <c r="SXW148" s="322"/>
      <c r="SXX148" s="322"/>
      <c r="SXY148" s="322"/>
      <c r="SXZ148" s="322"/>
      <c r="SYA148" s="322"/>
      <c r="SYB148" s="322"/>
      <c r="SYC148" s="322"/>
      <c r="SYD148" s="322"/>
      <c r="SYE148" s="322"/>
      <c r="SYF148" s="322"/>
      <c r="SYG148" s="322"/>
      <c r="SYH148" s="322"/>
      <c r="SYI148" s="322"/>
      <c r="SYJ148" s="322"/>
      <c r="SYK148" s="322"/>
      <c r="SYL148" s="322"/>
      <c r="SYM148" s="322"/>
      <c r="SYN148" s="322"/>
      <c r="SYO148" s="322"/>
      <c r="SYP148" s="322"/>
      <c r="SYQ148" s="322"/>
      <c r="SYR148" s="322"/>
      <c r="SYS148" s="322"/>
      <c r="SYT148" s="322"/>
      <c r="SYU148" s="322"/>
      <c r="SYV148" s="322"/>
      <c r="SYW148" s="322"/>
      <c r="SYX148" s="322"/>
      <c r="SYY148" s="322"/>
      <c r="SYZ148" s="322"/>
      <c r="SZA148" s="322"/>
      <c r="SZB148" s="322"/>
      <c r="SZC148" s="322"/>
      <c r="SZD148" s="322"/>
      <c r="SZE148" s="322"/>
      <c r="SZF148" s="322"/>
      <c r="SZG148" s="322"/>
      <c r="SZH148" s="322"/>
      <c r="SZI148" s="322"/>
      <c r="SZJ148" s="322"/>
      <c r="SZK148" s="322"/>
      <c r="SZL148" s="322"/>
      <c r="SZM148" s="322"/>
      <c r="SZN148" s="322"/>
      <c r="SZO148" s="322"/>
      <c r="SZP148" s="322"/>
      <c r="SZQ148" s="322"/>
      <c r="SZR148" s="322"/>
      <c r="SZS148" s="322"/>
      <c r="SZT148" s="322"/>
      <c r="SZU148" s="322"/>
      <c r="SZV148" s="322"/>
      <c r="SZW148" s="322"/>
      <c r="SZX148" s="322"/>
      <c r="SZY148" s="322"/>
      <c r="SZZ148" s="322"/>
      <c r="TAA148" s="322"/>
      <c r="TAB148" s="322"/>
      <c r="TAC148" s="322"/>
      <c r="TAD148" s="322"/>
      <c r="TAE148" s="322"/>
      <c r="TAF148" s="322"/>
      <c r="TAG148" s="322"/>
      <c r="TAH148" s="322"/>
      <c r="TAI148" s="322"/>
      <c r="TAJ148" s="322"/>
      <c r="TAK148" s="322"/>
      <c r="TAL148" s="322"/>
      <c r="TAM148" s="322"/>
      <c r="TAN148" s="322"/>
      <c r="TAO148" s="322"/>
      <c r="TAP148" s="322"/>
      <c r="TAQ148" s="322"/>
      <c r="TAR148" s="322"/>
      <c r="TAS148" s="322"/>
      <c r="TAT148" s="322"/>
      <c r="TAU148" s="322"/>
      <c r="TAV148" s="322"/>
      <c r="TAW148" s="322"/>
      <c r="TAX148" s="322"/>
      <c r="TAY148" s="322"/>
      <c r="TAZ148" s="322"/>
      <c r="TBA148" s="322"/>
      <c r="TBB148" s="322"/>
      <c r="TBC148" s="322"/>
      <c r="TBD148" s="322"/>
      <c r="TBE148" s="322"/>
      <c r="TBF148" s="322"/>
      <c r="TBG148" s="322"/>
      <c r="TBH148" s="322"/>
      <c r="TBI148" s="322"/>
      <c r="TBJ148" s="322"/>
      <c r="TBK148" s="322"/>
      <c r="TBL148" s="322"/>
      <c r="TBM148" s="322"/>
      <c r="TBN148" s="322"/>
      <c r="TBO148" s="322"/>
      <c r="TBP148" s="322"/>
      <c r="TBQ148" s="322"/>
      <c r="TBR148" s="322"/>
      <c r="TBS148" s="322"/>
      <c r="TBT148" s="322"/>
      <c r="TBU148" s="322"/>
      <c r="TBV148" s="322"/>
      <c r="TBW148" s="322"/>
      <c r="TBX148" s="322"/>
      <c r="TBY148" s="322"/>
      <c r="TBZ148" s="322"/>
      <c r="TCA148" s="322"/>
      <c r="TCB148" s="322"/>
      <c r="TCC148" s="322"/>
      <c r="TCD148" s="322"/>
      <c r="TCE148" s="322"/>
      <c r="TCF148" s="322"/>
      <c r="TCG148" s="322"/>
      <c r="TCH148" s="322"/>
      <c r="TCI148" s="322"/>
      <c r="TCJ148" s="322"/>
      <c r="TCK148" s="322"/>
      <c r="TCL148" s="322"/>
      <c r="TCM148" s="322"/>
      <c r="TCN148" s="322"/>
      <c r="TCO148" s="322"/>
      <c r="TCP148" s="322"/>
      <c r="TCQ148" s="322"/>
      <c r="TCR148" s="322"/>
      <c r="TCS148" s="322"/>
      <c r="TCT148" s="322"/>
      <c r="TCU148" s="322"/>
      <c r="TCV148" s="322"/>
      <c r="TCW148" s="322"/>
      <c r="TCX148" s="322"/>
      <c r="TCY148" s="322"/>
      <c r="TCZ148" s="322"/>
      <c r="TDA148" s="322"/>
      <c r="TDB148" s="322"/>
      <c r="TDC148" s="322"/>
      <c r="TDD148" s="322"/>
      <c r="TDE148" s="322"/>
      <c r="TDF148" s="322"/>
      <c r="TDG148" s="322"/>
      <c r="TDH148" s="322"/>
      <c r="TDI148" s="322"/>
      <c r="TDJ148" s="322"/>
      <c r="TDK148" s="322"/>
      <c r="TDL148" s="322"/>
      <c r="TDM148" s="322"/>
      <c r="TDN148" s="322"/>
      <c r="TDO148" s="322"/>
      <c r="TDP148" s="322"/>
      <c r="TDQ148" s="322"/>
      <c r="TDR148" s="322"/>
      <c r="TDS148" s="322"/>
      <c r="TDT148" s="322"/>
      <c r="TDU148" s="322"/>
      <c r="TDV148" s="322"/>
      <c r="TDW148" s="322"/>
      <c r="TDX148" s="322"/>
      <c r="TDY148" s="322"/>
      <c r="TDZ148" s="322"/>
      <c r="TEA148" s="322"/>
      <c r="TEB148" s="322"/>
      <c r="TEC148" s="322"/>
      <c r="TED148" s="322"/>
      <c r="TEE148" s="322"/>
      <c r="TEF148" s="322"/>
      <c r="TEG148" s="322"/>
      <c r="TEH148" s="322"/>
      <c r="TEI148" s="322"/>
      <c r="TEJ148" s="322"/>
      <c r="TEK148" s="322"/>
      <c r="TEL148" s="322"/>
      <c r="TEM148" s="322"/>
      <c r="TEN148" s="322"/>
      <c r="TEO148" s="322"/>
      <c r="TEP148" s="322"/>
      <c r="TEQ148" s="322"/>
      <c r="TER148" s="322"/>
      <c r="TES148" s="322"/>
      <c r="TET148" s="322"/>
      <c r="TEU148" s="322"/>
      <c r="TEV148" s="322"/>
      <c r="TEW148" s="322"/>
      <c r="TEX148" s="322"/>
      <c r="TEY148" s="322"/>
      <c r="TEZ148" s="322"/>
      <c r="TFA148" s="322"/>
      <c r="TFB148" s="322"/>
      <c r="TFC148" s="322"/>
      <c r="TFD148" s="322"/>
      <c r="TFE148" s="322"/>
      <c r="TFF148" s="322"/>
      <c r="TFG148" s="322"/>
      <c r="TFH148" s="322"/>
      <c r="TFI148" s="322"/>
      <c r="TFJ148" s="322"/>
      <c r="TFK148" s="322"/>
      <c r="TFL148" s="322"/>
      <c r="TFM148" s="322"/>
      <c r="TFN148" s="322"/>
      <c r="TFO148" s="322"/>
      <c r="TFP148" s="322"/>
      <c r="TFQ148" s="322"/>
      <c r="TFR148" s="322"/>
      <c r="TFS148" s="322"/>
      <c r="TFT148" s="322"/>
      <c r="TFU148" s="322"/>
      <c r="TFV148" s="322"/>
      <c r="TFW148" s="322"/>
      <c r="TFX148" s="322"/>
      <c r="TFY148" s="322"/>
      <c r="TFZ148" s="322"/>
      <c r="TGA148" s="322"/>
      <c r="TGB148" s="322"/>
      <c r="TGC148" s="322"/>
      <c r="TGD148" s="322"/>
      <c r="TGE148" s="322"/>
      <c r="TGF148" s="322"/>
      <c r="TGG148" s="322"/>
      <c r="TGH148" s="322"/>
      <c r="TGI148" s="322"/>
      <c r="TGJ148" s="322"/>
      <c r="TGK148" s="322"/>
      <c r="TGL148" s="322"/>
      <c r="TGM148" s="322"/>
      <c r="TGN148" s="322"/>
      <c r="TGO148" s="322"/>
      <c r="TGP148" s="322"/>
      <c r="TGQ148" s="322"/>
      <c r="TGR148" s="322"/>
      <c r="TGS148" s="322"/>
      <c r="TGT148" s="322"/>
      <c r="TGU148" s="322"/>
      <c r="TGV148" s="322"/>
      <c r="TGW148" s="322"/>
      <c r="TGX148" s="322"/>
      <c r="TGY148" s="322"/>
      <c r="TGZ148" s="322"/>
      <c r="THA148" s="322"/>
      <c r="THB148" s="322"/>
      <c r="THC148" s="322"/>
      <c r="THD148" s="322"/>
      <c r="THE148" s="322"/>
      <c r="THF148" s="322"/>
      <c r="THG148" s="322"/>
      <c r="THH148" s="322"/>
      <c r="THI148" s="322"/>
      <c r="THJ148" s="322"/>
      <c r="THK148" s="322"/>
      <c r="THL148" s="322"/>
      <c r="THM148" s="322"/>
      <c r="THN148" s="322"/>
      <c r="THO148" s="322"/>
      <c r="THP148" s="322"/>
      <c r="THQ148" s="322"/>
      <c r="THR148" s="322"/>
      <c r="THS148" s="322"/>
      <c r="THT148" s="322"/>
      <c r="THU148" s="322"/>
      <c r="THV148" s="322"/>
      <c r="THW148" s="322"/>
      <c r="THX148" s="322"/>
      <c r="THY148" s="322"/>
      <c r="THZ148" s="322"/>
      <c r="TIA148" s="322"/>
      <c r="TIB148" s="322"/>
      <c r="TIC148" s="322"/>
      <c r="TID148" s="322"/>
      <c r="TIE148" s="322"/>
      <c r="TIF148" s="322"/>
      <c r="TIG148" s="322"/>
      <c r="TIH148" s="322"/>
      <c r="TII148" s="322"/>
      <c r="TIJ148" s="322"/>
      <c r="TIK148" s="322"/>
      <c r="TIL148" s="322"/>
      <c r="TIM148" s="322"/>
      <c r="TIN148" s="322"/>
      <c r="TIO148" s="322"/>
      <c r="TIP148" s="322"/>
      <c r="TIQ148" s="322"/>
      <c r="TIR148" s="322"/>
      <c r="TIS148" s="322"/>
      <c r="TIT148" s="322"/>
      <c r="TIU148" s="322"/>
      <c r="TIV148" s="322"/>
      <c r="TIW148" s="322"/>
      <c r="TIX148" s="322"/>
      <c r="TIY148" s="322"/>
      <c r="TIZ148" s="322"/>
      <c r="TJA148" s="322"/>
      <c r="TJB148" s="322"/>
      <c r="TJC148" s="322"/>
      <c r="TJD148" s="322"/>
      <c r="TJE148" s="322"/>
      <c r="TJF148" s="322"/>
      <c r="TJG148" s="322"/>
      <c r="TJH148" s="322"/>
      <c r="TJI148" s="322"/>
      <c r="TJJ148" s="322"/>
      <c r="TJK148" s="322"/>
      <c r="TJL148" s="322"/>
      <c r="TJM148" s="322"/>
      <c r="TJN148" s="322"/>
      <c r="TJO148" s="322"/>
      <c r="TJP148" s="322"/>
      <c r="TJQ148" s="322"/>
      <c r="TJR148" s="322"/>
      <c r="TJS148" s="322"/>
      <c r="TJT148" s="322"/>
      <c r="TJU148" s="322"/>
      <c r="TJV148" s="322"/>
      <c r="TJW148" s="322"/>
      <c r="TJX148" s="322"/>
      <c r="TJY148" s="322"/>
      <c r="TJZ148" s="322"/>
      <c r="TKA148" s="322"/>
      <c r="TKB148" s="322"/>
      <c r="TKC148" s="322"/>
      <c r="TKD148" s="322"/>
      <c r="TKE148" s="322"/>
      <c r="TKF148" s="322"/>
      <c r="TKG148" s="322"/>
      <c r="TKH148" s="322"/>
      <c r="TKI148" s="322"/>
      <c r="TKJ148" s="322"/>
      <c r="TKK148" s="322"/>
      <c r="TKL148" s="322"/>
      <c r="TKM148" s="322"/>
      <c r="TKN148" s="322"/>
      <c r="TKO148" s="322"/>
      <c r="TKP148" s="322"/>
      <c r="TKQ148" s="322"/>
      <c r="TKR148" s="322"/>
      <c r="TKS148" s="322"/>
      <c r="TKT148" s="322"/>
      <c r="TKU148" s="322"/>
      <c r="TKV148" s="322"/>
      <c r="TKW148" s="322"/>
      <c r="TKX148" s="322"/>
      <c r="TKY148" s="322"/>
      <c r="TKZ148" s="322"/>
      <c r="TLA148" s="322"/>
      <c r="TLB148" s="322"/>
      <c r="TLC148" s="322"/>
      <c r="TLD148" s="322"/>
      <c r="TLE148" s="322"/>
      <c r="TLF148" s="322"/>
      <c r="TLG148" s="322"/>
      <c r="TLH148" s="322"/>
      <c r="TLI148" s="322"/>
      <c r="TLJ148" s="322"/>
      <c r="TLK148" s="322"/>
      <c r="TLL148" s="322"/>
      <c r="TLM148" s="322"/>
      <c r="TLN148" s="322"/>
      <c r="TLO148" s="322"/>
      <c r="TLP148" s="322"/>
      <c r="TLQ148" s="322"/>
      <c r="TLR148" s="322"/>
      <c r="TLS148" s="322"/>
      <c r="TLT148" s="322"/>
      <c r="TLU148" s="322"/>
      <c r="TLV148" s="322"/>
      <c r="TLW148" s="322"/>
      <c r="TLX148" s="322"/>
      <c r="TLY148" s="322"/>
      <c r="TLZ148" s="322"/>
      <c r="TMA148" s="322"/>
      <c r="TMB148" s="322"/>
      <c r="TMC148" s="322"/>
      <c r="TMD148" s="322"/>
      <c r="TME148" s="322"/>
      <c r="TMF148" s="322"/>
      <c r="TMG148" s="322"/>
      <c r="TMH148" s="322"/>
      <c r="TMI148" s="322"/>
      <c r="TMJ148" s="322"/>
      <c r="TMK148" s="322"/>
      <c r="TML148" s="322"/>
      <c r="TMM148" s="322"/>
      <c r="TMN148" s="322"/>
      <c r="TMO148" s="322"/>
      <c r="TMP148" s="322"/>
      <c r="TMQ148" s="322"/>
      <c r="TMR148" s="322"/>
      <c r="TMS148" s="322"/>
      <c r="TMT148" s="322"/>
      <c r="TMU148" s="322"/>
      <c r="TMV148" s="322"/>
      <c r="TMW148" s="322"/>
      <c r="TMX148" s="322"/>
      <c r="TMY148" s="322"/>
      <c r="TMZ148" s="322"/>
      <c r="TNA148" s="322"/>
      <c r="TNB148" s="322"/>
      <c r="TNC148" s="322"/>
      <c r="TND148" s="322"/>
      <c r="TNE148" s="322"/>
      <c r="TNF148" s="322"/>
      <c r="TNG148" s="322"/>
      <c r="TNH148" s="322"/>
      <c r="TNI148" s="322"/>
      <c r="TNJ148" s="322"/>
      <c r="TNK148" s="322"/>
      <c r="TNL148" s="322"/>
      <c r="TNM148" s="322"/>
      <c r="TNN148" s="322"/>
      <c r="TNO148" s="322"/>
      <c r="TNP148" s="322"/>
      <c r="TNQ148" s="322"/>
      <c r="TNR148" s="322"/>
      <c r="TNS148" s="322"/>
      <c r="TNT148" s="322"/>
      <c r="TNU148" s="322"/>
      <c r="TNV148" s="322"/>
      <c r="TNW148" s="322"/>
      <c r="TNX148" s="322"/>
      <c r="TNY148" s="322"/>
      <c r="TNZ148" s="322"/>
      <c r="TOA148" s="322"/>
      <c r="TOB148" s="322"/>
      <c r="TOC148" s="322"/>
      <c r="TOD148" s="322"/>
      <c r="TOE148" s="322"/>
      <c r="TOF148" s="322"/>
      <c r="TOG148" s="322"/>
      <c r="TOH148" s="322"/>
      <c r="TOI148" s="322"/>
      <c r="TOJ148" s="322"/>
      <c r="TOK148" s="322"/>
      <c r="TOL148" s="322"/>
      <c r="TOM148" s="322"/>
      <c r="TON148" s="322"/>
      <c r="TOO148" s="322"/>
      <c r="TOP148" s="322"/>
      <c r="TOQ148" s="322"/>
      <c r="TOR148" s="322"/>
      <c r="TOS148" s="322"/>
      <c r="TOT148" s="322"/>
      <c r="TOU148" s="322"/>
      <c r="TOV148" s="322"/>
      <c r="TOW148" s="322"/>
      <c r="TOX148" s="322"/>
      <c r="TOY148" s="322"/>
      <c r="TOZ148" s="322"/>
      <c r="TPA148" s="322"/>
      <c r="TPB148" s="322"/>
      <c r="TPC148" s="322"/>
      <c r="TPD148" s="322"/>
      <c r="TPE148" s="322"/>
      <c r="TPF148" s="322"/>
      <c r="TPG148" s="322"/>
      <c r="TPH148" s="322"/>
      <c r="TPI148" s="322"/>
      <c r="TPJ148" s="322"/>
      <c r="TPK148" s="322"/>
      <c r="TPL148" s="322"/>
      <c r="TPM148" s="322"/>
      <c r="TPN148" s="322"/>
      <c r="TPO148" s="322"/>
      <c r="TPP148" s="322"/>
      <c r="TPQ148" s="322"/>
      <c r="TPR148" s="322"/>
      <c r="TPS148" s="322"/>
      <c r="TPT148" s="322"/>
      <c r="TPU148" s="322"/>
      <c r="TPV148" s="322"/>
      <c r="TPW148" s="322"/>
      <c r="TPX148" s="322"/>
      <c r="TPY148" s="322"/>
      <c r="TPZ148" s="322"/>
      <c r="TQA148" s="322"/>
      <c r="TQB148" s="322"/>
      <c r="TQC148" s="322"/>
      <c r="TQD148" s="322"/>
      <c r="TQE148" s="322"/>
      <c r="TQF148" s="322"/>
      <c r="TQG148" s="322"/>
      <c r="TQH148" s="322"/>
      <c r="TQI148" s="322"/>
      <c r="TQJ148" s="322"/>
      <c r="TQK148" s="322"/>
      <c r="TQL148" s="322"/>
      <c r="TQM148" s="322"/>
      <c r="TQN148" s="322"/>
      <c r="TQO148" s="322"/>
      <c r="TQP148" s="322"/>
      <c r="TQQ148" s="322"/>
      <c r="TQR148" s="322"/>
      <c r="TQS148" s="322"/>
      <c r="TQT148" s="322"/>
      <c r="TQU148" s="322"/>
      <c r="TQV148" s="322"/>
      <c r="TQW148" s="322"/>
      <c r="TQX148" s="322"/>
      <c r="TQY148" s="322"/>
      <c r="TQZ148" s="322"/>
      <c r="TRA148" s="322"/>
      <c r="TRB148" s="322"/>
      <c r="TRC148" s="322"/>
      <c r="TRD148" s="322"/>
      <c r="TRE148" s="322"/>
      <c r="TRF148" s="322"/>
      <c r="TRG148" s="322"/>
      <c r="TRH148" s="322"/>
      <c r="TRI148" s="322"/>
      <c r="TRJ148" s="322"/>
      <c r="TRK148" s="322"/>
      <c r="TRL148" s="322"/>
      <c r="TRM148" s="322"/>
      <c r="TRN148" s="322"/>
      <c r="TRO148" s="322"/>
      <c r="TRP148" s="322"/>
      <c r="TRQ148" s="322"/>
      <c r="TRR148" s="322"/>
      <c r="TRS148" s="322"/>
      <c r="TRT148" s="322"/>
      <c r="TRU148" s="322"/>
      <c r="TRV148" s="322"/>
      <c r="TRW148" s="322"/>
      <c r="TRX148" s="322"/>
      <c r="TRY148" s="322"/>
      <c r="TRZ148" s="322"/>
      <c r="TSA148" s="322"/>
      <c r="TSB148" s="322"/>
      <c r="TSC148" s="322"/>
      <c r="TSD148" s="322"/>
      <c r="TSE148" s="322"/>
      <c r="TSF148" s="322"/>
      <c r="TSG148" s="322"/>
      <c r="TSH148" s="322"/>
      <c r="TSI148" s="322"/>
      <c r="TSJ148" s="322"/>
      <c r="TSK148" s="322"/>
      <c r="TSL148" s="322"/>
      <c r="TSM148" s="322"/>
      <c r="TSN148" s="322"/>
      <c r="TSO148" s="322"/>
      <c r="TSP148" s="322"/>
      <c r="TSQ148" s="322"/>
      <c r="TSR148" s="322"/>
      <c r="TSS148" s="322"/>
      <c r="TST148" s="322"/>
      <c r="TSU148" s="322"/>
      <c r="TSV148" s="322"/>
      <c r="TSW148" s="322"/>
      <c r="TSX148" s="322"/>
      <c r="TSY148" s="322"/>
      <c r="TSZ148" s="322"/>
      <c r="TTA148" s="322"/>
      <c r="TTB148" s="322"/>
      <c r="TTC148" s="322"/>
      <c r="TTD148" s="322"/>
      <c r="TTE148" s="322"/>
      <c r="TTF148" s="322"/>
      <c r="TTG148" s="322"/>
      <c r="TTH148" s="322"/>
      <c r="TTI148" s="322"/>
      <c r="TTJ148" s="322"/>
      <c r="TTK148" s="322"/>
      <c r="TTL148" s="322"/>
      <c r="TTM148" s="322"/>
      <c r="TTN148" s="322"/>
      <c r="TTO148" s="322"/>
      <c r="TTP148" s="322"/>
      <c r="TTQ148" s="322"/>
      <c r="TTR148" s="322"/>
      <c r="TTS148" s="322"/>
      <c r="TTT148" s="322"/>
      <c r="TTU148" s="322"/>
      <c r="TTV148" s="322"/>
      <c r="TTW148" s="322"/>
      <c r="TTX148" s="322"/>
      <c r="TTY148" s="322"/>
      <c r="TTZ148" s="322"/>
      <c r="TUA148" s="322"/>
      <c r="TUB148" s="322"/>
      <c r="TUC148" s="322"/>
      <c r="TUD148" s="322"/>
      <c r="TUE148" s="322"/>
      <c r="TUF148" s="322"/>
      <c r="TUG148" s="322"/>
      <c r="TUH148" s="322"/>
      <c r="TUI148" s="322"/>
      <c r="TUJ148" s="322"/>
      <c r="TUK148" s="322"/>
      <c r="TUL148" s="322"/>
      <c r="TUM148" s="322"/>
      <c r="TUN148" s="322"/>
      <c r="TUO148" s="322"/>
      <c r="TUP148" s="322"/>
      <c r="TUQ148" s="322"/>
      <c r="TUR148" s="322"/>
      <c r="TUS148" s="322"/>
      <c r="TUT148" s="322"/>
      <c r="TUU148" s="322"/>
      <c r="TUV148" s="322"/>
      <c r="TUW148" s="322"/>
      <c r="TUX148" s="322"/>
      <c r="TUY148" s="322"/>
      <c r="TUZ148" s="322"/>
      <c r="TVA148" s="322"/>
      <c r="TVB148" s="322"/>
      <c r="TVC148" s="322"/>
      <c r="TVD148" s="322"/>
      <c r="TVE148" s="322"/>
      <c r="TVF148" s="322"/>
      <c r="TVG148" s="322"/>
      <c r="TVH148" s="322"/>
      <c r="TVI148" s="322"/>
      <c r="TVJ148" s="322"/>
      <c r="TVK148" s="322"/>
      <c r="TVL148" s="322"/>
      <c r="TVM148" s="322"/>
      <c r="TVN148" s="322"/>
      <c r="TVO148" s="322"/>
      <c r="TVP148" s="322"/>
      <c r="TVQ148" s="322"/>
      <c r="TVR148" s="322"/>
      <c r="TVS148" s="322"/>
      <c r="TVT148" s="322"/>
      <c r="TVU148" s="322"/>
      <c r="TVV148" s="322"/>
      <c r="TVW148" s="322"/>
      <c r="TVX148" s="322"/>
      <c r="TVY148" s="322"/>
      <c r="TVZ148" s="322"/>
      <c r="TWA148" s="322"/>
      <c r="TWB148" s="322"/>
      <c r="TWC148" s="322"/>
      <c r="TWD148" s="322"/>
      <c r="TWE148" s="322"/>
      <c r="TWF148" s="322"/>
      <c r="TWG148" s="322"/>
      <c r="TWH148" s="322"/>
      <c r="TWI148" s="322"/>
      <c r="TWJ148" s="322"/>
      <c r="TWK148" s="322"/>
      <c r="TWL148" s="322"/>
      <c r="TWM148" s="322"/>
      <c r="TWN148" s="322"/>
      <c r="TWO148" s="322"/>
      <c r="TWP148" s="322"/>
      <c r="TWQ148" s="322"/>
      <c r="TWR148" s="322"/>
      <c r="TWS148" s="322"/>
      <c r="TWT148" s="322"/>
      <c r="TWU148" s="322"/>
      <c r="TWV148" s="322"/>
      <c r="TWW148" s="322"/>
      <c r="TWX148" s="322"/>
      <c r="TWY148" s="322"/>
      <c r="TWZ148" s="322"/>
      <c r="TXA148" s="322"/>
      <c r="TXB148" s="322"/>
      <c r="TXC148" s="322"/>
      <c r="TXD148" s="322"/>
      <c r="TXE148" s="322"/>
      <c r="TXF148" s="322"/>
      <c r="TXG148" s="322"/>
      <c r="TXH148" s="322"/>
      <c r="TXI148" s="322"/>
      <c r="TXJ148" s="322"/>
      <c r="TXK148" s="322"/>
      <c r="TXL148" s="322"/>
      <c r="TXM148" s="322"/>
      <c r="TXN148" s="322"/>
      <c r="TXO148" s="322"/>
      <c r="TXP148" s="322"/>
      <c r="TXQ148" s="322"/>
      <c r="TXR148" s="322"/>
      <c r="TXS148" s="322"/>
      <c r="TXT148" s="322"/>
      <c r="TXU148" s="322"/>
      <c r="TXV148" s="322"/>
      <c r="TXW148" s="322"/>
      <c r="TXX148" s="322"/>
      <c r="TXY148" s="322"/>
      <c r="TXZ148" s="322"/>
      <c r="TYA148" s="322"/>
      <c r="TYB148" s="322"/>
      <c r="TYC148" s="322"/>
      <c r="TYD148" s="322"/>
      <c r="TYE148" s="322"/>
      <c r="TYF148" s="322"/>
      <c r="TYG148" s="322"/>
      <c r="TYH148" s="322"/>
      <c r="TYI148" s="322"/>
      <c r="TYJ148" s="322"/>
      <c r="TYK148" s="322"/>
      <c r="TYL148" s="322"/>
      <c r="TYM148" s="322"/>
      <c r="TYN148" s="322"/>
      <c r="TYO148" s="322"/>
      <c r="TYP148" s="322"/>
      <c r="TYQ148" s="322"/>
      <c r="TYR148" s="322"/>
      <c r="TYS148" s="322"/>
      <c r="TYT148" s="322"/>
      <c r="TYU148" s="322"/>
      <c r="TYV148" s="322"/>
      <c r="TYW148" s="322"/>
      <c r="TYX148" s="322"/>
      <c r="TYY148" s="322"/>
      <c r="TYZ148" s="322"/>
      <c r="TZA148" s="322"/>
      <c r="TZB148" s="322"/>
      <c r="TZC148" s="322"/>
      <c r="TZD148" s="322"/>
      <c r="TZE148" s="322"/>
      <c r="TZF148" s="322"/>
      <c r="TZG148" s="322"/>
      <c r="TZH148" s="322"/>
      <c r="TZI148" s="322"/>
      <c r="TZJ148" s="322"/>
      <c r="TZK148" s="322"/>
      <c r="TZL148" s="322"/>
      <c r="TZM148" s="322"/>
      <c r="TZN148" s="322"/>
      <c r="TZO148" s="322"/>
      <c r="TZP148" s="322"/>
      <c r="TZQ148" s="322"/>
      <c r="TZR148" s="322"/>
      <c r="TZS148" s="322"/>
      <c r="TZT148" s="322"/>
      <c r="TZU148" s="322"/>
      <c r="TZV148" s="322"/>
      <c r="TZW148" s="322"/>
      <c r="TZX148" s="322"/>
      <c r="TZY148" s="322"/>
      <c r="TZZ148" s="322"/>
      <c r="UAA148" s="322"/>
      <c r="UAB148" s="322"/>
      <c r="UAC148" s="322"/>
      <c r="UAD148" s="322"/>
      <c r="UAE148" s="322"/>
      <c r="UAF148" s="322"/>
      <c r="UAG148" s="322"/>
      <c r="UAH148" s="322"/>
      <c r="UAI148" s="322"/>
      <c r="UAJ148" s="322"/>
      <c r="UAK148" s="322"/>
      <c r="UAL148" s="322"/>
      <c r="UAM148" s="322"/>
      <c r="UAN148" s="322"/>
      <c r="UAO148" s="322"/>
      <c r="UAP148" s="322"/>
      <c r="UAQ148" s="322"/>
      <c r="UAR148" s="322"/>
      <c r="UAS148" s="322"/>
      <c r="UAT148" s="322"/>
      <c r="UAU148" s="322"/>
      <c r="UAV148" s="322"/>
      <c r="UAW148" s="322"/>
      <c r="UAX148" s="322"/>
      <c r="UAY148" s="322"/>
      <c r="UAZ148" s="322"/>
      <c r="UBA148" s="322"/>
      <c r="UBB148" s="322"/>
      <c r="UBC148" s="322"/>
      <c r="UBD148" s="322"/>
      <c r="UBE148" s="322"/>
      <c r="UBF148" s="322"/>
      <c r="UBG148" s="322"/>
      <c r="UBH148" s="322"/>
      <c r="UBI148" s="322"/>
      <c r="UBJ148" s="322"/>
      <c r="UBK148" s="322"/>
      <c r="UBL148" s="322"/>
      <c r="UBM148" s="322"/>
      <c r="UBN148" s="322"/>
      <c r="UBO148" s="322"/>
      <c r="UBP148" s="322"/>
      <c r="UBQ148" s="322"/>
      <c r="UBR148" s="322"/>
      <c r="UBS148" s="322"/>
      <c r="UBT148" s="322"/>
      <c r="UBU148" s="322"/>
      <c r="UBV148" s="322"/>
      <c r="UBW148" s="322"/>
      <c r="UBX148" s="322"/>
      <c r="UBY148" s="322"/>
      <c r="UBZ148" s="322"/>
      <c r="UCA148" s="322"/>
      <c r="UCB148" s="322"/>
      <c r="UCC148" s="322"/>
      <c r="UCD148" s="322"/>
      <c r="UCE148" s="322"/>
      <c r="UCF148" s="322"/>
      <c r="UCG148" s="322"/>
      <c r="UCH148" s="322"/>
      <c r="UCI148" s="322"/>
      <c r="UCJ148" s="322"/>
      <c r="UCK148" s="322"/>
      <c r="UCL148" s="322"/>
      <c r="UCM148" s="322"/>
      <c r="UCN148" s="322"/>
      <c r="UCO148" s="322"/>
      <c r="UCP148" s="322"/>
      <c r="UCQ148" s="322"/>
      <c r="UCR148" s="322"/>
      <c r="UCS148" s="322"/>
      <c r="UCT148" s="322"/>
      <c r="UCU148" s="322"/>
      <c r="UCV148" s="322"/>
      <c r="UCW148" s="322"/>
      <c r="UCX148" s="322"/>
      <c r="UCY148" s="322"/>
      <c r="UCZ148" s="322"/>
      <c r="UDA148" s="322"/>
      <c r="UDB148" s="322"/>
      <c r="UDC148" s="322"/>
      <c r="UDD148" s="322"/>
      <c r="UDE148" s="322"/>
      <c r="UDF148" s="322"/>
      <c r="UDG148" s="322"/>
      <c r="UDH148" s="322"/>
      <c r="UDI148" s="322"/>
      <c r="UDJ148" s="322"/>
      <c r="UDK148" s="322"/>
      <c r="UDL148" s="322"/>
      <c r="UDM148" s="322"/>
      <c r="UDN148" s="322"/>
      <c r="UDO148" s="322"/>
      <c r="UDP148" s="322"/>
      <c r="UDQ148" s="322"/>
      <c r="UDR148" s="322"/>
      <c r="UDS148" s="322"/>
      <c r="UDT148" s="322"/>
      <c r="UDU148" s="322"/>
      <c r="UDV148" s="322"/>
      <c r="UDW148" s="322"/>
      <c r="UDX148" s="322"/>
      <c r="UDY148" s="322"/>
      <c r="UDZ148" s="322"/>
      <c r="UEA148" s="322"/>
      <c r="UEB148" s="322"/>
      <c r="UEC148" s="322"/>
      <c r="UED148" s="322"/>
      <c r="UEE148" s="322"/>
      <c r="UEF148" s="322"/>
      <c r="UEG148" s="322"/>
      <c r="UEH148" s="322"/>
      <c r="UEI148" s="322"/>
      <c r="UEJ148" s="322"/>
      <c r="UEK148" s="322"/>
      <c r="UEL148" s="322"/>
      <c r="UEM148" s="322"/>
      <c r="UEN148" s="322"/>
      <c r="UEO148" s="322"/>
      <c r="UEP148" s="322"/>
      <c r="UEQ148" s="322"/>
      <c r="UER148" s="322"/>
      <c r="UES148" s="322"/>
      <c r="UET148" s="322"/>
      <c r="UEU148" s="322"/>
      <c r="UEV148" s="322"/>
      <c r="UEW148" s="322"/>
      <c r="UEX148" s="322"/>
      <c r="UEY148" s="322"/>
      <c r="UEZ148" s="322"/>
      <c r="UFA148" s="322"/>
      <c r="UFB148" s="322"/>
      <c r="UFC148" s="322"/>
      <c r="UFD148" s="322"/>
      <c r="UFE148" s="322"/>
      <c r="UFF148" s="322"/>
      <c r="UFG148" s="322"/>
      <c r="UFH148" s="322"/>
      <c r="UFI148" s="322"/>
      <c r="UFJ148" s="322"/>
      <c r="UFK148" s="322"/>
      <c r="UFL148" s="322"/>
      <c r="UFM148" s="322"/>
      <c r="UFN148" s="322"/>
      <c r="UFO148" s="322"/>
      <c r="UFP148" s="322"/>
      <c r="UFQ148" s="322"/>
      <c r="UFR148" s="322"/>
      <c r="UFS148" s="322"/>
      <c r="UFT148" s="322"/>
      <c r="UFU148" s="322"/>
      <c r="UFV148" s="322"/>
      <c r="UFW148" s="322"/>
      <c r="UFX148" s="322"/>
      <c r="UFY148" s="322"/>
      <c r="UFZ148" s="322"/>
      <c r="UGA148" s="322"/>
      <c r="UGB148" s="322"/>
      <c r="UGC148" s="322"/>
      <c r="UGD148" s="322"/>
      <c r="UGE148" s="322"/>
      <c r="UGF148" s="322"/>
      <c r="UGG148" s="322"/>
      <c r="UGH148" s="322"/>
      <c r="UGI148" s="322"/>
      <c r="UGJ148" s="322"/>
      <c r="UGK148" s="322"/>
      <c r="UGL148" s="322"/>
      <c r="UGM148" s="322"/>
      <c r="UGN148" s="322"/>
      <c r="UGO148" s="322"/>
      <c r="UGP148" s="322"/>
      <c r="UGQ148" s="322"/>
      <c r="UGR148" s="322"/>
      <c r="UGS148" s="322"/>
      <c r="UGT148" s="322"/>
      <c r="UGU148" s="322"/>
      <c r="UGV148" s="322"/>
      <c r="UGW148" s="322"/>
      <c r="UGX148" s="322"/>
      <c r="UGY148" s="322"/>
      <c r="UGZ148" s="322"/>
      <c r="UHA148" s="322"/>
      <c r="UHB148" s="322"/>
      <c r="UHC148" s="322"/>
      <c r="UHD148" s="322"/>
      <c r="UHE148" s="322"/>
      <c r="UHF148" s="322"/>
      <c r="UHG148" s="322"/>
      <c r="UHH148" s="322"/>
      <c r="UHI148" s="322"/>
      <c r="UHJ148" s="322"/>
      <c r="UHK148" s="322"/>
      <c r="UHL148" s="322"/>
      <c r="UHM148" s="322"/>
      <c r="UHN148" s="322"/>
      <c r="UHO148" s="322"/>
      <c r="UHP148" s="322"/>
      <c r="UHQ148" s="322"/>
      <c r="UHR148" s="322"/>
      <c r="UHS148" s="322"/>
      <c r="UHT148" s="322"/>
      <c r="UHU148" s="322"/>
      <c r="UHV148" s="322"/>
      <c r="UHW148" s="322"/>
      <c r="UHX148" s="322"/>
      <c r="UHY148" s="322"/>
      <c r="UHZ148" s="322"/>
      <c r="UIA148" s="322"/>
      <c r="UIB148" s="322"/>
      <c r="UIC148" s="322"/>
      <c r="UID148" s="322"/>
      <c r="UIE148" s="322"/>
      <c r="UIF148" s="322"/>
      <c r="UIG148" s="322"/>
      <c r="UIH148" s="322"/>
      <c r="UII148" s="322"/>
      <c r="UIJ148" s="322"/>
      <c r="UIK148" s="322"/>
      <c r="UIL148" s="322"/>
      <c r="UIM148" s="322"/>
      <c r="UIN148" s="322"/>
      <c r="UIO148" s="322"/>
      <c r="UIP148" s="322"/>
      <c r="UIQ148" s="322"/>
      <c r="UIR148" s="322"/>
      <c r="UIS148" s="322"/>
      <c r="UIT148" s="322"/>
      <c r="UIU148" s="322"/>
      <c r="UIV148" s="322"/>
      <c r="UIW148" s="322"/>
      <c r="UIX148" s="322"/>
      <c r="UIY148" s="322"/>
      <c r="UIZ148" s="322"/>
      <c r="UJA148" s="322"/>
      <c r="UJB148" s="322"/>
      <c r="UJC148" s="322"/>
      <c r="UJD148" s="322"/>
      <c r="UJE148" s="322"/>
      <c r="UJF148" s="322"/>
      <c r="UJG148" s="322"/>
      <c r="UJH148" s="322"/>
      <c r="UJI148" s="322"/>
      <c r="UJJ148" s="322"/>
      <c r="UJK148" s="322"/>
      <c r="UJL148" s="322"/>
      <c r="UJM148" s="322"/>
      <c r="UJN148" s="322"/>
      <c r="UJO148" s="322"/>
      <c r="UJP148" s="322"/>
      <c r="UJQ148" s="322"/>
      <c r="UJR148" s="322"/>
      <c r="UJS148" s="322"/>
      <c r="UJT148" s="322"/>
      <c r="UJU148" s="322"/>
      <c r="UJV148" s="322"/>
      <c r="UJW148" s="322"/>
      <c r="UJX148" s="322"/>
      <c r="UJY148" s="322"/>
      <c r="UJZ148" s="322"/>
      <c r="UKA148" s="322"/>
      <c r="UKB148" s="322"/>
      <c r="UKC148" s="322"/>
      <c r="UKD148" s="322"/>
      <c r="UKE148" s="322"/>
      <c r="UKF148" s="322"/>
      <c r="UKG148" s="322"/>
      <c r="UKH148" s="322"/>
      <c r="UKI148" s="322"/>
      <c r="UKJ148" s="322"/>
      <c r="UKK148" s="322"/>
      <c r="UKL148" s="322"/>
      <c r="UKM148" s="322"/>
      <c r="UKN148" s="322"/>
      <c r="UKO148" s="322"/>
      <c r="UKP148" s="322"/>
      <c r="UKQ148" s="322"/>
      <c r="UKR148" s="322"/>
      <c r="UKS148" s="322"/>
      <c r="UKT148" s="322"/>
      <c r="UKU148" s="322"/>
      <c r="UKV148" s="322"/>
      <c r="UKW148" s="322"/>
      <c r="UKX148" s="322"/>
      <c r="UKY148" s="322"/>
      <c r="UKZ148" s="322"/>
      <c r="ULA148" s="322"/>
      <c r="ULB148" s="322"/>
      <c r="ULC148" s="322"/>
      <c r="ULD148" s="322"/>
      <c r="ULE148" s="322"/>
      <c r="ULF148" s="322"/>
      <c r="ULG148" s="322"/>
      <c r="ULH148" s="322"/>
      <c r="ULI148" s="322"/>
      <c r="ULJ148" s="322"/>
      <c r="ULK148" s="322"/>
      <c r="ULL148" s="322"/>
      <c r="ULM148" s="322"/>
      <c r="ULN148" s="322"/>
      <c r="ULO148" s="322"/>
      <c r="ULP148" s="322"/>
      <c r="ULQ148" s="322"/>
      <c r="ULR148" s="322"/>
      <c r="ULS148" s="322"/>
      <c r="ULT148" s="322"/>
      <c r="ULU148" s="322"/>
      <c r="ULV148" s="322"/>
      <c r="ULW148" s="322"/>
      <c r="ULX148" s="322"/>
      <c r="ULY148" s="322"/>
      <c r="ULZ148" s="322"/>
      <c r="UMA148" s="322"/>
      <c r="UMB148" s="322"/>
      <c r="UMC148" s="322"/>
      <c r="UMD148" s="322"/>
      <c r="UME148" s="322"/>
      <c r="UMF148" s="322"/>
      <c r="UMG148" s="322"/>
      <c r="UMH148" s="322"/>
      <c r="UMI148" s="322"/>
      <c r="UMJ148" s="322"/>
      <c r="UMK148" s="322"/>
      <c r="UML148" s="322"/>
      <c r="UMM148" s="322"/>
      <c r="UMN148" s="322"/>
      <c r="UMO148" s="322"/>
      <c r="UMP148" s="322"/>
      <c r="UMQ148" s="322"/>
      <c r="UMR148" s="322"/>
      <c r="UMS148" s="322"/>
      <c r="UMT148" s="322"/>
      <c r="UMU148" s="322"/>
      <c r="UMV148" s="322"/>
      <c r="UMW148" s="322"/>
      <c r="UMX148" s="322"/>
      <c r="UMY148" s="322"/>
      <c r="UMZ148" s="322"/>
      <c r="UNA148" s="322"/>
      <c r="UNB148" s="322"/>
      <c r="UNC148" s="322"/>
      <c r="UND148" s="322"/>
      <c r="UNE148" s="322"/>
      <c r="UNF148" s="322"/>
      <c r="UNG148" s="322"/>
      <c r="UNH148" s="322"/>
      <c r="UNI148" s="322"/>
      <c r="UNJ148" s="322"/>
      <c r="UNK148" s="322"/>
      <c r="UNL148" s="322"/>
      <c r="UNM148" s="322"/>
      <c r="UNN148" s="322"/>
      <c r="UNO148" s="322"/>
      <c r="UNP148" s="322"/>
      <c r="UNQ148" s="322"/>
      <c r="UNR148" s="322"/>
      <c r="UNS148" s="322"/>
      <c r="UNT148" s="322"/>
      <c r="UNU148" s="322"/>
      <c r="UNV148" s="322"/>
      <c r="UNW148" s="322"/>
      <c r="UNX148" s="322"/>
      <c r="UNY148" s="322"/>
      <c r="UNZ148" s="322"/>
      <c r="UOA148" s="322"/>
      <c r="UOB148" s="322"/>
      <c r="UOC148" s="322"/>
      <c r="UOD148" s="322"/>
      <c r="UOE148" s="322"/>
      <c r="UOF148" s="322"/>
      <c r="UOG148" s="322"/>
      <c r="UOH148" s="322"/>
      <c r="UOI148" s="322"/>
      <c r="UOJ148" s="322"/>
      <c r="UOK148" s="322"/>
      <c r="UOL148" s="322"/>
      <c r="UOM148" s="322"/>
      <c r="UON148" s="322"/>
      <c r="UOO148" s="322"/>
      <c r="UOP148" s="322"/>
      <c r="UOQ148" s="322"/>
      <c r="UOR148" s="322"/>
      <c r="UOS148" s="322"/>
      <c r="UOT148" s="322"/>
      <c r="UOU148" s="322"/>
      <c r="UOV148" s="322"/>
      <c r="UOW148" s="322"/>
      <c r="UOX148" s="322"/>
      <c r="UOY148" s="322"/>
      <c r="UOZ148" s="322"/>
      <c r="UPA148" s="322"/>
      <c r="UPB148" s="322"/>
      <c r="UPC148" s="322"/>
      <c r="UPD148" s="322"/>
      <c r="UPE148" s="322"/>
      <c r="UPF148" s="322"/>
      <c r="UPG148" s="322"/>
      <c r="UPH148" s="322"/>
      <c r="UPI148" s="322"/>
      <c r="UPJ148" s="322"/>
      <c r="UPK148" s="322"/>
      <c r="UPL148" s="322"/>
      <c r="UPM148" s="322"/>
      <c r="UPN148" s="322"/>
      <c r="UPO148" s="322"/>
      <c r="UPP148" s="322"/>
      <c r="UPQ148" s="322"/>
      <c r="UPR148" s="322"/>
      <c r="UPS148" s="322"/>
      <c r="UPT148" s="322"/>
      <c r="UPU148" s="322"/>
      <c r="UPV148" s="322"/>
      <c r="UPW148" s="322"/>
      <c r="UPX148" s="322"/>
      <c r="UPY148" s="322"/>
      <c r="UPZ148" s="322"/>
      <c r="UQA148" s="322"/>
      <c r="UQB148" s="322"/>
      <c r="UQC148" s="322"/>
      <c r="UQD148" s="322"/>
      <c r="UQE148" s="322"/>
      <c r="UQF148" s="322"/>
      <c r="UQG148" s="322"/>
      <c r="UQH148" s="322"/>
      <c r="UQI148" s="322"/>
      <c r="UQJ148" s="322"/>
      <c r="UQK148" s="322"/>
      <c r="UQL148" s="322"/>
      <c r="UQM148" s="322"/>
      <c r="UQN148" s="322"/>
      <c r="UQO148" s="322"/>
      <c r="UQP148" s="322"/>
      <c r="UQQ148" s="322"/>
      <c r="UQR148" s="322"/>
      <c r="UQS148" s="322"/>
      <c r="UQT148" s="322"/>
      <c r="UQU148" s="322"/>
      <c r="UQV148" s="322"/>
      <c r="UQW148" s="322"/>
      <c r="UQX148" s="322"/>
      <c r="UQY148" s="322"/>
      <c r="UQZ148" s="322"/>
      <c r="URA148" s="322"/>
      <c r="URB148" s="322"/>
      <c r="URC148" s="322"/>
      <c r="URD148" s="322"/>
      <c r="URE148" s="322"/>
      <c r="URF148" s="322"/>
      <c r="URG148" s="322"/>
      <c r="URH148" s="322"/>
      <c r="URI148" s="322"/>
      <c r="URJ148" s="322"/>
      <c r="URK148" s="322"/>
      <c r="URL148" s="322"/>
      <c r="URM148" s="322"/>
      <c r="URN148" s="322"/>
      <c r="URO148" s="322"/>
      <c r="URP148" s="322"/>
      <c r="URQ148" s="322"/>
      <c r="URR148" s="322"/>
      <c r="URS148" s="322"/>
      <c r="URT148" s="322"/>
      <c r="URU148" s="322"/>
      <c r="URV148" s="322"/>
      <c r="URW148" s="322"/>
      <c r="URX148" s="322"/>
      <c r="URY148" s="322"/>
      <c r="URZ148" s="322"/>
      <c r="USA148" s="322"/>
      <c r="USB148" s="322"/>
      <c r="USC148" s="322"/>
      <c r="USD148" s="322"/>
      <c r="USE148" s="322"/>
      <c r="USF148" s="322"/>
      <c r="USG148" s="322"/>
      <c r="USH148" s="322"/>
      <c r="USI148" s="322"/>
      <c r="USJ148" s="322"/>
      <c r="USK148" s="322"/>
      <c r="USL148" s="322"/>
      <c r="USM148" s="322"/>
      <c r="USN148" s="322"/>
      <c r="USO148" s="322"/>
      <c r="USP148" s="322"/>
      <c r="USQ148" s="322"/>
      <c r="USR148" s="322"/>
      <c r="USS148" s="322"/>
      <c r="UST148" s="322"/>
      <c r="USU148" s="322"/>
      <c r="USV148" s="322"/>
      <c r="USW148" s="322"/>
      <c r="USX148" s="322"/>
      <c r="USY148" s="322"/>
      <c r="USZ148" s="322"/>
      <c r="UTA148" s="322"/>
      <c r="UTB148" s="322"/>
      <c r="UTC148" s="322"/>
      <c r="UTD148" s="322"/>
      <c r="UTE148" s="322"/>
      <c r="UTF148" s="322"/>
      <c r="UTG148" s="322"/>
      <c r="UTH148" s="322"/>
      <c r="UTI148" s="322"/>
      <c r="UTJ148" s="322"/>
      <c r="UTK148" s="322"/>
      <c r="UTL148" s="322"/>
      <c r="UTM148" s="322"/>
      <c r="UTN148" s="322"/>
      <c r="UTO148" s="322"/>
      <c r="UTP148" s="322"/>
      <c r="UTQ148" s="322"/>
      <c r="UTR148" s="322"/>
      <c r="UTS148" s="322"/>
      <c r="UTT148" s="322"/>
      <c r="UTU148" s="322"/>
      <c r="UTV148" s="322"/>
      <c r="UTW148" s="322"/>
      <c r="UTX148" s="322"/>
      <c r="UTY148" s="322"/>
      <c r="UTZ148" s="322"/>
      <c r="UUA148" s="322"/>
      <c r="UUB148" s="322"/>
      <c r="UUC148" s="322"/>
      <c r="UUD148" s="322"/>
      <c r="UUE148" s="322"/>
      <c r="UUF148" s="322"/>
      <c r="UUG148" s="322"/>
      <c r="UUH148" s="322"/>
      <c r="UUI148" s="322"/>
      <c r="UUJ148" s="322"/>
      <c r="UUK148" s="322"/>
      <c r="UUL148" s="322"/>
      <c r="UUM148" s="322"/>
      <c r="UUN148" s="322"/>
      <c r="UUO148" s="322"/>
      <c r="UUP148" s="322"/>
      <c r="UUQ148" s="322"/>
      <c r="UUR148" s="322"/>
      <c r="UUS148" s="322"/>
      <c r="UUT148" s="322"/>
      <c r="UUU148" s="322"/>
      <c r="UUV148" s="322"/>
      <c r="UUW148" s="322"/>
      <c r="UUX148" s="322"/>
      <c r="UUY148" s="322"/>
      <c r="UUZ148" s="322"/>
      <c r="UVA148" s="322"/>
      <c r="UVB148" s="322"/>
      <c r="UVC148" s="322"/>
      <c r="UVD148" s="322"/>
      <c r="UVE148" s="322"/>
      <c r="UVF148" s="322"/>
      <c r="UVG148" s="322"/>
      <c r="UVH148" s="322"/>
      <c r="UVI148" s="322"/>
      <c r="UVJ148" s="322"/>
      <c r="UVK148" s="322"/>
      <c r="UVL148" s="322"/>
      <c r="UVM148" s="322"/>
      <c r="UVN148" s="322"/>
      <c r="UVO148" s="322"/>
      <c r="UVP148" s="322"/>
      <c r="UVQ148" s="322"/>
      <c r="UVR148" s="322"/>
      <c r="UVS148" s="322"/>
      <c r="UVT148" s="322"/>
      <c r="UVU148" s="322"/>
      <c r="UVV148" s="322"/>
      <c r="UVW148" s="322"/>
      <c r="UVX148" s="322"/>
      <c r="UVY148" s="322"/>
      <c r="UVZ148" s="322"/>
      <c r="UWA148" s="322"/>
      <c r="UWB148" s="322"/>
      <c r="UWC148" s="322"/>
      <c r="UWD148" s="322"/>
      <c r="UWE148" s="322"/>
      <c r="UWF148" s="322"/>
      <c r="UWG148" s="322"/>
      <c r="UWH148" s="322"/>
      <c r="UWI148" s="322"/>
      <c r="UWJ148" s="322"/>
      <c r="UWK148" s="322"/>
      <c r="UWL148" s="322"/>
      <c r="UWM148" s="322"/>
      <c r="UWN148" s="322"/>
      <c r="UWO148" s="322"/>
      <c r="UWP148" s="322"/>
      <c r="UWQ148" s="322"/>
      <c r="UWR148" s="322"/>
      <c r="UWS148" s="322"/>
      <c r="UWT148" s="322"/>
      <c r="UWU148" s="322"/>
      <c r="UWV148" s="322"/>
      <c r="UWW148" s="322"/>
      <c r="UWX148" s="322"/>
      <c r="UWY148" s="322"/>
      <c r="UWZ148" s="322"/>
      <c r="UXA148" s="322"/>
      <c r="UXB148" s="322"/>
      <c r="UXC148" s="322"/>
      <c r="UXD148" s="322"/>
      <c r="UXE148" s="322"/>
      <c r="UXF148" s="322"/>
      <c r="UXG148" s="322"/>
      <c r="UXH148" s="322"/>
      <c r="UXI148" s="322"/>
      <c r="UXJ148" s="322"/>
      <c r="UXK148" s="322"/>
      <c r="UXL148" s="322"/>
      <c r="UXM148" s="322"/>
      <c r="UXN148" s="322"/>
      <c r="UXO148" s="322"/>
      <c r="UXP148" s="322"/>
      <c r="UXQ148" s="322"/>
      <c r="UXR148" s="322"/>
      <c r="UXS148" s="322"/>
      <c r="UXT148" s="322"/>
      <c r="UXU148" s="322"/>
      <c r="UXV148" s="322"/>
      <c r="UXW148" s="322"/>
      <c r="UXX148" s="322"/>
      <c r="UXY148" s="322"/>
      <c r="UXZ148" s="322"/>
      <c r="UYA148" s="322"/>
      <c r="UYB148" s="322"/>
      <c r="UYC148" s="322"/>
      <c r="UYD148" s="322"/>
      <c r="UYE148" s="322"/>
      <c r="UYF148" s="322"/>
      <c r="UYG148" s="322"/>
      <c r="UYH148" s="322"/>
      <c r="UYI148" s="322"/>
      <c r="UYJ148" s="322"/>
      <c r="UYK148" s="322"/>
      <c r="UYL148" s="322"/>
      <c r="UYM148" s="322"/>
      <c r="UYN148" s="322"/>
      <c r="UYO148" s="322"/>
      <c r="UYP148" s="322"/>
      <c r="UYQ148" s="322"/>
      <c r="UYR148" s="322"/>
      <c r="UYS148" s="322"/>
      <c r="UYT148" s="322"/>
      <c r="UYU148" s="322"/>
      <c r="UYV148" s="322"/>
      <c r="UYW148" s="322"/>
      <c r="UYX148" s="322"/>
      <c r="UYY148" s="322"/>
      <c r="UYZ148" s="322"/>
      <c r="UZA148" s="322"/>
      <c r="UZB148" s="322"/>
      <c r="UZC148" s="322"/>
      <c r="UZD148" s="322"/>
      <c r="UZE148" s="322"/>
      <c r="UZF148" s="322"/>
      <c r="UZG148" s="322"/>
      <c r="UZH148" s="322"/>
      <c r="UZI148" s="322"/>
      <c r="UZJ148" s="322"/>
      <c r="UZK148" s="322"/>
      <c r="UZL148" s="322"/>
      <c r="UZM148" s="322"/>
      <c r="UZN148" s="322"/>
      <c r="UZO148" s="322"/>
      <c r="UZP148" s="322"/>
      <c r="UZQ148" s="322"/>
      <c r="UZR148" s="322"/>
      <c r="UZS148" s="322"/>
      <c r="UZT148" s="322"/>
      <c r="UZU148" s="322"/>
      <c r="UZV148" s="322"/>
      <c r="UZW148" s="322"/>
      <c r="UZX148" s="322"/>
      <c r="UZY148" s="322"/>
      <c r="UZZ148" s="322"/>
      <c r="VAA148" s="322"/>
      <c r="VAB148" s="322"/>
      <c r="VAC148" s="322"/>
      <c r="VAD148" s="322"/>
      <c r="VAE148" s="322"/>
      <c r="VAF148" s="322"/>
      <c r="VAG148" s="322"/>
      <c r="VAH148" s="322"/>
      <c r="VAI148" s="322"/>
      <c r="VAJ148" s="322"/>
      <c r="VAK148" s="322"/>
      <c r="VAL148" s="322"/>
      <c r="VAM148" s="322"/>
      <c r="VAN148" s="322"/>
      <c r="VAO148" s="322"/>
      <c r="VAP148" s="322"/>
      <c r="VAQ148" s="322"/>
      <c r="VAR148" s="322"/>
      <c r="VAS148" s="322"/>
      <c r="VAT148" s="322"/>
      <c r="VAU148" s="322"/>
      <c r="VAV148" s="322"/>
      <c r="VAW148" s="322"/>
      <c r="VAX148" s="322"/>
      <c r="VAY148" s="322"/>
      <c r="VAZ148" s="322"/>
      <c r="VBA148" s="322"/>
      <c r="VBB148" s="322"/>
      <c r="VBC148" s="322"/>
      <c r="VBD148" s="322"/>
      <c r="VBE148" s="322"/>
      <c r="VBF148" s="322"/>
      <c r="VBG148" s="322"/>
      <c r="VBH148" s="322"/>
      <c r="VBI148" s="322"/>
      <c r="VBJ148" s="322"/>
      <c r="VBK148" s="322"/>
      <c r="VBL148" s="322"/>
      <c r="VBM148" s="322"/>
      <c r="VBN148" s="322"/>
      <c r="VBO148" s="322"/>
      <c r="VBP148" s="322"/>
      <c r="VBQ148" s="322"/>
      <c r="VBR148" s="322"/>
      <c r="VBS148" s="322"/>
      <c r="VBT148" s="322"/>
      <c r="VBU148" s="322"/>
      <c r="VBV148" s="322"/>
      <c r="VBW148" s="322"/>
      <c r="VBX148" s="322"/>
      <c r="VBY148" s="322"/>
      <c r="VBZ148" s="322"/>
      <c r="VCA148" s="322"/>
      <c r="VCB148" s="322"/>
      <c r="VCC148" s="322"/>
      <c r="VCD148" s="322"/>
      <c r="VCE148" s="322"/>
      <c r="VCF148" s="322"/>
      <c r="VCG148" s="322"/>
      <c r="VCH148" s="322"/>
      <c r="VCI148" s="322"/>
      <c r="VCJ148" s="322"/>
      <c r="VCK148" s="322"/>
      <c r="VCL148" s="322"/>
      <c r="VCM148" s="322"/>
      <c r="VCN148" s="322"/>
      <c r="VCO148" s="322"/>
      <c r="VCP148" s="322"/>
      <c r="VCQ148" s="322"/>
      <c r="VCR148" s="322"/>
      <c r="VCS148" s="322"/>
      <c r="VCT148" s="322"/>
      <c r="VCU148" s="322"/>
      <c r="VCV148" s="322"/>
      <c r="VCW148" s="322"/>
      <c r="VCX148" s="322"/>
      <c r="VCY148" s="322"/>
      <c r="VCZ148" s="322"/>
      <c r="VDA148" s="322"/>
      <c r="VDB148" s="322"/>
      <c r="VDC148" s="322"/>
      <c r="VDD148" s="322"/>
      <c r="VDE148" s="322"/>
      <c r="VDF148" s="322"/>
      <c r="VDG148" s="322"/>
      <c r="VDH148" s="322"/>
      <c r="VDI148" s="322"/>
      <c r="VDJ148" s="322"/>
      <c r="VDK148" s="322"/>
      <c r="VDL148" s="322"/>
      <c r="VDM148" s="322"/>
      <c r="VDN148" s="322"/>
      <c r="VDO148" s="322"/>
      <c r="VDP148" s="322"/>
      <c r="VDQ148" s="322"/>
      <c r="VDR148" s="322"/>
      <c r="VDS148" s="322"/>
      <c r="VDT148" s="322"/>
      <c r="VDU148" s="322"/>
      <c r="VDV148" s="322"/>
      <c r="VDW148" s="322"/>
      <c r="VDX148" s="322"/>
      <c r="VDY148" s="322"/>
      <c r="VDZ148" s="322"/>
      <c r="VEA148" s="322"/>
      <c r="VEB148" s="322"/>
      <c r="VEC148" s="322"/>
      <c r="VED148" s="322"/>
      <c r="VEE148" s="322"/>
      <c r="VEF148" s="322"/>
      <c r="VEG148" s="322"/>
      <c r="VEH148" s="322"/>
      <c r="VEI148" s="322"/>
      <c r="VEJ148" s="322"/>
      <c r="VEK148" s="322"/>
      <c r="VEL148" s="322"/>
      <c r="VEM148" s="322"/>
      <c r="VEN148" s="322"/>
      <c r="VEO148" s="322"/>
      <c r="VEP148" s="322"/>
      <c r="VEQ148" s="322"/>
      <c r="VER148" s="322"/>
      <c r="VES148" s="322"/>
      <c r="VET148" s="322"/>
      <c r="VEU148" s="322"/>
      <c r="VEV148" s="322"/>
      <c r="VEW148" s="322"/>
      <c r="VEX148" s="322"/>
      <c r="VEY148" s="322"/>
      <c r="VEZ148" s="322"/>
      <c r="VFA148" s="322"/>
      <c r="VFB148" s="322"/>
      <c r="VFC148" s="322"/>
      <c r="VFD148" s="322"/>
      <c r="VFE148" s="322"/>
      <c r="VFF148" s="322"/>
      <c r="VFG148" s="322"/>
      <c r="VFH148" s="322"/>
      <c r="VFI148" s="322"/>
      <c r="VFJ148" s="322"/>
      <c r="VFK148" s="322"/>
      <c r="VFL148" s="322"/>
      <c r="VFM148" s="322"/>
      <c r="VFN148" s="322"/>
      <c r="VFO148" s="322"/>
      <c r="VFP148" s="322"/>
      <c r="VFQ148" s="322"/>
      <c r="VFR148" s="322"/>
      <c r="VFS148" s="322"/>
      <c r="VFT148" s="322"/>
      <c r="VFU148" s="322"/>
      <c r="VFV148" s="322"/>
      <c r="VFW148" s="322"/>
      <c r="VFX148" s="322"/>
      <c r="VFY148" s="322"/>
      <c r="VFZ148" s="322"/>
      <c r="VGA148" s="322"/>
      <c r="VGB148" s="322"/>
      <c r="VGC148" s="322"/>
      <c r="VGD148" s="322"/>
      <c r="VGE148" s="322"/>
      <c r="VGF148" s="322"/>
      <c r="VGG148" s="322"/>
      <c r="VGH148" s="322"/>
      <c r="VGI148" s="322"/>
      <c r="VGJ148" s="322"/>
      <c r="VGK148" s="322"/>
      <c r="VGL148" s="322"/>
      <c r="VGM148" s="322"/>
      <c r="VGN148" s="322"/>
      <c r="VGO148" s="322"/>
      <c r="VGP148" s="322"/>
      <c r="VGQ148" s="322"/>
      <c r="VGR148" s="322"/>
      <c r="VGS148" s="322"/>
      <c r="VGT148" s="322"/>
      <c r="VGU148" s="322"/>
      <c r="VGV148" s="322"/>
      <c r="VGW148" s="322"/>
      <c r="VGX148" s="322"/>
      <c r="VGY148" s="322"/>
      <c r="VGZ148" s="322"/>
      <c r="VHA148" s="322"/>
      <c r="VHB148" s="322"/>
      <c r="VHC148" s="322"/>
      <c r="VHD148" s="322"/>
      <c r="VHE148" s="322"/>
      <c r="VHF148" s="322"/>
      <c r="VHG148" s="322"/>
      <c r="VHH148" s="322"/>
      <c r="VHI148" s="322"/>
      <c r="VHJ148" s="322"/>
      <c r="VHK148" s="322"/>
      <c r="VHL148" s="322"/>
      <c r="VHM148" s="322"/>
      <c r="VHN148" s="322"/>
      <c r="VHO148" s="322"/>
      <c r="VHP148" s="322"/>
      <c r="VHQ148" s="322"/>
      <c r="VHR148" s="322"/>
      <c r="VHS148" s="322"/>
      <c r="VHT148" s="322"/>
      <c r="VHU148" s="322"/>
      <c r="VHV148" s="322"/>
      <c r="VHW148" s="322"/>
      <c r="VHX148" s="322"/>
      <c r="VHY148" s="322"/>
      <c r="VHZ148" s="322"/>
      <c r="VIA148" s="322"/>
      <c r="VIB148" s="322"/>
      <c r="VIC148" s="322"/>
      <c r="VID148" s="322"/>
      <c r="VIE148" s="322"/>
      <c r="VIF148" s="322"/>
      <c r="VIG148" s="322"/>
      <c r="VIH148" s="322"/>
      <c r="VII148" s="322"/>
      <c r="VIJ148" s="322"/>
      <c r="VIK148" s="322"/>
      <c r="VIL148" s="322"/>
      <c r="VIM148" s="322"/>
      <c r="VIN148" s="322"/>
      <c r="VIO148" s="322"/>
      <c r="VIP148" s="322"/>
      <c r="VIQ148" s="322"/>
      <c r="VIR148" s="322"/>
      <c r="VIS148" s="322"/>
      <c r="VIT148" s="322"/>
      <c r="VIU148" s="322"/>
      <c r="VIV148" s="322"/>
      <c r="VIW148" s="322"/>
      <c r="VIX148" s="322"/>
      <c r="VIY148" s="322"/>
      <c r="VIZ148" s="322"/>
      <c r="VJA148" s="322"/>
      <c r="VJB148" s="322"/>
      <c r="VJC148" s="322"/>
      <c r="VJD148" s="322"/>
      <c r="VJE148" s="322"/>
      <c r="VJF148" s="322"/>
      <c r="VJG148" s="322"/>
      <c r="VJH148" s="322"/>
      <c r="VJI148" s="322"/>
      <c r="VJJ148" s="322"/>
      <c r="VJK148" s="322"/>
      <c r="VJL148" s="322"/>
      <c r="VJM148" s="322"/>
      <c r="VJN148" s="322"/>
      <c r="VJO148" s="322"/>
      <c r="VJP148" s="322"/>
      <c r="VJQ148" s="322"/>
      <c r="VJR148" s="322"/>
      <c r="VJS148" s="322"/>
      <c r="VJT148" s="322"/>
      <c r="VJU148" s="322"/>
      <c r="VJV148" s="322"/>
      <c r="VJW148" s="322"/>
      <c r="VJX148" s="322"/>
      <c r="VJY148" s="322"/>
      <c r="VJZ148" s="322"/>
      <c r="VKA148" s="322"/>
      <c r="VKB148" s="322"/>
      <c r="VKC148" s="322"/>
      <c r="VKD148" s="322"/>
      <c r="VKE148" s="322"/>
      <c r="VKF148" s="322"/>
      <c r="VKG148" s="322"/>
      <c r="VKH148" s="322"/>
      <c r="VKI148" s="322"/>
      <c r="VKJ148" s="322"/>
      <c r="VKK148" s="322"/>
      <c r="VKL148" s="322"/>
      <c r="VKM148" s="322"/>
      <c r="VKN148" s="322"/>
      <c r="VKO148" s="322"/>
      <c r="VKP148" s="322"/>
      <c r="VKQ148" s="322"/>
      <c r="VKR148" s="322"/>
      <c r="VKS148" s="322"/>
      <c r="VKT148" s="322"/>
      <c r="VKU148" s="322"/>
      <c r="VKV148" s="322"/>
      <c r="VKW148" s="322"/>
      <c r="VKX148" s="322"/>
      <c r="VKY148" s="322"/>
      <c r="VKZ148" s="322"/>
      <c r="VLA148" s="322"/>
      <c r="VLB148" s="322"/>
      <c r="VLC148" s="322"/>
      <c r="VLD148" s="322"/>
      <c r="VLE148" s="322"/>
      <c r="VLF148" s="322"/>
      <c r="VLG148" s="322"/>
      <c r="VLH148" s="322"/>
      <c r="VLI148" s="322"/>
      <c r="VLJ148" s="322"/>
      <c r="VLK148" s="322"/>
      <c r="VLL148" s="322"/>
      <c r="VLM148" s="322"/>
      <c r="VLN148" s="322"/>
      <c r="VLO148" s="322"/>
      <c r="VLP148" s="322"/>
      <c r="VLQ148" s="322"/>
      <c r="VLR148" s="322"/>
      <c r="VLS148" s="322"/>
      <c r="VLT148" s="322"/>
      <c r="VLU148" s="322"/>
      <c r="VLV148" s="322"/>
      <c r="VLW148" s="322"/>
      <c r="VLX148" s="322"/>
      <c r="VLY148" s="322"/>
      <c r="VLZ148" s="322"/>
      <c r="VMA148" s="322"/>
      <c r="VMB148" s="322"/>
      <c r="VMC148" s="322"/>
      <c r="VMD148" s="322"/>
      <c r="VME148" s="322"/>
      <c r="VMF148" s="322"/>
      <c r="VMG148" s="322"/>
      <c r="VMH148" s="322"/>
      <c r="VMI148" s="322"/>
      <c r="VMJ148" s="322"/>
      <c r="VMK148" s="322"/>
      <c r="VML148" s="322"/>
      <c r="VMM148" s="322"/>
      <c r="VMN148" s="322"/>
      <c r="VMO148" s="322"/>
      <c r="VMP148" s="322"/>
      <c r="VMQ148" s="322"/>
      <c r="VMR148" s="322"/>
      <c r="VMS148" s="322"/>
      <c r="VMT148" s="322"/>
      <c r="VMU148" s="322"/>
      <c r="VMV148" s="322"/>
      <c r="VMW148" s="322"/>
      <c r="VMX148" s="322"/>
      <c r="VMY148" s="322"/>
      <c r="VMZ148" s="322"/>
      <c r="VNA148" s="322"/>
      <c r="VNB148" s="322"/>
      <c r="VNC148" s="322"/>
      <c r="VND148" s="322"/>
      <c r="VNE148" s="322"/>
      <c r="VNF148" s="322"/>
      <c r="VNG148" s="322"/>
      <c r="VNH148" s="322"/>
      <c r="VNI148" s="322"/>
      <c r="VNJ148" s="322"/>
      <c r="VNK148" s="322"/>
      <c r="VNL148" s="322"/>
      <c r="VNM148" s="322"/>
      <c r="VNN148" s="322"/>
      <c r="VNO148" s="322"/>
      <c r="VNP148" s="322"/>
      <c r="VNQ148" s="322"/>
      <c r="VNR148" s="322"/>
      <c r="VNS148" s="322"/>
      <c r="VNT148" s="322"/>
      <c r="VNU148" s="322"/>
      <c r="VNV148" s="322"/>
      <c r="VNW148" s="322"/>
      <c r="VNX148" s="322"/>
      <c r="VNY148" s="322"/>
      <c r="VNZ148" s="322"/>
      <c r="VOA148" s="322"/>
      <c r="VOB148" s="322"/>
      <c r="VOC148" s="322"/>
      <c r="VOD148" s="322"/>
      <c r="VOE148" s="322"/>
      <c r="VOF148" s="322"/>
      <c r="VOG148" s="322"/>
      <c r="VOH148" s="322"/>
      <c r="VOI148" s="322"/>
      <c r="VOJ148" s="322"/>
      <c r="VOK148" s="322"/>
      <c r="VOL148" s="322"/>
      <c r="VOM148" s="322"/>
      <c r="VON148" s="322"/>
      <c r="VOO148" s="322"/>
      <c r="VOP148" s="322"/>
      <c r="VOQ148" s="322"/>
      <c r="VOR148" s="322"/>
      <c r="VOS148" s="322"/>
      <c r="VOT148" s="322"/>
      <c r="VOU148" s="322"/>
      <c r="VOV148" s="322"/>
      <c r="VOW148" s="322"/>
      <c r="VOX148" s="322"/>
      <c r="VOY148" s="322"/>
      <c r="VOZ148" s="322"/>
      <c r="VPA148" s="322"/>
      <c r="VPB148" s="322"/>
      <c r="VPC148" s="322"/>
      <c r="VPD148" s="322"/>
      <c r="VPE148" s="322"/>
      <c r="VPF148" s="322"/>
      <c r="VPG148" s="322"/>
      <c r="VPH148" s="322"/>
      <c r="VPI148" s="322"/>
      <c r="VPJ148" s="322"/>
      <c r="VPK148" s="322"/>
      <c r="VPL148" s="322"/>
      <c r="VPM148" s="322"/>
      <c r="VPN148" s="322"/>
      <c r="VPO148" s="322"/>
      <c r="VPP148" s="322"/>
      <c r="VPQ148" s="322"/>
      <c r="VPR148" s="322"/>
      <c r="VPS148" s="322"/>
      <c r="VPT148" s="322"/>
      <c r="VPU148" s="322"/>
      <c r="VPV148" s="322"/>
      <c r="VPW148" s="322"/>
      <c r="VPX148" s="322"/>
      <c r="VPY148" s="322"/>
      <c r="VPZ148" s="322"/>
      <c r="VQA148" s="322"/>
      <c r="VQB148" s="322"/>
      <c r="VQC148" s="322"/>
      <c r="VQD148" s="322"/>
      <c r="VQE148" s="322"/>
      <c r="VQF148" s="322"/>
      <c r="VQG148" s="322"/>
      <c r="VQH148" s="322"/>
      <c r="VQI148" s="322"/>
      <c r="VQJ148" s="322"/>
      <c r="VQK148" s="322"/>
      <c r="VQL148" s="322"/>
      <c r="VQM148" s="322"/>
      <c r="VQN148" s="322"/>
      <c r="VQO148" s="322"/>
      <c r="VQP148" s="322"/>
      <c r="VQQ148" s="322"/>
      <c r="VQR148" s="322"/>
      <c r="VQS148" s="322"/>
      <c r="VQT148" s="322"/>
      <c r="VQU148" s="322"/>
      <c r="VQV148" s="322"/>
      <c r="VQW148" s="322"/>
      <c r="VQX148" s="322"/>
      <c r="VQY148" s="322"/>
      <c r="VQZ148" s="322"/>
      <c r="VRA148" s="322"/>
      <c r="VRB148" s="322"/>
      <c r="VRC148" s="322"/>
      <c r="VRD148" s="322"/>
      <c r="VRE148" s="322"/>
      <c r="VRF148" s="322"/>
      <c r="VRG148" s="322"/>
      <c r="VRH148" s="322"/>
      <c r="VRI148" s="322"/>
      <c r="VRJ148" s="322"/>
      <c r="VRK148" s="322"/>
      <c r="VRL148" s="322"/>
      <c r="VRM148" s="322"/>
      <c r="VRN148" s="322"/>
      <c r="VRO148" s="322"/>
      <c r="VRP148" s="322"/>
      <c r="VRQ148" s="322"/>
      <c r="VRR148" s="322"/>
      <c r="VRS148" s="322"/>
      <c r="VRT148" s="322"/>
      <c r="VRU148" s="322"/>
      <c r="VRV148" s="322"/>
      <c r="VRW148" s="322"/>
      <c r="VRX148" s="322"/>
      <c r="VRY148" s="322"/>
      <c r="VRZ148" s="322"/>
      <c r="VSA148" s="322"/>
      <c r="VSB148" s="322"/>
      <c r="VSC148" s="322"/>
      <c r="VSD148" s="322"/>
      <c r="VSE148" s="322"/>
      <c r="VSF148" s="322"/>
      <c r="VSG148" s="322"/>
      <c r="VSH148" s="322"/>
      <c r="VSI148" s="322"/>
      <c r="VSJ148" s="322"/>
      <c r="VSK148" s="322"/>
      <c r="VSL148" s="322"/>
      <c r="VSM148" s="322"/>
      <c r="VSN148" s="322"/>
      <c r="VSO148" s="322"/>
      <c r="VSP148" s="322"/>
      <c r="VSQ148" s="322"/>
      <c r="VSR148" s="322"/>
      <c r="VSS148" s="322"/>
      <c r="VST148" s="322"/>
      <c r="VSU148" s="322"/>
      <c r="VSV148" s="322"/>
      <c r="VSW148" s="322"/>
      <c r="VSX148" s="322"/>
      <c r="VSY148" s="322"/>
      <c r="VSZ148" s="322"/>
      <c r="VTA148" s="322"/>
      <c r="VTB148" s="322"/>
      <c r="VTC148" s="322"/>
      <c r="VTD148" s="322"/>
      <c r="VTE148" s="322"/>
      <c r="VTF148" s="322"/>
      <c r="VTG148" s="322"/>
      <c r="VTH148" s="322"/>
      <c r="VTI148" s="322"/>
      <c r="VTJ148" s="322"/>
      <c r="VTK148" s="322"/>
      <c r="VTL148" s="322"/>
      <c r="VTM148" s="322"/>
      <c r="VTN148" s="322"/>
      <c r="VTO148" s="322"/>
      <c r="VTP148" s="322"/>
      <c r="VTQ148" s="322"/>
      <c r="VTR148" s="322"/>
      <c r="VTS148" s="322"/>
      <c r="VTT148" s="322"/>
      <c r="VTU148" s="322"/>
      <c r="VTV148" s="322"/>
      <c r="VTW148" s="322"/>
      <c r="VTX148" s="322"/>
      <c r="VTY148" s="322"/>
      <c r="VTZ148" s="322"/>
      <c r="VUA148" s="322"/>
      <c r="VUB148" s="322"/>
      <c r="VUC148" s="322"/>
      <c r="VUD148" s="322"/>
      <c r="VUE148" s="322"/>
      <c r="VUF148" s="322"/>
      <c r="VUG148" s="322"/>
      <c r="VUH148" s="322"/>
      <c r="VUI148" s="322"/>
      <c r="VUJ148" s="322"/>
      <c r="VUK148" s="322"/>
      <c r="VUL148" s="322"/>
      <c r="VUM148" s="322"/>
      <c r="VUN148" s="322"/>
      <c r="VUO148" s="322"/>
      <c r="VUP148" s="322"/>
      <c r="VUQ148" s="322"/>
      <c r="VUR148" s="322"/>
      <c r="VUS148" s="322"/>
      <c r="VUT148" s="322"/>
      <c r="VUU148" s="322"/>
      <c r="VUV148" s="322"/>
      <c r="VUW148" s="322"/>
      <c r="VUX148" s="322"/>
      <c r="VUY148" s="322"/>
      <c r="VUZ148" s="322"/>
      <c r="VVA148" s="322"/>
      <c r="VVB148" s="322"/>
      <c r="VVC148" s="322"/>
      <c r="VVD148" s="322"/>
      <c r="VVE148" s="322"/>
      <c r="VVF148" s="322"/>
      <c r="VVG148" s="322"/>
      <c r="VVH148" s="322"/>
      <c r="VVI148" s="322"/>
      <c r="VVJ148" s="322"/>
      <c r="VVK148" s="322"/>
      <c r="VVL148" s="322"/>
      <c r="VVM148" s="322"/>
      <c r="VVN148" s="322"/>
      <c r="VVO148" s="322"/>
      <c r="VVP148" s="322"/>
      <c r="VVQ148" s="322"/>
      <c r="VVR148" s="322"/>
      <c r="VVS148" s="322"/>
      <c r="VVT148" s="322"/>
      <c r="VVU148" s="322"/>
      <c r="VVV148" s="322"/>
      <c r="VVW148" s="322"/>
      <c r="VVX148" s="322"/>
      <c r="VVY148" s="322"/>
      <c r="VVZ148" s="322"/>
      <c r="VWA148" s="322"/>
      <c r="VWB148" s="322"/>
      <c r="VWC148" s="322"/>
      <c r="VWD148" s="322"/>
      <c r="VWE148" s="322"/>
      <c r="VWF148" s="322"/>
      <c r="VWG148" s="322"/>
      <c r="VWH148" s="322"/>
      <c r="VWI148" s="322"/>
      <c r="VWJ148" s="322"/>
      <c r="VWK148" s="322"/>
      <c r="VWL148" s="322"/>
      <c r="VWM148" s="322"/>
      <c r="VWN148" s="322"/>
      <c r="VWO148" s="322"/>
      <c r="VWP148" s="322"/>
      <c r="VWQ148" s="322"/>
      <c r="VWR148" s="322"/>
      <c r="VWS148" s="322"/>
      <c r="VWT148" s="322"/>
      <c r="VWU148" s="322"/>
      <c r="VWV148" s="322"/>
      <c r="VWW148" s="322"/>
      <c r="VWX148" s="322"/>
      <c r="VWY148" s="322"/>
      <c r="VWZ148" s="322"/>
      <c r="VXA148" s="322"/>
      <c r="VXB148" s="322"/>
      <c r="VXC148" s="322"/>
      <c r="VXD148" s="322"/>
      <c r="VXE148" s="322"/>
      <c r="VXF148" s="322"/>
      <c r="VXG148" s="322"/>
      <c r="VXH148" s="322"/>
      <c r="VXI148" s="322"/>
      <c r="VXJ148" s="322"/>
      <c r="VXK148" s="322"/>
      <c r="VXL148" s="322"/>
      <c r="VXM148" s="322"/>
      <c r="VXN148" s="322"/>
      <c r="VXO148" s="322"/>
      <c r="VXP148" s="322"/>
      <c r="VXQ148" s="322"/>
      <c r="VXR148" s="322"/>
      <c r="VXS148" s="322"/>
      <c r="VXT148" s="322"/>
      <c r="VXU148" s="322"/>
      <c r="VXV148" s="322"/>
      <c r="VXW148" s="322"/>
      <c r="VXX148" s="322"/>
      <c r="VXY148" s="322"/>
      <c r="VXZ148" s="322"/>
      <c r="VYA148" s="322"/>
      <c r="VYB148" s="322"/>
      <c r="VYC148" s="322"/>
      <c r="VYD148" s="322"/>
      <c r="VYE148" s="322"/>
      <c r="VYF148" s="322"/>
      <c r="VYG148" s="322"/>
      <c r="VYH148" s="322"/>
      <c r="VYI148" s="322"/>
      <c r="VYJ148" s="322"/>
      <c r="VYK148" s="322"/>
      <c r="VYL148" s="322"/>
      <c r="VYM148" s="322"/>
      <c r="VYN148" s="322"/>
      <c r="VYO148" s="322"/>
      <c r="VYP148" s="322"/>
      <c r="VYQ148" s="322"/>
      <c r="VYR148" s="322"/>
      <c r="VYS148" s="322"/>
      <c r="VYT148" s="322"/>
      <c r="VYU148" s="322"/>
      <c r="VYV148" s="322"/>
      <c r="VYW148" s="322"/>
      <c r="VYX148" s="322"/>
      <c r="VYY148" s="322"/>
      <c r="VYZ148" s="322"/>
      <c r="VZA148" s="322"/>
      <c r="VZB148" s="322"/>
      <c r="VZC148" s="322"/>
      <c r="VZD148" s="322"/>
      <c r="VZE148" s="322"/>
      <c r="VZF148" s="322"/>
      <c r="VZG148" s="322"/>
      <c r="VZH148" s="322"/>
      <c r="VZI148" s="322"/>
      <c r="VZJ148" s="322"/>
      <c r="VZK148" s="322"/>
      <c r="VZL148" s="322"/>
      <c r="VZM148" s="322"/>
      <c r="VZN148" s="322"/>
      <c r="VZO148" s="322"/>
      <c r="VZP148" s="322"/>
      <c r="VZQ148" s="322"/>
      <c r="VZR148" s="322"/>
      <c r="VZS148" s="322"/>
      <c r="VZT148" s="322"/>
      <c r="VZU148" s="322"/>
      <c r="VZV148" s="322"/>
      <c r="VZW148" s="322"/>
      <c r="VZX148" s="322"/>
      <c r="VZY148" s="322"/>
      <c r="VZZ148" s="322"/>
      <c r="WAA148" s="322"/>
      <c r="WAB148" s="322"/>
      <c r="WAC148" s="322"/>
      <c r="WAD148" s="322"/>
      <c r="WAE148" s="322"/>
      <c r="WAF148" s="322"/>
      <c r="WAG148" s="322"/>
      <c r="WAH148" s="322"/>
      <c r="WAI148" s="322"/>
      <c r="WAJ148" s="322"/>
      <c r="WAK148" s="322"/>
      <c r="WAL148" s="322"/>
      <c r="WAM148" s="322"/>
      <c r="WAN148" s="322"/>
      <c r="WAO148" s="322"/>
      <c r="WAP148" s="322"/>
      <c r="WAQ148" s="322"/>
      <c r="WAR148" s="322"/>
      <c r="WAS148" s="322"/>
      <c r="WAT148" s="322"/>
      <c r="WAU148" s="322"/>
      <c r="WAV148" s="322"/>
      <c r="WAW148" s="322"/>
      <c r="WAX148" s="322"/>
      <c r="WAY148" s="322"/>
      <c r="WAZ148" s="322"/>
      <c r="WBA148" s="322"/>
      <c r="WBB148" s="322"/>
      <c r="WBC148" s="322"/>
      <c r="WBD148" s="322"/>
      <c r="WBE148" s="322"/>
      <c r="WBF148" s="322"/>
      <c r="WBG148" s="322"/>
      <c r="WBH148" s="322"/>
      <c r="WBI148" s="322"/>
      <c r="WBJ148" s="322"/>
      <c r="WBK148" s="322"/>
      <c r="WBL148" s="322"/>
      <c r="WBM148" s="322"/>
      <c r="WBN148" s="322"/>
      <c r="WBO148" s="322"/>
      <c r="WBP148" s="322"/>
      <c r="WBQ148" s="322"/>
      <c r="WBR148" s="322"/>
      <c r="WBS148" s="322"/>
      <c r="WBT148" s="322"/>
      <c r="WBU148" s="322"/>
      <c r="WBV148" s="322"/>
      <c r="WBW148" s="322"/>
      <c r="WBX148" s="322"/>
      <c r="WBY148" s="322"/>
      <c r="WBZ148" s="322"/>
      <c r="WCA148" s="322"/>
      <c r="WCB148" s="322"/>
      <c r="WCC148" s="322"/>
      <c r="WCD148" s="322"/>
      <c r="WCE148" s="322"/>
      <c r="WCF148" s="322"/>
      <c r="WCG148" s="322"/>
      <c r="WCH148" s="322"/>
      <c r="WCI148" s="322"/>
      <c r="WCJ148" s="322"/>
      <c r="WCK148" s="322"/>
      <c r="WCL148" s="322"/>
      <c r="WCM148" s="322"/>
      <c r="WCN148" s="322"/>
      <c r="WCO148" s="322"/>
      <c r="WCP148" s="322"/>
      <c r="WCQ148" s="322"/>
      <c r="WCR148" s="322"/>
      <c r="WCS148" s="322"/>
      <c r="WCT148" s="322"/>
      <c r="WCU148" s="322"/>
      <c r="WCV148" s="322"/>
      <c r="WCW148" s="322"/>
      <c r="WCX148" s="322"/>
      <c r="WCY148" s="322"/>
      <c r="WCZ148" s="322"/>
      <c r="WDA148" s="322"/>
      <c r="WDB148" s="322"/>
      <c r="WDC148" s="322"/>
      <c r="WDD148" s="322"/>
      <c r="WDE148" s="322"/>
      <c r="WDF148" s="322"/>
      <c r="WDG148" s="322"/>
      <c r="WDH148" s="322"/>
      <c r="WDI148" s="322"/>
      <c r="WDJ148" s="322"/>
      <c r="WDK148" s="322"/>
      <c r="WDL148" s="322"/>
      <c r="WDM148" s="322"/>
      <c r="WDN148" s="322"/>
      <c r="WDO148" s="322"/>
      <c r="WDP148" s="322"/>
      <c r="WDQ148" s="322"/>
      <c r="WDR148" s="322"/>
      <c r="WDS148" s="322"/>
      <c r="WDT148" s="322"/>
      <c r="WDU148" s="322"/>
      <c r="WDV148" s="322"/>
      <c r="WDW148" s="322"/>
      <c r="WDX148" s="322"/>
      <c r="WDY148" s="322"/>
      <c r="WDZ148" s="322"/>
      <c r="WEA148" s="322"/>
      <c r="WEB148" s="322"/>
      <c r="WEC148" s="322"/>
      <c r="WED148" s="322"/>
      <c r="WEE148" s="322"/>
      <c r="WEF148" s="322"/>
      <c r="WEG148" s="322"/>
      <c r="WEH148" s="322"/>
      <c r="WEI148" s="322"/>
      <c r="WEJ148" s="322"/>
      <c r="WEK148" s="322"/>
      <c r="WEL148" s="322"/>
      <c r="WEM148" s="322"/>
      <c r="WEN148" s="322"/>
      <c r="WEO148" s="322"/>
      <c r="WEP148" s="322"/>
      <c r="WEQ148" s="322"/>
      <c r="WER148" s="322"/>
      <c r="WES148" s="322"/>
      <c r="WET148" s="322"/>
      <c r="WEU148" s="322"/>
      <c r="WEV148" s="322"/>
      <c r="WEW148" s="322"/>
      <c r="WEX148" s="322"/>
      <c r="WEY148" s="322"/>
      <c r="WEZ148" s="322"/>
      <c r="WFA148" s="322"/>
      <c r="WFB148" s="322"/>
      <c r="WFC148" s="322"/>
      <c r="WFD148" s="322"/>
      <c r="WFE148" s="322"/>
      <c r="WFF148" s="322"/>
      <c r="WFG148" s="322"/>
      <c r="WFH148" s="322"/>
      <c r="WFI148" s="322"/>
      <c r="WFJ148" s="322"/>
      <c r="WFK148" s="322"/>
      <c r="WFL148" s="322"/>
      <c r="WFM148" s="322"/>
      <c r="WFN148" s="322"/>
      <c r="WFO148" s="322"/>
      <c r="WFP148" s="322"/>
      <c r="WFQ148" s="322"/>
      <c r="WFR148" s="322"/>
      <c r="WFS148" s="322"/>
      <c r="WFT148" s="322"/>
      <c r="WFU148" s="322"/>
      <c r="WFV148" s="322"/>
      <c r="WFW148" s="322"/>
      <c r="WFX148" s="322"/>
      <c r="WFY148" s="322"/>
      <c r="WFZ148" s="322"/>
      <c r="WGA148" s="322"/>
      <c r="WGB148" s="322"/>
      <c r="WGC148" s="322"/>
      <c r="WGD148" s="322"/>
      <c r="WGE148" s="322"/>
      <c r="WGF148" s="322"/>
      <c r="WGG148" s="322"/>
      <c r="WGH148" s="322"/>
      <c r="WGI148" s="322"/>
      <c r="WGJ148" s="322"/>
      <c r="WGK148" s="322"/>
      <c r="WGL148" s="322"/>
      <c r="WGM148" s="322"/>
      <c r="WGN148" s="322"/>
      <c r="WGO148" s="322"/>
      <c r="WGP148" s="322"/>
      <c r="WGQ148" s="322"/>
      <c r="WGR148" s="322"/>
      <c r="WGS148" s="322"/>
      <c r="WGT148" s="322"/>
      <c r="WGU148" s="322"/>
      <c r="WGV148" s="322"/>
      <c r="WGW148" s="322"/>
      <c r="WGX148" s="322"/>
      <c r="WGY148" s="322"/>
      <c r="WGZ148" s="322"/>
      <c r="WHA148" s="322"/>
      <c r="WHB148" s="322"/>
      <c r="WHC148" s="322"/>
      <c r="WHD148" s="322"/>
      <c r="WHE148" s="322"/>
      <c r="WHF148" s="322"/>
      <c r="WHG148" s="322"/>
      <c r="WHH148" s="322"/>
      <c r="WHI148" s="322"/>
      <c r="WHJ148" s="322"/>
      <c r="WHK148" s="322"/>
      <c r="WHL148" s="322"/>
      <c r="WHM148" s="322"/>
      <c r="WHN148" s="322"/>
      <c r="WHO148" s="322"/>
      <c r="WHP148" s="322"/>
      <c r="WHQ148" s="322"/>
      <c r="WHR148" s="322"/>
      <c r="WHS148" s="322"/>
      <c r="WHT148" s="322"/>
      <c r="WHU148" s="322"/>
      <c r="WHV148" s="322"/>
      <c r="WHW148" s="322"/>
      <c r="WHX148" s="322"/>
      <c r="WHY148" s="322"/>
      <c r="WHZ148" s="322"/>
      <c r="WIA148" s="322"/>
      <c r="WIB148" s="322"/>
      <c r="WIC148" s="322"/>
      <c r="WID148" s="322"/>
      <c r="WIE148" s="322"/>
      <c r="WIF148" s="322"/>
      <c r="WIG148" s="322"/>
      <c r="WIH148" s="322"/>
      <c r="WII148" s="322"/>
      <c r="WIJ148" s="322"/>
      <c r="WIK148" s="322"/>
      <c r="WIL148" s="322"/>
      <c r="WIM148" s="322"/>
      <c r="WIN148" s="322"/>
      <c r="WIO148" s="322"/>
      <c r="WIP148" s="322"/>
      <c r="WIQ148" s="322"/>
      <c r="WIR148" s="322"/>
      <c r="WIS148" s="322"/>
      <c r="WIT148" s="322"/>
      <c r="WIU148" s="322"/>
      <c r="WIV148" s="322"/>
      <c r="WIW148" s="322"/>
      <c r="WIX148" s="322"/>
      <c r="WIY148" s="322"/>
      <c r="WIZ148" s="322"/>
      <c r="WJA148" s="322"/>
      <c r="WJB148" s="322"/>
      <c r="WJC148" s="322"/>
      <c r="WJD148" s="322"/>
      <c r="WJE148" s="322"/>
      <c r="WJF148" s="322"/>
      <c r="WJG148" s="322"/>
      <c r="WJH148" s="322"/>
      <c r="WJI148" s="322"/>
      <c r="WJJ148" s="322"/>
      <c r="WJK148" s="322"/>
      <c r="WJL148" s="322"/>
      <c r="WJM148" s="322"/>
      <c r="WJN148" s="322"/>
      <c r="WJO148" s="322"/>
      <c r="WJP148" s="322"/>
      <c r="WJQ148" s="322"/>
      <c r="WJR148" s="322"/>
      <c r="WJS148" s="322"/>
      <c r="WJT148" s="322"/>
      <c r="WJU148" s="322"/>
      <c r="WJV148" s="322"/>
      <c r="WJW148" s="322"/>
      <c r="WJX148" s="322"/>
      <c r="WJY148" s="322"/>
      <c r="WJZ148" s="322"/>
      <c r="WKA148" s="322"/>
      <c r="WKB148" s="322"/>
      <c r="WKC148" s="322"/>
      <c r="WKD148" s="322"/>
      <c r="WKE148" s="322"/>
      <c r="WKF148" s="322"/>
      <c r="WKG148" s="322"/>
      <c r="WKH148" s="322"/>
      <c r="WKI148" s="322"/>
      <c r="WKJ148" s="322"/>
      <c r="WKK148" s="322"/>
      <c r="WKL148" s="322"/>
      <c r="WKM148" s="322"/>
      <c r="WKN148" s="322"/>
      <c r="WKO148" s="322"/>
      <c r="WKP148" s="322"/>
      <c r="WKQ148" s="322"/>
      <c r="WKR148" s="322"/>
      <c r="WKS148" s="322"/>
      <c r="WKT148" s="322"/>
      <c r="WKU148" s="322"/>
      <c r="WKV148" s="322"/>
      <c r="WKW148" s="322"/>
      <c r="WKX148" s="322"/>
      <c r="WKY148" s="322"/>
      <c r="WKZ148" s="322"/>
      <c r="WLA148" s="322"/>
      <c r="WLB148" s="322"/>
      <c r="WLC148" s="322"/>
      <c r="WLD148" s="322"/>
      <c r="WLE148" s="322"/>
      <c r="WLF148" s="322"/>
      <c r="WLG148" s="322"/>
      <c r="WLH148" s="322"/>
      <c r="WLI148" s="322"/>
      <c r="WLJ148" s="322"/>
      <c r="WLK148" s="322"/>
      <c r="WLL148" s="322"/>
      <c r="WLM148" s="322"/>
      <c r="WLN148" s="322"/>
      <c r="WLO148" s="322"/>
      <c r="WLP148" s="322"/>
      <c r="WLQ148" s="322"/>
      <c r="WLR148" s="322"/>
      <c r="WLS148" s="322"/>
      <c r="WLT148" s="322"/>
      <c r="WLU148" s="322"/>
      <c r="WLV148" s="322"/>
      <c r="WLW148" s="322"/>
      <c r="WLX148" s="322"/>
      <c r="WLY148" s="322"/>
      <c r="WLZ148" s="322"/>
      <c r="WMA148" s="322"/>
      <c r="WMB148" s="322"/>
      <c r="WMC148" s="322"/>
      <c r="WMD148" s="322"/>
      <c r="WME148" s="322"/>
      <c r="WMF148" s="322"/>
      <c r="WMG148" s="322"/>
      <c r="WMH148" s="322"/>
      <c r="WMI148" s="322"/>
      <c r="WMJ148" s="322"/>
      <c r="WMK148" s="322"/>
      <c r="WML148" s="322"/>
      <c r="WMM148" s="322"/>
      <c r="WMN148" s="322"/>
      <c r="WMO148" s="322"/>
      <c r="WMP148" s="322"/>
      <c r="WMQ148" s="322"/>
      <c r="WMR148" s="322"/>
      <c r="WMS148" s="322"/>
      <c r="WMT148" s="322"/>
      <c r="WMU148" s="322"/>
      <c r="WMV148" s="322"/>
      <c r="WMW148" s="322"/>
      <c r="WMX148" s="322"/>
      <c r="WMY148" s="322"/>
      <c r="WMZ148" s="322"/>
      <c r="WNA148" s="322"/>
      <c r="WNB148" s="322"/>
      <c r="WNC148" s="322"/>
      <c r="WND148" s="322"/>
      <c r="WNE148" s="322"/>
      <c r="WNF148" s="322"/>
      <c r="WNG148" s="322"/>
      <c r="WNH148" s="322"/>
      <c r="WNI148" s="322"/>
      <c r="WNJ148" s="322"/>
      <c r="WNK148" s="322"/>
      <c r="WNL148" s="322"/>
      <c r="WNM148" s="322"/>
      <c r="WNN148" s="322"/>
      <c r="WNO148" s="322"/>
      <c r="WNP148" s="322"/>
      <c r="WNQ148" s="322"/>
      <c r="WNR148" s="322"/>
      <c r="WNS148" s="322"/>
      <c r="WNT148" s="322"/>
      <c r="WNU148" s="322"/>
      <c r="WNV148" s="322"/>
      <c r="WNW148" s="322"/>
      <c r="WNX148" s="322"/>
      <c r="WNY148" s="322"/>
      <c r="WNZ148" s="322"/>
      <c r="WOA148" s="322"/>
      <c r="WOB148" s="322"/>
      <c r="WOC148" s="322"/>
      <c r="WOD148" s="322"/>
      <c r="WOE148" s="322"/>
      <c r="WOF148" s="322"/>
      <c r="WOG148" s="322"/>
      <c r="WOH148" s="322"/>
      <c r="WOI148" s="322"/>
      <c r="WOJ148" s="322"/>
      <c r="WOK148" s="322"/>
      <c r="WOL148" s="322"/>
      <c r="WOM148" s="322"/>
      <c r="WON148" s="322"/>
      <c r="WOO148" s="322"/>
      <c r="WOP148" s="322"/>
      <c r="WOQ148" s="322"/>
      <c r="WOR148" s="322"/>
      <c r="WOS148" s="322"/>
      <c r="WOT148" s="322"/>
      <c r="WOU148" s="322"/>
      <c r="WOV148" s="322"/>
      <c r="WOW148" s="322"/>
      <c r="WOX148" s="322"/>
      <c r="WOY148" s="322"/>
      <c r="WOZ148" s="322"/>
      <c r="WPA148" s="322"/>
      <c r="WPB148" s="322"/>
      <c r="WPC148" s="322"/>
      <c r="WPD148" s="322"/>
      <c r="WPE148" s="322"/>
      <c r="WPF148" s="322"/>
      <c r="WPG148" s="322"/>
      <c r="WPH148" s="322"/>
      <c r="WPI148" s="322"/>
      <c r="WPJ148" s="322"/>
      <c r="WPK148" s="322"/>
      <c r="WPL148" s="322"/>
      <c r="WPM148" s="322"/>
      <c r="WPN148" s="322"/>
      <c r="WPO148" s="322"/>
      <c r="WPP148" s="322"/>
      <c r="WPQ148" s="322"/>
      <c r="WPR148" s="322"/>
      <c r="WPS148" s="322"/>
      <c r="WPT148" s="322"/>
      <c r="WPU148" s="322"/>
      <c r="WPV148" s="322"/>
      <c r="WPW148" s="322"/>
      <c r="WPX148" s="322"/>
      <c r="WPY148" s="322"/>
      <c r="WPZ148" s="322"/>
      <c r="WQA148" s="322"/>
      <c r="WQB148" s="322"/>
      <c r="WQC148" s="322"/>
      <c r="WQD148" s="322"/>
      <c r="WQE148" s="322"/>
      <c r="WQF148" s="322"/>
      <c r="WQG148" s="322"/>
      <c r="WQH148" s="322"/>
      <c r="WQI148" s="322"/>
      <c r="WQJ148" s="322"/>
      <c r="WQK148" s="322"/>
      <c r="WQL148" s="322"/>
      <c r="WQM148" s="322"/>
      <c r="WQN148" s="322"/>
      <c r="WQO148" s="322"/>
      <c r="WQP148" s="322"/>
      <c r="WQQ148" s="322"/>
      <c r="WQR148" s="322"/>
      <c r="WQS148" s="322"/>
      <c r="WQT148" s="322"/>
      <c r="WQU148" s="322"/>
      <c r="WQV148" s="322"/>
      <c r="WQW148" s="322"/>
      <c r="WQX148" s="322"/>
      <c r="WQY148" s="322"/>
      <c r="WQZ148" s="322"/>
      <c r="WRA148" s="322"/>
      <c r="WRB148" s="322"/>
      <c r="WRC148" s="322"/>
      <c r="WRD148" s="322"/>
      <c r="WRE148" s="322"/>
      <c r="WRF148" s="322"/>
      <c r="WRG148" s="322"/>
      <c r="WRH148" s="322"/>
      <c r="WRI148" s="322"/>
      <c r="WRJ148" s="322"/>
      <c r="WRK148" s="322"/>
      <c r="WRL148" s="322"/>
      <c r="WRM148" s="322"/>
      <c r="WRN148" s="322"/>
      <c r="WRO148" s="322"/>
      <c r="WRP148" s="322"/>
      <c r="WRQ148" s="322"/>
      <c r="WRR148" s="322"/>
      <c r="WRS148" s="322"/>
      <c r="WRT148" s="322"/>
      <c r="WRU148" s="322"/>
      <c r="WRV148" s="322"/>
      <c r="WRW148" s="322"/>
      <c r="WRX148" s="322"/>
      <c r="WRY148" s="322"/>
      <c r="WRZ148" s="322"/>
      <c r="WSA148" s="322"/>
      <c r="WSB148" s="322"/>
      <c r="WSC148" s="322"/>
      <c r="WSD148" s="322"/>
      <c r="WSE148" s="322"/>
      <c r="WSF148" s="322"/>
      <c r="WSG148" s="322"/>
      <c r="WSH148" s="322"/>
      <c r="WSI148" s="322"/>
      <c r="WSJ148" s="322"/>
      <c r="WSK148" s="322"/>
      <c r="WSL148" s="322"/>
      <c r="WSM148" s="322"/>
      <c r="WSN148" s="322"/>
      <c r="WSO148" s="322"/>
      <c r="WSP148" s="322"/>
      <c r="WSQ148" s="322"/>
      <c r="WSR148" s="322"/>
      <c r="WSS148" s="322"/>
      <c r="WST148" s="322"/>
      <c r="WSU148" s="322"/>
      <c r="WSV148" s="322"/>
      <c r="WSW148" s="322"/>
      <c r="WSX148" s="322"/>
      <c r="WSY148" s="322"/>
      <c r="WSZ148" s="322"/>
      <c r="WTA148" s="322"/>
      <c r="WTB148" s="322"/>
      <c r="WTC148" s="322"/>
      <c r="WTD148" s="322"/>
      <c r="WTE148" s="322"/>
      <c r="WTF148" s="322"/>
      <c r="WTG148" s="322"/>
      <c r="WTH148" s="322"/>
      <c r="WTI148" s="322"/>
      <c r="WTJ148" s="322"/>
      <c r="WTK148" s="322"/>
      <c r="WTL148" s="322"/>
      <c r="WTM148" s="322"/>
      <c r="WTN148" s="322"/>
      <c r="WTO148" s="322"/>
      <c r="WTP148" s="322"/>
      <c r="WTQ148" s="322"/>
      <c r="WTR148" s="322"/>
      <c r="WTS148" s="322"/>
      <c r="WTT148" s="322"/>
      <c r="WTU148" s="322"/>
      <c r="WTV148" s="322"/>
      <c r="WTW148" s="322"/>
      <c r="WTX148" s="322"/>
      <c r="WTY148" s="322"/>
      <c r="WTZ148" s="322"/>
      <c r="WUA148" s="322"/>
      <c r="WUB148" s="322"/>
      <c r="WUC148" s="322"/>
      <c r="WUD148" s="322"/>
      <c r="WUE148" s="322"/>
      <c r="WUF148" s="322"/>
      <c r="WUG148" s="322"/>
      <c r="WUH148" s="322"/>
      <c r="WUI148" s="322"/>
      <c r="WUJ148" s="322"/>
      <c r="WUK148" s="322"/>
      <c r="WUL148" s="322"/>
      <c r="WUM148" s="322"/>
      <c r="WUN148" s="322"/>
      <c r="WUO148" s="322"/>
      <c r="WUP148" s="322"/>
      <c r="WUQ148" s="322"/>
      <c r="WUR148" s="322"/>
      <c r="WUS148" s="322"/>
      <c r="WUT148" s="322"/>
      <c r="WUU148" s="322"/>
      <c r="WUV148" s="322"/>
      <c r="WUW148" s="322"/>
      <c r="WUX148" s="322"/>
      <c r="WUY148" s="322"/>
      <c r="WUZ148" s="322"/>
      <c r="WVA148" s="322"/>
      <c r="WVB148" s="322"/>
      <c r="WVC148" s="322"/>
      <c r="WVD148" s="322"/>
      <c r="WVE148" s="322"/>
      <c r="WVF148" s="322"/>
      <c r="WVG148" s="322"/>
      <c r="WVH148" s="322"/>
      <c r="WVI148" s="322"/>
      <c r="WVJ148" s="322"/>
      <c r="WVK148" s="322"/>
      <c r="WVL148" s="322"/>
      <c r="WVM148" s="322"/>
      <c r="WVN148" s="322"/>
      <c r="WVO148" s="322"/>
      <c r="WVP148" s="322"/>
      <c r="WVQ148" s="322"/>
      <c r="WVR148" s="322"/>
      <c r="WVS148" s="322"/>
      <c r="WVT148" s="322"/>
      <c r="WVU148" s="322"/>
      <c r="WVV148" s="322"/>
      <c r="WVW148" s="322"/>
      <c r="WVX148" s="322"/>
      <c r="WVY148" s="322"/>
      <c r="WVZ148" s="322"/>
      <c r="WWA148" s="322"/>
      <c r="WWB148" s="322"/>
      <c r="WWC148" s="322"/>
      <c r="WWD148" s="322"/>
      <c r="WWE148" s="322"/>
      <c r="WWF148" s="322"/>
      <c r="WWG148" s="322"/>
      <c r="WWH148" s="322"/>
      <c r="WWI148" s="322"/>
      <c r="WWJ148" s="322"/>
      <c r="WWK148" s="322"/>
      <c r="WWL148" s="322"/>
      <c r="WWM148" s="322"/>
      <c r="WWN148" s="322"/>
      <c r="WWO148" s="322"/>
      <c r="WWP148" s="322"/>
      <c r="WWQ148" s="322"/>
      <c r="WWR148" s="322"/>
      <c r="WWS148" s="322"/>
      <c r="WWT148" s="322"/>
      <c r="WWU148" s="322"/>
      <c r="WWV148" s="322"/>
      <c r="WWW148" s="322"/>
      <c r="WWX148" s="322"/>
      <c r="WWY148" s="322"/>
      <c r="WWZ148" s="322"/>
      <c r="WXA148" s="322"/>
      <c r="WXB148" s="322"/>
      <c r="WXC148" s="322"/>
      <c r="WXD148" s="322"/>
      <c r="WXE148" s="322"/>
      <c r="WXF148" s="322"/>
      <c r="WXG148" s="322"/>
      <c r="WXH148" s="322"/>
      <c r="WXI148" s="322"/>
      <c r="WXJ148" s="322"/>
      <c r="WXK148" s="322"/>
      <c r="WXL148" s="322"/>
      <c r="WXM148" s="322"/>
      <c r="WXN148" s="322"/>
      <c r="WXO148" s="322"/>
      <c r="WXP148" s="322"/>
      <c r="WXQ148" s="322"/>
      <c r="WXR148" s="322"/>
      <c r="WXS148" s="322"/>
      <c r="WXT148" s="322"/>
      <c r="WXU148" s="322"/>
      <c r="WXV148" s="322"/>
      <c r="WXW148" s="322"/>
      <c r="WXX148" s="322"/>
      <c r="WXY148" s="322"/>
      <c r="WXZ148" s="322"/>
      <c r="WYA148" s="322"/>
      <c r="WYB148" s="322"/>
      <c r="WYC148" s="322"/>
      <c r="WYD148" s="322"/>
      <c r="WYE148" s="322"/>
      <c r="WYF148" s="322"/>
      <c r="WYG148" s="322"/>
      <c r="WYH148" s="322"/>
      <c r="WYI148" s="322"/>
      <c r="WYJ148" s="322"/>
      <c r="WYK148" s="322"/>
      <c r="WYL148" s="322"/>
      <c r="WYM148" s="322"/>
      <c r="WYN148" s="322"/>
      <c r="WYO148" s="322"/>
      <c r="WYP148" s="322"/>
      <c r="WYQ148" s="322"/>
      <c r="WYR148" s="322"/>
      <c r="WYS148" s="322"/>
      <c r="WYT148" s="322"/>
      <c r="WYU148" s="322"/>
      <c r="WYV148" s="322"/>
      <c r="WYW148" s="322"/>
      <c r="WYX148" s="322"/>
      <c r="WYY148" s="322"/>
      <c r="WYZ148" s="322"/>
      <c r="WZA148" s="322"/>
      <c r="WZB148" s="322"/>
      <c r="WZC148" s="322"/>
      <c r="WZD148" s="322"/>
      <c r="WZE148" s="322"/>
      <c r="WZF148" s="322"/>
      <c r="WZG148" s="322"/>
      <c r="WZH148" s="322"/>
      <c r="WZI148" s="322"/>
      <c r="WZJ148" s="322"/>
      <c r="WZK148" s="322"/>
      <c r="WZL148" s="322"/>
      <c r="WZM148" s="322"/>
      <c r="WZN148" s="322"/>
      <c r="WZO148" s="322"/>
      <c r="WZP148" s="322"/>
      <c r="WZQ148" s="322"/>
      <c r="WZR148" s="322"/>
      <c r="WZS148" s="322"/>
      <c r="WZT148" s="322"/>
      <c r="WZU148" s="322"/>
      <c r="WZV148" s="322"/>
      <c r="WZW148" s="322"/>
      <c r="WZX148" s="322"/>
      <c r="WZY148" s="322"/>
      <c r="WZZ148" s="322"/>
      <c r="XAA148" s="322"/>
      <c r="XAB148" s="322"/>
      <c r="XAC148" s="322"/>
      <c r="XAD148" s="322"/>
      <c r="XAE148" s="322"/>
      <c r="XAF148" s="322"/>
      <c r="XAG148" s="322"/>
      <c r="XAH148" s="322"/>
      <c r="XAI148" s="322"/>
      <c r="XAJ148" s="322"/>
      <c r="XAK148" s="322"/>
      <c r="XAL148" s="322"/>
      <c r="XAM148" s="322"/>
      <c r="XAN148" s="322"/>
      <c r="XAO148" s="322"/>
      <c r="XAP148" s="322"/>
      <c r="XAQ148" s="322"/>
      <c r="XAR148" s="322"/>
      <c r="XAS148" s="322"/>
      <c r="XAT148" s="322"/>
      <c r="XAU148" s="322"/>
      <c r="XAV148" s="322"/>
      <c r="XAW148" s="322"/>
      <c r="XAX148" s="322"/>
      <c r="XAY148" s="322"/>
      <c r="XAZ148" s="322"/>
      <c r="XBA148" s="322"/>
      <c r="XBB148" s="322"/>
      <c r="XBC148" s="322"/>
      <c r="XBD148" s="322"/>
      <c r="XBE148" s="322"/>
      <c r="XBF148" s="322"/>
      <c r="XBG148" s="322"/>
      <c r="XBH148" s="322"/>
      <c r="XBI148" s="322"/>
      <c r="XBJ148" s="322"/>
      <c r="XBK148" s="322"/>
      <c r="XBL148" s="322"/>
      <c r="XBM148" s="322"/>
      <c r="XBN148" s="322"/>
      <c r="XBO148" s="322"/>
      <c r="XBP148" s="322"/>
      <c r="XBQ148" s="322"/>
      <c r="XBR148" s="322"/>
      <c r="XBS148" s="322"/>
      <c r="XBT148" s="322"/>
      <c r="XBU148" s="322"/>
      <c r="XBV148" s="322"/>
      <c r="XBW148" s="322"/>
      <c r="XBX148" s="322"/>
      <c r="XBY148" s="322"/>
      <c r="XBZ148" s="322"/>
      <c r="XCA148" s="322"/>
      <c r="XCB148" s="322"/>
      <c r="XCC148" s="322"/>
      <c r="XCD148" s="322"/>
      <c r="XCE148" s="322"/>
      <c r="XCF148" s="322"/>
      <c r="XCG148" s="322"/>
      <c r="XCH148" s="322"/>
      <c r="XCI148" s="322"/>
      <c r="XCJ148" s="322"/>
      <c r="XCK148" s="322"/>
      <c r="XCL148" s="322"/>
      <c r="XCM148" s="322"/>
      <c r="XCN148" s="322"/>
      <c r="XCO148" s="322"/>
      <c r="XCP148" s="322"/>
      <c r="XCQ148" s="322"/>
      <c r="XCR148" s="322"/>
      <c r="XCS148" s="322"/>
      <c r="XCT148" s="322"/>
      <c r="XCU148" s="322"/>
      <c r="XCV148" s="322"/>
      <c r="XCW148" s="322"/>
      <c r="XCX148" s="322"/>
      <c r="XCY148" s="322"/>
      <c r="XCZ148" s="322"/>
      <c r="XDA148" s="322"/>
      <c r="XDB148" s="322"/>
      <c r="XDC148" s="322"/>
      <c r="XDD148" s="322"/>
      <c r="XDE148" s="322"/>
      <c r="XDF148" s="322"/>
      <c r="XDG148" s="322"/>
      <c r="XDH148" s="322"/>
      <c r="XDI148" s="322"/>
      <c r="XDJ148" s="322"/>
      <c r="XDK148" s="322"/>
      <c r="XDL148" s="322"/>
      <c r="XDM148" s="322"/>
      <c r="XDN148" s="322"/>
      <c r="XDO148" s="322"/>
      <c r="XDP148" s="322"/>
      <c r="XDQ148" s="322"/>
      <c r="XDR148" s="322"/>
      <c r="XDS148" s="322"/>
      <c r="XDT148" s="322"/>
      <c r="XDU148" s="322"/>
      <c r="XDV148" s="322"/>
      <c r="XDW148" s="322"/>
      <c r="XDX148" s="322"/>
      <c r="XDY148" s="322"/>
      <c r="XDZ148" s="322"/>
      <c r="XEA148" s="322"/>
      <c r="XEB148" s="322"/>
      <c r="XEC148" s="322"/>
      <c r="XED148" s="322"/>
      <c r="XEE148" s="322"/>
      <c r="XEF148" s="322"/>
      <c r="XEG148" s="322"/>
      <c r="XEH148" s="322"/>
      <c r="XEI148" s="322"/>
      <c r="XEJ148" s="322"/>
      <c r="XEK148" s="322"/>
      <c r="XEL148" s="322"/>
      <c r="XEM148" s="322"/>
      <c r="XEN148" s="322"/>
      <c r="XEO148" s="322"/>
      <c r="XEP148" s="322"/>
      <c r="XEQ148" s="322"/>
      <c r="XER148" s="322"/>
      <c r="XES148" s="322"/>
      <c r="XET148" s="322"/>
      <c r="XEU148" s="322"/>
      <c r="XEV148" s="322"/>
      <c r="XEW148" s="322"/>
      <c r="XEX148" s="322"/>
      <c r="XEY148" s="322"/>
      <c r="XEZ148" s="322"/>
      <c r="XFA148" s="322"/>
      <c r="XFB148" s="322"/>
      <c r="XFC148" s="322"/>
      <c r="XFD148" s="322"/>
    </row>
    <row r="149" spans="1:16384">
      <c r="A149" s="322" t="s">
        <v>441</v>
      </c>
      <c r="G149" s="306"/>
      <c r="H149" s="305"/>
    </row>
    <row r="150" spans="1:16384">
      <c r="A150" s="299" t="s">
        <v>392</v>
      </c>
      <c r="H150" s="305"/>
    </row>
    <row r="151" spans="1:16384">
      <c r="B151" s="301" t="s">
        <v>380</v>
      </c>
      <c r="C151" s="301" t="s">
        <v>186</v>
      </c>
      <c r="D151" s="301">
        <v>196</v>
      </c>
      <c r="E151" s="301"/>
      <c r="F151" s="301" t="s">
        <v>151</v>
      </c>
      <c r="G151" s="300">
        <v>38</v>
      </c>
      <c r="H151" s="305"/>
    </row>
    <row r="152" spans="1:16384">
      <c r="A152" s="334" t="s">
        <v>442</v>
      </c>
      <c r="G152" s="311">
        <f>SUM(G151)</f>
        <v>38</v>
      </c>
      <c r="H152" s="305"/>
    </row>
    <row r="153" spans="1:16384">
      <c r="H153" s="305"/>
    </row>
    <row r="155" spans="1:16384">
      <c r="A155" s="316"/>
      <c r="B155" s="316"/>
      <c r="C155" s="316"/>
      <c r="D155" s="316"/>
      <c r="E155" s="316"/>
      <c r="F155" s="316"/>
      <c r="G155" s="316"/>
      <c r="H155" s="316"/>
    </row>
    <row r="156" spans="1:16384">
      <c r="A156" s="555" t="s">
        <v>364</v>
      </c>
      <c r="B156" s="555"/>
      <c r="C156" s="555"/>
      <c r="D156" s="555"/>
      <c r="E156" s="555"/>
      <c r="F156" s="555"/>
      <c r="G156" s="555"/>
      <c r="H156" s="555"/>
    </row>
    <row r="157" spans="1:16384">
      <c r="A157" s="316"/>
      <c r="B157" s="316"/>
      <c r="C157" s="316"/>
      <c r="D157" s="316"/>
      <c r="E157" s="316"/>
      <c r="F157" s="316"/>
      <c r="G157" s="316"/>
      <c r="H157" s="316"/>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128</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pageSetUpPr fitToPage="1"/>
  </sheetPr>
  <dimension ref="A1:J95"/>
  <sheetViews>
    <sheetView zoomScale="90" zoomScaleNormal="90" zoomScaleSheetLayoutView="70" workbookViewId="0">
      <pane xSplit="1" ySplit="5" topLeftCell="B33"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497">
        <v>43709</v>
      </c>
      <c r="H1" s="498"/>
      <c r="I1" s="106" t="s">
        <v>49</v>
      </c>
    </row>
    <row r="2" spans="1:9" ht="21">
      <c r="A2" s="37" t="s">
        <v>152</v>
      </c>
      <c r="B2" s="35"/>
      <c r="C2" s="35"/>
      <c r="D2" s="36"/>
      <c r="E2" s="36" t="s">
        <v>48</v>
      </c>
      <c r="F2" s="65"/>
      <c r="G2" s="499"/>
      <c r="H2" s="49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Allocations'!F113</f>
        <v>1261.54</v>
      </c>
      <c r="C6" s="140"/>
      <c r="D6" s="141"/>
      <c r="E6" s="142">
        <f>SUM(B6:D6)</f>
        <v>1261.54</v>
      </c>
      <c r="F6" s="143">
        <f>E6+'Aug-2019'!F6</f>
        <v>3469.23</v>
      </c>
      <c r="G6" s="143">
        <v>16400</v>
      </c>
      <c r="H6" s="144">
        <f>G6-F6</f>
        <v>12930.77</v>
      </c>
      <c r="I6" s="108">
        <f>F6/G6</f>
        <v>0.21153841463414635</v>
      </c>
    </row>
    <row r="7" spans="1:9" s="103" customFormat="1" ht="25.5" customHeight="1">
      <c r="A7" s="138" t="s">
        <v>146</v>
      </c>
      <c r="B7" s="139">
        <f>+'Salaries &amp; Fringe Allocations'!F114</f>
        <v>2071.4299999999998</v>
      </c>
      <c r="C7" s="140"/>
      <c r="D7" s="141">
        <f>+'Salaries &amp; Fringe Allocations'!F115</f>
        <v>2928.57</v>
      </c>
      <c r="E7" s="142">
        <f t="shared" ref="E7:E12" si="0">SUM(B7:D7)</f>
        <v>5000</v>
      </c>
      <c r="F7" s="143">
        <f>E7+'Aug-2019'!F7</f>
        <v>13750</v>
      </c>
      <c r="G7" s="143">
        <v>66000</v>
      </c>
      <c r="H7" s="144">
        <f>G7-F7</f>
        <v>52250</v>
      </c>
      <c r="I7" s="108">
        <f t="shared" ref="I7:I20" si="1">F7/G7</f>
        <v>0.20833333333333334</v>
      </c>
    </row>
    <row r="8" spans="1:9" s="103" customFormat="1" ht="25.5" customHeight="1">
      <c r="A8" s="138" t="s">
        <v>155</v>
      </c>
      <c r="B8" s="139"/>
      <c r="C8" s="140"/>
      <c r="D8" s="141">
        <f>+'Salaries &amp; Fringe Allocations'!F116</f>
        <v>3076.94</v>
      </c>
      <c r="E8" s="142">
        <f t="shared" si="0"/>
        <v>3076.94</v>
      </c>
      <c r="F8" s="143">
        <f>E8+'Aug-2019'!F8</f>
        <v>6923.1200000000008</v>
      </c>
      <c r="G8" s="143">
        <v>40000</v>
      </c>
      <c r="H8" s="144">
        <f t="shared" ref="H8:H12" si="2">G8-F8</f>
        <v>33076.879999999997</v>
      </c>
      <c r="I8" s="108">
        <f t="shared" si="1"/>
        <v>0.17307800000000001</v>
      </c>
    </row>
    <row r="9" spans="1:9" s="103" customFormat="1" ht="25.5" customHeight="1">
      <c r="A9" s="138" t="s">
        <v>147</v>
      </c>
      <c r="B9" s="139"/>
      <c r="C9" s="140"/>
      <c r="D9" s="141">
        <f>+'Salaries &amp; Fringe Allocations'!F117</f>
        <v>1730.78</v>
      </c>
      <c r="E9" s="142">
        <f t="shared" si="0"/>
        <v>1730.78</v>
      </c>
      <c r="F9" s="143">
        <f>E9+'Aug-2019'!F9</f>
        <v>5769.36</v>
      </c>
      <c r="G9" s="143">
        <v>30000</v>
      </c>
      <c r="H9" s="144">
        <f t="shared" si="2"/>
        <v>24230.639999999999</v>
      </c>
      <c r="I9" s="108">
        <f t="shared" si="1"/>
        <v>0.19231199999999998</v>
      </c>
    </row>
    <row r="10" spans="1:9" s="103" customFormat="1" ht="25.5" customHeight="1">
      <c r="A10" s="138" t="s">
        <v>156</v>
      </c>
      <c r="B10" s="139"/>
      <c r="C10" s="140"/>
      <c r="D10" s="141">
        <f>+'Salaries &amp; Fringe Allocations'!F118</f>
        <v>1268.96</v>
      </c>
      <c r="E10" s="142">
        <f t="shared" si="0"/>
        <v>1268.96</v>
      </c>
      <c r="F10" s="143">
        <f>E10+'Aug-2019'!F10</f>
        <v>4210.6400000000003</v>
      </c>
      <c r="G10" s="143">
        <v>21500</v>
      </c>
      <c r="H10" s="144">
        <f t="shared" si="2"/>
        <v>17289.36</v>
      </c>
      <c r="I10" s="108">
        <f t="shared" si="1"/>
        <v>0.19584372093023258</v>
      </c>
    </row>
    <row r="11" spans="1:9" s="103" customFormat="1" ht="25.5" customHeight="1">
      <c r="A11" s="138" t="s">
        <v>148</v>
      </c>
      <c r="B11" s="139">
        <f>+'Salaries &amp; Fringe Allocations'!F119</f>
        <v>703.3</v>
      </c>
      <c r="C11" s="140"/>
      <c r="D11" s="141">
        <f>+'Salaries &amp; Fringe Allocations'!F120</f>
        <v>1050.57</v>
      </c>
      <c r="E11" s="142">
        <f t="shared" si="0"/>
        <v>1753.87</v>
      </c>
      <c r="F11" s="143">
        <f>E11+'Aug-2019'!F11</f>
        <v>6984.67</v>
      </c>
      <c r="G11" s="143">
        <v>36000</v>
      </c>
      <c r="H11" s="144">
        <f t="shared" si="2"/>
        <v>29015.33</v>
      </c>
      <c r="I11" s="108">
        <f t="shared" si="1"/>
        <v>0.1940186111111111</v>
      </c>
    </row>
    <row r="12" spans="1:9" s="103" customFormat="1" ht="25.5" customHeight="1">
      <c r="A12" s="138" t="s">
        <v>363</v>
      </c>
      <c r="B12" s="139">
        <f>+'Salaries &amp; Fringe Allocations'!F121</f>
        <v>846.15</v>
      </c>
      <c r="C12" s="140"/>
      <c r="D12" s="141"/>
      <c r="E12" s="142">
        <f t="shared" si="0"/>
        <v>846.15</v>
      </c>
      <c r="F12" s="143">
        <f>E12+'Aug-2019'!F12</f>
        <v>1692.3</v>
      </c>
      <c r="G12" s="143">
        <v>4000</v>
      </c>
      <c r="H12" s="144">
        <f t="shared" si="2"/>
        <v>2307.6999999999998</v>
      </c>
      <c r="I12" s="108">
        <f t="shared" si="1"/>
        <v>0.42307499999999998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4882.4199999999992</v>
      </c>
      <c r="C16" s="147">
        <f>SUM(C6:C15)</f>
        <v>0</v>
      </c>
      <c r="D16" s="147">
        <f t="shared" ref="D16" si="3">SUM(D6:D15)</f>
        <v>10055.82</v>
      </c>
      <c r="E16" s="147">
        <f>SUM(E6:E15)</f>
        <v>14938.24</v>
      </c>
      <c r="F16" s="148">
        <f>SUM(F6:F15)</f>
        <v>42799.32</v>
      </c>
      <c r="G16" s="148">
        <f>SUM(G6:G15)</f>
        <v>213900</v>
      </c>
      <c r="H16" s="148">
        <f>SUM(H6:H15)</f>
        <v>171100.68</v>
      </c>
      <c r="I16" s="108">
        <f t="shared" si="1"/>
        <v>0.20009032258064516</v>
      </c>
    </row>
    <row r="17" spans="1:10" s="103" customFormat="1" ht="15.5">
      <c r="A17" s="150"/>
      <c r="B17" s="151"/>
      <c r="C17" s="152"/>
      <c r="D17" s="152"/>
      <c r="E17" s="153"/>
      <c r="F17" s="70"/>
      <c r="G17" s="70"/>
      <c r="H17" s="70"/>
      <c r="I17" s="109"/>
    </row>
    <row r="18" spans="1:10" s="103" customFormat="1" ht="15.5">
      <c r="A18" s="117" t="s">
        <v>34</v>
      </c>
      <c r="B18" s="154">
        <f>+'Salaries &amp; Fringe Allocations'!Q113+'Salaries &amp; Fringe Allocations'!Q114+'Salaries &amp; Fringe Allocations'!Q119+'Salaries &amp; Fringe Allocations'!Q121</f>
        <v>1816.6300923099757</v>
      </c>
      <c r="C18" s="155"/>
      <c r="D18" s="155">
        <f>+'Salaries &amp; Fringe Allocations'!Q115+'Salaries &amp; Fringe Allocations'!Q116+'Salaries &amp; Fringe Allocations'!Q117+'Salaries &amp; Fringe Allocations'!Q118+'Salaries &amp; Fringe Allocations'!Q120</f>
        <v>3474.9889076900245</v>
      </c>
      <c r="E18" s="156">
        <f>SUM(B18:D18)</f>
        <v>5291.6190000000006</v>
      </c>
      <c r="F18" s="143">
        <f>E18+'Aug-2019'!F18</f>
        <v>15935.490378497067</v>
      </c>
      <c r="G18" s="71">
        <v>68136</v>
      </c>
      <c r="H18" s="72">
        <f>G18-F18</f>
        <v>52200.509621502933</v>
      </c>
      <c r="I18" s="108">
        <f t="shared" si="1"/>
        <v>0.23387769135988415</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6699.0500923099753</v>
      </c>
      <c r="C20" s="158">
        <f t="shared" si="5"/>
        <v>0</v>
      </c>
      <c r="D20" s="158">
        <f t="shared" si="5"/>
        <v>13530.808907690025</v>
      </c>
      <c r="E20" s="159">
        <f t="shared" si="5"/>
        <v>20229.859</v>
      </c>
      <c r="F20" s="198">
        <f t="shared" si="5"/>
        <v>58734.810378497066</v>
      </c>
      <c r="G20" s="73">
        <f>G16+G18</f>
        <v>282036</v>
      </c>
      <c r="H20" s="73">
        <f>H16+H18</f>
        <v>223301.18962150294</v>
      </c>
      <c r="I20" s="110">
        <f t="shared" si="1"/>
        <v>0.20825288395274741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+'Sept-2019 GL'!G81</f>
        <v>312.43</v>
      </c>
      <c r="C23" s="140"/>
      <c r="D23" s="141"/>
      <c r="E23" s="142">
        <f>SUM(B23:D23)</f>
        <v>312.43</v>
      </c>
      <c r="F23" s="143">
        <f>E23+'Aug-2019'!F23</f>
        <v>867.57999999999993</v>
      </c>
      <c r="G23" s="143">
        <v>4000</v>
      </c>
      <c r="H23" s="144">
        <f>G23-F23</f>
        <v>3132.42</v>
      </c>
      <c r="I23" s="108">
        <f t="shared" ref="I23:I37" si="6">F23/G23</f>
        <v>0.21689499999999998</v>
      </c>
      <c r="J23" s="102"/>
    </row>
    <row r="24" spans="1:10" s="103" customFormat="1" ht="24" customHeight="1">
      <c r="A24" s="161" t="s">
        <v>0</v>
      </c>
      <c r="B24" s="139"/>
      <c r="C24" s="140"/>
      <c r="D24" s="141"/>
      <c r="E24" s="142">
        <f t="shared" ref="E24:E35" si="7">SUM(B24:D24)</f>
        <v>0</v>
      </c>
      <c r="F24" s="143">
        <f>E24+'Aug-2019'!F24</f>
        <v>471.49</v>
      </c>
      <c r="G24" s="143">
        <v>7000</v>
      </c>
      <c r="H24" s="144">
        <f t="shared" ref="H24:H31" si="8">G24-F24</f>
        <v>6528.51</v>
      </c>
      <c r="I24" s="108">
        <f t="shared" si="6"/>
        <v>6.7355714285714283E-2</v>
      </c>
      <c r="J24" s="102"/>
    </row>
    <row r="25" spans="1:10" s="103" customFormat="1" ht="24" customHeight="1">
      <c r="A25" s="161" t="s">
        <v>39</v>
      </c>
      <c r="B25" s="139"/>
      <c r="C25" s="140"/>
      <c r="D25" s="141"/>
      <c r="E25" s="142">
        <f t="shared" si="7"/>
        <v>0</v>
      </c>
      <c r="F25" s="143">
        <f>E25+'Aug-2019'!F25</f>
        <v>0</v>
      </c>
      <c r="G25" s="143">
        <v>2000</v>
      </c>
      <c r="H25" s="144">
        <f t="shared" si="8"/>
        <v>2000</v>
      </c>
      <c r="I25" s="108">
        <f t="shared" si="6"/>
        <v>0</v>
      </c>
      <c r="J25" s="102"/>
    </row>
    <row r="26" spans="1:10" s="103" customFormat="1" ht="24" customHeight="1">
      <c r="A26" s="161" t="s">
        <v>40</v>
      </c>
      <c r="B26" s="139">
        <f>+'Sept-2019 GL'!G86</f>
        <v>606</v>
      </c>
      <c r="C26" s="140"/>
      <c r="D26" s="141"/>
      <c r="E26" s="142">
        <f t="shared" si="7"/>
        <v>606</v>
      </c>
      <c r="F26" s="143">
        <f>E26+'Aug-2019'!F26</f>
        <v>1463.69</v>
      </c>
      <c r="G26" s="143">
        <v>13200</v>
      </c>
      <c r="H26" s="144">
        <f t="shared" si="8"/>
        <v>11736.31</v>
      </c>
      <c r="I26" s="108">
        <f t="shared" si="6"/>
        <v>0.11088560606060606</v>
      </c>
      <c r="J26" s="102"/>
    </row>
    <row r="27" spans="1:10" s="103" customFormat="1" ht="24" customHeight="1">
      <c r="A27" s="161" t="s">
        <v>41</v>
      </c>
      <c r="B27" s="139">
        <f>+'Sept-2019 GL'!G100</f>
        <v>230</v>
      </c>
      <c r="C27" s="140"/>
      <c r="D27" s="141">
        <f>+'Sept-2019 GL'!G91</f>
        <v>648</v>
      </c>
      <c r="E27" s="142">
        <f t="shared" si="7"/>
        <v>878</v>
      </c>
      <c r="F27" s="143">
        <f>E27+'Aug-2019'!F27</f>
        <v>2779.27</v>
      </c>
      <c r="G27" s="143">
        <v>12000</v>
      </c>
      <c r="H27" s="144">
        <f t="shared" si="8"/>
        <v>9220.73</v>
      </c>
      <c r="I27" s="108">
        <f t="shared" si="6"/>
        <v>0.23160583333333334</v>
      </c>
      <c r="J27" s="102"/>
    </row>
    <row r="28" spans="1:10" s="103" customFormat="1" ht="24" customHeight="1">
      <c r="A28" s="161" t="s">
        <v>42</v>
      </c>
      <c r="B28" s="139"/>
      <c r="C28" s="9"/>
      <c r="D28" s="9"/>
      <c r="E28" s="142">
        <f>SUM(B28:D28)</f>
        <v>0</v>
      </c>
      <c r="F28" s="143">
        <f>E28+'Aug-2019'!F28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E29+'Aug-2019'!F29</f>
        <v>0</v>
      </c>
      <c r="G29" s="143">
        <v>570</v>
      </c>
      <c r="H29" s="144">
        <f t="shared" si="8"/>
        <v>570</v>
      </c>
      <c r="I29" s="108">
        <f t="shared" si="6"/>
        <v>0</v>
      </c>
      <c r="J29" s="102"/>
    </row>
    <row r="30" spans="1:10" s="103" customFormat="1" ht="24" customHeight="1">
      <c r="A30" s="162" t="s">
        <v>43</v>
      </c>
      <c r="B30" s="139">
        <f>+'Sept-2019 GL'!G107</f>
        <v>287</v>
      </c>
      <c r="C30" s="140"/>
      <c r="D30" s="141"/>
      <c r="E30" s="142">
        <f t="shared" si="7"/>
        <v>287</v>
      </c>
      <c r="F30" s="143">
        <f>E30+'Aug-2019'!F30</f>
        <v>1009.95</v>
      </c>
      <c r="G30" s="143">
        <v>6475</v>
      </c>
      <c r="H30" s="144">
        <f t="shared" si="8"/>
        <v>5465.05</v>
      </c>
      <c r="I30" s="108">
        <f t="shared" si="6"/>
        <v>0.15597683397683398</v>
      </c>
      <c r="J30" s="102"/>
    </row>
    <row r="31" spans="1:10" s="103" customFormat="1" ht="24" customHeight="1">
      <c r="A31" s="162" t="s">
        <v>44</v>
      </c>
      <c r="B31" s="139">
        <f>+'Sept-2019 GL'!G30</f>
        <v>877.52</v>
      </c>
      <c r="C31" s="140"/>
      <c r="D31" s="141"/>
      <c r="E31" s="142">
        <f t="shared" si="7"/>
        <v>877.52</v>
      </c>
      <c r="F31" s="143">
        <f>E31+'Aug-2019'!F31</f>
        <v>2751.4700000000003</v>
      </c>
      <c r="G31" s="143">
        <v>13000</v>
      </c>
      <c r="H31" s="144">
        <f t="shared" si="8"/>
        <v>10248.529999999999</v>
      </c>
      <c r="I31" s="108">
        <f t="shared" si="6"/>
        <v>0.21165153846153847</v>
      </c>
      <c r="J31" s="102"/>
    </row>
    <row r="32" spans="1:10" s="103" customFormat="1" ht="24" customHeight="1">
      <c r="A32" s="162" t="s">
        <v>81</v>
      </c>
      <c r="B32" s="139"/>
      <c r="C32" s="140"/>
      <c r="D32" s="141"/>
      <c r="E32" s="142">
        <f t="shared" si="7"/>
        <v>0</v>
      </c>
      <c r="F32" s="143">
        <f>E32+'Aug-2019'!F32</f>
        <v>0</v>
      </c>
      <c r="G32" s="143">
        <v>1500</v>
      </c>
      <c r="H32" s="144">
        <f>G32-F32</f>
        <v>1500</v>
      </c>
      <c r="I32" s="108">
        <f t="shared" si="6"/>
        <v>0</v>
      </c>
      <c r="J32" s="102"/>
    </row>
    <row r="33" spans="1:10" s="103" customFormat="1" ht="24" customHeight="1">
      <c r="A33" s="162" t="s">
        <v>45</v>
      </c>
      <c r="B33" s="139">
        <f>+'Sept-2019 GL'!G117</f>
        <v>411</v>
      </c>
      <c r="C33" s="140"/>
      <c r="D33" s="141"/>
      <c r="E33" s="142">
        <f t="shared" si="7"/>
        <v>411</v>
      </c>
      <c r="F33" s="143">
        <f>E33+'Aug-2019'!F33</f>
        <v>1254.8200000000002</v>
      </c>
      <c r="G33" s="143">
        <v>3000.7</v>
      </c>
      <c r="H33" s="144">
        <f>G33-F33</f>
        <v>1745.8799999999997</v>
      </c>
      <c r="I33" s="108">
        <f t="shared" si="6"/>
        <v>0.41817575898956916</v>
      </c>
      <c r="J33" s="102"/>
    </row>
    <row r="34" spans="1:10" s="103" customFormat="1" ht="24" customHeight="1">
      <c r="A34" s="162" t="s">
        <v>77</v>
      </c>
      <c r="B34" s="139">
        <f>+'Sept-2019 GL'!G129</f>
        <v>226.16</v>
      </c>
      <c r="C34" s="140"/>
      <c r="D34" s="141"/>
      <c r="E34" s="142">
        <f t="shared" si="7"/>
        <v>226.16</v>
      </c>
      <c r="F34" s="143">
        <f>E34+'Aug-2019'!F34</f>
        <v>681.01</v>
      </c>
      <c r="G34" s="143">
        <v>3000</v>
      </c>
      <c r="H34" s="144">
        <f t="shared" si="4"/>
        <v>2318.9899999999998</v>
      </c>
      <c r="I34" s="108">
        <f t="shared" si="6"/>
        <v>0.22700333333333333</v>
      </c>
      <c r="J34" s="102"/>
    </row>
    <row r="35" spans="1:10" s="103" customFormat="1" ht="24" customHeight="1">
      <c r="A35" s="162" t="s">
        <v>150</v>
      </c>
      <c r="B35" s="139">
        <f>+'Sept-2019 GL'!G135</f>
        <v>491</v>
      </c>
      <c r="C35" s="140"/>
      <c r="D35" s="141"/>
      <c r="E35" s="142">
        <f t="shared" si="7"/>
        <v>491</v>
      </c>
      <c r="F35" s="143">
        <f>E35+'Aug-2019'!F35</f>
        <v>1314.72</v>
      </c>
      <c r="G35" s="143">
        <v>4000</v>
      </c>
      <c r="H35" s="144">
        <f t="shared" si="4"/>
        <v>2685.2799999999997</v>
      </c>
      <c r="I35" s="108">
        <f t="shared" si="6"/>
        <v>0.32868000000000003</v>
      </c>
      <c r="J35" s="102"/>
    </row>
    <row r="36" spans="1:10" s="103" customFormat="1" ht="24" customHeight="1">
      <c r="A36" s="162" t="s">
        <v>151</v>
      </c>
      <c r="B36" s="151"/>
      <c r="C36" s="152"/>
      <c r="D36" s="163"/>
      <c r="E36" s="142">
        <f t="shared" ref="E36" si="9">SUM(B36:D36)</f>
        <v>0</v>
      </c>
      <c r="F36" s="143">
        <f>E36+'Aug-2019'!F36</f>
        <v>38</v>
      </c>
      <c r="G36" s="164">
        <v>1000</v>
      </c>
      <c r="H36" s="144">
        <f t="shared" ref="H36" si="10">G36-F36</f>
        <v>962</v>
      </c>
      <c r="I36" s="108">
        <f t="shared" ref="I36" si="11">F36/G36</f>
        <v>3.7999999999999999E-2</v>
      </c>
      <c r="J36" s="102"/>
    </row>
    <row r="37" spans="1:10" s="168" customFormat="1" ht="24.75" customHeight="1" thickBot="1">
      <c r="A37" s="117" t="s">
        <v>21</v>
      </c>
      <c r="B37" s="165">
        <f>SUM(B23:B36)</f>
        <v>3441.1099999999997</v>
      </c>
      <c r="C37" s="166">
        <f t="shared" ref="C37:E37" si="12">SUM(C23:C36)</f>
        <v>0</v>
      </c>
      <c r="D37" s="166">
        <f t="shared" si="12"/>
        <v>648</v>
      </c>
      <c r="E37" s="166">
        <f t="shared" si="12"/>
        <v>4089.11</v>
      </c>
      <c r="F37" s="167">
        <f>SUM(F23:F36)</f>
        <v>13762.29</v>
      </c>
      <c r="G37" s="167">
        <f>SUM(G23:G36)</f>
        <v>76745.7</v>
      </c>
      <c r="H37" s="167">
        <f>SUM(H23:H36)</f>
        <v>62983.409999999996</v>
      </c>
      <c r="I37" s="110">
        <f t="shared" si="6"/>
        <v>0.17932327153182526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+'Sept-2019 GL'!G9</f>
        <v>90254</v>
      </c>
      <c r="D41" s="170"/>
      <c r="E41" s="171">
        <f>SUM(B41:D41)</f>
        <v>90254</v>
      </c>
      <c r="F41" s="143">
        <f>E41+'Aug-2019'!F41</f>
        <v>243751.47999999998</v>
      </c>
      <c r="G41" s="144">
        <v>1452829.24</v>
      </c>
      <c r="H41" s="144">
        <f>G41-F41-F42</f>
        <v>1207081.24</v>
      </c>
      <c r="I41" s="108">
        <f t="shared" ref="I41:I56" si="13">F41/G41</f>
        <v>0.16777710228354159</v>
      </c>
    </row>
    <row r="42" spans="1:10" s="168" customFormat="1" ht="21.75" customHeight="1">
      <c r="A42" s="138" t="s">
        <v>83</v>
      </c>
      <c r="B42" s="139"/>
      <c r="C42" s="170">
        <f>+'Sept-2019 GL'!G18</f>
        <v>1486.56</v>
      </c>
      <c r="D42" s="170"/>
      <c r="E42" s="171">
        <f>SUM(B42:D42)</f>
        <v>1486.56</v>
      </c>
      <c r="F42" s="143">
        <f>E42+'Aug-2019'!F42</f>
        <v>1996.52</v>
      </c>
      <c r="G42" s="144"/>
      <c r="H42" s="144"/>
      <c r="I42" s="108">
        <v>0</v>
      </c>
    </row>
    <row r="43" spans="1:10" s="168" customFormat="1" ht="21.75" customHeight="1">
      <c r="A43" s="138" t="s">
        <v>80</v>
      </c>
      <c r="B43" s="139"/>
      <c r="C43" s="170"/>
      <c r="D43" s="170"/>
      <c r="E43" s="171">
        <f t="shared" ref="E43:E47" si="14">SUM(B43:D43)</f>
        <v>0</v>
      </c>
      <c r="F43" s="143">
        <f>E43+'Aug-2019'!F43</f>
        <v>0</v>
      </c>
      <c r="G43" s="144">
        <v>12820</v>
      </c>
      <c r="H43" s="144">
        <f t="shared" ref="H43:H47" si="15">G43-F43</f>
        <v>12820</v>
      </c>
      <c r="I43" s="108">
        <f t="shared" si="13"/>
        <v>0</v>
      </c>
    </row>
    <row r="44" spans="1:10" s="168" customFormat="1" ht="21.75" customHeight="1">
      <c r="A44" s="138" t="s">
        <v>78</v>
      </c>
      <c r="B44" s="139"/>
      <c r="C44" s="170">
        <f>+'Sept-2019 GL'!G23</f>
        <v>6904.52</v>
      </c>
      <c r="D44" s="170"/>
      <c r="E44" s="171">
        <f t="shared" si="14"/>
        <v>6904.52</v>
      </c>
      <c r="F44" s="143">
        <f>E44+'Aug-2019'!F44</f>
        <v>18716.27</v>
      </c>
      <c r="G44" s="144">
        <v>111141.44</v>
      </c>
      <c r="H44" s="144">
        <f t="shared" si="15"/>
        <v>92425.17</v>
      </c>
      <c r="I44" s="108">
        <f t="shared" si="13"/>
        <v>0.16840046340950773</v>
      </c>
    </row>
    <row r="45" spans="1:10" s="168" customFormat="1" ht="21.75" customHeight="1">
      <c r="A45" s="138" t="s">
        <v>29</v>
      </c>
      <c r="B45" s="139"/>
      <c r="C45" s="170">
        <f>+'Sept-2019 GL'!G26</f>
        <v>2868</v>
      </c>
      <c r="D45" s="170"/>
      <c r="E45" s="171">
        <f t="shared" si="14"/>
        <v>2868</v>
      </c>
      <c r="F45" s="143">
        <f>E45+'Aug-2019'!F45</f>
        <v>7658.2</v>
      </c>
      <c r="G45" s="144">
        <v>22373.57</v>
      </c>
      <c r="H45" s="144">
        <f t="shared" si="15"/>
        <v>14715.369999999999</v>
      </c>
      <c r="I45" s="108">
        <f t="shared" si="13"/>
        <v>0.34228779761119926</v>
      </c>
    </row>
    <row r="46" spans="1:10" s="168" customFormat="1" ht="21.75" customHeight="1">
      <c r="A46" s="138" t="s">
        <v>79</v>
      </c>
      <c r="B46" s="139"/>
      <c r="C46" s="140"/>
      <c r="D46" s="140"/>
      <c r="E46" s="172">
        <f t="shared" si="14"/>
        <v>0</v>
      </c>
      <c r="F46" s="143">
        <f>E46+'Aug-2019'!F46</f>
        <v>0</v>
      </c>
      <c r="G46" s="144">
        <v>8500</v>
      </c>
      <c r="H46" s="144">
        <f t="shared" si="15"/>
        <v>8500</v>
      </c>
      <c r="I46" s="108">
        <f t="shared" si="13"/>
        <v>0</v>
      </c>
    </row>
    <row r="47" spans="1:10" s="168" customFormat="1" ht="21.75" customHeight="1">
      <c r="A47" s="138" t="s">
        <v>168</v>
      </c>
      <c r="B47" s="151"/>
      <c r="C47" s="152"/>
      <c r="D47" s="152"/>
      <c r="E47" s="172">
        <f t="shared" si="14"/>
        <v>0</v>
      </c>
      <c r="F47" s="143">
        <f>E47+'Aug-2019'!F47</f>
        <v>0</v>
      </c>
      <c r="G47" s="74">
        <v>29630</v>
      </c>
      <c r="H47" s="144">
        <f t="shared" si="15"/>
        <v>29630</v>
      </c>
      <c r="I47" s="108">
        <f t="shared" si="13"/>
        <v>0</v>
      </c>
    </row>
    <row r="48" spans="1:10" s="168" customFormat="1" ht="21.75" customHeight="1" thickBot="1">
      <c r="A48" s="117" t="s">
        <v>30</v>
      </c>
      <c r="B48" s="165">
        <f>SUM(B41:B47)</f>
        <v>0</v>
      </c>
      <c r="C48" s="166">
        <f t="shared" ref="C48:E48" si="16">SUM(C41:C47)</f>
        <v>101513.08</v>
      </c>
      <c r="D48" s="166">
        <f t="shared" si="16"/>
        <v>0</v>
      </c>
      <c r="E48" s="166">
        <f t="shared" si="16"/>
        <v>101513.08</v>
      </c>
      <c r="F48" s="75">
        <f>SUM(F41:F47)</f>
        <v>272122.46999999997</v>
      </c>
      <c r="G48" s="75">
        <f>SUM(G41:G47)</f>
        <v>1637294.25</v>
      </c>
      <c r="H48" s="75">
        <f t="shared" ref="H48" si="17">SUM(H41:H47)</f>
        <v>1365171.78</v>
      </c>
      <c r="I48" s="110">
        <f t="shared" si="13"/>
        <v>0.16620254422807629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E50+'Aug-2019'!F50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10140.160092309976</v>
      </c>
      <c r="C52" s="158">
        <f>C20+C37+C48</f>
        <v>101513.08</v>
      </c>
      <c r="D52" s="158">
        <f>D20+D37+D48</f>
        <v>14178.808907690025</v>
      </c>
      <c r="E52" s="158">
        <f>E37+E20+E48+E50</f>
        <v>125832.049</v>
      </c>
      <c r="F52" s="77">
        <f>F37+F20+F48+F50</f>
        <v>344619.57037849701</v>
      </c>
      <c r="G52" s="77">
        <f>G37+G20+G48+G50</f>
        <v>2013608.54</v>
      </c>
      <c r="H52" s="77">
        <f>H37+H20+H48+H50</f>
        <v>1668988.969621503</v>
      </c>
      <c r="I52" s="110">
        <f t="shared" si="13"/>
        <v>0.17114526658617418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E54+'Aug-2019'!F54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G56" si="18">B52+B54</f>
        <v>10140.160092309976</v>
      </c>
      <c r="C56" s="99">
        <f t="shared" si="18"/>
        <v>101513.08</v>
      </c>
      <c r="D56" s="99">
        <f t="shared" si="18"/>
        <v>14178.808907690025</v>
      </c>
      <c r="E56" s="158">
        <f t="shared" si="18"/>
        <v>125832.049</v>
      </c>
      <c r="F56" s="77">
        <f t="shared" si="18"/>
        <v>352111.71037849702</v>
      </c>
      <c r="G56" s="77">
        <f t="shared" si="18"/>
        <v>2256075.86</v>
      </c>
      <c r="H56" s="77">
        <f>H52+H54</f>
        <v>1903964.149621503</v>
      </c>
      <c r="I56" s="110">
        <f t="shared" si="13"/>
        <v>0.15607263772526561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27796.009000000002</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27796.009000000002</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70" t="s">
        <v>444</v>
      </c>
      <c r="B77" s="336"/>
      <c r="C77" s="337"/>
      <c r="D77" s="337"/>
      <c r="E77" s="337"/>
      <c r="F77" s="369"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70" t="s">
        <v>443</v>
      </c>
      <c r="B81" s="336"/>
      <c r="C81" s="337"/>
      <c r="D81" s="337"/>
      <c r="E81" s="337"/>
      <c r="F81" s="369" t="s">
        <v>447</v>
      </c>
      <c r="G81" s="339"/>
      <c r="H81" s="340"/>
      <c r="I81" s="341"/>
    </row>
    <row r="82" spans="1:9" s="347" customFormat="1" ht="15.5">
      <c r="A82" s="343" t="s">
        <v>19</v>
      </c>
      <c r="B82" s="344" t="s">
        <v>153</v>
      </c>
      <c r="C82" s="344"/>
      <c r="D82" s="344"/>
      <c r="E82" s="344"/>
      <c r="F82" s="552" t="s">
        <v>446</v>
      </c>
      <c r="G82" s="552"/>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158"/>
  <sheetViews>
    <sheetView workbookViewId="0">
      <pane ySplit="5" topLeftCell="A93" activePane="bottomLeft" state="frozen"/>
      <selection pane="bottomLeft" activeCell="C7" sqref="C7"/>
    </sheetView>
  </sheetViews>
  <sheetFormatPr defaultColWidth="9.1796875" defaultRowHeight="14.5"/>
  <cols>
    <col min="1" max="1" width="2.1796875" style="349" customWidth="1"/>
    <col min="2" max="2" width="9.26953125" style="349" customWidth="1"/>
    <col min="3" max="3" width="10" style="349" customWidth="1"/>
    <col min="4" max="4" width="12" style="349" customWidth="1"/>
    <col min="5" max="5" width="21.54296875" style="349" customWidth="1"/>
    <col min="6" max="6" width="93.7265625" style="349" customWidth="1"/>
    <col min="7" max="7" width="11.54296875" style="349" customWidth="1"/>
    <col min="8" max="8" width="10.453125" style="366" customWidth="1"/>
    <col min="9" max="9" width="9.1796875" style="349"/>
    <col min="10" max="10" width="11.54296875" style="349" bestFit="1" customWidth="1"/>
    <col min="11" max="16384" width="9.1796875" style="349"/>
  </cols>
  <sheetData>
    <row r="1" spans="1:8" ht="18">
      <c r="A1" s="587" t="s">
        <v>277</v>
      </c>
      <c r="B1" s="587"/>
      <c r="C1" s="587"/>
      <c r="D1" s="587"/>
      <c r="E1" s="587"/>
      <c r="F1" s="587"/>
      <c r="G1" s="587"/>
      <c r="H1" s="587"/>
    </row>
    <row r="2" spans="1:8" ht="18">
      <c r="A2" s="587" t="s">
        <v>276</v>
      </c>
      <c r="B2" s="587"/>
      <c r="C2" s="587"/>
      <c r="D2" s="587"/>
      <c r="E2" s="587"/>
      <c r="F2" s="587"/>
      <c r="G2" s="587"/>
      <c r="H2" s="587"/>
    </row>
    <row r="3" spans="1:8">
      <c r="A3" s="588" t="s">
        <v>504</v>
      </c>
      <c r="B3" s="588"/>
      <c r="C3" s="588"/>
      <c r="D3" s="588"/>
      <c r="E3" s="588"/>
      <c r="F3" s="588"/>
      <c r="G3" s="588"/>
      <c r="H3" s="588"/>
    </row>
    <row r="5" spans="1:8">
      <c r="A5" s="304"/>
      <c r="B5" s="354" t="s">
        <v>153</v>
      </c>
      <c r="C5" s="354" t="s">
        <v>430</v>
      </c>
      <c r="D5" s="354" t="s">
        <v>274</v>
      </c>
      <c r="E5" s="354" t="s">
        <v>273</v>
      </c>
      <c r="F5" s="354" t="s">
        <v>272</v>
      </c>
      <c r="G5" s="350" t="s">
        <v>271</v>
      </c>
      <c r="H5" s="203" t="s">
        <v>278</v>
      </c>
    </row>
    <row r="6" spans="1:8">
      <c r="A6" s="351" t="s">
        <v>269</v>
      </c>
    </row>
    <row r="7" spans="1:8">
      <c r="B7" s="305" t="s">
        <v>485</v>
      </c>
      <c r="C7" s="305" t="s">
        <v>186</v>
      </c>
      <c r="D7" s="305">
        <v>243</v>
      </c>
      <c r="E7" s="305"/>
      <c r="F7" s="305" t="s">
        <v>503</v>
      </c>
      <c r="G7" s="352">
        <v>47030</v>
      </c>
      <c r="H7" s="206"/>
    </row>
    <row r="8" spans="1:8">
      <c r="B8" s="305" t="s">
        <v>484</v>
      </c>
      <c r="C8" s="305" t="s">
        <v>186</v>
      </c>
      <c r="D8" s="305">
        <v>245</v>
      </c>
      <c r="E8" s="305"/>
      <c r="F8" s="305" t="s">
        <v>503</v>
      </c>
      <c r="G8" s="352">
        <v>43224</v>
      </c>
      <c r="H8" s="206"/>
    </row>
    <row r="9" spans="1:8">
      <c r="A9" s="351" t="s">
        <v>268</v>
      </c>
      <c r="G9" s="355">
        <f>SUM(G7:G8)</f>
        <v>90254</v>
      </c>
    </row>
    <row r="10" spans="1:8">
      <c r="A10" s="351" t="s">
        <v>267</v>
      </c>
      <c r="H10" s="367"/>
    </row>
    <row r="11" spans="1:8">
      <c r="B11" s="305" t="s">
        <v>497</v>
      </c>
      <c r="C11" s="305" t="s">
        <v>174</v>
      </c>
      <c r="D11" s="305" t="s">
        <v>502</v>
      </c>
      <c r="E11" s="305" t="s">
        <v>501</v>
      </c>
      <c r="F11" s="305" t="s">
        <v>500</v>
      </c>
      <c r="G11" s="352">
        <v>273.13</v>
      </c>
      <c r="H11" s="206">
        <v>12506</v>
      </c>
    </row>
    <row r="12" spans="1:8">
      <c r="B12" s="305" t="s">
        <v>497</v>
      </c>
      <c r="C12" s="305" t="s">
        <v>174</v>
      </c>
      <c r="D12" s="305" t="s">
        <v>499</v>
      </c>
      <c r="E12" s="305" t="s">
        <v>498</v>
      </c>
      <c r="F12" s="305" t="s">
        <v>494</v>
      </c>
      <c r="G12" s="352">
        <v>227.71</v>
      </c>
      <c r="H12" s="206">
        <v>12507</v>
      </c>
    </row>
    <row r="13" spans="1:8">
      <c r="B13" s="305" t="s">
        <v>497</v>
      </c>
      <c r="C13" s="305" t="s">
        <v>174</v>
      </c>
      <c r="D13" s="305" t="s">
        <v>496</v>
      </c>
      <c r="E13" s="305" t="s">
        <v>495</v>
      </c>
      <c r="F13" s="305" t="s">
        <v>494</v>
      </c>
      <c r="G13" s="352">
        <v>227.7</v>
      </c>
      <c r="H13" s="206">
        <v>12508</v>
      </c>
    </row>
    <row r="14" spans="1:8">
      <c r="B14" s="305" t="s">
        <v>484</v>
      </c>
      <c r="C14" s="305" t="s">
        <v>378</v>
      </c>
      <c r="D14" s="305">
        <v>12494</v>
      </c>
      <c r="E14" s="305" t="s">
        <v>493</v>
      </c>
      <c r="F14" s="305" t="s">
        <v>492</v>
      </c>
      <c r="G14" s="352">
        <v>101.59</v>
      </c>
      <c r="H14" s="305">
        <v>12494</v>
      </c>
    </row>
    <row r="15" spans="1:8">
      <c r="B15" s="305" t="s">
        <v>484</v>
      </c>
      <c r="C15" s="305" t="s">
        <v>378</v>
      </c>
      <c r="D15" s="305">
        <v>12496</v>
      </c>
      <c r="E15" s="305" t="s">
        <v>491</v>
      </c>
      <c r="F15" s="305" t="s">
        <v>490</v>
      </c>
      <c r="G15" s="352">
        <v>264.05</v>
      </c>
      <c r="H15" s="305">
        <v>12496</v>
      </c>
    </row>
    <row r="16" spans="1:8">
      <c r="B16" s="305" t="s">
        <v>484</v>
      </c>
      <c r="C16" s="305" t="s">
        <v>378</v>
      </c>
      <c r="D16" s="305">
        <v>12497</v>
      </c>
      <c r="E16" s="305" t="s">
        <v>489</v>
      </c>
      <c r="F16" s="305" t="s">
        <v>488</v>
      </c>
      <c r="G16" s="352">
        <v>146.51</v>
      </c>
      <c r="H16" s="305">
        <v>12497</v>
      </c>
    </row>
    <row r="17" spans="1:10">
      <c r="B17" s="305" t="s">
        <v>484</v>
      </c>
      <c r="C17" s="305" t="s">
        <v>378</v>
      </c>
      <c r="D17" s="305">
        <v>12495</v>
      </c>
      <c r="E17" s="305" t="s">
        <v>487</v>
      </c>
      <c r="F17" s="305" t="s">
        <v>486</v>
      </c>
      <c r="G17" s="352">
        <v>245.87</v>
      </c>
      <c r="H17" s="305">
        <v>12495</v>
      </c>
    </row>
    <row r="18" spans="1:10">
      <c r="A18" s="351" t="s">
        <v>263</v>
      </c>
      <c r="G18" s="355">
        <f>SUM(G11:G17)</f>
        <v>1486.56</v>
      </c>
      <c r="H18" s="206"/>
    </row>
    <row r="19" spans="1:10">
      <c r="A19" s="351" t="s">
        <v>420</v>
      </c>
      <c r="G19" s="360">
        <f>+G18+G9</f>
        <v>91740.56</v>
      </c>
      <c r="H19" s="206"/>
    </row>
    <row r="20" spans="1:10">
      <c r="A20" s="351" t="s">
        <v>262</v>
      </c>
      <c r="H20" s="206"/>
    </row>
    <row r="21" spans="1:10">
      <c r="B21" s="305" t="s">
        <v>485</v>
      </c>
      <c r="C21" s="305" t="s">
        <v>186</v>
      </c>
      <c r="D21" s="305">
        <v>243</v>
      </c>
      <c r="E21" s="305"/>
      <c r="F21" s="305" t="s">
        <v>419</v>
      </c>
      <c r="G21" s="352">
        <v>3597.9</v>
      </c>
      <c r="H21" s="206"/>
    </row>
    <row r="22" spans="1:10">
      <c r="B22" s="305" t="s">
        <v>484</v>
      </c>
      <c r="C22" s="305" t="s">
        <v>186</v>
      </c>
      <c r="D22" s="305">
        <v>245</v>
      </c>
      <c r="E22" s="305"/>
      <c r="F22" s="305" t="s">
        <v>419</v>
      </c>
      <c r="G22" s="352">
        <v>3306.62</v>
      </c>
      <c r="H22" s="206"/>
    </row>
    <row r="23" spans="1:10">
      <c r="A23" s="351" t="s">
        <v>261</v>
      </c>
      <c r="G23" s="355">
        <v>6904.52</v>
      </c>
      <c r="H23" s="206"/>
      <c r="J23" s="382"/>
    </row>
    <row r="24" spans="1:10" s="308" customFormat="1">
      <c r="A24" s="307" t="s">
        <v>340</v>
      </c>
    </row>
    <row r="25" spans="1:10" s="308" customFormat="1">
      <c r="B25" s="375">
        <v>43738</v>
      </c>
      <c r="C25" s="309" t="s">
        <v>186</v>
      </c>
      <c r="D25" s="309">
        <v>192</v>
      </c>
      <c r="E25" s="309"/>
      <c r="F25" s="309" t="s">
        <v>411</v>
      </c>
      <c r="G25" s="310">
        <v>2868</v>
      </c>
    </row>
    <row r="26" spans="1:10" s="308" customFormat="1">
      <c r="A26" s="307" t="s">
        <v>341</v>
      </c>
      <c r="G26" s="319">
        <f>SUM(G25)</f>
        <v>2868</v>
      </c>
    </row>
    <row r="27" spans="1:10">
      <c r="A27" s="351" t="s">
        <v>260</v>
      </c>
      <c r="H27" s="206"/>
    </row>
    <row r="28" spans="1:10">
      <c r="B28" s="305" t="s">
        <v>485</v>
      </c>
      <c r="C28" s="305" t="s">
        <v>186</v>
      </c>
      <c r="D28" s="305">
        <v>243</v>
      </c>
      <c r="E28" s="305"/>
      <c r="F28" s="305" t="s">
        <v>415</v>
      </c>
      <c r="G28" s="352">
        <v>403.93</v>
      </c>
      <c r="H28" s="206"/>
    </row>
    <row r="29" spans="1:10">
      <c r="B29" s="305" t="s">
        <v>484</v>
      </c>
      <c r="C29" s="305" t="s">
        <v>186</v>
      </c>
      <c r="D29" s="305">
        <v>245</v>
      </c>
      <c r="E29" s="305"/>
      <c r="F29" s="305" t="s">
        <v>415</v>
      </c>
      <c r="G29" s="352">
        <v>473.59</v>
      </c>
      <c r="H29" s="206"/>
    </row>
    <row r="30" spans="1:10">
      <c r="A30" s="351" t="s">
        <v>253</v>
      </c>
      <c r="G30" s="355">
        <v>877.52</v>
      </c>
      <c r="H30" s="206"/>
    </row>
    <row r="31" spans="1:10">
      <c r="A31" s="351" t="s">
        <v>483</v>
      </c>
      <c r="G31" s="353">
        <f>+G19+G23+G26+G30</f>
        <v>102390.6</v>
      </c>
      <c r="H31" s="206"/>
    </row>
    <row r="32" spans="1:10">
      <c r="A32" s="351" t="s">
        <v>414</v>
      </c>
      <c r="H32" s="206"/>
    </row>
    <row r="33" spans="1:8">
      <c r="A33" s="351" t="s">
        <v>252</v>
      </c>
      <c r="H33" s="206"/>
    </row>
    <row r="34" spans="1:8">
      <c r="B34" s="305" t="s">
        <v>482</v>
      </c>
      <c r="C34" s="305" t="s">
        <v>186</v>
      </c>
      <c r="D34" s="305">
        <v>242</v>
      </c>
      <c r="E34" s="305"/>
      <c r="F34" s="305" t="s">
        <v>481</v>
      </c>
      <c r="G34" s="352">
        <v>14938.24</v>
      </c>
      <c r="H34" s="206"/>
    </row>
    <row r="35" spans="1:8">
      <c r="A35" s="351" t="s">
        <v>249</v>
      </c>
      <c r="G35" s="355">
        <f>SUM(G34)</f>
        <v>14938.24</v>
      </c>
      <c r="H35" s="206"/>
    </row>
    <row r="36" spans="1:8">
      <c r="A36" s="351" t="s">
        <v>248</v>
      </c>
      <c r="H36" s="206"/>
    </row>
    <row r="37" spans="1:8" s="359" customFormat="1">
      <c r="A37" s="358" t="s">
        <v>247</v>
      </c>
      <c r="H37" s="206"/>
    </row>
    <row r="38" spans="1:8" s="359" customFormat="1">
      <c r="B38" s="327" t="s">
        <v>462</v>
      </c>
      <c r="C38" s="327" t="s">
        <v>174</v>
      </c>
      <c r="D38" s="327">
        <v>292271815</v>
      </c>
      <c r="E38" s="327" t="s">
        <v>480</v>
      </c>
      <c r="F38" s="327"/>
      <c r="G38" s="371">
        <v>3813.99</v>
      </c>
      <c r="H38" s="206">
        <v>12472</v>
      </c>
    </row>
    <row r="39" spans="1:8" s="359" customFormat="1">
      <c r="A39" s="358" t="s">
        <v>246</v>
      </c>
      <c r="G39" s="355">
        <f>SUM(G38:G38)</f>
        <v>3813.99</v>
      </c>
      <c r="H39" s="206"/>
    </row>
    <row r="40" spans="1:8" s="359" customFormat="1">
      <c r="A40" s="358" t="s">
        <v>245</v>
      </c>
      <c r="H40" s="206"/>
    </row>
    <row r="41" spans="1:8" s="359" customFormat="1">
      <c r="B41" s="327" t="s">
        <v>462</v>
      </c>
      <c r="C41" s="327" t="s">
        <v>174</v>
      </c>
      <c r="D41" s="327" t="s">
        <v>479</v>
      </c>
      <c r="E41" s="327" t="s">
        <v>243</v>
      </c>
      <c r="F41" s="327" t="s">
        <v>242</v>
      </c>
      <c r="G41" s="371">
        <v>171.06150000000002</v>
      </c>
      <c r="H41" s="206">
        <v>12433</v>
      </c>
    </row>
    <row r="42" spans="1:8" s="359" customFormat="1">
      <c r="A42" s="358" t="s">
        <v>241</v>
      </c>
      <c r="G42" s="355">
        <f>SUM(G41)</f>
        <v>171.06150000000002</v>
      </c>
      <c r="H42" s="206"/>
    </row>
    <row r="43" spans="1:8" s="359" customFormat="1">
      <c r="A43" s="358"/>
      <c r="G43" s="362"/>
      <c r="H43" s="206"/>
    </row>
    <row r="44" spans="1:8" s="201" customFormat="1">
      <c r="A44" s="205" t="s">
        <v>240</v>
      </c>
      <c r="G44" s="278"/>
      <c r="H44" s="206"/>
    </row>
    <row r="45" spans="1:8" s="201" customFormat="1">
      <c r="B45" s="320">
        <v>43708</v>
      </c>
      <c r="C45" s="206" t="s">
        <v>186</v>
      </c>
      <c r="D45" s="206">
        <v>154</v>
      </c>
      <c r="E45" s="206"/>
      <c r="F45" s="210" t="s">
        <v>325</v>
      </c>
      <c r="G45" s="279">
        <v>-704.11900000000014</v>
      </c>
      <c r="H45" s="206"/>
    </row>
    <row r="46" spans="1:8" s="201" customFormat="1">
      <c r="A46" s="205" t="s">
        <v>239</v>
      </c>
      <c r="G46" s="280">
        <f>SUM(G45)</f>
        <v>-704.11900000000014</v>
      </c>
      <c r="H46" s="206"/>
    </row>
    <row r="47" spans="1:8" s="201" customFormat="1">
      <c r="A47" s="205" t="s">
        <v>238</v>
      </c>
      <c r="G47" s="278"/>
      <c r="H47" s="206"/>
    </row>
    <row r="48" spans="1:8" s="201" customFormat="1">
      <c r="B48" s="320">
        <v>43708</v>
      </c>
      <c r="C48" s="206" t="s">
        <v>186</v>
      </c>
      <c r="D48" s="206">
        <v>155</v>
      </c>
      <c r="E48" s="206"/>
      <c r="F48" s="206" t="s">
        <v>237</v>
      </c>
      <c r="G48" s="279">
        <v>-20.314</v>
      </c>
      <c r="H48" s="206"/>
    </row>
    <row r="49" spans="1:8" s="201" customFormat="1">
      <c r="A49" s="205" t="s">
        <v>236</v>
      </c>
      <c r="G49" s="280">
        <f>SUM(G48)</f>
        <v>-20.314</v>
      </c>
      <c r="H49" s="206"/>
    </row>
    <row r="50" spans="1:8" s="359" customFormat="1">
      <c r="A50" s="358" t="s">
        <v>235</v>
      </c>
      <c r="G50" s="360">
        <f>+G42+G39+G46+G49</f>
        <v>3260.6184999999996</v>
      </c>
      <c r="H50" s="206"/>
    </row>
    <row r="51" spans="1:8" s="359" customFormat="1">
      <c r="H51" s="206"/>
    </row>
    <row r="52" spans="1:8" s="359" customFormat="1">
      <c r="A52" s="358" t="s">
        <v>234</v>
      </c>
      <c r="H52" s="206"/>
    </row>
    <row r="53" spans="1:8" s="359" customFormat="1">
      <c r="A53" s="358" t="s">
        <v>478</v>
      </c>
      <c r="H53" s="206"/>
    </row>
    <row r="54" spans="1:8" s="359" customFormat="1">
      <c r="B54" s="327" t="s">
        <v>464</v>
      </c>
      <c r="C54" s="327" t="s">
        <v>186</v>
      </c>
      <c r="D54" s="327">
        <v>261</v>
      </c>
      <c r="E54" s="327"/>
      <c r="F54" s="327" t="s">
        <v>411</v>
      </c>
      <c r="G54" s="371">
        <v>467</v>
      </c>
      <c r="H54" s="206"/>
    </row>
    <row r="55" spans="1:8" s="359" customFormat="1">
      <c r="A55" s="358" t="s">
        <v>477</v>
      </c>
      <c r="G55" s="355">
        <f>SUM(G54)</f>
        <v>467</v>
      </c>
      <c r="H55" s="206"/>
    </row>
    <row r="56" spans="1:8" s="359" customFormat="1">
      <c r="A56" s="274" t="s">
        <v>284</v>
      </c>
      <c r="H56" s="206"/>
    </row>
    <row r="57" spans="1:8">
      <c r="A57" s="351" t="s">
        <v>232</v>
      </c>
      <c r="H57" s="206"/>
    </row>
    <row r="58" spans="1:8">
      <c r="B58" s="305" t="s">
        <v>464</v>
      </c>
      <c r="C58" s="305" t="s">
        <v>186</v>
      </c>
      <c r="D58" s="305">
        <v>246</v>
      </c>
      <c r="E58" s="305"/>
      <c r="F58" s="305" t="s">
        <v>231</v>
      </c>
      <c r="G58" s="352">
        <v>904</v>
      </c>
      <c r="H58" s="206"/>
    </row>
    <row r="59" spans="1:8">
      <c r="A59" s="351" t="s">
        <v>230</v>
      </c>
      <c r="G59" s="353">
        <f>SUM(G58)</f>
        <v>904</v>
      </c>
      <c r="H59" s="206"/>
    </row>
    <row r="60" spans="1:8">
      <c r="A60" s="351" t="s">
        <v>229</v>
      </c>
      <c r="H60" s="206"/>
    </row>
    <row r="61" spans="1:8">
      <c r="B61" s="305" t="s">
        <v>464</v>
      </c>
      <c r="C61" s="305" t="s">
        <v>186</v>
      </c>
      <c r="D61" s="305">
        <v>248</v>
      </c>
      <c r="E61" s="305"/>
      <c r="F61" s="305" t="s">
        <v>228</v>
      </c>
      <c r="G61" s="352">
        <v>212</v>
      </c>
      <c r="H61" s="206"/>
    </row>
    <row r="62" spans="1:8">
      <c r="A62" s="351" t="s">
        <v>227</v>
      </c>
      <c r="G62" s="353">
        <f>SUM(G61)</f>
        <v>212</v>
      </c>
      <c r="H62" s="206"/>
    </row>
    <row r="63" spans="1:8">
      <c r="A63" s="351" t="s">
        <v>226</v>
      </c>
      <c r="H63" s="206"/>
    </row>
    <row r="64" spans="1:8">
      <c r="B64" s="305" t="s">
        <v>464</v>
      </c>
      <c r="C64" s="305" t="s">
        <v>186</v>
      </c>
      <c r="D64" s="305">
        <v>249</v>
      </c>
      <c r="E64" s="305"/>
      <c r="F64" s="305" t="s">
        <v>225</v>
      </c>
      <c r="G64" s="352">
        <v>221</v>
      </c>
      <c r="H64" s="206"/>
    </row>
    <row r="65" spans="1:8">
      <c r="A65" s="351" t="s">
        <v>224</v>
      </c>
      <c r="G65" s="353">
        <f>SUM(G64)</f>
        <v>221</v>
      </c>
      <c r="H65" s="206"/>
    </row>
    <row r="66" spans="1:8">
      <c r="A66" s="351" t="s">
        <v>223</v>
      </c>
      <c r="H66" s="206"/>
    </row>
    <row r="67" spans="1:8">
      <c r="B67" s="305" t="s">
        <v>464</v>
      </c>
      <c r="C67" s="305" t="s">
        <v>186</v>
      </c>
      <c r="D67" s="305">
        <v>250</v>
      </c>
      <c r="E67" s="305"/>
      <c r="F67" s="305" t="s">
        <v>222</v>
      </c>
      <c r="G67" s="352">
        <v>43</v>
      </c>
      <c r="H67" s="206"/>
    </row>
    <row r="68" spans="1:8">
      <c r="A68" s="351" t="s">
        <v>221</v>
      </c>
      <c r="G68" s="353">
        <f>SUM(G67)</f>
        <v>43</v>
      </c>
      <c r="H68" s="206"/>
    </row>
    <row r="69" spans="1:8">
      <c r="A69" s="274" t="s">
        <v>506</v>
      </c>
      <c r="G69" s="355">
        <f>+G59+G62+G65+G68</f>
        <v>1380</v>
      </c>
      <c r="H69" s="206"/>
    </row>
    <row r="70" spans="1:8">
      <c r="A70" s="351"/>
      <c r="G70" s="362"/>
      <c r="H70" s="206"/>
    </row>
    <row r="71" spans="1:8">
      <c r="A71" s="351" t="s">
        <v>409</v>
      </c>
      <c r="H71" s="206"/>
    </row>
    <row r="72" spans="1:8">
      <c r="B72" s="305" t="s">
        <v>464</v>
      </c>
      <c r="C72" s="305" t="s">
        <v>186</v>
      </c>
      <c r="D72" s="305">
        <v>251</v>
      </c>
      <c r="E72" s="305"/>
      <c r="F72" s="305" t="s">
        <v>219</v>
      </c>
      <c r="G72" s="352">
        <v>184</v>
      </c>
      <c r="H72" s="206"/>
    </row>
    <row r="73" spans="1:8">
      <c r="A73" s="351" t="s">
        <v>408</v>
      </c>
      <c r="G73" s="353">
        <f>SUM(G72)</f>
        <v>184</v>
      </c>
      <c r="H73" s="206"/>
    </row>
    <row r="74" spans="1:8" ht="15" thickBot="1">
      <c r="A74" s="364" t="s">
        <v>505</v>
      </c>
      <c r="G74" s="383">
        <f>+G35+G50+G55+G69+G73</f>
        <v>20229.858499999998</v>
      </c>
      <c r="H74" s="206"/>
    </row>
    <row r="75" spans="1:8" ht="15" thickTop="1">
      <c r="A75" s="364" t="s">
        <v>379</v>
      </c>
      <c r="H75" s="206"/>
    </row>
    <row r="76" spans="1:8">
      <c r="A76" s="351" t="s">
        <v>184</v>
      </c>
      <c r="H76" s="206"/>
    </row>
    <row r="77" spans="1:8">
      <c r="B77" s="305" t="s">
        <v>462</v>
      </c>
      <c r="C77" s="305" t="s">
        <v>378</v>
      </c>
      <c r="D77" s="305">
        <v>12457</v>
      </c>
      <c r="E77" s="305" t="s">
        <v>377</v>
      </c>
      <c r="F77" s="305" t="s">
        <v>461</v>
      </c>
      <c r="G77" s="352">
        <v>150</v>
      </c>
      <c r="H77" s="206">
        <v>12457</v>
      </c>
    </row>
    <row r="78" spans="1:8">
      <c r="B78" s="305" t="s">
        <v>455</v>
      </c>
      <c r="C78" s="305" t="s">
        <v>174</v>
      </c>
      <c r="D78" s="305" t="s">
        <v>460</v>
      </c>
      <c r="E78" s="305" t="s">
        <v>443</v>
      </c>
      <c r="F78" s="305" t="s">
        <v>459</v>
      </c>
      <c r="G78" s="352">
        <v>101.09</v>
      </c>
      <c r="H78" s="206">
        <v>12490</v>
      </c>
    </row>
    <row r="79" spans="1:8">
      <c r="B79" s="305" t="s">
        <v>455</v>
      </c>
      <c r="C79" s="305" t="s">
        <v>174</v>
      </c>
      <c r="D79" s="305" t="s">
        <v>458</v>
      </c>
      <c r="E79" s="305" t="s">
        <v>457</v>
      </c>
      <c r="F79" s="305" t="s">
        <v>456</v>
      </c>
      <c r="G79" s="352">
        <v>32.4</v>
      </c>
      <c r="H79" s="206">
        <v>12489</v>
      </c>
    </row>
    <row r="80" spans="1:8">
      <c r="B80" s="305" t="s">
        <v>455</v>
      </c>
      <c r="C80" s="305" t="s">
        <v>174</v>
      </c>
      <c r="D80" s="305" t="s">
        <v>454</v>
      </c>
      <c r="E80" s="305" t="s">
        <v>373</v>
      </c>
      <c r="F80" s="305" t="s">
        <v>453</v>
      </c>
      <c r="G80" s="352">
        <v>28.94</v>
      </c>
      <c r="H80" s="206">
        <v>12491</v>
      </c>
    </row>
    <row r="81" spans="1:9">
      <c r="A81" s="364" t="s">
        <v>365</v>
      </c>
      <c r="G81" s="368">
        <f>SUM(G77:G80)</f>
        <v>312.43</v>
      </c>
      <c r="H81" s="206"/>
    </row>
    <row r="82" spans="1:9">
      <c r="A82" s="351"/>
      <c r="G82" s="361"/>
      <c r="H82" s="206"/>
    </row>
    <row r="83" spans="1:9">
      <c r="A83" s="364" t="s">
        <v>357</v>
      </c>
      <c r="H83" s="206"/>
    </row>
    <row r="84" spans="1:9">
      <c r="A84" s="351" t="s">
        <v>214</v>
      </c>
      <c r="H84" s="206"/>
    </row>
    <row r="85" spans="1:9">
      <c r="B85" s="305" t="s">
        <v>464</v>
      </c>
      <c r="C85" s="305" t="s">
        <v>186</v>
      </c>
      <c r="D85" s="305">
        <v>253</v>
      </c>
      <c r="E85" s="305"/>
      <c r="F85" s="305" t="s">
        <v>213</v>
      </c>
      <c r="G85" s="352">
        <v>606</v>
      </c>
      <c r="H85" s="206"/>
    </row>
    <row r="86" spans="1:9">
      <c r="A86" s="351" t="s">
        <v>475</v>
      </c>
      <c r="G86" s="355">
        <f>SUM(G85)</f>
        <v>606</v>
      </c>
      <c r="H86" s="206"/>
    </row>
    <row r="87" spans="1:9">
      <c r="G87" s="353"/>
      <c r="H87" s="206"/>
    </row>
    <row r="88" spans="1:9">
      <c r="A88" s="364" t="s">
        <v>329</v>
      </c>
      <c r="H88" s="206"/>
    </row>
    <row r="89" spans="1:9">
      <c r="A89" s="351" t="s">
        <v>200</v>
      </c>
      <c r="H89" s="206"/>
    </row>
    <row r="90" spans="1:9">
      <c r="B90" s="305" t="s">
        <v>462</v>
      </c>
      <c r="C90" s="305" t="s">
        <v>174</v>
      </c>
      <c r="D90" s="305">
        <v>1967</v>
      </c>
      <c r="E90" s="305" t="s">
        <v>181</v>
      </c>
      <c r="F90" s="305" t="s">
        <v>469</v>
      </c>
      <c r="G90" s="352">
        <v>648</v>
      </c>
      <c r="H90" s="206">
        <v>12456</v>
      </c>
      <c r="I90" s="376"/>
    </row>
    <row r="91" spans="1:9">
      <c r="A91" s="276" t="s">
        <v>344</v>
      </c>
      <c r="G91" s="365">
        <f>SUM(G90)</f>
        <v>648</v>
      </c>
      <c r="H91" s="206"/>
    </row>
    <row r="92" spans="1:9">
      <c r="A92" s="351" t="s">
        <v>197</v>
      </c>
      <c r="H92" s="206"/>
    </row>
    <row r="93" spans="1:9">
      <c r="A93" s="351" t="s">
        <v>196</v>
      </c>
      <c r="H93" s="206"/>
    </row>
    <row r="94" spans="1:9">
      <c r="B94" s="305" t="s">
        <v>464</v>
      </c>
      <c r="C94" s="305" t="s">
        <v>186</v>
      </c>
      <c r="D94" s="305">
        <v>260</v>
      </c>
      <c r="E94" s="305"/>
      <c r="F94" s="305" t="s">
        <v>195</v>
      </c>
      <c r="G94" s="352">
        <v>135</v>
      </c>
      <c r="H94" s="206"/>
    </row>
    <row r="95" spans="1:9">
      <c r="A95" s="351" t="s">
        <v>468</v>
      </c>
      <c r="G95" s="353">
        <f>SUM(G94)</f>
        <v>135</v>
      </c>
      <c r="H95" s="206"/>
    </row>
    <row r="96" spans="1:9">
      <c r="A96" s="351" t="s">
        <v>191</v>
      </c>
      <c r="H96" s="206"/>
    </row>
    <row r="97" spans="1:8">
      <c r="A97" s="351" t="s">
        <v>466</v>
      </c>
      <c r="H97" s="206"/>
    </row>
    <row r="98" spans="1:8">
      <c r="B98" s="305" t="s">
        <v>464</v>
      </c>
      <c r="C98" s="305" t="s">
        <v>186</v>
      </c>
      <c r="D98" s="305">
        <v>257</v>
      </c>
      <c r="E98" s="305"/>
      <c r="F98" s="305" t="s">
        <v>190</v>
      </c>
      <c r="G98" s="352">
        <v>95</v>
      </c>
      <c r="H98" s="206"/>
    </row>
    <row r="99" spans="1:8">
      <c r="A99" s="351" t="s">
        <v>465</v>
      </c>
      <c r="G99" s="353">
        <f>SUM(G98)</f>
        <v>95</v>
      </c>
      <c r="H99" s="206"/>
    </row>
    <row r="100" spans="1:8" s="259" customFormat="1">
      <c r="A100" s="328" t="s">
        <v>343</v>
      </c>
      <c r="G100" s="288">
        <f>+G95+G99</f>
        <v>230</v>
      </c>
      <c r="H100" s="206"/>
    </row>
    <row r="101" spans="1:8" s="201" customFormat="1">
      <c r="A101" s="205"/>
      <c r="G101" s="289"/>
      <c r="H101" s="206"/>
    </row>
    <row r="102" spans="1:8" s="258" customFormat="1">
      <c r="A102" s="276" t="s">
        <v>353</v>
      </c>
      <c r="G102" s="288">
        <f>+G91+G100</f>
        <v>878</v>
      </c>
      <c r="H102" s="206"/>
    </row>
    <row r="103" spans="1:8">
      <c r="G103" s="353"/>
      <c r="H103" s="206"/>
    </row>
    <row r="104" spans="1:8">
      <c r="A104" s="276" t="s">
        <v>507</v>
      </c>
      <c r="H104" s="206"/>
    </row>
    <row r="105" spans="1:8">
      <c r="A105" s="351" t="s">
        <v>193</v>
      </c>
      <c r="H105" s="206"/>
    </row>
    <row r="106" spans="1:8">
      <c r="B106" s="305" t="s">
        <v>464</v>
      </c>
      <c r="C106" s="305" t="s">
        <v>186</v>
      </c>
      <c r="D106" s="305">
        <v>256</v>
      </c>
      <c r="E106" s="305"/>
      <c r="F106" s="305" t="s">
        <v>192</v>
      </c>
      <c r="G106" s="352">
        <v>287</v>
      </c>
      <c r="H106" s="206"/>
    </row>
    <row r="107" spans="1:8">
      <c r="A107" s="351" t="s">
        <v>467</v>
      </c>
      <c r="G107" s="355">
        <f>SUM(G106)</f>
        <v>287</v>
      </c>
      <c r="H107" s="206"/>
    </row>
    <row r="108" spans="1:8">
      <c r="G108" s="353"/>
      <c r="H108" s="206"/>
    </row>
    <row r="109" spans="1:8">
      <c r="A109" s="221" t="s">
        <v>334</v>
      </c>
      <c r="G109" s="361"/>
      <c r="H109" s="206"/>
    </row>
    <row r="110" spans="1:8">
      <c r="A110" s="351" t="s">
        <v>217</v>
      </c>
      <c r="H110" s="206"/>
    </row>
    <row r="111" spans="1:8">
      <c r="A111" s="351" t="s">
        <v>407</v>
      </c>
      <c r="H111" s="206"/>
    </row>
    <row r="112" spans="1:8">
      <c r="B112" s="305" t="s">
        <v>464</v>
      </c>
      <c r="C112" s="305" t="s">
        <v>186</v>
      </c>
      <c r="D112" s="305">
        <v>252</v>
      </c>
      <c r="E112" s="305"/>
      <c r="F112" s="305" t="s">
        <v>216</v>
      </c>
      <c r="G112" s="352">
        <v>372</v>
      </c>
      <c r="H112" s="206"/>
    </row>
    <row r="113" spans="1:8">
      <c r="A113" s="351" t="s">
        <v>476</v>
      </c>
      <c r="G113" s="353">
        <f>SUM(G112)</f>
        <v>372</v>
      </c>
      <c r="H113" s="206"/>
    </row>
    <row r="114" spans="1:8">
      <c r="A114" s="351" t="s">
        <v>203</v>
      </c>
      <c r="H114" s="206"/>
    </row>
    <row r="115" spans="1:8">
      <c r="B115" s="305" t="s">
        <v>464</v>
      </c>
      <c r="C115" s="305" t="s">
        <v>186</v>
      </c>
      <c r="D115" s="305">
        <v>254</v>
      </c>
      <c r="E115" s="305"/>
      <c r="F115" s="305" t="s">
        <v>202</v>
      </c>
      <c r="G115" s="352">
        <v>39</v>
      </c>
      <c r="H115" s="206"/>
    </row>
    <row r="116" spans="1:8">
      <c r="A116" s="351" t="s">
        <v>201</v>
      </c>
      <c r="G116" s="353">
        <f>SUM(G115)</f>
        <v>39</v>
      </c>
      <c r="H116" s="206"/>
    </row>
    <row r="117" spans="1:8">
      <c r="A117" s="351" t="s">
        <v>470</v>
      </c>
      <c r="G117" s="355">
        <f>+G113+G116</f>
        <v>411</v>
      </c>
      <c r="H117" s="206"/>
    </row>
    <row r="118" spans="1:8">
      <c r="G118" s="361"/>
      <c r="H118" s="206"/>
    </row>
    <row r="119" spans="1:8">
      <c r="A119" s="351"/>
      <c r="G119" s="361"/>
      <c r="H119" s="206"/>
    </row>
    <row r="120" spans="1:8">
      <c r="A120" s="221" t="s">
        <v>508</v>
      </c>
      <c r="H120" s="206"/>
    </row>
    <row r="121" spans="1:8">
      <c r="A121" s="351" t="s">
        <v>210</v>
      </c>
      <c r="H121" s="206"/>
    </row>
    <row r="122" spans="1:8">
      <c r="A122" s="351" t="s">
        <v>209</v>
      </c>
      <c r="H122" s="206"/>
    </row>
    <row r="123" spans="1:8">
      <c r="B123" s="305" t="s">
        <v>473</v>
      </c>
      <c r="C123" s="305" t="s">
        <v>174</v>
      </c>
      <c r="D123" s="305" t="s">
        <v>472</v>
      </c>
      <c r="E123" s="305" t="s">
        <v>433</v>
      </c>
      <c r="F123" s="305" t="s">
        <v>474</v>
      </c>
      <c r="G123" s="352">
        <v>57</v>
      </c>
      <c r="H123" s="206">
        <v>12522</v>
      </c>
    </row>
    <row r="124" spans="1:8">
      <c r="B124" s="305" t="s">
        <v>473</v>
      </c>
      <c r="C124" s="305" t="s">
        <v>174</v>
      </c>
      <c r="D124" s="305" t="s">
        <v>472</v>
      </c>
      <c r="E124" s="305" t="s">
        <v>433</v>
      </c>
      <c r="F124" s="305"/>
      <c r="G124" s="352">
        <v>90.16</v>
      </c>
      <c r="H124" s="206">
        <v>12522</v>
      </c>
    </row>
    <row r="125" spans="1:8">
      <c r="A125" s="351" t="s">
        <v>207</v>
      </c>
      <c r="G125" s="353">
        <f>SUM(G123:G124)</f>
        <v>147.16</v>
      </c>
      <c r="H125" s="206"/>
    </row>
    <row r="126" spans="1:8">
      <c r="A126" s="351" t="s">
        <v>206</v>
      </c>
      <c r="H126" s="206"/>
    </row>
    <row r="127" spans="1:8">
      <c r="B127" s="305" t="s">
        <v>464</v>
      </c>
      <c r="C127" s="305" t="s">
        <v>186</v>
      </c>
      <c r="D127" s="305">
        <v>262</v>
      </c>
      <c r="E127" s="305"/>
      <c r="F127" s="305" t="s">
        <v>205</v>
      </c>
      <c r="G127" s="352">
        <v>79</v>
      </c>
      <c r="H127" s="206"/>
    </row>
    <row r="128" spans="1:8">
      <c r="A128" s="351" t="s">
        <v>204</v>
      </c>
      <c r="G128" s="353">
        <f>SUM(G127)</f>
        <v>79</v>
      </c>
      <c r="H128" s="206"/>
    </row>
    <row r="129" spans="1:8">
      <c r="A129" s="351" t="s">
        <v>471</v>
      </c>
      <c r="G129" s="355">
        <f>+G125+G128</f>
        <v>226.16</v>
      </c>
      <c r="H129" s="206"/>
    </row>
    <row r="130" spans="1:8">
      <c r="A130" s="351"/>
      <c r="G130" s="361"/>
      <c r="H130" s="206"/>
    </row>
    <row r="131" spans="1:8">
      <c r="G131" s="361"/>
      <c r="H131" s="206"/>
    </row>
    <row r="132" spans="1:8">
      <c r="A132" s="351"/>
      <c r="G132" s="361"/>
      <c r="H132" s="206"/>
    </row>
    <row r="133" spans="1:8">
      <c r="A133" s="363" t="s">
        <v>188</v>
      </c>
      <c r="H133" s="206"/>
    </row>
    <row r="134" spans="1:8">
      <c r="B134" s="305" t="s">
        <v>464</v>
      </c>
      <c r="C134" s="305" t="s">
        <v>186</v>
      </c>
      <c r="D134" s="305">
        <v>258</v>
      </c>
      <c r="E134" s="305"/>
      <c r="F134" s="305" t="s">
        <v>185</v>
      </c>
      <c r="G134" s="352">
        <v>491</v>
      </c>
      <c r="H134" s="206"/>
    </row>
    <row r="135" spans="1:8">
      <c r="A135" s="351" t="s">
        <v>463</v>
      </c>
      <c r="G135" s="355">
        <f>SUM(G134)</f>
        <v>491</v>
      </c>
      <c r="H135" s="206"/>
    </row>
    <row r="136" spans="1:8">
      <c r="A136" s="351"/>
      <c r="G136" s="353"/>
      <c r="H136" s="206"/>
    </row>
    <row r="137" spans="1:8">
      <c r="G137" s="361"/>
      <c r="H137" s="206"/>
    </row>
    <row r="138" spans="1:8" ht="16.5" customHeight="1">
      <c r="A138" s="351"/>
      <c r="G138" s="361"/>
      <c r="H138" s="206"/>
    </row>
    <row r="139" spans="1:8">
      <c r="G139" s="361"/>
      <c r="H139" s="297"/>
    </row>
    <row r="140" spans="1:8">
      <c r="H140" s="297"/>
    </row>
    <row r="141" spans="1:8">
      <c r="H141" s="297"/>
    </row>
    <row r="142" spans="1:8">
      <c r="A142" s="586" t="s">
        <v>452</v>
      </c>
      <c r="B142" s="586"/>
      <c r="C142" s="586"/>
      <c r="D142" s="586"/>
      <c r="E142" s="586"/>
      <c r="F142" s="586"/>
      <c r="G142" s="586"/>
      <c r="H142" s="586"/>
    </row>
    <row r="143" spans="1:8">
      <c r="H143" s="297"/>
    </row>
    <row r="144" spans="1:8">
      <c r="H144" s="297"/>
    </row>
    <row r="145" spans="8:8">
      <c r="H145" s="297"/>
    </row>
    <row r="146" spans="8:8">
      <c r="H146" s="297"/>
    </row>
    <row r="147" spans="8:8">
      <c r="H147" s="297"/>
    </row>
    <row r="148" spans="8:8">
      <c r="H148" s="297"/>
    </row>
    <row r="149" spans="8:8">
      <c r="H149" s="297"/>
    </row>
    <row r="150" spans="8:8">
      <c r="H150" s="297"/>
    </row>
    <row r="151" spans="8:8">
      <c r="H151" s="297"/>
    </row>
    <row r="152" spans="8:8">
      <c r="H152" s="297"/>
    </row>
    <row r="153" spans="8:8">
      <c r="H153" s="297"/>
    </row>
    <row r="154" spans="8:8">
      <c r="H154" s="297"/>
    </row>
    <row r="155" spans="8:8">
      <c r="H155" s="297"/>
    </row>
    <row r="158" spans="8:8">
      <c r="H158" s="297"/>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129</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L95"/>
  <sheetViews>
    <sheetView zoomScale="95" zoomScaleNormal="95" zoomScaleSheetLayoutView="70" workbookViewId="0">
      <pane xSplit="1" ySplit="5" topLeftCell="C21" activePane="bottomRight" state="frozen"/>
      <selection pane="topRight" activeCell="B1" sqref="B1"/>
      <selection pane="bottomLeft" activeCell="A6" sqref="A6"/>
      <selection pane="bottomRight" activeCell="I26" sqref="I26"/>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9">
        <v>43739</v>
      </c>
      <c r="H1" s="550"/>
      <c r="I1" s="106" t="s">
        <v>49</v>
      </c>
    </row>
    <row r="2" spans="1:9" ht="21">
      <c r="A2" s="37" t="s">
        <v>152</v>
      </c>
      <c r="B2" s="35"/>
      <c r="C2" s="35"/>
      <c r="D2" s="36"/>
      <c r="E2" s="36" t="s">
        <v>51</v>
      </c>
      <c r="F2" s="65"/>
      <c r="G2" s="551"/>
      <c r="H2" s="55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Allocations'!F155</f>
        <v>1261.54</v>
      </c>
      <c r="C6" s="140"/>
      <c r="D6" s="141"/>
      <c r="E6" s="142">
        <f>SUM(B6:D6)</f>
        <v>1261.54</v>
      </c>
      <c r="F6" s="143">
        <f>E6+'Sept-2019'!F6</f>
        <v>4730.7700000000004</v>
      </c>
      <c r="G6" s="143">
        <v>16400</v>
      </c>
      <c r="H6" s="144">
        <f>G6-F6</f>
        <v>11669.23</v>
      </c>
      <c r="I6" s="108">
        <f>F6/G6</f>
        <v>0.2884615853658537</v>
      </c>
    </row>
    <row r="7" spans="1:9" s="103" customFormat="1" ht="25.5" customHeight="1">
      <c r="A7" s="138" t="s">
        <v>146</v>
      </c>
      <c r="B7" s="139">
        <f>+'Salaries &amp; Fringe Allocations'!F156</f>
        <v>2192.86</v>
      </c>
      <c r="C7" s="140"/>
      <c r="D7" s="141">
        <f>+'Salaries &amp; Fringe Allocations'!F157</f>
        <v>2807.14</v>
      </c>
      <c r="E7" s="142">
        <f t="shared" ref="E7:E14" si="0">SUM(B7:D7)</f>
        <v>5000</v>
      </c>
      <c r="F7" s="143">
        <f>E7+'Sept-2019'!F7</f>
        <v>18750</v>
      </c>
      <c r="G7" s="143">
        <v>66000</v>
      </c>
      <c r="H7" s="144">
        <f>G7-F7</f>
        <v>47250</v>
      </c>
      <c r="I7" s="108">
        <f t="shared" ref="I7:I20" si="1">F7/G7</f>
        <v>0.28409090909090912</v>
      </c>
    </row>
    <row r="8" spans="1:9" s="103" customFormat="1" ht="25.5" customHeight="1">
      <c r="A8" s="138" t="s">
        <v>155</v>
      </c>
      <c r="B8" s="139"/>
      <c r="C8" s="140"/>
      <c r="D8" s="141">
        <f>+'Salaries &amp; Fringe Allocations'!F158</f>
        <v>3076.94</v>
      </c>
      <c r="E8" s="142">
        <f t="shared" si="0"/>
        <v>3076.94</v>
      </c>
      <c r="F8" s="143">
        <f>E8+'Sept-2019'!F8</f>
        <v>10000.060000000001</v>
      </c>
      <c r="G8" s="143">
        <v>40000</v>
      </c>
      <c r="H8" s="144">
        <f t="shared" ref="H8:H12" si="2">G8-F8</f>
        <v>29999.94</v>
      </c>
      <c r="I8" s="108">
        <f t="shared" si="1"/>
        <v>0.25000150000000004</v>
      </c>
    </row>
    <row r="9" spans="1:9" s="103" customFormat="1" ht="25.5" customHeight="1">
      <c r="A9" s="138" t="s">
        <v>147</v>
      </c>
      <c r="B9" s="139"/>
      <c r="C9" s="140"/>
      <c r="D9" s="141">
        <f>+'Salaries &amp; Fringe Allocations'!F159</f>
        <v>2192.3200000000002</v>
      </c>
      <c r="E9" s="142">
        <f t="shared" si="0"/>
        <v>2192.3200000000002</v>
      </c>
      <c r="F9" s="143">
        <f>E9+'Sept-2019'!F9</f>
        <v>7961.68</v>
      </c>
      <c r="G9" s="143">
        <v>30000</v>
      </c>
      <c r="H9" s="144">
        <f t="shared" si="2"/>
        <v>22038.32</v>
      </c>
      <c r="I9" s="108">
        <f t="shared" si="1"/>
        <v>0.26538933333333337</v>
      </c>
    </row>
    <row r="10" spans="1:9" s="103" customFormat="1" ht="25.5" customHeight="1">
      <c r="A10" s="138" t="s">
        <v>568</v>
      </c>
      <c r="B10" s="139"/>
      <c r="C10" s="140"/>
      <c r="D10" s="141">
        <f>+'Salaries &amp; Fringe Allocations'!F160</f>
        <v>1586.2</v>
      </c>
      <c r="E10" s="142">
        <f t="shared" si="0"/>
        <v>1586.2</v>
      </c>
      <c r="F10" s="143">
        <f>E10+'Sept-2019'!F10</f>
        <v>5796.84</v>
      </c>
      <c r="G10" s="143">
        <v>21500</v>
      </c>
      <c r="H10" s="144">
        <f t="shared" si="2"/>
        <v>15703.16</v>
      </c>
      <c r="I10" s="108">
        <f t="shared" si="1"/>
        <v>0.26962046511627907</v>
      </c>
    </row>
    <row r="11" spans="1:9" s="103" customFormat="1" ht="25.5" customHeight="1">
      <c r="A11" s="138" t="s">
        <v>148</v>
      </c>
      <c r="B11" s="139"/>
      <c r="C11" s="140"/>
      <c r="D11" s="141"/>
      <c r="E11" s="142">
        <f t="shared" si="0"/>
        <v>0</v>
      </c>
      <c r="F11" s="143">
        <f>E11+'Sept-2019'!F11</f>
        <v>6984.67</v>
      </c>
      <c r="G11" s="143">
        <v>36000</v>
      </c>
      <c r="H11" s="144">
        <f t="shared" si="2"/>
        <v>29015.33</v>
      </c>
      <c r="I11" s="108">
        <f t="shared" si="1"/>
        <v>0.1940186111111111</v>
      </c>
    </row>
    <row r="12" spans="1:9" s="103" customFormat="1" ht="25.5" customHeight="1">
      <c r="A12" s="138" t="s">
        <v>363</v>
      </c>
      <c r="B12" s="139">
        <f>+'Salaries &amp; Fringe Allocations'!F163</f>
        <v>846.15</v>
      </c>
      <c r="C12" s="140"/>
      <c r="D12" s="141"/>
      <c r="E12" s="142">
        <f t="shared" si="0"/>
        <v>846.15</v>
      </c>
      <c r="F12" s="143">
        <f>E12+'Sept-2019'!F12</f>
        <v>2538.4499999999998</v>
      </c>
      <c r="G12" s="143">
        <v>4000</v>
      </c>
      <c r="H12" s="144">
        <f t="shared" si="2"/>
        <v>1461.5500000000002</v>
      </c>
      <c r="I12" s="108">
        <f t="shared" si="1"/>
        <v>0.63461249999999991</v>
      </c>
    </row>
    <row r="13" spans="1:9" s="103" customFormat="1" ht="25.5" hidden="1" customHeight="1">
      <c r="A13" s="138"/>
      <c r="B13" s="139"/>
      <c r="C13" s="140"/>
      <c r="D13" s="141"/>
      <c r="E13" s="142">
        <f t="shared" si="0"/>
        <v>0</v>
      </c>
      <c r="F13" s="143"/>
      <c r="G13" s="143"/>
      <c r="H13" s="144"/>
      <c r="I13" s="108"/>
    </row>
    <row r="14" spans="1:9" s="103" customFormat="1" ht="25.5" hidden="1" customHeight="1">
      <c r="A14" s="138"/>
      <c r="B14" s="139"/>
      <c r="C14" s="140"/>
      <c r="D14" s="140"/>
      <c r="E14" s="142">
        <f t="shared" si="0"/>
        <v>0</v>
      </c>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4300.55</v>
      </c>
      <c r="C16" s="147">
        <f>SUM(C6:C15)</f>
        <v>0</v>
      </c>
      <c r="D16" s="147">
        <f t="shared" ref="D16" si="3">SUM(D6:D15)</f>
        <v>9662.6</v>
      </c>
      <c r="E16" s="147">
        <f>SUM(E6:E15)</f>
        <v>13963.15</v>
      </c>
      <c r="F16" s="148">
        <f>SUM(F6:F15)</f>
        <v>56762.47</v>
      </c>
      <c r="G16" s="148">
        <f>SUM(G6:G15)</f>
        <v>213900</v>
      </c>
      <c r="H16" s="148">
        <f>SUM(H6:H15)</f>
        <v>157137.52999999997</v>
      </c>
      <c r="I16" s="108">
        <f t="shared" si="1"/>
        <v>0.26536919121084618</v>
      </c>
    </row>
    <row r="17" spans="1:10" s="103" customFormat="1" ht="15.5">
      <c r="A17" s="150"/>
      <c r="B17" s="151"/>
      <c r="C17" s="152"/>
      <c r="D17" s="152"/>
      <c r="E17" s="153"/>
      <c r="F17" s="70"/>
      <c r="G17" s="70"/>
      <c r="H17" s="70"/>
      <c r="I17" s="109"/>
    </row>
    <row r="18" spans="1:10" s="103" customFormat="1" ht="15.5">
      <c r="A18" s="117" t="s">
        <v>34</v>
      </c>
      <c r="B18" s="154">
        <f>+'Salaries &amp; Fringe Allocations'!Q155+'Salaries &amp; Fringe Allocations'!Q156+'Salaries &amp; Fringe Allocations'!Q161+'Salaries &amp; Fringe Allocations'!Q163</f>
        <v>2590.7236521749851</v>
      </c>
      <c r="C18" s="155"/>
      <c r="D18" s="155">
        <f>+'Salaries &amp; Fringe Allocations'!Q157+'Salaries &amp; Fringe Allocations'!Q158+'Salaries &amp; Fringe Allocations'!Q159+'Salaries &amp; Fringe Allocations'!Q160+'Salaries &amp; Fringe Allocations'!Q162</f>
        <v>2661.3133478250147</v>
      </c>
      <c r="E18" s="156">
        <f>SUM(B18:D18)</f>
        <v>5252.0370000000003</v>
      </c>
      <c r="F18" s="143">
        <f>E18+'Sept-2019'!F18</f>
        <v>21187.527378497067</v>
      </c>
      <c r="G18" s="71">
        <v>68136</v>
      </c>
      <c r="H18" s="72">
        <f>G18-F18</f>
        <v>46948.472621502937</v>
      </c>
      <c r="I18" s="108">
        <f t="shared" si="1"/>
        <v>0.31095936624540721</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6891.2736521749848</v>
      </c>
      <c r="C20" s="158">
        <f t="shared" si="5"/>
        <v>0</v>
      </c>
      <c r="D20" s="158">
        <f t="shared" si="5"/>
        <v>12323.913347825015</v>
      </c>
      <c r="E20" s="159">
        <f t="shared" si="5"/>
        <v>19215.186999999998</v>
      </c>
      <c r="F20" s="198">
        <f t="shared" si="5"/>
        <v>77949.997378497064</v>
      </c>
      <c r="G20" s="73">
        <f>G16+G18</f>
        <v>282036</v>
      </c>
      <c r="H20" s="73">
        <f>H16+H18</f>
        <v>204086.00262150291</v>
      </c>
      <c r="I20" s="110">
        <f t="shared" si="1"/>
        <v>0.27638314746520681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+'Oct-2019 GL'!G82</f>
        <v>271.3</v>
      </c>
      <c r="C23" s="140"/>
      <c r="D23" s="141"/>
      <c r="E23" s="142">
        <f>SUM(B23:D23)</f>
        <v>271.3</v>
      </c>
      <c r="F23" s="143">
        <f>E23+'Sept-2019'!F23</f>
        <v>1138.8799999999999</v>
      </c>
      <c r="G23" s="143">
        <v>4000</v>
      </c>
      <c r="H23" s="144">
        <f>G23-F23</f>
        <v>2861.12</v>
      </c>
      <c r="I23" s="108">
        <f t="shared" ref="I23:I37" si="6">F23/G23</f>
        <v>0.28471999999999997</v>
      </c>
      <c r="J23" s="102"/>
    </row>
    <row r="24" spans="1:10" s="103" customFormat="1" ht="24" customHeight="1">
      <c r="A24" s="161" t="s">
        <v>0</v>
      </c>
      <c r="B24" s="139">
        <f>+'Oct-2019 GL'!G88</f>
        <v>254</v>
      </c>
      <c r="C24" s="140"/>
      <c r="D24" s="141">
        <f>+'Oct-2019 GL'!G85</f>
        <v>30.5</v>
      </c>
      <c r="E24" s="142">
        <f t="shared" ref="E24:E35" si="7">SUM(B24:D24)</f>
        <v>284.5</v>
      </c>
      <c r="F24" s="143">
        <f>E24+'Sept-2019'!F24</f>
        <v>755.99</v>
      </c>
      <c r="G24" s="143">
        <v>7000</v>
      </c>
      <c r="H24" s="144">
        <f t="shared" ref="H24:H31" si="8">G24-F24</f>
        <v>6244.01</v>
      </c>
      <c r="I24" s="108">
        <f t="shared" si="6"/>
        <v>0.10799857142857143</v>
      </c>
      <c r="J24" s="102"/>
    </row>
    <row r="25" spans="1:10" s="103" customFormat="1" ht="24" customHeight="1">
      <c r="A25" s="161" t="s">
        <v>39</v>
      </c>
      <c r="B25" s="139"/>
      <c r="C25" s="140"/>
      <c r="D25" s="141"/>
      <c r="E25" s="142">
        <f t="shared" si="7"/>
        <v>0</v>
      </c>
      <c r="F25" s="143">
        <f>E25+'Sept-2019'!F25</f>
        <v>0</v>
      </c>
      <c r="G25" s="143">
        <v>2000</v>
      </c>
      <c r="H25" s="144">
        <f t="shared" si="8"/>
        <v>2000</v>
      </c>
      <c r="I25" s="108">
        <f t="shared" si="6"/>
        <v>0</v>
      </c>
      <c r="J25" s="102"/>
    </row>
    <row r="26" spans="1:10" s="103" customFormat="1" ht="24" customHeight="1">
      <c r="A26" s="161" t="s">
        <v>40</v>
      </c>
      <c r="B26" s="139">
        <f>+'Oct-2019 GL'!G95</f>
        <v>683</v>
      </c>
      <c r="C26" s="140"/>
      <c r="D26" s="141"/>
      <c r="E26" s="142">
        <f t="shared" si="7"/>
        <v>683</v>
      </c>
      <c r="F26" s="143">
        <f>E26+'Sept-2019'!F26</f>
        <v>2146.69</v>
      </c>
      <c r="G26" s="143">
        <v>13200</v>
      </c>
      <c r="H26" s="144">
        <f t="shared" si="8"/>
        <v>11053.31</v>
      </c>
      <c r="I26" s="108">
        <f t="shared" si="6"/>
        <v>0.1626280303030303</v>
      </c>
      <c r="J26" s="102"/>
    </row>
    <row r="27" spans="1:10" s="103" customFormat="1" ht="24" customHeight="1">
      <c r="A27" s="161" t="s">
        <v>41</v>
      </c>
      <c r="B27" s="139">
        <f>+'Oct-2019 GL'!G117</f>
        <v>766</v>
      </c>
      <c r="C27" s="140"/>
      <c r="D27" s="141">
        <f>+'Oct-2019 GL'!G100</f>
        <v>648</v>
      </c>
      <c r="E27" s="142">
        <f t="shared" si="7"/>
        <v>1414</v>
      </c>
      <c r="F27" s="143">
        <f>E27+'Sept-2019'!F27</f>
        <v>4193.2700000000004</v>
      </c>
      <c r="G27" s="143">
        <v>12000</v>
      </c>
      <c r="H27" s="144">
        <f t="shared" si="8"/>
        <v>7806.73</v>
      </c>
      <c r="I27" s="108">
        <f t="shared" si="6"/>
        <v>0.34943916666666669</v>
      </c>
      <c r="J27" s="102"/>
    </row>
    <row r="28" spans="1:10" s="103" customFormat="1" ht="24" customHeight="1">
      <c r="A28" s="161" t="s">
        <v>42</v>
      </c>
      <c r="B28" s="139"/>
      <c r="C28" s="9"/>
      <c r="D28" s="9"/>
      <c r="E28" s="142">
        <f>SUM(B28:D28)</f>
        <v>0</v>
      </c>
      <c r="F28" s="143">
        <f>E28+'Sept-2019'!F28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E29+'Sept-2019'!F29</f>
        <v>0</v>
      </c>
      <c r="G29" s="143">
        <v>570</v>
      </c>
      <c r="H29" s="144">
        <f t="shared" si="8"/>
        <v>570</v>
      </c>
      <c r="I29" s="108">
        <f t="shared" si="6"/>
        <v>0</v>
      </c>
      <c r="J29" s="102"/>
    </row>
    <row r="30" spans="1:10" s="103" customFormat="1" ht="24" customHeight="1">
      <c r="A30" s="162" t="s">
        <v>43</v>
      </c>
      <c r="B30" s="139">
        <f>+'Oct-2019 GL'!G124</f>
        <v>274</v>
      </c>
      <c r="C30" s="140"/>
      <c r="D30" s="141"/>
      <c r="E30" s="142">
        <f t="shared" si="7"/>
        <v>274</v>
      </c>
      <c r="F30" s="143">
        <f>E30+'Sept-2019'!F30</f>
        <v>1283.95</v>
      </c>
      <c r="G30" s="143">
        <v>6475</v>
      </c>
      <c r="H30" s="144">
        <f t="shared" si="8"/>
        <v>5191.05</v>
      </c>
      <c r="I30" s="108">
        <f t="shared" si="6"/>
        <v>0.19829343629343629</v>
      </c>
      <c r="J30" s="102"/>
    </row>
    <row r="31" spans="1:10" s="103" customFormat="1" ht="24" customHeight="1">
      <c r="A31" s="162" t="s">
        <v>44</v>
      </c>
      <c r="B31" s="139"/>
      <c r="C31" s="140">
        <f>+'Oct-2019 GL'!G25</f>
        <v>900.49</v>
      </c>
      <c r="D31" s="141"/>
      <c r="E31" s="142">
        <f t="shared" si="7"/>
        <v>900.49</v>
      </c>
      <c r="F31" s="143">
        <f>E31+'Sept-2019'!F31</f>
        <v>3651.96</v>
      </c>
      <c r="G31" s="143">
        <v>13000</v>
      </c>
      <c r="H31" s="144">
        <f t="shared" si="8"/>
        <v>9348.0400000000009</v>
      </c>
      <c r="I31" s="108">
        <f t="shared" si="6"/>
        <v>0.28092</v>
      </c>
      <c r="J31" s="102"/>
    </row>
    <row r="32" spans="1:10" s="103" customFormat="1" ht="24" customHeight="1">
      <c r="A32" s="162" t="s">
        <v>81</v>
      </c>
      <c r="B32" s="139"/>
      <c r="C32" s="140"/>
      <c r="D32" s="141"/>
      <c r="E32" s="142">
        <f t="shared" si="7"/>
        <v>0</v>
      </c>
      <c r="F32" s="143">
        <f>E32+'Sept-2019'!F32</f>
        <v>0</v>
      </c>
      <c r="G32" s="143">
        <v>1500</v>
      </c>
      <c r="H32" s="144">
        <f>G32-F32</f>
        <v>1500</v>
      </c>
      <c r="I32" s="108">
        <f t="shared" si="6"/>
        <v>0</v>
      </c>
      <c r="J32" s="102"/>
    </row>
    <row r="33" spans="1:10" s="103" customFormat="1" ht="24" customHeight="1">
      <c r="A33" s="162" t="s">
        <v>45</v>
      </c>
      <c r="B33" s="139">
        <f>+'Oct-2019 GL'!G137</f>
        <v>107</v>
      </c>
      <c r="C33" s="140"/>
      <c r="D33" s="141"/>
      <c r="E33" s="142">
        <f t="shared" si="7"/>
        <v>107</v>
      </c>
      <c r="F33" s="143">
        <f>E33+'Sept-2019'!F33</f>
        <v>1361.8200000000002</v>
      </c>
      <c r="G33" s="143">
        <v>3000.7</v>
      </c>
      <c r="H33" s="144">
        <f>G33-F33</f>
        <v>1638.8799999999997</v>
      </c>
      <c r="I33" s="108">
        <f t="shared" si="6"/>
        <v>0.45383410537541247</v>
      </c>
      <c r="J33" s="102"/>
    </row>
    <row r="34" spans="1:10" s="103" customFormat="1" ht="24" customHeight="1">
      <c r="A34" s="162" t="s">
        <v>77</v>
      </c>
      <c r="B34" s="139">
        <f>+'Oct-2019 GL'!G152</f>
        <v>355.01</v>
      </c>
      <c r="C34" s="140"/>
      <c r="D34" s="141"/>
      <c r="E34" s="142">
        <f t="shared" si="7"/>
        <v>355.01</v>
      </c>
      <c r="F34" s="143">
        <f>E34+'Sept-2019'!F34</f>
        <v>1036.02</v>
      </c>
      <c r="G34" s="143">
        <v>3000</v>
      </c>
      <c r="H34" s="144">
        <f t="shared" si="4"/>
        <v>1963.98</v>
      </c>
      <c r="I34" s="108">
        <f t="shared" si="6"/>
        <v>0.34533999999999998</v>
      </c>
      <c r="J34" s="102"/>
    </row>
    <row r="35" spans="1:10" s="103" customFormat="1" ht="24" customHeight="1">
      <c r="A35" s="162" t="s">
        <v>150</v>
      </c>
      <c r="B35" s="139">
        <f>+'Oct-2019 GL'!G157</f>
        <v>443</v>
      </c>
      <c r="C35" s="140"/>
      <c r="D35" s="141"/>
      <c r="E35" s="142">
        <f t="shared" si="7"/>
        <v>443</v>
      </c>
      <c r="F35" s="143">
        <f>E35+'Sept-2019'!F35</f>
        <v>1757.72</v>
      </c>
      <c r="G35" s="143">
        <v>4000</v>
      </c>
      <c r="H35" s="144">
        <f t="shared" si="4"/>
        <v>2242.2799999999997</v>
      </c>
      <c r="I35" s="108">
        <f t="shared" si="6"/>
        <v>0.43942999999999999</v>
      </c>
      <c r="J35" s="102"/>
    </row>
    <row r="36" spans="1:10" s="103" customFormat="1" ht="24" customHeight="1">
      <c r="A36" s="162" t="s">
        <v>151</v>
      </c>
      <c r="B36" s="151">
        <f>+'Oct-2019 GL'!G162</f>
        <v>34</v>
      </c>
      <c r="C36" s="152"/>
      <c r="D36" s="163"/>
      <c r="E36" s="142">
        <f t="shared" ref="E36" si="9">SUM(B36:D36)</f>
        <v>34</v>
      </c>
      <c r="F36" s="143">
        <f>E36+'Sept-2019'!F36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3187.3100000000004</v>
      </c>
      <c r="C37" s="166">
        <f t="shared" ref="C37:E37" si="12">SUM(C23:C36)</f>
        <v>900.49</v>
      </c>
      <c r="D37" s="166">
        <f t="shared" si="12"/>
        <v>678.5</v>
      </c>
      <c r="E37" s="166">
        <f t="shared" si="12"/>
        <v>4766.3</v>
      </c>
      <c r="F37" s="167">
        <f>SUM(F23:F36)</f>
        <v>18528.59</v>
      </c>
      <c r="G37" s="167">
        <f>SUM(G23:G36)</f>
        <v>76745.7</v>
      </c>
      <c r="H37" s="167">
        <f>SUM(H23:H36)</f>
        <v>58217.110000000008</v>
      </c>
      <c r="I37" s="110">
        <f t="shared" si="6"/>
        <v>0.24142837970075198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+'Oct-2019 GL'!G10</f>
        <v>96842</v>
      </c>
      <c r="D41" s="170"/>
      <c r="E41" s="171">
        <f>SUM(B41:D41)</f>
        <v>96842</v>
      </c>
      <c r="F41" s="143">
        <f>E41+'Sept-2019'!F41</f>
        <v>340593.48</v>
      </c>
      <c r="G41" s="144">
        <v>1452829.24</v>
      </c>
      <c r="H41" s="144">
        <f>G41-F41-F42</f>
        <v>1110075.1300000001</v>
      </c>
      <c r="I41" s="108">
        <f t="shared" ref="I41:I56" si="13">F41/G41</f>
        <v>0.23443462632951961</v>
      </c>
    </row>
    <row r="42" spans="1:10" s="168" customFormat="1" ht="21.75" customHeight="1">
      <c r="A42" s="138" t="s">
        <v>83</v>
      </c>
      <c r="B42" s="139"/>
      <c r="C42" s="170">
        <f>+'Oct-2019 GL'!G13</f>
        <v>164.11</v>
      </c>
      <c r="D42" s="170"/>
      <c r="E42" s="171">
        <f>SUM(B42:D42)</f>
        <v>164.11</v>
      </c>
      <c r="F42" s="143">
        <f>+E42+'Sept-2019'!F42</f>
        <v>2160.63</v>
      </c>
      <c r="G42" s="144"/>
      <c r="H42" s="144"/>
      <c r="I42" s="108">
        <v>0</v>
      </c>
    </row>
    <row r="43" spans="1:10" s="168" customFormat="1" ht="21.75" customHeight="1">
      <c r="A43" s="138" t="s">
        <v>80</v>
      </c>
      <c r="B43" s="139"/>
      <c r="C43" s="170"/>
      <c r="D43" s="170"/>
      <c r="E43" s="171">
        <f t="shared" ref="E43:E47" si="14">SUM(B43:D43)</f>
        <v>0</v>
      </c>
      <c r="F43" s="143">
        <f>E43+'Sept-2019'!F43</f>
        <v>0</v>
      </c>
      <c r="G43" s="144">
        <v>12820</v>
      </c>
      <c r="H43" s="144">
        <f t="shared" ref="H43:H47" si="15">G43-F43</f>
        <v>12820</v>
      </c>
      <c r="I43" s="108">
        <f t="shared" si="13"/>
        <v>0</v>
      </c>
    </row>
    <row r="44" spans="1:10" s="168" customFormat="1" ht="21.75" customHeight="1">
      <c r="A44" s="138" t="s">
        <v>78</v>
      </c>
      <c r="B44" s="139"/>
      <c r="C44" s="170">
        <f>+'Oct-2019 GL'!G18</f>
        <v>7408.45</v>
      </c>
      <c r="D44" s="170"/>
      <c r="E44" s="171">
        <f t="shared" si="14"/>
        <v>7408.45</v>
      </c>
      <c r="F44" s="143">
        <f>E44+'Sept-2019'!F44</f>
        <v>26124.720000000001</v>
      </c>
      <c r="G44" s="144">
        <v>111141.44</v>
      </c>
      <c r="H44" s="144">
        <f t="shared" si="15"/>
        <v>85016.72</v>
      </c>
      <c r="I44" s="108">
        <f t="shared" si="13"/>
        <v>0.23505831848138733</v>
      </c>
    </row>
    <row r="45" spans="1:10" s="168" customFormat="1" ht="21.75" customHeight="1">
      <c r="A45" s="138" t="s">
        <v>29</v>
      </c>
      <c r="B45" s="139"/>
      <c r="C45" s="140">
        <f>+'Oct-2019 GL'!G21</f>
        <v>2898.28</v>
      </c>
      <c r="D45" s="140"/>
      <c r="E45" s="172">
        <f t="shared" si="14"/>
        <v>2898.28</v>
      </c>
      <c r="F45" s="143">
        <f>E45+'Sept-2019'!F45</f>
        <v>10556.48</v>
      </c>
      <c r="G45" s="144">
        <v>22373.57</v>
      </c>
      <c r="H45" s="144">
        <f t="shared" si="15"/>
        <v>11817.09</v>
      </c>
      <c r="I45" s="108">
        <f t="shared" si="13"/>
        <v>0.47182814365342679</v>
      </c>
    </row>
    <row r="46" spans="1:10" s="168" customFormat="1" ht="21.75" customHeight="1">
      <c r="A46" s="138" t="s">
        <v>79</v>
      </c>
      <c r="B46" s="139"/>
      <c r="C46" s="140"/>
      <c r="D46" s="140"/>
      <c r="E46" s="172">
        <f t="shared" si="14"/>
        <v>0</v>
      </c>
      <c r="F46" s="143">
        <f>E46+'Sept-2019'!F46</f>
        <v>0</v>
      </c>
      <c r="G46" s="144">
        <v>8500</v>
      </c>
      <c r="H46" s="144">
        <f t="shared" si="15"/>
        <v>8500</v>
      </c>
      <c r="I46" s="108">
        <f t="shared" si="13"/>
        <v>0</v>
      </c>
    </row>
    <row r="47" spans="1:10" s="168" customFormat="1" ht="21.75" customHeight="1">
      <c r="A47" s="138" t="s">
        <v>168</v>
      </c>
      <c r="B47" s="151"/>
      <c r="C47" s="152"/>
      <c r="D47" s="152"/>
      <c r="E47" s="172">
        <f t="shared" si="14"/>
        <v>0</v>
      </c>
      <c r="F47" s="143">
        <f>E47+'Sept-2019'!F47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107312.84</v>
      </c>
      <c r="D48" s="166">
        <f t="shared" si="16"/>
        <v>0</v>
      </c>
      <c r="E48" s="166">
        <f t="shared" si="16"/>
        <v>107312.84</v>
      </c>
      <c r="F48" s="75">
        <f>SUM(F41:F47)</f>
        <v>379435.30999999994</v>
      </c>
      <c r="G48" s="75">
        <f>SUM(G41:G47)</f>
        <v>1637294.25</v>
      </c>
      <c r="H48" s="75">
        <f t="shared" ref="H48" si="17">SUM(H41:H47)</f>
        <v>1257858.9400000002</v>
      </c>
      <c r="I48" s="110">
        <f t="shared" si="13"/>
        <v>0.23174533838373887</v>
      </c>
    </row>
    <row r="49" spans="1:12" s="175" customFormat="1" ht="16" thickTop="1">
      <c r="A49" s="117"/>
      <c r="B49" s="173"/>
      <c r="C49" s="98"/>
      <c r="D49" s="173"/>
      <c r="E49" s="174"/>
      <c r="F49" s="69"/>
      <c r="G49" s="69"/>
      <c r="H49" s="69"/>
      <c r="I49" s="109"/>
      <c r="L49" s="175">
        <f>60*12</f>
        <v>720</v>
      </c>
    </row>
    <row r="50" spans="1:12" s="175" customFormat="1" ht="15.5">
      <c r="A50" s="10" t="s">
        <v>157</v>
      </c>
      <c r="B50" s="176">
        <v>0</v>
      </c>
      <c r="C50" s="9"/>
      <c r="D50" s="9"/>
      <c r="E50" s="177">
        <f>B50</f>
        <v>0</v>
      </c>
      <c r="F50" s="143">
        <f>E50+'Sept-2019'!F50</f>
        <v>0</v>
      </c>
      <c r="G50" s="76">
        <v>17532.59</v>
      </c>
      <c r="H50" s="144">
        <f>G50-F50</f>
        <v>17532.59</v>
      </c>
      <c r="I50" s="108">
        <f t="shared" si="13"/>
        <v>0</v>
      </c>
    </row>
    <row r="51" spans="1:12" s="175" customFormat="1" ht="15.5">
      <c r="A51" s="117"/>
      <c r="B51" s="173"/>
      <c r="C51" s="174"/>
      <c r="D51" s="174"/>
      <c r="E51" s="174"/>
      <c r="F51" s="69"/>
      <c r="G51" s="69"/>
      <c r="H51" s="69"/>
      <c r="I51" s="109"/>
    </row>
    <row r="52" spans="1:12" s="103" customFormat="1" ht="16" thickBot="1">
      <c r="A52" s="117" t="s">
        <v>31</v>
      </c>
      <c r="B52" s="157">
        <f>B20+B37+B48+B50</f>
        <v>10078.583652174984</v>
      </c>
      <c r="C52" s="158">
        <f>C20+C37+C48</f>
        <v>108213.33</v>
      </c>
      <c r="D52" s="158">
        <f>D20+D37+D48</f>
        <v>13002.413347825015</v>
      </c>
      <c r="E52" s="158">
        <f>E37+E20+E48+E50</f>
        <v>131294.32699999999</v>
      </c>
      <c r="F52" s="77">
        <f>F37+F20+F48+F50</f>
        <v>475913.897378497</v>
      </c>
      <c r="G52" s="77">
        <f>G37+G20+G48+G50</f>
        <v>2013608.54</v>
      </c>
      <c r="H52" s="77">
        <f>H37+H20+H48+H50</f>
        <v>1537694.6426215032</v>
      </c>
      <c r="I52" s="110">
        <f t="shared" si="13"/>
        <v>0.23634876785857145</v>
      </c>
    </row>
    <row r="53" spans="1:12" s="103" customFormat="1" ht="16" thickTop="1">
      <c r="A53" s="117"/>
      <c r="B53" s="178"/>
      <c r="C53" s="100"/>
      <c r="D53" s="100"/>
      <c r="E53" s="152"/>
      <c r="F53" s="78"/>
      <c r="G53" s="78"/>
      <c r="H53" s="78"/>
      <c r="I53" s="109"/>
    </row>
    <row r="54" spans="1:12" s="103" customFormat="1" ht="15.5">
      <c r="A54" s="117" t="s">
        <v>32</v>
      </c>
      <c r="B54" s="178"/>
      <c r="C54" s="100"/>
      <c r="D54" s="100"/>
      <c r="E54" s="179">
        <f>+'Oct-2019 GL'!G166</f>
        <v>6922.5</v>
      </c>
      <c r="F54" s="392">
        <f>E54+'Sept-2019'!F54</f>
        <v>14414.64</v>
      </c>
      <c r="G54" s="76">
        <v>242467.32</v>
      </c>
      <c r="H54" s="180">
        <f>G54-F54</f>
        <v>228052.68</v>
      </c>
      <c r="I54" s="108">
        <f t="shared" si="13"/>
        <v>5.9449826063157706E-2</v>
      </c>
    </row>
    <row r="55" spans="1:12" s="103" customFormat="1" ht="15.5">
      <c r="A55" s="117"/>
      <c r="B55" s="178"/>
      <c r="C55" s="100"/>
      <c r="D55" s="100"/>
      <c r="E55" s="152"/>
      <c r="F55" s="78"/>
      <c r="G55" s="78"/>
      <c r="H55" s="78"/>
      <c r="I55" s="109"/>
    </row>
    <row r="56" spans="1:12" s="103" customFormat="1" ht="16" thickBot="1">
      <c r="A56" s="117" t="s">
        <v>33</v>
      </c>
      <c r="B56" s="181">
        <f t="shared" ref="B56:H56" si="18">B52+B54</f>
        <v>10078.583652174984</v>
      </c>
      <c r="C56" s="99">
        <f t="shared" si="18"/>
        <v>108213.33</v>
      </c>
      <c r="D56" s="99">
        <f t="shared" si="18"/>
        <v>13002.413347825015</v>
      </c>
      <c r="E56" s="158">
        <f t="shared" si="18"/>
        <v>138216.82699999999</v>
      </c>
      <c r="F56" s="77">
        <f t="shared" si="18"/>
        <v>490328.53737849701</v>
      </c>
      <c r="G56" s="77">
        <f t="shared" si="18"/>
        <v>2256075.86</v>
      </c>
      <c r="H56" s="77">
        <f t="shared" si="18"/>
        <v>1765747.3226215031</v>
      </c>
      <c r="I56" s="110">
        <f t="shared" si="13"/>
        <v>0.21733690168490036</v>
      </c>
    </row>
    <row r="57" spans="1:12" s="103" customFormat="1" ht="15" thickTop="1">
      <c r="A57" s="182"/>
      <c r="B57" s="183"/>
      <c r="C57" s="183"/>
      <c r="D57" s="183"/>
      <c r="E57" s="184"/>
      <c r="F57" s="436" t="s">
        <v>47</v>
      </c>
      <c r="G57" s="79"/>
      <c r="H57" s="185"/>
      <c r="I57" s="111"/>
    </row>
    <row r="58" spans="1:12" s="103" customFormat="1" ht="21.5" thickBot="1">
      <c r="A58" s="117" t="s">
        <v>35</v>
      </c>
      <c r="B58" s="101"/>
      <c r="C58" s="101"/>
      <c r="D58" s="101"/>
      <c r="E58" s="186">
        <f>+E20+E37-E31+E42+E45+E46+E47+E50</f>
        <v>26143.386999999995</v>
      </c>
      <c r="F58" s="80"/>
      <c r="G58" s="80"/>
      <c r="H58" s="80"/>
      <c r="I58" s="111"/>
    </row>
    <row r="59" spans="1:12" s="103" customFormat="1" ht="15.5" thickTop="1" thickBot="1">
      <c r="A59" s="182"/>
      <c r="B59" s="101"/>
      <c r="C59" s="101"/>
      <c r="D59" s="101"/>
      <c r="E59" s="184"/>
      <c r="F59" s="80"/>
      <c r="G59" s="80"/>
      <c r="H59" s="80"/>
      <c r="I59" s="111"/>
    </row>
    <row r="60" spans="1:12" s="103" customFormat="1">
      <c r="A60" s="501" t="s">
        <v>7</v>
      </c>
      <c r="B60" s="502"/>
      <c r="C60" s="502"/>
      <c r="D60" s="502"/>
      <c r="E60" s="503"/>
      <c r="F60" s="81"/>
      <c r="G60" s="82"/>
      <c r="H60" s="82"/>
      <c r="I60" s="111"/>
    </row>
    <row r="61" spans="1:12" s="103" customFormat="1">
      <c r="A61" s="187"/>
      <c r="B61" s="188"/>
      <c r="C61" s="188"/>
      <c r="D61" s="188"/>
      <c r="E61" s="189"/>
      <c r="F61" s="81"/>
      <c r="G61" s="82"/>
      <c r="H61" s="82"/>
      <c r="I61" s="111"/>
    </row>
    <row r="62" spans="1:12" s="103" customFormat="1" ht="21">
      <c r="A62" s="187" t="s">
        <v>8</v>
      </c>
      <c r="B62" s="188"/>
      <c r="C62" s="188"/>
      <c r="D62" s="188"/>
      <c r="E62" s="200">
        <f>E58</f>
        <v>26143.386999999995</v>
      </c>
      <c r="F62" s="83"/>
      <c r="G62" s="82"/>
      <c r="H62" s="82"/>
      <c r="I62" s="111"/>
    </row>
    <row r="63" spans="1:12" s="103" customFormat="1" ht="16" hidden="1">
      <c r="A63" s="187"/>
      <c r="B63" s="188"/>
      <c r="C63" s="188"/>
      <c r="D63" s="188"/>
      <c r="E63" s="190"/>
      <c r="F63" s="83"/>
      <c r="G63" s="82"/>
      <c r="H63" s="82"/>
      <c r="I63" s="111"/>
    </row>
    <row r="64" spans="1:12"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0">
      <c r="A77" s="404" t="s">
        <v>569</v>
      </c>
      <c r="B77" s="402">
        <v>43776</v>
      </c>
      <c r="C77" s="7"/>
      <c r="D77" s="7"/>
      <c r="E77" s="7"/>
      <c r="F77" s="405" t="s">
        <v>445</v>
      </c>
      <c r="G77" s="88"/>
      <c r="H77" s="403">
        <v>43776</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0">
      <c r="A81" s="404" t="s">
        <v>443</v>
      </c>
      <c r="B81" s="402">
        <v>43776</v>
      </c>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246"/>
  <sheetViews>
    <sheetView workbookViewId="0">
      <pane ySplit="5" topLeftCell="A162" activePane="bottomLeft" state="frozen"/>
      <selection pane="bottomLeft" activeCell="A164" sqref="A164:XFD166"/>
    </sheetView>
  </sheetViews>
  <sheetFormatPr defaultColWidth="9.1796875" defaultRowHeight="14.5"/>
  <cols>
    <col min="1" max="1" width="2.453125" style="349" customWidth="1"/>
    <col min="2" max="4" width="12" style="349" customWidth="1"/>
    <col min="5" max="5" width="27.453125" style="349" customWidth="1"/>
    <col min="6" max="6" width="49" style="349" customWidth="1"/>
    <col min="7" max="7" width="12" style="349" customWidth="1"/>
    <col min="8" max="8" width="10.453125" style="366" customWidth="1"/>
    <col min="9" max="16384" width="9.1796875" style="349"/>
  </cols>
  <sheetData>
    <row r="1" spans="1:8" ht="18">
      <c r="A1" s="587" t="s">
        <v>277</v>
      </c>
      <c r="B1" s="587"/>
      <c r="C1" s="587"/>
      <c r="D1" s="587"/>
      <c r="E1" s="587"/>
      <c r="F1" s="587"/>
      <c r="G1" s="587"/>
      <c r="H1" s="587"/>
    </row>
    <row r="2" spans="1:8" ht="18">
      <c r="A2" s="587" t="s">
        <v>276</v>
      </c>
      <c r="B2" s="587"/>
      <c r="C2" s="587"/>
      <c r="D2" s="587"/>
      <c r="E2" s="587"/>
      <c r="F2" s="587"/>
      <c r="G2" s="587"/>
      <c r="H2" s="587"/>
    </row>
    <row r="3" spans="1:8">
      <c r="A3" s="588" t="s">
        <v>560</v>
      </c>
      <c r="B3" s="588"/>
      <c r="C3" s="588"/>
      <c r="D3" s="588"/>
      <c r="E3" s="588"/>
      <c r="F3" s="588"/>
      <c r="G3" s="588"/>
      <c r="H3" s="588"/>
    </row>
    <row r="5" spans="1:8" ht="24">
      <c r="A5" s="304"/>
      <c r="B5" s="354" t="s">
        <v>153</v>
      </c>
      <c r="C5" s="401" t="s">
        <v>430</v>
      </c>
      <c r="D5" s="354" t="s">
        <v>274</v>
      </c>
      <c r="E5" s="354" t="s">
        <v>273</v>
      </c>
      <c r="F5" s="354" t="s">
        <v>272</v>
      </c>
      <c r="G5" s="350" t="s">
        <v>271</v>
      </c>
      <c r="H5" s="203" t="s">
        <v>278</v>
      </c>
    </row>
    <row r="6" spans="1:8">
      <c r="A6" s="351" t="s">
        <v>270</v>
      </c>
      <c r="H6" s="206"/>
    </row>
    <row r="7" spans="1:8">
      <c r="A7" s="351" t="s">
        <v>269</v>
      </c>
      <c r="H7" s="305"/>
    </row>
    <row r="8" spans="1:8">
      <c r="B8" s="305" t="s">
        <v>556</v>
      </c>
      <c r="C8" s="305" t="s">
        <v>186</v>
      </c>
      <c r="D8" s="305" t="s">
        <v>555</v>
      </c>
      <c r="E8" s="305"/>
      <c r="F8" s="305" t="s">
        <v>559</v>
      </c>
      <c r="G8" s="371">
        <v>50385</v>
      </c>
      <c r="H8" s="305"/>
    </row>
    <row r="9" spans="1:8">
      <c r="B9" s="305" t="s">
        <v>554</v>
      </c>
      <c r="C9" s="305" t="s">
        <v>186</v>
      </c>
      <c r="D9" s="305" t="s">
        <v>553</v>
      </c>
      <c r="E9" s="305"/>
      <c r="F9" s="305" t="s">
        <v>558</v>
      </c>
      <c r="G9" s="371">
        <v>46457</v>
      </c>
      <c r="H9" s="305"/>
    </row>
    <row r="10" spans="1:8">
      <c r="A10" s="351" t="s">
        <v>557</v>
      </c>
      <c r="G10" s="360">
        <f>SUM(G8:G9)</f>
        <v>96842</v>
      </c>
      <c r="H10" s="305"/>
    </row>
    <row r="11" spans="1:8" s="308" customFormat="1">
      <c r="A11" s="384" t="s">
        <v>267</v>
      </c>
      <c r="G11" s="393"/>
    </row>
    <row r="12" spans="1:8" s="308" customFormat="1">
      <c r="B12" s="385" t="s">
        <v>519</v>
      </c>
      <c r="C12" s="385" t="s">
        <v>378</v>
      </c>
      <c r="D12" s="385">
        <v>12628</v>
      </c>
      <c r="E12" s="385" t="s">
        <v>518</v>
      </c>
      <c r="F12" s="385" t="s">
        <v>562</v>
      </c>
      <c r="G12" s="394">
        <v>164.11</v>
      </c>
      <c r="H12" s="206">
        <v>12628</v>
      </c>
    </row>
    <row r="13" spans="1:8" s="308" customFormat="1">
      <c r="A13" s="384" t="s">
        <v>263</v>
      </c>
      <c r="G13" s="395">
        <f>SUM(G12)</f>
        <v>164.11</v>
      </c>
    </row>
    <row r="14" spans="1:8" s="308" customFormat="1">
      <c r="A14" s="384" t="s">
        <v>420</v>
      </c>
      <c r="G14" s="395">
        <f>+G13+G10</f>
        <v>97006.11</v>
      </c>
    </row>
    <row r="15" spans="1:8">
      <c r="A15" s="351" t="s">
        <v>262</v>
      </c>
      <c r="G15" s="359"/>
      <c r="H15" s="206"/>
    </row>
    <row r="16" spans="1:8">
      <c r="B16" s="305" t="s">
        <v>556</v>
      </c>
      <c r="C16" s="305" t="s">
        <v>186</v>
      </c>
      <c r="D16" s="305" t="s">
        <v>555</v>
      </c>
      <c r="E16" s="305"/>
      <c r="F16" s="305" t="s">
        <v>419</v>
      </c>
      <c r="G16" s="371">
        <v>3854.47</v>
      </c>
      <c r="H16" s="206"/>
    </row>
    <row r="17" spans="1:8">
      <c r="B17" s="305" t="s">
        <v>554</v>
      </c>
      <c r="C17" s="305" t="s">
        <v>186</v>
      </c>
      <c r="D17" s="305" t="s">
        <v>553</v>
      </c>
      <c r="E17" s="305"/>
      <c r="F17" s="305" t="s">
        <v>419</v>
      </c>
      <c r="G17" s="371">
        <v>3553.98</v>
      </c>
      <c r="H17" s="206"/>
    </row>
    <row r="18" spans="1:8">
      <c r="A18" s="351" t="s">
        <v>261</v>
      </c>
      <c r="G18" s="360">
        <f>SUM(G16:G17)</f>
        <v>7408.45</v>
      </c>
      <c r="H18" s="206"/>
    </row>
    <row r="19" spans="1:8" s="308" customFormat="1">
      <c r="A19" s="307" t="s">
        <v>340</v>
      </c>
      <c r="G19" s="393"/>
    </row>
    <row r="20" spans="1:8" s="308" customFormat="1">
      <c r="B20" s="375">
        <v>43738</v>
      </c>
      <c r="C20" s="309" t="s">
        <v>186</v>
      </c>
      <c r="D20" s="309">
        <v>192</v>
      </c>
      <c r="E20" s="309"/>
      <c r="F20" s="309" t="s">
        <v>411</v>
      </c>
      <c r="G20" s="396">
        <v>2898.28</v>
      </c>
    </row>
    <row r="21" spans="1:8" s="308" customFormat="1">
      <c r="A21" s="307" t="s">
        <v>341</v>
      </c>
      <c r="G21" s="397">
        <f>SUM(G20)</f>
        <v>2898.28</v>
      </c>
    </row>
    <row r="22" spans="1:8">
      <c r="A22" s="351" t="s">
        <v>260</v>
      </c>
      <c r="G22" s="359"/>
      <c r="H22" s="206"/>
    </row>
    <row r="23" spans="1:8">
      <c r="B23" s="305" t="s">
        <v>556</v>
      </c>
      <c r="C23" s="305" t="s">
        <v>186</v>
      </c>
      <c r="D23" s="305" t="s">
        <v>555</v>
      </c>
      <c r="E23" s="305"/>
      <c r="F23" s="305" t="s">
        <v>415</v>
      </c>
      <c r="G23" s="371">
        <v>498.62</v>
      </c>
      <c r="H23" s="206"/>
    </row>
    <row r="24" spans="1:8">
      <c r="B24" s="305" t="s">
        <v>554</v>
      </c>
      <c r="C24" s="305" t="s">
        <v>186</v>
      </c>
      <c r="D24" s="305" t="s">
        <v>553</v>
      </c>
      <c r="E24" s="305"/>
      <c r="F24" s="305" t="s">
        <v>415</v>
      </c>
      <c r="G24" s="371">
        <v>401.87</v>
      </c>
      <c r="H24" s="308"/>
    </row>
    <row r="25" spans="1:8">
      <c r="A25" s="351" t="s">
        <v>253</v>
      </c>
      <c r="G25" s="360">
        <f>SUM(G23:G24)</f>
        <v>900.49</v>
      </c>
      <c r="H25" s="308"/>
    </row>
    <row r="26" spans="1:8">
      <c r="A26" s="351" t="s">
        <v>483</v>
      </c>
      <c r="G26" s="360">
        <f>+G14+G18+G21+G25</f>
        <v>108213.33</v>
      </c>
      <c r="H26" s="308"/>
    </row>
    <row r="27" spans="1:8">
      <c r="A27" s="351" t="s">
        <v>414</v>
      </c>
      <c r="G27" s="359"/>
      <c r="H27" s="206"/>
    </row>
    <row r="28" spans="1:8">
      <c r="A28" s="351" t="s">
        <v>252</v>
      </c>
      <c r="G28" s="359"/>
      <c r="H28" s="206"/>
    </row>
    <row r="29" spans="1:8">
      <c r="A29" s="351" t="s">
        <v>552</v>
      </c>
      <c r="G29" s="359"/>
      <c r="H29" s="206"/>
    </row>
    <row r="30" spans="1:8">
      <c r="B30" s="305" t="s">
        <v>517</v>
      </c>
      <c r="C30" s="305" t="s">
        <v>186</v>
      </c>
      <c r="D30" s="305" t="s">
        <v>551</v>
      </c>
      <c r="E30" s="305"/>
      <c r="F30" s="305" t="s">
        <v>550</v>
      </c>
      <c r="G30" s="371">
        <v>13963.15</v>
      </c>
      <c r="H30" s="206"/>
    </row>
    <row r="31" spans="1:8">
      <c r="A31" s="351" t="s">
        <v>549</v>
      </c>
      <c r="G31" s="360">
        <v>13963.15</v>
      </c>
      <c r="H31" s="206"/>
    </row>
    <row r="32" spans="1:8">
      <c r="A32" s="351" t="s">
        <v>249</v>
      </c>
      <c r="G32" s="360">
        <v>13963.15</v>
      </c>
      <c r="H32" s="206"/>
    </row>
    <row r="33" spans="1:8">
      <c r="A33" s="351" t="s">
        <v>248</v>
      </c>
      <c r="G33" s="359"/>
      <c r="H33" s="206"/>
    </row>
    <row r="35" spans="1:8">
      <c r="A35" s="351" t="s">
        <v>247</v>
      </c>
      <c r="G35" s="359"/>
      <c r="H35" s="206"/>
    </row>
    <row r="36" spans="1:8">
      <c r="B36" s="305" t="s">
        <v>548</v>
      </c>
      <c r="C36" s="305" t="s">
        <v>174</v>
      </c>
      <c r="D36" s="305">
        <v>292534359</v>
      </c>
      <c r="E36" s="305" t="s">
        <v>480</v>
      </c>
      <c r="F36" s="305" t="s">
        <v>547</v>
      </c>
      <c r="G36" s="371">
        <v>3688.1</v>
      </c>
      <c r="H36" s="206">
        <v>12569</v>
      </c>
    </row>
    <row r="37" spans="1:8">
      <c r="A37" s="351" t="s">
        <v>246</v>
      </c>
      <c r="G37" s="360">
        <v>3688.1</v>
      </c>
      <c r="H37" s="206"/>
    </row>
    <row r="38" spans="1:8">
      <c r="A38" s="351"/>
      <c r="G38" s="362"/>
      <c r="H38" s="206"/>
    </row>
    <row r="39" spans="1:8" s="3" customFormat="1">
      <c r="A39" s="386" t="s">
        <v>245</v>
      </c>
      <c r="G39" s="1"/>
    </row>
    <row r="40" spans="1:8" s="3" customFormat="1">
      <c r="B40" s="385" t="s">
        <v>523</v>
      </c>
      <c r="C40" s="385" t="s">
        <v>174</v>
      </c>
      <c r="D40" s="385" t="s">
        <v>563</v>
      </c>
      <c r="E40" s="385" t="s">
        <v>243</v>
      </c>
      <c r="F40" s="385" t="s">
        <v>564</v>
      </c>
      <c r="G40" s="394">
        <v>179.49</v>
      </c>
      <c r="H40" s="206">
        <v>12527</v>
      </c>
    </row>
    <row r="41" spans="1:8" s="3" customFormat="1">
      <c r="A41" s="386" t="s">
        <v>241</v>
      </c>
      <c r="G41" s="395">
        <v>179.49</v>
      </c>
    </row>
    <row r="42" spans="1:8" s="201" customFormat="1">
      <c r="A42" s="205" t="s">
        <v>240</v>
      </c>
      <c r="G42" s="278"/>
      <c r="H42" s="206"/>
    </row>
    <row r="43" spans="1:8" s="201" customFormat="1">
      <c r="B43" s="320">
        <v>43768</v>
      </c>
      <c r="C43" s="206" t="s">
        <v>186</v>
      </c>
      <c r="D43" s="206">
        <v>154</v>
      </c>
      <c r="E43" s="206"/>
      <c r="F43" s="210" t="s">
        <v>325</v>
      </c>
      <c r="G43" s="387">
        <v>-454.87</v>
      </c>
      <c r="H43" s="206"/>
    </row>
    <row r="44" spans="1:8" s="201" customFormat="1">
      <c r="A44" s="205" t="s">
        <v>239</v>
      </c>
      <c r="G44" s="281">
        <f>SUM(G43)</f>
        <v>-454.87</v>
      </c>
      <c r="H44" s="206"/>
    </row>
    <row r="45" spans="1:8" s="201" customFormat="1">
      <c r="A45" s="205" t="s">
        <v>238</v>
      </c>
      <c r="G45" s="278"/>
      <c r="H45" s="206"/>
    </row>
    <row r="46" spans="1:8" s="201" customFormat="1">
      <c r="B46" s="320">
        <v>43768</v>
      </c>
      <c r="C46" s="206" t="s">
        <v>186</v>
      </c>
      <c r="D46" s="206">
        <v>155</v>
      </c>
      <c r="E46" s="206"/>
      <c r="F46" s="206" t="s">
        <v>237</v>
      </c>
      <c r="G46" s="387">
        <v>-13.57</v>
      </c>
      <c r="H46" s="206"/>
    </row>
    <row r="47" spans="1:8" s="201" customFormat="1">
      <c r="A47" s="205" t="s">
        <v>236</v>
      </c>
      <c r="G47" s="281">
        <f>SUM(G46)</f>
        <v>-13.57</v>
      </c>
      <c r="H47" s="206"/>
    </row>
    <row r="48" spans="1:8" s="201" customFormat="1">
      <c r="A48" s="205"/>
      <c r="G48" s="281"/>
      <c r="H48" s="206"/>
    </row>
    <row r="49" spans="1:8" s="3" customFormat="1">
      <c r="A49" s="386" t="s">
        <v>235</v>
      </c>
      <c r="G49" s="395">
        <f>+G37+G41+G44+G47</f>
        <v>3399.15</v>
      </c>
    </row>
    <row r="50" spans="1:8" s="3" customFormat="1">
      <c r="A50" s="386"/>
      <c r="G50" s="395"/>
    </row>
    <row r="51" spans="1:8" ht="15" thickBot="1">
      <c r="A51" s="351" t="s">
        <v>546</v>
      </c>
      <c r="G51" s="398">
        <f>+G32+G49</f>
        <v>17362.3</v>
      </c>
      <c r="H51" s="206"/>
    </row>
    <row r="52" spans="1:8" ht="15" thickTop="1">
      <c r="A52" s="351"/>
      <c r="G52" s="362"/>
      <c r="H52" s="206"/>
    </row>
    <row r="53" spans="1:8" s="359" customFormat="1">
      <c r="A53" s="358" t="s">
        <v>234</v>
      </c>
      <c r="H53" s="206"/>
    </row>
    <row r="54" spans="1:8" s="359" customFormat="1">
      <c r="A54" s="358" t="s">
        <v>478</v>
      </c>
      <c r="H54" s="206"/>
    </row>
    <row r="55" spans="1:8" s="359" customFormat="1">
      <c r="B55" s="388">
        <v>43769</v>
      </c>
      <c r="C55" s="327" t="s">
        <v>186</v>
      </c>
      <c r="D55" s="327">
        <v>261</v>
      </c>
      <c r="E55" s="327"/>
      <c r="F55" s="327" t="s">
        <v>411</v>
      </c>
      <c r="G55" s="371">
        <v>417.89</v>
      </c>
      <c r="H55" s="206"/>
    </row>
    <row r="56" spans="1:8" s="359" customFormat="1">
      <c r="A56" s="358" t="s">
        <v>477</v>
      </c>
      <c r="G56" s="355">
        <f>SUM(G55)</f>
        <v>417.89</v>
      </c>
      <c r="H56" s="206"/>
    </row>
    <row r="57" spans="1:8" s="359" customFormat="1">
      <c r="A57" s="274" t="s">
        <v>284</v>
      </c>
      <c r="H57" s="206"/>
    </row>
    <row r="58" spans="1:8">
      <c r="A58" s="351" t="s">
        <v>232</v>
      </c>
      <c r="G58" s="359"/>
      <c r="H58" s="206"/>
    </row>
    <row r="59" spans="1:8">
      <c r="B59" s="389">
        <v>43769</v>
      </c>
      <c r="C59" s="305" t="s">
        <v>186</v>
      </c>
      <c r="D59" s="305">
        <v>246</v>
      </c>
      <c r="E59" s="305"/>
      <c r="F59" s="305" t="s">
        <v>231</v>
      </c>
      <c r="G59" s="371">
        <v>851</v>
      </c>
      <c r="H59" s="206"/>
    </row>
    <row r="60" spans="1:8">
      <c r="A60" s="351" t="s">
        <v>230</v>
      </c>
      <c r="G60" s="360">
        <f>SUM(G59)</f>
        <v>851</v>
      </c>
      <c r="H60" s="206"/>
    </row>
    <row r="61" spans="1:8">
      <c r="A61" s="351" t="s">
        <v>229</v>
      </c>
      <c r="G61" s="359"/>
      <c r="H61" s="206"/>
    </row>
    <row r="62" spans="1:8">
      <c r="B62" s="389">
        <v>43769</v>
      </c>
      <c r="C62" s="305" t="s">
        <v>186</v>
      </c>
      <c r="D62" s="305">
        <v>248</v>
      </c>
      <c r="E62" s="305"/>
      <c r="F62" s="305" t="s">
        <v>228</v>
      </c>
      <c r="G62" s="371">
        <v>199</v>
      </c>
      <c r="H62" s="206"/>
    </row>
    <row r="63" spans="1:8">
      <c r="A63" s="351" t="s">
        <v>227</v>
      </c>
      <c r="G63" s="360">
        <f>SUM(G62)</f>
        <v>199</v>
      </c>
      <c r="H63" s="206"/>
    </row>
    <row r="64" spans="1:8">
      <c r="A64" s="351" t="s">
        <v>226</v>
      </c>
      <c r="G64" s="359"/>
      <c r="H64" s="206"/>
    </row>
    <row r="65" spans="1:8">
      <c r="B65" s="389">
        <v>43769</v>
      </c>
      <c r="C65" s="305" t="s">
        <v>186</v>
      </c>
      <c r="D65" s="305">
        <v>249</v>
      </c>
      <c r="E65" s="305"/>
      <c r="F65" s="305" t="s">
        <v>225</v>
      </c>
      <c r="G65" s="371">
        <v>204</v>
      </c>
      <c r="H65" s="206"/>
    </row>
    <row r="66" spans="1:8">
      <c r="A66" s="351" t="s">
        <v>224</v>
      </c>
      <c r="G66" s="360">
        <f>SUM(G65)</f>
        <v>204</v>
      </c>
      <c r="H66" s="206"/>
    </row>
    <row r="67" spans="1:8">
      <c r="A67" s="351" t="s">
        <v>223</v>
      </c>
      <c r="G67" s="359"/>
      <c r="H67" s="206"/>
    </row>
    <row r="68" spans="1:8">
      <c r="B68" s="389">
        <v>43769</v>
      </c>
      <c r="C68" s="305" t="s">
        <v>186</v>
      </c>
      <c r="D68" s="305">
        <v>250</v>
      </c>
      <c r="E68" s="305"/>
      <c r="F68" s="305" t="s">
        <v>222</v>
      </c>
      <c r="G68" s="371">
        <v>40</v>
      </c>
      <c r="H68" s="206"/>
    </row>
    <row r="69" spans="1:8">
      <c r="A69" s="351" t="s">
        <v>221</v>
      </c>
      <c r="G69" s="360">
        <f>SUM(G68)</f>
        <v>40</v>
      </c>
      <c r="H69" s="206"/>
    </row>
    <row r="70" spans="1:8">
      <c r="A70" s="274" t="s">
        <v>506</v>
      </c>
      <c r="G70" s="355">
        <f>+G60+G63+G66+G69</f>
        <v>1294</v>
      </c>
      <c r="H70" s="206"/>
    </row>
    <row r="71" spans="1:8">
      <c r="A71" s="351"/>
      <c r="G71" s="362"/>
      <c r="H71" s="206"/>
    </row>
    <row r="72" spans="1:8">
      <c r="A72" s="351" t="s">
        <v>409</v>
      </c>
      <c r="G72" s="359"/>
      <c r="H72" s="206"/>
    </row>
    <row r="73" spans="1:8">
      <c r="B73" s="389">
        <v>43769</v>
      </c>
      <c r="C73" s="305" t="s">
        <v>186</v>
      </c>
      <c r="D73" s="305">
        <v>251</v>
      </c>
      <c r="E73" s="305"/>
      <c r="F73" s="305" t="s">
        <v>219</v>
      </c>
      <c r="G73" s="371">
        <v>141</v>
      </c>
      <c r="H73" s="206"/>
    </row>
    <row r="74" spans="1:8">
      <c r="A74" s="351" t="s">
        <v>408</v>
      </c>
      <c r="G74" s="355">
        <f>SUM(G73)</f>
        <v>141</v>
      </c>
      <c r="H74" s="206"/>
    </row>
    <row r="75" spans="1:8">
      <c r="A75" s="351"/>
      <c r="G75" s="360"/>
      <c r="H75" s="206"/>
    </row>
    <row r="76" spans="1:8" ht="15" thickBot="1">
      <c r="A76" s="364" t="s">
        <v>505</v>
      </c>
      <c r="G76" s="383">
        <f>+G51+G70+G74+G56</f>
        <v>19215.189999999999</v>
      </c>
      <c r="H76" s="206"/>
    </row>
    <row r="77" spans="1:8" ht="15" thickTop="1">
      <c r="A77" s="364" t="s">
        <v>379</v>
      </c>
      <c r="G77" s="359"/>
      <c r="H77" s="206"/>
    </row>
    <row r="78" spans="1:8">
      <c r="A78" s="351" t="s">
        <v>184</v>
      </c>
      <c r="G78" s="359"/>
      <c r="H78" s="206"/>
    </row>
    <row r="79" spans="1:8">
      <c r="B79" s="305" t="s">
        <v>523</v>
      </c>
      <c r="C79" s="305" t="s">
        <v>174</v>
      </c>
      <c r="D79" s="305" t="s">
        <v>527</v>
      </c>
      <c r="E79" s="305" t="s">
        <v>443</v>
      </c>
      <c r="F79" s="305" t="s">
        <v>526</v>
      </c>
      <c r="G79" s="371">
        <v>133.06</v>
      </c>
      <c r="H79" s="206">
        <v>12546</v>
      </c>
    </row>
    <row r="80" spans="1:8">
      <c r="B80" s="305" t="s">
        <v>523</v>
      </c>
      <c r="C80" s="305" t="s">
        <v>174</v>
      </c>
      <c r="D80" s="305" t="s">
        <v>525</v>
      </c>
      <c r="E80" s="305" t="s">
        <v>457</v>
      </c>
      <c r="F80" s="305" t="s">
        <v>524</v>
      </c>
      <c r="G80" s="371">
        <v>108</v>
      </c>
      <c r="H80" s="206">
        <v>12548</v>
      </c>
    </row>
    <row r="81" spans="1:8">
      <c r="B81" s="305" t="s">
        <v>523</v>
      </c>
      <c r="C81" s="305" t="s">
        <v>174</v>
      </c>
      <c r="D81" s="305" t="s">
        <v>522</v>
      </c>
      <c r="E81" s="305" t="s">
        <v>370</v>
      </c>
      <c r="F81" s="305" t="s">
        <v>521</v>
      </c>
      <c r="G81" s="371">
        <v>30.24</v>
      </c>
      <c r="H81" s="206">
        <v>12547</v>
      </c>
    </row>
    <row r="82" spans="1:8">
      <c r="A82" s="363" t="s">
        <v>520</v>
      </c>
      <c r="G82" s="355">
        <f>SUM(G79:G81)</f>
        <v>271.3</v>
      </c>
      <c r="H82" s="206"/>
    </row>
    <row r="83" spans="1:8" s="269" customFormat="1">
      <c r="A83" s="400" t="s">
        <v>400</v>
      </c>
      <c r="G83" s="325"/>
      <c r="H83" s="305"/>
    </row>
    <row r="84" spans="1:8">
      <c r="B84" s="305" t="s">
        <v>523</v>
      </c>
      <c r="C84" s="305" t="s">
        <v>174</v>
      </c>
      <c r="D84" s="305" t="s">
        <v>545</v>
      </c>
      <c r="E84" s="305" t="s">
        <v>443</v>
      </c>
      <c r="F84" s="305" t="s">
        <v>544</v>
      </c>
      <c r="G84" s="371">
        <v>30.5</v>
      </c>
      <c r="H84" s="206">
        <v>12546</v>
      </c>
    </row>
    <row r="85" spans="1:8">
      <c r="A85" s="351" t="s">
        <v>211</v>
      </c>
      <c r="G85" s="360">
        <f>SUM(G84)</f>
        <v>30.5</v>
      </c>
      <c r="H85" s="206"/>
    </row>
    <row r="86" spans="1:8" s="269" customFormat="1">
      <c r="A86" s="299" t="s">
        <v>394</v>
      </c>
      <c r="G86" s="325"/>
      <c r="H86" s="305"/>
    </row>
    <row r="87" spans="1:8" s="269" customFormat="1">
      <c r="B87" s="390">
        <v>43769</v>
      </c>
      <c r="C87" s="301" t="s">
        <v>186</v>
      </c>
      <c r="D87" s="301">
        <v>185</v>
      </c>
      <c r="E87" s="301"/>
      <c r="F87" s="301" t="s">
        <v>212</v>
      </c>
      <c r="G87" s="399">
        <v>254</v>
      </c>
      <c r="H87" s="305"/>
    </row>
    <row r="88" spans="1:8" s="269" customFormat="1">
      <c r="A88" s="299" t="s">
        <v>393</v>
      </c>
      <c r="G88" s="326">
        <f>SUM(G87)</f>
        <v>254</v>
      </c>
      <c r="H88" s="305"/>
    </row>
    <row r="89" spans="1:8">
      <c r="B89" s="305"/>
      <c r="C89" s="305"/>
      <c r="D89" s="305"/>
      <c r="E89" s="305"/>
      <c r="F89" s="305"/>
      <c r="G89" s="371"/>
      <c r="H89" s="206"/>
    </row>
    <row r="90" spans="1:8" s="269" customFormat="1">
      <c r="A90" s="322" t="s">
        <v>437</v>
      </c>
      <c r="G90" s="311">
        <f>+G84+G88</f>
        <v>284.5</v>
      </c>
      <c r="H90" s="305"/>
    </row>
    <row r="91" spans="1:8">
      <c r="B91" s="305"/>
      <c r="C91" s="305"/>
      <c r="D91" s="305"/>
      <c r="E91" s="305"/>
      <c r="F91" s="305"/>
      <c r="G91" s="371"/>
      <c r="H91" s="206"/>
    </row>
    <row r="92" spans="1:8">
      <c r="A92" s="364" t="s">
        <v>357</v>
      </c>
      <c r="G92" s="359"/>
      <c r="H92" s="206"/>
    </row>
    <row r="93" spans="1:8">
      <c r="A93" s="351" t="s">
        <v>214</v>
      </c>
      <c r="G93" s="359"/>
      <c r="H93" s="206"/>
    </row>
    <row r="94" spans="1:8">
      <c r="B94" s="389">
        <v>43769</v>
      </c>
      <c r="C94" s="305" t="s">
        <v>186</v>
      </c>
      <c r="D94" s="305">
        <v>253</v>
      </c>
      <c r="E94" s="305"/>
      <c r="F94" s="305" t="s">
        <v>213</v>
      </c>
      <c r="G94" s="371">
        <v>683</v>
      </c>
      <c r="H94" s="206"/>
    </row>
    <row r="95" spans="1:8">
      <c r="A95" s="351" t="s">
        <v>475</v>
      </c>
      <c r="G95" s="355">
        <f>SUM(G94)</f>
        <v>683</v>
      </c>
      <c r="H95" s="206"/>
    </row>
    <row r="96" spans="1:8">
      <c r="G96" s="362"/>
      <c r="H96" s="206"/>
    </row>
    <row r="97" spans="1:8">
      <c r="A97" s="364" t="s">
        <v>329</v>
      </c>
      <c r="G97" s="359"/>
      <c r="H97" s="206"/>
    </row>
    <row r="98" spans="1:8">
      <c r="A98" s="351" t="s">
        <v>200</v>
      </c>
      <c r="G98" s="359"/>
      <c r="H98" s="206"/>
    </row>
    <row r="99" spans="1:8">
      <c r="B99" s="305" t="s">
        <v>523</v>
      </c>
      <c r="C99" s="305" t="s">
        <v>174</v>
      </c>
      <c r="D99" s="305">
        <v>1985</v>
      </c>
      <c r="E99" s="305" t="s">
        <v>181</v>
      </c>
      <c r="F99" s="305" t="s">
        <v>528</v>
      </c>
      <c r="G99" s="371">
        <v>648</v>
      </c>
      <c r="H99" s="206">
        <v>12535</v>
      </c>
    </row>
    <row r="100" spans="1:8">
      <c r="A100" s="274" t="s">
        <v>344</v>
      </c>
      <c r="G100" s="355">
        <f>SUM(G99)</f>
        <v>648</v>
      </c>
      <c r="H100" s="206"/>
    </row>
    <row r="101" spans="1:8" s="359" customFormat="1">
      <c r="A101" s="276"/>
      <c r="G101" s="362"/>
      <c r="H101" s="206"/>
    </row>
    <row r="102" spans="1:8" s="359" customFormat="1">
      <c r="A102" s="276"/>
      <c r="G102" s="362"/>
      <c r="H102" s="206"/>
    </row>
    <row r="103" spans="1:8" s="359" customFormat="1">
      <c r="A103" s="276"/>
      <c r="G103" s="362"/>
      <c r="H103" s="206"/>
    </row>
    <row r="104" spans="1:8" s="359" customFormat="1">
      <c r="A104" s="276"/>
      <c r="G104" s="362"/>
      <c r="H104" s="206"/>
    </row>
    <row r="105" spans="1:8">
      <c r="A105" s="351" t="s">
        <v>197</v>
      </c>
      <c r="G105" s="359"/>
      <c r="H105" s="206"/>
    </row>
    <row r="106" spans="1:8">
      <c r="A106" s="351" t="s">
        <v>196</v>
      </c>
      <c r="G106" s="359"/>
      <c r="H106" s="206"/>
    </row>
    <row r="107" spans="1:8">
      <c r="B107" s="389">
        <v>43769</v>
      </c>
      <c r="C107" s="305" t="s">
        <v>186</v>
      </c>
      <c r="D107" s="305">
        <v>260</v>
      </c>
      <c r="E107" s="305"/>
      <c r="F107" s="305" t="s">
        <v>195</v>
      </c>
      <c r="G107" s="371">
        <v>145</v>
      </c>
      <c r="H107" s="206"/>
    </row>
    <row r="108" spans="1:8">
      <c r="A108" s="351" t="s">
        <v>468</v>
      </c>
      <c r="G108" s="360">
        <f>SUM(G107)</f>
        <v>145</v>
      </c>
      <c r="H108" s="206"/>
    </row>
    <row r="109" spans="1:8">
      <c r="A109" s="351" t="s">
        <v>191</v>
      </c>
      <c r="G109" s="359"/>
      <c r="H109" s="206"/>
    </row>
    <row r="110" spans="1:8">
      <c r="A110" s="351" t="s">
        <v>466</v>
      </c>
      <c r="G110" s="359"/>
      <c r="H110" s="206"/>
    </row>
    <row r="111" spans="1:8">
      <c r="B111" s="389">
        <v>43769</v>
      </c>
      <c r="C111" s="305" t="s">
        <v>186</v>
      </c>
      <c r="D111" s="305">
        <v>257</v>
      </c>
      <c r="E111" s="305"/>
      <c r="F111" s="305" t="s">
        <v>190</v>
      </c>
      <c r="G111" s="371">
        <v>130</v>
      </c>
      <c r="H111" s="206"/>
    </row>
    <row r="112" spans="1:8">
      <c r="A112" s="351" t="s">
        <v>465</v>
      </c>
      <c r="G112" s="360">
        <f>SUM(G111)</f>
        <v>130</v>
      </c>
      <c r="H112" s="206"/>
    </row>
    <row r="113" spans="1:8">
      <c r="A113" s="351" t="s">
        <v>565</v>
      </c>
      <c r="G113" s="360"/>
      <c r="H113" s="206"/>
    </row>
    <row r="114" spans="1:8">
      <c r="B114" s="389">
        <v>43769</v>
      </c>
      <c r="C114" s="305" t="s">
        <v>186</v>
      </c>
      <c r="D114" s="305">
        <v>257</v>
      </c>
      <c r="E114" s="305"/>
      <c r="F114" s="305" t="s">
        <v>566</v>
      </c>
      <c r="G114" s="371">
        <v>491</v>
      </c>
      <c r="H114" s="206"/>
    </row>
    <row r="115" spans="1:8">
      <c r="A115" s="351"/>
      <c r="G115" s="360">
        <f>SUM(G114)</f>
        <v>491</v>
      </c>
      <c r="H115" s="206"/>
    </row>
    <row r="116" spans="1:8">
      <c r="A116" s="351"/>
      <c r="G116" s="360"/>
      <c r="H116" s="206"/>
    </row>
    <row r="117" spans="1:8" s="259" customFormat="1">
      <c r="A117" s="275" t="s">
        <v>343</v>
      </c>
      <c r="G117" s="288">
        <f>+G108+G112+G115</f>
        <v>766</v>
      </c>
      <c r="H117" s="206"/>
    </row>
    <row r="118" spans="1:8" s="201" customFormat="1">
      <c r="A118" s="205"/>
      <c r="G118" s="289"/>
      <c r="H118" s="206"/>
    </row>
    <row r="119" spans="1:8" s="258" customFormat="1">
      <c r="A119" s="274" t="s">
        <v>353</v>
      </c>
      <c r="G119" s="288">
        <f>+G100+G117</f>
        <v>1414</v>
      </c>
      <c r="H119" s="206"/>
    </row>
    <row r="120" spans="1:8">
      <c r="G120" s="360"/>
      <c r="H120" s="206"/>
    </row>
    <row r="121" spans="1:8">
      <c r="A121" s="274" t="s">
        <v>507</v>
      </c>
      <c r="G121" s="359"/>
      <c r="H121" s="206"/>
    </row>
    <row r="122" spans="1:8">
      <c r="A122" s="351" t="s">
        <v>193</v>
      </c>
      <c r="G122" s="359"/>
      <c r="H122" s="206"/>
    </row>
    <row r="123" spans="1:8">
      <c r="B123" s="389">
        <v>43769</v>
      </c>
      <c r="C123" s="305" t="s">
        <v>186</v>
      </c>
      <c r="D123" s="305">
        <v>256</v>
      </c>
      <c r="E123" s="305"/>
      <c r="F123" s="305" t="s">
        <v>192</v>
      </c>
      <c r="G123" s="371">
        <v>274</v>
      </c>
      <c r="H123" s="206"/>
    </row>
    <row r="124" spans="1:8">
      <c r="A124" s="351" t="s">
        <v>467</v>
      </c>
      <c r="G124" s="355">
        <f>SUM(G123)</f>
        <v>274</v>
      </c>
      <c r="H124" s="206"/>
    </row>
    <row r="125" spans="1:8">
      <c r="G125" s="360"/>
      <c r="H125" s="206"/>
    </row>
    <row r="126" spans="1:8">
      <c r="A126" s="274" t="s">
        <v>334</v>
      </c>
      <c r="G126" s="362"/>
      <c r="H126" s="206"/>
    </row>
    <row r="127" spans="1:8">
      <c r="A127" s="351" t="s">
        <v>217</v>
      </c>
      <c r="G127" s="359"/>
      <c r="H127" s="206"/>
    </row>
    <row r="128" spans="1:8">
      <c r="A128" s="351" t="s">
        <v>407</v>
      </c>
      <c r="G128" s="359"/>
      <c r="H128" s="206"/>
    </row>
    <row r="129" spans="1:8">
      <c r="B129" s="389">
        <v>43769</v>
      </c>
      <c r="C129" s="305" t="s">
        <v>186</v>
      </c>
      <c r="D129" s="305">
        <v>252</v>
      </c>
      <c r="E129" s="305"/>
      <c r="F129" s="305" t="s">
        <v>216</v>
      </c>
      <c r="G129" s="371">
        <v>0</v>
      </c>
      <c r="H129" s="206"/>
    </row>
    <row r="130" spans="1:8">
      <c r="A130" s="351" t="s">
        <v>476</v>
      </c>
      <c r="G130" s="360">
        <f>SUM(G129)</f>
        <v>0</v>
      </c>
      <c r="H130" s="206"/>
    </row>
    <row r="131" spans="1:8">
      <c r="A131" s="351" t="s">
        <v>534</v>
      </c>
      <c r="G131" s="359"/>
      <c r="H131" s="206"/>
    </row>
    <row r="132" spans="1:8">
      <c r="B132" s="305" t="s">
        <v>523</v>
      </c>
      <c r="C132" s="305" t="s">
        <v>533</v>
      </c>
      <c r="D132" s="305" t="s">
        <v>532</v>
      </c>
      <c r="E132" s="305" t="s">
        <v>531</v>
      </c>
      <c r="F132" s="305" t="s">
        <v>530</v>
      </c>
      <c r="G132" s="371">
        <v>72</v>
      </c>
      <c r="H132" s="206" t="s">
        <v>561</v>
      </c>
    </row>
    <row r="133" spans="1:8">
      <c r="A133" s="351" t="s">
        <v>529</v>
      </c>
      <c r="G133" s="360">
        <v>72</v>
      </c>
      <c r="H133" s="206"/>
    </row>
    <row r="134" spans="1:8">
      <c r="A134" s="351" t="s">
        <v>203</v>
      </c>
      <c r="G134" s="359"/>
      <c r="H134" s="206"/>
    </row>
    <row r="135" spans="1:8">
      <c r="B135" s="389">
        <v>43769</v>
      </c>
      <c r="C135" s="305" t="s">
        <v>186</v>
      </c>
      <c r="D135" s="305">
        <v>254</v>
      </c>
      <c r="E135" s="305"/>
      <c r="F135" s="305" t="s">
        <v>202</v>
      </c>
      <c r="G135" s="371">
        <v>35</v>
      </c>
      <c r="H135" s="206"/>
    </row>
    <row r="136" spans="1:8">
      <c r="A136" s="351" t="s">
        <v>201</v>
      </c>
      <c r="G136" s="360">
        <f>SUM(G135)</f>
        <v>35</v>
      </c>
      <c r="H136" s="206"/>
    </row>
    <row r="137" spans="1:8">
      <c r="A137" s="351" t="s">
        <v>470</v>
      </c>
      <c r="G137" s="355">
        <f>+G130+G133+G136</f>
        <v>107</v>
      </c>
      <c r="H137" s="206"/>
    </row>
    <row r="138" spans="1:8">
      <c r="G138" s="362"/>
      <c r="H138" s="206"/>
    </row>
    <row r="139" spans="1:8">
      <c r="A139" s="351"/>
      <c r="G139" s="362"/>
      <c r="H139" s="206"/>
    </row>
    <row r="140" spans="1:8">
      <c r="A140" s="221" t="s">
        <v>338</v>
      </c>
      <c r="G140" s="359"/>
      <c r="H140" s="206"/>
    </row>
    <row r="141" spans="1:8">
      <c r="A141" s="351" t="s">
        <v>210</v>
      </c>
      <c r="G141" s="359"/>
      <c r="H141" s="206"/>
    </row>
    <row r="142" spans="1:8">
      <c r="A142" s="351" t="s">
        <v>209</v>
      </c>
      <c r="G142" s="359"/>
      <c r="H142" s="206"/>
    </row>
    <row r="143" spans="1:8">
      <c r="B143" s="305" t="s">
        <v>543</v>
      </c>
      <c r="C143" s="305" t="s">
        <v>174</v>
      </c>
      <c r="D143" s="305" t="s">
        <v>542</v>
      </c>
      <c r="E143" s="305" t="s">
        <v>433</v>
      </c>
      <c r="F143" s="305" t="s">
        <v>541</v>
      </c>
      <c r="G143" s="371">
        <v>116.16</v>
      </c>
      <c r="H143" s="206">
        <v>12639</v>
      </c>
    </row>
    <row r="144" spans="1:8">
      <c r="A144" s="351" t="s">
        <v>207</v>
      </c>
      <c r="G144" s="360">
        <f>SUM(G143)</f>
        <v>116.16</v>
      </c>
      <c r="H144" s="206"/>
    </row>
    <row r="145" spans="1:8">
      <c r="A145" s="351" t="s">
        <v>540</v>
      </c>
      <c r="G145" s="359"/>
      <c r="H145" s="206"/>
    </row>
    <row r="146" spans="1:8">
      <c r="B146" s="305" t="s">
        <v>539</v>
      </c>
      <c r="C146" s="305" t="s">
        <v>533</v>
      </c>
      <c r="D146" s="305" t="s">
        <v>538</v>
      </c>
      <c r="E146" s="305" t="s">
        <v>537</v>
      </c>
      <c r="F146" s="305" t="s">
        <v>536</v>
      </c>
      <c r="G146" s="371">
        <v>80.849999999999994</v>
      </c>
      <c r="H146" s="206" t="s">
        <v>561</v>
      </c>
    </row>
    <row r="147" spans="1:8">
      <c r="A147" s="351" t="s">
        <v>535</v>
      </c>
      <c r="G147" s="360">
        <f>SUM(G146)</f>
        <v>80.849999999999994</v>
      </c>
      <c r="H147" s="206"/>
    </row>
    <row r="148" spans="1:8">
      <c r="A148" s="351" t="s">
        <v>206</v>
      </c>
      <c r="G148" s="359"/>
      <c r="H148" s="206"/>
    </row>
    <row r="149" spans="1:8">
      <c r="B149" s="389">
        <v>43769</v>
      </c>
      <c r="C149" s="305" t="s">
        <v>186</v>
      </c>
      <c r="D149" s="305">
        <v>262</v>
      </c>
      <c r="E149" s="305"/>
      <c r="F149" s="305" t="s">
        <v>205</v>
      </c>
      <c r="G149" s="371">
        <v>158</v>
      </c>
      <c r="H149" s="206"/>
    </row>
    <row r="150" spans="1:8">
      <c r="A150" s="351" t="s">
        <v>204</v>
      </c>
      <c r="G150" s="360">
        <f>SUM(G149)</f>
        <v>158</v>
      </c>
      <c r="H150" s="206"/>
    </row>
    <row r="152" spans="1:8">
      <c r="A152" s="351" t="s">
        <v>471</v>
      </c>
      <c r="G152" s="355">
        <f>+G144+G147+G150</f>
        <v>355.01</v>
      </c>
      <c r="H152" s="206"/>
    </row>
    <row r="153" spans="1:8">
      <c r="G153" s="362"/>
      <c r="H153" s="206"/>
    </row>
    <row r="154" spans="1:8">
      <c r="A154" s="351"/>
      <c r="G154" s="362"/>
      <c r="H154" s="206"/>
    </row>
    <row r="155" spans="1:8">
      <c r="A155" s="363" t="s">
        <v>188</v>
      </c>
      <c r="G155" s="359"/>
      <c r="H155" s="206"/>
    </row>
    <row r="156" spans="1:8">
      <c r="B156" s="389">
        <v>43769</v>
      </c>
      <c r="C156" s="305" t="s">
        <v>186</v>
      </c>
      <c r="D156" s="305">
        <v>258</v>
      </c>
      <c r="E156" s="305"/>
      <c r="F156" s="305" t="s">
        <v>185</v>
      </c>
      <c r="G156" s="371">
        <v>443</v>
      </c>
      <c r="H156" s="206"/>
    </row>
    <row r="157" spans="1:8">
      <c r="A157" s="351" t="s">
        <v>463</v>
      </c>
      <c r="G157" s="355">
        <f>SUM(G156)</f>
        <v>443</v>
      </c>
      <c r="H157" s="206"/>
    </row>
    <row r="158" spans="1:8">
      <c r="A158" s="351"/>
      <c r="G158" s="360"/>
      <c r="H158" s="206"/>
    </row>
    <row r="159" spans="1:8" s="269" customFormat="1">
      <c r="A159" s="400" t="s">
        <v>441</v>
      </c>
      <c r="G159" s="330"/>
      <c r="H159" s="305"/>
    </row>
    <row r="160" spans="1:8" s="269" customFormat="1">
      <c r="A160" s="299" t="s">
        <v>392</v>
      </c>
      <c r="G160" s="325"/>
      <c r="H160" s="305"/>
    </row>
    <row r="161" spans="1:8" s="269" customFormat="1">
      <c r="B161" s="390">
        <v>43769</v>
      </c>
      <c r="C161" s="301" t="s">
        <v>186</v>
      </c>
      <c r="D161" s="301">
        <v>196</v>
      </c>
      <c r="E161" s="301"/>
      <c r="F161" s="301" t="s">
        <v>151</v>
      </c>
      <c r="G161" s="399">
        <v>34</v>
      </c>
      <c r="H161" s="305"/>
    </row>
    <row r="162" spans="1:8" s="269" customFormat="1">
      <c r="A162" s="400" t="s">
        <v>442</v>
      </c>
      <c r="G162" s="311">
        <f>SUM(G161)</f>
        <v>34</v>
      </c>
      <c r="H162" s="305"/>
    </row>
    <row r="163" spans="1:8" s="269" customFormat="1">
      <c r="G163" s="325"/>
      <c r="H163" s="305"/>
    </row>
    <row r="164" spans="1:8">
      <c r="A164" s="351" t="s">
        <v>349</v>
      </c>
      <c r="G164" s="359"/>
      <c r="H164" s="206"/>
    </row>
    <row r="165" spans="1:8">
      <c r="B165" s="305" t="s">
        <v>517</v>
      </c>
      <c r="C165" s="305" t="s">
        <v>186</v>
      </c>
      <c r="D165" s="305" t="s">
        <v>516</v>
      </c>
      <c r="E165" s="305"/>
      <c r="F165" s="305" t="s">
        <v>515</v>
      </c>
      <c r="G165" s="371">
        <v>6922.5</v>
      </c>
      <c r="H165" s="206"/>
    </row>
    <row r="166" spans="1:8">
      <c r="A166" s="351" t="s">
        <v>346</v>
      </c>
      <c r="G166" s="355">
        <f>SUM(G165)</f>
        <v>6922.5</v>
      </c>
      <c r="H166" s="206"/>
    </row>
    <row r="167" spans="1:8">
      <c r="H167" s="206"/>
    </row>
    <row r="168" spans="1:8">
      <c r="H168" s="206"/>
    </row>
    <row r="169" spans="1:8">
      <c r="A169" s="586" t="s">
        <v>567</v>
      </c>
      <c r="B169" s="586"/>
      <c r="C169" s="586"/>
      <c r="D169" s="586"/>
      <c r="E169" s="586"/>
      <c r="F169" s="586"/>
      <c r="G169" s="586"/>
      <c r="H169" s="586"/>
    </row>
    <row r="170" spans="1:8">
      <c r="H170" s="206"/>
    </row>
    <row r="171" spans="1:8">
      <c r="H171" s="206"/>
    </row>
    <row r="172" spans="1:8">
      <c r="H172" s="206"/>
    </row>
    <row r="173" spans="1:8">
      <c r="H173" s="206"/>
    </row>
    <row r="174" spans="1:8">
      <c r="H174" s="206"/>
    </row>
    <row r="175" spans="1:8">
      <c r="H175" s="206"/>
    </row>
    <row r="176" spans="1:8">
      <c r="H176" s="206"/>
    </row>
    <row r="177" spans="8:8">
      <c r="H177" s="206"/>
    </row>
    <row r="178" spans="8:8">
      <c r="H178" s="206"/>
    </row>
    <row r="179" spans="8:8">
      <c r="H179" s="206"/>
    </row>
    <row r="180" spans="8:8">
      <c r="H180" s="206"/>
    </row>
    <row r="181" spans="8:8">
      <c r="H181" s="206"/>
    </row>
    <row r="182" spans="8:8">
      <c r="H182" s="206"/>
    </row>
    <row r="183" spans="8:8">
      <c r="H183" s="206"/>
    </row>
    <row r="184" spans="8:8">
      <c r="H184" s="206"/>
    </row>
    <row r="185" spans="8:8">
      <c r="H185" s="206"/>
    </row>
    <row r="186" spans="8:8">
      <c r="H186" s="206"/>
    </row>
    <row r="187" spans="8:8">
      <c r="H187" s="206"/>
    </row>
    <row r="188" spans="8:8">
      <c r="H188" s="206"/>
    </row>
    <row r="189" spans="8:8">
      <c r="H189" s="206"/>
    </row>
    <row r="190" spans="8:8">
      <c r="H190" s="206"/>
    </row>
    <row r="191" spans="8:8">
      <c r="H191" s="206"/>
    </row>
    <row r="192" spans="8:8">
      <c r="H192" s="206"/>
    </row>
    <row r="193" spans="8:8">
      <c r="H193" s="206"/>
    </row>
    <row r="194" spans="8:8">
      <c r="H194" s="206"/>
    </row>
    <row r="195" spans="8:8">
      <c r="H195" s="206"/>
    </row>
    <row r="196" spans="8:8">
      <c r="H196" s="206"/>
    </row>
    <row r="197" spans="8:8">
      <c r="H197" s="206"/>
    </row>
    <row r="198" spans="8:8">
      <c r="H198" s="206"/>
    </row>
    <row r="199" spans="8:8">
      <c r="H199" s="206"/>
    </row>
    <row r="200" spans="8:8">
      <c r="H200" s="206"/>
    </row>
    <row r="201" spans="8:8">
      <c r="H201" s="206"/>
    </row>
    <row r="202" spans="8:8">
      <c r="H202" s="206"/>
    </row>
    <row r="203" spans="8:8">
      <c r="H203" s="206"/>
    </row>
    <row r="204" spans="8:8">
      <c r="H204" s="206"/>
    </row>
    <row r="205" spans="8:8">
      <c r="H205" s="206"/>
    </row>
    <row r="206" spans="8:8">
      <c r="H206" s="206"/>
    </row>
    <row r="207" spans="8:8">
      <c r="H207" s="206"/>
    </row>
    <row r="208" spans="8:8">
      <c r="H208" s="206"/>
    </row>
    <row r="209" spans="8:8">
      <c r="H209" s="206"/>
    </row>
    <row r="210" spans="8:8">
      <c r="H210" s="206"/>
    </row>
    <row r="211" spans="8:8">
      <c r="H211" s="206"/>
    </row>
    <row r="212" spans="8:8">
      <c r="H212" s="206"/>
    </row>
    <row r="213" spans="8:8">
      <c r="H213" s="206"/>
    </row>
    <row r="214" spans="8:8">
      <c r="H214" s="206"/>
    </row>
    <row r="215" spans="8:8">
      <c r="H215" s="206"/>
    </row>
    <row r="216" spans="8:8">
      <c r="H216" s="206"/>
    </row>
    <row r="217" spans="8:8">
      <c r="H217" s="206"/>
    </row>
    <row r="218" spans="8:8">
      <c r="H218" s="206"/>
    </row>
    <row r="219" spans="8:8">
      <c r="H219" s="206"/>
    </row>
    <row r="220" spans="8:8">
      <c r="H220" s="206"/>
    </row>
    <row r="221" spans="8:8">
      <c r="H221" s="206"/>
    </row>
    <row r="222" spans="8:8">
      <c r="H222" s="206"/>
    </row>
    <row r="223" spans="8:8">
      <c r="H223" s="206"/>
    </row>
    <row r="224" spans="8:8">
      <c r="H224" s="206"/>
    </row>
    <row r="225" spans="8:8">
      <c r="H225" s="206"/>
    </row>
    <row r="226" spans="8:8">
      <c r="H226" s="206"/>
    </row>
    <row r="227" spans="8:8">
      <c r="H227" s="297"/>
    </row>
    <row r="228" spans="8:8">
      <c r="H228" s="297"/>
    </row>
    <row r="229" spans="8:8">
      <c r="H229" s="297"/>
    </row>
    <row r="230" spans="8:8">
      <c r="H230" s="349"/>
    </row>
    <row r="231" spans="8:8">
      <c r="H231" s="297"/>
    </row>
    <row r="232" spans="8:8">
      <c r="H232" s="297"/>
    </row>
    <row r="233" spans="8:8">
      <c r="H233" s="297"/>
    </row>
    <row r="234" spans="8:8">
      <c r="H234" s="297"/>
    </row>
    <row r="235" spans="8:8">
      <c r="H235" s="297"/>
    </row>
    <row r="236" spans="8:8">
      <c r="H236" s="297"/>
    </row>
    <row r="237" spans="8:8">
      <c r="H237" s="297"/>
    </row>
    <row r="238" spans="8:8">
      <c r="H238" s="297"/>
    </row>
    <row r="239" spans="8:8">
      <c r="H239" s="297"/>
    </row>
    <row r="240" spans="8:8">
      <c r="H240" s="297"/>
    </row>
    <row r="241" spans="8:8">
      <c r="H241" s="297"/>
    </row>
    <row r="242" spans="8:8">
      <c r="H242" s="297"/>
    </row>
    <row r="243" spans="8:8">
      <c r="H243" s="297"/>
    </row>
    <row r="246" spans="8:8">
      <c r="H246" s="297"/>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130</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J95"/>
  <sheetViews>
    <sheetView zoomScaleNormal="100" zoomScaleSheetLayoutView="70" workbookViewId="0">
      <pane xSplit="1" ySplit="5" topLeftCell="B67" activePane="bottomRight" state="frozen"/>
      <selection pane="topRight" activeCell="B1" sqref="B1"/>
      <selection pane="bottomLeft" activeCell="A6" sqref="A6"/>
      <selection pane="bottomRight" activeCell="A76" sqref="A76:XFD83"/>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9">
        <v>43770</v>
      </c>
      <c r="H1" s="550"/>
      <c r="I1" s="106" t="s">
        <v>49</v>
      </c>
    </row>
    <row r="2" spans="1:9" ht="21">
      <c r="A2" s="37" t="s">
        <v>152</v>
      </c>
      <c r="B2" s="35"/>
      <c r="C2" s="35"/>
      <c r="D2" s="36"/>
      <c r="E2" s="437" t="s">
        <v>52</v>
      </c>
      <c r="F2" s="65"/>
      <c r="G2" s="551"/>
      <c r="H2" s="55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Allocations'!F208</f>
        <v>1892.31</v>
      </c>
      <c r="C6" s="140"/>
      <c r="D6" s="141"/>
      <c r="E6" s="142">
        <f>SUM(B6:D6)</f>
        <v>1892.31</v>
      </c>
      <c r="F6" s="143">
        <f>E6+'Oct-2019'!F6</f>
        <v>6623.08</v>
      </c>
      <c r="G6" s="143">
        <v>16400</v>
      </c>
      <c r="H6" s="144">
        <f>G6-F6</f>
        <v>9776.92</v>
      </c>
      <c r="I6" s="108">
        <f>F6/G6</f>
        <v>0.40384634146341464</v>
      </c>
    </row>
    <row r="7" spans="1:9" s="103" customFormat="1" ht="25.5" customHeight="1">
      <c r="A7" s="138" t="s">
        <v>146</v>
      </c>
      <c r="B7" s="139">
        <f>+'Salaries &amp; Fringe Allocations'!F209</f>
        <v>3107.14</v>
      </c>
      <c r="C7" s="140"/>
      <c r="D7" s="141">
        <f>+'Salaries &amp; Fringe Allocations'!F210</f>
        <v>4392.8599999999997</v>
      </c>
      <c r="E7" s="142">
        <f t="shared" ref="E7:E12" si="0">SUM(B7:D7)</f>
        <v>7500</v>
      </c>
      <c r="F7" s="143">
        <f>E7+'Oct-2019'!F7</f>
        <v>26250</v>
      </c>
      <c r="G7" s="143">
        <v>66000</v>
      </c>
      <c r="H7" s="144">
        <f>G7-F7</f>
        <v>39750</v>
      </c>
      <c r="I7" s="108">
        <f t="shared" ref="I7:I20" si="1">F7/G7</f>
        <v>0.39772727272727271</v>
      </c>
    </row>
    <row r="8" spans="1:9" s="103" customFormat="1" ht="25.5" customHeight="1">
      <c r="A8" s="138" t="s">
        <v>155</v>
      </c>
      <c r="B8" s="139"/>
      <c r="C8" s="140"/>
      <c r="D8" s="141">
        <f>+'Salaries &amp; Fringe Allocations'!F211</f>
        <v>4615.41</v>
      </c>
      <c r="E8" s="142">
        <f t="shared" si="0"/>
        <v>4615.41</v>
      </c>
      <c r="F8" s="143">
        <f>E8+'Oct-2019'!F8</f>
        <v>14615.470000000001</v>
      </c>
      <c r="G8" s="143">
        <v>40000</v>
      </c>
      <c r="H8" s="144">
        <f t="shared" ref="H8:H12" si="2">G8-F8</f>
        <v>25384.53</v>
      </c>
      <c r="I8" s="108">
        <f t="shared" si="1"/>
        <v>0.36538675000000004</v>
      </c>
    </row>
    <row r="9" spans="1:9" s="103" customFormat="1" ht="25.5" customHeight="1">
      <c r="A9" s="138" t="s">
        <v>147</v>
      </c>
      <c r="B9" s="139"/>
      <c r="C9" s="140"/>
      <c r="D9" s="141">
        <f>+'Salaries &amp; Fringe Allocations'!F212</f>
        <v>3461.55</v>
      </c>
      <c r="E9" s="142">
        <f t="shared" si="0"/>
        <v>3461.55</v>
      </c>
      <c r="F9" s="143">
        <f>E9+'Oct-2019'!F9</f>
        <v>11423.23</v>
      </c>
      <c r="G9" s="143">
        <v>30000</v>
      </c>
      <c r="H9" s="144">
        <f t="shared" si="2"/>
        <v>18576.77</v>
      </c>
      <c r="I9" s="108">
        <f t="shared" si="1"/>
        <v>0.38077433333333333</v>
      </c>
    </row>
    <row r="10" spans="1:9" s="103" customFormat="1" ht="25.5" customHeight="1">
      <c r="A10" s="138" t="s">
        <v>568</v>
      </c>
      <c r="B10" s="139"/>
      <c r="C10" s="140"/>
      <c r="D10" s="141">
        <f>+'Salaries &amp; Fringe Allocations'!F213</f>
        <v>2163</v>
      </c>
      <c r="E10" s="142">
        <f t="shared" si="0"/>
        <v>2163</v>
      </c>
      <c r="F10" s="143">
        <f>E10+'Oct-2019'!F10</f>
        <v>7959.84</v>
      </c>
      <c r="G10" s="143">
        <v>21500</v>
      </c>
      <c r="H10" s="144">
        <f t="shared" si="2"/>
        <v>13540.16</v>
      </c>
      <c r="I10" s="108">
        <f t="shared" si="1"/>
        <v>0.37022511627906979</v>
      </c>
    </row>
    <row r="11" spans="1:9" s="103" customFormat="1" ht="25.5" customHeight="1">
      <c r="A11" s="138" t="s">
        <v>148</v>
      </c>
      <c r="B11" s="139">
        <f>+'Salaries &amp; Fringe Allocations'!F214</f>
        <v>1291.22</v>
      </c>
      <c r="C11" s="140"/>
      <c r="D11" s="141">
        <f>+'Salaries &amp; Fringe Allocations'!F215</f>
        <v>2362.65</v>
      </c>
      <c r="E11" s="142">
        <f t="shared" si="0"/>
        <v>3653.87</v>
      </c>
      <c r="F11" s="143">
        <f>E11+'Oct-2019'!F11</f>
        <v>10638.54</v>
      </c>
      <c r="G11" s="143">
        <v>36000</v>
      </c>
      <c r="H11" s="144">
        <f t="shared" si="2"/>
        <v>25361.46</v>
      </c>
      <c r="I11" s="108">
        <f t="shared" si="1"/>
        <v>0.29551500000000003</v>
      </c>
    </row>
    <row r="12" spans="1:9" s="103" customFormat="1" ht="25.5" customHeight="1">
      <c r="A12" s="138" t="s">
        <v>363</v>
      </c>
      <c r="B12" s="139">
        <f>+'Salaries &amp; Fringe Allocations'!F216</f>
        <v>1057.69</v>
      </c>
      <c r="C12" s="140"/>
      <c r="D12" s="141"/>
      <c r="E12" s="142">
        <f t="shared" si="0"/>
        <v>1057.69</v>
      </c>
      <c r="F12" s="143">
        <f>E12+'Oct-2019'!F12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7348.3600000000006</v>
      </c>
      <c r="C16" s="147">
        <f>SUM(C6:C15)</f>
        <v>0</v>
      </c>
      <c r="D16" s="147">
        <f t="shared" ref="D16" si="3">SUM(D6:D15)</f>
        <v>16995.47</v>
      </c>
      <c r="E16" s="147">
        <f>SUM(E6:E15)</f>
        <v>24343.829999999998</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f>+'Salaries &amp; Fringe Allocations'!Q208+'Salaries &amp; Fringe Allocations'!Q209+'Salaries &amp; Fringe Allocations'!Q214+'Salaries &amp; Fringe Allocations'!Q216</f>
        <v>1718.5765649421639</v>
      </c>
      <c r="C18" s="155"/>
      <c r="D18" s="155">
        <f>+'Salaries &amp; Fringe Allocations'!Q210+'Salaries &amp; Fringe Allocations'!Q211+'Salaries &amp; Fringe Allocations'!Q212+'Salaries &amp; Fringe Allocations'!Q213+'Salaries &amp; Fringe Allocations'!Q215</f>
        <v>4161.2975874387885</v>
      </c>
      <c r="E18" s="156">
        <f>SUM(B18:D18)</f>
        <v>5879.8741523809522</v>
      </c>
      <c r="F18" s="143">
        <f>E18+'Oct-2019'!F18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9066.9365649421652</v>
      </c>
      <c r="C20" s="158">
        <f t="shared" si="5"/>
        <v>0</v>
      </c>
      <c r="D20" s="158">
        <f t="shared" si="5"/>
        <v>21156.76758743879</v>
      </c>
      <c r="E20" s="159">
        <f t="shared" si="5"/>
        <v>30223.704152380949</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39"/>
      <c r="C22" s="140"/>
      <c r="D22" s="140"/>
      <c r="E22" s="434"/>
      <c r="F22" s="144"/>
      <c r="G22" s="144"/>
      <c r="H22" s="144"/>
      <c r="I22" s="108"/>
      <c r="J22" s="102"/>
    </row>
    <row r="23" spans="1:10" s="103" customFormat="1" ht="24" customHeight="1">
      <c r="A23" s="161" t="s">
        <v>169</v>
      </c>
      <c r="B23" s="139"/>
      <c r="C23" s="140"/>
      <c r="D23" s="141">
        <f>+'Nov-19 GL'!G84</f>
        <v>396.02</v>
      </c>
      <c r="E23" s="142">
        <f>SUM(B23:D23)</f>
        <v>396.02</v>
      </c>
      <c r="F23" s="143">
        <f>E23+'Oct-2019'!F23</f>
        <v>1534.8999999999999</v>
      </c>
      <c r="G23" s="143">
        <v>4000</v>
      </c>
      <c r="H23" s="144">
        <f>G23-F23</f>
        <v>2465.1000000000004</v>
      </c>
      <c r="I23" s="108">
        <f t="shared" ref="I23:I37" si="6">F23/G23</f>
        <v>0.38372499999999998</v>
      </c>
      <c r="J23" s="102"/>
    </row>
    <row r="24" spans="1:10" s="103" customFormat="1" ht="24" customHeight="1">
      <c r="A24" s="161" t="s">
        <v>0</v>
      </c>
      <c r="B24" s="139">
        <f>+'Nov-19 GL'!G94</f>
        <v>259</v>
      </c>
      <c r="C24" s="140"/>
      <c r="D24" s="141">
        <f>+'Nov-19 GL'!G91</f>
        <v>891.21</v>
      </c>
      <c r="E24" s="142">
        <f t="shared" ref="E24:E35" si="7">SUM(B24:D24)</f>
        <v>1150.21</v>
      </c>
      <c r="F24" s="143">
        <f>E24+'Oct-2019'!F24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E25+'Oct-2019'!F25</f>
        <v>0</v>
      </c>
      <c r="G25" s="143">
        <v>2000</v>
      </c>
      <c r="H25" s="144">
        <f t="shared" si="8"/>
        <v>2000</v>
      </c>
      <c r="I25" s="108">
        <f t="shared" si="6"/>
        <v>0</v>
      </c>
      <c r="J25" s="102"/>
    </row>
    <row r="26" spans="1:10" s="103" customFormat="1" ht="24" customHeight="1">
      <c r="A26" s="161" t="s">
        <v>40</v>
      </c>
      <c r="B26" s="139">
        <f>+'Nov-19 GL'!G102</f>
        <v>597</v>
      </c>
      <c r="C26" s="140"/>
      <c r="D26" s="141"/>
      <c r="E26" s="142">
        <f t="shared" si="7"/>
        <v>597</v>
      </c>
      <c r="F26" s="143">
        <f>E26+'Oct-2019'!F26</f>
        <v>2743.69</v>
      </c>
      <c r="G26" s="143">
        <v>13200</v>
      </c>
      <c r="H26" s="144">
        <f t="shared" si="8"/>
        <v>10456.31</v>
      </c>
      <c r="I26" s="108">
        <f t="shared" si="6"/>
        <v>0.20785530303030303</v>
      </c>
      <c r="J26" s="102"/>
    </row>
    <row r="27" spans="1:10" s="103" customFormat="1" ht="24" customHeight="1">
      <c r="A27" s="161" t="s">
        <v>41</v>
      </c>
      <c r="B27" s="139">
        <f>+'Nov-19 GL'!G128</f>
        <v>539</v>
      </c>
      <c r="C27" s="140"/>
      <c r="D27" s="141">
        <f>+'Nov-19 GL'!G112</f>
        <v>648</v>
      </c>
      <c r="E27" s="142">
        <f t="shared" si="7"/>
        <v>1187</v>
      </c>
      <c r="F27" s="143">
        <f>E27+'Oct-2019'!F27</f>
        <v>5380.27</v>
      </c>
      <c r="G27" s="143">
        <v>12000</v>
      </c>
      <c r="H27" s="144">
        <f t="shared" si="8"/>
        <v>6619.73</v>
      </c>
      <c r="I27" s="108">
        <f t="shared" si="6"/>
        <v>0.44835583333333334</v>
      </c>
      <c r="J27" s="102"/>
    </row>
    <row r="28" spans="1:10" s="103" customFormat="1" ht="24" customHeight="1">
      <c r="A28" s="161" t="s">
        <v>42</v>
      </c>
      <c r="B28" s="139">
        <f>+'Nov-19 GL'!G107</f>
        <v>770</v>
      </c>
      <c r="C28" s="9"/>
      <c r="D28" s="9"/>
      <c r="E28" s="142">
        <f>SUM(B28:D28)</f>
        <v>770</v>
      </c>
      <c r="F28" s="143">
        <f>E28+'Oct-2019'!F28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E29+'Oct-2019'!F29</f>
        <v>0</v>
      </c>
      <c r="G29" s="143">
        <v>570</v>
      </c>
      <c r="H29" s="144">
        <f t="shared" si="8"/>
        <v>570</v>
      </c>
      <c r="I29" s="108">
        <f t="shared" si="6"/>
        <v>0</v>
      </c>
      <c r="J29" s="102"/>
    </row>
    <row r="30" spans="1:10" s="103" customFormat="1" ht="24" customHeight="1">
      <c r="A30" s="162" t="s">
        <v>43</v>
      </c>
      <c r="B30" s="139">
        <f>+'Nov-19 GL'!G135</f>
        <v>338</v>
      </c>
      <c r="C30" s="140"/>
      <c r="D30" s="141"/>
      <c r="E30" s="142">
        <f t="shared" si="7"/>
        <v>338</v>
      </c>
      <c r="F30" s="143">
        <f>E30+'Oct-2019'!F30</f>
        <v>1621.95</v>
      </c>
      <c r="G30" s="143">
        <v>6475</v>
      </c>
      <c r="H30" s="144">
        <f t="shared" si="8"/>
        <v>4853.05</v>
      </c>
      <c r="I30" s="108">
        <f t="shared" si="6"/>
        <v>0.2504942084942085</v>
      </c>
      <c r="J30" s="102"/>
    </row>
    <row r="31" spans="1:10" s="103" customFormat="1" ht="24" customHeight="1">
      <c r="A31" s="162" t="s">
        <v>44</v>
      </c>
      <c r="B31" s="139">
        <f>+'Nov-19 GL'!G22</f>
        <v>825.81</v>
      </c>
      <c r="C31" s="140"/>
      <c r="D31" s="141"/>
      <c r="E31" s="142">
        <f t="shared" si="7"/>
        <v>825.81</v>
      </c>
      <c r="F31" s="143">
        <f>E31+'Oct-2019'!F31</f>
        <v>4477.7700000000004</v>
      </c>
      <c r="G31" s="143">
        <v>13000</v>
      </c>
      <c r="H31" s="144">
        <f t="shared" si="8"/>
        <v>8522.23</v>
      </c>
      <c r="I31" s="108">
        <f t="shared" si="6"/>
        <v>0.34444384615384621</v>
      </c>
      <c r="J31" s="102"/>
    </row>
    <row r="32" spans="1:10" s="103" customFormat="1" ht="24" customHeight="1">
      <c r="A32" s="162" t="s">
        <v>81</v>
      </c>
      <c r="B32" s="139"/>
      <c r="C32" s="140"/>
      <c r="D32" s="141"/>
      <c r="E32" s="142">
        <f t="shared" si="7"/>
        <v>0</v>
      </c>
      <c r="F32" s="143">
        <f>E32+'Oct-2019'!F32</f>
        <v>0</v>
      </c>
      <c r="G32" s="143">
        <v>1500</v>
      </c>
      <c r="H32" s="144">
        <f>G32-F32</f>
        <v>1500</v>
      </c>
      <c r="I32" s="108">
        <f t="shared" si="6"/>
        <v>0</v>
      </c>
      <c r="J32" s="102"/>
    </row>
    <row r="33" spans="1:10" s="103" customFormat="1" ht="24" customHeight="1">
      <c r="A33" s="162" t="s">
        <v>45</v>
      </c>
      <c r="B33" s="139">
        <f>+'Nov-19 GL'!G149</f>
        <v>426</v>
      </c>
      <c r="C33" s="140"/>
      <c r="D33" s="141"/>
      <c r="E33" s="142">
        <f t="shared" si="7"/>
        <v>426</v>
      </c>
      <c r="F33" s="143">
        <f>E33+'Oct-2019'!F33</f>
        <v>1787.8200000000002</v>
      </c>
      <c r="G33" s="143">
        <v>3000.7</v>
      </c>
      <c r="H33" s="144">
        <f>G33-F33</f>
        <v>1212.8799999999997</v>
      </c>
      <c r="I33" s="108">
        <f t="shared" si="6"/>
        <v>0.5958009797713868</v>
      </c>
      <c r="J33" s="102"/>
    </row>
    <row r="34" spans="1:10" s="103" customFormat="1" ht="24" customHeight="1">
      <c r="A34" s="162" t="s">
        <v>77</v>
      </c>
      <c r="B34" s="139">
        <f>+'Nov-19 GL'!G162</f>
        <v>261.01</v>
      </c>
      <c r="C34" s="140"/>
      <c r="D34" s="141"/>
      <c r="E34" s="142">
        <f t="shared" si="7"/>
        <v>261.01</v>
      </c>
      <c r="F34" s="143">
        <f>E34+'Oct-2019'!F34</f>
        <v>1297.03</v>
      </c>
      <c r="G34" s="143">
        <v>3000</v>
      </c>
      <c r="H34" s="144">
        <f t="shared" si="4"/>
        <v>1702.97</v>
      </c>
      <c r="I34" s="108">
        <f t="shared" si="6"/>
        <v>0.4323433333333333</v>
      </c>
      <c r="J34" s="102"/>
    </row>
    <row r="35" spans="1:10" s="103" customFormat="1" ht="24" customHeight="1">
      <c r="A35" s="162" t="s">
        <v>150</v>
      </c>
      <c r="B35" s="139">
        <f>+'Nov-19 GL'!G167</f>
        <v>597</v>
      </c>
      <c r="C35" s="140"/>
      <c r="D35" s="141"/>
      <c r="E35" s="142">
        <f t="shared" si="7"/>
        <v>597</v>
      </c>
      <c r="F35" s="143">
        <f>E35+'Oct-2019'!F35</f>
        <v>2354.7200000000003</v>
      </c>
      <c r="G35" s="143">
        <v>4000</v>
      </c>
      <c r="H35" s="144">
        <f t="shared" si="4"/>
        <v>1645.2799999999997</v>
      </c>
      <c r="I35" s="108">
        <f t="shared" si="6"/>
        <v>0.58868000000000009</v>
      </c>
      <c r="J35" s="102"/>
    </row>
    <row r="36" spans="1:10" s="103" customFormat="1" ht="24" customHeight="1">
      <c r="A36" s="162" t="s">
        <v>151</v>
      </c>
      <c r="B36" s="151"/>
      <c r="C36" s="152"/>
      <c r="D36" s="163"/>
      <c r="E36" s="142">
        <f t="shared" ref="E36" si="9">SUM(B36:D36)</f>
        <v>0</v>
      </c>
      <c r="F36" s="143">
        <f>E36+'Oct-2019'!F36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4612.82</v>
      </c>
      <c r="C37" s="166">
        <f t="shared" ref="C37:E37" si="12">SUM(C23:C36)</f>
        <v>0</v>
      </c>
      <c r="D37" s="166">
        <f t="shared" si="12"/>
        <v>1935.23</v>
      </c>
      <c r="E37" s="166">
        <f t="shared" si="12"/>
        <v>6548.0499999999993</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+'Nov-19 GL'!G11</f>
        <v>93666.89</v>
      </c>
      <c r="D41" s="170"/>
      <c r="E41" s="171">
        <f>SUM(B41:D41)</f>
        <v>93666.89</v>
      </c>
      <c r="F41" s="143">
        <f>E41+'Oct-2019'!F41</f>
        <v>434260.37</v>
      </c>
      <c r="G41" s="144">
        <v>1452829.24</v>
      </c>
      <c r="H41" s="144">
        <f>G41-F41-F42</f>
        <v>1016408.24</v>
      </c>
      <c r="I41" s="108">
        <f t="shared" ref="I41:I56" si="13">F41/G41</f>
        <v>0.29890668362374095</v>
      </c>
    </row>
    <row r="42" spans="1:10" s="168" customFormat="1" ht="21.75" customHeight="1">
      <c r="A42" s="138" t="s">
        <v>83</v>
      </c>
      <c r="B42" s="139"/>
      <c r="C42" s="170"/>
      <c r="D42" s="170"/>
      <c r="E42" s="171">
        <f>SUM(B42:D42)</f>
        <v>0</v>
      </c>
      <c r="F42" s="143">
        <f>+E42+'Oct-2019'!F42</f>
        <v>2160.63</v>
      </c>
      <c r="G42" s="144"/>
      <c r="H42" s="144"/>
      <c r="I42" s="108"/>
    </row>
    <row r="43" spans="1:10" s="168" customFormat="1" ht="21.75" customHeight="1">
      <c r="A43" s="138" t="s">
        <v>80</v>
      </c>
      <c r="B43" s="139"/>
      <c r="C43" s="170"/>
      <c r="D43" s="170"/>
      <c r="E43" s="171">
        <f t="shared" ref="E43:E47" si="14">SUM(B43:D43)</f>
        <v>0</v>
      </c>
      <c r="F43" s="143">
        <f>E43+'Oct-2019'!F43</f>
        <v>0</v>
      </c>
      <c r="G43" s="144">
        <v>12820</v>
      </c>
      <c r="H43" s="144">
        <f t="shared" ref="H43:H47" si="15">G43-F43</f>
        <v>12820</v>
      </c>
      <c r="I43" s="108">
        <f t="shared" si="13"/>
        <v>0</v>
      </c>
    </row>
    <row r="44" spans="1:10" s="168" customFormat="1" ht="21.75" customHeight="1">
      <c r="A44" s="138" t="s">
        <v>78</v>
      </c>
      <c r="B44" s="139"/>
      <c r="C44" s="170">
        <f>+'Nov-19 GL'!G15</f>
        <v>4818.66</v>
      </c>
      <c r="D44" s="170"/>
      <c r="E44" s="171">
        <f t="shared" si="14"/>
        <v>4818.66</v>
      </c>
      <c r="F44" s="143">
        <f>E44+'Oct-2019'!F44</f>
        <v>30943.38</v>
      </c>
      <c r="G44" s="144">
        <v>111141.44</v>
      </c>
      <c r="H44" s="144">
        <f t="shared" si="15"/>
        <v>80198.06</v>
      </c>
      <c r="I44" s="108">
        <f t="shared" si="13"/>
        <v>0.27841442399882527</v>
      </c>
    </row>
    <row r="45" spans="1:10" s="168" customFormat="1" ht="21.75" customHeight="1">
      <c r="A45" s="138" t="s">
        <v>29</v>
      </c>
      <c r="B45" s="139"/>
      <c r="C45" s="140">
        <f>+'Nov-19 GL'!G18</f>
        <v>2294</v>
      </c>
      <c r="D45" s="140"/>
      <c r="E45" s="172">
        <f t="shared" si="14"/>
        <v>2294</v>
      </c>
      <c r="F45" s="143">
        <f>E45+'Oct-2019'!F45</f>
        <v>12850.48</v>
      </c>
      <c r="G45" s="144">
        <v>22373.57</v>
      </c>
      <c r="H45" s="144">
        <f t="shared" si="15"/>
        <v>9523.09</v>
      </c>
      <c r="I45" s="108">
        <f t="shared" si="13"/>
        <v>0.57435983618170905</v>
      </c>
    </row>
    <row r="46" spans="1:10" s="168" customFormat="1" ht="21.75" customHeight="1">
      <c r="A46" s="138" t="s">
        <v>79</v>
      </c>
      <c r="B46" s="139"/>
      <c r="C46" s="140"/>
      <c r="D46" s="140"/>
      <c r="E46" s="172">
        <f t="shared" si="14"/>
        <v>0</v>
      </c>
      <c r="F46" s="143">
        <f>E46+'Oct-2019'!F46</f>
        <v>0</v>
      </c>
      <c r="G46" s="144">
        <v>8500</v>
      </c>
      <c r="H46" s="144">
        <f t="shared" si="15"/>
        <v>8500</v>
      </c>
      <c r="I46" s="108">
        <f t="shared" si="13"/>
        <v>0</v>
      </c>
    </row>
    <row r="47" spans="1:10" s="168" customFormat="1" ht="21.75" customHeight="1">
      <c r="A47" s="138" t="s">
        <v>168</v>
      </c>
      <c r="B47" s="151"/>
      <c r="C47" s="152"/>
      <c r="D47" s="152"/>
      <c r="E47" s="172">
        <f t="shared" si="14"/>
        <v>0</v>
      </c>
      <c r="F47" s="143">
        <f>E47+'Oct-2019'!F47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100779.55</v>
      </c>
      <c r="D48" s="166">
        <f t="shared" si="16"/>
        <v>0</v>
      </c>
      <c r="E48" s="166">
        <f t="shared" si="16"/>
        <v>100779.55</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8" customHeight="1">
      <c r="A50" s="10" t="s">
        <v>157</v>
      </c>
      <c r="B50" s="176">
        <v>0</v>
      </c>
      <c r="C50" s="9"/>
      <c r="D50" s="9"/>
      <c r="E50" s="177">
        <f>B50</f>
        <v>0</v>
      </c>
      <c r="F50" s="143">
        <f>E50+'Oct-2019'!F50</f>
        <v>0</v>
      </c>
      <c r="G50" s="76">
        <v>17532.59</v>
      </c>
      <c r="H50" s="144">
        <f>G50-F50</f>
        <v>17532.59</v>
      </c>
      <c r="I50" s="108">
        <f t="shared" si="13"/>
        <v>0</v>
      </c>
    </row>
    <row r="51" spans="1:9" s="175" customFormat="1" ht="18" customHeight="1">
      <c r="A51" s="117"/>
      <c r="B51" s="173"/>
      <c r="C51" s="174"/>
      <c r="D51" s="174"/>
      <c r="E51" s="174"/>
      <c r="F51" s="69"/>
      <c r="G51" s="69"/>
      <c r="H51" s="69"/>
      <c r="I51" s="109"/>
    </row>
    <row r="52" spans="1:9" s="103" customFormat="1" ht="18" customHeight="1" thickBot="1">
      <c r="A52" s="117" t="s">
        <v>31</v>
      </c>
      <c r="B52" s="157">
        <f>B20+B37+B48+B50</f>
        <v>13679.756564942165</v>
      </c>
      <c r="C52" s="158">
        <f>C20+C37+C48</f>
        <v>100779.55</v>
      </c>
      <c r="D52" s="158">
        <f>D20+D37+D48</f>
        <v>23091.997587438789</v>
      </c>
      <c r="E52" s="158">
        <f>E37+E20+E48+E50</f>
        <v>137551.30415238097</v>
      </c>
      <c r="F52" s="77">
        <f>F37+F20+F48+F50</f>
        <v>613465.20153087797</v>
      </c>
      <c r="G52" s="77">
        <f>G37+G20+G48+G50</f>
        <v>2013608.54</v>
      </c>
      <c r="H52" s="77">
        <f>H37+H20+H48+H50</f>
        <v>1400143.3384691223</v>
      </c>
      <c r="I52" s="110">
        <f t="shared" si="13"/>
        <v>0.30465961449035073</v>
      </c>
    </row>
    <row r="53" spans="1:9" s="103" customFormat="1" ht="18" customHeight="1" thickTop="1">
      <c r="A53" s="117"/>
      <c r="B53" s="178"/>
      <c r="C53" s="100"/>
      <c r="D53" s="100"/>
      <c r="E53" s="152"/>
      <c r="F53" s="78"/>
      <c r="G53" s="78"/>
      <c r="H53" s="78"/>
      <c r="I53" s="109"/>
    </row>
    <row r="54" spans="1:9" s="103" customFormat="1" ht="18" customHeight="1">
      <c r="A54" s="117" t="s">
        <v>32</v>
      </c>
      <c r="B54" s="178"/>
      <c r="C54" s="100"/>
      <c r="D54" s="100"/>
      <c r="E54" s="331">
        <f>29634.43-14414.64</f>
        <v>15219.79</v>
      </c>
      <c r="F54" s="392">
        <f>E54+'Oct-2019'!F54</f>
        <v>29634.43</v>
      </c>
      <c r="G54" s="76">
        <v>242467.32</v>
      </c>
      <c r="H54" s="180">
        <f>G54-F54</f>
        <v>212832.89</v>
      </c>
      <c r="I54" s="108">
        <f t="shared" si="13"/>
        <v>0.1222203058127586</v>
      </c>
    </row>
    <row r="55" spans="1:9" s="103" customFormat="1" ht="18" customHeight="1">
      <c r="A55" s="117"/>
      <c r="B55" s="178"/>
      <c r="C55" s="100"/>
      <c r="D55" s="100"/>
      <c r="E55" s="152"/>
      <c r="F55" s="78"/>
      <c r="G55" s="78"/>
      <c r="H55" s="78"/>
      <c r="I55" s="109"/>
    </row>
    <row r="56" spans="1:9" s="103" customFormat="1" ht="18" customHeight="1" thickBot="1">
      <c r="A56" s="117" t="s">
        <v>33</v>
      </c>
      <c r="B56" s="181">
        <f t="shared" ref="B56:H56" si="18">B52+B54</f>
        <v>13679.756564942165</v>
      </c>
      <c r="C56" s="99">
        <f t="shared" si="18"/>
        <v>100779.55</v>
      </c>
      <c r="D56" s="99">
        <f t="shared" si="18"/>
        <v>23091.997587438789</v>
      </c>
      <c r="E56" s="158">
        <f t="shared" si="18"/>
        <v>152771.09415238097</v>
      </c>
      <c r="F56" s="77">
        <f t="shared" si="18"/>
        <v>643099.63153087802</v>
      </c>
      <c r="G56" s="77">
        <f t="shared" si="18"/>
        <v>2256075.86</v>
      </c>
      <c r="H56" s="77">
        <f t="shared" si="18"/>
        <v>1612976.2284691222</v>
      </c>
      <c r="I56" s="110">
        <f t="shared" si="13"/>
        <v>0.28505230827250555</v>
      </c>
    </row>
    <row r="57" spans="1:9" s="103" customFormat="1" ht="18.75" customHeight="1" thickTop="1">
      <c r="A57" s="182"/>
      <c r="B57" s="183"/>
      <c r="C57" s="183"/>
      <c r="D57" s="183"/>
      <c r="E57" s="184"/>
      <c r="F57" s="435" t="s">
        <v>47</v>
      </c>
      <c r="G57" s="79"/>
      <c r="H57" s="185"/>
      <c r="I57" s="111"/>
    </row>
    <row r="58" spans="1:9" s="103" customFormat="1" ht="21.5" thickBot="1">
      <c r="A58" s="117" t="s">
        <v>35</v>
      </c>
      <c r="B58" s="101"/>
      <c r="C58" s="101"/>
      <c r="D58" s="101"/>
      <c r="E58" s="186">
        <f>+E20+E37-E31+E42+E45+E46+E47+E50</f>
        <v>38239.944152380951</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38239.944152380951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v>43811</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443</v>
      </c>
      <c r="B81" s="402"/>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4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175"/>
  <sheetViews>
    <sheetView workbookViewId="0">
      <pane ySplit="5" topLeftCell="A96" activePane="bottomLeft" state="frozen"/>
      <selection pane="bottomLeft" activeCell="D93" sqref="D93"/>
    </sheetView>
  </sheetViews>
  <sheetFormatPr defaultColWidth="9.1796875" defaultRowHeight="15" customHeight="1"/>
  <cols>
    <col min="1" max="1" width="2" style="269" customWidth="1"/>
    <col min="2" max="3" width="12" style="269" customWidth="1"/>
    <col min="4" max="4" width="14.1796875" style="269" customWidth="1"/>
    <col min="5" max="5" width="30.81640625" style="269" bestFit="1" customWidth="1"/>
    <col min="6" max="6" width="52.81640625" style="269" bestFit="1" customWidth="1"/>
    <col min="7" max="7" width="12" style="269" customWidth="1"/>
    <col min="8" max="8" width="10.453125" style="406" customWidth="1"/>
    <col min="9" max="16384" width="9.1796875" style="269"/>
  </cols>
  <sheetData>
    <row r="1" spans="1:8" ht="20.25" customHeight="1">
      <c r="A1" s="590" t="s">
        <v>277</v>
      </c>
      <c r="B1" s="590"/>
      <c r="C1" s="590"/>
      <c r="D1" s="590"/>
      <c r="E1" s="590"/>
      <c r="F1" s="590"/>
      <c r="G1" s="590"/>
      <c r="H1" s="590"/>
    </row>
    <row r="2" spans="1:8" ht="20.25" customHeight="1">
      <c r="A2" s="590" t="s">
        <v>276</v>
      </c>
      <c r="B2" s="590"/>
      <c r="C2" s="590"/>
      <c r="D2" s="590"/>
      <c r="E2" s="590"/>
      <c r="F2" s="590"/>
      <c r="G2" s="590"/>
      <c r="H2" s="590"/>
    </row>
    <row r="3" spans="1:8" ht="20.25" customHeight="1">
      <c r="A3" s="591" t="s">
        <v>616</v>
      </c>
      <c r="B3" s="591"/>
      <c r="C3" s="591"/>
      <c r="D3" s="591"/>
      <c r="E3" s="591"/>
      <c r="F3" s="591"/>
      <c r="G3" s="591"/>
      <c r="H3" s="591"/>
    </row>
    <row r="5" spans="1:8" ht="24">
      <c r="A5" s="304"/>
      <c r="B5" s="417" t="s">
        <v>153</v>
      </c>
      <c r="C5" s="418" t="s">
        <v>430</v>
      </c>
      <c r="D5" s="417" t="s">
        <v>274</v>
      </c>
      <c r="E5" s="417" t="s">
        <v>273</v>
      </c>
      <c r="F5" s="417" t="s">
        <v>272</v>
      </c>
      <c r="G5" s="416" t="s">
        <v>271</v>
      </c>
      <c r="H5" s="415" t="s">
        <v>278</v>
      </c>
    </row>
    <row r="6" spans="1:8" ht="15" customHeight="1">
      <c r="A6" s="414"/>
      <c r="H6" s="419"/>
    </row>
    <row r="7" spans="1:8" s="407" customFormat="1" ht="15" customHeight="1">
      <c r="A7" s="410" t="s">
        <v>270</v>
      </c>
      <c r="H7" s="412"/>
    </row>
    <row r="8" spans="1:8" s="407" customFormat="1" ht="15" customHeight="1">
      <c r="A8" s="410" t="s">
        <v>269</v>
      </c>
      <c r="H8" s="412"/>
    </row>
    <row r="9" spans="1:8" s="407" customFormat="1" ht="15" customHeight="1">
      <c r="B9" s="412" t="s">
        <v>606</v>
      </c>
      <c r="C9" s="412" t="s">
        <v>186</v>
      </c>
      <c r="D9" s="412">
        <v>60</v>
      </c>
      <c r="E9" s="412"/>
      <c r="F9" s="412" t="s">
        <v>615</v>
      </c>
      <c r="G9" s="411">
        <v>46928.89</v>
      </c>
      <c r="H9" s="412"/>
    </row>
    <row r="10" spans="1:8" s="407" customFormat="1" ht="15" customHeight="1">
      <c r="B10" s="412" t="s">
        <v>613</v>
      </c>
      <c r="C10" s="412" t="s">
        <v>186</v>
      </c>
      <c r="D10" s="412">
        <v>61</v>
      </c>
      <c r="E10" s="412"/>
      <c r="F10" s="412" t="s">
        <v>614</v>
      </c>
      <c r="G10" s="411">
        <v>46738</v>
      </c>
      <c r="H10" s="412"/>
    </row>
    <row r="11" spans="1:8" s="407" customFormat="1" ht="15" customHeight="1">
      <c r="A11" s="410" t="s">
        <v>557</v>
      </c>
      <c r="G11" s="409">
        <f>SUM(G9:G10)</f>
        <v>93666.89</v>
      </c>
      <c r="H11" s="412"/>
    </row>
    <row r="12" spans="1:8" s="407" customFormat="1" ht="15" customHeight="1">
      <c r="A12" s="410" t="s">
        <v>262</v>
      </c>
      <c r="H12" s="419"/>
    </row>
    <row r="13" spans="1:8" s="407" customFormat="1" ht="15" customHeight="1">
      <c r="B13" s="412" t="s">
        <v>606</v>
      </c>
      <c r="C13" s="412" t="s">
        <v>186</v>
      </c>
      <c r="D13" s="412">
        <v>60</v>
      </c>
      <c r="E13" s="412"/>
      <c r="F13" s="412" t="s">
        <v>419</v>
      </c>
      <c r="G13" s="411">
        <v>3602.67</v>
      </c>
      <c r="H13" s="419"/>
    </row>
    <row r="14" spans="1:8" s="407" customFormat="1" ht="15" customHeight="1">
      <c r="B14" s="412" t="s">
        <v>613</v>
      </c>
      <c r="C14" s="412" t="s">
        <v>186</v>
      </c>
      <c r="D14" s="412">
        <v>61</v>
      </c>
      <c r="E14" s="412"/>
      <c r="F14" s="412" t="s">
        <v>419</v>
      </c>
      <c r="G14" s="411">
        <v>1215.99</v>
      </c>
      <c r="H14" s="412"/>
    </row>
    <row r="15" spans="1:8" s="407" customFormat="1" ht="15" customHeight="1">
      <c r="A15" s="410" t="s">
        <v>261</v>
      </c>
      <c r="G15" s="409">
        <f>SUM(G13:G14)</f>
        <v>4818.66</v>
      </c>
      <c r="H15" s="419"/>
    </row>
    <row r="16" spans="1:8" s="407" customFormat="1" ht="15" customHeight="1">
      <c r="A16" s="410" t="s">
        <v>340</v>
      </c>
      <c r="H16" s="419"/>
    </row>
    <row r="17" spans="1:8" s="407" customFormat="1" ht="15" customHeight="1">
      <c r="B17" s="412" t="s">
        <v>589</v>
      </c>
      <c r="C17" s="412" t="s">
        <v>186</v>
      </c>
      <c r="D17" s="412">
        <v>56</v>
      </c>
      <c r="E17" s="412"/>
      <c r="F17" s="412" t="s">
        <v>411</v>
      </c>
      <c r="G17" s="411">
        <v>2294</v>
      </c>
      <c r="H17" s="419"/>
    </row>
    <row r="18" spans="1:8" s="407" customFormat="1" ht="15" customHeight="1">
      <c r="A18" s="410" t="s">
        <v>341</v>
      </c>
      <c r="G18" s="409">
        <f>SUM(G17)</f>
        <v>2294</v>
      </c>
      <c r="H18" s="419"/>
    </row>
    <row r="19" spans="1:8" s="407" customFormat="1" ht="15" customHeight="1">
      <c r="A19" s="410" t="s">
        <v>260</v>
      </c>
      <c r="H19" s="419"/>
    </row>
    <row r="20" spans="1:8" s="407" customFormat="1" ht="15" customHeight="1">
      <c r="B20" s="412" t="s">
        <v>606</v>
      </c>
      <c r="C20" s="412" t="s">
        <v>186</v>
      </c>
      <c r="D20" s="412">
        <v>60</v>
      </c>
      <c r="E20" s="412"/>
      <c r="F20" s="412" t="s">
        <v>415</v>
      </c>
      <c r="G20" s="411">
        <v>425.99</v>
      </c>
      <c r="H20" s="419"/>
    </row>
    <row r="21" spans="1:8" s="407" customFormat="1" ht="15" customHeight="1">
      <c r="B21" s="412" t="s">
        <v>613</v>
      </c>
      <c r="C21" s="412" t="s">
        <v>186</v>
      </c>
      <c r="D21" s="412">
        <v>61</v>
      </c>
      <c r="E21" s="412"/>
      <c r="F21" s="412" t="s">
        <v>415</v>
      </c>
      <c r="G21" s="411">
        <v>399.82</v>
      </c>
      <c r="H21" s="419"/>
    </row>
    <row r="22" spans="1:8" s="407" customFormat="1" ht="15" customHeight="1">
      <c r="A22" s="410" t="s">
        <v>253</v>
      </c>
      <c r="G22" s="409">
        <f>SUM(G20:G21)</f>
        <v>825.81</v>
      </c>
      <c r="H22" s="419"/>
    </row>
    <row r="23" spans="1:8" s="407" customFormat="1" ht="15" customHeight="1">
      <c r="A23" s="410" t="s">
        <v>483</v>
      </c>
      <c r="G23" s="409">
        <f>+G11+G15+G18+G22</f>
        <v>101605.36</v>
      </c>
      <c r="H23" s="419"/>
    </row>
    <row r="24" spans="1:8" s="407" customFormat="1" ht="15" customHeight="1">
      <c r="A24" s="410" t="s">
        <v>414</v>
      </c>
      <c r="H24" s="419"/>
    </row>
    <row r="25" spans="1:8" s="407" customFormat="1" ht="15" customHeight="1">
      <c r="A25" s="410" t="s">
        <v>252</v>
      </c>
      <c r="H25" s="419"/>
    </row>
    <row r="26" spans="1:8" s="407" customFormat="1" ht="15" customHeight="1">
      <c r="A26" s="410" t="s">
        <v>552</v>
      </c>
      <c r="H26" s="419"/>
    </row>
    <row r="27" spans="1:8" s="407" customFormat="1" ht="15" customHeight="1">
      <c r="B27" s="412" t="s">
        <v>589</v>
      </c>
      <c r="C27" s="412" t="s">
        <v>186</v>
      </c>
      <c r="D27" s="412">
        <v>39</v>
      </c>
      <c r="E27" s="412"/>
      <c r="F27" s="412" t="s">
        <v>612</v>
      </c>
      <c r="G27" s="411">
        <v>24343</v>
      </c>
      <c r="H27" s="419"/>
    </row>
    <row r="28" spans="1:8" s="407" customFormat="1" ht="15" customHeight="1">
      <c r="A28" s="410" t="s">
        <v>549</v>
      </c>
      <c r="G28" s="409">
        <f>SUM(G27)</f>
        <v>24343</v>
      </c>
      <c r="H28" s="419"/>
    </row>
    <row r="29" spans="1:8" s="407" customFormat="1" ht="15" customHeight="1">
      <c r="A29" s="410" t="s">
        <v>249</v>
      </c>
      <c r="G29" s="409">
        <f>SUM(G28)</f>
        <v>24343</v>
      </c>
      <c r="H29" s="419"/>
    </row>
    <row r="30" spans="1:8" s="407" customFormat="1" ht="15" customHeight="1">
      <c r="A30" s="410" t="s">
        <v>248</v>
      </c>
      <c r="H30" s="419"/>
    </row>
    <row r="31" spans="1:8" s="407" customFormat="1" ht="15" customHeight="1">
      <c r="A31" s="410" t="s">
        <v>247</v>
      </c>
      <c r="H31" s="419"/>
    </row>
    <row r="32" spans="1:8" s="407" customFormat="1" ht="15" customHeight="1">
      <c r="B32" s="412" t="s">
        <v>580</v>
      </c>
      <c r="C32" s="412" t="s">
        <v>174</v>
      </c>
      <c r="D32" s="412">
        <v>292676700</v>
      </c>
      <c r="E32" s="412" t="s">
        <v>480</v>
      </c>
      <c r="F32" s="412" t="s">
        <v>611</v>
      </c>
      <c r="G32" s="411">
        <v>3670.26</v>
      </c>
      <c r="H32" s="419">
        <v>12658</v>
      </c>
    </row>
    <row r="33" spans="1:8" s="407" customFormat="1" ht="15" customHeight="1">
      <c r="A33" s="410" t="s">
        <v>246</v>
      </c>
      <c r="G33" s="409">
        <f>SUM(G32)</f>
        <v>3670.26</v>
      </c>
      <c r="H33" s="419"/>
    </row>
    <row r="34" spans="1:8" s="407" customFormat="1" ht="15" customHeight="1">
      <c r="A34" s="410" t="s">
        <v>245</v>
      </c>
      <c r="H34" s="419"/>
    </row>
    <row r="35" spans="1:8" s="407" customFormat="1" ht="15" customHeight="1">
      <c r="B35" s="412" t="s">
        <v>580</v>
      </c>
      <c r="C35" s="412" t="s">
        <v>174</v>
      </c>
      <c r="D35" s="412" t="s">
        <v>610</v>
      </c>
      <c r="E35" s="412" t="s">
        <v>243</v>
      </c>
      <c r="F35" s="412" t="s">
        <v>564</v>
      </c>
      <c r="G35" s="411">
        <v>557.84649999999999</v>
      </c>
      <c r="H35" s="419">
        <v>12665</v>
      </c>
    </row>
    <row r="36" spans="1:8" s="407" customFormat="1" ht="15" customHeight="1">
      <c r="A36" s="410" t="s">
        <v>241</v>
      </c>
      <c r="G36" s="409">
        <f>SUM(G35)</f>
        <v>557.84649999999999</v>
      </c>
      <c r="H36" s="419"/>
    </row>
    <row r="37" spans="1:8" s="421" customFormat="1" ht="15" customHeight="1">
      <c r="A37" s="420" t="s">
        <v>240</v>
      </c>
      <c r="G37" s="422"/>
      <c r="H37" s="423"/>
    </row>
    <row r="38" spans="1:8" s="421" customFormat="1" ht="15" customHeight="1">
      <c r="B38" s="424">
        <v>43799</v>
      </c>
      <c r="C38" s="423" t="s">
        <v>186</v>
      </c>
      <c r="D38" s="423">
        <v>154</v>
      </c>
      <c r="E38" s="423"/>
      <c r="F38" s="423" t="s">
        <v>325</v>
      </c>
      <c r="G38" s="425">
        <v>-1267.3845142857142</v>
      </c>
      <c r="H38" s="423"/>
    </row>
    <row r="39" spans="1:8" s="421" customFormat="1" ht="15" customHeight="1">
      <c r="A39" s="420" t="s">
        <v>239</v>
      </c>
      <c r="G39" s="426">
        <f>SUM(G38)</f>
        <v>-1267.3845142857142</v>
      </c>
      <c r="H39" s="423"/>
    </row>
    <row r="40" spans="1:8" s="421" customFormat="1" ht="15" customHeight="1">
      <c r="A40" s="420" t="s">
        <v>238</v>
      </c>
      <c r="G40" s="422"/>
      <c r="H40" s="423"/>
    </row>
    <row r="41" spans="1:8" s="421" customFormat="1" ht="15" customHeight="1">
      <c r="B41" s="424">
        <v>43799</v>
      </c>
      <c r="C41" s="423" t="s">
        <v>186</v>
      </c>
      <c r="D41" s="423">
        <v>155</v>
      </c>
      <c r="E41" s="423"/>
      <c r="F41" s="423" t="s">
        <v>237</v>
      </c>
      <c r="G41" s="425">
        <v>-78.878500000000017</v>
      </c>
      <c r="H41" s="423"/>
    </row>
    <row r="42" spans="1:8" s="421" customFormat="1" ht="15" customHeight="1">
      <c r="A42" s="420" t="s">
        <v>236</v>
      </c>
      <c r="G42" s="426">
        <f>SUM(G41)</f>
        <v>-78.878500000000017</v>
      </c>
      <c r="H42" s="423"/>
    </row>
    <row r="43" spans="1:8" s="407" customFormat="1" ht="15" customHeight="1">
      <c r="A43" s="410"/>
      <c r="G43" s="409"/>
      <c r="H43" s="419"/>
    </row>
    <row r="44" spans="1:8" s="407" customFormat="1" ht="15" customHeight="1">
      <c r="A44" s="410" t="s">
        <v>235</v>
      </c>
      <c r="G44" s="409">
        <f>+G33+G36+G39+G42</f>
        <v>2881.8434857142856</v>
      </c>
      <c r="H44" s="419"/>
    </row>
    <row r="46" spans="1:8" s="407" customFormat="1" ht="15" customHeight="1">
      <c r="A46" s="410" t="s">
        <v>234</v>
      </c>
      <c r="H46" s="419"/>
    </row>
    <row r="47" spans="1:8" s="407" customFormat="1" ht="15" customHeight="1">
      <c r="A47" s="410" t="s">
        <v>478</v>
      </c>
      <c r="H47" s="419"/>
    </row>
    <row r="48" spans="1:8" s="407" customFormat="1" ht="15" customHeight="1">
      <c r="B48" s="412" t="s">
        <v>589</v>
      </c>
      <c r="C48" s="412" t="s">
        <v>186</v>
      </c>
      <c r="D48" s="412">
        <v>56</v>
      </c>
      <c r="E48" s="412"/>
      <c r="F48" s="412" t="s">
        <v>411</v>
      </c>
      <c r="G48" s="411">
        <v>576</v>
      </c>
      <c r="H48" s="419"/>
    </row>
    <row r="49" spans="1:8" s="407" customFormat="1" ht="15" customHeight="1">
      <c r="A49" s="410" t="s">
        <v>477</v>
      </c>
      <c r="G49" s="409">
        <f>SUM(G48)</f>
        <v>576</v>
      </c>
      <c r="H49" s="419"/>
    </row>
    <row r="51" spans="1:8" s="359" customFormat="1" ht="14.5">
      <c r="A51" s="274" t="s">
        <v>284</v>
      </c>
      <c r="H51" s="206"/>
    </row>
    <row r="52" spans="1:8" s="407" customFormat="1" ht="15" customHeight="1">
      <c r="A52" s="410" t="s">
        <v>232</v>
      </c>
      <c r="H52" s="419"/>
    </row>
    <row r="53" spans="1:8" s="407" customFormat="1" ht="15" customHeight="1">
      <c r="B53" s="412" t="s">
        <v>589</v>
      </c>
      <c r="C53" s="412" t="s">
        <v>186</v>
      </c>
      <c r="D53" s="412">
        <v>53</v>
      </c>
      <c r="E53" s="412"/>
      <c r="F53" s="412" t="s">
        <v>231</v>
      </c>
      <c r="G53" s="411">
        <v>1411</v>
      </c>
      <c r="H53" s="419"/>
    </row>
    <row r="54" spans="1:8" s="407" customFormat="1" ht="15" customHeight="1">
      <c r="A54" s="410" t="s">
        <v>230</v>
      </c>
      <c r="G54" s="409">
        <f>SUM(G53)</f>
        <v>1411</v>
      </c>
      <c r="H54" s="419"/>
    </row>
    <row r="55" spans="1:8" s="407" customFormat="1" ht="15" customHeight="1">
      <c r="A55" s="410" t="s">
        <v>229</v>
      </c>
      <c r="H55" s="419"/>
    </row>
    <row r="56" spans="1:8" s="407" customFormat="1" ht="15" customHeight="1">
      <c r="B56" s="412" t="s">
        <v>589</v>
      </c>
      <c r="C56" s="412" t="s">
        <v>186</v>
      </c>
      <c r="D56" s="412">
        <v>49</v>
      </c>
      <c r="E56" s="412"/>
      <c r="F56" s="412" t="s">
        <v>228</v>
      </c>
      <c r="G56" s="411">
        <v>344</v>
      </c>
      <c r="H56" s="419"/>
    </row>
    <row r="57" spans="1:8" s="407" customFormat="1" ht="15" customHeight="1">
      <c r="A57" s="410" t="s">
        <v>227</v>
      </c>
      <c r="G57" s="409">
        <f>SUM(G56)</f>
        <v>344</v>
      </c>
      <c r="H57" s="419"/>
    </row>
    <row r="58" spans="1:8" s="407" customFormat="1" ht="15" customHeight="1">
      <c r="A58" s="410" t="s">
        <v>226</v>
      </c>
      <c r="H58" s="419"/>
    </row>
    <row r="59" spans="1:8" s="407" customFormat="1" ht="15" customHeight="1">
      <c r="B59" s="412" t="s">
        <v>589</v>
      </c>
      <c r="C59" s="412" t="s">
        <v>186</v>
      </c>
      <c r="D59" s="412">
        <v>45</v>
      </c>
      <c r="E59" s="412"/>
      <c r="F59" s="412" t="s">
        <v>225</v>
      </c>
      <c r="G59" s="411">
        <v>345</v>
      </c>
      <c r="H59" s="419"/>
    </row>
    <row r="60" spans="1:8" s="407" customFormat="1" ht="15" customHeight="1">
      <c r="A60" s="410" t="s">
        <v>224</v>
      </c>
      <c r="G60" s="409">
        <f>SUM(G59)</f>
        <v>345</v>
      </c>
      <c r="H60" s="419"/>
    </row>
    <row r="61" spans="1:8" s="407" customFormat="1" ht="15" customHeight="1">
      <c r="A61" s="410" t="s">
        <v>223</v>
      </c>
      <c r="H61" s="419"/>
    </row>
    <row r="62" spans="1:8" s="407" customFormat="1" ht="15" customHeight="1">
      <c r="B62" s="412" t="s">
        <v>589</v>
      </c>
      <c r="C62" s="412" t="s">
        <v>186</v>
      </c>
      <c r="D62" s="412">
        <v>54</v>
      </c>
      <c r="E62" s="412"/>
      <c r="F62" s="412" t="s">
        <v>222</v>
      </c>
      <c r="G62" s="411">
        <v>68</v>
      </c>
      <c r="H62" s="419"/>
    </row>
    <row r="63" spans="1:8" s="407" customFormat="1" ht="15" customHeight="1">
      <c r="A63" s="410" t="s">
        <v>221</v>
      </c>
      <c r="G63" s="409">
        <f>SUM(G62)</f>
        <v>68</v>
      </c>
      <c r="H63" s="419"/>
    </row>
    <row r="65" spans="1:8" s="407" customFormat="1" ht="15.75" customHeight="1">
      <c r="A65" s="274" t="s">
        <v>506</v>
      </c>
      <c r="G65" s="427">
        <f>+G54+G57+G60+G63</f>
        <v>2168</v>
      </c>
      <c r="H65" s="419"/>
    </row>
    <row r="66" spans="1:8" s="407" customFormat="1" ht="15" customHeight="1">
      <c r="A66" s="410" t="s">
        <v>409</v>
      </c>
      <c r="H66" s="419"/>
    </row>
    <row r="67" spans="1:8" s="407" customFormat="1" ht="15" customHeight="1">
      <c r="B67" s="412" t="s">
        <v>589</v>
      </c>
      <c r="C67" s="412" t="s">
        <v>186</v>
      </c>
      <c r="D67" s="412">
        <v>47</v>
      </c>
      <c r="E67" s="412"/>
      <c r="F67" s="412" t="s">
        <v>219</v>
      </c>
      <c r="G67" s="411">
        <v>254</v>
      </c>
      <c r="H67" s="419"/>
    </row>
    <row r="68" spans="1:8" s="407" customFormat="1" ht="15" customHeight="1">
      <c r="A68" s="410" t="s">
        <v>408</v>
      </c>
      <c r="G68" s="427">
        <f>SUM(G67)</f>
        <v>254</v>
      </c>
      <c r="H68" s="419"/>
    </row>
    <row r="69" spans="1:8" s="407" customFormat="1" ht="15" customHeight="1">
      <c r="G69" s="409"/>
      <c r="H69" s="419"/>
    </row>
    <row r="70" spans="1:8" s="407" customFormat="1" ht="15" customHeight="1">
      <c r="A70" s="364" t="s">
        <v>546</v>
      </c>
      <c r="G70" s="409">
        <f>+G29+G49+G44+G65+G68</f>
        <v>30222.843485714286</v>
      </c>
      <c r="H70" s="419"/>
    </row>
    <row r="71" spans="1:8" s="407" customFormat="1" ht="15" customHeight="1">
      <c r="A71" s="364"/>
      <c r="G71" s="428"/>
      <c r="H71" s="419"/>
    </row>
    <row r="72" spans="1:8" s="407" customFormat="1" ht="15" customHeight="1">
      <c r="A72" s="364"/>
      <c r="G72" s="428"/>
      <c r="H72" s="419"/>
    </row>
    <row r="73" spans="1:8" s="407" customFormat="1" ht="15" customHeight="1">
      <c r="A73" s="364"/>
      <c r="G73" s="428"/>
      <c r="H73" s="419"/>
    </row>
    <row r="74" spans="1:8" s="407" customFormat="1" ht="15" customHeight="1">
      <c r="A74" s="364"/>
      <c r="G74" s="428"/>
      <c r="H74" s="419"/>
    </row>
    <row r="75" spans="1:8" s="407" customFormat="1" ht="15" customHeight="1">
      <c r="A75" s="364"/>
      <c r="G75" s="428"/>
      <c r="H75" s="419"/>
    </row>
    <row r="76" spans="1:8" s="349" customFormat="1" ht="14.5">
      <c r="A76" s="364" t="s">
        <v>379</v>
      </c>
      <c r="G76" s="359"/>
      <c r="H76" s="206"/>
    </row>
    <row r="77" spans="1:8" s="407" customFormat="1" ht="15" customHeight="1">
      <c r="A77" s="410" t="s">
        <v>184</v>
      </c>
      <c r="H77" s="419"/>
    </row>
    <row r="78" spans="1:8" s="407" customFormat="1" ht="15" customHeight="1">
      <c r="B78" s="412" t="s">
        <v>580</v>
      </c>
      <c r="C78" s="412" t="s">
        <v>174</v>
      </c>
      <c r="D78" s="412" t="s">
        <v>587</v>
      </c>
      <c r="E78" s="412" t="s">
        <v>370</v>
      </c>
      <c r="F78" s="412" t="s">
        <v>586</v>
      </c>
      <c r="G78" s="411">
        <v>30.24</v>
      </c>
      <c r="H78" s="419">
        <v>12646</v>
      </c>
    </row>
    <row r="79" spans="1:8" s="407" customFormat="1" ht="15" customHeight="1">
      <c r="B79" s="412" t="s">
        <v>580</v>
      </c>
      <c r="C79" s="412" t="s">
        <v>174</v>
      </c>
      <c r="D79" s="412" t="s">
        <v>585</v>
      </c>
      <c r="E79" s="412" t="s">
        <v>373</v>
      </c>
      <c r="F79" s="412" t="s">
        <v>584</v>
      </c>
      <c r="G79" s="411">
        <v>28.94</v>
      </c>
      <c r="H79" s="419">
        <v>12647</v>
      </c>
    </row>
    <row r="80" spans="1:8" s="407" customFormat="1" ht="15" customHeight="1">
      <c r="B80" s="412" t="s">
        <v>580</v>
      </c>
      <c r="C80" s="412" t="s">
        <v>174</v>
      </c>
      <c r="D80" s="412" t="s">
        <v>583</v>
      </c>
      <c r="E80" s="412" t="s">
        <v>373</v>
      </c>
      <c r="F80" s="412" t="s">
        <v>582</v>
      </c>
      <c r="G80" s="411">
        <v>28.94</v>
      </c>
      <c r="H80" s="419">
        <v>12647</v>
      </c>
    </row>
    <row r="81" spans="1:8" s="407" customFormat="1" ht="15" customHeight="1">
      <c r="B81" s="412" t="s">
        <v>580</v>
      </c>
      <c r="C81" s="412" t="s">
        <v>174</v>
      </c>
      <c r="D81" s="412">
        <v>11063</v>
      </c>
      <c r="E81" s="412" t="s">
        <v>377</v>
      </c>
      <c r="F81" s="412" t="s">
        <v>581</v>
      </c>
      <c r="G81" s="411">
        <v>150</v>
      </c>
      <c r="H81" s="419">
        <v>12585</v>
      </c>
    </row>
    <row r="82" spans="1:8" s="407" customFormat="1" ht="15" customHeight="1">
      <c r="B82" s="412" t="s">
        <v>580</v>
      </c>
      <c r="C82" s="412" t="s">
        <v>174</v>
      </c>
      <c r="D82" s="412" t="s">
        <v>579</v>
      </c>
      <c r="E82" s="412" t="s">
        <v>457</v>
      </c>
      <c r="F82" s="412" t="s">
        <v>578</v>
      </c>
      <c r="G82" s="411">
        <v>43.2</v>
      </c>
      <c r="H82" s="419">
        <v>12648</v>
      </c>
    </row>
    <row r="83" spans="1:8" s="407" customFormat="1" ht="15" customHeight="1">
      <c r="B83" s="412" t="s">
        <v>577</v>
      </c>
      <c r="C83" s="412" t="s">
        <v>174</v>
      </c>
      <c r="D83" s="412" t="s">
        <v>576</v>
      </c>
      <c r="E83" s="412" t="s">
        <v>443</v>
      </c>
      <c r="F83" s="412" t="s">
        <v>575</v>
      </c>
      <c r="G83" s="411">
        <v>114.7</v>
      </c>
      <c r="H83" s="419">
        <v>12702</v>
      </c>
    </row>
    <row r="84" spans="1:8" s="407" customFormat="1" ht="15" customHeight="1">
      <c r="A84" s="410" t="s">
        <v>365</v>
      </c>
      <c r="G84" s="409">
        <v>396.02</v>
      </c>
      <c r="H84" s="419"/>
    </row>
    <row r="85" spans="1:8" s="407" customFormat="1" ht="15" customHeight="1">
      <c r="G85" s="409"/>
      <c r="H85" s="419"/>
    </row>
    <row r="86" spans="1:8" s="407" customFormat="1" ht="15" customHeight="1">
      <c r="A86" s="400" t="s">
        <v>400</v>
      </c>
      <c r="H86" s="419"/>
    </row>
    <row r="87" spans="1:8" s="407" customFormat="1" ht="15" customHeight="1">
      <c r="B87" s="412" t="s">
        <v>580</v>
      </c>
      <c r="C87" s="412" t="s">
        <v>174</v>
      </c>
      <c r="D87" s="412" t="s">
        <v>607</v>
      </c>
      <c r="E87" s="412" t="s">
        <v>397</v>
      </c>
      <c r="F87" s="412" t="s">
        <v>602</v>
      </c>
      <c r="G87" s="411">
        <v>712.92</v>
      </c>
      <c r="H87" s="419">
        <v>12813</v>
      </c>
    </row>
    <row r="88" spans="1:8" s="407" customFormat="1" ht="15" customHeight="1">
      <c r="B88" s="412" t="s">
        <v>580</v>
      </c>
      <c r="C88" s="412" t="s">
        <v>174</v>
      </c>
      <c r="D88" s="412" t="s">
        <v>608</v>
      </c>
      <c r="E88" s="412" t="s">
        <v>397</v>
      </c>
      <c r="F88" s="412" t="s">
        <v>602</v>
      </c>
      <c r="G88" s="411">
        <v>17.899999999999999</v>
      </c>
      <c r="H88" s="419">
        <v>12813</v>
      </c>
    </row>
    <row r="89" spans="1:8" s="407" customFormat="1" ht="15" customHeight="1">
      <c r="B89" s="412" t="s">
        <v>606</v>
      </c>
      <c r="C89" s="412" t="s">
        <v>174</v>
      </c>
      <c r="D89" s="412" t="s">
        <v>605</v>
      </c>
      <c r="E89" s="412" t="s">
        <v>397</v>
      </c>
      <c r="F89" s="412" t="s">
        <v>602</v>
      </c>
      <c r="G89" s="411">
        <v>31.96</v>
      </c>
      <c r="H89" s="419">
        <v>12813</v>
      </c>
    </row>
    <row r="90" spans="1:8" s="407" customFormat="1" ht="15" customHeight="1">
      <c r="B90" s="412" t="s">
        <v>604</v>
      </c>
      <c r="C90" s="412" t="s">
        <v>174</v>
      </c>
      <c r="D90" s="412" t="s">
        <v>603</v>
      </c>
      <c r="E90" s="412" t="s">
        <v>397</v>
      </c>
      <c r="F90" s="412" t="s">
        <v>602</v>
      </c>
      <c r="G90" s="411">
        <v>128.43</v>
      </c>
      <c r="H90" s="419">
        <v>12813</v>
      </c>
    </row>
    <row r="91" spans="1:8" s="407" customFormat="1" ht="15" customHeight="1">
      <c r="A91" s="410" t="s">
        <v>395</v>
      </c>
      <c r="G91" s="409">
        <f>SUM(G87:G90)</f>
        <v>891.21</v>
      </c>
      <c r="H91" s="419"/>
    </row>
    <row r="92" spans="1:8" s="407" customFormat="1" ht="15" customHeight="1">
      <c r="A92" s="410" t="s">
        <v>394</v>
      </c>
      <c r="H92" s="419"/>
    </row>
    <row r="93" spans="1:8" s="407" customFormat="1" ht="15" customHeight="1">
      <c r="B93" s="412" t="s">
        <v>589</v>
      </c>
      <c r="C93" s="412" t="s">
        <v>186</v>
      </c>
      <c r="D93" s="412">
        <v>55</v>
      </c>
      <c r="E93" s="412"/>
      <c r="F93" s="412" t="s">
        <v>212</v>
      </c>
      <c r="G93" s="411">
        <v>259</v>
      </c>
      <c r="H93" s="419"/>
    </row>
    <row r="94" spans="1:8" s="407" customFormat="1" ht="15" customHeight="1">
      <c r="A94" s="410" t="s">
        <v>393</v>
      </c>
      <c r="G94" s="409">
        <f>SUM(G93)</f>
        <v>259</v>
      </c>
      <c r="H94" s="419"/>
    </row>
    <row r="95" spans="1:8" s="407" customFormat="1" ht="15" customHeight="1">
      <c r="A95" s="400" t="s">
        <v>601</v>
      </c>
      <c r="G95" s="409">
        <f>+G94+G91</f>
        <v>1150.21</v>
      </c>
      <c r="H95" s="419"/>
    </row>
    <row r="96" spans="1:8" s="407" customFormat="1" ht="15" customHeight="1">
      <c r="H96" s="408"/>
    </row>
    <row r="97" spans="1:8" s="349" customFormat="1" ht="14.5">
      <c r="A97" s="364" t="s">
        <v>357</v>
      </c>
      <c r="G97" s="359"/>
      <c r="H97" s="206"/>
    </row>
    <row r="98" spans="1:8" s="407" customFormat="1" ht="15" customHeight="1">
      <c r="A98" s="410" t="s">
        <v>406</v>
      </c>
      <c r="H98" s="419"/>
    </row>
    <row r="99" spans="1:8" s="407" customFormat="1" ht="15" customHeight="1">
      <c r="A99" s="410" t="s">
        <v>214</v>
      </c>
      <c r="H99" s="419"/>
    </row>
    <row r="100" spans="1:8" s="407" customFormat="1" ht="15" customHeight="1">
      <c r="B100" s="412" t="s">
        <v>589</v>
      </c>
      <c r="C100" s="412" t="s">
        <v>186</v>
      </c>
      <c r="D100" s="412">
        <v>41</v>
      </c>
      <c r="E100" s="412"/>
      <c r="F100" s="412" t="s">
        <v>213</v>
      </c>
      <c r="G100" s="411">
        <v>597</v>
      </c>
      <c r="H100" s="419"/>
    </row>
    <row r="101" spans="1:8" s="407" customFormat="1" ht="15" customHeight="1">
      <c r="A101" s="410" t="s">
        <v>618</v>
      </c>
      <c r="G101" s="409">
        <f>SUM(G100:G100)</f>
        <v>597</v>
      </c>
      <c r="H101" s="419"/>
    </row>
    <row r="102" spans="1:8" s="407" customFormat="1" ht="15" customHeight="1">
      <c r="A102" s="410" t="s">
        <v>609</v>
      </c>
      <c r="G102" s="409">
        <f>+G101</f>
        <v>597</v>
      </c>
      <c r="H102" s="419"/>
    </row>
    <row r="103" spans="1:8" s="407" customFormat="1" ht="15" customHeight="1">
      <c r="A103" s="410"/>
      <c r="H103" s="419"/>
    </row>
    <row r="104" spans="1:8" s="407" customFormat="1" ht="15" customHeight="1">
      <c r="A104" s="410" t="s">
        <v>619</v>
      </c>
      <c r="H104" s="419"/>
    </row>
    <row r="105" spans="1:8" s="407" customFormat="1" ht="15" customHeight="1">
      <c r="A105" s="410" t="s">
        <v>620</v>
      </c>
      <c r="H105" s="419"/>
    </row>
    <row r="106" spans="1:8" s="407" customFormat="1" ht="15" customHeight="1">
      <c r="B106" s="412" t="s">
        <v>589</v>
      </c>
      <c r="C106" s="412" t="s">
        <v>186</v>
      </c>
      <c r="D106" s="412">
        <v>41</v>
      </c>
      <c r="E106" s="412"/>
      <c r="F106" s="412" t="s">
        <v>617</v>
      </c>
      <c r="G106" s="411">
        <v>770</v>
      </c>
      <c r="H106" s="419"/>
    </row>
    <row r="107" spans="1:8" s="407" customFormat="1" ht="15" customHeight="1">
      <c r="A107" s="410" t="s">
        <v>621</v>
      </c>
      <c r="G107" s="409">
        <f>SUM(G106:G106)</f>
        <v>770</v>
      </c>
      <c r="H107" s="419"/>
    </row>
    <row r="108" spans="1:8" s="407" customFormat="1" ht="15" customHeight="1">
      <c r="A108" s="410"/>
      <c r="G108" s="428"/>
      <c r="H108" s="419"/>
    </row>
    <row r="109" spans="1:8" s="349" customFormat="1" ht="14.5">
      <c r="A109" s="364" t="s">
        <v>329</v>
      </c>
      <c r="G109" s="359"/>
      <c r="H109" s="206"/>
    </row>
    <row r="110" spans="1:8" s="407" customFormat="1" ht="15" customHeight="1">
      <c r="A110" s="410" t="s">
        <v>200</v>
      </c>
      <c r="H110" s="419"/>
    </row>
    <row r="111" spans="1:8" s="407" customFormat="1" ht="15" customHeight="1">
      <c r="B111" s="412" t="s">
        <v>580</v>
      </c>
      <c r="C111" s="412" t="s">
        <v>174</v>
      </c>
      <c r="D111" s="412" t="s">
        <v>595</v>
      </c>
      <c r="E111" s="412" t="s">
        <v>181</v>
      </c>
      <c r="F111" s="412" t="s">
        <v>594</v>
      </c>
      <c r="G111" s="411">
        <v>648</v>
      </c>
      <c r="H111" s="419">
        <v>12642</v>
      </c>
    </row>
    <row r="112" spans="1:8" s="407" customFormat="1" ht="15" customHeight="1">
      <c r="A112" s="274" t="s">
        <v>344</v>
      </c>
      <c r="G112" s="409">
        <v>648</v>
      </c>
      <c r="H112" s="419"/>
    </row>
    <row r="113" spans="1:8" s="407" customFormat="1" ht="15" customHeight="1">
      <c r="A113" s="410" t="s">
        <v>197</v>
      </c>
      <c r="H113" s="419"/>
    </row>
    <row r="114" spans="1:8" s="407" customFormat="1" ht="15" customHeight="1">
      <c r="A114" s="410" t="s">
        <v>196</v>
      </c>
      <c r="H114" s="419"/>
    </row>
    <row r="115" spans="1:8" s="407" customFormat="1" ht="15" customHeight="1">
      <c r="B115" s="412" t="s">
        <v>589</v>
      </c>
      <c r="C115" s="412" t="s">
        <v>186</v>
      </c>
      <c r="D115" s="412">
        <v>40</v>
      </c>
      <c r="E115" s="412"/>
      <c r="F115" s="412" t="s">
        <v>195</v>
      </c>
      <c r="G115" s="411">
        <v>162</v>
      </c>
      <c r="H115" s="419"/>
    </row>
    <row r="116" spans="1:8" s="407" customFormat="1" ht="15" customHeight="1">
      <c r="A116" s="410" t="s">
        <v>194</v>
      </c>
      <c r="G116" s="409">
        <v>162</v>
      </c>
      <c r="H116" s="419"/>
    </row>
    <row r="117" spans="1:8" s="407" customFormat="1" ht="15" customHeight="1">
      <c r="A117" s="410" t="s">
        <v>468</v>
      </c>
      <c r="G117" s="409">
        <v>162</v>
      </c>
      <c r="H117" s="419"/>
    </row>
    <row r="118" spans="1:8" s="407" customFormat="1" ht="15" customHeight="1">
      <c r="A118" s="410" t="s">
        <v>191</v>
      </c>
      <c r="H118" s="419"/>
    </row>
    <row r="119" spans="1:8" s="407" customFormat="1" ht="15" customHeight="1">
      <c r="A119" s="410" t="s">
        <v>466</v>
      </c>
      <c r="H119" s="419"/>
    </row>
    <row r="120" spans="1:8" s="407" customFormat="1" ht="15" customHeight="1">
      <c r="B120" s="412" t="s">
        <v>589</v>
      </c>
      <c r="C120" s="412" t="s">
        <v>186</v>
      </c>
      <c r="D120" s="412">
        <v>46</v>
      </c>
      <c r="E120" s="412"/>
      <c r="F120" s="412" t="s">
        <v>190</v>
      </c>
      <c r="G120" s="411">
        <v>98</v>
      </c>
      <c r="H120" s="419"/>
    </row>
    <row r="121" spans="1:8" s="407" customFormat="1" ht="15" customHeight="1">
      <c r="A121" s="410" t="s">
        <v>465</v>
      </c>
      <c r="G121" s="409">
        <v>98</v>
      </c>
      <c r="H121" s="419"/>
    </row>
    <row r="122" spans="1:8" s="407" customFormat="1" ht="15" customHeight="1">
      <c r="G122" s="409"/>
      <c r="H122" s="419"/>
    </row>
    <row r="123" spans="1:8" s="407" customFormat="1" ht="15" customHeight="1">
      <c r="A123" s="410" t="s">
        <v>593</v>
      </c>
      <c r="H123" s="419"/>
    </row>
    <row r="124" spans="1:8" s="407" customFormat="1" ht="15" customHeight="1">
      <c r="A124" s="410" t="s">
        <v>592</v>
      </c>
      <c r="H124" s="419"/>
    </row>
    <row r="125" spans="1:8" s="431" customFormat="1" ht="15" customHeight="1">
      <c r="B125" s="412" t="s">
        <v>589</v>
      </c>
      <c r="C125" s="412" t="s">
        <v>186</v>
      </c>
      <c r="D125" s="412">
        <v>48</v>
      </c>
      <c r="E125" s="412"/>
      <c r="F125" s="412" t="s">
        <v>591</v>
      </c>
      <c r="G125" s="411">
        <v>279</v>
      </c>
      <c r="H125" s="419"/>
    </row>
    <row r="126" spans="1:8" s="431" customFormat="1" ht="15" customHeight="1">
      <c r="A126" s="410" t="s">
        <v>590</v>
      </c>
      <c r="G126" s="409">
        <v>279</v>
      </c>
      <c r="H126" s="419"/>
    </row>
    <row r="127" spans="1:8" s="431" customFormat="1" ht="15" customHeight="1">
      <c r="A127" s="410"/>
      <c r="G127" s="409"/>
      <c r="H127" s="419"/>
    </row>
    <row r="128" spans="1:8" s="274" customFormat="1" ht="11.5">
      <c r="A128" s="274" t="s">
        <v>343</v>
      </c>
      <c r="G128" s="429">
        <f>+G116+G121+G126</f>
        <v>539</v>
      </c>
      <c r="H128" s="423"/>
    </row>
    <row r="129" spans="1:8" s="432" customFormat="1" ht="11.5">
      <c r="A129" s="420"/>
      <c r="G129" s="430"/>
      <c r="H129" s="423"/>
    </row>
    <row r="130" spans="1:8" s="433" customFormat="1" ht="11.5">
      <c r="A130" s="274" t="s">
        <v>353</v>
      </c>
      <c r="G130" s="429">
        <f>+G112+G128</f>
        <v>1187</v>
      </c>
      <c r="H130" s="423"/>
    </row>
    <row r="131" spans="1:8" s="433" customFormat="1" ht="11.5">
      <c r="A131" s="274"/>
      <c r="G131" s="430"/>
      <c r="H131" s="423"/>
    </row>
    <row r="132" spans="1:8" s="407" customFormat="1" ht="15" customHeight="1">
      <c r="A132" s="274" t="s">
        <v>507</v>
      </c>
      <c r="H132" s="419"/>
    </row>
    <row r="133" spans="1:8" s="407" customFormat="1" ht="15" customHeight="1">
      <c r="A133" s="410" t="s">
        <v>193</v>
      </c>
      <c r="H133" s="419"/>
    </row>
    <row r="134" spans="1:8" s="407" customFormat="1" ht="15" customHeight="1">
      <c r="B134" s="412" t="s">
        <v>589</v>
      </c>
      <c r="C134" s="412" t="s">
        <v>186</v>
      </c>
      <c r="D134" s="412">
        <v>50</v>
      </c>
      <c r="E134" s="412"/>
      <c r="F134" s="412" t="s">
        <v>192</v>
      </c>
      <c r="G134" s="411">
        <v>338</v>
      </c>
      <c r="H134" s="419"/>
    </row>
    <row r="135" spans="1:8" s="407" customFormat="1" ht="15" customHeight="1">
      <c r="A135" s="410" t="s">
        <v>467</v>
      </c>
      <c r="G135" s="409">
        <f>SUM(G134)</f>
        <v>338</v>
      </c>
      <c r="H135" s="419"/>
    </row>
    <row r="136" spans="1:8" s="407" customFormat="1" ht="15" customHeight="1">
      <c r="G136" s="409"/>
      <c r="H136" s="419"/>
    </row>
    <row r="137" spans="1:8" s="349" customFormat="1" ht="14.5">
      <c r="A137" s="364"/>
      <c r="G137" s="359"/>
      <c r="H137" s="206"/>
    </row>
    <row r="138" spans="1:8" s="349" customFormat="1" ht="14.5">
      <c r="A138" s="364"/>
      <c r="G138" s="359"/>
      <c r="H138" s="206"/>
    </row>
    <row r="139" spans="1:8" s="349" customFormat="1" ht="14.5">
      <c r="A139" s="364"/>
      <c r="G139" s="359"/>
      <c r="H139" s="206"/>
    </row>
    <row r="140" spans="1:8" s="349" customFormat="1" ht="14.5">
      <c r="A140" s="364"/>
      <c r="G140" s="359"/>
      <c r="H140" s="206"/>
    </row>
    <row r="141" spans="1:8" s="407" customFormat="1" ht="15" customHeight="1">
      <c r="A141" s="410"/>
      <c r="H141" s="419"/>
    </row>
    <row r="142" spans="1:8" s="407" customFormat="1" ht="15" customHeight="1">
      <c r="A142" s="274" t="s">
        <v>334</v>
      </c>
      <c r="H142" s="419"/>
    </row>
    <row r="143" spans="1:8" s="407" customFormat="1" ht="15" customHeight="1">
      <c r="A143" s="410" t="s">
        <v>407</v>
      </c>
      <c r="H143" s="419"/>
    </row>
    <row r="144" spans="1:8" s="407" customFormat="1" ht="15" customHeight="1">
      <c r="B144" s="412" t="s">
        <v>589</v>
      </c>
      <c r="C144" s="412" t="s">
        <v>186</v>
      </c>
      <c r="D144" s="412">
        <v>51</v>
      </c>
      <c r="E144" s="412"/>
      <c r="F144" s="412" t="s">
        <v>216</v>
      </c>
      <c r="G144" s="411">
        <v>386</v>
      </c>
      <c r="H144" s="419"/>
    </row>
    <row r="145" spans="1:8" s="407" customFormat="1" ht="15" customHeight="1">
      <c r="A145" s="410" t="s">
        <v>215</v>
      </c>
      <c r="G145" s="409">
        <f>SUM(G144)</f>
        <v>386</v>
      </c>
      <c r="H145" s="419"/>
    </row>
    <row r="146" spans="1:8" s="407" customFormat="1" ht="15" customHeight="1">
      <c r="A146" s="410" t="s">
        <v>203</v>
      </c>
      <c r="H146" s="419"/>
    </row>
    <row r="147" spans="1:8" s="407" customFormat="1" ht="15" customHeight="1">
      <c r="B147" s="412" t="s">
        <v>589</v>
      </c>
      <c r="C147" s="412" t="s">
        <v>186</v>
      </c>
      <c r="D147" s="412">
        <v>42</v>
      </c>
      <c r="E147" s="412"/>
      <c r="F147" s="412" t="s">
        <v>202</v>
      </c>
      <c r="G147" s="411">
        <v>40</v>
      </c>
      <c r="H147" s="419"/>
    </row>
    <row r="148" spans="1:8" s="407" customFormat="1" ht="15" customHeight="1">
      <c r="A148" s="410" t="s">
        <v>201</v>
      </c>
      <c r="G148" s="409">
        <f>SUM(G147)</f>
        <v>40</v>
      </c>
      <c r="H148" s="419"/>
    </row>
    <row r="149" spans="1:8" s="407" customFormat="1" ht="15" customHeight="1">
      <c r="A149" s="410" t="s">
        <v>622</v>
      </c>
      <c r="G149" s="409">
        <f>+G145+G148</f>
        <v>426</v>
      </c>
      <c r="H149" s="419"/>
    </row>
    <row r="150" spans="1:8" s="407" customFormat="1" ht="15" customHeight="1">
      <c r="A150" s="410"/>
      <c r="G150" s="413"/>
      <c r="H150" s="419"/>
    </row>
    <row r="151" spans="1:8" s="407" customFormat="1" ht="15" customHeight="1">
      <c r="A151" s="410"/>
      <c r="G151" s="428"/>
      <c r="H151" s="419"/>
    </row>
    <row r="152" spans="1:8" s="431" customFormat="1" ht="15" customHeight="1">
      <c r="A152" s="276" t="s">
        <v>338</v>
      </c>
      <c r="H152" s="419"/>
    </row>
    <row r="153" spans="1:8" s="407" customFormat="1" ht="15" customHeight="1">
      <c r="A153" s="410" t="s">
        <v>209</v>
      </c>
      <c r="H153" s="419"/>
    </row>
    <row r="154" spans="1:8" s="407" customFormat="1" ht="15" customHeight="1">
      <c r="B154" s="412" t="s">
        <v>600</v>
      </c>
      <c r="C154" s="412" t="s">
        <v>174</v>
      </c>
      <c r="D154" s="412" t="s">
        <v>599</v>
      </c>
      <c r="E154" s="412" t="s">
        <v>433</v>
      </c>
      <c r="F154" s="412" t="s">
        <v>541</v>
      </c>
      <c r="G154" s="411">
        <v>116.16</v>
      </c>
      <c r="H154" s="419">
        <v>12816</v>
      </c>
    </row>
    <row r="155" spans="1:8" s="407" customFormat="1" ht="15" customHeight="1">
      <c r="A155" s="410" t="s">
        <v>207</v>
      </c>
      <c r="G155" s="409">
        <f>SUM(G154)</f>
        <v>116.16</v>
      </c>
      <c r="H155" s="419"/>
    </row>
    <row r="156" spans="1:8" s="407" customFormat="1" ht="15" customHeight="1">
      <c r="A156" s="410" t="s">
        <v>540</v>
      </c>
      <c r="H156" s="419"/>
    </row>
    <row r="157" spans="1:8" s="407" customFormat="1" ht="15" customHeight="1">
      <c r="B157" s="412" t="s">
        <v>598</v>
      </c>
      <c r="C157" s="412" t="s">
        <v>533</v>
      </c>
      <c r="D157" s="412" t="s">
        <v>597</v>
      </c>
      <c r="E157" s="412" t="s">
        <v>537</v>
      </c>
      <c r="F157" s="412" t="s">
        <v>596</v>
      </c>
      <c r="G157" s="411">
        <v>50.85</v>
      </c>
      <c r="H157" s="419" t="s">
        <v>561</v>
      </c>
    </row>
    <row r="158" spans="1:8" s="407" customFormat="1" ht="15" customHeight="1">
      <c r="A158" s="410" t="s">
        <v>535</v>
      </c>
      <c r="G158" s="409">
        <f>SUM(G157)</f>
        <v>50.85</v>
      </c>
      <c r="H158" s="419"/>
    </row>
    <row r="159" spans="1:8" s="407" customFormat="1" ht="15" customHeight="1">
      <c r="A159" s="410" t="s">
        <v>206</v>
      </c>
      <c r="H159" s="419"/>
    </row>
    <row r="160" spans="1:8" s="407" customFormat="1" ht="15" customHeight="1">
      <c r="B160" s="412" t="s">
        <v>589</v>
      </c>
      <c r="C160" s="412" t="s">
        <v>186</v>
      </c>
      <c r="D160" s="412">
        <v>43</v>
      </c>
      <c r="E160" s="412"/>
      <c r="F160" s="412" t="s">
        <v>205</v>
      </c>
      <c r="G160" s="411">
        <v>94</v>
      </c>
      <c r="H160" s="419"/>
    </row>
    <row r="161" spans="1:8" s="407" customFormat="1" ht="15" customHeight="1">
      <c r="A161" s="410" t="s">
        <v>204</v>
      </c>
      <c r="G161" s="409">
        <f>SUM(G160)</f>
        <v>94</v>
      </c>
      <c r="H161" s="419"/>
    </row>
    <row r="162" spans="1:8" s="407" customFormat="1" ht="15" customHeight="1">
      <c r="A162" s="400" t="s">
        <v>623</v>
      </c>
      <c r="G162" s="409">
        <f>+G155+G158+G161</f>
        <v>261.01</v>
      </c>
      <c r="H162" s="419"/>
    </row>
    <row r="163" spans="1:8" s="349" customFormat="1" ht="14.5">
      <c r="A163" s="364"/>
      <c r="G163" s="359"/>
      <c r="H163" s="206"/>
    </row>
    <row r="164" spans="1:8" s="407" customFormat="1" ht="15" customHeight="1">
      <c r="A164" s="400" t="s">
        <v>188</v>
      </c>
      <c r="H164" s="419"/>
    </row>
    <row r="165" spans="1:8" s="407" customFormat="1" ht="15" customHeight="1">
      <c r="A165" s="410" t="s">
        <v>381</v>
      </c>
      <c r="H165" s="419"/>
    </row>
    <row r="166" spans="1:8" s="407" customFormat="1" ht="15" customHeight="1">
      <c r="B166" s="412" t="s">
        <v>589</v>
      </c>
      <c r="C166" s="412" t="s">
        <v>186</v>
      </c>
      <c r="D166" s="412">
        <v>52</v>
      </c>
      <c r="E166" s="412"/>
      <c r="F166" s="412" t="s">
        <v>185</v>
      </c>
      <c r="G166" s="411">
        <v>597</v>
      </c>
      <c r="H166" s="419"/>
    </row>
    <row r="167" spans="1:8" s="407" customFormat="1" ht="15" customHeight="1">
      <c r="A167" s="410" t="s">
        <v>588</v>
      </c>
      <c r="G167" s="409">
        <v>597</v>
      </c>
      <c r="H167" s="419"/>
    </row>
    <row r="168" spans="1:8" s="407" customFormat="1" ht="15" customHeight="1">
      <c r="A168" s="410"/>
      <c r="G168" s="409"/>
      <c r="H168" s="419"/>
    </row>
    <row r="169" spans="1:8" s="349" customFormat="1" ht="14.5">
      <c r="A169" s="351" t="s">
        <v>349</v>
      </c>
      <c r="G169" s="359"/>
      <c r="H169" s="206"/>
    </row>
    <row r="170" spans="1:8" s="349" customFormat="1" ht="14.5">
      <c r="B170" s="389">
        <v>43799</v>
      </c>
      <c r="C170" s="305" t="s">
        <v>186</v>
      </c>
      <c r="D170" s="305" t="s">
        <v>516</v>
      </c>
      <c r="E170" s="305"/>
      <c r="F170" s="305" t="s">
        <v>624</v>
      </c>
      <c r="G170" s="371">
        <v>15219.79</v>
      </c>
      <c r="H170" s="206"/>
    </row>
    <row r="171" spans="1:8" s="349" customFormat="1" ht="14.5">
      <c r="A171" s="351" t="s">
        <v>346</v>
      </c>
      <c r="G171" s="355">
        <f>SUM(G170)</f>
        <v>15219.79</v>
      </c>
      <c r="H171" s="206"/>
    </row>
    <row r="172" spans="1:8" s="407" customFormat="1" ht="15" customHeight="1">
      <c r="A172" s="410"/>
      <c r="G172" s="428"/>
      <c r="H172" s="419"/>
    </row>
    <row r="173" spans="1:8" s="407" customFormat="1" ht="15" customHeight="1">
      <c r="A173" s="410"/>
      <c r="G173" s="428"/>
      <c r="H173" s="419"/>
    </row>
    <row r="174" spans="1:8" s="407" customFormat="1" ht="15" customHeight="1">
      <c r="H174" s="408"/>
    </row>
    <row r="175" spans="1:8" ht="15" customHeight="1">
      <c r="A175" s="589" t="s">
        <v>574</v>
      </c>
      <c r="B175" s="589"/>
      <c r="C175" s="589"/>
      <c r="D175" s="589"/>
      <c r="E175" s="589"/>
      <c r="F175" s="589"/>
      <c r="G175" s="589"/>
      <c r="H175" s="589"/>
    </row>
  </sheetData>
  <sortState ref="A87:H90">
    <sortCondition ref="D87:D90"/>
  </sortState>
  <mergeCells count="4">
    <mergeCell ref="A175:H175"/>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131</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J95"/>
  <sheetViews>
    <sheetView zoomScaleNormal="100" zoomScaleSheetLayoutView="70" workbookViewId="0">
      <pane ySplit="5" topLeftCell="A42" activePane="bottomLeft" state="frozen"/>
      <selection pane="bottomLeft" activeCell="A12" sqref="A1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9">
        <v>43800</v>
      </c>
      <c r="H1" s="550"/>
      <c r="I1" s="106" t="s">
        <v>49</v>
      </c>
    </row>
    <row r="2" spans="1:9" ht="21">
      <c r="A2" s="37" t="s">
        <v>152</v>
      </c>
      <c r="B2" s="35"/>
      <c r="C2" s="35"/>
      <c r="D2" s="36"/>
      <c r="E2" s="36" t="s">
        <v>702</v>
      </c>
      <c r="F2" s="65"/>
      <c r="G2" s="551"/>
      <c r="H2" s="55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Allocations'!F249</f>
        <v>1261.54</v>
      </c>
      <c r="C6" s="140"/>
      <c r="D6" s="141"/>
      <c r="E6" s="142">
        <f>SUM(B6:D6)</f>
        <v>1261.54</v>
      </c>
      <c r="F6" s="143">
        <f>E6+'Nov-2019'!F6</f>
        <v>7884.62</v>
      </c>
      <c r="G6" s="143">
        <v>16400</v>
      </c>
      <c r="H6" s="144">
        <f>G6-F6</f>
        <v>8515.380000000001</v>
      </c>
      <c r="I6" s="108">
        <f>F6/G6</f>
        <v>0.48076951219512193</v>
      </c>
    </row>
    <row r="7" spans="1:9" s="103" customFormat="1" ht="25.5" customHeight="1">
      <c r="A7" s="138" t="s">
        <v>146</v>
      </c>
      <c r="B7" s="139">
        <f>+'Salaries &amp; Fringe Allocations'!F250</f>
        <v>2071.4299999999998</v>
      </c>
      <c r="C7" s="140"/>
      <c r="D7" s="141">
        <f>+'Salaries &amp; Fringe Allocations'!F251</f>
        <v>2928.57</v>
      </c>
      <c r="E7" s="142">
        <f t="shared" ref="E7:E12" si="0">SUM(B7:D7)</f>
        <v>5000</v>
      </c>
      <c r="F7" s="143">
        <f>E7+'Nov-2019'!F7</f>
        <v>31250</v>
      </c>
      <c r="G7" s="143">
        <v>66000</v>
      </c>
      <c r="H7" s="144">
        <f>G7-F7</f>
        <v>34750</v>
      </c>
      <c r="I7" s="108">
        <f t="shared" ref="I7:I20" si="1">F7/G7</f>
        <v>0.47348484848484851</v>
      </c>
    </row>
    <row r="8" spans="1:9" s="103" customFormat="1" ht="25.5" customHeight="1">
      <c r="A8" s="138" t="s">
        <v>155</v>
      </c>
      <c r="B8" s="139"/>
      <c r="C8" s="140"/>
      <c r="D8" s="141">
        <f>+'Salaries &amp; Fringe Allocations'!F252</f>
        <v>3076.94</v>
      </c>
      <c r="E8" s="142">
        <f t="shared" si="0"/>
        <v>3076.94</v>
      </c>
      <c r="F8" s="143">
        <f>E8+'Nov-2019'!F8</f>
        <v>17692.41</v>
      </c>
      <c r="G8" s="143">
        <v>40000</v>
      </c>
      <c r="H8" s="144">
        <f t="shared" ref="H8:H12" si="2">G8-F8</f>
        <v>22307.59</v>
      </c>
      <c r="I8" s="108">
        <f t="shared" si="1"/>
        <v>0.44231025000000002</v>
      </c>
    </row>
    <row r="9" spans="1:9" s="103" customFormat="1" ht="25.5" customHeight="1">
      <c r="A9" s="138" t="s">
        <v>147</v>
      </c>
      <c r="B9" s="139"/>
      <c r="C9" s="140"/>
      <c r="D9" s="141">
        <f>+'Salaries &amp; Fringe Allocations'!F253</f>
        <v>2307.6999999999998</v>
      </c>
      <c r="E9" s="142">
        <f t="shared" si="0"/>
        <v>2307.6999999999998</v>
      </c>
      <c r="F9" s="143">
        <f>E9+'Nov-2019'!F9</f>
        <v>13730.93</v>
      </c>
      <c r="G9" s="143">
        <v>30000</v>
      </c>
      <c r="H9" s="144">
        <f t="shared" si="2"/>
        <v>16269.07</v>
      </c>
      <c r="I9" s="108">
        <f t="shared" si="1"/>
        <v>0.45769766666666667</v>
      </c>
    </row>
    <row r="10" spans="1:9" s="103" customFormat="1" ht="25.5" customHeight="1">
      <c r="A10" s="138" t="s">
        <v>568</v>
      </c>
      <c r="B10" s="139"/>
      <c r="C10" s="140"/>
      <c r="D10" s="141">
        <f>+'Salaries &amp; Fringe Allocations'!F254</f>
        <v>1355.48</v>
      </c>
      <c r="E10" s="142">
        <f t="shared" si="0"/>
        <v>1355.48</v>
      </c>
      <c r="F10" s="143">
        <f>E10+'Nov-2019'!F10</f>
        <v>9315.32</v>
      </c>
      <c r="G10" s="143">
        <v>21500</v>
      </c>
      <c r="H10" s="144">
        <f t="shared" si="2"/>
        <v>12184.68</v>
      </c>
      <c r="I10" s="108">
        <f t="shared" si="1"/>
        <v>0.43327069767441861</v>
      </c>
    </row>
    <row r="11" spans="1:9" s="103" customFormat="1" ht="25.5" customHeight="1">
      <c r="A11" s="138" t="s">
        <v>148</v>
      </c>
      <c r="B11" s="139">
        <f>+'Salaries &amp; Fringe Allocations'!F255</f>
        <v>1032.97</v>
      </c>
      <c r="C11" s="140"/>
      <c r="D11" s="141">
        <f>+'Salaries &amp; Fringe Allocations'!F256</f>
        <v>1890.12</v>
      </c>
      <c r="E11" s="142">
        <f t="shared" si="0"/>
        <v>2923.09</v>
      </c>
      <c r="F11" s="143">
        <f>E11+'Nov-2019'!F11</f>
        <v>13561.630000000001</v>
      </c>
      <c r="G11" s="143">
        <v>36000</v>
      </c>
      <c r="H11" s="144">
        <f t="shared" si="2"/>
        <v>22438.37</v>
      </c>
      <c r="I11" s="108">
        <f t="shared" si="1"/>
        <v>0.37671194444444445</v>
      </c>
    </row>
    <row r="12" spans="1:9" s="103" customFormat="1" ht="25.5" customHeight="1">
      <c r="A12" s="138" t="s">
        <v>363</v>
      </c>
      <c r="B12" s="139">
        <f>+'Salaries &amp; Fringe Allocations'!F257</f>
        <v>846.15</v>
      </c>
      <c r="C12" s="140"/>
      <c r="D12" s="141"/>
      <c r="E12" s="142">
        <f t="shared" si="0"/>
        <v>846.15</v>
      </c>
      <c r="F12" s="143">
        <f>E12+'Nov-2019'!F12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5212.0899999999992</v>
      </c>
      <c r="C16" s="147">
        <f>SUM(C6:C15)</f>
        <v>0</v>
      </c>
      <c r="D16" s="147">
        <f t="shared" ref="D16" si="3">SUM(D6:D15)</f>
        <v>11558.809999999998</v>
      </c>
      <c r="E16" s="147">
        <f>SUM(E6:E15)</f>
        <v>16770.900000000001</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f>+'Salaries &amp; Fringe Allocations'!Q249+'Salaries &amp; Fringe Allocations'!Q250+'Salaries &amp; Fringe Allocations'!Q255+'Salaries &amp; Fringe Allocations'!Q257</f>
        <v>1660.1696945844969</v>
      </c>
      <c r="C18" s="155"/>
      <c r="D18" s="155">
        <f>+'Salaries &amp; Fringe Allocations'!Q251+'Salaries &amp; Fringe Allocations'!Q252+'Salaries &amp; Fringe Allocations'!Q253+'Salaries &amp; Fringe Allocations'!Q254+'Salaries &amp; Fringe Allocations'!Q256</f>
        <v>3523.3158054155033</v>
      </c>
      <c r="E18" s="156">
        <f>SUM(B18:D18)</f>
        <v>5183.4855000000007</v>
      </c>
      <c r="F18" s="143">
        <f>E18+'Nov-2019'!F18</f>
        <v>32250.887030878017</v>
      </c>
      <c r="G18" s="71">
        <v>68136</v>
      </c>
      <c r="H18" s="72">
        <f>G18-F18</f>
        <v>35885.112969121983</v>
      </c>
      <c r="I18" s="108">
        <f t="shared" si="1"/>
        <v>0.4733310882775334</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6872.2596945844962</v>
      </c>
      <c r="C20" s="158">
        <f t="shared" si="5"/>
        <v>0</v>
      </c>
      <c r="D20" s="158">
        <f t="shared" si="5"/>
        <v>15082.125805415501</v>
      </c>
      <c r="E20" s="159">
        <f t="shared" si="5"/>
        <v>21954.385500000004</v>
      </c>
      <c r="F20" s="198">
        <f t="shared" si="5"/>
        <v>130128.08703087801</v>
      </c>
      <c r="G20" s="73">
        <f>G16+G18</f>
        <v>282036</v>
      </c>
      <c r="H20" s="73">
        <f>H16+H18</f>
        <v>151907.912969122</v>
      </c>
      <c r="I20" s="110">
        <f t="shared" si="1"/>
        <v>0.4613882165073892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+'Dec-19 GL'!G97</f>
        <v>349.14</v>
      </c>
      <c r="E23" s="142">
        <f>SUM(B23:D23)</f>
        <v>349.14</v>
      </c>
      <c r="F23" s="143">
        <f>E23+'Nov-2019'!F23</f>
        <v>1884.04</v>
      </c>
      <c r="G23" s="143">
        <v>4000</v>
      </c>
      <c r="H23" s="144">
        <f>G23-F23</f>
        <v>2115.96</v>
      </c>
      <c r="I23" s="108">
        <f t="shared" ref="I23:I37" si="6">F23/G23</f>
        <v>0.47100999999999998</v>
      </c>
      <c r="J23" s="102"/>
    </row>
    <row r="24" spans="1:10" s="103" customFormat="1" ht="24" customHeight="1">
      <c r="A24" s="161" t="s">
        <v>0</v>
      </c>
      <c r="B24" s="139">
        <f>+'Dec-19 GL'!G106</f>
        <v>92</v>
      </c>
      <c r="C24" s="140"/>
      <c r="D24" s="141">
        <f>+'Dec-19 GL'!G103</f>
        <v>732.89</v>
      </c>
      <c r="E24" s="142">
        <f t="shared" ref="E24:E35" si="7">SUM(B24:D24)</f>
        <v>824.89</v>
      </c>
      <c r="F24" s="143">
        <f>E24+'Nov-2019'!F24</f>
        <v>2731.09</v>
      </c>
      <c r="G24" s="143">
        <v>7000</v>
      </c>
      <c r="H24" s="144">
        <f t="shared" ref="H24:H31" si="8">G24-F24</f>
        <v>4268.91</v>
      </c>
      <c r="I24" s="108">
        <f t="shared" si="6"/>
        <v>0.39015571428571433</v>
      </c>
      <c r="J24" s="102"/>
    </row>
    <row r="25" spans="1:10" s="103" customFormat="1" ht="24" customHeight="1">
      <c r="A25" s="161" t="s">
        <v>39</v>
      </c>
      <c r="B25" s="139"/>
      <c r="C25" s="140"/>
      <c r="D25" s="141"/>
      <c r="E25" s="142">
        <f t="shared" si="7"/>
        <v>0</v>
      </c>
      <c r="F25" s="143">
        <f>E25+'Nov-2019'!F25</f>
        <v>0</v>
      </c>
      <c r="G25" s="143">
        <v>2000</v>
      </c>
      <c r="H25" s="144">
        <f t="shared" si="8"/>
        <v>2000</v>
      </c>
      <c r="I25" s="108">
        <f t="shared" si="6"/>
        <v>0</v>
      </c>
      <c r="J25" s="102"/>
    </row>
    <row r="26" spans="1:10" s="103" customFormat="1" ht="24" customHeight="1">
      <c r="A26" s="161" t="s">
        <v>40</v>
      </c>
      <c r="B26" s="139">
        <f>+'Dec-19 GL'!G119</f>
        <v>3031</v>
      </c>
      <c r="C26" s="140"/>
      <c r="D26" s="141"/>
      <c r="E26" s="142">
        <f t="shared" si="7"/>
        <v>3031</v>
      </c>
      <c r="F26" s="143">
        <f>E26+'Nov-2019'!F26</f>
        <v>5774.6900000000005</v>
      </c>
      <c r="G26" s="143">
        <v>13200</v>
      </c>
      <c r="H26" s="144">
        <f t="shared" si="8"/>
        <v>7425.3099999999995</v>
      </c>
      <c r="I26" s="108">
        <f t="shared" si="6"/>
        <v>0.4374765151515152</v>
      </c>
      <c r="J26" s="102"/>
    </row>
    <row r="27" spans="1:10" s="103" customFormat="1" ht="24" customHeight="1">
      <c r="A27" s="161" t="s">
        <v>41</v>
      </c>
      <c r="B27" s="139">
        <f>+'Dec-19 GL'!G141</f>
        <v>966</v>
      </c>
      <c r="C27" s="140"/>
      <c r="D27" s="141">
        <f>+'Dec-19 GL'!G124</f>
        <v>648</v>
      </c>
      <c r="E27" s="142">
        <f t="shared" si="7"/>
        <v>1614</v>
      </c>
      <c r="F27" s="143">
        <f>E27+'Nov-2019'!F27</f>
        <v>6994.27</v>
      </c>
      <c r="G27" s="143">
        <v>12000</v>
      </c>
      <c r="H27" s="144">
        <f t="shared" si="8"/>
        <v>5005.7299999999996</v>
      </c>
      <c r="I27" s="108">
        <f t="shared" si="6"/>
        <v>0.58285583333333335</v>
      </c>
      <c r="J27" s="102"/>
    </row>
    <row r="28" spans="1:10" s="103" customFormat="1" ht="24" customHeight="1">
      <c r="A28" s="161" t="s">
        <v>42</v>
      </c>
      <c r="B28" s="139"/>
      <c r="C28" s="9"/>
      <c r="D28" s="9"/>
      <c r="E28" s="142">
        <f>SUM(B28:D28)</f>
        <v>0</v>
      </c>
      <c r="F28" s="143">
        <f>E28+'Nov-2019'!F28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E29+'Nov-2019'!F29</f>
        <v>0</v>
      </c>
      <c r="G29" s="143">
        <v>570</v>
      </c>
      <c r="H29" s="144">
        <f t="shared" si="8"/>
        <v>570</v>
      </c>
      <c r="I29" s="108">
        <f t="shared" si="6"/>
        <v>0</v>
      </c>
      <c r="J29" s="102"/>
    </row>
    <row r="30" spans="1:10" s="103" customFormat="1" ht="24" customHeight="1">
      <c r="A30" s="162" t="s">
        <v>43</v>
      </c>
      <c r="B30" s="139">
        <f>+'Dec-19 GL'!G150</f>
        <v>286</v>
      </c>
      <c r="C30" s="140"/>
      <c r="D30" s="141"/>
      <c r="E30" s="142">
        <f t="shared" si="7"/>
        <v>286</v>
      </c>
      <c r="F30" s="143">
        <f>E30+'Nov-2019'!F30</f>
        <v>1907.95</v>
      </c>
      <c r="G30" s="143">
        <v>6475</v>
      </c>
      <c r="H30" s="144">
        <f t="shared" si="8"/>
        <v>4567.05</v>
      </c>
      <c r="I30" s="108">
        <f t="shared" si="6"/>
        <v>0.29466409266409266</v>
      </c>
      <c r="J30" s="102"/>
    </row>
    <row r="31" spans="1:10" s="103" customFormat="1" ht="24" customHeight="1">
      <c r="A31" s="162" t="s">
        <v>44</v>
      </c>
      <c r="B31" s="139">
        <f>+'Dec-19 GL'!G33</f>
        <v>1255.3200000000002</v>
      </c>
      <c r="C31" s="140"/>
      <c r="D31" s="141"/>
      <c r="E31" s="142">
        <f t="shared" si="7"/>
        <v>1255.3200000000002</v>
      </c>
      <c r="F31" s="143">
        <f>E31+'Nov-2019'!F31</f>
        <v>5733.09</v>
      </c>
      <c r="G31" s="143">
        <v>13000</v>
      </c>
      <c r="H31" s="144">
        <f t="shared" si="8"/>
        <v>7266.91</v>
      </c>
      <c r="I31" s="108">
        <f t="shared" si="6"/>
        <v>0.44100692307692307</v>
      </c>
      <c r="J31" s="102"/>
    </row>
    <row r="32" spans="1:10" s="103" customFormat="1" ht="24" customHeight="1">
      <c r="A32" s="162" t="s">
        <v>81</v>
      </c>
      <c r="B32" s="139"/>
      <c r="C32" s="140"/>
      <c r="D32" s="141"/>
      <c r="E32" s="142">
        <f t="shared" si="7"/>
        <v>0</v>
      </c>
      <c r="F32" s="143">
        <f>E32+'Nov-2019'!F32</f>
        <v>0</v>
      </c>
      <c r="G32" s="143">
        <v>1500</v>
      </c>
      <c r="H32" s="144">
        <f>G32-F32</f>
        <v>1500</v>
      </c>
      <c r="I32" s="108">
        <f t="shared" si="6"/>
        <v>0</v>
      </c>
      <c r="J32" s="102"/>
    </row>
    <row r="33" spans="1:10" s="103" customFormat="1" ht="24" customHeight="1">
      <c r="A33" s="162" t="s">
        <v>45</v>
      </c>
      <c r="B33" s="139">
        <f>+'Dec-19 GL'!G156</f>
        <v>40</v>
      </c>
      <c r="C33" s="140"/>
      <c r="D33" s="141"/>
      <c r="E33" s="142">
        <f t="shared" si="7"/>
        <v>40</v>
      </c>
      <c r="F33" s="143">
        <f>E33+'Nov-2019'!F33</f>
        <v>1827.8200000000002</v>
      </c>
      <c r="G33" s="143">
        <v>3000.7</v>
      </c>
      <c r="H33" s="144">
        <f>G33-F33</f>
        <v>1172.8799999999997</v>
      </c>
      <c r="I33" s="108">
        <f t="shared" si="6"/>
        <v>0.60913120271936561</v>
      </c>
      <c r="J33" s="102"/>
    </row>
    <row r="34" spans="1:10" s="103" customFormat="1" ht="24" customHeight="1">
      <c r="A34" s="162" t="s">
        <v>77</v>
      </c>
      <c r="B34" s="139">
        <f>+'Dec-19 GL'!G173</f>
        <v>319.77</v>
      </c>
      <c r="C34" s="140"/>
      <c r="D34" s="141"/>
      <c r="E34" s="142">
        <f t="shared" si="7"/>
        <v>319.77</v>
      </c>
      <c r="F34" s="143">
        <f>E34+'Nov-2019'!F34</f>
        <v>1616.8</v>
      </c>
      <c r="G34" s="143">
        <v>3000</v>
      </c>
      <c r="H34" s="144">
        <f t="shared" si="4"/>
        <v>1383.2</v>
      </c>
      <c r="I34" s="108">
        <f t="shared" si="6"/>
        <v>0.53893333333333326</v>
      </c>
      <c r="J34" s="102"/>
    </row>
    <row r="35" spans="1:10" s="103" customFormat="1" ht="24" customHeight="1">
      <c r="A35" s="162" t="s">
        <v>150</v>
      </c>
      <c r="B35" s="139">
        <f>+'Dec-19 GL'!G185</f>
        <v>599</v>
      </c>
      <c r="C35" s="140"/>
      <c r="D35" s="141"/>
      <c r="E35" s="142">
        <f t="shared" si="7"/>
        <v>599</v>
      </c>
      <c r="F35" s="143">
        <f>E35+'Nov-2019'!F35</f>
        <v>2953.7200000000003</v>
      </c>
      <c r="G35" s="143">
        <v>4000</v>
      </c>
      <c r="H35" s="144">
        <f t="shared" si="4"/>
        <v>1046.2799999999997</v>
      </c>
      <c r="I35" s="108">
        <f t="shared" si="6"/>
        <v>0.73843000000000003</v>
      </c>
      <c r="J35" s="102"/>
    </row>
    <row r="36" spans="1:10" s="103" customFormat="1" ht="24" customHeight="1">
      <c r="A36" s="162" t="s">
        <v>151</v>
      </c>
      <c r="B36" s="151"/>
      <c r="C36" s="152"/>
      <c r="D36" s="163">
        <f>+'Dec-19 GL'!G178</f>
        <v>64.58</v>
      </c>
      <c r="E36" s="142">
        <f t="shared" ref="E36" si="9">SUM(B36:D36)</f>
        <v>64.58</v>
      </c>
      <c r="F36" s="143">
        <f>E36+'Nov-2019'!F36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6589.09</v>
      </c>
      <c r="C37" s="166">
        <f t="shared" ref="C37:E37" si="12">SUM(C23:C36)</f>
        <v>0</v>
      </c>
      <c r="D37" s="166">
        <f t="shared" si="12"/>
        <v>1794.61</v>
      </c>
      <c r="E37" s="166">
        <f t="shared" si="12"/>
        <v>8383.7000000000007</v>
      </c>
      <c r="F37" s="167">
        <f>SUM(F23:F36)</f>
        <v>33460.340000000004</v>
      </c>
      <c r="G37" s="167">
        <f>SUM(G23:G36)</f>
        <v>76745.7</v>
      </c>
      <c r="H37" s="167">
        <f>SUM(H23:H36)</f>
        <v>43285.359999999986</v>
      </c>
      <c r="I37" s="110">
        <f t="shared" si="6"/>
        <v>0.4359897688078942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+'Dec-19 GL'!G11</f>
        <v>157957.1</v>
      </c>
      <c r="D41" s="170"/>
      <c r="E41" s="171">
        <f>SUM(B41:D41)</f>
        <v>157957.1</v>
      </c>
      <c r="F41" s="143">
        <f>E41+'Nov-2019'!F41</f>
        <v>592217.47</v>
      </c>
      <c r="G41" s="144">
        <v>1452829.24</v>
      </c>
      <c r="H41" s="144">
        <f>G41-F41-F42</f>
        <v>858451.14</v>
      </c>
      <c r="I41" s="108">
        <f t="shared" ref="I41:I56" si="13">F41/G41</f>
        <v>0.40763047280078146</v>
      </c>
    </row>
    <row r="42" spans="1:10" s="168" customFormat="1" ht="21.75" customHeight="1">
      <c r="A42" s="138" t="s">
        <v>83</v>
      </c>
      <c r="B42" s="139"/>
      <c r="C42" s="170">
        <v>0</v>
      </c>
      <c r="D42" s="170"/>
      <c r="E42" s="171">
        <f>SUM(B42:D42)</f>
        <v>0</v>
      </c>
      <c r="F42" s="143">
        <f>+E42+'Nov-2019'!F42</f>
        <v>2160.63</v>
      </c>
      <c r="G42" s="144"/>
      <c r="H42" s="144"/>
      <c r="I42" s="108">
        <v>0</v>
      </c>
    </row>
    <row r="43" spans="1:10" s="168" customFormat="1" ht="21.75" customHeight="1">
      <c r="A43" s="138" t="s">
        <v>80</v>
      </c>
      <c r="B43" s="139"/>
      <c r="C43" s="170"/>
      <c r="D43" s="170"/>
      <c r="E43" s="171">
        <f t="shared" ref="E43:E47" si="14">SUM(B43:D43)</f>
        <v>0</v>
      </c>
      <c r="F43" s="143">
        <f>E43+'Nov-2019'!F43</f>
        <v>0</v>
      </c>
      <c r="G43" s="144">
        <v>12820</v>
      </c>
      <c r="H43" s="144">
        <f t="shared" ref="H43:H47" si="15">G43-F43</f>
        <v>12820</v>
      </c>
      <c r="I43" s="108">
        <f t="shared" si="13"/>
        <v>0</v>
      </c>
    </row>
    <row r="44" spans="1:10" s="168" customFormat="1" ht="21.75" customHeight="1">
      <c r="A44" s="138" t="s">
        <v>78</v>
      </c>
      <c r="B44" s="139"/>
      <c r="C44" s="170">
        <f>+'Dec-19 GL'!G25</f>
        <v>12195.689999999999</v>
      </c>
      <c r="D44" s="170"/>
      <c r="E44" s="171">
        <f t="shared" si="14"/>
        <v>12195.689999999999</v>
      </c>
      <c r="F44" s="143">
        <f>E44+'Nov-2019'!F44</f>
        <v>43139.07</v>
      </c>
      <c r="G44" s="144">
        <v>111141.44</v>
      </c>
      <c r="H44" s="144">
        <f t="shared" si="15"/>
        <v>68002.37</v>
      </c>
      <c r="I44" s="108">
        <f t="shared" si="13"/>
        <v>0.3881456817547082</v>
      </c>
    </row>
    <row r="45" spans="1:10" s="168" customFormat="1" ht="21.75" customHeight="1">
      <c r="A45" s="138" t="s">
        <v>29</v>
      </c>
      <c r="B45" s="139"/>
      <c r="C45" s="140">
        <f>+'Dec-19 GL'!G28</f>
        <v>2919</v>
      </c>
      <c r="D45" s="140"/>
      <c r="E45" s="172">
        <f t="shared" si="14"/>
        <v>2919</v>
      </c>
      <c r="F45" s="143">
        <f>E45+'Nov-2019'!F45</f>
        <v>15769.48</v>
      </c>
      <c r="G45" s="144">
        <v>22373.57</v>
      </c>
      <c r="H45" s="144">
        <f t="shared" si="15"/>
        <v>6604.09</v>
      </c>
      <c r="I45" s="108">
        <f t="shared" si="13"/>
        <v>0.70482627493064365</v>
      </c>
    </row>
    <row r="46" spans="1:10" s="168" customFormat="1" ht="21.75" customHeight="1">
      <c r="A46" s="138" t="s">
        <v>79</v>
      </c>
      <c r="B46" s="139"/>
      <c r="C46" s="140"/>
      <c r="D46" s="140"/>
      <c r="E46" s="172">
        <f t="shared" si="14"/>
        <v>0</v>
      </c>
      <c r="F46" s="143">
        <f>E46+'Nov-2019'!F46</f>
        <v>0</v>
      </c>
      <c r="G46" s="144">
        <v>8500</v>
      </c>
      <c r="H46" s="144">
        <f t="shared" si="15"/>
        <v>8500</v>
      </c>
      <c r="I46" s="108">
        <f t="shared" si="13"/>
        <v>0</v>
      </c>
    </row>
    <row r="47" spans="1:10" s="168" customFormat="1" ht="21.75" customHeight="1">
      <c r="A47" s="138" t="s">
        <v>168</v>
      </c>
      <c r="B47" s="151"/>
      <c r="C47" s="152"/>
      <c r="D47" s="152"/>
      <c r="E47" s="172">
        <f t="shared" si="14"/>
        <v>0</v>
      </c>
      <c r="F47" s="143">
        <f>E47+'Nov-2019'!F47</f>
        <v>0</v>
      </c>
      <c r="G47" s="74">
        <v>29630</v>
      </c>
      <c r="H47" s="144">
        <f t="shared" si="15"/>
        <v>29630</v>
      </c>
      <c r="I47" s="108">
        <f t="shared" si="13"/>
        <v>0</v>
      </c>
    </row>
    <row r="48" spans="1:10" s="168" customFormat="1" ht="21.75" customHeight="1" thickBot="1">
      <c r="A48" s="117" t="s">
        <v>30</v>
      </c>
      <c r="B48" s="165">
        <f>SUM(B41:B47)</f>
        <v>0</v>
      </c>
      <c r="C48" s="166">
        <f t="shared" ref="C48:E48" si="16">SUM(C41:C47)</f>
        <v>173071.79</v>
      </c>
      <c r="D48" s="166">
        <f t="shared" si="16"/>
        <v>0</v>
      </c>
      <c r="E48" s="166">
        <f t="shared" si="16"/>
        <v>173071.79</v>
      </c>
      <c r="F48" s="75">
        <f>SUM(F41:F47)</f>
        <v>653286.64999999991</v>
      </c>
      <c r="G48" s="75">
        <f>SUM(G41:G47)</f>
        <v>1637294.25</v>
      </c>
      <c r="H48" s="75">
        <f t="shared" ref="H48" si="17">SUM(H41:H47)</f>
        <v>984007.6</v>
      </c>
      <c r="I48" s="110">
        <f t="shared" si="13"/>
        <v>0.39900381376163746</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E50+'Nov-2019'!F50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13461.349694584496</v>
      </c>
      <c r="C52" s="158">
        <f>C20+C37+C48</f>
        <v>173071.79</v>
      </c>
      <c r="D52" s="158">
        <f>D20+D37+D48</f>
        <v>16876.735805415501</v>
      </c>
      <c r="E52" s="158">
        <f>E37+E20+E48+E50</f>
        <v>203409.87550000002</v>
      </c>
      <c r="F52" s="77">
        <f>F37+F20+F48+F50</f>
        <v>816875.07703087793</v>
      </c>
      <c r="G52" s="77">
        <f>G37+G20+G48+G50</f>
        <v>2013608.54</v>
      </c>
      <c r="H52" s="77">
        <f>H37+H20+H48+H50</f>
        <v>1196733.462969122</v>
      </c>
      <c r="I52" s="110">
        <f t="shared" si="13"/>
        <v>0.40567720130491597</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20159.28</v>
      </c>
      <c r="F54" s="143">
        <f>E54+'Nov-2019'!F54</f>
        <v>49793.71</v>
      </c>
      <c r="G54" s="76">
        <v>242467.32</v>
      </c>
      <c r="H54" s="180">
        <f>G54-F54</f>
        <v>192673.61000000002</v>
      </c>
      <c r="I54" s="108">
        <f t="shared" si="13"/>
        <v>0.20536256184957213</v>
      </c>
    </row>
    <row r="55" spans="1:9" s="103" customFormat="1" ht="15.5">
      <c r="A55" s="117"/>
      <c r="B55" s="178"/>
      <c r="C55" s="100"/>
      <c r="D55" s="100"/>
      <c r="E55" s="152"/>
      <c r="F55" s="78"/>
      <c r="G55" s="78"/>
      <c r="H55" s="78"/>
      <c r="I55" s="109"/>
    </row>
    <row r="56" spans="1:9" s="103" customFormat="1" ht="16" thickBot="1">
      <c r="A56" s="117" t="s">
        <v>33</v>
      </c>
      <c r="B56" s="181">
        <f t="shared" ref="B56:H56" si="18">B52+B54</f>
        <v>13461.349694584496</v>
      </c>
      <c r="C56" s="99">
        <f t="shared" si="18"/>
        <v>173071.79</v>
      </c>
      <c r="D56" s="99">
        <f t="shared" si="18"/>
        <v>16876.735805415501</v>
      </c>
      <c r="E56" s="158">
        <f t="shared" si="18"/>
        <v>223569.15550000002</v>
      </c>
      <c r="F56" s="77">
        <f t="shared" si="18"/>
        <v>866668.78703087789</v>
      </c>
      <c r="G56" s="77">
        <f t="shared" si="18"/>
        <v>2256075.86</v>
      </c>
      <c r="H56" s="77">
        <f t="shared" si="18"/>
        <v>1389407.0729691221</v>
      </c>
      <c r="I56" s="110">
        <f t="shared" si="13"/>
        <v>0.38414877903568273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32001.765500000005</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32001.765500000005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443</v>
      </c>
      <c r="B81" s="402"/>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H192"/>
  <sheetViews>
    <sheetView zoomScale="130" zoomScaleNormal="130" workbookViewId="0">
      <pane ySplit="5" topLeftCell="A180" activePane="bottomLeft" state="frozen"/>
      <selection pane="bottomLeft" activeCell="A186" sqref="A186:XFD190"/>
    </sheetView>
  </sheetViews>
  <sheetFormatPr defaultColWidth="9.1796875" defaultRowHeight="14.5"/>
  <cols>
    <col min="1" max="1" width="2.81640625" style="269" customWidth="1"/>
    <col min="2" max="4" width="12" style="269" customWidth="1"/>
    <col min="5" max="5" width="20.81640625" style="269" customWidth="1"/>
    <col min="6" max="6" width="69.54296875" style="269" customWidth="1"/>
    <col min="7" max="7" width="12" style="269" customWidth="1"/>
    <col min="8" max="8" width="10.453125" style="406" customWidth="1"/>
    <col min="9" max="16384" width="9.1796875" style="269"/>
  </cols>
  <sheetData>
    <row r="1" spans="1:8" ht="18">
      <c r="A1" s="587" t="s">
        <v>277</v>
      </c>
      <c r="B1" s="587"/>
      <c r="C1" s="587"/>
      <c r="D1" s="587"/>
      <c r="E1" s="587"/>
      <c r="F1" s="587"/>
      <c r="G1" s="587"/>
      <c r="H1" s="587"/>
    </row>
    <row r="2" spans="1:8" ht="18">
      <c r="A2" s="587" t="s">
        <v>276</v>
      </c>
      <c r="B2" s="587"/>
      <c r="C2" s="587"/>
      <c r="D2" s="587"/>
      <c r="E2" s="587"/>
      <c r="F2" s="587"/>
      <c r="G2" s="587"/>
      <c r="H2" s="587"/>
    </row>
    <row r="3" spans="1:8">
      <c r="A3" s="588" t="s">
        <v>693</v>
      </c>
      <c r="B3" s="588"/>
      <c r="C3" s="588"/>
      <c r="D3" s="588"/>
      <c r="E3" s="588"/>
      <c r="F3" s="588"/>
      <c r="G3" s="588"/>
      <c r="H3" s="588"/>
    </row>
    <row r="5" spans="1:8" s="445" customFormat="1" ht="24" customHeight="1">
      <c r="A5" s="447"/>
      <c r="B5" s="401" t="s">
        <v>153</v>
      </c>
      <c r="C5" s="401" t="s">
        <v>430</v>
      </c>
      <c r="D5" s="401" t="s">
        <v>274</v>
      </c>
      <c r="E5" s="401" t="s">
        <v>273</v>
      </c>
      <c r="F5" s="401" t="s">
        <v>272</v>
      </c>
      <c r="G5" s="446" t="s">
        <v>271</v>
      </c>
      <c r="H5" s="415" t="s">
        <v>278</v>
      </c>
    </row>
    <row r="6" spans="1:8">
      <c r="A6" s="443" t="s">
        <v>270</v>
      </c>
      <c r="H6" s="444"/>
    </row>
    <row r="7" spans="1:8">
      <c r="A7" s="443" t="s">
        <v>269</v>
      </c>
      <c r="H7" s="444"/>
    </row>
    <row r="8" spans="1:8">
      <c r="B8" s="305" t="s">
        <v>674</v>
      </c>
      <c r="C8" s="305" t="s">
        <v>186</v>
      </c>
      <c r="D8" s="305">
        <v>98</v>
      </c>
      <c r="E8" s="305"/>
      <c r="F8" s="305" t="s">
        <v>692</v>
      </c>
      <c r="G8" s="352">
        <v>47009.24</v>
      </c>
      <c r="H8" s="444"/>
    </row>
    <row r="9" spans="1:8">
      <c r="B9" s="305" t="s">
        <v>673</v>
      </c>
      <c r="C9" s="305" t="s">
        <v>186</v>
      </c>
      <c r="D9" s="305">
        <v>99</v>
      </c>
      <c r="E9" s="305"/>
      <c r="F9" s="305" t="s">
        <v>691</v>
      </c>
      <c r="G9" s="352">
        <v>51352.86</v>
      </c>
      <c r="H9" s="444"/>
    </row>
    <row r="10" spans="1:8">
      <c r="B10" s="305" t="s">
        <v>645</v>
      </c>
      <c r="C10" s="305" t="s">
        <v>186</v>
      </c>
      <c r="D10" s="305">
        <v>149</v>
      </c>
      <c r="E10" s="305"/>
      <c r="F10" s="305" t="s">
        <v>690</v>
      </c>
      <c r="G10" s="352">
        <v>59595</v>
      </c>
      <c r="H10" s="444"/>
    </row>
    <row r="11" spans="1:8">
      <c r="A11" s="443" t="s">
        <v>268</v>
      </c>
      <c r="G11" s="360">
        <f>SUM(G8:G10)</f>
        <v>157957.1</v>
      </c>
      <c r="H11" s="444"/>
    </row>
    <row r="12" spans="1:8">
      <c r="A12" s="443" t="s">
        <v>267</v>
      </c>
      <c r="G12" s="325"/>
      <c r="H12" s="444"/>
    </row>
    <row r="13" spans="1:8">
      <c r="B13" s="305" t="s">
        <v>674</v>
      </c>
      <c r="C13" s="305" t="s">
        <v>174</v>
      </c>
      <c r="D13" s="305" t="s">
        <v>689</v>
      </c>
      <c r="E13" s="305" t="s">
        <v>684</v>
      </c>
      <c r="F13" s="305" t="s">
        <v>688</v>
      </c>
      <c r="G13" s="371">
        <v>338.02</v>
      </c>
      <c r="H13" s="444"/>
    </row>
    <row r="14" spans="1:8">
      <c r="B14" s="305" t="s">
        <v>687</v>
      </c>
      <c r="C14" s="305" t="s">
        <v>265</v>
      </c>
      <c r="D14" s="305"/>
      <c r="E14" s="305" t="s">
        <v>264</v>
      </c>
      <c r="F14" s="305" t="s">
        <v>686</v>
      </c>
      <c r="G14" s="371">
        <v>-338.02</v>
      </c>
      <c r="H14" s="444"/>
    </row>
    <row r="15" spans="1:8">
      <c r="B15" s="305" t="s">
        <v>673</v>
      </c>
      <c r="C15" s="305" t="s">
        <v>174</v>
      </c>
      <c r="D15" s="305" t="s">
        <v>685</v>
      </c>
      <c r="E15" s="305" t="s">
        <v>684</v>
      </c>
      <c r="F15" s="305" t="s">
        <v>683</v>
      </c>
      <c r="G15" s="371">
        <v>338.02</v>
      </c>
      <c r="H15" s="444"/>
    </row>
    <row r="16" spans="1:8">
      <c r="B16" s="305" t="s">
        <v>682</v>
      </c>
      <c r="C16" s="305" t="s">
        <v>265</v>
      </c>
      <c r="D16" s="305"/>
      <c r="E16" s="305" t="s">
        <v>264</v>
      </c>
      <c r="F16" s="305" t="s">
        <v>681</v>
      </c>
      <c r="G16" s="371">
        <v>-338.02</v>
      </c>
      <c r="H16" s="444"/>
    </row>
    <row r="17" spans="1:8">
      <c r="B17" s="305" t="s">
        <v>679</v>
      </c>
      <c r="C17" s="305" t="s">
        <v>265</v>
      </c>
      <c r="D17" s="305"/>
      <c r="E17" s="305" t="s">
        <v>264</v>
      </c>
      <c r="F17" s="305" t="s">
        <v>680</v>
      </c>
      <c r="G17" s="371">
        <v>-317.56</v>
      </c>
      <c r="H17" s="444"/>
    </row>
    <row r="18" spans="1:8">
      <c r="B18" s="305" t="s">
        <v>679</v>
      </c>
      <c r="C18" s="305" t="s">
        <v>174</v>
      </c>
      <c r="D18" s="305" t="s">
        <v>678</v>
      </c>
      <c r="E18" s="305" t="s">
        <v>677</v>
      </c>
      <c r="F18" s="305" t="s">
        <v>676</v>
      </c>
      <c r="G18" s="371">
        <v>317.56</v>
      </c>
      <c r="H18" s="444"/>
    </row>
    <row r="19" spans="1:8">
      <c r="A19" s="443" t="s">
        <v>263</v>
      </c>
      <c r="G19" s="360">
        <f>SUM(G13:G18)</f>
        <v>0</v>
      </c>
      <c r="H19" s="444"/>
    </row>
    <row r="20" spans="1:8">
      <c r="A20" s="443" t="s">
        <v>420</v>
      </c>
      <c r="G20" s="360">
        <f>+G11+G19</f>
        <v>157957.1</v>
      </c>
      <c r="H20" s="444"/>
    </row>
    <row r="21" spans="1:8">
      <c r="A21" s="443" t="s">
        <v>262</v>
      </c>
      <c r="G21" s="325"/>
      <c r="H21" s="444"/>
    </row>
    <row r="22" spans="1:8">
      <c r="B22" s="305" t="s">
        <v>674</v>
      </c>
      <c r="C22" s="305" t="s">
        <v>186</v>
      </c>
      <c r="D22" s="305">
        <v>98</v>
      </c>
      <c r="E22" s="305"/>
      <c r="F22" s="305" t="s">
        <v>675</v>
      </c>
      <c r="G22" s="371">
        <v>3646.17</v>
      </c>
      <c r="H22" s="444"/>
    </row>
    <row r="23" spans="1:8">
      <c r="B23" s="305" t="s">
        <v>673</v>
      </c>
      <c r="C23" s="305" t="s">
        <v>186</v>
      </c>
      <c r="D23" s="305">
        <v>99</v>
      </c>
      <c r="E23" s="305"/>
      <c r="F23" s="305" t="s">
        <v>675</v>
      </c>
      <c r="G23" s="371">
        <v>3973.66</v>
      </c>
      <c r="H23" s="444"/>
    </row>
    <row r="24" spans="1:8">
      <c r="B24" s="305" t="s">
        <v>645</v>
      </c>
      <c r="C24" s="305" t="s">
        <v>186</v>
      </c>
      <c r="D24" s="305">
        <v>149</v>
      </c>
      <c r="E24" s="305"/>
      <c r="F24" s="305" t="s">
        <v>675</v>
      </c>
      <c r="G24" s="371">
        <v>4575.8599999999997</v>
      </c>
      <c r="H24" s="444"/>
    </row>
    <row r="25" spans="1:8">
      <c r="A25" s="443" t="s">
        <v>261</v>
      </c>
      <c r="G25" s="360">
        <f>SUM(G22:G24)</f>
        <v>12195.689999999999</v>
      </c>
      <c r="H25" s="444"/>
    </row>
    <row r="26" spans="1:8">
      <c r="A26" s="443" t="s">
        <v>340</v>
      </c>
      <c r="G26" s="325"/>
      <c r="H26" s="444"/>
    </row>
    <row r="27" spans="1:8">
      <c r="B27" s="305" t="s">
        <v>645</v>
      </c>
      <c r="C27" s="305" t="s">
        <v>186</v>
      </c>
      <c r="D27" s="305">
        <v>123</v>
      </c>
      <c r="E27" s="305"/>
      <c r="F27" s="305" t="s">
        <v>411</v>
      </c>
      <c r="G27" s="371">
        <v>2919</v>
      </c>
      <c r="H27" s="444"/>
    </row>
    <row r="28" spans="1:8">
      <c r="A28" s="443" t="s">
        <v>341</v>
      </c>
      <c r="G28" s="360">
        <f>SUM(G27)</f>
        <v>2919</v>
      </c>
      <c r="H28" s="444"/>
    </row>
    <row r="29" spans="1:8">
      <c r="A29" s="443" t="s">
        <v>260</v>
      </c>
      <c r="G29" s="325"/>
      <c r="H29" s="444"/>
    </row>
    <row r="30" spans="1:8">
      <c r="B30" s="305" t="s">
        <v>674</v>
      </c>
      <c r="C30" s="305" t="s">
        <v>186</v>
      </c>
      <c r="D30" s="305">
        <v>98</v>
      </c>
      <c r="E30" s="305"/>
      <c r="F30" s="305" t="s">
        <v>415</v>
      </c>
      <c r="G30" s="371">
        <v>422.45</v>
      </c>
      <c r="H30" s="444"/>
    </row>
    <row r="31" spans="1:8">
      <c r="B31" s="305" t="s">
        <v>673</v>
      </c>
      <c r="C31" s="305" t="s">
        <v>186</v>
      </c>
      <c r="D31" s="305">
        <v>99</v>
      </c>
      <c r="E31" s="305"/>
      <c r="F31" s="305" t="s">
        <v>415</v>
      </c>
      <c r="G31" s="371">
        <v>397.76</v>
      </c>
      <c r="H31" s="444"/>
    </row>
    <row r="32" spans="1:8">
      <c r="B32" s="305" t="s">
        <v>645</v>
      </c>
      <c r="C32" s="305" t="s">
        <v>186</v>
      </c>
      <c r="D32" s="305">
        <v>149</v>
      </c>
      <c r="E32" s="305"/>
      <c r="F32" s="305" t="s">
        <v>415</v>
      </c>
      <c r="G32" s="371">
        <v>435.11</v>
      </c>
      <c r="H32" s="444"/>
    </row>
    <row r="33" spans="1:8">
      <c r="A33" s="443" t="s">
        <v>253</v>
      </c>
      <c r="G33" s="360">
        <f>SUM(G30:G32)</f>
        <v>1255.3200000000002</v>
      </c>
      <c r="H33" s="444"/>
    </row>
    <row r="34" spans="1:8">
      <c r="A34" s="443" t="s">
        <v>483</v>
      </c>
      <c r="G34" s="360">
        <f>+G20+G25+G28+G33</f>
        <v>174327.11000000002</v>
      </c>
      <c r="H34" s="444"/>
    </row>
    <row r="35" spans="1:8">
      <c r="A35" s="443" t="s">
        <v>414</v>
      </c>
      <c r="G35" s="325"/>
      <c r="H35" s="444"/>
    </row>
    <row r="36" spans="1:8">
      <c r="A36" s="443" t="s">
        <v>252</v>
      </c>
      <c r="G36" s="325"/>
      <c r="H36" s="444"/>
    </row>
    <row r="37" spans="1:8">
      <c r="A37" s="443" t="s">
        <v>552</v>
      </c>
      <c r="G37" s="325"/>
      <c r="H37" s="444"/>
    </row>
    <row r="38" spans="1:8">
      <c r="B38" s="305" t="s">
        <v>668</v>
      </c>
      <c r="C38" s="305" t="s">
        <v>186</v>
      </c>
      <c r="D38" s="305">
        <v>121</v>
      </c>
      <c r="E38" s="305"/>
      <c r="F38" s="305" t="s">
        <v>672</v>
      </c>
      <c r="G38" s="371">
        <v>16771</v>
      </c>
      <c r="H38" s="444"/>
    </row>
    <row r="39" spans="1:8">
      <c r="A39" s="443" t="s">
        <v>549</v>
      </c>
      <c r="G39" s="360">
        <f>SUM(G38)</f>
        <v>16771</v>
      </c>
      <c r="H39" s="444"/>
    </row>
    <row r="40" spans="1:8">
      <c r="A40" s="443"/>
      <c r="G40" s="360"/>
      <c r="H40" s="444"/>
    </row>
    <row r="41" spans="1:8">
      <c r="A41" s="443"/>
      <c r="G41" s="362"/>
      <c r="H41" s="444"/>
    </row>
    <row r="42" spans="1:8">
      <c r="A42" s="443"/>
      <c r="G42" s="362"/>
      <c r="H42" s="444"/>
    </row>
    <row r="43" spans="1:8">
      <c r="A43" s="443"/>
      <c r="G43" s="362"/>
      <c r="H43" s="444"/>
    </row>
    <row r="44" spans="1:8">
      <c r="A44" s="443" t="s">
        <v>248</v>
      </c>
      <c r="G44" s="325"/>
      <c r="H44" s="444"/>
    </row>
    <row r="45" spans="1:8">
      <c r="A45" s="443" t="s">
        <v>247</v>
      </c>
      <c r="G45" s="325"/>
      <c r="H45" s="444"/>
    </row>
    <row r="46" spans="1:8">
      <c r="B46" s="305" t="s">
        <v>650</v>
      </c>
      <c r="C46" s="305" t="s">
        <v>174</v>
      </c>
      <c r="D46" s="305">
        <v>292879522</v>
      </c>
      <c r="E46" s="305" t="s">
        <v>480</v>
      </c>
      <c r="F46" s="305" t="s">
        <v>671</v>
      </c>
      <c r="G46" s="371">
        <v>3688.1</v>
      </c>
      <c r="H46" s="444">
        <v>12820</v>
      </c>
    </row>
    <row r="47" spans="1:8">
      <c r="A47" s="443" t="s">
        <v>246</v>
      </c>
      <c r="G47" s="355">
        <f>SUM(G46)</f>
        <v>3688.1</v>
      </c>
      <c r="H47" s="444"/>
    </row>
    <row r="48" spans="1:8">
      <c r="A48" s="443" t="s">
        <v>245</v>
      </c>
      <c r="G48" s="325"/>
      <c r="H48" s="444"/>
    </row>
    <row r="49" spans="1:8">
      <c r="B49" s="305" t="s">
        <v>650</v>
      </c>
      <c r="C49" s="305" t="s">
        <v>174</v>
      </c>
      <c r="D49" s="305" t="s">
        <v>670</v>
      </c>
      <c r="E49" s="305" t="s">
        <v>243</v>
      </c>
      <c r="F49" s="305" t="s">
        <v>564</v>
      </c>
      <c r="G49" s="371">
        <v>264.69</v>
      </c>
      <c r="H49" s="444">
        <v>12822</v>
      </c>
    </row>
    <row r="50" spans="1:8">
      <c r="A50" s="443" t="s">
        <v>241</v>
      </c>
      <c r="G50" s="355">
        <f>SUM(G49)</f>
        <v>264.69</v>
      </c>
      <c r="H50" s="444"/>
    </row>
    <row r="51" spans="1:8">
      <c r="A51" s="443" t="s">
        <v>240</v>
      </c>
      <c r="G51" s="325"/>
      <c r="H51" s="444"/>
    </row>
    <row r="52" spans="1:8">
      <c r="B52" s="305" t="s">
        <v>668</v>
      </c>
      <c r="C52" s="305" t="s">
        <v>186</v>
      </c>
      <c r="D52" s="305">
        <v>137</v>
      </c>
      <c r="E52" s="305"/>
      <c r="F52" s="305" t="s">
        <v>669</v>
      </c>
      <c r="G52" s="371">
        <v>-806.3805000000001</v>
      </c>
      <c r="H52" s="444"/>
    </row>
    <row r="53" spans="1:8">
      <c r="A53" s="443" t="s">
        <v>239</v>
      </c>
      <c r="G53" s="355">
        <f>SUM(G52)</f>
        <v>-806.3805000000001</v>
      </c>
      <c r="H53" s="444"/>
    </row>
    <row r="54" spans="1:8">
      <c r="A54" s="443" t="s">
        <v>238</v>
      </c>
      <c r="G54" s="325"/>
      <c r="H54" s="444"/>
    </row>
    <row r="55" spans="1:8">
      <c r="B55" s="305" t="s">
        <v>668</v>
      </c>
      <c r="C55" s="305" t="s">
        <v>186</v>
      </c>
      <c r="D55" s="305">
        <v>138</v>
      </c>
      <c r="E55" s="305"/>
      <c r="F55" s="305" t="s">
        <v>237</v>
      </c>
      <c r="G55" s="371">
        <v>-50.925000000000004</v>
      </c>
      <c r="H55" s="444"/>
    </row>
    <row r="56" spans="1:8">
      <c r="A56" s="443" t="s">
        <v>236</v>
      </c>
      <c r="G56" s="355">
        <f>SUM(G55)</f>
        <v>-50.925000000000004</v>
      </c>
      <c r="H56" s="444"/>
    </row>
    <row r="57" spans="1:8">
      <c r="A57" s="443" t="s">
        <v>235</v>
      </c>
      <c r="G57" s="360">
        <f>+G47+G50+G53+G56</f>
        <v>3095.4844999999996</v>
      </c>
      <c r="H57" s="444"/>
    </row>
    <row r="58" spans="1:8">
      <c r="A58" s="443" t="s">
        <v>667</v>
      </c>
      <c r="G58" s="325"/>
      <c r="H58" s="444"/>
    </row>
    <row r="59" spans="1:8">
      <c r="A59" s="443" t="s">
        <v>234</v>
      </c>
      <c r="G59" s="325"/>
      <c r="H59" s="444"/>
    </row>
    <row r="60" spans="1:8">
      <c r="A60" s="443" t="s">
        <v>478</v>
      </c>
      <c r="G60" s="325"/>
      <c r="H60" s="444"/>
    </row>
    <row r="61" spans="1:8">
      <c r="B61" s="305" t="s">
        <v>645</v>
      </c>
      <c r="C61" s="305" t="s">
        <v>186</v>
      </c>
      <c r="D61" s="305">
        <v>123</v>
      </c>
      <c r="E61" s="305"/>
      <c r="F61" s="305" t="s">
        <v>411</v>
      </c>
      <c r="G61" s="371">
        <v>498</v>
      </c>
      <c r="H61" s="444"/>
    </row>
    <row r="62" spans="1:8">
      <c r="A62" s="443" t="s">
        <v>233</v>
      </c>
      <c r="G62" s="355">
        <f>SUM(G61)</f>
        <v>498</v>
      </c>
      <c r="H62" s="444"/>
    </row>
    <row r="63" spans="1:8">
      <c r="A63" s="443"/>
      <c r="G63" s="360"/>
      <c r="H63" s="444"/>
    </row>
    <row r="64" spans="1:8">
      <c r="A64" s="274" t="s">
        <v>284</v>
      </c>
      <c r="G64" s="362"/>
      <c r="H64" s="444"/>
    </row>
    <row r="65" spans="1:8">
      <c r="A65" s="443" t="s">
        <v>232</v>
      </c>
      <c r="G65" s="325"/>
      <c r="H65" s="444"/>
    </row>
    <row r="66" spans="1:8">
      <c r="B66" s="305" t="s">
        <v>645</v>
      </c>
      <c r="C66" s="305" t="s">
        <v>186</v>
      </c>
      <c r="D66" s="305">
        <v>132</v>
      </c>
      <c r="E66" s="305"/>
      <c r="F66" s="305" t="s">
        <v>231</v>
      </c>
      <c r="G66" s="371">
        <v>913</v>
      </c>
      <c r="H66" s="444"/>
    </row>
    <row r="67" spans="1:8">
      <c r="A67" s="443" t="s">
        <v>230</v>
      </c>
      <c r="G67" s="360">
        <f>SUM(G66)</f>
        <v>913</v>
      </c>
      <c r="H67" s="444"/>
    </row>
    <row r="68" spans="1:8">
      <c r="A68" s="443" t="s">
        <v>229</v>
      </c>
      <c r="G68" s="325"/>
      <c r="H68" s="444"/>
    </row>
    <row r="69" spans="1:8">
      <c r="B69" s="305" t="s">
        <v>645</v>
      </c>
      <c r="C69" s="305" t="s">
        <v>186</v>
      </c>
      <c r="D69" s="305">
        <v>131</v>
      </c>
      <c r="E69" s="305"/>
      <c r="F69" s="305" t="s">
        <v>228</v>
      </c>
      <c r="G69" s="371">
        <v>237</v>
      </c>
      <c r="H69" s="444"/>
    </row>
    <row r="70" spans="1:8">
      <c r="A70" s="443" t="s">
        <v>227</v>
      </c>
      <c r="G70" s="360">
        <f>SUM(G69)</f>
        <v>237</v>
      </c>
      <c r="H70" s="444"/>
    </row>
    <row r="71" spans="1:8">
      <c r="A71" s="443" t="s">
        <v>226</v>
      </c>
      <c r="G71" s="325"/>
      <c r="H71" s="444"/>
    </row>
    <row r="72" spans="1:8">
      <c r="B72" s="305" t="s">
        <v>645</v>
      </c>
      <c r="C72" s="305" t="s">
        <v>186</v>
      </c>
      <c r="D72" s="305">
        <v>127</v>
      </c>
      <c r="E72" s="305"/>
      <c r="F72" s="305" t="s">
        <v>225</v>
      </c>
      <c r="G72" s="371">
        <v>224</v>
      </c>
      <c r="H72" s="444"/>
    </row>
    <row r="73" spans="1:8">
      <c r="A73" s="443" t="s">
        <v>224</v>
      </c>
      <c r="G73" s="360">
        <f>SUM(G72)</f>
        <v>224</v>
      </c>
      <c r="H73" s="444"/>
    </row>
    <row r="74" spans="1:8">
      <c r="A74" s="443" t="s">
        <v>223</v>
      </c>
      <c r="G74" s="325"/>
      <c r="H74" s="444"/>
    </row>
    <row r="75" spans="1:8">
      <c r="B75" s="305" t="s">
        <v>645</v>
      </c>
      <c r="C75" s="305" t="s">
        <v>186</v>
      </c>
      <c r="D75" s="305">
        <v>136</v>
      </c>
      <c r="E75" s="305"/>
      <c r="F75" s="305" t="s">
        <v>222</v>
      </c>
      <c r="G75" s="371">
        <v>44</v>
      </c>
      <c r="H75" s="444"/>
    </row>
    <row r="76" spans="1:8">
      <c r="A76" s="443" t="s">
        <v>221</v>
      </c>
      <c r="G76" s="360">
        <f>SUM(G75)</f>
        <v>44</v>
      </c>
      <c r="H76" s="444"/>
    </row>
    <row r="77" spans="1:8">
      <c r="G77" s="325"/>
      <c r="H77" s="444"/>
    </row>
    <row r="78" spans="1:8">
      <c r="A78" s="274"/>
      <c r="G78" s="362"/>
      <c r="H78" s="444"/>
    </row>
    <row r="79" spans="1:8" ht="15" thickBot="1">
      <c r="A79" s="274" t="s">
        <v>506</v>
      </c>
      <c r="G79" s="457">
        <f>+G67+G70+G73+G76</f>
        <v>1418</v>
      </c>
      <c r="H79" s="444"/>
    </row>
    <row r="80" spans="1:8" ht="15" thickTop="1">
      <c r="A80" s="274"/>
      <c r="G80" s="362"/>
      <c r="H80" s="444"/>
    </row>
    <row r="81" spans="1:8">
      <c r="A81" s="274"/>
      <c r="G81" s="362"/>
      <c r="H81" s="444"/>
    </row>
    <row r="82" spans="1:8">
      <c r="A82" s="443" t="s">
        <v>409</v>
      </c>
      <c r="G82" s="325"/>
      <c r="H82" s="444"/>
    </row>
    <row r="83" spans="1:8">
      <c r="A83" s="443" t="s">
        <v>220</v>
      </c>
      <c r="G83" s="325"/>
      <c r="H83" s="444"/>
    </row>
    <row r="84" spans="1:8">
      <c r="B84" s="305" t="s">
        <v>645</v>
      </c>
      <c r="C84" s="305" t="s">
        <v>186</v>
      </c>
      <c r="D84" s="305">
        <v>129</v>
      </c>
      <c r="E84" s="305"/>
      <c r="F84" s="305" t="s">
        <v>219</v>
      </c>
      <c r="G84" s="371">
        <v>172</v>
      </c>
      <c r="H84" s="444"/>
    </row>
    <row r="85" spans="1:8">
      <c r="A85" s="443" t="s">
        <v>218</v>
      </c>
      <c r="G85" s="355">
        <f>SUM(G84)</f>
        <v>172</v>
      </c>
      <c r="H85" s="444"/>
    </row>
    <row r="86" spans="1:8">
      <c r="A86" s="443"/>
      <c r="G86" s="360"/>
      <c r="H86" s="444"/>
    </row>
    <row r="87" spans="1:8">
      <c r="A87" s="443" t="s">
        <v>703</v>
      </c>
      <c r="G87" s="456">
        <f>+G40+G57+G62+G79+G85</f>
        <v>5183.4844999999996</v>
      </c>
      <c r="H87" s="444"/>
    </row>
    <row r="89" spans="1:8">
      <c r="A89" s="443"/>
      <c r="G89" s="325"/>
      <c r="H89" s="444"/>
    </row>
    <row r="90" spans="1:8">
      <c r="A90" s="364" t="s">
        <v>379</v>
      </c>
      <c r="G90" s="325"/>
      <c r="H90" s="444"/>
    </row>
    <row r="91" spans="1:8">
      <c r="A91" s="443" t="s">
        <v>184</v>
      </c>
      <c r="G91" s="325"/>
      <c r="H91" s="444"/>
    </row>
    <row r="92" spans="1:8">
      <c r="B92" s="305" t="s">
        <v>641</v>
      </c>
      <c r="C92" s="305" t="s">
        <v>174</v>
      </c>
      <c r="D92" s="305" t="s">
        <v>644</v>
      </c>
      <c r="E92" s="305" t="s">
        <v>443</v>
      </c>
      <c r="F92" s="305" t="s">
        <v>643</v>
      </c>
      <c r="G92" s="371">
        <v>44.06</v>
      </c>
      <c r="H92" s="444">
        <v>12843</v>
      </c>
    </row>
    <row r="93" spans="1:8">
      <c r="B93" s="305" t="s">
        <v>641</v>
      </c>
      <c r="C93" s="305" t="s">
        <v>174</v>
      </c>
      <c r="D93" s="305">
        <v>11173</v>
      </c>
      <c r="E93" s="305" t="s">
        <v>377</v>
      </c>
      <c r="F93" s="305" t="s">
        <v>642</v>
      </c>
      <c r="G93" s="371">
        <v>150</v>
      </c>
      <c r="H93" s="305">
        <v>12831</v>
      </c>
    </row>
    <row r="94" spans="1:8">
      <c r="B94" s="305" t="s">
        <v>641</v>
      </c>
      <c r="C94" s="305" t="s">
        <v>174</v>
      </c>
      <c r="D94" s="305" t="s">
        <v>640</v>
      </c>
      <c r="E94" s="305" t="s">
        <v>373</v>
      </c>
      <c r="F94" s="305" t="s">
        <v>639</v>
      </c>
      <c r="G94" s="371">
        <v>57.88</v>
      </c>
      <c r="H94" s="444">
        <v>12842</v>
      </c>
    </row>
    <row r="95" spans="1:8">
      <c r="B95" s="305" t="s">
        <v>635</v>
      </c>
      <c r="C95" s="305" t="s">
        <v>174</v>
      </c>
      <c r="D95" s="305" t="s">
        <v>638</v>
      </c>
      <c r="E95" s="305" t="s">
        <v>637</v>
      </c>
      <c r="F95" s="305" t="s">
        <v>636</v>
      </c>
      <c r="G95" s="371">
        <v>21.6</v>
      </c>
      <c r="H95" s="444">
        <v>12845</v>
      </c>
    </row>
    <row r="96" spans="1:8">
      <c r="B96" s="305" t="s">
        <v>635</v>
      </c>
      <c r="C96" s="305" t="s">
        <v>174</v>
      </c>
      <c r="D96" s="305" t="s">
        <v>634</v>
      </c>
      <c r="E96" s="305" t="s">
        <v>457</v>
      </c>
      <c r="F96" s="305" t="s">
        <v>633</v>
      </c>
      <c r="G96" s="371">
        <v>75.599999999999994</v>
      </c>
      <c r="H96" s="444">
        <v>12844</v>
      </c>
    </row>
    <row r="97" spans="1:8">
      <c r="A97" s="443" t="s">
        <v>520</v>
      </c>
      <c r="G97" s="360">
        <f>SUM(G92:G96)</f>
        <v>349.14</v>
      </c>
      <c r="H97" s="444"/>
    </row>
    <row r="98" spans="1:8">
      <c r="A98" s="443"/>
      <c r="G98" s="362"/>
      <c r="H98" s="444"/>
    </row>
    <row r="99" spans="1:8">
      <c r="A99" s="451" t="s">
        <v>400</v>
      </c>
      <c r="G99" s="325"/>
      <c r="H99" s="444"/>
    </row>
    <row r="100" spans="1:8">
      <c r="A100" s="443" t="s">
        <v>632</v>
      </c>
      <c r="G100" s="325"/>
      <c r="H100" s="444"/>
    </row>
    <row r="101" spans="1:8">
      <c r="B101" s="305" t="s">
        <v>631</v>
      </c>
      <c r="C101" s="305" t="s">
        <v>174</v>
      </c>
      <c r="D101" s="305">
        <v>138575</v>
      </c>
      <c r="E101" s="305" t="s">
        <v>630</v>
      </c>
      <c r="F101" s="305" t="s">
        <v>629</v>
      </c>
      <c r="G101" s="371">
        <v>895.14</v>
      </c>
      <c r="H101" s="444">
        <v>12919</v>
      </c>
    </row>
    <row r="102" spans="1:8" s="325" customFormat="1">
      <c r="B102" s="388">
        <v>43830</v>
      </c>
      <c r="C102" s="327" t="s">
        <v>700</v>
      </c>
      <c r="D102" s="327" t="s">
        <v>701</v>
      </c>
      <c r="E102" s="327" t="s">
        <v>630</v>
      </c>
      <c r="F102" s="327" t="s">
        <v>629</v>
      </c>
      <c r="G102" s="371">
        <v>-162.25</v>
      </c>
      <c r="H102" s="206">
        <v>12919</v>
      </c>
    </row>
    <row r="103" spans="1:8">
      <c r="A103" s="443" t="s">
        <v>628</v>
      </c>
      <c r="G103" s="360">
        <f>SUM(G101:G102)</f>
        <v>732.89</v>
      </c>
      <c r="H103" s="444"/>
    </row>
    <row r="104" spans="1:8">
      <c r="A104" s="443" t="s">
        <v>394</v>
      </c>
      <c r="G104" s="325"/>
      <c r="H104" s="444"/>
    </row>
    <row r="105" spans="1:8">
      <c r="B105" s="305" t="s">
        <v>645</v>
      </c>
      <c r="C105" s="305" t="s">
        <v>186</v>
      </c>
      <c r="D105" s="305">
        <v>125</v>
      </c>
      <c r="E105" s="305"/>
      <c r="F105" s="305" t="s">
        <v>212</v>
      </c>
      <c r="G105" s="371">
        <v>92</v>
      </c>
      <c r="H105" s="444"/>
    </row>
    <row r="106" spans="1:8">
      <c r="A106" s="451" t="s">
        <v>211</v>
      </c>
      <c r="G106" s="360">
        <f>SUM(G105)</f>
        <v>92</v>
      </c>
      <c r="H106" s="444"/>
    </row>
    <row r="107" spans="1:8">
      <c r="A107" s="451"/>
      <c r="G107" s="360"/>
      <c r="H107" s="444"/>
    </row>
    <row r="108" spans="1:8">
      <c r="A108" s="451" t="s">
        <v>696</v>
      </c>
      <c r="G108" s="360">
        <f>+G103+G106</f>
        <v>824.89</v>
      </c>
      <c r="H108" s="444"/>
    </row>
    <row r="109" spans="1:8">
      <c r="G109" s="360"/>
      <c r="H109" s="444"/>
    </row>
    <row r="110" spans="1:8">
      <c r="A110" s="364" t="s">
        <v>357</v>
      </c>
      <c r="G110" s="362"/>
      <c r="H110" s="444"/>
    </row>
    <row r="111" spans="1:8">
      <c r="A111" s="443" t="s">
        <v>406</v>
      </c>
      <c r="G111" s="325"/>
      <c r="H111" s="444"/>
    </row>
    <row r="112" spans="1:8">
      <c r="A112" s="443" t="s">
        <v>214</v>
      </c>
      <c r="G112" s="325"/>
      <c r="H112" s="444"/>
    </row>
    <row r="113" spans="1:8">
      <c r="B113" s="305" t="s">
        <v>645</v>
      </c>
      <c r="C113" s="305" t="s">
        <v>186</v>
      </c>
      <c r="D113" s="305">
        <v>135</v>
      </c>
      <c r="E113" s="305"/>
      <c r="F113" s="305" t="s">
        <v>213</v>
      </c>
      <c r="G113" s="371">
        <v>946</v>
      </c>
      <c r="H113" s="444"/>
    </row>
    <row r="114" spans="1:8">
      <c r="A114" s="443" t="s">
        <v>666</v>
      </c>
      <c r="G114" s="360">
        <f>SUM(G113)</f>
        <v>946</v>
      </c>
      <c r="H114" s="444"/>
    </row>
    <row r="115" spans="1:8">
      <c r="A115" s="443" t="s">
        <v>665</v>
      </c>
      <c r="G115" s="325"/>
      <c r="H115" s="444"/>
    </row>
    <row r="116" spans="1:8">
      <c r="B116" s="305" t="s">
        <v>664</v>
      </c>
      <c r="C116" s="305" t="s">
        <v>174</v>
      </c>
      <c r="D116" s="305" t="s">
        <v>663</v>
      </c>
      <c r="E116" s="305" t="s">
        <v>662</v>
      </c>
      <c r="F116" s="305" t="s">
        <v>661</v>
      </c>
      <c r="G116" s="371">
        <v>1710</v>
      </c>
      <c r="H116" s="444">
        <v>12862</v>
      </c>
    </row>
    <row r="117" spans="1:8">
      <c r="B117" s="389">
        <v>43830</v>
      </c>
      <c r="C117" s="305" t="s">
        <v>174</v>
      </c>
      <c r="D117" s="305" t="s">
        <v>699</v>
      </c>
      <c r="E117" s="305" t="s">
        <v>662</v>
      </c>
      <c r="F117" s="305" t="s">
        <v>698</v>
      </c>
      <c r="G117" s="371">
        <v>375</v>
      </c>
      <c r="H117" s="444">
        <v>12938</v>
      </c>
    </row>
    <row r="118" spans="1:8">
      <c r="A118" s="443" t="s">
        <v>660</v>
      </c>
      <c r="G118" s="360">
        <f>SUM(G116:G117)</f>
        <v>2085</v>
      </c>
      <c r="H118" s="444"/>
    </row>
    <row r="119" spans="1:8">
      <c r="A119" s="364" t="s">
        <v>695</v>
      </c>
      <c r="G119" s="360">
        <f>+G114+G118</f>
        <v>3031</v>
      </c>
      <c r="H119" s="444"/>
    </row>
    <row r="120" spans="1:8">
      <c r="G120" s="325"/>
      <c r="H120" s="444"/>
    </row>
    <row r="121" spans="1:8">
      <c r="A121" s="364" t="s">
        <v>329</v>
      </c>
      <c r="G121" s="362"/>
      <c r="H121" s="444"/>
    </row>
    <row r="122" spans="1:8">
      <c r="A122" s="443" t="s">
        <v>200</v>
      </c>
      <c r="G122" s="325"/>
      <c r="H122" s="444"/>
    </row>
    <row r="123" spans="1:8">
      <c r="B123" s="305" t="s">
        <v>650</v>
      </c>
      <c r="C123" s="305" t="s">
        <v>174</v>
      </c>
      <c r="D123" s="305" t="s">
        <v>649</v>
      </c>
      <c r="E123" s="305" t="s">
        <v>181</v>
      </c>
      <c r="F123" s="305" t="s">
        <v>648</v>
      </c>
      <c r="G123" s="371">
        <v>648</v>
      </c>
      <c r="H123" s="444">
        <v>12719</v>
      </c>
    </row>
    <row r="124" spans="1:8">
      <c r="A124" s="274" t="s">
        <v>344</v>
      </c>
      <c r="G124" s="360">
        <f>SUM(G123)</f>
        <v>648</v>
      </c>
      <c r="H124" s="444"/>
    </row>
    <row r="125" spans="1:8">
      <c r="G125" s="325"/>
      <c r="H125" s="444"/>
    </row>
    <row r="126" spans="1:8">
      <c r="A126" s="443" t="s">
        <v>197</v>
      </c>
      <c r="G126" s="325"/>
      <c r="H126" s="444"/>
    </row>
    <row r="127" spans="1:8">
      <c r="A127" s="443" t="s">
        <v>196</v>
      </c>
      <c r="G127" s="325"/>
      <c r="H127" s="444"/>
    </row>
    <row r="128" spans="1:8">
      <c r="B128" s="305" t="s">
        <v>645</v>
      </c>
      <c r="C128" s="305" t="s">
        <v>186</v>
      </c>
      <c r="D128" s="305">
        <v>124</v>
      </c>
      <c r="E128" s="305"/>
      <c r="F128" s="305" t="s">
        <v>195</v>
      </c>
      <c r="G128" s="371">
        <v>259</v>
      </c>
      <c r="H128" s="444"/>
    </row>
    <row r="129" spans="1:8">
      <c r="A129" s="443" t="s">
        <v>468</v>
      </c>
      <c r="G129" s="360">
        <f>SUM(G128)</f>
        <v>259</v>
      </c>
      <c r="H129" s="444"/>
    </row>
    <row r="130" spans="1:8">
      <c r="G130" s="360"/>
      <c r="H130" s="444"/>
    </row>
    <row r="131" spans="1:8">
      <c r="A131" s="443" t="s">
        <v>191</v>
      </c>
      <c r="G131" s="325"/>
      <c r="H131" s="444"/>
    </row>
    <row r="132" spans="1:8">
      <c r="A132" s="443" t="s">
        <v>466</v>
      </c>
      <c r="G132" s="325"/>
      <c r="H132" s="444"/>
    </row>
    <row r="133" spans="1:8">
      <c r="B133" s="305" t="s">
        <v>645</v>
      </c>
      <c r="C133" s="305" t="s">
        <v>186</v>
      </c>
      <c r="D133" s="305">
        <v>128</v>
      </c>
      <c r="E133" s="305"/>
      <c r="F133" s="305" t="s">
        <v>190</v>
      </c>
      <c r="G133" s="371">
        <v>437</v>
      </c>
      <c r="H133" s="444"/>
    </row>
    <row r="134" spans="1:8">
      <c r="A134" s="443" t="s">
        <v>189</v>
      </c>
      <c r="G134" s="360">
        <v>437</v>
      </c>
      <c r="H134" s="444"/>
    </row>
    <row r="135" spans="1:8">
      <c r="A135" s="443"/>
      <c r="G135" s="360"/>
      <c r="H135" s="444"/>
    </row>
    <row r="136" spans="1:8">
      <c r="A136" s="443" t="s">
        <v>593</v>
      </c>
      <c r="G136" s="325"/>
      <c r="H136" s="444"/>
    </row>
    <row r="137" spans="1:8">
      <c r="A137" s="443" t="s">
        <v>592</v>
      </c>
      <c r="G137" s="325"/>
      <c r="H137" s="444"/>
    </row>
    <row r="138" spans="1:8">
      <c r="B138" s="305" t="s">
        <v>645</v>
      </c>
      <c r="C138" s="305" t="s">
        <v>186</v>
      </c>
      <c r="D138" s="305">
        <v>130</v>
      </c>
      <c r="E138" s="305"/>
      <c r="F138" s="305" t="s">
        <v>591</v>
      </c>
      <c r="G138" s="371">
        <v>270</v>
      </c>
      <c r="H138" s="444"/>
    </row>
    <row r="139" spans="1:8">
      <c r="A139" s="443" t="s">
        <v>646</v>
      </c>
      <c r="G139" s="360">
        <v>270</v>
      </c>
      <c r="H139" s="444"/>
    </row>
    <row r="140" spans="1:8" s="431" customFormat="1" ht="15" customHeight="1">
      <c r="A140" s="410"/>
      <c r="G140" s="452"/>
      <c r="H140" s="444"/>
    </row>
    <row r="141" spans="1:8" s="274" customFormat="1" ht="11.5">
      <c r="A141" s="274" t="s">
        <v>343</v>
      </c>
      <c r="G141" s="453">
        <f>+G129+G134+G139</f>
        <v>966</v>
      </c>
      <c r="H141" s="206"/>
    </row>
    <row r="142" spans="1:8" s="432" customFormat="1" ht="11.5">
      <c r="A142" s="420"/>
      <c r="G142" s="430"/>
      <c r="H142" s="206"/>
    </row>
    <row r="143" spans="1:8" s="433" customFormat="1" ht="11.5">
      <c r="A143" s="274" t="s">
        <v>353</v>
      </c>
      <c r="G143" s="453">
        <f>+G141+G124</f>
        <v>1614</v>
      </c>
      <c r="H143" s="206"/>
    </row>
    <row r="144" spans="1:8">
      <c r="G144" s="325"/>
      <c r="H144" s="444"/>
    </row>
    <row r="145" spans="1:8">
      <c r="G145" s="325"/>
      <c r="H145" s="444"/>
    </row>
    <row r="146" spans="1:8" s="433" customFormat="1" ht="11.5">
      <c r="A146" s="274" t="s">
        <v>507</v>
      </c>
      <c r="G146" s="430"/>
      <c r="H146" s="206"/>
    </row>
    <row r="147" spans="1:8">
      <c r="A147" s="443" t="s">
        <v>647</v>
      </c>
      <c r="G147" s="325"/>
      <c r="H147" s="444"/>
    </row>
    <row r="148" spans="1:8">
      <c r="A148" s="443" t="s">
        <v>193</v>
      </c>
      <c r="G148" s="325"/>
      <c r="H148" s="444"/>
    </row>
    <row r="149" spans="1:8">
      <c r="B149" s="305" t="s">
        <v>645</v>
      </c>
      <c r="C149" s="305" t="s">
        <v>186</v>
      </c>
      <c r="D149" s="305">
        <v>133</v>
      </c>
      <c r="E149" s="305"/>
      <c r="F149" s="305" t="s">
        <v>192</v>
      </c>
      <c r="G149" s="371">
        <v>286</v>
      </c>
      <c r="H149" s="444"/>
    </row>
    <row r="150" spans="1:8">
      <c r="A150" s="443" t="s">
        <v>383</v>
      </c>
      <c r="G150" s="360">
        <f>SUM(G149)</f>
        <v>286</v>
      </c>
      <c r="H150" s="444"/>
    </row>
    <row r="151" spans="1:8">
      <c r="G151" s="325"/>
      <c r="H151" s="444"/>
    </row>
    <row r="152" spans="1:8">
      <c r="G152" s="325"/>
      <c r="H152" s="444"/>
    </row>
    <row r="153" spans="1:8" s="407" customFormat="1" ht="15" customHeight="1">
      <c r="A153" s="274" t="s">
        <v>334</v>
      </c>
      <c r="G153" s="454"/>
      <c r="H153" s="444"/>
    </row>
    <row r="154" spans="1:8">
      <c r="A154" s="443" t="s">
        <v>203</v>
      </c>
      <c r="G154" s="325"/>
      <c r="H154" s="444"/>
    </row>
    <row r="155" spans="1:8">
      <c r="B155" s="305" t="s">
        <v>645</v>
      </c>
      <c r="C155" s="305" t="s">
        <v>186</v>
      </c>
      <c r="D155" s="305">
        <v>122</v>
      </c>
      <c r="E155" s="305"/>
      <c r="F155" s="305" t="s">
        <v>202</v>
      </c>
      <c r="G155" s="371">
        <v>40</v>
      </c>
      <c r="H155" s="444"/>
    </row>
    <row r="156" spans="1:8">
      <c r="A156" s="443" t="s">
        <v>201</v>
      </c>
      <c r="G156" s="360">
        <f>SUM(G155)</f>
        <v>40</v>
      </c>
      <c r="H156" s="444"/>
    </row>
    <row r="157" spans="1:8">
      <c r="A157" s="443"/>
      <c r="G157" s="362"/>
      <c r="H157" s="444"/>
    </row>
    <row r="158" spans="1:8">
      <c r="A158" s="443"/>
      <c r="G158" s="362"/>
      <c r="H158" s="444"/>
    </row>
    <row r="159" spans="1:8">
      <c r="A159" s="276" t="s">
        <v>338</v>
      </c>
      <c r="G159" s="362"/>
      <c r="H159" s="444"/>
    </row>
    <row r="160" spans="1:8">
      <c r="A160" s="443" t="s">
        <v>209</v>
      </c>
      <c r="G160" s="325"/>
      <c r="H160" s="444"/>
    </row>
    <row r="161" spans="1:8">
      <c r="B161" s="305" t="s">
        <v>659</v>
      </c>
      <c r="C161" s="305" t="s">
        <v>174</v>
      </c>
      <c r="D161" s="305" t="s">
        <v>658</v>
      </c>
      <c r="E161" s="305" t="s">
        <v>433</v>
      </c>
      <c r="F161" s="305" t="s">
        <v>541</v>
      </c>
      <c r="G161" s="371">
        <v>134.91999999999999</v>
      </c>
      <c r="H161" s="444">
        <v>12869</v>
      </c>
    </row>
    <row r="162" spans="1:8">
      <c r="A162" s="443" t="s">
        <v>207</v>
      </c>
      <c r="G162" s="360">
        <f>SUM(G161)</f>
        <v>134.91999999999999</v>
      </c>
      <c r="H162" s="444"/>
    </row>
    <row r="163" spans="1:8">
      <c r="A163" s="443"/>
      <c r="G163" s="362"/>
      <c r="H163" s="444"/>
    </row>
    <row r="164" spans="1:8">
      <c r="A164" s="443" t="s">
        <v>540</v>
      </c>
      <c r="G164" s="325"/>
      <c r="H164" s="444"/>
    </row>
    <row r="165" spans="1:8">
      <c r="B165" s="305" t="s">
        <v>641</v>
      </c>
      <c r="C165" s="305" t="s">
        <v>533</v>
      </c>
      <c r="D165" s="305" t="s">
        <v>657</v>
      </c>
      <c r="E165" s="305" t="s">
        <v>537</v>
      </c>
      <c r="F165" s="305" t="s">
        <v>655</v>
      </c>
      <c r="G165" s="371">
        <v>10</v>
      </c>
      <c r="H165" s="444" t="s">
        <v>561</v>
      </c>
    </row>
    <row r="166" spans="1:8">
      <c r="B166" s="305" t="s">
        <v>635</v>
      </c>
      <c r="C166" s="305" t="s">
        <v>533</v>
      </c>
      <c r="D166" s="305" t="s">
        <v>656</v>
      </c>
      <c r="E166" s="305" t="s">
        <v>537</v>
      </c>
      <c r="F166" s="305" t="s">
        <v>655</v>
      </c>
      <c r="G166" s="371">
        <v>50.85</v>
      </c>
      <c r="H166" s="444" t="s">
        <v>561</v>
      </c>
    </row>
    <row r="167" spans="1:8">
      <c r="A167" s="443" t="s">
        <v>535</v>
      </c>
      <c r="G167" s="360">
        <f>SUM(G165:G166)</f>
        <v>60.85</v>
      </c>
      <c r="H167" s="444"/>
    </row>
    <row r="168" spans="1:8">
      <c r="A168" s="443"/>
      <c r="G168" s="362"/>
      <c r="H168" s="444"/>
    </row>
    <row r="169" spans="1:8">
      <c r="A169" s="443" t="s">
        <v>206</v>
      </c>
      <c r="G169" s="325"/>
      <c r="H169" s="444"/>
    </row>
    <row r="170" spans="1:8">
      <c r="B170" s="305" t="s">
        <v>645</v>
      </c>
      <c r="C170" s="305" t="s">
        <v>186</v>
      </c>
      <c r="D170" s="305">
        <v>126</v>
      </c>
      <c r="E170" s="305"/>
      <c r="F170" s="305" t="s">
        <v>205</v>
      </c>
      <c r="G170" s="371">
        <v>124</v>
      </c>
      <c r="H170" s="444"/>
    </row>
    <row r="171" spans="1:8">
      <c r="A171" s="443" t="s">
        <v>204</v>
      </c>
      <c r="G171" s="360">
        <f>SUM(G170)</f>
        <v>124</v>
      </c>
      <c r="H171" s="444"/>
    </row>
    <row r="172" spans="1:8">
      <c r="A172" s="443"/>
      <c r="G172" s="360"/>
      <c r="H172" s="444"/>
    </row>
    <row r="173" spans="1:8">
      <c r="A173" s="443" t="s">
        <v>471</v>
      </c>
      <c r="G173" s="453">
        <f>+G162+G167+G171</f>
        <v>319.77</v>
      </c>
      <c r="H173" s="444"/>
    </row>
    <row r="174" spans="1:8">
      <c r="A174" s="443"/>
      <c r="G174" s="362"/>
      <c r="H174" s="444"/>
    </row>
    <row r="175" spans="1:8">
      <c r="A175" s="443"/>
      <c r="G175" s="362"/>
      <c r="H175" s="444"/>
    </row>
    <row r="176" spans="1:8">
      <c r="A176" s="451" t="s">
        <v>392</v>
      </c>
      <c r="G176" s="325"/>
      <c r="H176" s="444"/>
    </row>
    <row r="177" spans="1:8">
      <c r="B177" s="305" t="s">
        <v>645</v>
      </c>
      <c r="C177" s="305" t="s">
        <v>174</v>
      </c>
      <c r="D177" s="305" t="s">
        <v>654</v>
      </c>
      <c r="E177" s="305" t="s">
        <v>653</v>
      </c>
      <c r="F177" s="305" t="s">
        <v>652</v>
      </c>
      <c r="G177" s="371">
        <v>64.58</v>
      </c>
      <c r="H177" s="444">
        <v>12895</v>
      </c>
    </row>
    <row r="178" spans="1:8">
      <c r="A178" s="443" t="s">
        <v>651</v>
      </c>
      <c r="G178" s="360">
        <f>SUM(G177)</f>
        <v>64.58</v>
      </c>
      <c r="H178" s="444"/>
    </row>
    <row r="179" spans="1:8">
      <c r="A179" s="443"/>
      <c r="G179" s="360"/>
      <c r="H179" s="444"/>
    </row>
    <row r="180" spans="1:8">
      <c r="A180" s="443"/>
      <c r="G180" s="325"/>
      <c r="H180" s="444"/>
    </row>
    <row r="181" spans="1:8">
      <c r="A181" s="443" t="s">
        <v>188</v>
      </c>
      <c r="G181" s="325"/>
      <c r="H181" s="444"/>
    </row>
    <row r="182" spans="1:8">
      <c r="A182" s="443" t="s">
        <v>382</v>
      </c>
      <c r="G182" s="325"/>
      <c r="H182" s="444"/>
    </row>
    <row r="183" spans="1:8">
      <c r="A183" s="443" t="s">
        <v>381</v>
      </c>
      <c r="G183" s="325"/>
      <c r="H183" s="444"/>
    </row>
    <row r="184" spans="1:8">
      <c r="B184" s="305" t="s">
        <v>645</v>
      </c>
      <c r="C184" s="305" t="s">
        <v>186</v>
      </c>
      <c r="D184" s="305">
        <v>134</v>
      </c>
      <c r="E184" s="305"/>
      <c r="F184" s="305" t="s">
        <v>185</v>
      </c>
      <c r="G184" s="371">
        <v>599</v>
      </c>
      <c r="H184" s="444"/>
    </row>
    <row r="185" spans="1:8">
      <c r="A185" s="443" t="s">
        <v>463</v>
      </c>
      <c r="G185" s="360">
        <f>SUM(G184)</f>
        <v>599</v>
      </c>
      <c r="H185" s="444"/>
    </row>
    <row r="186" spans="1:8">
      <c r="A186" s="443"/>
      <c r="G186" s="360"/>
      <c r="H186" s="444"/>
    </row>
    <row r="187" spans="1:8" s="349" customFormat="1">
      <c r="A187" s="351" t="s">
        <v>349</v>
      </c>
      <c r="G187" s="359"/>
      <c r="H187" s="206"/>
    </row>
    <row r="188" spans="1:8" s="349" customFormat="1">
      <c r="B188" s="389">
        <v>43830</v>
      </c>
      <c r="C188" s="305" t="s">
        <v>186</v>
      </c>
      <c r="D188" s="305">
        <v>159</v>
      </c>
      <c r="E188" s="305"/>
      <c r="F188" s="305" t="s">
        <v>697</v>
      </c>
      <c r="G188" s="371">
        <v>20159.28</v>
      </c>
      <c r="H188" s="206"/>
    </row>
    <row r="189" spans="1:8" s="349" customFormat="1">
      <c r="A189" s="351" t="s">
        <v>346</v>
      </c>
      <c r="G189" s="360">
        <f>SUM(G188)</f>
        <v>20159.28</v>
      </c>
      <c r="H189" s="206"/>
    </row>
    <row r="190" spans="1:8" s="407" customFormat="1" ht="15" customHeight="1">
      <c r="A190" s="410"/>
      <c r="G190" s="455"/>
      <c r="H190" s="419"/>
    </row>
    <row r="192" spans="1:8">
      <c r="A192" s="586" t="s">
        <v>627</v>
      </c>
      <c r="B192" s="586"/>
      <c r="C192" s="586"/>
      <c r="D192" s="586"/>
      <c r="E192" s="586"/>
      <c r="F192" s="586"/>
      <c r="G192" s="586"/>
      <c r="H192" s="586"/>
    </row>
  </sheetData>
  <mergeCells count="4">
    <mergeCell ref="A1:H1"/>
    <mergeCell ref="A2:H2"/>
    <mergeCell ref="A3:H3"/>
    <mergeCell ref="A192:H192"/>
  </mergeCells>
  <printOptions horizontalCentered="1" headings="1" gridLines="1"/>
  <pageMargins left="0.17" right="0.17" top="0.25" bottom="0.45" header="0.05" footer="8.5300000000000001E-2"/>
  <pageSetup scale="85" orientation="landscape" r:id="rId1"/>
  <headerFooter>
    <oddFooter>&amp;L&amp;8&amp;Z&amp;F  Page &amp;P of &amp;N &amp;R&amp;8&amp;D  &amp;T</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132</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pageSetUpPr fitToPage="1"/>
  </sheetPr>
  <dimension ref="A1:J95"/>
  <sheetViews>
    <sheetView zoomScaleNormal="100" zoomScaleSheetLayoutView="70" workbookViewId="0">
      <pane xSplit="1" ySplit="5" topLeftCell="B6" activePane="bottomRight" state="frozen"/>
      <selection pane="topRight" activeCell="B1" sqref="B1"/>
      <selection pane="bottomLeft" activeCell="A6" sqref="A6"/>
      <selection pane="bottomRight" activeCell="B6" sqref="B6:B1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9">
        <v>43831</v>
      </c>
      <c r="H1" s="550"/>
      <c r="I1" s="106" t="s">
        <v>49</v>
      </c>
    </row>
    <row r="2" spans="1:9" ht="21">
      <c r="A2" s="37" t="s">
        <v>152</v>
      </c>
      <c r="B2" s="35"/>
      <c r="C2" s="35"/>
      <c r="D2" s="36"/>
      <c r="E2" s="462" t="s">
        <v>53</v>
      </c>
      <c r="F2" s="65"/>
      <c r="G2" s="551"/>
      <c r="H2" s="55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E6+'Dec-2019'!F6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E7+'Dec-2019'!F7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E8+'Dec-2019'!F8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E9+'Dec-2019'!F9</f>
        <v>13730.93</v>
      </c>
      <c r="G9" s="143">
        <v>30000</v>
      </c>
      <c r="H9" s="144">
        <f t="shared" si="2"/>
        <v>16269.07</v>
      </c>
      <c r="I9" s="108">
        <f t="shared" si="1"/>
        <v>0.45769766666666667</v>
      </c>
    </row>
    <row r="10" spans="1:9" s="103" customFormat="1" ht="25.5" customHeight="1">
      <c r="A10" s="138" t="s">
        <v>568</v>
      </c>
      <c r="B10" s="139"/>
      <c r="C10" s="140"/>
      <c r="D10" s="141"/>
      <c r="E10" s="142">
        <f t="shared" si="0"/>
        <v>0</v>
      </c>
      <c r="F10" s="143">
        <f>E10+'Dec-2019'!F10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E11+'Dec-2019'!F11</f>
        <v>13561.630000000001</v>
      </c>
      <c r="G11" s="143">
        <v>36000</v>
      </c>
      <c r="H11" s="144">
        <f t="shared" si="2"/>
        <v>22438.37</v>
      </c>
      <c r="I11" s="108">
        <f t="shared" si="1"/>
        <v>0.37671194444444445</v>
      </c>
    </row>
    <row r="12" spans="1:9" s="103" customFormat="1" ht="25.5" customHeight="1">
      <c r="A12" s="138" t="s">
        <v>363</v>
      </c>
      <c r="B12" s="139"/>
      <c r="C12" s="140"/>
      <c r="D12" s="141"/>
      <c r="E12" s="142">
        <f t="shared" si="0"/>
        <v>0</v>
      </c>
      <c r="F12" s="143">
        <f>E12+'Dec-2019'!F12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f>+'Salaries &amp; Fringe Allocations'!Q291+'Salaries &amp; Fringe Allocations'!Q292+'Salaries &amp; Fringe Allocations'!Q297</f>
        <v>1912.1801314082466</v>
      </c>
      <c r="C18" s="155"/>
      <c r="D18" s="155">
        <f>SUM('Salaries &amp; Fringe Allocations'!Q293:Q296)+'Salaries &amp; Fringe Allocations'!Q298</f>
        <v>3850.5528685917543</v>
      </c>
      <c r="E18" s="156">
        <f>SUM(B18:D18)</f>
        <v>5762.7330000000011</v>
      </c>
      <c r="F18" s="143">
        <f>E18+'Dec-2019'!F18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1912.1801314082466</v>
      </c>
      <c r="C20" s="158">
        <f t="shared" si="5"/>
        <v>0</v>
      </c>
      <c r="D20" s="158">
        <f t="shared" si="5"/>
        <v>3850.5528685917543</v>
      </c>
      <c r="E20" s="159">
        <f t="shared" si="5"/>
        <v>5762.7330000000011</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+'Jan 2020 PL'!$J$190</f>
        <v>348.28</v>
      </c>
      <c r="E23" s="142">
        <f>SUM(B23:D23)</f>
        <v>348.28</v>
      </c>
      <c r="F23" s="143">
        <f>E23+'Dec-2019'!F23</f>
        <v>2232.3199999999997</v>
      </c>
      <c r="G23" s="143">
        <v>4000</v>
      </c>
      <c r="H23" s="144">
        <f>G23-F23</f>
        <v>1767.6800000000003</v>
      </c>
      <c r="I23" s="108">
        <f t="shared" ref="I23:I37" si="6">F23/G23</f>
        <v>0.55807999999999991</v>
      </c>
      <c r="J23" s="102"/>
    </row>
    <row r="24" spans="1:10" s="103" customFormat="1" ht="24" customHeight="1">
      <c r="A24" s="161" t="s">
        <v>0</v>
      </c>
      <c r="B24" s="139">
        <f>+'Jan 2020 PL'!$J$119</f>
        <v>344</v>
      </c>
      <c r="C24" s="140"/>
      <c r="D24" s="141">
        <f>+'Jan 2020 PL'!$J$115</f>
        <v>465.27</v>
      </c>
      <c r="E24" s="142">
        <f t="shared" ref="E24:E35" si="7">SUM(B24:D24)</f>
        <v>809.27</v>
      </c>
      <c r="F24" s="143">
        <f>E24+'Dec-2019'!F24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E25+'Dec-2019'!F25</f>
        <v>0</v>
      </c>
      <c r="G25" s="143">
        <v>2000</v>
      </c>
      <c r="H25" s="144">
        <f t="shared" si="8"/>
        <v>2000</v>
      </c>
      <c r="I25" s="108">
        <f t="shared" si="6"/>
        <v>0</v>
      </c>
      <c r="J25" s="102"/>
    </row>
    <row r="26" spans="1:10" s="103" customFormat="1" ht="24" customHeight="1">
      <c r="A26" s="161" t="s">
        <v>40</v>
      </c>
      <c r="B26" s="139">
        <f>+'Jan 2020 PL'!$J$105+'Jan 2020 PL'!$J$110</f>
        <v>2480</v>
      </c>
      <c r="C26" s="140"/>
      <c r="D26" s="141"/>
      <c r="E26" s="142">
        <f t="shared" si="7"/>
        <v>2480</v>
      </c>
      <c r="F26" s="143">
        <f>E26+'Dec-2019'!F26</f>
        <v>8254.69</v>
      </c>
      <c r="G26" s="143">
        <v>13200</v>
      </c>
      <c r="H26" s="144">
        <f t="shared" si="8"/>
        <v>4945.3099999999995</v>
      </c>
      <c r="I26" s="108">
        <f t="shared" si="6"/>
        <v>0.62535530303030307</v>
      </c>
      <c r="J26" s="102"/>
    </row>
    <row r="27" spans="1:10" s="103" customFormat="1" ht="24" customHeight="1">
      <c r="A27" s="161" t="s">
        <v>41</v>
      </c>
      <c r="B27" s="139">
        <f>+'Jan 2020 PL'!$J$153+'Jan 2020 PL'!$J$164+'Jan 2020 PL'!$J$170</f>
        <v>512</v>
      </c>
      <c r="C27" s="140"/>
      <c r="D27" s="141">
        <f>+'Jan 2020 PL'!$J$147</f>
        <v>648</v>
      </c>
      <c r="E27" s="142">
        <f t="shared" si="7"/>
        <v>1160</v>
      </c>
      <c r="F27" s="143">
        <f>E27+'Dec-2019'!F27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E28+'Dec-2019'!F28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E29+'Dec-2019'!F29</f>
        <v>0</v>
      </c>
      <c r="G29" s="143">
        <v>570</v>
      </c>
      <c r="H29" s="144">
        <f t="shared" si="8"/>
        <v>570</v>
      </c>
      <c r="I29" s="108">
        <f t="shared" si="6"/>
        <v>0</v>
      </c>
      <c r="J29" s="102"/>
    </row>
    <row r="30" spans="1:10" s="103" customFormat="1" ht="24" customHeight="1">
      <c r="A30" s="162" t="s">
        <v>43</v>
      </c>
      <c r="B30" s="139">
        <f>+'Jan 2020 PL'!$J$159</f>
        <v>224</v>
      </c>
      <c r="C30" s="140"/>
      <c r="D30" s="141"/>
      <c r="E30" s="142">
        <f t="shared" si="7"/>
        <v>224</v>
      </c>
      <c r="F30" s="143">
        <f>E30+'Dec-2019'!F30</f>
        <v>2131.9499999999998</v>
      </c>
      <c r="G30" s="143">
        <v>6475</v>
      </c>
      <c r="H30" s="144">
        <f t="shared" si="8"/>
        <v>4343.05</v>
      </c>
      <c r="I30" s="108">
        <f t="shared" si="6"/>
        <v>0.32925868725868723</v>
      </c>
      <c r="J30" s="102"/>
    </row>
    <row r="31" spans="1:10" s="103" customFormat="1" ht="24" customHeight="1">
      <c r="A31" s="162" t="s">
        <v>44</v>
      </c>
      <c r="B31" s="139">
        <f>+'Jan 2020 PL'!$J$42</f>
        <v>2902.81</v>
      </c>
      <c r="C31" s="140"/>
      <c r="D31" s="141"/>
      <c r="E31" s="142">
        <f t="shared" si="7"/>
        <v>2902.81</v>
      </c>
      <c r="F31" s="143">
        <f>E31+'Dec-2019'!F31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E32+'Dec-2019'!F32</f>
        <v>0</v>
      </c>
      <c r="G32" s="143">
        <v>1500</v>
      </c>
      <c r="H32" s="144">
        <f>G32-F32</f>
        <v>1500</v>
      </c>
      <c r="I32" s="108">
        <f t="shared" si="6"/>
        <v>0</v>
      </c>
      <c r="J32" s="102"/>
    </row>
    <row r="33" spans="1:10" s="103" customFormat="1" ht="24" customHeight="1">
      <c r="A33" s="162" t="s">
        <v>45</v>
      </c>
      <c r="B33" s="139">
        <f>+'Jan 2020 PL'!$J$100+'Jan 2020 PL'!$J$142</f>
        <v>453</v>
      </c>
      <c r="C33" s="140"/>
      <c r="D33" s="141"/>
      <c r="E33" s="142">
        <f t="shared" si="7"/>
        <v>453</v>
      </c>
      <c r="F33" s="143">
        <f>E33+'Dec-2019'!F33</f>
        <v>2280.8200000000002</v>
      </c>
      <c r="G33" s="143">
        <v>3000.7</v>
      </c>
      <c r="H33" s="144">
        <f>G33-F33</f>
        <v>719.87999999999965</v>
      </c>
      <c r="I33" s="108">
        <f t="shared" si="6"/>
        <v>0.76009597760522551</v>
      </c>
      <c r="J33" s="102"/>
    </row>
    <row r="34" spans="1:10" s="103" customFormat="1" ht="24" customHeight="1">
      <c r="A34" s="162" t="s">
        <v>77</v>
      </c>
      <c r="B34" s="139">
        <f>+'Jan 2020 PL'!$J$133</f>
        <v>117</v>
      </c>
      <c r="C34" s="140"/>
      <c r="D34" s="141">
        <f>+'Jan 2020 PL'!$J$124+'Jan 2020 PL'!$J$129</f>
        <v>190.82</v>
      </c>
      <c r="E34" s="142">
        <f t="shared" si="7"/>
        <v>307.82</v>
      </c>
      <c r="F34" s="143">
        <f>E34+'Dec-2019'!F34</f>
        <v>1924.62</v>
      </c>
      <c r="G34" s="143">
        <v>3000</v>
      </c>
      <c r="H34" s="144">
        <f t="shared" si="4"/>
        <v>1075.3800000000001</v>
      </c>
      <c r="I34" s="108">
        <f t="shared" si="6"/>
        <v>0.64154</v>
      </c>
      <c r="J34" s="102"/>
    </row>
    <row r="35" spans="1:10" s="103" customFormat="1" ht="24" customHeight="1">
      <c r="A35" s="162" t="s">
        <v>150</v>
      </c>
      <c r="B35" s="139">
        <f>+'Jan 2020 PL'!$J$177</f>
        <v>436</v>
      </c>
      <c r="C35" s="140"/>
      <c r="D35" s="141"/>
      <c r="E35" s="142">
        <f t="shared" si="7"/>
        <v>436</v>
      </c>
      <c r="F35" s="143">
        <f>E35+'Dec-2019'!F35</f>
        <v>3389.7200000000003</v>
      </c>
      <c r="G35" s="143">
        <v>4000</v>
      </c>
      <c r="H35" s="144">
        <f t="shared" si="4"/>
        <v>610.27999999999975</v>
      </c>
      <c r="I35" s="108">
        <f t="shared" si="6"/>
        <v>0.84743000000000002</v>
      </c>
      <c r="J35" s="102"/>
    </row>
    <row r="36" spans="1:10" s="103" customFormat="1" ht="24" customHeight="1">
      <c r="A36" s="162" t="s">
        <v>151</v>
      </c>
      <c r="B36" s="151"/>
      <c r="C36" s="152"/>
      <c r="D36" s="163">
        <f>+'Jan 2020 PL'!$J$138</f>
        <v>0</v>
      </c>
      <c r="E36" s="142">
        <f t="shared" ref="E36" si="9">SUM(B36:D36)</f>
        <v>0</v>
      </c>
      <c r="F36" s="143">
        <f>E36+'Dec-2019'!F36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7468.8099999999995</v>
      </c>
      <c r="C37" s="166">
        <f t="shared" ref="C37:E37" si="12">SUM(C23:C36)</f>
        <v>0</v>
      </c>
      <c r="D37" s="166">
        <f t="shared" si="12"/>
        <v>1652.37</v>
      </c>
      <c r="E37" s="166">
        <f t="shared" si="12"/>
        <v>9121.18</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+'Jan 2020 PL'!$J$23</f>
        <v>114368.25</v>
      </c>
      <c r="D41" s="170"/>
      <c r="E41" s="171">
        <f>SUM(B41:D41)</f>
        <v>114368.25</v>
      </c>
      <c r="F41" s="143">
        <f>E41+'Dec-2019'!F41</f>
        <v>706585.72</v>
      </c>
      <c r="G41" s="144">
        <v>1452829.24</v>
      </c>
      <c r="H41" s="144">
        <f>G41-F41-F42</f>
        <v>744400.45000000007</v>
      </c>
      <c r="I41" s="108">
        <f t="shared" ref="I41:I56" si="13">F41/G41</f>
        <v>0.48635152745136101</v>
      </c>
    </row>
    <row r="42" spans="1:10" s="168" customFormat="1" ht="21.75" customHeight="1">
      <c r="A42" s="138" t="s">
        <v>83</v>
      </c>
      <c r="B42" s="139"/>
      <c r="C42" s="170">
        <f>+'Jan 2020 PL'!$J$30</f>
        <v>-317.56</v>
      </c>
      <c r="D42" s="170"/>
      <c r="E42" s="171">
        <f>SUM(B42:D42)</f>
        <v>-317.56</v>
      </c>
      <c r="F42" s="143">
        <f>+E42+'Dec-2019'!F42</f>
        <v>1843.0700000000002</v>
      </c>
      <c r="G42" s="144"/>
      <c r="H42" s="144"/>
      <c r="I42" s="108"/>
    </row>
    <row r="43" spans="1:10" s="168" customFormat="1" ht="21.75" customHeight="1">
      <c r="A43" s="138" t="s">
        <v>80</v>
      </c>
      <c r="B43" s="139"/>
      <c r="C43" s="170"/>
      <c r="D43" s="170"/>
      <c r="E43" s="171">
        <f t="shared" ref="E43:E47" si="14">SUM(B43:D43)</f>
        <v>0</v>
      </c>
      <c r="F43" s="143">
        <f>E43+'Dec-2019'!F43</f>
        <v>0</v>
      </c>
      <c r="G43" s="144">
        <v>12820</v>
      </c>
      <c r="H43" s="144">
        <f t="shared" ref="H43:H47" si="15">G43-F43</f>
        <v>12820</v>
      </c>
      <c r="I43" s="108">
        <f t="shared" si="13"/>
        <v>0</v>
      </c>
    </row>
    <row r="44" spans="1:10" s="168" customFormat="1" ht="21.75" customHeight="1">
      <c r="A44" s="138" t="s">
        <v>78</v>
      </c>
      <c r="B44" s="139"/>
      <c r="C44" s="170">
        <f>+'Jan 2020 PL'!$J$35</f>
        <v>8769.51</v>
      </c>
      <c r="D44" s="170"/>
      <c r="E44" s="171">
        <f t="shared" si="14"/>
        <v>8769.51</v>
      </c>
      <c r="F44" s="143">
        <f>E44+'Dec-2019'!F44</f>
        <v>51908.58</v>
      </c>
      <c r="G44" s="144">
        <v>111141.44</v>
      </c>
      <c r="H44" s="144">
        <f t="shared" si="15"/>
        <v>59232.86</v>
      </c>
      <c r="I44" s="108">
        <f t="shared" si="13"/>
        <v>0.46704973410457884</v>
      </c>
    </row>
    <row r="45" spans="1:10" s="168" customFormat="1" ht="21.75" customHeight="1">
      <c r="A45" s="138" t="s">
        <v>29</v>
      </c>
      <c r="B45" s="139"/>
      <c r="C45" s="140">
        <f>+'Jan 2020 PL'!$J$38</f>
        <v>3064</v>
      </c>
      <c r="D45" s="140"/>
      <c r="E45" s="172">
        <f t="shared" si="14"/>
        <v>3064</v>
      </c>
      <c r="F45" s="143">
        <f>E45+'Dec-2019'!F45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E46+'Dec-2019'!F46</f>
        <v>0</v>
      </c>
      <c r="G46" s="144">
        <v>8500</v>
      </c>
      <c r="H46" s="144">
        <f t="shared" si="15"/>
        <v>8500</v>
      </c>
      <c r="I46" s="108">
        <f t="shared" si="13"/>
        <v>0</v>
      </c>
    </row>
    <row r="47" spans="1:10" s="168" customFormat="1" ht="21.75" customHeight="1">
      <c r="A47" s="138" t="s">
        <v>168</v>
      </c>
      <c r="B47" s="151"/>
      <c r="C47" s="152"/>
      <c r="D47" s="152"/>
      <c r="E47" s="172">
        <f t="shared" si="14"/>
        <v>0</v>
      </c>
      <c r="F47" s="143">
        <f>E47+'Dec-2019'!F47</f>
        <v>0</v>
      </c>
      <c r="G47" s="74">
        <v>29630</v>
      </c>
      <c r="H47" s="144">
        <f t="shared" si="15"/>
        <v>29630</v>
      </c>
      <c r="I47" s="108">
        <f t="shared" si="13"/>
        <v>0</v>
      </c>
    </row>
    <row r="48" spans="1:10" s="168" customFormat="1" ht="21.75" customHeight="1" thickBot="1">
      <c r="A48" s="117" t="s">
        <v>30</v>
      </c>
      <c r="B48" s="165">
        <f>SUM(B41:B47)</f>
        <v>0</v>
      </c>
      <c r="C48" s="166">
        <f t="shared" ref="C48:E48" si="16">SUM(C41:C47)</f>
        <v>125884.2</v>
      </c>
      <c r="D48" s="166">
        <f t="shared" si="16"/>
        <v>0</v>
      </c>
      <c r="E48" s="166">
        <f t="shared" si="16"/>
        <v>125884.2</v>
      </c>
      <c r="F48" s="75">
        <f>SUM(F41:F47)</f>
        <v>779170.84999999986</v>
      </c>
      <c r="G48" s="75">
        <f>SUM(G41:G47)</f>
        <v>1637294.25</v>
      </c>
      <c r="H48" s="75">
        <f t="shared" ref="H48" si="17">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E50+'Dec-2019'!F50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9380.9901314082454</v>
      </c>
      <c r="C52" s="158">
        <f>C20+C37+C48</f>
        <v>125884.2</v>
      </c>
      <c r="D52" s="158">
        <f>D20+D37+D48</f>
        <v>5502.9228685917542</v>
      </c>
      <c r="E52" s="158">
        <f>E37+E20+E48+E50</f>
        <v>140768.11300000001</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f>+'Jan 2020 PL'!$J$197</f>
        <v>26606.29</v>
      </c>
      <c r="F54" s="143">
        <f>E54+'Dec-2019'!F54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9380.9901314082454</v>
      </c>
      <c r="C56" s="99">
        <f t="shared" si="18"/>
        <v>125884.2</v>
      </c>
      <c r="D56" s="99">
        <f t="shared" si="18"/>
        <v>5502.9228685917542</v>
      </c>
      <c r="E56" s="158">
        <f t="shared" si="18"/>
        <v>167374.40300000002</v>
      </c>
      <c r="F56" s="77">
        <f t="shared" si="18"/>
        <v>1034043.1900308779</v>
      </c>
      <c r="G56" s="77">
        <f t="shared" si="18"/>
        <v>2256075.86</v>
      </c>
      <c r="H56" s="77">
        <f t="shared" si="18"/>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14727.543000000001</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14727.543000000001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K208"/>
  <sheetViews>
    <sheetView topLeftCell="A193" workbookViewId="0">
      <selection activeCell="A197" sqref="A197"/>
    </sheetView>
  </sheetViews>
  <sheetFormatPr defaultRowHeight="14.5"/>
  <cols>
    <col min="1" max="1" width="57.54296875" style="3" customWidth="1"/>
    <col min="2" max="2" width="9.453125" style="3" customWidth="1"/>
    <col min="3" max="3" width="12" style="3" hidden="1" customWidth="1"/>
    <col min="4" max="4" width="12.81640625" style="3" hidden="1" customWidth="1"/>
    <col min="5" max="5" width="31.81640625" style="3" hidden="1" customWidth="1"/>
    <col min="6" max="6" width="16.26953125" style="3" hidden="1" customWidth="1"/>
    <col min="7" max="7" width="14.54296875" style="3" hidden="1" customWidth="1"/>
    <col min="8" max="9" width="10.81640625" style="3" customWidth="1"/>
    <col min="10" max="10" width="11.1796875" style="3" customWidth="1"/>
    <col min="11" max="11" width="8.54296875" style="3" customWidth="1"/>
    <col min="12" max="16384" width="8.7265625" style="3"/>
  </cols>
  <sheetData>
    <row r="1" spans="1:11" ht="18">
      <c r="A1" s="592" t="s">
        <v>277</v>
      </c>
      <c r="B1" s="593"/>
      <c r="C1" s="593"/>
      <c r="D1" s="593"/>
      <c r="E1" s="593"/>
      <c r="F1" s="593"/>
      <c r="G1" s="593"/>
      <c r="H1" s="593"/>
      <c r="I1" s="593"/>
      <c r="J1" s="593"/>
      <c r="K1" s="593"/>
    </row>
    <row r="2" spans="1:11" ht="18">
      <c r="A2" s="592" t="s">
        <v>747</v>
      </c>
      <c r="B2" s="593"/>
      <c r="C2" s="593"/>
      <c r="D2" s="593"/>
      <c r="E2" s="593"/>
      <c r="F2" s="593"/>
      <c r="G2" s="593"/>
      <c r="H2" s="593"/>
      <c r="I2" s="593"/>
      <c r="J2" s="593"/>
      <c r="K2" s="593"/>
    </row>
    <row r="3" spans="1:11">
      <c r="A3" s="594" t="s">
        <v>729</v>
      </c>
      <c r="B3" s="593"/>
      <c r="C3" s="593"/>
      <c r="D3" s="593"/>
      <c r="E3" s="593"/>
      <c r="F3" s="593"/>
      <c r="G3" s="593"/>
      <c r="H3" s="593"/>
      <c r="I3" s="593"/>
      <c r="J3" s="593"/>
      <c r="K3" s="593"/>
    </row>
    <row r="5" spans="1:11" ht="24">
      <c r="B5" s="484" t="s">
        <v>153</v>
      </c>
      <c r="C5" s="484" t="s">
        <v>430</v>
      </c>
      <c r="D5" s="484" t="s">
        <v>274</v>
      </c>
      <c r="E5" s="484" t="s">
        <v>273</v>
      </c>
      <c r="F5" s="484" t="s">
        <v>748</v>
      </c>
      <c r="G5" s="484" t="s">
        <v>749</v>
      </c>
      <c r="H5" s="484" t="s">
        <v>272</v>
      </c>
      <c r="I5" s="484" t="s">
        <v>750</v>
      </c>
      <c r="J5" s="484" t="s">
        <v>271</v>
      </c>
      <c r="K5" s="484" t="s">
        <v>751</v>
      </c>
    </row>
    <row r="6" spans="1:11">
      <c r="A6" s="485" t="s">
        <v>752</v>
      </c>
    </row>
    <row r="7" spans="1:11">
      <c r="A7" s="485" t="s">
        <v>753</v>
      </c>
    </row>
    <row r="8" spans="1:11">
      <c r="A8" s="485" t="s">
        <v>754</v>
      </c>
    </row>
    <row r="9" spans="1:11">
      <c r="A9" s="485" t="s">
        <v>755</v>
      </c>
    </row>
    <row r="10" spans="1:11">
      <c r="A10" s="485" t="s">
        <v>756</v>
      </c>
    </row>
    <row r="11" spans="1:11" ht="31.5">
      <c r="B11" s="486" t="s">
        <v>713</v>
      </c>
      <c r="C11" s="486" t="s">
        <v>186</v>
      </c>
      <c r="D11" s="486">
        <v>187</v>
      </c>
      <c r="E11" s="486"/>
      <c r="F11" s="486"/>
      <c r="G11" s="486" t="s">
        <v>757</v>
      </c>
      <c r="H11" s="486" t="s">
        <v>758</v>
      </c>
      <c r="I11" s="487" t="s">
        <v>759</v>
      </c>
      <c r="J11" s="488">
        <v>51390.42</v>
      </c>
      <c r="K11" s="488">
        <v>51390.42</v>
      </c>
    </row>
    <row r="12" spans="1:11" ht="31.5">
      <c r="B12" s="486" t="s">
        <v>721</v>
      </c>
      <c r="C12" s="486" t="s">
        <v>186</v>
      </c>
      <c r="D12" s="486">
        <v>188</v>
      </c>
      <c r="E12" s="486"/>
      <c r="F12" s="486"/>
      <c r="G12" s="486" t="s">
        <v>757</v>
      </c>
      <c r="H12" s="486" t="s">
        <v>758</v>
      </c>
      <c r="I12" s="487" t="s">
        <v>759</v>
      </c>
      <c r="J12" s="488">
        <v>50</v>
      </c>
      <c r="K12" s="488">
        <v>51440.42</v>
      </c>
    </row>
    <row r="13" spans="1:11" ht="31.5">
      <c r="B13" s="486" t="s">
        <v>721</v>
      </c>
      <c r="C13" s="486" t="s">
        <v>186</v>
      </c>
      <c r="D13" s="486">
        <v>188</v>
      </c>
      <c r="E13" s="486"/>
      <c r="F13" s="486"/>
      <c r="G13" s="486" t="s">
        <v>757</v>
      </c>
      <c r="H13" s="486" t="s">
        <v>758</v>
      </c>
      <c r="I13" s="487" t="s">
        <v>759</v>
      </c>
      <c r="J13" s="488">
        <v>74600.149999999994</v>
      </c>
      <c r="K13" s="488">
        <v>126040.57</v>
      </c>
    </row>
    <row r="14" spans="1:11">
      <c r="A14" s="485" t="s">
        <v>760</v>
      </c>
      <c r="J14" s="489">
        <v>126040.57</v>
      </c>
    </row>
    <row r="15" spans="1:11">
      <c r="A15" s="485" t="s">
        <v>761</v>
      </c>
      <c r="J15" s="489">
        <v>126040.57</v>
      </c>
    </row>
    <row r="16" spans="1:11">
      <c r="A16" s="485" t="s">
        <v>762</v>
      </c>
      <c r="J16" s="489">
        <v>126040.57</v>
      </c>
    </row>
    <row r="17" spans="1:11">
      <c r="A17" s="485" t="s">
        <v>763</v>
      </c>
      <c r="J17" s="489">
        <v>126040.57</v>
      </c>
    </row>
    <row r="18" spans="1:11">
      <c r="A18" s="485" t="s">
        <v>764</v>
      </c>
    </row>
    <row r="19" spans="1:11">
      <c r="A19" s="485" t="s">
        <v>765</v>
      </c>
    </row>
    <row r="20" spans="1:11">
      <c r="A20" s="485" t="s">
        <v>766</v>
      </c>
    </row>
    <row r="21" spans="1:11" ht="41.5">
      <c r="B21" s="486" t="s">
        <v>713</v>
      </c>
      <c r="C21" s="486" t="s">
        <v>186</v>
      </c>
      <c r="D21" s="486">
        <v>187</v>
      </c>
      <c r="E21" s="486"/>
      <c r="F21" s="486"/>
      <c r="G21" s="486" t="s">
        <v>757</v>
      </c>
      <c r="H21" s="486" t="s">
        <v>728</v>
      </c>
      <c r="I21" s="487" t="s">
        <v>759</v>
      </c>
      <c r="J21" s="488">
        <v>47287.5</v>
      </c>
      <c r="K21" s="488">
        <v>47287.5</v>
      </c>
    </row>
    <row r="22" spans="1:11" ht="41.5">
      <c r="B22" s="486" t="s">
        <v>721</v>
      </c>
      <c r="C22" s="486" t="s">
        <v>186</v>
      </c>
      <c r="D22" s="486">
        <v>188</v>
      </c>
      <c r="E22" s="486"/>
      <c r="F22" s="486"/>
      <c r="G22" s="486" t="s">
        <v>757</v>
      </c>
      <c r="H22" s="486" t="s">
        <v>727</v>
      </c>
      <c r="I22" s="487" t="s">
        <v>759</v>
      </c>
      <c r="J22" s="488">
        <v>67080.75</v>
      </c>
      <c r="K22" s="488">
        <v>114368.25</v>
      </c>
    </row>
    <row r="23" spans="1:11">
      <c r="A23" s="485" t="s">
        <v>767</v>
      </c>
      <c r="J23" s="489">
        <v>114368.25</v>
      </c>
    </row>
    <row r="24" spans="1:11">
      <c r="A24" s="485" t="s">
        <v>768</v>
      </c>
    </row>
    <row r="25" spans="1:11" ht="61.5">
      <c r="B25" s="486" t="s">
        <v>716</v>
      </c>
      <c r="C25" s="486" t="s">
        <v>265</v>
      </c>
      <c r="D25" s="486"/>
      <c r="E25" s="486" t="s">
        <v>264</v>
      </c>
      <c r="F25" s="486"/>
      <c r="G25" s="486" t="s">
        <v>757</v>
      </c>
      <c r="H25" s="486" t="s">
        <v>769</v>
      </c>
      <c r="I25" s="486" t="s">
        <v>770</v>
      </c>
      <c r="J25" s="488">
        <v>-317.56</v>
      </c>
      <c r="K25" s="488">
        <v>-317.56</v>
      </c>
    </row>
    <row r="26" spans="1:11" ht="91.5">
      <c r="B26" s="486" t="s">
        <v>713</v>
      </c>
      <c r="C26" s="486" t="s">
        <v>378</v>
      </c>
      <c r="D26" s="486">
        <v>12899</v>
      </c>
      <c r="E26" s="486" t="s">
        <v>489</v>
      </c>
      <c r="F26" s="486"/>
      <c r="G26" s="486" t="s">
        <v>757</v>
      </c>
      <c r="H26" s="486" t="s">
        <v>771</v>
      </c>
      <c r="I26" s="486" t="s">
        <v>770</v>
      </c>
      <c r="J26" s="488">
        <v>241.36</v>
      </c>
      <c r="K26" s="488">
        <v>-76.2</v>
      </c>
    </row>
    <row r="27" spans="1:11" ht="61.5">
      <c r="B27" s="486" t="s">
        <v>712</v>
      </c>
      <c r="C27" s="486" t="s">
        <v>174</v>
      </c>
      <c r="D27" s="486"/>
      <c r="E27" s="486" t="s">
        <v>726</v>
      </c>
      <c r="F27" s="486"/>
      <c r="G27" s="486" t="s">
        <v>757</v>
      </c>
      <c r="H27" s="486" t="s">
        <v>725</v>
      </c>
      <c r="I27" s="486" t="s">
        <v>772</v>
      </c>
      <c r="J27" s="488">
        <v>313.17</v>
      </c>
      <c r="K27" s="488">
        <v>236.97</v>
      </c>
    </row>
    <row r="28" spans="1:11" ht="61.5">
      <c r="B28" s="486" t="s">
        <v>712</v>
      </c>
      <c r="C28" s="486" t="s">
        <v>378</v>
      </c>
      <c r="D28" s="486">
        <v>12940</v>
      </c>
      <c r="E28" s="486" t="s">
        <v>724</v>
      </c>
      <c r="F28" s="486"/>
      <c r="G28" s="486" t="s">
        <v>757</v>
      </c>
      <c r="H28" s="486" t="s">
        <v>723</v>
      </c>
      <c r="I28" s="486" t="s">
        <v>770</v>
      </c>
      <c r="J28" s="488">
        <v>183.69</v>
      </c>
      <c r="K28" s="488">
        <v>420.66</v>
      </c>
    </row>
    <row r="29" spans="1:11" ht="61.5">
      <c r="B29" s="486" t="s">
        <v>722</v>
      </c>
      <c r="C29" s="486" t="s">
        <v>265</v>
      </c>
      <c r="D29" s="486"/>
      <c r="E29" s="486" t="s">
        <v>264</v>
      </c>
      <c r="F29" s="486"/>
      <c r="G29" s="486" t="s">
        <v>757</v>
      </c>
      <c r="H29" s="486" t="s">
        <v>773</v>
      </c>
      <c r="I29" s="486" t="s">
        <v>770</v>
      </c>
      <c r="J29" s="488">
        <v>-738.22</v>
      </c>
      <c r="K29" s="488">
        <v>-317.56</v>
      </c>
    </row>
    <row r="30" spans="1:11">
      <c r="A30" s="485" t="s">
        <v>774</v>
      </c>
      <c r="J30" s="489">
        <v>-317.56</v>
      </c>
    </row>
    <row r="31" spans="1:11">
      <c r="A31" s="485" t="s">
        <v>775</v>
      </c>
      <c r="J31" s="489">
        <v>114050.69</v>
      </c>
    </row>
    <row r="32" spans="1:11">
      <c r="A32" s="485" t="s">
        <v>776</v>
      </c>
    </row>
    <row r="33" spans="1:11" ht="31.5">
      <c r="B33" s="486" t="s">
        <v>713</v>
      </c>
      <c r="C33" s="486" t="s">
        <v>186</v>
      </c>
      <c r="D33" s="486">
        <v>187</v>
      </c>
      <c r="E33" s="486"/>
      <c r="F33" s="486"/>
      <c r="G33" s="486" t="s">
        <v>757</v>
      </c>
      <c r="H33" s="486" t="s">
        <v>675</v>
      </c>
      <c r="I33" s="487" t="s">
        <v>759</v>
      </c>
      <c r="J33" s="488">
        <v>3637.8</v>
      </c>
      <c r="K33" s="488">
        <v>3637.8</v>
      </c>
    </row>
    <row r="34" spans="1:11" ht="31.5">
      <c r="B34" s="486" t="s">
        <v>721</v>
      </c>
      <c r="C34" s="486" t="s">
        <v>186</v>
      </c>
      <c r="D34" s="486">
        <v>188</v>
      </c>
      <c r="E34" s="486"/>
      <c r="F34" s="486"/>
      <c r="G34" s="486" t="s">
        <v>757</v>
      </c>
      <c r="H34" s="486" t="s">
        <v>675</v>
      </c>
      <c r="I34" s="487" t="s">
        <v>759</v>
      </c>
      <c r="J34" s="488">
        <v>5131.71</v>
      </c>
      <c r="K34" s="488">
        <v>8769.51</v>
      </c>
    </row>
    <row r="35" spans="1:11">
      <c r="A35" s="485" t="s">
        <v>777</v>
      </c>
      <c r="J35" s="489">
        <v>8769.51</v>
      </c>
    </row>
    <row r="36" spans="1:11">
      <c r="A36" s="485" t="s">
        <v>778</v>
      </c>
    </row>
    <row r="37" spans="1:11" ht="21.5">
      <c r="B37" s="486" t="s">
        <v>730</v>
      </c>
      <c r="C37" s="486" t="s">
        <v>186</v>
      </c>
      <c r="D37" s="486">
        <v>233</v>
      </c>
      <c r="E37" s="486"/>
      <c r="F37" s="486"/>
      <c r="G37" s="486" t="s">
        <v>757</v>
      </c>
      <c r="H37" s="486" t="s">
        <v>411</v>
      </c>
      <c r="I37" s="487" t="s">
        <v>759</v>
      </c>
      <c r="J37" s="488">
        <v>3064</v>
      </c>
      <c r="K37" s="488">
        <v>3064</v>
      </c>
    </row>
    <row r="38" spans="1:11">
      <c r="A38" s="485" t="s">
        <v>779</v>
      </c>
      <c r="J38" s="489">
        <v>3064</v>
      </c>
    </row>
    <row r="39" spans="1:11">
      <c r="A39" s="485" t="s">
        <v>780</v>
      </c>
    </row>
    <row r="40" spans="1:11" ht="21.5">
      <c r="B40" s="486" t="s">
        <v>713</v>
      </c>
      <c r="C40" s="486" t="s">
        <v>186</v>
      </c>
      <c r="D40" s="486">
        <v>187</v>
      </c>
      <c r="E40" s="486"/>
      <c r="F40" s="486"/>
      <c r="G40" s="486" t="s">
        <v>757</v>
      </c>
      <c r="H40" s="486" t="s">
        <v>415</v>
      </c>
      <c r="I40" s="487" t="s">
        <v>759</v>
      </c>
      <c r="J40" s="488">
        <v>465.12</v>
      </c>
      <c r="K40" s="488">
        <v>465.12</v>
      </c>
    </row>
    <row r="41" spans="1:11" ht="21.5">
      <c r="B41" s="486" t="s">
        <v>721</v>
      </c>
      <c r="C41" s="486" t="s">
        <v>186</v>
      </c>
      <c r="D41" s="486">
        <v>188</v>
      </c>
      <c r="E41" s="486"/>
      <c r="F41" s="486"/>
      <c r="G41" s="486" t="s">
        <v>757</v>
      </c>
      <c r="H41" s="486" t="s">
        <v>415</v>
      </c>
      <c r="I41" s="487" t="s">
        <v>759</v>
      </c>
      <c r="J41" s="488">
        <v>2437.69</v>
      </c>
      <c r="K41" s="488">
        <v>2902.81</v>
      </c>
    </row>
    <row r="42" spans="1:11">
      <c r="A42" s="485" t="s">
        <v>781</v>
      </c>
      <c r="J42" s="489">
        <v>2902.81</v>
      </c>
    </row>
    <row r="43" spans="1:11">
      <c r="A43" s="485" t="s">
        <v>782</v>
      </c>
      <c r="J43" s="489">
        <v>128787.01</v>
      </c>
    </row>
    <row r="44" spans="1:11">
      <c r="A44" s="485" t="s">
        <v>783</v>
      </c>
    </row>
    <row r="45" spans="1:11">
      <c r="A45" s="485" t="s">
        <v>784</v>
      </c>
    </row>
    <row r="46" spans="1:11">
      <c r="A46" s="485" t="s">
        <v>785</v>
      </c>
    </row>
    <row r="47" spans="1:11">
      <c r="B47" s="486" t="s">
        <v>730</v>
      </c>
      <c r="C47" s="486" t="s">
        <v>186</v>
      </c>
      <c r="D47" s="486">
        <v>212</v>
      </c>
      <c r="E47" s="486"/>
      <c r="F47" s="486"/>
      <c r="G47" s="486" t="s">
        <v>757</v>
      </c>
      <c r="H47" s="486"/>
      <c r="I47" s="487" t="s">
        <v>759</v>
      </c>
      <c r="J47" s="488">
        <v>17825</v>
      </c>
      <c r="K47" s="488">
        <v>17825</v>
      </c>
    </row>
    <row r="48" spans="1:11">
      <c r="A48" s="485" t="s">
        <v>786</v>
      </c>
      <c r="J48" s="489">
        <v>17825</v>
      </c>
    </row>
    <row r="49" spans="1:11">
      <c r="A49" s="485" t="s">
        <v>787</v>
      </c>
      <c r="J49" s="489">
        <v>17825</v>
      </c>
    </row>
    <row r="50" spans="1:11">
      <c r="A50" s="485" t="s">
        <v>788</v>
      </c>
    </row>
    <row r="51" spans="1:11">
      <c r="A51" s="485" t="s">
        <v>789</v>
      </c>
    </row>
    <row r="52" spans="1:11" ht="51.5">
      <c r="B52" s="486" t="s">
        <v>708</v>
      </c>
      <c r="C52" s="486" t="s">
        <v>174</v>
      </c>
      <c r="D52" s="486">
        <v>293105697</v>
      </c>
      <c r="E52" s="486" t="s">
        <v>480</v>
      </c>
      <c r="F52" s="486"/>
      <c r="G52" s="486" t="s">
        <v>757</v>
      </c>
      <c r="H52" s="486" t="s">
        <v>720</v>
      </c>
      <c r="I52" s="486" t="s">
        <v>772</v>
      </c>
      <c r="J52" s="488">
        <v>3581.26</v>
      </c>
      <c r="K52" s="488">
        <v>3581.26</v>
      </c>
    </row>
    <row r="53" spans="1:11">
      <c r="A53" s="485" t="s">
        <v>790</v>
      </c>
      <c r="J53" s="489">
        <v>3581.26</v>
      </c>
    </row>
    <row r="54" spans="1:11">
      <c r="A54" s="485" t="s">
        <v>791</v>
      </c>
    </row>
    <row r="55" spans="1:11" ht="21.5">
      <c r="B55" s="486" t="s">
        <v>708</v>
      </c>
      <c r="C55" s="486" t="s">
        <v>174</v>
      </c>
      <c r="D55" s="486" t="s">
        <v>719</v>
      </c>
      <c r="E55" s="486" t="s">
        <v>243</v>
      </c>
      <c r="F55" s="486"/>
      <c r="G55" s="486" t="s">
        <v>757</v>
      </c>
      <c r="H55" s="486" t="s">
        <v>564</v>
      </c>
      <c r="I55" s="486" t="s">
        <v>772</v>
      </c>
      <c r="J55" s="488">
        <v>235.2</v>
      </c>
      <c r="K55" s="488">
        <v>235.2</v>
      </c>
    </row>
    <row r="56" spans="1:11">
      <c r="A56" s="485" t="s">
        <v>792</v>
      </c>
      <c r="J56" s="489">
        <v>235.2</v>
      </c>
    </row>
    <row r="57" spans="1:11">
      <c r="A57" s="485" t="s">
        <v>793</v>
      </c>
    </row>
    <row r="58" spans="1:11" ht="21.5">
      <c r="B58" s="486" t="s">
        <v>730</v>
      </c>
      <c r="C58" s="486" t="s">
        <v>186</v>
      </c>
      <c r="D58" s="486">
        <v>213</v>
      </c>
      <c r="E58" s="486"/>
      <c r="F58" s="486"/>
      <c r="G58" s="486" t="s">
        <v>757</v>
      </c>
      <c r="H58" s="486" t="s">
        <v>669</v>
      </c>
      <c r="I58" s="487" t="s">
        <v>759</v>
      </c>
      <c r="J58" s="488">
        <v>-661.17</v>
      </c>
      <c r="K58" s="488">
        <v>-661.17</v>
      </c>
    </row>
    <row r="59" spans="1:11">
      <c r="A59" s="485" t="s">
        <v>794</v>
      </c>
      <c r="J59" s="489">
        <v>-661.17</v>
      </c>
    </row>
    <row r="60" spans="1:11">
      <c r="A60" s="485" t="s">
        <v>795</v>
      </c>
    </row>
    <row r="61" spans="1:11" ht="21.5">
      <c r="B61" s="486" t="s">
        <v>730</v>
      </c>
      <c r="C61" s="486" t="s">
        <v>186</v>
      </c>
      <c r="D61" s="486">
        <v>214</v>
      </c>
      <c r="E61" s="486"/>
      <c r="F61" s="486"/>
      <c r="G61" s="486" t="s">
        <v>757</v>
      </c>
      <c r="H61" s="486" t="s">
        <v>237</v>
      </c>
      <c r="I61" s="487" t="s">
        <v>759</v>
      </c>
      <c r="J61" s="488">
        <v>-43.56</v>
      </c>
      <c r="K61" s="488">
        <v>-43.56</v>
      </c>
    </row>
    <row r="62" spans="1:11">
      <c r="A62" s="485" t="s">
        <v>796</v>
      </c>
      <c r="J62" s="489">
        <v>-43.56</v>
      </c>
    </row>
    <row r="63" spans="1:11">
      <c r="A63" s="485" t="s">
        <v>797</v>
      </c>
      <c r="J63" s="489">
        <v>3111.73</v>
      </c>
    </row>
    <row r="64" spans="1:11">
      <c r="A64" s="485" t="s">
        <v>798</v>
      </c>
    </row>
    <row r="65" spans="1:11">
      <c r="A65" s="485" t="s">
        <v>799</v>
      </c>
    </row>
    <row r="66" spans="1:11">
      <c r="A66" s="485" t="s">
        <v>800</v>
      </c>
    </row>
    <row r="67" spans="1:11" ht="21.5">
      <c r="B67" s="486" t="s">
        <v>730</v>
      </c>
      <c r="C67" s="486" t="s">
        <v>186</v>
      </c>
      <c r="D67" s="486">
        <v>233</v>
      </c>
      <c r="E67" s="486"/>
      <c r="F67" s="486"/>
      <c r="G67" s="486" t="s">
        <v>757</v>
      </c>
      <c r="H67" s="486" t="s">
        <v>411</v>
      </c>
      <c r="I67" s="487" t="s">
        <v>759</v>
      </c>
      <c r="J67" s="488">
        <v>479</v>
      </c>
      <c r="K67" s="488">
        <v>479</v>
      </c>
    </row>
    <row r="68" spans="1:11">
      <c r="A68" s="485" t="s">
        <v>801</v>
      </c>
      <c r="J68" s="489">
        <v>479</v>
      </c>
    </row>
    <row r="69" spans="1:11">
      <c r="A69" s="485" t="s">
        <v>802</v>
      </c>
      <c r="J69" s="489">
        <v>479</v>
      </c>
    </row>
    <row r="70" spans="1:11">
      <c r="A70" s="485" t="s">
        <v>803</v>
      </c>
    </row>
    <row r="71" spans="1:11">
      <c r="B71" s="486" t="s">
        <v>722</v>
      </c>
      <c r="C71" s="486" t="s">
        <v>186</v>
      </c>
      <c r="D71" s="486">
        <v>229</v>
      </c>
      <c r="E71" s="486"/>
      <c r="F71" s="486"/>
      <c r="G71" s="486" t="s">
        <v>757</v>
      </c>
      <c r="H71" s="486" t="s">
        <v>231</v>
      </c>
      <c r="I71" s="487" t="s">
        <v>759</v>
      </c>
      <c r="J71" s="488">
        <v>0</v>
      </c>
      <c r="K71" s="488">
        <v>0</v>
      </c>
    </row>
    <row r="72" spans="1:11">
      <c r="B72" s="486" t="s">
        <v>722</v>
      </c>
      <c r="C72" s="486" t="s">
        <v>186</v>
      </c>
      <c r="D72" s="486">
        <v>229</v>
      </c>
      <c r="E72" s="486"/>
      <c r="F72" s="486"/>
      <c r="G72" s="486" t="s">
        <v>757</v>
      </c>
      <c r="H72" s="486" t="s">
        <v>231</v>
      </c>
      <c r="I72" s="487" t="s">
        <v>759</v>
      </c>
      <c r="J72" s="488">
        <v>1075</v>
      </c>
      <c r="K72" s="488">
        <v>1075</v>
      </c>
    </row>
    <row r="73" spans="1:11">
      <c r="A73" s="485" t="s">
        <v>804</v>
      </c>
      <c r="J73" s="489">
        <v>1075</v>
      </c>
    </row>
    <row r="74" spans="1:11">
      <c r="A74" s="485" t="s">
        <v>805</v>
      </c>
    </row>
    <row r="75" spans="1:11">
      <c r="B75" s="486" t="s">
        <v>722</v>
      </c>
      <c r="C75" s="486" t="s">
        <v>186</v>
      </c>
      <c r="D75" s="486">
        <v>230</v>
      </c>
      <c r="E75" s="486"/>
      <c r="F75" s="486"/>
      <c r="G75" s="486" t="s">
        <v>757</v>
      </c>
      <c r="H75" s="486" t="s">
        <v>228</v>
      </c>
      <c r="I75" s="487" t="s">
        <v>759</v>
      </c>
      <c r="J75" s="488">
        <v>251</v>
      </c>
      <c r="K75" s="488">
        <v>251</v>
      </c>
    </row>
    <row r="76" spans="1:11">
      <c r="B76" s="486" t="s">
        <v>722</v>
      </c>
      <c r="C76" s="486" t="s">
        <v>186</v>
      </c>
      <c r="D76" s="486">
        <v>230</v>
      </c>
      <c r="E76" s="486"/>
      <c r="F76" s="486"/>
      <c r="G76" s="486" t="s">
        <v>757</v>
      </c>
      <c r="H76" s="486" t="s">
        <v>228</v>
      </c>
      <c r="I76" s="487" t="s">
        <v>759</v>
      </c>
      <c r="J76" s="488">
        <v>0</v>
      </c>
      <c r="K76" s="488">
        <v>251</v>
      </c>
    </row>
    <row r="77" spans="1:11">
      <c r="A77" s="485" t="s">
        <v>806</v>
      </c>
      <c r="J77" s="489">
        <v>251</v>
      </c>
    </row>
    <row r="78" spans="1:11">
      <c r="A78" s="485" t="s">
        <v>807</v>
      </c>
    </row>
    <row r="79" spans="1:11">
      <c r="B79" s="486" t="s">
        <v>730</v>
      </c>
      <c r="C79" s="486" t="s">
        <v>186</v>
      </c>
      <c r="D79" s="486">
        <v>232</v>
      </c>
      <c r="E79" s="486"/>
      <c r="F79" s="486"/>
      <c r="G79" s="486" t="s">
        <v>757</v>
      </c>
      <c r="H79" s="486" t="s">
        <v>225</v>
      </c>
      <c r="I79" s="487" t="s">
        <v>759</v>
      </c>
      <c r="J79" s="488">
        <v>0</v>
      </c>
      <c r="K79" s="488">
        <v>0</v>
      </c>
    </row>
    <row r="80" spans="1:11">
      <c r="B80" s="486" t="s">
        <v>730</v>
      </c>
      <c r="C80" s="486" t="s">
        <v>186</v>
      </c>
      <c r="D80" s="486">
        <v>232</v>
      </c>
      <c r="E80" s="486"/>
      <c r="F80" s="486"/>
      <c r="G80" s="486" t="s">
        <v>757</v>
      </c>
      <c r="H80" s="486" t="s">
        <v>225</v>
      </c>
      <c r="I80" s="487" t="s">
        <v>759</v>
      </c>
      <c r="J80" s="488">
        <v>499</v>
      </c>
      <c r="K80" s="488">
        <v>499</v>
      </c>
    </row>
    <row r="81" spans="1:11">
      <c r="A81" s="485" t="s">
        <v>808</v>
      </c>
      <c r="J81" s="489">
        <v>499</v>
      </c>
    </row>
    <row r="82" spans="1:11">
      <c r="A82" s="485" t="s">
        <v>809</v>
      </c>
    </row>
    <row r="83" spans="1:11">
      <c r="B83" s="486" t="s">
        <v>722</v>
      </c>
      <c r="C83" s="486" t="s">
        <v>186</v>
      </c>
      <c r="D83" s="486">
        <v>228</v>
      </c>
      <c r="E83" s="486"/>
      <c r="F83" s="486"/>
      <c r="G83" s="486" t="s">
        <v>757</v>
      </c>
      <c r="H83" s="486" t="s">
        <v>222</v>
      </c>
      <c r="I83" s="487" t="s">
        <v>759</v>
      </c>
      <c r="J83" s="488">
        <v>0</v>
      </c>
      <c r="K83" s="488">
        <v>0</v>
      </c>
    </row>
    <row r="84" spans="1:11">
      <c r="B84" s="486" t="s">
        <v>722</v>
      </c>
      <c r="C84" s="486" t="s">
        <v>186</v>
      </c>
      <c r="D84" s="486">
        <v>228</v>
      </c>
      <c r="E84" s="486"/>
      <c r="F84" s="486"/>
      <c r="G84" s="486" t="s">
        <v>757</v>
      </c>
      <c r="H84" s="486" t="s">
        <v>222</v>
      </c>
      <c r="I84" s="487" t="s">
        <v>759</v>
      </c>
      <c r="J84" s="488">
        <v>98</v>
      </c>
      <c r="K84" s="488">
        <v>98</v>
      </c>
    </row>
    <row r="85" spans="1:11">
      <c r="A85" s="485" t="s">
        <v>810</v>
      </c>
      <c r="J85" s="489">
        <v>98</v>
      </c>
    </row>
    <row r="86" spans="1:11">
      <c r="A86" s="485" t="s">
        <v>811</v>
      </c>
      <c r="J86" s="489">
        <v>2402</v>
      </c>
    </row>
    <row r="87" spans="1:11">
      <c r="A87" s="485" t="s">
        <v>812</v>
      </c>
    </row>
    <row r="88" spans="1:11">
      <c r="A88" s="485" t="s">
        <v>813</v>
      </c>
    </row>
    <row r="89" spans="1:11">
      <c r="B89" s="486" t="s">
        <v>722</v>
      </c>
      <c r="C89" s="486" t="s">
        <v>186</v>
      </c>
      <c r="D89" s="486">
        <v>231</v>
      </c>
      <c r="E89" s="486"/>
      <c r="F89" s="486"/>
      <c r="G89" s="486" t="s">
        <v>757</v>
      </c>
      <c r="H89" s="486" t="s">
        <v>219</v>
      </c>
      <c r="I89" s="487" t="s">
        <v>759</v>
      </c>
      <c r="J89" s="488">
        <v>0</v>
      </c>
      <c r="K89" s="488">
        <v>0</v>
      </c>
    </row>
    <row r="90" spans="1:11">
      <c r="B90" s="486" t="s">
        <v>722</v>
      </c>
      <c r="C90" s="486" t="s">
        <v>186</v>
      </c>
      <c r="D90" s="486">
        <v>231</v>
      </c>
      <c r="E90" s="486"/>
      <c r="F90" s="486"/>
      <c r="G90" s="486" t="s">
        <v>757</v>
      </c>
      <c r="H90" s="486" t="s">
        <v>219</v>
      </c>
      <c r="I90" s="487" t="s">
        <v>759</v>
      </c>
      <c r="J90" s="488">
        <v>249</v>
      </c>
      <c r="K90" s="488">
        <v>249</v>
      </c>
    </row>
    <row r="91" spans="1:11">
      <c r="A91" s="485" t="s">
        <v>814</v>
      </c>
      <c r="J91" s="489">
        <v>249</v>
      </c>
    </row>
    <row r="92" spans="1:11">
      <c r="A92" s="485" t="s">
        <v>815</v>
      </c>
      <c r="J92" s="489">
        <v>249</v>
      </c>
    </row>
    <row r="93" spans="1:11">
      <c r="A93" s="485" t="s">
        <v>816</v>
      </c>
      <c r="J93" s="489">
        <v>23587.73</v>
      </c>
    </row>
    <row r="94" spans="1:11">
      <c r="A94" s="485" t="s">
        <v>817</v>
      </c>
    </row>
    <row r="95" spans="1:11">
      <c r="A95" s="485" t="s">
        <v>818</v>
      </c>
    </row>
    <row r="96" spans="1:11">
      <c r="A96" s="485" t="s">
        <v>819</v>
      </c>
    </row>
    <row r="97" spans="1:11">
      <c r="B97" s="486" t="s">
        <v>730</v>
      </c>
      <c r="C97" s="486" t="s">
        <v>186</v>
      </c>
      <c r="D97" s="486">
        <v>235</v>
      </c>
      <c r="E97" s="486"/>
      <c r="F97" s="486"/>
      <c r="G97" s="486" t="s">
        <v>757</v>
      </c>
      <c r="H97" s="486" t="s">
        <v>216</v>
      </c>
      <c r="I97" s="487" t="s">
        <v>759</v>
      </c>
      <c r="J97" s="488">
        <v>334</v>
      </c>
      <c r="K97" s="488">
        <v>334</v>
      </c>
    </row>
    <row r="98" spans="1:11">
      <c r="B98" s="486" t="s">
        <v>730</v>
      </c>
      <c r="C98" s="486" t="s">
        <v>186</v>
      </c>
      <c r="D98" s="486">
        <v>235</v>
      </c>
      <c r="E98" s="486"/>
      <c r="F98" s="486"/>
      <c r="G98" s="486" t="s">
        <v>757</v>
      </c>
      <c r="H98" s="486" t="s">
        <v>216</v>
      </c>
      <c r="I98" s="487" t="s">
        <v>759</v>
      </c>
      <c r="J98" s="488">
        <v>84</v>
      </c>
      <c r="K98" s="488">
        <v>418</v>
      </c>
    </row>
    <row r="99" spans="1:11">
      <c r="A99" s="485" t="s">
        <v>820</v>
      </c>
      <c r="J99" s="489">
        <v>418</v>
      </c>
    </row>
    <row r="100" spans="1:11">
      <c r="A100" s="485" t="s">
        <v>821</v>
      </c>
      <c r="J100" s="489">
        <v>418</v>
      </c>
    </row>
    <row r="101" spans="1:11">
      <c r="A101" s="485" t="s">
        <v>822</v>
      </c>
    </row>
    <row r="102" spans="1:11">
      <c r="A102" s="485" t="s">
        <v>823</v>
      </c>
    </row>
    <row r="103" spans="1:11">
      <c r="B103" s="486" t="s">
        <v>730</v>
      </c>
      <c r="C103" s="486" t="s">
        <v>186</v>
      </c>
      <c r="D103" s="486">
        <v>234</v>
      </c>
      <c r="E103" s="486"/>
      <c r="F103" s="486"/>
      <c r="G103" s="486" t="s">
        <v>757</v>
      </c>
      <c r="H103" s="486" t="s">
        <v>731</v>
      </c>
      <c r="I103" s="487" t="s">
        <v>759</v>
      </c>
      <c r="J103" s="488">
        <v>136</v>
      </c>
      <c r="K103" s="488">
        <v>136</v>
      </c>
    </row>
    <row r="104" spans="1:11">
      <c r="B104" s="486" t="s">
        <v>730</v>
      </c>
      <c r="C104" s="486" t="s">
        <v>186</v>
      </c>
      <c r="D104" s="486">
        <v>234</v>
      </c>
      <c r="E104" s="486"/>
      <c r="F104" s="486"/>
      <c r="G104" s="486" t="s">
        <v>757</v>
      </c>
      <c r="H104" s="486" t="s">
        <v>731</v>
      </c>
      <c r="I104" s="487" t="s">
        <v>759</v>
      </c>
      <c r="J104" s="488">
        <v>544</v>
      </c>
      <c r="K104" s="488">
        <v>680</v>
      </c>
    </row>
    <row r="105" spans="1:11">
      <c r="A105" s="485" t="s">
        <v>824</v>
      </c>
      <c r="J105" s="489">
        <v>680</v>
      </c>
    </row>
    <row r="106" spans="1:11">
      <c r="A106" s="485" t="s">
        <v>825</v>
      </c>
      <c r="J106" s="489">
        <v>680</v>
      </c>
    </row>
    <row r="107" spans="1:11">
      <c r="A107" s="485" t="s">
        <v>826</v>
      </c>
    </row>
    <row r="108" spans="1:11" ht="41.5">
      <c r="B108" s="486" t="s">
        <v>712</v>
      </c>
      <c r="C108" s="486" t="s">
        <v>174</v>
      </c>
      <c r="D108" s="486" t="s">
        <v>718</v>
      </c>
      <c r="E108" s="486" t="s">
        <v>662</v>
      </c>
      <c r="F108" s="486" t="s">
        <v>827</v>
      </c>
      <c r="G108" s="486" t="s">
        <v>757</v>
      </c>
      <c r="H108" s="486" t="s">
        <v>717</v>
      </c>
      <c r="I108" s="486" t="s">
        <v>772</v>
      </c>
      <c r="J108" s="488">
        <v>900</v>
      </c>
      <c r="K108" s="488">
        <v>900</v>
      </c>
    </row>
    <row r="109" spans="1:11" ht="41.5">
      <c r="B109" s="486" t="s">
        <v>730</v>
      </c>
      <c r="C109" s="486" t="s">
        <v>174</v>
      </c>
      <c r="D109" s="486" t="s">
        <v>828</v>
      </c>
      <c r="E109" s="486" t="s">
        <v>662</v>
      </c>
      <c r="F109" s="486" t="s">
        <v>827</v>
      </c>
      <c r="G109" s="486" t="s">
        <v>757</v>
      </c>
      <c r="H109" s="486" t="s">
        <v>743</v>
      </c>
      <c r="I109" s="486" t="s">
        <v>772</v>
      </c>
      <c r="J109" s="488">
        <v>900</v>
      </c>
      <c r="K109" s="488">
        <v>1800</v>
      </c>
    </row>
    <row r="110" spans="1:11">
      <c r="A110" s="485" t="s">
        <v>829</v>
      </c>
      <c r="J110" s="489">
        <v>1800</v>
      </c>
    </row>
    <row r="111" spans="1:11">
      <c r="A111" s="485" t="s">
        <v>830</v>
      </c>
      <c r="J111" s="489">
        <v>2898</v>
      </c>
    </row>
    <row r="112" spans="1:11">
      <c r="A112" s="485" t="s">
        <v>831</v>
      </c>
    </row>
    <row r="113" spans="1:11">
      <c r="A113" s="485" t="s">
        <v>832</v>
      </c>
    </row>
    <row r="114" spans="1:11" ht="21.5">
      <c r="B114" s="486" t="s">
        <v>716</v>
      </c>
      <c r="C114" s="486" t="s">
        <v>174</v>
      </c>
      <c r="D114" s="486" t="s">
        <v>715</v>
      </c>
      <c r="E114" s="486" t="s">
        <v>397</v>
      </c>
      <c r="F114" s="486" t="s">
        <v>833</v>
      </c>
      <c r="G114" s="486" t="s">
        <v>757</v>
      </c>
      <c r="H114" s="486" t="s">
        <v>602</v>
      </c>
      <c r="I114" s="486" t="s">
        <v>772</v>
      </c>
      <c r="J114" s="488">
        <v>465.27</v>
      </c>
      <c r="K114" s="488">
        <v>465.27</v>
      </c>
    </row>
    <row r="115" spans="1:11">
      <c r="A115" s="485" t="s">
        <v>834</v>
      </c>
      <c r="J115" s="489">
        <v>465.27</v>
      </c>
    </row>
    <row r="116" spans="1:11">
      <c r="A116" s="485" t="s">
        <v>835</v>
      </c>
    </row>
    <row r="117" spans="1:11">
      <c r="B117" s="486" t="s">
        <v>730</v>
      </c>
      <c r="C117" s="486" t="s">
        <v>186</v>
      </c>
      <c r="D117" s="486">
        <v>237</v>
      </c>
      <c r="E117" s="486"/>
      <c r="F117" s="486"/>
      <c r="G117" s="486" t="s">
        <v>757</v>
      </c>
      <c r="H117" s="486" t="s">
        <v>212</v>
      </c>
      <c r="I117" s="487" t="s">
        <v>759</v>
      </c>
      <c r="J117" s="488">
        <v>275</v>
      </c>
      <c r="K117" s="488">
        <v>275</v>
      </c>
    </row>
    <row r="118" spans="1:11">
      <c r="B118" s="486" t="s">
        <v>730</v>
      </c>
      <c r="C118" s="486" t="s">
        <v>186</v>
      </c>
      <c r="D118" s="486">
        <v>237</v>
      </c>
      <c r="E118" s="486"/>
      <c r="F118" s="486"/>
      <c r="G118" s="486" t="s">
        <v>757</v>
      </c>
      <c r="H118" s="486" t="s">
        <v>212</v>
      </c>
      <c r="I118" s="487" t="s">
        <v>759</v>
      </c>
      <c r="J118" s="488">
        <v>69</v>
      </c>
      <c r="K118" s="488">
        <v>344</v>
      </c>
    </row>
    <row r="119" spans="1:11">
      <c r="A119" s="485" t="s">
        <v>836</v>
      </c>
      <c r="J119" s="489">
        <v>344</v>
      </c>
    </row>
    <row r="120" spans="1:11">
      <c r="A120" s="485" t="s">
        <v>837</v>
      </c>
      <c r="J120" s="489">
        <v>809.27</v>
      </c>
    </row>
    <row r="121" spans="1:11">
      <c r="A121" s="485" t="s">
        <v>838</v>
      </c>
    </row>
    <row r="122" spans="1:11">
      <c r="A122" s="485" t="s">
        <v>839</v>
      </c>
    </row>
    <row r="123" spans="1:11" ht="21.5">
      <c r="B123" s="486" t="s">
        <v>713</v>
      </c>
      <c r="C123" s="486" t="s">
        <v>174</v>
      </c>
      <c r="D123" s="486" t="s">
        <v>714</v>
      </c>
      <c r="E123" s="486" t="s">
        <v>433</v>
      </c>
      <c r="F123" s="486"/>
      <c r="G123" s="486" t="s">
        <v>757</v>
      </c>
      <c r="H123" s="486" t="s">
        <v>541</v>
      </c>
      <c r="I123" s="486" t="s">
        <v>772</v>
      </c>
      <c r="J123" s="488">
        <v>135.02000000000001</v>
      </c>
      <c r="K123" s="488">
        <v>135.02000000000001</v>
      </c>
    </row>
    <row r="124" spans="1:11">
      <c r="A124" s="485" t="s">
        <v>840</v>
      </c>
      <c r="J124" s="489">
        <v>135.02000000000001</v>
      </c>
    </row>
    <row r="125" spans="1:11">
      <c r="A125" s="485" t="s">
        <v>841</v>
      </c>
    </row>
    <row r="126" spans="1:11" ht="31.5">
      <c r="B126" s="486" t="s">
        <v>713</v>
      </c>
      <c r="C126" s="486" t="s">
        <v>533</v>
      </c>
      <c r="D126" s="486"/>
      <c r="E126" s="486" t="s">
        <v>537</v>
      </c>
      <c r="F126" s="486"/>
      <c r="G126" s="486" t="s">
        <v>757</v>
      </c>
      <c r="H126" s="486" t="s">
        <v>710</v>
      </c>
      <c r="I126" s="486" t="s">
        <v>842</v>
      </c>
      <c r="J126" s="488">
        <v>16.95</v>
      </c>
      <c r="K126" s="488">
        <v>16.95</v>
      </c>
    </row>
    <row r="127" spans="1:11" ht="31.5">
      <c r="B127" s="486" t="s">
        <v>712</v>
      </c>
      <c r="C127" s="486" t="s">
        <v>533</v>
      </c>
      <c r="D127" s="486"/>
      <c r="E127" s="486" t="s">
        <v>537</v>
      </c>
      <c r="F127" s="486"/>
      <c r="G127" s="486" t="s">
        <v>757</v>
      </c>
      <c r="H127" s="486" t="s">
        <v>710</v>
      </c>
      <c r="I127" s="486" t="s">
        <v>842</v>
      </c>
      <c r="J127" s="488">
        <v>16.95</v>
      </c>
      <c r="K127" s="488">
        <v>33.9</v>
      </c>
    </row>
    <row r="128" spans="1:11" ht="31.5">
      <c r="B128" s="486" t="s">
        <v>711</v>
      </c>
      <c r="C128" s="486" t="s">
        <v>533</v>
      </c>
      <c r="D128" s="486"/>
      <c r="E128" s="486" t="s">
        <v>537</v>
      </c>
      <c r="F128" s="486"/>
      <c r="G128" s="486" t="s">
        <v>757</v>
      </c>
      <c r="H128" s="486" t="s">
        <v>710</v>
      </c>
      <c r="I128" s="486" t="s">
        <v>842</v>
      </c>
      <c r="J128" s="488">
        <v>21.9</v>
      </c>
      <c r="K128" s="488">
        <v>55.8</v>
      </c>
    </row>
    <row r="129" spans="1:11">
      <c r="A129" s="485" t="s">
        <v>843</v>
      </c>
      <c r="J129" s="489">
        <v>55.8</v>
      </c>
    </row>
    <row r="130" spans="1:11">
      <c r="A130" s="485" t="s">
        <v>844</v>
      </c>
    </row>
    <row r="131" spans="1:11">
      <c r="B131" s="486" t="s">
        <v>730</v>
      </c>
      <c r="C131" s="486" t="s">
        <v>186</v>
      </c>
      <c r="D131" s="486">
        <v>238</v>
      </c>
      <c r="E131" s="486"/>
      <c r="F131" s="486"/>
      <c r="G131" s="486" t="s">
        <v>757</v>
      </c>
      <c r="H131" s="486" t="s">
        <v>205</v>
      </c>
      <c r="I131" s="487" t="s">
        <v>759</v>
      </c>
      <c r="J131" s="488">
        <v>0</v>
      </c>
      <c r="K131" s="488">
        <v>0</v>
      </c>
    </row>
    <row r="132" spans="1:11">
      <c r="B132" s="486" t="s">
        <v>730</v>
      </c>
      <c r="C132" s="486" t="s">
        <v>186</v>
      </c>
      <c r="D132" s="486">
        <v>238</v>
      </c>
      <c r="E132" s="486"/>
      <c r="F132" s="486"/>
      <c r="G132" s="486" t="s">
        <v>757</v>
      </c>
      <c r="H132" s="486" t="s">
        <v>205</v>
      </c>
      <c r="I132" s="487" t="s">
        <v>759</v>
      </c>
      <c r="J132" s="488">
        <v>117</v>
      </c>
      <c r="K132" s="488">
        <v>117</v>
      </c>
    </row>
    <row r="133" spans="1:11">
      <c r="A133" s="485" t="s">
        <v>845</v>
      </c>
      <c r="J133" s="489">
        <v>117</v>
      </c>
    </row>
    <row r="134" spans="1:11">
      <c r="A134" s="485" t="s">
        <v>846</v>
      </c>
      <c r="J134" s="489">
        <v>307.82</v>
      </c>
    </row>
    <row r="135" spans="1:11">
      <c r="A135" s="485" t="s">
        <v>847</v>
      </c>
    </row>
    <row r="136" spans="1:11">
      <c r="B136" s="486" t="s">
        <v>730</v>
      </c>
      <c r="C136" s="486" t="s">
        <v>186</v>
      </c>
      <c r="D136" s="486">
        <v>236</v>
      </c>
      <c r="E136" s="486"/>
      <c r="F136" s="486"/>
      <c r="G136" s="486" t="s">
        <v>757</v>
      </c>
      <c r="H136" s="486" t="s">
        <v>151</v>
      </c>
      <c r="I136" s="487" t="s">
        <v>759</v>
      </c>
      <c r="J136" s="488">
        <v>0</v>
      </c>
      <c r="K136" s="488">
        <v>0</v>
      </c>
    </row>
    <row r="137" spans="1:11">
      <c r="B137" s="486" t="s">
        <v>730</v>
      </c>
      <c r="C137" s="486" t="s">
        <v>186</v>
      </c>
      <c r="D137" s="486">
        <v>236</v>
      </c>
      <c r="E137" s="486"/>
      <c r="F137" s="486"/>
      <c r="G137" s="486" t="s">
        <v>757</v>
      </c>
      <c r="H137" s="486" t="s">
        <v>151</v>
      </c>
      <c r="I137" s="487" t="s">
        <v>759</v>
      </c>
      <c r="J137" s="488">
        <v>0</v>
      </c>
      <c r="K137" s="488">
        <v>0</v>
      </c>
    </row>
    <row r="138" spans="1:11">
      <c r="A138" s="485" t="s">
        <v>848</v>
      </c>
      <c r="J138" s="489">
        <v>0</v>
      </c>
    </row>
    <row r="139" spans="1:11">
      <c r="A139" s="485" t="s">
        <v>849</v>
      </c>
    </row>
    <row r="140" spans="1:11">
      <c r="B140" s="486" t="s">
        <v>730</v>
      </c>
      <c r="C140" s="486" t="s">
        <v>186</v>
      </c>
      <c r="D140" s="486">
        <v>239</v>
      </c>
      <c r="E140" s="486"/>
      <c r="F140" s="486"/>
      <c r="G140" s="486" t="s">
        <v>757</v>
      </c>
      <c r="H140" s="486" t="s">
        <v>202</v>
      </c>
      <c r="I140" s="487" t="s">
        <v>759</v>
      </c>
      <c r="J140" s="488">
        <v>35</v>
      </c>
      <c r="K140" s="488">
        <v>35</v>
      </c>
    </row>
    <row r="141" spans="1:11">
      <c r="B141" s="486" t="s">
        <v>730</v>
      </c>
      <c r="C141" s="486" t="s">
        <v>186</v>
      </c>
      <c r="D141" s="486">
        <v>239</v>
      </c>
      <c r="E141" s="486"/>
      <c r="F141" s="486"/>
      <c r="G141" s="486" t="s">
        <v>757</v>
      </c>
      <c r="H141" s="486" t="s">
        <v>202</v>
      </c>
      <c r="I141" s="487" t="s">
        <v>759</v>
      </c>
      <c r="J141" s="488">
        <v>0</v>
      </c>
      <c r="K141" s="488">
        <v>35</v>
      </c>
    </row>
    <row r="142" spans="1:11">
      <c r="A142" s="485" t="s">
        <v>850</v>
      </c>
      <c r="J142" s="489">
        <v>35</v>
      </c>
    </row>
    <row r="143" spans="1:11">
      <c r="A143" s="485" t="s">
        <v>851</v>
      </c>
      <c r="J143" s="489">
        <v>1152.0899999999999</v>
      </c>
    </row>
    <row r="144" spans="1:11">
      <c r="A144" s="485" t="s">
        <v>852</v>
      </c>
    </row>
    <row r="145" spans="1:11">
      <c r="A145" s="485" t="s">
        <v>853</v>
      </c>
    </row>
    <row r="146" spans="1:11" ht="31.5">
      <c r="B146" s="486" t="s">
        <v>708</v>
      </c>
      <c r="C146" s="486" t="s">
        <v>174</v>
      </c>
      <c r="D146" s="486">
        <v>2027</v>
      </c>
      <c r="E146" s="486" t="s">
        <v>181</v>
      </c>
      <c r="F146" s="486"/>
      <c r="G146" s="486" t="s">
        <v>757</v>
      </c>
      <c r="H146" s="486" t="s">
        <v>709</v>
      </c>
      <c r="I146" s="486" t="s">
        <v>772</v>
      </c>
      <c r="J146" s="488">
        <v>648</v>
      </c>
      <c r="K146" s="488">
        <v>648</v>
      </c>
    </row>
    <row r="147" spans="1:11">
      <c r="A147" s="485" t="s">
        <v>854</v>
      </c>
      <c r="J147" s="489">
        <v>648</v>
      </c>
    </row>
    <row r="148" spans="1:11">
      <c r="A148" s="485" t="s">
        <v>855</v>
      </c>
    </row>
    <row r="149" spans="1:11">
      <c r="A149" s="485" t="s">
        <v>856</v>
      </c>
    </row>
    <row r="150" spans="1:11">
      <c r="B150" s="486" t="s">
        <v>722</v>
      </c>
      <c r="C150" s="486" t="s">
        <v>186</v>
      </c>
      <c r="D150" s="486">
        <v>242</v>
      </c>
      <c r="E150" s="486"/>
      <c r="F150" s="486"/>
      <c r="G150" s="486" t="s">
        <v>757</v>
      </c>
      <c r="H150" s="486" t="s">
        <v>195</v>
      </c>
      <c r="I150" s="487" t="s">
        <v>759</v>
      </c>
      <c r="J150" s="488">
        <v>59</v>
      </c>
      <c r="K150" s="488">
        <v>59</v>
      </c>
    </row>
    <row r="151" spans="1:11">
      <c r="B151" s="486" t="s">
        <v>722</v>
      </c>
      <c r="C151" s="486" t="s">
        <v>186</v>
      </c>
      <c r="D151" s="486">
        <v>242</v>
      </c>
      <c r="E151" s="486"/>
      <c r="F151" s="486"/>
      <c r="G151" s="486" t="s">
        <v>757</v>
      </c>
      <c r="H151" s="486" t="s">
        <v>195</v>
      </c>
      <c r="I151" s="487" t="s">
        <v>759</v>
      </c>
      <c r="J151" s="488">
        <v>118</v>
      </c>
      <c r="K151" s="488">
        <v>177</v>
      </c>
    </row>
    <row r="152" spans="1:11">
      <c r="A152" s="491" t="s">
        <v>857</v>
      </c>
      <c r="J152" s="489">
        <v>177</v>
      </c>
    </row>
    <row r="153" spans="1:11">
      <c r="A153" s="485" t="s">
        <v>858</v>
      </c>
      <c r="J153" s="489">
        <v>177</v>
      </c>
    </row>
    <row r="154" spans="1:11">
      <c r="A154" s="485" t="s">
        <v>859</v>
      </c>
    </row>
    <row r="155" spans="1:11">
      <c r="A155" s="485" t="s">
        <v>860</v>
      </c>
    </row>
    <row r="156" spans="1:11" ht="21.5">
      <c r="B156" s="486" t="s">
        <v>730</v>
      </c>
      <c r="C156" s="486" t="s">
        <v>186</v>
      </c>
      <c r="D156" s="486">
        <v>243</v>
      </c>
      <c r="E156" s="486"/>
      <c r="F156" s="486"/>
      <c r="G156" s="486" t="s">
        <v>757</v>
      </c>
      <c r="H156" s="486" t="s">
        <v>192</v>
      </c>
      <c r="I156" s="487" t="s">
        <v>759</v>
      </c>
      <c r="J156" s="488">
        <v>75</v>
      </c>
      <c r="K156" s="488">
        <v>75</v>
      </c>
    </row>
    <row r="157" spans="1:11" ht="21.5">
      <c r="B157" s="486" t="s">
        <v>730</v>
      </c>
      <c r="C157" s="486" t="s">
        <v>186</v>
      </c>
      <c r="D157" s="486">
        <v>243</v>
      </c>
      <c r="E157" s="486"/>
      <c r="F157" s="486"/>
      <c r="G157" s="486" t="s">
        <v>757</v>
      </c>
      <c r="H157" s="486" t="s">
        <v>192</v>
      </c>
      <c r="I157" s="487" t="s">
        <v>759</v>
      </c>
      <c r="J157" s="488">
        <v>149</v>
      </c>
      <c r="K157" s="488">
        <v>224</v>
      </c>
    </row>
    <row r="158" spans="1:11">
      <c r="A158" s="485" t="s">
        <v>861</v>
      </c>
      <c r="J158" s="489">
        <v>224</v>
      </c>
    </row>
    <row r="159" spans="1:11">
      <c r="A159" s="491" t="s">
        <v>862</v>
      </c>
      <c r="J159" s="489">
        <v>224</v>
      </c>
    </row>
    <row r="160" spans="1:11">
      <c r="A160" s="485" t="s">
        <v>863</v>
      </c>
    </row>
    <row r="161" spans="1:11">
      <c r="A161" s="485" t="s">
        <v>864</v>
      </c>
    </row>
    <row r="162" spans="1:11">
      <c r="B162" s="486" t="s">
        <v>711</v>
      </c>
      <c r="C162" s="486" t="s">
        <v>186</v>
      </c>
      <c r="D162" s="486">
        <v>241</v>
      </c>
      <c r="E162" s="486"/>
      <c r="F162" s="486"/>
      <c r="G162" s="486" t="s">
        <v>757</v>
      </c>
      <c r="H162" s="486" t="s">
        <v>190</v>
      </c>
      <c r="I162" s="487" t="s">
        <v>759</v>
      </c>
      <c r="J162" s="488">
        <v>100</v>
      </c>
      <c r="K162" s="488">
        <v>100</v>
      </c>
    </row>
    <row r="163" spans="1:11">
      <c r="B163" s="486" t="s">
        <v>711</v>
      </c>
      <c r="C163" s="486" t="s">
        <v>186</v>
      </c>
      <c r="D163" s="486">
        <v>241</v>
      </c>
      <c r="E163" s="486"/>
      <c r="F163" s="486"/>
      <c r="G163" s="486" t="s">
        <v>757</v>
      </c>
      <c r="H163" s="486" t="s">
        <v>190</v>
      </c>
      <c r="I163" s="487" t="s">
        <v>759</v>
      </c>
      <c r="J163" s="488">
        <v>50</v>
      </c>
      <c r="K163" s="488">
        <v>150</v>
      </c>
    </row>
    <row r="164" spans="1:11">
      <c r="A164" s="485" t="s">
        <v>865</v>
      </c>
      <c r="J164" s="489">
        <v>150</v>
      </c>
    </row>
    <row r="165" spans="1:11">
      <c r="A165" s="485" t="s">
        <v>866</v>
      </c>
      <c r="J165" s="489">
        <v>150</v>
      </c>
    </row>
    <row r="166" spans="1:11">
      <c r="A166" s="485" t="s">
        <v>867</v>
      </c>
    </row>
    <row r="167" spans="1:11">
      <c r="A167" s="485" t="s">
        <v>868</v>
      </c>
    </row>
    <row r="168" spans="1:11" ht="21.5">
      <c r="B168" s="486" t="s">
        <v>711</v>
      </c>
      <c r="C168" s="486" t="s">
        <v>186</v>
      </c>
      <c r="D168" s="486">
        <v>244</v>
      </c>
      <c r="E168" s="486"/>
      <c r="F168" s="486"/>
      <c r="G168" s="486" t="s">
        <v>757</v>
      </c>
      <c r="H168" s="486" t="s">
        <v>591</v>
      </c>
      <c r="I168" s="487" t="s">
        <v>759</v>
      </c>
      <c r="J168" s="488">
        <v>62</v>
      </c>
      <c r="K168" s="488">
        <v>62</v>
      </c>
    </row>
    <row r="169" spans="1:11" ht="21.5">
      <c r="B169" s="486" t="s">
        <v>711</v>
      </c>
      <c r="C169" s="486" t="s">
        <v>186</v>
      </c>
      <c r="D169" s="486">
        <v>244</v>
      </c>
      <c r="E169" s="486"/>
      <c r="F169" s="486"/>
      <c r="G169" s="486" t="s">
        <v>757</v>
      </c>
      <c r="H169" s="486" t="s">
        <v>591</v>
      </c>
      <c r="I169" s="487" t="s">
        <v>759</v>
      </c>
      <c r="J169" s="488">
        <v>123</v>
      </c>
      <c r="K169" s="488">
        <v>185</v>
      </c>
    </row>
    <row r="170" spans="1:11">
      <c r="A170" s="491" t="s">
        <v>869</v>
      </c>
      <c r="J170" s="489">
        <v>185</v>
      </c>
    </row>
    <row r="171" spans="1:11">
      <c r="A171" s="485" t="s">
        <v>870</v>
      </c>
      <c r="J171" s="489">
        <v>185</v>
      </c>
    </row>
    <row r="172" spans="1:11">
      <c r="A172" s="485" t="s">
        <v>871</v>
      </c>
    </row>
    <row r="173" spans="1:11">
      <c r="A173" s="485" t="s">
        <v>872</v>
      </c>
    </row>
    <row r="174" spans="1:11">
      <c r="A174" s="485" t="s">
        <v>873</v>
      </c>
    </row>
    <row r="175" spans="1:11">
      <c r="B175" s="486" t="s">
        <v>730</v>
      </c>
      <c r="C175" s="486" t="s">
        <v>186</v>
      </c>
      <c r="D175" s="486">
        <v>240</v>
      </c>
      <c r="E175" s="486"/>
      <c r="F175" s="486"/>
      <c r="G175" s="486" t="s">
        <v>757</v>
      </c>
      <c r="H175" s="486" t="s">
        <v>185</v>
      </c>
      <c r="I175" s="487" t="s">
        <v>759</v>
      </c>
      <c r="J175" s="488">
        <v>291</v>
      </c>
      <c r="K175" s="488">
        <v>291</v>
      </c>
    </row>
    <row r="176" spans="1:11">
      <c r="B176" s="486" t="s">
        <v>730</v>
      </c>
      <c r="C176" s="486" t="s">
        <v>186</v>
      </c>
      <c r="D176" s="486">
        <v>240</v>
      </c>
      <c r="E176" s="486"/>
      <c r="F176" s="486"/>
      <c r="G176" s="486" t="s">
        <v>757</v>
      </c>
      <c r="H176" s="486" t="s">
        <v>185</v>
      </c>
      <c r="I176" s="487" t="s">
        <v>759</v>
      </c>
      <c r="J176" s="488">
        <v>145</v>
      </c>
      <c r="K176" s="488">
        <v>436</v>
      </c>
    </row>
    <row r="177" spans="1:11">
      <c r="A177" s="485" t="s">
        <v>874</v>
      </c>
      <c r="J177" s="489">
        <v>436</v>
      </c>
    </row>
    <row r="178" spans="1:11">
      <c r="A178" s="485" t="s">
        <v>875</v>
      </c>
      <c r="J178" s="489">
        <v>436</v>
      </c>
    </row>
    <row r="179" spans="1:11">
      <c r="A179" s="485" t="s">
        <v>876</v>
      </c>
      <c r="J179" s="489">
        <v>436</v>
      </c>
    </row>
    <row r="180" spans="1:11">
      <c r="A180" s="485" t="s">
        <v>877</v>
      </c>
      <c r="J180" s="489">
        <v>1820</v>
      </c>
    </row>
    <row r="181" spans="1:11">
      <c r="A181" s="485" t="s">
        <v>878</v>
      </c>
    </row>
    <row r="182" spans="1:11">
      <c r="A182" s="485" t="s">
        <v>879</v>
      </c>
    </row>
    <row r="183" spans="1:11" ht="51.5">
      <c r="B183" s="486" t="s">
        <v>708</v>
      </c>
      <c r="C183" s="486" t="s">
        <v>174</v>
      </c>
      <c r="D183" s="486" t="s">
        <v>732</v>
      </c>
      <c r="E183" s="486" t="s">
        <v>373</v>
      </c>
      <c r="F183" s="486"/>
      <c r="G183" s="486" t="s">
        <v>757</v>
      </c>
      <c r="H183" s="486" t="s">
        <v>733</v>
      </c>
      <c r="I183" s="486" t="s">
        <v>772</v>
      </c>
      <c r="J183" s="488">
        <v>57.88</v>
      </c>
      <c r="K183" s="488">
        <v>57.88</v>
      </c>
    </row>
    <row r="184" spans="1:11" ht="31.5">
      <c r="B184" s="486" t="s">
        <v>708</v>
      </c>
      <c r="C184" s="486" t="s">
        <v>174</v>
      </c>
      <c r="D184" s="486" t="s">
        <v>734</v>
      </c>
      <c r="E184" s="486" t="s">
        <v>370</v>
      </c>
      <c r="F184" s="486" t="s">
        <v>833</v>
      </c>
      <c r="G184" s="486" t="s">
        <v>757</v>
      </c>
      <c r="H184" s="486" t="s">
        <v>735</v>
      </c>
      <c r="I184" s="486" t="s">
        <v>772</v>
      </c>
      <c r="J184" s="488">
        <v>15.12</v>
      </c>
      <c r="K184" s="488">
        <v>73</v>
      </c>
    </row>
    <row r="185" spans="1:11" ht="21.5">
      <c r="B185" s="486" t="s">
        <v>708</v>
      </c>
      <c r="C185" s="486" t="s">
        <v>174</v>
      </c>
      <c r="D185" s="486">
        <v>11228</v>
      </c>
      <c r="E185" s="486" t="s">
        <v>377</v>
      </c>
      <c r="F185" s="486"/>
      <c r="G185" s="486" t="s">
        <v>757</v>
      </c>
      <c r="H185" s="486" t="s">
        <v>707</v>
      </c>
      <c r="I185" s="486" t="s">
        <v>772</v>
      </c>
      <c r="J185" s="488">
        <v>150</v>
      </c>
      <c r="K185" s="488">
        <v>223</v>
      </c>
    </row>
    <row r="186" spans="1:11" ht="51.5">
      <c r="B186" s="486" t="s">
        <v>730</v>
      </c>
      <c r="C186" s="486" t="s">
        <v>174</v>
      </c>
      <c r="D186" s="486" t="s">
        <v>736</v>
      </c>
      <c r="E186" s="486" t="s">
        <v>373</v>
      </c>
      <c r="F186" s="486"/>
      <c r="G186" s="486" t="s">
        <v>757</v>
      </c>
      <c r="H186" s="486" t="s">
        <v>737</v>
      </c>
      <c r="I186" s="486" t="s">
        <v>772</v>
      </c>
      <c r="J186" s="488">
        <v>28.94</v>
      </c>
      <c r="K186" s="488">
        <v>251.94</v>
      </c>
    </row>
    <row r="187" spans="1:11" ht="41.5">
      <c r="B187" s="486" t="s">
        <v>730</v>
      </c>
      <c r="C187" s="486" t="s">
        <v>174</v>
      </c>
      <c r="D187" s="486" t="s">
        <v>738</v>
      </c>
      <c r="E187" s="486" t="s">
        <v>443</v>
      </c>
      <c r="F187" s="486" t="s">
        <v>833</v>
      </c>
      <c r="G187" s="486" t="s">
        <v>757</v>
      </c>
      <c r="H187" s="486" t="s">
        <v>739</v>
      </c>
      <c r="I187" s="486" t="s">
        <v>772</v>
      </c>
      <c r="J187" s="488">
        <v>66.099999999999994</v>
      </c>
      <c r="K187" s="488">
        <v>318.04000000000002</v>
      </c>
    </row>
    <row r="188" spans="1:11" ht="41.5">
      <c r="B188" s="486" t="s">
        <v>730</v>
      </c>
      <c r="C188" s="486" t="s">
        <v>174</v>
      </c>
      <c r="D188" s="486" t="s">
        <v>740</v>
      </c>
      <c r="E188" s="486" t="s">
        <v>370</v>
      </c>
      <c r="F188" s="486" t="s">
        <v>833</v>
      </c>
      <c r="G188" s="486" t="s">
        <v>757</v>
      </c>
      <c r="H188" s="486" t="s">
        <v>741</v>
      </c>
      <c r="I188" s="486" t="s">
        <v>772</v>
      </c>
      <c r="J188" s="488">
        <v>30.24</v>
      </c>
      <c r="K188" s="488">
        <v>348.28</v>
      </c>
    </row>
    <row r="189" spans="1:11">
      <c r="A189" s="485" t="s">
        <v>880</v>
      </c>
      <c r="J189" s="489">
        <v>348.28</v>
      </c>
    </row>
    <row r="190" spans="1:11">
      <c r="A190" s="485" t="s">
        <v>881</v>
      </c>
      <c r="J190" s="489">
        <v>348.28</v>
      </c>
    </row>
    <row r="191" spans="1:11">
      <c r="A191" s="485" t="s">
        <v>882</v>
      </c>
      <c r="J191" s="489">
        <v>158593.10999999999</v>
      </c>
    </row>
    <row r="192" spans="1:11">
      <c r="A192" s="485" t="s">
        <v>883</v>
      </c>
      <c r="J192" s="489">
        <v>-32552.54</v>
      </c>
    </row>
    <row r="193" spans="1:11">
      <c r="A193" s="485" t="s">
        <v>884</v>
      </c>
    </row>
    <row r="194" spans="1:11">
      <c r="A194" s="485" t="s">
        <v>885</v>
      </c>
    </row>
    <row r="195" spans="1:11">
      <c r="A195" s="485" t="s">
        <v>886</v>
      </c>
    </row>
    <row r="196" spans="1:11" ht="31.5">
      <c r="B196" s="486" t="s">
        <v>730</v>
      </c>
      <c r="C196" s="486" t="s">
        <v>186</v>
      </c>
      <c r="D196" s="486">
        <v>227</v>
      </c>
      <c r="E196" s="486"/>
      <c r="F196" s="486"/>
      <c r="G196" s="486" t="s">
        <v>757</v>
      </c>
      <c r="H196" s="486" t="s">
        <v>744</v>
      </c>
      <c r="I196" s="487" t="s">
        <v>759</v>
      </c>
      <c r="J196" s="488">
        <v>26606.29</v>
      </c>
      <c r="K196" s="488">
        <v>26606.29</v>
      </c>
    </row>
    <row r="197" spans="1:11">
      <c r="A197" s="485" t="s">
        <v>887</v>
      </c>
      <c r="J197" s="489">
        <v>26606.29</v>
      </c>
    </row>
    <row r="198" spans="1:11">
      <c r="A198" s="485" t="s">
        <v>888</v>
      </c>
      <c r="J198" s="489">
        <v>26606.29</v>
      </c>
    </row>
    <row r="199" spans="1:11">
      <c r="A199" s="485" t="s">
        <v>889</v>
      </c>
    </row>
    <row r="200" spans="1:11">
      <c r="A200" s="485" t="s">
        <v>890</v>
      </c>
    </row>
    <row r="201" spans="1:11" ht="31.5">
      <c r="B201" s="486" t="s">
        <v>730</v>
      </c>
      <c r="C201" s="486" t="s">
        <v>186</v>
      </c>
      <c r="D201" s="486">
        <v>227</v>
      </c>
      <c r="E201" s="486"/>
      <c r="F201" s="486"/>
      <c r="G201" s="486" t="s">
        <v>757</v>
      </c>
      <c r="H201" s="486" t="s">
        <v>744</v>
      </c>
      <c r="I201" s="487" t="s">
        <v>759</v>
      </c>
      <c r="J201" s="488">
        <v>26606.29</v>
      </c>
      <c r="K201" s="488">
        <v>26606.29</v>
      </c>
    </row>
    <row r="202" spans="1:11">
      <c r="A202" s="485" t="s">
        <v>891</v>
      </c>
      <c r="J202" s="489">
        <v>26606.29</v>
      </c>
    </row>
    <row r="203" spans="1:11">
      <c r="A203" s="485" t="s">
        <v>892</v>
      </c>
      <c r="J203" s="489">
        <v>26606.29</v>
      </c>
    </row>
    <row r="204" spans="1:11">
      <c r="A204" s="485" t="s">
        <v>893</v>
      </c>
      <c r="J204" s="489">
        <v>0</v>
      </c>
    </row>
    <row r="205" spans="1:11">
      <c r="A205" s="485" t="s">
        <v>894</v>
      </c>
      <c r="J205" s="489">
        <v>-32552.54</v>
      </c>
    </row>
    <row r="208" spans="1:11">
      <c r="A208" s="595" t="s">
        <v>895</v>
      </c>
      <c r="B208" s="593"/>
      <c r="C208" s="593"/>
      <c r="D208" s="593"/>
      <c r="E208" s="593"/>
      <c r="F208" s="593"/>
      <c r="G208" s="593"/>
      <c r="H208" s="593"/>
      <c r="I208" s="593"/>
      <c r="J208" s="593"/>
      <c r="K208" s="593"/>
    </row>
  </sheetData>
  <mergeCells count="4">
    <mergeCell ref="A1:K1"/>
    <mergeCell ref="A2:K2"/>
    <mergeCell ref="A3:K3"/>
    <mergeCell ref="A208:K20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O49"/>
  <sheetViews>
    <sheetView workbookViewId="0">
      <selection activeCell="A3" sqref="A3:N3"/>
    </sheetView>
  </sheetViews>
  <sheetFormatPr defaultColWidth="9.1796875" defaultRowHeight="13"/>
  <cols>
    <col min="1" max="2" width="9.81640625" style="262" customWidth="1"/>
    <col min="3" max="3" width="14.81640625" style="262" customWidth="1"/>
    <col min="4" max="4" width="5.81640625" style="262" customWidth="1"/>
    <col min="5" max="5" width="1.81640625" style="262" customWidth="1"/>
    <col min="6" max="6" width="10.81640625" style="262" customWidth="1"/>
    <col min="7" max="7" width="9.81640625" style="262" customWidth="1"/>
    <col min="8" max="8" width="9" style="262" customWidth="1"/>
    <col min="9" max="9" width="17.81640625" style="262" customWidth="1"/>
    <col min="10" max="10" width="18.81640625" style="262" customWidth="1"/>
    <col min="11" max="11" width="2.81640625" style="262" customWidth="1"/>
    <col min="12" max="12" width="1.81640625" style="262" customWidth="1"/>
    <col min="13" max="13" width="25" style="262" customWidth="1"/>
    <col min="14" max="14" width="24" style="262" customWidth="1"/>
    <col min="15" max="15" width="2.81640625" style="262" customWidth="1"/>
    <col min="16" max="16384" width="9.1796875" style="262"/>
  </cols>
  <sheetData>
    <row r="1" spans="1:15" ht="20">
      <c r="A1" s="548" t="s">
        <v>84</v>
      </c>
      <c r="B1" s="548"/>
      <c r="C1" s="548"/>
      <c r="D1" s="548"/>
      <c r="E1" s="548"/>
      <c r="F1" s="548"/>
      <c r="G1" s="548"/>
      <c r="H1" s="548"/>
      <c r="I1" s="548"/>
      <c r="J1" s="548"/>
      <c r="K1" s="548"/>
      <c r="L1" s="548"/>
      <c r="M1" s="548"/>
      <c r="N1" s="548"/>
      <c r="O1" s="261"/>
    </row>
    <row r="2" spans="1:15" s="264" customFormat="1" ht="34.5" customHeight="1">
      <c r="A2" s="526" t="s">
        <v>85</v>
      </c>
      <c r="B2" s="531"/>
      <c r="C2" s="531"/>
      <c r="D2" s="531"/>
      <c r="E2" s="531"/>
      <c r="F2" s="531"/>
      <c r="G2" s="531"/>
      <c r="H2" s="527"/>
      <c r="I2" s="526" t="s">
        <v>144</v>
      </c>
      <c r="J2" s="531"/>
      <c r="K2" s="531"/>
      <c r="L2" s="531"/>
      <c r="M2" s="527"/>
      <c r="N2" s="263" t="s">
        <v>122</v>
      </c>
    </row>
    <row r="3" spans="1:15" s="264" customFormat="1" ht="34.5" customHeight="1">
      <c r="A3" s="526" t="s">
        <v>123</v>
      </c>
      <c r="B3" s="531"/>
      <c r="C3" s="531"/>
      <c r="D3" s="531"/>
      <c r="E3" s="531"/>
      <c r="F3" s="531"/>
      <c r="G3" s="531"/>
      <c r="H3" s="531"/>
      <c r="I3" s="531"/>
      <c r="J3" s="531"/>
      <c r="K3" s="531"/>
      <c r="L3" s="531"/>
      <c r="M3" s="531"/>
      <c r="N3" s="527"/>
    </row>
    <row r="4" spans="1:15" s="264" customFormat="1" ht="38.25" customHeight="1">
      <c r="A4" s="597"/>
      <c r="B4" s="598"/>
      <c r="C4" s="598"/>
      <c r="D4" s="598"/>
      <c r="E4" s="598"/>
      <c r="F4" s="598"/>
      <c r="G4" s="598"/>
      <c r="H4" s="598"/>
      <c r="I4" s="598"/>
      <c r="J4" s="598"/>
      <c r="K4" s="598"/>
      <c r="L4" s="599"/>
      <c r="M4" s="265" t="s">
        <v>124</v>
      </c>
      <c r="N4" s="265" t="s">
        <v>86</v>
      </c>
    </row>
    <row r="5" spans="1:15" s="264" customFormat="1" ht="34.4" customHeight="1">
      <c r="A5" s="526" t="s">
        <v>125</v>
      </c>
      <c r="B5" s="531"/>
      <c r="C5" s="531"/>
      <c r="D5" s="531"/>
      <c r="E5" s="531"/>
      <c r="F5" s="531"/>
      <c r="G5" s="527"/>
      <c r="H5" s="526" t="s">
        <v>126</v>
      </c>
      <c r="I5" s="531"/>
      <c r="J5" s="531"/>
      <c r="K5" s="531"/>
      <c r="L5" s="527"/>
      <c r="M5" s="526" t="s">
        <v>133</v>
      </c>
      <c r="N5" s="527"/>
    </row>
    <row r="6" spans="1:15" s="264" customFormat="1" ht="17.899999999999999" customHeight="1">
      <c r="A6" s="528" t="s">
        <v>87</v>
      </c>
      <c r="B6" s="529"/>
      <c r="C6" s="529"/>
      <c r="D6" s="529"/>
      <c r="E6" s="529"/>
      <c r="F6" s="529"/>
      <c r="G6" s="529"/>
      <c r="H6" s="529"/>
      <c r="I6" s="529"/>
      <c r="J6" s="529"/>
      <c r="K6" s="529"/>
      <c r="L6" s="530"/>
      <c r="M6" s="544" t="s">
        <v>88</v>
      </c>
      <c r="N6" s="545"/>
    </row>
    <row r="7" spans="1:15" s="264" customFormat="1" ht="27.75" customHeight="1">
      <c r="A7" s="534" t="s">
        <v>89</v>
      </c>
      <c r="B7" s="535"/>
      <c r="C7" s="535"/>
      <c r="D7" s="535"/>
      <c r="E7" s="535"/>
      <c r="F7" s="535"/>
      <c r="G7" s="535"/>
      <c r="H7" s="535"/>
      <c r="I7" s="535"/>
      <c r="J7" s="535"/>
      <c r="K7" s="535"/>
      <c r="L7" s="535"/>
      <c r="M7" s="535"/>
      <c r="N7" s="536"/>
    </row>
    <row r="8" spans="1:15" s="264" customFormat="1" ht="27.75" customHeight="1">
      <c r="A8" s="526" t="s">
        <v>90</v>
      </c>
      <c r="B8" s="531"/>
      <c r="C8" s="531"/>
      <c r="D8" s="531"/>
      <c r="E8" s="531"/>
      <c r="F8" s="531"/>
      <c r="G8" s="531"/>
      <c r="H8" s="531"/>
      <c r="I8" s="531"/>
      <c r="J8" s="531"/>
      <c r="K8" s="531"/>
      <c r="L8" s="527"/>
      <c r="M8" s="546"/>
      <c r="N8" s="547"/>
    </row>
    <row r="9" spans="1:15" s="264" customFormat="1" ht="27.75" customHeight="1">
      <c r="A9" s="526" t="s">
        <v>91</v>
      </c>
      <c r="B9" s="531"/>
      <c r="C9" s="531"/>
      <c r="D9" s="531"/>
      <c r="E9" s="531"/>
      <c r="F9" s="531"/>
      <c r="G9" s="531"/>
      <c r="H9" s="531"/>
      <c r="I9" s="531"/>
      <c r="J9" s="531"/>
      <c r="K9" s="531"/>
      <c r="L9" s="527"/>
      <c r="M9" s="546">
        <f>M8</f>
        <v>0</v>
      </c>
      <c r="N9" s="547"/>
    </row>
    <row r="10" spans="1:15" s="264" customFormat="1" ht="27.75" customHeight="1">
      <c r="A10" s="526" t="s">
        <v>92</v>
      </c>
      <c r="B10" s="531"/>
      <c r="C10" s="531"/>
      <c r="D10" s="531"/>
      <c r="E10" s="531"/>
      <c r="F10" s="531"/>
      <c r="G10" s="531"/>
      <c r="H10" s="531"/>
      <c r="I10" s="531"/>
      <c r="J10" s="531"/>
      <c r="K10" s="531"/>
      <c r="L10" s="527"/>
      <c r="M10" s="532">
        <f>M8-M9</f>
        <v>0</v>
      </c>
      <c r="N10" s="533"/>
    </row>
    <row r="11" spans="1:15" s="264" customFormat="1" ht="27.75" customHeight="1">
      <c r="A11" s="534" t="s">
        <v>93</v>
      </c>
      <c r="B11" s="535"/>
      <c r="C11" s="535"/>
      <c r="D11" s="535"/>
      <c r="E11" s="535"/>
      <c r="F11" s="535"/>
      <c r="G11" s="535"/>
      <c r="H11" s="535"/>
      <c r="I11" s="535"/>
      <c r="J11" s="535"/>
      <c r="K11" s="535"/>
      <c r="L11" s="535"/>
      <c r="M11" s="535"/>
      <c r="N11" s="536"/>
    </row>
    <row r="12" spans="1:15" s="264" customFormat="1" ht="27.75" customHeight="1">
      <c r="A12" s="526" t="s">
        <v>94</v>
      </c>
      <c r="B12" s="531"/>
      <c r="C12" s="531"/>
      <c r="D12" s="531"/>
      <c r="E12" s="531"/>
      <c r="F12" s="531"/>
      <c r="G12" s="531"/>
      <c r="H12" s="531"/>
      <c r="I12" s="531"/>
      <c r="J12" s="531"/>
      <c r="K12" s="531"/>
      <c r="L12" s="527"/>
      <c r="M12" s="543"/>
      <c r="N12" s="511"/>
    </row>
    <row r="13" spans="1:15" s="264" customFormat="1" ht="27.75" customHeight="1">
      <c r="A13" s="526" t="s">
        <v>142</v>
      </c>
      <c r="B13" s="531"/>
      <c r="C13" s="531"/>
      <c r="D13" s="531"/>
      <c r="E13" s="531"/>
      <c r="F13" s="531"/>
      <c r="G13" s="531"/>
      <c r="H13" s="531"/>
      <c r="I13" s="531"/>
      <c r="J13" s="531"/>
      <c r="K13" s="531"/>
      <c r="L13" s="527"/>
      <c r="M13" s="543">
        <f>M9</f>
        <v>0</v>
      </c>
      <c r="N13" s="511"/>
    </row>
    <row r="14" spans="1:15" s="264" customFormat="1" ht="27.75" customHeight="1">
      <c r="A14" s="526" t="s">
        <v>143</v>
      </c>
      <c r="B14" s="531"/>
      <c r="C14" s="531"/>
      <c r="D14" s="531"/>
      <c r="E14" s="531"/>
      <c r="F14" s="531"/>
      <c r="G14" s="531"/>
      <c r="H14" s="531"/>
      <c r="I14" s="531"/>
      <c r="J14" s="531"/>
      <c r="K14" s="531"/>
      <c r="L14" s="527"/>
      <c r="M14" s="537">
        <v>0</v>
      </c>
      <c r="N14" s="538"/>
    </row>
    <row r="15" spans="1:15" s="264" customFormat="1" ht="27.75" customHeight="1">
      <c r="A15" s="526" t="s">
        <v>95</v>
      </c>
      <c r="B15" s="531"/>
      <c r="C15" s="531"/>
      <c r="D15" s="531"/>
      <c r="E15" s="531"/>
      <c r="F15" s="531"/>
      <c r="G15" s="531"/>
      <c r="H15" s="531"/>
      <c r="I15" s="531"/>
      <c r="J15" s="531"/>
      <c r="K15" s="531"/>
      <c r="L15" s="527"/>
      <c r="M15" s="537">
        <v>0</v>
      </c>
      <c r="N15" s="538"/>
    </row>
    <row r="16" spans="1:15" s="264" customFormat="1" ht="27.75" customHeight="1">
      <c r="A16" s="526" t="s">
        <v>96</v>
      </c>
      <c r="B16" s="531"/>
      <c r="C16" s="531"/>
      <c r="D16" s="531"/>
      <c r="E16" s="531"/>
      <c r="F16" s="531"/>
      <c r="G16" s="531"/>
      <c r="H16" s="531"/>
      <c r="I16" s="531"/>
      <c r="J16" s="531"/>
      <c r="K16" s="531"/>
      <c r="L16" s="527"/>
      <c r="M16" s="539">
        <f>M13+M14+M15</f>
        <v>0</v>
      </c>
      <c r="N16" s="540"/>
    </row>
    <row r="17" spans="1:14" s="264" customFormat="1" ht="27.75" customHeight="1">
      <c r="A17" s="526" t="s">
        <v>97</v>
      </c>
      <c r="B17" s="531"/>
      <c r="C17" s="531"/>
      <c r="D17" s="531"/>
      <c r="E17" s="531"/>
      <c r="F17" s="531"/>
      <c r="G17" s="531"/>
      <c r="H17" s="531"/>
      <c r="I17" s="531"/>
      <c r="J17" s="531"/>
      <c r="K17" s="531"/>
      <c r="L17" s="527"/>
      <c r="M17" s="539">
        <f>M12-M16</f>
        <v>0</v>
      </c>
      <c r="N17" s="540"/>
    </row>
    <row r="18" spans="1:14" s="264" customFormat="1" ht="27.75" customHeight="1">
      <c r="A18" s="534" t="s">
        <v>98</v>
      </c>
      <c r="B18" s="535"/>
      <c r="C18" s="535"/>
      <c r="D18" s="535"/>
      <c r="E18" s="535"/>
      <c r="F18" s="535"/>
      <c r="G18" s="535"/>
      <c r="H18" s="535"/>
      <c r="I18" s="535"/>
      <c r="J18" s="535"/>
      <c r="K18" s="535"/>
      <c r="L18" s="535"/>
      <c r="M18" s="535"/>
      <c r="N18" s="536"/>
    </row>
    <row r="19" spans="1:14" s="264" customFormat="1" ht="27.75" customHeight="1">
      <c r="A19" s="526" t="s">
        <v>99</v>
      </c>
      <c r="B19" s="531"/>
      <c r="C19" s="531"/>
      <c r="D19" s="531"/>
      <c r="E19" s="531"/>
      <c r="F19" s="531"/>
      <c r="G19" s="531"/>
      <c r="H19" s="531"/>
      <c r="I19" s="531"/>
      <c r="J19" s="531"/>
      <c r="K19" s="531"/>
      <c r="L19" s="527"/>
      <c r="M19" s="541">
        <v>0</v>
      </c>
      <c r="N19" s="542"/>
    </row>
    <row r="20" spans="1:14" s="264" customFormat="1" ht="27.75" customHeight="1">
      <c r="A20" s="526" t="s">
        <v>100</v>
      </c>
      <c r="B20" s="531"/>
      <c r="C20" s="531"/>
      <c r="D20" s="531"/>
      <c r="E20" s="531"/>
      <c r="F20" s="531"/>
      <c r="G20" s="531"/>
      <c r="H20" s="531"/>
      <c r="I20" s="531"/>
      <c r="J20" s="531"/>
      <c r="K20" s="531"/>
      <c r="L20" s="527"/>
      <c r="M20" s="537">
        <v>0</v>
      </c>
      <c r="N20" s="538"/>
    </row>
    <row r="21" spans="1:14" s="264" customFormat="1" ht="27.75" customHeight="1">
      <c r="A21" s="526" t="s">
        <v>101</v>
      </c>
      <c r="B21" s="531"/>
      <c r="C21" s="531"/>
      <c r="D21" s="531"/>
      <c r="E21" s="531"/>
      <c r="F21" s="531"/>
      <c r="G21" s="531"/>
      <c r="H21" s="531"/>
      <c r="I21" s="531"/>
      <c r="J21" s="531"/>
      <c r="K21" s="531"/>
      <c r="L21" s="527"/>
      <c r="M21" s="532">
        <f>M19-M20</f>
        <v>0</v>
      </c>
      <c r="N21" s="533"/>
    </row>
    <row r="22" spans="1:14" s="264" customFormat="1" ht="27.75" customHeight="1">
      <c r="A22" s="534" t="s">
        <v>102</v>
      </c>
      <c r="B22" s="535"/>
      <c r="C22" s="535"/>
      <c r="D22" s="535"/>
      <c r="E22" s="535"/>
      <c r="F22" s="535"/>
      <c r="G22" s="535"/>
      <c r="H22" s="535"/>
      <c r="I22" s="535"/>
      <c r="J22" s="535"/>
      <c r="K22" s="535"/>
      <c r="L22" s="535"/>
      <c r="M22" s="535"/>
      <c r="N22" s="536"/>
    </row>
    <row r="23" spans="1:14" s="264" customFormat="1" ht="27.75" customHeight="1">
      <c r="A23" s="526" t="s">
        <v>103</v>
      </c>
      <c r="B23" s="531"/>
      <c r="C23" s="531"/>
      <c r="D23" s="531"/>
      <c r="E23" s="531"/>
      <c r="F23" s="531"/>
      <c r="G23" s="531"/>
      <c r="H23" s="531"/>
      <c r="I23" s="531"/>
      <c r="J23" s="531"/>
      <c r="K23" s="531"/>
      <c r="L23" s="527"/>
      <c r="M23" s="537">
        <v>0</v>
      </c>
      <c r="N23" s="538"/>
    </row>
    <row r="24" spans="1:14" s="264" customFormat="1" ht="27.75" customHeight="1">
      <c r="A24" s="526" t="s">
        <v>104</v>
      </c>
      <c r="B24" s="531"/>
      <c r="C24" s="531"/>
      <c r="D24" s="531"/>
      <c r="E24" s="531"/>
      <c r="F24" s="531"/>
      <c r="G24" s="531"/>
      <c r="H24" s="531"/>
      <c r="I24" s="531"/>
      <c r="J24" s="531"/>
      <c r="K24" s="531"/>
      <c r="L24" s="527"/>
      <c r="M24" s="537">
        <v>0</v>
      </c>
      <c r="N24" s="538"/>
    </row>
    <row r="25" spans="1:14" s="264" customFormat="1" ht="27.75" customHeight="1">
      <c r="A25" s="526" t="s">
        <v>105</v>
      </c>
      <c r="B25" s="531"/>
      <c r="C25" s="531"/>
      <c r="D25" s="531"/>
      <c r="E25" s="531"/>
      <c r="F25" s="531"/>
      <c r="G25" s="531"/>
      <c r="H25" s="531"/>
      <c r="I25" s="531"/>
      <c r="J25" s="531"/>
      <c r="K25" s="531"/>
      <c r="L25" s="527"/>
      <c r="M25" s="532">
        <f>M23-M24</f>
        <v>0</v>
      </c>
      <c r="N25" s="533"/>
    </row>
    <row r="26" spans="1:14" s="264" customFormat="1" ht="17.899999999999999" customHeight="1">
      <c r="A26" s="517" t="s">
        <v>106</v>
      </c>
      <c r="B26" s="518"/>
      <c r="C26" s="518"/>
      <c r="D26" s="518"/>
      <c r="E26" s="518"/>
      <c r="F26" s="518"/>
      <c r="G26" s="518"/>
      <c r="H26" s="518"/>
      <c r="I26" s="518"/>
      <c r="J26" s="518"/>
      <c r="K26" s="518"/>
      <c r="L26" s="518"/>
      <c r="M26" s="518"/>
      <c r="N26" s="519"/>
    </row>
    <row r="27" spans="1:14" s="264" customFormat="1" ht="15.65" customHeight="1">
      <c r="A27" s="510"/>
      <c r="B27" s="512"/>
      <c r="C27" s="512"/>
      <c r="D27" s="512"/>
      <c r="E27" s="512"/>
      <c r="F27" s="512"/>
      <c r="G27" s="512"/>
      <c r="H27" s="512"/>
      <c r="I27" s="512"/>
      <c r="J27" s="512"/>
      <c r="K27" s="512"/>
      <c r="L27" s="512"/>
      <c r="M27" s="512"/>
      <c r="N27" s="511"/>
    </row>
    <row r="28" spans="1:14" s="264" customFormat="1" ht="17.899999999999999" customHeight="1">
      <c r="A28" s="528" t="s">
        <v>107</v>
      </c>
      <c r="B28" s="529"/>
      <c r="C28" s="529"/>
      <c r="D28" s="529"/>
      <c r="E28" s="529"/>
      <c r="F28" s="529"/>
      <c r="G28" s="529"/>
      <c r="H28" s="529"/>
      <c r="I28" s="529"/>
      <c r="J28" s="529"/>
      <c r="K28" s="529"/>
      <c r="L28" s="529"/>
      <c r="M28" s="529"/>
      <c r="N28" s="530"/>
    </row>
    <row r="29" spans="1:14" s="264" customFormat="1" ht="30" customHeight="1">
      <c r="A29" s="526" t="s">
        <v>108</v>
      </c>
      <c r="B29" s="527"/>
      <c r="C29" s="265" t="s">
        <v>109</v>
      </c>
      <c r="D29" s="526" t="s">
        <v>110</v>
      </c>
      <c r="E29" s="531"/>
      <c r="F29" s="527"/>
      <c r="G29" s="510" t="s">
        <v>111</v>
      </c>
      <c r="H29" s="511"/>
      <c r="I29" s="266" t="s">
        <v>112</v>
      </c>
      <c r="J29" s="526" t="s">
        <v>113</v>
      </c>
      <c r="K29" s="531"/>
      <c r="L29" s="527"/>
      <c r="M29" s="265" t="s">
        <v>114</v>
      </c>
      <c r="N29" s="265" t="s">
        <v>115</v>
      </c>
    </row>
    <row r="30" spans="1:14" s="264" customFormat="1" ht="16.5">
      <c r="A30" s="510"/>
      <c r="B30" s="511"/>
      <c r="C30" s="45"/>
      <c r="D30" s="510"/>
      <c r="E30" s="512"/>
      <c r="F30" s="511"/>
      <c r="G30" s="513"/>
      <c r="H30" s="511"/>
      <c r="I30" s="266"/>
      <c r="J30" s="514"/>
      <c r="K30" s="515"/>
      <c r="L30" s="516"/>
      <c r="M30" s="265"/>
      <c r="N30" s="265"/>
    </row>
    <row r="31" spans="1:14" s="264" customFormat="1" ht="15.65" customHeight="1">
      <c r="A31" s="510"/>
      <c r="B31" s="511"/>
      <c r="C31" s="45"/>
      <c r="D31" s="510"/>
      <c r="E31" s="512"/>
      <c r="F31" s="511"/>
      <c r="G31" s="513"/>
      <c r="H31" s="511"/>
      <c r="I31" s="46"/>
      <c r="J31" s="514"/>
      <c r="K31" s="515"/>
      <c r="L31" s="516"/>
      <c r="M31" s="47"/>
      <c r="N31" s="48"/>
    </row>
    <row r="32" spans="1:14" s="264" customFormat="1" ht="75.75" customHeight="1">
      <c r="A32" s="517" t="s">
        <v>116</v>
      </c>
      <c r="B32" s="518"/>
      <c r="C32" s="518"/>
      <c r="D32" s="518"/>
      <c r="E32" s="518"/>
      <c r="F32" s="518"/>
      <c r="G32" s="518"/>
      <c r="H32" s="518"/>
      <c r="I32" s="518"/>
      <c r="J32" s="518"/>
      <c r="K32" s="518"/>
      <c r="L32" s="518"/>
      <c r="M32" s="518"/>
      <c r="N32" s="519"/>
    </row>
    <row r="33" spans="1:15" s="264" customFormat="1" ht="31.4" customHeight="1">
      <c r="A33" s="520" t="s">
        <v>117</v>
      </c>
      <c r="B33" s="521"/>
      <c r="C33" s="521"/>
      <c r="D33" s="521"/>
      <c r="E33" s="521"/>
      <c r="F33" s="521"/>
      <c r="G33" s="521"/>
      <c r="H33" s="521"/>
      <c r="I33" s="521"/>
      <c r="J33" s="521"/>
      <c r="K33" s="521"/>
      <c r="L33" s="522"/>
      <c r="M33" s="526" t="s">
        <v>118</v>
      </c>
      <c r="N33" s="527"/>
    </row>
    <row r="34" spans="1:15" s="264" customFormat="1" ht="31.4" customHeight="1">
      <c r="A34" s="523"/>
      <c r="B34" s="524"/>
      <c r="C34" s="524"/>
      <c r="D34" s="524"/>
      <c r="E34" s="524"/>
      <c r="F34" s="524"/>
      <c r="G34" s="524"/>
      <c r="H34" s="524"/>
      <c r="I34" s="524"/>
      <c r="J34" s="524"/>
      <c r="K34" s="524"/>
      <c r="L34" s="525"/>
      <c r="M34" s="526" t="s">
        <v>119</v>
      </c>
      <c r="N34" s="527"/>
    </row>
    <row r="35" spans="1:15" s="264" customFormat="1" ht="31.4" customHeight="1">
      <c r="A35" s="520" t="s">
        <v>120</v>
      </c>
      <c r="B35" s="521"/>
      <c r="C35" s="521"/>
      <c r="D35" s="521"/>
      <c r="E35" s="521"/>
      <c r="F35" s="521"/>
      <c r="G35" s="521"/>
      <c r="H35" s="521"/>
      <c r="I35" s="521"/>
      <c r="J35" s="521"/>
      <c r="K35" s="521"/>
      <c r="L35" s="522"/>
      <c r="M35" s="520" t="s">
        <v>121</v>
      </c>
      <c r="N35" s="522"/>
    </row>
    <row r="36" spans="1:15" s="264" customFormat="1" ht="31" customHeight="1">
      <c r="A36" s="523"/>
      <c r="B36" s="524"/>
      <c r="C36" s="524"/>
      <c r="D36" s="524"/>
      <c r="E36" s="524"/>
      <c r="F36" s="524"/>
      <c r="G36" s="524"/>
      <c r="H36" s="524"/>
      <c r="I36" s="524"/>
      <c r="J36" s="524"/>
      <c r="K36" s="524"/>
      <c r="L36" s="525"/>
      <c r="M36" s="523"/>
      <c r="N36" s="525"/>
    </row>
    <row r="37" spans="1:15" s="264" customFormat="1" ht="15.75" customHeight="1">
      <c r="A37" s="463"/>
      <c r="B37" s="463"/>
      <c r="C37" s="463"/>
      <c r="D37" s="463"/>
      <c r="E37" s="463"/>
      <c r="F37" s="463"/>
      <c r="G37" s="463"/>
      <c r="H37" s="463"/>
      <c r="I37" s="463"/>
      <c r="J37" s="463"/>
      <c r="K37" s="463"/>
      <c r="L37" s="463"/>
      <c r="M37" s="463"/>
      <c r="N37" s="463"/>
      <c r="O37" s="463"/>
    </row>
    <row r="38" spans="1:15" s="264" customFormat="1" ht="15.75" customHeight="1">
      <c r="A38" s="463"/>
      <c r="B38" s="463"/>
      <c r="C38" s="463"/>
      <c r="D38" s="463"/>
      <c r="E38" s="463"/>
      <c r="F38" s="463"/>
      <c r="G38" s="463"/>
      <c r="H38" s="463"/>
      <c r="I38" s="463"/>
      <c r="J38" s="463"/>
      <c r="K38" s="463"/>
      <c r="L38" s="463"/>
      <c r="M38" s="463"/>
      <c r="N38" s="463"/>
      <c r="O38" s="463"/>
    </row>
    <row r="39" spans="1:15" s="264" customFormat="1" ht="15.75" customHeight="1">
      <c r="A39" s="596"/>
      <c r="B39" s="596"/>
      <c r="C39" s="596"/>
      <c r="D39" s="596"/>
      <c r="E39" s="596"/>
      <c r="F39" s="596"/>
      <c r="G39" s="596"/>
      <c r="H39" s="596"/>
      <c r="I39" s="596"/>
      <c r="J39" s="596"/>
      <c r="K39" s="596"/>
      <c r="L39" s="596"/>
      <c r="M39" s="596"/>
      <c r="N39" s="596"/>
      <c r="O39" s="596"/>
    </row>
    <row r="40" spans="1:15" s="264" customFormat="1" ht="15.5"/>
    <row r="41" spans="1:15" s="264" customFormat="1" ht="15.5"/>
    <row r="42" spans="1:15" s="264" customFormat="1" ht="15.5"/>
    <row r="43" spans="1:15" s="264" customFormat="1" ht="15.5"/>
    <row r="44" spans="1:15" s="264" customFormat="1" ht="15.5"/>
    <row r="45" spans="1:15" s="264" customFormat="1" ht="15.5"/>
    <row r="46" spans="1:15" s="264" customFormat="1" ht="15.5"/>
    <row r="47" spans="1:15" s="264" customFormat="1" ht="15.5"/>
    <row r="48" spans="1:15" s="264" customFormat="1" ht="15.5"/>
    <row r="49" s="264"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H242"/>
  <sheetViews>
    <sheetView workbookViewId="0">
      <pane ySplit="5" topLeftCell="A90" activePane="bottomLeft" state="frozen"/>
      <selection pane="bottomLeft" activeCell="G99" sqref="G99"/>
    </sheetView>
  </sheetViews>
  <sheetFormatPr defaultColWidth="9.1796875" defaultRowHeight="14.5"/>
  <cols>
    <col min="1" max="1" width="2.453125" style="349" customWidth="1"/>
    <col min="2" max="2" width="9.26953125" style="349" customWidth="1"/>
    <col min="3" max="3" width="9.7265625" style="349" customWidth="1"/>
    <col min="4" max="4" width="10.453125" style="349" customWidth="1"/>
    <col min="5" max="5" width="26.54296875" style="349" customWidth="1"/>
    <col min="6" max="6" width="73.453125" style="349" customWidth="1"/>
    <col min="7" max="7" width="11.26953125" style="349" customWidth="1"/>
    <col min="8" max="16384" width="9.1796875" style="349"/>
  </cols>
  <sheetData>
    <row r="1" spans="1:8" ht="18">
      <c r="A1" s="587" t="s">
        <v>277</v>
      </c>
      <c r="B1" s="587"/>
      <c r="C1" s="587"/>
      <c r="D1" s="587"/>
      <c r="E1" s="587"/>
      <c r="F1" s="587"/>
      <c r="G1" s="587"/>
      <c r="H1" s="587"/>
    </row>
    <row r="2" spans="1:8" ht="18">
      <c r="A2" s="587" t="s">
        <v>276</v>
      </c>
      <c r="B2" s="587"/>
      <c r="C2" s="587"/>
      <c r="D2" s="587"/>
      <c r="E2" s="587"/>
      <c r="F2" s="587"/>
      <c r="G2" s="587"/>
      <c r="H2" s="587"/>
    </row>
    <row r="3" spans="1:8">
      <c r="A3" s="588" t="s">
        <v>729</v>
      </c>
      <c r="B3" s="588"/>
      <c r="C3" s="588"/>
      <c r="D3" s="588"/>
      <c r="E3" s="588"/>
      <c r="F3" s="588"/>
      <c r="G3" s="588"/>
      <c r="H3" s="588"/>
    </row>
    <row r="5" spans="1:8" ht="31.5" customHeight="1">
      <c r="A5" s="304"/>
      <c r="B5" s="354" t="s">
        <v>153</v>
      </c>
      <c r="C5" s="401" t="s">
        <v>430</v>
      </c>
      <c r="D5" s="354" t="s">
        <v>274</v>
      </c>
      <c r="E5" s="354" t="s">
        <v>273</v>
      </c>
      <c r="F5" s="354" t="s">
        <v>272</v>
      </c>
      <c r="G5" s="350" t="s">
        <v>271</v>
      </c>
      <c r="H5" s="464" t="s">
        <v>278</v>
      </c>
    </row>
    <row r="6" spans="1:8">
      <c r="A6" s="465" t="s">
        <v>270</v>
      </c>
      <c r="B6" s="3"/>
      <c r="C6" s="3"/>
      <c r="D6" s="3"/>
      <c r="E6" s="3"/>
      <c r="F6" s="3"/>
      <c r="G6" s="3"/>
      <c r="H6" s="444"/>
    </row>
    <row r="7" spans="1:8">
      <c r="A7" s="465" t="s">
        <v>269</v>
      </c>
      <c r="B7" s="3"/>
      <c r="C7" s="3"/>
      <c r="D7" s="3"/>
      <c r="E7" s="3"/>
      <c r="F7" s="3"/>
      <c r="G7" s="3"/>
      <c r="H7" s="305"/>
    </row>
    <row r="8" spans="1:8">
      <c r="A8" s="3"/>
      <c r="B8" s="466" t="s">
        <v>713</v>
      </c>
      <c r="C8" s="466" t="s">
        <v>186</v>
      </c>
      <c r="D8" s="466">
        <v>187</v>
      </c>
      <c r="E8" s="466"/>
      <c r="F8" s="466" t="s">
        <v>728</v>
      </c>
      <c r="G8" s="467">
        <v>47287.5</v>
      </c>
      <c r="H8" s="305"/>
    </row>
    <row r="9" spans="1:8">
      <c r="A9" s="3"/>
      <c r="B9" s="466" t="s">
        <v>721</v>
      </c>
      <c r="C9" s="466" t="s">
        <v>186</v>
      </c>
      <c r="D9" s="466">
        <v>188</v>
      </c>
      <c r="E9" s="466"/>
      <c r="F9" s="466" t="s">
        <v>727</v>
      </c>
      <c r="G9" s="467">
        <v>67080.75</v>
      </c>
      <c r="H9" s="305"/>
    </row>
    <row r="10" spans="1:8">
      <c r="A10" s="465" t="s">
        <v>268</v>
      </c>
      <c r="B10" s="3"/>
      <c r="C10" s="3"/>
      <c r="D10" s="3"/>
      <c r="E10" s="3"/>
      <c r="F10" s="3"/>
      <c r="G10" s="468">
        <f>SUM(G8:G9)</f>
        <v>114368.25</v>
      </c>
      <c r="H10" s="305"/>
    </row>
    <row r="11" spans="1:8">
      <c r="A11" s="465" t="s">
        <v>267</v>
      </c>
      <c r="B11" s="3"/>
      <c r="C11" s="3"/>
      <c r="D11" s="3"/>
      <c r="E11" s="3"/>
      <c r="F11" s="3"/>
      <c r="G11" s="3"/>
      <c r="H11" s="305"/>
    </row>
    <row r="12" spans="1:8">
      <c r="A12" s="3"/>
      <c r="B12" s="466" t="s">
        <v>713</v>
      </c>
      <c r="C12" s="466" t="s">
        <v>378</v>
      </c>
      <c r="D12" s="466">
        <v>12899</v>
      </c>
      <c r="E12" s="466" t="s">
        <v>489</v>
      </c>
      <c r="F12" s="466" t="s">
        <v>746</v>
      </c>
      <c r="G12" s="467">
        <v>241.36</v>
      </c>
      <c r="H12" s="305"/>
    </row>
    <row r="13" spans="1:8">
      <c r="A13" s="3"/>
      <c r="B13" s="466" t="s">
        <v>712</v>
      </c>
      <c r="C13" s="466" t="s">
        <v>174</v>
      </c>
      <c r="D13" s="466"/>
      <c r="E13" s="466" t="s">
        <v>726</v>
      </c>
      <c r="F13" s="466" t="s">
        <v>725</v>
      </c>
      <c r="G13" s="467">
        <v>313.17</v>
      </c>
      <c r="H13" s="305"/>
    </row>
    <row r="14" spans="1:8">
      <c r="A14" s="3"/>
      <c r="B14" s="466" t="s">
        <v>712</v>
      </c>
      <c r="C14" s="466" t="s">
        <v>378</v>
      </c>
      <c r="D14" s="466">
        <v>12940</v>
      </c>
      <c r="E14" s="466" t="s">
        <v>724</v>
      </c>
      <c r="F14" s="466" t="s">
        <v>723</v>
      </c>
      <c r="G14" s="467">
        <v>183.69</v>
      </c>
      <c r="H14" s="305"/>
    </row>
    <row r="15" spans="1:8">
      <c r="A15" s="3"/>
      <c r="B15" s="466" t="s">
        <v>722</v>
      </c>
      <c r="C15" s="466" t="s">
        <v>265</v>
      </c>
      <c r="D15" s="466"/>
      <c r="E15" s="466" t="s">
        <v>264</v>
      </c>
      <c r="F15" s="466" t="s">
        <v>745</v>
      </c>
      <c r="G15" s="467">
        <v>-738.22</v>
      </c>
      <c r="H15" s="305"/>
    </row>
    <row r="16" spans="1:8">
      <c r="A16" s="465" t="s">
        <v>263</v>
      </c>
      <c r="B16" s="3"/>
      <c r="C16" s="3"/>
      <c r="D16" s="3"/>
      <c r="E16" s="3"/>
      <c r="F16" s="3"/>
      <c r="G16" s="468">
        <f>SUM(G12:G15)</f>
        <v>0</v>
      </c>
      <c r="H16" s="305"/>
    </row>
    <row r="17" spans="1:8">
      <c r="A17" s="465"/>
      <c r="B17" s="3"/>
      <c r="C17" s="3"/>
      <c r="D17" s="3"/>
      <c r="E17" s="3"/>
      <c r="F17" s="3"/>
      <c r="G17" s="468"/>
      <c r="H17" s="305"/>
    </row>
    <row r="18" spans="1:8" ht="15" thickBot="1">
      <c r="A18" s="465" t="s">
        <v>420</v>
      </c>
      <c r="B18" s="3"/>
      <c r="C18" s="3"/>
      <c r="D18" s="3"/>
      <c r="E18" s="3"/>
      <c r="F18" s="3"/>
      <c r="G18" s="474">
        <f>+G10+G16</f>
        <v>114368.25</v>
      </c>
      <c r="H18" s="305"/>
    </row>
    <row r="19" spans="1:8" ht="15" thickTop="1">
      <c r="A19" s="465"/>
      <c r="B19" s="3"/>
      <c r="C19" s="3"/>
      <c r="D19" s="3"/>
      <c r="E19" s="3"/>
      <c r="F19" s="3"/>
      <c r="G19" s="470"/>
      <c r="H19" s="305"/>
    </row>
    <row r="20" spans="1:8">
      <c r="A20" s="465" t="s">
        <v>262</v>
      </c>
      <c r="B20" s="3"/>
      <c r="C20" s="3"/>
      <c r="D20" s="3"/>
      <c r="E20" s="3"/>
      <c r="F20" s="3"/>
      <c r="G20" s="3"/>
      <c r="H20" s="305"/>
    </row>
    <row r="21" spans="1:8">
      <c r="A21" s="3"/>
      <c r="B21" s="466" t="s">
        <v>713</v>
      </c>
      <c r="C21" s="466" t="s">
        <v>186</v>
      </c>
      <c r="D21" s="466">
        <v>187</v>
      </c>
      <c r="E21" s="466"/>
      <c r="F21" s="466" t="s">
        <v>675</v>
      </c>
      <c r="G21" s="467">
        <v>3637.8</v>
      </c>
      <c r="H21" s="305"/>
    </row>
    <row r="22" spans="1:8">
      <c r="A22" s="3"/>
      <c r="B22" s="466" t="s">
        <v>721</v>
      </c>
      <c r="C22" s="466" t="s">
        <v>186</v>
      </c>
      <c r="D22" s="466">
        <v>188</v>
      </c>
      <c r="E22" s="466"/>
      <c r="F22" s="466" t="s">
        <v>675</v>
      </c>
      <c r="G22" s="467">
        <v>5131.71</v>
      </c>
      <c r="H22" s="305"/>
    </row>
    <row r="23" spans="1:8">
      <c r="A23" s="465" t="s">
        <v>261</v>
      </c>
      <c r="B23" s="3"/>
      <c r="C23" s="3"/>
      <c r="D23" s="3"/>
      <c r="E23" s="3"/>
      <c r="F23" s="3"/>
      <c r="G23" s="468">
        <f>SUM(G21:G22)</f>
        <v>8769.51</v>
      </c>
      <c r="H23" s="305"/>
    </row>
    <row r="24" spans="1:8">
      <c r="A24" s="465" t="s">
        <v>340</v>
      </c>
      <c r="B24" s="3"/>
      <c r="C24" s="3"/>
      <c r="D24" s="3"/>
      <c r="E24" s="3"/>
      <c r="F24" s="3"/>
      <c r="G24" s="3"/>
      <c r="H24" s="305"/>
    </row>
    <row r="25" spans="1:8">
      <c r="A25" s="3"/>
      <c r="B25" s="466" t="s">
        <v>730</v>
      </c>
      <c r="C25" s="466" t="s">
        <v>186</v>
      </c>
      <c r="D25" s="466">
        <v>204</v>
      </c>
      <c r="E25" s="466"/>
      <c r="F25" s="466" t="s">
        <v>411</v>
      </c>
      <c r="G25" s="467">
        <v>3064</v>
      </c>
      <c r="H25" s="305"/>
    </row>
    <row r="26" spans="1:8">
      <c r="A26" s="465" t="s">
        <v>341</v>
      </c>
      <c r="B26" s="3"/>
      <c r="C26" s="3"/>
      <c r="D26" s="3"/>
      <c r="E26" s="3"/>
      <c r="F26" s="3"/>
      <c r="G26" s="468">
        <f>SUM(G25)</f>
        <v>3064</v>
      </c>
      <c r="H26" s="305"/>
    </row>
    <row r="27" spans="1:8">
      <c r="A27" s="465" t="s">
        <v>260</v>
      </c>
      <c r="B27" s="3"/>
      <c r="C27" s="3"/>
      <c r="D27" s="3"/>
      <c r="E27" s="3"/>
      <c r="F27" s="3"/>
      <c r="G27" s="3"/>
      <c r="H27" s="305"/>
    </row>
    <row r="28" spans="1:8">
      <c r="A28" s="3"/>
      <c r="B28" s="466" t="s">
        <v>713</v>
      </c>
      <c r="C28" s="466" t="s">
        <v>186</v>
      </c>
      <c r="D28" s="466">
        <v>187</v>
      </c>
      <c r="E28" s="466"/>
      <c r="F28" s="466" t="s">
        <v>415</v>
      </c>
      <c r="G28" s="467">
        <v>465.12</v>
      </c>
      <c r="H28" s="305"/>
    </row>
    <row r="29" spans="1:8">
      <c r="A29" s="3"/>
      <c r="B29" s="466" t="s">
        <v>721</v>
      </c>
      <c r="C29" s="466" t="s">
        <v>186</v>
      </c>
      <c r="D29" s="466">
        <v>188</v>
      </c>
      <c r="E29" s="466"/>
      <c r="F29" s="466" t="s">
        <v>415</v>
      </c>
      <c r="G29" s="467">
        <v>2437.69</v>
      </c>
      <c r="H29" s="305"/>
    </row>
    <row r="30" spans="1:8">
      <c r="A30" s="465" t="s">
        <v>253</v>
      </c>
      <c r="B30" s="3"/>
      <c r="C30" s="3"/>
      <c r="D30" s="3"/>
      <c r="E30" s="3"/>
      <c r="F30" s="3"/>
      <c r="G30" s="468">
        <f>SUM(G28:G29)</f>
        <v>2902.81</v>
      </c>
      <c r="H30" s="305"/>
    </row>
    <row r="31" spans="1:8">
      <c r="A31" s="465" t="s">
        <v>483</v>
      </c>
      <c r="B31" s="3"/>
      <c r="C31" s="3"/>
      <c r="D31" s="3"/>
      <c r="E31" s="3"/>
      <c r="F31" s="3"/>
      <c r="G31" s="468">
        <f>+G18+G23+G26+G30</f>
        <v>129104.56999999999</v>
      </c>
      <c r="H31" s="305"/>
    </row>
    <row r="32" spans="1:8">
      <c r="A32" s="465" t="s">
        <v>414</v>
      </c>
      <c r="B32" s="3"/>
      <c r="C32" s="3"/>
      <c r="D32" s="3"/>
      <c r="E32" s="3"/>
      <c r="F32" s="3"/>
      <c r="G32" s="3"/>
      <c r="H32" s="305"/>
    </row>
    <row r="33" spans="1:8">
      <c r="A33" s="465" t="s">
        <v>252</v>
      </c>
      <c r="B33" s="3"/>
      <c r="C33" s="3"/>
      <c r="D33" s="3"/>
      <c r="E33" s="3"/>
      <c r="F33" s="3"/>
      <c r="G33" s="3"/>
      <c r="H33" s="305"/>
    </row>
    <row r="34" spans="1:8">
      <c r="A34" s="465" t="s">
        <v>552</v>
      </c>
      <c r="B34" s="3"/>
      <c r="C34" s="3"/>
      <c r="D34" s="3"/>
      <c r="E34" s="3"/>
      <c r="F34" s="3"/>
      <c r="G34" s="3"/>
      <c r="H34" s="305"/>
    </row>
    <row r="35" spans="1:8">
      <c r="A35" s="3"/>
      <c r="B35" s="466" t="s">
        <v>730</v>
      </c>
      <c r="C35" s="466" t="s">
        <v>186</v>
      </c>
      <c r="D35" s="466">
        <v>212</v>
      </c>
      <c r="E35" s="466"/>
      <c r="F35" s="466"/>
      <c r="G35" s="467">
        <v>17825</v>
      </c>
      <c r="H35" s="305"/>
    </row>
    <row r="36" spans="1:8">
      <c r="A36" s="465" t="s">
        <v>549</v>
      </c>
      <c r="B36" s="3"/>
      <c r="C36" s="3"/>
      <c r="D36" s="3"/>
      <c r="E36" s="3"/>
      <c r="F36" s="3"/>
      <c r="G36" s="471">
        <f>SUM(G35)</f>
        <v>17825</v>
      </c>
      <c r="H36" s="305"/>
    </row>
    <row r="37" spans="1:8">
      <c r="A37" s="465" t="s">
        <v>249</v>
      </c>
      <c r="B37" s="3"/>
      <c r="C37" s="3"/>
      <c r="D37" s="3"/>
      <c r="E37" s="3"/>
      <c r="F37" s="3"/>
      <c r="G37" s="468">
        <v>17825</v>
      </c>
      <c r="H37" s="305"/>
    </row>
    <row r="38" spans="1:8">
      <c r="A38" s="465"/>
      <c r="B38" s="3"/>
      <c r="C38" s="3"/>
      <c r="D38" s="3"/>
      <c r="E38" s="3"/>
      <c r="F38" s="3"/>
      <c r="G38" s="470"/>
      <c r="H38" s="305"/>
    </row>
    <row r="39" spans="1:8">
      <c r="A39" s="465"/>
      <c r="B39" s="3"/>
      <c r="C39" s="3"/>
      <c r="D39" s="3"/>
      <c r="E39" s="3"/>
      <c r="F39" s="3"/>
      <c r="G39" s="470"/>
      <c r="H39" s="305"/>
    </row>
    <row r="40" spans="1:8">
      <c r="A40" s="465"/>
      <c r="B40" s="3"/>
      <c r="C40" s="3"/>
      <c r="D40" s="3"/>
      <c r="E40" s="3"/>
      <c r="F40" s="3"/>
      <c r="G40" s="470"/>
      <c r="H40" s="305"/>
    </row>
    <row r="41" spans="1:8">
      <c r="A41" s="465"/>
      <c r="B41" s="3"/>
      <c r="C41" s="3"/>
      <c r="D41" s="3"/>
      <c r="E41" s="3"/>
      <c r="F41" s="3"/>
      <c r="G41" s="470"/>
      <c r="H41" s="305"/>
    </row>
    <row r="42" spans="1:8">
      <c r="A42" s="465" t="s">
        <v>248</v>
      </c>
      <c r="B42" s="3"/>
      <c r="C42" s="3"/>
      <c r="D42" s="3"/>
      <c r="E42" s="3"/>
      <c r="F42" s="3"/>
      <c r="G42" s="3"/>
      <c r="H42" s="305"/>
    </row>
    <row r="43" spans="1:8">
      <c r="A43" s="465" t="s">
        <v>247</v>
      </c>
      <c r="B43" s="3"/>
      <c r="C43" s="3"/>
      <c r="D43" s="3"/>
      <c r="E43" s="3"/>
      <c r="F43" s="3"/>
      <c r="G43" s="3"/>
      <c r="H43" s="305"/>
    </row>
    <row r="44" spans="1:8">
      <c r="A44" s="3"/>
      <c r="B44" s="466" t="s">
        <v>708</v>
      </c>
      <c r="C44" s="466" t="s">
        <v>174</v>
      </c>
      <c r="D44" s="466">
        <v>293105697</v>
      </c>
      <c r="E44" s="466" t="s">
        <v>480</v>
      </c>
      <c r="F44" s="466" t="s">
        <v>720</v>
      </c>
      <c r="G44" s="467">
        <v>3581.26</v>
      </c>
      <c r="H44" s="305">
        <v>12878</v>
      </c>
    </row>
    <row r="45" spans="1:8">
      <c r="A45" s="465" t="s">
        <v>246</v>
      </c>
      <c r="B45" s="3"/>
      <c r="C45" s="3"/>
      <c r="D45" s="3"/>
      <c r="E45" s="3"/>
      <c r="F45" s="3"/>
      <c r="G45" s="471">
        <f>SUM(G44)</f>
        <v>3581.26</v>
      </c>
      <c r="H45" s="305"/>
    </row>
    <row r="46" spans="1:8">
      <c r="A46" s="465" t="s">
        <v>245</v>
      </c>
      <c r="B46" s="3"/>
      <c r="C46" s="3"/>
      <c r="D46" s="3"/>
      <c r="E46" s="3"/>
      <c r="F46" s="3"/>
      <c r="G46" s="3"/>
      <c r="H46" s="305"/>
    </row>
    <row r="47" spans="1:8">
      <c r="A47" s="3"/>
      <c r="B47" s="466" t="s">
        <v>708</v>
      </c>
      <c r="C47" s="466" t="s">
        <v>174</v>
      </c>
      <c r="D47" s="466" t="s">
        <v>719</v>
      </c>
      <c r="E47" s="466" t="s">
        <v>243</v>
      </c>
      <c r="F47" s="466" t="s">
        <v>564</v>
      </c>
      <c r="G47" s="467">
        <v>235.2</v>
      </c>
      <c r="H47" s="305">
        <v>12877</v>
      </c>
    </row>
    <row r="48" spans="1:8">
      <c r="A48" s="465" t="s">
        <v>241</v>
      </c>
      <c r="B48" s="3"/>
      <c r="C48" s="3"/>
      <c r="D48" s="3"/>
      <c r="E48" s="3"/>
      <c r="F48" s="3"/>
      <c r="G48" s="471">
        <f>SUM(G47)</f>
        <v>235.2</v>
      </c>
      <c r="H48" s="305"/>
    </row>
    <row r="49" spans="1:8">
      <c r="A49" s="465" t="s">
        <v>240</v>
      </c>
      <c r="B49" s="3"/>
      <c r="C49" s="3"/>
      <c r="D49" s="3"/>
      <c r="E49" s="3"/>
      <c r="F49" s="3"/>
      <c r="G49" s="3"/>
      <c r="H49" s="305"/>
    </row>
    <row r="50" spans="1:8">
      <c r="A50" s="3"/>
      <c r="B50" s="466" t="s">
        <v>730</v>
      </c>
      <c r="C50" s="466" t="s">
        <v>186</v>
      </c>
      <c r="D50" s="466">
        <v>213</v>
      </c>
      <c r="E50" s="466"/>
      <c r="F50" s="466" t="s">
        <v>669</v>
      </c>
      <c r="G50" s="467">
        <v>-661.17</v>
      </c>
      <c r="H50" s="305"/>
    </row>
    <row r="51" spans="1:8">
      <c r="A51" s="465" t="s">
        <v>239</v>
      </c>
      <c r="B51" s="3"/>
      <c r="C51" s="3"/>
      <c r="D51" s="3"/>
      <c r="E51" s="3"/>
      <c r="F51" s="3"/>
      <c r="G51" s="471">
        <f>SUM(G50)</f>
        <v>-661.17</v>
      </c>
      <c r="H51" s="305"/>
    </row>
    <row r="52" spans="1:8">
      <c r="A52" s="465" t="s">
        <v>238</v>
      </c>
      <c r="B52" s="3"/>
      <c r="C52" s="3"/>
      <c r="D52" s="3"/>
      <c r="E52" s="3"/>
      <c r="F52" s="3"/>
      <c r="G52" s="3"/>
      <c r="H52" s="305"/>
    </row>
    <row r="53" spans="1:8">
      <c r="A53" s="3"/>
      <c r="B53" s="466" t="s">
        <v>730</v>
      </c>
      <c r="C53" s="466" t="s">
        <v>186</v>
      </c>
      <c r="D53" s="466">
        <v>214</v>
      </c>
      <c r="E53" s="466"/>
      <c r="F53" s="466" t="s">
        <v>237</v>
      </c>
      <c r="G53" s="467">
        <v>-43.56</v>
      </c>
      <c r="H53" s="305"/>
    </row>
    <row r="54" spans="1:8" ht="15.75" customHeight="1">
      <c r="A54" s="465" t="s">
        <v>236</v>
      </c>
      <c r="B54" s="3"/>
      <c r="C54" s="3"/>
      <c r="D54" s="3"/>
      <c r="E54" s="3"/>
      <c r="F54" s="3"/>
      <c r="G54" s="471">
        <f>SUM(G53)</f>
        <v>-43.56</v>
      </c>
      <c r="H54" s="305"/>
    </row>
    <row r="55" spans="1:8" ht="15.75" customHeight="1">
      <c r="A55" s="465"/>
      <c r="B55" s="3"/>
      <c r="C55" s="3"/>
      <c r="D55" s="3"/>
      <c r="E55" s="3"/>
      <c r="F55" s="3"/>
      <c r="G55" s="473"/>
      <c r="H55" s="305"/>
    </row>
    <row r="56" spans="1:8" ht="15" thickBot="1">
      <c r="A56" s="465" t="s">
        <v>235</v>
      </c>
      <c r="B56" s="3"/>
      <c r="C56" s="3"/>
      <c r="D56" s="3"/>
      <c r="E56" s="3"/>
      <c r="F56" s="3"/>
      <c r="G56" s="474">
        <f>+G45+G48+G51+G54</f>
        <v>3111.73</v>
      </c>
      <c r="H56" s="305"/>
    </row>
    <row r="57" spans="1:8" ht="15" thickTop="1">
      <c r="A57" s="465"/>
      <c r="B57" s="3"/>
      <c r="C57" s="3"/>
      <c r="D57" s="3"/>
      <c r="E57" s="3"/>
      <c r="F57" s="3"/>
      <c r="G57" s="3"/>
      <c r="H57" s="305"/>
    </row>
    <row r="58" spans="1:8">
      <c r="A58" s="465" t="s">
        <v>234</v>
      </c>
      <c r="B58" s="3"/>
      <c r="C58" s="3"/>
      <c r="D58" s="3"/>
      <c r="E58" s="3"/>
      <c r="F58" s="3"/>
      <c r="G58" s="3"/>
      <c r="H58" s="305"/>
    </row>
    <row r="59" spans="1:8">
      <c r="A59" s="465" t="s">
        <v>478</v>
      </c>
      <c r="B59" s="3"/>
      <c r="C59" s="3"/>
      <c r="D59" s="3"/>
      <c r="E59" s="3"/>
      <c r="F59" s="3"/>
      <c r="G59" s="3"/>
      <c r="H59" s="305"/>
    </row>
    <row r="60" spans="1:8">
      <c r="A60" s="3"/>
      <c r="B60" s="466" t="s">
        <v>730</v>
      </c>
      <c r="C60" s="466" t="s">
        <v>186</v>
      </c>
      <c r="D60" s="466">
        <v>204</v>
      </c>
      <c r="E60" s="466"/>
      <c r="F60" s="466" t="s">
        <v>411</v>
      </c>
      <c r="G60" s="467">
        <v>479</v>
      </c>
      <c r="H60" s="305"/>
    </row>
    <row r="61" spans="1:8">
      <c r="A61" s="465" t="s">
        <v>477</v>
      </c>
      <c r="B61" s="3"/>
      <c r="C61" s="3"/>
      <c r="D61" s="3"/>
      <c r="E61" s="3"/>
      <c r="F61" s="3"/>
      <c r="G61" s="471">
        <f>SUM(G60)</f>
        <v>479</v>
      </c>
      <c r="H61" s="305"/>
    </row>
    <row r="62" spans="1:8">
      <c r="B62" s="3"/>
      <c r="C62" s="3"/>
      <c r="D62" s="3"/>
      <c r="E62" s="3"/>
      <c r="F62" s="3"/>
      <c r="G62" s="468"/>
      <c r="H62" s="305"/>
    </row>
    <row r="63" spans="1:8">
      <c r="A63" s="475" t="s">
        <v>284</v>
      </c>
      <c r="B63" s="3"/>
      <c r="C63" s="3"/>
      <c r="D63" s="3"/>
      <c r="E63" s="3"/>
      <c r="F63" s="3"/>
      <c r="G63" s="470"/>
      <c r="H63" s="305"/>
    </row>
    <row r="64" spans="1:8">
      <c r="A64" s="465" t="s">
        <v>232</v>
      </c>
      <c r="B64" s="3"/>
      <c r="C64" s="3"/>
      <c r="D64" s="3"/>
      <c r="E64" s="3"/>
      <c r="F64" s="3"/>
      <c r="G64" s="3"/>
      <c r="H64" s="305"/>
    </row>
    <row r="65" spans="1:8">
      <c r="A65" s="3"/>
      <c r="B65" s="466" t="s">
        <v>722</v>
      </c>
      <c r="C65" s="466" t="s">
        <v>186</v>
      </c>
      <c r="D65" s="466">
        <v>199</v>
      </c>
      <c r="E65" s="466"/>
      <c r="F65" s="466" t="s">
        <v>231</v>
      </c>
      <c r="G65" s="467">
        <v>1075</v>
      </c>
      <c r="H65" s="305"/>
    </row>
    <row r="66" spans="1:8">
      <c r="A66" s="465" t="s">
        <v>230</v>
      </c>
      <c r="B66" s="3"/>
      <c r="C66" s="3"/>
      <c r="D66" s="3"/>
      <c r="E66" s="3"/>
      <c r="F66" s="3"/>
      <c r="G66" s="468">
        <f>SUM(G65)</f>
        <v>1075</v>
      </c>
      <c r="H66" s="305"/>
    </row>
    <row r="67" spans="1:8">
      <c r="A67" s="465" t="s">
        <v>229</v>
      </c>
      <c r="B67" s="3"/>
      <c r="C67" s="3"/>
      <c r="D67" s="3"/>
      <c r="E67" s="3"/>
      <c r="F67" s="3"/>
      <c r="G67" s="3"/>
      <c r="H67" s="305"/>
    </row>
    <row r="68" spans="1:8">
      <c r="A68" s="3"/>
      <c r="B68" s="466" t="s">
        <v>722</v>
      </c>
      <c r="C68" s="466" t="s">
        <v>186</v>
      </c>
      <c r="D68" s="466">
        <v>201</v>
      </c>
      <c r="E68" s="466"/>
      <c r="F68" s="466" t="s">
        <v>228</v>
      </c>
      <c r="G68" s="467">
        <v>251</v>
      </c>
      <c r="H68" s="305"/>
    </row>
    <row r="69" spans="1:8">
      <c r="A69" s="465" t="s">
        <v>227</v>
      </c>
      <c r="B69" s="3"/>
      <c r="C69" s="3"/>
      <c r="D69" s="3"/>
      <c r="E69" s="3"/>
      <c r="F69" s="3"/>
      <c r="G69" s="468">
        <f>SUM(G68)</f>
        <v>251</v>
      </c>
      <c r="H69" s="305"/>
    </row>
    <row r="70" spans="1:8">
      <c r="A70" s="465" t="s">
        <v>226</v>
      </c>
      <c r="B70" s="3"/>
      <c r="C70" s="3"/>
      <c r="D70" s="3"/>
      <c r="E70" s="3"/>
      <c r="F70" s="3"/>
      <c r="G70" s="3"/>
      <c r="H70" s="305"/>
    </row>
    <row r="71" spans="1:8">
      <c r="A71" s="3"/>
      <c r="B71" s="466" t="s">
        <v>730</v>
      </c>
      <c r="C71" s="466" t="s">
        <v>186</v>
      </c>
      <c r="D71" s="466">
        <v>203</v>
      </c>
      <c r="E71" s="466"/>
      <c r="F71" s="466" t="s">
        <v>225</v>
      </c>
      <c r="G71" s="467">
        <v>499</v>
      </c>
      <c r="H71" s="305"/>
    </row>
    <row r="72" spans="1:8">
      <c r="A72" s="465" t="s">
        <v>224</v>
      </c>
      <c r="B72" s="3"/>
      <c r="C72" s="3"/>
      <c r="D72" s="3"/>
      <c r="E72" s="3"/>
      <c r="F72" s="3"/>
      <c r="G72" s="468">
        <f>SUM(G71)</f>
        <v>499</v>
      </c>
      <c r="H72" s="305"/>
    </row>
    <row r="73" spans="1:8">
      <c r="A73" s="465" t="s">
        <v>223</v>
      </c>
      <c r="B73" s="3"/>
      <c r="C73" s="3"/>
      <c r="D73" s="3"/>
      <c r="E73" s="3"/>
      <c r="F73" s="3"/>
      <c r="G73" s="3"/>
      <c r="H73" s="305"/>
    </row>
    <row r="74" spans="1:8">
      <c r="A74" s="3"/>
      <c r="B74" s="466" t="s">
        <v>722</v>
      </c>
      <c r="C74" s="466" t="s">
        <v>186</v>
      </c>
      <c r="D74" s="466">
        <v>198</v>
      </c>
      <c r="E74" s="466"/>
      <c r="F74" s="466" t="s">
        <v>222</v>
      </c>
      <c r="G74" s="467">
        <v>98</v>
      </c>
      <c r="H74" s="305"/>
    </row>
    <row r="75" spans="1:8">
      <c r="A75" s="465" t="s">
        <v>221</v>
      </c>
      <c r="B75" s="3"/>
      <c r="C75" s="3"/>
      <c r="D75" s="3"/>
      <c r="E75" s="3"/>
      <c r="F75" s="3"/>
      <c r="G75" s="468">
        <f>SUM(G74)</f>
        <v>98</v>
      </c>
      <c r="H75" s="305"/>
    </row>
    <row r="76" spans="1:8">
      <c r="A76" s="465"/>
      <c r="B76" s="3"/>
      <c r="C76" s="3"/>
      <c r="D76" s="3"/>
      <c r="E76" s="3"/>
      <c r="F76" s="3"/>
      <c r="G76" s="468"/>
      <c r="H76" s="305"/>
    </row>
    <row r="77" spans="1:8" ht="15" thickBot="1">
      <c r="A77" s="476" t="s">
        <v>410</v>
      </c>
      <c r="B77" s="3"/>
      <c r="C77" s="3"/>
      <c r="D77" s="3"/>
      <c r="E77" s="3"/>
      <c r="F77" s="3"/>
      <c r="G77" s="474">
        <f>+G66+G69+G72+G75</f>
        <v>1923</v>
      </c>
      <c r="H77" s="305"/>
    </row>
    <row r="78" spans="1:8" ht="15" thickTop="1">
      <c r="A78" s="465"/>
      <c r="B78" s="3"/>
      <c r="C78" s="3"/>
      <c r="D78" s="3"/>
      <c r="E78" s="3"/>
      <c r="F78" s="3"/>
      <c r="G78" s="470"/>
      <c r="H78" s="305"/>
    </row>
    <row r="79" spans="1:8">
      <c r="A79" s="465" t="s">
        <v>409</v>
      </c>
      <c r="B79" s="3"/>
      <c r="C79" s="3"/>
      <c r="D79" s="3"/>
      <c r="E79" s="3"/>
      <c r="F79" s="3"/>
      <c r="G79" s="3"/>
      <c r="H79" s="305"/>
    </row>
    <row r="80" spans="1:8">
      <c r="A80" s="465" t="s">
        <v>220</v>
      </c>
      <c r="B80" s="3"/>
      <c r="C80" s="3"/>
      <c r="D80" s="3"/>
      <c r="E80" s="3"/>
      <c r="F80" s="3"/>
      <c r="G80" s="3"/>
      <c r="H80" s="305"/>
    </row>
    <row r="81" spans="1:8">
      <c r="A81" s="3"/>
      <c r="B81" s="466" t="s">
        <v>722</v>
      </c>
      <c r="C81" s="466" t="s">
        <v>186</v>
      </c>
      <c r="D81" s="466">
        <v>202</v>
      </c>
      <c r="E81" s="466"/>
      <c r="F81" s="466" t="s">
        <v>219</v>
      </c>
      <c r="G81" s="467">
        <v>249</v>
      </c>
      <c r="H81" s="305"/>
    </row>
    <row r="82" spans="1:8">
      <c r="A82" s="465" t="s">
        <v>218</v>
      </c>
      <c r="B82" s="3"/>
      <c r="C82" s="3"/>
      <c r="D82" s="3"/>
      <c r="E82" s="3"/>
      <c r="F82" s="3"/>
      <c r="G82" s="471">
        <f>SUM(G81)</f>
        <v>249</v>
      </c>
      <c r="H82" s="305"/>
    </row>
    <row r="83" spans="1:8">
      <c r="A83" s="465"/>
      <c r="B83" s="3"/>
      <c r="C83" s="3"/>
      <c r="D83" s="3"/>
      <c r="E83" s="3"/>
      <c r="F83" s="3"/>
      <c r="G83" s="473"/>
      <c r="H83" s="305"/>
    </row>
    <row r="84" spans="1:8">
      <c r="A84" s="465" t="s">
        <v>703</v>
      </c>
      <c r="B84" s="3"/>
      <c r="C84" s="3"/>
      <c r="D84" s="3"/>
      <c r="E84" s="3"/>
      <c r="F84" s="3"/>
      <c r="G84" s="471">
        <f>+G56+G61+G77+G82</f>
        <v>5762.73</v>
      </c>
      <c r="H84" s="305"/>
    </row>
    <row r="85" spans="1:8">
      <c r="A85" s="465"/>
      <c r="B85" s="3"/>
      <c r="C85" s="3"/>
      <c r="D85" s="3"/>
      <c r="E85" s="3"/>
      <c r="F85" s="3"/>
      <c r="G85" s="468"/>
      <c r="H85" s="305"/>
    </row>
    <row r="86" spans="1:8" ht="15" thickBot="1">
      <c r="A86" s="465" t="s">
        <v>546</v>
      </c>
      <c r="B86" s="3"/>
      <c r="C86" s="3"/>
      <c r="D86" s="3"/>
      <c r="E86" s="3"/>
      <c r="F86" s="3"/>
      <c r="G86" s="474">
        <f>+G36+G56+G61+G77+G82</f>
        <v>23587.73</v>
      </c>
      <c r="H86" s="305"/>
    </row>
    <row r="87" spans="1:8" ht="15" thickTop="1">
      <c r="A87" s="3"/>
      <c r="B87" s="3"/>
      <c r="C87" s="3"/>
      <c r="D87" s="3"/>
      <c r="E87" s="3"/>
      <c r="F87" s="3"/>
      <c r="G87" s="3"/>
      <c r="H87" s="444"/>
    </row>
    <row r="91" spans="1:8" s="269" customFormat="1">
      <c r="A91" s="400" t="s">
        <v>379</v>
      </c>
      <c r="H91" s="444"/>
    </row>
    <row r="92" spans="1:8">
      <c r="A92" s="465" t="s">
        <v>184</v>
      </c>
      <c r="B92" s="3"/>
      <c r="C92" s="3"/>
      <c r="D92" s="3"/>
      <c r="E92" s="3"/>
      <c r="F92" s="3"/>
      <c r="G92" s="3"/>
      <c r="H92" s="444"/>
    </row>
    <row r="93" spans="1:8">
      <c r="A93" s="3"/>
      <c r="B93" s="466" t="s">
        <v>708</v>
      </c>
      <c r="C93" s="466" t="s">
        <v>174</v>
      </c>
      <c r="D93" s="466">
        <v>11228</v>
      </c>
      <c r="E93" s="466" t="s">
        <v>377</v>
      </c>
      <c r="F93" s="466" t="s">
        <v>707</v>
      </c>
      <c r="G93" s="467">
        <v>150</v>
      </c>
      <c r="H93" s="444">
        <v>12936</v>
      </c>
    </row>
    <row r="94" spans="1:8">
      <c r="A94" s="3"/>
      <c r="B94" s="466" t="s">
        <v>730</v>
      </c>
      <c r="C94" s="466" t="s">
        <v>174</v>
      </c>
      <c r="D94" s="466" t="s">
        <v>738</v>
      </c>
      <c r="E94" s="466" t="s">
        <v>443</v>
      </c>
      <c r="F94" s="466" t="s">
        <v>739</v>
      </c>
      <c r="G94" s="467">
        <v>66.099999999999994</v>
      </c>
      <c r="H94" s="444">
        <v>12959</v>
      </c>
    </row>
    <row r="95" spans="1:8">
      <c r="A95" s="3"/>
      <c r="B95" s="466" t="s">
        <v>708</v>
      </c>
      <c r="C95" s="466" t="s">
        <v>174</v>
      </c>
      <c r="D95" s="466" t="s">
        <v>732</v>
      </c>
      <c r="E95" s="466" t="s">
        <v>373</v>
      </c>
      <c r="F95" s="466" t="s">
        <v>733</v>
      </c>
      <c r="G95" s="467">
        <v>57.88</v>
      </c>
      <c r="H95" s="444">
        <v>12960</v>
      </c>
    </row>
    <row r="96" spans="1:8">
      <c r="A96" s="3"/>
      <c r="B96" s="466" t="s">
        <v>730</v>
      </c>
      <c r="C96" s="466" t="s">
        <v>174</v>
      </c>
      <c r="D96" s="466" t="s">
        <v>736</v>
      </c>
      <c r="E96" s="466" t="s">
        <v>373</v>
      </c>
      <c r="F96" s="466" t="s">
        <v>737</v>
      </c>
      <c r="G96" s="467">
        <v>28.94</v>
      </c>
      <c r="H96" s="444">
        <v>12960</v>
      </c>
    </row>
    <row r="97" spans="1:8">
      <c r="A97" s="3"/>
      <c r="B97" s="466" t="s">
        <v>708</v>
      </c>
      <c r="C97" s="466" t="s">
        <v>174</v>
      </c>
      <c r="D97" s="466" t="s">
        <v>734</v>
      </c>
      <c r="E97" s="466" t="s">
        <v>370</v>
      </c>
      <c r="F97" s="466" t="s">
        <v>735</v>
      </c>
      <c r="G97" s="467">
        <v>15.12</v>
      </c>
      <c r="H97" s="444">
        <v>12958</v>
      </c>
    </row>
    <row r="98" spans="1:8">
      <c r="A98" s="3"/>
      <c r="B98" s="466" t="s">
        <v>730</v>
      </c>
      <c r="C98" s="466" t="s">
        <v>174</v>
      </c>
      <c r="D98" s="466" t="s">
        <v>740</v>
      </c>
      <c r="E98" s="466" t="s">
        <v>370</v>
      </c>
      <c r="F98" s="466" t="s">
        <v>741</v>
      </c>
      <c r="G98" s="467">
        <v>30.24</v>
      </c>
      <c r="H98" s="444">
        <v>12958</v>
      </c>
    </row>
    <row r="99" spans="1:8">
      <c r="A99" s="465" t="s">
        <v>520</v>
      </c>
      <c r="B99" s="3"/>
      <c r="C99" s="3"/>
      <c r="D99" s="3"/>
      <c r="E99" s="3"/>
      <c r="F99" s="3"/>
      <c r="G99" s="471">
        <f>SUM(G93:G98)</f>
        <v>348.28000000000003</v>
      </c>
      <c r="H99" s="444"/>
    </row>
    <row r="103" spans="1:8">
      <c r="A103" s="451" t="s">
        <v>400</v>
      </c>
      <c r="B103" s="3"/>
      <c r="C103" s="3"/>
      <c r="D103" s="3"/>
      <c r="E103" s="3"/>
      <c r="F103" s="3"/>
      <c r="G103" s="3"/>
      <c r="H103" s="444"/>
    </row>
    <row r="104" spans="1:8">
      <c r="A104" s="465" t="s">
        <v>400</v>
      </c>
      <c r="B104" s="3"/>
      <c r="C104" s="3"/>
      <c r="D104" s="3"/>
      <c r="E104" s="3"/>
      <c r="F104" s="3"/>
      <c r="G104" s="3"/>
      <c r="H104" s="444"/>
    </row>
    <row r="105" spans="1:8">
      <c r="A105" s="3"/>
      <c r="B105" s="466" t="s">
        <v>716</v>
      </c>
      <c r="C105" s="466" t="s">
        <v>174</v>
      </c>
      <c r="D105" s="466" t="s">
        <v>715</v>
      </c>
      <c r="E105" s="466" t="s">
        <v>397</v>
      </c>
      <c r="F105" s="466" t="s">
        <v>602</v>
      </c>
      <c r="G105" s="467">
        <v>465.27</v>
      </c>
      <c r="H105" s="305">
        <v>12933</v>
      </c>
    </row>
    <row r="106" spans="1:8">
      <c r="A106" s="465" t="s">
        <v>395</v>
      </c>
      <c r="B106" s="3"/>
      <c r="C106" s="3"/>
      <c r="D106" s="3"/>
      <c r="E106" s="3"/>
      <c r="F106" s="3"/>
      <c r="G106" s="468">
        <f>SUM(G105)</f>
        <v>465.27</v>
      </c>
      <c r="H106" s="444"/>
    </row>
    <row r="107" spans="1:8">
      <c r="A107" s="465" t="s">
        <v>394</v>
      </c>
      <c r="B107" s="3"/>
      <c r="C107" s="3"/>
      <c r="D107" s="3"/>
      <c r="E107" s="3"/>
      <c r="F107" s="3"/>
      <c r="G107" s="3"/>
      <c r="H107" s="444"/>
    </row>
    <row r="108" spans="1:8">
      <c r="A108" s="3"/>
      <c r="B108" s="466" t="s">
        <v>730</v>
      </c>
      <c r="C108" s="466" t="s">
        <v>186</v>
      </c>
      <c r="D108" s="466">
        <v>195</v>
      </c>
      <c r="E108" s="466"/>
      <c r="F108" s="466" t="s">
        <v>212</v>
      </c>
      <c r="G108" s="467">
        <v>275</v>
      </c>
      <c r="H108" s="444"/>
    </row>
    <row r="109" spans="1:8">
      <c r="A109" s="465" t="s">
        <v>393</v>
      </c>
      <c r="B109" s="3"/>
      <c r="C109" s="3"/>
      <c r="D109" s="3"/>
      <c r="E109" s="3"/>
      <c r="F109" s="3"/>
      <c r="G109" s="468">
        <f>SUM(G108)</f>
        <v>275</v>
      </c>
      <c r="H109" s="444"/>
    </row>
    <row r="110" spans="1:8">
      <c r="A110" s="476" t="s">
        <v>601</v>
      </c>
      <c r="B110" s="3"/>
      <c r="C110" s="3"/>
      <c r="D110" s="3"/>
      <c r="E110" s="3"/>
      <c r="F110" s="3"/>
      <c r="G110" s="471">
        <f>+G106+G109</f>
        <v>740.27</v>
      </c>
      <c r="H110" s="444"/>
    </row>
    <row r="111" spans="1:8">
      <c r="A111" s="465"/>
      <c r="B111" s="3"/>
      <c r="C111" s="3"/>
      <c r="D111" s="3"/>
      <c r="E111" s="3"/>
      <c r="F111" s="3"/>
      <c r="G111" s="470"/>
      <c r="H111" s="444"/>
    </row>
    <row r="112" spans="1:8">
      <c r="A112" s="465"/>
      <c r="B112" s="3"/>
      <c r="C112" s="3"/>
      <c r="D112" s="3"/>
      <c r="E112" s="3"/>
      <c r="F112" s="3"/>
      <c r="G112" s="470"/>
      <c r="H112" s="444"/>
    </row>
    <row r="113" spans="1:8">
      <c r="A113" s="465"/>
      <c r="B113" s="3"/>
      <c r="C113" s="3"/>
      <c r="D113" s="3"/>
      <c r="E113" s="3"/>
      <c r="F113" s="3"/>
      <c r="G113" s="470"/>
      <c r="H113" s="444"/>
    </row>
    <row r="114" spans="1:8">
      <c r="A114" s="400" t="s">
        <v>357</v>
      </c>
      <c r="B114" s="3"/>
      <c r="C114" s="3"/>
      <c r="D114" s="3"/>
      <c r="E114" s="3"/>
      <c r="F114" s="3"/>
      <c r="G114" s="3"/>
      <c r="H114" s="305"/>
    </row>
    <row r="115" spans="1:8">
      <c r="A115" s="465" t="s">
        <v>406</v>
      </c>
      <c r="B115" s="3"/>
      <c r="C115" s="3"/>
      <c r="D115" s="3"/>
      <c r="E115" s="3"/>
      <c r="F115" s="3"/>
      <c r="G115" s="3"/>
      <c r="H115" s="305"/>
    </row>
    <row r="116" spans="1:8">
      <c r="A116" s="465" t="s">
        <v>214</v>
      </c>
      <c r="B116" s="3"/>
      <c r="C116" s="3"/>
      <c r="D116" s="3"/>
      <c r="E116" s="3"/>
      <c r="F116" s="3"/>
      <c r="G116" s="3"/>
      <c r="H116" s="305"/>
    </row>
    <row r="117" spans="1:8">
      <c r="A117" s="3"/>
      <c r="B117" s="466" t="s">
        <v>730</v>
      </c>
      <c r="C117" s="466" t="s">
        <v>186</v>
      </c>
      <c r="D117" s="466">
        <v>205</v>
      </c>
      <c r="E117" s="466"/>
      <c r="F117" s="466" t="s">
        <v>731</v>
      </c>
      <c r="G117" s="467">
        <v>544</v>
      </c>
      <c r="H117" s="305"/>
    </row>
    <row r="118" spans="1:8">
      <c r="A118" s="465" t="s">
        <v>475</v>
      </c>
      <c r="B118" s="3"/>
      <c r="C118" s="3"/>
      <c r="D118" s="3"/>
      <c r="E118" s="3"/>
      <c r="F118" s="3"/>
      <c r="G118" s="468">
        <f>SUM(G117)</f>
        <v>544</v>
      </c>
      <c r="H118" s="305"/>
    </row>
    <row r="119" spans="1:8">
      <c r="A119" s="465" t="s">
        <v>665</v>
      </c>
      <c r="B119" s="3"/>
      <c r="C119" s="3"/>
      <c r="D119" s="3"/>
      <c r="E119" s="3"/>
      <c r="F119" s="3"/>
      <c r="G119" s="3"/>
      <c r="H119" s="305"/>
    </row>
    <row r="120" spans="1:8">
      <c r="A120" s="3"/>
      <c r="B120" s="466" t="s">
        <v>712</v>
      </c>
      <c r="C120" s="466" t="s">
        <v>174</v>
      </c>
      <c r="D120" s="466" t="s">
        <v>718</v>
      </c>
      <c r="E120" s="466" t="s">
        <v>662</v>
      </c>
      <c r="F120" s="466" t="s">
        <v>717</v>
      </c>
      <c r="G120" s="467">
        <v>900</v>
      </c>
      <c r="H120" s="305">
        <v>12923</v>
      </c>
    </row>
    <row r="121" spans="1:8">
      <c r="A121" s="3"/>
      <c r="B121" s="466" t="s">
        <v>712</v>
      </c>
      <c r="C121" s="466" t="s">
        <v>174</v>
      </c>
      <c r="D121" s="466" t="s">
        <v>718</v>
      </c>
      <c r="E121" s="466" t="s">
        <v>662</v>
      </c>
      <c r="F121" s="385" t="s">
        <v>743</v>
      </c>
      <c r="G121" s="467">
        <v>900</v>
      </c>
      <c r="H121" s="305">
        <v>12976</v>
      </c>
    </row>
    <row r="122" spans="1:8" ht="15.75" customHeight="1">
      <c r="A122" s="465" t="s">
        <v>660</v>
      </c>
      <c r="B122" s="3"/>
      <c r="C122" s="3"/>
      <c r="D122" s="3"/>
      <c r="E122" s="3"/>
      <c r="F122" s="3"/>
      <c r="G122" s="468">
        <f>SUM(G120:G121)</f>
        <v>1800</v>
      </c>
      <c r="H122" s="444"/>
    </row>
    <row r="123" spans="1:8" ht="15.75" customHeight="1">
      <c r="A123" s="465"/>
      <c r="B123" s="3"/>
      <c r="C123" s="3"/>
      <c r="D123" s="3"/>
      <c r="E123" s="3"/>
      <c r="F123" s="3"/>
      <c r="G123" s="468"/>
      <c r="H123" s="444"/>
    </row>
    <row r="124" spans="1:8" s="269" customFormat="1">
      <c r="A124" s="400" t="s">
        <v>695</v>
      </c>
      <c r="G124" s="355">
        <f>+G118+G122</f>
        <v>2344</v>
      </c>
      <c r="H124" s="444"/>
    </row>
    <row r="125" spans="1:8">
      <c r="A125" s="465"/>
      <c r="B125" s="3"/>
      <c r="C125" s="3"/>
      <c r="D125" s="3"/>
      <c r="E125" s="3"/>
      <c r="F125" s="3"/>
      <c r="G125" s="468"/>
      <c r="H125" s="444"/>
    </row>
    <row r="126" spans="1:8">
      <c r="A126" s="465"/>
      <c r="B126" s="3"/>
      <c r="C126" s="3"/>
      <c r="D126" s="3"/>
      <c r="E126" s="3"/>
      <c r="F126" s="3"/>
      <c r="G126" s="470"/>
      <c r="H126" s="444"/>
    </row>
    <row r="127" spans="1:8">
      <c r="A127" s="400" t="s">
        <v>329</v>
      </c>
      <c r="B127" s="3"/>
      <c r="C127" s="3"/>
      <c r="D127" s="3"/>
      <c r="E127" s="3"/>
      <c r="F127" s="3"/>
      <c r="G127" s="3"/>
      <c r="H127" s="444"/>
    </row>
    <row r="128" spans="1:8">
      <c r="A128" s="465" t="s">
        <v>200</v>
      </c>
      <c r="B128" s="3"/>
      <c r="C128" s="3"/>
      <c r="D128" s="3"/>
      <c r="E128" s="3"/>
      <c r="F128" s="3"/>
      <c r="G128" s="3"/>
      <c r="H128" s="444"/>
    </row>
    <row r="129" spans="1:8">
      <c r="A129" s="3"/>
      <c r="B129" s="466" t="s">
        <v>708</v>
      </c>
      <c r="C129" s="466" t="s">
        <v>174</v>
      </c>
      <c r="D129" s="466">
        <v>2027</v>
      </c>
      <c r="E129" s="466" t="s">
        <v>181</v>
      </c>
      <c r="F129" s="466" t="s">
        <v>709</v>
      </c>
      <c r="G129" s="467">
        <v>648</v>
      </c>
      <c r="H129" s="444">
        <v>12886</v>
      </c>
    </row>
    <row r="130" spans="1:8">
      <c r="A130" s="475" t="s">
        <v>344</v>
      </c>
      <c r="B130" s="3"/>
      <c r="C130" s="3"/>
      <c r="D130" s="3"/>
      <c r="E130" s="3"/>
      <c r="F130" s="3"/>
      <c r="G130" s="471">
        <f>SUM(G129)</f>
        <v>648</v>
      </c>
      <c r="H130" s="444"/>
    </row>
    <row r="131" spans="1:8">
      <c r="A131" s="465" t="s">
        <v>197</v>
      </c>
      <c r="B131" s="3"/>
      <c r="C131" s="3"/>
      <c r="D131" s="3"/>
      <c r="E131" s="3"/>
      <c r="F131" s="3"/>
      <c r="G131" s="3"/>
      <c r="H131" s="444"/>
    </row>
    <row r="132" spans="1:8">
      <c r="A132" s="465" t="s">
        <v>196</v>
      </c>
      <c r="B132" s="3"/>
      <c r="C132" s="3"/>
      <c r="D132" s="3"/>
      <c r="E132" s="3"/>
      <c r="F132" s="3"/>
      <c r="G132" s="3"/>
      <c r="H132" s="444"/>
    </row>
    <row r="133" spans="1:8">
      <c r="A133" s="3"/>
      <c r="B133" s="466" t="s">
        <v>722</v>
      </c>
      <c r="C133" s="466" t="s">
        <v>186</v>
      </c>
      <c r="D133" s="466">
        <v>208</v>
      </c>
      <c r="E133" s="466"/>
      <c r="F133" s="466" t="s">
        <v>195</v>
      </c>
      <c r="G133" s="467">
        <v>59</v>
      </c>
      <c r="H133" s="444"/>
    </row>
    <row r="134" spans="1:8">
      <c r="A134" s="3"/>
      <c r="B134" s="466" t="s">
        <v>722</v>
      </c>
      <c r="C134" s="466" t="s">
        <v>186</v>
      </c>
      <c r="D134" s="466">
        <v>208</v>
      </c>
      <c r="E134" s="466"/>
      <c r="F134" s="466" t="s">
        <v>195</v>
      </c>
      <c r="G134" s="467">
        <v>59</v>
      </c>
      <c r="H134" s="444"/>
    </row>
    <row r="135" spans="1:8">
      <c r="A135" s="465" t="s">
        <v>468</v>
      </c>
      <c r="B135" s="3"/>
      <c r="C135" s="3"/>
      <c r="D135" s="3"/>
      <c r="E135" s="3"/>
      <c r="F135" s="3"/>
      <c r="G135" s="468">
        <f>SUM(G133:G134)</f>
        <v>118</v>
      </c>
      <c r="H135" s="444"/>
    </row>
    <row r="136" spans="1:8">
      <c r="A136" s="465" t="s">
        <v>191</v>
      </c>
      <c r="B136" s="3"/>
      <c r="C136" s="3"/>
      <c r="D136" s="3"/>
      <c r="E136" s="3"/>
      <c r="F136" s="3"/>
      <c r="G136" s="3"/>
      <c r="H136" s="444"/>
    </row>
    <row r="137" spans="1:8">
      <c r="A137" s="465" t="s">
        <v>466</v>
      </c>
      <c r="B137" s="3"/>
      <c r="C137" s="3"/>
      <c r="D137" s="3"/>
      <c r="E137" s="3"/>
      <c r="F137" s="3"/>
      <c r="G137" s="3"/>
      <c r="H137" s="444"/>
    </row>
    <row r="138" spans="1:8">
      <c r="A138" s="3"/>
      <c r="B138" s="466" t="s">
        <v>711</v>
      </c>
      <c r="C138" s="466" t="s">
        <v>186</v>
      </c>
      <c r="D138" s="466">
        <v>209</v>
      </c>
      <c r="E138" s="466"/>
      <c r="F138" s="466" t="s">
        <v>190</v>
      </c>
      <c r="G138" s="467">
        <v>50</v>
      </c>
      <c r="H138" s="444"/>
    </row>
    <row r="139" spans="1:8">
      <c r="A139" s="3"/>
      <c r="B139" s="466" t="s">
        <v>711</v>
      </c>
      <c r="C139" s="466" t="s">
        <v>186</v>
      </c>
      <c r="D139" s="466">
        <v>209</v>
      </c>
      <c r="E139" s="466"/>
      <c r="F139" s="466" t="s">
        <v>190</v>
      </c>
      <c r="G139" s="467">
        <v>50</v>
      </c>
      <c r="H139" s="444"/>
    </row>
    <row r="140" spans="1:8">
      <c r="A140" s="465" t="s">
        <v>189</v>
      </c>
      <c r="B140" s="3"/>
      <c r="C140" s="3"/>
      <c r="D140" s="3"/>
      <c r="E140" s="3"/>
      <c r="F140" s="3"/>
      <c r="G140" s="468">
        <f>SUM(G138:G139)</f>
        <v>100</v>
      </c>
      <c r="H140" s="444"/>
    </row>
    <row r="141" spans="1:8">
      <c r="A141" s="465" t="s">
        <v>593</v>
      </c>
      <c r="B141" s="3"/>
      <c r="C141" s="3"/>
      <c r="D141" s="3"/>
      <c r="E141" s="3"/>
      <c r="F141" s="3"/>
      <c r="G141" s="3"/>
      <c r="H141" s="444"/>
    </row>
    <row r="142" spans="1:8">
      <c r="A142" s="465" t="s">
        <v>592</v>
      </c>
      <c r="B142" s="3"/>
      <c r="C142" s="3"/>
      <c r="D142" s="3"/>
      <c r="E142" s="3"/>
      <c r="F142" s="3"/>
      <c r="G142" s="3"/>
      <c r="H142" s="444"/>
    </row>
    <row r="143" spans="1:8">
      <c r="A143" s="3"/>
      <c r="B143" s="466" t="s">
        <v>711</v>
      </c>
      <c r="C143" s="466" t="s">
        <v>186</v>
      </c>
      <c r="D143" s="466">
        <v>210</v>
      </c>
      <c r="E143" s="466"/>
      <c r="F143" s="466" t="s">
        <v>591</v>
      </c>
      <c r="G143" s="467">
        <v>62</v>
      </c>
      <c r="H143" s="444"/>
    </row>
    <row r="144" spans="1:8">
      <c r="A144" s="3"/>
      <c r="B144" s="466" t="s">
        <v>711</v>
      </c>
      <c r="C144" s="466" t="s">
        <v>186</v>
      </c>
      <c r="D144" s="466">
        <v>210</v>
      </c>
      <c r="E144" s="466"/>
      <c r="F144" s="466" t="s">
        <v>591</v>
      </c>
      <c r="G144" s="467">
        <v>62</v>
      </c>
      <c r="H144" s="206"/>
    </row>
    <row r="145" spans="1:8">
      <c r="A145" s="465" t="s">
        <v>590</v>
      </c>
      <c r="B145" s="3"/>
      <c r="C145" s="3"/>
      <c r="D145" s="3"/>
      <c r="E145" s="3"/>
      <c r="F145" s="3"/>
      <c r="G145" s="468">
        <f>SUM(G143:G144)</f>
        <v>124</v>
      </c>
      <c r="H145" s="206"/>
    </row>
    <row r="146" spans="1:8">
      <c r="B146" s="3"/>
      <c r="C146" s="3"/>
      <c r="D146" s="3"/>
      <c r="E146" s="3"/>
      <c r="F146" s="3"/>
      <c r="G146" s="468"/>
      <c r="H146" s="206"/>
    </row>
    <row r="147" spans="1:8" s="475" customFormat="1" ht="11.5">
      <c r="A147" s="475" t="s">
        <v>343</v>
      </c>
      <c r="G147" s="288">
        <f>+G135+G140+G145</f>
        <v>342</v>
      </c>
      <c r="H147" s="444"/>
    </row>
    <row r="148" spans="1:8" s="478" customFormat="1" ht="11.5">
      <c r="A148" s="477"/>
      <c r="G148" s="480"/>
      <c r="H148" s="444"/>
    </row>
    <row r="149" spans="1:8" s="479" customFormat="1" ht="15.75" customHeight="1" thickBot="1">
      <c r="A149" s="475" t="s">
        <v>353</v>
      </c>
      <c r="G149" s="287">
        <f>+G147+G130</f>
        <v>990</v>
      </c>
      <c r="H149" s="444"/>
    </row>
    <row r="150" spans="1:8" ht="15" thickTop="1">
      <c r="B150" s="3"/>
      <c r="C150" s="3"/>
      <c r="D150" s="3"/>
      <c r="E150" s="3"/>
      <c r="F150" s="3"/>
      <c r="G150" s="470"/>
      <c r="H150" s="444"/>
    </row>
    <row r="151" spans="1:8">
      <c r="A151" s="475" t="s">
        <v>507</v>
      </c>
      <c r="B151" s="3"/>
      <c r="C151" s="3"/>
      <c r="D151" s="3"/>
      <c r="E151" s="3"/>
      <c r="F151" s="3"/>
      <c r="G151" s="3"/>
      <c r="H151" s="444"/>
    </row>
    <row r="152" spans="1:8">
      <c r="A152" s="465" t="s">
        <v>193</v>
      </c>
      <c r="B152" s="3"/>
      <c r="C152" s="3"/>
      <c r="D152" s="3"/>
      <c r="E152" s="3"/>
      <c r="F152" s="3"/>
      <c r="G152" s="3"/>
      <c r="H152" s="444"/>
    </row>
    <row r="153" spans="1:8">
      <c r="A153" s="3"/>
      <c r="B153" s="466" t="s">
        <v>730</v>
      </c>
      <c r="C153" s="466" t="s">
        <v>186</v>
      </c>
      <c r="D153" s="466">
        <v>211</v>
      </c>
      <c r="E153" s="466"/>
      <c r="F153" s="466" t="s">
        <v>192</v>
      </c>
      <c r="G153" s="467">
        <v>75</v>
      </c>
      <c r="H153" s="444"/>
    </row>
    <row r="154" spans="1:8">
      <c r="A154" s="3"/>
      <c r="B154" s="466" t="s">
        <v>730</v>
      </c>
      <c r="C154" s="466" t="s">
        <v>186</v>
      </c>
      <c r="D154" s="466">
        <v>211</v>
      </c>
      <c r="E154" s="466"/>
      <c r="F154" s="466" t="s">
        <v>192</v>
      </c>
      <c r="G154" s="467">
        <v>75</v>
      </c>
      <c r="H154" s="444"/>
    </row>
    <row r="155" spans="1:8">
      <c r="A155" s="482" t="s">
        <v>467</v>
      </c>
      <c r="B155" s="3"/>
      <c r="C155" s="3"/>
      <c r="D155" s="3"/>
      <c r="E155" s="3"/>
      <c r="F155" s="3"/>
      <c r="G155" s="468">
        <f>SUM(G153:G154)</f>
        <v>150</v>
      </c>
      <c r="H155" s="444"/>
    </row>
    <row r="156" spans="1:8">
      <c r="A156" s="465"/>
      <c r="B156" s="3"/>
      <c r="C156" s="3"/>
      <c r="D156" s="3"/>
      <c r="E156" s="3"/>
      <c r="F156" s="3"/>
      <c r="G156" s="468"/>
      <c r="H156" s="444"/>
    </row>
    <row r="157" spans="1:8">
      <c r="A157" s="475" t="s">
        <v>334</v>
      </c>
      <c r="B157" s="3"/>
      <c r="C157" s="3"/>
      <c r="D157" s="3"/>
      <c r="E157" s="3"/>
      <c r="F157" s="3"/>
      <c r="G157" s="470"/>
      <c r="H157" s="444"/>
    </row>
    <row r="158" spans="1:8">
      <c r="A158" s="465" t="s">
        <v>217</v>
      </c>
      <c r="B158" s="3"/>
      <c r="C158" s="3"/>
      <c r="D158" s="3"/>
      <c r="E158" s="3"/>
      <c r="F158" s="3"/>
      <c r="G158" s="3"/>
      <c r="H158" s="305"/>
    </row>
    <row r="159" spans="1:8">
      <c r="A159" s="465" t="s">
        <v>407</v>
      </c>
      <c r="B159" s="3"/>
      <c r="C159" s="3"/>
      <c r="D159" s="3"/>
      <c r="E159" s="3"/>
      <c r="F159" s="3"/>
      <c r="G159" s="3"/>
      <c r="H159" s="305"/>
    </row>
    <row r="160" spans="1:8">
      <c r="A160" s="3"/>
      <c r="B160" s="466" t="s">
        <v>730</v>
      </c>
      <c r="C160" s="466" t="s">
        <v>186</v>
      </c>
      <c r="D160" s="466">
        <v>194</v>
      </c>
      <c r="E160" s="466"/>
      <c r="F160" s="466" t="s">
        <v>216</v>
      </c>
      <c r="G160" s="467">
        <v>334</v>
      </c>
      <c r="H160" s="305"/>
    </row>
    <row r="161" spans="1:8">
      <c r="A161" s="465" t="s">
        <v>476</v>
      </c>
      <c r="B161" s="3"/>
      <c r="C161" s="3"/>
      <c r="D161" s="3"/>
      <c r="E161" s="3"/>
      <c r="F161" s="3"/>
      <c r="G161" s="468">
        <f>SUM(G160)</f>
        <v>334</v>
      </c>
      <c r="H161" s="305"/>
    </row>
    <row r="162" spans="1:8">
      <c r="A162" s="465" t="s">
        <v>203</v>
      </c>
      <c r="B162" s="3"/>
      <c r="C162" s="3"/>
      <c r="D162" s="3"/>
      <c r="E162" s="3"/>
      <c r="F162" s="3"/>
      <c r="G162" s="3"/>
      <c r="H162" s="444"/>
    </row>
    <row r="163" spans="1:8">
      <c r="A163" s="3"/>
      <c r="B163" s="466" t="s">
        <v>730</v>
      </c>
      <c r="C163" s="466" t="s">
        <v>186</v>
      </c>
      <c r="D163" s="466">
        <v>200</v>
      </c>
      <c r="E163" s="466"/>
      <c r="F163" s="466" t="s">
        <v>202</v>
      </c>
      <c r="G163" s="467">
        <v>35</v>
      </c>
      <c r="H163" s="444"/>
    </row>
    <row r="164" spans="1:8">
      <c r="A164" s="465" t="s">
        <v>201</v>
      </c>
      <c r="B164" s="3"/>
      <c r="C164" s="3"/>
      <c r="D164" s="3"/>
      <c r="E164" s="3"/>
      <c r="F164" s="3"/>
      <c r="G164" s="468">
        <f>SUM(G163)</f>
        <v>35</v>
      </c>
      <c r="H164" s="444"/>
    </row>
    <row r="165" spans="1:8">
      <c r="A165" s="465"/>
      <c r="B165" s="3"/>
      <c r="C165" s="3"/>
      <c r="D165" s="3"/>
      <c r="E165" s="3"/>
      <c r="F165" s="3"/>
      <c r="G165" s="470"/>
      <c r="H165" s="444"/>
    </row>
    <row r="166" spans="1:8" ht="15" thickBot="1">
      <c r="A166" s="276" t="s">
        <v>335</v>
      </c>
      <c r="B166" s="3"/>
      <c r="C166" s="3"/>
      <c r="D166" s="3"/>
      <c r="E166" s="3"/>
      <c r="F166" s="3"/>
      <c r="G166" s="287">
        <f>+G161+G164</f>
        <v>369</v>
      </c>
      <c r="H166" s="444"/>
    </row>
    <row r="167" spans="1:8" ht="15" thickTop="1">
      <c r="B167" s="3"/>
      <c r="C167" s="3"/>
      <c r="D167" s="3"/>
      <c r="E167" s="3"/>
      <c r="F167" s="3"/>
      <c r="G167" s="470"/>
      <c r="H167" s="444"/>
    </row>
    <row r="168" spans="1:8">
      <c r="A168" s="481" t="s">
        <v>338</v>
      </c>
      <c r="B168" s="3"/>
      <c r="C168" s="3"/>
      <c r="D168" s="3"/>
      <c r="E168" s="3"/>
      <c r="F168" s="3"/>
      <c r="G168" s="3"/>
      <c r="H168" s="444"/>
    </row>
    <row r="169" spans="1:8">
      <c r="A169" s="465" t="s">
        <v>209</v>
      </c>
      <c r="B169" s="3"/>
      <c r="C169" s="3"/>
      <c r="D169" s="3"/>
      <c r="E169" s="3"/>
      <c r="F169" s="3"/>
      <c r="G169" s="3"/>
      <c r="H169" s="444"/>
    </row>
    <row r="170" spans="1:8">
      <c r="A170" s="3"/>
      <c r="B170" s="466" t="s">
        <v>713</v>
      </c>
      <c r="C170" s="466" t="s">
        <v>174</v>
      </c>
      <c r="D170" s="466" t="s">
        <v>714</v>
      </c>
      <c r="E170" s="466" t="s">
        <v>433</v>
      </c>
      <c r="F170" s="466" t="s">
        <v>541</v>
      </c>
      <c r="G170" s="467">
        <v>135.02000000000001</v>
      </c>
      <c r="H170" s="444">
        <v>12931</v>
      </c>
    </row>
    <row r="171" spans="1:8">
      <c r="A171" s="465" t="s">
        <v>207</v>
      </c>
      <c r="B171" s="3"/>
      <c r="C171" s="3"/>
      <c r="D171" s="3"/>
      <c r="E171" s="3"/>
      <c r="F171" s="3"/>
      <c r="G171" s="468">
        <f>SUM(G170)</f>
        <v>135.02000000000001</v>
      </c>
      <c r="H171" s="206"/>
    </row>
    <row r="172" spans="1:8">
      <c r="A172" s="465" t="s">
        <v>540</v>
      </c>
      <c r="B172" s="3"/>
      <c r="C172" s="3"/>
      <c r="D172" s="3"/>
      <c r="E172" s="3"/>
      <c r="F172" s="3"/>
      <c r="G172" s="3"/>
      <c r="H172" s="444"/>
    </row>
    <row r="173" spans="1:8">
      <c r="A173" s="3"/>
      <c r="B173" s="466" t="s">
        <v>713</v>
      </c>
      <c r="C173" s="466" t="s">
        <v>533</v>
      </c>
      <c r="D173" s="466"/>
      <c r="E173" s="466" t="s">
        <v>537</v>
      </c>
      <c r="F173" s="466" t="s">
        <v>710</v>
      </c>
      <c r="G173" s="467">
        <v>16.95</v>
      </c>
      <c r="H173" s="444" t="s">
        <v>282</v>
      </c>
    </row>
    <row r="174" spans="1:8">
      <c r="A174" s="3"/>
      <c r="B174" s="466" t="s">
        <v>712</v>
      </c>
      <c r="C174" s="466" t="s">
        <v>533</v>
      </c>
      <c r="D174" s="466"/>
      <c r="E174" s="466" t="s">
        <v>537</v>
      </c>
      <c r="F174" s="466" t="s">
        <v>710</v>
      </c>
      <c r="G174" s="467">
        <v>16.95</v>
      </c>
      <c r="H174" s="444" t="s">
        <v>282</v>
      </c>
    </row>
    <row r="175" spans="1:8">
      <c r="A175" s="3"/>
      <c r="B175" s="466" t="s">
        <v>711</v>
      </c>
      <c r="C175" s="466" t="s">
        <v>533</v>
      </c>
      <c r="D175" s="466"/>
      <c r="E175" s="466" t="s">
        <v>537</v>
      </c>
      <c r="F175" s="466" t="s">
        <v>710</v>
      </c>
      <c r="G175" s="467">
        <v>21.9</v>
      </c>
      <c r="H175" s="444" t="s">
        <v>282</v>
      </c>
    </row>
    <row r="176" spans="1:8">
      <c r="A176" s="465" t="s">
        <v>535</v>
      </c>
      <c r="B176" s="3"/>
      <c r="C176" s="3"/>
      <c r="D176" s="3"/>
      <c r="E176" s="3"/>
      <c r="F176" s="3"/>
      <c r="G176" s="468">
        <f>SUM(G173:G175)</f>
        <v>55.8</v>
      </c>
      <c r="H176" s="444"/>
    </row>
    <row r="177" spans="1:8">
      <c r="A177" s="465" t="s">
        <v>206</v>
      </c>
      <c r="B177" s="3"/>
      <c r="C177" s="3"/>
      <c r="D177" s="3"/>
      <c r="E177" s="3"/>
      <c r="F177" s="3"/>
      <c r="G177" s="3"/>
      <c r="H177" s="444"/>
    </row>
    <row r="178" spans="1:8">
      <c r="A178" s="3"/>
      <c r="B178" s="466" t="s">
        <v>730</v>
      </c>
      <c r="C178" s="466" t="s">
        <v>186</v>
      </c>
      <c r="D178" s="466">
        <v>197</v>
      </c>
      <c r="E178" s="466"/>
      <c r="F178" s="466" t="s">
        <v>205</v>
      </c>
      <c r="G178" s="467">
        <v>117</v>
      </c>
      <c r="H178" s="444"/>
    </row>
    <row r="179" spans="1:8">
      <c r="A179" s="465" t="s">
        <v>204</v>
      </c>
      <c r="B179" s="3"/>
      <c r="C179" s="3"/>
      <c r="D179" s="3"/>
      <c r="E179" s="3"/>
      <c r="F179" s="3"/>
      <c r="G179" s="468">
        <f>SUM(G178)</f>
        <v>117</v>
      </c>
      <c r="H179" s="444"/>
    </row>
    <row r="180" spans="1:8">
      <c r="A180" s="465"/>
      <c r="B180" s="3"/>
      <c r="C180" s="3"/>
      <c r="D180" s="3"/>
      <c r="E180" s="3"/>
      <c r="F180" s="3"/>
      <c r="G180" s="468"/>
      <c r="H180" s="444"/>
    </row>
    <row r="181" spans="1:8" ht="15" thickBot="1">
      <c r="A181" s="482" t="s">
        <v>623</v>
      </c>
      <c r="B181" s="3"/>
      <c r="C181" s="3"/>
      <c r="D181" s="3"/>
      <c r="E181" s="3"/>
      <c r="F181" s="3"/>
      <c r="G181" s="287">
        <v>249.82</v>
      </c>
      <c r="H181" s="444"/>
    </row>
    <row r="182" spans="1:8" ht="15" thickTop="1">
      <c r="A182" s="465"/>
      <c r="B182" s="3"/>
      <c r="C182" s="3"/>
      <c r="D182" s="3"/>
      <c r="E182" s="3"/>
      <c r="F182" s="3"/>
      <c r="G182" s="470"/>
      <c r="H182" s="444"/>
    </row>
    <row r="183" spans="1:8">
      <c r="A183" s="465"/>
      <c r="B183" s="3"/>
      <c r="C183" s="3"/>
      <c r="D183" s="3"/>
      <c r="E183" s="3"/>
      <c r="F183" s="3"/>
      <c r="G183" s="470"/>
      <c r="H183" s="444"/>
    </row>
    <row r="184" spans="1:8">
      <c r="A184" s="465"/>
      <c r="B184" s="3"/>
      <c r="C184" s="3"/>
      <c r="D184" s="3"/>
      <c r="E184" s="3"/>
      <c r="F184" s="3"/>
      <c r="G184" s="470"/>
      <c r="H184" s="444"/>
    </row>
    <row r="185" spans="1:8">
      <c r="A185" s="465"/>
      <c r="B185" s="3"/>
      <c r="C185" s="3"/>
      <c r="D185" s="3"/>
      <c r="E185" s="3"/>
      <c r="F185" s="3"/>
      <c r="G185" s="470"/>
      <c r="H185" s="444"/>
    </row>
    <row r="186" spans="1:8">
      <c r="A186" s="465"/>
      <c r="B186" s="3"/>
      <c r="C186" s="3"/>
      <c r="D186" s="3"/>
      <c r="E186" s="3"/>
      <c r="F186" s="3"/>
      <c r="G186" s="470"/>
      <c r="H186" s="444"/>
    </row>
    <row r="187" spans="1:8">
      <c r="A187" s="476" t="s">
        <v>188</v>
      </c>
      <c r="B187" s="3"/>
      <c r="C187" s="3"/>
      <c r="D187" s="3"/>
      <c r="E187" s="3"/>
      <c r="F187" s="3"/>
      <c r="G187" s="3"/>
      <c r="H187" s="444"/>
    </row>
    <row r="188" spans="1:8">
      <c r="A188" s="465" t="s">
        <v>382</v>
      </c>
      <c r="B188" s="3"/>
      <c r="C188" s="3"/>
      <c r="D188" s="3"/>
      <c r="E188" s="3"/>
      <c r="F188" s="3"/>
      <c r="G188" s="3"/>
      <c r="H188" s="444"/>
    </row>
    <row r="189" spans="1:8">
      <c r="A189" s="465" t="s">
        <v>381</v>
      </c>
      <c r="B189" s="3"/>
      <c r="C189" s="3"/>
      <c r="D189" s="3"/>
      <c r="E189" s="3"/>
      <c r="F189" s="3"/>
      <c r="G189" s="3"/>
      <c r="H189" s="206"/>
    </row>
    <row r="190" spans="1:8">
      <c r="A190" s="3"/>
      <c r="B190" s="466" t="s">
        <v>730</v>
      </c>
      <c r="C190" s="466" t="s">
        <v>186</v>
      </c>
      <c r="D190" s="466">
        <v>206</v>
      </c>
      <c r="E190" s="466"/>
      <c r="F190" s="466" t="s">
        <v>185</v>
      </c>
      <c r="G190" s="467">
        <v>145</v>
      </c>
      <c r="H190" s="444"/>
    </row>
    <row r="191" spans="1:8">
      <c r="A191" s="3"/>
      <c r="B191" s="466" t="s">
        <v>730</v>
      </c>
      <c r="C191" s="466" t="s">
        <v>186</v>
      </c>
      <c r="D191" s="466">
        <v>206</v>
      </c>
      <c r="E191" s="466"/>
      <c r="F191" s="466" t="s">
        <v>185</v>
      </c>
      <c r="G191" s="467">
        <v>145</v>
      </c>
      <c r="H191" s="444"/>
    </row>
    <row r="192" spans="1:8">
      <c r="A192" s="476" t="s">
        <v>588</v>
      </c>
      <c r="B192" s="3"/>
      <c r="C192" s="3"/>
      <c r="D192" s="3"/>
      <c r="E192" s="3"/>
      <c r="F192" s="3"/>
      <c r="G192" s="471">
        <f>SUM(G190:G191)</f>
        <v>290</v>
      </c>
      <c r="H192" s="444"/>
    </row>
    <row r="193" spans="1:8">
      <c r="A193" s="465"/>
      <c r="B193" s="3"/>
      <c r="C193" s="3"/>
      <c r="D193" s="3"/>
      <c r="E193" s="3"/>
      <c r="F193" s="3"/>
      <c r="G193" s="468"/>
      <c r="H193" s="444"/>
    </row>
    <row r="194" spans="1:8" s="269" customFormat="1">
      <c r="A194" s="443"/>
      <c r="G194" s="362"/>
      <c r="H194" s="444"/>
    </row>
    <row r="195" spans="1:8">
      <c r="A195" s="351" t="s">
        <v>349</v>
      </c>
      <c r="G195" s="359"/>
      <c r="H195" s="206"/>
    </row>
    <row r="196" spans="1:8">
      <c r="B196" s="483" t="s">
        <v>730</v>
      </c>
      <c r="C196" s="305" t="s">
        <v>186</v>
      </c>
      <c r="D196" s="305">
        <v>227</v>
      </c>
      <c r="E196" s="305"/>
      <c r="F196" s="305" t="s">
        <v>744</v>
      </c>
      <c r="G196" s="371">
        <v>26606.29</v>
      </c>
      <c r="H196" s="206"/>
    </row>
    <row r="197" spans="1:8" ht="15" thickBot="1">
      <c r="A197" s="351" t="s">
        <v>346</v>
      </c>
      <c r="G197" s="457">
        <f>SUM(G196)</f>
        <v>26606.29</v>
      </c>
      <c r="H197" s="206"/>
    </row>
    <row r="198" spans="1:8" s="407" customFormat="1" ht="15" customHeight="1" thickTop="1">
      <c r="A198" s="410"/>
      <c r="G198" s="455"/>
      <c r="H198" s="419"/>
    </row>
    <row r="199" spans="1:8">
      <c r="A199" s="465"/>
      <c r="B199" s="3"/>
      <c r="C199" s="3"/>
      <c r="D199" s="3"/>
      <c r="E199" s="3"/>
      <c r="F199" s="3"/>
      <c r="G199" s="470"/>
      <c r="H199" s="444"/>
    </row>
    <row r="200" spans="1:8">
      <c r="A200" s="465"/>
      <c r="B200" s="3"/>
      <c r="C200" s="3"/>
      <c r="D200" s="3"/>
      <c r="E200" s="3"/>
      <c r="F200" s="3"/>
      <c r="G200" s="470"/>
      <c r="H200" s="444"/>
    </row>
    <row r="201" spans="1:8">
      <c r="A201" s="465"/>
      <c r="B201" s="3"/>
      <c r="C201" s="3"/>
      <c r="D201" s="3"/>
      <c r="E201" s="3"/>
      <c r="F201" s="3"/>
      <c r="G201" s="470"/>
      <c r="H201" s="444"/>
    </row>
    <row r="202" spans="1:8">
      <c r="A202" s="600" t="s">
        <v>742</v>
      </c>
      <c r="B202" s="600"/>
      <c r="C202" s="600"/>
      <c r="D202" s="600"/>
      <c r="E202" s="600"/>
      <c r="F202" s="600"/>
      <c r="G202" s="600"/>
      <c r="H202" s="600"/>
    </row>
    <row r="203" spans="1:8">
      <c r="A203" s="469"/>
      <c r="B203" s="469"/>
      <c r="C203" s="469"/>
      <c r="D203" s="469"/>
      <c r="E203" s="469"/>
      <c r="F203" s="469"/>
      <c r="G203" s="469"/>
      <c r="H203" s="469"/>
    </row>
    <row r="204" spans="1:8">
      <c r="A204" s="469"/>
      <c r="B204" s="469"/>
      <c r="C204" s="469"/>
      <c r="D204" s="469"/>
      <c r="E204" s="469"/>
      <c r="F204" s="469"/>
      <c r="G204" s="469"/>
      <c r="H204" s="469"/>
    </row>
    <row r="205" spans="1:8">
      <c r="A205" s="469"/>
      <c r="B205" s="469"/>
      <c r="C205" s="469"/>
      <c r="D205" s="469"/>
      <c r="E205" s="469"/>
      <c r="F205" s="469"/>
      <c r="G205" s="469"/>
      <c r="H205" s="469"/>
    </row>
    <row r="206" spans="1:8">
      <c r="A206" s="469"/>
      <c r="B206" s="469"/>
      <c r="C206" s="469"/>
      <c r="D206" s="469"/>
      <c r="E206" s="469"/>
      <c r="F206" s="469"/>
      <c r="G206" s="469"/>
      <c r="H206" s="469"/>
    </row>
    <row r="207" spans="1:8">
      <c r="A207" s="469"/>
      <c r="B207" s="469"/>
      <c r="C207" s="469"/>
      <c r="D207" s="469"/>
      <c r="E207" s="469"/>
      <c r="F207" s="469"/>
      <c r="G207" s="469"/>
      <c r="H207" s="469"/>
    </row>
    <row r="208" spans="1:8">
      <c r="A208" s="469"/>
      <c r="B208" s="469"/>
      <c r="C208" s="469"/>
      <c r="D208" s="469"/>
      <c r="E208" s="469"/>
      <c r="F208" s="469"/>
      <c r="G208" s="469"/>
      <c r="H208" s="469"/>
    </row>
    <row r="209" spans="1:8">
      <c r="A209" s="469"/>
      <c r="B209" s="469"/>
      <c r="C209" s="469"/>
      <c r="D209" s="469"/>
      <c r="E209" s="469"/>
      <c r="F209" s="469"/>
      <c r="G209" s="469"/>
      <c r="H209" s="469"/>
    </row>
    <row r="210" spans="1:8">
      <c r="A210" s="469"/>
      <c r="B210" s="469"/>
      <c r="C210" s="469"/>
      <c r="D210" s="469"/>
      <c r="E210" s="469"/>
      <c r="F210" s="469"/>
      <c r="G210" s="469"/>
      <c r="H210" s="469"/>
    </row>
    <row r="211" spans="1:8">
      <c r="A211" s="469"/>
      <c r="B211" s="469"/>
      <c r="C211" s="469"/>
      <c r="D211" s="469"/>
      <c r="E211" s="469"/>
      <c r="F211" s="469"/>
      <c r="G211" s="469"/>
      <c r="H211" s="469"/>
    </row>
    <row r="212" spans="1:8">
      <c r="A212" s="469"/>
      <c r="B212" s="469"/>
      <c r="C212" s="469"/>
      <c r="D212" s="469"/>
      <c r="E212" s="469"/>
      <c r="F212" s="469"/>
      <c r="G212" s="469"/>
      <c r="H212" s="469"/>
    </row>
    <row r="213" spans="1:8">
      <c r="A213" s="469"/>
      <c r="B213" s="469"/>
      <c r="C213" s="469"/>
      <c r="D213" s="469"/>
      <c r="E213" s="469"/>
      <c r="F213" s="469"/>
      <c r="G213" s="469"/>
      <c r="H213" s="469"/>
    </row>
    <row r="214" spans="1:8">
      <c r="A214" s="469"/>
      <c r="B214" s="469"/>
      <c r="C214" s="469"/>
      <c r="D214" s="469"/>
      <c r="E214" s="469"/>
      <c r="F214" s="469"/>
      <c r="G214" s="469"/>
      <c r="H214" s="469"/>
    </row>
    <row r="215" spans="1:8">
      <c r="A215" s="469"/>
      <c r="B215" s="469"/>
      <c r="C215" s="469"/>
      <c r="D215" s="469"/>
      <c r="E215" s="469"/>
      <c r="F215" s="469"/>
      <c r="G215" s="469"/>
      <c r="H215" s="469"/>
    </row>
    <row r="216" spans="1:8">
      <c r="A216" s="469"/>
      <c r="B216" s="469"/>
      <c r="C216" s="469"/>
      <c r="D216" s="469"/>
      <c r="E216" s="469"/>
      <c r="F216" s="469"/>
      <c r="G216" s="469"/>
      <c r="H216" s="469"/>
    </row>
    <row r="217" spans="1:8">
      <c r="A217" s="469"/>
      <c r="B217" s="469"/>
      <c r="C217" s="469"/>
      <c r="D217" s="469"/>
      <c r="E217" s="469"/>
      <c r="F217" s="469"/>
      <c r="G217" s="469"/>
      <c r="H217" s="469"/>
    </row>
    <row r="218" spans="1:8">
      <c r="A218" s="469"/>
      <c r="B218" s="469"/>
      <c r="C218" s="469"/>
      <c r="D218" s="469"/>
      <c r="E218" s="469"/>
      <c r="F218" s="469"/>
      <c r="G218" s="469"/>
      <c r="H218" s="469"/>
    </row>
    <row r="219" spans="1:8">
      <c r="A219" s="469"/>
      <c r="B219" s="469"/>
      <c r="C219" s="469"/>
      <c r="D219" s="469"/>
      <c r="E219" s="469"/>
      <c r="F219" s="469"/>
      <c r="G219" s="469"/>
      <c r="H219" s="469"/>
    </row>
    <row r="220" spans="1:8">
      <c r="A220" s="469"/>
      <c r="B220" s="469"/>
      <c r="C220" s="469"/>
      <c r="D220" s="469"/>
      <c r="E220" s="469"/>
      <c r="F220" s="469"/>
      <c r="G220" s="469"/>
      <c r="H220" s="469"/>
    </row>
    <row r="221" spans="1:8">
      <c r="H221" s="444"/>
    </row>
    <row r="222" spans="1:8">
      <c r="H222" s="444"/>
    </row>
    <row r="223" spans="1:8">
      <c r="H223" s="444"/>
    </row>
    <row r="224" spans="1:8">
      <c r="H224" s="444"/>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444"/>
    </row>
    <row r="236" spans="8:8">
      <c r="H236" s="444"/>
    </row>
    <row r="237" spans="8:8">
      <c r="H237" s="444"/>
    </row>
    <row r="238" spans="8:8">
      <c r="H238" s="444"/>
    </row>
    <row r="239" spans="8:8">
      <c r="H239" s="206"/>
    </row>
    <row r="240" spans="8:8">
      <c r="H240" s="206"/>
    </row>
    <row r="241" spans="8:8">
      <c r="H241" s="206"/>
    </row>
    <row r="242" spans="8:8">
      <c r="H242" s="419"/>
    </row>
  </sheetData>
  <sortState ref="A93:H98">
    <sortCondition ref="E93:E98"/>
    <sortCondition ref="H93:H98"/>
  </sortState>
  <mergeCells count="4">
    <mergeCell ref="A1:H1"/>
    <mergeCell ref="A2:H2"/>
    <mergeCell ref="A3:H3"/>
    <mergeCell ref="A202:H202"/>
  </mergeCells>
  <printOptions horizontalCentered="1" headings="1" gridLines="1"/>
  <pageMargins left="0.27" right="0.27" top="0.45" bottom="0.45" header="8.5300000000000001E-2" footer="8.5300000000000001E-2"/>
  <pageSetup scale="85" orientation="landscape" r:id="rId1"/>
  <headerFooter>
    <oddFooter>&amp;L&amp;8Page &amp;P of &amp;N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pageSetUpPr fitToPage="1"/>
  </sheetPr>
  <dimension ref="A1:J95"/>
  <sheetViews>
    <sheetView zoomScaleNormal="100" zoomScaleSheetLayoutView="70" workbookViewId="0">
      <selection activeCell="C9" sqref="C9"/>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4" t="s">
        <v>54</v>
      </c>
      <c r="F1" s="104"/>
      <c r="G1" s="497">
        <v>43862</v>
      </c>
      <c r="H1" s="498"/>
      <c r="I1" s="106" t="s">
        <v>49</v>
      </c>
    </row>
    <row r="2" spans="1:9" ht="21">
      <c r="A2" s="37" t="s">
        <v>152</v>
      </c>
      <c r="B2" s="35"/>
      <c r="C2" s="35"/>
      <c r="D2" s="36"/>
      <c r="E2" s="505"/>
      <c r="F2" s="65"/>
      <c r="G2" s="499"/>
      <c r="H2" s="49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E6+'Jan-2020'!F6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E7+'Jan-2020'!F7</f>
        <v>31250</v>
      </c>
      <c r="G7" s="143">
        <v>66000</v>
      </c>
      <c r="H7" s="144">
        <f>G7-F7</f>
        <v>34750</v>
      </c>
      <c r="I7" s="108">
        <f t="shared" ref="I7:I20" si="1">F7/G7</f>
        <v>0.47348484848484851</v>
      </c>
    </row>
    <row r="8" spans="1:9" s="103" customFormat="1" ht="25.5" customHeight="1">
      <c r="A8" s="138" t="s">
        <v>155</v>
      </c>
      <c r="B8" s="139">
        <f>+'Feb-2020 PL'!$J$38</f>
        <v>1538.47</v>
      </c>
      <c r="C8" s="140"/>
      <c r="D8" s="141"/>
      <c r="E8" s="142">
        <f t="shared" si="0"/>
        <v>1538.47</v>
      </c>
      <c r="F8" s="143">
        <f>E8+'Jan-2020'!F8</f>
        <v>19230.88</v>
      </c>
      <c r="G8" s="143">
        <v>40000</v>
      </c>
      <c r="H8" s="144">
        <f t="shared" ref="H8:H12" si="2">G8-F8</f>
        <v>20769.12</v>
      </c>
      <c r="I8" s="108">
        <f t="shared" si="1"/>
        <v>0.48077200000000003</v>
      </c>
    </row>
    <row r="9" spans="1:9" s="103" customFormat="1" ht="25.5" customHeight="1">
      <c r="A9" s="138" t="s">
        <v>147</v>
      </c>
      <c r="B9" s="139">
        <f>+'Feb-2020 PL'!$J$39</f>
        <v>1153.8499999999999</v>
      </c>
      <c r="C9" s="140">
        <f>+'Feb-2020 PL'!$J$66</f>
        <v>112.68</v>
      </c>
      <c r="D9" s="141"/>
      <c r="E9" s="142">
        <f t="shared" si="0"/>
        <v>1266.53</v>
      </c>
      <c r="F9" s="143">
        <f>E9+'Jan-2020'!F9</f>
        <v>14997.460000000001</v>
      </c>
      <c r="G9" s="143">
        <v>30000</v>
      </c>
      <c r="H9" s="144">
        <f t="shared" si="2"/>
        <v>15002.539999999999</v>
      </c>
      <c r="I9" s="108">
        <f t="shared" si="1"/>
        <v>0.49991533333333338</v>
      </c>
    </row>
    <row r="10" spans="1:9" s="103" customFormat="1" ht="25.5" customHeight="1">
      <c r="A10" s="138" t="s">
        <v>156</v>
      </c>
      <c r="B10" s="139"/>
      <c r="C10" s="140"/>
      <c r="D10" s="141"/>
      <c r="E10" s="142">
        <f t="shared" si="0"/>
        <v>0</v>
      </c>
      <c r="F10" s="143">
        <f>E10+'Jan-2020'!F10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E11+'Jan-2020'!F11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E12+'Jan-2020'!F12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2692.3199999999997</v>
      </c>
      <c r="C16" s="147">
        <f>SUM(C6:C15)</f>
        <v>112.68</v>
      </c>
      <c r="D16" s="147">
        <f t="shared" ref="D16" si="3">SUM(D6:D15)</f>
        <v>0</v>
      </c>
      <c r="E16" s="147">
        <f>SUM(E6:E15)</f>
        <v>2805</v>
      </c>
      <c r="F16" s="148">
        <f>SUM(F6:F15)</f>
        <v>100682.2</v>
      </c>
      <c r="G16" s="148">
        <f>SUM(G6:G15)</f>
        <v>213900</v>
      </c>
      <c r="H16" s="148">
        <f>SUM(H6:H15)</f>
        <v>113217.8</v>
      </c>
      <c r="I16" s="108">
        <f t="shared" si="1"/>
        <v>0.47069752220663863</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E18+'Jan-2020'!F18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2692.3199999999997</v>
      </c>
      <c r="C20" s="158">
        <f t="shared" si="5"/>
        <v>112.68</v>
      </c>
      <c r="D20" s="158">
        <f t="shared" si="5"/>
        <v>0</v>
      </c>
      <c r="E20" s="159">
        <f t="shared" si="5"/>
        <v>2805</v>
      </c>
      <c r="F20" s="198">
        <f t="shared" si="5"/>
        <v>138695.82003087801</v>
      </c>
      <c r="G20" s="73">
        <f>G16+G18</f>
        <v>282036</v>
      </c>
      <c r="H20" s="73">
        <f>H16+H18</f>
        <v>143340.17996912199</v>
      </c>
      <c r="I20" s="110">
        <f t="shared" si="1"/>
        <v>0.4917663703600888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+'Feb-2020 PL'!$J$92</f>
        <v>165.12</v>
      </c>
      <c r="E23" s="142">
        <f>SUM(B23:D23)</f>
        <v>165.12</v>
      </c>
      <c r="F23" s="143">
        <f>E23+'Jan-2020'!F23</f>
        <v>2397.4399999999996</v>
      </c>
      <c r="G23" s="143">
        <v>4000</v>
      </c>
      <c r="H23" s="144">
        <f>G23-F23</f>
        <v>1602.5600000000004</v>
      </c>
      <c r="I23" s="108">
        <f t="shared" ref="I23:I37" si="6">F23/G23</f>
        <v>0.59935999999999989</v>
      </c>
      <c r="J23" s="102"/>
    </row>
    <row r="24" spans="1:10" s="103" customFormat="1" ht="24" customHeight="1">
      <c r="A24" s="161" t="s">
        <v>0</v>
      </c>
      <c r="B24" s="139"/>
      <c r="C24" s="140"/>
      <c r="D24" s="141"/>
      <c r="E24" s="142">
        <f t="shared" ref="E24:E35" si="7">SUM(B24:D24)</f>
        <v>0</v>
      </c>
      <c r="F24" s="143">
        <f>E24+'Jan-2020'!F24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E25+'Jan-2020'!F25</f>
        <v>0</v>
      </c>
      <c r="G25" s="143">
        <v>2000</v>
      </c>
      <c r="H25" s="144">
        <f t="shared" si="8"/>
        <v>2000</v>
      </c>
      <c r="I25" s="108">
        <f t="shared" si="6"/>
        <v>0</v>
      </c>
      <c r="J25" s="102"/>
    </row>
    <row r="26" spans="1:10" s="103" customFormat="1" ht="24" customHeight="1">
      <c r="A26" s="161" t="s">
        <v>40</v>
      </c>
      <c r="B26" s="139">
        <f>+'Feb-2020 PL'!$J$73</f>
        <v>900</v>
      </c>
      <c r="C26" s="140"/>
      <c r="D26" s="141"/>
      <c r="E26" s="142">
        <f t="shared" si="7"/>
        <v>900</v>
      </c>
      <c r="F26" s="143">
        <f>E26+'Jan-2020'!F26</f>
        <v>9154.69</v>
      </c>
      <c r="G26" s="143">
        <v>13200</v>
      </c>
      <c r="H26" s="144">
        <f t="shared" si="8"/>
        <v>4045.3099999999995</v>
      </c>
      <c r="I26" s="108">
        <f t="shared" si="6"/>
        <v>0.6935371212121213</v>
      </c>
      <c r="J26" s="102"/>
    </row>
    <row r="27" spans="1:10" s="103" customFormat="1" ht="24" customHeight="1">
      <c r="A27" s="161" t="s">
        <v>41</v>
      </c>
      <c r="B27" s="139"/>
      <c r="C27" s="140"/>
      <c r="D27" s="141">
        <f>+'Feb-2020 PL'!$J$85</f>
        <v>648</v>
      </c>
      <c r="E27" s="142">
        <f t="shared" si="7"/>
        <v>648</v>
      </c>
      <c r="F27" s="143">
        <f>E27+'Jan-2020'!F27</f>
        <v>8802.27</v>
      </c>
      <c r="G27" s="143">
        <v>12000</v>
      </c>
      <c r="H27" s="144">
        <f t="shared" si="8"/>
        <v>3197.7299999999996</v>
      </c>
      <c r="I27" s="108">
        <f t="shared" si="6"/>
        <v>0.73352250000000008</v>
      </c>
      <c r="J27" s="102"/>
    </row>
    <row r="28" spans="1:10" s="103" customFormat="1" ht="24" customHeight="1">
      <c r="A28" s="161" t="s">
        <v>42</v>
      </c>
      <c r="B28" s="139"/>
      <c r="C28" s="9"/>
      <c r="D28" s="9"/>
      <c r="E28" s="142">
        <f>SUM(B28:D28)</f>
        <v>0</v>
      </c>
      <c r="F28" s="143">
        <f>E28+'Jan-2020'!F28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E29+'Jan-2020'!F29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E30+'Jan-2020'!F30</f>
        <v>2131.9499999999998</v>
      </c>
      <c r="G30" s="143">
        <v>6475</v>
      </c>
      <c r="H30" s="144">
        <f t="shared" si="8"/>
        <v>4343.05</v>
      </c>
      <c r="I30" s="108">
        <f t="shared" si="6"/>
        <v>0.32925868725868723</v>
      </c>
      <c r="J30" s="102"/>
    </row>
    <row r="31" spans="1:10" s="103" customFormat="1" ht="24" customHeight="1">
      <c r="A31" s="162" t="s">
        <v>44</v>
      </c>
      <c r="B31" s="139">
        <f>+'Feb-2020 PL'!$J$31</f>
        <v>401.87</v>
      </c>
      <c r="C31" s="140"/>
      <c r="D31" s="141"/>
      <c r="E31" s="142">
        <f t="shared" si="7"/>
        <v>401.87</v>
      </c>
      <c r="F31" s="143">
        <f>E31+'Jan-2020'!F31</f>
        <v>9037.77</v>
      </c>
      <c r="G31" s="143">
        <v>13000</v>
      </c>
      <c r="H31" s="144">
        <f t="shared" si="8"/>
        <v>3962.2299999999996</v>
      </c>
      <c r="I31" s="108">
        <f t="shared" si="6"/>
        <v>0.69521307692307699</v>
      </c>
      <c r="J31" s="102"/>
    </row>
    <row r="32" spans="1:10" s="103" customFormat="1" ht="24" customHeight="1">
      <c r="A32" s="162" t="s">
        <v>81</v>
      </c>
      <c r="B32" s="139"/>
      <c r="C32" s="140"/>
      <c r="D32" s="141"/>
      <c r="E32" s="142">
        <f t="shared" si="7"/>
        <v>0</v>
      </c>
      <c r="F32" s="143">
        <f>E32+'Jan-2020'!F32</f>
        <v>0</v>
      </c>
      <c r="G32" s="143">
        <v>1500</v>
      </c>
      <c r="H32" s="144">
        <f>G32-F32</f>
        <v>1500</v>
      </c>
      <c r="I32" s="108">
        <f t="shared" si="6"/>
        <v>0</v>
      </c>
      <c r="J32" s="102"/>
    </row>
    <row r="33" spans="1:10" s="103" customFormat="1" ht="24" customHeight="1">
      <c r="A33" s="162" t="s">
        <v>45</v>
      </c>
      <c r="B33" s="139"/>
      <c r="C33" s="140"/>
      <c r="D33" s="141"/>
      <c r="E33" s="142">
        <f t="shared" si="7"/>
        <v>0</v>
      </c>
      <c r="F33" s="143">
        <f>E33+'Jan-2020'!F33</f>
        <v>2280.8200000000002</v>
      </c>
      <c r="G33" s="143">
        <v>3000.7</v>
      </c>
      <c r="H33" s="144">
        <f>G33-F33</f>
        <v>719.87999999999965</v>
      </c>
      <c r="I33" s="108">
        <f t="shared" si="6"/>
        <v>0.76009597760522551</v>
      </c>
      <c r="J33" s="102"/>
    </row>
    <row r="34" spans="1:10" s="103" customFormat="1" ht="24" customHeight="1">
      <c r="A34" s="162" t="s">
        <v>77</v>
      </c>
      <c r="B34" s="139"/>
      <c r="C34" s="140"/>
      <c r="D34" s="141">
        <f>+'Feb-2020 PL'!$J$79</f>
        <v>135.02000000000001</v>
      </c>
      <c r="E34" s="142">
        <f t="shared" si="7"/>
        <v>135.02000000000001</v>
      </c>
      <c r="F34" s="143">
        <f>E34+'Jan-2020'!F34</f>
        <v>2059.64</v>
      </c>
      <c r="G34" s="143">
        <v>3000</v>
      </c>
      <c r="H34" s="144">
        <f t="shared" si="4"/>
        <v>940.36000000000013</v>
      </c>
      <c r="I34" s="108">
        <f t="shared" si="6"/>
        <v>0.68654666666666664</v>
      </c>
      <c r="J34" s="102"/>
    </row>
    <row r="35" spans="1:10" s="103" customFormat="1" ht="24" customHeight="1">
      <c r="A35" s="162" t="s">
        <v>150</v>
      </c>
      <c r="B35" s="139"/>
      <c r="C35" s="140"/>
      <c r="D35" s="141"/>
      <c r="E35" s="142">
        <f t="shared" si="7"/>
        <v>0</v>
      </c>
      <c r="F35" s="143">
        <f>E35+'Jan-2020'!F35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E36+'Jan-2020'!F36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1301.8699999999999</v>
      </c>
      <c r="C37" s="166">
        <f t="shared" ref="C37:E37" si="12">SUM(C23:C36)</f>
        <v>0</v>
      </c>
      <c r="D37" s="166">
        <f t="shared" si="12"/>
        <v>948.14</v>
      </c>
      <c r="E37" s="166">
        <f t="shared" si="12"/>
        <v>2250.0099999999998</v>
      </c>
      <c r="F37" s="167">
        <f>SUM(F23:F36)</f>
        <v>44831.530000000006</v>
      </c>
      <c r="G37" s="167">
        <f>SUM(G23:G36)</f>
        <v>76745.7</v>
      </c>
      <c r="H37" s="167">
        <f>SUM(H23:H36)</f>
        <v>31914.17</v>
      </c>
      <c r="I37" s="110">
        <f t="shared" si="6"/>
        <v>0.58415689738969101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+'Feb-2020 PL'!$J$21</f>
        <v>62739.9</v>
      </c>
      <c r="D41" s="170"/>
      <c r="E41" s="171">
        <f>SUM(B41:D41)</f>
        <v>62739.9</v>
      </c>
      <c r="F41" s="143">
        <f>E41+'Jan-2020'!F41</f>
        <v>769325.62</v>
      </c>
      <c r="G41" s="144">
        <v>1452829.24</v>
      </c>
      <c r="H41" s="144">
        <f>G41-F41-F42</f>
        <v>681510.48</v>
      </c>
      <c r="I41" s="108">
        <f t="shared" ref="I41:I56" si="13">F41/G41</f>
        <v>0.52953616214387311</v>
      </c>
    </row>
    <row r="42" spans="1:10" s="168" customFormat="1" ht="21.75" customHeight="1">
      <c r="A42" s="138" t="s">
        <v>83</v>
      </c>
      <c r="B42" s="139"/>
      <c r="C42" s="170">
        <f>+'Feb-2020 PL'!$J$24</f>
        <v>150.07</v>
      </c>
      <c r="D42" s="170"/>
      <c r="E42" s="171">
        <f>SUM(B42:D42)</f>
        <v>150.07</v>
      </c>
      <c r="F42" s="143">
        <f>+E42+'Jan-2020'!F42</f>
        <v>1993.14</v>
      </c>
      <c r="G42" s="144"/>
      <c r="H42" s="144"/>
      <c r="I42" s="108" t="e">
        <f t="shared" si="13"/>
        <v>#DIV/0!</v>
      </c>
    </row>
    <row r="43" spans="1:10" s="168" customFormat="1" ht="21.75" customHeight="1">
      <c r="A43" s="138" t="s">
        <v>80</v>
      </c>
      <c r="B43" s="139"/>
      <c r="C43" s="170"/>
      <c r="D43" s="170"/>
      <c r="E43" s="171">
        <f t="shared" ref="E43:E47" si="14">SUM(B43:D43)</f>
        <v>0</v>
      </c>
      <c r="F43" s="143">
        <f>E43+'Jan-2020'!F43</f>
        <v>0</v>
      </c>
      <c r="G43" s="144">
        <v>12820</v>
      </c>
      <c r="H43" s="144">
        <f t="shared" ref="H43:H47" si="15">G43-F43</f>
        <v>12820</v>
      </c>
      <c r="I43" s="108">
        <f t="shared" si="13"/>
        <v>0</v>
      </c>
    </row>
    <row r="44" spans="1:10" s="168" customFormat="1" ht="21.75" customHeight="1">
      <c r="A44" s="138" t="s">
        <v>78</v>
      </c>
      <c r="B44" s="139"/>
      <c r="C44" s="170">
        <f>+'Feb-2020 PL'!$J$28</f>
        <v>4799.28</v>
      </c>
      <c r="D44" s="170"/>
      <c r="E44" s="171">
        <f t="shared" si="14"/>
        <v>4799.28</v>
      </c>
      <c r="F44" s="143">
        <f>E44+'Jan-2020'!F44</f>
        <v>56707.86</v>
      </c>
      <c r="G44" s="144">
        <v>111141.44</v>
      </c>
      <c r="H44" s="144">
        <f t="shared" si="15"/>
        <v>54433.58</v>
      </c>
      <c r="I44" s="108">
        <f t="shared" si="13"/>
        <v>0.51023146721870793</v>
      </c>
    </row>
    <row r="45" spans="1:10" s="168" customFormat="1" ht="21.75" customHeight="1">
      <c r="A45" s="138" t="s">
        <v>29</v>
      </c>
      <c r="B45" s="139"/>
      <c r="C45" s="140"/>
      <c r="D45" s="140"/>
      <c r="E45" s="172">
        <f t="shared" si="14"/>
        <v>0</v>
      </c>
      <c r="F45" s="143">
        <f>E45+'Jan-2020'!F45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E46+'Jan-2020'!F46</f>
        <v>0</v>
      </c>
      <c r="G46" s="144">
        <v>8500</v>
      </c>
      <c r="H46" s="144">
        <f t="shared" si="15"/>
        <v>8500</v>
      </c>
      <c r="I46" s="108">
        <f t="shared" si="13"/>
        <v>0</v>
      </c>
    </row>
    <row r="47" spans="1:10" s="168" customFormat="1" ht="21.75" customHeight="1">
      <c r="A47" s="138" t="s">
        <v>168</v>
      </c>
      <c r="B47" s="151"/>
      <c r="C47" s="152"/>
      <c r="D47" s="152"/>
      <c r="E47" s="172">
        <f t="shared" si="14"/>
        <v>0</v>
      </c>
      <c r="F47" s="143">
        <f>E47+'Jan-2020'!F47</f>
        <v>0</v>
      </c>
      <c r="G47" s="74">
        <v>29630</v>
      </c>
      <c r="H47" s="144">
        <f t="shared" si="15"/>
        <v>29630</v>
      </c>
      <c r="I47" s="108">
        <f t="shared" si="13"/>
        <v>0</v>
      </c>
    </row>
    <row r="48" spans="1:10" s="168" customFormat="1" ht="21.75" customHeight="1" thickBot="1">
      <c r="A48" s="117" t="s">
        <v>30</v>
      </c>
      <c r="B48" s="165">
        <f>SUM(B41:B47)</f>
        <v>0</v>
      </c>
      <c r="C48" s="166">
        <f t="shared" ref="C48:E48" si="16">SUM(C41:C47)</f>
        <v>67689.25</v>
      </c>
      <c r="D48" s="166">
        <f t="shared" si="16"/>
        <v>0</v>
      </c>
      <c r="E48" s="166">
        <f t="shared" si="16"/>
        <v>67689.25</v>
      </c>
      <c r="F48" s="75">
        <f>SUM(F41:F47)</f>
        <v>846860.1</v>
      </c>
      <c r="G48" s="75">
        <f>SUM(G41:G47)</f>
        <v>1637294.25</v>
      </c>
      <c r="H48" s="75">
        <f t="shared" ref="H48" si="17">SUM(H41:H47)</f>
        <v>790434.14999999991</v>
      </c>
      <c r="I48" s="110">
        <f t="shared" si="13"/>
        <v>0.51723146282349675</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E50+'Jan-2020'!F50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3994.1899999999996</v>
      </c>
      <c r="C52" s="158">
        <f>C20+C37+C48</f>
        <v>67801.929999999993</v>
      </c>
      <c r="D52" s="158">
        <f>D20+D37+D48</f>
        <v>948.14</v>
      </c>
      <c r="E52" s="158">
        <f>E37+E20+E48+E50</f>
        <v>72744.259999999995</v>
      </c>
      <c r="F52" s="77">
        <f>F37+F20+F48+F50</f>
        <v>1030387.450030878</v>
      </c>
      <c r="G52" s="77">
        <f>G37+G20+G48+G50</f>
        <v>2013608.54</v>
      </c>
      <c r="H52" s="77">
        <f>H37+H20+H48+H50</f>
        <v>983221.08996912185</v>
      </c>
      <c r="I52" s="110">
        <f t="shared" si="13"/>
        <v>0.51171189909180559</v>
      </c>
    </row>
    <row r="53" spans="1:9" s="103" customFormat="1" ht="16" thickTop="1">
      <c r="A53" s="117"/>
      <c r="B53" s="178"/>
      <c r="C53" s="100"/>
      <c r="D53" s="100"/>
      <c r="E53" s="152"/>
      <c r="F53" s="78"/>
      <c r="G53" s="78"/>
      <c r="H53" s="78"/>
      <c r="I53" s="109"/>
    </row>
    <row r="54" spans="1:9" s="103" customFormat="1" ht="15.5">
      <c r="A54" s="117" t="s">
        <v>32</v>
      </c>
      <c r="B54" s="178"/>
      <c r="C54" s="100"/>
      <c r="D54" s="100"/>
      <c r="E54" s="179"/>
      <c r="F54" s="143">
        <f>E54+'Jan-2020'!F54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3994.1899999999996</v>
      </c>
      <c r="C56" s="99">
        <f t="shared" si="18"/>
        <v>67801.929999999993</v>
      </c>
      <c r="D56" s="99">
        <f t="shared" si="18"/>
        <v>948.14</v>
      </c>
      <c r="E56" s="158">
        <f t="shared" si="18"/>
        <v>72744.259999999995</v>
      </c>
      <c r="F56" s="77">
        <f t="shared" si="18"/>
        <v>1106787.450030878</v>
      </c>
      <c r="G56" s="77">
        <f t="shared" si="18"/>
        <v>2256075.86</v>
      </c>
      <c r="H56" s="77">
        <f t="shared" si="18"/>
        <v>1149288.4099691219</v>
      </c>
      <c r="I56" s="110">
        <f t="shared" si="13"/>
        <v>0.49058077773629388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4803.21</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4803.21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1"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K102"/>
  <sheetViews>
    <sheetView workbookViewId="0">
      <selection activeCell="H66" sqref="H1:H1048576"/>
    </sheetView>
  </sheetViews>
  <sheetFormatPr defaultRowHeight="14.5"/>
  <cols>
    <col min="1" max="1" width="57.54296875" style="490" customWidth="1"/>
    <col min="2" max="7" width="5.453125" style="490" customWidth="1"/>
    <col min="8" max="8" width="67.1796875" style="490" bestFit="1" customWidth="1"/>
    <col min="9" max="9" width="18.90625" style="490" customWidth="1"/>
    <col min="10" max="10" width="11.1796875" style="490" customWidth="1"/>
    <col min="11" max="11" width="7.7265625" style="490" customWidth="1"/>
    <col min="12" max="16384" width="8.7265625" style="490"/>
  </cols>
  <sheetData>
    <row r="1" spans="1:11" ht="18">
      <c r="A1" s="592" t="s">
        <v>277</v>
      </c>
      <c r="B1" s="593"/>
      <c r="C1" s="593"/>
      <c r="D1" s="593"/>
      <c r="E1" s="593"/>
      <c r="F1" s="593"/>
      <c r="G1" s="593"/>
      <c r="H1" s="593"/>
      <c r="I1" s="593"/>
      <c r="J1" s="593"/>
      <c r="K1" s="593"/>
    </row>
    <row r="2" spans="1:11" ht="18">
      <c r="A2" s="592" t="s">
        <v>747</v>
      </c>
      <c r="B2" s="593"/>
      <c r="C2" s="593"/>
      <c r="D2" s="593"/>
      <c r="E2" s="593"/>
      <c r="F2" s="593"/>
      <c r="G2" s="593"/>
      <c r="H2" s="593"/>
      <c r="I2" s="593"/>
      <c r="J2" s="593"/>
      <c r="K2" s="593"/>
    </row>
    <row r="3" spans="1:11">
      <c r="A3" s="594" t="s">
        <v>896</v>
      </c>
      <c r="B3" s="593"/>
      <c r="C3" s="593"/>
      <c r="D3" s="593"/>
      <c r="E3" s="593"/>
      <c r="F3" s="593"/>
      <c r="G3" s="593"/>
      <c r="H3" s="593"/>
      <c r="I3" s="593"/>
      <c r="J3" s="593"/>
      <c r="K3" s="593"/>
    </row>
    <row r="5" spans="1:11" ht="47">
      <c r="B5" s="484" t="s">
        <v>153</v>
      </c>
      <c r="C5" s="484" t="s">
        <v>430</v>
      </c>
      <c r="D5" s="484" t="s">
        <v>274</v>
      </c>
      <c r="E5" s="484" t="s">
        <v>273</v>
      </c>
      <c r="F5" s="484" t="s">
        <v>748</v>
      </c>
      <c r="G5" s="484" t="s">
        <v>749</v>
      </c>
      <c r="H5" s="484" t="s">
        <v>272</v>
      </c>
      <c r="I5" s="484" t="s">
        <v>750</v>
      </c>
      <c r="J5" s="484" t="s">
        <v>271</v>
      </c>
      <c r="K5" s="484" t="s">
        <v>751</v>
      </c>
    </row>
    <row r="6" spans="1:11">
      <c r="A6" s="485" t="s">
        <v>752</v>
      </c>
    </row>
    <row r="7" spans="1:11">
      <c r="A7" s="485" t="s">
        <v>753</v>
      </c>
    </row>
    <row r="8" spans="1:11">
      <c r="A8" s="485" t="s">
        <v>754</v>
      </c>
    </row>
    <row r="9" spans="1:11">
      <c r="A9" s="485" t="s">
        <v>755</v>
      </c>
    </row>
    <row r="10" spans="1:11">
      <c r="A10" s="485" t="s">
        <v>756</v>
      </c>
    </row>
    <row r="11" spans="1:11" ht="41.5">
      <c r="B11" s="486" t="s">
        <v>897</v>
      </c>
      <c r="C11" s="486" t="s">
        <v>186</v>
      </c>
      <c r="D11" s="486">
        <v>189</v>
      </c>
      <c r="E11" s="486"/>
      <c r="F11" s="486"/>
      <c r="G11" s="486" t="s">
        <v>757</v>
      </c>
      <c r="H11" s="486" t="s">
        <v>758</v>
      </c>
      <c r="I11" s="487" t="s">
        <v>759</v>
      </c>
      <c r="J11" s="488">
        <v>0</v>
      </c>
      <c r="K11" s="488">
        <v>0</v>
      </c>
    </row>
    <row r="12" spans="1:11" ht="41.5">
      <c r="B12" s="486" t="s">
        <v>897</v>
      </c>
      <c r="C12" s="486" t="s">
        <v>186</v>
      </c>
      <c r="D12" s="486">
        <v>189</v>
      </c>
      <c r="E12" s="486"/>
      <c r="F12" s="486"/>
      <c r="G12" s="486" t="s">
        <v>757</v>
      </c>
      <c r="H12" s="486" t="s">
        <v>758</v>
      </c>
      <c r="I12" s="487" t="s">
        <v>759</v>
      </c>
      <c r="J12" s="488">
        <v>67941.05</v>
      </c>
      <c r="K12" s="488">
        <v>67941.05</v>
      </c>
    </row>
    <row r="13" spans="1:11">
      <c r="A13" s="485" t="s">
        <v>760</v>
      </c>
      <c r="J13" s="489">
        <v>67941.05</v>
      </c>
    </row>
    <row r="14" spans="1:11">
      <c r="A14" s="485" t="s">
        <v>761</v>
      </c>
      <c r="J14" s="489">
        <v>67941.05</v>
      </c>
    </row>
    <row r="15" spans="1:11">
      <c r="A15" s="485" t="s">
        <v>762</v>
      </c>
      <c r="J15" s="489">
        <v>67941.05</v>
      </c>
    </row>
    <row r="16" spans="1:11">
      <c r="A16" s="485" t="s">
        <v>763</v>
      </c>
      <c r="J16" s="489">
        <v>67941.05</v>
      </c>
    </row>
    <row r="17" spans="1:11">
      <c r="A17" s="485" t="s">
        <v>764</v>
      </c>
    </row>
    <row r="18" spans="1:11">
      <c r="A18" s="485" t="s">
        <v>765</v>
      </c>
    </row>
    <row r="19" spans="1:11">
      <c r="A19" s="485" t="s">
        <v>766</v>
      </c>
    </row>
    <row r="20" spans="1:11" ht="41.5">
      <c r="B20" s="486" t="s">
        <v>897</v>
      </c>
      <c r="C20" s="486" t="s">
        <v>186</v>
      </c>
      <c r="D20" s="486">
        <v>189</v>
      </c>
      <c r="E20" s="486"/>
      <c r="F20" s="486"/>
      <c r="G20" s="486" t="s">
        <v>757</v>
      </c>
      <c r="H20" s="486" t="s">
        <v>898</v>
      </c>
      <c r="I20" s="487" t="s">
        <v>759</v>
      </c>
      <c r="J20" s="488">
        <v>62739.9</v>
      </c>
      <c r="K20" s="488">
        <v>62739.9</v>
      </c>
    </row>
    <row r="21" spans="1:11">
      <c r="A21" s="485" t="s">
        <v>767</v>
      </c>
      <c r="J21" s="489">
        <v>62739.9</v>
      </c>
    </row>
    <row r="22" spans="1:11">
      <c r="A22" s="485" t="s">
        <v>768</v>
      </c>
    </row>
    <row r="23" spans="1:11" ht="41.5">
      <c r="B23" s="486" t="s">
        <v>899</v>
      </c>
      <c r="C23" s="486" t="s">
        <v>174</v>
      </c>
      <c r="D23" s="486" t="s">
        <v>900</v>
      </c>
      <c r="E23" s="486" t="s">
        <v>901</v>
      </c>
      <c r="F23" s="486"/>
      <c r="G23" s="486" t="s">
        <v>757</v>
      </c>
      <c r="H23" s="486" t="s">
        <v>902</v>
      </c>
      <c r="I23" s="486" t="s">
        <v>772</v>
      </c>
      <c r="J23" s="488">
        <v>150.07</v>
      </c>
      <c r="K23" s="488">
        <v>150.07</v>
      </c>
    </row>
    <row r="24" spans="1:11">
      <c r="A24" s="485" t="s">
        <v>774</v>
      </c>
      <c r="J24" s="489">
        <v>150.07</v>
      </c>
    </row>
    <row r="25" spans="1:11">
      <c r="A25" s="485" t="s">
        <v>775</v>
      </c>
      <c r="J25" s="489">
        <v>62889.97</v>
      </c>
    </row>
    <row r="26" spans="1:11">
      <c r="A26" s="485" t="s">
        <v>776</v>
      </c>
    </row>
    <row r="27" spans="1:11" ht="41.5">
      <c r="B27" s="486" t="s">
        <v>897</v>
      </c>
      <c r="C27" s="486" t="s">
        <v>186</v>
      </c>
      <c r="D27" s="486">
        <v>189</v>
      </c>
      <c r="E27" s="486"/>
      <c r="F27" s="486"/>
      <c r="G27" s="486" t="s">
        <v>757</v>
      </c>
      <c r="H27" s="486" t="s">
        <v>675</v>
      </c>
      <c r="I27" s="487" t="s">
        <v>759</v>
      </c>
      <c r="J27" s="488">
        <v>4799.28</v>
      </c>
      <c r="K27" s="488">
        <v>4799.28</v>
      </c>
    </row>
    <row r="28" spans="1:11">
      <c r="A28" s="485" t="s">
        <v>777</v>
      </c>
      <c r="J28" s="489">
        <v>4799.28</v>
      </c>
    </row>
    <row r="29" spans="1:11">
      <c r="A29" s="485" t="s">
        <v>780</v>
      </c>
    </row>
    <row r="30" spans="1:11" ht="41.5">
      <c r="B30" s="486" t="s">
        <v>897</v>
      </c>
      <c r="C30" s="486" t="s">
        <v>186</v>
      </c>
      <c r="D30" s="486">
        <v>189</v>
      </c>
      <c r="E30" s="486"/>
      <c r="F30" s="486"/>
      <c r="G30" s="486" t="s">
        <v>757</v>
      </c>
      <c r="H30" s="486" t="s">
        <v>415</v>
      </c>
      <c r="I30" s="487" t="s">
        <v>759</v>
      </c>
      <c r="J30" s="488">
        <v>401.87</v>
      </c>
      <c r="K30" s="488">
        <v>401.87</v>
      </c>
    </row>
    <row r="31" spans="1:11">
      <c r="A31" s="485" t="s">
        <v>781</v>
      </c>
      <c r="J31" s="489">
        <v>401.87</v>
      </c>
    </row>
    <row r="32" spans="1:11">
      <c r="A32" s="485" t="s">
        <v>782</v>
      </c>
      <c r="J32" s="489">
        <v>68091.12</v>
      </c>
    </row>
    <row r="33" spans="1:11">
      <c r="A33" s="485" t="s">
        <v>783</v>
      </c>
    </row>
    <row r="34" spans="1:11">
      <c r="A34" s="485" t="s">
        <v>784</v>
      </c>
    </row>
    <row r="35" spans="1:11" ht="41.5">
      <c r="B35" s="486" t="s">
        <v>903</v>
      </c>
      <c r="C35" s="486" t="s">
        <v>186</v>
      </c>
      <c r="D35" s="486">
        <v>259</v>
      </c>
      <c r="E35" s="486"/>
      <c r="F35" s="486"/>
      <c r="G35" s="486" t="s">
        <v>757</v>
      </c>
      <c r="H35" s="486" t="s">
        <v>904</v>
      </c>
      <c r="I35" s="487" t="s">
        <v>759</v>
      </c>
      <c r="J35" s="488">
        <v>0</v>
      </c>
      <c r="K35" s="488">
        <v>0</v>
      </c>
    </row>
    <row r="36" spans="1:11" ht="41.5">
      <c r="B36" s="486" t="s">
        <v>903</v>
      </c>
      <c r="C36" s="486" t="s">
        <v>186</v>
      </c>
      <c r="D36" s="486">
        <v>259</v>
      </c>
      <c r="E36" s="486"/>
      <c r="F36" s="486"/>
      <c r="G36" s="486" t="s">
        <v>757</v>
      </c>
      <c r="H36" s="486" t="s">
        <v>905</v>
      </c>
      <c r="I36" s="487" t="s">
        <v>759</v>
      </c>
      <c r="J36" s="488">
        <v>2500</v>
      </c>
      <c r="K36" s="488">
        <v>2500</v>
      </c>
    </row>
    <row r="37" spans="1:11" ht="41.5">
      <c r="B37" s="486" t="s">
        <v>903</v>
      </c>
      <c r="C37" s="486" t="s">
        <v>186</v>
      </c>
      <c r="D37" s="486">
        <v>259</v>
      </c>
      <c r="E37" s="486"/>
      <c r="F37" s="486"/>
      <c r="G37" s="486" t="s">
        <v>757</v>
      </c>
      <c r="H37" s="486" t="s">
        <v>906</v>
      </c>
      <c r="I37" s="487" t="s">
        <v>759</v>
      </c>
      <c r="J37" s="488">
        <v>2361.16</v>
      </c>
      <c r="K37" s="488">
        <v>4861.16</v>
      </c>
    </row>
    <row r="38" spans="1:11" ht="41.5">
      <c r="B38" s="486" t="s">
        <v>903</v>
      </c>
      <c r="C38" s="486" t="s">
        <v>186</v>
      </c>
      <c r="D38" s="486">
        <v>259</v>
      </c>
      <c r="E38" s="486"/>
      <c r="F38" s="486"/>
      <c r="G38" s="486" t="s">
        <v>757</v>
      </c>
      <c r="H38" s="486" t="s">
        <v>907</v>
      </c>
      <c r="I38" s="487" t="s">
        <v>759</v>
      </c>
      <c r="J38" s="488">
        <v>1538.47</v>
      </c>
      <c r="K38" s="488">
        <v>6399.63</v>
      </c>
    </row>
    <row r="39" spans="1:11" ht="41.5">
      <c r="B39" s="486" t="s">
        <v>903</v>
      </c>
      <c r="C39" s="486" t="s">
        <v>186</v>
      </c>
      <c r="D39" s="486">
        <v>259</v>
      </c>
      <c r="E39" s="486"/>
      <c r="F39" s="486"/>
      <c r="G39" s="486" t="s">
        <v>757</v>
      </c>
      <c r="H39" s="486" t="s">
        <v>908</v>
      </c>
      <c r="I39" s="487" t="s">
        <v>759</v>
      </c>
      <c r="J39" s="488">
        <v>1153.8499999999999</v>
      </c>
      <c r="K39" s="488">
        <v>7553.48</v>
      </c>
    </row>
    <row r="40" spans="1:11" ht="41.5">
      <c r="B40" s="486" t="s">
        <v>903</v>
      </c>
      <c r="C40" s="486" t="s">
        <v>186</v>
      </c>
      <c r="D40" s="486">
        <v>259</v>
      </c>
      <c r="E40" s="486"/>
      <c r="F40" s="486"/>
      <c r="G40" s="486" t="s">
        <v>757</v>
      </c>
      <c r="H40" s="486" t="s">
        <v>909</v>
      </c>
      <c r="I40" s="487" t="s">
        <v>759</v>
      </c>
      <c r="J40" s="488">
        <v>630.77</v>
      </c>
      <c r="K40" s="488">
        <v>8184.25</v>
      </c>
    </row>
    <row r="41" spans="1:11">
      <c r="A41" s="485" t="s">
        <v>787</v>
      </c>
      <c r="J41" s="489">
        <v>8184.25</v>
      </c>
    </row>
    <row r="42" spans="1:11">
      <c r="A42" s="485" t="s">
        <v>788</v>
      </c>
    </row>
    <row r="43" spans="1:11">
      <c r="A43" s="485" t="s">
        <v>789</v>
      </c>
    </row>
    <row r="44" spans="1:11" ht="61.5">
      <c r="B44" s="486" t="s">
        <v>910</v>
      </c>
      <c r="C44" s="486" t="s">
        <v>174</v>
      </c>
      <c r="D44" s="486">
        <v>293308978</v>
      </c>
      <c r="E44" s="486" t="s">
        <v>480</v>
      </c>
      <c r="F44" s="486"/>
      <c r="G44" s="486" t="s">
        <v>757</v>
      </c>
      <c r="H44" s="486" t="s">
        <v>911</v>
      </c>
      <c r="I44" s="486" t="s">
        <v>772</v>
      </c>
      <c r="J44" s="488">
        <v>3688.1</v>
      </c>
      <c r="K44" s="488">
        <v>3688.1</v>
      </c>
    </row>
    <row r="45" spans="1:11" ht="61.5">
      <c r="B45" s="486" t="s">
        <v>912</v>
      </c>
      <c r="C45" s="486" t="s">
        <v>174</v>
      </c>
      <c r="D45" s="486"/>
      <c r="E45" s="486" t="s">
        <v>480</v>
      </c>
      <c r="F45" s="486"/>
      <c r="G45" s="486" t="s">
        <v>757</v>
      </c>
      <c r="H45" s="486" t="s">
        <v>913</v>
      </c>
      <c r="I45" s="486" t="s">
        <v>772</v>
      </c>
      <c r="J45" s="488">
        <v>3581.26</v>
      </c>
      <c r="K45" s="488">
        <v>7269.36</v>
      </c>
    </row>
    <row r="46" spans="1:11">
      <c r="A46" s="485" t="s">
        <v>790</v>
      </c>
      <c r="J46" s="489">
        <v>7269.36</v>
      </c>
    </row>
    <row r="47" spans="1:11">
      <c r="A47" s="485" t="s">
        <v>791</v>
      </c>
    </row>
    <row r="48" spans="1:11" ht="51.5">
      <c r="B48" s="486" t="s">
        <v>910</v>
      </c>
      <c r="C48" s="486" t="s">
        <v>174</v>
      </c>
      <c r="D48" s="486" t="s">
        <v>914</v>
      </c>
      <c r="E48" s="486" t="s">
        <v>243</v>
      </c>
      <c r="F48" s="486"/>
      <c r="G48" s="486" t="s">
        <v>757</v>
      </c>
      <c r="H48" s="486" t="s">
        <v>564</v>
      </c>
      <c r="I48" s="486" t="s">
        <v>772</v>
      </c>
      <c r="J48" s="488">
        <v>241.2</v>
      </c>
      <c r="K48" s="488">
        <v>241.2</v>
      </c>
    </row>
    <row r="49" spans="1:11" ht="51.5">
      <c r="B49" s="486" t="s">
        <v>912</v>
      </c>
      <c r="C49" s="486" t="s">
        <v>174</v>
      </c>
      <c r="D49" s="486" t="s">
        <v>915</v>
      </c>
      <c r="E49" s="486" t="s">
        <v>243</v>
      </c>
      <c r="F49" s="486"/>
      <c r="G49" s="486" t="s">
        <v>757</v>
      </c>
      <c r="H49" s="486" t="s">
        <v>564</v>
      </c>
      <c r="I49" s="486" t="s">
        <v>772</v>
      </c>
      <c r="J49" s="488">
        <v>241.2</v>
      </c>
      <c r="K49" s="488">
        <v>482.4</v>
      </c>
    </row>
    <row r="50" spans="1:11">
      <c r="A50" s="485" t="s">
        <v>792</v>
      </c>
      <c r="J50" s="489">
        <v>482.4</v>
      </c>
    </row>
    <row r="51" spans="1:11">
      <c r="A51" s="485" t="s">
        <v>797</v>
      </c>
      <c r="J51" s="489">
        <v>7751.76</v>
      </c>
    </row>
    <row r="52" spans="1:11">
      <c r="A52" s="485" t="s">
        <v>798</v>
      </c>
    </row>
    <row r="53" spans="1:11">
      <c r="A53" s="485" t="s">
        <v>799</v>
      </c>
    </row>
    <row r="54" spans="1:11">
      <c r="A54" s="485" t="s">
        <v>800</v>
      </c>
    </row>
    <row r="55" spans="1:11" ht="41.5">
      <c r="B55" s="486" t="s">
        <v>916</v>
      </c>
      <c r="C55" s="486" t="s">
        <v>186</v>
      </c>
      <c r="D55" s="486">
        <v>248</v>
      </c>
      <c r="E55" s="486"/>
      <c r="F55" s="486"/>
      <c r="G55" s="486" t="s">
        <v>757</v>
      </c>
      <c r="H55" s="486" t="s">
        <v>411</v>
      </c>
      <c r="I55" s="487" t="s">
        <v>759</v>
      </c>
      <c r="J55" s="488">
        <v>3064</v>
      </c>
      <c r="K55" s="488">
        <v>3064</v>
      </c>
    </row>
    <row r="56" spans="1:11" ht="41.5">
      <c r="B56" s="486" t="s">
        <v>916</v>
      </c>
      <c r="C56" s="486" t="s">
        <v>186</v>
      </c>
      <c r="D56" s="486">
        <v>248</v>
      </c>
      <c r="E56" s="486"/>
      <c r="F56" s="486"/>
      <c r="G56" s="486" t="s">
        <v>757</v>
      </c>
      <c r="H56" s="486" t="s">
        <v>411</v>
      </c>
      <c r="I56" s="487" t="s">
        <v>759</v>
      </c>
      <c r="J56" s="488">
        <v>479</v>
      </c>
      <c r="K56" s="488">
        <v>3543</v>
      </c>
    </row>
    <row r="57" spans="1:11" ht="41.5">
      <c r="B57" s="486" t="s">
        <v>917</v>
      </c>
      <c r="C57" s="486" t="s">
        <v>186</v>
      </c>
      <c r="D57" s="486">
        <v>250</v>
      </c>
      <c r="E57" s="486"/>
      <c r="F57" s="486"/>
      <c r="G57" s="486" t="s">
        <v>757</v>
      </c>
      <c r="H57" s="486" t="s">
        <v>411</v>
      </c>
      <c r="I57" s="487" t="s">
        <v>759</v>
      </c>
      <c r="J57" s="488">
        <v>479</v>
      </c>
      <c r="K57" s="488">
        <v>4022</v>
      </c>
    </row>
    <row r="58" spans="1:11">
      <c r="A58" s="485" t="s">
        <v>801</v>
      </c>
      <c r="J58" s="489">
        <v>4022</v>
      </c>
    </row>
    <row r="59" spans="1:11">
      <c r="A59" s="485" t="s">
        <v>802</v>
      </c>
      <c r="J59" s="489">
        <v>4022</v>
      </c>
    </row>
    <row r="60" spans="1:11">
      <c r="A60" s="485" t="s">
        <v>803</v>
      </c>
    </row>
    <row r="61" spans="1:11" ht="41.5">
      <c r="B61" s="486" t="s">
        <v>903</v>
      </c>
      <c r="C61" s="486" t="s">
        <v>186</v>
      </c>
      <c r="D61" s="486">
        <v>259</v>
      </c>
      <c r="E61" s="486"/>
      <c r="F61" s="486"/>
      <c r="G61" s="486" t="s">
        <v>757</v>
      </c>
      <c r="H61" s="486" t="s">
        <v>907</v>
      </c>
      <c r="I61" s="487" t="s">
        <v>759</v>
      </c>
      <c r="J61" s="488">
        <v>160.76</v>
      </c>
      <c r="K61" s="488">
        <v>160.76</v>
      </c>
    </row>
    <row r="62" spans="1:11" ht="41.5">
      <c r="B62" s="486" t="s">
        <v>903</v>
      </c>
      <c r="C62" s="486" t="s">
        <v>186</v>
      </c>
      <c r="D62" s="486">
        <v>259</v>
      </c>
      <c r="E62" s="486"/>
      <c r="F62" s="486"/>
      <c r="G62" s="486" t="s">
        <v>757</v>
      </c>
      <c r="H62" s="486" t="s">
        <v>904</v>
      </c>
      <c r="I62" s="487" t="s">
        <v>759</v>
      </c>
      <c r="J62" s="488">
        <v>0</v>
      </c>
      <c r="K62" s="488">
        <v>160.76</v>
      </c>
    </row>
    <row r="63" spans="1:11" ht="41.5">
      <c r="B63" s="486" t="s">
        <v>903</v>
      </c>
      <c r="C63" s="486" t="s">
        <v>186</v>
      </c>
      <c r="D63" s="486">
        <v>259</v>
      </c>
      <c r="E63" s="486"/>
      <c r="F63" s="486"/>
      <c r="G63" s="486" t="s">
        <v>757</v>
      </c>
      <c r="H63" s="486" t="s">
        <v>905</v>
      </c>
      <c r="I63" s="487" t="s">
        <v>759</v>
      </c>
      <c r="J63" s="488">
        <v>183.56</v>
      </c>
      <c r="K63" s="488">
        <v>344.32</v>
      </c>
    </row>
    <row r="64" spans="1:11" ht="41.5">
      <c r="B64" s="486" t="s">
        <v>903</v>
      </c>
      <c r="C64" s="486" t="s">
        <v>186</v>
      </c>
      <c r="D64" s="486">
        <v>259</v>
      </c>
      <c r="E64" s="486"/>
      <c r="F64" s="486"/>
      <c r="G64" s="486" t="s">
        <v>757</v>
      </c>
      <c r="H64" s="486" t="s">
        <v>906</v>
      </c>
      <c r="I64" s="487" t="s">
        <v>759</v>
      </c>
      <c r="J64" s="488">
        <v>241.87</v>
      </c>
      <c r="K64" s="488">
        <v>586.19000000000005</v>
      </c>
    </row>
    <row r="65" spans="1:11" ht="41.5">
      <c r="B65" s="486" t="s">
        <v>903</v>
      </c>
      <c r="C65" s="486" t="s">
        <v>186</v>
      </c>
      <c r="D65" s="486">
        <v>259</v>
      </c>
      <c r="E65" s="486"/>
      <c r="F65" s="486"/>
      <c r="G65" s="486" t="s">
        <v>757</v>
      </c>
      <c r="H65" s="486" t="s">
        <v>909</v>
      </c>
      <c r="I65" s="487" t="s">
        <v>759</v>
      </c>
      <c r="J65" s="488">
        <v>46.62</v>
      </c>
      <c r="K65" s="488">
        <v>632.80999999999995</v>
      </c>
    </row>
    <row r="66" spans="1:11" ht="41.5">
      <c r="B66" s="486" t="s">
        <v>903</v>
      </c>
      <c r="C66" s="486" t="s">
        <v>186</v>
      </c>
      <c r="D66" s="486">
        <v>259</v>
      </c>
      <c r="E66" s="486"/>
      <c r="F66" s="486"/>
      <c r="G66" s="486" t="s">
        <v>757</v>
      </c>
      <c r="H66" s="486" t="s">
        <v>908</v>
      </c>
      <c r="I66" s="487" t="s">
        <v>759</v>
      </c>
      <c r="J66" s="488">
        <v>112.68</v>
      </c>
      <c r="K66" s="488">
        <v>745.49</v>
      </c>
    </row>
    <row r="67" spans="1:11">
      <c r="A67" s="485" t="s">
        <v>804</v>
      </c>
      <c r="J67" s="489">
        <v>745.49</v>
      </c>
    </row>
    <row r="68" spans="1:11">
      <c r="A68" s="485" t="s">
        <v>811</v>
      </c>
      <c r="J68" s="489">
        <v>4767.49</v>
      </c>
    </row>
    <row r="69" spans="1:11">
      <c r="A69" s="485" t="s">
        <v>816</v>
      </c>
      <c r="J69" s="489">
        <v>20703.5</v>
      </c>
    </row>
    <row r="70" spans="1:11">
      <c r="A70" s="485" t="s">
        <v>817</v>
      </c>
    </row>
    <row r="71" spans="1:11">
      <c r="A71" s="485" t="s">
        <v>826</v>
      </c>
    </row>
    <row r="72" spans="1:11" ht="41.5">
      <c r="B72" s="486" t="s">
        <v>918</v>
      </c>
      <c r="C72" s="486" t="s">
        <v>174</v>
      </c>
      <c r="D72" s="486" t="s">
        <v>919</v>
      </c>
      <c r="E72" s="486" t="s">
        <v>662</v>
      </c>
      <c r="F72" s="486" t="s">
        <v>827</v>
      </c>
      <c r="G72" s="486" t="s">
        <v>757</v>
      </c>
      <c r="H72" s="486" t="s">
        <v>920</v>
      </c>
      <c r="I72" s="486" t="s">
        <v>772</v>
      </c>
      <c r="J72" s="488">
        <v>900</v>
      </c>
      <c r="K72" s="488">
        <v>900</v>
      </c>
    </row>
    <row r="73" spans="1:11">
      <c r="A73" s="485" t="s">
        <v>829</v>
      </c>
      <c r="J73" s="489">
        <v>900</v>
      </c>
    </row>
    <row r="74" spans="1:11">
      <c r="A74" s="485" t="s">
        <v>830</v>
      </c>
      <c r="J74" s="489">
        <v>900</v>
      </c>
    </row>
    <row r="75" spans="1:11">
      <c r="A75" s="485" t="s">
        <v>831</v>
      </c>
    </row>
    <row r="76" spans="1:11">
      <c r="A76" s="485" t="s">
        <v>838</v>
      </c>
    </row>
    <row r="77" spans="1:11">
      <c r="A77" s="485" t="s">
        <v>839</v>
      </c>
    </row>
    <row r="78" spans="1:11" ht="41.5">
      <c r="B78" s="486" t="s">
        <v>921</v>
      </c>
      <c r="C78" s="486" t="s">
        <v>174</v>
      </c>
      <c r="D78" s="486" t="s">
        <v>922</v>
      </c>
      <c r="E78" s="486" t="s">
        <v>433</v>
      </c>
      <c r="F78" s="486"/>
      <c r="G78" s="486" t="s">
        <v>757</v>
      </c>
      <c r="H78" s="486" t="s">
        <v>541</v>
      </c>
      <c r="I78" s="486" t="s">
        <v>772</v>
      </c>
      <c r="J78" s="488">
        <v>135.02000000000001</v>
      </c>
      <c r="K78" s="488">
        <v>135.02000000000001</v>
      </c>
    </row>
    <row r="79" spans="1:11">
      <c r="A79" s="485" t="s">
        <v>840</v>
      </c>
      <c r="J79" s="489">
        <v>135.02000000000001</v>
      </c>
    </row>
    <row r="80" spans="1:11">
      <c r="A80" s="485" t="s">
        <v>846</v>
      </c>
      <c r="J80" s="489">
        <v>135.02000000000001</v>
      </c>
    </row>
    <row r="81" spans="1:11">
      <c r="A81" s="485" t="s">
        <v>851</v>
      </c>
      <c r="J81" s="489">
        <v>135.02000000000001</v>
      </c>
    </row>
    <row r="82" spans="1:11">
      <c r="A82" s="485" t="s">
        <v>852</v>
      </c>
    </row>
    <row r="83" spans="1:11">
      <c r="A83" s="485" t="s">
        <v>853</v>
      </c>
    </row>
    <row r="84" spans="1:11" ht="51.5">
      <c r="B84" s="486" t="s">
        <v>910</v>
      </c>
      <c r="C84" s="486" t="s">
        <v>174</v>
      </c>
      <c r="D84" s="486"/>
      <c r="E84" s="486" t="s">
        <v>181</v>
      </c>
      <c r="F84" s="486"/>
      <c r="G84" s="486" t="s">
        <v>757</v>
      </c>
      <c r="H84" s="486" t="s">
        <v>923</v>
      </c>
      <c r="I84" s="486" t="s">
        <v>772</v>
      </c>
      <c r="J84" s="488">
        <v>648</v>
      </c>
      <c r="K84" s="488">
        <v>648</v>
      </c>
    </row>
    <row r="85" spans="1:11">
      <c r="A85" s="485" t="s">
        <v>854</v>
      </c>
      <c r="J85" s="489">
        <v>648</v>
      </c>
    </row>
    <row r="86" spans="1:11">
      <c r="A86" s="485" t="s">
        <v>877</v>
      </c>
      <c r="J86" s="489">
        <v>648</v>
      </c>
    </row>
    <row r="87" spans="1:11">
      <c r="A87" s="485" t="s">
        <v>878</v>
      </c>
    </row>
    <row r="88" spans="1:11">
      <c r="A88" s="485" t="s">
        <v>879</v>
      </c>
    </row>
    <row r="89" spans="1:11" ht="41.5">
      <c r="B89" s="486" t="s">
        <v>899</v>
      </c>
      <c r="C89" s="486" t="s">
        <v>174</v>
      </c>
      <c r="D89" s="486" t="s">
        <v>924</v>
      </c>
      <c r="E89" s="486" t="s">
        <v>370</v>
      </c>
      <c r="F89" s="486" t="s">
        <v>833</v>
      </c>
      <c r="G89" s="486" t="s">
        <v>757</v>
      </c>
      <c r="H89" s="486" t="s">
        <v>925</v>
      </c>
      <c r="I89" s="486" t="s">
        <v>772</v>
      </c>
      <c r="J89" s="488">
        <v>15.12</v>
      </c>
      <c r="K89" s="488">
        <v>15.12</v>
      </c>
    </row>
    <row r="90" spans="1:11" ht="71.5">
      <c r="B90" s="486" t="s">
        <v>921</v>
      </c>
      <c r="C90" s="486" t="s">
        <v>174</v>
      </c>
      <c r="D90" s="486"/>
      <c r="E90" s="486" t="s">
        <v>377</v>
      </c>
      <c r="F90" s="486"/>
      <c r="G90" s="486" t="s">
        <v>757</v>
      </c>
      <c r="H90" s="486" t="s">
        <v>926</v>
      </c>
      <c r="I90" s="486" t="s">
        <v>772</v>
      </c>
      <c r="J90" s="488">
        <v>150</v>
      </c>
      <c r="K90" s="488">
        <v>165.12</v>
      </c>
    </row>
    <row r="91" spans="1:11">
      <c r="A91" s="485" t="s">
        <v>880</v>
      </c>
      <c r="J91" s="489">
        <v>165.12</v>
      </c>
    </row>
    <row r="92" spans="1:11">
      <c r="A92" s="485" t="s">
        <v>881</v>
      </c>
      <c r="J92" s="489">
        <v>165.12</v>
      </c>
    </row>
    <row r="93" spans="1:11">
      <c r="A93" s="485" t="s">
        <v>927</v>
      </c>
    </row>
    <row r="94" spans="1:11">
      <c r="A94" s="485" t="s">
        <v>928</v>
      </c>
    </row>
    <row r="95" spans="1:11" ht="41.5">
      <c r="B95" s="486" t="s">
        <v>929</v>
      </c>
      <c r="C95" s="486" t="s">
        <v>174</v>
      </c>
      <c r="D95" s="486">
        <v>9613</v>
      </c>
      <c r="E95" s="486" t="s">
        <v>930</v>
      </c>
      <c r="F95" s="486" t="s">
        <v>833</v>
      </c>
      <c r="G95" s="486" t="s">
        <v>757</v>
      </c>
      <c r="H95" s="486" t="s">
        <v>931</v>
      </c>
      <c r="I95" s="486" t="s">
        <v>772</v>
      </c>
      <c r="J95" s="488">
        <v>780</v>
      </c>
      <c r="K95" s="488">
        <v>780</v>
      </c>
    </row>
    <row r="96" spans="1:11">
      <c r="A96" s="485" t="s">
        <v>932</v>
      </c>
      <c r="J96" s="489">
        <v>780</v>
      </c>
    </row>
    <row r="97" spans="1:11">
      <c r="A97" s="485" t="s">
        <v>933</v>
      </c>
      <c r="J97" s="489">
        <v>780</v>
      </c>
    </row>
    <row r="98" spans="1:11">
      <c r="A98" s="485" t="s">
        <v>882</v>
      </c>
      <c r="J98" s="489">
        <v>91422.76</v>
      </c>
    </row>
    <row r="99" spans="1:11">
      <c r="A99" s="485" t="s">
        <v>894</v>
      </c>
      <c r="J99" s="489">
        <v>-23481.71</v>
      </c>
    </row>
    <row r="102" spans="1:11">
      <c r="A102" s="595" t="s">
        <v>934</v>
      </c>
      <c r="B102" s="593"/>
      <c r="C102" s="593"/>
      <c r="D102" s="593"/>
      <c r="E102" s="593"/>
      <c r="F102" s="593"/>
      <c r="G102" s="593"/>
      <c r="H102" s="593"/>
      <c r="I102" s="593"/>
      <c r="J102" s="593"/>
      <c r="K102" s="593"/>
    </row>
  </sheetData>
  <mergeCells count="4">
    <mergeCell ref="A1:K1"/>
    <mergeCell ref="A2:K2"/>
    <mergeCell ref="A3:K3"/>
    <mergeCell ref="A102:K10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134</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pageSetUpPr fitToPage="1"/>
  </sheetPr>
  <dimension ref="A1:J95"/>
  <sheetViews>
    <sheetView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4" t="s">
        <v>55</v>
      </c>
      <c r="F1" s="104"/>
      <c r="G1" s="497">
        <v>43891</v>
      </c>
      <c r="H1" s="498"/>
      <c r="I1" s="106" t="s">
        <v>49</v>
      </c>
    </row>
    <row r="2" spans="1:9" ht="21">
      <c r="A2" s="37" t="s">
        <v>152</v>
      </c>
      <c r="B2" s="35"/>
      <c r="C2" s="35"/>
      <c r="D2" s="36"/>
      <c r="E2" s="505"/>
      <c r="F2" s="65"/>
      <c r="G2" s="499"/>
      <c r="H2" s="49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E6+'Feb-2020'!F6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E7+'Feb-2020'!F7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E8+'Feb-2020'!F8</f>
        <v>19230.88</v>
      </c>
      <c r="G8" s="143">
        <v>40000</v>
      </c>
      <c r="H8" s="144">
        <f t="shared" ref="H8:H12" si="2">G8-F8</f>
        <v>20769.12</v>
      </c>
      <c r="I8" s="108">
        <f t="shared" si="1"/>
        <v>0.48077200000000003</v>
      </c>
    </row>
    <row r="9" spans="1:9" s="103" customFormat="1" ht="25.5" customHeight="1">
      <c r="A9" s="138" t="s">
        <v>147</v>
      </c>
      <c r="B9" s="139"/>
      <c r="C9" s="140"/>
      <c r="D9" s="141"/>
      <c r="E9" s="142">
        <f t="shared" si="0"/>
        <v>0</v>
      </c>
      <c r="F9" s="143">
        <f>E9+'Feb-2020'!F9</f>
        <v>14997.460000000001</v>
      </c>
      <c r="G9" s="143">
        <v>30000</v>
      </c>
      <c r="H9" s="144">
        <f t="shared" si="2"/>
        <v>15002.539999999999</v>
      </c>
      <c r="I9" s="108">
        <f t="shared" si="1"/>
        <v>0.49991533333333338</v>
      </c>
    </row>
    <row r="10" spans="1:9" s="103" customFormat="1" ht="25.5" customHeight="1">
      <c r="A10" s="138" t="s">
        <v>156</v>
      </c>
      <c r="B10" s="139"/>
      <c r="C10" s="140"/>
      <c r="D10" s="141"/>
      <c r="E10" s="142">
        <f t="shared" si="0"/>
        <v>0</v>
      </c>
      <c r="F10" s="143">
        <f>E10+'Feb-2020'!F10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E11+'Feb-2020'!F11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E12+'Feb-2020'!F12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100682.2</v>
      </c>
      <c r="G16" s="148">
        <f>SUM(G6:G15)</f>
        <v>213900</v>
      </c>
      <c r="H16" s="148">
        <f>SUM(H6:H15)</f>
        <v>113217.8</v>
      </c>
      <c r="I16" s="108">
        <f t="shared" si="1"/>
        <v>0.47069752220663863</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E18+'Feb-2020'!F18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138695.82003087801</v>
      </c>
      <c r="G20" s="73">
        <f>G16+G18</f>
        <v>282036</v>
      </c>
      <c r="H20" s="73">
        <f>H16+H18</f>
        <v>143340.17996912199</v>
      </c>
      <c r="I20" s="110">
        <f t="shared" si="1"/>
        <v>0.4917663703600888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E23+'Feb-2020'!F23</f>
        <v>2397.4399999999996</v>
      </c>
      <c r="G23" s="143">
        <v>4000</v>
      </c>
      <c r="H23" s="144">
        <f>G23-F23</f>
        <v>1602.5600000000004</v>
      </c>
      <c r="I23" s="108">
        <f t="shared" ref="I23:I37" si="6">F23/G23</f>
        <v>0.59935999999999989</v>
      </c>
      <c r="J23" s="102"/>
    </row>
    <row r="24" spans="1:10" s="103" customFormat="1" ht="24" customHeight="1">
      <c r="A24" s="161" t="s">
        <v>0</v>
      </c>
      <c r="B24" s="139"/>
      <c r="C24" s="140"/>
      <c r="D24" s="141"/>
      <c r="E24" s="142">
        <f t="shared" ref="E24:E35" si="7">SUM(B24:D24)</f>
        <v>0</v>
      </c>
      <c r="F24" s="143">
        <f>E24+'Feb-2020'!F24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E25+'Feb-2020'!F25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E26+'Feb-2020'!F26</f>
        <v>9154.69</v>
      </c>
      <c r="G26" s="143">
        <v>13200</v>
      </c>
      <c r="H26" s="144">
        <f t="shared" si="8"/>
        <v>4045.3099999999995</v>
      </c>
      <c r="I26" s="108">
        <f t="shared" si="6"/>
        <v>0.6935371212121213</v>
      </c>
      <c r="J26" s="102"/>
    </row>
    <row r="27" spans="1:10" s="103" customFormat="1" ht="24" customHeight="1">
      <c r="A27" s="161" t="s">
        <v>41</v>
      </c>
      <c r="B27" s="139"/>
      <c r="C27" s="140"/>
      <c r="D27" s="141"/>
      <c r="E27" s="142">
        <f t="shared" si="7"/>
        <v>0</v>
      </c>
      <c r="F27" s="143">
        <f>E27+'Feb-2020'!F27</f>
        <v>8802.27</v>
      </c>
      <c r="G27" s="143">
        <v>12000</v>
      </c>
      <c r="H27" s="144">
        <f t="shared" si="8"/>
        <v>3197.7299999999996</v>
      </c>
      <c r="I27" s="108">
        <f t="shared" si="6"/>
        <v>0.73352250000000008</v>
      </c>
      <c r="J27" s="102"/>
    </row>
    <row r="28" spans="1:10" s="103" customFormat="1" ht="24" customHeight="1">
      <c r="A28" s="161" t="s">
        <v>42</v>
      </c>
      <c r="B28" s="139"/>
      <c r="C28" s="9"/>
      <c r="D28" s="9"/>
      <c r="E28" s="142">
        <f>SUM(B28:D28)</f>
        <v>0</v>
      </c>
      <c r="F28" s="143">
        <f>E28+'Feb-2020'!F28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E29+'Feb-2020'!F29</f>
        <v>0</v>
      </c>
      <c r="G29" s="143">
        <v>570</v>
      </c>
      <c r="H29" s="144">
        <f t="shared" si="8"/>
        <v>570</v>
      </c>
      <c r="I29" s="108">
        <f t="shared" si="6"/>
        <v>0</v>
      </c>
      <c r="J29" s="102"/>
    </row>
    <row r="30" spans="1:10" s="103" customFormat="1" ht="24" customHeight="1">
      <c r="A30" s="162" t="s">
        <v>43</v>
      </c>
      <c r="B30" s="139"/>
      <c r="C30" s="140"/>
      <c r="D30" s="141"/>
      <c r="E30" s="142">
        <f t="shared" si="7"/>
        <v>0</v>
      </c>
      <c r="F30" s="143">
        <f>E30+'Feb-2020'!F30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E31+'Feb-2020'!F31</f>
        <v>9037.77</v>
      </c>
      <c r="G31" s="143">
        <v>13000</v>
      </c>
      <c r="H31" s="144">
        <f t="shared" si="8"/>
        <v>3962.2299999999996</v>
      </c>
      <c r="I31" s="108">
        <f t="shared" si="6"/>
        <v>0.69521307692307699</v>
      </c>
      <c r="J31" s="102"/>
    </row>
    <row r="32" spans="1:10" s="103" customFormat="1" ht="24" customHeight="1">
      <c r="A32" s="162" t="s">
        <v>81</v>
      </c>
      <c r="B32" s="139"/>
      <c r="C32" s="140"/>
      <c r="D32" s="141"/>
      <c r="E32" s="142">
        <f t="shared" si="7"/>
        <v>0</v>
      </c>
      <c r="F32" s="143">
        <f>E32+'Feb-2020'!F32</f>
        <v>0</v>
      </c>
      <c r="G32" s="143">
        <v>1500</v>
      </c>
      <c r="H32" s="144">
        <f>G32-F32</f>
        <v>1500</v>
      </c>
      <c r="I32" s="108">
        <f t="shared" si="6"/>
        <v>0</v>
      </c>
      <c r="J32" s="102"/>
    </row>
    <row r="33" spans="1:10" s="103" customFormat="1" ht="24" customHeight="1">
      <c r="A33" s="162" t="s">
        <v>45</v>
      </c>
      <c r="B33" s="139"/>
      <c r="C33" s="140"/>
      <c r="D33" s="141"/>
      <c r="E33" s="142">
        <f t="shared" si="7"/>
        <v>0</v>
      </c>
      <c r="F33" s="143">
        <f>E33+'Feb-2020'!F33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E34+'Feb-2020'!F34</f>
        <v>2059.64</v>
      </c>
      <c r="G34" s="143">
        <v>3000</v>
      </c>
      <c r="H34" s="144">
        <f t="shared" si="4"/>
        <v>940.36000000000013</v>
      </c>
      <c r="I34" s="108">
        <f t="shared" si="6"/>
        <v>0.68654666666666664</v>
      </c>
      <c r="J34" s="102"/>
    </row>
    <row r="35" spans="1:10" s="103" customFormat="1" ht="24" customHeight="1">
      <c r="A35" s="162" t="s">
        <v>150</v>
      </c>
      <c r="B35" s="139"/>
      <c r="C35" s="140"/>
      <c r="D35" s="141"/>
      <c r="E35" s="142">
        <f t="shared" si="7"/>
        <v>0</v>
      </c>
      <c r="F35" s="143">
        <f>E35+'Feb-2020'!F35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E36+'Feb-2020'!F36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44831.530000000006</v>
      </c>
      <c r="G37" s="167">
        <f>SUM(G23:G36)</f>
        <v>76745.7</v>
      </c>
      <c r="H37" s="167">
        <f>SUM(H23:H36)</f>
        <v>31914.17</v>
      </c>
      <c r="I37" s="110">
        <f t="shared" si="6"/>
        <v>0.58415689738969101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E41+'Feb-2020'!F41</f>
        <v>769325.62</v>
      </c>
      <c r="G41" s="144">
        <v>1452829.24</v>
      </c>
      <c r="H41" s="144">
        <f>G41-F41-F42</f>
        <v>681510.48</v>
      </c>
      <c r="I41" s="108">
        <f t="shared" ref="I41:I56" si="13">F41/G41</f>
        <v>0.52953616214387311</v>
      </c>
    </row>
    <row r="42" spans="1:10" s="168" customFormat="1" ht="21.75" customHeight="1">
      <c r="A42" s="138" t="s">
        <v>83</v>
      </c>
      <c r="B42" s="139"/>
      <c r="C42" s="170"/>
      <c r="D42" s="170"/>
      <c r="E42" s="171">
        <f>SUM(B42:D42)</f>
        <v>0</v>
      </c>
      <c r="F42" s="143">
        <f>+E42+'Feb-2020'!F42</f>
        <v>1993.14</v>
      </c>
      <c r="G42" s="144"/>
      <c r="H42" s="144"/>
      <c r="I42" s="108" t="e">
        <f t="shared" si="13"/>
        <v>#DIV/0!</v>
      </c>
    </row>
    <row r="43" spans="1:10" s="168" customFormat="1" ht="21.75" customHeight="1">
      <c r="A43" s="138" t="s">
        <v>80</v>
      </c>
      <c r="B43" s="139"/>
      <c r="C43" s="170"/>
      <c r="D43" s="170"/>
      <c r="E43" s="171">
        <f t="shared" ref="E43:E47" si="14">SUM(B43:D43)</f>
        <v>0</v>
      </c>
      <c r="F43" s="143">
        <f>E43+'Feb-2020'!F43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E44+'Feb-2020'!F44</f>
        <v>56707.86</v>
      </c>
      <c r="G44" s="144">
        <v>111141.44</v>
      </c>
      <c r="H44" s="144">
        <f t="shared" si="15"/>
        <v>54433.58</v>
      </c>
      <c r="I44" s="108">
        <f t="shared" si="13"/>
        <v>0.51023146721870793</v>
      </c>
    </row>
    <row r="45" spans="1:10" s="168" customFormat="1" ht="21.75" customHeight="1">
      <c r="A45" s="138" t="s">
        <v>29</v>
      </c>
      <c r="B45" s="139"/>
      <c r="C45" s="140"/>
      <c r="D45" s="140"/>
      <c r="E45" s="172">
        <f t="shared" si="14"/>
        <v>0</v>
      </c>
      <c r="F45" s="143">
        <f>E45+'Feb-2020'!F45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E46+'Feb-2020'!F46</f>
        <v>0</v>
      </c>
      <c r="G46" s="144">
        <v>8500</v>
      </c>
      <c r="H46" s="144">
        <f t="shared" si="15"/>
        <v>8500</v>
      </c>
      <c r="I46" s="108">
        <f t="shared" si="13"/>
        <v>0</v>
      </c>
    </row>
    <row r="47" spans="1:10" s="168" customFormat="1" ht="21.75" customHeight="1">
      <c r="A47" s="138" t="s">
        <v>168</v>
      </c>
      <c r="B47" s="151"/>
      <c r="C47" s="152"/>
      <c r="D47" s="152"/>
      <c r="E47" s="172">
        <f t="shared" si="14"/>
        <v>0</v>
      </c>
      <c r="F47" s="143">
        <f>E47+'Feb-2020'!F47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846860.1</v>
      </c>
      <c r="G48" s="75">
        <f>SUM(G41:G47)</f>
        <v>1637294.25</v>
      </c>
      <c r="H48" s="75">
        <f t="shared" ref="H48" si="17">SUM(H41:H47)</f>
        <v>790434.14999999991</v>
      </c>
      <c r="I48" s="110">
        <f t="shared" si="13"/>
        <v>0.51723146282349675</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E50+'Feb-2020'!F50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1030387.450030878</v>
      </c>
      <c r="G52" s="77">
        <f>G37+G20+G48+G50</f>
        <v>2013608.54</v>
      </c>
      <c r="H52" s="77">
        <f>H37+H20+H48+H50</f>
        <v>983221.08996912185</v>
      </c>
      <c r="I52" s="110">
        <f t="shared" si="13"/>
        <v>0.51171189909180559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E54+'Feb-2020'!F54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1106787.450030878</v>
      </c>
      <c r="G56" s="77">
        <f t="shared" si="18"/>
        <v>2256075.86</v>
      </c>
      <c r="H56" s="77">
        <f t="shared" si="18"/>
        <v>1149288.4099691219</v>
      </c>
      <c r="I56" s="110">
        <f t="shared" si="13"/>
        <v>0.49058077773629388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
  <sheetViews>
    <sheetView workbookViewId="0">
      <selection sqref="A1:XFD1048576"/>
    </sheetView>
  </sheetViews>
  <sheetFormatPr defaultRowHeight="14.5"/>
  <cols>
    <col min="1" max="1" width="51.54296875" style="492" customWidth="1"/>
    <col min="2" max="2" width="9.453125" style="492" customWidth="1"/>
    <col min="3" max="3" width="12" style="492" customWidth="1"/>
    <col min="4" max="4" width="12.90625" style="492" customWidth="1"/>
    <col min="5" max="5" width="38.6328125" style="492" customWidth="1"/>
    <col min="6" max="6" width="16.36328125" style="492" customWidth="1"/>
    <col min="7" max="7" width="14.6328125" style="492" customWidth="1"/>
    <col min="8" max="8" width="86.81640625" style="492" customWidth="1"/>
    <col min="9" max="9" width="56.7265625" style="492" customWidth="1"/>
    <col min="10" max="10" width="11.1796875" style="492" customWidth="1"/>
    <col min="11" max="11" width="7.7265625" style="492" customWidth="1"/>
    <col min="12" max="16384" width="8.7265625" style="492"/>
  </cols>
  <sheetData>
    <row r="1" spans="1:11" ht="18">
      <c r="A1" s="592" t="s">
        <v>277</v>
      </c>
      <c r="B1" s="593"/>
      <c r="C1" s="593"/>
      <c r="D1" s="593"/>
      <c r="E1" s="593"/>
      <c r="F1" s="593"/>
      <c r="G1" s="593"/>
      <c r="H1" s="593"/>
      <c r="I1" s="593"/>
      <c r="J1" s="593"/>
      <c r="K1" s="593"/>
    </row>
    <row r="2" spans="1:11" ht="18">
      <c r="A2" s="592" t="s">
        <v>747</v>
      </c>
      <c r="B2" s="593"/>
      <c r="C2" s="593"/>
      <c r="D2" s="593"/>
      <c r="E2" s="593"/>
      <c r="F2" s="593"/>
      <c r="G2" s="593"/>
      <c r="H2" s="593"/>
      <c r="I2" s="593"/>
      <c r="J2" s="593"/>
      <c r="K2" s="593"/>
    </row>
    <row r="3" spans="1:11">
      <c r="A3" s="594" t="s">
        <v>935</v>
      </c>
      <c r="B3" s="593"/>
      <c r="C3" s="593"/>
      <c r="D3" s="593"/>
      <c r="E3" s="593"/>
      <c r="F3" s="593"/>
      <c r="G3" s="593"/>
      <c r="H3" s="593"/>
      <c r="I3" s="593"/>
      <c r="J3" s="593"/>
      <c r="K3" s="593"/>
    </row>
    <row r="5" spans="1:11" ht="24">
      <c r="B5" s="484" t="s">
        <v>153</v>
      </c>
      <c r="C5" s="484" t="s">
        <v>430</v>
      </c>
      <c r="D5" s="484" t="s">
        <v>274</v>
      </c>
      <c r="E5" s="484" t="s">
        <v>273</v>
      </c>
      <c r="F5" s="484" t="s">
        <v>748</v>
      </c>
      <c r="G5" s="484" t="s">
        <v>749</v>
      </c>
      <c r="H5" s="484" t="s">
        <v>272</v>
      </c>
      <c r="I5" s="484" t="s">
        <v>750</v>
      </c>
      <c r="J5" s="484" t="s">
        <v>271</v>
      </c>
      <c r="K5" s="484" t="s">
        <v>751</v>
      </c>
    </row>
    <row r="6" spans="1:11">
      <c r="A6" s="485" t="s">
        <v>752</v>
      </c>
    </row>
    <row r="7" spans="1:11">
      <c r="A7" s="485" t="s">
        <v>764</v>
      </c>
    </row>
    <row r="8" spans="1:11">
      <c r="A8" s="485" t="s">
        <v>765</v>
      </c>
    </row>
    <row r="9" spans="1:11">
      <c r="A9" s="485" t="s">
        <v>766</v>
      </c>
    </row>
    <row r="10" spans="1:11">
      <c r="A10" s="485" t="s">
        <v>768</v>
      </c>
    </row>
    <row r="11" spans="1:11">
      <c r="B11" s="486" t="s">
        <v>912</v>
      </c>
      <c r="C11" s="486" t="s">
        <v>174</v>
      </c>
      <c r="D11" s="486" t="s">
        <v>936</v>
      </c>
      <c r="E11" s="486" t="s">
        <v>901</v>
      </c>
      <c r="F11" s="486"/>
      <c r="G11" s="486" t="s">
        <v>757</v>
      </c>
      <c r="H11" s="486" t="s">
        <v>902</v>
      </c>
      <c r="I11" s="486" t="s">
        <v>772</v>
      </c>
      <c r="J11" s="488">
        <v>150.07</v>
      </c>
      <c r="K11" s="488">
        <v>150.07</v>
      </c>
    </row>
    <row r="12" spans="1:11">
      <c r="B12" s="486" t="s">
        <v>937</v>
      </c>
      <c r="C12" s="486" t="s">
        <v>265</v>
      </c>
      <c r="D12" s="486"/>
      <c r="E12" s="486" t="s">
        <v>264</v>
      </c>
      <c r="F12" s="486"/>
      <c r="G12" s="486" t="s">
        <v>757</v>
      </c>
      <c r="H12" s="486" t="s">
        <v>938</v>
      </c>
      <c r="I12" s="486" t="s">
        <v>770</v>
      </c>
      <c r="J12" s="488">
        <v>-150.07</v>
      </c>
      <c r="K12" s="488">
        <v>0</v>
      </c>
    </row>
    <row r="13" spans="1:11">
      <c r="A13" s="485" t="s">
        <v>774</v>
      </c>
      <c r="J13" s="489">
        <v>0</v>
      </c>
    </row>
    <row r="14" spans="1:11">
      <c r="A14" s="485" t="s">
        <v>939</v>
      </c>
      <c r="J14" s="489">
        <v>0</v>
      </c>
    </row>
    <row r="15" spans="1:11">
      <c r="A15" s="485" t="s">
        <v>782</v>
      </c>
      <c r="J15" s="489">
        <v>0</v>
      </c>
    </row>
    <row r="16" spans="1:11">
      <c r="A16" s="485" t="s">
        <v>783</v>
      </c>
    </row>
    <row r="17" spans="1:11">
      <c r="A17" s="485" t="s">
        <v>784</v>
      </c>
    </row>
    <row r="18" spans="1:11">
      <c r="A18" s="485" t="s">
        <v>940</v>
      </c>
    </row>
    <row r="19" spans="1:11">
      <c r="A19" s="485" t="s">
        <v>941</v>
      </c>
    </row>
    <row r="20" spans="1:11">
      <c r="B20" s="486" t="s">
        <v>942</v>
      </c>
      <c r="C20" s="486" t="s">
        <v>186</v>
      </c>
      <c r="D20" s="486">
        <v>312</v>
      </c>
      <c r="E20" s="486"/>
      <c r="F20" s="486"/>
      <c r="G20" s="486" t="s">
        <v>757</v>
      </c>
      <c r="H20" s="486" t="s">
        <v>943</v>
      </c>
      <c r="I20" s="487" t="s">
        <v>759</v>
      </c>
      <c r="J20" s="488">
        <v>19.78</v>
      </c>
      <c r="K20" s="488">
        <v>19.78</v>
      </c>
    </row>
    <row r="21" spans="1:11">
      <c r="B21" s="486" t="s">
        <v>942</v>
      </c>
      <c r="C21" s="486" t="s">
        <v>186</v>
      </c>
      <c r="D21" s="486">
        <v>312</v>
      </c>
      <c r="E21" s="486"/>
      <c r="F21" s="486"/>
      <c r="G21" s="486" t="s">
        <v>757</v>
      </c>
      <c r="H21" s="486" t="s">
        <v>943</v>
      </c>
      <c r="I21" s="487" t="s">
        <v>759</v>
      </c>
      <c r="J21" s="488">
        <v>69.23</v>
      </c>
      <c r="K21" s="488">
        <v>89.01</v>
      </c>
    </row>
    <row r="22" spans="1:11">
      <c r="B22" s="486" t="s">
        <v>942</v>
      </c>
      <c r="C22" s="486" t="s">
        <v>186</v>
      </c>
      <c r="D22" s="486">
        <v>312</v>
      </c>
      <c r="E22" s="486"/>
      <c r="F22" s="486"/>
      <c r="G22" s="486" t="s">
        <v>757</v>
      </c>
      <c r="H22" s="486" t="s">
        <v>943</v>
      </c>
      <c r="I22" s="487" t="s">
        <v>759</v>
      </c>
      <c r="J22" s="488">
        <v>316.48</v>
      </c>
      <c r="K22" s="488">
        <v>405.49</v>
      </c>
    </row>
    <row r="23" spans="1:11">
      <c r="B23" s="486" t="s">
        <v>942</v>
      </c>
      <c r="C23" s="486" t="s">
        <v>186</v>
      </c>
      <c r="D23" s="486">
        <v>312</v>
      </c>
      <c r="E23" s="486"/>
      <c r="F23" s="486"/>
      <c r="G23" s="486" t="s">
        <v>757</v>
      </c>
      <c r="H23" s="486" t="s">
        <v>943</v>
      </c>
      <c r="I23" s="487" t="s">
        <v>759</v>
      </c>
      <c r="J23" s="488">
        <v>594.51</v>
      </c>
      <c r="K23" s="488">
        <v>1000</v>
      </c>
    </row>
    <row r="24" spans="1:11">
      <c r="B24" s="486" t="s">
        <v>944</v>
      </c>
      <c r="C24" s="486" t="s">
        <v>186</v>
      </c>
      <c r="D24" s="486">
        <v>313</v>
      </c>
      <c r="E24" s="486"/>
      <c r="F24" s="486"/>
      <c r="G24" s="486" t="s">
        <v>757</v>
      </c>
      <c r="H24" s="486" t="s">
        <v>945</v>
      </c>
      <c r="I24" s="487" t="s">
        <v>759</v>
      </c>
      <c r="J24" s="488">
        <v>692.31</v>
      </c>
      <c r="K24" s="488">
        <v>1692.31</v>
      </c>
    </row>
    <row r="25" spans="1:11">
      <c r="B25" s="486" t="s">
        <v>944</v>
      </c>
      <c r="C25" s="486" t="s">
        <v>186</v>
      </c>
      <c r="D25" s="486">
        <v>313</v>
      </c>
      <c r="E25" s="486"/>
      <c r="F25" s="486"/>
      <c r="G25" s="486" t="s">
        <v>757</v>
      </c>
      <c r="H25" s="486" t="s">
        <v>945</v>
      </c>
      <c r="I25" s="487" t="s">
        <v>759</v>
      </c>
      <c r="J25" s="488">
        <v>307.69</v>
      </c>
      <c r="K25" s="488">
        <v>2000</v>
      </c>
    </row>
    <row r="26" spans="1:11">
      <c r="A26" s="485" t="s">
        <v>946</v>
      </c>
      <c r="J26" s="489">
        <v>2000</v>
      </c>
    </row>
    <row r="27" spans="1:11">
      <c r="A27" s="485" t="s">
        <v>947</v>
      </c>
    </row>
    <row r="28" spans="1:11">
      <c r="B28" s="486" t="s">
        <v>944</v>
      </c>
      <c r="C28" s="486" t="s">
        <v>186</v>
      </c>
      <c r="D28" s="486">
        <v>313</v>
      </c>
      <c r="E28" s="486"/>
      <c r="F28" s="486"/>
      <c r="G28" s="486" t="s">
        <v>757</v>
      </c>
      <c r="H28" s="486" t="s">
        <v>948</v>
      </c>
      <c r="I28" s="487" t="s">
        <v>759</v>
      </c>
      <c r="J28" s="488">
        <v>2500</v>
      </c>
      <c r="K28" s="488">
        <v>2500</v>
      </c>
    </row>
    <row r="29" spans="1:11">
      <c r="A29" s="485" t="s">
        <v>949</v>
      </c>
      <c r="J29" s="489">
        <v>2500</v>
      </c>
    </row>
    <row r="30" spans="1:11">
      <c r="A30" s="485" t="s">
        <v>950</v>
      </c>
    </row>
    <row r="31" spans="1:11">
      <c r="B31" s="486" t="s">
        <v>942</v>
      </c>
      <c r="C31" s="486" t="s">
        <v>186</v>
      </c>
      <c r="D31" s="486">
        <v>312</v>
      </c>
      <c r="E31" s="486"/>
      <c r="F31" s="486"/>
      <c r="G31" s="486" t="s">
        <v>757</v>
      </c>
      <c r="H31" s="486" t="s">
        <v>951</v>
      </c>
      <c r="I31" s="487" t="s">
        <v>759</v>
      </c>
      <c r="J31" s="488">
        <v>2500</v>
      </c>
      <c r="K31" s="488">
        <v>2500</v>
      </c>
    </row>
    <row r="32" spans="1:11">
      <c r="A32" s="485" t="s">
        <v>952</v>
      </c>
      <c r="J32" s="489">
        <v>2500</v>
      </c>
    </row>
    <row r="33" spans="1:11">
      <c r="A33" s="485" t="s">
        <v>953</v>
      </c>
      <c r="J33" s="489">
        <v>7000</v>
      </c>
    </row>
    <row r="34" spans="1:11">
      <c r="A34" s="485" t="s">
        <v>954</v>
      </c>
    </row>
    <row r="35" spans="1:11">
      <c r="B35" s="486" t="s">
        <v>942</v>
      </c>
      <c r="C35" s="486" t="s">
        <v>186</v>
      </c>
      <c r="D35" s="486">
        <v>312</v>
      </c>
      <c r="E35" s="486"/>
      <c r="F35" s="486"/>
      <c r="G35" s="486" t="s">
        <v>757</v>
      </c>
      <c r="H35" s="486" t="s">
        <v>955</v>
      </c>
      <c r="I35" s="487" t="s">
        <v>759</v>
      </c>
      <c r="J35" s="488">
        <v>1005.5</v>
      </c>
      <c r="K35" s="488">
        <v>1005.5</v>
      </c>
    </row>
    <row r="36" spans="1:11">
      <c r="B36" s="486" t="s">
        <v>942</v>
      </c>
      <c r="C36" s="486" t="s">
        <v>186</v>
      </c>
      <c r="D36" s="486">
        <v>312</v>
      </c>
      <c r="E36" s="486"/>
      <c r="F36" s="486"/>
      <c r="G36" s="486" t="s">
        <v>757</v>
      </c>
      <c r="H36" s="486" t="s">
        <v>956</v>
      </c>
      <c r="I36" s="487" t="s">
        <v>759</v>
      </c>
      <c r="J36" s="488">
        <v>1538.46</v>
      </c>
      <c r="K36" s="488">
        <v>2543.96</v>
      </c>
    </row>
    <row r="37" spans="1:11">
      <c r="B37" s="486" t="s">
        <v>944</v>
      </c>
      <c r="C37" s="486" t="s">
        <v>186</v>
      </c>
      <c r="D37" s="486">
        <v>313</v>
      </c>
      <c r="E37" s="486"/>
      <c r="F37" s="486"/>
      <c r="G37" s="486" t="s">
        <v>757</v>
      </c>
      <c r="H37" s="486" t="s">
        <v>957</v>
      </c>
      <c r="I37" s="487" t="s">
        <v>759</v>
      </c>
      <c r="J37" s="488">
        <v>989.01</v>
      </c>
      <c r="K37" s="488">
        <v>3532.97</v>
      </c>
    </row>
    <row r="38" spans="1:11">
      <c r="B38" s="486" t="s">
        <v>944</v>
      </c>
      <c r="C38" s="486" t="s">
        <v>186</v>
      </c>
      <c r="D38" s="486">
        <v>313</v>
      </c>
      <c r="E38" s="486"/>
      <c r="F38" s="486"/>
      <c r="G38" s="486" t="s">
        <v>757</v>
      </c>
      <c r="H38" s="486" t="s">
        <v>958</v>
      </c>
      <c r="I38" s="487" t="s">
        <v>759</v>
      </c>
      <c r="J38" s="488">
        <v>1538.46</v>
      </c>
      <c r="K38" s="488">
        <v>5071.43</v>
      </c>
    </row>
    <row r="39" spans="1:11">
      <c r="A39" s="485" t="s">
        <v>959</v>
      </c>
      <c r="J39" s="489">
        <v>5071.43</v>
      </c>
    </row>
    <row r="40" spans="1:11">
      <c r="A40" s="485" t="s">
        <v>960</v>
      </c>
    </row>
    <row r="41" spans="1:11">
      <c r="B41" s="486" t="s">
        <v>942</v>
      </c>
      <c r="C41" s="486" t="s">
        <v>186</v>
      </c>
      <c r="D41" s="486">
        <v>312</v>
      </c>
      <c r="E41" s="486"/>
      <c r="F41" s="486"/>
      <c r="G41" s="486" t="s">
        <v>757</v>
      </c>
      <c r="H41" s="486" t="s">
        <v>961</v>
      </c>
      <c r="I41" s="487" t="s">
        <v>759</v>
      </c>
      <c r="J41" s="488">
        <v>1461.55</v>
      </c>
      <c r="K41" s="488">
        <v>1461.55</v>
      </c>
    </row>
    <row r="42" spans="1:11">
      <c r="B42" s="486" t="s">
        <v>944</v>
      </c>
      <c r="C42" s="486" t="s">
        <v>186</v>
      </c>
      <c r="D42" s="486">
        <v>313</v>
      </c>
      <c r="E42" s="486"/>
      <c r="F42" s="486"/>
      <c r="G42" s="486" t="s">
        <v>757</v>
      </c>
      <c r="H42" s="486" t="s">
        <v>962</v>
      </c>
      <c r="I42" s="487" t="s">
        <v>759</v>
      </c>
      <c r="J42" s="488">
        <v>1461.55</v>
      </c>
      <c r="K42" s="488">
        <v>2923.1</v>
      </c>
    </row>
    <row r="43" spans="1:11">
      <c r="A43" s="485" t="s">
        <v>963</v>
      </c>
      <c r="J43" s="489">
        <v>2923.1</v>
      </c>
    </row>
    <row r="44" spans="1:11">
      <c r="A44" s="485" t="s">
        <v>787</v>
      </c>
      <c r="J44" s="489">
        <v>14994.53</v>
      </c>
    </row>
    <row r="45" spans="1:11">
      <c r="A45" s="485" t="s">
        <v>788</v>
      </c>
    </row>
    <row r="46" spans="1:11">
      <c r="A46" s="485" t="s">
        <v>789</v>
      </c>
    </row>
    <row r="47" spans="1:11">
      <c r="B47" s="486" t="s">
        <v>912</v>
      </c>
      <c r="C47" s="486" t="s">
        <v>174</v>
      </c>
      <c r="D47" s="486">
        <v>293512262</v>
      </c>
      <c r="E47" s="486" t="s">
        <v>480</v>
      </c>
      <c r="F47" s="486"/>
      <c r="G47" s="486" t="s">
        <v>757</v>
      </c>
      <c r="H47" s="486" t="s">
        <v>913</v>
      </c>
      <c r="I47" s="486" t="s">
        <v>772</v>
      </c>
      <c r="J47" s="488">
        <v>3581.26</v>
      </c>
      <c r="K47" s="488">
        <v>3581.26</v>
      </c>
    </row>
    <row r="48" spans="1:11">
      <c r="A48" s="485" t="s">
        <v>790</v>
      </c>
      <c r="J48" s="489">
        <v>3581.26</v>
      </c>
    </row>
    <row r="49" spans="1:11">
      <c r="A49" s="485" t="s">
        <v>791</v>
      </c>
    </row>
    <row r="50" spans="1:11">
      <c r="B50" s="486" t="s">
        <v>912</v>
      </c>
      <c r="C50" s="486" t="s">
        <v>174</v>
      </c>
      <c r="D50" s="486" t="s">
        <v>915</v>
      </c>
      <c r="E50" s="486" t="s">
        <v>243</v>
      </c>
      <c r="F50" s="486"/>
      <c r="G50" s="486" t="s">
        <v>757</v>
      </c>
      <c r="H50" s="486" t="s">
        <v>564</v>
      </c>
      <c r="I50" s="486" t="s">
        <v>772</v>
      </c>
      <c r="J50" s="488">
        <v>241.2</v>
      </c>
      <c r="K50" s="488">
        <v>241.2</v>
      </c>
    </row>
    <row r="51" spans="1:11">
      <c r="A51" s="485" t="s">
        <v>792</v>
      </c>
      <c r="J51" s="489">
        <v>241.2</v>
      </c>
    </row>
    <row r="52" spans="1:11">
      <c r="A52" s="485" t="s">
        <v>797</v>
      </c>
      <c r="J52" s="489">
        <v>3822.46</v>
      </c>
    </row>
    <row r="53" spans="1:11">
      <c r="A53" s="485" t="s">
        <v>798</v>
      </c>
    </row>
    <row r="54" spans="1:11">
      <c r="A54" s="485" t="s">
        <v>803</v>
      </c>
    </row>
    <row r="55" spans="1:11">
      <c r="B55" s="486" t="s">
        <v>942</v>
      </c>
      <c r="C55" s="486" t="s">
        <v>186</v>
      </c>
      <c r="D55" s="486">
        <v>312</v>
      </c>
      <c r="E55" s="486"/>
      <c r="F55" s="486"/>
      <c r="G55" s="486" t="s">
        <v>757</v>
      </c>
      <c r="H55" s="486" t="s">
        <v>943</v>
      </c>
      <c r="I55" s="487" t="s">
        <v>759</v>
      </c>
      <c r="J55" s="488">
        <v>61.45</v>
      </c>
      <c r="K55" s="488">
        <v>61.45</v>
      </c>
    </row>
    <row r="56" spans="1:11">
      <c r="B56" s="486" t="s">
        <v>942</v>
      </c>
      <c r="C56" s="486" t="s">
        <v>186</v>
      </c>
      <c r="D56" s="486">
        <v>312</v>
      </c>
      <c r="E56" s="486"/>
      <c r="F56" s="486"/>
      <c r="G56" s="486" t="s">
        <v>757</v>
      </c>
      <c r="H56" s="486" t="s">
        <v>943</v>
      </c>
      <c r="I56" s="487" t="s">
        <v>759</v>
      </c>
      <c r="J56" s="488">
        <v>7.07</v>
      </c>
      <c r="K56" s="488">
        <v>68.52</v>
      </c>
    </row>
    <row r="57" spans="1:11">
      <c r="B57" s="486" t="s">
        <v>942</v>
      </c>
      <c r="C57" s="486" t="s">
        <v>186</v>
      </c>
      <c r="D57" s="486">
        <v>312</v>
      </c>
      <c r="E57" s="486"/>
      <c r="F57" s="486"/>
      <c r="G57" s="486" t="s">
        <v>757</v>
      </c>
      <c r="H57" s="486" t="s">
        <v>961</v>
      </c>
      <c r="I57" s="487" t="s">
        <v>759</v>
      </c>
      <c r="J57" s="488">
        <v>141.38999999999999</v>
      </c>
      <c r="K57" s="488">
        <v>209.91</v>
      </c>
    </row>
    <row r="58" spans="1:11">
      <c r="B58" s="486" t="s">
        <v>942</v>
      </c>
      <c r="C58" s="486" t="s">
        <v>186</v>
      </c>
      <c r="D58" s="486">
        <v>312</v>
      </c>
      <c r="E58" s="486"/>
      <c r="F58" s="486"/>
      <c r="G58" s="486" t="s">
        <v>757</v>
      </c>
      <c r="H58" s="486" t="s">
        <v>943</v>
      </c>
      <c r="I58" s="487" t="s">
        <v>759</v>
      </c>
      <c r="J58" s="488">
        <v>32.33</v>
      </c>
      <c r="K58" s="488">
        <v>242.24</v>
      </c>
    </row>
    <row r="59" spans="1:11">
      <c r="B59" s="486" t="s">
        <v>942</v>
      </c>
      <c r="C59" s="486" t="s">
        <v>186</v>
      </c>
      <c r="D59" s="486">
        <v>312</v>
      </c>
      <c r="E59" s="486"/>
      <c r="F59" s="486"/>
      <c r="G59" s="486" t="s">
        <v>757</v>
      </c>
      <c r="H59" s="486" t="s">
        <v>955</v>
      </c>
      <c r="I59" s="487" t="s">
        <v>759</v>
      </c>
      <c r="J59" s="488">
        <v>97.28</v>
      </c>
      <c r="K59" s="488">
        <v>339.52</v>
      </c>
    </row>
    <row r="60" spans="1:11">
      <c r="B60" s="486" t="s">
        <v>942</v>
      </c>
      <c r="C60" s="486" t="s">
        <v>186</v>
      </c>
      <c r="D60" s="486">
        <v>312</v>
      </c>
      <c r="E60" s="486"/>
      <c r="F60" s="486"/>
      <c r="G60" s="486" t="s">
        <v>757</v>
      </c>
      <c r="H60" s="486" t="s">
        <v>956</v>
      </c>
      <c r="I60" s="487" t="s">
        <v>759</v>
      </c>
      <c r="J60" s="488">
        <v>160.77000000000001</v>
      </c>
      <c r="K60" s="488">
        <v>500.29</v>
      </c>
    </row>
    <row r="61" spans="1:11">
      <c r="B61" s="486" t="s">
        <v>942</v>
      </c>
      <c r="C61" s="486" t="s">
        <v>186</v>
      </c>
      <c r="D61" s="486">
        <v>312</v>
      </c>
      <c r="E61" s="486"/>
      <c r="F61" s="486"/>
      <c r="G61" s="486" t="s">
        <v>757</v>
      </c>
      <c r="H61" s="486" t="s">
        <v>951</v>
      </c>
      <c r="I61" s="487" t="s">
        <v>759</v>
      </c>
      <c r="J61" s="488">
        <v>253.69</v>
      </c>
      <c r="K61" s="488">
        <v>753.98</v>
      </c>
    </row>
    <row r="62" spans="1:11">
      <c r="B62" s="486" t="s">
        <v>942</v>
      </c>
      <c r="C62" s="486" t="s">
        <v>186</v>
      </c>
      <c r="D62" s="486">
        <v>312</v>
      </c>
      <c r="E62" s="486"/>
      <c r="F62" s="486"/>
      <c r="G62" s="486" t="s">
        <v>757</v>
      </c>
      <c r="H62" s="486" t="s">
        <v>943</v>
      </c>
      <c r="I62" s="487" t="s">
        <v>759</v>
      </c>
      <c r="J62" s="488">
        <v>2.02</v>
      </c>
      <c r="K62" s="488">
        <v>756</v>
      </c>
    </row>
    <row r="63" spans="1:11">
      <c r="B63" s="486" t="s">
        <v>944</v>
      </c>
      <c r="C63" s="486" t="s">
        <v>186</v>
      </c>
      <c r="D63" s="486">
        <v>313</v>
      </c>
      <c r="E63" s="486"/>
      <c r="F63" s="486"/>
      <c r="G63" s="486" t="s">
        <v>757</v>
      </c>
      <c r="H63" s="486" t="s">
        <v>945</v>
      </c>
      <c r="I63" s="487" t="s">
        <v>759</v>
      </c>
      <c r="J63" s="488">
        <v>32.159999999999997</v>
      </c>
      <c r="K63" s="488">
        <v>788.16</v>
      </c>
    </row>
    <row r="64" spans="1:11">
      <c r="B64" s="486" t="s">
        <v>944</v>
      </c>
      <c r="C64" s="486" t="s">
        <v>186</v>
      </c>
      <c r="D64" s="486">
        <v>313</v>
      </c>
      <c r="E64" s="486"/>
      <c r="F64" s="486"/>
      <c r="G64" s="486" t="s">
        <v>757</v>
      </c>
      <c r="H64" s="486" t="s">
        <v>948</v>
      </c>
      <c r="I64" s="487" t="s">
        <v>759</v>
      </c>
      <c r="J64" s="488">
        <v>253.7</v>
      </c>
      <c r="K64" s="488">
        <v>1041.8599999999999</v>
      </c>
    </row>
    <row r="65" spans="1:11">
      <c r="B65" s="486" t="s">
        <v>944</v>
      </c>
      <c r="C65" s="486" t="s">
        <v>186</v>
      </c>
      <c r="D65" s="486">
        <v>313</v>
      </c>
      <c r="E65" s="486"/>
      <c r="F65" s="486"/>
      <c r="G65" s="486" t="s">
        <v>757</v>
      </c>
      <c r="H65" s="486" t="s">
        <v>957</v>
      </c>
      <c r="I65" s="487" t="s">
        <v>759</v>
      </c>
      <c r="J65" s="488">
        <v>95.56</v>
      </c>
      <c r="K65" s="488">
        <v>1137.42</v>
      </c>
    </row>
    <row r="66" spans="1:11">
      <c r="B66" s="486" t="s">
        <v>944</v>
      </c>
      <c r="C66" s="486" t="s">
        <v>186</v>
      </c>
      <c r="D66" s="486">
        <v>313</v>
      </c>
      <c r="E66" s="486"/>
      <c r="F66" s="486"/>
      <c r="G66" s="486" t="s">
        <v>757</v>
      </c>
      <c r="H66" s="486" t="s">
        <v>962</v>
      </c>
      <c r="I66" s="487" t="s">
        <v>759</v>
      </c>
      <c r="J66" s="488">
        <v>141.4</v>
      </c>
      <c r="K66" s="488">
        <v>1278.82</v>
      </c>
    </row>
    <row r="67" spans="1:11">
      <c r="B67" s="486" t="s">
        <v>944</v>
      </c>
      <c r="C67" s="486" t="s">
        <v>186</v>
      </c>
      <c r="D67" s="486">
        <v>313</v>
      </c>
      <c r="E67" s="486"/>
      <c r="F67" s="486"/>
      <c r="G67" s="486" t="s">
        <v>757</v>
      </c>
      <c r="H67" s="486" t="s">
        <v>945</v>
      </c>
      <c r="I67" s="487" t="s">
        <v>759</v>
      </c>
      <c r="J67" s="488">
        <v>70.709999999999994</v>
      </c>
      <c r="K67" s="488">
        <v>1349.53</v>
      </c>
    </row>
    <row r="68" spans="1:11">
      <c r="B68" s="486" t="s">
        <v>944</v>
      </c>
      <c r="C68" s="486" t="s">
        <v>186</v>
      </c>
      <c r="D68" s="486">
        <v>313</v>
      </c>
      <c r="E68" s="486"/>
      <c r="F68" s="486"/>
      <c r="G68" s="486" t="s">
        <v>757</v>
      </c>
      <c r="H68" s="486" t="s">
        <v>958</v>
      </c>
      <c r="I68" s="487" t="s">
        <v>759</v>
      </c>
      <c r="J68" s="488">
        <v>160.77000000000001</v>
      </c>
      <c r="K68" s="488">
        <v>1510.3</v>
      </c>
    </row>
    <row r="69" spans="1:11">
      <c r="A69" s="485" t="s">
        <v>804</v>
      </c>
      <c r="J69" s="489">
        <v>1510.3</v>
      </c>
    </row>
    <row r="70" spans="1:11">
      <c r="A70" s="485" t="s">
        <v>811</v>
      </c>
      <c r="J70" s="489">
        <v>1510.3</v>
      </c>
    </row>
    <row r="71" spans="1:11">
      <c r="A71" s="485" t="s">
        <v>816</v>
      </c>
      <c r="J71" s="489">
        <v>20327.29</v>
      </c>
    </row>
    <row r="72" spans="1:11">
      <c r="A72" s="485" t="s">
        <v>817</v>
      </c>
    </row>
    <row r="73" spans="1:11">
      <c r="A73" s="485" t="s">
        <v>826</v>
      </c>
    </row>
    <row r="74" spans="1:11">
      <c r="B74" s="486" t="s">
        <v>942</v>
      </c>
      <c r="C74" s="486" t="s">
        <v>174</v>
      </c>
      <c r="D74" s="486" t="s">
        <v>964</v>
      </c>
      <c r="E74" s="486" t="s">
        <v>662</v>
      </c>
      <c r="F74" s="486" t="s">
        <v>827</v>
      </c>
      <c r="G74" s="486" t="s">
        <v>757</v>
      </c>
      <c r="H74" s="486" t="s">
        <v>965</v>
      </c>
      <c r="I74" s="486" t="s">
        <v>772</v>
      </c>
      <c r="J74" s="488">
        <v>900</v>
      </c>
      <c r="K74" s="488">
        <v>900</v>
      </c>
    </row>
    <row r="75" spans="1:11">
      <c r="B75" s="486" t="s">
        <v>966</v>
      </c>
      <c r="C75" s="486" t="s">
        <v>174</v>
      </c>
      <c r="D75" s="486" t="s">
        <v>967</v>
      </c>
      <c r="E75" s="486" t="s">
        <v>662</v>
      </c>
      <c r="F75" s="486" t="s">
        <v>827</v>
      </c>
      <c r="G75" s="486" t="s">
        <v>757</v>
      </c>
      <c r="H75" s="486" t="s">
        <v>968</v>
      </c>
      <c r="I75" s="486" t="s">
        <v>772</v>
      </c>
      <c r="J75" s="488">
        <v>900</v>
      </c>
      <c r="K75" s="488">
        <v>1800</v>
      </c>
    </row>
    <row r="76" spans="1:11">
      <c r="A76" s="485" t="s">
        <v>829</v>
      </c>
      <c r="J76" s="489">
        <v>1800</v>
      </c>
    </row>
    <row r="77" spans="1:11">
      <c r="A77" s="485" t="s">
        <v>830</v>
      </c>
      <c r="J77" s="489">
        <v>1800</v>
      </c>
    </row>
    <row r="78" spans="1:11">
      <c r="A78" s="485" t="s">
        <v>831</v>
      </c>
    </row>
    <row r="79" spans="1:11">
      <c r="A79" s="485" t="s">
        <v>832</v>
      </c>
    </row>
    <row r="80" spans="1:11">
      <c r="B80" s="486" t="s">
        <v>912</v>
      </c>
      <c r="C80" s="486" t="s">
        <v>174</v>
      </c>
      <c r="D80" s="486" t="s">
        <v>969</v>
      </c>
      <c r="E80" s="486" t="s">
        <v>397</v>
      </c>
      <c r="F80" s="486" t="s">
        <v>970</v>
      </c>
      <c r="G80" s="486" t="s">
        <v>757</v>
      </c>
      <c r="H80" s="486" t="s">
        <v>971</v>
      </c>
      <c r="I80" s="486" t="s">
        <v>772</v>
      </c>
      <c r="J80" s="488">
        <v>142.56</v>
      </c>
      <c r="K80" s="488">
        <v>142.56</v>
      </c>
    </row>
    <row r="81" spans="1:11">
      <c r="B81" s="486" t="s">
        <v>912</v>
      </c>
      <c r="C81" s="486" t="s">
        <v>174</v>
      </c>
      <c r="D81" s="486" t="s">
        <v>972</v>
      </c>
      <c r="E81" s="486" t="s">
        <v>397</v>
      </c>
      <c r="F81" s="486" t="s">
        <v>970</v>
      </c>
      <c r="G81" s="486" t="s">
        <v>757</v>
      </c>
      <c r="H81" s="486" t="s">
        <v>971</v>
      </c>
      <c r="I81" s="486" t="s">
        <v>772</v>
      </c>
      <c r="J81" s="488">
        <v>139.99</v>
      </c>
      <c r="K81" s="488">
        <v>282.55</v>
      </c>
    </row>
    <row r="82" spans="1:11">
      <c r="B82" s="486" t="s">
        <v>912</v>
      </c>
      <c r="C82" s="486" t="s">
        <v>174</v>
      </c>
      <c r="D82" s="486" t="s">
        <v>973</v>
      </c>
      <c r="E82" s="486" t="s">
        <v>397</v>
      </c>
      <c r="F82" s="486" t="s">
        <v>970</v>
      </c>
      <c r="G82" s="486" t="s">
        <v>757</v>
      </c>
      <c r="H82" s="486" t="s">
        <v>971</v>
      </c>
      <c r="I82" s="486" t="s">
        <v>772</v>
      </c>
      <c r="J82" s="488">
        <v>184.43</v>
      </c>
      <c r="K82" s="488">
        <v>466.98</v>
      </c>
    </row>
    <row r="83" spans="1:11">
      <c r="B83" s="486" t="s">
        <v>912</v>
      </c>
      <c r="C83" s="486" t="s">
        <v>174</v>
      </c>
      <c r="D83" s="486" t="s">
        <v>974</v>
      </c>
      <c r="E83" s="486" t="s">
        <v>397</v>
      </c>
      <c r="F83" s="486" t="s">
        <v>970</v>
      </c>
      <c r="G83" s="486" t="s">
        <v>757</v>
      </c>
      <c r="H83" s="486" t="s">
        <v>971</v>
      </c>
      <c r="I83" s="486" t="s">
        <v>772</v>
      </c>
      <c r="J83" s="488">
        <v>171.33</v>
      </c>
      <c r="K83" s="488">
        <v>638.30999999999995</v>
      </c>
    </row>
    <row r="84" spans="1:11">
      <c r="A84" s="485" t="s">
        <v>975</v>
      </c>
      <c r="J84" s="489">
        <v>638.30999999999995</v>
      </c>
    </row>
    <row r="85" spans="1:11">
      <c r="A85" s="485" t="s">
        <v>851</v>
      </c>
      <c r="J85" s="489">
        <v>638.30999999999995</v>
      </c>
    </row>
    <row r="86" spans="1:11">
      <c r="A86" s="485" t="s">
        <v>852</v>
      </c>
    </row>
    <row r="87" spans="1:11">
      <c r="A87" s="485" t="s">
        <v>853</v>
      </c>
    </row>
    <row r="88" spans="1:11">
      <c r="B88" s="486" t="s">
        <v>912</v>
      </c>
      <c r="C88" s="486" t="s">
        <v>174</v>
      </c>
      <c r="D88" s="486">
        <v>2058</v>
      </c>
      <c r="E88" s="486" t="s">
        <v>181</v>
      </c>
      <c r="F88" s="486"/>
      <c r="G88" s="486" t="s">
        <v>757</v>
      </c>
      <c r="H88" s="486" t="s">
        <v>976</v>
      </c>
      <c r="I88" s="486" t="s">
        <v>772</v>
      </c>
      <c r="J88" s="488">
        <v>648</v>
      </c>
      <c r="K88" s="488">
        <v>648</v>
      </c>
    </row>
    <row r="89" spans="1:11">
      <c r="A89" s="485" t="s">
        <v>854</v>
      </c>
      <c r="J89" s="489">
        <v>648</v>
      </c>
    </row>
    <row r="90" spans="1:11">
      <c r="A90" s="485" t="s">
        <v>877</v>
      </c>
      <c r="J90" s="489">
        <v>648</v>
      </c>
    </row>
    <row r="91" spans="1:11">
      <c r="A91" s="485" t="s">
        <v>878</v>
      </c>
    </row>
    <row r="92" spans="1:11">
      <c r="A92" s="485" t="s">
        <v>879</v>
      </c>
    </row>
    <row r="93" spans="1:11">
      <c r="B93" s="486" t="s">
        <v>912</v>
      </c>
      <c r="C93" s="486" t="s">
        <v>174</v>
      </c>
      <c r="D93" s="486">
        <v>11354</v>
      </c>
      <c r="E93" s="486" t="s">
        <v>377</v>
      </c>
      <c r="F93" s="486"/>
      <c r="G93" s="486" t="s">
        <v>757</v>
      </c>
      <c r="H93" s="486" t="s">
        <v>977</v>
      </c>
      <c r="I93" s="486" t="s">
        <v>772</v>
      </c>
      <c r="J93" s="488">
        <v>150</v>
      </c>
      <c r="K93" s="488">
        <v>150</v>
      </c>
    </row>
    <row r="94" spans="1:11">
      <c r="B94" s="486" t="s">
        <v>978</v>
      </c>
      <c r="C94" s="486" t="s">
        <v>174</v>
      </c>
      <c r="D94" s="486" t="s">
        <v>979</v>
      </c>
      <c r="E94" s="486" t="s">
        <v>443</v>
      </c>
      <c r="F94" s="486" t="s">
        <v>833</v>
      </c>
      <c r="G94" s="486" t="s">
        <v>757</v>
      </c>
      <c r="H94" s="486" t="s">
        <v>980</v>
      </c>
      <c r="I94" s="486" t="s">
        <v>772</v>
      </c>
      <c r="J94" s="488">
        <v>68.09</v>
      </c>
      <c r="K94" s="488">
        <v>218.09</v>
      </c>
    </row>
    <row r="95" spans="1:11">
      <c r="B95" s="486" t="s">
        <v>981</v>
      </c>
      <c r="C95" s="486" t="s">
        <v>174</v>
      </c>
      <c r="D95" s="486" t="s">
        <v>982</v>
      </c>
      <c r="E95" s="486" t="s">
        <v>983</v>
      </c>
      <c r="F95" s="486"/>
      <c r="G95" s="486" t="s">
        <v>757</v>
      </c>
      <c r="H95" s="486" t="s">
        <v>984</v>
      </c>
      <c r="I95" s="486" t="s">
        <v>772</v>
      </c>
      <c r="J95" s="488">
        <v>15.12</v>
      </c>
      <c r="K95" s="488">
        <v>233.21</v>
      </c>
    </row>
    <row r="96" spans="1:11">
      <c r="A96" s="485" t="s">
        <v>880</v>
      </c>
      <c r="J96" s="489">
        <v>233.21</v>
      </c>
    </row>
    <row r="97" spans="1:11">
      <c r="A97" s="485" t="s">
        <v>881</v>
      </c>
      <c r="J97" s="489">
        <v>233.21</v>
      </c>
    </row>
    <row r="98" spans="1:11">
      <c r="A98" s="485" t="s">
        <v>927</v>
      </c>
    </row>
    <row r="99" spans="1:11">
      <c r="A99" s="485" t="s">
        <v>928</v>
      </c>
    </row>
    <row r="100" spans="1:11">
      <c r="B100" s="486" t="s">
        <v>912</v>
      </c>
      <c r="C100" s="486" t="s">
        <v>174</v>
      </c>
      <c r="D100" s="486">
        <v>9613</v>
      </c>
      <c r="E100" s="486" t="s">
        <v>930</v>
      </c>
      <c r="F100" s="486" t="s">
        <v>833</v>
      </c>
      <c r="G100" s="486" t="s">
        <v>757</v>
      </c>
      <c r="H100" s="486" t="s">
        <v>931</v>
      </c>
      <c r="I100" s="486" t="s">
        <v>772</v>
      </c>
      <c r="J100" s="488">
        <v>780</v>
      </c>
      <c r="K100" s="488">
        <v>780</v>
      </c>
    </row>
    <row r="101" spans="1:11">
      <c r="B101" s="486" t="s">
        <v>912</v>
      </c>
      <c r="C101" s="486" t="s">
        <v>174</v>
      </c>
      <c r="D101" s="486">
        <v>2132020</v>
      </c>
      <c r="E101" s="486" t="s">
        <v>985</v>
      </c>
      <c r="F101" s="486"/>
      <c r="G101" s="486" t="s">
        <v>757</v>
      </c>
      <c r="H101" s="486" t="s">
        <v>986</v>
      </c>
      <c r="I101" s="486" t="s">
        <v>772</v>
      </c>
      <c r="J101" s="488">
        <v>2520</v>
      </c>
      <c r="K101" s="488">
        <v>3300</v>
      </c>
    </row>
    <row r="102" spans="1:11">
      <c r="A102" s="485" t="s">
        <v>932</v>
      </c>
      <c r="J102" s="489">
        <v>3300</v>
      </c>
    </row>
    <row r="103" spans="1:11">
      <c r="A103" s="485" t="s">
        <v>933</v>
      </c>
      <c r="J103" s="489">
        <v>3300</v>
      </c>
    </row>
    <row r="104" spans="1:11">
      <c r="A104" s="485" t="s">
        <v>882</v>
      </c>
      <c r="J104" s="489">
        <v>26946.81</v>
      </c>
    </row>
    <row r="105" spans="1:11">
      <c r="A105" s="485" t="s">
        <v>894</v>
      </c>
      <c r="J105" s="489">
        <v>-26946.81</v>
      </c>
    </row>
    <row r="108" spans="1:11">
      <c r="A108" s="595" t="s">
        <v>987</v>
      </c>
      <c r="B108" s="593"/>
      <c r="C108" s="593"/>
      <c r="D108" s="593"/>
      <c r="E108" s="593"/>
      <c r="F108" s="593"/>
      <c r="G108" s="593"/>
      <c r="H108" s="593"/>
      <c r="I108" s="593"/>
      <c r="J108" s="593"/>
      <c r="K108" s="593"/>
    </row>
  </sheetData>
  <mergeCells count="4">
    <mergeCell ref="A1:K1"/>
    <mergeCell ref="A2:K2"/>
    <mergeCell ref="A3:K3"/>
    <mergeCell ref="A108:K10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8"/>
  <sheetViews>
    <sheetView tabSelected="1" workbookViewId="0">
      <selection sqref="A1:XFD1048576"/>
    </sheetView>
  </sheetViews>
  <sheetFormatPr defaultRowHeight="14.5"/>
  <cols>
    <col min="1" max="1" width="38.6328125" style="492" customWidth="1"/>
    <col min="2" max="2" width="9.453125" style="492" customWidth="1"/>
    <col min="3" max="3" width="18" style="492" customWidth="1"/>
    <col min="4" max="4" width="66.1796875" style="492" customWidth="1"/>
    <col min="5" max="5" width="15.453125" style="492" customWidth="1"/>
    <col min="6" max="6" width="8.6328125" style="492" customWidth="1"/>
    <col min="7" max="16384" width="8.7265625" style="492"/>
  </cols>
  <sheetData>
    <row r="1" spans="1:6" ht="18">
      <c r="A1" s="592" t="s">
        <v>277</v>
      </c>
      <c r="B1" s="593"/>
      <c r="C1" s="593"/>
      <c r="D1" s="593"/>
      <c r="E1" s="593"/>
      <c r="F1" s="593"/>
    </row>
    <row r="2" spans="1:6" ht="18">
      <c r="A2" s="592" t="s">
        <v>988</v>
      </c>
      <c r="B2" s="593"/>
      <c r="C2" s="593"/>
      <c r="D2" s="593"/>
      <c r="E2" s="593"/>
      <c r="F2" s="593"/>
    </row>
    <row r="3" spans="1:6">
      <c r="A3" s="594" t="s">
        <v>935</v>
      </c>
      <c r="B3" s="593"/>
      <c r="C3" s="593"/>
      <c r="D3" s="593"/>
      <c r="E3" s="593"/>
      <c r="F3" s="593"/>
    </row>
    <row r="5" spans="1:6">
      <c r="B5" s="484" t="s">
        <v>153</v>
      </c>
      <c r="C5" s="484" t="s">
        <v>430</v>
      </c>
      <c r="D5" s="484" t="s">
        <v>272</v>
      </c>
      <c r="E5" s="484" t="s">
        <v>274</v>
      </c>
      <c r="F5" s="484" t="s">
        <v>989</v>
      </c>
    </row>
    <row r="6" spans="1:6">
      <c r="A6" s="485" t="s">
        <v>990</v>
      </c>
    </row>
    <row r="7" spans="1:6">
      <c r="B7" s="486" t="s">
        <v>991</v>
      </c>
      <c r="C7" s="486" t="s">
        <v>992</v>
      </c>
      <c r="D7" s="486"/>
      <c r="E7" s="486" t="s">
        <v>993</v>
      </c>
      <c r="F7" s="488">
        <v>-807.6</v>
      </c>
    </row>
    <row r="8" spans="1:6">
      <c r="B8" s="486" t="s">
        <v>929</v>
      </c>
      <c r="C8" s="486" t="s">
        <v>174</v>
      </c>
      <c r="D8" s="486" t="s">
        <v>994</v>
      </c>
      <c r="E8" s="486">
        <v>781087</v>
      </c>
      <c r="F8" s="488">
        <v>807.6</v>
      </c>
    </row>
    <row r="9" spans="1:6">
      <c r="B9" s="486" t="s">
        <v>995</v>
      </c>
      <c r="C9" s="486" t="s">
        <v>992</v>
      </c>
      <c r="D9" s="486"/>
      <c r="E9" s="486" t="s">
        <v>996</v>
      </c>
      <c r="F9" s="488">
        <v>-807.6</v>
      </c>
    </row>
    <row r="10" spans="1:6">
      <c r="B10" s="486" t="s">
        <v>997</v>
      </c>
      <c r="C10" s="486" t="s">
        <v>174</v>
      </c>
      <c r="D10" s="486" t="s">
        <v>998</v>
      </c>
      <c r="E10" s="486">
        <v>197360</v>
      </c>
      <c r="F10" s="488">
        <v>807.6</v>
      </c>
    </row>
    <row r="12" spans="1:6">
      <c r="A12" s="485" t="s">
        <v>999</v>
      </c>
    </row>
    <row r="13" spans="1:6">
      <c r="B13" s="486" t="s">
        <v>1000</v>
      </c>
      <c r="C13" s="486" t="s">
        <v>992</v>
      </c>
      <c r="D13" s="486"/>
      <c r="E13" s="486">
        <v>13050</v>
      </c>
      <c r="F13" s="488">
        <v>-800</v>
      </c>
    </row>
    <row r="14" spans="1:6">
      <c r="B14" s="486" t="s">
        <v>1000</v>
      </c>
      <c r="C14" s="486" t="s">
        <v>174</v>
      </c>
      <c r="D14" s="486" t="s">
        <v>1001</v>
      </c>
      <c r="E14" s="486">
        <v>4</v>
      </c>
      <c r="F14" s="488">
        <v>800</v>
      </c>
    </row>
    <row r="15" spans="1:6">
      <c r="B15" s="486" t="s">
        <v>1002</v>
      </c>
      <c r="C15" s="486" t="s">
        <v>992</v>
      </c>
      <c r="D15" s="486"/>
      <c r="E15" s="486">
        <v>13229</v>
      </c>
      <c r="F15" s="488">
        <v>-420</v>
      </c>
    </row>
    <row r="16" spans="1:6">
      <c r="B16" s="486" t="s">
        <v>944</v>
      </c>
      <c r="C16" s="486" t="s">
        <v>174</v>
      </c>
      <c r="D16" s="486" t="s">
        <v>1003</v>
      </c>
      <c r="E16" s="486">
        <v>5</v>
      </c>
      <c r="F16" s="488">
        <v>420</v>
      </c>
    </row>
    <row r="18" spans="1:6">
      <c r="A18" s="485" t="s">
        <v>662</v>
      </c>
    </row>
    <row r="19" spans="1:6">
      <c r="B19" s="486" t="s">
        <v>1000</v>
      </c>
      <c r="C19" s="486" t="s">
        <v>992</v>
      </c>
      <c r="D19" s="486"/>
      <c r="E19" s="486">
        <v>13044</v>
      </c>
      <c r="F19" s="488">
        <v>-1755</v>
      </c>
    </row>
    <row r="20" spans="1:6">
      <c r="B20" s="486" t="s">
        <v>942</v>
      </c>
      <c r="C20" s="486" t="s">
        <v>174</v>
      </c>
      <c r="D20" s="486" t="s">
        <v>1004</v>
      </c>
      <c r="E20" s="486" t="s">
        <v>964</v>
      </c>
      <c r="F20" s="488">
        <v>900</v>
      </c>
    </row>
    <row r="21" spans="1:6">
      <c r="B21" s="486" t="s">
        <v>916</v>
      </c>
      <c r="C21" s="486" t="s">
        <v>174</v>
      </c>
      <c r="D21" s="486" t="s">
        <v>1005</v>
      </c>
      <c r="E21" s="486" t="s">
        <v>1006</v>
      </c>
      <c r="F21" s="488">
        <v>855</v>
      </c>
    </row>
    <row r="22" spans="1:6">
      <c r="B22" s="486" t="s">
        <v>1002</v>
      </c>
      <c r="C22" s="486" t="s">
        <v>992</v>
      </c>
      <c r="D22" s="486"/>
      <c r="E22" s="486">
        <v>13233</v>
      </c>
      <c r="F22" s="488">
        <v>-1800</v>
      </c>
    </row>
    <row r="23" spans="1:6">
      <c r="B23" s="486" t="s">
        <v>966</v>
      </c>
      <c r="C23" s="486" t="s">
        <v>174</v>
      </c>
      <c r="D23" s="486" t="s">
        <v>1007</v>
      </c>
      <c r="E23" s="486" t="s">
        <v>967</v>
      </c>
      <c r="F23" s="488">
        <v>900</v>
      </c>
    </row>
    <row r="24" spans="1:6">
      <c r="B24" s="486" t="s">
        <v>944</v>
      </c>
      <c r="C24" s="486" t="s">
        <v>174</v>
      </c>
      <c r="D24" s="486" t="s">
        <v>1008</v>
      </c>
      <c r="E24" s="486" t="s">
        <v>1009</v>
      </c>
      <c r="F24" s="488">
        <v>900</v>
      </c>
    </row>
    <row r="26" spans="1:6">
      <c r="A26" s="485" t="s">
        <v>1010</v>
      </c>
    </row>
    <row r="27" spans="1:6">
      <c r="B27" s="486" t="s">
        <v>1000</v>
      </c>
      <c r="C27" s="486" t="s">
        <v>992</v>
      </c>
      <c r="D27" s="486"/>
      <c r="E27" s="486">
        <v>13031</v>
      </c>
      <c r="F27" s="488">
        <v>-55</v>
      </c>
    </row>
    <row r="28" spans="1:6">
      <c r="B28" s="486" t="s">
        <v>942</v>
      </c>
      <c r="C28" s="486" t="s">
        <v>174</v>
      </c>
      <c r="D28" s="486" t="s">
        <v>1011</v>
      </c>
      <c r="E28" s="486">
        <v>5627</v>
      </c>
      <c r="F28" s="488">
        <v>55</v>
      </c>
    </row>
    <row r="30" spans="1:6">
      <c r="A30" s="485" t="s">
        <v>1012</v>
      </c>
    </row>
    <row r="31" spans="1:6">
      <c r="B31" s="486" t="s">
        <v>1000</v>
      </c>
      <c r="C31" s="486" t="s">
        <v>992</v>
      </c>
      <c r="D31" s="486"/>
      <c r="E31" s="486">
        <v>13026</v>
      </c>
      <c r="F31" s="488">
        <v>-596</v>
      </c>
    </row>
    <row r="32" spans="1:6">
      <c r="B32" s="486" t="s">
        <v>912</v>
      </c>
      <c r="C32" s="486" t="s">
        <v>174</v>
      </c>
      <c r="D32" s="486" t="s">
        <v>1013</v>
      </c>
      <c r="E32" s="486">
        <v>212647</v>
      </c>
      <c r="F32" s="488">
        <v>174</v>
      </c>
    </row>
    <row r="33" spans="1:6">
      <c r="B33" s="486" t="s">
        <v>912</v>
      </c>
      <c r="C33" s="486" t="s">
        <v>174</v>
      </c>
      <c r="D33" s="486" t="s">
        <v>1014</v>
      </c>
      <c r="E33" s="486">
        <v>212646</v>
      </c>
      <c r="F33" s="488">
        <v>422</v>
      </c>
    </row>
    <row r="35" spans="1:6">
      <c r="A35" s="485" t="s">
        <v>181</v>
      </c>
    </row>
    <row r="36" spans="1:6">
      <c r="B36" s="486" t="s">
        <v>1000</v>
      </c>
      <c r="C36" s="486" t="s">
        <v>992</v>
      </c>
      <c r="D36" s="486"/>
      <c r="E36" s="486">
        <v>13046</v>
      </c>
      <c r="F36" s="488">
        <v>-648</v>
      </c>
    </row>
    <row r="37" spans="1:6">
      <c r="B37" s="486" t="s">
        <v>912</v>
      </c>
      <c r="C37" s="486" t="s">
        <v>174</v>
      </c>
      <c r="D37" s="486" t="s">
        <v>1015</v>
      </c>
      <c r="E37" s="486">
        <v>2058</v>
      </c>
      <c r="F37" s="488">
        <v>648</v>
      </c>
    </row>
    <row r="39" spans="1:6">
      <c r="A39" s="485" t="s">
        <v>1016</v>
      </c>
    </row>
    <row r="40" spans="1:6">
      <c r="B40" s="486" t="s">
        <v>1000</v>
      </c>
      <c r="C40" s="486" t="s">
        <v>992</v>
      </c>
      <c r="D40" s="486"/>
      <c r="E40" s="486">
        <v>13045</v>
      </c>
      <c r="F40" s="488">
        <v>-450</v>
      </c>
    </row>
    <row r="41" spans="1:6">
      <c r="B41" s="486" t="s">
        <v>942</v>
      </c>
      <c r="C41" s="486" t="s">
        <v>174</v>
      </c>
      <c r="D41" s="486" t="s">
        <v>1017</v>
      </c>
      <c r="E41" s="486" t="s">
        <v>1018</v>
      </c>
      <c r="F41" s="488">
        <v>450</v>
      </c>
    </row>
    <row r="42" spans="1:6">
      <c r="B42" s="486" t="s">
        <v>1002</v>
      </c>
      <c r="C42" s="486" t="s">
        <v>992</v>
      </c>
      <c r="D42" s="486"/>
      <c r="E42" s="486">
        <v>13232</v>
      </c>
      <c r="F42" s="488">
        <v>-180</v>
      </c>
    </row>
    <row r="43" spans="1:6">
      <c r="B43" s="486" t="s">
        <v>966</v>
      </c>
      <c r="C43" s="486" t="s">
        <v>174</v>
      </c>
      <c r="D43" s="486" t="s">
        <v>1019</v>
      </c>
      <c r="E43" s="486" t="s">
        <v>1020</v>
      </c>
      <c r="F43" s="488">
        <v>180</v>
      </c>
    </row>
    <row r="45" spans="1:6">
      <c r="A45" s="485" t="s">
        <v>1021</v>
      </c>
    </row>
    <row r="46" spans="1:6">
      <c r="B46" s="486" t="s">
        <v>1000</v>
      </c>
      <c r="C46" s="486" t="s">
        <v>992</v>
      </c>
      <c r="D46" s="486"/>
      <c r="E46" s="486">
        <v>13033</v>
      </c>
      <c r="F46" s="488">
        <v>-136.47999999999999</v>
      </c>
    </row>
    <row r="47" spans="1:6">
      <c r="B47" s="486" t="s">
        <v>912</v>
      </c>
      <c r="C47" s="486" t="s">
        <v>174</v>
      </c>
      <c r="D47" s="486" t="s">
        <v>1022</v>
      </c>
      <c r="E47" s="486">
        <v>35017519</v>
      </c>
      <c r="F47" s="488">
        <v>136.47999999999999</v>
      </c>
    </row>
    <row r="48" spans="1:6">
      <c r="B48" s="486" t="s">
        <v>1002</v>
      </c>
      <c r="C48" s="486" t="s">
        <v>992</v>
      </c>
      <c r="D48" s="486"/>
      <c r="E48" s="486">
        <v>13235</v>
      </c>
      <c r="F48" s="488">
        <v>-1580.66</v>
      </c>
    </row>
    <row r="49" spans="1:6">
      <c r="B49" s="486" t="s">
        <v>1023</v>
      </c>
      <c r="C49" s="486" t="s">
        <v>174</v>
      </c>
      <c r="D49" s="486" t="s">
        <v>1024</v>
      </c>
      <c r="E49" s="486">
        <v>35066366</v>
      </c>
      <c r="F49" s="488">
        <v>1580.66</v>
      </c>
    </row>
    <row r="50" spans="1:6">
      <c r="B50" s="486" t="s">
        <v>1002</v>
      </c>
      <c r="C50" s="486" t="s">
        <v>992</v>
      </c>
      <c r="D50" s="486"/>
      <c r="E50" s="486">
        <v>13236</v>
      </c>
      <c r="F50" s="488">
        <v>-167.66</v>
      </c>
    </row>
    <row r="51" spans="1:6">
      <c r="B51" s="486" t="s">
        <v>1025</v>
      </c>
      <c r="C51" s="486" t="s">
        <v>174</v>
      </c>
      <c r="D51" s="486" t="s">
        <v>1026</v>
      </c>
      <c r="E51" s="486">
        <v>35080416</v>
      </c>
      <c r="F51" s="488">
        <v>167.66</v>
      </c>
    </row>
    <row r="53" spans="1:6">
      <c r="A53" s="485" t="s">
        <v>1027</v>
      </c>
    </row>
    <row r="54" spans="1:6">
      <c r="B54" s="486" t="s">
        <v>1002</v>
      </c>
      <c r="C54" s="486" t="s">
        <v>992</v>
      </c>
      <c r="D54" s="486"/>
      <c r="E54" s="486">
        <v>13237</v>
      </c>
      <c r="F54" s="488">
        <v>-150</v>
      </c>
    </row>
    <row r="55" spans="1:6">
      <c r="B55" s="486" t="s">
        <v>981</v>
      </c>
      <c r="C55" s="486" t="s">
        <v>174</v>
      </c>
      <c r="D55" s="486" t="s">
        <v>1028</v>
      </c>
      <c r="E55" s="486">
        <v>179476</v>
      </c>
      <c r="F55" s="488">
        <v>150</v>
      </c>
    </row>
    <row r="56" spans="1:6">
      <c r="B56" s="486" t="s">
        <v>1002</v>
      </c>
      <c r="C56" s="486" t="s">
        <v>992</v>
      </c>
      <c r="D56" s="486"/>
      <c r="E56" s="486">
        <v>254</v>
      </c>
      <c r="F56" s="488">
        <v>-1178.8499999999999</v>
      </c>
    </row>
    <row r="57" spans="1:6">
      <c r="B57" s="486" t="s">
        <v>981</v>
      </c>
      <c r="C57" s="486" t="s">
        <v>174</v>
      </c>
      <c r="D57" s="486" t="s">
        <v>1029</v>
      </c>
      <c r="E57" s="486">
        <v>179478</v>
      </c>
      <c r="F57" s="488">
        <v>296.85000000000002</v>
      </c>
    </row>
    <row r="58" spans="1:6">
      <c r="B58" s="486" t="s">
        <v>981</v>
      </c>
      <c r="C58" s="486" t="s">
        <v>174</v>
      </c>
      <c r="D58" s="486" t="s">
        <v>1030</v>
      </c>
      <c r="E58" s="486">
        <v>179477</v>
      </c>
      <c r="F58" s="488">
        <v>340</v>
      </c>
    </row>
    <row r="59" spans="1:6">
      <c r="B59" s="486" t="s">
        <v>981</v>
      </c>
      <c r="C59" s="486" t="s">
        <v>174</v>
      </c>
      <c r="D59" s="486" t="s">
        <v>1031</v>
      </c>
      <c r="E59" s="486">
        <v>179492</v>
      </c>
      <c r="F59" s="488">
        <v>345</v>
      </c>
    </row>
    <row r="60" spans="1:6">
      <c r="B60" s="486" t="s">
        <v>981</v>
      </c>
      <c r="C60" s="486" t="s">
        <v>174</v>
      </c>
      <c r="D60" s="486" t="s">
        <v>1032</v>
      </c>
      <c r="E60" s="486">
        <v>179491</v>
      </c>
      <c r="F60" s="488">
        <v>197</v>
      </c>
    </row>
    <row r="62" spans="1:6">
      <c r="A62" s="485" t="s">
        <v>1033</v>
      </c>
    </row>
    <row r="63" spans="1:6">
      <c r="B63" s="486" t="s">
        <v>912</v>
      </c>
      <c r="C63" s="486" t="s">
        <v>992</v>
      </c>
      <c r="D63" s="486"/>
      <c r="E63" s="486">
        <v>248</v>
      </c>
      <c r="F63" s="488">
        <v>-145.33000000000001</v>
      </c>
    </row>
    <row r="64" spans="1:6">
      <c r="B64" s="486" t="s">
        <v>1034</v>
      </c>
      <c r="C64" s="486" t="s">
        <v>174</v>
      </c>
      <c r="D64" s="486" t="s">
        <v>1035</v>
      </c>
      <c r="E64" s="486">
        <v>11629453</v>
      </c>
      <c r="F64" s="488">
        <v>145.33000000000001</v>
      </c>
    </row>
    <row r="66" spans="1:6">
      <c r="A66" s="485" t="s">
        <v>377</v>
      </c>
    </row>
    <row r="67" spans="1:6">
      <c r="B67" s="486" t="s">
        <v>1000</v>
      </c>
      <c r="C67" s="486" t="s">
        <v>992</v>
      </c>
      <c r="D67" s="486"/>
      <c r="E67" s="486">
        <v>13047</v>
      </c>
      <c r="F67" s="488">
        <v>-150</v>
      </c>
    </row>
    <row r="68" spans="1:6">
      <c r="B68" s="486" t="s">
        <v>912</v>
      </c>
      <c r="C68" s="486" t="s">
        <v>174</v>
      </c>
      <c r="D68" s="486" t="s">
        <v>1036</v>
      </c>
      <c r="E68" s="486">
        <v>11354</v>
      </c>
      <c r="F68" s="488">
        <v>150</v>
      </c>
    </row>
    <row r="70" spans="1:6">
      <c r="A70" s="485" t="s">
        <v>1037</v>
      </c>
    </row>
    <row r="71" spans="1:6">
      <c r="B71" s="486" t="s">
        <v>1002</v>
      </c>
      <c r="C71" s="486" t="s">
        <v>992</v>
      </c>
      <c r="D71" s="486"/>
      <c r="E71" s="486">
        <v>13238</v>
      </c>
      <c r="F71" s="488">
        <v>-95.58</v>
      </c>
    </row>
    <row r="72" spans="1:6">
      <c r="B72" s="486" t="s">
        <v>942</v>
      </c>
      <c r="C72" s="486" t="s">
        <v>174</v>
      </c>
      <c r="D72" s="486" t="s">
        <v>1038</v>
      </c>
      <c r="E72" s="486">
        <v>316515</v>
      </c>
      <c r="F72" s="488">
        <v>47.79</v>
      </c>
    </row>
    <row r="73" spans="1:6">
      <c r="B73" s="486" t="s">
        <v>1039</v>
      </c>
      <c r="C73" s="486" t="s">
        <v>174</v>
      </c>
      <c r="D73" s="486" t="s">
        <v>1040</v>
      </c>
      <c r="E73" s="486">
        <v>401833</v>
      </c>
      <c r="F73" s="488">
        <v>47.79</v>
      </c>
    </row>
    <row r="75" spans="1:6">
      <c r="A75" s="485" t="s">
        <v>1041</v>
      </c>
    </row>
    <row r="76" spans="1:6">
      <c r="B76" s="486" t="s">
        <v>1002</v>
      </c>
      <c r="C76" s="486" t="s">
        <v>992</v>
      </c>
      <c r="D76" s="486"/>
      <c r="E76" s="486">
        <v>13239</v>
      </c>
      <c r="F76" s="488">
        <v>-44.35</v>
      </c>
    </row>
    <row r="77" spans="1:6">
      <c r="B77" s="486" t="s">
        <v>1042</v>
      </c>
      <c r="C77" s="486" t="s">
        <v>174</v>
      </c>
      <c r="D77" s="486" t="s">
        <v>1043</v>
      </c>
      <c r="E77" s="486">
        <v>11097022</v>
      </c>
      <c r="F77" s="488">
        <v>44.35</v>
      </c>
    </row>
    <row r="79" spans="1:6">
      <c r="A79" s="485" t="s">
        <v>1044</v>
      </c>
    </row>
    <row r="80" spans="1:6">
      <c r="B80" s="486" t="s">
        <v>1000</v>
      </c>
      <c r="C80" s="486" t="s">
        <v>992</v>
      </c>
      <c r="D80" s="486"/>
      <c r="E80" s="486">
        <v>13025</v>
      </c>
      <c r="F80" s="488">
        <v>-153</v>
      </c>
    </row>
    <row r="81" spans="1:6">
      <c r="B81" s="486" t="s">
        <v>1045</v>
      </c>
      <c r="C81" s="486" t="s">
        <v>174</v>
      </c>
      <c r="D81" s="486" t="s">
        <v>1046</v>
      </c>
      <c r="E81" s="486" t="s">
        <v>1047</v>
      </c>
      <c r="F81" s="488">
        <v>153</v>
      </c>
    </row>
    <row r="83" spans="1:6">
      <c r="A83" s="485" t="s">
        <v>901</v>
      </c>
    </row>
    <row r="84" spans="1:6">
      <c r="B84" s="486" t="s">
        <v>912</v>
      </c>
      <c r="C84" s="486" t="s">
        <v>992</v>
      </c>
      <c r="D84" s="486"/>
      <c r="E84" s="486">
        <v>13003</v>
      </c>
      <c r="F84" s="488">
        <v>-150.07</v>
      </c>
    </row>
    <row r="85" spans="1:6">
      <c r="B85" s="486" t="s">
        <v>912</v>
      </c>
      <c r="C85" s="486" t="s">
        <v>174</v>
      </c>
      <c r="D85" s="486" t="s">
        <v>1048</v>
      </c>
      <c r="E85" s="486" t="s">
        <v>936</v>
      </c>
      <c r="F85" s="488">
        <v>150.07</v>
      </c>
    </row>
    <row r="87" spans="1:6">
      <c r="A87" s="485" t="s">
        <v>1049</v>
      </c>
    </row>
    <row r="88" spans="1:6">
      <c r="B88" s="486" t="s">
        <v>1000</v>
      </c>
      <c r="C88" s="486" t="s">
        <v>992</v>
      </c>
      <c r="D88" s="486"/>
      <c r="E88" s="486">
        <v>13024</v>
      </c>
      <c r="F88" s="488">
        <v>-1400</v>
      </c>
    </row>
    <row r="89" spans="1:6">
      <c r="B89" s="486" t="s">
        <v>1050</v>
      </c>
      <c r="C89" s="486" t="s">
        <v>174</v>
      </c>
      <c r="D89" s="486" t="s">
        <v>1051</v>
      </c>
      <c r="E89" s="486">
        <v>7395</v>
      </c>
      <c r="F89" s="488">
        <v>350</v>
      </c>
    </row>
    <row r="90" spans="1:6">
      <c r="B90" s="486" t="s">
        <v>1052</v>
      </c>
      <c r="C90" s="486" t="s">
        <v>174</v>
      </c>
      <c r="D90" s="486" t="s">
        <v>1053</v>
      </c>
      <c r="E90" s="486">
        <v>7367</v>
      </c>
      <c r="F90" s="488">
        <v>350</v>
      </c>
    </row>
    <row r="91" spans="1:6">
      <c r="B91" s="486" t="s">
        <v>1054</v>
      </c>
      <c r="C91" s="486" t="s">
        <v>174</v>
      </c>
      <c r="D91" s="486" t="s">
        <v>1055</v>
      </c>
      <c r="E91" s="486">
        <v>7313</v>
      </c>
      <c r="F91" s="488">
        <v>350</v>
      </c>
    </row>
    <row r="92" spans="1:6">
      <c r="B92" s="486" t="s">
        <v>1056</v>
      </c>
      <c r="C92" s="486" t="s">
        <v>174</v>
      </c>
      <c r="D92" s="486" t="s">
        <v>1057</v>
      </c>
      <c r="E92" s="486">
        <v>7337</v>
      </c>
      <c r="F92" s="488">
        <v>350</v>
      </c>
    </row>
    <row r="94" spans="1:6">
      <c r="A94" s="485" t="s">
        <v>1058</v>
      </c>
    </row>
    <row r="95" spans="1:6">
      <c r="B95" s="486" t="s">
        <v>1000</v>
      </c>
      <c r="C95" s="486" t="s">
        <v>992</v>
      </c>
      <c r="D95" s="486"/>
      <c r="E95" s="486">
        <v>13042</v>
      </c>
      <c r="F95" s="488">
        <v>-405</v>
      </c>
    </row>
    <row r="96" spans="1:6">
      <c r="B96" s="486" t="s">
        <v>912</v>
      </c>
      <c r="C96" s="486" t="s">
        <v>174</v>
      </c>
      <c r="D96" s="486" t="s">
        <v>1059</v>
      </c>
      <c r="E96" s="486">
        <v>3201465</v>
      </c>
      <c r="F96" s="488">
        <v>105</v>
      </c>
    </row>
    <row r="97" spans="1:6">
      <c r="B97" s="486" t="s">
        <v>912</v>
      </c>
      <c r="C97" s="486" t="s">
        <v>174</v>
      </c>
      <c r="D97" s="486" t="s">
        <v>1060</v>
      </c>
      <c r="E97" s="486">
        <v>3201464</v>
      </c>
      <c r="F97" s="488">
        <v>45</v>
      </c>
    </row>
    <row r="98" spans="1:6">
      <c r="B98" s="486" t="s">
        <v>912</v>
      </c>
      <c r="C98" s="486" t="s">
        <v>174</v>
      </c>
      <c r="D98" s="486" t="s">
        <v>1061</v>
      </c>
      <c r="E98" s="486">
        <v>3201467</v>
      </c>
      <c r="F98" s="488">
        <v>105</v>
      </c>
    </row>
    <row r="99" spans="1:6">
      <c r="B99" s="486" t="s">
        <v>912</v>
      </c>
      <c r="C99" s="486" t="s">
        <v>174</v>
      </c>
      <c r="D99" s="486" t="s">
        <v>1062</v>
      </c>
      <c r="E99" s="486">
        <v>3201466</v>
      </c>
      <c r="F99" s="488">
        <v>105</v>
      </c>
    </row>
    <row r="100" spans="1:6">
      <c r="B100" s="486" t="s">
        <v>912</v>
      </c>
      <c r="C100" s="486" t="s">
        <v>174</v>
      </c>
      <c r="D100" s="486" t="s">
        <v>1063</v>
      </c>
      <c r="E100" s="486">
        <v>3201468</v>
      </c>
      <c r="F100" s="488">
        <v>45</v>
      </c>
    </row>
    <row r="102" spans="1:6">
      <c r="A102" s="485" t="s">
        <v>1064</v>
      </c>
    </row>
    <row r="103" spans="1:6">
      <c r="B103" s="486" t="s">
        <v>912</v>
      </c>
      <c r="C103" s="486" t="s">
        <v>992</v>
      </c>
      <c r="D103" s="486"/>
      <c r="E103" s="486">
        <v>1684</v>
      </c>
      <c r="F103" s="488">
        <v>-100</v>
      </c>
    </row>
    <row r="104" spans="1:6">
      <c r="B104" s="486" t="s">
        <v>899</v>
      </c>
      <c r="C104" s="486" t="s">
        <v>174</v>
      </c>
      <c r="D104" s="486" t="s">
        <v>1065</v>
      </c>
      <c r="E104" s="486">
        <v>6378</v>
      </c>
      <c r="F104" s="488">
        <v>100</v>
      </c>
    </row>
    <row r="105" spans="1:6">
      <c r="B105" s="486" t="s">
        <v>1002</v>
      </c>
      <c r="C105" s="486" t="s">
        <v>992</v>
      </c>
      <c r="D105" s="486"/>
      <c r="E105" s="486">
        <v>1700</v>
      </c>
      <c r="F105" s="488">
        <v>-100</v>
      </c>
    </row>
    <row r="106" spans="1:6">
      <c r="B106" s="486" t="s">
        <v>937</v>
      </c>
      <c r="C106" s="486" t="s">
        <v>174</v>
      </c>
      <c r="D106" s="486" t="s">
        <v>1066</v>
      </c>
      <c r="E106" s="486">
        <v>7012</v>
      </c>
      <c r="F106" s="488">
        <v>100</v>
      </c>
    </row>
    <row r="108" spans="1:6">
      <c r="A108" s="485" t="s">
        <v>653</v>
      </c>
    </row>
    <row r="109" spans="1:6">
      <c r="B109" s="486" t="s">
        <v>912</v>
      </c>
      <c r="C109" s="486" t="s">
        <v>992</v>
      </c>
      <c r="D109" s="486"/>
      <c r="E109" s="486">
        <v>1675</v>
      </c>
      <c r="F109" s="488">
        <v>-22.06</v>
      </c>
    </row>
    <row r="110" spans="1:6">
      <c r="B110" s="486" t="s">
        <v>721</v>
      </c>
      <c r="C110" s="486" t="s">
        <v>174</v>
      </c>
      <c r="D110" s="486" t="s">
        <v>1067</v>
      </c>
      <c r="E110" s="486" t="s">
        <v>1068</v>
      </c>
      <c r="F110" s="488">
        <v>22.06</v>
      </c>
    </row>
    <row r="111" spans="1:6">
      <c r="B111" s="486" t="s">
        <v>1000</v>
      </c>
      <c r="C111" s="486" t="s">
        <v>992</v>
      </c>
      <c r="D111" s="486"/>
      <c r="E111" s="486">
        <v>13049</v>
      </c>
      <c r="F111" s="488">
        <v>-35.76</v>
      </c>
    </row>
    <row r="112" spans="1:6">
      <c r="B112" s="486" t="s">
        <v>991</v>
      </c>
      <c r="C112" s="486" t="s">
        <v>174</v>
      </c>
      <c r="D112" s="486" t="s">
        <v>1069</v>
      </c>
      <c r="E112" s="486" t="s">
        <v>1070</v>
      </c>
      <c r="F112" s="488">
        <v>35.76</v>
      </c>
    </row>
    <row r="113" spans="1:6">
      <c r="B113" s="486" t="s">
        <v>1002</v>
      </c>
      <c r="C113" s="486" t="s">
        <v>992</v>
      </c>
      <c r="D113" s="486"/>
      <c r="E113" s="486">
        <v>13240</v>
      </c>
      <c r="F113" s="488">
        <v>-36.69</v>
      </c>
    </row>
    <row r="114" spans="1:6">
      <c r="B114" s="486" t="s">
        <v>981</v>
      </c>
      <c r="C114" s="486" t="s">
        <v>174</v>
      </c>
      <c r="D114" s="486" t="s">
        <v>1071</v>
      </c>
      <c r="E114" s="486" t="s">
        <v>1072</v>
      </c>
      <c r="F114" s="488">
        <v>36.69</v>
      </c>
    </row>
    <row r="116" spans="1:6">
      <c r="A116" s="485" t="s">
        <v>1073</v>
      </c>
    </row>
    <row r="117" spans="1:6">
      <c r="B117" s="486" t="s">
        <v>1000</v>
      </c>
      <c r="C117" s="486" t="s">
        <v>992</v>
      </c>
      <c r="D117" s="486"/>
      <c r="E117" s="486">
        <v>250</v>
      </c>
      <c r="F117" s="488">
        <v>-4722.3</v>
      </c>
    </row>
    <row r="118" spans="1:6">
      <c r="B118" s="486" t="s">
        <v>981</v>
      </c>
      <c r="C118" s="486" t="s">
        <v>174</v>
      </c>
      <c r="D118" s="486" t="s">
        <v>1074</v>
      </c>
      <c r="E118" s="486">
        <v>12920829</v>
      </c>
      <c r="F118" s="488">
        <v>4722.3</v>
      </c>
    </row>
    <row r="120" spans="1:6">
      <c r="A120" s="485" t="s">
        <v>1075</v>
      </c>
    </row>
    <row r="121" spans="1:6">
      <c r="B121" s="486" t="s">
        <v>1000</v>
      </c>
      <c r="C121" s="486" t="s">
        <v>992</v>
      </c>
      <c r="D121" s="486"/>
      <c r="E121" s="486">
        <v>13041</v>
      </c>
      <c r="F121" s="488">
        <v>-645</v>
      </c>
    </row>
    <row r="122" spans="1:6">
      <c r="B122" s="486" t="s">
        <v>1000</v>
      </c>
      <c r="C122" s="486" t="s">
        <v>174</v>
      </c>
      <c r="D122" s="486" t="s">
        <v>1076</v>
      </c>
      <c r="E122" s="486" t="s">
        <v>1077</v>
      </c>
      <c r="F122" s="488">
        <v>645</v>
      </c>
    </row>
    <row r="123" spans="1:6">
      <c r="B123" s="486" t="s">
        <v>1002</v>
      </c>
      <c r="C123" s="486" t="s">
        <v>992</v>
      </c>
      <c r="D123" s="486"/>
      <c r="E123" s="486">
        <v>13230</v>
      </c>
      <c r="F123" s="488">
        <v>-480</v>
      </c>
    </row>
    <row r="124" spans="1:6">
      <c r="B124" s="486" t="s">
        <v>1078</v>
      </c>
      <c r="C124" s="486" t="s">
        <v>174</v>
      </c>
      <c r="D124" s="486" t="s">
        <v>1079</v>
      </c>
      <c r="E124" s="486" t="s">
        <v>1080</v>
      </c>
      <c r="F124" s="488">
        <v>480</v>
      </c>
    </row>
    <row r="126" spans="1:6">
      <c r="A126" s="485" t="s">
        <v>443</v>
      </c>
    </row>
    <row r="127" spans="1:6">
      <c r="B127" s="486" t="s">
        <v>1002</v>
      </c>
      <c r="C127" s="486" t="s">
        <v>992</v>
      </c>
      <c r="D127" s="486"/>
      <c r="E127" s="486">
        <v>13234</v>
      </c>
      <c r="F127" s="488">
        <v>-68.09</v>
      </c>
    </row>
    <row r="128" spans="1:6">
      <c r="B128" s="486" t="s">
        <v>978</v>
      </c>
      <c r="C128" s="486" t="s">
        <v>174</v>
      </c>
      <c r="D128" s="486" t="s">
        <v>1081</v>
      </c>
      <c r="E128" s="486" t="s">
        <v>979</v>
      </c>
      <c r="F128" s="488">
        <v>68.09</v>
      </c>
    </row>
    <row r="130" spans="1:6">
      <c r="A130" s="485" t="s">
        <v>1082</v>
      </c>
    </row>
    <row r="131" spans="1:6">
      <c r="B131" s="486" t="s">
        <v>1000</v>
      </c>
      <c r="C131" s="486" t="s">
        <v>992</v>
      </c>
      <c r="D131" s="486"/>
      <c r="E131" s="486">
        <v>251</v>
      </c>
      <c r="F131" s="488">
        <v>-493.02</v>
      </c>
    </row>
    <row r="132" spans="1:6">
      <c r="B132" s="486" t="s">
        <v>1025</v>
      </c>
      <c r="C132" s="486" t="s">
        <v>174</v>
      </c>
      <c r="D132" s="486" t="s">
        <v>1083</v>
      </c>
      <c r="E132" s="486" t="s">
        <v>1084</v>
      </c>
      <c r="F132" s="488">
        <v>493.02</v>
      </c>
    </row>
    <row r="133" spans="1:6">
      <c r="B133" s="486" t="s">
        <v>1000</v>
      </c>
      <c r="C133" s="486" t="s">
        <v>992</v>
      </c>
      <c r="D133" s="486"/>
      <c r="E133" s="486">
        <v>252</v>
      </c>
      <c r="F133" s="488">
        <v>-6.98</v>
      </c>
    </row>
    <row r="134" spans="1:6">
      <c r="B134" s="486" t="s">
        <v>1025</v>
      </c>
      <c r="C134" s="486" t="s">
        <v>174</v>
      </c>
      <c r="D134" s="486" t="s">
        <v>1085</v>
      </c>
      <c r="E134" s="486" t="s">
        <v>1086</v>
      </c>
      <c r="F134" s="488">
        <v>6.98</v>
      </c>
    </row>
    <row r="136" spans="1:6">
      <c r="A136" s="485" t="s">
        <v>1087</v>
      </c>
    </row>
    <row r="137" spans="1:6">
      <c r="B137" s="486" t="s">
        <v>1088</v>
      </c>
      <c r="C137" s="486" t="s">
        <v>992</v>
      </c>
      <c r="D137" s="486"/>
      <c r="E137" s="486">
        <v>1695</v>
      </c>
      <c r="F137" s="488">
        <v>-27735.439999999999</v>
      </c>
    </row>
    <row r="138" spans="1:6">
      <c r="B138" s="486" t="s">
        <v>1042</v>
      </c>
      <c r="C138" s="486" t="s">
        <v>174</v>
      </c>
      <c r="D138" s="486" t="s">
        <v>1089</v>
      </c>
      <c r="E138" s="486">
        <v>2</v>
      </c>
      <c r="F138" s="488">
        <v>27735.439999999999</v>
      </c>
    </row>
    <row r="140" spans="1:6">
      <c r="A140" s="485" t="s">
        <v>480</v>
      </c>
    </row>
    <row r="141" spans="1:6">
      <c r="B141" s="486" t="s">
        <v>1000</v>
      </c>
      <c r="C141" s="486" t="s">
        <v>992</v>
      </c>
      <c r="D141" s="486"/>
      <c r="E141" s="486">
        <v>13034</v>
      </c>
      <c r="F141" s="488">
        <v>-20016.22</v>
      </c>
    </row>
    <row r="142" spans="1:6">
      <c r="B142" s="486" t="s">
        <v>912</v>
      </c>
      <c r="C142" s="486" t="s">
        <v>174</v>
      </c>
      <c r="D142" s="486" t="s">
        <v>1090</v>
      </c>
      <c r="E142" s="486">
        <v>293512262</v>
      </c>
      <c r="F142" s="488">
        <v>20016.22</v>
      </c>
    </row>
    <row r="144" spans="1:6">
      <c r="A144" s="485" t="s">
        <v>1091</v>
      </c>
    </row>
    <row r="145" spans="1:6">
      <c r="B145" s="486" t="s">
        <v>1000</v>
      </c>
      <c r="C145" s="486" t="s">
        <v>992</v>
      </c>
      <c r="D145" s="486"/>
      <c r="E145" s="486">
        <v>13027</v>
      </c>
      <c r="F145" s="488">
        <v>-4000</v>
      </c>
    </row>
    <row r="146" spans="1:6">
      <c r="B146" s="486" t="s">
        <v>1042</v>
      </c>
      <c r="C146" s="486" t="s">
        <v>174</v>
      </c>
      <c r="D146" s="486" t="s">
        <v>1092</v>
      </c>
      <c r="E146" s="486">
        <v>2</v>
      </c>
      <c r="F146" s="488">
        <v>4000</v>
      </c>
    </row>
    <row r="148" spans="1:6">
      <c r="A148" s="485" t="s">
        <v>1093</v>
      </c>
    </row>
    <row r="149" spans="1:6">
      <c r="B149" s="486" t="s">
        <v>1094</v>
      </c>
      <c r="C149" s="486" t="s">
        <v>992</v>
      </c>
      <c r="D149" s="486"/>
      <c r="E149" s="486">
        <v>13023</v>
      </c>
      <c r="F149" s="488">
        <v>-8500</v>
      </c>
    </row>
    <row r="150" spans="1:6">
      <c r="B150" s="486" t="s">
        <v>912</v>
      </c>
      <c r="C150" s="486" t="s">
        <v>174</v>
      </c>
      <c r="D150" s="486" t="s">
        <v>1095</v>
      </c>
      <c r="E150" s="486">
        <v>39</v>
      </c>
      <c r="F150" s="488">
        <v>8500</v>
      </c>
    </row>
    <row r="152" spans="1:6">
      <c r="A152" s="485" t="s">
        <v>1096</v>
      </c>
    </row>
    <row r="153" spans="1:6">
      <c r="B153" s="486" t="s">
        <v>1002</v>
      </c>
      <c r="C153" s="486" t="s">
        <v>992</v>
      </c>
      <c r="D153" s="486"/>
      <c r="E153" s="486">
        <v>255</v>
      </c>
      <c r="F153" s="488">
        <v>-2458.36</v>
      </c>
    </row>
    <row r="154" spans="1:6">
      <c r="B154" s="486" t="s">
        <v>937</v>
      </c>
      <c r="C154" s="486" t="s">
        <v>174</v>
      </c>
      <c r="D154" s="486" t="s">
        <v>1097</v>
      </c>
      <c r="E154" s="486">
        <v>5406199</v>
      </c>
      <c r="F154" s="488">
        <v>1036.67</v>
      </c>
    </row>
    <row r="155" spans="1:6">
      <c r="B155" s="486" t="s">
        <v>1098</v>
      </c>
      <c r="C155" s="486" t="s">
        <v>174</v>
      </c>
      <c r="D155" s="486" t="s">
        <v>1099</v>
      </c>
      <c r="E155" s="486">
        <v>5385127</v>
      </c>
      <c r="F155" s="488">
        <v>19.95</v>
      </c>
    </row>
    <row r="156" spans="1:6">
      <c r="B156" s="486" t="s">
        <v>1098</v>
      </c>
      <c r="C156" s="486" t="s">
        <v>174</v>
      </c>
      <c r="D156" s="486" t="s">
        <v>1100</v>
      </c>
      <c r="E156" s="486">
        <v>5383800</v>
      </c>
      <c r="F156" s="488">
        <v>1401.74</v>
      </c>
    </row>
    <row r="158" spans="1:6">
      <c r="A158" s="485" t="s">
        <v>1101</v>
      </c>
    </row>
    <row r="159" spans="1:6">
      <c r="B159" s="486" t="s">
        <v>1000</v>
      </c>
      <c r="C159" s="486" t="s">
        <v>992</v>
      </c>
      <c r="D159" s="486"/>
      <c r="E159" s="486">
        <v>13040</v>
      </c>
      <c r="F159" s="488">
        <v>-196</v>
      </c>
    </row>
    <row r="160" spans="1:6">
      <c r="B160" s="486" t="s">
        <v>1000</v>
      </c>
      <c r="C160" s="486" t="s">
        <v>174</v>
      </c>
      <c r="D160" s="486" t="s">
        <v>1102</v>
      </c>
      <c r="E160" s="486" t="s">
        <v>1103</v>
      </c>
      <c r="F160" s="488">
        <v>196</v>
      </c>
    </row>
    <row r="161" spans="1:6">
      <c r="B161" s="486" t="s">
        <v>1002</v>
      </c>
      <c r="C161" s="486" t="s">
        <v>992</v>
      </c>
      <c r="D161" s="486"/>
      <c r="E161" s="486">
        <v>13231</v>
      </c>
      <c r="F161" s="488">
        <v>-203</v>
      </c>
    </row>
    <row r="162" spans="1:6">
      <c r="B162" s="486" t="s">
        <v>1104</v>
      </c>
      <c r="C162" s="486" t="s">
        <v>174</v>
      </c>
      <c r="D162" s="486" t="s">
        <v>1105</v>
      </c>
      <c r="E162" s="486" t="s">
        <v>1106</v>
      </c>
      <c r="F162" s="488">
        <v>203</v>
      </c>
    </row>
    <row r="164" spans="1:6">
      <c r="A164" s="485" t="s">
        <v>1107</v>
      </c>
    </row>
    <row r="165" spans="1:6">
      <c r="B165" s="486" t="s">
        <v>991</v>
      </c>
      <c r="C165" s="486" t="s">
        <v>992</v>
      </c>
      <c r="D165" s="486"/>
      <c r="E165" s="486" t="s">
        <v>1108</v>
      </c>
      <c r="F165" s="488">
        <v>-880.87</v>
      </c>
    </row>
    <row r="166" spans="1:6">
      <c r="B166" s="486" t="s">
        <v>1109</v>
      </c>
      <c r="C166" s="486" t="s">
        <v>174</v>
      </c>
      <c r="D166" s="486" t="s">
        <v>1110</v>
      </c>
      <c r="E166" s="486" t="s">
        <v>1111</v>
      </c>
      <c r="F166" s="488">
        <v>78.739999999999995</v>
      </c>
    </row>
    <row r="167" spans="1:6">
      <c r="B167" s="486" t="s">
        <v>1109</v>
      </c>
      <c r="C167" s="486" t="s">
        <v>174</v>
      </c>
      <c r="D167" s="486" t="s">
        <v>1112</v>
      </c>
      <c r="E167" s="486" t="s">
        <v>1113</v>
      </c>
      <c r="F167" s="488">
        <v>548.52</v>
      </c>
    </row>
    <row r="168" spans="1:6">
      <c r="B168" s="486" t="s">
        <v>1109</v>
      </c>
      <c r="C168" s="486" t="s">
        <v>174</v>
      </c>
      <c r="D168" s="486" t="s">
        <v>1114</v>
      </c>
      <c r="E168" s="486" t="s">
        <v>1115</v>
      </c>
      <c r="F168" s="488">
        <v>73.22</v>
      </c>
    </row>
    <row r="169" spans="1:6">
      <c r="B169" s="486" t="s">
        <v>1109</v>
      </c>
      <c r="C169" s="486" t="s">
        <v>174</v>
      </c>
      <c r="D169" s="486" t="s">
        <v>1116</v>
      </c>
      <c r="E169" s="486" t="s">
        <v>1117</v>
      </c>
      <c r="F169" s="488">
        <v>69.819999999999993</v>
      </c>
    </row>
    <row r="170" spans="1:6">
      <c r="B170" s="486" t="s">
        <v>1109</v>
      </c>
      <c r="C170" s="486" t="s">
        <v>174</v>
      </c>
      <c r="D170" s="486" t="s">
        <v>1118</v>
      </c>
      <c r="E170" s="486" t="s">
        <v>1119</v>
      </c>
      <c r="F170" s="488">
        <v>10.41</v>
      </c>
    </row>
    <row r="171" spans="1:6">
      <c r="B171" s="486" t="s">
        <v>1109</v>
      </c>
      <c r="C171" s="486" t="s">
        <v>174</v>
      </c>
      <c r="D171" s="486" t="s">
        <v>1120</v>
      </c>
      <c r="E171" s="486" t="s">
        <v>1121</v>
      </c>
      <c r="F171" s="488">
        <v>10.41</v>
      </c>
    </row>
    <row r="172" spans="1:6">
      <c r="B172" s="486" t="s">
        <v>1109</v>
      </c>
      <c r="C172" s="486" t="s">
        <v>174</v>
      </c>
      <c r="D172" s="486" t="s">
        <v>1122</v>
      </c>
      <c r="E172" s="486" t="s">
        <v>1123</v>
      </c>
      <c r="F172" s="488">
        <v>10.41</v>
      </c>
    </row>
    <row r="173" spans="1:6">
      <c r="B173" s="486" t="s">
        <v>1109</v>
      </c>
      <c r="C173" s="486" t="s">
        <v>174</v>
      </c>
      <c r="D173" s="486" t="s">
        <v>1124</v>
      </c>
      <c r="E173" s="486" t="s">
        <v>1125</v>
      </c>
      <c r="F173" s="488">
        <v>79.34</v>
      </c>
    </row>
    <row r="175" spans="1:6">
      <c r="A175" s="485" t="s">
        <v>1126</v>
      </c>
    </row>
    <row r="176" spans="1:6">
      <c r="B176" s="486" t="s">
        <v>981</v>
      </c>
      <c r="C176" s="486" t="s">
        <v>992</v>
      </c>
      <c r="D176" s="486"/>
      <c r="E176" s="486" t="s">
        <v>1127</v>
      </c>
      <c r="F176" s="488">
        <v>-1944.24</v>
      </c>
    </row>
    <row r="177" spans="1:6">
      <c r="B177" s="486" t="s">
        <v>942</v>
      </c>
      <c r="C177" s="486" t="s">
        <v>174</v>
      </c>
      <c r="D177" s="486" t="s">
        <v>1128</v>
      </c>
      <c r="E177" s="486" t="s">
        <v>1129</v>
      </c>
      <c r="F177" s="488">
        <v>1944.24</v>
      </c>
    </row>
    <row r="178" spans="1:6">
      <c r="B178" s="486" t="s">
        <v>981</v>
      </c>
      <c r="C178" s="486" t="s">
        <v>992</v>
      </c>
      <c r="D178" s="486"/>
      <c r="E178" s="486" t="s">
        <v>1130</v>
      </c>
      <c r="F178" s="488">
        <v>-20.02</v>
      </c>
    </row>
    <row r="179" spans="1:6">
      <c r="B179" s="486" t="s">
        <v>942</v>
      </c>
      <c r="C179" s="486" t="s">
        <v>174</v>
      </c>
      <c r="D179" s="486" t="s">
        <v>1131</v>
      </c>
      <c r="E179" s="486" t="s">
        <v>1132</v>
      </c>
      <c r="F179" s="488">
        <v>20.02</v>
      </c>
    </row>
    <row r="180" spans="1:6">
      <c r="B180" s="486" t="s">
        <v>1133</v>
      </c>
      <c r="C180" s="486" t="s">
        <v>992</v>
      </c>
      <c r="D180" s="486"/>
      <c r="E180" s="486" t="s">
        <v>1134</v>
      </c>
      <c r="F180" s="488">
        <v>-20.02</v>
      </c>
    </row>
    <row r="181" spans="1:6">
      <c r="B181" s="486" t="s">
        <v>944</v>
      </c>
      <c r="C181" s="486" t="s">
        <v>174</v>
      </c>
      <c r="D181" s="486" t="s">
        <v>1135</v>
      </c>
      <c r="E181" s="486" t="s">
        <v>1136</v>
      </c>
      <c r="F181" s="488">
        <v>20.02</v>
      </c>
    </row>
    <row r="182" spans="1:6">
      <c r="B182" s="486" t="s">
        <v>1133</v>
      </c>
      <c r="C182" s="486" t="s">
        <v>992</v>
      </c>
      <c r="D182" s="486"/>
      <c r="E182" s="486" t="s">
        <v>1137</v>
      </c>
      <c r="F182" s="488">
        <v>-1944.24</v>
      </c>
    </row>
    <row r="183" spans="1:6">
      <c r="B183" s="486" t="s">
        <v>944</v>
      </c>
      <c r="C183" s="486" t="s">
        <v>174</v>
      </c>
      <c r="D183" s="486" t="s">
        <v>1138</v>
      </c>
      <c r="E183" s="486" t="s">
        <v>1139</v>
      </c>
      <c r="F183" s="488">
        <v>1944.24</v>
      </c>
    </row>
    <row r="185" spans="1:6">
      <c r="A185" s="485" t="s">
        <v>1140</v>
      </c>
    </row>
    <row r="186" spans="1:6">
      <c r="B186" s="486" t="s">
        <v>1002</v>
      </c>
      <c r="C186" s="486" t="s">
        <v>992</v>
      </c>
      <c r="D186" s="486"/>
      <c r="E186" s="486">
        <v>13241</v>
      </c>
      <c r="F186" s="488">
        <v>-355</v>
      </c>
    </row>
    <row r="187" spans="1:6">
      <c r="B187" s="486" t="s">
        <v>942</v>
      </c>
      <c r="C187" s="486" t="s">
        <v>174</v>
      </c>
      <c r="D187" s="486" t="s">
        <v>1141</v>
      </c>
      <c r="E187" s="486">
        <v>115083</v>
      </c>
      <c r="F187" s="488">
        <v>355</v>
      </c>
    </row>
    <row r="189" spans="1:6">
      <c r="A189" s="485" t="s">
        <v>1142</v>
      </c>
    </row>
    <row r="190" spans="1:6">
      <c r="B190" s="486" t="s">
        <v>1002</v>
      </c>
      <c r="C190" s="486" t="s">
        <v>992</v>
      </c>
      <c r="D190" s="486"/>
      <c r="E190" s="486">
        <v>13242</v>
      </c>
      <c r="F190" s="488">
        <v>-3512</v>
      </c>
    </row>
    <row r="191" spans="1:6">
      <c r="B191" s="486" t="s">
        <v>916</v>
      </c>
      <c r="C191" s="486" t="s">
        <v>174</v>
      </c>
      <c r="D191" s="486" t="s">
        <v>1143</v>
      </c>
      <c r="E191" s="486" t="s">
        <v>1144</v>
      </c>
      <c r="F191" s="488">
        <v>3512</v>
      </c>
    </row>
    <row r="193" spans="1:6">
      <c r="A193" s="485" t="s">
        <v>1145</v>
      </c>
    </row>
    <row r="194" spans="1:6">
      <c r="B194" s="486" t="s">
        <v>912</v>
      </c>
      <c r="C194" s="486" t="s">
        <v>992</v>
      </c>
      <c r="D194" s="486"/>
      <c r="E194" s="486">
        <v>13021</v>
      </c>
      <c r="F194" s="488">
        <v>-1500</v>
      </c>
    </row>
    <row r="195" spans="1:6">
      <c r="B195" s="486" t="s">
        <v>912</v>
      </c>
      <c r="C195" s="486" t="s">
        <v>174</v>
      </c>
      <c r="D195" s="486" t="s">
        <v>1146</v>
      </c>
      <c r="E195" s="486" t="s">
        <v>1147</v>
      </c>
      <c r="F195" s="488">
        <v>1500</v>
      </c>
    </row>
    <row r="197" spans="1:6">
      <c r="A197" s="485" t="s">
        <v>1148</v>
      </c>
    </row>
    <row r="198" spans="1:6">
      <c r="B198" s="486" t="s">
        <v>1078</v>
      </c>
      <c r="C198" s="486" t="s">
        <v>992</v>
      </c>
      <c r="D198" s="486"/>
      <c r="E198" s="486">
        <v>1699</v>
      </c>
      <c r="F198" s="488">
        <v>-200</v>
      </c>
    </row>
    <row r="199" spans="1:6">
      <c r="B199" s="486" t="s">
        <v>1078</v>
      </c>
      <c r="C199" s="486" t="s">
        <v>174</v>
      </c>
      <c r="D199" s="486" t="s">
        <v>1149</v>
      </c>
      <c r="E199" s="486" t="s">
        <v>1150</v>
      </c>
      <c r="F199" s="488">
        <v>200</v>
      </c>
    </row>
    <row r="201" spans="1:6">
      <c r="A201" s="485" t="s">
        <v>1151</v>
      </c>
    </row>
    <row r="202" spans="1:6">
      <c r="B202" s="486" t="s">
        <v>1000</v>
      </c>
      <c r="C202" s="486" t="s">
        <v>992</v>
      </c>
      <c r="D202" s="486"/>
      <c r="E202" s="486">
        <v>13030</v>
      </c>
      <c r="F202" s="488">
        <v>-499</v>
      </c>
    </row>
    <row r="203" spans="1:6">
      <c r="B203" s="486" t="s">
        <v>942</v>
      </c>
      <c r="C203" s="486" t="s">
        <v>174</v>
      </c>
      <c r="D203" s="486" t="s">
        <v>1152</v>
      </c>
      <c r="E203" s="486" t="s">
        <v>1153</v>
      </c>
      <c r="F203" s="488">
        <v>499</v>
      </c>
    </row>
    <row r="205" spans="1:6">
      <c r="A205" s="485" t="s">
        <v>1154</v>
      </c>
    </row>
    <row r="206" spans="1:6">
      <c r="B206" s="486" t="s">
        <v>1002</v>
      </c>
      <c r="C206" s="486" t="s">
        <v>992</v>
      </c>
      <c r="D206" s="486"/>
      <c r="E206" s="486">
        <v>13243</v>
      </c>
      <c r="F206" s="488">
        <v>-51.5</v>
      </c>
    </row>
    <row r="207" spans="1:6">
      <c r="B207" s="486" t="s">
        <v>1155</v>
      </c>
      <c r="C207" s="486" t="s">
        <v>174</v>
      </c>
      <c r="D207" s="486" t="s">
        <v>1156</v>
      </c>
      <c r="E207" s="486" t="s">
        <v>1157</v>
      </c>
      <c r="F207" s="488">
        <v>51.5</v>
      </c>
    </row>
    <row r="208" spans="1:6">
      <c r="B208" s="486" t="s">
        <v>1002</v>
      </c>
      <c r="C208" s="486" t="s">
        <v>992</v>
      </c>
      <c r="D208" s="486"/>
      <c r="E208" s="486">
        <v>13244</v>
      </c>
      <c r="F208" s="488">
        <v>-54.6</v>
      </c>
    </row>
    <row r="209" spans="1:6">
      <c r="B209" s="486" t="s">
        <v>1158</v>
      </c>
      <c r="C209" s="486" t="s">
        <v>174</v>
      </c>
      <c r="D209" s="486" t="s">
        <v>1159</v>
      </c>
      <c r="E209" s="486" t="s">
        <v>1160</v>
      </c>
      <c r="F209" s="488">
        <v>54.6</v>
      </c>
    </row>
    <row r="211" spans="1:6">
      <c r="A211" s="485" t="s">
        <v>930</v>
      </c>
    </row>
    <row r="212" spans="1:6">
      <c r="B212" s="486" t="s">
        <v>912</v>
      </c>
      <c r="C212" s="486" t="s">
        <v>992</v>
      </c>
      <c r="D212" s="486"/>
      <c r="E212" s="486">
        <v>13022</v>
      </c>
      <c r="F212" s="488">
        <v>-780</v>
      </c>
    </row>
    <row r="213" spans="1:6">
      <c r="B213" s="486" t="s">
        <v>912</v>
      </c>
      <c r="C213" s="486" t="s">
        <v>174</v>
      </c>
      <c r="D213" s="486" t="s">
        <v>1161</v>
      </c>
      <c r="E213" s="486">
        <v>9613</v>
      </c>
      <c r="F213" s="488">
        <v>780</v>
      </c>
    </row>
    <row r="215" spans="1:6">
      <c r="A215" s="485" t="s">
        <v>1162</v>
      </c>
    </row>
    <row r="216" spans="1:6">
      <c r="B216" s="486" t="s">
        <v>1000</v>
      </c>
      <c r="C216" s="486" t="s">
        <v>992</v>
      </c>
      <c r="D216" s="486"/>
      <c r="E216" s="486">
        <v>1696</v>
      </c>
      <c r="F216" s="488">
        <v>-2700</v>
      </c>
    </row>
    <row r="217" spans="1:6">
      <c r="B217" s="486" t="s">
        <v>942</v>
      </c>
      <c r="C217" s="486" t="s">
        <v>174</v>
      </c>
      <c r="D217" s="486" t="s">
        <v>1163</v>
      </c>
      <c r="E217" s="486" t="s">
        <v>1164</v>
      </c>
      <c r="F217" s="488">
        <v>2700</v>
      </c>
    </row>
    <row r="219" spans="1:6">
      <c r="A219" s="485" t="s">
        <v>1165</v>
      </c>
    </row>
    <row r="220" spans="1:6">
      <c r="B220" s="486" t="s">
        <v>937</v>
      </c>
      <c r="C220" s="486" t="s">
        <v>992</v>
      </c>
      <c r="D220" s="486"/>
      <c r="E220" s="486">
        <v>13226</v>
      </c>
      <c r="F220" s="488">
        <v>-199.56</v>
      </c>
    </row>
    <row r="221" spans="1:6">
      <c r="B221" s="486" t="s">
        <v>1023</v>
      </c>
      <c r="C221" s="486" t="s">
        <v>174</v>
      </c>
      <c r="D221" s="486" t="s">
        <v>1166</v>
      </c>
      <c r="E221" s="486" t="s">
        <v>1167</v>
      </c>
      <c r="F221" s="488">
        <v>199.56</v>
      </c>
    </row>
    <row r="223" spans="1:6">
      <c r="A223" s="485" t="s">
        <v>1168</v>
      </c>
    </row>
    <row r="224" spans="1:6">
      <c r="B224" s="486" t="s">
        <v>1000</v>
      </c>
      <c r="C224" s="486" t="s">
        <v>992</v>
      </c>
      <c r="D224" s="486"/>
      <c r="E224" s="486">
        <v>13051</v>
      </c>
      <c r="F224" s="488">
        <v>-2450</v>
      </c>
    </row>
    <row r="225" spans="1:6">
      <c r="B225" s="486" t="s">
        <v>1000</v>
      </c>
      <c r="C225" s="486" t="s">
        <v>174</v>
      </c>
      <c r="D225" s="486" t="s">
        <v>1169</v>
      </c>
      <c r="E225" s="486">
        <v>20200301</v>
      </c>
      <c r="F225" s="488">
        <v>2450</v>
      </c>
    </row>
    <row r="226" spans="1:6">
      <c r="B226" s="486" t="s">
        <v>1170</v>
      </c>
      <c r="C226" s="486" t="s">
        <v>992</v>
      </c>
      <c r="D226" s="486"/>
      <c r="E226" s="486" t="s">
        <v>1171</v>
      </c>
      <c r="F226" s="488">
        <v>-2450</v>
      </c>
    </row>
    <row r="227" spans="1:6">
      <c r="B227" s="486" t="s">
        <v>1172</v>
      </c>
      <c r="C227" s="486" t="s">
        <v>174</v>
      </c>
      <c r="D227" s="486" t="s">
        <v>1173</v>
      </c>
      <c r="E227" s="486">
        <v>20200302</v>
      </c>
      <c r="F227" s="488">
        <v>2450</v>
      </c>
    </row>
    <row r="229" spans="1:6">
      <c r="A229" s="485" t="s">
        <v>447</v>
      </c>
    </row>
    <row r="230" spans="1:6">
      <c r="B230" s="486" t="s">
        <v>1000</v>
      </c>
      <c r="C230" s="486" t="s">
        <v>992</v>
      </c>
      <c r="D230" s="486"/>
      <c r="E230" s="486">
        <v>13037</v>
      </c>
      <c r="F230" s="488">
        <v>-116.59</v>
      </c>
    </row>
    <row r="231" spans="1:6">
      <c r="B231" s="486" t="s">
        <v>1109</v>
      </c>
      <c r="C231" s="486" t="s">
        <v>174</v>
      </c>
      <c r="D231" s="486" t="s">
        <v>1174</v>
      </c>
      <c r="E231" s="486" t="s">
        <v>1175</v>
      </c>
      <c r="F231" s="488">
        <v>116.59</v>
      </c>
    </row>
    <row r="232" spans="1:6">
      <c r="B232" s="486" t="s">
        <v>1000</v>
      </c>
      <c r="C232" s="486" t="s">
        <v>992</v>
      </c>
      <c r="D232" s="486"/>
      <c r="E232" s="486">
        <v>13221</v>
      </c>
      <c r="F232" s="488">
        <v>-384.63</v>
      </c>
    </row>
    <row r="233" spans="1:6">
      <c r="B233" s="486" t="s">
        <v>1109</v>
      </c>
      <c r="C233" s="486" t="s">
        <v>174</v>
      </c>
      <c r="D233" s="486" t="s">
        <v>1176</v>
      </c>
      <c r="E233" s="486" t="s">
        <v>1177</v>
      </c>
      <c r="F233" s="488">
        <v>71.010000000000005</v>
      </c>
    </row>
    <row r="234" spans="1:6">
      <c r="B234" s="486" t="s">
        <v>1109</v>
      </c>
      <c r="C234" s="486" t="s">
        <v>174</v>
      </c>
      <c r="D234" s="486" t="s">
        <v>1178</v>
      </c>
      <c r="E234" s="486" t="s">
        <v>1179</v>
      </c>
      <c r="F234" s="488">
        <v>96.98</v>
      </c>
    </row>
    <row r="235" spans="1:6">
      <c r="B235" s="486" t="s">
        <v>1109</v>
      </c>
      <c r="C235" s="486" t="s">
        <v>174</v>
      </c>
      <c r="D235" s="486" t="s">
        <v>1180</v>
      </c>
      <c r="E235" s="486" t="s">
        <v>1181</v>
      </c>
      <c r="F235" s="488">
        <v>216.64</v>
      </c>
    </row>
    <row r="237" spans="1:6">
      <c r="A237" s="485" t="s">
        <v>1182</v>
      </c>
    </row>
    <row r="238" spans="1:6">
      <c r="B238" s="486" t="s">
        <v>937</v>
      </c>
      <c r="C238" s="486" t="s">
        <v>992</v>
      </c>
      <c r="D238" s="486"/>
      <c r="E238" s="486">
        <v>13225</v>
      </c>
      <c r="F238" s="488">
        <v>-170</v>
      </c>
    </row>
    <row r="239" spans="1:6">
      <c r="B239" s="486" t="s">
        <v>981</v>
      </c>
      <c r="C239" s="486" t="s">
        <v>174</v>
      </c>
      <c r="D239" s="486" t="s">
        <v>1183</v>
      </c>
      <c r="E239" s="486" t="s">
        <v>1184</v>
      </c>
      <c r="F239" s="488">
        <v>170</v>
      </c>
    </row>
    <row r="241" spans="1:6">
      <c r="A241" s="485" t="s">
        <v>1185</v>
      </c>
    </row>
    <row r="242" spans="1:6">
      <c r="B242" s="486" t="s">
        <v>944</v>
      </c>
      <c r="C242" s="486" t="s">
        <v>992</v>
      </c>
      <c r="D242" s="486"/>
      <c r="E242" s="486" t="s">
        <v>1186</v>
      </c>
      <c r="F242" s="488">
        <v>-4611.33</v>
      </c>
    </row>
    <row r="243" spans="1:6">
      <c r="B243" s="486" t="s">
        <v>1034</v>
      </c>
      <c r="C243" s="486" t="s">
        <v>174</v>
      </c>
      <c r="D243" s="486" t="s">
        <v>1187</v>
      </c>
      <c r="E243" s="486">
        <v>2001394778</v>
      </c>
      <c r="F243" s="488">
        <v>4611.33</v>
      </c>
    </row>
    <row r="245" spans="1:6">
      <c r="A245" s="485" t="s">
        <v>386</v>
      </c>
    </row>
    <row r="246" spans="1:6">
      <c r="B246" s="486" t="s">
        <v>1000</v>
      </c>
      <c r="C246" s="486" t="s">
        <v>992</v>
      </c>
      <c r="D246" s="486"/>
      <c r="E246" s="486">
        <v>13028</v>
      </c>
      <c r="F246" s="488">
        <v>-196.17</v>
      </c>
    </row>
    <row r="247" spans="1:6">
      <c r="B247" s="486" t="s">
        <v>1094</v>
      </c>
      <c r="C247" s="486" t="s">
        <v>174</v>
      </c>
      <c r="D247" s="486" t="s">
        <v>1188</v>
      </c>
      <c r="E247" s="486" t="s">
        <v>1189</v>
      </c>
      <c r="F247" s="488">
        <v>196.17</v>
      </c>
    </row>
    <row r="249" spans="1:6">
      <c r="A249" s="485" t="s">
        <v>243</v>
      </c>
    </row>
    <row r="250" spans="1:6">
      <c r="B250" s="486" t="s">
        <v>912</v>
      </c>
      <c r="C250" s="486" t="s">
        <v>992</v>
      </c>
      <c r="D250" s="486"/>
      <c r="E250" s="486">
        <v>13020</v>
      </c>
      <c r="F250" s="488">
        <v>-1491.1</v>
      </c>
    </row>
    <row r="251" spans="1:6">
      <c r="B251" s="486" t="s">
        <v>912</v>
      </c>
      <c r="C251" s="486" t="s">
        <v>174</v>
      </c>
      <c r="D251" s="486" t="s">
        <v>1190</v>
      </c>
      <c r="E251" s="486" t="s">
        <v>915</v>
      </c>
      <c r="F251" s="488">
        <v>1491.1</v>
      </c>
    </row>
    <row r="253" spans="1:6">
      <c r="A253" s="485" t="s">
        <v>1191</v>
      </c>
    </row>
    <row r="254" spans="1:6">
      <c r="B254" s="486" t="s">
        <v>937</v>
      </c>
      <c r="C254" s="486" t="s">
        <v>992</v>
      </c>
      <c r="D254" s="486"/>
      <c r="E254" s="486">
        <v>13224</v>
      </c>
      <c r="F254" s="488">
        <v>-3640</v>
      </c>
    </row>
    <row r="255" spans="1:6">
      <c r="B255" s="486" t="s">
        <v>1000</v>
      </c>
      <c r="C255" s="486" t="s">
        <v>174</v>
      </c>
      <c r="D255" s="486" t="s">
        <v>1192</v>
      </c>
      <c r="E255" s="486">
        <v>66188</v>
      </c>
      <c r="F255" s="488">
        <v>3640</v>
      </c>
    </row>
    <row r="257" spans="1:6">
      <c r="A257" s="485" t="s">
        <v>1193</v>
      </c>
    </row>
    <row r="258" spans="1:6">
      <c r="B258" s="486" t="s">
        <v>1000</v>
      </c>
      <c r="C258" s="486" t="s">
        <v>992</v>
      </c>
      <c r="D258" s="486"/>
      <c r="E258" s="486">
        <v>13035</v>
      </c>
      <c r="F258" s="488">
        <v>-51.5</v>
      </c>
    </row>
    <row r="259" spans="1:6">
      <c r="B259" s="486" t="s">
        <v>1194</v>
      </c>
      <c r="C259" s="486" t="s">
        <v>174</v>
      </c>
      <c r="D259" s="486" t="s">
        <v>1195</v>
      </c>
      <c r="E259" s="486" t="s">
        <v>1196</v>
      </c>
      <c r="F259" s="488">
        <v>51.5</v>
      </c>
    </row>
    <row r="261" spans="1:6">
      <c r="A261" s="485" t="s">
        <v>1197</v>
      </c>
    </row>
    <row r="262" spans="1:6">
      <c r="B262" s="486" t="s">
        <v>912</v>
      </c>
      <c r="C262" s="486" t="s">
        <v>992</v>
      </c>
      <c r="D262" s="486"/>
      <c r="E262" s="486">
        <v>1676</v>
      </c>
      <c r="F262" s="488">
        <v>-70.709999999999994</v>
      </c>
    </row>
    <row r="263" spans="1:6">
      <c r="B263" s="486" t="s">
        <v>1198</v>
      </c>
      <c r="C263" s="486" t="s">
        <v>174</v>
      </c>
      <c r="D263" s="486" t="s">
        <v>1199</v>
      </c>
      <c r="E263" s="486" t="s">
        <v>1200</v>
      </c>
      <c r="F263" s="488">
        <v>70.709999999999994</v>
      </c>
    </row>
    <row r="264" spans="1:6">
      <c r="B264" s="486" t="s">
        <v>912</v>
      </c>
      <c r="C264" s="486" t="s">
        <v>992</v>
      </c>
      <c r="D264" s="486"/>
      <c r="E264" s="486">
        <v>1677</v>
      </c>
      <c r="F264" s="488">
        <v>-57.6</v>
      </c>
    </row>
    <row r="265" spans="1:6">
      <c r="B265" s="486" t="s">
        <v>1198</v>
      </c>
      <c r="C265" s="486" t="s">
        <v>174</v>
      </c>
      <c r="D265" s="486" t="s">
        <v>1199</v>
      </c>
      <c r="E265" s="486" t="s">
        <v>1201</v>
      </c>
      <c r="F265" s="488">
        <v>57.6</v>
      </c>
    </row>
    <row r="266" spans="1:6">
      <c r="B266" s="486" t="s">
        <v>912</v>
      </c>
      <c r="C266" s="486" t="s">
        <v>992</v>
      </c>
      <c r="D266" s="486"/>
      <c r="E266" s="486">
        <v>1678</v>
      </c>
      <c r="F266" s="488">
        <v>-385.3</v>
      </c>
    </row>
    <row r="267" spans="1:6">
      <c r="B267" s="486" t="s">
        <v>1198</v>
      </c>
      <c r="C267" s="486" t="s">
        <v>174</v>
      </c>
      <c r="D267" s="486" t="s">
        <v>1202</v>
      </c>
      <c r="E267" s="486" t="s">
        <v>1203</v>
      </c>
      <c r="F267" s="488">
        <v>385.3</v>
      </c>
    </row>
    <row r="268" spans="1:6">
      <c r="B268" s="486" t="s">
        <v>912</v>
      </c>
      <c r="C268" s="486" t="s">
        <v>992</v>
      </c>
      <c r="D268" s="486"/>
      <c r="E268" s="486">
        <v>1679</v>
      </c>
      <c r="F268" s="488">
        <v>-14.41</v>
      </c>
    </row>
    <row r="269" spans="1:6">
      <c r="B269" s="486" t="s">
        <v>1198</v>
      </c>
      <c r="C269" s="486" t="s">
        <v>174</v>
      </c>
      <c r="D269" s="486" t="s">
        <v>1204</v>
      </c>
      <c r="E269" s="486" t="s">
        <v>1205</v>
      </c>
      <c r="F269" s="488">
        <v>14.41</v>
      </c>
    </row>
    <row r="270" spans="1:6">
      <c r="B270" s="486" t="s">
        <v>912</v>
      </c>
      <c r="C270" s="486" t="s">
        <v>992</v>
      </c>
      <c r="D270" s="486"/>
      <c r="E270" s="486">
        <v>1682</v>
      </c>
      <c r="F270" s="488">
        <v>-12.18</v>
      </c>
    </row>
    <row r="271" spans="1:6">
      <c r="B271" s="486" t="s">
        <v>1198</v>
      </c>
      <c r="C271" s="486" t="s">
        <v>174</v>
      </c>
      <c r="D271" s="486" t="s">
        <v>1206</v>
      </c>
      <c r="E271" s="486" t="s">
        <v>1207</v>
      </c>
      <c r="F271" s="488">
        <v>12.18</v>
      </c>
    </row>
    <row r="272" spans="1:6">
      <c r="B272" s="486" t="s">
        <v>912</v>
      </c>
      <c r="C272" s="486" t="s">
        <v>992</v>
      </c>
      <c r="D272" s="486"/>
      <c r="E272" s="486">
        <v>247</v>
      </c>
      <c r="F272" s="488">
        <v>-1313.12</v>
      </c>
    </row>
    <row r="273" spans="1:6">
      <c r="B273" s="486" t="s">
        <v>1109</v>
      </c>
      <c r="C273" s="486" t="s">
        <v>174</v>
      </c>
      <c r="D273" s="486" t="s">
        <v>1208</v>
      </c>
      <c r="E273" s="486" t="s">
        <v>1209</v>
      </c>
      <c r="F273" s="488">
        <v>1313.12</v>
      </c>
    </row>
    <row r="274" spans="1:6">
      <c r="B274" s="486" t="s">
        <v>1000</v>
      </c>
      <c r="C274" s="486" t="s">
        <v>992</v>
      </c>
      <c r="D274" s="486"/>
      <c r="E274" s="486">
        <v>13029</v>
      </c>
      <c r="F274" s="488">
        <v>-826.59</v>
      </c>
    </row>
    <row r="275" spans="1:6">
      <c r="B275" s="486" t="s">
        <v>1109</v>
      </c>
      <c r="C275" s="486" t="s">
        <v>174</v>
      </c>
      <c r="D275" s="486" t="s">
        <v>1210</v>
      </c>
      <c r="E275" s="486" t="s">
        <v>1211</v>
      </c>
      <c r="F275" s="488">
        <v>826.59</v>
      </c>
    </row>
    <row r="277" spans="1:6">
      <c r="A277" s="485" t="s">
        <v>1212</v>
      </c>
    </row>
    <row r="278" spans="1:6">
      <c r="B278" s="486" t="s">
        <v>1002</v>
      </c>
      <c r="C278" s="486" t="s">
        <v>992</v>
      </c>
      <c r="D278" s="486"/>
      <c r="E278" s="486">
        <v>13245</v>
      </c>
      <c r="F278" s="488">
        <v>-781.09</v>
      </c>
    </row>
    <row r="279" spans="1:6">
      <c r="B279" s="486" t="s">
        <v>937</v>
      </c>
      <c r="C279" s="486" t="s">
        <v>174</v>
      </c>
      <c r="D279" s="486" t="s">
        <v>1213</v>
      </c>
      <c r="E279" s="486" t="s">
        <v>1214</v>
      </c>
      <c r="F279" s="488">
        <v>781.09</v>
      </c>
    </row>
    <row r="281" spans="1:6">
      <c r="A281" s="485" t="s">
        <v>1215</v>
      </c>
    </row>
    <row r="282" spans="1:6">
      <c r="B282" s="486" t="s">
        <v>1000</v>
      </c>
      <c r="C282" s="486" t="s">
        <v>992</v>
      </c>
      <c r="D282" s="486"/>
      <c r="E282" s="486">
        <v>13032</v>
      </c>
      <c r="F282" s="488">
        <v>-1500</v>
      </c>
    </row>
    <row r="283" spans="1:6">
      <c r="B283" s="486" t="s">
        <v>991</v>
      </c>
      <c r="C283" s="486" t="s">
        <v>174</v>
      </c>
      <c r="D283" s="486" t="s">
        <v>1216</v>
      </c>
      <c r="E283" s="486" t="s">
        <v>1217</v>
      </c>
      <c r="F283" s="488">
        <v>1500</v>
      </c>
    </row>
    <row r="285" spans="1:6">
      <c r="A285" s="485" t="s">
        <v>1218</v>
      </c>
    </row>
    <row r="286" spans="1:6">
      <c r="B286" s="486" t="s">
        <v>1000</v>
      </c>
      <c r="C286" s="486" t="s">
        <v>992</v>
      </c>
      <c r="D286" s="486"/>
      <c r="E286" s="486">
        <v>1697</v>
      </c>
      <c r="F286" s="488">
        <v>-14805</v>
      </c>
    </row>
    <row r="287" spans="1:6">
      <c r="B287" s="486" t="s">
        <v>1000</v>
      </c>
      <c r="C287" s="486" t="s">
        <v>174</v>
      </c>
      <c r="D287" s="486" t="s">
        <v>1219</v>
      </c>
      <c r="E287" s="486">
        <v>1679</v>
      </c>
      <c r="F287" s="488">
        <v>14805</v>
      </c>
    </row>
    <row r="289" spans="1:6">
      <c r="A289" s="485" t="s">
        <v>1220</v>
      </c>
    </row>
    <row r="290" spans="1:6">
      <c r="B290" s="486" t="s">
        <v>912</v>
      </c>
      <c r="C290" s="486" t="s">
        <v>992</v>
      </c>
      <c r="D290" s="486"/>
      <c r="E290" s="486">
        <v>1683</v>
      </c>
      <c r="F290" s="488">
        <v>-49885</v>
      </c>
    </row>
    <row r="291" spans="1:6">
      <c r="B291" s="486" t="s">
        <v>721</v>
      </c>
      <c r="C291" s="486" t="s">
        <v>174</v>
      </c>
      <c r="D291" s="486" t="s">
        <v>1221</v>
      </c>
      <c r="E291" s="486">
        <v>8</v>
      </c>
      <c r="F291" s="488">
        <v>49885</v>
      </c>
    </row>
    <row r="293" spans="1:6">
      <c r="A293" s="485" t="s">
        <v>1222</v>
      </c>
    </row>
    <row r="294" spans="1:6">
      <c r="B294" s="486" t="s">
        <v>1000</v>
      </c>
      <c r="C294" s="486" t="s">
        <v>992</v>
      </c>
      <c r="D294" s="486"/>
      <c r="E294" s="486">
        <v>13038</v>
      </c>
      <c r="F294" s="488">
        <v>-3006</v>
      </c>
    </row>
    <row r="295" spans="1:6">
      <c r="B295" s="486" t="s">
        <v>912</v>
      </c>
      <c r="C295" s="486" t="s">
        <v>174</v>
      </c>
      <c r="D295" s="486" t="s">
        <v>1223</v>
      </c>
      <c r="E295" s="486" t="s">
        <v>1224</v>
      </c>
      <c r="F295" s="488">
        <v>3006</v>
      </c>
    </row>
    <row r="297" spans="1:6">
      <c r="A297" s="485" t="s">
        <v>1225</v>
      </c>
    </row>
    <row r="298" spans="1:6">
      <c r="B298" s="486" t="s">
        <v>1078</v>
      </c>
      <c r="C298" s="486" t="s">
        <v>992</v>
      </c>
      <c r="D298" s="486"/>
      <c r="E298" s="486">
        <v>13228</v>
      </c>
      <c r="F298" s="488">
        <v>-3280</v>
      </c>
    </row>
    <row r="299" spans="1:6">
      <c r="B299" s="486" t="s">
        <v>1226</v>
      </c>
      <c r="C299" s="486" t="s">
        <v>174</v>
      </c>
      <c r="D299" s="486" t="s">
        <v>1227</v>
      </c>
      <c r="E299" s="486">
        <v>258</v>
      </c>
      <c r="F299" s="488">
        <v>3280</v>
      </c>
    </row>
    <row r="301" spans="1:6">
      <c r="A301" s="485" t="s">
        <v>397</v>
      </c>
    </row>
    <row r="302" spans="1:6">
      <c r="B302" s="486" t="s">
        <v>1000</v>
      </c>
      <c r="C302" s="486" t="s">
        <v>992</v>
      </c>
      <c r="D302" s="486"/>
      <c r="E302" s="486">
        <v>13039</v>
      </c>
      <c r="F302" s="488">
        <v>-367.5</v>
      </c>
    </row>
    <row r="303" spans="1:6">
      <c r="B303" s="486" t="s">
        <v>912</v>
      </c>
      <c r="C303" s="486" t="s">
        <v>174</v>
      </c>
      <c r="D303" s="486" t="s">
        <v>1228</v>
      </c>
      <c r="E303" s="486" t="s">
        <v>974</v>
      </c>
      <c r="F303" s="488">
        <v>171.33</v>
      </c>
    </row>
    <row r="304" spans="1:6">
      <c r="B304" s="486" t="s">
        <v>1229</v>
      </c>
      <c r="C304" s="486" t="s">
        <v>174</v>
      </c>
      <c r="D304" s="486" t="s">
        <v>1230</v>
      </c>
      <c r="E304" s="486" t="s">
        <v>1231</v>
      </c>
      <c r="F304" s="488">
        <v>23.18</v>
      </c>
    </row>
    <row r="305" spans="2:6">
      <c r="B305" s="486" t="s">
        <v>1229</v>
      </c>
      <c r="C305" s="486" t="s">
        <v>174</v>
      </c>
      <c r="D305" s="486" t="s">
        <v>1230</v>
      </c>
      <c r="E305" s="486" t="s">
        <v>1232</v>
      </c>
      <c r="F305" s="488">
        <v>172.99</v>
      </c>
    </row>
    <row r="306" spans="2:6">
      <c r="B306" s="486" t="s">
        <v>1000</v>
      </c>
      <c r="C306" s="486" t="s">
        <v>992</v>
      </c>
      <c r="D306" s="486"/>
      <c r="E306" s="486">
        <v>13043</v>
      </c>
      <c r="F306" s="488">
        <v>-1922.13</v>
      </c>
    </row>
    <row r="307" spans="2:6">
      <c r="B307" s="486" t="s">
        <v>912</v>
      </c>
      <c r="C307" s="486" t="s">
        <v>174</v>
      </c>
      <c r="D307" s="486" t="s">
        <v>1230</v>
      </c>
      <c r="E307" s="486" t="s">
        <v>1233</v>
      </c>
      <c r="F307" s="488">
        <v>51.79</v>
      </c>
    </row>
    <row r="308" spans="2:6">
      <c r="B308" s="486" t="s">
        <v>912</v>
      </c>
      <c r="C308" s="486" t="s">
        <v>174</v>
      </c>
      <c r="D308" s="486" t="s">
        <v>1230</v>
      </c>
      <c r="E308" s="486" t="s">
        <v>1234</v>
      </c>
      <c r="F308" s="488">
        <v>42.37</v>
      </c>
    </row>
    <row r="309" spans="2:6">
      <c r="B309" s="486" t="s">
        <v>912</v>
      </c>
      <c r="C309" s="486" t="s">
        <v>174</v>
      </c>
      <c r="D309" s="486" t="s">
        <v>1230</v>
      </c>
      <c r="E309" s="486" t="s">
        <v>1235</v>
      </c>
      <c r="F309" s="488">
        <v>130.46</v>
      </c>
    </row>
    <row r="310" spans="2:6">
      <c r="B310" s="486" t="s">
        <v>912</v>
      </c>
      <c r="C310" s="486" t="s">
        <v>174</v>
      </c>
      <c r="D310" s="486" t="s">
        <v>1230</v>
      </c>
      <c r="E310" s="486" t="s">
        <v>1236</v>
      </c>
      <c r="F310" s="488">
        <v>32.99</v>
      </c>
    </row>
    <row r="311" spans="2:6">
      <c r="B311" s="486" t="s">
        <v>912</v>
      </c>
      <c r="C311" s="486" t="s">
        <v>174</v>
      </c>
      <c r="D311" s="486" t="s">
        <v>1228</v>
      </c>
      <c r="E311" s="486" t="s">
        <v>972</v>
      </c>
      <c r="F311" s="488">
        <v>139.99</v>
      </c>
    </row>
    <row r="312" spans="2:6">
      <c r="B312" s="486" t="s">
        <v>912</v>
      </c>
      <c r="C312" s="486" t="s">
        <v>174</v>
      </c>
      <c r="D312" s="486" t="s">
        <v>1230</v>
      </c>
      <c r="E312" s="486" t="s">
        <v>1237</v>
      </c>
      <c r="F312" s="488">
        <v>29.99</v>
      </c>
    </row>
    <row r="313" spans="2:6">
      <c r="B313" s="486" t="s">
        <v>912</v>
      </c>
      <c r="C313" s="486" t="s">
        <v>174</v>
      </c>
      <c r="D313" s="486" t="s">
        <v>1228</v>
      </c>
      <c r="E313" s="486" t="s">
        <v>969</v>
      </c>
      <c r="F313" s="488">
        <v>142.56</v>
      </c>
    </row>
    <row r="314" spans="2:6">
      <c r="B314" s="486" t="s">
        <v>912</v>
      </c>
      <c r="C314" s="486" t="s">
        <v>174</v>
      </c>
      <c r="D314" s="486" t="s">
        <v>1228</v>
      </c>
      <c r="E314" s="486" t="s">
        <v>973</v>
      </c>
      <c r="F314" s="488">
        <v>184.43</v>
      </c>
    </row>
    <row r="315" spans="2:6">
      <c r="B315" s="486" t="s">
        <v>912</v>
      </c>
      <c r="C315" s="486" t="s">
        <v>174</v>
      </c>
      <c r="D315" s="486" t="s">
        <v>1230</v>
      </c>
      <c r="E315" s="486" t="s">
        <v>1238</v>
      </c>
      <c r="F315" s="488">
        <v>386.29</v>
      </c>
    </row>
    <row r="316" spans="2:6">
      <c r="B316" s="486" t="s">
        <v>1239</v>
      </c>
      <c r="C316" s="486" t="s">
        <v>174</v>
      </c>
      <c r="D316" s="486" t="s">
        <v>1240</v>
      </c>
      <c r="E316" s="486" t="s">
        <v>1241</v>
      </c>
      <c r="F316" s="488">
        <v>33.75</v>
      </c>
    </row>
    <row r="317" spans="2:6">
      <c r="B317" s="486" t="s">
        <v>1242</v>
      </c>
      <c r="C317" s="486" t="s">
        <v>174</v>
      </c>
      <c r="D317" s="486" t="s">
        <v>1243</v>
      </c>
      <c r="E317" s="486" t="s">
        <v>1244</v>
      </c>
      <c r="F317" s="488">
        <v>54.71</v>
      </c>
    </row>
    <row r="318" spans="2:6">
      <c r="B318" s="486" t="s">
        <v>1242</v>
      </c>
      <c r="C318" s="486" t="s">
        <v>174</v>
      </c>
      <c r="D318" s="486" t="s">
        <v>1243</v>
      </c>
      <c r="E318" s="486" t="s">
        <v>1245</v>
      </c>
      <c r="F318" s="488">
        <v>485.43</v>
      </c>
    </row>
    <row r="319" spans="2:6">
      <c r="B319" s="486" t="s">
        <v>1239</v>
      </c>
      <c r="C319" s="486" t="s">
        <v>174</v>
      </c>
      <c r="D319" s="486" t="s">
        <v>1240</v>
      </c>
      <c r="E319" s="486" t="s">
        <v>1246</v>
      </c>
      <c r="F319" s="488">
        <v>177.82</v>
      </c>
    </row>
    <row r="320" spans="2:6">
      <c r="B320" s="486" t="s">
        <v>1242</v>
      </c>
      <c r="C320" s="486" t="s">
        <v>174</v>
      </c>
      <c r="D320" s="486" t="s">
        <v>1243</v>
      </c>
      <c r="E320" s="486" t="s">
        <v>1247</v>
      </c>
      <c r="F320" s="488">
        <v>29.55</v>
      </c>
    </row>
    <row r="322" spans="1:6">
      <c r="A322" s="485" t="s">
        <v>1248</v>
      </c>
    </row>
    <row r="323" spans="1:6">
      <c r="B323" s="486" t="s">
        <v>1002</v>
      </c>
      <c r="C323" s="486" t="s">
        <v>992</v>
      </c>
      <c r="D323" s="486"/>
      <c r="E323" s="486">
        <v>13246</v>
      </c>
      <c r="F323" s="488">
        <v>-50</v>
      </c>
    </row>
    <row r="324" spans="1:6">
      <c r="B324" s="486" t="s">
        <v>1078</v>
      </c>
      <c r="C324" s="486" t="s">
        <v>174</v>
      </c>
      <c r="D324" s="486" t="s">
        <v>1249</v>
      </c>
      <c r="E324" s="486" t="s">
        <v>1250</v>
      </c>
      <c r="F324" s="488">
        <v>50</v>
      </c>
    </row>
    <row r="326" spans="1:6">
      <c r="A326" s="485" t="s">
        <v>985</v>
      </c>
    </row>
    <row r="327" spans="1:6">
      <c r="B327" s="486" t="s">
        <v>1000</v>
      </c>
      <c r="C327" s="486" t="s">
        <v>992</v>
      </c>
      <c r="D327" s="486"/>
      <c r="E327" s="486">
        <v>13036</v>
      </c>
      <c r="F327" s="488">
        <v>-2520</v>
      </c>
    </row>
    <row r="328" spans="1:6">
      <c r="B328" s="486" t="s">
        <v>912</v>
      </c>
      <c r="C328" s="486" t="s">
        <v>174</v>
      </c>
      <c r="D328" s="486" t="s">
        <v>1251</v>
      </c>
      <c r="E328" s="486">
        <v>2132020</v>
      </c>
      <c r="F328" s="488">
        <v>2520</v>
      </c>
    </row>
    <row r="330" spans="1:6">
      <c r="A330" s="485" t="s">
        <v>1252</v>
      </c>
    </row>
    <row r="331" spans="1:6">
      <c r="B331" s="486" t="s">
        <v>1104</v>
      </c>
      <c r="C331" s="486" t="s">
        <v>992</v>
      </c>
      <c r="D331" s="486"/>
      <c r="E331" s="486">
        <v>13227</v>
      </c>
      <c r="F331" s="488">
        <v>-1000</v>
      </c>
    </row>
    <row r="332" spans="1:6">
      <c r="B332" s="486" t="s">
        <v>1104</v>
      </c>
      <c r="C332" s="486" t="s">
        <v>174</v>
      </c>
      <c r="D332" s="486" t="s">
        <v>1253</v>
      </c>
      <c r="E332" s="486"/>
      <c r="F332" s="488">
        <v>1000</v>
      </c>
    </row>
    <row r="334" spans="1:6">
      <c r="A334" s="485" t="s">
        <v>152</v>
      </c>
    </row>
    <row r="335" spans="1:6">
      <c r="B335" s="486" t="s">
        <v>937</v>
      </c>
      <c r="C335" s="486" t="s">
        <v>992</v>
      </c>
      <c r="D335" s="486"/>
      <c r="E335" s="486">
        <v>13223</v>
      </c>
      <c r="F335" s="488">
        <v>-248000</v>
      </c>
    </row>
    <row r="336" spans="1:6">
      <c r="B336" s="486" t="s">
        <v>1000</v>
      </c>
      <c r="C336" s="486" t="s">
        <v>174</v>
      </c>
      <c r="D336" s="486" t="s">
        <v>1254</v>
      </c>
      <c r="E336" s="486"/>
      <c r="F336" s="488">
        <v>248000</v>
      </c>
    </row>
    <row r="338" spans="1:6">
      <c r="A338" s="485" t="s">
        <v>1255</v>
      </c>
    </row>
    <row r="339" spans="1:6">
      <c r="B339" s="486" t="s">
        <v>1000</v>
      </c>
      <c r="C339" s="486" t="s">
        <v>992</v>
      </c>
      <c r="D339" s="486"/>
      <c r="E339" s="486">
        <v>13048</v>
      </c>
      <c r="F339" s="488">
        <v>-724.55</v>
      </c>
    </row>
    <row r="340" spans="1:6">
      <c r="B340" s="486" t="s">
        <v>912</v>
      </c>
      <c r="C340" s="486" t="s">
        <v>174</v>
      </c>
      <c r="D340" s="486" t="s">
        <v>1256</v>
      </c>
      <c r="E340" s="486" t="s">
        <v>1257</v>
      </c>
      <c r="F340" s="488">
        <v>724.55</v>
      </c>
    </row>
    <row r="342" spans="1:6">
      <c r="A342" s="485" t="s">
        <v>1258</v>
      </c>
    </row>
    <row r="343" spans="1:6">
      <c r="B343" s="486" t="s">
        <v>1078</v>
      </c>
      <c r="C343" s="486" t="s">
        <v>992</v>
      </c>
      <c r="D343" s="486"/>
      <c r="E343" s="486">
        <v>1698</v>
      </c>
      <c r="F343" s="488">
        <v>-3000</v>
      </c>
    </row>
    <row r="344" spans="1:6">
      <c r="B344" s="486" t="s">
        <v>937</v>
      </c>
      <c r="C344" s="486" t="s">
        <v>174</v>
      </c>
      <c r="D344" s="486" t="s">
        <v>1259</v>
      </c>
      <c r="E344" s="486">
        <v>7</v>
      </c>
      <c r="F344" s="488">
        <v>3000</v>
      </c>
    </row>
    <row r="348" spans="1:6">
      <c r="A348" s="595" t="s">
        <v>1260</v>
      </c>
      <c r="B348" s="593"/>
      <c r="C348" s="593"/>
      <c r="D348" s="593"/>
      <c r="E348" s="593"/>
      <c r="F348" s="593"/>
    </row>
  </sheetData>
  <mergeCells count="4">
    <mergeCell ref="A1:F1"/>
    <mergeCell ref="A2:F2"/>
    <mergeCell ref="A3:F3"/>
    <mergeCell ref="A348:F34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135</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pageSetUpPr fitToPage="1"/>
  </sheetPr>
  <dimension ref="A1:J95"/>
  <sheetViews>
    <sheetView topLeftCell="A34"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4" t="s">
        <v>56</v>
      </c>
      <c r="F1" s="104"/>
      <c r="G1" s="497">
        <v>43922</v>
      </c>
      <c r="H1" s="498"/>
      <c r="I1" s="106" t="s">
        <v>49</v>
      </c>
    </row>
    <row r="2" spans="1:9" ht="21">
      <c r="A2" s="37" t="s">
        <v>152</v>
      </c>
      <c r="B2" s="35"/>
      <c r="C2" s="35"/>
      <c r="D2" s="36"/>
      <c r="E2" s="505"/>
      <c r="F2" s="65"/>
      <c r="G2" s="499"/>
      <c r="H2" s="49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E6+'Mar-2020'!F6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E7+'Mar-2020'!F7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E8+'Mar-2020'!F8</f>
        <v>19230.88</v>
      </c>
      <c r="G8" s="143">
        <v>40000</v>
      </c>
      <c r="H8" s="144">
        <f t="shared" ref="H8:H12" si="2">G8-F8</f>
        <v>20769.12</v>
      </c>
      <c r="I8" s="108">
        <f t="shared" si="1"/>
        <v>0.48077200000000003</v>
      </c>
    </row>
    <row r="9" spans="1:9" s="103" customFormat="1" ht="25.5" customHeight="1">
      <c r="A9" s="138" t="s">
        <v>147</v>
      </c>
      <c r="B9" s="139"/>
      <c r="C9" s="140"/>
      <c r="D9" s="141"/>
      <c r="E9" s="142">
        <f t="shared" si="0"/>
        <v>0</v>
      </c>
      <c r="F9" s="143">
        <f>E9+'Mar-2020'!F9</f>
        <v>14997.460000000001</v>
      </c>
      <c r="G9" s="143">
        <v>30000</v>
      </c>
      <c r="H9" s="144">
        <f t="shared" si="2"/>
        <v>15002.539999999999</v>
      </c>
      <c r="I9" s="108">
        <f t="shared" si="1"/>
        <v>0.49991533333333338</v>
      </c>
    </row>
    <row r="10" spans="1:9" s="103" customFormat="1" ht="25.5" customHeight="1">
      <c r="A10" s="138" t="s">
        <v>156</v>
      </c>
      <c r="B10" s="139"/>
      <c r="C10" s="140"/>
      <c r="D10" s="141"/>
      <c r="E10" s="142">
        <f t="shared" si="0"/>
        <v>0</v>
      </c>
      <c r="F10" s="143">
        <f>E10+'Mar-2020'!F10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E11+'Mar-2020'!F11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E12+'Mar-2020'!F12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100682.2</v>
      </c>
      <c r="G16" s="148">
        <f>SUM(G6:G15)</f>
        <v>213900</v>
      </c>
      <c r="H16" s="148">
        <f>SUM(H6:H15)</f>
        <v>113217.8</v>
      </c>
      <c r="I16" s="108">
        <f t="shared" si="1"/>
        <v>0.47069752220663863</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E18+'Mar-2020'!F18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138695.82003087801</v>
      </c>
      <c r="G20" s="73">
        <f>G16+G18</f>
        <v>282036</v>
      </c>
      <c r="H20" s="73">
        <f>H16+H18</f>
        <v>143340.17996912199</v>
      </c>
      <c r="I20" s="110">
        <f t="shared" si="1"/>
        <v>0.4917663703600888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E23+'Mar-2020'!F23</f>
        <v>2397.4399999999996</v>
      </c>
      <c r="G23" s="143">
        <v>4000</v>
      </c>
      <c r="H23" s="144">
        <f>G23-F23</f>
        <v>1602.5600000000004</v>
      </c>
      <c r="I23" s="108">
        <f t="shared" ref="I23:I37" si="6">F23/G23</f>
        <v>0.59935999999999989</v>
      </c>
      <c r="J23" s="102"/>
    </row>
    <row r="24" spans="1:10" s="103" customFormat="1" ht="24" customHeight="1">
      <c r="A24" s="161" t="s">
        <v>0</v>
      </c>
      <c r="B24" s="139"/>
      <c r="C24" s="140"/>
      <c r="D24" s="141"/>
      <c r="E24" s="142">
        <f t="shared" ref="E24:E35" si="7">SUM(B24:D24)</f>
        <v>0</v>
      </c>
      <c r="F24" s="143">
        <f>E24+'Mar-2020'!F24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E25+'Mar-2020'!F25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E26+'Mar-2020'!F26</f>
        <v>9154.69</v>
      </c>
      <c r="G26" s="143">
        <v>13200</v>
      </c>
      <c r="H26" s="144">
        <f t="shared" si="8"/>
        <v>4045.3099999999995</v>
      </c>
      <c r="I26" s="108">
        <f t="shared" si="6"/>
        <v>0.6935371212121213</v>
      </c>
      <c r="J26" s="102"/>
    </row>
    <row r="27" spans="1:10" s="103" customFormat="1" ht="24" customHeight="1">
      <c r="A27" s="161" t="s">
        <v>41</v>
      </c>
      <c r="B27" s="139"/>
      <c r="C27" s="140"/>
      <c r="D27" s="141"/>
      <c r="E27" s="142">
        <f t="shared" si="7"/>
        <v>0</v>
      </c>
      <c r="F27" s="143">
        <f>E27+'Mar-2020'!F27</f>
        <v>8802.27</v>
      </c>
      <c r="G27" s="143">
        <v>12000</v>
      </c>
      <c r="H27" s="144">
        <f t="shared" si="8"/>
        <v>3197.7299999999996</v>
      </c>
      <c r="I27" s="108">
        <f t="shared" si="6"/>
        <v>0.73352250000000008</v>
      </c>
      <c r="J27" s="102"/>
    </row>
    <row r="28" spans="1:10" s="103" customFormat="1" ht="24" customHeight="1">
      <c r="A28" s="161" t="s">
        <v>42</v>
      </c>
      <c r="B28" s="139"/>
      <c r="C28" s="9"/>
      <c r="D28" s="9"/>
      <c r="E28" s="142">
        <f>SUM(B28:D28)</f>
        <v>0</v>
      </c>
      <c r="F28" s="143">
        <f>E28+'Mar-2020'!F28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E29+'Mar-2020'!F29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E30+'Mar-2020'!F30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E31+'Mar-2020'!F31</f>
        <v>9037.77</v>
      </c>
      <c r="G31" s="143">
        <v>13000</v>
      </c>
      <c r="H31" s="144">
        <f t="shared" si="8"/>
        <v>3962.2299999999996</v>
      </c>
      <c r="I31" s="108">
        <f t="shared" si="6"/>
        <v>0.69521307692307699</v>
      </c>
      <c r="J31" s="102"/>
    </row>
    <row r="32" spans="1:10" s="103" customFormat="1" ht="24" customHeight="1">
      <c r="A32" s="162" t="s">
        <v>81</v>
      </c>
      <c r="B32" s="139"/>
      <c r="C32" s="140"/>
      <c r="D32" s="141"/>
      <c r="E32" s="142">
        <f t="shared" si="7"/>
        <v>0</v>
      </c>
      <c r="F32" s="143">
        <f>E32+'Mar-2020'!F32</f>
        <v>0</v>
      </c>
      <c r="G32" s="143">
        <v>1500</v>
      </c>
      <c r="H32" s="144">
        <f>G32-F32</f>
        <v>1500</v>
      </c>
      <c r="I32" s="108">
        <f t="shared" si="6"/>
        <v>0</v>
      </c>
      <c r="J32" s="102"/>
    </row>
    <row r="33" spans="1:10" s="103" customFormat="1" ht="24" customHeight="1">
      <c r="A33" s="162" t="s">
        <v>45</v>
      </c>
      <c r="B33" s="139"/>
      <c r="C33" s="140"/>
      <c r="D33" s="141"/>
      <c r="E33" s="142">
        <f t="shared" si="7"/>
        <v>0</v>
      </c>
      <c r="F33" s="143">
        <f>E33+'Mar-2020'!F33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E34+'Mar-2020'!F34</f>
        <v>2059.64</v>
      </c>
      <c r="G34" s="143">
        <v>3000</v>
      </c>
      <c r="H34" s="144">
        <f t="shared" si="4"/>
        <v>940.36000000000013</v>
      </c>
      <c r="I34" s="108">
        <f t="shared" si="6"/>
        <v>0.68654666666666664</v>
      </c>
      <c r="J34" s="102"/>
    </row>
    <row r="35" spans="1:10" s="103" customFormat="1" ht="24" customHeight="1">
      <c r="A35" s="162" t="s">
        <v>150</v>
      </c>
      <c r="B35" s="139"/>
      <c r="C35" s="140"/>
      <c r="D35" s="141"/>
      <c r="E35" s="142">
        <f t="shared" si="7"/>
        <v>0</v>
      </c>
      <c r="F35" s="143">
        <f>E35+'Mar-2020'!F35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E36+'Mar-2020'!F36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44831.530000000006</v>
      </c>
      <c r="G37" s="167">
        <f>SUM(G23:G36)</f>
        <v>76745.7</v>
      </c>
      <c r="H37" s="167">
        <f>SUM(H23:H36)</f>
        <v>31914.17</v>
      </c>
      <c r="I37" s="110">
        <f t="shared" si="6"/>
        <v>0.58415689738969101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E41+'Mar-2020'!F41</f>
        <v>769325.62</v>
      </c>
      <c r="G41" s="144">
        <v>1452829.24</v>
      </c>
      <c r="H41" s="144">
        <f>G41-F41-F42</f>
        <v>681510.48</v>
      </c>
      <c r="I41" s="108">
        <f t="shared" ref="I41:I56" si="13">F41/G41</f>
        <v>0.52953616214387311</v>
      </c>
    </row>
    <row r="42" spans="1:10" s="168" customFormat="1" ht="21.75" customHeight="1">
      <c r="A42" s="138" t="s">
        <v>83</v>
      </c>
      <c r="B42" s="139"/>
      <c r="C42" s="170"/>
      <c r="D42" s="170"/>
      <c r="E42" s="171">
        <f t="shared" ref="E42:E43" si="14">SUM(B42:D42)</f>
        <v>0</v>
      </c>
      <c r="F42" s="143">
        <f>+E42+'Mar-2020'!F42</f>
        <v>1993.14</v>
      </c>
      <c r="G42" s="144"/>
      <c r="H42" s="144"/>
      <c r="I42" s="108" t="e">
        <f t="shared" si="13"/>
        <v>#DIV/0!</v>
      </c>
    </row>
    <row r="43" spans="1:10" s="168" customFormat="1" ht="21.75" customHeight="1">
      <c r="A43" s="138" t="s">
        <v>80</v>
      </c>
      <c r="B43" s="139"/>
      <c r="C43" s="170"/>
      <c r="D43" s="170"/>
      <c r="E43" s="171">
        <f t="shared" si="14"/>
        <v>0</v>
      </c>
      <c r="F43" s="143">
        <f>E43+'Mar-2020'!F43</f>
        <v>0</v>
      </c>
      <c r="G43" s="144">
        <v>12820</v>
      </c>
      <c r="H43" s="144">
        <f t="shared" ref="H43:H47" si="15">G43-F43</f>
        <v>12820</v>
      </c>
      <c r="I43" s="108">
        <f t="shared" si="13"/>
        <v>0</v>
      </c>
    </row>
    <row r="44" spans="1:10" s="168" customFormat="1" ht="21.75" customHeight="1">
      <c r="A44" s="138" t="s">
        <v>78</v>
      </c>
      <c r="B44" s="139"/>
      <c r="C44" s="170"/>
      <c r="D44" s="170"/>
      <c r="E44" s="171">
        <f t="shared" ref="E44:E47" si="16">SUM(B44:D44)</f>
        <v>0</v>
      </c>
      <c r="F44" s="143">
        <f>E44+'Mar-2020'!F44</f>
        <v>56707.86</v>
      </c>
      <c r="G44" s="144">
        <v>111141.44</v>
      </c>
      <c r="H44" s="144">
        <f t="shared" si="15"/>
        <v>54433.58</v>
      </c>
      <c r="I44" s="108">
        <f t="shared" si="13"/>
        <v>0.51023146721870793</v>
      </c>
    </row>
    <row r="45" spans="1:10" s="168" customFormat="1" ht="21.75" customHeight="1">
      <c r="A45" s="138" t="s">
        <v>29</v>
      </c>
      <c r="B45" s="139"/>
      <c r="C45" s="140"/>
      <c r="D45" s="140"/>
      <c r="E45" s="172">
        <f t="shared" si="16"/>
        <v>0</v>
      </c>
      <c r="F45" s="143">
        <f>E45+'Mar-2020'!F45</f>
        <v>18833.48</v>
      </c>
      <c r="G45" s="144">
        <v>22373.57</v>
      </c>
      <c r="H45" s="144">
        <f t="shared" si="15"/>
        <v>3540.09</v>
      </c>
      <c r="I45" s="108">
        <f t="shared" si="13"/>
        <v>0.84177357480276949</v>
      </c>
    </row>
    <row r="46" spans="1:10" s="168" customFormat="1" ht="21.75" customHeight="1">
      <c r="A46" s="138" t="s">
        <v>79</v>
      </c>
      <c r="B46" s="139"/>
      <c r="C46" s="140"/>
      <c r="D46" s="140"/>
      <c r="E46" s="172">
        <f t="shared" si="16"/>
        <v>0</v>
      </c>
      <c r="F46" s="143">
        <f>E46+'Mar-2020'!F46</f>
        <v>0</v>
      </c>
      <c r="G46" s="144">
        <v>8500</v>
      </c>
      <c r="H46" s="144">
        <f t="shared" si="15"/>
        <v>8500</v>
      </c>
      <c r="I46" s="108">
        <f t="shared" si="13"/>
        <v>0</v>
      </c>
    </row>
    <row r="47" spans="1:10" s="168" customFormat="1" ht="21.75" customHeight="1">
      <c r="A47" s="138" t="s">
        <v>168</v>
      </c>
      <c r="B47" s="151"/>
      <c r="C47" s="152"/>
      <c r="D47" s="152"/>
      <c r="E47" s="172">
        <f t="shared" si="16"/>
        <v>0</v>
      </c>
      <c r="F47" s="143">
        <f>E47+'Mar-2020'!F47</f>
        <v>0</v>
      </c>
      <c r="G47" s="74">
        <v>29630</v>
      </c>
      <c r="H47" s="144">
        <f t="shared" si="15"/>
        <v>29630</v>
      </c>
      <c r="I47" s="108">
        <f t="shared" si="13"/>
        <v>0</v>
      </c>
    </row>
    <row r="48" spans="1:10" s="168" customFormat="1" ht="21.75" customHeight="1" thickBot="1">
      <c r="A48" s="117" t="s">
        <v>30</v>
      </c>
      <c r="B48" s="165">
        <f>SUM(B41:B47)</f>
        <v>0</v>
      </c>
      <c r="C48" s="166">
        <f t="shared" ref="C48:E48" si="17">SUM(C41:C47)</f>
        <v>0</v>
      </c>
      <c r="D48" s="166">
        <f t="shared" si="17"/>
        <v>0</v>
      </c>
      <c r="E48" s="166">
        <f t="shared" si="17"/>
        <v>0</v>
      </c>
      <c r="F48" s="75">
        <f>SUM(F41:F47)</f>
        <v>846860.1</v>
      </c>
      <c r="G48" s="75">
        <f>SUM(G41:G47)</f>
        <v>1637294.25</v>
      </c>
      <c r="H48" s="75">
        <f t="shared" ref="H48" si="18">SUM(H41:H47)</f>
        <v>790434.14999999991</v>
      </c>
      <c r="I48" s="110">
        <f t="shared" si="13"/>
        <v>0.51723146282349675</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1030387.450030878</v>
      </c>
      <c r="G52" s="77">
        <f>G37+G20+G48+G50</f>
        <v>2013608.54</v>
      </c>
      <c r="H52" s="77">
        <f>H37+H20+H48+H50</f>
        <v>983221.08996912185</v>
      </c>
      <c r="I52" s="110">
        <f t="shared" si="13"/>
        <v>0.51171189909180559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E54+'Mar-2020'!F54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9">B52+B54</f>
        <v>0</v>
      </c>
      <c r="C56" s="99">
        <f t="shared" si="19"/>
        <v>0</v>
      </c>
      <c r="D56" s="99">
        <f t="shared" si="19"/>
        <v>0</v>
      </c>
      <c r="E56" s="158">
        <f t="shared" si="19"/>
        <v>0</v>
      </c>
      <c r="F56" s="77">
        <f t="shared" si="19"/>
        <v>1106787.450030878</v>
      </c>
      <c r="G56" s="77">
        <f t="shared" si="19"/>
        <v>2256075.86</v>
      </c>
      <c r="H56" s="77">
        <f t="shared" si="19"/>
        <v>1149288.4099691219</v>
      </c>
      <c r="I56" s="110">
        <f t="shared" si="13"/>
        <v>0.49058077773629388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135</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1" t="s">
        <v>57</v>
      </c>
      <c r="F1" s="104"/>
      <c r="G1" s="549">
        <v>43952</v>
      </c>
      <c r="H1" s="550"/>
      <c r="I1" s="106" t="s">
        <v>49</v>
      </c>
    </row>
    <row r="2" spans="1:9" ht="21">
      <c r="A2" s="37" t="s">
        <v>152</v>
      </c>
      <c r="B2" s="35"/>
      <c r="C2" s="35"/>
      <c r="D2" s="36"/>
      <c r="E2" s="602"/>
      <c r="F2" s="65"/>
      <c r="G2" s="551"/>
      <c r="H2" s="55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E6+'Apr-2020'!F6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E7+'Apr-2020'!F7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E8+'Apr-2020'!F8</f>
        <v>19230.88</v>
      </c>
      <c r="G8" s="143">
        <v>40000</v>
      </c>
      <c r="H8" s="144">
        <f t="shared" ref="H8:H12" si="2">G8-F8</f>
        <v>20769.12</v>
      </c>
      <c r="I8" s="108">
        <f t="shared" si="1"/>
        <v>0.48077200000000003</v>
      </c>
    </row>
    <row r="9" spans="1:9" s="103" customFormat="1" ht="25.5" customHeight="1">
      <c r="A9" s="138" t="s">
        <v>147</v>
      </c>
      <c r="B9" s="139"/>
      <c r="C9" s="140"/>
      <c r="D9" s="141"/>
      <c r="E9" s="142">
        <f t="shared" si="0"/>
        <v>0</v>
      </c>
      <c r="F9" s="143">
        <f>E9+'Apr-2020'!F9</f>
        <v>14997.460000000001</v>
      </c>
      <c r="G9" s="143">
        <v>30000</v>
      </c>
      <c r="H9" s="144">
        <f t="shared" si="2"/>
        <v>15002.539999999999</v>
      </c>
      <c r="I9" s="108">
        <f t="shared" si="1"/>
        <v>0.49991533333333338</v>
      </c>
    </row>
    <row r="10" spans="1:9" s="103" customFormat="1" ht="25.5" customHeight="1">
      <c r="A10" s="138" t="s">
        <v>156</v>
      </c>
      <c r="B10" s="139"/>
      <c r="C10" s="140"/>
      <c r="D10" s="141"/>
      <c r="E10" s="142">
        <f t="shared" si="0"/>
        <v>0</v>
      </c>
      <c r="F10" s="143">
        <f>E10+'Apr-2020'!F10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E11+'Apr-2020'!F11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E12+'Apr-2020'!F12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100682.2</v>
      </c>
      <c r="G16" s="148">
        <f>SUM(G6:G15)</f>
        <v>213900</v>
      </c>
      <c r="H16" s="148">
        <f>SUM(H6:H15)</f>
        <v>113217.8</v>
      </c>
      <c r="I16" s="108">
        <f t="shared" si="1"/>
        <v>0.47069752220663863</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E18+'Apr-2020'!F18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138695.82003087801</v>
      </c>
      <c r="G20" s="73">
        <f>G16+G18</f>
        <v>282036</v>
      </c>
      <c r="H20" s="73">
        <f>H16+H18</f>
        <v>143340.17996912199</v>
      </c>
      <c r="I20" s="110">
        <f t="shared" si="1"/>
        <v>0.4917663703600888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E23+'Apr-2020'!F23</f>
        <v>2397.4399999999996</v>
      </c>
      <c r="G23" s="143">
        <v>4000</v>
      </c>
      <c r="H23" s="144">
        <f>G23-F23</f>
        <v>1602.5600000000004</v>
      </c>
      <c r="I23" s="108">
        <f t="shared" ref="I23:I37" si="6">F23/G23</f>
        <v>0.59935999999999989</v>
      </c>
      <c r="J23" s="102"/>
    </row>
    <row r="24" spans="1:10" s="103" customFormat="1" ht="24" customHeight="1">
      <c r="A24" s="161" t="s">
        <v>0</v>
      </c>
      <c r="B24" s="139"/>
      <c r="C24" s="140"/>
      <c r="D24" s="141"/>
      <c r="E24" s="142">
        <f t="shared" ref="E24:E35" si="7">SUM(B24:D24)</f>
        <v>0</v>
      </c>
      <c r="F24" s="143">
        <f>E24+'Apr-2020'!F24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E25+'Apr-2020'!F25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E26+'Apr-2020'!F26</f>
        <v>9154.69</v>
      </c>
      <c r="G26" s="143">
        <v>13200</v>
      </c>
      <c r="H26" s="144">
        <f t="shared" si="8"/>
        <v>4045.3099999999995</v>
      </c>
      <c r="I26" s="108">
        <f t="shared" si="6"/>
        <v>0.6935371212121213</v>
      </c>
      <c r="J26" s="102"/>
    </row>
    <row r="27" spans="1:10" s="103" customFormat="1" ht="24" customHeight="1">
      <c r="A27" s="161" t="s">
        <v>41</v>
      </c>
      <c r="B27" s="139"/>
      <c r="C27" s="140"/>
      <c r="D27" s="141"/>
      <c r="E27" s="142">
        <f t="shared" si="7"/>
        <v>0</v>
      </c>
      <c r="F27" s="143">
        <f>E27+'Apr-2020'!F27</f>
        <v>8802.27</v>
      </c>
      <c r="G27" s="143">
        <v>12000</v>
      </c>
      <c r="H27" s="144">
        <f t="shared" si="8"/>
        <v>3197.7299999999996</v>
      </c>
      <c r="I27" s="108">
        <f t="shared" si="6"/>
        <v>0.73352250000000008</v>
      </c>
      <c r="J27" s="102"/>
    </row>
    <row r="28" spans="1:10" s="103" customFormat="1" ht="24" customHeight="1">
      <c r="A28" s="161" t="s">
        <v>42</v>
      </c>
      <c r="B28" s="139"/>
      <c r="C28" s="9"/>
      <c r="D28" s="9"/>
      <c r="E28" s="142">
        <f>SUM(B28:D28)</f>
        <v>0</v>
      </c>
      <c r="F28" s="143">
        <f>E28+'Apr-2020'!F28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E29+'Apr-2020'!F29</f>
        <v>0</v>
      </c>
      <c r="G29" s="143">
        <v>570</v>
      </c>
      <c r="H29" s="144">
        <f t="shared" si="8"/>
        <v>570</v>
      </c>
      <c r="I29" s="108">
        <f t="shared" si="6"/>
        <v>0</v>
      </c>
      <c r="J29" s="102"/>
    </row>
    <row r="30" spans="1:10" s="103" customFormat="1" ht="24" customHeight="1">
      <c r="A30" s="162" t="s">
        <v>43</v>
      </c>
      <c r="B30" s="139"/>
      <c r="C30" s="140"/>
      <c r="D30" s="141"/>
      <c r="E30" s="142">
        <f t="shared" si="7"/>
        <v>0</v>
      </c>
      <c r="F30" s="143">
        <f>E30+'Apr-2020'!F30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E31+'Apr-2020'!F31</f>
        <v>9037.77</v>
      </c>
      <c r="G31" s="143">
        <v>13000</v>
      </c>
      <c r="H31" s="144">
        <f t="shared" si="8"/>
        <v>3962.2299999999996</v>
      </c>
      <c r="I31" s="108">
        <f t="shared" si="6"/>
        <v>0.69521307692307699</v>
      </c>
      <c r="J31" s="102"/>
    </row>
    <row r="32" spans="1:10" s="103" customFormat="1" ht="24" customHeight="1">
      <c r="A32" s="162" t="s">
        <v>81</v>
      </c>
      <c r="B32" s="139"/>
      <c r="C32" s="140"/>
      <c r="D32" s="141"/>
      <c r="E32" s="142">
        <f t="shared" si="7"/>
        <v>0</v>
      </c>
      <c r="F32" s="143">
        <f>E32+'Apr-2020'!F32</f>
        <v>0</v>
      </c>
      <c r="G32" s="143">
        <v>1500</v>
      </c>
      <c r="H32" s="144">
        <f>G32-F32</f>
        <v>1500</v>
      </c>
      <c r="I32" s="108">
        <f t="shared" si="6"/>
        <v>0</v>
      </c>
      <c r="J32" s="102"/>
    </row>
    <row r="33" spans="1:10" s="103" customFormat="1" ht="24" customHeight="1">
      <c r="A33" s="162" t="s">
        <v>45</v>
      </c>
      <c r="B33" s="139"/>
      <c r="C33" s="140"/>
      <c r="D33" s="141"/>
      <c r="E33" s="142">
        <f t="shared" si="7"/>
        <v>0</v>
      </c>
      <c r="F33" s="143">
        <f>E33+'Apr-2020'!F33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E34+'Apr-2020'!F34</f>
        <v>2059.64</v>
      </c>
      <c r="G34" s="143">
        <v>3000</v>
      </c>
      <c r="H34" s="144">
        <f t="shared" si="4"/>
        <v>940.36000000000013</v>
      </c>
      <c r="I34" s="108">
        <f t="shared" si="6"/>
        <v>0.68654666666666664</v>
      </c>
      <c r="J34" s="102"/>
    </row>
    <row r="35" spans="1:10" s="103" customFormat="1" ht="24" customHeight="1">
      <c r="A35" s="162" t="s">
        <v>150</v>
      </c>
      <c r="B35" s="139"/>
      <c r="C35" s="140"/>
      <c r="D35" s="141"/>
      <c r="E35" s="142">
        <f t="shared" si="7"/>
        <v>0</v>
      </c>
      <c r="F35" s="143">
        <f>E35+'Apr-2020'!F35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E36+'Apr-2020'!F36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44831.530000000006</v>
      </c>
      <c r="G37" s="167">
        <f>SUM(G23:G36)</f>
        <v>76745.7</v>
      </c>
      <c r="H37" s="167">
        <f>SUM(H23:H36)</f>
        <v>31914.17</v>
      </c>
      <c r="I37" s="110">
        <f t="shared" si="6"/>
        <v>0.58415689738969101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E41+'Apr-2020'!F41</f>
        <v>769325.62</v>
      </c>
      <c r="G41" s="144">
        <v>1452829.24</v>
      </c>
      <c r="H41" s="144">
        <f>G41-F41-F42</f>
        <v>681510.48</v>
      </c>
      <c r="I41" s="108">
        <f t="shared" ref="I41:I56" si="13">F41/G41</f>
        <v>0.52953616214387311</v>
      </c>
    </row>
    <row r="42" spans="1:10" s="168" customFormat="1" ht="21.75" customHeight="1">
      <c r="A42" s="138" t="s">
        <v>83</v>
      </c>
      <c r="B42" s="139"/>
      <c r="C42" s="170"/>
      <c r="D42" s="170"/>
      <c r="E42" s="171">
        <f>SUM(B42:D42)</f>
        <v>0</v>
      </c>
      <c r="F42" s="143">
        <f>E42+'Apr-2020'!F42</f>
        <v>1993.14</v>
      </c>
      <c r="G42" s="144"/>
      <c r="H42" s="144"/>
      <c r="I42" s="108" t="e">
        <f t="shared" si="13"/>
        <v>#DIV/0!</v>
      </c>
    </row>
    <row r="43" spans="1:10" s="168" customFormat="1" ht="21.75" customHeight="1">
      <c r="A43" s="138" t="s">
        <v>80</v>
      </c>
      <c r="B43" s="139"/>
      <c r="C43" s="170"/>
      <c r="D43" s="170"/>
      <c r="E43" s="171">
        <f t="shared" ref="E43:E47" si="14">SUM(B43:D43)</f>
        <v>0</v>
      </c>
      <c r="F43" s="143">
        <f>E43+'Apr-2020'!F43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E44+'Apr-2020'!F44</f>
        <v>56707.86</v>
      </c>
      <c r="G44" s="144">
        <v>111141.44</v>
      </c>
      <c r="H44" s="144">
        <f t="shared" si="15"/>
        <v>54433.58</v>
      </c>
      <c r="I44" s="108">
        <f t="shared" si="13"/>
        <v>0.51023146721870793</v>
      </c>
    </row>
    <row r="45" spans="1:10" s="168" customFormat="1" ht="21.75" customHeight="1">
      <c r="A45" s="138" t="s">
        <v>29</v>
      </c>
      <c r="B45" s="139"/>
      <c r="C45" s="140"/>
      <c r="D45" s="140"/>
      <c r="E45" s="172">
        <f t="shared" si="14"/>
        <v>0</v>
      </c>
      <c r="F45" s="143">
        <f>E45+'Apr-2020'!F45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E46+'Apr-2020'!F46</f>
        <v>0</v>
      </c>
      <c r="G46" s="144">
        <v>8500</v>
      </c>
      <c r="H46" s="144">
        <f t="shared" si="15"/>
        <v>8500</v>
      </c>
      <c r="I46" s="108">
        <f t="shared" si="13"/>
        <v>0</v>
      </c>
    </row>
    <row r="47" spans="1:10" s="168" customFormat="1" ht="21.75" customHeight="1">
      <c r="A47" s="138" t="s">
        <v>168</v>
      </c>
      <c r="B47" s="151"/>
      <c r="C47" s="152"/>
      <c r="D47" s="152"/>
      <c r="E47" s="172">
        <f t="shared" si="14"/>
        <v>0</v>
      </c>
      <c r="F47" s="143">
        <f>E47+'Apr-2020'!F47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846860.1</v>
      </c>
      <c r="G48" s="75">
        <f>SUM(G41:G47)</f>
        <v>1637294.25</v>
      </c>
      <c r="H48" s="75">
        <f t="shared" ref="H48" si="17">SUM(H41:H47)</f>
        <v>790434.14999999991</v>
      </c>
      <c r="I48" s="110">
        <f t="shared" si="13"/>
        <v>0.51723146282349675</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E50+'Apr-2020'!F50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1030387.450030878</v>
      </c>
      <c r="G52" s="77">
        <f>G37+G20+G48+G50</f>
        <v>2013608.54</v>
      </c>
      <c r="H52" s="77">
        <f>H37+H20+H48+H50</f>
        <v>983221.08996912185</v>
      </c>
      <c r="I52" s="110">
        <f t="shared" si="13"/>
        <v>0.51171189909180559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E54+'Apr-2020'!F54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1106787.450030878</v>
      </c>
      <c r="G56" s="77">
        <f t="shared" si="18"/>
        <v>2256075.86</v>
      </c>
      <c r="H56" s="77">
        <f t="shared" si="18"/>
        <v>1149288.4099691219</v>
      </c>
      <c r="I56" s="110">
        <f t="shared" si="13"/>
        <v>0.49058077773629388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136</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1" t="s">
        <v>58</v>
      </c>
      <c r="F1" s="104"/>
      <c r="G1" s="549">
        <v>43983</v>
      </c>
      <c r="H1" s="550"/>
      <c r="I1" s="106" t="s">
        <v>49</v>
      </c>
    </row>
    <row r="2" spans="1:9" ht="21">
      <c r="A2" s="37" t="s">
        <v>152</v>
      </c>
      <c r="B2" s="35"/>
      <c r="C2" s="35"/>
      <c r="D2" s="36"/>
      <c r="E2" s="602"/>
      <c r="F2" s="65"/>
      <c r="G2" s="551"/>
      <c r="H2" s="55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E6+'May-2020'!F6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E7+'May-2020'!F7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E8+'May-2020'!F8</f>
        <v>19230.88</v>
      </c>
      <c r="G8" s="143">
        <v>40000</v>
      </c>
      <c r="H8" s="144">
        <f t="shared" ref="H8:H12" si="2">G8-F8</f>
        <v>20769.12</v>
      </c>
      <c r="I8" s="108">
        <f t="shared" si="1"/>
        <v>0.48077200000000003</v>
      </c>
    </row>
    <row r="9" spans="1:9" s="103" customFormat="1" ht="25.5" customHeight="1">
      <c r="A9" s="138" t="s">
        <v>147</v>
      </c>
      <c r="B9" s="139"/>
      <c r="C9" s="140"/>
      <c r="D9" s="141"/>
      <c r="E9" s="142">
        <f t="shared" si="0"/>
        <v>0</v>
      </c>
      <c r="F9" s="143">
        <f>E9+'May-2020'!F9</f>
        <v>14997.460000000001</v>
      </c>
      <c r="G9" s="143">
        <v>30000</v>
      </c>
      <c r="H9" s="144">
        <f t="shared" si="2"/>
        <v>15002.539999999999</v>
      </c>
      <c r="I9" s="108">
        <f t="shared" si="1"/>
        <v>0.49991533333333338</v>
      </c>
    </row>
    <row r="10" spans="1:9" s="103" customFormat="1" ht="25.5" customHeight="1">
      <c r="A10" s="138" t="s">
        <v>156</v>
      </c>
      <c r="B10" s="139"/>
      <c r="C10" s="140"/>
      <c r="D10" s="141"/>
      <c r="E10" s="142">
        <f t="shared" si="0"/>
        <v>0</v>
      </c>
      <c r="F10" s="143">
        <f>E10+'May-2020'!F10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E11+'May-2020'!F11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E12+'May-2020'!F12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100682.2</v>
      </c>
      <c r="G16" s="148">
        <f>SUM(G6:G15)</f>
        <v>213900</v>
      </c>
      <c r="H16" s="148">
        <f>SUM(H6:H15)</f>
        <v>113217.8</v>
      </c>
      <c r="I16" s="108">
        <f t="shared" si="1"/>
        <v>0.47069752220663863</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E18+'May-2020'!F18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138695.82003087801</v>
      </c>
      <c r="G20" s="73">
        <f>G16+G18</f>
        <v>282036</v>
      </c>
      <c r="H20" s="73">
        <f>H16+H18</f>
        <v>143340.17996912199</v>
      </c>
      <c r="I20" s="110">
        <f t="shared" si="1"/>
        <v>0.4917663703600888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E23+'May-2020'!F23</f>
        <v>2397.4399999999996</v>
      </c>
      <c r="G23" s="143">
        <v>4000</v>
      </c>
      <c r="H23" s="144">
        <f>G23-F23</f>
        <v>1602.5600000000004</v>
      </c>
      <c r="I23" s="108">
        <f t="shared" ref="I23:I37" si="6">F23/G23</f>
        <v>0.59935999999999989</v>
      </c>
      <c r="J23" s="102"/>
    </row>
    <row r="24" spans="1:10" s="103" customFormat="1" ht="24" customHeight="1">
      <c r="A24" s="161" t="s">
        <v>0</v>
      </c>
      <c r="B24" s="139"/>
      <c r="C24" s="140"/>
      <c r="D24" s="141"/>
      <c r="E24" s="142">
        <f t="shared" ref="E24:E35" si="7">SUM(B24:D24)</f>
        <v>0</v>
      </c>
      <c r="F24" s="143">
        <f>E24+'May-2020'!F24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E25+'May-2020'!F25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E26+'May-2020'!F26</f>
        <v>9154.69</v>
      </c>
      <c r="G26" s="143">
        <v>13200</v>
      </c>
      <c r="H26" s="144">
        <f t="shared" si="8"/>
        <v>4045.3099999999995</v>
      </c>
      <c r="I26" s="108">
        <f t="shared" si="6"/>
        <v>0.6935371212121213</v>
      </c>
      <c r="J26" s="102"/>
    </row>
    <row r="27" spans="1:10" s="103" customFormat="1" ht="24" customHeight="1">
      <c r="A27" s="161" t="s">
        <v>41</v>
      </c>
      <c r="B27" s="139"/>
      <c r="C27" s="140"/>
      <c r="D27" s="141"/>
      <c r="E27" s="142">
        <f t="shared" si="7"/>
        <v>0</v>
      </c>
      <c r="F27" s="143">
        <f>E27+'May-2020'!F27</f>
        <v>8802.27</v>
      </c>
      <c r="G27" s="143">
        <v>12000</v>
      </c>
      <c r="H27" s="144">
        <f t="shared" si="8"/>
        <v>3197.7299999999996</v>
      </c>
      <c r="I27" s="108">
        <f t="shared" si="6"/>
        <v>0.73352250000000008</v>
      </c>
      <c r="J27" s="102"/>
    </row>
    <row r="28" spans="1:10" s="103" customFormat="1" ht="24" customHeight="1">
      <c r="A28" s="161" t="s">
        <v>42</v>
      </c>
      <c r="B28" s="139"/>
      <c r="C28" s="9"/>
      <c r="D28" s="9"/>
      <c r="E28" s="142">
        <f>SUM(B28:D28)</f>
        <v>0</v>
      </c>
      <c r="F28" s="143">
        <f>E28+'May-2020'!F28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E29+'May-2020'!F29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E30+'May-2020'!F30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E31+'May-2020'!F31</f>
        <v>9037.77</v>
      </c>
      <c r="G31" s="143">
        <v>13000</v>
      </c>
      <c r="H31" s="144">
        <f t="shared" si="8"/>
        <v>3962.2299999999996</v>
      </c>
      <c r="I31" s="108">
        <f t="shared" si="6"/>
        <v>0.69521307692307699</v>
      </c>
      <c r="J31" s="102"/>
    </row>
    <row r="32" spans="1:10" s="103" customFormat="1" ht="24" customHeight="1">
      <c r="A32" s="162" t="s">
        <v>81</v>
      </c>
      <c r="B32" s="139"/>
      <c r="C32" s="140"/>
      <c r="D32" s="141"/>
      <c r="E32" s="142">
        <f t="shared" si="7"/>
        <v>0</v>
      </c>
      <c r="F32" s="143">
        <f>E32+'May-2020'!F32</f>
        <v>0</v>
      </c>
      <c r="G32" s="143">
        <v>1500</v>
      </c>
      <c r="H32" s="144">
        <f>G32-F32</f>
        <v>1500</v>
      </c>
      <c r="I32" s="108">
        <f t="shared" si="6"/>
        <v>0</v>
      </c>
      <c r="J32" s="102"/>
    </row>
    <row r="33" spans="1:10" s="103" customFormat="1" ht="24" customHeight="1">
      <c r="A33" s="162" t="s">
        <v>45</v>
      </c>
      <c r="B33" s="139"/>
      <c r="C33" s="140"/>
      <c r="D33" s="141"/>
      <c r="E33" s="142">
        <f t="shared" si="7"/>
        <v>0</v>
      </c>
      <c r="F33" s="143">
        <f>E33+'May-2020'!F33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E34+'May-2020'!F34</f>
        <v>2059.64</v>
      </c>
      <c r="G34" s="143">
        <v>3000</v>
      </c>
      <c r="H34" s="144">
        <f t="shared" si="4"/>
        <v>940.36000000000013</v>
      </c>
      <c r="I34" s="108">
        <f t="shared" si="6"/>
        <v>0.68654666666666664</v>
      </c>
      <c r="J34" s="102"/>
    </row>
    <row r="35" spans="1:10" s="103" customFormat="1" ht="24" customHeight="1">
      <c r="A35" s="162" t="s">
        <v>150</v>
      </c>
      <c r="B35" s="139"/>
      <c r="C35" s="140"/>
      <c r="D35" s="141"/>
      <c r="E35" s="142">
        <f t="shared" si="7"/>
        <v>0</v>
      </c>
      <c r="F35" s="143">
        <f>E35+'May-2020'!F35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E36+'May-2020'!F36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44831.530000000006</v>
      </c>
      <c r="G37" s="167">
        <f>SUM(G23:G36)</f>
        <v>76745.7</v>
      </c>
      <c r="H37" s="167">
        <f>SUM(H23:H36)</f>
        <v>31914.17</v>
      </c>
      <c r="I37" s="110">
        <f t="shared" si="6"/>
        <v>0.58415689738969101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E41+'May-2020'!F41</f>
        <v>769325.62</v>
      </c>
      <c r="G41" s="144">
        <v>1452829.24</v>
      </c>
      <c r="H41" s="144">
        <f>G41-F41-F42</f>
        <v>681510.48</v>
      </c>
      <c r="I41" s="108">
        <f t="shared" ref="I41:I56" si="13">F41/G41</f>
        <v>0.52953616214387311</v>
      </c>
    </row>
    <row r="42" spans="1:10" s="168" customFormat="1" ht="21.75" customHeight="1">
      <c r="A42" s="138" t="s">
        <v>83</v>
      </c>
      <c r="B42" s="139"/>
      <c r="C42" s="170"/>
      <c r="D42" s="170"/>
      <c r="E42" s="171">
        <f>SUM(B42:D42)</f>
        <v>0</v>
      </c>
      <c r="F42" s="143">
        <f>E42+'May-2020'!F42</f>
        <v>1993.14</v>
      </c>
      <c r="G42" s="144"/>
      <c r="H42" s="144"/>
      <c r="I42" s="108" t="e">
        <f t="shared" si="13"/>
        <v>#DIV/0!</v>
      </c>
    </row>
    <row r="43" spans="1:10" s="168" customFormat="1" ht="21.75" customHeight="1">
      <c r="A43" s="138" t="s">
        <v>80</v>
      </c>
      <c r="B43" s="139"/>
      <c r="C43" s="170"/>
      <c r="D43" s="170"/>
      <c r="E43" s="171">
        <f t="shared" ref="E43:E47" si="14">SUM(B43:D43)</f>
        <v>0</v>
      </c>
      <c r="F43" s="143">
        <f>E43+'May-2020'!F43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E44+'May-2020'!F44</f>
        <v>56707.86</v>
      </c>
      <c r="G44" s="144">
        <v>111141.44</v>
      </c>
      <c r="H44" s="144">
        <f t="shared" si="15"/>
        <v>54433.58</v>
      </c>
      <c r="I44" s="108">
        <f t="shared" si="13"/>
        <v>0.51023146721870793</v>
      </c>
    </row>
    <row r="45" spans="1:10" s="168" customFormat="1" ht="21.75" customHeight="1">
      <c r="A45" s="138" t="s">
        <v>29</v>
      </c>
      <c r="B45" s="139"/>
      <c r="C45" s="140"/>
      <c r="D45" s="140"/>
      <c r="E45" s="172">
        <f t="shared" si="14"/>
        <v>0</v>
      </c>
      <c r="F45" s="143">
        <f>E45+'May-2020'!F45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E46+'May-2020'!F46</f>
        <v>0</v>
      </c>
      <c r="G46" s="144">
        <v>8500</v>
      </c>
      <c r="H46" s="144">
        <f t="shared" si="15"/>
        <v>8500</v>
      </c>
      <c r="I46" s="108">
        <f t="shared" si="13"/>
        <v>0</v>
      </c>
    </row>
    <row r="47" spans="1:10" s="168" customFormat="1" ht="21.75" customHeight="1">
      <c r="A47" s="138" t="s">
        <v>168</v>
      </c>
      <c r="B47" s="151"/>
      <c r="C47" s="152"/>
      <c r="D47" s="152"/>
      <c r="E47" s="172">
        <f t="shared" si="14"/>
        <v>0</v>
      </c>
      <c r="F47" s="143">
        <f>E47+'May-2020'!F47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846860.1</v>
      </c>
      <c r="G48" s="75">
        <f>SUM(G41:G47)</f>
        <v>1637294.25</v>
      </c>
      <c r="H48" s="75">
        <f t="shared" ref="H48" si="17">SUM(H41:H47)</f>
        <v>790434.14999999991</v>
      </c>
      <c r="I48" s="110">
        <f t="shared" si="13"/>
        <v>0.51723146282349675</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E50+'May-2020'!F50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1030387.450030878</v>
      </c>
      <c r="G52" s="77">
        <f>G37+G20+G48+G50</f>
        <v>2013608.54</v>
      </c>
      <c r="H52" s="77">
        <f>H37+H20+H48+H50</f>
        <v>983221.08996912185</v>
      </c>
      <c r="I52" s="110">
        <f t="shared" si="13"/>
        <v>0.51171189909180559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E54+'May-2020'!F54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1106787.450030878</v>
      </c>
      <c r="G56" s="77">
        <f t="shared" si="18"/>
        <v>2256075.86</v>
      </c>
      <c r="H56" s="77">
        <f t="shared" si="18"/>
        <v>1149288.4099691219</v>
      </c>
      <c r="I56" s="110">
        <f t="shared" si="13"/>
        <v>0.49058077773629388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124</v>
      </c>
      <c r="N4" s="43" t="s">
        <v>86</v>
      </c>
    </row>
    <row r="5" spans="1:15" s="42" customFormat="1" ht="34.4" customHeight="1">
      <c r="A5" s="565" t="s">
        <v>125</v>
      </c>
      <c r="B5" s="570"/>
      <c r="C5" s="570"/>
      <c r="D5" s="570"/>
      <c r="E5" s="570"/>
      <c r="F5" s="570"/>
      <c r="G5" s="566"/>
      <c r="H5" s="565" t="s">
        <v>126</v>
      </c>
      <c r="I5" s="570"/>
      <c r="J5" s="570"/>
      <c r="K5" s="570"/>
      <c r="L5" s="566"/>
      <c r="M5" s="565" t="s">
        <v>137</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pageSetUpPr fitToPage="1"/>
  </sheetPr>
  <dimension ref="A1:J95"/>
  <sheetViews>
    <sheetView zoomScaleNormal="100" zoomScaleSheetLayoutView="13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41.25" customHeight="1">
      <c r="A1" s="33" t="s">
        <v>72</v>
      </c>
      <c r="B1" s="31"/>
      <c r="C1" s="603" t="s">
        <v>82</v>
      </c>
      <c r="D1" s="603"/>
      <c r="E1" s="438" t="s">
        <v>60</v>
      </c>
      <c r="F1" s="104"/>
      <c r="G1" s="440" t="s">
        <v>59</v>
      </c>
      <c r="H1" s="114"/>
      <c r="I1" s="106" t="s">
        <v>49</v>
      </c>
    </row>
    <row r="2" spans="1:9" ht="21">
      <c r="A2" s="37" t="s">
        <v>152</v>
      </c>
      <c r="B2" s="35"/>
      <c r="C2" s="32"/>
      <c r="D2" s="38"/>
      <c r="E2" s="439"/>
      <c r="F2" s="65"/>
      <c r="G2" s="64"/>
      <c r="H2" s="6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E6+'Jun-2020'!F6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E7+'Jun-2020'!F7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E8+'Jun-2020'!F8</f>
        <v>19230.88</v>
      </c>
      <c r="G8" s="143">
        <v>40000</v>
      </c>
      <c r="H8" s="144">
        <f t="shared" ref="H8:H12" si="2">G8-F8</f>
        <v>20769.12</v>
      </c>
      <c r="I8" s="108">
        <f t="shared" si="1"/>
        <v>0.48077200000000003</v>
      </c>
    </row>
    <row r="9" spans="1:9" s="103" customFormat="1" ht="25.5" customHeight="1">
      <c r="A9" s="138" t="s">
        <v>147</v>
      </c>
      <c r="B9" s="139"/>
      <c r="C9" s="140"/>
      <c r="D9" s="141"/>
      <c r="E9" s="142">
        <f t="shared" si="0"/>
        <v>0</v>
      </c>
      <c r="F9" s="143">
        <f>E9+'Jun-2020'!F9</f>
        <v>14997.460000000001</v>
      </c>
      <c r="G9" s="143">
        <v>30000</v>
      </c>
      <c r="H9" s="144">
        <f t="shared" si="2"/>
        <v>15002.539999999999</v>
      </c>
      <c r="I9" s="108">
        <f t="shared" si="1"/>
        <v>0.49991533333333338</v>
      </c>
    </row>
    <row r="10" spans="1:9" s="103" customFormat="1" ht="25.5" customHeight="1">
      <c r="A10" s="138" t="s">
        <v>156</v>
      </c>
      <c r="B10" s="139"/>
      <c r="C10" s="140"/>
      <c r="D10" s="141"/>
      <c r="E10" s="142">
        <f t="shared" si="0"/>
        <v>0</v>
      </c>
      <c r="F10" s="143">
        <f>E10+'Jun-2020'!F10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E11+'Jun-2020'!F11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E12+'Jun-2020'!F12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100682.2</v>
      </c>
      <c r="G16" s="148">
        <f>SUM(G6:G15)</f>
        <v>213900</v>
      </c>
      <c r="H16" s="148">
        <f>SUM(H6:H15)</f>
        <v>113217.8</v>
      </c>
      <c r="I16" s="108">
        <f t="shared" si="1"/>
        <v>0.47069752220663863</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E18+'Jun-2020'!F18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138695.82003087801</v>
      </c>
      <c r="G20" s="73">
        <f>G16+G18</f>
        <v>282036</v>
      </c>
      <c r="H20" s="73">
        <f>H16+H18</f>
        <v>143340.17996912199</v>
      </c>
      <c r="I20" s="110">
        <f t="shared" si="1"/>
        <v>0.4917663703600888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E23+'Jun-2020'!F23</f>
        <v>2397.4399999999996</v>
      </c>
      <c r="G23" s="143">
        <v>4000</v>
      </c>
      <c r="H23" s="144">
        <f>G23-F23</f>
        <v>1602.5600000000004</v>
      </c>
      <c r="I23" s="108">
        <f t="shared" ref="I23:I37" si="6">F23/G23</f>
        <v>0.59935999999999989</v>
      </c>
      <c r="J23" s="102"/>
    </row>
    <row r="24" spans="1:10" s="103" customFormat="1" ht="24" customHeight="1">
      <c r="A24" s="161" t="s">
        <v>0</v>
      </c>
      <c r="B24" s="139"/>
      <c r="C24" s="140"/>
      <c r="D24" s="141"/>
      <c r="E24" s="142">
        <f t="shared" ref="E24:E35" si="7">SUM(B24:D24)</f>
        <v>0</v>
      </c>
      <c r="F24" s="143">
        <f>E24+'Jun-2020'!F24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E25+'Jun-2020'!F25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E26+'Jun-2020'!F26</f>
        <v>9154.69</v>
      </c>
      <c r="G26" s="143">
        <v>13200</v>
      </c>
      <c r="H26" s="144">
        <f t="shared" si="8"/>
        <v>4045.3099999999995</v>
      </c>
      <c r="I26" s="108">
        <f t="shared" si="6"/>
        <v>0.6935371212121213</v>
      </c>
      <c r="J26" s="102"/>
    </row>
    <row r="27" spans="1:10" s="103" customFormat="1" ht="24" customHeight="1">
      <c r="A27" s="161" t="s">
        <v>41</v>
      </c>
      <c r="B27" s="139"/>
      <c r="C27" s="140"/>
      <c r="D27" s="141"/>
      <c r="E27" s="142">
        <f t="shared" si="7"/>
        <v>0</v>
      </c>
      <c r="F27" s="143">
        <f>E27+'Jun-2020'!F27</f>
        <v>8802.27</v>
      </c>
      <c r="G27" s="143">
        <v>12000</v>
      </c>
      <c r="H27" s="144">
        <f t="shared" si="8"/>
        <v>3197.7299999999996</v>
      </c>
      <c r="I27" s="108">
        <f t="shared" si="6"/>
        <v>0.73352250000000008</v>
      </c>
      <c r="J27" s="102"/>
    </row>
    <row r="28" spans="1:10" s="103" customFormat="1" ht="24" customHeight="1">
      <c r="A28" s="161" t="s">
        <v>42</v>
      </c>
      <c r="B28" s="139"/>
      <c r="C28" s="9"/>
      <c r="D28" s="9"/>
      <c r="E28" s="142">
        <f>SUM(B28:D28)</f>
        <v>0</v>
      </c>
      <c r="F28" s="143">
        <f>E28+'Jun-2020'!F28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E29+'Jun-2020'!F29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E30+'Jun-2020'!F30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E31+'Jun-2020'!F31</f>
        <v>9037.77</v>
      </c>
      <c r="G31" s="143">
        <v>13000</v>
      </c>
      <c r="H31" s="144">
        <f t="shared" si="8"/>
        <v>3962.2299999999996</v>
      </c>
      <c r="I31" s="108">
        <f t="shared" si="6"/>
        <v>0.69521307692307699</v>
      </c>
      <c r="J31" s="102"/>
    </row>
    <row r="32" spans="1:10" s="103" customFormat="1" ht="24" customHeight="1">
      <c r="A32" s="162" t="s">
        <v>81</v>
      </c>
      <c r="B32" s="139"/>
      <c r="C32" s="140"/>
      <c r="D32" s="141"/>
      <c r="E32" s="142">
        <f t="shared" si="7"/>
        <v>0</v>
      </c>
      <c r="F32" s="143">
        <f>E32+'Jun-2020'!F32</f>
        <v>0</v>
      </c>
      <c r="G32" s="143">
        <v>1500</v>
      </c>
      <c r="H32" s="144">
        <f>G32-F32</f>
        <v>1500</v>
      </c>
      <c r="I32" s="108">
        <f t="shared" si="6"/>
        <v>0</v>
      </c>
      <c r="J32" s="102"/>
    </row>
    <row r="33" spans="1:10" s="103" customFormat="1" ht="24" customHeight="1">
      <c r="A33" s="162" t="s">
        <v>45</v>
      </c>
      <c r="B33" s="139"/>
      <c r="C33" s="140"/>
      <c r="D33" s="141"/>
      <c r="E33" s="142">
        <f t="shared" si="7"/>
        <v>0</v>
      </c>
      <c r="F33" s="143">
        <f>E33+'Jun-2020'!F33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E34+'Jun-2020'!F34</f>
        <v>2059.64</v>
      </c>
      <c r="G34" s="143">
        <v>3000</v>
      </c>
      <c r="H34" s="144">
        <f t="shared" si="4"/>
        <v>940.36000000000013</v>
      </c>
      <c r="I34" s="108">
        <f t="shared" si="6"/>
        <v>0.68654666666666664</v>
      </c>
      <c r="J34" s="102"/>
    </row>
    <row r="35" spans="1:10" s="103" customFormat="1" ht="24" customHeight="1">
      <c r="A35" s="162" t="s">
        <v>150</v>
      </c>
      <c r="B35" s="139"/>
      <c r="C35" s="140"/>
      <c r="D35" s="141"/>
      <c r="E35" s="142">
        <f t="shared" si="7"/>
        <v>0</v>
      </c>
      <c r="F35" s="143">
        <f>E35+'Jun-2020'!F35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E36+'Jun-2020'!F36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44831.530000000006</v>
      </c>
      <c r="G37" s="167">
        <f>SUM(G23:G36)</f>
        <v>76745.7</v>
      </c>
      <c r="H37" s="167">
        <f>SUM(H23:H36)</f>
        <v>31914.17</v>
      </c>
      <c r="I37" s="110">
        <f t="shared" si="6"/>
        <v>0.58415689738969101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E41+'Jun-2020'!F41</f>
        <v>769325.62</v>
      </c>
      <c r="G41" s="144">
        <v>1452829.24</v>
      </c>
      <c r="H41" s="144">
        <f>G41-F41-F42</f>
        <v>681510.48</v>
      </c>
      <c r="I41" s="108">
        <f t="shared" ref="I41:I56" si="13">F41/G41</f>
        <v>0.52953616214387311</v>
      </c>
    </row>
    <row r="42" spans="1:10" s="168" customFormat="1" ht="21.75" customHeight="1">
      <c r="A42" s="138" t="s">
        <v>83</v>
      </c>
      <c r="B42" s="139"/>
      <c r="C42" s="170"/>
      <c r="D42" s="170"/>
      <c r="E42" s="171">
        <f>SUM(B42:D42)</f>
        <v>0</v>
      </c>
      <c r="F42" s="143">
        <f>E42+'Jun-2020'!F42</f>
        <v>1993.14</v>
      </c>
      <c r="G42" s="144"/>
      <c r="H42" s="144"/>
      <c r="I42" s="108" t="e">
        <f t="shared" si="13"/>
        <v>#DIV/0!</v>
      </c>
    </row>
    <row r="43" spans="1:10" s="168" customFormat="1" ht="21.75" customHeight="1">
      <c r="A43" s="138" t="s">
        <v>80</v>
      </c>
      <c r="B43" s="139"/>
      <c r="C43" s="170"/>
      <c r="D43" s="170"/>
      <c r="E43" s="171">
        <f t="shared" ref="E43:E47" si="14">SUM(B43:D43)</f>
        <v>0</v>
      </c>
      <c r="F43" s="143">
        <f>E43+'Jun-2020'!F43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E44+'Jun-2020'!F44</f>
        <v>56707.86</v>
      </c>
      <c r="G44" s="144">
        <v>111141.44</v>
      </c>
      <c r="H44" s="144">
        <f t="shared" si="15"/>
        <v>54433.58</v>
      </c>
      <c r="I44" s="108">
        <f t="shared" si="13"/>
        <v>0.51023146721870793</v>
      </c>
    </row>
    <row r="45" spans="1:10" s="168" customFormat="1" ht="21.75" customHeight="1">
      <c r="A45" s="138" t="s">
        <v>29</v>
      </c>
      <c r="B45" s="139"/>
      <c r="C45" s="140"/>
      <c r="D45" s="140"/>
      <c r="E45" s="172">
        <f t="shared" si="14"/>
        <v>0</v>
      </c>
      <c r="F45" s="143">
        <f>E45+'Jun-2020'!F45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E46+'Jun-2020'!F46</f>
        <v>0</v>
      </c>
      <c r="G46" s="144">
        <v>8500</v>
      </c>
      <c r="H46" s="144">
        <f t="shared" si="15"/>
        <v>8500</v>
      </c>
      <c r="I46" s="108">
        <f t="shared" si="13"/>
        <v>0</v>
      </c>
    </row>
    <row r="47" spans="1:10" s="168" customFormat="1" ht="21.75" customHeight="1">
      <c r="A47" s="138" t="s">
        <v>168</v>
      </c>
      <c r="B47" s="151"/>
      <c r="C47" s="152"/>
      <c r="D47" s="152"/>
      <c r="E47" s="172">
        <f t="shared" si="14"/>
        <v>0</v>
      </c>
      <c r="F47" s="143">
        <f>E47+'Jun-2020'!F47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846860.1</v>
      </c>
      <c r="G48" s="75">
        <f>SUM(G41:G47)</f>
        <v>1637294.25</v>
      </c>
      <c r="H48" s="75">
        <f t="shared" ref="H48" si="17">SUM(H41:H47)</f>
        <v>790434.14999999991</v>
      </c>
      <c r="I48" s="110">
        <f t="shared" si="13"/>
        <v>0.51723146282349675</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E50+'Jun-2020'!F50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1030387.450030878</v>
      </c>
      <c r="G52" s="77">
        <f>G37+G20+G48+G50</f>
        <v>2013608.54</v>
      </c>
      <c r="H52" s="77">
        <f>H37+H20+H48+H50</f>
        <v>983221.08996912185</v>
      </c>
      <c r="I52" s="110">
        <f t="shared" si="13"/>
        <v>0.51171189909180559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E54+'Jun-2020'!F54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1106787.450030878</v>
      </c>
      <c r="G56" s="77">
        <f t="shared" si="18"/>
        <v>2256075.86</v>
      </c>
      <c r="H56" s="77">
        <f t="shared" si="18"/>
        <v>1149288.4099691219</v>
      </c>
      <c r="I56" s="110">
        <f t="shared" si="13"/>
        <v>0.49058077773629388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1" t="s">
        <v>7</v>
      </c>
      <c r="B60" s="502"/>
      <c r="C60" s="502"/>
      <c r="D60" s="502"/>
      <c r="E60" s="50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0"/>
      <c r="E92" s="500"/>
      <c r="F92" s="500"/>
      <c r="G92" s="50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dimension ref="A1:O49"/>
  <sheetViews>
    <sheetView workbookViewId="0">
      <selection sqref="A1:N1"/>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82" t="s">
        <v>84</v>
      </c>
      <c r="B1" s="582"/>
      <c r="C1" s="582"/>
      <c r="D1" s="582"/>
      <c r="E1" s="582"/>
      <c r="F1" s="582"/>
      <c r="G1" s="582"/>
      <c r="H1" s="582"/>
      <c r="I1" s="582"/>
      <c r="J1" s="582"/>
      <c r="K1" s="582"/>
      <c r="L1" s="582"/>
      <c r="M1" s="582"/>
      <c r="N1" s="582"/>
      <c r="O1" s="39"/>
    </row>
    <row r="2" spans="1:15" s="42" customFormat="1" ht="34.5" customHeight="1">
      <c r="A2" s="565" t="s">
        <v>85</v>
      </c>
      <c r="B2" s="570"/>
      <c r="C2" s="570"/>
      <c r="D2" s="570"/>
      <c r="E2" s="570"/>
      <c r="F2" s="570"/>
      <c r="G2" s="570"/>
      <c r="H2" s="566"/>
      <c r="I2" s="565" t="s">
        <v>144</v>
      </c>
      <c r="J2" s="570"/>
      <c r="K2" s="570"/>
      <c r="L2" s="570"/>
      <c r="M2" s="566"/>
      <c r="N2" s="41" t="s">
        <v>122</v>
      </c>
    </row>
    <row r="3" spans="1:15" s="42" customFormat="1" ht="34.5" customHeight="1">
      <c r="A3" s="565" t="s">
        <v>123</v>
      </c>
      <c r="B3" s="570"/>
      <c r="C3" s="570"/>
      <c r="D3" s="570"/>
      <c r="E3" s="570"/>
      <c r="F3" s="570"/>
      <c r="G3" s="570"/>
      <c r="H3" s="570"/>
      <c r="I3" s="570"/>
      <c r="J3" s="570"/>
      <c r="K3" s="570"/>
      <c r="L3" s="570"/>
      <c r="M3" s="570"/>
      <c r="N3" s="566"/>
    </row>
    <row r="4" spans="1:15" s="42" customFormat="1" ht="38.25" customHeight="1">
      <c r="A4" s="583"/>
      <c r="B4" s="584"/>
      <c r="C4" s="584"/>
      <c r="D4" s="584"/>
      <c r="E4" s="584"/>
      <c r="F4" s="584"/>
      <c r="G4" s="584"/>
      <c r="H4" s="584"/>
      <c r="I4" s="584"/>
      <c r="J4" s="584"/>
      <c r="K4" s="584"/>
      <c r="L4" s="585"/>
      <c r="M4" s="43" t="s">
        <v>138</v>
      </c>
      <c r="N4" s="43" t="s">
        <v>86</v>
      </c>
    </row>
    <row r="5" spans="1:15" s="42" customFormat="1" ht="34.4" customHeight="1">
      <c r="A5" s="565" t="s">
        <v>125</v>
      </c>
      <c r="B5" s="570"/>
      <c r="C5" s="570"/>
      <c r="D5" s="570"/>
      <c r="E5" s="570"/>
      <c r="F5" s="570"/>
      <c r="G5" s="566"/>
      <c r="H5" s="565" t="s">
        <v>126</v>
      </c>
      <c r="I5" s="570"/>
      <c r="J5" s="570"/>
      <c r="K5" s="570"/>
      <c r="L5" s="566"/>
      <c r="M5" s="565" t="s">
        <v>137</v>
      </c>
      <c r="N5" s="566"/>
    </row>
    <row r="6" spans="1:15" s="42" customFormat="1" ht="17.899999999999999" customHeight="1">
      <c r="A6" s="567" t="s">
        <v>87</v>
      </c>
      <c r="B6" s="568"/>
      <c r="C6" s="568"/>
      <c r="D6" s="568"/>
      <c r="E6" s="568"/>
      <c r="F6" s="568"/>
      <c r="G6" s="568"/>
      <c r="H6" s="568"/>
      <c r="I6" s="568"/>
      <c r="J6" s="568"/>
      <c r="K6" s="568"/>
      <c r="L6" s="569"/>
      <c r="M6" s="580" t="s">
        <v>88</v>
      </c>
      <c r="N6" s="581"/>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5" t="s">
        <v>90</v>
      </c>
      <c r="B8" s="570"/>
      <c r="C8" s="570"/>
      <c r="D8" s="570"/>
      <c r="E8" s="570"/>
      <c r="F8" s="570"/>
      <c r="G8" s="570"/>
      <c r="H8" s="570"/>
      <c r="I8" s="570"/>
      <c r="J8" s="570"/>
      <c r="K8" s="570"/>
      <c r="L8" s="566"/>
      <c r="M8" s="546"/>
      <c r="N8" s="547"/>
    </row>
    <row r="9" spans="1:15" s="42" customFormat="1" ht="27.75" customHeight="1">
      <c r="A9" s="565" t="s">
        <v>91</v>
      </c>
      <c r="B9" s="570"/>
      <c r="C9" s="570"/>
      <c r="D9" s="570"/>
      <c r="E9" s="570"/>
      <c r="F9" s="570"/>
      <c r="G9" s="570"/>
      <c r="H9" s="570"/>
      <c r="I9" s="570"/>
      <c r="J9" s="570"/>
      <c r="K9" s="570"/>
      <c r="L9" s="566"/>
      <c r="M9" s="546">
        <f>M8</f>
        <v>0</v>
      </c>
      <c r="N9" s="547"/>
    </row>
    <row r="10" spans="1:15" s="42" customFormat="1" ht="27.75" customHeight="1">
      <c r="A10" s="565" t="s">
        <v>92</v>
      </c>
      <c r="B10" s="570"/>
      <c r="C10" s="570"/>
      <c r="D10" s="570"/>
      <c r="E10" s="570"/>
      <c r="F10" s="570"/>
      <c r="G10" s="570"/>
      <c r="H10" s="570"/>
      <c r="I10" s="570"/>
      <c r="J10" s="570"/>
      <c r="K10" s="570"/>
      <c r="L10" s="566"/>
      <c r="M10" s="573">
        <f>M8-M9</f>
        <v>0</v>
      </c>
      <c r="N10" s="574"/>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5" t="s">
        <v>94</v>
      </c>
      <c r="B12" s="570"/>
      <c r="C12" s="570"/>
      <c r="D12" s="570"/>
      <c r="E12" s="570"/>
      <c r="F12" s="570"/>
      <c r="G12" s="570"/>
      <c r="H12" s="570"/>
      <c r="I12" s="570"/>
      <c r="J12" s="570"/>
      <c r="K12" s="570"/>
      <c r="L12" s="566"/>
      <c r="M12" s="543"/>
      <c r="N12" s="511"/>
    </row>
    <row r="13" spans="1:15" s="42" customFormat="1" ht="27.75" customHeight="1">
      <c r="A13" s="565" t="s">
        <v>142</v>
      </c>
      <c r="B13" s="570"/>
      <c r="C13" s="570"/>
      <c r="D13" s="570"/>
      <c r="E13" s="570"/>
      <c r="F13" s="570"/>
      <c r="G13" s="570"/>
      <c r="H13" s="570"/>
      <c r="I13" s="570"/>
      <c r="J13" s="570"/>
      <c r="K13" s="570"/>
      <c r="L13" s="566"/>
      <c r="M13" s="543">
        <f>M9</f>
        <v>0</v>
      </c>
      <c r="N13" s="511"/>
    </row>
    <row r="14" spans="1:15" s="42" customFormat="1" ht="27.75" customHeight="1">
      <c r="A14" s="565" t="s">
        <v>143</v>
      </c>
      <c r="B14" s="570"/>
      <c r="C14" s="570"/>
      <c r="D14" s="570"/>
      <c r="E14" s="570"/>
      <c r="F14" s="570"/>
      <c r="G14" s="570"/>
      <c r="H14" s="570"/>
      <c r="I14" s="570"/>
      <c r="J14" s="570"/>
      <c r="K14" s="570"/>
      <c r="L14" s="566"/>
      <c r="M14" s="537">
        <v>0</v>
      </c>
      <c r="N14" s="538"/>
    </row>
    <row r="15" spans="1:15" s="42" customFormat="1" ht="27.75" customHeight="1">
      <c r="A15" s="565" t="s">
        <v>95</v>
      </c>
      <c r="B15" s="570"/>
      <c r="C15" s="570"/>
      <c r="D15" s="570"/>
      <c r="E15" s="570"/>
      <c r="F15" s="570"/>
      <c r="G15" s="570"/>
      <c r="H15" s="570"/>
      <c r="I15" s="570"/>
      <c r="J15" s="570"/>
      <c r="K15" s="570"/>
      <c r="L15" s="566"/>
      <c r="M15" s="537">
        <v>0</v>
      </c>
      <c r="N15" s="538"/>
    </row>
    <row r="16" spans="1:15" s="42" customFormat="1" ht="27.75" customHeight="1">
      <c r="A16" s="565" t="s">
        <v>96</v>
      </c>
      <c r="B16" s="570"/>
      <c r="C16" s="570"/>
      <c r="D16" s="570"/>
      <c r="E16" s="570"/>
      <c r="F16" s="570"/>
      <c r="G16" s="570"/>
      <c r="H16" s="570"/>
      <c r="I16" s="570"/>
      <c r="J16" s="570"/>
      <c r="K16" s="570"/>
      <c r="L16" s="566"/>
      <c r="M16" s="578">
        <f>M13+M14+M15</f>
        <v>0</v>
      </c>
      <c r="N16" s="579"/>
    </row>
    <row r="17" spans="1:14" s="42" customFormat="1" ht="27.75" customHeight="1">
      <c r="A17" s="565" t="s">
        <v>97</v>
      </c>
      <c r="B17" s="570"/>
      <c r="C17" s="570"/>
      <c r="D17" s="570"/>
      <c r="E17" s="570"/>
      <c r="F17" s="570"/>
      <c r="G17" s="570"/>
      <c r="H17" s="570"/>
      <c r="I17" s="570"/>
      <c r="J17" s="570"/>
      <c r="K17" s="570"/>
      <c r="L17" s="566"/>
      <c r="M17" s="578">
        <f>M12-M16</f>
        <v>0</v>
      </c>
      <c r="N17" s="579"/>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5" t="s">
        <v>99</v>
      </c>
      <c r="B19" s="570"/>
      <c r="C19" s="570"/>
      <c r="D19" s="570"/>
      <c r="E19" s="570"/>
      <c r="F19" s="570"/>
      <c r="G19" s="570"/>
      <c r="H19" s="570"/>
      <c r="I19" s="570"/>
      <c r="J19" s="570"/>
      <c r="K19" s="570"/>
      <c r="L19" s="566"/>
      <c r="M19" s="541">
        <v>0</v>
      </c>
      <c r="N19" s="542"/>
    </row>
    <row r="20" spans="1:14" s="42" customFormat="1" ht="27.75" customHeight="1">
      <c r="A20" s="565" t="s">
        <v>100</v>
      </c>
      <c r="B20" s="570"/>
      <c r="C20" s="570"/>
      <c r="D20" s="570"/>
      <c r="E20" s="570"/>
      <c r="F20" s="570"/>
      <c r="G20" s="570"/>
      <c r="H20" s="570"/>
      <c r="I20" s="570"/>
      <c r="J20" s="570"/>
      <c r="K20" s="570"/>
      <c r="L20" s="566"/>
      <c r="M20" s="537">
        <v>0</v>
      </c>
      <c r="N20" s="538"/>
    </row>
    <row r="21" spans="1:14" s="42" customFormat="1" ht="27.75" customHeight="1">
      <c r="A21" s="565" t="s">
        <v>101</v>
      </c>
      <c r="B21" s="570"/>
      <c r="C21" s="570"/>
      <c r="D21" s="570"/>
      <c r="E21" s="570"/>
      <c r="F21" s="570"/>
      <c r="G21" s="570"/>
      <c r="H21" s="570"/>
      <c r="I21" s="570"/>
      <c r="J21" s="570"/>
      <c r="K21" s="570"/>
      <c r="L21" s="566"/>
      <c r="M21" s="573">
        <f>M19-M20</f>
        <v>0</v>
      </c>
      <c r="N21" s="574"/>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5" t="s">
        <v>103</v>
      </c>
      <c r="B23" s="570"/>
      <c r="C23" s="570"/>
      <c r="D23" s="570"/>
      <c r="E23" s="570"/>
      <c r="F23" s="570"/>
      <c r="G23" s="570"/>
      <c r="H23" s="570"/>
      <c r="I23" s="570"/>
      <c r="J23" s="570"/>
      <c r="K23" s="570"/>
      <c r="L23" s="566"/>
      <c r="M23" s="537">
        <v>0</v>
      </c>
      <c r="N23" s="538"/>
    </row>
    <row r="24" spans="1:14" s="42" customFormat="1" ht="27.75" customHeight="1">
      <c r="A24" s="565" t="s">
        <v>104</v>
      </c>
      <c r="B24" s="570"/>
      <c r="C24" s="570"/>
      <c r="D24" s="570"/>
      <c r="E24" s="570"/>
      <c r="F24" s="570"/>
      <c r="G24" s="570"/>
      <c r="H24" s="570"/>
      <c r="I24" s="570"/>
      <c r="J24" s="570"/>
      <c r="K24" s="570"/>
      <c r="L24" s="566"/>
      <c r="M24" s="537">
        <v>0</v>
      </c>
      <c r="N24" s="538"/>
    </row>
    <row r="25" spans="1:14" s="42" customFormat="1" ht="27.75" customHeight="1">
      <c r="A25" s="565" t="s">
        <v>105</v>
      </c>
      <c r="B25" s="570"/>
      <c r="C25" s="570"/>
      <c r="D25" s="570"/>
      <c r="E25" s="570"/>
      <c r="F25" s="570"/>
      <c r="G25" s="570"/>
      <c r="H25" s="570"/>
      <c r="I25" s="570"/>
      <c r="J25" s="570"/>
      <c r="K25" s="570"/>
      <c r="L25" s="566"/>
      <c r="M25" s="573">
        <f>M23-M24</f>
        <v>0</v>
      </c>
      <c r="N25" s="574"/>
    </row>
    <row r="26" spans="1:14" s="42" customFormat="1" ht="17.899999999999999" customHeight="1">
      <c r="A26" s="556" t="s">
        <v>106</v>
      </c>
      <c r="B26" s="557"/>
      <c r="C26" s="557"/>
      <c r="D26" s="557"/>
      <c r="E26" s="557"/>
      <c r="F26" s="557"/>
      <c r="G26" s="557"/>
      <c r="H26" s="557"/>
      <c r="I26" s="557"/>
      <c r="J26" s="557"/>
      <c r="K26" s="557"/>
      <c r="L26" s="557"/>
      <c r="M26" s="557"/>
      <c r="N26" s="558"/>
    </row>
    <row r="27" spans="1:14" s="42" customFormat="1" ht="15.65" customHeight="1">
      <c r="A27" s="510"/>
      <c r="B27" s="512"/>
      <c r="C27" s="512"/>
      <c r="D27" s="512"/>
      <c r="E27" s="512"/>
      <c r="F27" s="512"/>
      <c r="G27" s="512"/>
      <c r="H27" s="512"/>
      <c r="I27" s="512"/>
      <c r="J27" s="512"/>
      <c r="K27" s="512"/>
      <c r="L27" s="512"/>
      <c r="M27" s="512"/>
      <c r="N27" s="511"/>
    </row>
    <row r="28" spans="1:14" s="42" customFormat="1" ht="17.899999999999999" customHeight="1">
      <c r="A28" s="567" t="s">
        <v>107</v>
      </c>
      <c r="B28" s="568"/>
      <c r="C28" s="568"/>
      <c r="D28" s="568"/>
      <c r="E28" s="568"/>
      <c r="F28" s="568"/>
      <c r="G28" s="568"/>
      <c r="H28" s="568"/>
      <c r="I28" s="568"/>
      <c r="J28" s="568"/>
      <c r="K28" s="568"/>
      <c r="L28" s="568"/>
      <c r="M28" s="568"/>
      <c r="N28" s="569"/>
    </row>
    <row r="29" spans="1:14" s="42" customFormat="1" ht="30" customHeight="1">
      <c r="A29" s="565" t="s">
        <v>108</v>
      </c>
      <c r="B29" s="566"/>
      <c r="C29" s="43" t="s">
        <v>109</v>
      </c>
      <c r="D29" s="565" t="s">
        <v>110</v>
      </c>
      <c r="E29" s="570"/>
      <c r="F29" s="566"/>
      <c r="G29" s="571" t="s">
        <v>111</v>
      </c>
      <c r="H29" s="572"/>
      <c r="I29" s="44" t="s">
        <v>112</v>
      </c>
      <c r="J29" s="565" t="s">
        <v>113</v>
      </c>
      <c r="K29" s="570"/>
      <c r="L29" s="566"/>
      <c r="M29" s="43" t="s">
        <v>114</v>
      </c>
      <c r="N29" s="43" t="s">
        <v>115</v>
      </c>
    </row>
    <row r="30" spans="1:14" s="42" customFormat="1" ht="16.5">
      <c r="A30" s="510"/>
      <c r="B30" s="511"/>
      <c r="C30" s="45"/>
      <c r="D30" s="510"/>
      <c r="E30" s="512"/>
      <c r="F30" s="511"/>
      <c r="G30" s="513"/>
      <c r="H30" s="511"/>
      <c r="I30" s="44"/>
      <c r="J30" s="514"/>
      <c r="K30" s="515"/>
      <c r="L30" s="516"/>
      <c r="M30" s="43"/>
      <c r="N30" s="43"/>
    </row>
    <row r="31" spans="1:14" s="42" customFormat="1" ht="15.65" customHeight="1">
      <c r="A31" s="510"/>
      <c r="B31" s="511"/>
      <c r="C31" s="45"/>
      <c r="D31" s="510"/>
      <c r="E31" s="512"/>
      <c r="F31" s="511"/>
      <c r="G31" s="513"/>
      <c r="H31" s="511"/>
      <c r="I31" s="46"/>
      <c r="J31" s="514"/>
      <c r="K31" s="515"/>
      <c r="L31" s="516"/>
      <c r="M31" s="47"/>
      <c r="N31" s="48"/>
    </row>
    <row r="32" spans="1:14" s="42" customFormat="1" ht="75.75" customHeight="1">
      <c r="A32" s="556" t="s">
        <v>116</v>
      </c>
      <c r="B32" s="557"/>
      <c r="C32" s="557"/>
      <c r="D32" s="557"/>
      <c r="E32" s="557"/>
      <c r="F32" s="557"/>
      <c r="G32" s="557"/>
      <c r="H32" s="557"/>
      <c r="I32" s="557"/>
      <c r="J32" s="557"/>
      <c r="K32" s="557"/>
      <c r="L32" s="557"/>
      <c r="M32" s="557"/>
      <c r="N32" s="558"/>
    </row>
    <row r="33" spans="1:15" s="42" customFormat="1" ht="31.4" customHeight="1">
      <c r="A33" s="559" t="s">
        <v>117</v>
      </c>
      <c r="B33" s="560"/>
      <c r="C33" s="560"/>
      <c r="D33" s="560"/>
      <c r="E33" s="560"/>
      <c r="F33" s="560"/>
      <c r="G33" s="560"/>
      <c r="H33" s="560"/>
      <c r="I33" s="560"/>
      <c r="J33" s="560"/>
      <c r="K33" s="560"/>
      <c r="L33" s="561"/>
      <c r="M33" s="565" t="s">
        <v>118</v>
      </c>
      <c r="N33" s="566"/>
    </row>
    <row r="34" spans="1:15" s="42" customFormat="1" ht="31.4" customHeight="1">
      <c r="A34" s="562"/>
      <c r="B34" s="563"/>
      <c r="C34" s="563"/>
      <c r="D34" s="563"/>
      <c r="E34" s="563"/>
      <c r="F34" s="563"/>
      <c r="G34" s="563"/>
      <c r="H34" s="563"/>
      <c r="I34" s="563"/>
      <c r="J34" s="563"/>
      <c r="K34" s="563"/>
      <c r="L34" s="564"/>
      <c r="M34" s="565" t="s">
        <v>119</v>
      </c>
      <c r="N34" s="566"/>
    </row>
    <row r="35" spans="1:15" s="42" customFormat="1" ht="31.4" customHeight="1">
      <c r="A35" s="559" t="s">
        <v>120</v>
      </c>
      <c r="B35" s="560"/>
      <c r="C35" s="560"/>
      <c r="D35" s="560"/>
      <c r="E35" s="560"/>
      <c r="F35" s="560"/>
      <c r="G35" s="560"/>
      <c r="H35" s="560"/>
      <c r="I35" s="560"/>
      <c r="J35" s="560"/>
      <c r="K35" s="560"/>
      <c r="L35" s="561"/>
      <c r="M35" s="559" t="s">
        <v>121</v>
      </c>
      <c r="N35" s="561"/>
    </row>
    <row r="36" spans="1:15" s="42" customFormat="1" ht="31" customHeight="1">
      <c r="A36" s="562"/>
      <c r="B36" s="563"/>
      <c r="C36" s="563"/>
      <c r="D36" s="563"/>
      <c r="E36" s="563"/>
      <c r="F36" s="563"/>
      <c r="G36" s="563"/>
      <c r="H36" s="563"/>
      <c r="I36" s="563"/>
      <c r="J36" s="563"/>
      <c r="K36" s="563"/>
      <c r="L36" s="564"/>
      <c r="M36" s="562"/>
      <c r="N36" s="56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9"/>
      <c r="B39" s="509"/>
      <c r="C39" s="509"/>
      <c r="D39" s="509"/>
      <c r="E39" s="509"/>
      <c r="F39" s="509"/>
      <c r="G39" s="509"/>
      <c r="H39" s="509"/>
      <c r="I39" s="509"/>
      <c r="J39" s="509"/>
      <c r="K39" s="509"/>
      <c r="L39" s="509"/>
      <c r="M39" s="509"/>
      <c r="N39" s="509"/>
      <c r="O39" s="50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29</vt:i4>
      </vt:variant>
    </vt:vector>
  </HeadingPairs>
  <TitlesOfParts>
    <vt:vector size="68" baseType="lpstr">
      <vt:lpstr>June Salary &amp; Benefits </vt:lpstr>
      <vt:lpstr>Salaries &amp; Fringe Allocations</vt:lpstr>
      <vt:lpstr>Jul-2019</vt:lpstr>
      <vt:lpstr>Jul-2019 GL</vt:lpstr>
      <vt:lpstr>JULY FR</vt:lpstr>
      <vt:lpstr>Aug-2019</vt:lpstr>
      <vt:lpstr>Aug 2019 GL</vt:lpstr>
      <vt:lpstr>AUG-FR</vt:lpstr>
      <vt:lpstr>Sept-2019</vt:lpstr>
      <vt:lpstr>Sept-2019 GL</vt:lpstr>
      <vt:lpstr>Sept-FR</vt:lpstr>
      <vt:lpstr>Oct-2019</vt:lpstr>
      <vt:lpstr>Oct-2019 GL</vt:lpstr>
      <vt:lpstr>Oct-FR</vt:lpstr>
      <vt:lpstr>Nov-2019</vt:lpstr>
      <vt:lpstr>Nov-19 GL</vt:lpstr>
      <vt:lpstr>Nov-FR </vt:lpstr>
      <vt:lpstr>Dec-2019</vt:lpstr>
      <vt:lpstr>Dec-19 GL</vt:lpstr>
      <vt:lpstr>Dec-FR</vt:lpstr>
      <vt:lpstr>Jan-2020</vt:lpstr>
      <vt:lpstr>Jan 2020 PL</vt:lpstr>
      <vt:lpstr>Jan-FR</vt:lpstr>
      <vt:lpstr>Jan-2020 GL</vt:lpstr>
      <vt:lpstr>Feb-2020</vt:lpstr>
      <vt:lpstr>Feb-2020 PL</vt:lpstr>
      <vt:lpstr>Feb-FR</vt:lpstr>
      <vt:lpstr>Mar-2020</vt:lpstr>
      <vt:lpstr>Mar-2020 PL</vt:lpstr>
      <vt:lpstr>Mar-2020 Bills</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'Dec-19 GL'!Print_Area</vt:lpstr>
      <vt:lpstr>'Dec-2019'!Print_Area</vt:lpstr>
      <vt:lpstr>'Feb-2020'!Print_Area</vt:lpstr>
      <vt:lpstr>'Jan-2020'!Print_Area</vt:lpstr>
      <vt:lpstr>'Jan-2020 GL'!Print_Area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'Oct-2019'!Print_Area</vt:lpstr>
      <vt:lpstr>'Oct-2019 GL'!Print_Area</vt:lpstr>
      <vt:lpstr>'PY 19 Closeout'!Print_Area</vt:lpstr>
      <vt:lpstr>'Salaries &amp; Fringe Allocations'!Print_Area</vt:lpstr>
      <vt:lpstr>'Sept-2019'!Print_Area</vt:lpstr>
      <vt:lpstr>'Sept-2019 GL'!Print_Area</vt:lpstr>
      <vt:lpstr>'Aug 2019 GL'!Print_Titles</vt:lpstr>
      <vt:lpstr>'Dec-19 GL'!Print_Titles</vt:lpstr>
      <vt:lpstr>'Jan-2020 GL'!Print_Titles</vt:lpstr>
      <vt:lpstr>'Jul-2019 GL'!Print_Titles</vt:lpstr>
      <vt:lpstr>'Nov-19 GL'!Print_Titles</vt:lpstr>
      <vt:lpstr>'Oct-2019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2020-04-03T12:33:09Z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