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Payroll Allocation\"/>
    </mc:Choice>
  </mc:AlternateContent>
  <bookViews>
    <workbookView xWindow="0" yWindow="0" windowWidth="19200" windowHeight="7450" activeTab="1"/>
  </bookViews>
  <sheets>
    <sheet name="Test" sheetId="1" r:id="rId1"/>
    <sheet name="Jan 2020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2" l="1"/>
  <c r="F41" i="2"/>
  <c r="F4" i="2" l="1"/>
  <c r="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AE3" i="2"/>
  <c r="E4" i="2" l="1"/>
  <c r="F43" i="2" l="1"/>
  <c r="F42" i="2"/>
  <c r="F40" i="2"/>
  <c r="F39" i="2"/>
  <c r="F38" i="2"/>
  <c r="F37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43" i="2"/>
  <c r="E42" i="2"/>
  <c r="E40" i="2"/>
  <c r="E39" i="2"/>
  <c r="E38" i="2"/>
  <c r="E37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AM3" i="1" l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 l="1"/>
</calcChain>
</file>

<file path=xl/comments1.xml><?xml version="1.0" encoding="utf-8"?>
<comments xmlns="http://schemas.openxmlformats.org/spreadsheetml/2006/main">
  <authors>
    <author>tc={EBB3DFE0-AD9D-430F-84BD-B1D8AB510BC0}</author>
    <author>tc={8D23F2B0-D17F-4531-A62E-FA6C29A08F16}</author>
    <author>tc={443A2FDC-8545-4C74-BEF8-8D4C696192AB}</author>
    <author>tc={F12B14A6-3BDF-420D-BC92-77ADDE638CFE}</author>
  </authors>
  <commentList>
    <comment ref="V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71,200 Prog Coord Job Coach</t>
        </r>
      </text>
    </comment>
    <comment ref="Z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LW and Lindsey</t>
        </r>
      </text>
    </comment>
    <comment ref="AB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-KJ , PS, LW and May - Lindsey</t>
        </r>
      </text>
    </comment>
    <comment ref="AE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Salary Breakdown RH 
K Johnson</t>
        </r>
      </text>
    </comment>
  </commentList>
</comments>
</file>

<file path=xl/sharedStrings.xml><?xml version="1.0" encoding="utf-8"?>
<sst xmlns="http://schemas.openxmlformats.org/spreadsheetml/2006/main" count="617" uniqueCount="296">
  <si>
    <t>041 Social Enter  Thriftworks</t>
  </si>
  <si>
    <t>111 Abbott</t>
  </si>
  <si>
    <t>111B Wrap Fees</t>
  </si>
  <si>
    <t>111A Other</t>
  </si>
  <si>
    <t>111F Food Prog</t>
  </si>
  <si>
    <t>112 EHS/Toddler</t>
  </si>
  <si>
    <t>EHS 112 A Fees</t>
  </si>
  <si>
    <t>114 Summer Camp</t>
  </si>
  <si>
    <t>222 DCF Coding</t>
  </si>
  <si>
    <t>223 OICA June 30</t>
  </si>
  <si>
    <t>225 Americorp</t>
  </si>
  <si>
    <t>334 NRTC 18 40K</t>
  </si>
  <si>
    <t>335 NRTC 19 40K</t>
  </si>
  <si>
    <t>339 ULEC OC</t>
  </si>
  <si>
    <t>368 Wells Fargo 165K</t>
  </si>
  <si>
    <t>451 SENIORS / USJP</t>
  </si>
  <si>
    <t xml:space="preserve">452 PACE $211K </t>
  </si>
  <si>
    <t>460 Ihop Training $34k</t>
  </si>
  <si>
    <t xml:space="preserve">468 Nwk Alliance  $95K </t>
  </si>
  <si>
    <t>467 United Airlines 125K Business Dev</t>
  </si>
  <si>
    <t>502 ESG Housing $75 Salaries $18750</t>
  </si>
  <si>
    <t>454 Prudential #1 18-19 Workforce</t>
  </si>
  <si>
    <t>515 NUL -HUD 2018 PARS  $27.5k salaries</t>
  </si>
  <si>
    <t>525 CDBG -Irvington -Housing $19K</t>
  </si>
  <si>
    <t>560Capital 1  Save Up FOC $15K- $4k Salary KJ</t>
  </si>
  <si>
    <t xml:space="preserve">561 LISC FOC $50K </t>
  </si>
  <si>
    <t>567 Chase FOC Wksp 3K- Delete</t>
  </si>
  <si>
    <t>563 -Prudential #1 18-19 FOC</t>
  </si>
  <si>
    <t>600Admin</t>
  </si>
  <si>
    <t>610 CEO Victoria Fdn</t>
  </si>
  <si>
    <t>620 CFO</t>
  </si>
  <si>
    <t>630 COO</t>
  </si>
  <si>
    <t>640 Development</t>
  </si>
  <si>
    <t>650 Facilities</t>
  </si>
  <si>
    <t>001A002</t>
  </si>
  <si>
    <t>AIKEN-SANZONE, Charlene</t>
  </si>
  <si>
    <t>Americorp</t>
  </si>
  <si>
    <t>OICA</t>
  </si>
  <si>
    <t>111A009</t>
  </si>
  <si>
    <t>ALFORD, Sebrania R.</t>
  </si>
  <si>
    <t>Abbott</t>
  </si>
  <si>
    <t>111A01B</t>
  </si>
  <si>
    <t>ALMANZAR, Alberto</t>
  </si>
  <si>
    <t>USJP</t>
  </si>
  <si>
    <t>111A04N</t>
  </si>
  <si>
    <t>ANDREWS, Cora - Summer</t>
  </si>
  <si>
    <t>111A05S</t>
  </si>
  <si>
    <t>ANDREWS, Cora</t>
  </si>
  <si>
    <t>111A05V</t>
  </si>
  <si>
    <t>ANDREWS, Courtney A.</t>
  </si>
  <si>
    <t>111A06R</t>
  </si>
  <si>
    <t>Bizi, Raymond</t>
  </si>
  <si>
    <t>111A147</t>
  </si>
  <si>
    <t>BROWN,Denise- Wrap</t>
  </si>
  <si>
    <t>111B</t>
  </si>
  <si>
    <t>BROWN,Denise - Summer</t>
  </si>
  <si>
    <t>112A04E</t>
  </si>
  <si>
    <t>BRYANT, Roni- Summer</t>
  </si>
  <si>
    <t>222A05U</t>
  </si>
  <si>
    <t>BRYANT, Roni</t>
  </si>
  <si>
    <t>222A167</t>
  </si>
  <si>
    <t>BUTLER, Ciji</t>
  </si>
  <si>
    <t>223A012</t>
  </si>
  <si>
    <t>CAMPBELL, Nikiesha K.</t>
  </si>
  <si>
    <t>368A06P</t>
  </si>
  <si>
    <t>CASTELLANOS, Rita J.</t>
  </si>
  <si>
    <t>368A167</t>
  </si>
  <si>
    <t>CERNA, Irene</t>
  </si>
  <si>
    <t>451A04I</t>
  </si>
  <si>
    <t>COLEMAN, Zabrina J.</t>
  </si>
  <si>
    <t>EHS</t>
  </si>
  <si>
    <t>451A05X</t>
  </si>
  <si>
    <t>COOPER, Cassandra July</t>
  </si>
  <si>
    <t>FOC, ESG</t>
  </si>
  <si>
    <t>451A06N</t>
  </si>
  <si>
    <t>Counts, Monique Lamae</t>
  </si>
  <si>
    <t>467A016</t>
  </si>
  <si>
    <t>DANCE-WILSON, Heather</t>
  </si>
  <si>
    <t>467A06K</t>
  </si>
  <si>
    <t>DANIELS-CRAFTON, Glenda</t>
  </si>
  <si>
    <t>467A06M</t>
  </si>
  <si>
    <t>ELLIS, Joseph</t>
  </si>
  <si>
    <t>502A06J</t>
  </si>
  <si>
    <t>EHS/ Toddlers</t>
  </si>
  <si>
    <t>610A015</t>
  </si>
  <si>
    <t>FRANCOIS, Darlene</t>
  </si>
  <si>
    <t>620A05U</t>
  </si>
  <si>
    <t>FRASER, Vivian Cox</t>
  </si>
  <si>
    <t>Admin</t>
  </si>
  <si>
    <t xml:space="preserve">FRAZIER, Alice </t>
  </si>
  <si>
    <t>Workforce</t>
  </si>
  <si>
    <t>Freeman, Jibri</t>
  </si>
  <si>
    <t>GARRETT, Dorian S.</t>
  </si>
  <si>
    <t>GARRETT, Shakia</t>
  </si>
  <si>
    <t>GBAMOKOLLIE, Molly</t>
  </si>
  <si>
    <t>Facilities</t>
  </si>
  <si>
    <t xml:space="preserve">GREEN, Yolanda - </t>
  </si>
  <si>
    <t>GREEN, Yolanda - Toddlers</t>
  </si>
  <si>
    <t>HAMILTON, Marchetta</t>
  </si>
  <si>
    <t>HERBERT, Marina R.</t>
  </si>
  <si>
    <t>HIGGINS, Rosa M. April</t>
  </si>
  <si>
    <t>FOC</t>
  </si>
  <si>
    <t>HIGGINS, Rosa M. May 1</t>
  </si>
  <si>
    <t>HIGGINS, Rosa M. July</t>
  </si>
  <si>
    <t>LISC, CDBG irvington</t>
  </si>
  <si>
    <t>HILL, Katina</t>
  </si>
  <si>
    <t>HILL, Nyjira</t>
  </si>
  <si>
    <t>HILL, Wynora - Summer</t>
  </si>
  <si>
    <t>HILL, Wynora</t>
  </si>
  <si>
    <t>HOLLINS, QUINTELLA</t>
  </si>
  <si>
    <t xml:space="preserve">HOWARD, Cheryl </t>
  </si>
  <si>
    <t>NRTC</t>
  </si>
  <si>
    <t>HOWARD, Cheryl - July</t>
  </si>
  <si>
    <t>HOWARD, Walter</t>
  </si>
  <si>
    <t>Thriftworks</t>
  </si>
  <si>
    <t>JOHNSON, Kamilla R. April</t>
  </si>
  <si>
    <t>FOC, Housing, OICA</t>
  </si>
  <si>
    <t>JOHNSON, Kamilla R. May</t>
  </si>
  <si>
    <t>JOHNSON, Kamilla R. June</t>
  </si>
  <si>
    <t>LANE-MEGA, Lataeya - Replacemt</t>
  </si>
  <si>
    <t>LEWIS, Felicia M.</t>
  </si>
  <si>
    <t>LEWIS, Jaleeah C.</t>
  </si>
  <si>
    <t>LEWIS, Tavonna</t>
  </si>
  <si>
    <t>LOFTIN, NIQUITA</t>
  </si>
  <si>
    <t>MAJETTE, Juanita L.</t>
  </si>
  <si>
    <t>MARROW, Mary Elizabeth</t>
  </si>
  <si>
    <t>MARTINEZ, Joanna</t>
  </si>
  <si>
    <t>MARTINEZ, Joanna - August</t>
  </si>
  <si>
    <t>USJP, Finance</t>
  </si>
  <si>
    <t>MCMILLIAN, Daphne L.</t>
  </si>
  <si>
    <t>MCMILLIAN, Daphne L. - Summer</t>
  </si>
  <si>
    <t>MEGGETT, Bonita L.</t>
  </si>
  <si>
    <t>MORRIS, GWEN</t>
  </si>
  <si>
    <t>RAMBARAN, Sharaini J.</t>
  </si>
  <si>
    <t>RAMBARAN, Sharaini J. - Summer</t>
  </si>
  <si>
    <t>REED, Melissa</t>
  </si>
  <si>
    <t>Robinson, Chantee</t>
  </si>
  <si>
    <t>ROBBINS, Leonard</t>
  </si>
  <si>
    <t>Real Estate</t>
  </si>
  <si>
    <t>Rogers, Lakeshia</t>
  </si>
  <si>
    <t>SANTIAGO-RAMOS, Jose A.</t>
  </si>
  <si>
    <t>SERMON, Patricia April</t>
  </si>
  <si>
    <t>FOC, Housing, OICA, COO</t>
  </si>
  <si>
    <t>SERMON, Patricia May</t>
  </si>
  <si>
    <t>SERMON, Patricia June</t>
  </si>
  <si>
    <t>SERMON, Patricia July</t>
  </si>
  <si>
    <t>SERMON, Patricia August</t>
  </si>
  <si>
    <t>SESSOMS, Donna M.</t>
  </si>
  <si>
    <t>SHARIF, Darrin S. - April</t>
  </si>
  <si>
    <t>Admin, Coding, WF</t>
  </si>
  <si>
    <t>SHARIF, Darrin S. - July</t>
  </si>
  <si>
    <t>SIMMONS, Bertrilla R.</t>
  </si>
  <si>
    <t>STEWART, Robin D - Summer</t>
  </si>
  <si>
    <t>STEWART, Robin D</t>
  </si>
  <si>
    <t>TYLER, Patricia</t>
  </si>
  <si>
    <t>TYLER, Patricia - Summer</t>
  </si>
  <si>
    <t>WAH, Alexia</t>
  </si>
  <si>
    <t>WARD, Richard G. - April</t>
  </si>
  <si>
    <t>WARD, Richard G. -May</t>
  </si>
  <si>
    <t>WARD, Richard G. - August</t>
  </si>
  <si>
    <t>USJP, Finance, Coding, NRTC 19</t>
  </si>
  <si>
    <t xml:space="preserve">Wardwick, Lamar </t>
  </si>
  <si>
    <t>NRTC, Housing, PARS, ESG</t>
  </si>
  <si>
    <t>WILLIAMS, Kilaina</t>
  </si>
  <si>
    <t>WOODRIDGE, Rosalind</t>
  </si>
  <si>
    <t>WOODRIDGE, Rosalind - Summer</t>
  </si>
  <si>
    <t>WILJEAMPS, St Louis</t>
  </si>
  <si>
    <t>Wint, Renee</t>
  </si>
  <si>
    <t>Janvier, Jhonny</t>
  </si>
  <si>
    <t>Janvier, Jhonny - Summer</t>
  </si>
  <si>
    <t>Summer</t>
  </si>
  <si>
    <t>Bennett, Patricia A.</t>
  </si>
  <si>
    <t>Majors. Abarr</t>
  </si>
  <si>
    <t>Brinson, Royshonda</t>
  </si>
  <si>
    <t>Lindsey, Victoria - May</t>
  </si>
  <si>
    <t>Lindsey, Victoria - June</t>
  </si>
  <si>
    <t>Lindsey, Victoria - July</t>
  </si>
  <si>
    <t>Williams, Kyneisha - Career Coach</t>
  </si>
  <si>
    <t>United Airlines, PACE Dec 1</t>
  </si>
  <si>
    <t>Thorpe, Melissa</t>
  </si>
  <si>
    <t>United Airlines</t>
  </si>
  <si>
    <t>Howard, Theresa</t>
  </si>
  <si>
    <t>Leake, Rahmel</t>
  </si>
  <si>
    <t>Vann Holland</t>
  </si>
  <si>
    <t>OICA, PACE</t>
  </si>
  <si>
    <t>McDaniels, Curtis</t>
  </si>
  <si>
    <t>Neigh Revit</t>
  </si>
  <si>
    <t>Love, Charles</t>
  </si>
  <si>
    <t>PACE</t>
  </si>
  <si>
    <t>Johnson, Amanda</t>
  </si>
  <si>
    <t>Mitchell, Felicia</t>
  </si>
  <si>
    <t>Jan - Dec</t>
  </si>
  <si>
    <t>Payroll Id</t>
  </si>
  <si>
    <t>Name</t>
  </si>
  <si>
    <t>Comment</t>
  </si>
  <si>
    <t>Proof\class</t>
  </si>
  <si>
    <t>Donor</t>
  </si>
  <si>
    <t>Thrift</t>
  </si>
  <si>
    <t>ULEC Payroll Allocation</t>
  </si>
  <si>
    <t>Total</t>
  </si>
  <si>
    <t>oin</t>
  </si>
  <si>
    <t>Account Group</t>
  </si>
  <si>
    <t>Staff</t>
  </si>
  <si>
    <t>NJ</t>
  </si>
  <si>
    <t xml:space="preserve">FITZPATRICK, Cynthia E. </t>
  </si>
  <si>
    <t>Private Pay</t>
  </si>
  <si>
    <t>NUL</t>
  </si>
  <si>
    <t>Prudential</t>
  </si>
  <si>
    <t>City of Newark</t>
  </si>
  <si>
    <t>City of Irvington</t>
  </si>
  <si>
    <t>Capital One</t>
  </si>
  <si>
    <t>Victoria Foundation</t>
  </si>
  <si>
    <t>Wrap</t>
  </si>
  <si>
    <t>Abbott, Admin</t>
  </si>
  <si>
    <t>Bishop-Shakoor, Ayesha</t>
  </si>
  <si>
    <t>Guerra, Karime</t>
  </si>
  <si>
    <t>Housing</t>
  </si>
  <si>
    <t>Robbins, Leonard</t>
  </si>
  <si>
    <t>Opportunity Corp</t>
  </si>
  <si>
    <t>United Airlines, PACE June 30</t>
  </si>
  <si>
    <t>Proof \ Class</t>
  </si>
  <si>
    <t>Count</t>
  </si>
  <si>
    <t>ANDREWS, CORA</t>
  </si>
  <si>
    <t>001A017</t>
  </si>
  <si>
    <t>GREEN, YOLANDA</t>
  </si>
  <si>
    <t>650A06G</t>
  </si>
  <si>
    <t>BENNETT, PATRICIA A</t>
  </si>
  <si>
    <t>BROWN, DENYSE</t>
  </si>
  <si>
    <t>BRYANT, RONI</t>
  </si>
  <si>
    <t>CERNA, IRENE</t>
  </si>
  <si>
    <t>COOPER, CASSANDRA</t>
  </si>
  <si>
    <t>DANCE-WILSON, HEATHER</t>
  </si>
  <si>
    <t>FITZPATRICK, CYNTHIA ELAINE</t>
  </si>
  <si>
    <t>FRASER, VIVIAN COX</t>
  </si>
  <si>
    <t>FRAZIER, ALICE</t>
  </si>
  <si>
    <t>560</t>
  </si>
  <si>
    <t>HIGGINS, ROSA M.</t>
  </si>
  <si>
    <t>HOLLINS, QUINTELLA D</t>
  </si>
  <si>
    <t>HOWARD, THERESA M</t>
  </si>
  <si>
    <t>111A06F</t>
  </si>
  <si>
    <t>JANVIER, JHONNY</t>
  </si>
  <si>
    <t>LEAKE, RAHMEL</t>
  </si>
  <si>
    <t>LINDSEY, VICTORIA A</t>
  </si>
  <si>
    <t>451A04T</t>
  </si>
  <si>
    <t>JOHNSON, ARMANDA</t>
  </si>
  <si>
    <t>111A06Q</t>
  </si>
  <si>
    <t>467A06O</t>
  </si>
  <si>
    <t>LOVE, CHARLES F</t>
  </si>
  <si>
    <t>MCDANIEL, CURTIS J</t>
  </si>
  <si>
    <t>MORRIS, GWENDOLYN J</t>
  </si>
  <si>
    <t>630</t>
  </si>
  <si>
    <t>SERMON, PATRICIA</t>
  </si>
  <si>
    <t>SHARIF, DARRIN S</t>
  </si>
  <si>
    <t>SIMMONS, BERTRILLA RENEE</t>
  </si>
  <si>
    <t>STEWART, ROBIN D</t>
  </si>
  <si>
    <t>TYLER, PATRICIA</t>
  </si>
  <si>
    <t>WARD, RICHARD G</t>
  </si>
  <si>
    <t>WILLIAMS, KYNEISHA</t>
  </si>
  <si>
    <t>WOODRIDGE, ROSALIND</t>
  </si>
  <si>
    <t>???</t>
  </si>
  <si>
    <t>111A Abbott Other</t>
  </si>
  <si>
    <t>112.1 Toddlers</t>
  </si>
  <si>
    <t>451 USJP Program</t>
  </si>
  <si>
    <t>454 Pru - Workforce</t>
  </si>
  <si>
    <t>467 WorkForceUA</t>
  </si>
  <si>
    <t>111B Abbott Fees</t>
  </si>
  <si>
    <t>452 PACE</t>
  </si>
  <si>
    <t>502 ESG Housing Asst Program</t>
  </si>
  <si>
    <t>525 CDBG - Housing</t>
  </si>
  <si>
    <t>515 NUL HUD PARS</t>
  </si>
  <si>
    <t>560 Capital 1 SaveUp</t>
  </si>
  <si>
    <t>562 LISC FOC 2020</t>
  </si>
  <si>
    <t>563 Pru - FOC</t>
  </si>
  <si>
    <t>341 NRTC 2020</t>
  </si>
  <si>
    <t>220 Coding</t>
  </si>
  <si>
    <t>368 WF Neigh Revit</t>
  </si>
  <si>
    <t>610 CEO</t>
  </si>
  <si>
    <t>700 Fundraising</t>
  </si>
  <si>
    <t>339 ULEC Opport Corp</t>
  </si>
  <si>
    <t>Newark Public Schools (Abbott)</t>
  </si>
  <si>
    <t>United Airlines, Inc.</t>
  </si>
  <si>
    <t>State of NJ -PACE</t>
  </si>
  <si>
    <t>LISC-HUD FOC</t>
  </si>
  <si>
    <t>Wells Fargo Regional Foundation</t>
  </si>
  <si>
    <t>111</t>
  </si>
  <si>
    <t>State of New Jersey NRTC</t>
  </si>
  <si>
    <t>NRTC 2018</t>
  </si>
  <si>
    <t>334F NRTC 2018 Grant</t>
  </si>
  <si>
    <t>334F FOC</t>
  </si>
  <si>
    <t>State of NJ 2018</t>
  </si>
  <si>
    <t>339 Opportunity Corp</t>
  </si>
  <si>
    <t>State of New Jersey NRTC 19</t>
  </si>
  <si>
    <t>DCA-Coding Program</t>
  </si>
  <si>
    <t>111A06U</t>
  </si>
  <si>
    <t>502A06T</t>
  </si>
  <si>
    <t>620A03Z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</si>
</sst>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164" fontId="5" fillId="0" borderId="0" xfId="1" applyNumberFormat="1" applyFont="1" applyFill="1" applyBorder="1" applyAlignment="1">
      <alignment horizontal="left" vertical="top"/>
    </xf>
    <xf numFmtId="0" fontId="3" fillId="9" borderId="0" xfId="0" applyFont="1" applyFill="1" applyBorder="1" applyAlignment="1">
      <alignment horizontal="left" vertical="top"/>
    </xf>
    <xf numFmtId="0" fontId="6" fillId="9" borderId="0" xfId="0" applyFont="1" applyFill="1" applyBorder="1" applyAlignment="1">
      <alignment horizontal="left" vertical="top"/>
    </xf>
    <xf numFmtId="17" fontId="3" fillId="9" borderId="0" xfId="0" applyNumberFormat="1" applyFont="1" applyFill="1" applyBorder="1" applyAlignment="1">
      <alignment horizontal="left" vertical="top"/>
    </xf>
    <xf numFmtId="164" fontId="4" fillId="2" borderId="0" xfId="1" applyNumberFormat="1" applyFont="1" applyFill="1" applyBorder="1" applyAlignment="1">
      <alignment horizontal="left" vertical="top" wrapText="1"/>
    </xf>
    <xf numFmtId="164" fontId="4" fillId="3" borderId="0" xfId="1" applyNumberFormat="1" applyFont="1" applyFill="1" applyBorder="1" applyAlignment="1">
      <alignment horizontal="left" vertical="top" wrapText="1"/>
    </xf>
    <xf numFmtId="164" fontId="4" fillId="4" borderId="0" xfId="1" applyNumberFormat="1" applyFont="1" applyFill="1" applyBorder="1" applyAlignment="1">
      <alignment horizontal="left" vertical="top" wrapText="1"/>
    </xf>
    <xf numFmtId="164" fontId="4" fillId="5" borderId="0" xfId="1" applyNumberFormat="1" applyFont="1" applyFill="1" applyBorder="1" applyAlignment="1">
      <alignment horizontal="left" vertical="top" wrapText="1"/>
    </xf>
    <xf numFmtId="164" fontId="4" fillId="6" borderId="0" xfId="1" applyNumberFormat="1" applyFont="1" applyFill="1" applyBorder="1" applyAlignment="1">
      <alignment horizontal="left" vertical="top" wrapText="1"/>
    </xf>
    <xf numFmtId="164" fontId="4" fillId="7" borderId="0" xfId="1" applyNumberFormat="1" applyFont="1" applyFill="1" applyBorder="1" applyAlignment="1">
      <alignment horizontal="left" vertical="top" wrapText="1"/>
    </xf>
    <xf numFmtId="43" fontId="4" fillId="8" borderId="0" xfId="1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3" fontId="4" fillId="0" borderId="0" xfId="1" applyFont="1" applyBorder="1" applyAlignment="1">
      <alignment horizontal="left" vertical="top"/>
    </xf>
    <xf numFmtId="43" fontId="3" fillId="0" borderId="0" xfId="1" applyFont="1" applyBorder="1" applyAlignment="1">
      <alignment horizontal="left" vertical="top"/>
    </xf>
    <xf numFmtId="164" fontId="5" fillId="0" borderId="0" xfId="2" applyNumberFormat="1" applyFont="1" applyFill="1" applyBorder="1" applyAlignment="1">
      <alignment horizontal="left" vertical="top"/>
    </xf>
    <xf numFmtId="43" fontId="1" fillId="0" borderId="0" xfId="1" applyFont="1" applyBorder="1" applyAlignment="1">
      <alignment horizontal="left" vertical="top"/>
    </xf>
    <xf numFmtId="43" fontId="5" fillId="0" borderId="0" xfId="1" applyFont="1" applyFill="1" applyBorder="1" applyAlignment="1">
      <alignment horizontal="left" vertical="top"/>
    </xf>
    <xf numFmtId="1" fontId="1" fillId="0" borderId="0" xfId="1" applyNumberFormat="1" applyFont="1" applyBorder="1" applyAlignment="1">
      <alignment horizontal="left" vertical="top"/>
    </xf>
    <xf numFmtId="49" fontId="5" fillId="0" borderId="0" xfId="1" applyNumberFormat="1" applyFont="1" applyFill="1" applyBorder="1" applyAlignment="1">
      <alignment horizontal="left" vertical="top"/>
    </xf>
    <xf numFmtId="43" fontId="1" fillId="0" borderId="0" xfId="1" applyFont="1" applyFill="1" applyBorder="1" applyAlignment="1">
      <alignment horizontal="left" vertical="top"/>
    </xf>
    <xf numFmtId="43" fontId="2" fillId="0" borderId="0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65" fontId="0" fillId="0" borderId="0" xfId="0" applyNumberFormat="1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quotePrefix="1" applyFont="1" applyFill="1" applyBorder="1" applyAlignment="1">
      <alignment horizontal="left" vertical="top"/>
    </xf>
    <xf numFmtId="1" fontId="1" fillId="0" borderId="0" xfId="1" applyNumberFormat="1" applyFont="1" applyFill="1" applyBorder="1" applyAlignment="1">
      <alignment horizontal="left" vertical="top"/>
    </xf>
    <xf numFmtId="1" fontId="3" fillId="9" borderId="2" xfId="1" applyNumberFormat="1" applyFont="1" applyFill="1" applyBorder="1" applyAlignment="1">
      <alignment horizontal="left"/>
    </xf>
    <xf numFmtId="43" fontId="4" fillId="9" borderId="2" xfId="1" applyFont="1" applyFill="1" applyBorder="1" applyAlignment="1">
      <alignment horizontal="left"/>
    </xf>
    <xf numFmtId="164" fontId="4" fillId="9" borderId="2" xfId="1" applyNumberFormat="1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left" vertical="top" wrapText="1"/>
    </xf>
    <xf numFmtId="164" fontId="4" fillId="3" borderId="2" xfId="1" applyNumberFormat="1" applyFont="1" applyFill="1" applyBorder="1" applyAlignment="1">
      <alignment horizontal="left" vertical="top" wrapText="1"/>
    </xf>
    <xf numFmtId="164" fontId="4" fillId="4" borderId="2" xfId="1" applyNumberFormat="1" applyFont="1" applyFill="1" applyBorder="1" applyAlignment="1">
      <alignment horizontal="left" vertical="top" wrapText="1"/>
    </xf>
    <xf numFmtId="164" fontId="4" fillId="5" borderId="2" xfId="1" applyNumberFormat="1" applyFont="1" applyFill="1" applyBorder="1" applyAlignment="1">
      <alignment horizontal="left" vertical="top" wrapText="1"/>
    </xf>
    <xf numFmtId="164" fontId="4" fillId="6" borderId="2" xfId="1" applyNumberFormat="1" applyFont="1" applyFill="1" applyBorder="1" applyAlignment="1">
      <alignment horizontal="left" vertical="top" wrapText="1"/>
    </xf>
    <xf numFmtId="164" fontId="4" fillId="7" borderId="2" xfId="1" applyNumberFormat="1" applyFont="1" applyFill="1" applyBorder="1" applyAlignment="1">
      <alignment horizontal="left" vertical="top" wrapText="1"/>
    </xf>
    <xf numFmtId="43" fontId="4" fillId="8" borderId="2" xfId="1" applyFont="1" applyFill="1" applyBorder="1" applyAlignment="1">
      <alignment horizontal="left" vertical="top"/>
    </xf>
    <xf numFmtId="165" fontId="3" fillId="9" borderId="1" xfId="0" applyNumberFormat="1" applyFont="1" applyFill="1" applyBorder="1" applyAlignment="1">
      <alignment horizontal="left" vertical="top"/>
    </xf>
    <xf numFmtId="165" fontId="4" fillId="9" borderId="3" xfId="1" applyNumberFormat="1" applyFont="1" applyFill="1" applyBorder="1" applyAlignment="1">
      <alignment horizontal="left" vertical="top"/>
    </xf>
    <xf numFmtId="1" fontId="3" fillId="3" borderId="2" xfId="1" applyNumberFormat="1" applyFont="1" applyFill="1" applyBorder="1" applyAlignment="1">
      <alignment horizontal="left"/>
    </xf>
    <xf numFmtId="43" fontId="4" fillId="3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10" fontId="1" fillId="0" borderId="1" xfId="1" applyNumberFormat="1" applyFont="1" applyFill="1" applyBorder="1" applyAlignment="1">
      <alignment horizontal="left" vertical="top"/>
    </xf>
    <xf numFmtId="10" fontId="5" fillId="0" borderId="0" xfId="1" applyNumberFormat="1" applyFont="1" applyFill="1" applyBorder="1" applyAlignment="1">
      <alignment horizontal="left" vertical="top"/>
    </xf>
    <xf numFmtId="10" fontId="1" fillId="0" borderId="0" xfId="1" applyNumberFormat="1" applyFont="1" applyFill="1" applyBorder="1" applyAlignment="1">
      <alignment horizontal="left" vertical="top"/>
    </xf>
    <xf numFmtId="10" fontId="2" fillId="0" borderId="0" xfId="1" applyNumberFormat="1" applyFont="1" applyFill="1" applyBorder="1" applyAlignment="1">
      <alignment horizontal="left" vertical="top"/>
    </xf>
    <xf numFmtId="2" fontId="4" fillId="3" borderId="3" xfId="1" applyNumberFormat="1" applyFont="1" applyFill="1" applyBorder="1" applyAlignment="1">
      <alignment horizontal="left" vertical="top"/>
    </xf>
    <xf numFmtId="2" fontId="4" fillId="3" borderId="2" xfId="1" applyNumberFormat="1" applyFont="1" applyFill="1" applyBorder="1" applyAlignment="1">
      <alignment horizontal="left" vertical="top" wrapText="1"/>
    </xf>
    <xf numFmtId="2" fontId="4" fillId="3" borderId="2" xfId="1" applyNumberFormat="1" applyFont="1" applyFill="1" applyBorder="1" applyAlignment="1">
      <alignment horizontal="left" vertical="top"/>
    </xf>
    <xf numFmtId="43" fontId="0" fillId="0" borderId="0" xfId="1" applyFont="1"/>
    <xf numFmtId="164" fontId="0" fillId="0" borderId="0" xfId="1" applyNumberFormat="1" applyFont="1"/>
    <xf numFmtId="0" fontId="0" fillId="0" borderId="0" xfId="0" applyFont="1"/>
    <xf numFmtId="1" fontId="0" fillId="0" borderId="0" xfId="1" applyNumberFormat="1" applyFont="1"/>
    <xf numFmtId="10" fontId="0" fillId="0" borderId="1" xfId="1" applyNumberFormat="1" applyFont="1" applyFill="1" applyBorder="1" applyAlignment="1">
      <alignment horizontal="left" vertical="top"/>
    </xf>
    <xf numFmtId="43" fontId="0" fillId="0" borderId="0" xfId="0" applyNumberFormat="1" applyFont="1"/>
    <xf numFmtId="43" fontId="0" fillId="12" borderId="0" xfId="1" applyFont="1" applyFill="1"/>
    <xf numFmtId="43" fontId="0" fillId="8" borderId="0" xfId="1" applyFont="1" applyFill="1"/>
    <xf numFmtId="43" fontId="0" fillId="4" borderId="0" xfId="1" applyFont="1" applyFill="1"/>
    <xf numFmtId="43" fontId="0" fillId="13" borderId="0" xfId="1" applyFont="1" applyFill="1"/>
    <xf numFmtId="43" fontId="0" fillId="5" borderId="0" xfId="1" applyFont="1" applyFill="1"/>
    <xf numFmtId="43" fontId="0" fillId="10" borderId="0" xfId="1" applyFont="1" applyFill="1"/>
    <xf numFmtId="43" fontId="0" fillId="0" borderId="0" xfId="1" applyFont="1" applyFill="1"/>
    <xf numFmtId="43" fontId="0" fillId="2" borderId="0" xfId="1" applyFont="1" applyFill="1"/>
    <xf numFmtId="164" fontId="0" fillId="0" borderId="0" xfId="1" applyNumberFormat="1" applyFont="1" applyFill="1"/>
    <xf numFmtId="0" fontId="0" fillId="9" borderId="0" xfId="0" applyFont="1" applyFill="1" applyBorder="1" applyAlignment="1">
      <alignment horizontal="left" vertical="top"/>
    </xf>
    <xf numFmtId="17" fontId="0" fillId="9" borderId="0" xfId="0" applyNumberFormat="1" applyFont="1" applyFill="1" applyBorder="1" applyAlignment="1">
      <alignment horizontal="left" vertical="top"/>
    </xf>
    <xf numFmtId="165" fontId="0" fillId="9" borderId="1" xfId="0" applyNumberFormat="1" applyFont="1" applyFill="1" applyBorder="1" applyAlignment="1">
      <alignment horizontal="left" vertical="top"/>
    </xf>
    <xf numFmtId="1" fontId="5" fillId="3" borderId="3" xfId="1" applyNumberFormat="1" applyFont="1" applyFill="1" applyBorder="1" applyAlignment="1">
      <alignment horizontal="left" vertical="top"/>
    </xf>
    <xf numFmtId="164" fontId="5" fillId="0" borderId="0" xfId="1" applyNumberFormat="1" applyFont="1" applyFill="1" applyAlignment="1">
      <alignment horizontal="left"/>
    </xf>
    <xf numFmtId="164" fontId="5" fillId="0" borderId="0" xfId="1" applyNumberFormat="1" applyFont="1" applyFill="1" applyBorder="1" applyAlignment="1">
      <alignment horizontal="left"/>
    </xf>
    <xf numFmtId="164" fontId="0" fillId="9" borderId="0" xfId="0" applyNumberFormat="1" applyFont="1" applyFill="1" applyBorder="1" applyAlignment="1">
      <alignment horizontal="left" vertical="top"/>
    </xf>
    <xf numFmtId="164" fontId="0" fillId="0" borderId="0" xfId="1" applyNumberFormat="1" applyFont="1" applyFill="1" applyBorder="1" applyAlignment="1">
      <alignment horizontal="left" vertical="top"/>
    </xf>
    <xf numFmtId="1" fontId="0" fillId="7" borderId="0" xfId="1" applyNumberFormat="1" applyFont="1" applyFill="1"/>
    <xf numFmtId="164" fontId="5" fillId="7" borderId="0" xfId="1" applyNumberFormat="1" applyFont="1" applyFill="1" applyAlignment="1">
      <alignment horizontal="left"/>
    </xf>
    <xf numFmtId="164" fontId="5" fillId="7" borderId="0" xfId="1" applyNumberFormat="1" applyFont="1" applyFill="1" applyBorder="1" applyAlignment="1">
      <alignment horizontal="left"/>
    </xf>
    <xf numFmtId="0" fontId="0" fillId="15" borderId="0" xfId="0" applyFont="1" applyFill="1"/>
    <xf numFmtId="164" fontId="5" fillId="15" borderId="0" xfId="1" applyNumberFormat="1" applyFont="1" applyFill="1" applyBorder="1" applyAlignment="1">
      <alignment horizontal="left"/>
    </xf>
    <xf numFmtId="164" fontId="5" fillId="15" borderId="0" xfId="1" applyNumberFormat="1" applyFont="1" applyFill="1" applyAlignment="1">
      <alignment horizontal="left"/>
    </xf>
    <xf numFmtId="0" fontId="5" fillId="0" borderId="0" xfId="0" applyFont="1" applyAlignment="1">
      <alignment horizontal="left" vertical="top" wrapText="1"/>
    </xf>
    <xf numFmtId="164" fontId="0" fillId="0" borderId="0" xfId="1" applyNumberFormat="1" applyFont="1" applyAlignment="1">
      <alignment horizontal="left" vertical="top" wrapText="1"/>
    </xf>
    <xf numFmtId="164" fontId="0" fillId="0" borderId="0" xfId="1" applyNumberFormat="1" applyFont="1" applyAlignment="1">
      <alignment vertical="top"/>
    </xf>
    <xf numFmtId="0" fontId="0" fillId="0" borderId="0" xfId="0" applyFont="1" applyAlignment="1">
      <alignment vertical="top"/>
    </xf>
    <xf numFmtId="1" fontId="0" fillId="9" borderId="2" xfId="1" applyNumberFormat="1" applyFont="1" applyFill="1" applyBorder="1" applyAlignment="1">
      <alignment horizontal="left" vertical="top"/>
    </xf>
    <xf numFmtId="43" fontId="5" fillId="9" borderId="2" xfId="1" applyFont="1" applyFill="1" applyBorder="1" applyAlignment="1">
      <alignment horizontal="left" vertical="top"/>
    </xf>
    <xf numFmtId="164" fontId="5" fillId="9" borderId="2" xfId="1" applyNumberFormat="1" applyFont="1" applyFill="1" applyBorder="1" applyAlignment="1">
      <alignment horizontal="left" vertical="top"/>
    </xf>
    <xf numFmtId="0" fontId="0" fillId="0" borderId="0" xfId="0" applyFont="1" applyAlignment="1">
      <alignment vertical="top" wrapText="1"/>
    </xf>
    <xf numFmtId="164" fontId="5" fillId="3" borderId="2" xfId="1" applyNumberFormat="1" applyFont="1" applyFill="1" applyBorder="1" applyAlignment="1">
      <alignment horizontal="left" vertical="top"/>
    </xf>
    <xf numFmtId="0" fontId="5" fillId="9" borderId="0" xfId="0" applyFont="1" applyFill="1" applyAlignment="1">
      <alignment horizontal="left" vertical="top" wrapText="1"/>
    </xf>
    <xf numFmtId="0" fontId="0" fillId="9" borderId="0" xfId="0" applyFont="1" applyFill="1" applyAlignment="1">
      <alignment vertical="top" wrapText="1"/>
    </xf>
    <xf numFmtId="0" fontId="5" fillId="12" borderId="0" xfId="0" applyFont="1" applyFill="1" applyAlignment="1">
      <alignment horizontal="left" vertical="top" wrapText="1"/>
    </xf>
    <xf numFmtId="0" fontId="0" fillId="12" borderId="0" xfId="0" applyFont="1" applyFill="1" applyAlignment="1">
      <alignment vertical="top" wrapText="1"/>
    </xf>
    <xf numFmtId="164" fontId="0" fillId="16" borderId="0" xfId="1" applyNumberFormat="1" applyFont="1" applyFill="1" applyAlignment="1">
      <alignment horizontal="left" vertical="top" wrapText="1"/>
    </xf>
    <xf numFmtId="0" fontId="0" fillId="16" borderId="0" xfId="0" applyFont="1" applyFill="1" applyAlignment="1">
      <alignment vertical="top" wrapText="1"/>
    </xf>
    <xf numFmtId="164" fontId="0" fillId="14" borderId="0" xfId="1" applyNumberFormat="1" applyFont="1" applyFill="1" applyAlignment="1">
      <alignment horizontal="left" vertical="top" wrapText="1"/>
    </xf>
    <xf numFmtId="0" fontId="5" fillId="14" borderId="0" xfId="0" applyFont="1" applyFill="1" applyAlignment="1">
      <alignment horizontal="left" vertical="top" wrapText="1"/>
    </xf>
    <xf numFmtId="0" fontId="0" fillId="14" borderId="0" xfId="0" applyFont="1" applyFill="1" applyAlignment="1">
      <alignment vertical="top" wrapText="1"/>
    </xf>
    <xf numFmtId="1" fontId="0" fillId="9" borderId="4" xfId="1" applyNumberFormat="1" applyFont="1" applyFill="1" applyBorder="1" applyAlignment="1">
      <alignment horizontal="left" vertical="top"/>
    </xf>
    <xf numFmtId="43" fontId="5" fillId="9" borderId="4" xfId="1" applyFont="1" applyFill="1" applyBorder="1" applyAlignment="1">
      <alignment horizontal="left" vertical="top"/>
    </xf>
    <xf numFmtId="164" fontId="5" fillId="9" borderId="4" xfId="1" applyNumberFormat="1" applyFont="1" applyFill="1" applyBorder="1" applyAlignment="1">
      <alignment horizontal="left" vertical="top"/>
    </xf>
    <xf numFmtId="165" fontId="5" fillId="9" borderId="5" xfId="1" applyNumberFormat="1" applyFont="1" applyFill="1" applyBorder="1" applyAlignment="1">
      <alignment horizontal="left" vertical="top"/>
    </xf>
    <xf numFmtId="164" fontId="5" fillId="9" borderId="5" xfId="1" applyNumberFormat="1" applyFont="1" applyFill="1" applyBorder="1" applyAlignment="1">
      <alignment horizontal="left" vertical="top"/>
    </xf>
    <xf numFmtId="43" fontId="0" fillId="11" borderId="6" xfId="1" applyFont="1" applyFill="1" applyBorder="1" applyAlignment="1">
      <alignment horizontal="left" vertical="top" wrapText="1"/>
    </xf>
    <xf numFmtId="43" fontId="0" fillId="14" borderId="2" xfId="1" applyFont="1" applyFill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0" xfId="0" quotePrefix="1" applyFont="1"/>
    <xf numFmtId="164" fontId="0" fillId="17" borderId="0" xfId="1" applyNumberFormat="1" applyFont="1" applyFill="1" applyAlignment="1">
      <alignment horizontal="left" vertical="top" wrapText="1"/>
    </xf>
    <xf numFmtId="0" fontId="0" fillId="17" borderId="0" xfId="0" applyFont="1" applyFill="1" applyAlignment="1">
      <alignment vertical="top" wrapText="1"/>
    </xf>
    <xf numFmtId="1" fontId="0" fillId="7" borderId="0" xfId="1" quotePrefix="1" applyNumberFormat="1" applyFont="1" applyFill="1"/>
  </cellXfs>
  <cellStyles count="3">
    <cellStyle name="Comma" xfId="1" builtinId="3"/>
    <cellStyle name="Comma 5" xfId="2"/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T111"/>
  <sheetViews>
    <sheetView workbookViewId="0">
      <pane xSplit="5" ySplit="3" topLeftCell="Q4" activePane="bottomRight" state="frozen"/>
      <selection pane="topRight" activeCell="E1" sqref="E1"/>
      <selection pane="bottomLeft" activeCell="A4" sqref="A4"/>
      <selection pane="bottomRight" activeCell="U2" sqref="U2"/>
    </sheetView>
  </sheetViews>
  <sheetFormatPr defaultColWidth="8.81640625" defaultRowHeight="14.5" x14ac:dyDescent="0.35"/>
  <cols>
    <col min="1" max="1" width="9.1796875" style="22" customWidth="1"/>
    <col min="2" max="2" width="34.7265625" style="24" customWidth="1"/>
    <col min="3" max="4" width="13.6328125" style="22" customWidth="1"/>
    <col min="5" max="5" width="10.54296875" style="23" customWidth="1"/>
    <col min="6" max="10" width="12" style="22" customWidth="1"/>
    <col min="11" max="11" width="15" style="22" customWidth="1"/>
    <col min="12" max="36" width="12" style="22" customWidth="1"/>
    <col min="37" max="39" width="8.81640625" style="22"/>
    <col min="40" max="40" width="4.7265625" style="22" customWidth="1"/>
    <col min="41" max="16384" width="8.81640625" style="22"/>
  </cols>
  <sheetData>
    <row r="1" spans="1:46" s="12" customFormat="1" ht="18.5" x14ac:dyDescent="0.35">
      <c r="A1" s="2"/>
      <c r="B1" s="3" t="s">
        <v>198</v>
      </c>
      <c r="C1" s="4">
        <v>43831</v>
      </c>
      <c r="D1" s="4"/>
      <c r="E1" s="37" t="s">
        <v>196</v>
      </c>
      <c r="F1" s="5" t="s">
        <v>197</v>
      </c>
      <c r="G1" s="6" t="s">
        <v>40</v>
      </c>
      <c r="H1" s="6" t="s">
        <v>40</v>
      </c>
      <c r="I1" s="6" t="s">
        <v>40</v>
      </c>
      <c r="J1" s="6" t="s">
        <v>40</v>
      </c>
      <c r="K1" s="6" t="s">
        <v>40</v>
      </c>
      <c r="L1" s="6" t="s">
        <v>40</v>
      </c>
      <c r="M1" s="6" t="s">
        <v>40</v>
      </c>
      <c r="N1" s="7" t="s">
        <v>200</v>
      </c>
      <c r="O1" s="7" t="s">
        <v>200</v>
      </c>
      <c r="P1" s="7" t="s">
        <v>200</v>
      </c>
      <c r="Q1" s="8" t="s">
        <v>203</v>
      </c>
      <c r="R1" s="8" t="s">
        <v>203</v>
      </c>
      <c r="S1" s="9"/>
      <c r="T1" s="8"/>
      <c r="U1" s="5"/>
      <c r="V1" s="5"/>
      <c r="W1" s="5"/>
      <c r="X1" s="5"/>
      <c r="Y1" s="5"/>
      <c r="Z1" s="10"/>
      <c r="AA1" s="10"/>
      <c r="AB1" s="10"/>
      <c r="AC1" s="10"/>
      <c r="AD1" s="7"/>
      <c r="AE1" s="7"/>
      <c r="AF1" s="7"/>
      <c r="AG1" s="7"/>
      <c r="AH1" s="6"/>
      <c r="AI1" s="11"/>
      <c r="AJ1" s="11"/>
      <c r="AK1" s="11"/>
      <c r="AL1" s="11"/>
      <c r="AM1" s="11"/>
    </row>
    <row r="2" spans="1:46" s="14" customFormat="1" ht="58" x14ac:dyDescent="0.35">
      <c r="A2" s="27" t="s">
        <v>192</v>
      </c>
      <c r="B2" s="28" t="s">
        <v>193</v>
      </c>
      <c r="C2" s="29" t="s">
        <v>194</v>
      </c>
      <c r="D2" s="29"/>
      <c r="E2" s="38" t="s">
        <v>195</v>
      </c>
      <c r="F2" s="30" t="s">
        <v>0</v>
      </c>
      <c r="G2" s="31" t="s">
        <v>1</v>
      </c>
      <c r="H2" s="31" t="s">
        <v>2</v>
      </c>
      <c r="I2" s="31" t="s">
        <v>3</v>
      </c>
      <c r="J2" s="31" t="s">
        <v>4</v>
      </c>
      <c r="K2" s="31" t="s">
        <v>5</v>
      </c>
      <c r="L2" s="31" t="s">
        <v>6</v>
      </c>
      <c r="M2" s="31" t="s">
        <v>7</v>
      </c>
      <c r="N2" s="32" t="s">
        <v>8</v>
      </c>
      <c r="O2" s="32" t="s">
        <v>9</v>
      </c>
      <c r="P2" s="32" t="s">
        <v>10</v>
      </c>
      <c r="Q2" s="33" t="s">
        <v>11</v>
      </c>
      <c r="R2" s="33" t="s">
        <v>12</v>
      </c>
      <c r="S2" s="34" t="s">
        <v>13</v>
      </c>
      <c r="T2" s="33" t="s">
        <v>14</v>
      </c>
      <c r="U2" s="30" t="s">
        <v>15</v>
      </c>
      <c r="V2" s="30" t="s">
        <v>16</v>
      </c>
      <c r="W2" s="30" t="s">
        <v>17</v>
      </c>
      <c r="X2" s="30" t="s">
        <v>18</v>
      </c>
      <c r="Y2" s="30" t="s">
        <v>19</v>
      </c>
      <c r="Z2" s="35" t="s">
        <v>20</v>
      </c>
      <c r="AA2" s="35" t="s">
        <v>21</v>
      </c>
      <c r="AB2" s="35" t="s">
        <v>22</v>
      </c>
      <c r="AC2" s="35" t="s">
        <v>23</v>
      </c>
      <c r="AD2" s="32" t="s">
        <v>24</v>
      </c>
      <c r="AE2" s="32" t="s">
        <v>25</v>
      </c>
      <c r="AF2" s="32" t="s">
        <v>26</v>
      </c>
      <c r="AG2" s="32" t="s">
        <v>27</v>
      </c>
      <c r="AH2" s="31" t="s">
        <v>28</v>
      </c>
      <c r="AI2" s="36" t="s">
        <v>29</v>
      </c>
      <c r="AJ2" s="36" t="s">
        <v>30</v>
      </c>
      <c r="AK2" s="36" t="s">
        <v>31</v>
      </c>
      <c r="AL2" s="36" t="s">
        <v>32</v>
      </c>
      <c r="AM2" s="36" t="s">
        <v>33</v>
      </c>
      <c r="AN2" s="13"/>
    </row>
    <row r="3" spans="1:46" s="14" customFormat="1" x14ac:dyDescent="0.35">
      <c r="A3" s="39"/>
      <c r="B3" s="40" t="s">
        <v>199</v>
      </c>
      <c r="C3" s="41"/>
      <c r="D3" s="41" t="s">
        <v>201</v>
      </c>
      <c r="E3" s="46">
        <f t="shared" ref="E3:AM3" si="0">SUM(E4:E125)</f>
        <v>107</v>
      </c>
      <c r="F3" s="47">
        <f t="shared" si="0"/>
        <v>2</v>
      </c>
      <c r="G3" s="47">
        <f t="shared" si="0"/>
        <v>17.3</v>
      </c>
      <c r="H3" s="47">
        <f t="shared" si="0"/>
        <v>2.5</v>
      </c>
      <c r="I3" s="47">
        <f t="shared" si="0"/>
        <v>0.43000000000000005</v>
      </c>
      <c r="J3" s="47">
        <f t="shared" si="0"/>
        <v>0.23</v>
      </c>
      <c r="K3" s="47">
        <f t="shared" si="0"/>
        <v>20.58</v>
      </c>
      <c r="L3" s="47">
        <f t="shared" si="0"/>
        <v>0</v>
      </c>
      <c r="M3" s="47">
        <f t="shared" si="0"/>
        <v>8.5</v>
      </c>
      <c r="N3" s="47">
        <f t="shared" si="0"/>
        <v>0.95</v>
      </c>
      <c r="O3" s="47">
        <f t="shared" si="0"/>
        <v>1.7</v>
      </c>
      <c r="P3" s="47">
        <f t="shared" si="0"/>
        <v>14</v>
      </c>
      <c r="Q3" s="47">
        <f t="shared" si="0"/>
        <v>4.08</v>
      </c>
      <c r="R3" s="47">
        <f t="shared" si="0"/>
        <v>0.30000000000000004</v>
      </c>
      <c r="S3" s="47">
        <f t="shared" si="0"/>
        <v>1.5</v>
      </c>
      <c r="T3" s="47">
        <f t="shared" si="0"/>
        <v>1.95</v>
      </c>
      <c r="U3" s="47">
        <f t="shared" si="0"/>
        <v>9.75</v>
      </c>
      <c r="V3" s="47">
        <f t="shared" si="0"/>
        <v>2</v>
      </c>
      <c r="W3" s="47">
        <f t="shared" si="0"/>
        <v>0</v>
      </c>
      <c r="X3" s="47">
        <f t="shared" si="0"/>
        <v>1</v>
      </c>
      <c r="Y3" s="47">
        <f t="shared" si="0"/>
        <v>3</v>
      </c>
      <c r="Z3" s="47">
        <f t="shared" si="0"/>
        <v>1.25</v>
      </c>
      <c r="AA3" s="47">
        <f t="shared" si="0"/>
        <v>0</v>
      </c>
      <c r="AB3" s="47">
        <f t="shared" si="0"/>
        <v>2.3000000000000003</v>
      </c>
      <c r="AC3" s="47">
        <f t="shared" si="0"/>
        <v>2.0500000000000003</v>
      </c>
      <c r="AD3" s="47">
        <f t="shared" si="0"/>
        <v>0.25</v>
      </c>
      <c r="AE3" s="47">
        <f t="shared" si="0"/>
        <v>2.9</v>
      </c>
      <c r="AF3" s="47">
        <f t="shared" si="0"/>
        <v>0</v>
      </c>
      <c r="AG3" s="47">
        <f t="shared" si="0"/>
        <v>1.5500000000000003</v>
      </c>
      <c r="AH3" s="47">
        <f t="shared" si="0"/>
        <v>0</v>
      </c>
      <c r="AI3" s="48">
        <f t="shared" si="0"/>
        <v>0.82</v>
      </c>
      <c r="AJ3" s="48">
        <f t="shared" si="0"/>
        <v>2.25</v>
      </c>
      <c r="AK3" s="48">
        <f t="shared" si="0"/>
        <v>0.4</v>
      </c>
      <c r="AL3" s="48">
        <f t="shared" si="0"/>
        <v>0</v>
      </c>
      <c r="AM3" s="48">
        <f t="shared" si="0"/>
        <v>1.46</v>
      </c>
      <c r="AN3" s="13"/>
    </row>
    <row r="4" spans="1:46" s="16" customFormat="1" x14ac:dyDescent="0.35">
      <c r="A4" s="25" t="s">
        <v>34</v>
      </c>
      <c r="B4" s="15" t="s">
        <v>35</v>
      </c>
      <c r="C4" s="19" t="s">
        <v>36</v>
      </c>
      <c r="D4" s="19" t="s">
        <v>202</v>
      </c>
      <c r="E4" s="42">
        <f>SUM(F4:BK4)</f>
        <v>1</v>
      </c>
      <c r="F4" s="43"/>
      <c r="G4" s="44"/>
      <c r="H4" s="44"/>
      <c r="I4" s="44"/>
      <c r="J4" s="43"/>
      <c r="K4" s="43"/>
      <c r="L4" s="43"/>
      <c r="M4" s="43"/>
      <c r="N4" s="43"/>
      <c r="O4" s="43"/>
      <c r="P4" s="43">
        <v>1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20"/>
      <c r="AO4" s="20"/>
      <c r="AP4" s="20"/>
      <c r="AQ4" s="20"/>
      <c r="AR4" s="20"/>
      <c r="AS4" s="20"/>
      <c r="AT4" s="20"/>
    </row>
    <row r="5" spans="1:46" s="16" customFormat="1" x14ac:dyDescent="0.35">
      <c r="A5" s="25" t="s">
        <v>38</v>
      </c>
      <c r="B5" s="15" t="s">
        <v>39</v>
      </c>
      <c r="C5" s="19" t="s">
        <v>40</v>
      </c>
      <c r="D5" s="19" t="s">
        <v>202</v>
      </c>
      <c r="E5" s="42">
        <f t="shared" ref="E5:E63" si="1">SUM(F5:BK5)</f>
        <v>1</v>
      </c>
      <c r="F5" s="43"/>
      <c r="G5" s="44">
        <v>0.65</v>
      </c>
      <c r="H5" s="44"/>
      <c r="I5" s="44"/>
      <c r="J5" s="43"/>
      <c r="K5" s="43">
        <v>0.35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20"/>
      <c r="AO5" s="20"/>
      <c r="AP5" s="20"/>
      <c r="AQ5" s="20"/>
      <c r="AR5" s="20"/>
      <c r="AS5" s="20"/>
      <c r="AT5" s="20"/>
    </row>
    <row r="6" spans="1:46" s="16" customFormat="1" x14ac:dyDescent="0.35">
      <c r="A6" s="25" t="s">
        <v>41</v>
      </c>
      <c r="B6" s="15" t="s">
        <v>42</v>
      </c>
      <c r="C6" s="19" t="s">
        <v>43</v>
      </c>
      <c r="D6" s="19" t="s">
        <v>202</v>
      </c>
      <c r="E6" s="42">
        <f t="shared" si="1"/>
        <v>1</v>
      </c>
      <c r="F6" s="43"/>
      <c r="G6" s="44"/>
      <c r="H6" s="44"/>
      <c r="I6" s="44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>
        <v>1</v>
      </c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20"/>
      <c r="AO6" s="20"/>
      <c r="AP6" s="20"/>
      <c r="AQ6" s="20"/>
      <c r="AR6" s="20"/>
      <c r="AS6" s="20"/>
      <c r="AT6" s="20"/>
    </row>
    <row r="7" spans="1:46" s="16" customFormat="1" x14ac:dyDescent="0.35">
      <c r="A7" s="25" t="s">
        <v>44</v>
      </c>
      <c r="B7" s="15" t="s">
        <v>45</v>
      </c>
      <c r="C7" s="19" t="s">
        <v>40</v>
      </c>
      <c r="D7" s="19" t="s">
        <v>202</v>
      </c>
      <c r="E7" s="42">
        <f t="shared" si="1"/>
        <v>1</v>
      </c>
      <c r="F7" s="43"/>
      <c r="G7" s="44">
        <v>0.5</v>
      </c>
      <c r="H7" s="44"/>
      <c r="I7" s="44"/>
      <c r="J7" s="43"/>
      <c r="K7" s="43"/>
      <c r="L7" s="43"/>
      <c r="M7" s="43">
        <v>0.5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20"/>
      <c r="AO7" s="20"/>
      <c r="AP7" s="20"/>
      <c r="AQ7" s="20"/>
      <c r="AR7" s="20"/>
      <c r="AS7" s="20"/>
      <c r="AT7" s="20"/>
    </row>
    <row r="8" spans="1:46" s="16" customFormat="1" x14ac:dyDescent="0.35">
      <c r="A8" s="25" t="s">
        <v>46</v>
      </c>
      <c r="B8" s="15" t="s">
        <v>47</v>
      </c>
      <c r="C8" s="19" t="s">
        <v>40</v>
      </c>
      <c r="D8" s="19" t="s">
        <v>202</v>
      </c>
      <c r="E8" s="42">
        <f t="shared" si="1"/>
        <v>1</v>
      </c>
      <c r="F8" s="43"/>
      <c r="G8" s="44">
        <v>0.77</v>
      </c>
      <c r="H8" s="44"/>
      <c r="I8" s="44"/>
      <c r="J8" s="43"/>
      <c r="K8" s="43">
        <v>0.23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20"/>
      <c r="AO8" s="20"/>
      <c r="AP8" s="20"/>
      <c r="AQ8" s="20"/>
      <c r="AR8" s="20"/>
      <c r="AS8" s="20"/>
      <c r="AT8" s="20"/>
    </row>
    <row r="9" spans="1:46" s="16" customFormat="1" x14ac:dyDescent="0.35">
      <c r="A9" s="25" t="s">
        <v>48</v>
      </c>
      <c r="B9" s="15" t="s">
        <v>49</v>
      </c>
      <c r="C9" s="19" t="s">
        <v>36</v>
      </c>
      <c r="D9" s="19" t="s">
        <v>202</v>
      </c>
      <c r="E9" s="42">
        <f t="shared" si="1"/>
        <v>1</v>
      </c>
      <c r="F9" s="43"/>
      <c r="G9" s="44"/>
      <c r="H9" s="44"/>
      <c r="I9" s="44"/>
      <c r="J9" s="43"/>
      <c r="K9" s="43"/>
      <c r="L9" s="43"/>
      <c r="M9" s="43"/>
      <c r="N9" s="43"/>
      <c r="O9" s="43"/>
      <c r="P9" s="43">
        <v>1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20"/>
      <c r="AO9" s="20"/>
      <c r="AP9" s="20"/>
      <c r="AQ9" s="20"/>
      <c r="AR9" s="20"/>
      <c r="AS9" s="20"/>
      <c r="AT9" s="20"/>
    </row>
    <row r="10" spans="1:46" s="16" customFormat="1" x14ac:dyDescent="0.35">
      <c r="A10" s="25" t="s">
        <v>50</v>
      </c>
      <c r="B10" s="15" t="s">
        <v>51</v>
      </c>
      <c r="C10" s="19" t="s">
        <v>36</v>
      </c>
      <c r="D10" s="19" t="s">
        <v>202</v>
      </c>
      <c r="E10" s="42">
        <f t="shared" si="1"/>
        <v>1</v>
      </c>
      <c r="F10" s="43"/>
      <c r="G10" s="44"/>
      <c r="H10" s="44"/>
      <c r="I10" s="44"/>
      <c r="J10" s="43"/>
      <c r="K10" s="43"/>
      <c r="L10" s="43"/>
      <c r="M10" s="43"/>
      <c r="N10" s="43"/>
      <c r="O10" s="43"/>
      <c r="P10" s="43">
        <v>1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21"/>
      <c r="AO10" s="20"/>
      <c r="AP10" s="20"/>
      <c r="AQ10" s="20"/>
      <c r="AR10" s="20"/>
      <c r="AS10" s="20"/>
      <c r="AT10" s="20"/>
    </row>
    <row r="11" spans="1:46" s="16" customFormat="1" x14ac:dyDescent="0.35">
      <c r="A11" s="25" t="s">
        <v>52</v>
      </c>
      <c r="B11" s="15" t="s">
        <v>53</v>
      </c>
      <c r="C11" s="19" t="s">
        <v>40</v>
      </c>
      <c r="D11" s="19" t="s">
        <v>202</v>
      </c>
      <c r="E11" s="42">
        <f t="shared" si="1"/>
        <v>1</v>
      </c>
      <c r="F11" s="43"/>
      <c r="G11" s="44">
        <v>0</v>
      </c>
      <c r="H11" s="44">
        <v>1</v>
      </c>
      <c r="I11" s="44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20"/>
      <c r="AO11" s="20"/>
      <c r="AP11" s="20"/>
      <c r="AQ11" s="20"/>
      <c r="AR11" s="20"/>
      <c r="AS11" s="20"/>
      <c r="AT11" s="20"/>
    </row>
    <row r="12" spans="1:46" s="16" customFormat="1" x14ac:dyDescent="0.35">
      <c r="A12" s="25" t="s">
        <v>54</v>
      </c>
      <c r="B12" s="15" t="s">
        <v>55</v>
      </c>
      <c r="C12" s="19" t="s">
        <v>40</v>
      </c>
      <c r="D12" s="19" t="s">
        <v>202</v>
      </c>
      <c r="E12" s="42">
        <f t="shared" si="1"/>
        <v>1</v>
      </c>
      <c r="F12" s="43"/>
      <c r="G12" s="44"/>
      <c r="H12" s="44"/>
      <c r="I12" s="44"/>
      <c r="J12" s="43"/>
      <c r="K12" s="43"/>
      <c r="L12" s="43"/>
      <c r="M12" s="43">
        <v>1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20"/>
      <c r="AO12" s="20"/>
      <c r="AP12" s="20"/>
      <c r="AQ12" s="20"/>
      <c r="AR12" s="20"/>
      <c r="AS12" s="20"/>
      <c r="AT12" s="20"/>
    </row>
    <row r="13" spans="1:46" s="16" customFormat="1" x14ac:dyDescent="0.35">
      <c r="A13" s="25" t="s">
        <v>56</v>
      </c>
      <c r="B13" s="17" t="s">
        <v>57</v>
      </c>
      <c r="C13" s="19" t="s">
        <v>40</v>
      </c>
      <c r="D13" s="19" t="s">
        <v>202</v>
      </c>
      <c r="E13" s="42">
        <f t="shared" si="1"/>
        <v>1</v>
      </c>
      <c r="F13" s="43"/>
      <c r="G13" s="44">
        <v>0</v>
      </c>
      <c r="H13" s="44"/>
      <c r="I13" s="44"/>
      <c r="J13" s="43"/>
      <c r="K13" s="43"/>
      <c r="L13" s="43"/>
      <c r="M13" s="43">
        <v>1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20"/>
      <c r="AO13" s="20"/>
      <c r="AP13" s="20"/>
      <c r="AQ13" s="20"/>
      <c r="AR13" s="20"/>
      <c r="AS13" s="20"/>
      <c r="AT13" s="20"/>
    </row>
    <row r="14" spans="1:46" s="16" customFormat="1" x14ac:dyDescent="0.35">
      <c r="A14" s="25" t="s">
        <v>58</v>
      </c>
      <c r="B14" s="17" t="s">
        <v>59</v>
      </c>
      <c r="C14" s="19" t="s">
        <v>40</v>
      </c>
      <c r="D14" s="19" t="s">
        <v>202</v>
      </c>
      <c r="E14" s="42">
        <f t="shared" si="1"/>
        <v>1</v>
      </c>
      <c r="F14" s="43"/>
      <c r="G14" s="44">
        <v>1</v>
      </c>
      <c r="H14" s="44"/>
      <c r="I14" s="44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20"/>
      <c r="AO14" s="20"/>
      <c r="AP14" s="20"/>
      <c r="AQ14" s="20"/>
      <c r="AR14" s="20"/>
      <c r="AS14" s="20"/>
      <c r="AT14" s="20"/>
    </row>
    <row r="15" spans="1:46" s="16" customFormat="1" x14ac:dyDescent="0.35">
      <c r="A15" s="25" t="s">
        <v>60</v>
      </c>
      <c r="B15" s="17" t="s">
        <v>61</v>
      </c>
      <c r="C15" s="19" t="s">
        <v>43</v>
      </c>
      <c r="D15" s="19" t="s">
        <v>202</v>
      </c>
      <c r="E15" s="42">
        <f t="shared" si="1"/>
        <v>1</v>
      </c>
      <c r="F15" s="43"/>
      <c r="G15" s="44"/>
      <c r="H15" s="44"/>
      <c r="I15" s="44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>
        <v>1</v>
      </c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20"/>
      <c r="AO15" s="20"/>
      <c r="AP15" s="20"/>
      <c r="AQ15" s="20"/>
      <c r="AR15" s="20"/>
      <c r="AS15" s="20"/>
      <c r="AT15" s="20"/>
    </row>
    <row r="16" spans="1:46" s="16" customFormat="1" x14ac:dyDescent="0.35">
      <c r="A16" s="25" t="s">
        <v>62</v>
      </c>
      <c r="B16" s="15" t="s">
        <v>63</v>
      </c>
      <c r="C16" s="19" t="s">
        <v>36</v>
      </c>
      <c r="D16" s="19" t="s">
        <v>202</v>
      </c>
      <c r="E16" s="42">
        <f t="shared" si="1"/>
        <v>1</v>
      </c>
      <c r="F16" s="43"/>
      <c r="G16" s="44"/>
      <c r="H16" s="44"/>
      <c r="I16" s="44"/>
      <c r="J16" s="43"/>
      <c r="K16" s="43"/>
      <c r="L16" s="43"/>
      <c r="M16" s="43"/>
      <c r="N16" s="43"/>
      <c r="O16" s="43"/>
      <c r="P16" s="43">
        <v>1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20"/>
      <c r="AO16" s="20"/>
      <c r="AP16" s="20"/>
      <c r="AQ16" s="20"/>
      <c r="AR16" s="20"/>
      <c r="AS16" s="20"/>
      <c r="AT16" s="20"/>
    </row>
    <row r="17" spans="1:46" s="16" customFormat="1" x14ac:dyDescent="0.35">
      <c r="A17" s="25" t="s">
        <v>64</v>
      </c>
      <c r="B17" s="15" t="s">
        <v>65</v>
      </c>
      <c r="C17" s="19" t="s">
        <v>40</v>
      </c>
      <c r="D17" s="19" t="s">
        <v>202</v>
      </c>
      <c r="E17" s="42">
        <f t="shared" si="1"/>
        <v>1</v>
      </c>
      <c r="F17" s="43"/>
      <c r="G17" s="44">
        <v>1</v>
      </c>
      <c r="H17" s="44"/>
      <c r="I17" s="44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20"/>
      <c r="AO17" s="20"/>
      <c r="AP17" s="20"/>
      <c r="AQ17" s="20"/>
      <c r="AR17" s="20"/>
      <c r="AS17" s="20"/>
      <c r="AT17" s="20"/>
    </row>
    <row r="18" spans="1:46" s="16" customFormat="1" x14ac:dyDescent="0.35">
      <c r="A18" s="25" t="s">
        <v>66</v>
      </c>
      <c r="B18" s="15" t="s">
        <v>67</v>
      </c>
      <c r="C18" s="19" t="s">
        <v>43</v>
      </c>
      <c r="D18" s="19" t="s">
        <v>202</v>
      </c>
      <c r="E18" s="42">
        <f t="shared" si="1"/>
        <v>1</v>
      </c>
      <c r="F18" s="43"/>
      <c r="G18" s="44"/>
      <c r="H18" s="44"/>
      <c r="I18" s="44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>
        <v>1</v>
      </c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20"/>
      <c r="AO18" s="20"/>
      <c r="AP18" s="20"/>
      <c r="AQ18" s="20"/>
      <c r="AR18" s="20"/>
      <c r="AS18" s="20"/>
      <c r="AT18" s="20"/>
    </row>
    <row r="19" spans="1:46" s="16" customFormat="1" x14ac:dyDescent="0.35">
      <c r="A19" s="25" t="s">
        <v>68</v>
      </c>
      <c r="B19" s="15" t="s">
        <v>69</v>
      </c>
      <c r="C19" s="19" t="s">
        <v>70</v>
      </c>
      <c r="D19" s="19" t="s">
        <v>202</v>
      </c>
      <c r="E19" s="42">
        <f t="shared" si="1"/>
        <v>1</v>
      </c>
      <c r="F19" s="43"/>
      <c r="G19" s="44"/>
      <c r="H19" s="44"/>
      <c r="I19" s="44"/>
      <c r="J19" s="43"/>
      <c r="K19" s="43">
        <v>1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20"/>
      <c r="AO19" s="20"/>
      <c r="AP19" s="20"/>
      <c r="AQ19" s="20"/>
      <c r="AR19" s="20"/>
      <c r="AS19" s="20"/>
      <c r="AT19" s="20"/>
    </row>
    <row r="20" spans="1:46" s="16" customFormat="1" x14ac:dyDescent="0.35">
      <c r="A20" s="25" t="s">
        <v>71</v>
      </c>
      <c r="B20" s="15" t="s">
        <v>72</v>
      </c>
      <c r="C20" s="19" t="s">
        <v>73</v>
      </c>
      <c r="D20" s="19" t="s">
        <v>202</v>
      </c>
      <c r="E20" s="42">
        <f t="shared" si="1"/>
        <v>1</v>
      </c>
      <c r="F20" s="43"/>
      <c r="G20" s="44"/>
      <c r="H20" s="44"/>
      <c r="I20" s="44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>
        <v>0.25</v>
      </c>
      <c r="AA20" s="43"/>
      <c r="AB20" s="43"/>
      <c r="AC20" s="43"/>
      <c r="AD20" s="43"/>
      <c r="AE20" s="43"/>
      <c r="AF20" s="43"/>
      <c r="AG20" s="43">
        <v>0.75</v>
      </c>
      <c r="AH20" s="43"/>
      <c r="AI20" s="43"/>
      <c r="AJ20" s="43"/>
      <c r="AK20" s="43"/>
      <c r="AL20" s="43"/>
      <c r="AM20" s="43"/>
      <c r="AN20" s="20"/>
      <c r="AO20" s="20"/>
      <c r="AP20" s="20"/>
      <c r="AQ20" s="20"/>
      <c r="AR20" s="20"/>
      <c r="AS20" s="20"/>
      <c r="AT20" s="20"/>
    </row>
    <row r="21" spans="1:46" s="16" customFormat="1" x14ac:dyDescent="0.35">
      <c r="A21" s="25" t="s">
        <v>74</v>
      </c>
      <c r="B21" s="15" t="s">
        <v>75</v>
      </c>
      <c r="C21" s="19" t="s">
        <v>36</v>
      </c>
      <c r="D21" s="19" t="s">
        <v>202</v>
      </c>
      <c r="E21" s="42">
        <f t="shared" si="1"/>
        <v>1</v>
      </c>
      <c r="F21" s="43"/>
      <c r="G21" s="44"/>
      <c r="H21" s="44"/>
      <c r="I21" s="44"/>
      <c r="J21" s="43"/>
      <c r="K21" s="43"/>
      <c r="L21" s="43"/>
      <c r="M21" s="43"/>
      <c r="N21" s="43"/>
      <c r="O21" s="43"/>
      <c r="P21" s="43">
        <v>1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20"/>
      <c r="AO21" s="20"/>
      <c r="AP21" s="20"/>
      <c r="AQ21" s="20"/>
      <c r="AR21" s="20"/>
      <c r="AS21" s="20"/>
      <c r="AT21" s="20"/>
    </row>
    <row r="22" spans="1:46" s="16" customFormat="1" x14ac:dyDescent="0.35">
      <c r="A22" s="25" t="s">
        <v>76</v>
      </c>
      <c r="B22" s="15" t="s">
        <v>77</v>
      </c>
      <c r="C22" s="19" t="s">
        <v>40</v>
      </c>
      <c r="D22" s="19" t="s">
        <v>202</v>
      </c>
      <c r="E22" s="42">
        <f t="shared" si="1"/>
        <v>1</v>
      </c>
      <c r="F22" s="43"/>
      <c r="G22" s="44">
        <v>0.77</v>
      </c>
      <c r="H22" s="44"/>
      <c r="I22" s="44">
        <v>0.23</v>
      </c>
      <c r="J22" s="43"/>
      <c r="K22" s="43">
        <v>0</v>
      </c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20"/>
      <c r="AO22" s="20"/>
      <c r="AP22" s="20"/>
      <c r="AQ22" s="20"/>
      <c r="AR22" s="20"/>
      <c r="AS22" s="20"/>
      <c r="AT22" s="20"/>
    </row>
    <row r="23" spans="1:46" s="16" customFormat="1" x14ac:dyDescent="0.35">
      <c r="A23" s="25" t="s">
        <v>78</v>
      </c>
      <c r="B23" s="15" t="s">
        <v>79</v>
      </c>
      <c r="C23" s="19" t="s">
        <v>70</v>
      </c>
      <c r="D23" s="19" t="s">
        <v>202</v>
      </c>
      <c r="E23" s="42">
        <f t="shared" si="1"/>
        <v>1</v>
      </c>
      <c r="F23" s="43"/>
      <c r="G23" s="44"/>
      <c r="H23" s="44"/>
      <c r="I23" s="44"/>
      <c r="J23" s="43"/>
      <c r="K23" s="43">
        <v>1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0"/>
      <c r="AO23" s="20"/>
      <c r="AP23" s="20"/>
      <c r="AQ23" s="20"/>
      <c r="AR23" s="20"/>
      <c r="AS23" s="20"/>
      <c r="AT23" s="20"/>
    </row>
    <row r="24" spans="1:46" s="16" customFormat="1" x14ac:dyDescent="0.35">
      <c r="A24" s="25" t="s">
        <v>80</v>
      </c>
      <c r="B24" s="15" t="s">
        <v>81</v>
      </c>
      <c r="C24" s="19" t="s">
        <v>37</v>
      </c>
      <c r="D24" s="19" t="s">
        <v>202</v>
      </c>
      <c r="E24" s="42">
        <f t="shared" si="1"/>
        <v>1</v>
      </c>
      <c r="F24" s="43"/>
      <c r="G24" s="44"/>
      <c r="H24" s="44"/>
      <c r="I24" s="44"/>
      <c r="J24" s="43"/>
      <c r="K24" s="43"/>
      <c r="L24" s="43"/>
      <c r="M24" s="43"/>
      <c r="N24" s="43"/>
      <c r="O24" s="43">
        <v>1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20"/>
      <c r="AO24" s="20"/>
      <c r="AP24" s="20"/>
      <c r="AQ24" s="20"/>
      <c r="AR24" s="20"/>
      <c r="AS24" s="20"/>
      <c r="AT24" s="20"/>
    </row>
    <row r="25" spans="1:46" s="16" customFormat="1" x14ac:dyDescent="0.35">
      <c r="A25" s="25" t="s">
        <v>82</v>
      </c>
      <c r="B25" s="15" t="s">
        <v>204</v>
      </c>
      <c r="C25" s="19" t="s">
        <v>83</v>
      </c>
      <c r="D25" s="19" t="s">
        <v>202</v>
      </c>
      <c r="E25" s="42">
        <f t="shared" si="1"/>
        <v>1</v>
      </c>
      <c r="F25" s="43"/>
      <c r="G25" s="44"/>
      <c r="H25" s="44"/>
      <c r="I25" s="44"/>
      <c r="J25" s="43"/>
      <c r="K25" s="43">
        <v>1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20"/>
      <c r="AO25" s="20"/>
      <c r="AP25" s="20"/>
      <c r="AQ25" s="20"/>
      <c r="AR25" s="20"/>
      <c r="AS25" s="20"/>
      <c r="AT25" s="20"/>
    </row>
    <row r="26" spans="1:46" s="16" customFormat="1" x14ac:dyDescent="0.35">
      <c r="A26" s="25" t="s">
        <v>84</v>
      </c>
      <c r="B26" s="15" t="s">
        <v>85</v>
      </c>
      <c r="C26" s="19" t="s">
        <v>36</v>
      </c>
      <c r="D26" s="19" t="s">
        <v>202</v>
      </c>
      <c r="E26" s="42">
        <f t="shared" si="1"/>
        <v>1</v>
      </c>
      <c r="F26" s="43"/>
      <c r="G26" s="44"/>
      <c r="H26" s="44"/>
      <c r="I26" s="44"/>
      <c r="J26" s="43"/>
      <c r="K26" s="43"/>
      <c r="L26" s="43"/>
      <c r="M26" s="43"/>
      <c r="N26" s="43"/>
      <c r="O26" s="43"/>
      <c r="P26" s="43">
        <v>1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20"/>
      <c r="AO26" s="20"/>
      <c r="AP26" s="20"/>
      <c r="AQ26" s="20"/>
      <c r="AR26" s="20"/>
      <c r="AS26" s="20"/>
      <c r="AT26" s="20"/>
    </row>
    <row r="27" spans="1:46" s="16" customFormat="1" x14ac:dyDescent="0.35">
      <c r="A27" s="25" t="s">
        <v>86</v>
      </c>
      <c r="B27" s="15" t="s">
        <v>87</v>
      </c>
      <c r="C27" s="19" t="s">
        <v>88</v>
      </c>
      <c r="D27" s="19" t="s">
        <v>202</v>
      </c>
      <c r="E27" s="42">
        <f t="shared" si="1"/>
        <v>1</v>
      </c>
      <c r="F27" s="43"/>
      <c r="G27" s="44"/>
      <c r="H27" s="44"/>
      <c r="I27" s="44"/>
      <c r="J27" s="43"/>
      <c r="K27" s="43"/>
      <c r="L27" s="43"/>
      <c r="M27" s="43"/>
      <c r="N27" s="43"/>
      <c r="O27" s="43"/>
      <c r="P27" s="43"/>
      <c r="Q27" s="43">
        <v>0.18</v>
      </c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>
        <v>0.82</v>
      </c>
      <c r="AJ27" s="43"/>
      <c r="AK27" s="43"/>
      <c r="AL27" s="43"/>
      <c r="AM27" s="43"/>
      <c r="AN27" s="20"/>
      <c r="AO27" s="20"/>
      <c r="AP27" s="20"/>
      <c r="AQ27" s="20"/>
      <c r="AR27" s="20"/>
      <c r="AS27" s="20"/>
      <c r="AT27" s="20"/>
    </row>
    <row r="28" spans="1:46" s="16" customFormat="1" x14ac:dyDescent="0.35">
      <c r="A28" s="26"/>
      <c r="B28" s="15" t="s">
        <v>89</v>
      </c>
      <c r="C28" s="19" t="s">
        <v>90</v>
      </c>
      <c r="D28" s="19" t="s">
        <v>202</v>
      </c>
      <c r="E28" s="42">
        <f t="shared" si="1"/>
        <v>1</v>
      </c>
      <c r="F28" s="43"/>
      <c r="G28" s="44"/>
      <c r="H28" s="44"/>
      <c r="I28" s="44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>
        <v>1</v>
      </c>
      <c r="Y28" s="43">
        <v>0</v>
      </c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21"/>
      <c r="AO28" s="20"/>
      <c r="AP28" s="20"/>
      <c r="AQ28" s="20"/>
      <c r="AR28" s="20"/>
      <c r="AS28" s="20"/>
      <c r="AT28" s="20"/>
    </row>
    <row r="29" spans="1:46" s="16" customFormat="1" x14ac:dyDescent="0.35">
      <c r="A29" s="26"/>
      <c r="B29" s="15" t="s">
        <v>91</v>
      </c>
      <c r="C29" s="19" t="s">
        <v>36</v>
      </c>
      <c r="D29" s="19" t="s">
        <v>202</v>
      </c>
      <c r="E29" s="42">
        <f t="shared" si="1"/>
        <v>1</v>
      </c>
      <c r="F29" s="43"/>
      <c r="G29" s="44"/>
      <c r="H29" s="44"/>
      <c r="I29" s="44"/>
      <c r="J29" s="43"/>
      <c r="K29" s="43"/>
      <c r="L29" s="43"/>
      <c r="M29" s="43"/>
      <c r="N29" s="43"/>
      <c r="O29" s="43"/>
      <c r="P29" s="43">
        <v>1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21"/>
      <c r="AO29" s="20"/>
      <c r="AP29" s="20"/>
      <c r="AQ29" s="20"/>
      <c r="AR29" s="20"/>
      <c r="AS29" s="20"/>
      <c r="AT29" s="20"/>
    </row>
    <row r="30" spans="1:46" s="16" customFormat="1" x14ac:dyDescent="0.35">
      <c r="A30" s="26"/>
      <c r="B30" s="15" t="s">
        <v>92</v>
      </c>
      <c r="C30" s="19" t="s">
        <v>70</v>
      </c>
      <c r="D30" s="19" t="s">
        <v>202</v>
      </c>
      <c r="E30" s="42">
        <f t="shared" si="1"/>
        <v>1</v>
      </c>
      <c r="F30" s="43"/>
      <c r="G30" s="44"/>
      <c r="H30" s="44"/>
      <c r="I30" s="44"/>
      <c r="J30" s="43"/>
      <c r="K30" s="43">
        <v>1</v>
      </c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20"/>
      <c r="AO30" s="20"/>
      <c r="AP30" s="20"/>
      <c r="AQ30" s="20"/>
      <c r="AR30" s="20"/>
      <c r="AS30" s="20"/>
      <c r="AT30" s="20"/>
    </row>
    <row r="31" spans="1:46" s="16" customFormat="1" x14ac:dyDescent="0.35">
      <c r="A31" s="26"/>
      <c r="B31" s="15" t="s">
        <v>93</v>
      </c>
      <c r="C31" s="19" t="s">
        <v>70</v>
      </c>
      <c r="D31" s="19" t="s">
        <v>202</v>
      </c>
      <c r="E31" s="42">
        <f t="shared" si="1"/>
        <v>1</v>
      </c>
      <c r="F31" s="43"/>
      <c r="G31" s="44"/>
      <c r="H31" s="44"/>
      <c r="I31" s="44"/>
      <c r="J31" s="43"/>
      <c r="K31" s="43">
        <v>1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20"/>
      <c r="AO31" s="20"/>
      <c r="AP31" s="20"/>
      <c r="AQ31" s="20"/>
      <c r="AR31" s="20"/>
      <c r="AS31" s="20"/>
      <c r="AT31" s="20"/>
    </row>
    <row r="32" spans="1:46" s="16" customFormat="1" x14ac:dyDescent="0.35">
      <c r="A32" s="26"/>
      <c r="B32" s="15" t="s">
        <v>94</v>
      </c>
      <c r="C32" s="19" t="s">
        <v>95</v>
      </c>
      <c r="D32" s="19" t="s">
        <v>202</v>
      </c>
      <c r="E32" s="42">
        <f t="shared" si="1"/>
        <v>1</v>
      </c>
      <c r="F32" s="43"/>
      <c r="G32" s="44"/>
      <c r="H32" s="44"/>
      <c r="I32" s="44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>
        <v>1</v>
      </c>
      <c r="AN32" s="20"/>
      <c r="AO32" s="20"/>
      <c r="AP32" s="20"/>
      <c r="AQ32" s="20"/>
      <c r="AR32" s="20"/>
      <c r="AS32" s="20"/>
      <c r="AT32" s="20"/>
    </row>
    <row r="33" spans="1:46" s="16" customFormat="1" x14ac:dyDescent="0.35">
      <c r="A33" s="26"/>
      <c r="B33" s="15" t="s">
        <v>96</v>
      </c>
      <c r="C33" s="19" t="s">
        <v>70</v>
      </c>
      <c r="D33" s="19" t="s">
        <v>202</v>
      </c>
      <c r="E33" s="42">
        <f t="shared" si="1"/>
        <v>1</v>
      </c>
      <c r="F33" s="43"/>
      <c r="G33" s="44"/>
      <c r="H33" s="44"/>
      <c r="I33" s="44"/>
      <c r="J33" s="43"/>
      <c r="K33" s="43">
        <v>1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20"/>
      <c r="AO33" s="20"/>
      <c r="AP33" s="20"/>
      <c r="AQ33" s="20"/>
      <c r="AR33" s="20"/>
      <c r="AS33" s="20"/>
      <c r="AT33" s="20"/>
    </row>
    <row r="34" spans="1:46" s="16" customFormat="1" x14ac:dyDescent="0.35">
      <c r="A34" s="26"/>
      <c r="B34" s="15" t="s">
        <v>97</v>
      </c>
      <c r="C34" s="19" t="s">
        <v>83</v>
      </c>
      <c r="D34" s="19" t="s">
        <v>202</v>
      </c>
      <c r="E34" s="42">
        <f t="shared" si="1"/>
        <v>1</v>
      </c>
      <c r="F34" s="43"/>
      <c r="G34" s="44"/>
      <c r="H34" s="44"/>
      <c r="I34" s="44"/>
      <c r="J34" s="43"/>
      <c r="K34" s="43">
        <v>1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20"/>
      <c r="AO34" s="20"/>
      <c r="AP34" s="20"/>
      <c r="AQ34" s="20"/>
      <c r="AR34" s="20"/>
      <c r="AS34" s="20"/>
      <c r="AT34" s="20"/>
    </row>
    <row r="35" spans="1:46" s="16" customFormat="1" x14ac:dyDescent="0.35">
      <c r="A35" s="26"/>
      <c r="B35" s="15" t="s">
        <v>98</v>
      </c>
      <c r="C35" s="19" t="s">
        <v>70</v>
      </c>
      <c r="D35" s="19" t="s">
        <v>202</v>
      </c>
      <c r="E35" s="42">
        <f t="shared" si="1"/>
        <v>1</v>
      </c>
      <c r="F35" s="43"/>
      <c r="G35" s="44"/>
      <c r="H35" s="44"/>
      <c r="I35" s="44"/>
      <c r="J35" s="43"/>
      <c r="K35" s="43">
        <v>1</v>
      </c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20"/>
      <c r="AO35" s="20"/>
      <c r="AP35" s="20"/>
      <c r="AQ35" s="20"/>
      <c r="AR35" s="20"/>
      <c r="AS35" s="20"/>
      <c r="AT35" s="20"/>
    </row>
    <row r="36" spans="1:46" s="16" customFormat="1" x14ac:dyDescent="0.35">
      <c r="A36" s="26"/>
      <c r="B36" s="15" t="s">
        <v>99</v>
      </c>
      <c r="C36" s="19" t="s">
        <v>70</v>
      </c>
      <c r="D36" s="19" t="s">
        <v>202</v>
      </c>
      <c r="E36" s="42">
        <f t="shared" si="1"/>
        <v>1</v>
      </c>
      <c r="F36" s="43"/>
      <c r="G36" s="44"/>
      <c r="H36" s="44"/>
      <c r="I36" s="44"/>
      <c r="J36" s="43"/>
      <c r="K36" s="43">
        <v>1</v>
      </c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20"/>
      <c r="AO36" s="20"/>
      <c r="AP36" s="20"/>
      <c r="AQ36" s="20"/>
      <c r="AR36" s="20"/>
      <c r="AS36" s="20"/>
      <c r="AT36" s="20"/>
    </row>
    <row r="37" spans="1:46" s="20" customFormat="1" x14ac:dyDescent="0.35">
      <c r="A37" s="26"/>
      <c r="B37" s="15" t="s">
        <v>100</v>
      </c>
      <c r="C37" s="19" t="s">
        <v>101</v>
      </c>
      <c r="D37" s="19" t="s">
        <v>202</v>
      </c>
      <c r="E37" s="42">
        <f t="shared" si="1"/>
        <v>1</v>
      </c>
      <c r="F37" s="43"/>
      <c r="G37" s="44"/>
      <c r="H37" s="44"/>
      <c r="I37" s="44"/>
      <c r="J37" s="43"/>
      <c r="K37" s="43"/>
      <c r="L37" s="43"/>
      <c r="M37" s="43"/>
      <c r="N37" s="43"/>
      <c r="O37" s="43"/>
      <c r="P37" s="43"/>
      <c r="Q37" s="43">
        <v>0.5</v>
      </c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>
        <v>0.25</v>
      </c>
      <c r="AD37" s="43">
        <v>0</v>
      </c>
      <c r="AE37" s="43"/>
      <c r="AF37" s="43"/>
      <c r="AG37" s="43">
        <v>0.25</v>
      </c>
      <c r="AH37" s="43"/>
      <c r="AI37" s="43"/>
      <c r="AJ37" s="43"/>
      <c r="AK37" s="43"/>
      <c r="AL37" s="43"/>
      <c r="AM37" s="43"/>
    </row>
    <row r="38" spans="1:46" s="20" customFormat="1" x14ac:dyDescent="0.35">
      <c r="A38" s="26"/>
      <c r="B38" s="15" t="s">
        <v>102</v>
      </c>
      <c r="C38" s="19" t="s">
        <v>101</v>
      </c>
      <c r="D38" s="19" t="s">
        <v>202</v>
      </c>
      <c r="E38" s="42">
        <f t="shared" si="1"/>
        <v>1</v>
      </c>
      <c r="F38" s="43"/>
      <c r="G38" s="44"/>
      <c r="H38" s="44"/>
      <c r="I38" s="44"/>
      <c r="J38" s="43"/>
      <c r="K38" s="43"/>
      <c r="L38" s="43"/>
      <c r="M38" s="43"/>
      <c r="N38" s="43"/>
      <c r="O38" s="43"/>
      <c r="P38" s="43"/>
      <c r="Q38" s="43">
        <v>0.5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>
        <v>0.3</v>
      </c>
      <c r="AD38" s="43">
        <v>0</v>
      </c>
      <c r="AE38" s="43">
        <v>0.2</v>
      </c>
      <c r="AF38" s="43"/>
      <c r="AG38" s="43"/>
      <c r="AH38" s="43"/>
      <c r="AI38" s="43"/>
      <c r="AJ38" s="43"/>
      <c r="AK38" s="43"/>
      <c r="AL38" s="43"/>
      <c r="AM38" s="43"/>
    </row>
    <row r="39" spans="1:46" s="20" customFormat="1" x14ac:dyDescent="0.35">
      <c r="A39" s="26"/>
      <c r="B39" s="15" t="s">
        <v>103</v>
      </c>
      <c r="C39" s="19" t="s">
        <v>104</v>
      </c>
      <c r="D39" s="19" t="s">
        <v>202</v>
      </c>
      <c r="E39" s="42">
        <f t="shared" si="1"/>
        <v>1</v>
      </c>
      <c r="F39" s="43"/>
      <c r="G39" s="44"/>
      <c r="H39" s="44"/>
      <c r="I39" s="44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>
        <v>0.25</v>
      </c>
      <c r="AD39" s="43">
        <v>0</v>
      </c>
      <c r="AE39" s="43">
        <v>0.4</v>
      </c>
      <c r="AF39" s="43"/>
      <c r="AG39" s="43">
        <v>0.35</v>
      </c>
      <c r="AH39" s="43"/>
      <c r="AI39" s="43"/>
      <c r="AJ39" s="43"/>
      <c r="AK39" s="43"/>
      <c r="AL39" s="43"/>
      <c r="AM39" s="43"/>
    </row>
    <row r="40" spans="1:46" s="16" customFormat="1" x14ac:dyDescent="0.35">
      <c r="A40" s="26"/>
      <c r="B40" s="17" t="s">
        <v>105</v>
      </c>
      <c r="C40" s="19" t="s">
        <v>70</v>
      </c>
      <c r="D40" s="19" t="s">
        <v>202</v>
      </c>
      <c r="E40" s="42">
        <f t="shared" si="1"/>
        <v>1</v>
      </c>
      <c r="F40" s="43"/>
      <c r="G40" s="44"/>
      <c r="H40" s="44"/>
      <c r="I40" s="44"/>
      <c r="J40" s="43"/>
      <c r="K40" s="43">
        <v>1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20"/>
      <c r="AO40" s="20"/>
      <c r="AP40" s="20"/>
      <c r="AQ40" s="20"/>
      <c r="AR40" s="20"/>
      <c r="AS40" s="20"/>
      <c r="AT40" s="20"/>
    </row>
    <row r="41" spans="1:46" s="16" customFormat="1" x14ac:dyDescent="0.35">
      <c r="A41" s="26"/>
      <c r="B41" s="15" t="s">
        <v>106</v>
      </c>
      <c r="C41" s="19" t="s">
        <v>70</v>
      </c>
      <c r="D41" s="19" t="s">
        <v>202</v>
      </c>
      <c r="E41" s="42">
        <f t="shared" si="1"/>
        <v>1</v>
      </c>
      <c r="F41" s="43"/>
      <c r="G41" s="44"/>
      <c r="H41" s="44"/>
      <c r="I41" s="44"/>
      <c r="J41" s="43"/>
      <c r="K41" s="43">
        <v>1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20"/>
      <c r="AO41" s="20"/>
      <c r="AP41" s="20"/>
      <c r="AQ41" s="20"/>
      <c r="AR41" s="20"/>
      <c r="AS41" s="20"/>
      <c r="AT41" s="20"/>
    </row>
    <row r="42" spans="1:46" s="16" customFormat="1" x14ac:dyDescent="0.35">
      <c r="A42" s="26"/>
      <c r="B42" s="17" t="s">
        <v>107</v>
      </c>
      <c r="C42" s="19" t="s">
        <v>40</v>
      </c>
      <c r="D42" s="19" t="s">
        <v>202</v>
      </c>
      <c r="E42" s="42">
        <f t="shared" si="1"/>
        <v>1</v>
      </c>
      <c r="F42" s="43"/>
      <c r="G42" s="44">
        <v>0</v>
      </c>
      <c r="H42" s="44"/>
      <c r="I42" s="44"/>
      <c r="J42" s="43"/>
      <c r="K42" s="43"/>
      <c r="L42" s="43"/>
      <c r="M42" s="43">
        <v>1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20"/>
      <c r="AO42" s="20"/>
      <c r="AP42" s="20"/>
      <c r="AQ42" s="20"/>
      <c r="AR42" s="20"/>
      <c r="AS42" s="20"/>
      <c r="AT42" s="20"/>
    </row>
    <row r="43" spans="1:46" s="16" customFormat="1" x14ac:dyDescent="0.35">
      <c r="A43" s="26"/>
      <c r="B43" s="17" t="s">
        <v>108</v>
      </c>
      <c r="C43" s="19" t="s">
        <v>40</v>
      </c>
      <c r="D43" s="19" t="s">
        <v>202</v>
      </c>
      <c r="E43" s="42">
        <f t="shared" si="1"/>
        <v>1</v>
      </c>
      <c r="F43" s="43"/>
      <c r="G43" s="44">
        <v>1</v>
      </c>
      <c r="H43" s="44"/>
      <c r="I43" s="44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20"/>
      <c r="AO43" s="20"/>
      <c r="AP43" s="20"/>
      <c r="AQ43" s="20"/>
      <c r="AR43" s="20"/>
      <c r="AS43" s="20"/>
      <c r="AT43" s="20"/>
    </row>
    <row r="44" spans="1:46" s="16" customFormat="1" x14ac:dyDescent="0.35">
      <c r="A44" s="26"/>
      <c r="B44" s="17" t="s">
        <v>109</v>
      </c>
      <c r="C44" s="19" t="s">
        <v>40</v>
      </c>
      <c r="D44" s="19" t="s">
        <v>202</v>
      </c>
      <c r="E44" s="42">
        <f t="shared" si="1"/>
        <v>1</v>
      </c>
      <c r="F44" s="43"/>
      <c r="G44" s="44">
        <v>1</v>
      </c>
      <c r="H44" s="44"/>
      <c r="I44" s="44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20"/>
      <c r="AO44" s="20"/>
      <c r="AP44" s="20"/>
      <c r="AQ44" s="20"/>
      <c r="AR44" s="20"/>
      <c r="AS44" s="20"/>
      <c r="AT44" s="20"/>
    </row>
    <row r="45" spans="1:46" s="16" customFormat="1" x14ac:dyDescent="0.35">
      <c r="A45" s="26"/>
      <c r="B45" s="15" t="s">
        <v>110</v>
      </c>
      <c r="C45" s="19" t="s">
        <v>111</v>
      </c>
      <c r="D45" s="19" t="s">
        <v>202</v>
      </c>
      <c r="E45" s="42">
        <f t="shared" si="1"/>
        <v>1</v>
      </c>
      <c r="F45" s="43"/>
      <c r="G45" s="44"/>
      <c r="H45" s="44"/>
      <c r="I45" s="44"/>
      <c r="J45" s="43"/>
      <c r="K45" s="43"/>
      <c r="L45" s="43"/>
      <c r="M45" s="43"/>
      <c r="N45" s="43"/>
      <c r="O45" s="43"/>
      <c r="P45" s="43"/>
      <c r="Q45" s="43">
        <v>1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20"/>
      <c r="AO45" s="20"/>
      <c r="AP45" s="20"/>
      <c r="AQ45" s="20"/>
      <c r="AR45" s="20"/>
      <c r="AS45" s="20"/>
      <c r="AT45" s="20"/>
    </row>
    <row r="46" spans="1:46" s="16" customFormat="1" x14ac:dyDescent="0.35">
      <c r="A46" s="26"/>
      <c r="B46" s="15" t="s">
        <v>112</v>
      </c>
      <c r="C46" s="19" t="s">
        <v>111</v>
      </c>
      <c r="D46" s="19" t="s">
        <v>202</v>
      </c>
      <c r="E46" s="42">
        <f t="shared" si="1"/>
        <v>1</v>
      </c>
      <c r="F46" s="43">
        <v>1</v>
      </c>
      <c r="G46" s="44"/>
      <c r="H46" s="44"/>
      <c r="I46" s="44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20"/>
      <c r="AO46" s="20"/>
      <c r="AP46" s="20"/>
      <c r="AQ46" s="20"/>
      <c r="AR46" s="20"/>
      <c r="AS46" s="20"/>
      <c r="AT46" s="20"/>
    </row>
    <row r="47" spans="1:46" s="16" customFormat="1" x14ac:dyDescent="0.35">
      <c r="A47" s="26"/>
      <c r="B47" s="15" t="s">
        <v>113</v>
      </c>
      <c r="C47" s="19" t="s">
        <v>114</v>
      </c>
      <c r="D47" s="19" t="s">
        <v>202</v>
      </c>
      <c r="E47" s="42">
        <f t="shared" si="1"/>
        <v>1</v>
      </c>
      <c r="F47" s="43">
        <v>1</v>
      </c>
      <c r="G47" s="44"/>
      <c r="H47" s="44"/>
      <c r="I47" s="44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20"/>
      <c r="AO47" s="20"/>
      <c r="AP47" s="20"/>
      <c r="AQ47" s="20"/>
      <c r="AR47" s="20"/>
      <c r="AS47" s="20"/>
      <c r="AT47" s="20"/>
    </row>
    <row r="48" spans="1:46" s="20" customFormat="1" x14ac:dyDescent="0.35">
      <c r="A48" s="26"/>
      <c r="B48" s="15" t="s">
        <v>115</v>
      </c>
      <c r="C48" s="19" t="s">
        <v>116</v>
      </c>
      <c r="D48" s="19" t="s">
        <v>202</v>
      </c>
      <c r="E48" s="42">
        <f t="shared" si="1"/>
        <v>1</v>
      </c>
      <c r="F48" s="43"/>
      <c r="G48" s="44"/>
      <c r="H48" s="44"/>
      <c r="I48" s="44"/>
      <c r="J48" s="43"/>
      <c r="K48" s="43"/>
      <c r="L48" s="43"/>
      <c r="M48" s="43"/>
      <c r="N48" s="43"/>
      <c r="O48" s="45">
        <v>0.2</v>
      </c>
      <c r="P48" s="43"/>
      <c r="Q48" s="43">
        <v>0.1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>
        <v>0.25</v>
      </c>
      <c r="AC48" s="43">
        <v>0.25</v>
      </c>
      <c r="AD48" s="43">
        <v>0.1</v>
      </c>
      <c r="AE48" s="43">
        <v>0.1</v>
      </c>
      <c r="AF48" s="43"/>
      <c r="AG48" s="43"/>
      <c r="AH48" s="43"/>
      <c r="AI48" s="43"/>
      <c r="AJ48" s="43"/>
      <c r="AK48" s="43"/>
      <c r="AL48" s="43"/>
      <c r="AM48" s="43"/>
    </row>
    <row r="49" spans="1:46" s="20" customFormat="1" x14ac:dyDescent="0.35">
      <c r="A49" s="26"/>
      <c r="B49" s="15" t="s">
        <v>117</v>
      </c>
      <c r="C49" s="19" t="s">
        <v>116</v>
      </c>
      <c r="D49" s="19" t="s">
        <v>202</v>
      </c>
      <c r="E49" s="42">
        <f t="shared" si="1"/>
        <v>1</v>
      </c>
      <c r="F49" s="43"/>
      <c r="G49" s="44"/>
      <c r="H49" s="44"/>
      <c r="I49" s="44"/>
      <c r="J49" s="43"/>
      <c r="K49" s="43"/>
      <c r="L49" s="43"/>
      <c r="M49" s="43"/>
      <c r="N49" s="43"/>
      <c r="O49" s="45">
        <v>0</v>
      </c>
      <c r="P49" s="43"/>
      <c r="Q49" s="43">
        <v>0.1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>
        <v>0.25</v>
      </c>
      <c r="AC49" s="43">
        <v>0.25</v>
      </c>
      <c r="AD49" s="43">
        <v>0.1</v>
      </c>
      <c r="AE49" s="43">
        <v>0.3</v>
      </c>
      <c r="AF49" s="43"/>
      <c r="AG49" s="43"/>
      <c r="AH49" s="43"/>
      <c r="AI49" s="43"/>
      <c r="AJ49" s="43"/>
      <c r="AK49" s="43"/>
      <c r="AL49" s="43"/>
      <c r="AM49" s="43"/>
    </row>
    <row r="50" spans="1:46" s="20" customFormat="1" x14ac:dyDescent="0.35">
      <c r="A50" s="26"/>
      <c r="B50" s="15" t="s">
        <v>118</v>
      </c>
      <c r="C50" s="19" t="s">
        <v>116</v>
      </c>
      <c r="D50" s="19" t="s">
        <v>202</v>
      </c>
      <c r="E50" s="42">
        <f t="shared" si="1"/>
        <v>1</v>
      </c>
      <c r="F50" s="43"/>
      <c r="G50" s="44"/>
      <c r="H50" s="44"/>
      <c r="I50" s="44"/>
      <c r="J50" s="43"/>
      <c r="K50" s="43"/>
      <c r="L50" s="43"/>
      <c r="M50" s="43"/>
      <c r="N50" s="43"/>
      <c r="O50" s="45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>
        <v>0.3</v>
      </c>
      <c r="AC50" s="43">
        <v>0.25</v>
      </c>
      <c r="AD50" s="43">
        <v>0.05</v>
      </c>
      <c r="AE50" s="43">
        <v>0.4</v>
      </c>
      <c r="AF50" s="43">
        <v>0</v>
      </c>
      <c r="AG50" s="43"/>
      <c r="AH50" s="43"/>
      <c r="AI50" s="43"/>
      <c r="AJ50" s="43"/>
      <c r="AK50" s="43"/>
      <c r="AL50" s="43"/>
      <c r="AM50" s="43"/>
    </row>
    <row r="51" spans="1:46" s="16" customFormat="1" x14ac:dyDescent="0.35">
      <c r="A51" s="26"/>
      <c r="B51" s="15" t="s">
        <v>119</v>
      </c>
      <c r="C51" s="19" t="s">
        <v>40</v>
      </c>
      <c r="D51" s="19" t="s">
        <v>202</v>
      </c>
      <c r="E51" s="42">
        <f t="shared" si="1"/>
        <v>1</v>
      </c>
      <c r="F51" s="43"/>
      <c r="G51" s="44">
        <v>1</v>
      </c>
      <c r="H51" s="44"/>
      <c r="I51" s="44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20"/>
      <c r="AO51" s="20"/>
      <c r="AP51" s="20"/>
      <c r="AQ51" s="20"/>
      <c r="AR51" s="20"/>
      <c r="AS51" s="20"/>
      <c r="AT51" s="20"/>
    </row>
    <row r="52" spans="1:46" s="16" customFormat="1" x14ac:dyDescent="0.35">
      <c r="A52" s="26"/>
      <c r="B52" s="15" t="s">
        <v>120</v>
      </c>
      <c r="C52" s="19" t="s">
        <v>70</v>
      </c>
      <c r="D52" s="19" t="s">
        <v>202</v>
      </c>
      <c r="E52" s="42">
        <f t="shared" si="1"/>
        <v>1</v>
      </c>
      <c r="F52" s="43"/>
      <c r="G52" s="44"/>
      <c r="H52" s="44"/>
      <c r="I52" s="44"/>
      <c r="J52" s="43"/>
      <c r="K52" s="43">
        <v>1</v>
      </c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20"/>
      <c r="AO52" s="20"/>
      <c r="AP52" s="20"/>
      <c r="AQ52" s="20"/>
      <c r="AR52" s="20"/>
      <c r="AS52" s="20"/>
      <c r="AT52" s="20"/>
    </row>
    <row r="53" spans="1:46" s="16" customFormat="1" x14ac:dyDescent="0.35">
      <c r="A53" s="26"/>
      <c r="B53" s="15" t="s">
        <v>121</v>
      </c>
      <c r="C53" s="19" t="s">
        <v>70</v>
      </c>
      <c r="D53" s="19" t="s">
        <v>202</v>
      </c>
      <c r="E53" s="42">
        <f t="shared" si="1"/>
        <v>1</v>
      </c>
      <c r="F53" s="43"/>
      <c r="G53" s="44"/>
      <c r="H53" s="44"/>
      <c r="I53" s="44"/>
      <c r="J53" s="43"/>
      <c r="K53" s="43">
        <v>1</v>
      </c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20"/>
      <c r="AO53" s="20"/>
      <c r="AP53" s="20"/>
      <c r="AQ53" s="20"/>
      <c r="AR53" s="20"/>
      <c r="AS53" s="20"/>
      <c r="AT53" s="20"/>
    </row>
    <row r="54" spans="1:46" s="16" customFormat="1" x14ac:dyDescent="0.35">
      <c r="A54" s="26"/>
      <c r="B54" s="15" t="s">
        <v>122</v>
      </c>
      <c r="C54" s="19" t="s">
        <v>70</v>
      </c>
      <c r="D54" s="19" t="s">
        <v>202</v>
      </c>
      <c r="E54" s="42">
        <f t="shared" si="1"/>
        <v>1</v>
      </c>
      <c r="F54" s="43"/>
      <c r="G54" s="44"/>
      <c r="H54" s="44"/>
      <c r="I54" s="44"/>
      <c r="J54" s="43"/>
      <c r="K54" s="43">
        <v>1</v>
      </c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20"/>
      <c r="AO54" s="20"/>
      <c r="AP54" s="20"/>
      <c r="AQ54" s="20"/>
      <c r="AR54" s="20"/>
      <c r="AS54" s="20"/>
      <c r="AT54" s="20"/>
    </row>
    <row r="55" spans="1:46" s="16" customFormat="1" x14ac:dyDescent="0.35">
      <c r="A55" s="26"/>
      <c r="B55" s="15" t="s">
        <v>123</v>
      </c>
      <c r="C55" s="19" t="s">
        <v>40</v>
      </c>
      <c r="D55" s="19" t="s">
        <v>202</v>
      </c>
      <c r="E55" s="42">
        <f t="shared" si="1"/>
        <v>1</v>
      </c>
      <c r="F55" s="43"/>
      <c r="G55" s="44">
        <v>1</v>
      </c>
      <c r="H55" s="44"/>
      <c r="I55" s="44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20"/>
      <c r="AO55" s="20"/>
      <c r="AP55" s="20"/>
      <c r="AQ55" s="20"/>
      <c r="AR55" s="20"/>
      <c r="AS55" s="20"/>
      <c r="AT55" s="20"/>
    </row>
    <row r="56" spans="1:46" s="16" customFormat="1" x14ac:dyDescent="0.35">
      <c r="A56" s="26"/>
      <c r="B56" s="15" t="s">
        <v>124</v>
      </c>
      <c r="C56" s="19" t="s">
        <v>36</v>
      </c>
      <c r="D56" s="19" t="s">
        <v>202</v>
      </c>
      <c r="E56" s="42">
        <f t="shared" si="1"/>
        <v>1</v>
      </c>
      <c r="F56" s="43"/>
      <c r="G56" s="44"/>
      <c r="H56" s="44"/>
      <c r="I56" s="44"/>
      <c r="J56" s="43"/>
      <c r="K56" s="43"/>
      <c r="L56" s="43"/>
      <c r="M56" s="43"/>
      <c r="N56" s="43"/>
      <c r="O56" s="43"/>
      <c r="P56" s="43">
        <v>1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20"/>
      <c r="AO56" s="20"/>
      <c r="AP56" s="20"/>
      <c r="AQ56" s="20"/>
      <c r="AR56" s="20"/>
      <c r="AS56" s="20"/>
      <c r="AT56" s="20"/>
    </row>
    <row r="57" spans="1:46" s="16" customFormat="1" x14ac:dyDescent="0.35">
      <c r="A57" s="26"/>
      <c r="B57" s="15" t="s">
        <v>125</v>
      </c>
      <c r="C57" s="19" t="s">
        <v>70</v>
      </c>
      <c r="D57" s="19" t="s">
        <v>202</v>
      </c>
      <c r="E57" s="42">
        <f t="shared" si="1"/>
        <v>1</v>
      </c>
      <c r="F57" s="43"/>
      <c r="G57" s="44"/>
      <c r="H57" s="44"/>
      <c r="I57" s="44"/>
      <c r="J57" s="43"/>
      <c r="K57" s="43">
        <v>1</v>
      </c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20"/>
      <c r="AO57" s="20"/>
      <c r="AP57" s="20"/>
      <c r="AQ57" s="20"/>
      <c r="AR57" s="20"/>
      <c r="AS57" s="20"/>
      <c r="AT57" s="20"/>
    </row>
    <row r="58" spans="1:46" s="16" customFormat="1" x14ac:dyDescent="0.35">
      <c r="A58" s="26"/>
      <c r="B58" s="15" t="s">
        <v>126</v>
      </c>
      <c r="C58" s="19" t="s">
        <v>43</v>
      </c>
      <c r="D58" s="19" t="s">
        <v>202</v>
      </c>
      <c r="E58" s="42">
        <f t="shared" si="1"/>
        <v>1</v>
      </c>
      <c r="F58" s="43"/>
      <c r="G58" s="44"/>
      <c r="H58" s="44"/>
      <c r="I58" s="44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>
        <v>1</v>
      </c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20"/>
      <c r="AO58" s="20"/>
      <c r="AP58" s="20"/>
      <c r="AQ58" s="20"/>
      <c r="AR58" s="20"/>
      <c r="AS58" s="20"/>
      <c r="AT58" s="20"/>
    </row>
    <row r="59" spans="1:46" s="16" customFormat="1" x14ac:dyDescent="0.35">
      <c r="A59" s="26"/>
      <c r="B59" s="15" t="s">
        <v>127</v>
      </c>
      <c r="C59" s="19" t="s">
        <v>128</v>
      </c>
      <c r="D59" s="19" t="s">
        <v>202</v>
      </c>
      <c r="E59" s="42">
        <f t="shared" si="1"/>
        <v>1</v>
      </c>
      <c r="F59" s="43"/>
      <c r="G59" s="44"/>
      <c r="H59" s="44"/>
      <c r="I59" s="44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>
        <v>0.95</v>
      </c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>
        <v>0.05</v>
      </c>
      <c r="AK59" s="43"/>
      <c r="AL59" s="43"/>
      <c r="AM59" s="43"/>
      <c r="AN59" s="20"/>
      <c r="AO59" s="20"/>
      <c r="AP59" s="20"/>
      <c r="AQ59" s="20"/>
      <c r="AR59" s="20"/>
      <c r="AS59" s="20"/>
      <c r="AT59" s="20"/>
    </row>
    <row r="60" spans="1:46" s="16" customFormat="1" x14ac:dyDescent="0.35">
      <c r="A60" s="26"/>
      <c r="B60" s="15" t="s">
        <v>129</v>
      </c>
      <c r="C60" s="19" t="s">
        <v>40</v>
      </c>
      <c r="D60" s="19" t="s">
        <v>202</v>
      </c>
      <c r="E60" s="42">
        <f t="shared" si="1"/>
        <v>1</v>
      </c>
      <c r="F60" s="43"/>
      <c r="G60" s="44">
        <v>0.8</v>
      </c>
      <c r="H60" s="44"/>
      <c r="I60" s="44">
        <v>0.2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20"/>
      <c r="AO60" s="20"/>
      <c r="AP60" s="20"/>
      <c r="AQ60" s="20"/>
      <c r="AR60" s="20"/>
      <c r="AS60" s="20"/>
      <c r="AT60" s="20"/>
    </row>
    <row r="61" spans="1:46" s="16" customFormat="1" x14ac:dyDescent="0.35">
      <c r="A61" s="26"/>
      <c r="B61" s="15" t="s">
        <v>130</v>
      </c>
      <c r="C61" s="19" t="s">
        <v>40</v>
      </c>
      <c r="D61" s="19" t="s">
        <v>202</v>
      </c>
      <c r="E61" s="42">
        <f t="shared" si="1"/>
        <v>1</v>
      </c>
      <c r="F61" s="43"/>
      <c r="G61" s="44">
        <v>1</v>
      </c>
      <c r="H61" s="44"/>
      <c r="I61" s="44"/>
      <c r="J61" s="43"/>
      <c r="K61" s="43"/>
      <c r="L61" s="43"/>
      <c r="M61" s="43">
        <v>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20"/>
      <c r="AO61" s="20"/>
      <c r="AP61" s="20"/>
      <c r="AQ61" s="20"/>
      <c r="AR61" s="20"/>
      <c r="AS61" s="20"/>
      <c r="AT61" s="20"/>
    </row>
    <row r="62" spans="1:46" s="16" customFormat="1" x14ac:dyDescent="0.35">
      <c r="A62" s="26"/>
      <c r="B62" s="15" t="s">
        <v>131</v>
      </c>
      <c r="C62" s="19" t="s">
        <v>70</v>
      </c>
      <c r="D62" s="19" t="s">
        <v>202</v>
      </c>
      <c r="E62" s="42">
        <f t="shared" si="1"/>
        <v>1</v>
      </c>
      <c r="F62" s="43"/>
      <c r="G62" s="44"/>
      <c r="H62" s="44"/>
      <c r="I62" s="44"/>
      <c r="J62" s="43"/>
      <c r="K62" s="43">
        <v>1</v>
      </c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20"/>
      <c r="AO62" s="20"/>
      <c r="AP62" s="20"/>
      <c r="AQ62" s="20"/>
      <c r="AR62" s="20"/>
      <c r="AS62" s="20"/>
      <c r="AT62" s="20"/>
    </row>
    <row r="63" spans="1:46" s="16" customFormat="1" x14ac:dyDescent="0.35">
      <c r="A63" s="26"/>
      <c r="B63" s="17" t="s">
        <v>132</v>
      </c>
      <c r="C63" s="19" t="s">
        <v>43</v>
      </c>
      <c r="D63" s="19" t="s">
        <v>202</v>
      </c>
      <c r="E63" s="42">
        <f t="shared" si="1"/>
        <v>1</v>
      </c>
      <c r="F63" s="43"/>
      <c r="G63" s="44"/>
      <c r="H63" s="44"/>
      <c r="I63" s="44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>
        <v>1</v>
      </c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20"/>
      <c r="AO63" s="20"/>
      <c r="AP63" s="20"/>
      <c r="AQ63" s="20"/>
      <c r="AR63" s="20"/>
      <c r="AS63" s="20"/>
      <c r="AT63" s="20"/>
    </row>
    <row r="64" spans="1:46" s="16" customFormat="1" x14ac:dyDescent="0.35">
      <c r="A64" s="26"/>
      <c r="B64" s="15" t="s">
        <v>133</v>
      </c>
      <c r="C64" s="19" t="s">
        <v>40</v>
      </c>
      <c r="D64" s="19" t="s">
        <v>202</v>
      </c>
      <c r="E64" s="42">
        <f t="shared" ref="E64:E110" si="2">SUM(F64:BK64)</f>
        <v>1</v>
      </c>
      <c r="F64" s="43"/>
      <c r="G64" s="44">
        <v>0.5</v>
      </c>
      <c r="H64" s="44">
        <v>0.5</v>
      </c>
      <c r="I64" s="44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20"/>
      <c r="AO64" s="20"/>
      <c r="AP64" s="20"/>
      <c r="AQ64" s="20"/>
      <c r="AR64" s="20"/>
      <c r="AS64" s="20"/>
      <c r="AT64" s="20"/>
    </row>
    <row r="65" spans="1:46" s="16" customFormat="1" x14ac:dyDescent="0.35">
      <c r="A65" s="26"/>
      <c r="B65" s="15" t="s">
        <v>134</v>
      </c>
      <c r="C65" s="19" t="s">
        <v>40</v>
      </c>
      <c r="D65" s="19" t="s">
        <v>202</v>
      </c>
      <c r="E65" s="42">
        <f t="shared" si="2"/>
        <v>1</v>
      </c>
      <c r="F65" s="43"/>
      <c r="G65" s="44"/>
      <c r="H65" s="44"/>
      <c r="I65" s="44"/>
      <c r="J65" s="43"/>
      <c r="K65" s="43"/>
      <c r="L65" s="43"/>
      <c r="M65" s="43">
        <v>1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20"/>
      <c r="AO65" s="20"/>
      <c r="AP65" s="20"/>
      <c r="AQ65" s="20"/>
      <c r="AR65" s="20"/>
      <c r="AS65" s="20"/>
      <c r="AT65" s="20"/>
    </row>
    <row r="66" spans="1:46" s="16" customFormat="1" x14ac:dyDescent="0.35">
      <c r="A66" s="26"/>
      <c r="B66" s="15" t="s">
        <v>135</v>
      </c>
      <c r="C66" s="19" t="s">
        <v>36</v>
      </c>
      <c r="D66" s="19" t="s">
        <v>202</v>
      </c>
      <c r="E66" s="42">
        <f t="shared" si="2"/>
        <v>1</v>
      </c>
      <c r="F66" s="43"/>
      <c r="G66" s="44"/>
      <c r="H66" s="44"/>
      <c r="I66" s="44"/>
      <c r="J66" s="43"/>
      <c r="K66" s="43"/>
      <c r="L66" s="43"/>
      <c r="M66" s="43"/>
      <c r="N66" s="43"/>
      <c r="O66" s="43"/>
      <c r="P66" s="43">
        <v>1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20"/>
      <c r="AO66" s="20"/>
      <c r="AP66" s="20"/>
      <c r="AQ66" s="20"/>
      <c r="AR66" s="20"/>
      <c r="AS66" s="20"/>
      <c r="AT66" s="20"/>
    </row>
    <row r="67" spans="1:46" s="16" customFormat="1" x14ac:dyDescent="0.35">
      <c r="A67" s="26"/>
      <c r="B67" s="15" t="s">
        <v>136</v>
      </c>
      <c r="C67" s="19" t="s">
        <v>36</v>
      </c>
      <c r="D67" s="19" t="s">
        <v>202</v>
      </c>
      <c r="E67" s="42">
        <f t="shared" si="2"/>
        <v>1</v>
      </c>
      <c r="F67" s="43"/>
      <c r="G67" s="44"/>
      <c r="H67" s="44"/>
      <c r="I67" s="44"/>
      <c r="J67" s="43"/>
      <c r="K67" s="43"/>
      <c r="L67" s="43"/>
      <c r="M67" s="43"/>
      <c r="N67" s="43"/>
      <c r="O67" s="43"/>
      <c r="P67" s="43">
        <v>1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20"/>
      <c r="AO67" s="20"/>
      <c r="AP67" s="20"/>
      <c r="AQ67" s="20"/>
      <c r="AR67" s="20"/>
      <c r="AS67" s="20"/>
      <c r="AT67" s="20"/>
    </row>
    <row r="68" spans="1:46" s="16" customFormat="1" x14ac:dyDescent="0.35">
      <c r="A68" s="26"/>
      <c r="B68" s="15" t="s">
        <v>137</v>
      </c>
      <c r="C68" s="19" t="s">
        <v>138</v>
      </c>
      <c r="D68" s="19" t="s">
        <v>202</v>
      </c>
      <c r="E68" s="42">
        <f t="shared" si="2"/>
        <v>1</v>
      </c>
      <c r="F68" s="43"/>
      <c r="G68" s="44"/>
      <c r="H68" s="44"/>
      <c r="I68" s="44"/>
      <c r="J68" s="43"/>
      <c r="K68" s="43"/>
      <c r="L68" s="43"/>
      <c r="M68" s="43"/>
      <c r="N68" s="43"/>
      <c r="O68" s="43"/>
      <c r="P68" s="43"/>
      <c r="Q68" s="43"/>
      <c r="R68" s="43"/>
      <c r="S68" s="43">
        <v>1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20"/>
      <c r="AO68" s="20"/>
      <c r="AP68" s="20"/>
      <c r="AQ68" s="20"/>
      <c r="AR68" s="20"/>
      <c r="AS68" s="20"/>
      <c r="AT68" s="20"/>
    </row>
    <row r="69" spans="1:46" s="16" customFormat="1" x14ac:dyDescent="0.35">
      <c r="A69" s="26"/>
      <c r="B69" s="15" t="s">
        <v>139</v>
      </c>
      <c r="C69" s="19" t="s">
        <v>36</v>
      </c>
      <c r="D69" s="19" t="s">
        <v>202</v>
      </c>
      <c r="E69" s="42">
        <f t="shared" si="2"/>
        <v>1</v>
      </c>
      <c r="F69" s="43"/>
      <c r="G69" s="44"/>
      <c r="H69" s="44"/>
      <c r="I69" s="44"/>
      <c r="J69" s="43"/>
      <c r="K69" s="43"/>
      <c r="L69" s="43"/>
      <c r="M69" s="43"/>
      <c r="N69" s="43"/>
      <c r="O69" s="43"/>
      <c r="P69" s="43">
        <v>1</v>
      </c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20"/>
      <c r="AO69" s="20"/>
      <c r="AP69" s="20"/>
      <c r="AQ69" s="20"/>
      <c r="AR69" s="20"/>
      <c r="AS69" s="20"/>
      <c r="AT69" s="20"/>
    </row>
    <row r="70" spans="1:46" s="16" customFormat="1" x14ac:dyDescent="0.35">
      <c r="A70" s="26"/>
      <c r="B70" s="15" t="s">
        <v>140</v>
      </c>
      <c r="C70" s="19" t="s">
        <v>95</v>
      </c>
      <c r="D70" s="19" t="s">
        <v>202</v>
      </c>
      <c r="E70" s="42">
        <f t="shared" si="2"/>
        <v>1</v>
      </c>
      <c r="F70" s="43"/>
      <c r="G70" s="44">
        <v>0.77</v>
      </c>
      <c r="H70" s="44"/>
      <c r="I70" s="44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>
        <v>0.23</v>
      </c>
      <c r="AN70" s="20"/>
      <c r="AO70" s="20"/>
      <c r="AP70" s="20"/>
      <c r="AQ70" s="20"/>
      <c r="AR70" s="20"/>
      <c r="AS70" s="20"/>
      <c r="AT70" s="20"/>
    </row>
    <row r="71" spans="1:46" s="20" customFormat="1" x14ac:dyDescent="0.35">
      <c r="A71" s="26"/>
      <c r="B71" s="15" t="s">
        <v>141</v>
      </c>
      <c r="C71" s="19" t="s">
        <v>142</v>
      </c>
      <c r="D71" s="19" t="s">
        <v>202</v>
      </c>
      <c r="E71" s="42">
        <f t="shared" si="2"/>
        <v>1</v>
      </c>
      <c r="F71" s="43"/>
      <c r="G71" s="44"/>
      <c r="H71" s="44"/>
      <c r="I71" s="44"/>
      <c r="J71" s="43"/>
      <c r="K71" s="43"/>
      <c r="L71" s="43"/>
      <c r="M71" s="43"/>
      <c r="N71" s="43"/>
      <c r="O71" s="43">
        <v>0.5</v>
      </c>
      <c r="P71" s="43"/>
      <c r="Q71" s="43"/>
      <c r="R71" s="43"/>
      <c r="S71" s="43"/>
      <c r="T71" s="43"/>
      <c r="U71" s="43">
        <v>0.2</v>
      </c>
      <c r="V71" s="43"/>
      <c r="W71" s="43"/>
      <c r="X71" s="43"/>
      <c r="Y71" s="43"/>
      <c r="Z71" s="43"/>
      <c r="AA71" s="43"/>
      <c r="AB71" s="43">
        <v>0.1</v>
      </c>
      <c r="AC71" s="43"/>
      <c r="AD71" s="43"/>
      <c r="AE71" s="43"/>
      <c r="AF71" s="43"/>
      <c r="AG71" s="43">
        <v>0</v>
      </c>
      <c r="AH71" s="43"/>
      <c r="AI71" s="43"/>
      <c r="AJ71" s="43"/>
      <c r="AK71" s="43">
        <v>0.2</v>
      </c>
      <c r="AL71" s="43"/>
      <c r="AM71" s="43"/>
    </row>
    <row r="72" spans="1:46" s="20" customFormat="1" x14ac:dyDescent="0.35">
      <c r="A72" s="26"/>
      <c r="B72" s="15" t="s">
        <v>143</v>
      </c>
      <c r="C72" s="19" t="s">
        <v>142</v>
      </c>
      <c r="D72" s="19" t="s">
        <v>202</v>
      </c>
      <c r="E72" s="42">
        <f t="shared" si="2"/>
        <v>1</v>
      </c>
      <c r="F72" s="43"/>
      <c r="G72" s="44"/>
      <c r="H72" s="44"/>
      <c r="I72" s="44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>
        <v>0.2</v>
      </c>
      <c r="V72" s="43"/>
      <c r="W72" s="43"/>
      <c r="X72" s="43"/>
      <c r="Y72" s="43"/>
      <c r="Z72" s="43"/>
      <c r="AA72" s="43"/>
      <c r="AB72" s="43">
        <v>0.1</v>
      </c>
      <c r="AC72" s="43"/>
      <c r="AD72" s="43"/>
      <c r="AE72" s="43">
        <v>0.5</v>
      </c>
      <c r="AF72" s="43"/>
      <c r="AG72" s="43"/>
      <c r="AH72" s="43"/>
      <c r="AI72" s="43"/>
      <c r="AJ72" s="43"/>
      <c r="AK72" s="43">
        <v>0.2</v>
      </c>
      <c r="AL72" s="43"/>
      <c r="AM72" s="43"/>
    </row>
    <row r="73" spans="1:46" s="20" customFormat="1" x14ac:dyDescent="0.35">
      <c r="A73" s="26"/>
      <c r="B73" s="15" t="s">
        <v>144</v>
      </c>
      <c r="C73" s="19" t="s">
        <v>142</v>
      </c>
      <c r="D73" s="19" t="s">
        <v>202</v>
      </c>
      <c r="E73" s="42">
        <f t="shared" si="2"/>
        <v>1</v>
      </c>
      <c r="F73" s="43"/>
      <c r="G73" s="44"/>
      <c r="H73" s="44"/>
      <c r="I73" s="44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>
        <v>0.9</v>
      </c>
      <c r="V73" s="43"/>
      <c r="W73" s="43"/>
      <c r="X73" s="43"/>
      <c r="Y73" s="43"/>
      <c r="Z73" s="43"/>
      <c r="AA73" s="43"/>
      <c r="AB73" s="43">
        <v>0.1</v>
      </c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</row>
    <row r="74" spans="1:46" s="20" customFormat="1" x14ac:dyDescent="0.35">
      <c r="A74" s="26"/>
      <c r="B74" s="15" t="s">
        <v>145</v>
      </c>
      <c r="C74" s="19" t="s">
        <v>142</v>
      </c>
      <c r="D74" s="19" t="s">
        <v>202</v>
      </c>
      <c r="E74" s="42">
        <f t="shared" si="2"/>
        <v>1</v>
      </c>
      <c r="F74" s="43"/>
      <c r="G74" s="44"/>
      <c r="H74" s="44"/>
      <c r="I74" s="44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>
        <v>0.2</v>
      </c>
      <c r="V74" s="43"/>
      <c r="W74" s="43"/>
      <c r="X74" s="43"/>
      <c r="Y74" s="43"/>
      <c r="Z74" s="43"/>
      <c r="AA74" s="43"/>
      <c r="AB74" s="43">
        <v>0.1</v>
      </c>
      <c r="AC74" s="43">
        <v>0.1</v>
      </c>
      <c r="AD74" s="43"/>
      <c r="AE74" s="43">
        <v>0.5</v>
      </c>
      <c r="AF74" s="43"/>
      <c r="AG74" s="43">
        <v>0.1</v>
      </c>
      <c r="AH74" s="43"/>
      <c r="AI74" s="43"/>
      <c r="AJ74" s="43"/>
      <c r="AK74" s="43">
        <v>0</v>
      </c>
      <c r="AL74" s="43"/>
      <c r="AM74" s="43"/>
    </row>
    <row r="75" spans="1:46" s="20" customFormat="1" x14ac:dyDescent="0.35">
      <c r="A75" s="26"/>
      <c r="B75" s="15" t="s">
        <v>146</v>
      </c>
      <c r="C75" s="19" t="s">
        <v>142</v>
      </c>
      <c r="D75" s="19" t="s">
        <v>202</v>
      </c>
      <c r="E75" s="42">
        <f t="shared" si="2"/>
        <v>1</v>
      </c>
      <c r="F75" s="43"/>
      <c r="G75" s="44"/>
      <c r="H75" s="44"/>
      <c r="I75" s="44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>
        <v>0.2</v>
      </c>
      <c r="V75" s="43"/>
      <c r="W75" s="43"/>
      <c r="X75" s="43"/>
      <c r="Y75" s="43"/>
      <c r="Z75" s="43"/>
      <c r="AA75" s="43"/>
      <c r="AB75" s="43">
        <v>0.1</v>
      </c>
      <c r="AC75" s="43">
        <v>0.1</v>
      </c>
      <c r="AD75" s="43"/>
      <c r="AE75" s="43">
        <v>0.5</v>
      </c>
      <c r="AF75" s="43"/>
      <c r="AG75" s="43">
        <v>0.1</v>
      </c>
      <c r="AH75" s="43"/>
      <c r="AI75" s="43"/>
      <c r="AJ75" s="43"/>
      <c r="AK75" s="43">
        <v>0</v>
      </c>
      <c r="AL75" s="43"/>
      <c r="AM75" s="43"/>
    </row>
    <row r="76" spans="1:46" s="16" customFormat="1" x14ac:dyDescent="0.35">
      <c r="A76" s="26"/>
      <c r="B76" s="15" t="s">
        <v>147</v>
      </c>
      <c r="C76" s="19" t="s">
        <v>36</v>
      </c>
      <c r="D76" s="19" t="s">
        <v>202</v>
      </c>
      <c r="E76" s="42">
        <f t="shared" si="2"/>
        <v>1</v>
      </c>
      <c r="F76" s="43"/>
      <c r="G76" s="44"/>
      <c r="H76" s="44"/>
      <c r="I76" s="44"/>
      <c r="J76" s="43"/>
      <c r="K76" s="43"/>
      <c r="L76" s="43"/>
      <c r="M76" s="43"/>
      <c r="N76" s="43"/>
      <c r="O76" s="43"/>
      <c r="P76" s="43">
        <v>1</v>
      </c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20"/>
      <c r="AO76" s="20"/>
      <c r="AP76" s="20"/>
      <c r="AQ76" s="20"/>
      <c r="AR76" s="20"/>
      <c r="AS76" s="20"/>
      <c r="AT76" s="20"/>
    </row>
    <row r="77" spans="1:46" s="16" customFormat="1" x14ac:dyDescent="0.35">
      <c r="A77" s="26"/>
      <c r="B77" s="15" t="s">
        <v>148</v>
      </c>
      <c r="C77" s="19" t="s">
        <v>149</v>
      </c>
      <c r="D77" s="19" t="s">
        <v>202</v>
      </c>
      <c r="E77" s="42">
        <f t="shared" si="2"/>
        <v>1</v>
      </c>
      <c r="F77" s="43"/>
      <c r="G77" s="44"/>
      <c r="H77" s="44"/>
      <c r="I77" s="44"/>
      <c r="J77" s="43"/>
      <c r="K77" s="43"/>
      <c r="L77" s="43"/>
      <c r="M77" s="43"/>
      <c r="N77" s="43">
        <v>0.25</v>
      </c>
      <c r="O77" s="43"/>
      <c r="P77" s="43"/>
      <c r="Q77" s="43"/>
      <c r="R77" s="43"/>
      <c r="S77" s="43"/>
      <c r="T77" s="43">
        <v>0.75</v>
      </c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20"/>
      <c r="AO77" s="20"/>
      <c r="AP77" s="20"/>
      <c r="AQ77" s="20"/>
      <c r="AR77" s="20"/>
      <c r="AS77" s="20"/>
      <c r="AT77" s="20"/>
    </row>
    <row r="78" spans="1:46" s="16" customFormat="1" x14ac:dyDescent="0.35">
      <c r="A78" s="26"/>
      <c r="B78" s="15" t="s">
        <v>150</v>
      </c>
      <c r="C78" s="19" t="s">
        <v>149</v>
      </c>
      <c r="D78" s="19" t="s">
        <v>202</v>
      </c>
      <c r="E78" s="42">
        <f t="shared" si="2"/>
        <v>1</v>
      </c>
      <c r="F78" s="43"/>
      <c r="G78" s="44"/>
      <c r="H78" s="44"/>
      <c r="I78" s="44"/>
      <c r="J78" s="43"/>
      <c r="K78" s="43"/>
      <c r="L78" s="43"/>
      <c r="M78" s="43"/>
      <c r="N78" s="43">
        <v>0.3</v>
      </c>
      <c r="O78" s="43"/>
      <c r="P78" s="43"/>
      <c r="Q78" s="43"/>
      <c r="R78" s="43"/>
      <c r="S78" s="43"/>
      <c r="T78" s="43">
        <v>0.7</v>
      </c>
      <c r="U78" s="44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20"/>
      <c r="AO78" s="20"/>
      <c r="AP78" s="20"/>
      <c r="AQ78" s="20"/>
      <c r="AR78" s="20"/>
      <c r="AS78" s="20"/>
      <c r="AT78" s="20"/>
    </row>
    <row r="79" spans="1:46" s="16" customFormat="1" x14ac:dyDescent="0.35">
      <c r="A79" s="26"/>
      <c r="B79" s="15" t="s">
        <v>151</v>
      </c>
      <c r="C79" s="19" t="s">
        <v>40</v>
      </c>
      <c r="D79" s="19" t="s">
        <v>202</v>
      </c>
      <c r="E79" s="42">
        <f t="shared" si="2"/>
        <v>1</v>
      </c>
      <c r="F79" s="43"/>
      <c r="G79" s="44">
        <v>1</v>
      </c>
      <c r="H79" s="44"/>
      <c r="I79" s="44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20"/>
      <c r="AO79" s="20"/>
      <c r="AP79" s="20"/>
      <c r="AQ79" s="20"/>
      <c r="AR79" s="20"/>
      <c r="AS79" s="20"/>
      <c r="AT79" s="20"/>
    </row>
    <row r="80" spans="1:46" s="16" customFormat="1" x14ac:dyDescent="0.35">
      <c r="A80" s="26"/>
      <c r="B80" s="17" t="s">
        <v>152</v>
      </c>
      <c r="C80" s="19" t="s">
        <v>40</v>
      </c>
      <c r="D80" s="19" t="s">
        <v>202</v>
      </c>
      <c r="E80" s="42">
        <f t="shared" si="2"/>
        <v>1</v>
      </c>
      <c r="F80" s="43"/>
      <c r="G80" s="44">
        <v>0</v>
      </c>
      <c r="H80" s="44"/>
      <c r="I80" s="44"/>
      <c r="J80" s="43"/>
      <c r="K80" s="43"/>
      <c r="L80" s="43"/>
      <c r="M80" s="43">
        <v>1</v>
      </c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20"/>
      <c r="AO80" s="20"/>
      <c r="AP80" s="20"/>
      <c r="AQ80" s="20"/>
      <c r="AR80" s="20"/>
      <c r="AS80" s="20"/>
      <c r="AT80" s="20"/>
    </row>
    <row r="81" spans="1:46" s="16" customFormat="1" x14ac:dyDescent="0.35">
      <c r="A81" s="26"/>
      <c r="B81" s="17" t="s">
        <v>153</v>
      </c>
      <c r="C81" s="19" t="s">
        <v>40</v>
      </c>
      <c r="D81" s="19" t="s">
        <v>202</v>
      </c>
      <c r="E81" s="42">
        <f t="shared" si="2"/>
        <v>1</v>
      </c>
      <c r="F81" s="43"/>
      <c r="G81" s="44">
        <v>1</v>
      </c>
      <c r="H81" s="44"/>
      <c r="I81" s="44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20"/>
      <c r="AO81" s="20"/>
      <c r="AP81" s="20"/>
      <c r="AQ81" s="20"/>
      <c r="AR81" s="20"/>
      <c r="AS81" s="20"/>
      <c r="AT81" s="20"/>
    </row>
    <row r="82" spans="1:46" s="16" customFormat="1" x14ac:dyDescent="0.35">
      <c r="A82" s="26"/>
      <c r="B82" s="15" t="s">
        <v>154</v>
      </c>
      <c r="C82" s="19" t="s">
        <v>40</v>
      </c>
      <c r="D82" s="19" t="s">
        <v>202</v>
      </c>
      <c r="E82" s="42">
        <f t="shared" si="2"/>
        <v>1</v>
      </c>
      <c r="F82" s="43"/>
      <c r="G82" s="44">
        <v>0.77</v>
      </c>
      <c r="H82" s="44"/>
      <c r="I82" s="44"/>
      <c r="J82" s="43">
        <v>0.23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20"/>
      <c r="AO82" s="20"/>
      <c r="AP82" s="20"/>
      <c r="AQ82" s="20"/>
      <c r="AR82" s="20"/>
      <c r="AS82" s="20"/>
      <c r="AT82" s="20"/>
    </row>
    <row r="83" spans="1:46" s="16" customFormat="1" x14ac:dyDescent="0.35">
      <c r="A83" s="26"/>
      <c r="B83" s="15" t="s">
        <v>155</v>
      </c>
      <c r="C83" s="19" t="s">
        <v>40</v>
      </c>
      <c r="D83" s="19" t="s">
        <v>202</v>
      </c>
      <c r="E83" s="42">
        <f t="shared" si="2"/>
        <v>1</v>
      </c>
      <c r="F83" s="43"/>
      <c r="G83" s="44"/>
      <c r="H83" s="44"/>
      <c r="I83" s="44"/>
      <c r="J83" s="43"/>
      <c r="K83" s="43"/>
      <c r="L83" s="43"/>
      <c r="M83" s="43">
        <v>1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20"/>
      <c r="AO83" s="20"/>
      <c r="AP83" s="20"/>
      <c r="AQ83" s="20"/>
      <c r="AR83" s="20"/>
      <c r="AS83" s="20"/>
      <c r="AT83" s="20"/>
    </row>
    <row r="84" spans="1:46" s="16" customFormat="1" x14ac:dyDescent="0.35">
      <c r="A84" s="26"/>
      <c r="B84" s="15" t="s">
        <v>156</v>
      </c>
      <c r="C84" s="19" t="s">
        <v>70</v>
      </c>
      <c r="D84" s="19" t="s">
        <v>202</v>
      </c>
      <c r="E84" s="42">
        <f t="shared" si="2"/>
        <v>1</v>
      </c>
      <c r="F84" s="43"/>
      <c r="G84" s="44"/>
      <c r="H84" s="44"/>
      <c r="I84" s="44"/>
      <c r="J84" s="43"/>
      <c r="K84" s="43">
        <v>1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20"/>
      <c r="AO84" s="20"/>
      <c r="AP84" s="20"/>
      <c r="AQ84" s="20"/>
      <c r="AR84" s="20"/>
      <c r="AS84" s="20"/>
      <c r="AT84" s="20"/>
    </row>
    <row r="85" spans="1:46" s="16" customFormat="1" x14ac:dyDescent="0.35">
      <c r="A85" s="26"/>
      <c r="B85" s="15" t="s">
        <v>157</v>
      </c>
      <c r="C85" s="19" t="s">
        <v>88</v>
      </c>
      <c r="D85" s="19" t="s">
        <v>202</v>
      </c>
      <c r="E85" s="42">
        <f t="shared" si="2"/>
        <v>1</v>
      </c>
      <c r="F85" s="43"/>
      <c r="G85" s="44"/>
      <c r="H85" s="44"/>
      <c r="I85" s="44"/>
      <c r="J85" s="43"/>
      <c r="K85" s="43"/>
      <c r="L85" s="43"/>
      <c r="M85" s="43"/>
      <c r="N85" s="43">
        <v>0.1</v>
      </c>
      <c r="O85" s="43"/>
      <c r="P85" s="43"/>
      <c r="Q85" s="43"/>
      <c r="R85" s="43">
        <v>0.1</v>
      </c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>
        <v>0.8</v>
      </c>
      <c r="AK85" s="43"/>
      <c r="AL85" s="43"/>
      <c r="AM85" s="43"/>
      <c r="AN85" s="20"/>
      <c r="AO85" s="20"/>
      <c r="AP85" s="20"/>
      <c r="AQ85" s="20"/>
      <c r="AR85" s="20"/>
      <c r="AS85" s="20"/>
      <c r="AT85" s="20"/>
    </row>
    <row r="86" spans="1:46" s="16" customFormat="1" x14ac:dyDescent="0.35">
      <c r="A86" s="26"/>
      <c r="B86" s="15" t="s">
        <v>158</v>
      </c>
      <c r="C86" s="19" t="s">
        <v>88</v>
      </c>
      <c r="D86" s="19" t="s">
        <v>202</v>
      </c>
      <c r="E86" s="42">
        <f t="shared" si="2"/>
        <v>1</v>
      </c>
      <c r="F86" s="43"/>
      <c r="G86" s="44"/>
      <c r="H86" s="44"/>
      <c r="I86" s="44"/>
      <c r="J86" s="43"/>
      <c r="K86" s="43"/>
      <c r="L86" s="43"/>
      <c r="M86" s="43"/>
      <c r="N86" s="43">
        <v>0.1</v>
      </c>
      <c r="O86" s="43"/>
      <c r="P86" s="43"/>
      <c r="Q86" s="43"/>
      <c r="R86" s="43">
        <v>0.1</v>
      </c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>
        <v>0.8</v>
      </c>
      <c r="AK86" s="43"/>
      <c r="AL86" s="43"/>
      <c r="AM86" s="43"/>
      <c r="AN86" s="20"/>
      <c r="AO86" s="20"/>
      <c r="AP86" s="20"/>
      <c r="AQ86" s="20"/>
      <c r="AR86" s="20"/>
      <c r="AS86" s="20"/>
      <c r="AT86" s="20"/>
    </row>
    <row r="87" spans="1:46" s="16" customFormat="1" x14ac:dyDescent="0.35">
      <c r="A87" s="26"/>
      <c r="B87" s="15" t="s">
        <v>159</v>
      </c>
      <c r="C87" s="19" t="s">
        <v>160</v>
      </c>
      <c r="D87" s="19" t="s">
        <v>202</v>
      </c>
      <c r="E87" s="42">
        <f t="shared" si="2"/>
        <v>1</v>
      </c>
      <c r="F87" s="43"/>
      <c r="G87" s="44"/>
      <c r="H87" s="44"/>
      <c r="I87" s="44"/>
      <c r="J87" s="43"/>
      <c r="K87" s="43"/>
      <c r="L87" s="43"/>
      <c r="M87" s="43"/>
      <c r="N87" s="43">
        <v>0.2</v>
      </c>
      <c r="O87" s="43"/>
      <c r="P87" s="43"/>
      <c r="Q87" s="43"/>
      <c r="R87" s="43">
        <v>0.1</v>
      </c>
      <c r="S87" s="43"/>
      <c r="T87" s="43"/>
      <c r="U87" s="43">
        <v>0.1</v>
      </c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>
        <v>0.6</v>
      </c>
      <c r="AK87" s="43"/>
      <c r="AL87" s="43"/>
      <c r="AM87" s="43"/>
      <c r="AN87" s="20"/>
      <c r="AO87" s="20"/>
      <c r="AP87" s="20"/>
      <c r="AQ87" s="20"/>
      <c r="AR87" s="20"/>
      <c r="AS87" s="20"/>
      <c r="AT87" s="20"/>
    </row>
    <row r="88" spans="1:46" s="16" customFormat="1" x14ac:dyDescent="0.35">
      <c r="A88" s="26"/>
      <c r="B88" s="15" t="s">
        <v>161</v>
      </c>
      <c r="C88" s="19" t="s">
        <v>162</v>
      </c>
      <c r="D88" s="19" t="s">
        <v>202</v>
      </c>
      <c r="E88" s="42">
        <f t="shared" si="2"/>
        <v>1</v>
      </c>
      <c r="F88" s="43"/>
      <c r="G88" s="44"/>
      <c r="H88" s="44"/>
      <c r="I88" s="44"/>
      <c r="J88" s="43"/>
      <c r="K88" s="43"/>
      <c r="L88" s="43"/>
      <c r="M88" s="43"/>
      <c r="N88" s="43"/>
      <c r="O88" s="43"/>
      <c r="P88" s="43"/>
      <c r="Q88" s="43">
        <v>0.5</v>
      </c>
      <c r="R88" s="43"/>
      <c r="S88" s="43"/>
      <c r="T88" s="43"/>
      <c r="U88" s="43"/>
      <c r="V88" s="43"/>
      <c r="W88" s="43"/>
      <c r="X88" s="43"/>
      <c r="Y88" s="43"/>
      <c r="Z88" s="43">
        <v>0.25</v>
      </c>
      <c r="AA88" s="43"/>
      <c r="AB88" s="43">
        <v>0.25</v>
      </c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20"/>
      <c r="AO88" s="20"/>
      <c r="AP88" s="20"/>
      <c r="AQ88" s="20"/>
      <c r="AR88" s="20"/>
      <c r="AS88" s="20"/>
      <c r="AT88" s="20"/>
    </row>
    <row r="89" spans="1:46" s="16" customFormat="1" x14ac:dyDescent="0.35">
      <c r="A89" s="26"/>
      <c r="B89" s="15" t="s">
        <v>163</v>
      </c>
      <c r="C89" s="19" t="s">
        <v>70</v>
      </c>
      <c r="D89" s="19" t="s">
        <v>202</v>
      </c>
      <c r="E89" s="42">
        <f t="shared" si="2"/>
        <v>1</v>
      </c>
      <c r="F89" s="43"/>
      <c r="G89" s="44"/>
      <c r="H89" s="44"/>
      <c r="I89" s="44"/>
      <c r="J89" s="43"/>
      <c r="K89" s="43">
        <v>1</v>
      </c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20"/>
      <c r="AO89" s="20"/>
      <c r="AP89" s="20"/>
      <c r="AQ89" s="20"/>
      <c r="AR89" s="20"/>
      <c r="AS89" s="20"/>
      <c r="AT89" s="20"/>
    </row>
    <row r="90" spans="1:46" s="16" customFormat="1" x14ac:dyDescent="0.35">
      <c r="A90" s="26"/>
      <c r="B90" s="15" t="s">
        <v>164</v>
      </c>
      <c r="C90" s="19" t="s">
        <v>40</v>
      </c>
      <c r="D90" s="19" t="s">
        <v>202</v>
      </c>
      <c r="E90" s="42">
        <f t="shared" si="2"/>
        <v>1</v>
      </c>
      <c r="F90" s="43"/>
      <c r="G90" s="44">
        <v>0</v>
      </c>
      <c r="H90" s="44">
        <v>1</v>
      </c>
      <c r="I90" s="44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20"/>
      <c r="AO90" s="20"/>
      <c r="AP90" s="20"/>
      <c r="AQ90" s="20"/>
      <c r="AR90" s="20"/>
      <c r="AS90" s="20"/>
      <c r="AT90" s="20"/>
    </row>
    <row r="91" spans="1:46" s="16" customFormat="1" x14ac:dyDescent="0.35">
      <c r="A91" s="26"/>
      <c r="B91" s="15" t="s">
        <v>165</v>
      </c>
      <c r="C91" s="19" t="s">
        <v>40</v>
      </c>
      <c r="D91" s="19" t="s">
        <v>202</v>
      </c>
      <c r="E91" s="42">
        <f t="shared" si="2"/>
        <v>1</v>
      </c>
      <c r="F91" s="43"/>
      <c r="G91" s="44"/>
      <c r="H91" s="44"/>
      <c r="I91" s="44"/>
      <c r="J91" s="43"/>
      <c r="K91" s="43"/>
      <c r="L91" s="43"/>
      <c r="M91" s="43">
        <v>1</v>
      </c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20"/>
      <c r="AO91" s="20"/>
      <c r="AP91" s="20"/>
      <c r="AQ91" s="20"/>
      <c r="AR91" s="20"/>
      <c r="AS91" s="20"/>
      <c r="AT91" s="20"/>
    </row>
    <row r="92" spans="1:46" s="16" customFormat="1" x14ac:dyDescent="0.35">
      <c r="A92" s="26"/>
      <c r="B92" s="1" t="s">
        <v>166</v>
      </c>
      <c r="C92" s="19" t="s">
        <v>36</v>
      </c>
      <c r="D92" s="19" t="s">
        <v>202</v>
      </c>
      <c r="E92" s="42">
        <f t="shared" si="2"/>
        <v>1</v>
      </c>
      <c r="F92" s="43"/>
      <c r="G92" s="44"/>
      <c r="H92" s="44"/>
      <c r="I92" s="44"/>
      <c r="J92" s="43"/>
      <c r="K92" s="43"/>
      <c r="L92" s="43"/>
      <c r="M92" s="43"/>
      <c r="N92" s="43"/>
      <c r="O92" s="43"/>
      <c r="P92" s="43">
        <v>1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20"/>
      <c r="AO92" s="20"/>
      <c r="AP92" s="20"/>
      <c r="AQ92" s="20"/>
      <c r="AR92" s="20"/>
      <c r="AS92" s="20"/>
      <c r="AT92" s="20"/>
    </row>
    <row r="93" spans="1:46" s="16" customFormat="1" x14ac:dyDescent="0.35">
      <c r="A93" s="26"/>
      <c r="B93" s="1" t="s">
        <v>167</v>
      </c>
      <c r="C93" s="19" t="s">
        <v>36</v>
      </c>
      <c r="D93" s="19" t="s">
        <v>202</v>
      </c>
      <c r="E93" s="42">
        <f t="shared" si="2"/>
        <v>1</v>
      </c>
      <c r="F93" s="43"/>
      <c r="G93" s="44"/>
      <c r="H93" s="44"/>
      <c r="I93" s="44"/>
      <c r="J93" s="43"/>
      <c r="K93" s="43"/>
      <c r="L93" s="43"/>
      <c r="M93" s="43"/>
      <c r="N93" s="43"/>
      <c r="O93" s="43"/>
      <c r="P93" s="43">
        <v>1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20"/>
      <c r="AO93" s="20"/>
      <c r="AP93" s="20"/>
      <c r="AQ93" s="20"/>
      <c r="AR93" s="20"/>
      <c r="AS93" s="20"/>
      <c r="AT93" s="20"/>
    </row>
    <row r="94" spans="1:46" s="16" customFormat="1" x14ac:dyDescent="0.35">
      <c r="A94" s="26"/>
      <c r="B94" s="1" t="s">
        <v>168</v>
      </c>
      <c r="C94" s="19" t="s">
        <v>40</v>
      </c>
      <c r="D94" s="19" t="s">
        <v>202</v>
      </c>
      <c r="E94" s="42">
        <f t="shared" si="2"/>
        <v>1</v>
      </c>
      <c r="F94" s="43"/>
      <c r="G94" s="44">
        <v>1</v>
      </c>
      <c r="H94" s="44"/>
      <c r="I94" s="44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20"/>
      <c r="AO94" s="20"/>
      <c r="AP94" s="20"/>
      <c r="AQ94" s="20"/>
      <c r="AR94" s="20"/>
      <c r="AS94" s="20"/>
      <c r="AT94" s="20"/>
    </row>
    <row r="95" spans="1:46" s="16" customFormat="1" x14ac:dyDescent="0.35">
      <c r="A95" s="26"/>
      <c r="B95" s="1" t="s">
        <v>169</v>
      </c>
      <c r="C95" s="19" t="s">
        <v>170</v>
      </c>
      <c r="D95" s="19" t="s">
        <v>202</v>
      </c>
      <c r="E95" s="42">
        <f t="shared" si="2"/>
        <v>1</v>
      </c>
      <c r="F95" s="43"/>
      <c r="G95" s="44"/>
      <c r="H95" s="44"/>
      <c r="I95" s="44"/>
      <c r="J95" s="43"/>
      <c r="K95" s="43"/>
      <c r="L95" s="43"/>
      <c r="M95" s="43">
        <v>1</v>
      </c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20"/>
      <c r="AO95" s="20"/>
      <c r="AP95" s="20"/>
      <c r="AQ95" s="20"/>
      <c r="AR95" s="20"/>
      <c r="AS95" s="20"/>
      <c r="AT95" s="20"/>
    </row>
    <row r="96" spans="1:46" s="16" customFormat="1" x14ac:dyDescent="0.35">
      <c r="A96" s="26"/>
      <c r="B96" s="1" t="s">
        <v>171</v>
      </c>
      <c r="C96" s="19" t="s">
        <v>95</v>
      </c>
      <c r="D96" s="19" t="s">
        <v>202</v>
      </c>
      <c r="E96" s="42">
        <f t="shared" si="2"/>
        <v>1</v>
      </c>
      <c r="F96" s="43"/>
      <c r="G96" s="44">
        <v>0.77</v>
      </c>
      <c r="H96" s="44"/>
      <c r="I96" s="44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>
        <v>0.23</v>
      </c>
      <c r="AN96" s="20"/>
      <c r="AO96" s="20"/>
      <c r="AP96" s="20"/>
      <c r="AQ96" s="20"/>
      <c r="AR96" s="20"/>
      <c r="AS96" s="20"/>
      <c r="AT96" s="20"/>
    </row>
    <row r="97" spans="1:46" s="16" customFormat="1" x14ac:dyDescent="0.35">
      <c r="A97" s="26"/>
      <c r="B97" s="1" t="s">
        <v>172</v>
      </c>
      <c r="C97" s="19" t="s">
        <v>70</v>
      </c>
      <c r="D97" s="19" t="s">
        <v>202</v>
      </c>
      <c r="E97" s="42">
        <f t="shared" si="2"/>
        <v>1</v>
      </c>
      <c r="F97" s="43"/>
      <c r="G97" s="44"/>
      <c r="H97" s="44"/>
      <c r="I97" s="44"/>
      <c r="J97" s="43"/>
      <c r="K97" s="43">
        <v>1</v>
      </c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20"/>
      <c r="AO97" s="20"/>
      <c r="AP97" s="20"/>
      <c r="AQ97" s="20"/>
      <c r="AR97" s="20"/>
      <c r="AS97" s="20"/>
      <c r="AT97" s="20"/>
    </row>
    <row r="98" spans="1:46" s="16" customFormat="1" x14ac:dyDescent="0.35">
      <c r="A98" s="26"/>
      <c r="B98" s="1" t="s">
        <v>173</v>
      </c>
      <c r="C98" s="19" t="s">
        <v>70</v>
      </c>
      <c r="D98" s="19" t="s">
        <v>202</v>
      </c>
      <c r="E98" s="42">
        <f t="shared" si="2"/>
        <v>1</v>
      </c>
      <c r="F98" s="43"/>
      <c r="G98" s="44"/>
      <c r="H98" s="44"/>
      <c r="I98" s="44"/>
      <c r="J98" s="43"/>
      <c r="K98" s="43">
        <v>1</v>
      </c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20"/>
      <c r="AO98" s="20"/>
      <c r="AP98" s="20"/>
      <c r="AQ98" s="20"/>
      <c r="AR98" s="20"/>
      <c r="AS98" s="20"/>
      <c r="AT98" s="20"/>
    </row>
    <row r="99" spans="1:46" s="16" customFormat="1" x14ac:dyDescent="0.35">
      <c r="A99" s="26"/>
      <c r="B99" s="1" t="s">
        <v>174</v>
      </c>
      <c r="C99" s="19" t="s">
        <v>162</v>
      </c>
      <c r="D99" s="19" t="s">
        <v>202</v>
      </c>
      <c r="E99" s="42">
        <f t="shared" si="2"/>
        <v>1</v>
      </c>
      <c r="F99" s="43"/>
      <c r="G99" s="44"/>
      <c r="H99" s="44"/>
      <c r="I99" s="44"/>
      <c r="J99" s="43"/>
      <c r="K99" s="43"/>
      <c r="L99" s="43"/>
      <c r="M99" s="43"/>
      <c r="N99" s="43"/>
      <c r="O99" s="43"/>
      <c r="P99" s="43"/>
      <c r="Q99" s="43">
        <v>0.32</v>
      </c>
      <c r="R99" s="43"/>
      <c r="S99" s="43"/>
      <c r="T99" s="43"/>
      <c r="U99" s="43"/>
      <c r="V99" s="43"/>
      <c r="W99" s="43"/>
      <c r="X99" s="43"/>
      <c r="Y99" s="43"/>
      <c r="Z99" s="43">
        <v>0.25</v>
      </c>
      <c r="AA99" s="43"/>
      <c r="AB99" s="43">
        <v>0.43</v>
      </c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20"/>
      <c r="AO99" s="20"/>
      <c r="AP99" s="20"/>
      <c r="AQ99" s="20"/>
      <c r="AR99" s="20"/>
      <c r="AS99" s="20"/>
      <c r="AT99" s="20"/>
    </row>
    <row r="100" spans="1:46" s="16" customFormat="1" x14ac:dyDescent="0.35">
      <c r="A100" s="26"/>
      <c r="B100" s="1" t="s">
        <v>175</v>
      </c>
      <c r="C100" s="19" t="s">
        <v>162</v>
      </c>
      <c r="D100" s="19" t="s">
        <v>202</v>
      </c>
      <c r="E100" s="42">
        <f t="shared" si="2"/>
        <v>1</v>
      </c>
      <c r="F100" s="43"/>
      <c r="G100" s="44"/>
      <c r="H100" s="44"/>
      <c r="I100" s="44"/>
      <c r="J100" s="43"/>
      <c r="K100" s="43"/>
      <c r="L100" s="43"/>
      <c r="M100" s="43"/>
      <c r="N100" s="43"/>
      <c r="O100" s="43"/>
      <c r="P100" s="43"/>
      <c r="Q100" s="43">
        <v>0.65</v>
      </c>
      <c r="R100" s="43"/>
      <c r="S100" s="43"/>
      <c r="T100" s="43"/>
      <c r="U100" s="43"/>
      <c r="V100" s="43"/>
      <c r="W100" s="43"/>
      <c r="X100" s="43"/>
      <c r="Y100" s="43"/>
      <c r="Z100" s="43">
        <v>0.25</v>
      </c>
      <c r="AA100" s="43"/>
      <c r="AB100" s="43">
        <v>0.1</v>
      </c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20"/>
      <c r="AO100" s="20"/>
      <c r="AP100" s="20"/>
      <c r="AQ100" s="20"/>
      <c r="AR100" s="20"/>
      <c r="AS100" s="20"/>
      <c r="AT100" s="20"/>
    </row>
    <row r="101" spans="1:46" s="16" customFormat="1" x14ac:dyDescent="0.35">
      <c r="A101" s="26"/>
      <c r="B101" s="1" t="s">
        <v>176</v>
      </c>
      <c r="C101" s="19" t="s">
        <v>162</v>
      </c>
      <c r="D101" s="19" t="s">
        <v>202</v>
      </c>
      <c r="E101" s="42">
        <f t="shared" si="2"/>
        <v>1</v>
      </c>
      <c r="F101" s="43"/>
      <c r="G101" s="44"/>
      <c r="H101" s="44"/>
      <c r="I101" s="44"/>
      <c r="J101" s="43"/>
      <c r="K101" s="43"/>
      <c r="L101" s="43"/>
      <c r="M101" s="43"/>
      <c r="N101" s="43"/>
      <c r="O101" s="43"/>
      <c r="P101" s="43"/>
      <c r="Q101" s="43">
        <v>0.23</v>
      </c>
      <c r="R101" s="43"/>
      <c r="S101" s="43"/>
      <c r="T101" s="43"/>
      <c r="U101" s="43"/>
      <c r="V101" s="43"/>
      <c r="W101" s="43"/>
      <c r="X101" s="43"/>
      <c r="Y101" s="43"/>
      <c r="Z101" s="43">
        <v>0.25</v>
      </c>
      <c r="AA101" s="43"/>
      <c r="AB101" s="43">
        <v>0.22</v>
      </c>
      <c r="AC101" s="43">
        <v>0.3</v>
      </c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20"/>
      <c r="AO101" s="20"/>
      <c r="AP101" s="20"/>
      <c r="AQ101" s="20"/>
      <c r="AR101" s="20"/>
      <c r="AS101" s="20"/>
      <c r="AT101" s="20"/>
    </row>
    <row r="102" spans="1:46" s="16" customFormat="1" x14ac:dyDescent="0.35">
      <c r="A102" s="26"/>
      <c r="B102" s="1" t="s">
        <v>177</v>
      </c>
      <c r="C102" s="1" t="s">
        <v>178</v>
      </c>
      <c r="D102" s="19" t="s">
        <v>202</v>
      </c>
      <c r="E102" s="42">
        <f t="shared" si="2"/>
        <v>1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>
        <v>1</v>
      </c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20"/>
      <c r="AO102" s="20"/>
      <c r="AP102" s="20"/>
      <c r="AQ102" s="20"/>
      <c r="AR102" s="20"/>
      <c r="AS102" s="20"/>
      <c r="AT102" s="20"/>
    </row>
    <row r="103" spans="1:46" s="16" customFormat="1" x14ac:dyDescent="0.35">
      <c r="A103" s="26"/>
      <c r="B103" s="1" t="s">
        <v>179</v>
      </c>
      <c r="C103" s="1" t="s">
        <v>180</v>
      </c>
      <c r="D103" s="19" t="s">
        <v>202</v>
      </c>
      <c r="E103" s="42">
        <f t="shared" si="2"/>
        <v>1</v>
      </c>
      <c r="F103" s="43"/>
      <c r="G103" s="44"/>
      <c r="H103" s="44"/>
      <c r="I103" s="44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>
        <v>1</v>
      </c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20"/>
      <c r="AO103" s="20"/>
      <c r="AP103" s="20"/>
      <c r="AQ103" s="20"/>
      <c r="AR103" s="20"/>
      <c r="AS103" s="20"/>
      <c r="AT103" s="20"/>
    </row>
    <row r="104" spans="1:46" s="16" customFormat="1" x14ac:dyDescent="0.35">
      <c r="A104" s="26"/>
      <c r="B104" s="1" t="s">
        <v>181</v>
      </c>
      <c r="C104" s="1" t="s">
        <v>180</v>
      </c>
      <c r="D104" s="19" t="s">
        <v>202</v>
      </c>
      <c r="E104" s="42">
        <f t="shared" si="2"/>
        <v>1</v>
      </c>
      <c r="F104" s="43"/>
      <c r="G104" s="44"/>
      <c r="H104" s="44"/>
      <c r="I104" s="44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>
        <v>1</v>
      </c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20"/>
      <c r="AO104" s="20"/>
      <c r="AP104" s="20"/>
      <c r="AQ104" s="20"/>
      <c r="AR104" s="20"/>
      <c r="AS104" s="20"/>
      <c r="AT104" s="20"/>
    </row>
    <row r="105" spans="1:46" s="16" customFormat="1" x14ac:dyDescent="0.35">
      <c r="A105" s="26"/>
      <c r="B105" s="1" t="s">
        <v>182</v>
      </c>
      <c r="C105" s="19" t="s">
        <v>43</v>
      </c>
      <c r="D105" s="19" t="s">
        <v>202</v>
      </c>
      <c r="E105" s="42">
        <f t="shared" si="2"/>
        <v>1</v>
      </c>
      <c r="F105" s="43"/>
      <c r="G105" s="44"/>
      <c r="H105" s="44"/>
      <c r="I105" s="44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>
        <v>1</v>
      </c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20"/>
      <c r="AO105" s="20"/>
      <c r="AP105" s="20"/>
      <c r="AQ105" s="20"/>
      <c r="AR105" s="20"/>
      <c r="AS105" s="20"/>
      <c r="AT105" s="20"/>
    </row>
    <row r="106" spans="1:46" s="16" customFormat="1" x14ac:dyDescent="0.35">
      <c r="A106" s="26"/>
      <c r="B106" s="1" t="s">
        <v>183</v>
      </c>
      <c r="C106" s="1" t="s">
        <v>184</v>
      </c>
      <c r="D106" s="19" t="s">
        <v>202</v>
      </c>
      <c r="E106" s="42">
        <f t="shared" si="2"/>
        <v>1</v>
      </c>
      <c r="F106" s="43"/>
      <c r="G106" s="44"/>
      <c r="H106" s="44"/>
      <c r="I106" s="44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>
        <v>1</v>
      </c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20"/>
      <c r="AO106" s="20"/>
      <c r="AP106" s="20"/>
      <c r="AQ106" s="20"/>
      <c r="AR106" s="20"/>
      <c r="AS106" s="20"/>
      <c r="AT106" s="20"/>
    </row>
    <row r="107" spans="1:46" s="16" customFormat="1" x14ac:dyDescent="0.35">
      <c r="A107" s="26"/>
      <c r="B107" s="1" t="s">
        <v>185</v>
      </c>
      <c r="C107" s="1" t="s">
        <v>186</v>
      </c>
      <c r="D107" s="19" t="s">
        <v>202</v>
      </c>
      <c r="E107" s="42">
        <f t="shared" si="2"/>
        <v>1</v>
      </c>
      <c r="F107" s="43"/>
      <c r="G107" s="44"/>
      <c r="H107" s="44"/>
      <c r="I107" s="44"/>
      <c r="J107" s="43"/>
      <c r="K107" s="43"/>
      <c r="L107" s="43"/>
      <c r="M107" s="43"/>
      <c r="N107" s="43"/>
      <c r="O107" s="43"/>
      <c r="P107" s="43"/>
      <c r="Q107" s="43"/>
      <c r="R107" s="43"/>
      <c r="S107" s="43">
        <v>0.5</v>
      </c>
      <c r="T107" s="43">
        <v>0.5</v>
      </c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20"/>
      <c r="AO107" s="20"/>
      <c r="AP107" s="20"/>
      <c r="AQ107" s="20"/>
      <c r="AR107" s="20"/>
      <c r="AS107" s="20"/>
      <c r="AT107" s="20"/>
    </row>
    <row r="108" spans="1:46" s="16" customFormat="1" x14ac:dyDescent="0.35">
      <c r="A108" s="26"/>
      <c r="B108" s="1" t="s">
        <v>187</v>
      </c>
      <c r="C108" s="1" t="s">
        <v>188</v>
      </c>
      <c r="D108" s="19" t="s">
        <v>202</v>
      </c>
      <c r="E108" s="42">
        <f t="shared" si="2"/>
        <v>1</v>
      </c>
      <c r="F108" s="43"/>
      <c r="G108" s="44"/>
      <c r="H108" s="44"/>
      <c r="I108" s="44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>
        <v>1</v>
      </c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>
        <v>0</v>
      </c>
      <c r="AI108" s="43"/>
      <c r="AJ108" s="43"/>
      <c r="AK108" s="43"/>
      <c r="AL108" s="43"/>
      <c r="AM108" s="43"/>
      <c r="AN108" s="20"/>
      <c r="AO108" s="20"/>
      <c r="AP108" s="20"/>
      <c r="AQ108" s="20"/>
      <c r="AR108" s="20"/>
      <c r="AS108" s="20"/>
      <c r="AT108" s="20"/>
    </row>
    <row r="109" spans="1:46" s="16" customFormat="1" x14ac:dyDescent="0.35">
      <c r="A109" s="26"/>
      <c r="B109" s="1" t="s">
        <v>189</v>
      </c>
      <c r="C109" s="19" t="s">
        <v>43</v>
      </c>
      <c r="D109" s="19" t="s">
        <v>202</v>
      </c>
      <c r="E109" s="42">
        <f t="shared" si="2"/>
        <v>1</v>
      </c>
      <c r="F109" s="43"/>
      <c r="G109" s="44"/>
      <c r="H109" s="44"/>
      <c r="I109" s="44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>
        <v>1</v>
      </c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>
        <v>0</v>
      </c>
      <c r="AI109" s="43"/>
      <c r="AJ109" s="43"/>
      <c r="AK109" s="43"/>
      <c r="AL109" s="43"/>
      <c r="AM109" s="43"/>
      <c r="AN109" s="20"/>
      <c r="AO109" s="20"/>
      <c r="AP109" s="20"/>
      <c r="AQ109" s="20"/>
      <c r="AR109" s="20"/>
      <c r="AS109" s="20"/>
      <c r="AT109" s="20"/>
    </row>
    <row r="110" spans="1:46" s="16" customFormat="1" x14ac:dyDescent="0.35">
      <c r="A110" s="26"/>
      <c r="B110" s="1" t="s">
        <v>190</v>
      </c>
      <c r="C110" s="19" t="s">
        <v>40</v>
      </c>
      <c r="D110" s="19" t="s">
        <v>202</v>
      </c>
      <c r="E110" s="42">
        <f t="shared" si="2"/>
        <v>1</v>
      </c>
      <c r="F110" s="43"/>
      <c r="G110" s="44">
        <v>1</v>
      </c>
      <c r="H110" s="44"/>
      <c r="I110" s="44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>
        <v>0</v>
      </c>
      <c r="AI110" s="43"/>
      <c r="AJ110" s="43"/>
      <c r="AK110" s="43"/>
      <c r="AL110" s="43"/>
      <c r="AM110" s="43"/>
      <c r="AN110" s="20"/>
      <c r="AO110" s="20"/>
      <c r="AP110" s="20"/>
      <c r="AQ110" s="20"/>
      <c r="AR110" s="20"/>
      <c r="AS110" s="20"/>
      <c r="AT110" s="20"/>
    </row>
    <row r="111" spans="1:46" x14ac:dyDescent="0.35">
      <c r="A111" s="18"/>
      <c r="B111" s="17"/>
      <c r="Z111" s="22" t="s">
        <v>191</v>
      </c>
      <c r="AA111" s="22" t="s">
        <v>191</v>
      </c>
    </row>
  </sheetData>
  <dataConsolidate/>
  <conditionalFormatting sqref="E4:E110">
    <cfRule type="cellIs" dxfId="4" priority="1" operator="not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43"/>
  <sheetViews>
    <sheetView tabSelected="1" workbookViewId="0">
      <pane xSplit="6" ySplit="3" topLeftCell="X4" activePane="bottomRight" state="frozen"/>
      <selection pane="topRight" activeCell="G1" sqref="G1"/>
      <selection pane="bottomLeft" activeCell="A4" sqref="A4"/>
      <selection pane="bottomRight" activeCell="D41" sqref="D41"/>
    </sheetView>
  </sheetViews>
  <sheetFormatPr defaultRowHeight="14.5" x14ac:dyDescent="0.35"/>
  <cols>
    <col min="1" max="1" width="8.54296875" style="52" bestFit="1" customWidth="1"/>
    <col min="2" max="2" width="23.54296875" style="61" customWidth="1"/>
    <col min="3" max="3" width="26.54296875" style="61" bestFit="1" customWidth="1"/>
    <col min="4" max="4" width="15.36328125" style="50" customWidth="1"/>
    <col min="5" max="5" width="13.08984375" style="63" customWidth="1"/>
    <col min="6" max="6" width="7.6328125" style="63" customWidth="1"/>
    <col min="7" max="31" width="13" style="51" customWidth="1"/>
    <col min="32" max="32" width="11.81640625" style="51" customWidth="1"/>
    <col min="33" max="16384" width="8.7265625" style="51"/>
  </cols>
  <sheetData>
    <row r="1" spans="1:34" s="81" customFormat="1" ht="43.5" x14ac:dyDescent="0.35">
      <c r="A1" s="64"/>
      <c r="B1" s="64" t="s">
        <v>198</v>
      </c>
      <c r="C1" s="65">
        <v>43831</v>
      </c>
      <c r="D1" s="65"/>
      <c r="E1" s="66" t="s">
        <v>196</v>
      </c>
      <c r="F1" s="70"/>
      <c r="G1" s="89" t="s">
        <v>279</v>
      </c>
      <c r="H1" s="89" t="s">
        <v>205</v>
      </c>
      <c r="I1" s="89" t="s">
        <v>205</v>
      </c>
      <c r="J1" s="89" t="s">
        <v>205</v>
      </c>
      <c r="K1" s="91" t="s">
        <v>206</v>
      </c>
      <c r="L1" s="87" t="s">
        <v>280</v>
      </c>
      <c r="M1" s="93" t="s">
        <v>207</v>
      </c>
      <c r="N1" s="94" t="s">
        <v>281</v>
      </c>
      <c r="O1" s="94" t="s">
        <v>208</v>
      </c>
      <c r="P1" s="93" t="s">
        <v>286</v>
      </c>
      <c r="Q1" s="79" t="s">
        <v>285</v>
      </c>
      <c r="R1" s="79" t="s">
        <v>209</v>
      </c>
      <c r="S1" s="79" t="s">
        <v>206</v>
      </c>
      <c r="T1" s="79" t="s">
        <v>210</v>
      </c>
      <c r="U1" s="78" t="s">
        <v>282</v>
      </c>
      <c r="V1" s="79" t="s">
        <v>207</v>
      </c>
      <c r="W1" s="105" t="s">
        <v>289</v>
      </c>
      <c r="X1" s="79" t="s">
        <v>291</v>
      </c>
      <c r="Y1" s="79" t="s">
        <v>292</v>
      </c>
      <c r="Z1" s="78" t="s">
        <v>283</v>
      </c>
      <c r="AA1" s="79" t="s">
        <v>211</v>
      </c>
      <c r="AB1" s="79" t="s">
        <v>205</v>
      </c>
      <c r="AC1" s="79" t="s">
        <v>205</v>
      </c>
      <c r="AD1" s="79" t="s">
        <v>205</v>
      </c>
      <c r="AE1" s="79" t="s">
        <v>88</v>
      </c>
      <c r="AF1" s="80"/>
      <c r="AG1" s="80"/>
      <c r="AH1" s="80"/>
    </row>
    <row r="2" spans="1:34" s="81" customFormat="1" ht="18.75" customHeight="1" x14ac:dyDescent="0.35">
      <c r="A2" s="96"/>
      <c r="B2" s="97"/>
      <c r="C2" s="98"/>
      <c r="D2" s="98"/>
      <c r="E2" s="99" t="s">
        <v>220</v>
      </c>
      <c r="F2" s="100"/>
      <c r="G2" s="90" t="s">
        <v>1</v>
      </c>
      <c r="H2" s="90" t="s">
        <v>260</v>
      </c>
      <c r="I2" s="90" t="s">
        <v>265</v>
      </c>
      <c r="J2" s="90" t="s">
        <v>261</v>
      </c>
      <c r="K2" s="92" t="s">
        <v>262</v>
      </c>
      <c r="L2" s="88" t="s">
        <v>264</v>
      </c>
      <c r="M2" s="95" t="s">
        <v>263</v>
      </c>
      <c r="N2" s="95" t="s">
        <v>266</v>
      </c>
      <c r="O2" s="95" t="s">
        <v>267</v>
      </c>
      <c r="P2" s="95" t="s">
        <v>287</v>
      </c>
      <c r="Q2" s="85" t="s">
        <v>273</v>
      </c>
      <c r="R2" s="85" t="s">
        <v>268</v>
      </c>
      <c r="S2" s="85" t="s">
        <v>269</v>
      </c>
      <c r="T2" s="85" t="s">
        <v>270</v>
      </c>
      <c r="U2" s="85" t="s">
        <v>271</v>
      </c>
      <c r="V2" s="85" t="s">
        <v>272</v>
      </c>
      <c r="W2" s="106" t="s">
        <v>288</v>
      </c>
      <c r="X2" s="101" t="s">
        <v>290</v>
      </c>
      <c r="Y2" s="85" t="s">
        <v>274</v>
      </c>
      <c r="Z2" s="85" t="s">
        <v>275</v>
      </c>
      <c r="AA2" s="85" t="s">
        <v>276</v>
      </c>
      <c r="AB2" s="85" t="s">
        <v>30</v>
      </c>
      <c r="AC2" s="85" t="s">
        <v>277</v>
      </c>
      <c r="AD2" s="85" t="s">
        <v>278</v>
      </c>
      <c r="AE2" s="85" t="s">
        <v>88</v>
      </c>
    </row>
    <row r="3" spans="1:34" s="103" customFormat="1" x14ac:dyDescent="0.35">
      <c r="A3" s="82" t="s">
        <v>192</v>
      </c>
      <c r="B3" s="83" t="s">
        <v>193</v>
      </c>
      <c r="C3" s="84" t="s">
        <v>194</v>
      </c>
      <c r="D3" s="86" t="s">
        <v>201</v>
      </c>
      <c r="E3" s="67">
        <f>SUM(E4:E121)</f>
        <v>37</v>
      </c>
      <c r="F3" s="86" t="s">
        <v>221</v>
      </c>
      <c r="G3" s="102">
        <f t="shared" ref="G3:AD3" si="0">SUM(G4:G43)</f>
        <v>12.719999999999999</v>
      </c>
      <c r="H3" s="102">
        <f t="shared" si="0"/>
        <v>0.28000000000000003</v>
      </c>
      <c r="I3" s="102">
        <f t="shared" si="0"/>
        <v>2</v>
      </c>
      <c r="J3" s="102">
        <f t="shared" si="0"/>
        <v>2</v>
      </c>
      <c r="K3" s="102">
        <f t="shared" si="0"/>
        <v>5.15</v>
      </c>
      <c r="L3" s="102">
        <f t="shared" si="0"/>
        <v>1.33</v>
      </c>
      <c r="M3" s="102">
        <f t="shared" si="0"/>
        <v>0.91</v>
      </c>
      <c r="N3" s="102">
        <f t="shared" si="0"/>
        <v>2</v>
      </c>
      <c r="O3" s="102">
        <f t="shared" si="0"/>
        <v>0.4</v>
      </c>
      <c r="P3" s="102">
        <f t="shared" si="0"/>
        <v>0.18</v>
      </c>
      <c r="Q3" s="102">
        <f t="shared" si="0"/>
        <v>0.8600000000000001</v>
      </c>
      <c r="R3" s="102">
        <f t="shared" si="0"/>
        <v>0.39999999999999997</v>
      </c>
      <c r="S3" s="102">
        <f t="shared" si="0"/>
        <v>0.27</v>
      </c>
      <c r="T3" s="102">
        <f t="shared" si="0"/>
        <v>0.16</v>
      </c>
      <c r="U3" s="102">
        <f t="shared" si="0"/>
        <v>0.84000000000000008</v>
      </c>
      <c r="V3" s="102">
        <f t="shared" si="0"/>
        <v>1.18</v>
      </c>
      <c r="W3" s="102">
        <f t="shared" si="0"/>
        <v>0.27</v>
      </c>
      <c r="X3" s="102">
        <f t="shared" si="0"/>
        <v>0.58000000000000007</v>
      </c>
      <c r="Y3" s="102">
        <f t="shared" si="0"/>
        <v>0.7599999999999999</v>
      </c>
      <c r="Z3" s="102">
        <f t="shared" si="0"/>
        <v>1.88</v>
      </c>
      <c r="AA3" s="102">
        <f t="shared" si="0"/>
        <v>0.9</v>
      </c>
      <c r="AB3" s="102">
        <f t="shared" si="0"/>
        <v>1.83</v>
      </c>
      <c r="AC3" s="102">
        <f t="shared" si="0"/>
        <v>0.1</v>
      </c>
      <c r="AD3" s="102">
        <f t="shared" si="0"/>
        <v>1</v>
      </c>
      <c r="AE3" s="102">
        <f>SUM(AE4:AE43)</f>
        <v>1</v>
      </c>
    </row>
    <row r="4" spans="1:34" x14ac:dyDescent="0.35">
      <c r="A4" s="104" t="s">
        <v>284</v>
      </c>
      <c r="B4" s="51" t="s">
        <v>40</v>
      </c>
      <c r="C4" s="51" t="s">
        <v>40</v>
      </c>
      <c r="D4" s="68" t="s">
        <v>202</v>
      </c>
      <c r="E4" s="53">
        <f t="shared" ref="E4:E43" si="1">SUM(G4:BM4)</f>
        <v>1</v>
      </c>
      <c r="F4" s="71">
        <f>COUNTIF(G4:AE4,"&gt;0")</f>
        <v>1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>
        <v>1</v>
      </c>
      <c r="AF4" s="54"/>
    </row>
    <row r="5" spans="1:34" x14ac:dyDescent="0.35">
      <c r="A5" s="51" t="s">
        <v>34</v>
      </c>
      <c r="B5" s="51" t="s">
        <v>222</v>
      </c>
      <c r="C5" s="68" t="s">
        <v>40</v>
      </c>
      <c r="D5" s="68" t="s">
        <v>202</v>
      </c>
      <c r="E5" s="53">
        <f>SUM(G5:BM5)</f>
        <v>1</v>
      </c>
      <c r="F5" s="71">
        <f>COUNTIF(G5:AE5,"&gt;0")</f>
        <v>1</v>
      </c>
      <c r="G5" s="49">
        <v>1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54"/>
    </row>
    <row r="6" spans="1:34" x14ac:dyDescent="0.35">
      <c r="A6" s="51" t="s">
        <v>225</v>
      </c>
      <c r="B6" s="51" t="s">
        <v>226</v>
      </c>
      <c r="C6" s="68" t="s">
        <v>213</v>
      </c>
      <c r="D6" s="68" t="s">
        <v>202</v>
      </c>
      <c r="E6" s="53">
        <f t="shared" si="1"/>
        <v>1</v>
      </c>
      <c r="F6" s="71">
        <f t="shared" ref="F6:F43" si="2">COUNTIF(G6:AE6,"&gt;0")</f>
        <v>1</v>
      </c>
      <c r="G6" s="49">
        <v>1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4"/>
    </row>
    <row r="7" spans="1:34" x14ac:dyDescent="0.35">
      <c r="A7" s="72" t="s">
        <v>293</v>
      </c>
      <c r="B7" s="73" t="s">
        <v>214</v>
      </c>
      <c r="C7" s="73" t="s">
        <v>213</v>
      </c>
      <c r="D7" s="73" t="s">
        <v>202</v>
      </c>
      <c r="E7" s="53">
        <f t="shared" si="1"/>
        <v>1</v>
      </c>
      <c r="F7" s="71">
        <f t="shared" si="2"/>
        <v>1</v>
      </c>
      <c r="G7" s="49">
        <v>1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54"/>
    </row>
    <row r="8" spans="1:34" x14ac:dyDescent="0.35">
      <c r="A8" s="51" t="s">
        <v>54</v>
      </c>
      <c r="B8" s="51" t="s">
        <v>227</v>
      </c>
      <c r="C8" s="68" t="s">
        <v>212</v>
      </c>
      <c r="D8" s="68" t="s">
        <v>202</v>
      </c>
      <c r="E8" s="53">
        <f t="shared" si="1"/>
        <v>1</v>
      </c>
      <c r="F8" s="71">
        <f t="shared" si="2"/>
        <v>1</v>
      </c>
      <c r="G8" s="49"/>
      <c r="H8" s="49"/>
      <c r="I8" s="49">
        <v>1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54"/>
    </row>
    <row r="9" spans="1:34" x14ac:dyDescent="0.35">
      <c r="A9" s="51" t="s">
        <v>38</v>
      </c>
      <c r="B9" s="51" t="s">
        <v>228</v>
      </c>
      <c r="C9" s="68" t="s">
        <v>40</v>
      </c>
      <c r="D9" s="68" t="s">
        <v>202</v>
      </c>
      <c r="E9" s="53">
        <f t="shared" si="1"/>
        <v>1</v>
      </c>
      <c r="F9" s="71">
        <f t="shared" si="2"/>
        <v>1</v>
      </c>
      <c r="G9" s="49">
        <v>1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54"/>
    </row>
    <row r="10" spans="1:34" x14ac:dyDescent="0.35">
      <c r="A10" s="51" t="s">
        <v>68</v>
      </c>
      <c r="B10" s="51" t="s">
        <v>229</v>
      </c>
      <c r="C10" s="68" t="s">
        <v>43</v>
      </c>
      <c r="D10" s="68" t="s">
        <v>202</v>
      </c>
      <c r="E10" s="53">
        <f t="shared" si="1"/>
        <v>1</v>
      </c>
      <c r="F10" s="71">
        <f t="shared" si="2"/>
        <v>1</v>
      </c>
      <c r="G10" s="49"/>
      <c r="H10" s="49"/>
      <c r="I10" s="49"/>
      <c r="J10" s="49"/>
      <c r="K10" s="49">
        <v>1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54"/>
    </row>
    <row r="11" spans="1:34" x14ac:dyDescent="0.35">
      <c r="A11" s="51" t="s">
        <v>62</v>
      </c>
      <c r="B11" s="51" t="s">
        <v>230</v>
      </c>
      <c r="C11" s="68" t="s">
        <v>101</v>
      </c>
      <c r="D11" s="68" t="s">
        <v>202</v>
      </c>
      <c r="E11" s="53">
        <f t="shared" si="1"/>
        <v>1</v>
      </c>
      <c r="F11" s="71">
        <f t="shared" si="2"/>
        <v>1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>
        <v>1</v>
      </c>
      <c r="W11" s="49"/>
      <c r="X11" s="49"/>
      <c r="Y11" s="49"/>
      <c r="Z11" s="49"/>
      <c r="AA11" s="49"/>
      <c r="AB11" s="49"/>
      <c r="AC11" s="49"/>
      <c r="AD11" s="49"/>
      <c r="AE11" s="49"/>
      <c r="AF11" s="54"/>
    </row>
    <row r="12" spans="1:34" x14ac:dyDescent="0.35">
      <c r="A12" s="51" t="s">
        <v>46</v>
      </c>
      <c r="B12" s="51" t="s">
        <v>231</v>
      </c>
      <c r="C12" s="68" t="s">
        <v>40</v>
      </c>
      <c r="D12" s="68" t="s">
        <v>202</v>
      </c>
      <c r="E12" s="53">
        <f t="shared" si="1"/>
        <v>1</v>
      </c>
      <c r="F12" s="71">
        <f t="shared" si="2"/>
        <v>2</v>
      </c>
      <c r="G12" s="49">
        <v>0.72</v>
      </c>
      <c r="H12" s="49">
        <v>0.28000000000000003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54"/>
    </row>
    <row r="13" spans="1:34" x14ac:dyDescent="0.35">
      <c r="A13" s="51" t="s">
        <v>56</v>
      </c>
      <c r="B13" s="51" t="s">
        <v>232</v>
      </c>
      <c r="C13" s="68" t="s">
        <v>83</v>
      </c>
      <c r="D13" s="68" t="s">
        <v>202</v>
      </c>
      <c r="E13" s="53">
        <f t="shared" si="1"/>
        <v>1</v>
      </c>
      <c r="F13" s="71">
        <f t="shared" si="2"/>
        <v>1</v>
      </c>
      <c r="G13" s="49"/>
      <c r="H13" s="49"/>
      <c r="I13" s="49"/>
      <c r="J13" s="49">
        <v>1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54"/>
    </row>
    <row r="14" spans="1:34" x14ac:dyDescent="0.35">
      <c r="A14" s="51" t="s">
        <v>84</v>
      </c>
      <c r="B14" s="51" t="s">
        <v>233</v>
      </c>
      <c r="C14" s="68" t="s">
        <v>88</v>
      </c>
      <c r="D14" s="68" t="s">
        <v>202</v>
      </c>
      <c r="E14" s="53">
        <f t="shared" si="1"/>
        <v>1</v>
      </c>
      <c r="F14" s="71">
        <f t="shared" si="2"/>
        <v>2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>
        <v>0.9</v>
      </c>
      <c r="AB14" s="49"/>
      <c r="AC14" s="49">
        <v>0.1</v>
      </c>
      <c r="AD14" s="49"/>
      <c r="AE14" s="49"/>
      <c r="AF14" s="54"/>
    </row>
    <row r="15" spans="1:34" x14ac:dyDescent="0.35">
      <c r="A15" s="51" t="s">
        <v>76</v>
      </c>
      <c r="B15" s="51" t="s">
        <v>234</v>
      </c>
      <c r="C15" s="68" t="s">
        <v>90</v>
      </c>
      <c r="D15" s="68" t="s">
        <v>202</v>
      </c>
      <c r="E15" s="53">
        <f t="shared" si="1"/>
        <v>1</v>
      </c>
      <c r="F15" s="71">
        <f t="shared" si="2"/>
        <v>2</v>
      </c>
      <c r="G15" s="49"/>
      <c r="H15" s="49"/>
      <c r="I15" s="49"/>
      <c r="J15" s="49"/>
      <c r="K15" s="49"/>
      <c r="L15" s="49">
        <v>0.33</v>
      </c>
      <c r="M15" s="49">
        <v>0.67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54"/>
    </row>
    <row r="16" spans="1:34" x14ac:dyDescent="0.35">
      <c r="A16" s="51" t="s">
        <v>223</v>
      </c>
      <c r="B16" s="51" t="s">
        <v>224</v>
      </c>
      <c r="C16" s="68" t="s">
        <v>83</v>
      </c>
      <c r="D16" s="68" t="s">
        <v>202</v>
      </c>
      <c r="E16" s="53">
        <f t="shared" si="1"/>
        <v>1</v>
      </c>
      <c r="F16" s="71">
        <f t="shared" si="2"/>
        <v>1</v>
      </c>
      <c r="G16" s="49"/>
      <c r="H16" s="49"/>
      <c r="I16" s="49"/>
      <c r="J16" s="49">
        <v>1</v>
      </c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54"/>
    </row>
    <row r="17" spans="1:32" x14ac:dyDescent="0.35">
      <c r="A17" s="72" t="s">
        <v>294</v>
      </c>
      <c r="B17" s="73" t="s">
        <v>215</v>
      </c>
      <c r="C17" s="73" t="s">
        <v>216</v>
      </c>
      <c r="D17" s="73" t="s">
        <v>202</v>
      </c>
      <c r="E17" s="53">
        <f t="shared" si="1"/>
        <v>1</v>
      </c>
      <c r="F17" s="71">
        <f t="shared" si="2"/>
        <v>3</v>
      </c>
      <c r="G17" s="49"/>
      <c r="H17" s="49"/>
      <c r="I17" s="49"/>
      <c r="J17" s="49"/>
      <c r="K17" s="49"/>
      <c r="L17" s="49"/>
      <c r="M17" s="49"/>
      <c r="N17" s="49"/>
      <c r="O17" s="55">
        <v>0.15</v>
      </c>
      <c r="P17" s="55"/>
      <c r="Q17" s="55">
        <v>0.74</v>
      </c>
      <c r="R17" s="55">
        <v>0.11</v>
      </c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54"/>
    </row>
    <row r="18" spans="1:32" x14ac:dyDescent="0.35">
      <c r="A18" s="51" t="s">
        <v>235</v>
      </c>
      <c r="B18" s="51" t="s">
        <v>236</v>
      </c>
      <c r="C18" s="68" t="s">
        <v>101</v>
      </c>
      <c r="D18" s="68" t="s">
        <v>202</v>
      </c>
      <c r="E18" s="53">
        <f t="shared" si="1"/>
        <v>1</v>
      </c>
      <c r="F18" s="71">
        <f t="shared" si="2"/>
        <v>4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6">
        <v>0.1</v>
      </c>
      <c r="U18" s="56">
        <v>0.45</v>
      </c>
      <c r="V18" s="56">
        <v>0.18</v>
      </c>
      <c r="W18" s="56">
        <v>0.27</v>
      </c>
      <c r="X18" s="49"/>
      <c r="Y18" s="49"/>
      <c r="Z18" s="49"/>
      <c r="AA18" s="49"/>
      <c r="AB18" s="49"/>
      <c r="AC18" s="49"/>
      <c r="AD18" s="49"/>
      <c r="AE18" s="49"/>
      <c r="AF18" s="54"/>
    </row>
    <row r="19" spans="1:32" x14ac:dyDescent="0.35">
      <c r="A19" s="51" t="s">
        <v>50</v>
      </c>
      <c r="B19" s="51" t="s">
        <v>237</v>
      </c>
      <c r="C19" s="68" t="s">
        <v>40</v>
      </c>
      <c r="D19" s="68" t="s">
        <v>202</v>
      </c>
      <c r="E19" s="53">
        <f t="shared" si="1"/>
        <v>1</v>
      </c>
      <c r="F19" s="71">
        <f t="shared" si="2"/>
        <v>1</v>
      </c>
      <c r="G19" s="49">
        <v>1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54"/>
    </row>
    <row r="20" spans="1:32" x14ac:dyDescent="0.35">
      <c r="A20" s="51" t="s">
        <v>80</v>
      </c>
      <c r="B20" s="51" t="s">
        <v>238</v>
      </c>
      <c r="C20" s="68" t="s">
        <v>180</v>
      </c>
      <c r="D20" s="68" t="s">
        <v>202</v>
      </c>
      <c r="E20" s="53">
        <f t="shared" si="1"/>
        <v>1</v>
      </c>
      <c r="F20" s="71">
        <f t="shared" si="2"/>
        <v>1</v>
      </c>
      <c r="G20" s="49"/>
      <c r="H20" s="49"/>
      <c r="I20" s="49"/>
      <c r="J20" s="49"/>
      <c r="K20" s="49"/>
      <c r="L20" s="49">
        <v>1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54"/>
    </row>
    <row r="21" spans="1:32" x14ac:dyDescent="0.35">
      <c r="A21" s="51" t="s">
        <v>239</v>
      </c>
      <c r="B21" s="51" t="s">
        <v>240</v>
      </c>
      <c r="C21" s="68" t="s">
        <v>43</v>
      </c>
      <c r="D21" s="68" t="s">
        <v>202</v>
      </c>
      <c r="E21" s="53">
        <f t="shared" si="1"/>
        <v>1</v>
      </c>
      <c r="F21" s="71">
        <f t="shared" si="2"/>
        <v>1</v>
      </c>
      <c r="G21" s="49"/>
      <c r="H21" s="49"/>
      <c r="I21" s="49"/>
      <c r="J21" s="49"/>
      <c r="K21" s="49">
        <v>1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4"/>
    </row>
    <row r="22" spans="1:32" x14ac:dyDescent="0.35">
      <c r="A22" s="51" t="s">
        <v>243</v>
      </c>
      <c r="B22" s="51" t="s">
        <v>244</v>
      </c>
      <c r="C22" s="68"/>
      <c r="D22" s="68" t="s">
        <v>202</v>
      </c>
      <c r="E22" s="53"/>
      <c r="F22" s="71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54"/>
    </row>
    <row r="23" spans="1:32" x14ac:dyDescent="0.35">
      <c r="A23" s="51" t="s">
        <v>74</v>
      </c>
      <c r="B23" s="51" t="s">
        <v>241</v>
      </c>
      <c r="C23" s="68" t="s">
        <v>43</v>
      </c>
      <c r="D23" s="68" t="s">
        <v>202</v>
      </c>
      <c r="E23" s="53">
        <f t="shared" si="1"/>
        <v>1</v>
      </c>
      <c r="F23" s="71">
        <f t="shared" si="2"/>
        <v>1</v>
      </c>
      <c r="G23" s="49"/>
      <c r="H23" s="49"/>
      <c r="I23" s="49"/>
      <c r="J23" s="49"/>
      <c r="K23" s="49">
        <v>1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54"/>
    </row>
    <row r="24" spans="1:32" x14ac:dyDescent="0.35">
      <c r="A24" s="51" t="s">
        <v>82</v>
      </c>
      <c r="B24" s="51" t="s">
        <v>242</v>
      </c>
      <c r="C24" s="68" t="s">
        <v>162</v>
      </c>
      <c r="D24" s="68" t="s">
        <v>202</v>
      </c>
      <c r="E24" s="53">
        <f t="shared" si="1"/>
        <v>1</v>
      </c>
      <c r="F24" s="71">
        <f t="shared" si="2"/>
        <v>5</v>
      </c>
      <c r="G24" s="49"/>
      <c r="H24" s="49"/>
      <c r="I24" s="49"/>
      <c r="J24" s="49"/>
      <c r="K24" s="49"/>
      <c r="L24" s="49"/>
      <c r="M24" s="49"/>
      <c r="N24" s="49"/>
      <c r="O24" s="57">
        <v>0.25</v>
      </c>
      <c r="P24" s="57">
        <v>0.18</v>
      </c>
      <c r="Q24" s="57">
        <v>7.0000000000000007E-2</v>
      </c>
      <c r="R24" s="57">
        <v>0.25</v>
      </c>
      <c r="S24" s="57">
        <v>0.25</v>
      </c>
      <c r="T24" s="57"/>
      <c r="U24" s="57"/>
      <c r="V24" s="57"/>
      <c r="W24" s="57"/>
      <c r="X24" s="49"/>
      <c r="Y24" s="49"/>
      <c r="Z24" s="49"/>
      <c r="AA24" s="49"/>
      <c r="AB24" s="49"/>
      <c r="AC24" s="49"/>
      <c r="AD24" s="49"/>
      <c r="AE24" s="49"/>
      <c r="AF24" s="54"/>
    </row>
    <row r="25" spans="1:32" x14ac:dyDescent="0.35">
      <c r="A25" s="51" t="s">
        <v>245</v>
      </c>
      <c r="B25" s="51" t="s">
        <v>123</v>
      </c>
      <c r="C25" s="68" t="s">
        <v>40</v>
      </c>
      <c r="D25" s="68" t="s">
        <v>202</v>
      </c>
      <c r="E25" s="53">
        <f t="shared" si="1"/>
        <v>1</v>
      </c>
      <c r="F25" s="71">
        <f t="shared" si="2"/>
        <v>1</v>
      </c>
      <c r="G25" s="49">
        <v>1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54"/>
    </row>
    <row r="26" spans="1:32" x14ac:dyDescent="0.35">
      <c r="A26" s="51" t="s">
        <v>246</v>
      </c>
      <c r="B26" s="51" t="s">
        <v>247</v>
      </c>
      <c r="C26" s="68" t="s">
        <v>188</v>
      </c>
      <c r="D26" s="68" t="s">
        <v>202</v>
      </c>
      <c r="E26" s="53">
        <f t="shared" si="1"/>
        <v>1</v>
      </c>
      <c r="F26" s="71">
        <f t="shared" si="2"/>
        <v>1</v>
      </c>
      <c r="G26" s="49"/>
      <c r="H26" s="49"/>
      <c r="I26" s="49"/>
      <c r="J26" s="49"/>
      <c r="K26" s="49"/>
      <c r="L26" s="49"/>
      <c r="M26" s="49"/>
      <c r="N26" s="49">
        <v>1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54"/>
    </row>
    <row r="27" spans="1:32" x14ac:dyDescent="0.35">
      <c r="A27" s="72" t="s">
        <v>295</v>
      </c>
      <c r="B27" s="73" t="s">
        <v>126</v>
      </c>
      <c r="C27" s="73" t="s">
        <v>43</v>
      </c>
      <c r="D27" s="73" t="s">
        <v>202</v>
      </c>
      <c r="E27" s="53">
        <f t="shared" si="1"/>
        <v>1</v>
      </c>
      <c r="F27" s="71">
        <f t="shared" si="2"/>
        <v>2</v>
      </c>
      <c r="G27" s="49"/>
      <c r="H27" s="49"/>
      <c r="I27" s="49"/>
      <c r="J27" s="49"/>
      <c r="K27" s="58">
        <v>0.95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>
        <v>0.05</v>
      </c>
      <c r="AC27" s="58"/>
      <c r="AD27" s="49"/>
      <c r="AE27" s="49"/>
      <c r="AF27" s="54"/>
    </row>
    <row r="28" spans="1:32" x14ac:dyDescent="0.35">
      <c r="A28" s="51" t="s">
        <v>64</v>
      </c>
      <c r="B28" s="51" t="s">
        <v>248</v>
      </c>
      <c r="C28" s="68" t="s">
        <v>186</v>
      </c>
      <c r="D28" s="68" t="s">
        <v>202</v>
      </c>
      <c r="E28" s="53">
        <f t="shared" si="1"/>
        <v>1</v>
      </c>
      <c r="F28" s="71">
        <f t="shared" si="2"/>
        <v>1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59"/>
      <c r="Z28" s="59">
        <v>1</v>
      </c>
      <c r="AA28" s="59"/>
      <c r="AB28" s="59"/>
      <c r="AC28" s="59"/>
      <c r="AD28" s="59"/>
      <c r="AE28" s="59"/>
      <c r="AF28" s="54"/>
    </row>
    <row r="29" spans="1:32" x14ac:dyDescent="0.35">
      <c r="A29" s="107" t="s">
        <v>284</v>
      </c>
      <c r="B29" s="73" t="s">
        <v>129</v>
      </c>
      <c r="C29" s="73" t="s">
        <v>40</v>
      </c>
      <c r="D29" s="73" t="s">
        <v>202</v>
      </c>
      <c r="E29" s="53">
        <f t="shared" si="1"/>
        <v>1</v>
      </c>
      <c r="F29" s="71">
        <f t="shared" si="2"/>
        <v>1</v>
      </c>
      <c r="G29" s="49">
        <v>1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54"/>
    </row>
    <row r="30" spans="1:32" x14ac:dyDescent="0.35">
      <c r="A30" s="72" t="s">
        <v>259</v>
      </c>
      <c r="B30" s="73" t="s">
        <v>190</v>
      </c>
      <c r="C30" s="73" t="s">
        <v>40</v>
      </c>
      <c r="D30" s="73" t="s">
        <v>202</v>
      </c>
      <c r="E30" s="53">
        <f t="shared" si="1"/>
        <v>1</v>
      </c>
      <c r="F30" s="71">
        <f t="shared" si="2"/>
        <v>1</v>
      </c>
      <c r="G30" s="49">
        <v>1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54"/>
    </row>
    <row r="31" spans="1:32" x14ac:dyDescent="0.35">
      <c r="A31" s="51" t="s">
        <v>71</v>
      </c>
      <c r="B31" s="51" t="s">
        <v>249</v>
      </c>
      <c r="C31" s="68" t="s">
        <v>43</v>
      </c>
      <c r="D31" s="68" t="s">
        <v>202</v>
      </c>
      <c r="E31" s="53">
        <f t="shared" si="1"/>
        <v>1</v>
      </c>
      <c r="F31" s="71">
        <f t="shared" si="2"/>
        <v>1</v>
      </c>
      <c r="G31" s="49"/>
      <c r="H31" s="49"/>
      <c r="I31" s="49"/>
      <c r="J31" s="49"/>
      <c r="K31" s="49">
        <v>1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54"/>
    </row>
    <row r="32" spans="1:32" x14ac:dyDescent="0.35">
      <c r="A32" s="72" t="s">
        <v>259</v>
      </c>
      <c r="B32" s="73" t="s">
        <v>133</v>
      </c>
      <c r="C32" s="73" t="s">
        <v>40</v>
      </c>
      <c r="D32" s="73" t="s">
        <v>202</v>
      </c>
      <c r="E32" s="53">
        <f t="shared" si="1"/>
        <v>1</v>
      </c>
      <c r="F32" s="71">
        <f t="shared" si="2"/>
        <v>1</v>
      </c>
      <c r="G32" s="49">
        <v>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54"/>
    </row>
    <row r="33" spans="1:32" x14ac:dyDescent="0.35">
      <c r="A33" s="72" t="s">
        <v>259</v>
      </c>
      <c r="B33" s="74" t="s">
        <v>217</v>
      </c>
      <c r="C33" s="74" t="s">
        <v>218</v>
      </c>
      <c r="D33" s="73" t="s">
        <v>202</v>
      </c>
      <c r="E33" s="53">
        <f t="shared" si="1"/>
        <v>1</v>
      </c>
      <c r="F33" s="71">
        <f t="shared" si="2"/>
        <v>1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>
        <v>1</v>
      </c>
      <c r="AE33" s="49">
        <v>0</v>
      </c>
      <c r="AF33" s="54"/>
    </row>
    <row r="34" spans="1:32" x14ac:dyDescent="0.35">
      <c r="A34" s="51" t="s">
        <v>250</v>
      </c>
      <c r="B34" s="51" t="s">
        <v>251</v>
      </c>
      <c r="C34" s="69" t="s">
        <v>142</v>
      </c>
      <c r="D34" s="68" t="s">
        <v>202</v>
      </c>
      <c r="E34" s="53">
        <f t="shared" si="1"/>
        <v>1</v>
      </c>
      <c r="F34" s="71">
        <f t="shared" si="2"/>
        <v>7</v>
      </c>
      <c r="G34" s="49"/>
      <c r="H34" s="49"/>
      <c r="I34" s="49"/>
      <c r="J34" s="49"/>
      <c r="K34" s="60">
        <v>0.2</v>
      </c>
      <c r="L34" s="60"/>
      <c r="M34" s="60">
        <v>0.24</v>
      </c>
      <c r="N34" s="60"/>
      <c r="O34" s="60">
        <v>0</v>
      </c>
      <c r="P34" s="60"/>
      <c r="Q34" s="60">
        <v>0.05</v>
      </c>
      <c r="R34" s="60">
        <v>0.04</v>
      </c>
      <c r="S34" s="60">
        <v>0.02</v>
      </c>
      <c r="T34" s="60">
        <v>0.06</v>
      </c>
      <c r="U34" s="60">
        <v>0.39</v>
      </c>
      <c r="V34" s="61">
        <v>0</v>
      </c>
      <c r="W34" s="61"/>
      <c r="X34" s="49"/>
      <c r="Y34" s="49"/>
      <c r="Z34" s="49"/>
      <c r="AA34" s="49"/>
      <c r="AB34" s="49"/>
      <c r="AC34" s="49"/>
      <c r="AD34" s="49"/>
      <c r="AE34" s="49"/>
      <c r="AF34" s="54"/>
    </row>
    <row r="35" spans="1:32" x14ac:dyDescent="0.35">
      <c r="A35" s="75" t="s">
        <v>60</v>
      </c>
      <c r="B35" s="75" t="s">
        <v>252</v>
      </c>
      <c r="C35" s="76" t="s">
        <v>149</v>
      </c>
      <c r="D35" s="77" t="s">
        <v>202</v>
      </c>
      <c r="E35" s="53">
        <f t="shared" si="1"/>
        <v>1</v>
      </c>
      <c r="F35" s="71">
        <f t="shared" si="2"/>
        <v>3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62">
        <v>0.27</v>
      </c>
      <c r="Y35" s="62">
        <v>0.28999999999999998</v>
      </c>
      <c r="Z35" s="62">
        <v>0.44</v>
      </c>
      <c r="AA35" s="49"/>
      <c r="AB35" s="49"/>
      <c r="AC35" s="49"/>
      <c r="AD35" s="49"/>
      <c r="AE35" s="49"/>
      <c r="AF35" s="54"/>
    </row>
    <row r="36" spans="1:32" x14ac:dyDescent="0.35">
      <c r="A36" s="75" t="s">
        <v>66</v>
      </c>
      <c r="B36" s="75" t="s">
        <v>252</v>
      </c>
      <c r="C36" s="76"/>
      <c r="D36" s="68" t="s">
        <v>202</v>
      </c>
      <c r="E36" s="53"/>
      <c r="F36" s="71">
        <f t="shared" si="2"/>
        <v>3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62">
        <v>0.27</v>
      </c>
      <c r="Y36" s="62">
        <v>0.28999999999999998</v>
      </c>
      <c r="Z36" s="62">
        <v>0.44</v>
      </c>
      <c r="AA36" s="49"/>
      <c r="AB36" s="49"/>
      <c r="AC36" s="49"/>
      <c r="AD36" s="49"/>
      <c r="AE36" s="49"/>
      <c r="AF36" s="54"/>
    </row>
    <row r="37" spans="1:32" x14ac:dyDescent="0.35">
      <c r="A37" s="51" t="s">
        <v>48</v>
      </c>
      <c r="B37" s="51" t="s">
        <v>253</v>
      </c>
      <c r="C37" s="69" t="s">
        <v>40</v>
      </c>
      <c r="D37" s="68" t="s">
        <v>202</v>
      </c>
      <c r="E37" s="53">
        <f t="shared" si="1"/>
        <v>1</v>
      </c>
      <c r="F37" s="71">
        <f t="shared" si="2"/>
        <v>1</v>
      </c>
      <c r="G37" s="49">
        <v>1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54"/>
    </row>
    <row r="38" spans="1:32" x14ac:dyDescent="0.35">
      <c r="A38" s="51" t="s">
        <v>52</v>
      </c>
      <c r="B38" s="51" t="s">
        <v>254</v>
      </c>
      <c r="C38" s="69" t="s">
        <v>40</v>
      </c>
      <c r="D38" s="68" t="s">
        <v>202</v>
      </c>
      <c r="E38" s="53">
        <f t="shared" si="1"/>
        <v>1</v>
      </c>
      <c r="F38" s="71">
        <f t="shared" si="2"/>
        <v>1</v>
      </c>
      <c r="G38" s="49">
        <v>1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54"/>
    </row>
    <row r="39" spans="1:32" x14ac:dyDescent="0.35">
      <c r="A39" s="51" t="s">
        <v>44</v>
      </c>
      <c r="B39" s="51" t="s">
        <v>255</v>
      </c>
      <c r="C39" s="69" t="s">
        <v>40</v>
      </c>
      <c r="D39" s="68" t="s">
        <v>202</v>
      </c>
      <c r="E39" s="53">
        <f t="shared" si="1"/>
        <v>1</v>
      </c>
      <c r="F39" s="71">
        <f t="shared" si="2"/>
        <v>1</v>
      </c>
      <c r="G39" s="49">
        <v>1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54"/>
    </row>
    <row r="40" spans="1:32" x14ac:dyDescent="0.35">
      <c r="A40" s="75" t="s">
        <v>58</v>
      </c>
      <c r="B40" s="75" t="s">
        <v>256</v>
      </c>
      <c r="C40" s="76" t="s">
        <v>88</v>
      </c>
      <c r="D40" s="77" t="s">
        <v>202</v>
      </c>
      <c r="E40" s="53">
        <f t="shared" si="1"/>
        <v>1</v>
      </c>
      <c r="F40" s="71">
        <f t="shared" si="2"/>
        <v>3</v>
      </c>
      <c r="G40" s="49"/>
      <c r="H40" s="49"/>
      <c r="I40" s="49"/>
      <c r="J40" s="49"/>
      <c r="K40" s="58">
        <v>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>
        <v>0.02</v>
      </c>
      <c r="Y40" s="58">
        <v>0.09</v>
      </c>
      <c r="Z40" s="58"/>
      <c r="AA40" s="58"/>
      <c r="AB40" s="58">
        <v>0.89</v>
      </c>
      <c r="AC40" s="58"/>
      <c r="AD40" s="49"/>
      <c r="AE40" s="49"/>
      <c r="AF40" s="54"/>
    </row>
    <row r="41" spans="1:32" x14ac:dyDescent="0.35">
      <c r="A41" s="75" t="s">
        <v>86</v>
      </c>
      <c r="B41" s="75" t="s">
        <v>256</v>
      </c>
      <c r="C41" s="76"/>
      <c r="D41" s="68" t="s">
        <v>202</v>
      </c>
      <c r="E41" s="53"/>
      <c r="F41" s="71">
        <f t="shared" si="2"/>
        <v>3</v>
      </c>
      <c r="G41" s="49"/>
      <c r="H41" s="49"/>
      <c r="I41" s="49"/>
      <c r="J41" s="49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>
        <v>0.02</v>
      </c>
      <c r="Y41" s="58">
        <v>0.09</v>
      </c>
      <c r="Z41" s="58"/>
      <c r="AA41" s="58"/>
      <c r="AB41" s="58">
        <v>0.89</v>
      </c>
      <c r="AC41" s="58"/>
      <c r="AD41" s="49"/>
      <c r="AE41" s="49"/>
      <c r="AF41" s="54"/>
    </row>
    <row r="42" spans="1:32" x14ac:dyDescent="0.35">
      <c r="A42" s="51" t="s">
        <v>78</v>
      </c>
      <c r="B42" s="51" t="s">
        <v>257</v>
      </c>
      <c r="C42" s="69" t="s">
        <v>219</v>
      </c>
      <c r="D42" s="68" t="s">
        <v>202</v>
      </c>
      <c r="E42" s="53">
        <f t="shared" si="1"/>
        <v>1</v>
      </c>
      <c r="F42" s="71">
        <f t="shared" si="2"/>
        <v>1</v>
      </c>
      <c r="G42" s="49"/>
      <c r="H42" s="49"/>
      <c r="I42" s="49"/>
      <c r="J42" s="49"/>
      <c r="K42" s="49"/>
      <c r="L42" s="49"/>
      <c r="M42" s="49"/>
      <c r="N42" s="49">
        <v>1</v>
      </c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54"/>
    </row>
    <row r="43" spans="1:32" x14ac:dyDescent="0.35">
      <c r="A43" s="51" t="s">
        <v>41</v>
      </c>
      <c r="B43" s="51" t="s">
        <v>258</v>
      </c>
      <c r="C43" s="68" t="s">
        <v>212</v>
      </c>
      <c r="D43" s="68" t="s">
        <v>202</v>
      </c>
      <c r="E43" s="53">
        <f t="shared" si="1"/>
        <v>1</v>
      </c>
      <c r="F43" s="71">
        <f t="shared" si="2"/>
        <v>1</v>
      </c>
      <c r="G43" s="49"/>
      <c r="H43" s="49"/>
      <c r="I43" s="49">
        <v>1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54"/>
    </row>
  </sheetData>
  <conditionalFormatting sqref="E5:E43">
    <cfRule type="cellIs" dxfId="3" priority="6" operator="notEqual">
      <formula>1</formula>
    </cfRule>
  </conditionalFormatting>
  <conditionalFormatting sqref="F5:F43">
    <cfRule type="cellIs" dxfId="2" priority="5" operator="greaterThan">
      <formula>1</formula>
    </cfRule>
  </conditionalFormatting>
  <conditionalFormatting sqref="E4">
    <cfRule type="cellIs" dxfId="1" priority="2" operator="notEqual">
      <formula>1</formula>
    </cfRule>
  </conditionalFormatting>
  <conditionalFormatting sqref="F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Jan 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2020-01-26T13:55:11Z</dcterms:created>
  <dcterms:modified xsi:type="dcterms:W3CDTF">2020-02-27T15:36:03Z</dcterms:modified>
</cp:coreProperties>
</file>