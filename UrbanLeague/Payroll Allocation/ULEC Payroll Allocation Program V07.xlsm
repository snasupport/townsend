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150" tabRatio="665" firstSheet="2" activeTab="5"/>
  </bookViews>
  <sheets>
    <sheet name="Main" sheetId="1" r:id="rId1"/>
    <sheet name="Payroll" sheetId="2" r:id="rId2"/>
    <sheet name="PR by Empl" sheetId="11" r:id="rId3"/>
    <sheet name="Allocation" sheetId="3" r:id="rId4"/>
    <sheet name="Allocated Payroll" sheetId="4" r:id="rId5"/>
    <sheet name="Upload Data" sheetId="5" r:id="rId6"/>
    <sheet name="UploadGuru" sheetId="8" r:id="rId7"/>
    <sheet name="Test" sheetId="10" r:id="rId8"/>
    <sheet name="Config" sheetId="6" r:id="rId9"/>
    <sheet name="Account Groups" sheetId="12" r:id="rId10"/>
    <sheet name="QB Accounts" sheetId="13" r:id="rId11"/>
  </sheets>
  <functionGroups builtInGroupCount="18"/>
  <externalReferences>
    <externalReference r:id="rId12"/>
  </externalReferences>
  <definedNames>
    <definedName name="_xlnm._FilterDatabase" localSheetId="1" hidden="1">Payroll!$A$1:$T$1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70" i="2" l="1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B24" i="12" l="1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E17" i="1" l="1"/>
</calcChain>
</file>

<file path=xl/sharedStrings.xml><?xml version="1.0" encoding="utf-8"?>
<sst xmlns="http://schemas.openxmlformats.org/spreadsheetml/2006/main" count="11615" uniqueCount="1203">
  <si>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</si>
  <si>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</si>
  <si>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</si>
  <si>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</si>
  <si>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</si>
  <si>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</si>
  <si>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</si>
  <si>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</si>
  <si>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</si>
  <si>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</si>
  <si>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</si>
  <si>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</si>
  <si>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</si>
  <si>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</si>
  <si>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</si>
  <si>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</si>
  <si>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</si>
  <si>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</si>
  <si>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</si>
  <si>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</si>
  <si>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</si>
  <si>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</si>
  <si>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</si>
  <si>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</si>
  <si>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</si>
  <si>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</si>
  <si>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</si>
  <si>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</si>
  <si>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</si>
  <si>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</si>
  <si>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</si>
  <si>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</si>
  <si>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</si>
  <si>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</si>
  <si>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</si>
  <si>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</si>
  <si>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</si>
  <si>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</si>
  <si>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</si>
  <si>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</si>
  <si>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</si>
  <si>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</si>
  <si>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</si>
  <si>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</si>
  <si>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</si>
  <si>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</si>
  <si>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</si>
  <si>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</si>
  <si>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</si>
  <si>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</si>
  <si>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</si>
  <si>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</si>
  <si>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</si>
  <si>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</si>
  <si>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</si>
  <si>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</si>
  <si>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</si>
  <si>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</si>
  <si>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</si>
  <si>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</si>
  <si>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</si>
  <si>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</si>
  <si>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</si>
  <si>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</si>
  <si>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</si>
  <si>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</si>
  <si>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</si>
  <si>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</si>
  <si>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</si>
  <si>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JANVIER, JHONNY</t>
  </si>
  <si>
    <t>111A06Q</t>
  </si>
  <si>
    <t>LOFTIN, NIQUITA</t>
  </si>
  <si>
    <t>111A06R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</si>
  <si>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</si>
  <si>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</si>
  <si>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</si>
  <si>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</si>
  <si>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</si>
  <si>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</si>
  <si>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</si>
  <si>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</si>
  <si>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</si>
  <si>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</si>
  <si>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</si>
  <si>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</si>
  <si>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</si>
  <si>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</si>
  <si>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</si>
  <si>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</si>
  <si>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</si>
  <si>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</si>
  <si>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</si>
  <si>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</si>
  <si>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</si>
  <si>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</si>
  <si>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</si>
  <si>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</si>
  <si>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</si>
  <si>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</si>
  <si>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</si>
  <si>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</si>
  <si>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</si>
  <si>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</si>
  <si>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</si>
  <si>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</si>
  <si>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</si>
  <si>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</si>
  <si>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</si>
  <si>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</si>
  <si>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</si>
  <si>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</si>
  <si>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</si>
  <si>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</si>
  <si>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</si>
  <si>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</si>
  <si>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</si>
  <si>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</si>
  <si>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</si>
  <si>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</si>
  <si>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</si>
  <si>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</si>
  <si>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</si>
  <si>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</si>
  <si>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</si>
  <si>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</si>
  <si>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</si>
  <si>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</si>
  <si>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</si>
  <si>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</si>
  <si>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</si>
  <si>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</si>
  <si>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</si>
  <si>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</si>
  <si>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</si>
  <si>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</si>
  <si>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</si>
  <si>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</si>
  <si>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</si>
  <si>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</si>
  <si>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</si>
  <si>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</si>
  <si>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</si>
  <si>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</si>
  <si>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</si>
  <si>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</si>
  <si>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</si>
  <si>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</si>
  <si>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</si>
  <si>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</si>
  <si>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</si>
  <si>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</si>
  <si>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</si>
  <si>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</si>
  <si>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</si>
  <si>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</si>
  <si>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</si>
  <si>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</si>
  <si>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</si>
  <si>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</si>
  <si>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</si>
  <si>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A01P</t>
  </si>
  <si>
    <t>SERMON, PATRICIA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</si>
  <si>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</si>
  <si>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</si>
  <si>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</si>
  <si>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</si>
  <si>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</si>
  <si>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</si>
  <si>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</si>
  <si>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</si>
  <si>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Net Pay</t>
  </si>
  <si>
    <t>1010</t>
  </si>
  <si>
    <t>Salary Expense</t>
  </si>
  <si>
    <t>7220</t>
  </si>
  <si>
    <t>Tax Liability</t>
  </si>
  <si>
    <t>ULEC Payroll Allocation</t>
  </si>
  <si>
    <t>Payroll Id</t>
  </si>
  <si>
    <t>Name</t>
  </si>
  <si>
    <t>Comment</t>
  </si>
  <si>
    <t>111 Abbott</t>
  </si>
  <si>
    <t>620 CFO</t>
  </si>
  <si>
    <t>MARTINEZ, Joanna</t>
  </si>
  <si>
    <t>MCMILLIAN, Daphne L.</t>
  </si>
  <si>
    <t>RAMBARAN, Sharaini J.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</si>
  <si>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</si>
  <si>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</si>
  <si>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</si>
  <si>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</si>
  <si>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</si>
  <si>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</si>
  <si>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</si>
  <si>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</si>
  <si>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Account In</t>
  </si>
  <si>
    <t>Account Out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</si>
  <si>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</si>
  <si>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</si>
  <si>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</si>
  <si>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</si>
  <si>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</si>
  <si>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</si>
  <si>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</si>
  <si>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</si>
  <si>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</si>
  <si>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</si>
  <si>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</si>
  <si>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</si>
  <si>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</si>
  <si>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</si>
  <si>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</si>
  <si>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</si>
  <si>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</si>
  <si>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</si>
  <si>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</si>
  <si>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</si>
  <si>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</si>
  <si>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United Airlines, Inc.</t>
  </si>
  <si>
    <t>State of NJ -PACE</t>
  </si>
  <si>
    <t>LISC-HUD FOC</t>
  </si>
  <si>
    <t>Wells Fargo Regional Foundation</t>
  </si>
  <si>
    <t>Proof \ Class</t>
  </si>
  <si>
    <t>111A Abbott Other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</si>
  <si>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</si>
  <si>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</si>
  <si>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</si>
  <si>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</si>
  <si>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</si>
  <si>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</si>
  <si>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</si>
  <si>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</si>
  <si>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</si>
  <si>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</si>
  <si>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</si>
  <si>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</si>
  <si>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</si>
  <si>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</si>
  <si>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</si>
  <si>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</si>
  <si>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</si>
  <si>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</si>
  <si>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Bishop-Shakoor, Ayesha</t>
  </si>
  <si>
    <t>Guerra, Karime</t>
  </si>
  <si>
    <t>Robbins, Leonard</t>
  </si>
  <si>
    <t>Opportunity Corp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</si>
  <si>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</si>
  <si>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</si>
  <si>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</si>
  <si>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</si>
  <si>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</si>
  <si>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</si>
  <si>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</si>
  <si>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</si>
  <si>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</si>
  <si>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</si>
  <si>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</si>
  <si>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</si>
  <si>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</si>
  <si>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</si>
  <si>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</si>
  <si>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</si>
  <si>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</si>
  <si>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</si>
  <si>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334F FOC</t>
  </si>
  <si>
    <t>111A06U</t>
  </si>
  <si>
    <t>502A06T</t>
  </si>
  <si>
    <t>620A03Z</t>
  </si>
  <si>
    <t>Debug</t>
  </si>
  <si>
    <t>New payroll record</t>
  </si>
  <si>
    <t>total</t>
  </si>
  <si>
    <t>Rounded</t>
  </si>
  <si>
    <t>Rounded w sign</t>
  </si>
  <si>
    <t>PR Account</t>
  </si>
  <si>
    <t>Employer Expense, Employer Expenses  Payroll Row: 2</t>
  </si>
  <si>
    <t xml:space="preserve"> ==&gt; reference</t>
  </si>
  <si>
    <t>==&gt; Account Description</t>
  </si>
  <si>
    <t>Employer Liability, Deductions  Payroll Row: 4</t>
  </si>
  <si>
    <t>Employer Liability, Payroll Taxes  Payroll Row: 5</t>
  </si>
  <si>
    <t>Net Pay, Cash  Payroll Row: 6</t>
  </si>
  <si>
    <t>Salary Expense, Salaries  Payroll Row: 7</t>
  </si>
  <si>
    <t>Tax Liability, Cash  Payroll Row: 8</t>
  </si>
  <si>
    <t>Tax Liability, Payroll Taxes  Payroll Row: 9</t>
  </si>
  <si>
    <t>Employer Expense, Employer Expenses  Payroll Row: 10</t>
  </si>
  <si>
    <t>Employer Liability, Deductions  Payroll Row: 12</t>
  </si>
  <si>
    <t>Employer Liability, Payroll Taxes  Payroll Row: 13</t>
  </si>
  <si>
    <t>Net Pay, Cash  Payroll Row: 14</t>
  </si>
  <si>
    <t>Salary Expense, Salaries  Payroll Row: 15</t>
  </si>
  <si>
    <t>Tax Liability, Cash  Payroll Row: 16</t>
  </si>
  <si>
    <t>Tax Liability, Payroll Taxes  Payroll Row: 17</t>
  </si>
  <si>
    <t>Final Check</t>
  </si>
  <si>
    <t>HelperCol</t>
  </si>
  <si>
    <t>Social Security</t>
  </si>
  <si>
    <t>Accrued Aflac</t>
  </si>
  <si>
    <t>Fica Tax payable</t>
  </si>
  <si>
    <t>BOA Operating Acct 3973</t>
  </si>
  <si>
    <t>Salaries &amp; Wages</t>
  </si>
  <si>
    <t>CITI / NUL/PNC</t>
  </si>
  <si>
    <t>The Prudential Foundation</t>
  </si>
  <si>
    <t>City of Newark-Home</t>
  </si>
  <si>
    <t>State of NJ NRTC - 2018</t>
  </si>
  <si>
    <t>City of Irvington CDBG</t>
  </si>
  <si>
    <t>Capital One 1</t>
  </si>
  <si>
    <t>State of NJ NRTC - 2019</t>
  </si>
  <si>
    <t>DCA- Coding Program</t>
  </si>
  <si>
    <t>Victoria Hernandez</t>
  </si>
  <si>
    <t>334 NRTC 2018 Grant</t>
  </si>
  <si>
    <t>600 Admin</t>
  </si>
  <si>
    <t>ULEC Opport Corp</t>
  </si>
  <si>
    <t>CSV File Name</t>
  </si>
  <si>
    <t>Version 6</t>
  </si>
  <si>
    <t>111A06G</t>
  </si>
  <si>
    <t>111A06S</t>
  </si>
  <si>
    <t>A06S</t>
  </si>
  <si>
    <t>MITCHELL, FELICIA</t>
  </si>
  <si>
    <t>339A06P</t>
  </si>
  <si>
    <t>339</t>
  </si>
  <si>
    <t>451A03Z</t>
  </si>
  <si>
    <t>A03Z</t>
  </si>
  <si>
    <t>MARTINEZ, JOANNA</t>
  </si>
  <si>
    <t>454</t>
  </si>
  <si>
    <t>A06T</t>
  </si>
  <si>
    <t>GUERRA, KARIME</t>
  </si>
  <si>
    <t>7222l</t>
  </si>
  <si>
    <t xml:space="preserve">Housing Coordinator </t>
  </si>
  <si>
    <t>Employer Liability, Payroll Taxes  Payroll Row: 94</t>
  </si>
  <si>
    <t>Net Pay, Cash  Payroll Row: 95</t>
  </si>
  <si>
    <t>Salary Expense, Salaries  Payroll Row: 96</t>
  </si>
  <si>
    <t>Tax Liability, Cash  Payroll Row: 97</t>
  </si>
  <si>
    <t>Tax Liability, Payroll Taxes  Payroll Row: 98</t>
  </si>
  <si>
    <t>Employer Expense, Employer Expenses  Payroll Row: 99</t>
  </si>
  <si>
    <t>7221f</t>
  </si>
  <si>
    <t>7221g</t>
  </si>
  <si>
    <t>7222d</t>
  </si>
  <si>
    <t>7222e</t>
  </si>
  <si>
    <t>7222f</t>
  </si>
  <si>
    <t>7222g</t>
  </si>
  <si>
    <t>7222o</t>
  </si>
  <si>
    <t>7222TA</t>
  </si>
  <si>
    <t>7224a</t>
  </si>
  <si>
    <t>7224C J</t>
  </si>
  <si>
    <t>VP - Workforce</t>
  </si>
  <si>
    <t>Business Developer</t>
  </si>
  <si>
    <t>Career Coach</t>
  </si>
  <si>
    <t>Financial Coach</t>
  </si>
  <si>
    <t>Executive Director</t>
  </si>
  <si>
    <t>Director Facilities - CAO</t>
  </si>
  <si>
    <t>Director of Operations COO</t>
  </si>
  <si>
    <t>Director of Real Estate</t>
  </si>
  <si>
    <t>Program Director</t>
  </si>
  <si>
    <t>Community Organizer</t>
  </si>
  <si>
    <t>Family Worker</t>
  </si>
  <si>
    <t>Food Worker</t>
  </si>
  <si>
    <t>Security Guard</t>
  </si>
  <si>
    <t>Program Coordinator</t>
  </si>
  <si>
    <t>Housing Counselor</t>
  </si>
  <si>
    <t>Wrap Around Coordinator</t>
  </si>
  <si>
    <t>Teacher Assistants</t>
  </si>
  <si>
    <t>Floating Teacher Assistant</t>
  </si>
  <si>
    <t>Site Coordinator IC</t>
  </si>
  <si>
    <t>Payroll Coordinator</t>
  </si>
  <si>
    <t>Account Number</t>
  </si>
  <si>
    <t>Checking Active</t>
  </si>
  <si>
    <t>Bank of America</t>
  </si>
  <si>
    <t>BOA - Abbott Checking - 9170</t>
  </si>
  <si>
    <t>BOA- NRTC Checking 9183</t>
  </si>
  <si>
    <t>TD Bank - LISC 8958</t>
  </si>
  <si>
    <t>BOA Housing Trust 4343</t>
  </si>
  <si>
    <t>BOA Victoria Challenge 4330</t>
  </si>
  <si>
    <t>Affiliate accounts</t>
  </si>
  <si>
    <t>PayPal</t>
  </si>
  <si>
    <t>PNC Acct 5472- ULEC Funds</t>
  </si>
  <si>
    <t>BOA Young Prof - 9095</t>
  </si>
  <si>
    <t>PNC - 5069 So Ward Newsletter</t>
  </si>
  <si>
    <t>BOA - GUILD 9082</t>
  </si>
  <si>
    <t>PNC Acct 4811- AmeriCorp</t>
  </si>
  <si>
    <t>CNB Acct 2808 - YP ??</t>
  </si>
  <si>
    <t>Bill.com Money In Clearing</t>
  </si>
  <si>
    <t>Bill.com Money Out Clearing</t>
  </si>
  <si>
    <t>BOA - PSEG Savings 9196</t>
  </si>
  <si>
    <t>BOA Victoria Challenge Savings 4356</t>
  </si>
  <si>
    <t>BOA Housing Trust Fund Savings 4246</t>
  </si>
  <si>
    <t>Petty Cash</t>
  </si>
  <si>
    <t>Petty Cash - ThriftWorks</t>
  </si>
  <si>
    <t>Petty Cash - PreSchool</t>
  </si>
  <si>
    <t>Petty Cash - Coding</t>
  </si>
  <si>
    <t>Accounts/ Contributions Receivable</t>
  </si>
  <si>
    <t>Acct Rec - Reclassed</t>
  </si>
  <si>
    <t>Other Current Assets</t>
  </si>
  <si>
    <t>Advances to Staff</t>
  </si>
  <si>
    <t>Prepaid Expenses</t>
  </si>
  <si>
    <t>Prepaid Insurance</t>
  </si>
  <si>
    <t>Prepaid Insurance- WC</t>
  </si>
  <si>
    <t>Security Deposits</t>
  </si>
  <si>
    <t>Allocated Costs - General</t>
  </si>
  <si>
    <t>Due From ULEC Opport Corp</t>
  </si>
  <si>
    <t>Due from Emp'ee - Life Ins</t>
  </si>
  <si>
    <t>Due from Emp'ee - Aflac</t>
  </si>
  <si>
    <t>Grants Receivable</t>
  </si>
  <si>
    <t>Grants Rec - Adjustments</t>
  </si>
  <si>
    <t>Grants Rec - PRFC</t>
  </si>
  <si>
    <t>Grants Rec - NUL Gates</t>
  </si>
  <si>
    <t>Grants Rec - Abbott</t>
  </si>
  <si>
    <t>Grants Rec - Abbott.Benefits</t>
  </si>
  <si>
    <t>Abbott - HVAC</t>
  </si>
  <si>
    <t>Abbott 19-20</t>
  </si>
  <si>
    <t>Grants Rec - EHS</t>
  </si>
  <si>
    <t>Grants Rec - Americorp</t>
  </si>
  <si>
    <t>Grants Rec - Americ 18.19</t>
  </si>
  <si>
    <t>Americorp 18.19</t>
  </si>
  <si>
    <t>Grants Rec - ESG</t>
  </si>
  <si>
    <t>Grants Rec - OICA</t>
  </si>
  <si>
    <t>Grant Rec - USJP</t>
  </si>
  <si>
    <t>Grant Rec - NUL Wells Fargo</t>
  </si>
  <si>
    <t>Grants Rec- CCFP</t>
  </si>
  <si>
    <t>CCFP Reclass</t>
  </si>
  <si>
    <t>Grants Rec - DYFS</t>
  </si>
  <si>
    <t>Grant Rec - NUL - HUD</t>
  </si>
  <si>
    <t>Grants Rec - Wells Fargo</t>
  </si>
  <si>
    <t>Grants Rec - LISC HUD#23</t>
  </si>
  <si>
    <t>Grant Rec.- LISC- FOC 25</t>
  </si>
  <si>
    <t>Grant Rec. LISC FOC #26</t>
  </si>
  <si>
    <t>LISC - NRLA</t>
  </si>
  <si>
    <t>Grant Rec. LISC # 000</t>
  </si>
  <si>
    <t>Grants Rec - PFP</t>
  </si>
  <si>
    <t>Grants Rec - NRTC 16</t>
  </si>
  <si>
    <t>Home Grant</t>
  </si>
  <si>
    <t>LISC</t>
  </si>
  <si>
    <t>DCA - NRTC 16</t>
  </si>
  <si>
    <t>Grants Rec - United Airlines</t>
  </si>
  <si>
    <t>Sales - Thriftworks</t>
  </si>
  <si>
    <t>Parent Co Pays</t>
  </si>
  <si>
    <t>Grants Rec - Housing Trust Fund</t>
  </si>
  <si>
    <t>Grants Rec - SNAP</t>
  </si>
  <si>
    <t>Grants Rec - Newark Alliance</t>
  </si>
  <si>
    <t>Grants Rec - FOC LISC</t>
  </si>
  <si>
    <t>Grants Rec - NRTC 14</t>
  </si>
  <si>
    <t>Grants Rec - MCJ Found</t>
  </si>
  <si>
    <t>Grants Rec - Comm Found</t>
  </si>
  <si>
    <t>Grants Rec - NRTC 18</t>
  </si>
  <si>
    <t>Grant Rec - City of Newark Tech</t>
  </si>
  <si>
    <t>Grant Rec - NRTC 19</t>
  </si>
  <si>
    <t>Grants Rec - Prudential</t>
  </si>
  <si>
    <t>Grant Rec - Capital One</t>
  </si>
  <si>
    <t>Grant Rec - CDBG Irvington</t>
  </si>
  <si>
    <t>Grants Rec - PACE</t>
  </si>
  <si>
    <t>Undeposited Funds</t>
  </si>
  <si>
    <t>Fixed Operating Assets</t>
  </si>
  <si>
    <t>Land</t>
  </si>
  <si>
    <t>Buildings</t>
  </si>
  <si>
    <t>Building Improvements</t>
  </si>
  <si>
    <t>Leasehold Improvements</t>
  </si>
  <si>
    <t>Furniture, Fixtures, Equipment</t>
  </si>
  <si>
    <t>Vehicles</t>
  </si>
  <si>
    <t>Work-In-Progress - Facility Construction</t>
  </si>
  <si>
    <t>Accum Depreciation- Fixed Operating Assets</t>
  </si>
  <si>
    <t>Accum Deprec - Buildings</t>
  </si>
  <si>
    <t>Accum Deprec - Building Improvements</t>
  </si>
  <si>
    <t>Accum Deprec - Leasehold Improvements</t>
  </si>
  <si>
    <t>Accum Deprec - Furniture, Fixtures, Equipment</t>
  </si>
  <si>
    <t>Accum Deprec - Vehicles</t>
  </si>
  <si>
    <t>Accounts Payable</t>
  </si>
  <si>
    <t>Credit Cards</t>
  </si>
  <si>
    <t>Home Depot Credit Card</t>
  </si>
  <si>
    <t>Visa Card-8978</t>
  </si>
  <si>
    <t>VISA Card Adj</t>
  </si>
  <si>
    <t>Due to Ryan HVAC</t>
  </si>
  <si>
    <t>TD Operating Line of Credit x0199</t>
  </si>
  <si>
    <t>TD LOC - Real Estate x9001</t>
  </si>
  <si>
    <t>TD - Real Estate Line of Credit</t>
  </si>
  <si>
    <t>TD Bank LOC 9006 Oper</t>
  </si>
  <si>
    <t>TD Bank LOC 9001 231F</t>
  </si>
  <si>
    <t>TD Bank LOC 9009 152L</t>
  </si>
  <si>
    <t>HERA LOC 99H</t>
  </si>
  <si>
    <t>TD Bank LOC -479-513</t>
  </si>
  <si>
    <t>TD Bank LOC #</t>
  </si>
  <si>
    <t>Accrued Liabilities</t>
  </si>
  <si>
    <t>Accrued Audit Fees Pay</t>
  </si>
  <si>
    <t>Accrued payroll</t>
  </si>
  <si>
    <t>Accrued 403(b) Match</t>
  </si>
  <si>
    <t>403B Loans</t>
  </si>
  <si>
    <t>Accrued Paid Leave</t>
  </si>
  <si>
    <t>Accrued Payroll Taxes</t>
  </si>
  <si>
    <t>Federal Income Tax Payable</t>
  </si>
  <si>
    <t>NJ Withholding Tax Payable</t>
  </si>
  <si>
    <t>NJ SUI Payable</t>
  </si>
  <si>
    <t>Accrued Expenses - Colonial Life</t>
  </si>
  <si>
    <t>Payroll Clearing</t>
  </si>
  <si>
    <t>Garnishments</t>
  </si>
  <si>
    <t>Deferred Revenues</t>
  </si>
  <si>
    <t>Def Revenue - Victoria</t>
  </si>
  <si>
    <t>Def Rev - Prudential</t>
  </si>
  <si>
    <t>Prudential Capacity Grant</t>
  </si>
  <si>
    <t>Prudential Foundation</t>
  </si>
  <si>
    <t>MCJ Foundation</t>
  </si>
  <si>
    <t>Deferred Rev - Turrell Found</t>
  </si>
  <si>
    <t>Wells Fargo Foundation</t>
  </si>
  <si>
    <t>Wells Fargo #2</t>
  </si>
  <si>
    <t>Deferred Rev - United Airlines</t>
  </si>
  <si>
    <t>City of Newark - PSEG Settlement</t>
  </si>
  <si>
    <t>Deferred Rev - YP</t>
  </si>
  <si>
    <t>Deferred Rev - Guild</t>
  </si>
  <si>
    <t>Deferred Rev - Fairmount</t>
  </si>
  <si>
    <t>Deferred Rev. AmeriCorps</t>
  </si>
  <si>
    <t>Deferred Rev - So Ward Newsletter</t>
  </si>
  <si>
    <t>Long Term Liabilities</t>
  </si>
  <si>
    <t>Littleton Notes Payable</t>
  </si>
  <si>
    <t>LISC Loan Payable</t>
  </si>
  <si>
    <t>LISC - Phase 1 Properties</t>
  </si>
  <si>
    <t>LISC - 513 Central #13517</t>
  </si>
  <si>
    <t>Mortgage Pay - TD Bank 504-508</t>
  </si>
  <si>
    <t>Mortgage Pay - 99 Hillside</t>
  </si>
  <si>
    <t>Unrestricted Net Asstes</t>
  </si>
  <si>
    <t>Temporarily Restricted Net Assets</t>
  </si>
  <si>
    <t>Use Restricted Net Assets</t>
  </si>
  <si>
    <t>Time Restricted Net Assets</t>
  </si>
  <si>
    <t>Permanently restricted net assets</t>
  </si>
  <si>
    <t>Revenue from Direct Contributions</t>
  </si>
  <si>
    <t>Individual Contributions</t>
  </si>
  <si>
    <t>Wells Fargo -Regional Foundation</t>
  </si>
  <si>
    <t>Turrell Foundation</t>
  </si>
  <si>
    <t>Fairleigh Dickenson Univ</t>
  </si>
  <si>
    <t>Foundation Contributions</t>
  </si>
  <si>
    <t>Prudential Grant</t>
  </si>
  <si>
    <t>Capital One Foundation</t>
  </si>
  <si>
    <t>Victoria Foundation</t>
  </si>
  <si>
    <t>Victoria Found 2019</t>
  </si>
  <si>
    <t>Victoria Foundation Trust</t>
  </si>
  <si>
    <t>Investors Foundation</t>
  </si>
  <si>
    <t>Corporate Contributions</t>
  </si>
  <si>
    <t>Capital One - Housing</t>
  </si>
  <si>
    <t>Uber Technologies- Coding</t>
  </si>
  <si>
    <t>United Airlines Grant</t>
  </si>
  <si>
    <t>J and J Grant</t>
  </si>
  <si>
    <t>Valley National Bank</t>
  </si>
  <si>
    <t>Whole City Foundation</t>
  </si>
  <si>
    <t>Chase Bank - FOC</t>
  </si>
  <si>
    <t>PSEG Settlement</t>
  </si>
  <si>
    <t>Irvington Housing Grant</t>
  </si>
  <si>
    <t>M and T Foundation-FOC</t>
  </si>
  <si>
    <t>Nonprofit Contributions</t>
  </si>
  <si>
    <t>Prosperity Now-</t>
  </si>
  <si>
    <t>United Way of Essex-VITA</t>
  </si>
  <si>
    <t>LISC Housing 2019</t>
  </si>
  <si>
    <t>Tide Center - Housing</t>
  </si>
  <si>
    <t>Donated Goods &amp; Services Revenue</t>
  </si>
  <si>
    <t>Donated Professional Services</t>
  </si>
  <si>
    <t>Donated Other Services</t>
  </si>
  <si>
    <t>Donated Use of Facilities</t>
  </si>
  <si>
    <t>Gifts In Kind - Goods</t>
  </si>
  <si>
    <t>Revenue from Non-Government Grants</t>
  </si>
  <si>
    <t>Foundation grants</t>
  </si>
  <si>
    <t>Santander Bank</t>
  </si>
  <si>
    <t>Nonprofit Organization Grants</t>
  </si>
  <si>
    <t>Revenue from Government Grants</t>
  </si>
  <si>
    <t>Federal Grants</t>
  </si>
  <si>
    <t>USJP Grant</t>
  </si>
  <si>
    <t>USJP - Payroll Reimb</t>
  </si>
  <si>
    <t>USJP 18.19</t>
  </si>
  <si>
    <t>USJP Billing Adjustments</t>
  </si>
  <si>
    <t>OICA Grant</t>
  </si>
  <si>
    <t>Grant Revenue - HUD PARS</t>
  </si>
  <si>
    <t>NUL - Wells Fargo</t>
  </si>
  <si>
    <t>HUD - LISC</t>
  </si>
  <si>
    <t>OtherGrant- Newark Alliance</t>
  </si>
  <si>
    <t>NUL.Gates Educ Grant</t>
  </si>
  <si>
    <t>State Grants</t>
  </si>
  <si>
    <t>Leaguers</t>
  </si>
  <si>
    <t>Leagues - Other</t>
  </si>
  <si>
    <t>LISC - FOC Govt Grant</t>
  </si>
  <si>
    <t>LISC - FOC #26</t>
  </si>
  <si>
    <t>LISC - NRLA Grant</t>
  </si>
  <si>
    <t>LISC # X</t>
  </si>
  <si>
    <t>DYFS</t>
  </si>
  <si>
    <t>City of Newark</t>
  </si>
  <si>
    <t>Workforce of NJ</t>
  </si>
  <si>
    <t>City of newark - Tech Grant</t>
  </si>
  <si>
    <t>Americorp Grant</t>
  </si>
  <si>
    <t>Americorp</t>
  </si>
  <si>
    <t>NPS - Abbott</t>
  </si>
  <si>
    <t>Abbott Benefit Reimb</t>
  </si>
  <si>
    <t>Abbott Material and Supplies</t>
  </si>
  <si>
    <t>Abbott Technology</t>
  </si>
  <si>
    <t>Abbott Benefit Reimb.2</t>
  </si>
  <si>
    <t>NPS Grant .HVAC</t>
  </si>
  <si>
    <t>RYN Grant</t>
  </si>
  <si>
    <t>Abbott FYE 19-20</t>
  </si>
  <si>
    <t>City of Newark Rental Asst</t>
  </si>
  <si>
    <t>NRTC 2016</t>
  </si>
  <si>
    <t>DCA NRTC 16</t>
  </si>
  <si>
    <t>LISC NRTC 16</t>
  </si>
  <si>
    <t>Home Grant - NRTC 16</t>
  </si>
  <si>
    <t>Local Government Grants</t>
  </si>
  <si>
    <t>NRTC 2018</t>
  </si>
  <si>
    <t>PACE Program</t>
  </si>
  <si>
    <t>NRTC Grant 2019</t>
  </si>
  <si>
    <t>LISC Construction Funding</t>
  </si>
  <si>
    <t>Housing Trust Funds</t>
  </si>
  <si>
    <t>Revenue from Government Agencies</t>
  </si>
  <si>
    <t>Housing Seminars</t>
  </si>
  <si>
    <t>Federal Contracts/Fees</t>
  </si>
  <si>
    <t>State Contracts/PFP Fees</t>
  </si>
  <si>
    <t>Local Government Contracts/Fees</t>
  </si>
  <si>
    <t>CCAFP Income</t>
  </si>
  <si>
    <t>CCFP Adjustments</t>
  </si>
  <si>
    <t>Cash In Lieu CCFP</t>
  </si>
  <si>
    <t>CCFP - 2017</t>
  </si>
  <si>
    <t>CCFP - Adjustments 2017</t>
  </si>
  <si>
    <t>Revenue from Sales &amp; Fees</t>
  </si>
  <si>
    <t>Membership Revenue</t>
  </si>
  <si>
    <t>Social Enterprise Revenue</t>
  </si>
  <si>
    <t>Credit Card Sales</t>
  </si>
  <si>
    <t>Thrift Clothing Drops</t>
  </si>
  <si>
    <t>Pop Up Store Rev</t>
  </si>
  <si>
    <t>Co-Pay Fees</t>
  </si>
  <si>
    <t>Wrap Fees</t>
  </si>
  <si>
    <t>Private Pay Fees</t>
  </si>
  <si>
    <t>Misc Earned Revenue</t>
  </si>
  <si>
    <t>BOA Rewards</t>
  </si>
  <si>
    <t>Revenue from Investments</t>
  </si>
  <si>
    <t>Interest-Savings/ Short-Term Investments</t>
  </si>
  <si>
    <t>Revenue from Other Sources</t>
  </si>
  <si>
    <t>Real Estate</t>
  </si>
  <si>
    <t>LISC - NRTC 2019</t>
  </si>
  <si>
    <t>Misc Revenue</t>
  </si>
  <si>
    <t>Donations - Xmas Tree</t>
  </si>
  <si>
    <t>Donations</t>
  </si>
  <si>
    <t>Board Donation</t>
  </si>
  <si>
    <t>Special Events</t>
  </si>
  <si>
    <t>Special Events - 2018 Golf Outing</t>
  </si>
  <si>
    <t>Golf Sponsors</t>
  </si>
  <si>
    <t>Silent Auction</t>
  </si>
  <si>
    <t>Golf Promos</t>
  </si>
  <si>
    <t>Special Events - Gift Revenue</t>
  </si>
  <si>
    <t>Gala Ads</t>
  </si>
  <si>
    <t>Gala Tickes</t>
  </si>
  <si>
    <t>Gala - Empl Tks</t>
  </si>
  <si>
    <t>Gala Sponsors</t>
  </si>
  <si>
    <t>Gala - Auction proceeds</t>
  </si>
  <si>
    <t>Special Events - Direct Costs</t>
  </si>
  <si>
    <t>Cost of Goods Sold</t>
  </si>
  <si>
    <t>Grants, Contracts &amp; Direct Assistance</t>
  </si>
  <si>
    <t>Grants to Individuals</t>
  </si>
  <si>
    <t>Grants to Other Organizations</t>
  </si>
  <si>
    <t>Participant Salaries &amp; Wages</t>
  </si>
  <si>
    <t>Salaries &amp; Wages- AmeriCorp</t>
  </si>
  <si>
    <t>Participant Wages - USJP</t>
  </si>
  <si>
    <t>USJP Manual Checks</t>
  </si>
  <si>
    <t>Payroll Exp - Fed</t>
  </si>
  <si>
    <t>Payroll Tax - SUI</t>
  </si>
  <si>
    <t>Worker's Compensation - USJP</t>
  </si>
  <si>
    <t>Workers Comp - AmeriCorp</t>
  </si>
  <si>
    <t>Payroll Expenses - Fees</t>
  </si>
  <si>
    <t>Salaries &amp; Related Expenses</t>
  </si>
  <si>
    <t>Directors</t>
  </si>
  <si>
    <t>Assistants</t>
  </si>
  <si>
    <t>Retirement Plan Contributions</t>
  </si>
  <si>
    <t>Employee Benefits</t>
  </si>
  <si>
    <t>Health Insurance</t>
  </si>
  <si>
    <t>Health Insurance - Direct</t>
  </si>
  <si>
    <t>Dental Insurance</t>
  </si>
  <si>
    <t>Life and Dental Insurance</t>
  </si>
  <si>
    <t>Disability Ins</t>
  </si>
  <si>
    <t>Employee Contrib - Health</t>
  </si>
  <si>
    <t>Worker's Compensation Insurance</t>
  </si>
  <si>
    <t>Employee Contrib - Disability</t>
  </si>
  <si>
    <t>Emp-ee Contrib -Dental</t>
  </si>
  <si>
    <t>Allocated W Comp</t>
  </si>
  <si>
    <t>Payroll Taxes, etc.</t>
  </si>
  <si>
    <t>Medicare</t>
  </si>
  <si>
    <t>Unemployment</t>
  </si>
  <si>
    <t>Disability</t>
  </si>
  <si>
    <t>Payroll Service Fees</t>
  </si>
  <si>
    <t>Allocated Payroll Fees</t>
  </si>
  <si>
    <t>Other payroll expenses</t>
  </si>
  <si>
    <t>Contract Service Expenses</t>
  </si>
  <si>
    <t>Fundraising fees</t>
  </si>
  <si>
    <t>IT Support</t>
  </si>
  <si>
    <t>Allocated IT consultants</t>
  </si>
  <si>
    <t>Accounting Fees</t>
  </si>
  <si>
    <t>Allocated Acctg and Audit</t>
  </si>
  <si>
    <t>Allocated Audit Fees</t>
  </si>
  <si>
    <t>Legal fees</t>
  </si>
  <si>
    <t>Instructors/Consultants/Subs</t>
  </si>
  <si>
    <t>Internships &amp; OJT</t>
  </si>
  <si>
    <t>Professional fees - other</t>
  </si>
  <si>
    <t>Temporary help - contract</t>
  </si>
  <si>
    <t>Allocated Consulting Fees</t>
  </si>
  <si>
    <t>Prior Period Adjustment</t>
  </si>
  <si>
    <t>Operating Expenses</t>
  </si>
  <si>
    <t>Program Supplies</t>
  </si>
  <si>
    <t>Supplies</t>
  </si>
  <si>
    <t>Alloc Supplies</t>
  </si>
  <si>
    <t>Gifts</t>
  </si>
  <si>
    <t>Donated Materials &amp; Supplies</t>
  </si>
  <si>
    <t>Telephone &amp; Telecommunications</t>
  </si>
  <si>
    <t>Telephone Maint Contract</t>
  </si>
  <si>
    <t>Cell Phone Services</t>
  </si>
  <si>
    <t>Allocated Cell Phone</t>
  </si>
  <si>
    <t>Verizon</t>
  </si>
  <si>
    <t>Optimum Services</t>
  </si>
  <si>
    <t>Telephone</t>
  </si>
  <si>
    <t>Allocated Telephone</t>
  </si>
  <si>
    <t>Postage &amp; Shipping</t>
  </si>
  <si>
    <t>Alloc Postage</t>
  </si>
  <si>
    <t>Computer Software &amp; Hardware</t>
  </si>
  <si>
    <t>Allocated Comp -Software</t>
  </si>
  <si>
    <t>Printing &amp; Copying</t>
  </si>
  <si>
    <t>Books, Subscriptions, References</t>
  </si>
  <si>
    <t>Internet/Web/Hosting Fees</t>
  </si>
  <si>
    <t>Web Hosting Alloc</t>
  </si>
  <si>
    <t>Workstations</t>
  </si>
  <si>
    <t>Facility &amp; Equipment Expenses</t>
  </si>
  <si>
    <t>Rent, Parking, Other Occupancy</t>
  </si>
  <si>
    <t>Utilities</t>
  </si>
  <si>
    <t>504 Utilities</t>
  </si>
  <si>
    <t>506 Utilities</t>
  </si>
  <si>
    <t>508 Utilities</t>
  </si>
  <si>
    <t>Allocated Utilities</t>
  </si>
  <si>
    <t>Water</t>
  </si>
  <si>
    <t>504 Water</t>
  </si>
  <si>
    <t>506 Water</t>
  </si>
  <si>
    <t>508 Water</t>
  </si>
  <si>
    <t>Allocated Water</t>
  </si>
  <si>
    <t>Equipment Rental, Repair &amp; Maintenance</t>
  </si>
  <si>
    <t>Copier Lease</t>
  </si>
  <si>
    <t>Copy Fees</t>
  </si>
  <si>
    <t>Vehicle Repairs</t>
  </si>
  <si>
    <t>Equipment Rental</t>
  </si>
  <si>
    <t>Postage Lease</t>
  </si>
  <si>
    <t>Allocated Equip Lease</t>
  </si>
  <si>
    <t>Allocated Cost</t>
  </si>
  <si>
    <t>Building Repair &amp; Maintenance</t>
  </si>
  <si>
    <t>Alarm Services</t>
  </si>
  <si>
    <t>Trash Removal</t>
  </si>
  <si>
    <t>Exterminating</t>
  </si>
  <si>
    <t>Permits</t>
  </si>
  <si>
    <t>Alloc Repairs and Maint</t>
  </si>
  <si>
    <t>Maintenance Supplies</t>
  </si>
  <si>
    <t>Mortgage Interest Expense</t>
  </si>
  <si>
    <t>Allocated Mortgage Interest</t>
  </si>
  <si>
    <t>Property Insurance</t>
  </si>
  <si>
    <t>Insurance-New NRTC Real Estate Project</t>
  </si>
  <si>
    <t>General Liab</t>
  </si>
  <si>
    <t>Liability Insurance</t>
  </si>
  <si>
    <t>Other</t>
  </si>
  <si>
    <t>Property Taxes</t>
  </si>
  <si>
    <t>Allocated Insurance</t>
  </si>
  <si>
    <t>W.I. Progress</t>
  </si>
  <si>
    <t>Thrift Store Renovations and Rehab at 506 Central Avenue</t>
  </si>
  <si>
    <t>Depreciation &amp; Amortization</t>
  </si>
  <si>
    <t>Donated Facilities</t>
  </si>
  <si>
    <t>Mortgage Expenses</t>
  </si>
  <si>
    <t>Security Equipment</t>
  </si>
  <si>
    <t>Travel &amp; Meetings Expenses</t>
  </si>
  <si>
    <t>Transportation &amp; Parking</t>
  </si>
  <si>
    <t>Participant Travel</t>
  </si>
  <si>
    <t>Travel</t>
  </si>
  <si>
    <t>Meals</t>
  </si>
  <si>
    <t>Lodging</t>
  </si>
  <si>
    <t>Airfare</t>
  </si>
  <si>
    <t>Conferences, Conventions, Meetings</t>
  </si>
  <si>
    <t>Field Trips</t>
  </si>
  <si>
    <t>Need Based Costs</t>
  </si>
  <si>
    <t>Other Client Specific Expenses</t>
  </si>
  <si>
    <t>Classroom Materials &amp; Supplies</t>
  </si>
  <si>
    <t>Job Developer</t>
  </si>
  <si>
    <t>Classroom Technology</t>
  </si>
  <si>
    <t>Community Service Project</t>
  </si>
  <si>
    <t>Tutoring</t>
  </si>
  <si>
    <t>Expungement Services</t>
  </si>
  <si>
    <t>Job Training</t>
  </si>
  <si>
    <t>GED &amp; ABE Classes</t>
  </si>
  <si>
    <t>Mentoring</t>
  </si>
  <si>
    <t>Food &amp; Related Supplies</t>
  </si>
  <si>
    <t>Program Training</t>
  </si>
  <si>
    <t>Providing Thriftworks Retail Operations Training</t>
  </si>
  <si>
    <t>Construction Trade Job Training Program</t>
  </si>
  <si>
    <t>Housing and Renter Counseling Training</t>
  </si>
  <si>
    <t>Subsidy/ Rental Assistance</t>
  </si>
  <si>
    <t>Client Incentives</t>
  </si>
  <si>
    <t>Client Stipends</t>
  </si>
  <si>
    <t>Food for Classes</t>
  </si>
  <si>
    <t>Background Check</t>
  </si>
  <si>
    <t>Housing Rehabilitation</t>
  </si>
  <si>
    <t>Employee Appreciation</t>
  </si>
  <si>
    <t>Other Expenses</t>
  </si>
  <si>
    <t>Interest Expense - General</t>
  </si>
  <si>
    <t>Insurance - Non-Employee Related</t>
  </si>
  <si>
    <t>Membership Dues - Organization</t>
  </si>
  <si>
    <t>Staff Development/Training</t>
  </si>
  <si>
    <t>Bank fees</t>
  </si>
  <si>
    <t>Processing fees</t>
  </si>
  <si>
    <t>Fines and Penalties</t>
  </si>
  <si>
    <t>Advertising/Marketing Expenses</t>
  </si>
  <si>
    <t>Uncollected Grant Revenue</t>
  </si>
  <si>
    <t>Licenses &amp; Fees</t>
  </si>
  <si>
    <t>Bad Debt Expense</t>
  </si>
  <si>
    <t>Community Outreach</t>
  </si>
  <si>
    <t>Capital Expenditures</t>
  </si>
  <si>
    <t>Housing Development</t>
  </si>
  <si>
    <t>Construction Cost for Multi Family Homes</t>
  </si>
  <si>
    <t>Rehab of Existing Facility</t>
  </si>
  <si>
    <t>Acquisition of Properties</t>
  </si>
  <si>
    <t>Property Improvements Model Block Program</t>
  </si>
  <si>
    <t>Holding Cost</t>
  </si>
  <si>
    <t>Repairs</t>
  </si>
  <si>
    <t>Interest Exp</t>
  </si>
  <si>
    <t>Security Systems</t>
  </si>
  <si>
    <t>Neighborhood Amenities</t>
  </si>
  <si>
    <t>Soft cost</t>
  </si>
  <si>
    <t>Pre Development Cost</t>
  </si>
  <si>
    <t>Computer and Related Equip</t>
  </si>
  <si>
    <t>Housing Counseling-Training</t>
  </si>
  <si>
    <t>Construction Cost</t>
  </si>
  <si>
    <t>Construction in Progress Adj</t>
  </si>
  <si>
    <t>Admin Cost - Allocated</t>
  </si>
  <si>
    <t>Donated Services</t>
  </si>
  <si>
    <t>Donated Services- Match</t>
  </si>
  <si>
    <t>Capital Expansion</t>
  </si>
  <si>
    <t>Payroll Withholdings</t>
  </si>
  <si>
    <t>Unrestricted Net Assets</t>
  </si>
  <si>
    <t>Reconciliation Discrepancies</t>
  </si>
  <si>
    <t>Wells Fargo - Reg Found 2</t>
  </si>
  <si>
    <t>4011A</t>
  </si>
  <si>
    <t>Wells Fargo</t>
  </si>
  <si>
    <t>4011B</t>
  </si>
  <si>
    <t>4011C</t>
  </si>
  <si>
    <t>Verizon Foundation</t>
  </si>
  <si>
    <t>4015A</t>
  </si>
  <si>
    <t>Prudential Success Grant</t>
  </si>
  <si>
    <t>4016A</t>
  </si>
  <si>
    <t>Prudential Capacity 2</t>
  </si>
  <si>
    <t>4016B</t>
  </si>
  <si>
    <t>Non Profit Finance Fund</t>
  </si>
  <si>
    <t>4016C</t>
  </si>
  <si>
    <t>ESG Rental Assistance 2017</t>
  </si>
  <si>
    <t>4538A</t>
  </si>
  <si>
    <t>Director of Development</t>
  </si>
  <si>
    <t>7221d</t>
  </si>
  <si>
    <t>Truck Driver</t>
  </si>
  <si>
    <t>7222i</t>
  </si>
  <si>
    <t>Substitutes</t>
  </si>
  <si>
    <t>7222k</t>
  </si>
  <si>
    <t>Finance Assistance</t>
  </si>
  <si>
    <t>7222m</t>
  </si>
  <si>
    <t>Workforce Trainer</t>
  </si>
  <si>
    <t>7222n</t>
  </si>
  <si>
    <t>Senior Case Manager</t>
  </si>
  <si>
    <t>Data Analyst</t>
  </si>
  <si>
    <t>7222q</t>
  </si>
  <si>
    <t>Benefits Specialist</t>
  </si>
  <si>
    <t>7222r</t>
  </si>
  <si>
    <t>IT – Desktop Assistance</t>
  </si>
  <si>
    <t>7222s</t>
  </si>
  <si>
    <t>Youth Advocate Counselor</t>
  </si>
  <si>
    <t>7222t</t>
  </si>
  <si>
    <t>EHS Caregiver</t>
  </si>
  <si>
    <t>7222u</t>
  </si>
  <si>
    <t>Store Manager</t>
  </si>
  <si>
    <t>7222v</t>
  </si>
  <si>
    <t>Thrift Store Operation Manager</t>
  </si>
  <si>
    <t>7222w</t>
  </si>
  <si>
    <t>Food Worker Assistant</t>
  </si>
  <si>
    <t>Teacher Assistant</t>
  </si>
  <si>
    <t>Housing Counselor Assistant</t>
  </si>
  <si>
    <t>7223d</t>
  </si>
  <si>
    <t>Substitute Asst</t>
  </si>
  <si>
    <t>7223e</t>
  </si>
  <si>
    <t>Site Coordinator AA</t>
  </si>
  <si>
    <t>7224B A</t>
  </si>
  <si>
    <t>Sr Site Coordinator</t>
  </si>
  <si>
    <t>7224E</t>
  </si>
  <si>
    <t>Audit Fees</t>
  </si>
  <si>
    <t>7520A</t>
  </si>
  <si>
    <t>Program Consultant</t>
  </si>
  <si>
    <t>7540A</t>
  </si>
  <si>
    <t>Rental Assistance</t>
  </si>
  <si>
    <t>8455A</t>
  </si>
  <si>
    <t>1440 Allocated Costs - General0</t>
  </si>
  <si>
    <t>2150 Visa Card</t>
  </si>
  <si>
    <t>7510 Contract Service Expenses</t>
  </si>
  <si>
    <t>7515 Contract Service Expenses</t>
  </si>
  <si>
    <t>8108 Operating Expenses</t>
  </si>
  <si>
    <t>8110 Operating Expenses</t>
  </si>
  <si>
    <t>8115 Operating Expenses</t>
  </si>
  <si>
    <t>8133 Operating Expenses</t>
  </si>
  <si>
    <t>8160 Operating Expenses</t>
  </si>
  <si>
    <t>8170 Operating Expenses</t>
  </si>
  <si>
    <t>8180 Operating Expenses</t>
  </si>
  <si>
    <t>8190 Operating Expenses</t>
  </si>
  <si>
    <t>8240 Facility &amp; Equipment Expenses</t>
  </si>
  <si>
    <t>8312 Travel &amp; Meetings Expenses</t>
  </si>
  <si>
    <t>8320 Travel &amp; Meetings Expenses</t>
  </si>
  <si>
    <t>8350 Travel &amp; Meetings Expenses</t>
  </si>
  <si>
    <t>8405 Other Client Specific Expenses</t>
  </si>
  <si>
    <t>8470 Other Client Specific Expenses</t>
  </si>
  <si>
    <t>8480 Other Client Specific Expenses</t>
  </si>
  <si>
    <t>8525 Other Expenses</t>
  </si>
  <si>
    <t>8570 Other Expenses</t>
  </si>
  <si>
    <t>8580 Other Expenses</t>
  </si>
  <si>
    <t>8599 Capital Expenditures</t>
  </si>
  <si>
    <t>Bad Debt</t>
  </si>
  <si>
    <t>Billable Expense Income</t>
  </si>
  <si>
    <t>Copyright © S&amp;A TECHNOLOGIES • 211 Warren Street, Newark New Jersey, 07103 • Tel: 973 733 2225</t>
  </si>
  <si>
    <t>Inventory Asset</t>
  </si>
  <si>
    <t>Markup</t>
  </si>
  <si>
    <t>Other Miscellaneous Expense</t>
  </si>
  <si>
    <t>Purchases</t>
  </si>
  <si>
    <t>Reconciliation Discrepancies-1</t>
  </si>
  <si>
    <t>Sales of Product Income</t>
  </si>
  <si>
    <t>Services</t>
  </si>
  <si>
    <t>Unapplied Cash Bill Payment Expense</t>
  </si>
  <si>
    <t>Unapplied Cash Payment Income</t>
  </si>
  <si>
    <t>Uncategorized Asset</t>
  </si>
  <si>
    <t>Uncategorized Expense</t>
  </si>
  <si>
    <t>Uncategorized Income</t>
  </si>
  <si>
    <t>Mar 2020</t>
  </si>
  <si>
    <t>111B Wrap Fees</t>
  </si>
  <si>
    <t>Abbott,Teacher</t>
  </si>
  <si>
    <t xml:space="preserve">Abbott,Security </t>
  </si>
  <si>
    <t>Abbott, Admin,Custodian</t>
  </si>
  <si>
    <t>Abbott, Admin,Teacher Assistant</t>
  </si>
  <si>
    <t>Wrap,Wrap Worker</t>
  </si>
  <si>
    <t>Abbott,Teacher Assistant</t>
  </si>
  <si>
    <t>111AA009</t>
  </si>
  <si>
    <t>111BA009</t>
  </si>
  <si>
    <t>USJP,Site Coordinator</t>
  </si>
  <si>
    <t>FOC,Program Coordinator</t>
  </si>
  <si>
    <t>Abbott,Program Director</t>
  </si>
  <si>
    <t>EHS/ Toddlers,Teacher</t>
  </si>
  <si>
    <t>Admin,CEO</t>
  </si>
  <si>
    <t>Workforce,VP - Workforce</t>
  </si>
  <si>
    <t>Housing,Housing Coordinator</t>
  </si>
  <si>
    <t>FOC,Financial Coach</t>
  </si>
  <si>
    <t>United Airlines,Job Developer</t>
  </si>
  <si>
    <t>USJP,Teacher</t>
  </si>
  <si>
    <t>NRTC, Housing, PARS, ESG,Housing Coordinator</t>
  </si>
  <si>
    <t>PACE,Program Coordinator</t>
  </si>
  <si>
    <t>USJP,Payroll Coordinator</t>
  </si>
  <si>
    <t>Neigh Revit,Community Organizer</t>
  </si>
  <si>
    <t>Abbott,Family Worker</t>
  </si>
  <si>
    <t>111A</t>
  </si>
  <si>
    <t>USJP,Program Director</t>
  </si>
  <si>
    <t>Abbott,Floater</t>
  </si>
  <si>
    <t>Opportunity Corp,Program Director</t>
  </si>
  <si>
    <t>FOC, Housing, OICA, COO,COO</t>
  </si>
  <si>
    <t>Admin, Coding, WF,CAO</t>
  </si>
  <si>
    <t>Abbott,Food Worker</t>
  </si>
  <si>
    <t>Admin,CFO</t>
  </si>
  <si>
    <t>United Airlines, PACE June 30,Career Coach</t>
  </si>
  <si>
    <t>Period</t>
  </si>
  <si>
    <t>02/16/20 – 02/29/20</t>
  </si>
  <si>
    <t>630</t>
  </si>
  <si>
    <t>COO</t>
  </si>
  <si>
    <t>560</t>
  </si>
  <si>
    <t>369</t>
  </si>
  <si>
    <t>Employer Expense, Employer Expenses  Payroll Row: 18</t>
  </si>
  <si>
    <t>Employer Liability, Payroll Taxes  Payroll Row: 20</t>
  </si>
  <si>
    <t>Net Pay, Cash  Payroll Row: 21</t>
  </si>
  <si>
    <t>Salary Expense, Salaries  Payroll Row: 22</t>
  </si>
  <si>
    <t>Tax Liability, Cash  Payroll Row: 23</t>
  </si>
  <si>
    <t>Tax Liability, Payroll Taxes  Payroll Row: 24</t>
  </si>
  <si>
    <t>Employer Expense, Employer Expenses  Payroll Row: 92</t>
  </si>
  <si>
    <t>Employer Liability, Deductions  Payroll Row: 101</t>
  </si>
  <si>
    <t>Employer Liability, Payroll Taxes  Payroll Row: 102</t>
  </si>
  <si>
    <t>Net Pay, Cash  Payroll Row: 103</t>
  </si>
  <si>
    <t>Salary Expense, Salaries  Payroll Row: 104</t>
  </si>
  <si>
    <t>Tax Liability, Cash  Payroll Row: 105</t>
  </si>
  <si>
    <t>Tax Liability, Payroll Taxes  Payroll Row: 106</t>
  </si>
  <si>
    <t>Employer Expense, Employer Expenses  Payroll Row: 107</t>
  </si>
  <si>
    <t>Employer Liability, Deductions  Payroll Row: 109</t>
  </si>
  <si>
    <t>Employer Liability, Payroll Taxes  Payroll Row: 110</t>
  </si>
  <si>
    <t>Net Pay, Cash  Payroll Row: 111</t>
  </si>
  <si>
    <t>Salary Expense, Salaries  Payroll Row: 112</t>
  </si>
  <si>
    <t>Tax Liability, Cash  Payroll Row: 113</t>
  </si>
  <si>
    <t>Tax Liability, Payroll Taxes  Payroll Row: 114</t>
  </si>
  <si>
    <t>Employer Expense, Employer Expenses  Payroll Row: 115</t>
  </si>
  <si>
    <t>Employer Liability, Deductions  Payroll Row: 117</t>
  </si>
  <si>
    <t>Employer Liability, Payroll Taxes  Payroll Row: 118</t>
  </si>
  <si>
    <t>Net Pay, Cash  Payroll Row: 119</t>
  </si>
  <si>
    <t>Salary Expense, Salaries  Payroll Row: 120</t>
  </si>
  <si>
    <t>Tax Liability, Cash  Payroll Row: 121</t>
  </si>
  <si>
    <t>Tax Liability, Payroll Taxes  Payroll Row: 122</t>
  </si>
  <si>
    <t>Employer Expense, Employer Expenses  Payroll Row: 123</t>
  </si>
  <si>
    <t>Employer Liability, Deductions  Payroll Row: 125</t>
  </si>
  <si>
    <t>Employer Liability, Payroll Taxes  Payroll Row: 126</t>
  </si>
  <si>
    <t>Net Pay, Cash  Payroll Row: 127</t>
  </si>
  <si>
    <t>Salary Expense, Salaries  Payroll Row: 128</t>
  </si>
  <si>
    <t>Tax Liability, Cash  Payroll Row: 129</t>
  </si>
  <si>
    <t>Tax Liability, Payroll Taxes  Payroll Row: 130</t>
  </si>
  <si>
    <t>Employer Expense, Employer Expenses  Payroll Row: 131</t>
  </si>
  <si>
    <t>Employer Liability, Deductions  Payroll Row: 133</t>
  </si>
  <si>
    <t>Employer Liability, Payroll Taxes  Payroll Row: 134</t>
  </si>
  <si>
    <t>Net Pay, Cash  Payroll Row: 135</t>
  </si>
  <si>
    <t>Salary Expense, Salaries  Payroll Row: 136</t>
  </si>
  <si>
    <t>Tax Liability, Cash  Payroll Row: 137</t>
  </si>
  <si>
    <t>Tax Liability, Payroll Taxes  Payroll Row: 138</t>
  </si>
  <si>
    <t>Employer Expense, Employer Expenses  Payroll Row: 139</t>
  </si>
  <si>
    <t>Employer Liability, Deductions  Payroll Row: 141</t>
  </si>
  <si>
    <t>Employer Liability, Payroll Taxes  Payroll Row: 142</t>
  </si>
  <si>
    <t>Net Pay, Cash  Payroll Row: 143</t>
  </si>
  <si>
    <t>Salary Expense, Salaries  Payroll Row: 144</t>
  </si>
  <si>
    <t>Tax Liability, Cash  Payroll Row: 145</t>
  </si>
  <si>
    <t>Tax Liability, Payroll Taxes  Payroll Row: 146</t>
  </si>
  <si>
    <t>Employer Expense, Employer Expenses  Payroll Row: 147</t>
  </si>
  <si>
    <t>Employer Liability, Deductions  Payroll Row: 149</t>
  </si>
  <si>
    <t>Employer Liability, Payroll Taxes  Payroll Row: 150</t>
  </si>
  <si>
    <t>Net Pay, Cash  Payroll Row: 151</t>
  </si>
  <si>
    <t>Salary Expense, Salaries  Payroll Row: 152</t>
  </si>
  <si>
    <t>Tax Liability, Cash  Payroll Row: 153</t>
  </si>
  <si>
    <t>Tax Liability, Payroll Taxes  Payroll Row: 154</t>
  </si>
  <si>
    <t>Employer Expense, Employer Expenses  Payroll Row: 155</t>
  </si>
  <si>
    <t>Employer Liability, Deductions  Payroll Row: 157</t>
  </si>
  <si>
    <t>Employer Liability, Payroll Taxes  Payroll Row: 158</t>
  </si>
  <si>
    <t>Net Pay, Cash  Payroll Row: 159</t>
  </si>
  <si>
    <t>Salary Expense, Salaries  Payroll Row: 160</t>
  </si>
  <si>
    <t>Tax Liability, Cash  Payroll Row: 161</t>
  </si>
  <si>
    <t>Tax Liability, Payroll Taxes  Payroll Row: 162</t>
  </si>
  <si>
    <t>Employer Expense, Employer Expenses  Payroll Row: 163</t>
  </si>
  <si>
    <t>Employer Liability, Deductions  Payroll Row: 165</t>
  </si>
  <si>
    <t>Employer Liability, Payroll Taxes  Payroll Row: 166</t>
  </si>
  <si>
    <t>Net Pay, Cash  Payroll Row: 167</t>
  </si>
  <si>
    <t>Salary Expense, Salaries  Payroll Row: 168</t>
  </si>
  <si>
    <t>Tax Liability, Cash  Payroll Row: 169</t>
  </si>
  <si>
    <t>Tax Liability, Payroll Taxes  Payroll Row: 170</t>
  </si>
  <si>
    <t>Employer Expense, Employer Expenses  Payroll Row: 171</t>
  </si>
  <si>
    <t>Employer Liability, Payroll Taxes  Payroll Row: 173</t>
  </si>
  <si>
    <t>Net Pay, Cash  Payroll Row: 174</t>
  </si>
  <si>
    <t>Salary Expense, Salaries  Payroll Row: 175</t>
  </si>
  <si>
    <t>Tax Liability, Cash  Payroll Row: 176</t>
  </si>
  <si>
    <t>Tax Liability, Payroll Taxes  Payroll Row: 177</t>
  </si>
  <si>
    <t>Employer Expense, Employer Expenses  Payroll Row: 178</t>
  </si>
  <si>
    <t>Employer Liability, Deductions  Payroll Row: 180</t>
  </si>
  <si>
    <t>Employer Liability, Payroll Taxes  Payroll Row: 181</t>
  </si>
  <si>
    <t>Net Pay, Cash  Payroll Row: 182</t>
  </si>
  <si>
    <t>Salary Expense, Salaries  Payroll Row: 183</t>
  </si>
  <si>
    <t>Tax Liability, Cash  Payroll Row: 184</t>
  </si>
  <si>
    <t>Tax Liability, Payroll Taxes  Payroll Row: 185</t>
  </si>
  <si>
    <t>Employer Expense, Employer Expenses  Payroll Row: 186</t>
  </si>
  <si>
    <t>Employer Liability, Payroll Taxes  Payroll Row: 188</t>
  </si>
  <si>
    <t>Net Pay, Cash  Payroll Row: 189</t>
  </si>
  <si>
    <t>Salary Expense, Salaries  Payroll Row: 190</t>
  </si>
  <si>
    <t>Tax Liability, Cash  Payroll Row: 191</t>
  </si>
  <si>
    <t>Tax Liability, Payroll Taxes  Payroll Row: 192</t>
  </si>
  <si>
    <t>Employer Expense, Employer Expenses  Payroll Row: 193</t>
  </si>
  <si>
    <t>C:\Users\Peter\Documents\Associates\Projects\Townsend\UrbanLeague\Payroll Allocation\2020 03 20 _AdvancedGeneralLedgerReport_a382e1d3.xlsx</t>
  </si>
  <si>
    <t>03/01/20 – 03/14/20</t>
  </si>
  <si>
    <t>Abbott-Other</t>
  </si>
  <si>
    <t>A03B</t>
  </si>
  <si>
    <t>MCMILLIAN, DAPHNE L.</t>
  </si>
  <si>
    <t>A01J</t>
  </si>
  <si>
    <t>ANDREWS, CORA Payroll Period 03/01/20 – 03/14/20</t>
  </si>
  <si>
    <t>GREEN, YOLANDA Payroll Period 03/01/20 – 03/14/20</t>
  </si>
  <si>
    <t>Abbott Payroll Period 03/01/20 – 03/14/20</t>
  </si>
  <si>
    <t>MCMILLIAN, Daphne L. Payroll Period 03/01/20 – 03/14/20</t>
  </si>
  <si>
    <t>Net Pay, Cash  Payroll Row: 26</t>
  </si>
  <si>
    <t>Salary Expense, Salaries  Payroll Row: 27</t>
  </si>
  <si>
    <t>BRYANT, RONI Payroll Period 03/01/20 – 03/14/20</t>
  </si>
  <si>
    <t>Employer Expense, Employer Expenses  Payroll Row: 28</t>
  </si>
  <si>
    <t>Employer Liability, Deductions  Payroll Row: 30</t>
  </si>
  <si>
    <t>Employer Liability, Payroll Taxes  Payroll Row: 31</t>
  </si>
  <si>
    <t>Net Pay, Cash  Payroll Row: 32</t>
  </si>
  <si>
    <t>Salary Expense, Salaries  Payroll Row: 33</t>
  </si>
  <si>
    <t>Tax Liability, Cash  Payroll Row: 34</t>
  </si>
  <si>
    <t>Tax Liability, Payroll Taxes  Payroll Row: 35</t>
  </si>
  <si>
    <t>WOODRIDGE, ROSALIND Payroll Period 03/01/20 – 03/14/20</t>
  </si>
  <si>
    <t>Employer Expense, Employer Expenses  Payroll Row: 36</t>
  </si>
  <si>
    <t>Employer Liability, Payroll Taxes  Payroll Row: 38</t>
  </si>
  <si>
    <t>Net Pay, Cash  Payroll Row: 39</t>
  </si>
  <si>
    <t>Salary Expense, Salaries  Payroll Row: 40</t>
  </si>
  <si>
    <t>Tax Liability, Cash  Payroll Row: 41</t>
  </si>
  <si>
    <t>Tax Liability, Payroll Taxes  Payroll Row: 42</t>
  </si>
  <si>
    <t>TYLER, PATRICIA Payroll Period 03/01/20 – 03/14/20</t>
  </si>
  <si>
    <t>Employer Expense, Employer Expenses  Payroll Row: 43</t>
  </si>
  <si>
    <t>Employer Liability, Payroll Taxes  Payroll Row: 45</t>
  </si>
  <si>
    <t>Net Pay, Cash  Payroll Row: 46</t>
  </si>
  <si>
    <t>Salary Expense, Salaries  Payroll Row: 47</t>
  </si>
  <si>
    <t>Tax Liability, Cash  Payroll Row: 48</t>
  </si>
  <si>
    <t>Tax Liability, Payroll Taxes  Payroll Row: 49</t>
  </si>
  <si>
    <t>DANCE-WILSON, HEATHER Payroll Period 03/01/20 – 03/14/20</t>
  </si>
  <si>
    <t>Employer Expense, Employer Expenses  Payroll Row: 50</t>
  </si>
  <si>
    <t>Employer Liability, Deductions  Payroll Row: 52</t>
  </si>
  <si>
    <t>Employer Liability, Payroll Taxes  Payroll Row: 53</t>
  </si>
  <si>
    <t>Net Pay, Cash  Payroll Row: 54</t>
  </si>
  <si>
    <t>Salary Expense, Salaries  Payroll Row: 55</t>
  </si>
  <si>
    <t>Tax Liability, Cash  Payroll Row: 56</t>
  </si>
  <si>
    <t>Tax Liability, Payroll Taxes  Payroll Row: 57</t>
  </si>
  <si>
    <t>SIMMONS, BERTRILLA RENEE Payroll Period 03/01/20 – 03/14/20</t>
  </si>
  <si>
    <t>Employer Expense, Employer Expenses  Payroll Row: 58</t>
  </si>
  <si>
    <t>Employer Liability, Deductions  Payroll Row: 60</t>
  </si>
  <si>
    <t>Employer Liability, Payroll Taxes  Payroll Row: 61</t>
  </si>
  <si>
    <t>Net Pay, Cash  Payroll Row: 62</t>
  </si>
  <si>
    <t>Salary Expense, Salaries  Payroll Row: 63</t>
  </si>
  <si>
    <t>Tax Liability, Cash  Payroll Row: 64</t>
  </si>
  <si>
    <t>Tax Liability, Payroll Taxes  Payroll Row: 65</t>
  </si>
  <si>
    <t>BENNETT, PATRICIA A Payroll Period 03/01/20 – 03/14/20</t>
  </si>
  <si>
    <t>Employer Expense, Employer Expenses  Payroll Row: 66</t>
  </si>
  <si>
    <t>Employer Liability, Payroll Taxes  Payroll Row: 68</t>
  </si>
  <si>
    <t>Net Pay, Cash  Payroll Row: 69</t>
  </si>
  <si>
    <t>Salary Expense, Salaries  Payroll Row: 70</t>
  </si>
  <si>
    <t>Tax Liability, Cash  Payroll Row: 71</t>
  </si>
  <si>
    <t>Tax Liability, Payroll Taxes  Payroll Row: 72</t>
  </si>
  <si>
    <t>Mitchell, Felicia Payroll Period 03/01/20 – 03/14/20</t>
  </si>
  <si>
    <t>Employer Expense, Employer Expenses  Payroll Row: 73</t>
  </si>
  <si>
    <t>Employer Liability, Payroll Taxes  Payroll Row: 75</t>
  </si>
  <si>
    <t>Net Pay, Cash  Payroll Row: 76</t>
  </si>
  <si>
    <t>Salary Expense, Salaries  Payroll Row: 77</t>
  </si>
  <si>
    <t>Tax Liability, Cash  Payroll Row: 78</t>
  </si>
  <si>
    <t>Tax Liability, Payroll Taxes  Payroll Row: 79</t>
  </si>
  <si>
    <t>STEWART, ROBIN D Payroll Period 03/01/20 – 03/14/20</t>
  </si>
  <si>
    <t>Employer Expense, Employer Expenses  Payroll Row: 80</t>
  </si>
  <si>
    <t>Employer Liability, Deductions  Payroll Row: 82</t>
  </si>
  <si>
    <t>Employer Liability, Payroll Taxes  Payroll Row: 83</t>
  </si>
  <si>
    <t>Net Pay, Cash  Payroll Row: 84</t>
  </si>
  <si>
    <t>Salary Expense, Salaries  Payroll Row: 85</t>
  </si>
  <si>
    <t>Tax Liability, Cash  Payroll Row: 86</t>
  </si>
  <si>
    <t>Tax Liability, Payroll Taxes  Payroll Row: 87</t>
  </si>
  <si>
    <t>Employer Liability, Deductions  Payroll Row: 89</t>
  </si>
  <si>
    <t>Net Pay, Cash  Payroll Row: 90</t>
  </si>
  <si>
    <t>Salary Expense, Salaries  Payroll Row: 91</t>
  </si>
  <si>
    <t>BROWN, DENYSE Payroll Period 03/01/20 – 03/14/20</t>
  </si>
  <si>
    <t>FITZPATRICK, CYNTHIA ELAINE Payroll Period 03/01/20 – 03/14/20</t>
  </si>
  <si>
    <t>WARD, RICHARD G Payroll Period 03/01/20 – 03/14/20</t>
  </si>
  <si>
    <t>SHARIF, DARRIN S Payroll Period 03/01/20 – 03/14/20</t>
  </si>
  <si>
    <t>MCDANIEL, CURTIS J Payroll Period 03/01/20 – 03/14/20</t>
  </si>
  <si>
    <t>MARTINEZ, Joanna Payroll Period 03/01/20 – 03/14/20</t>
  </si>
  <si>
    <t>CERNA, IRENE Payroll Period 03/01/20 – 03/14/20</t>
  </si>
  <si>
    <t>JOHNSON, ARMANDA Payroll Period 03/01/20 – 03/14/20</t>
  </si>
  <si>
    <t>MORRIS, GWENDOLYN J Payroll Period 03/01/20 – 03/14/20</t>
  </si>
  <si>
    <t>LEAKE, RAHMEL Payroll Period 03/01/20 – 03/14/20</t>
  </si>
  <si>
    <t>SERMON, PATRICIA Payroll Period 03/01/20 – 03/14/20</t>
  </si>
  <si>
    <t>Employer Liability, Payroll Taxes  Payroll Row: 195</t>
  </si>
  <si>
    <t>Net Pay, Cash  Payroll Row: 196</t>
  </si>
  <si>
    <t>Salary Expense, Salaries  Payroll Row: 197</t>
  </si>
  <si>
    <t>Tax Liability, Cash  Payroll Row: 198</t>
  </si>
  <si>
    <t>Tax Liability, Payroll Taxes  Payroll Row: 199</t>
  </si>
  <si>
    <t>FRAZIER, ALICE Payroll Period 03/01/20 – 03/14/20</t>
  </si>
  <si>
    <t>Employer Expense, Employer Expenses  Payroll Row: 200</t>
  </si>
  <si>
    <t>Employer Liability, Deductions  Payroll Row: 202</t>
  </si>
  <si>
    <t>Employer Liability, Payroll Taxes  Payroll Row: 203</t>
  </si>
  <si>
    <t>Net Pay, Cash  Payroll Row: 204</t>
  </si>
  <si>
    <t>Salary Expense, Salaries  Payroll Row: 205</t>
  </si>
  <si>
    <t>Tax Liability, Cash  Payroll Row: 206</t>
  </si>
  <si>
    <t>Tax Liability, Payroll Taxes  Payroll Row: 207</t>
  </si>
  <si>
    <t>WILLIAMS, KYNEISHA Payroll Period 03/01/20 – 03/14/20</t>
  </si>
  <si>
    <t>Employer Expense, Employer Expenses  Payroll Row: 208</t>
  </si>
  <si>
    <t>Employer Liability, Deductions  Payroll Row: 210</t>
  </si>
  <si>
    <t>Employer Liability, Payroll Taxes  Payroll Row: 211</t>
  </si>
  <si>
    <t>Net Pay, Cash  Payroll Row: 212</t>
  </si>
  <si>
    <t>Salary Expense, Salaries  Payroll Row: 213</t>
  </si>
  <si>
    <t>Tax Liability, Cash  Payroll Row: 214</t>
  </si>
  <si>
    <t>Tax Liability, Payroll Taxes  Payroll Row: 215</t>
  </si>
  <si>
    <t>HOWARD, THERESA M Payroll Period 03/01/20 – 03/14/20</t>
  </si>
  <si>
    <t>Employer Expense, Employer Expenses  Payroll Row: 216</t>
  </si>
  <si>
    <t>Employer Liability, Deductions  Payroll Row: 218</t>
  </si>
  <si>
    <t>Employer Liability, Payroll Taxes  Payroll Row: 219</t>
  </si>
  <si>
    <t>Net Pay, Cash  Payroll Row: 220</t>
  </si>
  <si>
    <t>Salary Expense, Salaries  Payroll Row: 221</t>
  </si>
  <si>
    <t>Tax Liability, Cash  Payroll Row: 222</t>
  </si>
  <si>
    <t>Tax Liability, Payroll Taxes  Payroll Row: 223</t>
  </si>
  <si>
    <t>LOVE, CHARLES F Payroll Period 03/01/20 – 03/14/20</t>
  </si>
  <si>
    <t>Employer Expense, Employer Expenses  Payroll Row: 224</t>
  </si>
  <si>
    <t>Employer Liability, Payroll Taxes  Payroll Row: 226</t>
  </si>
  <si>
    <t>Net Pay, Cash  Payroll Row: 227</t>
  </si>
  <si>
    <t>Salary Expense, Salaries  Payroll Row: 228</t>
  </si>
  <si>
    <t>Tax Liability, Cash  Payroll Row: 229</t>
  </si>
  <si>
    <t>Tax Liability, Payroll Taxes  Payroll Row: 230</t>
  </si>
  <si>
    <t>LINDSEY, VICTORIA A Payroll Period 03/01/20 – 03/14/20</t>
  </si>
  <si>
    <t>Employer Expense, Employer Expenses  Payroll Row: 231</t>
  </si>
  <si>
    <t>Employer Liability, Deductions  Payroll Row: 233</t>
  </si>
  <si>
    <t>Employer Liability, Payroll Taxes  Payroll Row: 234</t>
  </si>
  <si>
    <t>Net Pay, Cash  Payroll Row: 235</t>
  </si>
  <si>
    <t>Salary Expense, Salaries  Payroll Row: 236</t>
  </si>
  <si>
    <t>Tax Liability, Cash  Payroll Row: 237</t>
  </si>
  <si>
    <t>Tax Liability, Payroll Taxes  Payroll Row: 238</t>
  </si>
  <si>
    <t>Guerra, Karime Payroll Period 03/01/20 – 03/14/20</t>
  </si>
  <si>
    <t>Employer Expense, Employer Expenses  Payroll Row: 239</t>
  </si>
  <si>
    <t>Employer Liability, Deductions  Payroll Row: 241</t>
  </si>
  <si>
    <t>Employer Liability, Payroll Taxes  Payroll Row: 242</t>
  </si>
  <si>
    <t>Net Pay, Cash  Payroll Row: 243</t>
  </si>
  <si>
    <t>Salary Expense, Salaries  Payroll Row: 244</t>
  </si>
  <si>
    <t>Tax Liability, Cash  Payroll Row: 245</t>
  </si>
  <si>
    <t>Tax Liability, Payroll Taxes  Payroll Row: 246</t>
  </si>
  <si>
    <t>FRASER, VIVIAN COX Payroll Period 03/01/20 – 03/14/20</t>
  </si>
  <si>
    <t>Employer Expense, Employer Expenses  Payroll Row: 247</t>
  </si>
  <si>
    <t>Employer Liability, Deductions  Payroll Row: 249</t>
  </si>
  <si>
    <t>Employer Liability, Payroll Taxes  Payroll Row: 250</t>
  </si>
  <si>
    <t>Net Pay, Cash  Payroll Row: 251</t>
  </si>
  <si>
    <t>Salary Expense, Salaries  Payroll Row: 252</t>
  </si>
  <si>
    <t>Tax Liability, Cash  Payroll Row: 253</t>
  </si>
  <si>
    <t>Tax Liability, Payroll Taxes  Payroll Row: 254</t>
  </si>
  <si>
    <t>Employer Expense, Employer Expenses  Payroll Row: 255</t>
  </si>
  <si>
    <t>Employer Liability, Deductions  Payroll Row: 257</t>
  </si>
  <si>
    <t>Employer Liability, Payroll Taxes  Payroll Row: 258</t>
  </si>
  <si>
    <t>Net Pay, Cash  Payroll Row: 259</t>
  </si>
  <si>
    <t>Salary Expense, Salaries  Payroll Row: 260</t>
  </si>
  <si>
    <t>Tax Liability, Cash  Payroll Row: 261</t>
  </si>
  <si>
    <t>Tax Liability, Payroll Taxes  Payroll Row: 262</t>
  </si>
  <si>
    <t>Employer Expense, Employer Expenses  Payroll Row: 263</t>
  </si>
  <si>
    <t>Employer Liability, Deductions  Payroll Row: 265</t>
  </si>
  <si>
    <t>Employer Liability, Payroll Taxes  Payroll Row: 266</t>
  </si>
  <si>
    <t>Net Pay, Cash  Payroll Row: 267</t>
  </si>
  <si>
    <t>Salary Expense, Salaries  Payroll Row: 268</t>
  </si>
  <si>
    <t>Tax Liability, Cash  Payroll Row: 269</t>
  </si>
  <si>
    <t>Tax Liability, Payroll Taxes  Payroll Row: 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</si>
</sst>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  <font>
      <sz val="10"/>
      <color rgb="FF333333"/>
      <name val="Arial"/>
      <family val="2"/>
    </font>
    <font>
      <sz val="7"/>
      <color rgb="FF333333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222222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indexed="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8" fillId="0" borderId="0"/>
  </cellStyleXfs>
  <cellXfs count="81">
    <xf numFmtId="0" fontId="0" fillId="0" borderId="0" xfId="0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9" fillId="5" borderId="0" xfId="2" applyFont="1" applyFill="1" applyAlignment="1"/>
    <xf numFmtId="0" fontId="0" fillId="5" borderId="0" xfId="0" applyFill="1"/>
    <xf numFmtId="0" fontId="0" fillId="0" borderId="0" xfId="0" applyFill="1"/>
    <xf numFmtId="0" fontId="1" fillId="8" borderId="0" xfId="0" applyFont="1" applyFill="1"/>
    <xf numFmtId="0" fontId="0" fillId="7" borderId="0" xfId="0" applyFont="1" applyFill="1"/>
    <xf numFmtId="0" fontId="5" fillId="7" borderId="0" xfId="0" applyFont="1" applyFill="1"/>
    <xf numFmtId="0" fontId="0" fillId="5" borderId="0" xfId="0" applyFont="1" applyFill="1"/>
    <xf numFmtId="0" fontId="5" fillId="5" borderId="0" xfId="0" applyFont="1" applyFill="1"/>
    <xf numFmtId="14" fontId="0" fillId="0" borderId="0" xfId="0" applyNumberFormat="1"/>
    <xf numFmtId="0" fontId="0" fillId="5" borderId="0" xfId="0" quotePrefix="1" applyFont="1" applyFill="1"/>
    <xf numFmtId="0" fontId="0" fillId="0" borderId="0" xfId="0" applyFont="1" applyFill="1"/>
    <xf numFmtId="0" fontId="0" fillId="0" borderId="0" xfId="0" applyAlignment="1">
      <alignment horizontal="left"/>
    </xf>
    <xf numFmtId="7" fontId="0" fillId="0" borderId="0" xfId="0" applyNumberFormat="1"/>
    <xf numFmtId="2" fontId="0" fillId="0" borderId="0" xfId="0" applyNumberFormat="1"/>
    <xf numFmtId="0" fontId="6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quotePrefix="1" applyFont="1" applyFill="1" applyAlignment="1">
      <alignment horizontal="left"/>
    </xf>
    <xf numFmtId="0" fontId="5" fillId="5" borderId="0" xfId="0" quotePrefix="1" applyFont="1" applyFill="1" applyAlignment="1">
      <alignment horizontal="left"/>
    </xf>
    <xf numFmtId="2" fontId="5" fillId="5" borderId="0" xfId="0" quotePrefix="1" applyNumberFormat="1" applyFont="1" applyFill="1" applyAlignment="1">
      <alignment horizontal="left"/>
    </xf>
    <xf numFmtId="2" fontId="6" fillId="5" borderId="0" xfId="0" quotePrefix="1" applyNumberFormat="1" applyFont="1" applyFill="1" applyAlignment="1">
      <alignment horizontal="left"/>
    </xf>
    <xf numFmtId="2" fontId="0" fillId="0" borderId="0" xfId="0" applyNumberFormat="1" applyAlignment="1">
      <alignment horizontal="left"/>
    </xf>
    <xf numFmtId="0" fontId="11" fillId="0" borderId="0" xfId="0" applyFont="1"/>
    <xf numFmtId="0" fontId="0" fillId="3" borderId="0" xfId="0" applyFont="1" applyFill="1" applyBorder="1"/>
    <xf numFmtId="16" fontId="0" fillId="4" borderId="0" xfId="0" quotePrefix="1" applyNumberFormat="1" applyFont="1" applyFill="1" applyBorder="1"/>
    <xf numFmtId="0" fontId="0" fillId="4" borderId="0" xfId="0" applyFont="1" applyFill="1" applyBorder="1"/>
    <xf numFmtId="0" fontId="7" fillId="0" borderId="0" xfId="0" applyFont="1" applyAlignment="1">
      <alignment horizontal="left"/>
    </xf>
    <xf numFmtId="0" fontId="1" fillId="9" borderId="0" xfId="0" applyFont="1" applyFill="1"/>
    <xf numFmtId="0" fontId="1" fillId="10" borderId="0" xfId="0" applyFont="1" applyFill="1"/>
    <xf numFmtId="17" fontId="0" fillId="3" borderId="0" xfId="0" quotePrefix="1" applyNumberFormat="1" applyFont="1" applyFill="1" applyBorder="1" applyAlignment="1">
      <alignment horizontal="left"/>
    </xf>
    <xf numFmtId="0" fontId="12" fillId="11" borderId="0" xfId="0" applyFont="1" applyFill="1" applyAlignment="1">
      <alignment horizontal="left" vertical="top"/>
    </xf>
    <xf numFmtId="16" fontId="12" fillId="11" borderId="0" xfId="0" applyNumberFormat="1" applyFont="1" applyFill="1" applyAlignment="1">
      <alignment horizontal="left" vertical="top"/>
    </xf>
    <xf numFmtId="0" fontId="12" fillId="11" borderId="1" xfId="0" applyFont="1" applyFill="1" applyBorder="1" applyAlignment="1">
      <alignment horizontal="left" vertical="top"/>
    </xf>
    <xf numFmtId="0" fontId="10" fillId="0" borderId="0" xfId="0" applyFont="1"/>
    <xf numFmtId="0" fontId="12" fillId="0" borderId="0" xfId="0" applyFont="1" applyAlignment="1">
      <alignment vertical="top"/>
    </xf>
    <xf numFmtId="0" fontId="12" fillId="11" borderId="4" xfId="0" applyFont="1" applyFill="1" applyBorder="1" applyAlignment="1">
      <alignment horizontal="left" vertical="top"/>
    </xf>
    <xf numFmtId="0" fontId="7" fillId="11" borderId="4" xfId="0" applyFont="1" applyFill="1" applyBorder="1" applyAlignment="1">
      <alignment horizontal="left" vertical="top"/>
    </xf>
    <xf numFmtId="0" fontId="7" fillId="11" borderId="5" xfId="0" applyFont="1" applyFill="1" applyBorder="1" applyAlignment="1">
      <alignment horizontal="left" vertical="top"/>
    </xf>
    <xf numFmtId="0" fontId="12" fillId="11" borderId="2" xfId="0" applyFont="1" applyFill="1" applyBorder="1" applyAlignment="1">
      <alignment horizontal="left" vertical="top"/>
    </xf>
    <xf numFmtId="0" fontId="7" fillId="11" borderId="2" xfId="0" applyFont="1" applyFill="1" applyBorder="1" applyAlignment="1">
      <alignment horizontal="left" vertical="top"/>
    </xf>
    <xf numFmtId="0" fontId="7" fillId="12" borderId="2" xfId="0" applyFont="1" applyFill="1" applyBorder="1" applyAlignment="1">
      <alignment horizontal="left" vertical="top"/>
    </xf>
    <xf numFmtId="0" fontId="7" fillId="12" borderId="3" xfId="0" applyFont="1" applyFill="1" applyBorder="1" applyAlignment="1">
      <alignment horizontal="left" vertical="top"/>
    </xf>
    <xf numFmtId="0" fontId="12" fillId="13" borderId="2" xfId="0" applyFont="1" applyFill="1" applyBorder="1" applyAlignment="1">
      <alignment vertical="top"/>
    </xf>
    <xf numFmtId="0" fontId="12" fillId="0" borderId="2" xfId="0" applyFont="1" applyBorder="1" applyAlignment="1">
      <alignment vertical="top"/>
    </xf>
    <xf numFmtId="0" fontId="12" fillId="0" borderId="0" xfId="0" applyFont="1"/>
    <xf numFmtId="10" fontId="12" fillId="0" borderId="1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12" fillId="14" borderId="0" xfId="0" applyFont="1" applyFill="1"/>
    <xf numFmtId="0" fontId="12" fillId="15" borderId="0" xfId="0" applyFont="1" applyFill="1"/>
    <xf numFmtId="0" fontId="12" fillId="16" borderId="0" xfId="0" applyFont="1" applyFill="1"/>
    <xf numFmtId="0" fontId="12" fillId="17" borderId="0" xfId="0" applyFont="1" applyFill="1"/>
    <xf numFmtId="0" fontId="12" fillId="18" borderId="0" xfId="0" applyFont="1" applyFill="1"/>
    <xf numFmtId="0" fontId="12" fillId="19" borderId="0" xfId="0" applyFont="1" applyFill="1"/>
    <xf numFmtId="0" fontId="12" fillId="20" borderId="0" xfId="0" applyFont="1" applyFill="1"/>
    <xf numFmtId="2" fontId="12" fillId="0" borderId="1" xfId="0" applyNumberFormat="1" applyFont="1" applyBorder="1" applyAlignment="1">
      <alignment horizontal="left" vertical="top"/>
    </xf>
    <xf numFmtId="2" fontId="12" fillId="0" borderId="0" xfId="0" applyNumberFormat="1" applyFont="1" applyAlignment="1">
      <alignment horizontal="left" vertical="top"/>
    </xf>
    <xf numFmtId="2" fontId="12" fillId="0" borderId="0" xfId="0" applyNumberFormat="1" applyFont="1"/>
    <xf numFmtId="2" fontId="12" fillId="11" borderId="0" xfId="0" applyNumberFormat="1" applyFont="1" applyFill="1" applyAlignment="1">
      <alignment horizontal="left" vertical="top"/>
    </xf>
    <xf numFmtId="2" fontId="12" fillId="14" borderId="0" xfId="0" applyNumberFormat="1" applyFont="1" applyFill="1"/>
    <xf numFmtId="2" fontId="12" fillId="15" borderId="0" xfId="0" applyNumberFormat="1" applyFont="1" applyFill="1"/>
    <xf numFmtId="2" fontId="12" fillId="16" borderId="0" xfId="0" applyNumberFormat="1" applyFont="1" applyFill="1"/>
    <xf numFmtId="2" fontId="12" fillId="17" borderId="0" xfId="0" applyNumberFormat="1" applyFont="1" applyFill="1"/>
    <xf numFmtId="2" fontId="12" fillId="18" borderId="0" xfId="0" applyNumberFormat="1" applyFont="1" applyFill="1"/>
    <xf numFmtId="2" fontId="12" fillId="19" borderId="0" xfId="0" applyNumberFormat="1" applyFont="1" applyFill="1"/>
    <xf numFmtId="2" fontId="12" fillId="20" borderId="0" xfId="0" applyNumberFormat="1" applyFont="1" applyFill="1"/>
    <xf numFmtId="0" fontId="1" fillId="6" borderId="0" xfId="0" applyFont="1" applyFill="1"/>
    <xf numFmtId="0" fontId="13" fillId="6" borderId="0" xfId="0" applyFont="1" applyFill="1" applyAlignment="1">
      <alignment horizontal="left"/>
    </xf>
    <xf numFmtId="0" fontId="5" fillId="6" borderId="0" xfId="0" applyFont="1" applyFill="1"/>
    <xf numFmtId="0" fontId="14" fillId="0" borderId="0" xfId="0" applyFont="1"/>
    <xf numFmtId="0" fontId="12" fillId="0" borderId="0" xfId="0" quotePrefix="1" applyFont="1"/>
    <xf numFmtId="0" fontId="12" fillId="21" borderId="0" xfId="0" applyFont="1" applyFill="1"/>
    <xf numFmtId="0" fontId="12" fillId="21" borderId="0" xfId="0" quotePrefix="1" applyFont="1" applyFill="1"/>
    <xf numFmtId="2" fontId="0" fillId="5" borderId="0" xfId="0" applyNumberFormat="1" applyFill="1"/>
  </cellXfs>
  <cellStyles count="3">
    <cellStyle name="Comma 5" xfId="1"/>
    <cellStyle name="Normal" xfId="0" builtinId="0"/>
    <cellStyle name="Normal 5" xfId="2"/>
  </cellStyles>
  <dxfs count="20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17</xdr:row>
          <xdr:rowOff>63500</xdr:rowOff>
        </xdr:from>
        <xdr:to>
          <xdr:col>3</xdr:col>
          <xdr:colOff>520700</xdr:colOff>
          <xdr:row>19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146050</xdr:colOff>
          <xdr:row>0</xdr:row>
          <xdr:rowOff>82550</xdr:rowOff>
        </xdr:from>
        <xdr:to>
          <xdr:col>17</xdr:col>
          <xdr:colOff>1060450</xdr:colOff>
          <xdr:row>1</xdr:row>
          <xdr:rowOff>317500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Allocation Rounder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yroll%20Upload%2003-06-20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roll Upload 03-06-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AZ42"/>
  <sheetViews>
    <sheetView topLeftCell="A7" workbookViewId="0">
      <selection activeCell="G19" sqref="G19"/>
    </sheetView>
  </sheetViews>
  <sheetFormatPr defaultRowHeight="14.5" x14ac:dyDescent="0.35"/>
  <cols>
    <col min="2" max="2" width="21.453125" customWidth="1"/>
    <col min="7" max="7" width="17.6328125" customWidth="1"/>
    <col min="8" max="8" width="21.81640625" bestFit="1" customWidth="1"/>
    <col min="9" max="9" width="17.1796875" bestFit="1" customWidth="1"/>
    <col min="10" max="10" width="21.81640625" bestFit="1" customWidth="1"/>
    <col min="11" max="11" width="14.453125" bestFit="1" customWidth="1"/>
    <col min="12" max="12" width="21.81640625" bestFit="1" customWidth="1"/>
    <col min="13" max="13" width="14.453125" bestFit="1" customWidth="1"/>
    <col min="14" max="14" width="21.81640625" bestFit="1" customWidth="1"/>
    <col min="15" max="15" width="15.90625" bestFit="1" customWidth="1"/>
    <col min="16" max="16" width="21.81640625" bestFit="1" customWidth="1"/>
    <col min="17" max="17" width="20.36328125" bestFit="1" customWidth="1"/>
    <col min="18" max="18" width="21.81640625" bestFit="1" customWidth="1"/>
    <col min="19" max="19" width="24" bestFit="1" customWidth="1"/>
    <col min="20" max="20" width="21.81640625" bestFit="1" customWidth="1"/>
    <col min="21" max="21" width="16.6328125" bestFit="1" customWidth="1"/>
    <col min="22" max="22" width="21.81640625" bestFit="1" customWidth="1"/>
    <col min="23" max="23" width="19.453125" bestFit="1" customWidth="1"/>
    <col min="24" max="24" width="21.81640625" bestFit="1" customWidth="1"/>
    <col min="25" max="25" width="15.1796875" bestFit="1" customWidth="1"/>
    <col min="26" max="26" width="21.81640625" bestFit="1" customWidth="1"/>
    <col min="27" max="27" width="14.453125" bestFit="1" customWidth="1"/>
    <col min="28" max="28" width="21.81640625" bestFit="1" customWidth="1"/>
    <col min="29" max="29" width="19.1796875" bestFit="1" customWidth="1"/>
    <col min="30" max="30" width="21.81640625" bestFit="1" customWidth="1"/>
    <col min="31" max="31" width="14.453125" bestFit="1" customWidth="1"/>
    <col min="32" max="32" width="21.81640625" bestFit="1" customWidth="1"/>
    <col min="33" max="33" width="14.453125" bestFit="1" customWidth="1"/>
    <col min="34" max="34" width="21.81640625" bestFit="1" customWidth="1"/>
    <col min="35" max="35" width="14.453125" bestFit="1" customWidth="1"/>
    <col min="36" max="36" width="21.81640625" bestFit="1" customWidth="1"/>
    <col min="37" max="37" width="14.453125" bestFit="1" customWidth="1"/>
    <col min="38" max="38" width="21.81640625" bestFit="1" customWidth="1"/>
    <col min="39" max="39" width="18.6328125" bestFit="1" customWidth="1"/>
    <col min="40" max="40" width="21.81640625" bestFit="1" customWidth="1"/>
    <col min="41" max="41" width="16.54296875" bestFit="1" customWidth="1"/>
    <col min="42" max="42" width="21.81640625" bestFit="1" customWidth="1"/>
    <col min="43" max="43" width="23" bestFit="1" customWidth="1"/>
    <col min="44" max="44" width="21.81640625" bestFit="1" customWidth="1"/>
    <col min="45" max="45" width="16.26953125" bestFit="1" customWidth="1"/>
    <col min="46" max="46" width="21.81640625" bestFit="1" customWidth="1"/>
    <col min="47" max="47" width="22.6328125" bestFit="1" customWidth="1"/>
    <col min="48" max="48" width="21.81640625" bestFit="1" customWidth="1"/>
    <col min="49" max="49" width="16.54296875" bestFit="1" customWidth="1"/>
    <col min="50" max="50" width="21.81640625" bestFit="1" customWidth="1"/>
    <col min="51" max="51" width="17.1796875" bestFit="1" customWidth="1"/>
    <col min="52" max="52" width="21.81640625" bestFit="1" customWidth="1"/>
  </cols>
  <sheetData>
    <row r="1" spans="1:19" x14ac:dyDescent="0.35">
      <c r="A1" s="1"/>
      <c r="B1" s="1"/>
      <c r="C1" s="1"/>
      <c r="D1" s="1"/>
      <c r="E1" s="1"/>
      <c r="F1" s="1"/>
      <c r="G1" s="1"/>
      <c r="H1" s="1" t="s">
        <v>0</v>
      </c>
      <c r="I1" s="3">
        <v>43888</v>
      </c>
      <c r="J1" s="1"/>
      <c r="K1" s="1"/>
      <c r="L1" s="1"/>
      <c r="M1" s="1" t="s">
        <v>0</v>
      </c>
      <c r="N1" s="1"/>
      <c r="O1" s="1"/>
      <c r="P1" s="1"/>
      <c r="Q1" s="1"/>
      <c r="R1" s="1"/>
      <c r="S1" s="1"/>
    </row>
    <row r="2" spans="1:19" ht="26" x14ac:dyDescent="0.6">
      <c r="A2" s="1"/>
      <c r="B2" s="2" t="s">
        <v>4</v>
      </c>
      <c r="C2" s="2"/>
      <c r="D2" s="2"/>
      <c r="E2" s="1"/>
      <c r="F2" s="1"/>
      <c r="G2" s="3"/>
      <c r="H2" s="1" t="s">
        <v>307</v>
      </c>
      <c r="I2" s="1"/>
      <c r="J2" s="1"/>
      <c r="K2" s="1"/>
      <c r="L2" s="1"/>
      <c r="M2" s="3">
        <v>43856</v>
      </c>
      <c r="N2" s="1"/>
      <c r="O2" s="1"/>
      <c r="P2" s="1"/>
      <c r="Q2" s="1"/>
      <c r="R2" s="1"/>
      <c r="S2" s="1"/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 t="s">
        <v>3</v>
      </c>
      <c r="N3" s="1"/>
      <c r="O3" s="1"/>
      <c r="P3" s="1"/>
      <c r="Q3" s="1"/>
      <c r="R3" s="1"/>
      <c r="S3" s="1"/>
    </row>
    <row r="4" spans="1:19" x14ac:dyDescent="0.35">
      <c r="A4" s="1"/>
      <c r="B4" s="1" t="s">
        <v>211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35">
      <c r="A6" s="1"/>
      <c r="B6" s="1"/>
      <c r="C6" s="1"/>
      <c r="D6" s="1"/>
      <c r="E6" s="31" t="s">
        <v>1</v>
      </c>
      <c r="F6" s="31"/>
      <c r="G6" s="31" t="s">
        <v>191</v>
      </c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1"/>
    </row>
    <row r="7" spans="1:19" x14ac:dyDescent="0.35">
      <c r="A7" s="1"/>
      <c r="B7" s="1"/>
      <c r="C7" s="1"/>
      <c r="D7" s="1"/>
      <c r="E7" s="31" t="s">
        <v>2</v>
      </c>
      <c r="F7" s="31"/>
      <c r="G7" s="37" t="s">
        <v>914</v>
      </c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1"/>
    </row>
    <row r="8" spans="1:19" x14ac:dyDescent="0.35">
      <c r="A8" s="1"/>
      <c r="B8" s="1"/>
      <c r="C8" s="1"/>
      <c r="D8" s="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1"/>
    </row>
    <row r="9" spans="1:19" x14ac:dyDescent="0.35">
      <c r="A9" s="1"/>
      <c r="B9" s="1" t="s">
        <v>212</v>
      </c>
      <c r="C9" s="1"/>
      <c r="D9" s="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1"/>
    </row>
    <row r="10" spans="1:19" x14ac:dyDescent="0.35">
      <c r="A10" s="1"/>
      <c r="B10" s="1"/>
      <c r="C10" s="1"/>
      <c r="D10" s="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1"/>
    </row>
    <row r="11" spans="1:19" x14ac:dyDescent="0.35">
      <c r="A11" s="1"/>
      <c r="B11" s="1"/>
      <c r="C11" s="1"/>
      <c r="D11" s="1"/>
      <c r="E11" s="31" t="s">
        <v>5</v>
      </c>
      <c r="F11" s="31"/>
      <c r="G11" s="31" t="s">
        <v>1043</v>
      </c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1"/>
    </row>
    <row r="12" spans="1:19" x14ac:dyDescent="0.35">
      <c r="A12" s="1"/>
      <c r="B12" s="1"/>
      <c r="C12" s="1"/>
      <c r="D12" s="1"/>
      <c r="E12" s="31" t="s">
        <v>2</v>
      </c>
      <c r="F12" s="31"/>
      <c r="G12" s="31" t="s">
        <v>12</v>
      </c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1"/>
    </row>
    <row r="13" spans="1:19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35">
      <c r="A14" s="1"/>
      <c r="B14" s="1" t="s">
        <v>206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15.5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76" t="s">
        <v>949</v>
      </c>
      <c r="L15" s="1"/>
      <c r="M15" s="1"/>
      <c r="N15" s="1"/>
      <c r="O15" s="1"/>
      <c r="P15" s="1"/>
      <c r="Q15" s="1"/>
      <c r="R15" s="1"/>
      <c r="S15" s="1"/>
    </row>
    <row r="16" spans="1:19" ht="15.5" x14ac:dyDescent="0.35">
      <c r="A16" s="1"/>
      <c r="B16" s="4" t="s">
        <v>205</v>
      </c>
      <c r="C16" s="4"/>
      <c r="D16" s="4"/>
      <c r="E16" s="32">
        <v>43910</v>
      </c>
      <c r="F16" s="33"/>
      <c r="G16" s="33" t="s">
        <v>948</v>
      </c>
      <c r="H16" s="76" t="s">
        <v>1044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52" x14ac:dyDescent="0.35">
      <c r="A17" s="1"/>
      <c r="B17" s="4" t="s">
        <v>306</v>
      </c>
      <c r="C17" s="4"/>
      <c r="D17" s="4"/>
      <c r="E17" s="33" t="str">
        <f>"Payroll Upload "&amp;TEXT(E16,"MM-DD-YY")&amp;".csv"</f>
        <v>Payroll Upload 03-20-20.csv</v>
      </c>
      <c r="F17" s="33"/>
      <c r="G17" s="33"/>
      <c r="H17" s="3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52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52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52" x14ac:dyDescent="0.35">
      <c r="A20" s="1"/>
      <c r="B20" s="1" t="s">
        <v>207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52" x14ac:dyDescent="0.35">
      <c r="A21" s="1"/>
      <c r="B21" s="1" t="s">
        <v>208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52" x14ac:dyDescent="0.35">
      <c r="A22" s="1"/>
      <c r="B22" s="1" t="s">
        <v>209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52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52" x14ac:dyDescent="0.35">
      <c r="B24" s="13" t="s">
        <v>214</v>
      </c>
      <c r="C24" s="13"/>
      <c r="D24" s="13"/>
      <c r="E24" s="18" t="s">
        <v>210</v>
      </c>
      <c r="F24" s="15"/>
      <c r="G24" s="74">
        <v>7225</v>
      </c>
      <c r="H24" s="74"/>
      <c r="I24" s="74">
        <v>7226</v>
      </c>
      <c r="J24" s="74"/>
      <c r="K24" s="74">
        <v>7227</v>
      </c>
      <c r="L24" s="74"/>
      <c r="M24" s="74">
        <v>7228</v>
      </c>
      <c r="N24" s="74"/>
      <c r="O24" s="74" t="s">
        <v>155</v>
      </c>
      <c r="P24" s="74"/>
      <c r="Q24" s="74" t="s">
        <v>61</v>
      </c>
      <c r="R24" s="74"/>
      <c r="S24" s="74" t="s">
        <v>130</v>
      </c>
      <c r="T24" s="74"/>
      <c r="U24" s="74" t="s">
        <v>92</v>
      </c>
      <c r="V24" s="74"/>
      <c r="W24" s="74" t="s">
        <v>328</v>
      </c>
      <c r="X24" s="74"/>
      <c r="Y24" s="74" t="s">
        <v>329</v>
      </c>
      <c r="Z24" s="74"/>
      <c r="AA24" s="74" t="s">
        <v>164</v>
      </c>
      <c r="AB24" s="74"/>
      <c r="AC24" s="74" t="s">
        <v>330</v>
      </c>
      <c r="AD24" s="74"/>
      <c r="AE24" s="74" t="s">
        <v>331</v>
      </c>
      <c r="AF24" s="74"/>
      <c r="AG24" s="74" t="s">
        <v>332</v>
      </c>
      <c r="AH24" s="74"/>
      <c r="AI24" s="74" t="s">
        <v>333</v>
      </c>
      <c r="AJ24" s="74"/>
      <c r="AK24" s="74" t="s">
        <v>66</v>
      </c>
      <c r="AL24" s="74"/>
      <c r="AM24" s="74" t="s">
        <v>106</v>
      </c>
      <c r="AN24" s="74"/>
      <c r="AO24" s="74" t="s">
        <v>320</v>
      </c>
      <c r="AP24" s="74"/>
      <c r="AQ24" s="74" t="s">
        <v>334</v>
      </c>
      <c r="AR24" s="74"/>
      <c r="AS24" s="74" t="s">
        <v>335</v>
      </c>
      <c r="AT24" s="74"/>
      <c r="AU24" s="74" t="s">
        <v>51</v>
      </c>
      <c r="AV24" s="74"/>
      <c r="AW24" s="74" t="s">
        <v>336</v>
      </c>
      <c r="AX24" s="74"/>
      <c r="AY24" s="75" t="s">
        <v>337</v>
      </c>
      <c r="AZ24" s="73"/>
    </row>
    <row r="25" spans="1:52" x14ac:dyDescent="0.35">
      <c r="B25" s="14" t="s">
        <v>13</v>
      </c>
      <c r="C25" s="14" t="s">
        <v>15</v>
      </c>
      <c r="D25" s="14"/>
      <c r="E25" s="16" t="s">
        <v>11</v>
      </c>
      <c r="F25" s="16"/>
      <c r="G25" s="6" t="s">
        <v>199</v>
      </c>
      <c r="H25" s="6" t="s">
        <v>200</v>
      </c>
      <c r="I25" s="12" t="s">
        <v>199</v>
      </c>
      <c r="J25" s="12" t="s">
        <v>200</v>
      </c>
      <c r="K25" s="35" t="s">
        <v>199</v>
      </c>
      <c r="L25" s="35" t="s">
        <v>200</v>
      </c>
      <c r="M25" s="36" t="s">
        <v>199</v>
      </c>
      <c r="N25" s="36" t="s">
        <v>200</v>
      </c>
      <c r="O25" s="6" t="s">
        <v>199</v>
      </c>
      <c r="P25" s="6" t="s">
        <v>200</v>
      </c>
      <c r="Q25" s="12" t="s">
        <v>199</v>
      </c>
      <c r="R25" s="12" t="s">
        <v>200</v>
      </c>
      <c r="S25" s="35" t="s">
        <v>199</v>
      </c>
      <c r="T25" s="35" t="s">
        <v>200</v>
      </c>
      <c r="U25" s="36" t="s">
        <v>199</v>
      </c>
      <c r="V25" s="36" t="s">
        <v>200</v>
      </c>
      <c r="W25" s="6" t="s">
        <v>199</v>
      </c>
      <c r="X25" s="6" t="s">
        <v>200</v>
      </c>
      <c r="Y25" s="12" t="s">
        <v>199</v>
      </c>
      <c r="Z25" s="12" t="s">
        <v>200</v>
      </c>
      <c r="AA25" s="35" t="s">
        <v>199</v>
      </c>
      <c r="AB25" s="35" t="s">
        <v>200</v>
      </c>
      <c r="AC25" s="36" t="s">
        <v>199</v>
      </c>
      <c r="AD25" s="36" t="s">
        <v>200</v>
      </c>
      <c r="AE25" s="6" t="s">
        <v>199</v>
      </c>
      <c r="AF25" s="6" t="s">
        <v>200</v>
      </c>
      <c r="AG25" s="12" t="s">
        <v>199</v>
      </c>
      <c r="AH25" s="12" t="s">
        <v>200</v>
      </c>
      <c r="AI25" s="35" t="s">
        <v>199</v>
      </c>
      <c r="AJ25" s="35" t="s">
        <v>200</v>
      </c>
      <c r="AK25" s="36" t="s">
        <v>199</v>
      </c>
      <c r="AL25" s="36" t="s">
        <v>200</v>
      </c>
      <c r="AM25" s="6" t="s">
        <v>199</v>
      </c>
      <c r="AN25" s="6" t="s">
        <v>200</v>
      </c>
      <c r="AO25" s="12" t="s">
        <v>199</v>
      </c>
      <c r="AP25" s="12" t="s">
        <v>200</v>
      </c>
      <c r="AQ25" s="35" t="s">
        <v>199</v>
      </c>
      <c r="AR25" s="35" t="s">
        <v>200</v>
      </c>
      <c r="AS25" s="36" t="s">
        <v>199</v>
      </c>
      <c r="AT25" s="36" t="s">
        <v>200</v>
      </c>
      <c r="AU25" s="6" t="s">
        <v>199</v>
      </c>
      <c r="AV25" s="6" t="s">
        <v>200</v>
      </c>
      <c r="AW25" s="12" t="s">
        <v>199</v>
      </c>
      <c r="AX25" s="12" t="s">
        <v>200</v>
      </c>
      <c r="AY25" s="35" t="s">
        <v>199</v>
      </c>
      <c r="AZ25" s="35" t="s">
        <v>200</v>
      </c>
    </row>
    <row r="26" spans="1:52" x14ac:dyDescent="0.35">
      <c r="B26" s="4" t="s">
        <v>31</v>
      </c>
      <c r="C26" s="4" t="s">
        <v>194</v>
      </c>
      <c r="D26" s="5"/>
      <c r="E26" s="5" t="s">
        <v>34</v>
      </c>
      <c r="F26" s="5"/>
      <c r="G26" t="s">
        <v>289</v>
      </c>
      <c r="I26" t="s">
        <v>289</v>
      </c>
      <c r="K26" t="s">
        <v>289</v>
      </c>
      <c r="M26" t="s">
        <v>289</v>
      </c>
      <c r="O26" t="s">
        <v>289</v>
      </c>
      <c r="Q26" t="s">
        <v>289</v>
      </c>
      <c r="S26" t="s">
        <v>289</v>
      </c>
      <c r="U26" t="s">
        <v>289</v>
      </c>
      <c r="W26" t="s">
        <v>289</v>
      </c>
      <c r="Y26" t="s">
        <v>289</v>
      </c>
      <c r="AA26" t="s">
        <v>289</v>
      </c>
      <c r="AC26" t="s">
        <v>289</v>
      </c>
      <c r="AE26" t="s">
        <v>289</v>
      </c>
      <c r="AG26" t="s">
        <v>289</v>
      </c>
      <c r="AI26" t="s">
        <v>289</v>
      </c>
      <c r="AK26" t="s">
        <v>289</v>
      </c>
      <c r="AM26" t="s">
        <v>289</v>
      </c>
      <c r="AO26" t="s">
        <v>289</v>
      </c>
      <c r="AQ26" t="s">
        <v>289</v>
      </c>
      <c r="AS26" t="s">
        <v>289</v>
      </c>
      <c r="AU26" t="s">
        <v>289</v>
      </c>
      <c r="AW26" t="s">
        <v>289</v>
      </c>
      <c r="AY26" t="s">
        <v>289</v>
      </c>
    </row>
    <row r="27" spans="1:52" x14ac:dyDescent="0.35">
      <c r="B27" s="4" t="s">
        <v>166</v>
      </c>
      <c r="C27" s="4" t="s">
        <v>195</v>
      </c>
      <c r="D27" s="5"/>
      <c r="E27" s="5" t="s">
        <v>168</v>
      </c>
      <c r="F27" s="5"/>
      <c r="H27" t="s">
        <v>290</v>
      </c>
      <c r="J27" t="s">
        <v>290</v>
      </c>
      <c r="L27" t="s">
        <v>290</v>
      </c>
      <c r="N27" t="s">
        <v>290</v>
      </c>
      <c r="P27" t="s">
        <v>290</v>
      </c>
      <c r="R27" t="s">
        <v>290</v>
      </c>
      <c r="T27" t="s">
        <v>290</v>
      </c>
      <c r="V27" t="s">
        <v>290</v>
      </c>
      <c r="X27" t="s">
        <v>290</v>
      </c>
      <c r="Z27" t="s">
        <v>290</v>
      </c>
      <c r="AB27" t="s">
        <v>290</v>
      </c>
      <c r="AD27" t="s">
        <v>290</v>
      </c>
      <c r="AF27" t="s">
        <v>290</v>
      </c>
      <c r="AH27" t="s">
        <v>290</v>
      </c>
      <c r="AJ27" t="s">
        <v>290</v>
      </c>
      <c r="AL27" t="s">
        <v>290</v>
      </c>
      <c r="AN27" t="s">
        <v>290</v>
      </c>
      <c r="AP27" t="s">
        <v>290</v>
      </c>
      <c r="AR27" t="s">
        <v>290</v>
      </c>
      <c r="AT27" t="s">
        <v>290</v>
      </c>
      <c r="AV27" t="s">
        <v>290</v>
      </c>
      <c r="AX27" t="s">
        <v>290</v>
      </c>
      <c r="AZ27" t="s">
        <v>290</v>
      </c>
    </row>
    <row r="28" spans="1:52" x14ac:dyDescent="0.35">
      <c r="B28" s="4" t="s">
        <v>166</v>
      </c>
      <c r="C28" s="4" t="s">
        <v>196</v>
      </c>
      <c r="D28" s="5"/>
      <c r="E28" s="5" t="s">
        <v>168</v>
      </c>
      <c r="F28" s="5"/>
      <c r="H28" t="s">
        <v>291</v>
      </c>
      <c r="J28" t="s">
        <v>291</v>
      </c>
      <c r="L28" t="s">
        <v>291</v>
      </c>
      <c r="N28" t="s">
        <v>291</v>
      </c>
      <c r="P28" t="s">
        <v>291</v>
      </c>
      <c r="R28" t="s">
        <v>291</v>
      </c>
      <c r="T28" t="s">
        <v>291</v>
      </c>
      <c r="V28" t="s">
        <v>291</v>
      </c>
      <c r="X28" t="s">
        <v>291</v>
      </c>
      <c r="Z28" t="s">
        <v>291</v>
      </c>
      <c r="AB28" t="s">
        <v>291</v>
      </c>
      <c r="AD28" t="s">
        <v>291</v>
      </c>
      <c r="AF28" t="s">
        <v>291</v>
      </c>
      <c r="AH28" t="s">
        <v>291</v>
      </c>
      <c r="AJ28" t="s">
        <v>291</v>
      </c>
      <c r="AL28" t="s">
        <v>291</v>
      </c>
      <c r="AN28" t="s">
        <v>291</v>
      </c>
      <c r="AP28" t="s">
        <v>291</v>
      </c>
      <c r="AR28" t="s">
        <v>291</v>
      </c>
      <c r="AT28" t="s">
        <v>291</v>
      </c>
      <c r="AV28" t="s">
        <v>291</v>
      </c>
      <c r="AX28" t="s">
        <v>291</v>
      </c>
      <c r="AZ28" t="s">
        <v>291</v>
      </c>
    </row>
    <row r="29" spans="1:52" x14ac:dyDescent="0.35">
      <c r="B29" s="4" t="s">
        <v>170</v>
      </c>
      <c r="C29" s="4" t="s">
        <v>197</v>
      </c>
      <c r="D29" s="5"/>
      <c r="E29" s="5" t="s">
        <v>168</v>
      </c>
      <c r="F29" s="5"/>
      <c r="H29" t="s">
        <v>292</v>
      </c>
      <c r="J29" t="s">
        <v>292</v>
      </c>
      <c r="L29" t="s">
        <v>292</v>
      </c>
      <c r="N29" t="s">
        <v>292</v>
      </c>
      <c r="P29" t="s">
        <v>292</v>
      </c>
      <c r="R29" t="s">
        <v>292</v>
      </c>
      <c r="T29" t="s">
        <v>292</v>
      </c>
      <c r="V29" t="s">
        <v>292</v>
      </c>
      <c r="X29" t="s">
        <v>292</v>
      </c>
      <c r="Z29" t="s">
        <v>292</v>
      </c>
      <c r="AB29" t="s">
        <v>292</v>
      </c>
      <c r="AD29" t="s">
        <v>292</v>
      </c>
      <c r="AF29" t="s">
        <v>292</v>
      </c>
      <c r="AH29" t="s">
        <v>292</v>
      </c>
      <c r="AJ29" t="s">
        <v>292</v>
      </c>
      <c r="AL29" t="s">
        <v>292</v>
      </c>
      <c r="AN29" t="s">
        <v>292</v>
      </c>
      <c r="AP29" t="s">
        <v>292</v>
      </c>
      <c r="AR29" t="s">
        <v>292</v>
      </c>
      <c r="AT29" t="s">
        <v>292</v>
      </c>
      <c r="AV29" t="s">
        <v>292</v>
      </c>
      <c r="AX29" t="s">
        <v>292</v>
      </c>
      <c r="AZ29" t="s">
        <v>292</v>
      </c>
    </row>
    <row r="30" spans="1:52" x14ac:dyDescent="0.35">
      <c r="B30" s="4" t="s">
        <v>172</v>
      </c>
      <c r="C30" s="4" t="s">
        <v>198</v>
      </c>
      <c r="D30" s="5"/>
      <c r="E30" s="5" t="s">
        <v>34</v>
      </c>
      <c r="F30" s="5"/>
      <c r="G30" t="s">
        <v>338</v>
      </c>
      <c r="I30" t="s">
        <v>339</v>
      </c>
      <c r="K30" t="s">
        <v>340</v>
      </c>
      <c r="M30" t="s">
        <v>341</v>
      </c>
      <c r="O30" t="s">
        <v>342</v>
      </c>
      <c r="Q30" t="s">
        <v>343</v>
      </c>
      <c r="S30" t="s">
        <v>344</v>
      </c>
      <c r="U30" t="s">
        <v>93</v>
      </c>
      <c r="W30" t="s">
        <v>345</v>
      </c>
      <c r="Y30" t="s">
        <v>346</v>
      </c>
      <c r="AA30" t="s">
        <v>165</v>
      </c>
      <c r="AC30" t="s">
        <v>347</v>
      </c>
      <c r="AE30" t="s">
        <v>348</v>
      </c>
      <c r="AG30" t="s">
        <v>349</v>
      </c>
      <c r="AI30" t="s">
        <v>350</v>
      </c>
      <c r="AK30" t="s">
        <v>67</v>
      </c>
      <c r="AM30" t="s">
        <v>351</v>
      </c>
      <c r="AO30" t="s">
        <v>352</v>
      </c>
      <c r="AQ30" t="s">
        <v>353</v>
      </c>
      <c r="AS30" t="s">
        <v>354</v>
      </c>
      <c r="AU30" t="s">
        <v>355</v>
      </c>
      <c r="AW30" t="s">
        <v>356</v>
      </c>
      <c r="AY30" t="s">
        <v>357</v>
      </c>
    </row>
    <row r="31" spans="1:52" x14ac:dyDescent="0.35">
      <c r="B31" s="4" t="s">
        <v>174</v>
      </c>
      <c r="C31" s="4" t="s">
        <v>196</v>
      </c>
      <c r="D31" s="5"/>
      <c r="E31" s="5" t="s">
        <v>34</v>
      </c>
      <c r="F31" s="5"/>
      <c r="G31" t="s">
        <v>291</v>
      </c>
      <c r="I31" t="s">
        <v>291</v>
      </c>
      <c r="K31" t="s">
        <v>291</v>
      </c>
      <c r="M31" t="s">
        <v>291</v>
      </c>
      <c r="O31" t="s">
        <v>291</v>
      </c>
      <c r="Q31" t="s">
        <v>291</v>
      </c>
      <c r="S31" t="s">
        <v>291</v>
      </c>
      <c r="U31" t="s">
        <v>291</v>
      </c>
      <c r="W31" t="s">
        <v>291</v>
      </c>
      <c r="Y31" t="s">
        <v>291</v>
      </c>
      <c r="AA31" t="s">
        <v>291</v>
      </c>
      <c r="AC31" t="s">
        <v>291</v>
      </c>
      <c r="AE31" t="s">
        <v>291</v>
      </c>
      <c r="AG31" t="s">
        <v>291</v>
      </c>
      <c r="AI31" t="s">
        <v>291</v>
      </c>
      <c r="AK31" t="s">
        <v>291</v>
      </c>
      <c r="AM31" t="s">
        <v>291</v>
      </c>
      <c r="AO31" t="s">
        <v>291</v>
      </c>
      <c r="AQ31" t="s">
        <v>291</v>
      </c>
      <c r="AS31" t="s">
        <v>291</v>
      </c>
      <c r="AU31" t="s">
        <v>291</v>
      </c>
      <c r="AW31" t="s">
        <v>291</v>
      </c>
      <c r="AY31" t="s">
        <v>291</v>
      </c>
    </row>
    <row r="32" spans="1:52" s="11" customFormat="1" x14ac:dyDescent="0.35">
      <c r="B32" s="4" t="s">
        <v>174</v>
      </c>
      <c r="C32" s="4" t="s">
        <v>9</v>
      </c>
      <c r="D32" s="5"/>
      <c r="E32" s="5" t="s">
        <v>168</v>
      </c>
      <c r="F32" s="5"/>
      <c r="G32"/>
      <c r="H32" t="s">
        <v>292</v>
      </c>
      <c r="I32"/>
      <c r="J32" t="s">
        <v>292</v>
      </c>
      <c r="K32"/>
      <c r="L32" t="s">
        <v>292</v>
      </c>
      <c r="M32"/>
      <c r="N32" t="s">
        <v>292</v>
      </c>
      <c r="O32"/>
      <c r="P32" t="s">
        <v>292</v>
      </c>
      <c r="Q32"/>
      <c r="R32" t="s">
        <v>292</v>
      </c>
      <c r="S32"/>
      <c r="T32" t="s">
        <v>292</v>
      </c>
      <c r="U32"/>
      <c r="V32" t="s">
        <v>292</v>
      </c>
      <c r="W32"/>
      <c r="X32" t="s">
        <v>292</v>
      </c>
      <c r="Y32"/>
      <c r="Z32" t="s">
        <v>292</v>
      </c>
      <c r="AA32"/>
      <c r="AB32" t="s">
        <v>292</v>
      </c>
      <c r="AC32"/>
      <c r="AD32" t="s">
        <v>292</v>
      </c>
      <c r="AE32"/>
      <c r="AF32" t="s">
        <v>292</v>
      </c>
      <c r="AG32"/>
      <c r="AH32" t="s">
        <v>292</v>
      </c>
      <c r="AI32"/>
      <c r="AJ32" t="s">
        <v>292</v>
      </c>
      <c r="AK32"/>
      <c r="AL32" t="s">
        <v>292</v>
      </c>
      <c r="AM32"/>
      <c r="AN32" t="s">
        <v>292</v>
      </c>
      <c r="AO32"/>
      <c r="AP32" t="s">
        <v>292</v>
      </c>
      <c r="AQ32"/>
      <c r="AR32" t="s">
        <v>292</v>
      </c>
      <c r="AS32"/>
      <c r="AT32" t="s">
        <v>292</v>
      </c>
      <c r="AU32"/>
      <c r="AV32" t="s">
        <v>292</v>
      </c>
      <c r="AW32"/>
      <c r="AX32" t="s">
        <v>292</v>
      </c>
      <c r="AY32"/>
      <c r="AZ32" t="s">
        <v>292</v>
      </c>
    </row>
    <row r="35" spans="2:6" x14ac:dyDescent="0.35">
      <c r="C35" s="19"/>
      <c r="D35" s="19"/>
      <c r="E35" s="11"/>
      <c r="F35" s="11"/>
    </row>
    <row r="36" spans="2:6" x14ac:dyDescent="0.35">
      <c r="C36" s="19"/>
      <c r="D36" s="19"/>
      <c r="E36" s="11"/>
      <c r="F36" s="11"/>
    </row>
    <row r="37" spans="2:6" x14ac:dyDescent="0.35">
      <c r="C37" s="19"/>
      <c r="D37" s="19"/>
      <c r="E37" s="11"/>
      <c r="F37" s="11"/>
    </row>
    <row r="38" spans="2:6" x14ac:dyDescent="0.35">
      <c r="C38" s="19"/>
      <c r="D38" s="19"/>
      <c r="E38" s="11"/>
      <c r="F38" s="11"/>
    </row>
    <row r="39" spans="2:6" x14ac:dyDescent="0.35">
      <c r="C39" s="19"/>
      <c r="D39" s="19"/>
      <c r="E39" s="11"/>
      <c r="F39" s="11"/>
    </row>
    <row r="40" spans="2:6" x14ac:dyDescent="0.35">
      <c r="C40" s="19"/>
      <c r="D40" s="19"/>
      <c r="E40" s="11"/>
      <c r="F40" s="11"/>
    </row>
    <row r="41" spans="2:6" x14ac:dyDescent="0.35">
      <c r="B41" s="19"/>
      <c r="C41" s="19"/>
      <c r="D41" s="19"/>
      <c r="E41" s="11"/>
      <c r="F41" s="11"/>
    </row>
    <row r="42" spans="2:6" x14ac:dyDescent="0.35">
      <c r="B42" s="19"/>
      <c r="C42" s="19"/>
      <c r="D42" s="19"/>
      <c r="E42" s="11"/>
      <c r="F42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17</xdr:row>
                    <xdr:rowOff>63500</xdr:rowOff>
                  </from>
                  <to>
                    <xdr:col>3</xdr:col>
                    <xdr:colOff>520700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Rounder">
                <anchor moveWithCells="1" sizeWithCells="1">
                  <from>
                    <xdr:col>17</xdr:col>
                    <xdr:colOff>146050</xdr:colOff>
                    <xdr:row>0</xdr:row>
                    <xdr:rowOff>82550</xdr:rowOff>
                  </from>
                  <to>
                    <xdr:col>17</xdr:col>
                    <xdr:colOff>1060450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70"/>
  <sheetViews>
    <sheetView topLeftCell="K1" workbookViewId="0">
      <selection activeCell="T3" sqref="T3:T270"/>
    </sheetView>
  </sheetViews>
  <sheetFormatPr defaultRowHeight="14.5" x14ac:dyDescent="0.35"/>
  <cols>
    <col min="1" max="16384" width="8.7265625" style="8"/>
  </cols>
  <sheetData>
    <row r="1" spans="1:20" x14ac:dyDescent="0.35">
      <c r="A1" s="7" t="s">
        <v>13</v>
      </c>
      <c r="B1" s="7" t="s">
        <v>14</v>
      </c>
      <c r="C1" s="7" t="s">
        <v>15</v>
      </c>
      <c r="D1" s="7" t="s">
        <v>16</v>
      </c>
      <c r="E1" s="7" t="s">
        <v>17</v>
      </c>
      <c r="F1" s="7" t="s">
        <v>18</v>
      </c>
      <c r="G1" s="7" t="s">
        <v>19</v>
      </c>
      <c r="H1" s="7" t="s">
        <v>20</v>
      </c>
      <c r="I1" s="7" t="s">
        <v>21</v>
      </c>
      <c r="J1" s="7" t="s">
        <v>22</v>
      </c>
      <c r="K1" s="7" t="s">
        <v>23</v>
      </c>
      <c r="L1" s="7" t="s">
        <v>24</v>
      </c>
      <c r="M1" s="7" t="s">
        <v>25</v>
      </c>
      <c r="N1" s="7" t="s">
        <v>26</v>
      </c>
      <c r="O1" s="7" t="s">
        <v>27</v>
      </c>
      <c r="P1" s="7" t="s">
        <v>28</v>
      </c>
      <c r="Q1" s="7" t="s">
        <v>29</v>
      </c>
    </row>
    <row r="2" spans="1:20" x14ac:dyDescent="0.35">
      <c r="A2" s="8" t="s">
        <v>31</v>
      </c>
      <c r="B2" s="8" t="s">
        <v>32</v>
      </c>
      <c r="C2" s="8" t="s">
        <v>6</v>
      </c>
      <c r="D2" s="8" t="s">
        <v>33</v>
      </c>
      <c r="E2" s="8">
        <v>117.6</v>
      </c>
      <c r="F2" s="8" t="s">
        <v>34</v>
      </c>
      <c r="G2" s="8" t="s">
        <v>32</v>
      </c>
      <c r="H2" s="8" t="s">
        <v>32</v>
      </c>
      <c r="I2" s="8" t="s">
        <v>32</v>
      </c>
      <c r="J2" s="8" t="s">
        <v>35</v>
      </c>
      <c r="K2" s="8" t="s">
        <v>36</v>
      </c>
      <c r="L2" s="8" t="s">
        <v>35</v>
      </c>
      <c r="M2" s="8" t="s">
        <v>32</v>
      </c>
      <c r="N2" s="8" t="s">
        <v>32</v>
      </c>
      <c r="O2" s="8" t="s">
        <v>32</v>
      </c>
      <c r="P2" s="8" t="s">
        <v>32</v>
      </c>
      <c r="T2" s="8">
        <f>MATCH(D2,Allocation!A:A,0)</f>
        <v>5</v>
      </c>
    </row>
    <row r="3" spans="1:20" x14ac:dyDescent="0.35">
      <c r="A3" s="8" t="s">
        <v>31</v>
      </c>
      <c r="B3" s="8" t="s">
        <v>37</v>
      </c>
      <c r="C3" s="8" t="s">
        <v>6</v>
      </c>
      <c r="D3" s="8" t="s">
        <v>33</v>
      </c>
      <c r="E3" s="8">
        <v>0</v>
      </c>
      <c r="F3" s="8" t="s">
        <v>34</v>
      </c>
      <c r="G3" s="8" t="s">
        <v>32</v>
      </c>
      <c r="H3" s="8" t="s">
        <v>32</v>
      </c>
      <c r="I3" s="8" t="s">
        <v>32</v>
      </c>
      <c r="J3" s="8" t="s">
        <v>35</v>
      </c>
      <c r="K3" s="8" t="s">
        <v>36</v>
      </c>
      <c r="L3" s="8" t="s">
        <v>35</v>
      </c>
      <c r="M3" s="8" t="s">
        <v>32</v>
      </c>
      <c r="N3" s="8" t="s">
        <v>32</v>
      </c>
      <c r="O3" s="8" t="s">
        <v>32</v>
      </c>
      <c r="P3" s="8" t="s">
        <v>32</v>
      </c>
      <c r="T3" s="8">
        <f>MATCH(D3,Allocation!A:A,0)</f>
        <v>5</v>
      </c>
    </row>
    <row r="4" spans="1:20" x14ac:dyDescent="0.35">
      <c r="A4" s="8" t="s">
        <v>166</v>
      </c>
      <c r="B4" s="8" t="s">
        <v>167</v>
      </c>
      <c r="C4" s="8" t="s">
        <v>7</v>
      </c>
      <c r="D4" s="8" t="s">
        <v>33</v>
      </c>
      <c r="E4" s="8">
        <v>-50</v>
      </c>
      <c r="F4" s="8" t="s">
        <v>168</v>
      </c>
      <c r="G4" s="8" t="s">
        <v>32</v>
      </c>
      <c r="H4" s="8" t="s">
        <v>32</v>
      </c>
      <c r="I4" s="8" t="s">
        <v>32</v>
      </c>
      <c r="J4" s="8" t="s">
        <v>35</v>
      </c>
      <c r="K4" s="8" t="s">
        <v>36</v>
      </c>
      <c r="L4" s="8" t="s">
        <v>35</v>
      </c>
      <c r="M4" s="8" t="s">
        <v>32</v>
      </c>
      <c r="N4" s="8" t="s">
        <v>32</v>
      </c>
      <c r="O4" s="8" t="s">
        <v>32</v>
      </c>
      <c r="P4" s="8" t="s">
        <v>32</v>
      </c>
      <c r="T4" s="8">
        <f>MATCH(D4,Allocation!A:A,0)</f>
        <v>5</v>
      </c>
    </row>
    <row r="5" spans="1:20" x14ac:dyDescent="0.35">
      <c r="A5" s="8" t="s">
        <v>166</v>
      </c>
      <c r="B5" s="8" t="s">
        <v>32</v>
      </c>
      <c r="C5" s="8" t="s">
        <v>8</v>
      </c>
      <c r="D5" s="8" t="s">
        <v>33</v>
      </c>
      <c r="E5" s="8">
        <v>-294.26</v>
      </c>
      <c r="F5" s="8" t="s">
        <v>168</v>
      </c>
      <c r="G5" s="8" t="s">
        <v>32</v>
      </c>
      <c r="H5" s="8" t="s">
        <v>32</v>
      </c>
      <c r="I5" s="8" t="s">
        <v>32</v>
      </c>
      <c r="J5" s="8" t="s">
        <v>35</v>
      </c>
      <c r="K5" s="8" t="s">
        <v>36</v>
      </c>
      <c r="L5" s="8" t="s">
        <v>35</v>
      </c>
      <c r="M5" s="8" t="s">
        <v>32</v>
      </c>
      <c r="N5" s="8" t="s">
        <v>32</v>
      </c>
      <c r="O5" s="8" t="s">
        <v>32</v>
      </c>
      <c r="P5" s="8" t="s">
        <v>32</v>
      </c>
      <c r="T5" s="8">
        <f>MATCH(D5,Allocation!A:A,0)</f>
        <v>5</v>
      </c>
    </row>
    <row r="6" spans="1:20" x14ac:dyDescent="0.35">
      <c r="A6" s="8" t="s">
        <v>170</v>
      </c>
      <c r="B6" s="8" t="s">
        <v>171</v>
      </c>
      <c r="C6" s="8" t="s">
        <v>9</v>
      </c>
      <c r="D6" s="8" t="s">
        <v>33</v>
      </c>
      <c r="E6" s="8">
        <v>-898.59</v>
      </c>
      <c r="F6" s="8" t="s">
        <v>168</v>
      </c>
      <c r="G6" s="8" t="s">
        <v>32</v>
      </c>
      <c r="H6" s="8" t="s">
        <v>32</v>
      </c>
      <c r="I6" s="8" t="s">
        <v>32</v>
      </c>
      <c r="J6" s="8" t="s">
        <v>35</v>
      </c>
      <c r="K6" s="8" t="s">
        <v>36</v>
      </c>
      <c r="L6" s="8" t="s">
        <v>35</v>
      </c>
      <c r="M6" s="8" t="s">
        <v>32</v>
      </c>
      <c r="N6" s="8" t="s">
        <v>32</v>
      </c>
      <c r="O6" s="8" t="s">
        <v>32</v>
      </c>
      <c r="P6" s="8" t="s">
        <v>32</v>
      </c>
      <c r="T6" s="8">
        <f>MATCH(D6,Allocation!A:A,0)</f>
        <v>5</v>
      </c>
    </row>
    <row r="7" spans="1:20" x14ac:dyDescent="0.35">
      <c r="A7" s="8" t="s">
        <v>172</v>
      </c>
      <c r="B7" s="8" t="s">
        <v>173</v>
      </c>
      <c r="C7" s="8" t="s">
        <v>10</v>
      </c>
      <c r="D7" s="8" t="s">
        <v>33</v>
      </c>
      <c r="E7" s="8">
        <v>1125.25</v>
      </c>
      <c r="F7" s="8" t="s">
        <v>34</v>
      </c>
      <c r="G7" s="8" t="s">
        <v>32</v>
      </c>
      <c r="H7" s="8" t="s">
        <v>32</v>
      </c>
      <c r="I7" s="8" t="s">
        <v>32</v>
      </c>
      <c r="J7" s="8" t="s">
        <v>35</v>
      </c>
      <c r="K7" s="8" t="s">
        <v>36</v>
      </c>
      <c r="L7" s="8" t="s">
        <v>35</v>
      </c>
      <c r="M7" s="8" t="s">
        <v>32</v>
      </c>
      <c r="N7" s="8" t="s">
        <v>32</v>
      </c>
      <c r="O7" s="8" t="s">
        <v>32</v>
      </c>
      <c r="P7" s="8" t="s">
        <v>32</v>
      </c>
      <c r="T7" s="8">
        <f>MATCH(D7,Allocation!A:A,0)</f>
        <v>5</v>
      </c>
    </row>
    <row r="8" spans="1:20" x14ac:dyDescent="0.35">
      <c r="A8" s="8" t="s">
        <v>174</v>
      </c>
      <c r="B8" s="8" t="s">
        <v>171</v>
      </c>
      <c r="C8" s="8" t="s">
        <v>9</v>
      </c>
      <c r="D8" s="8" t="s">
        <v>33</v>
      </c>
      <c r="E8" s="8">
        <v>-294.26</v>
      </c>
      <c r="F8" s="8" t="s">
        <v>168</v>
      </c>
      <c r="G8" s="8" t="s">
        <v>32</v>
      </c>
      <c r="H8" s="8" t="s">
        <v>32</v>
      </c>
      <c r="I8" s="8" t="s">
        <v>32</v>
      </c>
      <c r="J8" s="8" t="s">
        <v>35</v>
      </c>
      <c r="K8" s="8" t="s">
        <v>36</v>
      </c>
      <c r="L8" s="8" t="s">
        <v>35</v>
      </c>
      <c r="M8" s="8" t="s">
        <v>32</v>
      </c>
      <c r="N8" s="8" t="s">
        <v>32</v>
      </c>
      <c r="O8" s="8" t="s">
        <v>32</v>
      </c>
      <c r="P8" s="8" t="s">
        <v>32</v>
      </c>
      <c r="T8" s="8">
        <f>MATCH(D8,Allocation!A:A,0)</f>
        <v>5</v>
      </c>
    </row>
    <row r="9" spans="1:20" x14ac:dyDescent="0.35">
      <c r="A9" s="8" t="s">
        <v>174</v>
      </c>
      <c r="B9" s="8" t="s">
        <v>32</v>
      </c>
      <c r="C9" s="8" t="s">
        <v>8</v>
      </c>
      <c r="D9" s="8" t="s">
        <v>33</v>
      </c>
      <c r="E9" s="8">
        <v>294.26</v>
      </c>
      <c r="F9" s="8" t="s">
        <v>34</v>
      </c>
      <c r="G9" s="8" t="s">
        <v>32</v>
      </c>
      <c r="H9" s="8" t="s">
        <v>32</v>
      </c>
      <c r="I9" s="8" t="s">
        <v>32</v>
      </c>
      <c r="J9" s="8" t="s">
        <v>35</v>
      </c>
      <c r="K9" s="8" t="s">
        <v>36</v>
      </c>
      <c r="L9" s="8" t="s">
        <v>35</v>
      </c>
      <c r="M9" s="8" t="s">
        <v>32</v>
      </c>
      <c r="N9" s="8" t="s">
        <v>32</v>
      </c>
      <c r="O9" s="8" t="s">
        <v>32</v>
      </c>
      <c r="P9" s="8" t="s">
        <v>32</v>
      </c>
      <c r="T9" s="8">
        <f>MATCH(D9,Allocation!A:A,0)</f>
        <v>5</v>
      </c>
    </row>
    <row r="10" spans="1:20" x14ac:dyDescent="0.35">
      <c r="A10" s="8" t="s">
        <v>31</v>
      </c>
      <c r="B10" s="8" t="s">
        <v>32</v>
      </c>
      <c r="C10" s="8" t="s">
        <v>6</v>
      </c>
      <c r="D10" s="8" t="s">
        <v>38</v>
      </c>
      <c r="E10" s="8">
        <v>126.77</v>
      </c>
      <c r="F10" s="8" t="s">
        <v>34</v>
      </c>
      <c r="G10" s="8" t="s">
        <v>32</v>
      </c>
      <c r="H10" s="8" t="s">
        <v>32</v>
      </c>
      <c r="I10" s="8" t="s">
        <v>32</v>
      </c>
      <c r="J10" s="8" t="s">
        <v>39</v>
      </c>
      <c r="K10" s="8" t="s">
        <v>40</v>
      </c>
      <c r="L10" s="8" t="s">
        <v>39</v>
      </c>
      <c r="M10" s="8" t="s">
        <v>32</v>
      </c>
      <c r="N10" s="8" t="s">
        <v>32</v>
      </c>
      <c r="O10" s="8" t="s">
        <v>32</v>
      </c>
      <c r="P10" s="8" t="s">
        <v>32</v>
      </c>
      <c r="T10" s="8">
        <f>MATCH(D10,Allocation!A:A,0)</f>
        <v>18</v>
      </c>
    </row>
    <row r="11" spans="1:20" x14ac:dyDescent="0.35">
      <c r="A11" s="8" t="s">
        <v>31</v>
      </c>
      <c r="B11" s="8" t="s">
        <v>37</v>
      </c>
      <c r="C11" s="8" t="s">
        <v>6</v>
      </c>
      <c r="D11" s="8" t="s">
        <v>38</v>
      </c>
      <c r="E11" s="8">
        <v>0</v>
      </c>
      <c r="F11" s="8" t="s">
        <v>34</v>
      </c>
      <c r="G11" s="8" t="s">
        <v>32</v>
      </c>
      <c r="H11" s="8" t="s">
        <v>32</v>
      </c>
      <c r="I11" s="8" t="s">
        <v>32</v>
      </c>
      <c r="J11" s="8" t="s">
        <v>39</v>
      </c>
      <c r="K11" s="8" t="s">
        <v>40</v>
      </c>
      <c r="L11" s="8" t="s">
        <v>39</v>
      </c>
      <c r="M11" s="8" t="s">
        <v>32</v>
      </c>
      <c r="N11" s="8" t="s">
        <v>32</v>
      </c>
      <c r="O11" s="8" t="s">
        <v>32</v>
      </c>
      <c r="P11" s="8" t="s">
        <v>32</v>
      </c>
      <c r="T11" s="8">
        <f>MATCH(D11,Allocation!A:A,0)</f>
        <v>18</v>
      </c>
    </row>
    <row r="12" spans="1:20" x14ac:dyDescent="0.35">
      <c r="A12" s="8" t="s">
        <v>166</v>
      </c>
      <c r="B12" s="8" t="s">
        <v>32</v>
      </c>
      <c r="C12" s="8" t="s">
        <v>7</v>
      </c>
      <c r="D12" s="8" t="s">
        <v>38</v>
      </c>
      <c r="E12" s="8">
        <v>-156.93</v>
      </c>
      <c r="F12" s="8" t="s">
        <v>168</v>
      </c>
      <c r="G12" s="8" t="s">
        <v>32</v>
      </c>
      <c r="H12" s="8" t="s">
        <v>32</v>
      </c>
      <c r="I12" s="8" t="s">
        <v>32</v>
      </c>
      <c r="J12" s="8" t="s">
        <v>39</v>
      </c>
      <c r="K12" s="8" t="s">
        <v>40</v>
      </c>
      <c r="L12" s="8" t="s">
        <v>39</v>
      </c>
      <c r="M12" s="8" t="s">
        <v>32</v>
      </c>
      <c r="N12" s="8" t="s">
        <v>32</v>
      </c>
      <c r="O12" s="8" t="s">
        <v>32</v>
      </c>
      <c r="P12" s="8" t="s">
        <v>32</v>
      </c>
      <c r="T12" s="8">
        <f>MATCH(D12,Allocation!A:A,0)</f>
        <v>18</v>
      </c>
    </row>
    <row r="13" spans="1:20" x14ac:dyDescent="0.35">
      <c r="A13" s="8" t="s">
        <v>166</v>
      </c>
      <c r="B13" s="8" t="s">
        <v>32</v>
      </c>
      <c r="C13" s="8" t="s">
        <v>8</v>
      </c>
      <c r="D13" s="8" t="s">
        <v>38</v>
      </c>
      <c r="E13" s="8">
        <v>-262.97000000000003</v>
      </c>
      <c r="F13" s="8" t="s">
        <v>168</v>
      </c>
      <c r="G13" s="8" t="s">
        <v>32</v>
      </c>
      <c r="H13" s="8" t="s">
        <v>32</v>
      </c>
      <c r="I13" s="8" t="s">
        <v>32</v>
      </c>
      <c r="J13" s="8" t="s">
        <v>39</v>
      </c>
      <c r="K13" s="8" t="s">
        <v>40</v>
      </c>
      <c r="L13" s="8" t="s">
        <v>39</v>
      </c>
      <c r="M13" s="8" t="s">
        <v>32</v>
      </c>
      <c r="N13" s="8" t="s">
        <v>32</v>
      </c>
      <c r="O13" s="8" t="s">
        <v>32</v>
      </c>
      <c r="P13" s="8" t="s">
        <v>32</v>
      </c>
      <c r="T13" s="8">
        <f>MATCH(D13,Allocation!A:A,0)</f>
        <v>18</v>
      </c>
    </row>
    <row r="14" spans="1:20" x14ac:dyDescent="0.35">
      <c r="A14" s="8" t="s">
        <v>170</v>
      </c>
      <c r="B14" s="8" t="s">
        <v>171</v>
      </c>
      <c r="C14" s="8" t="s">
        <v>9</v>
      </c>
      <c r="D14" s="8" t="s">
        <v>38</v>
      </c>
      <c r="E14" s="8">
        <v>-986.39</v>
      </c>
      <c r="F14" s="8" t="s">
        <v>168</v>
      </c>
      <c r="G14" s="8" t="s">
        <v>32</v>
      </c>
      <c r="H14" s="8" t="s">
        <v>32</v>
      </c>
      <c r="I14" s="8" t="s">
        <v>32</v>
      </c>
      <c r="J14" s="8" t="s">
        <v>39</v>
      </c>
      <c r="K14" s="8" t="s">
        <v>40</v>
      </c>
      <c r="L14" s="8" t="s">
        <v>39</v>
      </c>
      <c r="M14" s="8" t="s">
        <v>32</v>
      </c>
      <c r="N14" s="8" t="s">
        <v>32</v>
      </c>
      <c r="O14" s="8" t="s">
        <v>32</v>
      </c>
      <c r="P14" s="8" t="s">
        <v>32</v>
      </c>
      <c r="T14" s="8">
        <f>MATCH(D14,Allocation!A:A,0)</f>
        <v>18</v>
      </c>
    </row>
    <row r="15" spans="1:20" x14ac:dyDescent="0.35">
      <c r="A15" s="8" t="s">
        <v>172</v>
      </c>
      <c r="B15" s="8" t="s">
        <v>173</v>
      </c>
      <c r="C15" s="8" t="s">
        <v>10</v>
      </c>
      <c r="D15" s="8" t="s">
        <v>38</v>
      </c>
      <c r="E15" s="8">
        <v>1279.52</v>
      </c>
      <c r="F15" s="8" t="s">
        <v>34</v>
      </c>
      <c r="G15" s="8" t="s">
        <v>32</v>
      </c>
      <c r="H15" s="8" t="s">
        <v>32</v>
      </c>
      <c r="I15" s="8" t="s">
        <v>32</v>
      </c>
      <c r="J15" s="8" t="s">
        <v>39</v>
      </c>
      <c r="K15" s="8" t="s">
        <v>40</v>
      </c>
      <c r="L15" s="8" t="s">
        <v>39</v>
      </c>
      <c r="M15" s="8" t="s">
        <v>32</v>
      </c>
      <c r="N15" s="8" t="s">
        <v>32</v>
      </c>
      <c r="O15" s="8" t="s">
        <v>32</v>
      </c>
      <c r="P15" s="8" t="s">
        <v>32</v>
      </c>
      <c r="T15" s="8">
        <f>MATCH(D15,Allocation!A:A,0)</f>
        <v>18</v>
      </c>
    </row>
    <row r="16" spans="1:20" x14ac:dyDescent="0.35">
      <c r="A16" s="8" t="s">
        <v>174</v>
      </c>
      <c r="B16" s="8" t="s">
        <v>171</v>
      </c>
      <c r="C16" s="8" t="s">
        <v>9</v>
      </c>
      <c r="D16" s="8" t="s">
        <v>38</v>
      </c>
      <c r="E16" s="8">
        <v>-262.97000000000003</v>
      </c>
      <c r="F16" s="8" t="s">
        <v>168</v>
      </c>
      <c r="G16" s="8" t="s">
        <v>32</v>
      </c>
      <c r="H16" s="8" t="s">
        <v>32</v>
      </c>
      <c r="I16" s="8" t="s">
        <v>32</v>
      </c>
      <c r="J16" s="8" t="s">
        <v>39</v>
      </c>
      <c r="K16" s="8" t="s">
        <v>40</v>
      </c>
      <c r="L16" s="8" t="s">
        <v>39</v>
      </c>
      <c r="M16" s="8" t="s">
        <v>32</v>
      </c>
      <c r="N16" s="8" t="s">
        <v>32</v>
      </c>
      <c r="O16" s="8" t="s">
        <v>32</v>
      </c>
      <c r="P16" s="8" t="s">
        <v>32</v>
      </c>
      <c r="T16" s="8">
        <f>MATCH(D16,Allocation!A:A,0)</f>
        <v>18</v>
      </c>
    </row>
    <row r="17" spans="1:20" x14ac:dyDescent="0.35">
      <c r="A17" s="8" t="s">
        <v>174</v>
      </c>
      <c r="B17" s="8" t="s">
        <v>32</v>
      </c>
      <c r="C17" s="8" t="s">
        <v>8</v>
      </c>
      <c r="D17" s="8" t="s">
        <v>38</v>
      </c>
      <c r="E17" s="8">
        <v>262.97000000000003</v>
      </c>
      <c r="F17" s="8" t="s">
        <v>34</v>
      </c>
      <c r="G17" s="8" t="s">
        <v>32</v>
      </c>
      <c r="H17" s="8" t="s">
        <v>32</v>
      </c>
      <c r="I17" s="8" t="s">
        <v>32</v>
      </c>
      <c r="J17" s="8" t="s">
        <v>39</v>
      </c>
      <c r="K17" s="8" t="s">
        <v>40</v>
      </c>
      <c r="L17" s="8" t="s">
        <v>39</v>
      </c>
      <c r="M17" s="8" t="s">
        <v>32</v>
      </c>
      <c r="N17" s="8" t="s">
        <v>32</v>
      </c>
      <c r="O17" s="8" t="s">
        <v>32</v>
      </c>
      <c r="P17" s="8" t="s">
        <v>32</v>
      </c>
      <c r="T17" s="8">
        <f>MATCH(D17,Allocation!A:A,0)</f>
        <v>18</v>
      </c>
    </row>
    <row r="18" spans="1:20" x14ac:dyDescent="0.35">
      <c r="A18" s="8" t="s">
        <v>31</v>
      </c>
      <c r="B18" s="8" t="s">
        <v>32</v>
      </c>
      <c r="C18" s="8" t="s">
        <v>6</v>
      </c>
      <c r="D18" s="8" t="s">
        <v>41</v>
      </c>
      <c r="E18" s="8">
        <v>213.23</v>
      </c>
      <c r="F18" s="8" t="s">
        <v>34</v>
      </c>
      <c r="G18" s="8" t="s">
        <v>41</v>
      </c>
      <c r="H18" s="8" t="s">
        <v>42</v>
      </c>
      <c r="I18" s="8" t="s">
        <v>41</v>
      </c>
      <c r="J18" s="8" t="s">
        <v>32</v>
      </c>
      <c r="K18" s="8" t="s">
        <v>32</v>
      </c>
      <c r="L18" s="8" t="s">
        <v>32</v>
      </c>
      <c r="M18" s="8" t="s">
        <v>32</v>
      </c>
      <c r="N18" s="8" t="s">
        <v>32</v>
      </c>
      <c r="O18" s="8" t="s">
        <v>32</v>
      </c>
      <c r="P18" s="8" t="s">
        <v>32</v>
      </c>
      <c r="T18" s="8">
        <f>MATCH(D18,Allocation!A:A,0)</f>
        <v>4</v>
      </c>
    </row>
    <row r="19" spans="1:20" x14ac:dyDescent="0.35">
      <c r="A19" s="8" t="s">
        <v>31</v>
      </c>
      <c r="B19" s="8" t="s">
        <v>37</v>
      </c>
      <c r="C19" s="8" t="s">
        <v>6</v>
      </c>
      <c r="D19" s="8" t="s">
        <v>41</v>
      </c>
      <c r="E19" s="8">
        <v>0</v>
      </c>
      <c r="F19" s="8" t="s">
        <v>34</v>
      </c>
      <c r="G19" s="8" t="s">
        <v>41</v>
      </c>
      <c r="H19" s="8" t="s">
        <v>42</v>
      </c>
      <c r="I19" s="8" t="s">
        <v>41</v>
      </c>
      <c r="J19" s="8" t="s">
        <v>32</v>
      </c>
      <c r="K19" s="8" t="s">
        <v>32</v>
      </c>
      <c r="L19" s="8" t="s">
        <v>32</v>
      </c>
      <c r="M19" s="8" t="s">
        <v>32</v>
      </c>
      <c r="N19" s="8" t="s">
        <v>32</v>
      </c>
      <c r="O19" s="8" t="s">
        <v>32</v>
      </c>
      <c r="P19" s="8" t="s">
        <v>32</v>
      </c>
      <c r="T19" s="8">
        <f>MATCH(D19,Allocation!A:A,0)</f>
        <v>4</v>
      </c>
    </row>
    <row r="20" spans="1:20" x14ac:dyDescent="0.35">
      <c r="A20" s="8" t="s">
        <v>166</v>
      </c>
      <c r="B20" s="8" t="s">
        <v>32</v>
      </c>
      <c r="C20" s="8" t="s">
        <v>8</v>
      </c>
      <c r="D20" s="8" t="s">
        <v>41</v>
      </c>
      <c r="E20" s="8">
        <v>-526.1</v>
      </c>
      <c r="F20" s="8" t="s">
        <v>168</v>
      </c>
      <c r="G20" s="8" t="s">
        <v>41</v>
      </c>
      <c r="H20" s="8" t="s">
        <v>42</v>
      </c>
      <c r="I20" s="8" t="s">
        <v>41</v>
      </c>
      <c r="J20" s="8" t="s">
        <v>32</v>
      </c>
      <c r="K20" s="8" t="s">
        <v>32</v>
      </c>
      <c r="L20" s="8" t="s">
        <v>32</v>
      </c>
      <c r="M20" s="8" t="s">
        <v>32</v>
      </c>
      <c r="N20" s="8" t="s">
        <v>32</v>
      </c>
      <c r="O20" s="8" t="s">
        <v>32</v>
      </c>
      <c r="P20" s="8" t="s">
        <v>32</v>
      </c>
      <c r="T20" s="8">
        <f>MATCH(D20,Allocation!A:A,0)</f>
        <v>4</v>
      </c>
    </row>
    <row r="21" spans="1:20" x14ac:dyDescent="0.35">
      <c r="A21" s="8" t="s">
        <v>170</v>
      </c>
      <c r="B21" s="8" t="s">
        <v>171</v>
      </c>
      <c r="C21" s="8" t="s">
        <v>9</v>
      </c>
      <c r="D21" s="8" t="s">
        <v>41</v>
      </c>
      <c r="E21" s="8">
        <v>-1727.54</v>
      </c>
      <c r="F21" s="8" t="s">
        <v>168</v>
      </c>
      <c r="G21" s="8" t="s">
        <v>41</v>
      </c>
      <c r="H21" s="8" t="s">
        <v>42</v>
      </c>
      <c r="I21" s="8" t="s">
        <v>41</v>
      </c>
      <c r="J21" s="8" t="s">
        <v>32</v>
      </c>
      <c r="K21" s="8" t="s">
        <v>32</v>
      </c>
      <c r="L21" s="8" t="s">
        <v>32</v>
      </c>
      <c r="M21" s="8" t="s">
        <v>32</v>
      </c>
      <c r="N21" s="8" t="s">
        <v>32</v>
      </c>
      <c r="O21" s="8" t="s">
        <v>32</v>
      </c>
      <c r="P21" s="8" t="s">
        <v>32</v>
      </c>
      <c r="T21" s="8">
        <f>MATCH(D21,Allocation!A:A,0)</f>
        <v>4</v>
      </c>
    </row>
    <row r="22" spans="1:20" x14ac:dyDescent="0.35">
      <c r="A22" s="8" t="s">
        <v>172</v>
      </c>
      <c r="B22" s="8" t="s">
        <v>173</v>
      </c>
      <c r="C22" s="8" t="s">
        <v>10</v>
      </c>
      <c r="D22" s="8" t="s">
        <v>41</v>
      </c>
      <c r="E22" s="8">
        <v>2040.41</v>
      </c>
      <c r="F22" s="8" t="s">
        <v>34</v>
      </c>
      <c r="G22" s="8" t="s">
        <v>41</v>
      </c>
      <c r="H22" s="8" t="s">
        <v>42</v>
      </c>
      <c r="I22" s="8" t="s">
        <v>41</v>
      </c>
      <c r="J22" s="8" t="s">
        <v>32</v>
      </c>
      <c r="K22" s="8" t="s">
        <v>32</v>
      </c>
      <c r="L22" s="8" t="s">
        <v>32</v>
      </c>
      <c r="M22" s="8" t="s">
        <v>32</v>
      </c>
      <c r="N22" s="8" t="s">
        <v>32</v>
      </c>
      <c r="O22" s="8" t="s">
        <v>32</v>
      </c>
      <c r="P22" s="8" t="s">
        <v>32</v>
      </c>
      <c r="T22" s="8">
        <f>MATCH(D22,Allocation!A:A,0)</f>
        <v>4</v>
      </c>
    </row>
    <row r="23" spans="1:20" x14ac:dyDescent="0.35">
      <c r="A23" s="8" t="s">
        <v>174</v>
      </c>
      <c r="B23" s="8" t="s">
        <v>171</v>
      </c>
      <c r="C23" s="8" t="s">
        <v>9</v>
      </c>
      <c r="D23" s="8" t="s">
        <v>41</v>
      </c>
      <c r="E23" s="8">
        <v>-526.1</v>
      </c>
      <c r="F23" s="8" t="s">
        <v>168</v>
      </c>
      <c r="G23" s="8" t="s">
        <v>41</v>
      </c>
      <c r="H23" s="8" t="s">
        <v>42</v>
      </c>
      <c r="I23" s="8" t="s">
        <v>41</v>
      </c>
      <c r="J23" s="8" t="s">
        <v>32</v>
      </c>
      <c r="K23" s="8" t="s">
        <v>32</v>
      </c>
      <c r="L23" s="8" t="s">
        <v>32</v>
      </c>
      <c r="M23" s="8" t="s">
        <v>32</v>
      </c>
      <c r="N23" s="8" t="s">
        <v>32</v>
      </c>
      <c r="O23" s="8" t="s">
        <v>32</v>
      </c>
      <c r="P23" s="8" t="s">
        <v>32</v>
      </c>
      <c r="T23" s="8">
        <f>MATCH(D23,Allocation!A:A,0)</f>
        <v>4</v>
      </c>
    </row>
    <row r="24" spans="1:20" x14ac:dyDescent="0.35">
      <c r="A24" s="8" t="s">
        <v>174</v>
      </c>
      <c r="B24" s="8" t="s">
        <v>32</v>
      </c>
      <c r="C24" s="8" t="s">
        <v>8</v>
      </c>
      <c r="D24" s="8" t="s">
        <v>41</v>
      </c>
      <c r="E24" s="8">
        <v>526.1</v>
      </c>
      <c r="F24" s="8" t="s">
        <v>34</v>
      </c>
      <c r="G24" s="8" t="s">
        <v>41</v>
      </c>
      <c r="H24" s="8" t="s">
        <v>42</v>
      </c>
      <c r="I24" s="8" t="s">
        <v>41</v>
      </c>
      <c r="J24" s="8" t="s">
        <v>32</v>
      </c>
      <c r="K24" s="8" t="s">
        <v>32</v>
      </c>
      <c r="L24" s="8" t="s">
        <v>32</v>
      </c>
      <c r="M24" s="8" t="s">
        <v>32</v>
      </c>
      <c r="N24" s="8" t="s">
        <v>32</v>
      </c>
      <c r="O24" s="8" t="s">
        <v>32</v>
      </c>
      <c r="P24" s="8" t="s">
        <v>32</v>
      </c>
      <c r="T24" s="8">
        <f>MATCH(D24,Allocation!A:A,0)</f>
        <v>4</v>
      </c>
    </row>
    <row r="25" spans="1:20" x14ac:dyDescent="0.35">
      <c r="A25" s="8" t="s">
        <v>31</v>
      </c>
      <c r="B25" s="8" t="s">
        <v>37</v>
      </c>
      <c r="C25" s="8" t="s">
        <v>6</v>
      </c>
      <c r="D25" s="8" t="s">
        <v>939</v>
      </c>
      <c r="E25" s="8">
        <v>0</v>
      </c>
      <c r="F25" s="8" t="s">
        <v>34</v>
      </c>
      <c r="G25" s="8" t="s">
        <v>939</v>
      </c>
      <c r="H25" s="8" t="s">
        <v>1045</v>
      </c>
      <c r="I25" s="8" t="s">
        <v>939</v>
      </c>
      <c r="J25" s="8" t="s">
        <v>1046</v>
      </c>
      <c r="K25" s="8" t="s">
        <v>1047</v>
      </c>
      <c r="L25" s="8" t="s">
        <v>32</v>
      </c>
      <c r="M25" s="8" t="s">
        <v>32</v>
      </c>
      <c r="N25" s="8" t="s">
        <v>32</v>
      </c>
      <c r="O25" s="8" t="s">
        <v>32</v>
      </c>
      <c r="P25" s="8" t="s">
        <v>32</v>
      </c>
      <c r="T25" s="8">
        <f>MATCH(D25,Allocation!A:A,0)</f>
        <v>34</v>
      </c>
    </row>
    <row r="26" spans="1:20" x14ac:dyDescent="0.35">
      <c r="A26" s="8" t="s">
        <v>170</v>
      </c>
      <c r="B26" s="8" t="s">
        <v>171</v>
      </c>
      <c r="C26" s="8" t="s">
        <v>9</v>
      </c>
      <c r="D26" s="8" t="s">
        <v>939</v>
      </c>
      <c r="E26" s="8">
        <v>-90</v>
      </c>
      <c r="F26" s="8" t="s">
        <v>168</v>
      </c>
      <c r="G26" s="8" t="s">
        <v>939</v>
      </c>
      <c r="H26" s="8" t="s">
        <v>1045</v>
      </c>
      <c r="I26" s="8" t="s">
        <v>939</v>
      </c>
      <c r="J26" s="8" t="s">
        <v>1046</v>
      </c>
      <c r="K26" s="8" t="s">
        <v>1047</v>
      </c>
      <c r="L26" s="8" t="s">
        <v>32</v>
      </c>
      <c r="M26" s="8" t="s">
        <v>32</v>
      </c>
      <c r="N26" s="8" t="s">
        <v>32</v>
      </c>
      <c r="O26" s="8" t="s">
        <v>32</v>
      </c>
      <c r="P26" s="8" t="s">
        <v>32</v>
      </c>
      <c r="T26" s="8">
        <f>MATCH(D26,Allocation!A:A,0)</f>
        <v>34</v>
      </c>
    </row>
    <row r="27" spans="1:20" x14ac:dyDescent="0.35">
      <c r="A27" s="8" t="s">
        <v>172</v>
      </c>
      <c r="B27" s="8" t="s">
        <v>173</v>
      </c>
      <c r="C27" s="8" t="s">
        <v>10</v>
      </c>
      <c r="D27" s="8" t="s">
        <v>939</v>
      </c>
      <c r="E27" s="8">
        <v>90</v>
      </c>
      <c r="F27" s="8" t="s">
        <v>34</v>
      </c>
      <c r="G27" s="8" t="s">
        <v>939</v>
      </c>
      <c r="H27" s="8" t="s">
        <v>1045</v>
      </c>
      <c r="I27" s="8" t="s">
        <v>939</v>
      </c>
      <c r="J27" s="8" t="s">
        <v>1046</v>
      </c>
      <c r="K27" s="8" t="s">
        <v>1047</v>
      </c>
      <c r="L27" s="8" t="s">
        <v>32</v>
      </c>
      <c r="M27" s="8" t="s">
        <v>32</v>
      </c>
      <c r="N27" s="8" t="s">
        <v>32</v>
      </c>
      <c r="O27" s="8" t="s">
        <v>32</v>
      </c>
      <c r="P27" s="8" t="s">
        <v>32</v>
      </c>
      <c r="T27" s="8">
        <f>MATCH(D27,Allocation!A:A,0)</f>
        <v>34</v>
      </c>
    </row>
    <row r="28" spans="1:20" x14ac:dyDescent="0.35">
      <c r="A28" s="8" t="s">
        <v>31</v>
      </c>
      <c r="B28" s="8" t="s">
        <v>32</v>
      </c>
      <c r="C28" s="8" t="s">
        <v>6</v>
      </c>
      <c r="D28" s="8" t="s">
        <v>43</v>
      </c>
      <c r="E28" s="8">
        <v>122.59</v>
      </c>
      <c r="F28" s="8" t="s">
        <v>34</v>
      </c>
      <c r="G28" s="8" t="s">
        <v>41</v>
      </c>
      <c r="H28" s="8" t="s">
        <v>42</v>
      </c>
      <c r="I28" s="8" t="s">
        <v>41</v>
      </c>
      <c r="J28" s="8" t="s">
        <v>44</v>
      </c>
      <c r="K28" s="8" t="s">
        <v>45</v>
      </c>
      <c r="L28" s="8" t="s">
        <v>44</v>
      </c>
      <c r="M28" s="8" t="s">
        <v>46</v>
      </c>
      <c r="N28" s="8" t="s">
        <v>47</v>
      </c>
      <c r="O28" s="8" t="s">
        <v>46</v>
      </c>
      <c r="P28" s="8" t="s">
        <v>32</v>
      </c>
      <c r="T28" s="8">
        <f>MATCH(D28,Allocation!A:A,0)</f>
        <v>9</v>
      </c>
    </row>
    <row r="29" spans="1:20" x14ac:dyDescent="0.35">
      <c r="A29" s="8" t="s">
        <v>31</v>
      </c>
      <c r="B29" s="8" t="s">
        <v>37</v>
      </c>
      <c r="C29" s="8" t="s">
        <v>6</v>
      </c>
      <c r="D29" s="8" t="s">
        <v>43</v>
      </c>
      <c r="E29" s="8">
        <v>0</v>
      </c>
      <c r="F29" s="8" t="s">
        <v>34</v>
      </c>
      <c r="G29" s="8" t="s">
        <v>41</v>
      </c>
      <c r="H29" s="8" t="s">
        <v>42</v>
      </c>
      <c r="I29" s="8" t="s">
        <v>41</v>
      </c>
      <c r="J29" s="8" t="s">
        <v>44</v>
      </c>
      <c r="K29" s="8" t="s">
        <v>45</v>
      </c>
      <c r="L29" s="8" t="s">
        <v>44</v>
      </c>
      <c r="M29" s="8" t="s">
        <v>46</v>
      </c>
      <c r="N29" s="8" t="s">
        <v>47</v>
      </c>
      <c r="O29" s="8" t="s">
        <v>46</v>
      </c>
      <c r="P29" s="8" t="s">
        <v>32</v>
      </c>
      <c r="T29" s="8">
        <f>MATCH(D29,Allocation!A:A,0)</f>
        <v>9</v>
      </c>
    </row>
    <row r="30" spans="1:20" x14ac:dyDescent="0.35">
      <c r="A30" s="8" t="s">
        <v>166</v>
      </c>
      <c r="B30" s="8" t="s">
        <v>169</v>
      </c>
      <c r="C30" s="8" t="s">
        <v>7</v>
      </c>
      <c r="D30" s="8" t="s">
        <v>43</v>
      </c>
      <c r="E30" s="8">
        <v>-101.21</v>
      </c>
      <c r="F30" s="8" t="s">
        <v>168</v>
      </c>
      <c r="G30" s="8" t="s">
        <v>41</v>
      </c>
      <c r="H30" s="8" t="s">
        <v>42</v>
      </c>
      <c r="I30" s="8" t="s">
        <v>41</v>
      </c>
      <c r="J30" s="8" t="s">
        <v>44</v>
      </c>
      <c r="K30" s="8" t="s">
        <v>45</v>
      </c>
      <c r="L30" s="8" t="s">
        <v>44</v>
      </c>
      <c r="M30" s="8" t="s">
        <v>46</v>
      </c>
      <c r="N30" s="8" t="s">
        <v>47</v>
      </c>
      <c r="O30" s="8" t="s">
        <v>46</v>
      </c>
      <c r="P30" s="8" t="s">
        <v>32</v>
      </c>
      <c r="T30" s="8">
        <f>MATCH(D30,Allocation!A:A,0)</f>
        <v>9</v>
      </c>
    </row>
    <row r="31" spans="1:20" x14ac:dyDescent="0.35">
      <c r="A31" s="8" t="s">
        <v>166</v>
      </c>
      <c r="B31" s="8" t="s">
        <v>32</v>
      </c>
      <c r="C31" s="8" t="s">
        <v>8</v>
      </c>
      <c r="D31" s="8" t="s">
        <v>43</v>
      </c>
      <c r="E31" s="8">
        <v>-298.69</v>
      </c>
      <c r="F31" s="8" t="s">
        <v>168</v>
      </c>
      <c r="G31" s="8" t="s">
        <v>41</v>
      </c>
      <c r="H31" s="8" t="s">
        <v>42</v>
      </c>
      <c r="I31" s="8" t="s">
        <v>41</v>
      </c>
      <c r="J31" s="8" t="s">
        <v>44</v>
      </c>
      <c r="K31" s="8" t="s">
        <v>45</v>
      </c>
      <c r="L31" s="8" t="s">
        <v>44</v>
      </c>
      <c r="M31" s="8" t="s">
        <v>46</v>
      </c>
      <c r="N31" s="8" t="s">
        <v>47</v>
      </c>
      <c r="O31" s="8" t="s">
        <v>46</v>
      </c>
      <c r="P31" s="8" t="s">
        <v>32</v>
      </c>
      <c r="T31" s="8">
        <f>MATCH(D31,Allocation!A:A,0)</f>
        <v>9</v>
      </c>
    </row>
    <row r="32" spans="1:20" x14ac:dyDescent="0.35">
      <c r="A32" s="8" t="s">
        <v>170</v>
      </c>
      <c r="B32" s="8" t="s">
        <v>171</v>
      </c>
      <c r="C32" s="8" t="s">
        <v>9</v>
      </c>
      <c r="D32" s="8" t="s">
        <v>43</v>
      </c>
      <c r="E32" s="8">
        <v>-970.42</v>
      </c>
      <c r="F32" s="8" t="s">
        <v>168</v>
      </c>
      <c r="G32" s="8" t="s">
        <v>41</v>
      </c>
      <c r="H32" s="8" t="s">
        <v>42</v>
      </c>
      <c r="I32" s="8" t="s">
        <v>41</v>
      </c>
      <c r="J32" s="8" t="s">
        <v>44</v>
      </c>
      <c r="K32" s="8" t="s">
        <v>45</v>
      </c>
      <c r="L32" s="8" t="s">
        <v>44</v>
      </c>
      <c r="M32" s="8" t="s">
        <v>46</v>
      </c>
      <c r="N32" s="8" t="s">
        <v>47</v>
      </c>
      <c r="O32" s="8" t="s">
        <v>46</v>
      </c>
      <c r="P32" s="8" t="s">
        <v>32</v>
      </c>
      <c r="T32" s="8">
        <f>MATCH(D32,Allocation!A:A,0)</f>
        <v>9</v>
      </c>
    </row>
    <row r="33" spans="1:20" x14ac:dyDescent="0.35">
      <c r="A33" s="8" t="s">
        <v>172</v>
      </c>
      <c r="B33" s="8" t="s">
        <v>173</v>
      </c>
      <c r="C33" s="8" t="s">
        <v>10</v>
      </c>
      <c r="D33" s="8" t="s">
        <v>43</v>
      </c>
      <c r="E33" s="8">
        <v>1247.73</v>
      </c>
      <c r="F33" s="8" t="s">
        <v>34</v>
      </c>
      <c r="G33" s="8" t="s">
        <v>41</v>
      </c>
      <c r="H33" s="8" t="s">
        <v>42</v>
      </c>
      <c r="I33" s="8" t="s">
        <v>41</v>
      </c>
      <c r="J33" s="8" t="s">
        <v>44</v>
      </c>
      <c r="K33" s="8" t="s">
        <v>45</v>
      </c>
      <c r="L33" s="8" t="s">
        <v>44</v>
      </c>
      <c r="M33" s="8" t="s">
        <v>46</v>
      </c>
      <c r="N33" s="8" t="s">
        <v>47</v>
      </c>
      <c r="O33" s="8" t="s">
        <v>46</v>
      </c>
      <c r="P33" s="8" t="s">
        <v>32</v>
      </c>
      <c r="T33" s="8">
        <f>MATCH(D33,Allocation!A:A,0)</f>
        <v>9</v>
      </c>
    </row>
    <row r="34" spans="1:20" x14ac:dyDescent="0.35">
      <c r="A34" s="8" t="s">
        <v>174</v>
      </c>
      <c r="B34" s="8" t="s">
        <v>171</v>
      </c>
      <c r="C34" s="8" t="s">
        <v>9</v>
      </c>
      <c r="D34" s="8" t="s">
        <v>43</v>
      </c>
      <c r="E34" s="8">
        <v>-298.69</v>
      </c>
      <c r="F34" s="8" t="s">
        <v>168</v>
      </c>
      <c r="G34" s="8" t="s">
        <v>41</v>
      </c>
      <c r="H34" s="8" t="s">
        <v>42</v>
      </c>
      <c r="I34" s="8" t="s">
        <v>41</v>
      </c>
      <c r="J34" s="8" t="s">
        <v>44</v>
      </c>
      <c r="K34" s="8" t="s">
        <v>45</v>
      </c>
      <c r="L34" s="8" t="s">
        <v>44</v>
      </c>
      <c r="M34" s="8" t="s">
        <v>46</v>
      </c>
      <c r="N34" s="8" t="s">
        <v>47</v>
      </c>
      <c r="O34" s="8" t="s">
        <v>46</v>
      </c>
      <c r="P34" s="8" t="s">
        <v>32</v>
      </c>
      <c r="T34" s="8">
        <f>MATCH(D34,Allocation!A:A,0)</f>
        <v>9</v>
      </c>
    </row>
    <row r="35" spans="1:20" x14ac:dyDescent="0.35">
      <c r="A35" s="8" t="s">
        <v>174</v>
      </c>
      <c r="B35" s="8" t="s">
        <v>32</v>
      </c>
      <c r="C35" s="8" t="s">
        <v>8</v>
      </c>
      <c r="D35" s="8" t="s">
        <v>43</v>
      </c>
      <c r="E35" s="8">
        <v>298.69</v>
      </c>
      <c r="F35" s="8" t="s">
        <v>34</v>
      </c>
      <c r="G35" s="8" t="s">
        <v>41</v>
      </c>
      <c r="H35" s="8" t="s">
        <v>42</v>
      </c>
      <c r="I35" s="8" t="s">
        <v>41</v>
      </c>
      <c r="J35" s="8" t="s">
        <v>44</v>
      </c>
      <c r="K35" s="8" t="s">
        <v>45</v>
      </c>
      <c r="L35" s="8" t="s">
        <v>44</v>
      </c>
      <c r="M35" s="8" t="s">
        <v>46</v>
      </c>
      <c r="N35" s="8" t="s">
        <v>47</v>
      </c>
      <c r="O35" s="8" t="s">
        <v>46</v>
      </c>
      <c r="P35" s="8" t="s">
        <v>32</v>
      </c>
      <c r="T35" s="8">
        <f>MATCH(D35,Allocation!A:A,0)</f>
        <v>9</v>
      </c>
    </row>
    <row r="36" spans="1:20" x14ac:dyDescent="0.35">
      <c r="A36" s="8" t="s">
        <v>31</v>
      </c>
      <c r="B36" s="8" t="s">
        <v>32</v>
      </c>
      <c r="C36" s="8" t="s">
        <v>6</v>
      </c>
      <c r="D36" s="8" t="s">
        <v>48</v>
      </c>
      <c r="E36" s="8">
        <v>65.8</v>
      </c>
      <c r="F36" s="8" t="s">
        <v>34</v>
      </c>
      <c r="G36" s="8" t="s">
        <v>41</v>
      </c>
      <c r="H36" s="8" t="s">
        <v>42</v>
      </c>
      <c r="I36" s="8" t="s">
        <v>41</v>
      </c>
      <c r="J36" s="8" t="s">
        <v>49</v>
      </c>
      <c r="K36" s="8" t="s">
        <v>50</v>
      </c>
      <c r="L36" s="8" t="s">
        <v>49</v>
      </c>
      <c r="M36" s="8" t="s">
        <v>51</v>
      </c>
      <c r="N36" s="8" t="s">
        <v>52</v>
      </c>
      <c r="O36" s="8" t="s">
        <v>51</v>
      </c>
      <c r="P36" s="8" t="s">
        <v>32</v>
      </c>
      <c r="T36" s="8">
        <f>MATCH(D36,Allocation!A:A,0)</f>
        <v>51</v>
      </c>
    </row>
    <row r="37" spans="1:20" x14ac:dyDescent="0.35">
      <c r="A37" s="8" t="s">
        <v>31</v>
      </c>
      <c r="B37" s="8" t="s">
        <v>37</v>
      </c>
      <c r="C37" s="8" t="s">
        <v>6</v>
      </c>
      <c r="D37" s="8" t="s">
        <v>48</v>
      </c>
      <c r="E37" s="8">
        <v>0</v>
      </c>
      <c r="F37" s="8" t="s">
        <v>34</v>
      </c>
      <c r="G37" s="8" t="s">
        <v>41</v>
      </c>
      <c r="H37" s="8" t="s">
        <v>42</v>
      </c>
      <c r="I37" s="8" t="s">
        <v>41</v>
      </c>
      <c r="J37" s="8" t="s">
        <v>49</v>
      </c>
      <c r="K37" s="8" t="s">
        <v>50</v>
      </c>
      <c r="L37" s="8" t="s">
        <v>49</v>
      </c>
      <c r="M37" s="8" t="s">
        <v>51</v>
      </c>
      <c r="N37" s="8" t="s">
        <v>52</v>
      </c>
      <c r="O37" s="8" t="s">
        <v>51</v>
      </c>
      <c r="P37" s="8" t="s">
        <v>32</v>
      </c>
      <c r="T37" s="8">
        <f>MATCH(D37,Allocation!A:A,0)</f>
        <v>51</v>
      </c>
    </row>
    <row r="38" spans="1:20" x14ac:dyDescent="0.35">
      <c r="A38" s="8" t="s">
        <v>166</v>
      </c>
      <c r="B38" s="8" t="s">
        <v>32</v>
      </c>
      <c r="C38" s="8" t="s">
        <v>8</v>
      </c>
      <c r="D38" s="8" t="s">
        <v>48</v>
      </c>
      <c r="E38" s="8">
        <v>-178.18</v>
      </c>
      <c r="F38" s="8" t="s">
        <v>168</v>
      </c>
      <c r="G38" s="8" t="s">
        <v>41</v>
      </c>
      <c r="H38" s="8" t="s">
        <v>42</v>
      </c>
      <c r="I38" s="8" t="s">
        <v>41</v>
      </c>
      <c r="J38" s="8" t="s">
        <v>49</v>
      </c>
      <c r="K38" s="8" t="s">
        <v>50</v>
      </c>
      <c r="L38" s="8" t="s">
        <v>49</v>
      </c>
      <c r="M38" s="8" t="s">
        <v>51</v>
      </c>
      <c r="N38" s="8" t="s">
        <v>52</v>
      </c>
      <c r="O38" s="8" t="s">
        <v>51</v>
      </c>
      <c r="P38" s="8" t="s">
        <v>32</v>
      </c>
      <c r="T38" s="8">
        <f>MATCH(D38,Allocation!A:A,0)</f>
        <v>51</v>
      </c>
    </row>
    <row r="39" spans="1:20" x14ac:dyDescent="0.35">
      <c r="A39" s="8" t="s">
        <v>170</v>
      </c>
      <c r="B39" s="8" t="s">
        <v>171</v>
      </c>
      <c r="C39" s="8" t="s">
        <v>9</v>
      </c>
      <c r="D39" s="8" t="s">
        <v>48</v>
      </c>
      <c r="E39" s="8">
        <v>-517.37</v>
      </c>
      <c r="F39" s="8" t="s">
        <v>168</v>
      </c>
      <c r="G39" s="8" t="s">
        <v>41</v>
      </c>
      <c r="H39" s="8" t="s">
        <v>42</v>
      </c>
      <c r="I39" s="8" t="s">
        <v>41</v>
      </c>
      <c r="J39" s="8" t="s">
        <v>49</v>
      </c>
      <c r="K39" s="8" t="s">
        <v>50</v>
      </c>
      <c r="L39" s="8" t="s">
        <v>49</v>
      </c>
      <c r="M39" s="8" t="s">
        <v>51</v>
      </c>
      <c r="N39" s="8" t="s">
        <v>52</v>
      </c>
      <c r="O39" s="8" t="s">
        <v>51</v>
      </c>
      <c r="P39" s="8" t="s">
        <v>32</v>
      </c>
      <c r="T39" s="8">
        <f>MATCH(D39,Allocation!A:A,0)</f>
        <v>51</v>
      </c>
    </row>
    <row r="40" spans="1:20" x14ac:dyDescent="0.35">
      <c r="A40" s="8" t="s">
        <v>172</v>
      </c>
      <c r="B40" s="8" t="s">
        <v>173</v>
      </c>
      <c r="C40" s="8" t="s">
        <v>10</v>
      </c>
      <c r="D40" s="8" t="s">
        <v>48</v>
      </c>
      <c r="E40" s="8">
        <v>629.75</v>
      </c>
      <c r="F40" s="8" t="s">
        <v>34</v>
      </c>
      <c r="G40" s="8" t="s">
        <v>41</v>
      </c>
      <c r="H40" s="8" t="s">
        <v>42</v>
      </c>
      <c r="I40" s="8" t="s">
        <v>41</v>
      </c>
      <c r="J40" s="8" t="s">
        <v>49</v>
      </c>
      <c r="K40" s="8" t="s">
        <v>50</v>
      </c>
      <c r="L40" s="8" t="s">
        <v>49</v>
      </c>
      <c r="M40" s="8" t="s">
        <v>51</v>
      </c>
      <c r="N40" s="8" t="s">
        <v>52</v>
      </c>
      <c r="O40" s="8" t="s">
        <v>51</v>
      </c>
      <c r="P40" s="8" t="s">
        <v>32</v>
      </c>
      <c r="T40" s="8">
        <f>MATCH(D40,Allocation!A:A,0)</f>
        <v>51</v>
      </c>
    </row>
    <row r="41" spans="1:20" x14ac:dyDescent="0.35">
      <c r="A41" s="8" t="s">
        <v>174</v>
      </c>
      <c r="B41" s="8" t="s">
        <v>171</v>
      </c>
      <c r="C41" s="8" t="s">
        <v>9</v>
      </c>
      <c r="D41" s="8" t="s">
        <v>48</v>
      </c>
      <c r="E41" s="8">
        <v>-178.18</v>
      </c>
      <c r="F41" s="8" t="s">
        <v>168</v>
      </c>
      <c r="G41" s="8" t="s">
        <v>41</v>
      </c>
      <c r="H41" s="8" t="s">
        <v>42</v>
      </c>
      <c r="I41" s="8" t="s">
        <v>41</v>
      </c>
      <c r="J41" s="8" t="s">
        <v>49</v>
      </c>
      <c r="K41" s="8" t="s">
        <v>50</v>
      </c>
      <c r="L41" s="8" t="s">
        <v>49</v>
      </c>
      <c r="M41" s="8" t="s">
        <v>51</v>
      </c>
      <c r="N41" s="8" t="s">
        <v>52</v>
      </c>
      <c r="O41" s="8" t="s">
        <v>51</v>
      </c>
      <c r="P41" s="8" t="s">
        <v>32</v>
      </c>
      <c r="T41" s="8">
        <f>MATCH(D41,Allocation!A:A,0)</f>
        <v>51</v>
      </c>
    </row>
    <row r="42" spans="1:20" x14ac:dyDescent="0.35">
      <c r="A42" s="8" t="s">
        <v>174</v>
      </c>
      <c r="B42" s="8" t="s">
        <v>32</v>
      </c>
      <c r="C42" s="8" t="s">
        <v>8</v>
      </c>
      <c r="D42" s="8" t="s">
        <v>48</v>
      </c>
      <c r="E42" s="8">
        <v>178.18</v>
      </c>
      <c r="F42" s="8" t="s">
        <v>34</v>
      </c>
      <c r="G42" s="8" t="s">
        <v>41</v>
      </c>
      <c r="H42" s="8" t="s">
        <v>42</v>
      </c>
      <c r="I42" s="8" t="s">
        <v>41</v>
      </c>
      <c r="J42" s="8" t="s">
        <v>49</v>
      </c>
      <c r="K42" s="8" t="s">
        <v>50</v>
      </c>
      <c r="L42" s="8" t="s">
        <v>49</v>
      </c>
      <c r="M42" s="8" t="s">
        <v>51</v>
      </c>
      <c r="N42" s="8" t="s">
        <v>52</v>
      </c>
      <c r="O42" s="8" t="s">
        <v>51</v>
      </c>
      <c r="P42" s="8" t="s">
        <v>32</v>
      </c>
      <c r="T42" s="8">
        <f>MATCH(D42,Allocation!A:A,0)</f>
        <v>51</v>
      </c>
    </row>
    <row r="43" spans="1:20" x14ac:dyDescent="0.35">
      <c r="A43" s="8" t="s">
        <v>31</v>
      </c>
      <c r="B43" s="8" t="s">
        <v>32</v>
      </c>
      <c r="C43" s="8" t="s">
        <v>6</v>
      </c>
      <c r="D43" s="8" t="s">
        <v>53</v>
      </c>
      <c r="E43" s="8">
        <v>63.23</v>
      </c>
      <c r="F43" s="8" t="s">
        <v>34</v>
      </c>
      <c r="G43" s="8" t="s">
        <v>41</v>
      </c>
      <c r="H43" s="8" t="s">
        <v>42</v>
      </c>
      <c r="I43" s="8" t="s">
        <v>41</v>
      </c>
      <c r="J43" s="8" t="s">
        <v>54</v>
      </c>
      <c r="K43" s="8" t="s">
        <v>55</v>
      </c>
      <c r="L43" s="8" t="s">
        <v>54</v>
      </c>
      <c r="M43" s="8" t="s">
        <v>56</v>
      </c>
      <c r="N43" s="8" t="s">
        <v>57</v>
      </c>
      <c r="O43" s="8" t="s">
        <v>56</v>
      </c>
      <c r="P43" s="8" t="s">
        <v>32</v>
      </c>
      <c r="T43" s="8">
        <f>MATCH(D43,Allocation!A:A,0)</f>
        <v>47</v>
      </c>
    </row>
    <row r="44" spans="1:20" x14ac:dyDescent="0.35">
      <c r="A44" s="8" t="s">
        <v>31</v>
      </c>
      <c r="B44" s="8" t="s">
        <v>37</v>
      </c>
      <c r="C44" s="8" t="s">
        <v>6</v>
      </c>
      <c r="D44" s="8" t="s">
        <v>53</v>
      </c>
      <c r="E44" s="8">
        <v>0</v>
      </c>
      <c r="F44" s="8" t="s">
        <v>34</v>
      </c>
      <c r="G44" s="8" t="s">
        <v>41</v>
      </c>
      <c r="H44" s="8" t="s">
        <v>42</v>
      </c>
      <c r="I44" s="8" t="s">
        <v>41</v>
      </c>
      <c r="J44" s="8" t="s">
        <v>54</v>
      </c>
      <c r="K44" s="8" t="s">
        <v>55</v>
      </c>
      <c r="L44" s="8" t="s">
        <v>54</v>
      </c>
      <c r="M44" s="8" t="s">
        <v>56</v>
      </c>
      <c r="N44" s="8" t="s">
        <v>57</v>
      </c>
      <c r="O44" s="8" t="s">
        <v>56</v>
      </c>
      <c r="P44" s="8" t="s">
        <v>32</v>
      </c>
      <c r="T44" s="8">
        <f>MATCH(D44,Allocation!A:A,0)</f>
        <v>47</v>
      </c>
    </row>
    <row r="45" spans="1:20" x14ac:dyDescent="0.35">
      <c r="A45" s="8" t="s">
        <v>166</v>
      </c>
      <c r="B45" s="8" t="s">
        <v>32</v>
      </c>
      <c r="C45" s="8" t="s">
        <v>8</v>
      </c>
      <c r="D45" s="8" t="s">
        <v>53</v>
      </c>
      <c r="E45" s="8">
        <v>-151.51</v>
      </c>
      <c r="F45" s="8" t="s">
        <v>168</v>
      </c>
      <c r="G45" s="8" t="s">
        <v>41</v>
      </c>
      <c r="H45" s="8" t="s">
        <v>42</v>
      </c>
      <c r="I45" s="8" t="s">
        <v>41</v>
      </c>
      <c r="J45" s="8" t="s">
        <v>54</v>
      </c>
      <c r="K45" s="8" t="s">
        <v>55</v>
      </c>
      <c r="L45" s="8" t="s">
        <v>54</v>
      </c>
      <c r="M45" s="8" t="s">
        <v>56</v>
      </c>
      <c r="N45" s="8" t="s">
        <v>57</v>
      </c>
      <c r="O45" s="8" t="s">
        <v>56</v>
      </c>
      <c r="P45" s="8" t="s">
        <v>32</v>
      </c>
      <c r="T45" s="8">
        <f>MATCH(D45,Allocation!A:A,0)</f>
        <v>47</v>
      </c>
    </row>
    <row r="46" spans="1:20" x14ac:dyDescent="0.35">
      <c r="A46" s="8" t="s">
        <v>170</v>
      </c>
      <c r="B46" s="8" t="s">
        <v>171</v>
      </c>
      <c r="C46" s="8" t="s">
        <v>9</v>
      </c>
      <c r="D46" s="8" t="s">
        <v>53</v>
      </c>
      <c r="E46" s="8">
        <v>-516.72</v>
      </c>
      <c r="F46" s="8" t="s">
        <v>168</v>
      </c>
      <c r="G46" s="8" t="s">
        <v>41</v>
      </c>
      <c r="H46" s="8" t="s">
        <v>42</v>
      </c>
      <c r="I46" s="8" t="s">
        <v>41</v>
      </c>
      <c r="J46" s="8" t="s">
        <v>54</v>
      </c>
      <c r="K46" s="8" t="s">
        <v>55</v>
      </c>
      <c r="L46" s="8" t="s">
        <v>54</v>
      </c>
      <c r="M46" s="8" t="s">
        <v>56</v>
      </c>
      <c r="N46" s="8" t="s">
        <v>57</v>
      </c>
      <c r="O46" s="8" t="s">
        <v>56</v>
      </c>
      <c r="P46" s="8" t="s">
        <v>32</v>
      </c>
      <c r="T46" s="8">
        <f>MATCH(D46,Allocation!A:A,0)</f>
        <v>47</v>
      </c>
    </row>
    <row r="47" spans="1:20" x14ac:dyDescent="0.35">
      <c r="A47" s="8" t="s">
        <v>172</v>
      </c>
      <c r="B47" s="8" t="s">
        <v>173</v>
      </c>
      <c r="C47" s="8" t="s">
        <v>10</v>
      </c>
      <c r="D47" s="8" t="s">
        <v>53</v>
      </c>
      <c r="E47" s="8">
        <v>605</v>
      </c>
      <c r="F47" s="8" t="s">
        <v>34</v>
      </c>
      <c r="G47" s="8" t="s">
        <v>41</v>
      </c>
      <c r="H47" s="8" t="s">
        <v>42</v>
      </c>
      <c r="I47" s="8" t="s">
        <v>41</v>
      </c>
      <c r="J47" s="8" t="s">
        <v>54</v>
      </c>
      <c r="K47" s="8" t="s">
        <v>55</v>
      </c>
      <c r="L47" s="8" t="s">
        <v>54</v>
      </c>
      <c r="M47" s="8" t="s">
        <v>56</v>
      </c>
      <c r="N47" s="8" t="s">
        <v>57</v>
      </c>
      <c r="O47" s="8" t="s">
        <v>56</v>
      </c>
      <c r="P47" s="8" t="s">
        <v>32</v>
      </c>
      <c r="T47" s="8">
        <f>MATCH(D47,Allocation!A:A,0)</f>
        <v>47</v>
      </c>
    </row>
    <row r="48" spans="1:20" x14ac:dyDescent="0.35">
      <c r="A48" s="8" t="s">
        <v>174</v>
      </c>
      <c r="B48" s="8" t="s">
        <v>171</v>
      </c>
      <c r="C48" s="8" t="s">
        <v>9</v>
      </c>
      <c r="D48" s="8" t="s">
        <v>53</v>
      </c>
      <c r="E48" s="8">
        <v>-151.51</v>
      </c>
      <c r="F48" s="8" t="s">
        <v>168</v>
      </c>
      <c r="G48" s="8" t="s">
        <v>41</v>
      </c>
      <c r="H48" s="8" t="s">
        <v>42</v>
      </c>
      <c r="I48" s="8" t="s">
        <v>41</v>
      </c>
      <c r="J48" s="8" t="s">
        <v>54</v>
      </c>
      <c r="K48" s="8" t="s">
        <v>55</v>
      </c>
      <c r="L48" s="8" t="s">
        <v>54</v>
      </c>
      <c r="M48" s="8" t="s">
        <v>56</v>
      </c>
      <c r="N48" s="8" t="s">
        <v>57</v>
      </c>
      <c r="O48" s="8" t="s">
        <v>56</v>
      </c>
      <c r="P48" s="8" t="s">
        <v>32</v>
      </c>
      <c r="T48" s="8">
        <f>MATCH(D48,Allocation!A:A,0)</f>
        <v>47</v>
      </c>
    </row>
    <row r="49" spans="1:20" x14ac:dyDescent="0.35">
      <c r="A49" s="8" t="s">
        <v>174</v>
      </c>
      <c r="B49" s="8" t="s">
        <v>32</v>
      </c>
      <c r="C49" s="8" t="s">
        <v>8</v>
      </c>
      <c r="D49" s="8" t="s">
        <v>53</v>
      </c>
      <c r="E49" s="8">
        <v>151.51</v>
      </c>
      <c r="F49" s="8" t="s">
        <v>34</v>
      </c>
      <c r="G49" s="8" t="s">
        <v>41</v>
      </c>
      <c r="H49" s="8" t="s">
        <v>42</v>
      </c>
      <c r="I49" s="8" t="s">
        <v>41</v>
      </c>
      <c r="J49" s="8" t="s">
        <v>54</v>
      </c>
      <c r="K49" s="8" t="s">
        <v>55</v>
      </c>
      <c r="L49" s="8" t="s">
        <v>54</v>
      </c>
      <c r="M49" s="8" t="s">
        <v>56</v>
      </c>
      <c r="N49" s="8" t="s">
        <v>57</v>
      </c>
      <c r="O49" s="8" t="s">
        <v>56</v>
      </c>
      <c r="P49" s="8" t="s">
        <v>32</v>
      </c>
      <c r="T49" s="8">
        <f>MATCH(D49,Allocation!A:A,0)</f>
        <v>47</v>
      </c>
    </row>
    <row r="50" spans="1:20" x14ac:dyDescent="0.35">
      <c r="A50" s="8" t="s">
        <v>31</v>
      </c>
      <c r="B50" s="8" t="s">
        <v>32</v>
      </c>
      <c r="C50" s="8" t="s">
        <v>6</v>
      </c>
      <c r="D50" s="8" t="s">
        <v>58</v>
      </c>
      <c r="E50" s="8">
        <v>269.54000000000002</v>
      </c>
      <c r="F50" s="8" t="s">
        <v>34</v>
      </c>
      <c r="G50" s="8" t="s">
        <v>41</v>
      </c>
      <c r="H50" s="8" t="s">
        <v>42</v>
      </c>
      <c r="I50" s="8" t="s">
        <v>41</v>
      </c>
      <c r="J50" s="8" t="s">
        <v>59</v>
      </c>
      <c r="K50" s="8" t="s">
        <v>60</v>
      </c>
      <c r="L50" s="8" t="s">
        <v>59</v>
      </c>
      <c r="M50" s="8" t="s">
        <v>61</v>
      </c>
      <c r="N50" s="8" t="s">
        <v>62</v>
      </c>
      <c r="O50" s="8" t="s">
        <v>61</v>
      </c>
      <c r="P50" s="8" t="s">
        <v>32</v>
      </c>
      <c r="T50" s="8">
        <f>MATCH(D50,Allocation!A:A,0)</f>
        <v>14</v>
      </c>
    </row>
    <row r="51" spans="1:20" x14ac:dyDescent="0.35">
      <c r="A51" s="8" t="s">
        <v>31</v>
      </c>
      <c r="B51" s="8" t="s">
        <v>37</v>
      </c>
      <c r="C51" s="8" t="s">
        <v>6</v>
      </c>
      <c r="D51" s="8" t="s">
        <v>58</v>
      </c>
      <c r="E51" s="8">
        <v>0</v>
      </c>
      <c r="F51" s="8" t="s">
        <v>34</v>
      </c>
      <c r="G51" s="8" t="s">
        <v>41</v>
      </c>
      <c r="H51" s="8" t="s">
        <v>42</v>
      </c>
      <c r="I51" s="8" t="s">
        <v>41</v>
      </c>
      <c r="J51" s="8" t="s">
        <v>59</v>
      </c>
      <c r="K51" s="8" t="s">
        <v>60</v>
      </c>
      <c r="L51" s="8" t="s">
        <v>59</v>
      </c>
      <c r="M51" s="8" t="s">
        <v>61</v>
      </c>
      <c r="N51" s="8" t="s">
        <v>62</v>
      </c>
      <c r="O51" s="8" t="s">
        <v>61</v>
      </c>
      <c r="P51" s="8" t="s">
        <v>32</v>
      </c>
      <c r="T51" s="8">
        <f>MATCH(D51,Allocation!A:A,0)</f>
        <v>14</v>
      </c>
    </row>
    <row r="52" spans="1:20" x14ac:dyDescent="0.35">
      <c r="A52" s="8" t="s">
        <v>166</v>
      </c>
      <c r="B52" s="8" t="s">
        <v>32</v>
      </c>
      <c r="C52" s="8" t="s">
        <v>7</v>
      </c>
      <c r="D52" s="8" t="s">
        <v>58</v>
      </c>
      <c r="E52" s="8">
        <v>-283.11</v>
      </c>
      <c r="F52" s="8" t="s">
        <v>168</v>
      </c>
      <c r="G52" s="8" t="s">
        <v>41</v>
      </c>
      <c r="H52" s="8" t="s">
        <v>42</v>
      </c>
      <c r="I52" s="8" t="s">
        <v>41</v>
      </c>
      <c r="J52" s="8" t="s">
        <v>59</v>
      </c>
      <c r="K52" s="8" t="s">
        <v>60</v>
      </c>
      <c r="L52" s="8" t="s">
        <v>59</v>
      </c>
      <c r="M52" s="8" t="s">
        <v>61</v>
      </c>
      <c r="N52" s="8" t="s">
        <v>62</v>
      </c>
      <c r="O52" s="8" t="s">
        <v>61</v>
      </c>
      <c r="P52" s="8" t="s">
        <v>32</v>
      </c>
      <c r="T52" s="8">
        <f>MATCH(D52,Allocation!A:A,0)</f>
        <v>14</v>
      </c>
    </row>
    <row r="53" spans="1:20" x14ac:dyDescent="0.35">
      <c r="A53" s="8" t="s">
        <v>166</v>
      </c>
      <c r="B53" s="8" t="s">
        <v>32</v>
      </c>
      <c r="C53" s="8" t="s">
        <v>8</v>
      </c>
      <c r="D53" s="8" t="s">
        <v>58</v>
      </c>
      <c r="E53" s="8">
        <v>-879.01</v>
      </c>
      <c r="F53" s="8" t="s">
        <v>168</v>
      </c>
      <c r="G53" s="8" t="s">
        <v>41</v>
      </c>
      <c r="H53" s="8" t="s">
        <v>42</v>
      </c>
      <c r="I53" s="8" t="s">
        <v>41</v>
      </c>
      <c r="J53" s="8" t="s">
        <v>59</v>
      </c>
      <c r="K53" s="8" t="s">
        <v>60</v>
      </c>
      <c r="L53" s="8" t="s">
        <v>59</v>
      </c>
      <c r="M53" s="8" t="s">
        <v>61</v>
      </c>
      <c r="N53" s="8" t="s">
        <v>62</v>
      </c>
      <c r="O53" s="8" t="s">
        <v>61</v>
      </c>
      <c r="P53" s="8" t="s">
        <v>32</v>
      </c>
      <c r="T53" s="8">
        <f>MATCH(D53,Allocation!A:A,0)</f>
        <v>14</v>
      </c>
    </row>
    <row r="54" spans="1:20" x14ac:dyDescent="0.35">
      <c r="A54" s="8" t="s">
        <v>170</v>
      </c>
      <c r="B54" s="8" t="s">
        <v>171</v>
      </c>
      <c r="C54" s="8" t="s">
        <v>9</v>
      </c>
      <c r="D54" s="8" t="s">
        <v>58</v>
      </c>
      <c r="E54" s="8">
        <v>-1799.73</v>
      </c>
      <c r="F54" s="8" t="s">
        <v>168</v>
      </c>
      <c r="G54" s="8" t="s">
        <v>41</v>
      </c>
      <c r="H54" s="8" t="s">
        <v>42</v>
      </c>
      <c r="I54" s="8" t="s">
        <v>41</v>
      </c>
      <c r="J54" s="8" t="s">
        <v>59</v>
      </c>
      <c r="K54" s="8" t="s">
        <v>60</v>
      </c>
      <c r="L54" s="8" t="s">
        <v>59</v>
      </c>
      <c r="M54" s="8" t="s">
        <v>61</v>
      </c>
      <c r="N54" s="8" t="s">
        <v>62</v>
      </c>
      <c r="O54" s="8" t="s">
        <v>61</v>
      </c>
      <c r="P54" s="8" t="s">
        <v>32</v>
      </c>
      <c r="T54" s="8">
        <f>MATCH(D54,Allocation!A:A,0)</f>
        <v>14</v>
      </c>
    </row>
    <row r="55" spans="1:20" x14ac:dyDescent="0.35">
      <c r="A55" s="8" t="s">
        <v>172</v>
      </c>
      <c r="B55" s="8" t="s">
        <v>173</v>
      </c>
      <c r="C55" s="8" t="s">
        <v>10</v>
      </c>
      <c r="D55" s="8" t="s">
        <v>58</v>
      </c>
      <c r="E55" s="8">
        <v>2692.31</v>
      </c>
      <c r="F55" s="8" t="s">
        <v>34</v>
      </c>
      <c r="G55" s="8" t="s">
        <v>41</v>
      </c>
      <c r="H55" s="8" t="s">
        <v>42</v>
      </c>
      <c r="I55" s="8" t="s">
        <v>41</v>
      </c>
      <c r="J55" s="8" t="s">
        <v>59</v>
      </c>
      <c r="K55" s="8" t="s">
        <v>60</v>
      </c>
      <c r="L55" s="8" t="s">
        <v>59</v>
      </c>
      <c r="M55" s="8" t="s">
        <v>61</v>
      </c>
      <c r="N55" s="8" t="s">
        <v>62</v>
      </c>
      <c r="O55" s="8" t="s">
        <v>61</v>
      </c>
      <c r="P55" s="8" t="s">
        <v>32</v>
      </c>
      <c r="T55" s="8">
        <f>MATCH(D55,Allocation!A:A,0)</f>
        <v>14</v>
      </c>
    </row>
    <row r="56" spans="1:20" x14ac:dyDescent="0.35">
      <c r="A56" s="8" t="s">
        <v>174</v>
      </c>
      <c r="B56" s="8" t="s">
        <v>171</v>
      </c>
      <c r="C56" s="8" t="s">
        <v>9</v>
      </c>
      <c r="D56" s="8" t="s">
        <v>58</v>
      </c>
      <c r="E56" s="8">
        <v>-879.01</v>
      </c>
      <c r="F56" s="8" t="s">
        <v>168</v>
      </c>
      <c r="G56" s="8" t="s">
        <v>41</v>
      </c>
      <c r="H56" s="8" t="s">
        <v>42</v>
      </c>
      <c r="I56" s="8" t="s">
        <v>41</v>
      </c>
      <c r="J56" s="8" t="s">
        <v>59</v>
      </c>
      <c r="K56" s="8" t="s">
        <v>60</v>
      </c>
      <c r="L56" s="8" t="s">
        <v>59</v>
      </c>
      <c r="M56" s="8" t="s">
        <v>61</v>
      </c>
      <c r="N56" s="8" t="s">
        <v>62</v>
      </c>
      <c r="O56" s="8" t="s">
        <v>61</v>
      </c>
      <c r="P56" s="8" t="s">
        <v>32</v>
      </c>
      <c r="T56" s="8">
        <f>MATCH(D56,Allocation!A:A,0)</f>
        <v>14</v>
      </c>
    </row>
    <row r="57" spans="1:20" x14ac:dyDescent="0.35">
      <c r="A57" s="8" t="s">
        <v>174</v>
      </c>
      <c r="B57" s="8" t="s">
        <v>32</v>
      </c>
      <c r="C57" s="8" t="s">
        <v>8</v>
      </c>
      <c r="D57" s="8" t="s">
        <v>58</v>
      </c>
      <c r="E57" s="8">
        <v>879.01</v>
      </c>
      <c r="F57" s="8" t="s">
        <v>34</v>
      </c>
      <c r="G57" s="8" t="s">
        <v>41</v>
      </c>
      <c r="H57" s="8" t="s">
        <v>42</v>
      </c>
      <c r="I57" s="8" t="s">
        <v>41</v>
      </c>
      <c r="J57" s="8" t="s">
        <v>59</v>
      </c>
      <c r="K57" s="8" t="s">
        <v>60</v>
      </c>
      <c r="L57" s="8" t="s">
        <v>59</v>
      </c>
      <c r="M57" s="8" t="s">
        <v>61</v>
      </c>
      <c r="N57" s="8" t="s">
        <v>62</v>
      </c>
      <c r="O57" s="8" t="s">
        <v>61</v>
      </c>
      <c r="P57" s="8" t="s">
        <v>32</v>
      </c>
      <c r="T57" s="8">
        <f>MATCH(D57,Allocation!A:A,0)</f>
        <v>14</v>
      </c>
    </row>
    <row r="58" spans="1:20" x14ac:dyDescent="0.35">
      <c r="A58" s="8" t="s">
        <v>31</v>
      </c>
      <c r="B58" s="8" t="s">
        <v>32</v>
      </c>
      <c r="C58" s="8" t="s">
        <v>6</v>
      </c>
      <c r="D58" s="8" t="s">
        <v>63</v>
      </c>
      <c r="E58" s="8">
        <v>272.77999999999997</v>
      </c>
      <c r="F58" s="8" t="s">
        <v>34</v>
      </c>
      <c r="G58" s="8" t="s">
        <v>41</v>
      </c>
      <c r="H58" s="8" t="s">
        <v>42</v>
      </c>
      <c r="I58" s="8" t="s">
        <v>41</v>
      </c>
      <c r="J58" s="8" t="s">
        <v>64</v>
      </c>
      <c r="K58" s="8" t="s">
        <v>65</v>
      </c>
      <c r="L58" s="8" t="s">
        <v>64</v>
      </c>
      <c r="M58" s="8" t="s">
        <v>66</v>
      </c>
      <c r="N58" s="8" t="s">
        <v>67</v>
      </c>
      <c r="O58" s="8" t="s">
        <v>66</v>
      </c>
      <c r="P58" s="8" t="s">
        <v>32</v>
      </c>
      <c r="T58" s="8">
        <f>MATCH(D58,Allocation!A:A,0)</f>
        <v>45</v>
      </c>
    </row>
    <row r="59" spans="1:20" x14ac:dyDescent="0.35">
      <c r="A59" s="8" t="s">
        <v>31</v>
      </c>
      <c r="B59" s="8" t="s">
        <v>37</v>
      </c>
      <c r="C59" s="8" t="s">
        <v>6</v>
      </c>
      <c r="D59" s="8" t="s">
        <v>63</v>
      </c>
      <c r="E59" s="8">
        <v>0</v>
      </c>
      <c r="F59" s="8" t="s">
        <v>34</v>
      </c>
      <c r="G59" s="8" t="s">
        <v>41</v>
      </c>
      <c r="H59" s="8" t="s">
        <v>42</v>
      </c>
      <c r="I59" s="8" t="s">
        <v>41</v>
      </c>
      <c r="J59" s="8" t="s">
        <v>64</v>
      </c>
      <c r="K59" s="8" t="s">
        <v>65</v>
      </c>
      <c r="L59" s="8" t="s">
        <v>64</v>
      </c>
      <c r="M59" s="8" t="s">
        <v>66</v>
      </c>
      <c r="N59" s="8" t="s">
        <v>67</v>
      </c>
      <c r="O59" s="8" t="s">
        <v>66</v>
      </c>
      <c r="P59" s="8" t="s">
        <v>32</v>
      </c>
      <c r="T59" s="8">
        <f>MATCH(D59,Allocation!A:A,0)</f>
        <v>45</v>
      </c>
    </row>
    <row r="60" spans="1:20" x14ac:dyDescent="0.35">
      <c r="A60" s="8" t="s">
        <v>166</v>
      </c>
      <c r="B60" s="8" t="s">
        <v>169</v>
      </c>
      <c r="C60" s="8" t="s">
        <v>7</v>
      </c>
      <c r="D60" s="8" t="s">
        <v>63</v>
      </c>
      <c r="E60" s="8">
        <v>-97.13</v>
      </c>
      <c r="F60" s="8" t="s">
        <v>168</v>
      </c>
      <c r="G60" s="8" t="s">
        <v>41</v>
      </c>
      <c r="H60" s="8" t="s">
        <v>42</v>
      </c>
      <c r="I60" s="8" t="s">
        <v>41</v>
      </c>
      <c r="J60" s="8" t="s">
        <v>64</v>
      </c>
      <c r="K60" s="8" t="s">
        <v>65</v>
      </c>
      <c r="L60" s="8" t="s">
        <v>64</v>
      </c>
      <c r="M60" s="8" t="s">
        <v>66</v>
      </c>
      <c r="N60" s="8" t="s">
        <v>67</v>
      </c>
      <c r="O60" s="8" t="s">
        <v>66</v>
      </c>
      <c r="P60" s="8" t="s">
        <v>32</v>
      </c>
      <c r="T60" s="8">
        <f>MATCH(D60,Allocation!A:A,0)</f>
        <v>45</v>
      </c>
    </row>
    <row r="61" spans="1:20" x14ac:dyDescent="0.35">
      <c r="A61" s="8" t="s">
        <v>166</v>
      </c>
      <c r="B61" s="8" t="s">
        <v>32</v>
      </c>
      <c r="C61" s="8" t="s">
        <v>8</v>
      </c>
      <c r="D61" s="8" t="s">
        <v>63</v>
      </c>
      <c r="E61" s="8">
        <v>-869.18</v>
      </c>
      <c r="F61" s="8" t="s">
        <v>168</v>
      </c>
      <c r="G61" s="8" t="s">
        <v>41</v>
      </c>
      <c r="H61" s="8" t="s">
        <v>42</v>
      </c>
      <c r="I61" s="8" t="s">
        <v>41</v>
      </c>
      <c r="J61" s="8" t="s">
        <v>64</v>
      </c>
      <c r="K61" s="8" t="s">
        <v>65</v>
      </c>
      <c r="L61" s="8" t="s">
        <v>64</v>
      </c>
      <c r="M61" s="8" t="s">
        <v>66</v>
      </c>
      <c r="N61" s="8" t="s">
        <v>67</v>
      </c>
      <c r="O61" s="8" t="s">
        <v>66</v>
      </c>
      <c r="P61" s="8" t="s">
        <v>32</v>
      </c>
      <c r="T61" s="8">
        <f>MATCH(D61,Allocation!A:A,0)</f>
        <v>45</v>
      </c>
    </row>
    <row r="62" spans="1:20" x14ac:dyDescent="0.35">
      <c r="A62" s="8" t="s">
        <v>170</v>
      </c>
      <c r="B62" s="8" t="s">
        <v>171</v>
      </c>
      <c r="C62" s="8" t="s">
        <v>9</v>
      </c>
      <c r="D62" s="8" t="s">
        <v>63</v>
      </c>
      <c r="E62" s="8">
        <v>-1991.35</v>
      </c>
      <c r="F62" s="8" t="s">
        <v>168</v>
      </c>
      <c r="G62" s="8" t="s">
        <v>41</v>
      </c>
      <c r="H62" s="8" t="s">
        <v>42</v>
      </c>
      <c r="I62" s="8" t="s">
        <v>41</v>
      </c>
      <c r="J62" s="8" t="s">
        <v>64</v>
      </c>
      <c r="K62" s="8" t="s">
        <v>65</v>
      </c>
      <c r="L62" s="8" t="s">
        <v>64</v>
      </c>
      <c r="M62" s="8" t="s">
        <v>66</v>
      </c>
      <c r="N62" s="8" t="s">
        <v>67</v>
      </c>
      <c r="O62" s="8" t="s">
        <v>66</v>
      </c>
      <c r="P62" s="8" t="s">
        <v>32</v>
      </c>
      <c r="T62" s="8">
        <f>MATCH(D62,Allocation!A:A,0)</f>
        <v>45</v>
      </c>
    </row>
    <row r="63" spans="1:20" x14ac:dyDescent="0.35">
      <c r="A63" s="8" t="s">
        <v>172</v>
      </c>
      <c r="B63" s="8" t="s">
        <v>173</v>
      </c>
      <c r="C63" s="8" t="s">
        <v>10</v>
      </c>
      <c r="D63" s="8" t="s">
        <v>63</v>
      </c>
      <c r="E63" s="8">
        <v>2684.88</v>
      </c>
      <c r="F63" s="8" t="s">
        <v>34</v>
      </c>
      <c r="G63" s="8" t="s">
        <v>41</v>
      </c>
      <c r="H63" s="8" t="s">
        <v>42</v>
      </c>
      <c r="I63" s="8" t="s">
        <v>41</v>
      </c>
      <c r="J63" s="8" t="s">
        <v>64</v>
      </c>
      <c r="K63" s="8" t="s">
        <v>65</v>
      </c>
      <c r="L63" s="8" t="s">
        <v>64</v>
      </c>
      <c r="M63" s="8" t="s">
        <v>66</v>
      </c>
      <c r="N63" s="8" t="s">
        <v>67</v>
      </c>
      <c r="O63" s="8" t="s">
        <v>66</v>
      </c>
      <c r="P63" s="8" t="s">
        <v>32</v>
      </c>
      <c r="T63" s="8">
        <f>MATCH(D63,Allocation!A:A,0)</f>
        <v>45</v>
      </c>
    </row>
    <row r="64" spans="1:20" x14ac:dyDescent="0.35">
      <c r="A64" s="8" t="s">
        <v>174</v>
      </c>
      <c r="B64" s="8" t="s">
        <v>171</v>
      </c>
      <c r="C64" s="8" t="s">
        <v>9</v>
      </c>
      <c r="D64" s="8" t="s">
        <v>63</v>
      </c>
      <c r="E64" s="8">
        <v>-869.18</v>
      </c>
      <c r="F64" s="8" t="s">
        <v>168</v>
      </c>
      <c r="G64" s="8" t="s">
        <v>41</v>
      </c>
      <c r="H64" s="8" t="s">
        <v>42</v>
      </c>
      <c r="I64" s="8" t="s">
        <v>41</v>
      </c>
      <c r="J64" s="8" t="s">
        <v>64</v>
      </c>
      <c r="K64" s="8" t="s">
        <v>65</v>
      </c>
      <c r="L64" s="8" t="s">
        <v>64</v>
      </c>
      <c r="M64" s="8" t="s">
        <v>66</v>
      </c>
      <c r="N64" s="8" t="s">
        <v>67</v>
      </c>
      <c r="O64" s="8" t="s">
        <v>66</v>
      </c>
      <c r="P64" s="8" t="s">
        <v>32</v>
      </c>
      <c r="T64" s="8">
        <f>MATCH(D64,Allocation!A:A,0)</f>
        <v>45</v>
      </c>
    </row>
    <row r="65" spans="1:20" x14ac:dyDescent="0.35">
      <c r="A65" s="8" t="s">
        <v>174</v>
      </c>
      <c r="B65" s="8" t="s">
        <v>32</v>
      </c>
      <c r="C65" s="8" t="s">
        <v>8</v>
      </c>
      <c r="D65" s="8" t="s">
        <v>63</v>
      </c>
      <c r="E65" s="8">
        <v>869.18</v>
      </c>
      <c r="F65" s="8" t="s">
        <v>34</v>
      </c>
      <c r="G65" s="8" t="s">
        <v>41</v>
      </c>
      <c r="H65" s="8" t="s">
        <v>42</v>
      </c>
      <c r="I65" s="8" t="s">
        <v>41</v>
      </c>
      <c r="J65" s="8" t="s">
        <v>64</v>
      </c>
      <c r="K65" s="8" t="s">
        <v>65</v>
      </c>
      <c r="L65" s="8" t="s">
        <v>64</v>
      </c>
      <c r="M65" s="8" t="s">
        <v>66</v>
      </c>
      <c r="N65" s="8" t="s">
        <v>67</v>
      </c>
      <c r="O65" s="8" t="s">
        <v>66</v>
      </c>
      <c r="P65" s="8" t="s">
        <v>32</v>
      </c>
      <c r="T65" s="8">
        <f>MATCH(D65,Allocation!A:A,0)</f>
        <v>45</v>
      </c>
    </row>
    <row r="66" spans="1:20" x14ac:dyDescent="0.35">
      <c r="A66" s="8" t="s">
        <v>31</v>
      </c>
      <c r="B66" s="8" t="s">
        <v>32</v>
      </c>
      <c r="C66" s="8" t="s">
        <v>6</v>
      </c>
      <c r="D66" s="8" t="s">
        <v>308</v>
      </c>
      <c r="E66" s="8">
        <v>67.930000000000007</v>
      </c>
      <c r="F66" s="8" t="s">
        <v>34</v>
      </c>
      <c r="G66" s="8" t="s">
        <v>41</v>
      </c>
      <c r="H66" s="8" t="s">
        <v>42</v>
      </c>
      <c r="I66" s="8" t="s">
        <v>41</v>
      </c>
      <c r="J66" s="8" t="s">
        <v>162</v>
      </c>
      <c r="K66" s="8" t="s">
        <v>163</v>
      </c>
      <c r="L66" s="8" t="s">
        <v>162</v>
      </c>
      <c r="M66" s="8" t="s">
        <v>164</v>
      </c>
      <c r="N66" s="8" t="s">
        <v>165</v>
      </c>
      <c r="O66" s="8" t="s">
        <v>164</v>
      </c>
      <c r="P66" s="8" t="s">
        <v>32</v>
      </c>
      <c r="T66" s="8">
        <f>MATCH(D66,Allocation!A:A,0)</f>
        <v>6</v>
      </c>
    </row>
    <row r="67" spans="1:20" x14ac:dyDescent="0.35">
      <c r="A67" s="8" t="s">
        <v>31</v>
      </c>
      <c r="B67" s="8" t="s">
        <v>37</v>
      </c>
      <c r="C67" s="8" t="s">
        <v>6</v>
      </c>
      <c r="D67" s="8" t="s">
        <v>308</v>
      </c>
      <c r="E67" s="8">
        <v>0</v>
      </c>
      <c r="F67" s="8" t="s">
        <v>34</v>
      </c>
      <c r="G67" s="8" t="s">
        <v>41</v>
      </c>
      <c r="H67" s="8" t="s">
        <v>42</v>
      </c>
      <c r="I67" s="8" t="s">
        <v>41</v>
      </c>
      <c r="J67" s="8" t="s">
        <v>162</v>
      </c>
      <c r="K67" s="8" t="s">
        <v>163</v>
      </c>
      <c r="L67" s="8" t="s">
        <v>162</v>
      </c>
      <c r="M67" s="8" t="s">
        <v>164</v>
      </c>
      <c r="N67" s="8" t="s">
        <v>165</v>
      </c>
      <c r="O67" s="8" t="s">
        <v>164</v>
      </c>
      <c r="P67" s="8" t="s">
        <v>32</v>
      </c>
      <c r="T67" s="8">
        <f>MATCH(D67,Allocation!A:A,0)</f>
        <v>6</v>
      </c>
    </row>
    <row r="68" spans="1:20" x14ac:dyDescent="0.35">
      <c r="A68" s="8" t="s">
        <v>166</v>
      </c>
      <c r="B68" s="8" t="s">
        <v>32</v>
      </c>
      <c r="C68" s="8" t="s">
        <v>8</v>
      </c>
      <c r="D68" s="8" t="s">
        <v>308</v>
      </c>
      <c r="E68" s="8">
        <v>-165.13</v>
      </c>
      <c r="F68" s="8" t="s">
        <v>168</v>
      </c>
      <c r="G68" s="8" t="s">
        <v>41</v>
      </c>
      <c r="H68" s="8" t="s">
        <v>42</v>
      </c>
      <c r="I68" s="8" t="s">
        <v>41</v>
      </c>
      <c r="J68" s="8" t="s">
        <v>162</v>
      </c>
      <c r="K68" s="8" t="s">
        <v>163</v>
      </c>
      <c r="L68" s="8" t="s">
        <v>162</v>
      </c>
      <c r="M68" s="8" t="s">
        <v>164</v>
      </c>
      <c r="N68" s="8" t="s">
        <v>165</v>
      </c>
      <c r="O68" s="8" t="s">
        <v>164</v>
      </c>
      <c r="P68" s="8" t="s">
        <v>32</v>
      </c>
      <c r="T68" s="8">
        <f>MATCH(D68,Allocation!A:A,0)</f>
        <v>6</v>
      </c>
    </row>
    <row r="69" spans="1:20" x14ac:dyDescent="0.35">
      <c r="A69" s="8" t="s">
        <v>170</v>
      </c>
      <c r="B69" s="8" t="s">
        <v>171</v>
      </c>
      <c r="C69" s="8" t="s">
        <v>9</v>
      </c>
      <c r="D69" s="8" t="s">
        <v>308</v>
      </c>
      <c r="E69" s="8">
        <v>-552.79999999999995</v>
      </c>
      <c r="F69" s="8" t="s">
        <v>168</v>
      </c>
      <c r="G69" s="8" t="s">
        <v>41</v>
      </c>
      <c r="H69" s="8" t="s">
        <v>42</v>
      </c>
      <c r="I69" s="8" t="s">
        <v>41</v>
      </c>
      <c r="J69" s="8" t="s">
        <v>162</v>
      </c>
      <c r="K69" s="8" t="s">
        <v>163</v>
      </c>
      <c r="L69" s="8" t="s">
        <v>162</v>
      </c>
      <c r="M69" s="8" t="s">
        <v>164</v>
      </c>
      <c r="N69" s="8" t="s">
        <v>165</v>
      </c>
      <c r="O69" s="8" t="s">
        <v>164</v>
      </c>
      <c r="P69" s="8" t="s">
        <v>32</v>
      </c>
      <c r="T69" s="8">
        <f>MATCH(D69,Allocation!A:A,0)</f>
        <v>6</v>
      </c>
    </row>
    <row r="70" spans="1:20" x14ac:dyDescent="0.35">
      <c r="A70" s="8" t="s">
        <v>172</v>
      </c>
      <c r="B70" s="8" t="s">
        <v>173</v>
      </c>
      <c r="C70" s="8" t="s">
        <v>10</v>
      </c>
      <c r="D70" s="8" t="s">
        <v>308</v>
      </c>
      <c r="E70" s="8">
        <v>650</v>
      </c>
      <c r="F70" s="8" t="s">
        <v>34</v>
      </c>
      <c r="G70" s="8" t="s">
        <v>41</v>
      </c>
      <c r="H70" s="8" t="s">
        <v>42</v>
      </c>
      <c r="I70" s="8" t="s">
        <v>41</v>
      </c>
      <c r="J70" s="8" t="s">
        <v>162</v>
      </c>
      <c r="K70" s="8" t="s">
        <v>163</v>
      </c>
      <c r="L70" s="8" t="s">
        <v>162</v>
      </c>
      <c r="M70" s="8" t="s">
        <v>164</v>
      </c>
      <c r="N70" s="8" t="s">
        <v>165</v>
      </c>
      <c r="O70" s="8" t="s">
        <v>164</v>
      </c>
      <c r="P70" s="8" t="s">
        <v>32</v>
      </c>
      <c r="T70" s="8">
        <f>MATCH(D70,Allocation!A:A,0)</f>
        <v>6</v>
      </c>
    </row>
    <row r="71" spans="1:20" x14ac:dyDescent="0.35">
      <c r="A71" s="8" t="s">
        <v>174</v>
      </c>
      <c r="B71" s="8" t="s">
        <v>171</v>
      </c>
      <c r="C71" s="8" t="s">
        <v>9</v>
      </c>
      <c r="D71" s="8" t="s">
        <v>308</v>
      </c>
      <c r="E71" s="8">
        <v>-165.13</v>
      </c>
      <c r="F71" s="8" t="s">
        <v>168</v>
      </c>
      <c r="G71" s="8" t="s">
        <v>41</v>
      </c>
      <c r="H71" s="8" t="s">
        <v>42</v>
      </c>
      <c r="I71" s="8" t="s">
        <v>41</v>
      </c>
      <c r="J71" s="8" t="s">
        <v>162</v>
      </c>
      <c r="K71" s="8" t="s">
        <v>163</v>
      </c>
      <c r="L71" s="8" t="s">
        <v>162</v>
      </c>
      <c r="M71" s="8" t="s">
        <v>164</v>
      </c>
      <c r="N71" s="8" t="s">
        <v>165</v>
      </c>
      <c r="O71" s="8" t="s">
        <v>164</v>
      </c>
      <c r="P71" s="8" t="s">
        <v>32</v>
      </c>
      <c r="T71" s="8">
        <f>MATCH(D71,Allocation!A:A,0)</f>
        <v>6</v>
      </c>
    </row>
    <row r="72" spans="1:20" x14ac:dyDescent="0.35">
      <c r="A72" s="8" t="s">
        <v>174</v>
      </c>
      <c r="B72" s="8" t="s">
        <v>32</v>
      </c>
      <c r="C72" s="8" t="s">
        <v>8</v>
      </c>
      <c r="D72" s="8" t="s">
        <v>308</v>
      </c>
      <c r="E72" s="8">
        <v>165.13</v>
      </c>
      <c r="F72" s="8" t="s">
        <v>34</v>
      </c>
      <c r="G72" s="8" t="s">
        <v>41</v>
      </c>
      <c r="H72" s="8" t="s">
        <v>42</v>
      </c>
      <c r="I72" s="8" t="s">
        <v>41</v>
      </c>
      <c r="J72" s="8" t="s">
        <v>162</v>
      </c>
      <c r="K72" s="8" t="s">
        <v>163</v>
      </c>
      <c r="L72" s="8" t="s">
        <v>162</v>
      </c>
      <c r="M72" s="8" t="s">
        <v>164</v>
      </c>
      <c r="N72" s="8" t="s">
        <v>165</v>
      </c>
      <c r="O72" s="8" t="s">
        <v>164</v>
      </c>
      <c r="P72" s="8" t="s">
        <v>32</v>
      </c>
      <c r="T72" s="8">
        <f>MATCH(D72,Allocation!A:A,0)</f>
        <v>6</v>
      </c>
    </row>
    <row r="73" spans="1:20" x14ac:dyDescent="0.35">
      <c r="A73" s="8" t="s">
        <v>31</v>
      </c>
      <c r="B73" s="8" t="s">
        <v>32</v>
      </c>
      <c r="C73" s="8" t="s">
        <v>6</v>
      </c>
      <c r="D73" s="8" t="s">
        <v>309</v>
      </c>
      <c r="E73" s="8">
        <v>226.3</v>
      </c>
      <c r="F73" s="8" t="s">
        <v>34</v>
      </c>
      <c r="G73" s="8" t="s">
        <v>41</v>
      </c>
      <c r="H73" s="8" t="s">
        <v>42</v>
      </c>
      <c r="I73" s="8" t="s">
        <v>41</v>
      </c>
      <c r="J73" s="8" t="s">
        <v>310</v>
      </c>
      <c r="K73" s="8" t="s">
        <v>311</v>
      </c>
      <c r="L73" s="8" t="s">
        <v>310</v>
      </c>
      <c r="M73" s="8" t="s">
        <v>66</v>
      </c>
      <c r="N73" s="8" t="s">
        <v>67</v>
      </c>
      <c r="O73" s="8" t="s">
        <v>66</v>
      </c>
      <c r="P73" s="8" t="s">
        <v>32</v>
      </c>
      <c r="T73" s="8">
        <f>MATCH(D73,Allocation!A:A,0)</f>
        <v>35</v>
      </c>
    </row>
    <row r="74" spans="1:20" x14ac:dyDescent="0.35">
      <c r="A74" s="8" t="s">
        <v>31</v>
      </c>
      <c r="B74" s="8" t="s">
        <v>37</v>
      </c>
      <c r="C74" s="8" t="s">
        <v>6</v>
      </c>
      <c r="D74" s="8" t="s">
        <v>309</v>
      </c>
      <c r="E74" s="8">
        <v>0</v>
      </c>
      <c r="F74" s="8" t="s">
        <v>34</v>
      </c>
      <c r="G74" s="8" t="s">
        <v>41</v>
      </c>
      <c r="H74" s="8" t="s">
        <v>42</v>
      </c>
      <c r="I74" s="8" t="s">
        <v>41</v>
      </c>
      <c r="J74" s="8" t="s">
        <v>310</v>
      </c>
      <c r="K74" s="8" t="s">
        <v>311</v>
      </c>
      <c r="L74" s="8" t="s">
        <v>310</v>
      </c>
      <c r="M74" s="8" t="s">
        <v>66</v>
      </c>
      <c r="N74" s="8" t="s">
        <v>67</v>
      </c>
      <c r="O74" s="8" t="s">
        <v>66</v>
      </c>
      <c r="P74" s="8" t="s">
        <v>32</v>
      </c>
      <c r="T74" s="8">
        <f>MATCH(D74,Allocation!A:A,0)</f>
        <v>35</v>
      </c>
    </row>
    <row r="75" spans="1:20" x14ac:dyDescent="0.35">
      <c r="A75" s="8" t="s">
        <v>166</v>
      </c>
      <c r="B75" s="8" t="s">
        <v>32</v>
      </c>
      <c r="C75" s="8" t="s">
        <v>8</v>
      </c>
      <c r="D75" s="8" t="s">
        <v>309</v>
      </c>
      <c r="E75" s="8">
        <v>-621.59</v>
      </c>
      <c r="F75" s="8" t="s">
        <v>168</v>
      </c>
      <c r="G75" s="8" t="s">
        <v>41</v>
      </c>
      <c r="H75" s="8" t="s">
        <v>42</v>
      </c>
      <c r="I75" s="8" t="s">
        <v>41</v>
      </c>
      <c r="J75" s="8" t="s">
        <v>310</v>
      </c>
      <c r="K75" s="8" t="s">
        <v>311</v>
      </c>
      <c r="L75" s="8" t="s">
        <v>310</v>
      </c>
      <c r="M75" s="8" t="s">
        <v>66</v>
      </c>
      <c r="N75" s="8" t="s">
        <v>67</v>
      </c>
      <c r="O75" s="8" t="s">
        <v>66</v>
      </c>
      <c r="P75" s="8" t="s">
        <v>32</v>
      </c>
      <c r="T75" s="8">
        <f>MATCH(D75,Allocation!A:A,0)</f>
        <v>35</v>
      </c>
    </row>
    <row r="76" spans="1:20" x14ac:dyDescent="0.35">
      <c r="A76" s="8" t="s">
        <v>170</v>
      </c>
      <c r="B76" s="8" t="s">
        <v>171</v>
      </c>
      <c r="C76" s="8" t="s">
        <v>9</v>
      </c>
      <c r="D76" s="8" t="s">
        <v>309</v>
      </c>
      <c r="E76" s="8">
        <v>-1770.26</v>
      </c>
      <c r="F76" s="8" t="s">
        <v>168</v>
      </c>
      <c r="G76" s="8" t="s">
        <v>41</v>
      </c>
      <c r="H76" s="8" t="s">
        <v>42</v>
      </c>
      <c r="I76" s="8" t="s">
        <v>41</v>
      </c>
      <c r="J76" s="8" t="s">
        <v>310</v>
      </c>
      <c r="K76" s="8" t="s">
        <v>311</v>
      </c>
      <c r="L76" s="8" t="s">
        <v>310</v>
      </c>
      <c r="M76" s="8" t="s">
        <v>66</v>
      </c>
      <c r="N76" s="8" t="s">
        <v>67</v>
      </c>
      <c r="O76" s="8" t="s">
        <v>66</v>
      </c>
      <c r="P76" s="8" t="s">
        <v>32</v>
      </c>
      <c r="T76" s="8">
        <f>MATCH(D76,Allocation!A:A,0)</f>
        <v>35</v>
      </c>
    </row>
    <row r="77" spans="1:20" x14ac:dyDescent="0.35">
      <c r="A77" s="8" t="s">
        <v>172</v>
      </c>
      <c r="B77" s="8" t="s">
        <v>173</v>
      </c>
      <c r="C77" s="8" t="s">
        <v>10</v>
      </c>
      <c r="D77" s="8" t="s">
        <v>309</v>
      </c>
      <c r="E77" s="8">
        <v>2165.5500000000002</v>
      </c>
      <c r="F77" s="8" t="s">
        <v>34</v>
      </c>
      <c r="G77" s="8" t="s">
        <v>41</v>
      </c>
      <c r="H77" s="8" t="s">
        <v>42</v>
      </c>
      <c r="I77" s="8" t="s">
        <v>41</v>
      </c>
      <c r="J77" s="8" t="s">
        <v>310</v>
      </c>
      <c r="K77" s="8" t="s">
        <v>311</v>
      </c>
      <c r="L77" s="8" t="s">
        <v>310</v>
      </c>
      <c r="M77" s="8" t="s">
        <v>66</v>
      </c>
      <c r="N77" s="8" t="s">
        <v>67</v>
      </c>
      <c r="O77" s="8" t="s">
        <v>66</v>
      </c>
      <c r="P77" s="8" t="s">
        <v>32</v>
      </c>
      <c r="T77" s="8">
        <f>MATCH(D77,Allocation!A:A,0)</f>
        <v>35</v>
      </c>
    </row>
    <row r="78" spans="1:20" x14ac:dyDescent="0.35">
      <c r="A78" s="8" t="s">
        <v>174</v>
      </c>
      <c r="B78" s="8" t="s">
        <v>171</v>
      </c>
      <c r="C78" s="8" t="s">
        <v>9</v>
      </c>
      <c r="D78" s="8" t="s">
        <v>309</v>
      </c>
      <c r="E78" s="8">
        <v>-621.59</v>
      </c>
      <c r="F78" s="8" t="s">
        <v>168</v>
      </c>
      <c r="G78" s="8" t="s">
        <v>41</v>
      </c>
      <c r="H78" s="8" t="s">
        <v>42</v>
      </c>
      <c r="I78" s="8" t="s">
        <v>41</v>
      </c>
      <c r="J78" s="8" t="s">
        <v>310</v>
      </c>
      <c r="K78" s="8" t="s">
        <v>311</v>
      </c>
      <c r="L78" s="8" t="s">
        <v>310</v>
      </c>
      <c r="M78" s="8" t="s">
        <v>66</v>
      </c>
      <c r="N78" s="8" t="s">
        <v>67</v>
      </c>
      <c r="O78" s="8" t="s">
        <v>66</v>
      </c>
      <c r="P78" s="8" t="s">
        <v>32</v>
      </c>
      <c r="T78" s="8">
        <f>MATCH(D78,Allocation!A:A,0)</f>
        <v>35</v>
      </c>
    </row>
    <row r="79" spans="1:20" x14ac:dyDescent="0.35">
      <c r="A79" s="8" t="s">
        <v>174</v>
      </c>
      <c r="B79" s="8" t="s">
        <v>32</v>
      </c>
      <c r="C79" s="8" t="s">
        <v>8</v>
      </c>
      <c r="D79" s="8" t="s">
        <v>309</v>
      </c>
      <c r="E79" s="8">
        <v>621.59</v>
      </c>
      <c r="F79" s="8" t="s">
        <v>34</v>
      </c>
      <c r="G79" s="8" t="s">
        <v>41</v>
      </c>
      <c r="H79" s="8" t="s">
        <v>42</v>
      </c>
      <c r="I79" s="8" t="s">
        <v>41</v>
      </c>
      <c r="J79" s="8" t="s">
        <v>310</v>
      </c>
      <c r="K79" s="8" t="s">
        <v>311</v>
      </c>
      <c r="L79" s="8" t="s">
        <v>310</v>
      </c>
      <c r="M79" s="8" t="s">
        <v>66</v>
      </c>
      <c r="N79" s="8" t="s">
        <v>67</v>
      </c>
      <c r="O79" s="8" t="s">
        <v>66</v>
      </c>
      <c r="P79" s="8" t="s">
        <v>32</v>
      </c>
      <c r="T79" s="8">
        <f>MATCH(D79,Allocation!A:A,0)</f>
        <v>35</v>
      </c>
    </row>
    <row r="80" spans="1:20" x14ac:dyDescent="0.35">
      <c r="A80" s="8" t="s">
        <v>31</v>
      </c>
      <c r="B80" s="8" t="s">
        <v>32</v>
      </c>
      <c r="C80" s="8" t="s">
        <v>6</v>
      </c>
      <c r="D80" s="8" t="s">
        <v>74</v>
      </c>
      <c r="E80" s="8">
        <v>155.69</v>
      </c>
      <c r="F80" s="8" t="s">
        <v>34</v>
      </c>
      <c r="G80" s="8" t="s">
        <v>41</v>
      </c>
      <c r="H80" s="8" t="s">
        <v>42</v>
      </c>
      <c r="I80" s="8" t="s">
        <v>41</v>
      </c>
      <c r="J80" s="8" t="s">
        <v>75</v>
      </c>
      <c r="K80" s="8" t="s">
        <v>76</v>
      </c>
      <c r="L80" s="8" t="s">
        <v>75</v>
      </c>
      <c r="M80" s="8" t="s">
        <v>46</v>
      </c>
      <c r="N80" s="8" t="s">
        <v>47</v>
      </c>
      <c r="O80" s="8" t="s">
        <v>46</v>
      </c>
      <c r="P80" s="8" t="s">
        <v>32</v>
      </c>
      <c r="T80" s="8">
        <f>MATCH(D80,Allocation!A:A,0)</f>
        <v>46</v>
      </c>
    </row>
    <row r="81" spans="1:20" x14ac:dyDescent="0.35">
      <c r="A81" s="8" t="s">
        <v>31</v>
      </c>
      <c r="B81" s="8" t="s">
        <v>37</v>
      </c>
      <c r="C81" s="8" t="s">
        <v>6</v>
      </c>
      <c r="D81" s="8" t="s">
        <v>74</v>
      </c>
      <c r="E81" s="8">
        <v>0</v>
      </c>
      <c r="F81" s="8" t="s">
        <v>34</v>
      </c>
      <c r="G81" s="8" t="s">
        <v>41</v>
      </c>
      <c r="H81" s="8" t="s">
        <v>42</v>
      </c>
      <c r="I81" s="8" t="s">
        <v>41</v>
      </c>
      <c r="J81" s="8" t="s">
        <v>75</v>
      </c>
      <c r="K81" s="8" t="s">
        <v>76</v>
      </c>
      <c r="L81" s="8" t="s">
        <v>75</v>
      </c>
      <c r="M81" s="8" t="s">
        <v>46</v>
      </c>
      <c r="N81" s="8" t="s">
        <v>47</v>
      </c>
      <c r="O81" s="8" t="s">
        <v>46</v>
      </c>
      <c r="P81" s="8" t="s">
        <v>32</v>
      </c>
      <c r="T81" s="8">
        <f>MATCH(D81,Allocation!A:A,0)</f>
        <v>46</v>
      </c>
    </row>
    <row r="82" spans="1:20" x14ac:dyDescent="0.35">
      <c r="A82" s="8" t="s">
        <v>166</v>
      </c>
      <c r="B82" s="8" t="s">
        <v>32</v>
      </c>
      <c r="C82" s="8" t="s">
        <v>7</v>
      </c>
      <c r="D82" s="8" t="s">
        <v>74</v>
      </c>
      <c r="E82" s="8">
        <v>-183.16</v>
      </c>
      <c r="F82" s="8" t="s">
        <v>168</v>
      </c>
      <c r="G82" s="8" t="s">
        <v>41</v>
      </c>
      <c r="H82" s="8" t="s">
        <v>42</v>
      </c>
      <c r="I82" s="8" t="s">
        <v>41</v>
      </c>
      <c r="J82" s="8" t="s">
        <v>75</v>
      </c>
      <c r="K82" s="8" t="s">
        <v>76</v>
      </c>
      <c r="L82" s="8" t="s">
        <v>75</v>
      </c>
      <c r="M82" s="8" t="s">
        <v>46</v>
      </c>
      <c r="N82" s="8" t="s">
        <v>47</v>
      </c>
      <c r="O82" s="8" t="s">
        <v>46</v>
      </c>
      <c r="P82" s="8" t="s">
        <v>32</v>
      </c>
      <c r="T82" s="8">
        <f>MATCH(D82,Allocation!A:A,0)</f>
        <v>46</v>
      </c>
    </row>
    <row r="83" spans="1:20" x14ac:dyDescent="0.35">
      <c r="A83" s="8" t="s">
        <v>166</v>
      </c>
      <c r="B83" s="8" t="s">
        <v>32</v>
      </c>
      <c r="C83" s="8" t="s">
        <v>8</v>
      </c>
      <c r="D83" s="8" t="s">
        <v>74</v>
      </c>
      <c r="E83" s="8">
        <v>-384.17</v>
      </c>
      <c r="F83" s="8" t="s">
        <v>168</v>
      </c>
      <c r="G83" s="8" t="s">
        <v>41</v>
      </c>
      <c r="H83" s="8" t="s">
        <v>42</v>
      </c>
      <c r="I83" s="8" t="s">
        <v>41</v>
      </c>
      <c r="J83" s="8" t="s">
        <v>75</v>
      </c>
      <c r="K83" s="8" t="s">
        <v>76</v>
      </c>
      <c r="L83" s="8" t="s">
        <v>75</v>
      </c>
      <c r="M83" s="8" t="s">
        <v>46</v>
      </c>
      <c r="N83" s="8" t="s">
        <v>47</v>
      </c>
      <c r="O83" s="8" t="s">
        <v>46</v>
      </c>
      <c r="P83" s="8" t="s">
        <v>32</v>
      </c>
      <c r="T83" s="8">
        <f>MATCH(D83,Allocation!A:A,0)</f>
        <v>46</v>
      </c>
    </row>
    <row r="84" spans="1:20" x14ac:dyDescent="0.35">
      <c r="A84" s="8" t="s">
        <v>170</v>
      </c>
      <c r="B84" s="8" t="s">
        <v>171</v>
      </c>
      <c r="C84" s="8" t="s">
        <v>9</v>
      </c>
      <c r="D84" s="8" t="s">
        <v>74</v>
      </c>
      <c r="E84" s="8">
        <v>-1180.23</v>
      </c>
      <c r="F84" s="8" t="s">
        <v>168</v>
      </c>
      <c r="G84" s="8" t="s">
        <v>41</v>
      </c>
      <c r="H84" s="8" t="s">
        <v>42</v>
      </c>
      <c r="I84" s="8" t="s">
        <v>41</v>
      </c>
      <c r="J84" s="8" t="s">
        <v>75</v>
      </c>
      <c r="K84" s="8" t="s">
        <v>76</v>
      </c>
      <c r="L84" s="8" t="s">
        <v>75</v>
      </c>
      <c r="M84" s="8" t="s">
        <v>46</v>
      </c>
      <c r="N84" s="8" t="s">
        <v>47</v>
      </c>
      <c r="O84" s="8" t="s">
        <v>46</v>
      </c>
      <c r="P84" s="8" t="s">
        <v>32</v>
      </c>
      <c r="T84" s="8">
        <f>MATCH(D84,Allocation!A:A,0)</f>
        <v>46</v>
      </c>
    </row>
    <row r="85" spans="1:20" x14ac:dyDescent="0.35">
      <c r="A85" s="8" t="s">
        <v>172</v>
      </c>
      <c r="B85" s="8" t="s">
        <v>173</v>
      </c>
      <c r="C85" s="8" t="s">
        <v>10</v>
      </c>
      <c r="D85" s="8" t="s">
        <v>74</v>
      </c>
      <c r="E85" s="8">
        <v>1591.87</v>
      </c>
      <c r="F85" s="8" t="s">
        <v>34</v>
      </c>
      <c r="G85" s="8" t="s">
        <v>41</v>
      </c>
      <c r="H85" s="8" t="s">
        <v>42</v>
      </c>
      <c r="I85" s="8" t="s">
        <v>41</v>
      </c>
      <c r="J85" s="8" t="s">
        <v>75</v>
      </c>
      <c r="K85" s="8" t="s">
        <v>76</v>
      </c>
      <c r="L85" s="8" t="s">
        <v>75</v>
      </c>
      <c r="M85" s="8" t="s">
        <v>46</v>
      </c>
      <c r="N85" s="8" t="s">
        <v>47</v>
      </c>
      <c r="O85" s="8" t="s">
        <v>46</v>
      </c>
      <c r="P85" s="8" t="s">
        <v>32</v>
      </c>
      <c r="T85" s="8">
        <f>MATCH(D85,Allocation!A:A,0)</f>
        <v>46</v>
      </c>
    </row>
    <row r="86" spans="1:20" x14ac:dyDescent="0.35">
      <c r="A86" s="8" t="s">
        <v>174</v>
      </c>
      <c r="B86" s="8" t="s">
        <v>171</v>
      </c>
      <c r="C86" s="8" t="s">
        <v>9</v>
      </c>
      <c r="D86" s="8" t="s">
        <v>74</v>
      </c>
      <c r="E86" s="8">
        <v>-384.17</v>
      </c>
      <c r="F86" s="8" t="s">
        <v>168</v>
      </c>
      <c r="G86" s="8" t="s">
        <v>41</v>
      </c>
      <c r="H86" s="8" t="s">
        <v>42</v>
      </c>
      <c r="I86" s="8" t="s">
        <v>41</v>
      </c>
      <c r="J86" s="8" t="s">
        <v>75</v>
      </c>
      <c r="K86" s="8" t="s">
        <v>76</v>
      </c>
      <c r="L86" s="8" t="s">
        <v>75</v>
      </c>
      <c r="M86" s="8" t="s">
        <v>46</v>
      </c>
      <c r="N86" s="8" t="s">
        <v>47</v>
      </c>
      <c r="O86" s="8" t="s">
        <v>46</v>
      </c>
      <c r="P86" s="8" t="s">
        <v>32</v>
      </c>
      <c r="T86" s="8">
        <f>MATCH(D86,Allocation!A:A,0)</f>
        <v>46</v>
      </c>
    </row>
    <row r="87" spans="1:20" x14ac:dyDescent="0.35">
      <c r="A87" s="8" t="s">
        <v>174</v>
      </c>
      <c r="B87" s="8" t="s">
        <v>32</v>
      </c>
      <c r="C87" s="8" t="s">
        <v>8</v>
      </c>
      <c r="D87" s="8" t="s">
        <v>74</v>
      </c>
      <c r="E87" s="8">
        <v>384.17</v>
      </c>
      <c r="F87" s="8" t="s">
        <v>34</v>
      </c>
      <c r="G87" s="8" t="s">
        <v>41</v>
      </c>
      <c r="H87" s="8" t="s">
        <v>42</v>
      </c>
      <c r="I87" s="8" t="s">
        <v>41</v>
      </c>
      <c r="J87" s="8" t="s">
        <v>75</v>
      </c>
      <c r="K87" s="8" t="s">
        <v>76</v>
      </c>
      <c r="L87" s="8" t="s">
        <v>75</v>
      </c>
      <c r="M87" s="8" t="s">
        <v>46</v>
      </c>
      <c r="N87" s="8" t="s">
        <v>47</v>
      </c>
      <c r="O87" s="8" t="s">
        <v>46</v>
      </c>
      <c r="P87" s="8" t="s">
        <v>32</v>
      </c>
      <c r="T87" s="8">
        <f>MATCH(D87,Allocation!A:A,0)</f>
        <v>46</v>
      </c>
    </row>
    <row r="88" spans="1:20" x14ac:dyDescent="0.35">
      <c r="A88" s="8" t="s">
        <v>31</v>
      </c>
      <c r="B88" s="8" t="s">
        <v>37</v>
      </c>
      <c r="C88" s="8" t="s">
        <v>6</v>
      </c>
      <c r="D88" s="8" t="s">
        <v>922</v>
      </c>
      <c r="E88" s="8">
        <v>0</v>
      </c>
      <c r="F88" s="8" t="s">
        <v>34</v>
      </c>
      <c r="G88" s="8" t="s">
        <v>939</v>
      </c>
      <c r="H88" s="8" t="s">
        <v>1045</v>
      </c>
      <c r="I88" s="8" t="s">
        <v>939</v>
      </c>
      <c r="J88" s="8" t="s">
        <v>44</v>
      </c>
      <c r="K88" s="8" t="s">
        <v>45</v>
      </c>
      <c r="L88" s="8" t="s">
        <v>44</v>
      </c>
      <c r="M88" s="8" t="s">
        <v>46</v>
      </c>
      <c r="N88" s="8" t="s">
        <v>47</v>
      </c>
      <c r="O88" s="8" t="s">
        <v>46</v>
      </c>
      <c r="P88" s="8" t="s">
        <v>32</v>
      </c>
      <c r="T88" s="8">
        <f>MATCH(D88,Allocation!A:A,0)</f>
        <v>10</v>
      </c>
    </row>
    <row r="89" spans="1:20" x14ac:dyDescent="0.35">
      <c r="A89" s="8" t="s">
        <v>166</v>
      </c>
      <c r="B89" s="8" t="s">
        <v>169</v>
      </c>
      <c r="C89" s="8" t="s">
        <v>7</v>
      </c>
      <c r="D89" s="8" t="s">
        <v>922</v>
      </c>
      <c r="E89" s="8">
        <v>-0.81</v>
      </c>
      <c r="F89" s="8" t="s">
        <v>168</v>
      </c>
      <c r="G89" s="8" t="s">
        <v>939</v>
      </c>
      <c r="H89" s="8" t="s">
        <v>1045</v>
      </c>
      <c r="I89" s="8" t="s">
        <v>939</v>
      </c>
      <c r="J89" s="8" t="s">
        <v>44</v>
      </c>
      <c r="K89" s="8" t="s">
        <v>45</v>
      </c>
      <c r="L89" s="8" t="s">
        <v>44</v>
      </c>
      <c r="M89" s="8" t="s">
        <v>46</v>
      </c>
      <c r="N89" s="8" t="s">
        <v>47</v>
      </c>
      <c r="O89" s="8" t="s">
        <v>46</v>
      </c>
      <c r="P89" s="8" t="s">
        <v>32</v>
      </c>
      <c r="T89" s="8">
        <f>MATCH(D89,Allocation!A:A,0)</f>
        <v>10</v>
      </c>
    </row>
    <row r="90" spans="1:20" x14ac:dyDescent="0.35">
      <c r="A90" s="8" t="s">
        <v>170</v>
      </c>
      <c r="B90" s="8" t="s">
        <v>171</v>
      </c>
      <c r="C90" s="8" t="s">
        <v>9</v>
      </c>
      <c r="D90" s="8" t="s">
        <v>922</v>
      </c>
      <c r="E90" s="8">
        <v>-9.19</v>
      </c>
      <c r="F90" s="8" t="s">
        <v>168</v>
      </c>
      <c r="G90" s="8" t="s">
        <v>939</v>
      </c>
      <c r="H90" s="8" t="s">
        <v>1045</v>
      </c>
      <c r="I90" s="8" t="s">
        <v>939</v>
      </c>
      <c r="J90" s="8" t="s">
        <v>44</v>
      </c>
      <c r="K90" s="8" t="s">
        <v>45</v>
      </c>
      <c r="L90" s="8" t="s">
        <v>44</v>
      </c>
      <c r="M90" s="8" t="s">
        <v>46</v>
      </c>
      <c r="N90" s="8" t="s">
        <v>47</v>
      </c>
      <c r="O90" s="8" t="s">
        <v>46</v>
      </c>
      <c r="P90" s="8" t="s">
        <v>32</v>
      </c>
      <c r="T90" s="8">
        <f>MATCH(D90,Allocation!A:A,0)</f>
        <v>10</v>
      </c>
    </row>
    <row r="91" spans="1:20" x14ac:dyDescent="0.35">
      <c r="A91" s="8" t="s">
        <v>172</v>
      </c>
      <c r="B91" s="8" t="s">
        <v>173</v>
      </c>
      <c r="C91" s="8" t="s">
        <v>10</v>
      </c>
      <c r="D91" s="8" t="s">
        <v>922</v>
      </c>
      <c r="E91" s="8">
        <v>10</v>
      </c>
      <c r="F91" s="8" t="s">
        <v>34</v>
      </c>
      <c r="G91" s="8" t="s">
        <v>939</v>
      </c>
      <c r="H91" s="8" t="s">
        <v>1045</v>
      </c>
      <c r="I91" s="8" t="s">
        <v>939</v>
      </c>
      <c r="J91" s="8" t="s">
        <v>44</v>
      </c>
      <c r="K91" s="8" t="s">
        <v>45</v>
      </c>
      <c r="L91" s="8" t="s">
        <v>44</v>
      </c>
      <c r="M91" s="8" t="s">
        <v>46</v>
      </c>
      <c r="N91" s="8" t="s">
        <v>47</v>
      </c>
      <c r="O91" s="8" t="s">
        <v>46</v>
      </c>
      <c r="P91" s="8" t="s">
        <v>32</v>
      </c>
      <c r="T91" s="8">
        <f>MATCH(D91,Allocation!A:A,0)</f>
        <v>10</v>
      </c>
    </row>
    <row r="92" spans="1:20" x14ac:dyDescent="0.35">
      <c r="A92" s="8" t="s">
        <v>31</v>
      </c>
      <c r="B92" s="8" t="s">
        <v>32</v>
      </c>
      <c r="C92" s="8" t="s">
        <v>6</v>
      </c>
      <c r="D92" s="8" t="s">
        <v>77</v>
      </c>
      <c r="E92" s="8">
        <v>81.91</v>
      </c>
      <c r="F92" s="8" t="s">
        <v>34</v>
      </c>
      <c r="G92" s="8" t="s">
        <v>77</v>
      </c>
      <c r="H92" s="8" t="s">
        <v>78</v>
      </c>
      <c r="I92" s="8" t="s">
        <v>77</v>
      </c>
      <c r="J92" s="8" t="s">
        <v>79</v>
      </c>
      <c r="K92" s="8" t="s">
        <v>80</v>
      </c>
      <c r="L92" s="8" t="s">
        <v>32</v>
      </c>
      <c r="M92" s="8" t="s">
        <v>32</v>
      </c>
      <c r="N92" s="8" t="s">
        <v>32</v>
      </c>
      <c r="O92" s="8" t="s">
        <v>32</v>
      </c>
      <c r="P92" s="8" t="s">
        <v>32</v>
      </c>
      <c r="T92" s="8">
        <f>MATCH(D92,Allocation!A:A,0)</f>
        <v>8</v>
      </c>
    </row>
    <row r="93" spans="1:20" x14ac:dyDescent="0.35">
      <c r="A93" s="8" t="s">
        <v>31</v>
      </c>
      <c r="B93" s="8" t="s">
        <v>37</v>
      </c>
      <c r="C93" s="8" t="s">
        <v>6</v>
      </c>
      <c r="D93" s="8" t="s">
        <v>77</v>
      </c>
      <c r="E93" s="8">
        <v>0</v>
      </c>
      <c r="F93" s="8" t="s">
        <v>34</v>
      </c>
      <c r="G93" s="8" t="s">
        <v>77</v>
      </c>
      <c r="H93" s="8" t="s">
        <v>78</v>
      </c>
      <c r="I93" s="8" t="s">
        <v>77</v>
      </c>
      <c r="J93" s="8" t="s">
        <v>79</v>
      </c>
      <c r="K93" s="8" t="s">
        <v>80</v>
      </c>
      <c r="L93" s="8" t="s">
        <v>32</v>
      </c>
      <c r="M93" s="8" t="s">
        <v>32</v>
      </c>
      <c r="N93" s="8" t="s">
        <v>32</v>
      </c>
      <c r="O93" s="8" t="s">
        <v>32</v>
      </c>
      <c r="P93" s="8" t="s">
        <v>32</v>
      </c>
      <c r="T93" s="8">
        <f>MATCH(D93,Allocation!A:A,0)</f>
        <v>8</v>
      </c>
    </row>
    <row r="94" spans="1:20" x14ac:dyDescent="0.35">
      <c r="A94" s="8" t="s">
        <v>166</v>
      </c>
      <c r="B94" s="8" t="s">
        <v>32</v>
      </c>
      <c r="C94" s="8" t="s">
        <v>8</v>
      </c>
      <c r="D94" s="8" t="s">
        <v>77</v>
      </c>
      <c r="E94" s="8">
        <v>-188.52</v>
      </c>
      <c r="F94" s="8" t="s">
        <v>168</v>
      </c>
      <c r="G94" s="8" t="s">
        <v>77</v>
      </c>
      <c r="H94" s="8" t="s">
        <v>78</v>
      </c>
      <c r="I94" s="8" t="s">
        <v>77</v>
      </c>
      <c r="J94" s="8" t="s">
        <v>79</v>
      </c>
      <c r="K94" s="8" t="s">
        <v>80</v>
      </c>
      <c r="L94" s="8" t="s">
        <v>32</v>
      </c>
      <c r="M94" s="8" t="s">
        <v>32</v>
      </c>
      <c r="N94" s="8" t="s">
        <v>32</v>
      </c>
      <c r="O94" s="8" t="s">
        <v>32</v>
      </c>
      <c r="P94" s="8" t="s">
        <v>32</v>
      </c>
      <c r="T94" s="8">
        <f>MATCH(D94,Allocation!A:A,0)</f>
        <v>8</v>
      </c>
    </row>
    <row r="95" spans="1:20" x14ac:dyDescent="0.35">
      <c r="A95" s="8" t="s">
        <v>170</v>
      </c>
      <c r="B95" s="8" t="s">
        <v>171</v>
      </c>
      <c r="C95" s="8" t="s">
        <v>9</v>
      </c>
      <c r="D95" s="8" t="s">
        <v>77</v>
      </c>
      <c r="E95" s="8">
        <v>-677.14</v>
      </c>
      <c r="F95" s="8" t="s">
        <v>168</v>
      </c>
      <c r="G95" s="8" t="s">
        <v>77</v>
      </c>
      <c r="H95" s="8" t="s">
        <v>78</v>
      </c>
      <c r="I95" s="8" t="s">
        <v>77</v>
      </c>
      <c r="J95" s="8" t="s">
        <v>79</v>
      </c>
      <c r="K95" s="8" t="s">
        <v>80</v>
      </c>
      <c r="L95" s="8" t="s">
        <v>32</v>
      </c>
      <c r="M95" s="8" t="s">
        <v>32</v>
      </c>
      <c r="N95" s="8" t="s">
        <v>32</v>
      </c>
      <c r="O95" s="8" t="s">
        <v>32</v>
      </c>
      <c r="P95" s="8" t="s">
        <v>32</v>
      </c>
      <c r="T95" s="8">
        <f>MATCH(D95,Allocation!A:A,0)</f>
        <v>8</v>
      </c>
    </row>
    <row r="96" spans="1:20" x14ac:dyDescent="0.35">
      <c r="A96" s="8" t="s">
        <v>172</v>
      </c>
      <c r="B96" s="8" t="s">
        <v>173</v>
      </c>
      <c r="C96" s="8" t="s">
        <v>10</v>
      </c>
      <c r="D96" s="8" t="s">
        <v>77</v>
      </c>
      <c r="E96" s="8">
        <v>783.75</v>
      </c>
      <c r="F96" s="8" t="s">
        <v>34</v>
      </c>
      <c r="G96" s="8" t="s">
        <v>77</v>
      </c>
      <c r="H96" s="8" t="s">
        <v>78</v>
      </c>
      <c r="I96" s="8" t="s">
        <v>77</v>
      </c>
      <c r="J96" s="8" t="s">
        <v>79</v>
      </c>
      <c r="K96" s="8" t="s">
        <v>80</v>
      </c>
      <c r="L96" s="8" t="s">
        <v>32</v>
      </c>
      <c r="M96" s="8" t="s">
        <v>32</v>
      </c>
      <c r="N96" s="8" t="s">
        <v>32</v>
      </c>
      <c r="O96" s="8" t="s">
        <v>32</v>
      </c>
      <c r="P96" s="8" t="s">
        <v>32</v>
      </c>
      <c r="T96" s="8">
        <f>MATCH(D96,Allocation!A:A,0)</f>
        <v>8</v>
      </c>
    </row>
    <row r="97" spans="1:20" x14ac:dyDescent="0.35">
      <c r="A97" s="8" t="s">
        <v>174</v>
      </c>
      <c r="B97" s="8" t="s">
        <v>171</v>
      </c>
      <c r="C97" s="8" t="s">
        <v>9</v>
      </c>
      <c r="D97" s="8" t="s">
        <v>77</v>
      </c>
      <c r="E97" s="8">
        <v>-188.52</v>
      </c>
      <c r="F97" s="8" t="s">
        <v>168</v>
      </c>
      <c r="G97" s="8" t="s">
        <v>77</v>
      </c>
      <c r="H97" s="8" t="s">
        <v>78</v>
      </c>
      <c r="I97" s="8" t="s">
        <v>77</v>
      </c>
      <c r="J97" s="8" t="s">
        <v>79</v>
      </c>
      <c r="K97" s="8" t="s">
        <v>80</v>
      </c>
      <c r="L97" s="8" t="s">
        <v>32</v>
      </c>
      <c r="M97" s="8" t="s">
        <v>32</v>
      </c>
      <c r="N97" s="8" t="s">
        <v>32</v>
      </c>
      <c r="O97" s="8" t="s">
        <v>32</v>
      </c>
      <c r="P97" s="8" t="s">
        <v>32</v>
      </c>
      <c r="T97" s="8">
        <f>MATCH(D97,Allocation!A:A,0)</f>
        <v>8</v>
      </c>
    </row>
    <row r="98" spans="1:20" x14ac:dyDescent="0.35">
      <c r="A98" s="8" t="s">
        <v>174</v>
      </c>
      <c r="B98" s="8" t="s">
        <v>32</v>
      </c>
      <c r="C98" s="8" t="s">
        <v>8</v>
      </c>
      <c r="D98" s="8" t="s">
        <v>77</v>
      </c>
      <c r="E98" s="8">
        <v>188.52</v>
      </c>
      <c r="F98" s="8" t="s">
        <v>34</v>
      </c>
      <c r="G98" s="8" t="s">
        <v>77</v>
      </c>
      <c r="H98" s="8" t="s">
        <v>78</v>
      </c>
      <c r="I98" s="8" t="s">
        <v>77</v>
      </c>
      <c r="J98" s="8" t="s">
        <v>79</v>
      </c>
      <c r="K98" s="8" t="s">
        <v>80</v>
      </c>
      <c r="L98" s="8" t="s">
        <v>32</v>
      </c>
      <c r="M98" s="8" t="s">
        <v>32</v>
      </c>
      <c r="N98" s="8" t="s">
        <v>32</v>
      </c>
      <c r="O98" s="8" t="s">
        <v>32</v>
      </c>
      <c r="P98" s="8" t="s">
        <v>32</v>
      </c>
      <c r="T98" s="8">
        <f>MATCH(D98,Allocation!A:A,0)</f>
        <v>8</v>
      </c>
    </row>
    <row r="99" spans="1:20" x14ac:dyDescent="0.35">
      <c r="A99" s="8" t="s">
        <v>31</v>
      </c>
      <c r="B99" s="8" t="s">
        <v>32</v>
      </c>
      <c r="C99" s="8" t="s">
        <v>6</v>
      </c>
      <c r="D99" s="8" t="s">
        <v>923</v>
      </c>
      <c r="E99" s="8">
        <v>8.84</v>
      </c>
      <c r="F99" s="8" t="s">
        <v>34</v>
      </c>
      <c r="G99" s="8" t="s">
        <v>77</v>
      </c>
      <c r="H99" s="8" t="s">
        <v>78</v>
      </c>
      <c r="I99" s="8" t="s">
        <v>77</v>
      </c>
      <c r="J99" s="8" t="s">
        <v>44</v>
      </c>
      <c r="K99" s="8" t="s">
        <v>45</v>
      </c>
      <c r="L99" s="8" t="s">
        <v>44</v>
      </c>
      <c r="M99" s="8" t="s">
        <v>46</v>
      </c>
      <c r="N99" s="8" t="s">
        <v>47</v>
      </c>
      <c r="O99" s="8" t="s">
        <v>46</v>
      </c>
      <c r="P99" s="8" t="s">
        <v>32</v>
      </c>
      <c r="T99" s="8">
        <f>MATCH(D99,Allocation!A:A,0)</f>
        <v>11</v>
      </c>
    </row>
    <row r="100" spans="1:20" x14ac:dyDescent="0.35">
      <c r="A100" s="8" t="s">
        <v>31</v>
      </c>
      <c r="B100" s="8" t="s">
        <v>37</v>
      </c>
      <c r="C100" s="8" t="s">
        <v>6</v>
      </c>
      <c r="D100" s="8" t="s">
        <v>923</v>
      </c>
      <c r="E100" s="8">
        <v>0</v>
      </c>
      <c r="F100" s="8" t="s">
        <v>34</v>
      </c>
      <c r="G100" s="8" t="s">
        <v>77</v>
      </c>
      <c r="H100" s="8" t="s">
        <v>78</v>
      </c>
      <c r="I100" s="8" t="s">
        <v>77</v>
      </c>
      <c r="J100" s="8" t="s">
        <v>44</v>
      </c>
      <c r="K100" s="8" t="s">
        <v>45</v>
      </c>
      <c r="L100" s="8" t="s">
        <v>44</v>
      </c>
      <c r="M100" s="8" t="s">
        <v>46</v>
      </c>
      <c r="N100" s="8" t="s">
        <v>47</v>
      </c>
      <c r="O100" s="8" t="s">
        <v>46</v>
      </c>
      <c r="P100" s="8" t="s">
        <v>32</v>
      </c>
      <c r="T100" s="8">
        <f>MATCH(D100,Allocation!A:A,0)</f>
        <v>11</v>
      </c>
    </row>
    <row r="101" spans="1:20" x14ac:dyDescent="0.35">
      <c r="A101" s="8" t="s">
        <v>166</v>
      </c>
      <c r="B101" s="8" t="s">
        <v>169</v>
      </c>
      <c r="C101" s="8" t="s">
        <v>7</v>
      </c>
      <c r="D101" s="8" t="s">
        <v>923</v>
      </c>
      <c r="E101" s="8">
        <v>-7.3</v>
      </c>
      <c r="F101" s="8" t="s">
        <v>168</v>
      </c>
      <c r="G101" s="8" t="s">
        <v>77</v>
      </c>
      <c r="H101" s="8" t="s">
        <v>78</v>
      </c>
      <c r="I101" s="8" t="s">
        <v>77</v>
      </c>
      <c r="J101" s="8" t="s">
        <v>44</v>
      </c>
      <c r="K101" s="8" t="s">
        <v>45</v>
      </c>
      <c r="L101" s="8" t="s">
        <v>44</v>
      </c>
      <c r="M101" s="8" t="s">
        <v>46</v>
      </c>
      <c r="N101" s="8" t="s">
        <v>47</v>
      </c>
      <c r="O101" s="8" t="s">
        <v>46</v>
      </c>
      <c r="P101" s="8" t="s">
        <v>32</v>
      </c>
      <c r="T101" s="8">
        <f>MATCH(D101,Allocation!A:A,0)</f>
        <v>11</v>
      </c>
    </row>
    <row r="102" spans="1:20" x14ac:dyDescent="0.35">
      <c r="A102" s="8" t="s">
        <v>166</v>
      </c>
      <c r="B102" s="8" t="s">
        <v>32</v>
      </c>
      <c r="C102" s="8" t="s">
        <v>8</v>
      </c>
      <c r="D102" s="8" t="s">
        <v>923</v>
      </c>
      <c r="E102" s="8">
        <v>-21.53</v>
      </c>
      <c r="F102" s="8" t="s">
        <v>168</v>
      </c>
      <c r="G102" s="8" t="s">
        <v>77</v>
      </c>
      <c r="H102" s="8" t="s">
        <v>78</v>
      </c>
      <c r="I102" s="8" t="s">
        <v>77</v>
      </c>
      <c r="J102" s="8" t="s">
        <v>44</v>
      </c>
      <c r="K102" s="8" t="s">
        <v>45</v>
      </c>
      <c r="L102" s="8" t="s">
        <v>44</v>
      </c>
      <c r="M102" s="8" t="s">
        <v>46</v>
      </c>
      <c r="N102" s="8" t="s">
        <v>47</v>
      </c>
      <c r="O102" s="8" t="s">
        <v>46</v>
      </c>
      <c r="P102" s="8" t="s">
        <v>32</v>
      </c>
      <c r="T102" s="8">
        <f>MATCH(D102,Allocation!A:A,0)</f>
        <v>11</v>
      </c>
    </row>
    <row r="103" spans="1:20" x14ac:dyDescent="0.35">
      <c r="A103" s="8" t="s">
        <v>170</v>
      </c>
      <c r="B103" s="8" t="s">
        <v>171</v>
      </c>
      <c r="C103" s="8" t="s">
        <v>9</v>
      </c>
      <c r="D103" s="8" t="s">
        <v>923</v>
      </c>
      <c r="E103" s="8">
        <v>-70.010000000000005</v>
      </c>
      <c r="F103" s="8" t="s">
        <v>168</v>
      </c>
      <c r="G103" s="8" t="s">
        <v>77</v>
      </c>
      <c r="H103" s="8" t="s">
        <v>78</v>
      </c>
      <c r="I103" s="8" t="s">
        <v>77</v>
      </c>
      <c r="J103" s="8" t="s">
        <v>44</v>
      </c>
      <c r="K103" s="8" t="s">
        <v>45</v>
      </c>
      <c r="L103" s="8" t="s">
        <v>44</v>
      </c>
      <c r="M103" s="8" t="s">
        <v>46</v>
      </c>
      <c r="N103" s="8" t="s">
        <v>47</v>
      </c>
      <c r="O103" s="8" t="s">
        <v>46</v>
      </c>
      <c r="P103" s="8" t="s">
        <v>32</v>
      </c>
      <c r="T103" s="8">
        <f>MATCH(D103,Allocation!A:A,0)</f>
        <v>11</v>
      </c>
    </row>
    <row r="104" spans="1:20" x14ac:dyDescent="0.35">
      <c r="A104" s="8" t="s">
        <v>172</v>
      </c>
      <c r="B104" s="8" t="s">
        <v>173</v>
      </c>
      <c r="C104" s="8" t="s">
        <v>10</v>
      </c>
      <c r="D104" s="8" t="s">
        <v>923</v>
      </c>
      <c r="E104" s="8">
        <v>90</v>
      </c>
      <c r="F104" s="8" t="s">
        <v>34</v>
      </c>
      <c r="G104" s="8" t="s">
        <v>77</v>
      </c>
      <c r="H104" s="8" t="s">
        <v>78</v>
      </c>
      <c r="I104" s="8" t="s">
        <v>77</v>
      </c>
      <c r="J104" s="8" t="s">
        <v>44</v>
      </c>
      <c r="K104" s="8" t="s">
        <v>45</v>
      </c>
      <c r="L104" s="8" t="s">
        <v>44</v>
      </c>
      <c r="M104" s="8" t="s">
        <v>46</v>
      </c>
      <c r="N104" s="8" t="s">
        <v>47</v>
      </c>
      <c r="O104" s="8" t="s">
        <v>46</v>
      </c>
      <c r="P104" s="8" t="s">
        <v>32</v>
      </c>
      <c r="T104" s="8">
        <f>MATCH(D104,Allocation!A:A,0)</f>
        <v>11</v>
      </c>
    </row>
    <row r="105" spans="1:20" x14ac:dyDescent="0.35">
      <c r="A105" s="8" t="s">
        <v>174</v>
      </c>
      <c r="B105" s="8" t="s">
        <v>171</v>
      </c>
      <c r="C105" s="8" t="s">
        <v>9</v>
      </c>
      <c r="D105" s="8" t="s">
        <v>923</v>
      </c>
      <c r="E105" s="8">
        <v>-21.53</v>
      </c>
      <c r="F105" s="8" t="s">
        <v>168</v>
      </c>
      <c r="G105" s="8" t="s">
        <v>77</v>
      </c>
      <c r="H105" s="8" t="s">
        <v>78</v>
      </c>
      <c r="I105" s="8" t="s">
        <v>77</v>
      </c>
      <c r="J105" s="8" t="s">
        <v>44</v>
      </c>
      <c r="K105" s="8" t="s">
        <v>45</v>
      </c>
      <c r="L105" s="8" t="s">
        <v>44</v>
      </c>
      <c r="M105" s="8" t="s">
        <v>46</v>
      </c>
      <c r="N105" s="8" t="s">
        <v>47</v>
      </c>
      <c r="O105" s="8" t="s">
        <v>46</v>
      </c>
      <c r="P105" s="8" t="s">
        <v>32</v>
      </c>
      <c r="T105" s="8">
        <f>MATCH(D105,Allocation!A:A,0)</f>
        <v>11</v>
      </c>
    </row>
    <row r="106" spans="1:20" x14ac:dyDescent="0.35">
      <c r="A106" s="8" t="s">
        <v>174</v>
      </c>
      <c r="B106" s="8" t="s">
        <v>32</v>
      </c>
      <c r="C106" s="8" t="s">
        <v>8</v>
      </c>
      <c r="D106" s="8" t="s">
        <v>923</v>
      </c>
      <c r="E106" s="8">
        <v>21.53</v>
      </c>
      <c r="F106" s="8" t="s">
        <v>34</v>
      </c>
      <c r="G106" s="8" t="s">
        <v>77</v>
      </c>
      <c r="H106" s="8" t="s">
        <v>78</v>
      </c>
      <c r="I106" s="8" t="s">
        <v>77</v>
      </c>
      <c r="J106" s="8" t="s">
        <v>44</v>
      </c>
      <c r="K106" s="8" t="s">
        <v>45</v>
      </c>
      <c r="L106" s="8" t="s">
        <v>44</v>
      </c>
      <c r="M106" s="8" t="s">
        <v>46</v>
      </c>
      <c r="N106" s="8" t="s">
        <v>47</v>
      </c>
      <c r="O106" s="8" t="s">
        <v>46</v>
      </c>
      <c r="P106" s="8" t="s">
        <v>32</v>
      </c>
      <c r="T106" s="8">
        <f>MATCH(D106,Allocation!A:A,0)</f>
        <v>11</v>
      </c>
    </row>
    <row r="107" spans="1:20" x14ac:dyDescent="0.35">
      <c r="A107" s="8" t="s">
        <v>31</v>
      </c>
      <c r="B107" s="8" t="s">
        <v>32</v>
      </c>
      <c r="C107" s="8" t="s">
        <v>6</v>
      </c>
      <c r="D107" s="8" t="s">
        <v>82</v>
      </c>
      <c r="E107" s="8">
        <v>92.53</v>
      </c>
      <c r="F107" s="8" t="s">
        <v>34</v>
      </c>
      <c r="G107" s="8" t="s">
        <v>83</v>
      </c>
      <c r="H107" s="8" t="s">
        <v>84</v>
      </c>
      <c r="I107" s="8" t="s">
        <v>83</v>
      </c>
      <c r="J107" s="8" t="s">
        <v>85</v>
      </c>
      <c r="K107" s="8" t="s">
        <v>86</v>
      </c>
      <c r="L107" s="8" t="s">
        <v>85</v>
      </c>
      <c r="M107" s="8" t="s">
        <v>66</v>
      </c>
      <c r="N107" s="8" t="s">
        <v>67</v>
      </c>
      <c r="O107" s="8" t="s">
        <v>66</v>
      </c>
      <c r="P107" s="8" t="s">
        <v>32</v>
      </c>
      <c r="T107" s="8">
        <f>MATCH(D107,Allocation!A:A,0)</f>
        <v>15</v>
      </c>
    </row>
    <row r="108" spans="1:20" x14ac:dyDescent="0.35">
      <c r="A108" s="8" t="s">
        <v>31</v>
      </c>
      <c r="B108" s="8" t="s">
        <v>37</v>
      </c>
      <c r="C108" s="8" t="s">
        <v>6</v>
      </c>
      <c r="D108" s="8" t="s">
        <v>82</v>
      </c>
      <c r="E108" s="8">
        <v>0</v>
      </c>
      <c r="F108" s="8" t="s">
        <v>34</v>
      </c>
      <c r="G108" s="8" t="s">
        <v>83</v>
      </c>
      <c r="H108" s="8" t="s">
        <v>84</v>
      </c>
      <c r="I108" s="8" t="s">
        <v>83</v>
      </c>
      <c r="J108" s="8" t="s">
        <v>85</v>
      </c>
      <c r="K108" s="8" t="s">
        <v>86</v>
      </c>
      <c r="L108" s="8" t="s">
        <v>85</v>
      </c>
      <c r="M108" s="8" t="s">
        <v>66</v>
      </c>
      <c r="N108" s="8" t="s">
        <v>67</v>
      </c>
      <c r="O108" s="8" t="s">
        <v>66</v>
      </c>
      <c r="P108" s="8" t="s">
        <v>32</v>
      </c>
      <c r="T108" s="8">
        <f>MATCH(D108,Allocation!A:A,0)</f>
        <v>15</v>
      </c>
    </row>
    <row r="109" spans="1:20" x14ac:dyDescent="0.35">
      <c r="A109" s="8" t="s">
        <v>166</v>
      </c>
      <c r="B109" s="8" t="s">
        <v>32</v>
      </c>
      <c r="C109" s="8" t="s">
        <v>7</v>
      </c>
      <c r="D109" s="8" t="s">
        <v>82</v>
      </c>
      <c r="E109" s="8">
        <v>-123.62</v>
      </c>
      <c r="F109" s="8" t="s">
        <v>168</v>
      </c>
      <c r="G109" s="8" t="s">
        <v>83</v>
      </c>
      <c r="H109" s="8" t="s">
        <v>84</v>
      </c>
      <c r="I109" s="8" t="s">
        <v>83</v>
      </c>
      <c r="J109" s="8" t="s">
        <v>85</v>
      </c>
      <c r="K109" s="8" t="s">
        <v>86</v>
      </c>
      <c r="L109" s="8" t="s">
        <v>85</v>
      </c>
      <c r="M109" s="8" t="s">
        <v>66</v>
      </c>
      <c r="N109" s="8" t="s">
        <v>67</v>
      </c>
      <c r="O109" s="8" t="s">
        <v>66</v>
      </c>
      <c r="P109" s="8" t="s">
        <v>32</v>
      </c>
      <c r="T109" s="8">
        <f>MATCH(D109,Allocation!A:A,0)</f>
        <v>15</v>
      </c>
    </row>
    <row r="110" spans="1:20" x14ac:dyDescent="0.35">
      <c r="A110" s="8" t="s">
        <v>166</v>
      </c>
      <c r="B110" s="8" t="s">
        <v>32</v>
      </c>
      <c r="C110" s="8" t="s">
        <v>8</v>
      </c>
      <c r="D110" s="8" t="s">
        <v>82</v>
      </c>
      <c r="E110" s="8">
        <v>-200.34</v>
      </c>
      <c r="F110" s="8" t="s">
        <v>168</v>
      </c>
      <c r="G110" s="8" t="s">
        <v>83</v>
      </c>
      <c r="H110" s="8" t="s">
        <v>84</v>
      </c>
      <c r="I110" s="8" t="s">
        <v>83</v>
      </c>
      <c r="J110" s="8" t="s">
        <v>85</v>
      </c>
      <c r="K110" s="8" t="s">
        <v>86</v>
      </c>
      <c r="L110" s="8" t="s">
        <v>85</v>
      </c>
      <c r="M110" s="8" t="s">
        <v>66</v>
      </c>
      <c r="N110" s="8" t="s">
        <v>67</v>
      </c>
      <c r="O110" s="8" t="s">
        <v>66</v>
      </c>
      <c r="P110" s="8" t="s">
        <v>32</v>
      </c>
      <c r="T110" s="8">
        <f>MATCH(D110,Allocation!A:A,0)</f>
        <v>15</v>
      </c>
    </row>
    <row r="111" spans="1:20" x14ac:dyDescent="0.35">
      <c r="A111" s="8" t="s">
        <v>170</v>
      </c>
      <c r="B111" s="8" t="s">
        <v>171</v>
      </c>
      <c r="C111" s="8" t="s">
        <v>9</v>
      </c>
      <c r="D111" s="8" t="s">
        <v>82</v>
      </c>
      <c r="E111" s="8">
        <v>-728.57</v>
      </c>
      <c r="F111" s="8" t="s">
        <v>168</v>
      </c>
      <c r="G111" s="8" t="s">
        <v>83</v>
      </c>
      <c r="H111" s="8" t="s">
        <v>84</v>
      </c>
      <c r="I111" s="8" t="s">
        <v>83</v>
      </c>
      <c r="J111" s="8" t="s">
        <v>85</v>
      </c>
      <c r="K111" s="8" t="s">
        <v>86</v>
      </c>
      <c r="L111" s="8" t="s">
        <v>85</v>
      </c>
      <c r="M111" s="8" t="s">
        <v>66</v>
      </c>
      <c r="N111" s="8" t="s">
        <v>67</v>
      </c>
      <c r="O111" s="8" t="s">
        <v>66</v>
      </c>
      <c r="P111" s="8" t="s">
        <v>32</v>
      </c>
      <c r="T111" s="8">
        <f>MATCH(D111,Allocation!A:A,0)</f>
        <v>15</v>
      </c>
    </row>
    <row r="112" spans="1:20" x14ac:dyDescent="0.35">
      <c r="A112" s="8" t="s">
        <v>172</v>
      </c>
      <c r="B112" s="8" t="s">
        <v>173</v>
      </c>
      <c r="C112" s="8" t="s">
        <v>10</v>
      </c>
      <c r="D112" s="8" t="s">
        <v>82</v>
      </c>
      <c r="E112" s="8">
        <v>960</v>
      </c>
      <c r="F112" s="8" t="s">
        <v>34</v>
      </c>
      <c r="G112" s="8" t="s">
        <v>83</v>
      </c>
      <c r="H112" s="8" t="s">
        <v>84</v>
      </c>
      <c r="I112" s="8" t="s">
        <v>83</v>
      </c>
      <c r="J112" s="8" t="s">
        <v>85</v>
      </c>
      <c r="K112" s="8" t="s">
        <v>86</v>
      </c>
      <c r="L112" s="8" t="s">
        <v>85</v>
      </c>
      <c r="M112" s="8" t="s">
        <v>66</v>
      </c>
      <c r="N112" s="8" t="s">
        <v>67</v>
      </c>
      <c r="O112" s="8" t="s">
        <v>66</v>
      </c>
      <c r="P112" s="8" t="s">
        <v>32</v>
      </c>
      <c r="T112" s="8">
        <f>MATCH(D112,Allocation!A:A,0)</f>
        <v>15</v>
      </c>
    </row>
    <row r="113" spans="1:20" x14ac:dyDescent="0.35">
      <c r="A113" s="8" t="s">
        <v>174</v>
      </c>
      <c r="B113" s="8" t="s">
        <v>171</v>
      </c>
      <c r="C113" s="8" t="s">
        <v>9</v>
      </c>
      <c r="D113" s="8" t="s">
        <v>82</v>
      </c>
      <c r="E113" s="8">
        <v>-200.34</v>
      </c>
      <c r="F113" s="8" t="s">
        <v>168</v>
      </c>
      <c r="G113" s="8" t="s">
        <v>83</v>
      </c>
      <c r="H113" s="8" t="s">
        <v>84</v>
      </c>
      <c r="I113" s="8" t="s">
        <v>83</v>
      </c>
      <c r="J113" s="8" t="s">
        <v>85</v>
      </c>
      <c r="K113" s="8" t="s">
        <v>86</v>
      </c>
      <c r="L113" s="8" t="s">
        <v>85</v>
      </c>
      <c r="M113" s="8" t="s">
        <v>66</v>
      </c>
      <c r="N113" s="8" t="s">
        <v>67</v>
      </c>
      <c r="O113" s="8" t="s">
        <v>66</v>
      </c>
      <c r="P113" s="8" t="s">
        <v>32</v>
      </c>
      <c r="T113" s="8">
        <f>MATCH(D113,Allocation!A:A,0)</f>
        <v>15</v>
      </c>
    </row>
    <row r="114" spans="1:20" x14ac:dyDescent="0.35">
      <c r="A114" s="8" t="s">
        <v>174</v>
      </c>
      <c r="B114" s="8" t="s">
        <v>32</v>
      </c>
      <c r="C114" s="8" t="s">
        <v>8</v>
      </c>
      <c r="D114" s="8" t="s">
        <v>82</v>
      </c>
      <c r="E114" s="8">
        <v>200.34</v>
      </c>
      <c r="F114" s="8" t="s">
        <v>34</v>
      </c>
      <c r="G114" s="8" t="s">
        <v>83</v>
      </c>
      <c r="H114" s="8" t="s">
        <v>84</v>
      </c>
      <c r="I114" s="8" t="s">
        <v>83</v>
      </c>
      <c r="J114" s="8" t="s">
        <v>85</v>
      </c>
      <c r="K114" s="8" t="s">
        <v>86</v>
      </c>
      <c r="L114" s="8" t="s">
        <v>85</v>
      </c>
      <c r="M114" s="8" t="s">
        <v>66</v>
      </c>
      <c r="N114" s="8" t="s">
        <v>67</v>
      </c>
      <c r="O114" s="8" t="s">
        <v>66</v>
      </c>
      <c r="P114" s="8" t="s">
        <v>32</v>
      </c>
      <c r="T114" s="8">
        <f>MATCH(D114,Allocation!A:A,0)</f>
        <v>15</v>
      </c>
    </row>
    <row r="115" spans="1:20" x14ac:dyDescent="0.35">
      <c r="A115" s="8" t="s">
        <v>31</v>
      </c>
      <c r="B115" s="8" t="s">
        <v>32</v>
      </c>
      <c r="C115" s="8" t="s">
        <v>6</v>
      </c>
      <c r="D115" s="8" t="s">
        <v>87</v>
      </c>
      <c r="E115" s="8">
        <v>42.87</v>
      </c>
      <c r="F115" s="8" t="s">
        <v>34</v>
      </c>
      <c r="G115" s="8" t="s">
        <v>88</v>
      </c>
      <c r="H115" s="8" t="s">
        <v>89</v>
      </c>
      <c r="I115" s="8" t="s">
        <v>88</v>
      </c>
      <c r="J115" s="8" t="s">
        <v>90</v>
      </c>
      <c r="K115" s="8" t="s">
        <v>91</v>
      </c>
      <c r="L115" s="8" t="s">
        <v>90</v>
      </c>
      <c r="M115" s="8" t="s">
        <v>92</v>
      </c>
      <c r="N115" s="8" t="s">
        <v>93</v>
      </c>
      <c r="O115" s="8" t="s">
        <v>92</v>
      </c>
      <c r="P115" s="8" t="s">
        <v>32</v>
      </c>
      <c r="T115" s="8">
        <f>MATCH(D115,Allocation!A:A,0)</f>
        <v>48</v>
      </c>
    </row>
    <row r="116" spans="1:20" x14ac:dyDescent="0.35">
      <c r="A116" s="8" t="s">
        <v>31</v>
      </c>
      <c r="B116" s="8" t="s">
        <v>37</v>
      </c>
      <c r="C116" s="8" t="s">
        <v>6</v>
      </c>
      <c r="D116" s="8" t="s">
        <v>87</v>
      </c>
      <c r="E116" s="8">
        <v>0</v>
      </c>
      <c r="F116" s="8" t="s">
        <v>34</v>
      </c>
      <c r="G116" s="8" t="s">
        <v>88</v>
      </c>
      <c r="H116" s="8" t="s">
        <v>89</v>
      </c>
      <c r="I116" s="8" t="s">
        <v>88</v>
      </c>
      <c r="J116" s="8" t="s">
        <v>90</v>
      </c>
      <c r="K116" s="8" t="s">
        <v>91</v>
      </c>
      <c r="L116" s="8" t="s">
        <v>90</v>
      </c>
      <c r="M116" s="8" t="s">
        <v>92</v>
      </c>
      <c r="N116" s="8" t="s">
        <v>93</v>
      </c>
      <c r="O116" s="8" t="s">
        <v>92</v>
      </c>
      <c r="P116" s="8" t="s">
        <v>32</v>
      </c>
      <c r="T116" s="8">
        <f>MATCH(D116,Allocation!A:A,0)</f>
        <v>48</v>
      </c>
    </row>
    <row r="117" spans="1:20" x14ac:dyDescent="0.35">
      <c r="A117" s="8" t="s">
        <v>166</v>
      </c>
      <c r="B117" s="8" t="s">
        <v>32</v>
      </c>
      <c r="C117" s="8" t="s">
        <v>7</v>
      </c>
      <c r="D117" s="8" t="s">
        <v>87</v>
      </c>
      <c r="E117" s="8">
        <v>-31.01</v>
      </c>
      <c r="F117" s="8" t="s">
        <v>168</v>
      </c>
      <c r="G117" s="8" t="s">
        <v>88</v>
      </c>
      <c r="H117" s="8" t="s">
        <v>89</v>
      </c>
      <c r="I117" s="8" t="s">
        <v>88</v>
      </c>
      <c r="J117" s="8" t="s">
        <v>90</v>
      </c>
      <c r="K117" s="8" t="s">
        <v>91</v>
      </c>
      <c r="L117" s="8" t="s">
        <v>90</v>
      </c>
      <c r="M117" s="8" t="s">
        <v>92</v>
      </c>
      <c r="N117" s="8" t="s">
        <v>93</v>
      </c>
      <c r="O117" s="8" t="s">
        <v>92</v>
      </c>
      <c r="P117" s="8" t="s">
        <v>32</v>
      </c>
      <c r="T117" s="8">
        <f>MATCH(D117,Allocation!A:A,0)</f>
        <v>48</v>
      </c>
    </row>
    <row r="118" spans="1:20" x14ac:dyDescent="0.35">
      <c r="A118" s="8" t="s">
        <v>166</v>
      </c>
      <c r="B118" s="8" t="s">
        <v>32</v>
      </c>
      <c r="C118" s="8" t="s">
        <v>8</v>
      </c>
      <c r="D118" s="8" t="s">
        <v>87</v>
      </c>
      <c r="E118" s="8">
        <v>-145.93</v>
      </c>
      <c r="F118" s="8" t="s">
        <v>168</v>
      </c>
      <c r="G118" s="8" t="s">
        <v>88</v>
      </c>
      <c r="H118" s="8" t="s">
        <v>89</v>
      </c>
      <c r="I118" s="8" t="s">
        <v>88</v>
      </c>
      <c r="J118" s="8" t="s">
        <v>90</v>
      </c>
      <c r="K118" s="8" t="s">
        <v>91</v>
      </c>
      <c r="L118" s="8" t="s">
        <v>90</v>
      </c>
      <c r="M118" s="8" t="s">
        <v>92</v>
      </c>
      <c r="N118" s="8" t="s">
        <v>93</v>
      </c>
      <c r="O118" s="8" t="s">
        <v>92</v>
      </c>
      <c r="P118" s="8" t="s">
        <v>32</v>
      </c>
      <c r="T118" s="8">
        <f>MATCH(D118,Allocation!A:A,0)</f>
        <v>48</v>
      </c>
    </row>
    <row r="119" spans="1:20" x14ac:dyDescent="0.35">
      <c r="A119" s="8" t="s">
        <v>170</v>
      </c>
      <c r="B119" s="8" t="s">
        <v>171</v>
      </c>
      <c r="C119" s="8" t="s">
        <v>9</v>
      </c>
      <c r="D119" s="8" t="s">
        <v>87</v>
      </c>
      <c r="E119" s="8">
        <v>-289.01</v>
      </c>
      <c r="F119" s="8" t="s">
        <v>168</v>
      </c>
      <c r="G119" s="8" t="s">
        <v>88</v>
      </c>
      <c r="H119" s="8" t="s">
        <v>89</v>
      </c>
      <c r="I119" s="8" t="s">
        <v>88</v>
      </c>
      <c r="J119" s="8" t="s">
        <v>90</v>
      </c>
      <c r="K119" s="8" t="s">
        <v>91</v>
      </c>
      <c r="L119" s="8" t="s">
        <v>90</v>
      </c>
      <c r="M119" s="8" t="s">
        <v>92</v>
      </c>
      <c r="N119" s="8" t="s">
        <v>93</v>
      </c>
      <c r="O119" s="8" t="s">
        <v>92</v>
      </c>
      <c r="P119" s="8" t="s">
        <v>32</v>
      </c>
      <c r="T119" s="8">
        <f>MATCH(D119,Allocation!A:A,0)</f>
        <v>48</v>
      </c>
    </row>
    <row r="120" spans="1:20" x14ac:dyDescent="0.35">
      <c r="A120" s="8" t="s">
        <v>172</v>
      </c>
      <c r="B120" s="8" t="s">
        <v>173</v>
      </c>
      <c r="C120" s="8" t="s">
        <v>10</v>
      </c>
      <c r="D120" s="8" t="s">
        <v>87</v>
      </c>
      <c r="E120" s="8">
        <v>423.08</v>
      </c>
      <c r="F120" s="8" t="s">
        <v>34</v>
      </c>
      <c r="G120" s="8" t="s">
        <v>88</v>
      </c>
      <c r="H120" s="8" t="s">
        <v>89</v>
      </c>
      <c r="I120" s="8" t="s">
        <v>88</v>
      </c>
      <c r="J120" s="8" t="s">
        <v>90</v>
      </c>
      <c r="K120" s="8" t="s">
        <v>91</v>
      </c>
      <c r="L120" s="8" t="s">
        <v>90</v>
      </c>
      <c r="M120" s="8" t="s">
        <v>92</v>
      </c>
      <c r="N120" s="8" t="s">
        <v>93</v>
      </c>
      <c r="O120" s="8" t="s">
        <v>92</v>
      </c>
      <c r="P120" s="8" t="s">
        <v>32</v>
      </c>
      <c r="T120" s="8">
        <f>MATCH(D120,Allocation!A:A,0)</f>
        <v>48</v>
      </c>
    </row>
    <row r="121" spans="1:20" x14ac:dyDescent="0.35">
      <c r="A121" s="8" t="s">
        <v>174</v>
      </c>
      <c r="B121" s="8" t="s">
        <v>171</v>
      </c>
      <c r="C121" s="8" t="s">
        <v>9</v>
      </c>
      <c r="D121" s="8" t="s">
        <v>87</v>
      </c>
      <c r="E121" s="8">
        <v>-145.93</v>
      </c>
      <c r="F121" s="8" t="s">
        <v>168</v>
      </c>
      <c r="G121" s="8" t="s">
        <v>88</v>
      </c>
      <c r="H121" s="8" t="s">
        <v>89</v>
      </c>
      <c r="I121" s="8" t="s">
        <v>88</v>
      </c>
      <c r="J121" s="8" t="s">
        <v>90</v>
      </c>
      <c r="K121" s="8" t="s">
        <v>91</v>
      </c>
      <c r="L121" s="8" t="s">
        <v>90</v>
      </c>
      <c r="M121" s="8" t="s">
        <v>92</v>
      </c>
      <c r="N121" s="8" t="s">
        <v>93</v>
      </c>
      <c r="O121" s="8" t="s">
        <v>92</v>
      </c>
      <c r="P121" s="8" t="s">
        <v>32</v>
      </c>
      <c r="T121" s="8">
        <f>MATCH(D121,Allocation!A:A,0)</f>
        <v>48</v>
      </c>
    </row>
    <row r="122" spans="1:20" x14ac:dyDescent="0.35">
      <c r="A122" s="8" t="s">
        <v>174</v>
      </c>
      <c r="B122" s="8" t="s">
        <v>32</v>
      </c>
      <c r="C122" s="8" t="s">
        <v>8</v>
      </c>
      <c r="D122" s="8" t="s">
        <v>87</v>
      </c>
      <c r="E122" s="8">
        <v>145.93</v>
      </c>
      <c r="F122" s="8" t="s">
        <v>34</v>
      </c>
      <c r="G122" s="8" t="s">
        <v>88</v>
      </c>
      <c r="H122" s="8" t="s">
        <v>89</v>
      </c>
      <c r="I122" s="8" t="s">
        <v>88</v>
      </c>
      <c r="J122" s="8" t="s">
        <v>90</v>
      </c>
      <c r="K122" s="8" t="s">
        <v>91</v>
      </c>
      <c r="L122" s="8" t="s">
        <v>90</v>
      </c>
      <c r="M122" s="8" t="s">
        <v>92</v>
      </c>
      <c r="N122" s="8" t="s">
        <v>93</v>
      </c>
      <c r="O122" s="8" t="s">
        <v>92</v>
      </c>
      <c r="P122" s="8" t="s">
        <v>32</v>
      </c>
      <c r="T122" s="8">
        <f>MATCH(D122,Allocation!A:A,0)</f>
        <v>48</v>
      </c>
    </row>
    <row r="123" spans="1:20" x14ac:dyDescent="0.35">
      <c r="A123" s="8" t="s">
        <v>31</v>
      </c>
      <c r="B123" s="8" t="s">
        <v>32</v>
      </c>
      <c r="C123" s="8" t="s">
        <v>6</v>
      </c>
      <c r="D123" s="8" t="s">
        <v>94</v>
      </c>
      <c r="E123" s="8">
        <v>83.43</v>
      </c>
      <c r="F123" s="8" t="s">
        <v>34</v>
      </c>
      <c r="G123" s="8" t="s">
        <v>88</v>
      </c>
      <c r="H123" s="8" t="s">
        <v>89</v>
      </c>
      <c r="I123" s="8" t="s">
        <v>88</v>
      </c>
      <c r="J123" s="8" t="s">
        <v>95</v>
      </c>
      <c r="K123" s="8" t="s">
        <v>96</v>
      </c>
      <c r="L123" s="8" t="s">
        <v>95</v>
      </c>
      <c r="M123" s="8" t="s">
        <v>61</v>
      </c>
      <c r="N123" s="8" t="s">
        <v>62</v>
      </c>
      <c r="O123" s="8" t="s">
        <v>61</v>
      </c>
      <c r="P123" s="8" t="s">
        <v>32</v>
      </c>
      <c r="T123" s="8">
        <f>MATCH(D123,Allocation!A:A,0)</f>
        <v>43</v>
      </c>
    </row>
    <row r="124" spans="1:20" x14ac:dyDescent="0.35">
      <c r="A124" s="8" t="s">
        <v>31</v>
      </c>
      <c r="B124" s="8" t="s">
        <v>37</v>
      </c>
      <c r="C124" s="8" t="s">
        <v>6</v>
      </c>
      <c r="D124" s="8" t="s">
        <v>94</v>
      </c>
      <c r="E124" s="8">
        <v>0</v>
      </c>
      <c r="F124" s="8" t="s">
        <v>34</v>
      </c>
      <c r="G124" s="8" t="s">
        <v>88</v>
      </c>
      <c r="H124" s="8" t="s">
        <v>89</v>
      </c>
      <c r="I124" s="8" t="s">
        <v>88</v>
      </c>
      <c r="J124" s="8" t="s">
        <v>95</v>
      </c>
      <c r="K124" s="8" t="s">
        <v>96</v>
      </c>
      <c r="L124" s="8" t="s">
        <v>95</v>
      </c>
      <c r="M124" s="8" t="s">
        <v>61</v>
      </c>
      <c r="N124" s="8" t="s">
        <v>62</v>
      </c>
      <c r="O124" s="8" t="s">
        <v>61</v>
      </c>
      <c r="P124" s="8" t="s">
        <v>32</v>
      </c>
      <c r="T124" s="8">
        <f>MATCH(D124,Allocation!A:A,0)</f>
        <v>43</v>
      </c>
    </row>
    <row r="125" spans="1:20" x14ac:dyDescent="0.35">
      <c r="A125" s="8" t="s">
        <v>166</v>
      </c>
      <c r="B125" s="8" t="s">
        <v>169</v>
      </c>
      <c r="C125" s="8" t="s">
        <v>7</v>
      </c>
      <c r="D125" s="8" t="s">
        <v>94</v>
      </c>
      <c r="E125" s="8">
        <v>-23.86</v>
      </c>
      <c r="F125" s="8" t="s">
        <v>168</v>
      </c>
      <c r="G125" s="8" t="s">
        <v>88</v>
      </c>
      <c r="H125" s="8" t="s">
        <v>89</v>
      </c>
      <c r="I125" s="8" t="s">
        <v>88</v>
      </c>
      <c r="J125" s="8" t="s">
        <v>95</v>
      </c>
      <c r="K125" s="8" t="s">
        <v>96</v>
      </c>
      <c r="L125" s="8" t="s">
        <v>95</v>
      </c>
      <c r="M125" s="8" t="s">
        <v>61</v>
      </c>
      <c r="N125" s="8" t="s">
        <v>62</v>
      </c>
      <c r="O125" s="8" t="s">
        <v>61</v>
      </c>
      <c r="P125" s="8" t="s">
        <v>32</v>
      </c>
      <c r="T125" s="8">
        <f>MATCH(D125,Allocation!A:A,0)</f>
        <v>43</v>
      </c>
    </row>
    <row r="126" spans="1:20" x14ac:dyDescent="0.35">
      <c r="A126" s="8" t="s">
        <v>166</v>
      </c>
      <c r="B126" s="8" t="s">
        <v>32</v>
      </c>
      <c r="C126" s="8" t="s">
        <v>8</v>
      </c>
      <c r="D126" s="8" t="s">
        <v>94</v>
      </c>
      <c r="E126" s="8">
        <v>-290.52999999999997</v>
      </c>
      <c r="F126" s="8" t="s">
        <v>168</v>
      </c>
      <c r="G126" s="8" t="s">
        <v>88</v>
      </c>
      <c r="H126" s="8" t="s">
        <v>89</v>
      </c>
      <c r="I126" s="8" t="s">
        <v>88</v>
      </c>
      <c r="J126" s="8" t="s">
        <v>95</v>
      </c>
      <c r="K126" s="8" t="s">
        <v>96</v>
      </c>
      <c r="L126" s="8" t="s">
        <v>95</v>
      </c>
      <c r="M126" s="8" t="s">
        <v>61</v>
      </c>
      <c r="N126" s="8" t="s">
        <v>62</v>
      </c>
      <c r="O126" s="8" t="s">
        <v>61</v>
      </c>
      <c r="P126" s="8" t="s">
        <v>32</v>
      </c>
      <c r="T126" s="8">
        <f>MATCH(D126,Allocation!A:A,0)</f>
        <v>43</v>
      </c>
    </row>
    <row r="127" spans="1:20" x14ac:dyDescent="0.35">
      <c r="A127" s="8" t="s">
        <v>170</v>
      </c>
      <c r="B127" s="8" t="s">
        <v>171</v>
      </c>
      <c r="C127" s="8" t="s">
        <v>9</v>
      </c>
      <c r="D127" s="8" t="s">
        <v>94</v>
      </c>
      <c r="E127" s="8">
        <v>-586.29</v>
      </c>
      <c r="F127" s="8" t="s">
        <v>168</v>
      </c>
      <c r="G127" s="8" t="s">
        <v>88</v>
      </c>
      <c r="H127" s="8" t="s">
        <v>89</v>
      </c>
      <c r="I127" s="8" t="s">
        <v>88</v>
      </c>
      <c r="J127" s="8" t="s">
        <v>95</v>
      </c>
      <c r="K127" s="8" t="s">
        <v>96</v>
      </c>
      <c r="L127" s="8" t="s">
        <v>95</v>
      </c>
      <c r="M127" s="8" t="s">
        <v>61</v>
      </c>
      <c r="N127" s="8" t="s">
        <v>62</v>
      </c>
      <c r="O127" s="8" t="s">
        <v>61</v>
      </c>
      <c r="P127" s="8" t="s">
        <v>32</v>
      </c>
      <c r="T127" s="8">
        <f>MATCH(D127,Allocation!A:A,0)</f>
        <v>43</v>
      </c>
    </row>
    <row r="128" spans="1:20" x14ac:dyDescent="0.35">
      <c r="A128" s="8" t="s">
        <v>172</v>
      </c>
      <c r="B128" s="8" t="s">
        <v>173</v>
      </c>
      <c r="C128" s="8" t="s">
        <v>10</v>
      </c>
      <c r="D128" s="8" t="s">
        <v>94</v>
      </c>
      <c r="E128" s="8">
        <v>817.25</v>
      </c>
      <c r="F128" s="8" t="s">
        <v>34</v>
      </c>
      <c r="G128" s="8" t="s">
        <v>88</v>
      </c>
      <c r="H128" s="8" t="s">
        <v>89</v>
      </c>
      <c r="I128" s="8" t="s">
        <v>88</v>
      </c>
      <c r="J128" s="8" t="s">
        <v>95</v>
      </c>
      <c r="K128" s="8" t="s">
        <v>96</v>
      </c>
      <c r="L128" s="8" t="s">
        <v>95</v>
      </c>
      <c r="M128" s="8" t="s">
        <v>61</v>
      </c>
      <c r="N128" s="8" t="s">
        <v>62</v>
      </c>
      <c r="O128" s="8" t="s">
        <v>61</v>
      </c>
      <c r="P128" s="8" t="s">
        <v>32</v>
      </c>
      <c r="T128" s="8">
        <f>MATCH(D128,Allocation!A:A,0)</f>
        <v>43</v>
      </c>
    </row>
    <row r="129" spans="1:20" x14ac:dyDescent="0.35">
      <c r="A129" s="8" t="s">
        <v>174</v>
      </c>
      <c r="B129" s="8" t="s">
        <v>171</v>
      </c>
      <c r="C129" s="8" t="s">
        <v>9</v>
      </c>
      <c r="D129" s="8" t="s">
        <v>94</v>
      </c>
      <c r="E129" s="8">
        <v>-290.52999999999997</v>
      </c>
      <c r="F129" s="8" t="s">
        <v>168</v>
      </c>
      <c r="G129" s="8" t="s">
        <v>88</v>
      </c>
      <c r="H129" s="8" t="s">
        <v>89</v>
      </c>
      <c r="I129" s="8" t="s">
        <v>88</v>
      </c>
      <c r="J129" s="8" t="s">
        <v>95</v>
      </c>
      <c r="K129" s="8" t="s">
        <v>96</v>
      </c>
      <c r="L129" s="8" t="s">
        <v>95</v>
      </c>
      <c r="M129" s="8" t="s">
        <v>61</v>
      </c>
      <c r="N129" s="8" t="s">
        <v>62</v>
      </c>
      <c r="O129" s="8" t="s">
        <v>61</v>
      </c>
      <c r="P129" s="8" t="s">
        <v>32</v>
      </c>
      <c r="T129" s="8">
        <f>MATCH(D129,Allocation!A:A,0)</f>
        <v>43</v>
      </c>
    </row>
    <row r="130" spans="1:20" x14ac:dyDescent="0.35">
      <c r="A130" s="8" t="s">
        <v>174</v>
      </c>
      <c r="B130" s="8" t="s">
        <v>32</v>
      </c>
      <c r="C130" s="8" t="s">
        <v>8</v>
      </c>
      <c r="D130" s="8" t="s">
        <v>94</v>
      </c>
      <c r="E130" s="8">
        <v>290.52999999999997</v>
      </c>
      <c r="F130" s="8" t="s">
        <v>34</v>
      </c>
      <c r="G130" s="8" t="s">
        <v>88</v>
      </c>
      <c r="H130" s="8" t="s">
        <v>89</v>
      </c>
      <c r="I130" s="8" t="s">
        <v>88</v>
      </c>
      <c r="J130" s="8" t="s">
        <v>95</v>
      </c>
      <c r="K130" s="8" t="s">
        <v>96</v>
      </c>
      <c r="L130" s="8" t="s">
        <v>95</v>
      </c>
      <c r="M130" s="8" t="s">
        <v>61</v>
      </c>
      <c r="N130" s="8" t="s">
        <v>62</v>
      </c>
      <c r="O130" s="8" t="s">
        <v>61</v>
      </c>
      <c r="P130" s="8" t="s">
        <v>32</v>
      </c>
      <c r="T130" s="8">
        <f>MATCH(D130,Allocation!A:A,0)</f>
        <v>43</v>
      </c>
    </row>
    <row r="131" spans="1:20" x14ac:dyDescent="0.35">
      <c r="A131" s="8" t="s">
        <v>31</v>
      </c>
      <c r="B131" s="8" t="s">
        <v>32</v>
      </c>
      <c r="C131" s="8" t="s">
        <v>6</v>
      </c>
      <c r="D131" s="8" t="s">
        <v>312</v>
      </c>
      <c r="E131" s="8">
        <v>64.67</v>
      </c>
      <c r="F131" s="8" t="s">
        <v>34</v>
      </c>
      <c r="G131" s="8" t="s">
        <v>313</v>
      </c>
      <c r="H131" s="8" t="s">
        <v>242</v>
      </c>
      <c r="I131" s="8" t="s">
        <v>313</v>
      </c>
      <c r="J131" s="8" t="s">
        <v>104</v>
      </c>
      <c r="K131" s="8" t="s">
        <v>105</v>
      </c>
      <c r="L131" s="8" t="s">
        <v>104</v>
      </c>
      <c r="M131" s="8" t="s">
        <v>106</v>
      </c>
      <c r="N131" s="8" t="s">
        <v>107</v>
      </c>
      <c r="O131" s="8" t="s">
        <v>106</v>
      </c>
      <c r="P131" s="8" t="s">
        <v>32</v>
      </c>
      <c r="T131" s="8">
        <f>MATCH(D131,Allocation!A:A,0)</f>
        <v>31</v>
      </c>
    </row>
    <row r="132" spans="1:20" x14ac:dyDescent="0.35">
      <c r="A132" s="8" t="s">
        <v>31</v>
      </c>
      <c r="B132" s="8" t="s">
        <v>37</v>
      </c>
      <c r="C132" s="8" t="s">
        <v>6</v>
      </c>
      <c r="D132" s="8" t="s">
        <v>312</v>
      </c>
      <c r="E132" s="8">
        <v>0</v>
      </c>
      <c r="F132" s="8" t="s">
        <v>34</v>
      </c>
      <c r="G132" s="8" t="s">
        <v>313</v>
      </c>
      <c r="H132" s="8" t="s">
        <v>242</v>
      </c>
      <c r="I132" s="8" t="s">
        <v>313</v>
      </c>
      <c r="J132" s="8" t="s">
        <v>104</v>
      </c>
      <c r="K132" s="8" t="s">
        <v>105</v>
      </c>
      <c r="L132" s="8" t="s">
        <v>104</v>
      </c>
      <c r="M132" s="8" t="s">
        <v>106</v>
      </c>
      <c r="N132" s="8" t="s">
        <v>107</v>
      </c>
      <c r="O132" s="8" t="s">
        <v>106</v>
      </c>
      <c r="P132" s="8" t="s">
        <v>32</v>
      </c>
      <c r="T132" s="8">
        <f>MATCH(D132,Allocation!A:A,0)</f>
        <v>31</v>
      </c>
    </row>
    <row r="133" spans="1:20" x14ac:dyDescent="0.35">
      <c r="A133" s="8" t="s">
        <v>166</v>
      </c>
      <c r="B133" s="8" t="s">
        <v>169</v>
      </c>
      <c r="C133" s="8" t="s">
        <v>7</v>
      </c>
      <c r="D133" s="8" t="s">
        <v>312</v>
      </c>
      <c r="E133" s="8">
        <v>-39.53</v>
      </c>
      <c r="F133" s="8" t="s">
        <v>168</v>
      </c>
      <c r="G133" s="8" t="s">
        <v>313</v>
      </c>
      <c r="H133" s="8" t="s">
        <v>242</v>
      </c>
      <c r="I133" s="8" t="s">
        <v>313</v>
      </c>
      <c r="J133" s="8" t="s">
        <v>104</v>
      </c>
      <c r="K133" s="8" t="s">
        <v>105</v>
      </c>
      <c r="L133" s="8" t="s">
        <v>104</v>
      </c>
      <c r="M133" s="8" t="s">
        <v>106</v>
      </c>
      <c r="N133" s="8" t="s">
        <v>107</v>
      </c>
      <c r="O133" s="8" t="s">
        <v>106</v>
      </c>
      <c r="P133" s="8" t="s">
        <v>32</v>
      </c>
      <c r="T133" s="8">
        <f>MATCH(D133,Allocation!A:A,0)</f>
        <v>31</v>
      </c>
    </row>
    <row r="134" spans="1:20" x14ac:dyDescent="0.35">
      <c r="A134" s="8" t="s">
        <v>166</v>
      </c>
      <c r="B134" s="8" t="s">
        <v>32</v>
      </c>
      <c r="C134" s="8" t="s">
        <v>8</v>
      </c>
      <c r="D134" s="8" t="s">
        <v>312</v>
      </c>
      <c r="E134" s="8">
        <v>-200.08</v>
      </c>
      <c r="F134" s="8" t="s">
        <v>168</v>
      </c>
      <c r="G134" s="8" t="s">
        <v>313</v>
      </c>
      <c r="H134" s="8" t="s">
        <v>242</v>
      </c>
      <c r="I134" s="8" t="s">
        <v>313</v>
      </c>
      <c r="J134" s="8" t="s">
        <v>104</v>
      </c>
      <c r="K134" s="8" t="s">
        <v>105</v>
      </c>
      <c r="L134" s="8" t="s">
        <v>104</v>
      </c>
      <c r="M134" s="8" t="s">
        <v>106</v>
      </c>
      <c r="N134" s="8" t="s">
        <v>107</v>
      </c>
      <c r="O134" s="8" t="s">
        <v>106</v>
      </c>
      <c r="P134" s="8" t="s">
        <v>32</v>
      </c>
      <c r="T134" s="8">
        <f>MATCH(D134,Allocation!A:A,0)</f>
        <v>31</v>
      </c>
    </row>
    <row r="135" spans="1:20" x14ac:dyDescent="0.35">
      <c r="A135" s="8" t="s">
        <v>170</v>
      </c>
      <c r="B135" s="8" t="s">
        <v>171</v>
      </c>
      <c r="C135" s="8" t="s">
        <v>9</v>
      </c>
      <c r="D135" s="8" t="s">
        <v>312</v>
      </c>
      <c r="E135" s="8">
        <v>-474.1</v>
      </c>
      <c r="F135" s="8" t="s">
        <v>168</v>
      </c>
      <c r="G135" s="8" t="s">
        <v>313</v>
      </c>
      <c r="H135" s="8" t="s">
        <v>242</v>
      </c>
      <c r="I135" s="8" t="s">
        <v>313</v>
      </c>
      <c r="J135" s="8" t="s">
        <v>104</v>
      </c>
      <c r="K135" s="8" t="s">
        <v>105</v>
      </c>
      <c r="L135" s="8" t="s">
        <v>104</v>
      </c>
      <c r="M135" s="8" t="s">
        <v>106</v>
      </c>
      <c r="N135" s="8" t="s">
        <v>107</v>
      </c>
      <c r="O135" s="8" t="s">
        <v>106</v>
      </c>
      <c r="P135" s="8" t="s">
        <v>32</v>
      </c>
      <c r="T135" s="8">
        <f>MATCH(D135,Allocation!A:A,0)</f>
        <v>31</v>
      </c>
    </row>
    <row r="136" spans="1:20" x14ac:dyDescent="0.35">
      <c r="A136" s="8" t="s">
        <v>172</v>
      </c>
      <c r="B136" s="8" t="s">
        <v>173</v>
      </c>
      <c r="C136" s="8" t="s">
        <v>10</v>
      </c>
      <c r="D136" s="8" t="s">
        <v>312</v>
      </c>
      <c r="E136" s="8">
        <v>649.04</v>
      </c>
      <c r="F136" s="8" t="s">
        <v>34</v>
      </c>
      <c r="G136" s="8" t="s">
        <v>313</v>
      </c>
      <c r="H136" s="8" t="s">
        <v>242</v>
      </c>
      <c r="I136" s="8" t="s">
        <v>313</v>
      </c>
      <c r="J136" s="8" t="s">
        <v>104</v>
      </c>
      <c r="K136" s="8" t="s">
        <v>105</v>
      </c>
      <c r="L136" s="8" t="s">
        <v>104</v>
      </c>
      <c r="M136" s="8" t="s">
        <v>106</v>
      </c>
      <c r="N136" s="8" t="s">
        <v>107</v>
      </c>
      <c r="O136" s="8" t="s">
        <v>106</v>
      </c>
      <c r="P136" s="8" t="s">
        <v>32</v>
      </c>
      <c r="T136" s="8">
        <f>MATCH(D136,Allocation!A:A,0)</f>
        <v>31</v>
      </c>
    </row>
    <row r="137" spans="1:20" x14ac:dyDescent="0.35">
      <c r="A137" s="8" t="s">
        <v>174</v>
      </c>
      <c r="B137" s="8" t="s">
        <v>171</v>
      </c>
      <c r="C137" s="8" t="s">
        <v>9</v>
      </c>
      <c r="D137" s="8" t="s">
        <v>312</v>
      </c>
      <c r="E137" s="8">
        <v>-200.08</v>
      </c>
      <c r="F137" s="8" t="s">
        <v>168</v>
      </c>
      <c r="G137" s="8" t="s">
        <v>313</v>
      </c>
      <c r="H137" s="8" t="s">
        <v>242</v>
      </c>
      <c r="I137" s="8" t="s">
        <v>313</v>
      </c>
      <c r="J137" s="8" t="s">
        <v>104</v>
      </c>
      <c r="K137" s="8" t="s">
        <v>105</v>
      </c>
      <c r="L137" s="8" t="s">
        <v>104</v>
      </c>
      <c r="M137" s="8" t="s">
        <v>106</v>
      </c>
      <c r="N137" s="8" t="s">
        <v>107</v>
      </c>
      <c r="O137" s="8" t="s">
        <v>106</v>
      </c>
      <c r="P137" s="8" t="s">
        <v>32</v>
      </c>
      <c r="T137" s="8">
        <f>MATCH(D137,Allocation!A:A,0)</f>
        <v>31</v>
      </c>
    </row>
    <row r="138" spans="1:20" x14ac:dyDescent="0.35">
      <c r="A138" s="8" t="s">
        <v>174</v>
      </c>
      <c r="B138" s="8" t="s">
        <v>32</v>
      </c>
      <c r="C138" s="8" t="s">
        <v>8</v>
      </c>
      <c r="D138" s="8" t="s">
        <v>312</v>
      </c>
      <c r="E138" s="8">
        <v>200.08</v>
      </c>
      <c r="F138" s="8" t="s">
        <v>34</v>
      </c>
      <c r="G138" s="8" t="s">
        <v>313</v>
      </c>
      <c r="H138" s="8" t="s">
        <v>242</v>
      </c>
      <c r="I138" s="8" t="s">
        <v>313</v>
      </c>
      <c r="J138" s="8" t="s">
        <v>104</v>
      </c>
      <c r="K138" s="8" t="s">
        <v>105</v>
      </c>
      <c r="L138" s="8" t="s">
        <v>104</v>
      </c>
      <c r="M138" s="8" t="s">
        <v>106</v>
      </c>
      <c r="N138" s="8" t="s">
        <v>107</v>
      </c>
      <c r="O138" s="8" t="s">
        <v>106</v>
      </c>
      <c r="P138" s="8" t="s">
        <v>32</v>
      </c>
      <c r="T138" s="8">
        <f>MATCH(D138,Allocation!A:A,0)</f>
        <v>31</v>
      </c>
    </row>
    <row r="139" spans="1:20" x14ac:dyDescent="0.35">
      <c r="A139" s="8" t="s">
        <v>31</v>
      </c>
      <c r="B139" s="8" t="s">
        <v>32</v>
      </c>
      <c r="C139" s="8" t="s">
        <v>6</v>
      </c>
      <c r="D139" s="8" t="s">
        <v>101</v>
      </c>
      <c r="E139" s="8">
        <v>79.08</v>
      </c>
      <c r="F139" s="8" t="s">
        <v>34</v>
      </c>
      <c r="G139" s="8" t="s">
        <v>102</v>
      </c>
      <c r="H139" s="8" t="s">
        <v>103</v>
      </c>
      <c r="I139" s="8" t="s">
        <v>102</v>
      </c>
      <c r="J139" s="8" t="s">
        <v>104</v>
      </c>
      <c r="K139" s="8" t="s">
        <v>105</v>
      </c>
      <c r="L139" s="8" t="s">
        <v>104</v>
      </c>
      <c r="M139" s="8" t="s">
        <v>106</v>
      </c>
      <c r="N139" s="8" t="s">
        <v>107</v>
      </c>
      <c r="O139" s="8" t="s">
        <v>106</v>
      </c>
      <c r="P139" s="8" t="s">
        <v>32</v>
      </c>
      <c r="T139" s="8">
        <f>MATCH(D139,Allocation!A:A,0)</f>
        <v>32</v>
      </c>
    </row>
    <row r="140" spans="1:20" x14ac:dyDescent="0.35">
      <c r="A140" s="8" t="s">
        <v>31</v>
      </c>
      <c r="B140" s="8" t="s">
        <v>37</v>
      </c>
      <c r="C140" s="8" t="s">
        <v>6</v>
      </c>
      <c r="D140" s="8" t="s">
        <v>101</v>
      </c>
      <c r="E140" s="8">
        <v>0</v>
      </c>
      <c r="F140" s="8" t="s">
        <v>34</v>
      </c>
      <c r="G140" s="8" t="s">
        <v>102</v>
      </c>
      <c r="H140" s="8" t="s">
        <v>103</v>
      </c>
      <c r="I140" s="8" t="s">
        <v>102</v>
      </c>
      <c r="J140" s="8" t="s">
        <v>104</v>
      </c>
      <c r="K140" s="8" t="s">
        <v>105</v>
      </c>
      <c r="L140" s="8" t="s">
        <v>104</v>
      </c>
      <c r="M140" s="8" t="s">
        <v>106</v>
      </c>
      <c r="N140" s="8" t="s">
        <v>107</v>
      </c>
      <c r="O140" s="8" t="s">
        <v>106</v>
      </c>
      <c r="P140" s="8" t="s">
        <v>32</v>
      </c>
      <c r="T140" s="8">
        <f>MATCH(D140,Allocation!A:A,0)</f>
        <v>32</v>
      </c>
    </row>
    <row r="141" spans="1:20" x14ac:dyDescent="0.35">
      <c r="A141" s="8" t="s">
        <v>166</v>
      </c>
      <c r="B141" s="8" t="s">
        <v>169</v>
      </c>
      <c r="C141" s="8" t="s">
        <v>7</v>
      </c>
      <c r="D141" s="8" t="s">
        <v>101</v>
      </c>
      <c r="E141" s="8">
        <v>-48.33</v>
      </c>
      <c r="F141" s="8" t="s">
        <v>168</v>
      </c>
      <c r="G141" s="8" t="s">
        <v>102</v>
      </c>
      <c r="H141" s="8" t="s">
        <v>103</v>
      </c>
      <c r="I141" s="8" t="s">
        <v>102</v>
      </c>
      <c r="J141" s="8" t="s">
        <v>104</v>
      </c>
      <c r="K141" s="8" t="s">
        <v>105</v>
      </c>
      <c r="L141" s="8" t="s">
        <v>104</v>
      </c>
      <c r="M141" s="8" t="s">
        <v>106</v>
      </c>
      <c r="N141" s="8" t="s">
        <v>107</v>
      </c>
      <c r="O141" s="8" t="s">
        <v>106</v>
      </c>
      <c r="P141" s="8" t="s">
        <v>32</v>
      </c>
      <c r="T141" s="8">
        <f>MATCH(D141,Allocation!A:A,0)</f>
        <v>32</v>
      </c>
    </row>
    <row r="142" spans="1:20" x14ac:dyDescent="0.35">
      <c r="A142" s="8" t="s">
        <v>166</v>
      </c>
      <c r="B142" s="8" t="s">
        <v>32</v>
      </c>
      <c r="C142" s="8" t="s">
        <v>8</v>
      </c>
      <c r="D142" s="8" t="s">
        <v>101</v>
      </c>
      <c r="E142" s="8">
        <v>-244.57</v>
      </c>
      <c r="F142" s="8" t="s">
        <v>168</v>
      </c>
      <c r="G142" s="8" t="s">
        <v>102</v>
      </c>
      <c r="H142" s="8" t="s">
        <v>103</v>
      </c>
      <c r="I142" s="8" t="s">
        <v>102</v>
      </c>
      <c r="J142" s="8" t="s">
        <v>104</v>
      </c>
      <c r="K142" s="8" t="s">
        <v>105</v>
      </c>
      <c r="L142" s="8" t="s">
        <v>104</v>
      </c>
      <c r="M142" s="8" t="s">
        <v>106</v>
      </c>
      <c r="N142" s="8" t="s">
        <v>107</v>
      </c>
      <c r="O142" s="8" t="s">
        <v>106</v>
      </c>
      <c r="P142" s="8" t="s">
        <v>32</v>
      </c>
      <c r="T142" s="8">
        <f>MATCH(D142,Allocation!A:A,0)</f>
        <v>32</v>
      </c>
    </row>
    <row r="143" spans="1:20" x14ac:dyDescent="0.35">
      <c r="A143" s="8" t="s">
        <v>170</v>
      </c>
      <c r="B143" s="8" t="s">
        <v>171</v>
      </c>
      <c r="C143" s="8" t="s">
        <v>9</v>
      </c>
      <c r="D143" s="8" t="s">
        <v>101</v>
      </c>
      <c r="E143" s="8">
        <v>-579.45000000000005</v>
      </c>
      <c r="F143" s="8" t="s">
        <v>168</v>
      </c>
      <c r="G143" s="8" t="s">
        <v>102</v>
      </c>
      <c r="H143" s="8" t="s">
        <v>103</v>
      </c>
      <c r="I143" s="8" t="s">
        <v>102</v>
      </c>
      <c r="J143" s="8" t="s">
        <v>104</v>
      </c>
      <c r="K143" s="8" t="s">
        <v>105</v>
      </c>
      <c r="L143" s="8" t="s">
        <v>104</v>
      </c>
      <c r="M143" s="8" t="s">
        <v>106</v>
      </c>
      <c r="N143" s="8" t="s">
        <v>107</v>
      </c>
      <c r="O143" s="8" t="s">
        <v>106</v>
      </c>
      <c r="P143" s="8" t="s">
        <v>32</v>
      </c>
      <c r="T143" s="8">
        <f>MATCH(D143,Allocation!A:A,0)</f>
        <v>32</v>
      </c>
    </row>
    <row r="144" spans="1:20" x14ac:dyDescent="0.35">
      <c r="A144" s="8" t="s">
        <v>172</v>
      </c>
      <c r="B144" s="8" t="s">
        <v>173</v>
      </c>
      <c r="C144" s="8" t="s">
        <v>10</v>
      </c>
      <c r="D144" s="8" t="s">
        <v>101</v>
      </c>
      <c r="E144" s="8">
        <v>793.27</v>
      </c>
      <c r="F144" s="8" t="s">
        <v>34</v>
      </c>
      <c r="G144" s="8" t="s">
        <v>102</v>
      </c>
      <c r="H144" s="8" t="s">
        <v>103</v>
      </c>
      <c r="I144" s="8" t="s">
        <v>102</v>
      </c>
      <c r="J144" s="8" t="s">
        <v>104</v>
      </c>
      <c r="K144" s="8" t="s">
        <v>105</v>
      </c>
      <c r="L144" s="8" t="s">
        <v>104</v>
      </c>
      <c r="M144" s="8" t="s">
        <v>106</v>
      </c>
      <c r="N144" s="8" t="s">
        <v>107</v>
      </c>
      <c r="O144" s="8" t="s">
        <v>106</v>
      </c>
      <c r="P144" s="8" t="s">
        <v>32</v>
      </c>
      <c r="T144" s="8">
        <f>MATCH(D144,Allocation!A:A,0)</f>
        <v>32</v>
      </c>
    </row>
    <row r="145" spans="1:20" x14ac:dyDescent="0.35">
      <c r="A145" s="8" t="s">
        <v>174</v>
      </c>
      <c r="B145" s="8" t="s">
        <v>171</v>
      </c>
      <c r="C145" s="8" t="s">
        <v>9</v>
      </c>
      <c r="D145" s="8" t="s">
        <v>101</v>
      </c>
      <c r="E145" s="8">
        <v>-244.57</v>
      </c>
      <c r="F145" s="8" t="s">
        <v>168</v>
      </c>
      <c r="G145" s="8" t="s">
        <v>102</v>
      </c>
      <c r="H145" s="8" t="s">
        <v>103</v>
      </c>
      <c r="I145" s="8" t="s">
        <v>102</v>
      </c>
      <c r="J145" s="8" t="s">
        <v>104</v>
      </c>
      <c r="K145" s="8" t="s">
        <v>105</v>
      </c>
      <c r="L145" s="8" t="s">
        <v>104</v>
      </c>
      <c r="M145" s="8" t="s">
        <v>106</v>
      </c>
      <c r="N145" s="8" t="s">
        <v>107</v>
      </c>
      <c r="O145" s="8" t="s">
        <v>106</v>
      </c>
      <c r="P145" s="8" t="s">
        <v>32</v>
      </c>
      <c r="T145" s="8">
        <f>MATCH(D145,Allocation!A:A,0)</f>
        <v>32</v>
      </c>
    </row>
    <row r="146" spans="1:20" x14ac:dyDescent="0.35">
      <c r="A146" s="8" t="s">
        <v>174</v>
      </c>
      <c r="B146" s="8" t="s">
        <v>32</v>
      </c>
      <c r="C146" s="8" t="s">
        <v>8</v>
      </c>
      <c r="D146" s="8" t="s">
        <v>101</v>
      </c>
      <c r="E146" s="8">
        <v>244.57</v>
      </c>
      <c r="F146" s="8" t="s">
        <v>34</v>
      </c>
      <c r="G146" s="8" t="s">
        <v>102</v>
      </c>
      <c r="H146" s="8" t="s">
        <v>103</v>
      </c>
      <c r="I146" s="8" t="s">
        <v>102</v>
      </c>
      <c r="J146" s="8" t="s">
        <v>104</v>
      </c>
      <c r="K146" s="8" t="s">
        <v>105</v>
      </c>
      <c r="L146" s="8" t="s">
        <v>104</v>
      </c>
      <c r="M146" s="8" t="s">
        <v>106</v>
      </c>
      <c r="N146" s="8" t="s">
        <v>107</v>
      </c>
      <c r="O146" s="8" t="s">
        <v>106</v>
      </c>
      <c r="P146" s="8" t="s">
        <v>32</v>
      </c>
      <c r="T146" s="8">
        <f>MATCH(D146,Allocation!A:A,0)</f>
        <v>32</v>
      </c>
    </row>
    <row r="147" spans="1:20" x14ac:dyDescent="0.35">
      <c r="A147" s="8" t="s">
        <v>31</v>
      </c>
      <c r="B147" s="8" t="s">
        <v>32</v>
      </c>
      <c r="C147" s="8" t="s">
        <v>6</v>
      </c>
      <c r="D147" s="8" t="s">
        <v>108</v>
      </c>
      <c r="E147" s="8">
        <v>250.27</v>
      </c>
      <c r="F147" s="8" t="s">
        <v>34</v>
      </c>
      <c r="G147" s="8" t="s">
        <v>102</v>
      </c>
      <c r="H147" s="8" t="s">
        <v>103</v>
      </c>
      <c r="I147" s="8" t="s">
        <v>102</v>
      </c>
      <c r="J147" s="8" t="s">
        <v>95</v>
      </c>
      <c r="K147" s="8" t="s">
        <v>96</v>
      </c>
      <c r="L147" s="8" t="s">
        <v>95</v>
      </c>
      <c r="M147" s="8" t="s">
        <v>61</v>
      </c>
      <c r="N147" s="8" t="s">
        <v>62</v>
      </c>
      <c r="O147" s="8" t="s">
        <v>61</v>
      </c>
      <c r="P147" s="8" t="s">
        <v>32</v>
      </c>
      <c r="T147" s="8">
        <f>MATCH(D147,Allocation!A:A,0)</f>
        <v>44</v>
      </c>
    </row>
    <row r="148" spans="1:20" x14ac:dyDescent="0.35">
      <c r="A148" s="8" t="s">
        <v>31</v>
      </c>
      <c r="B148" s="8" t="s">
        <v>37</v>
      </c>
      <c r="C148" s="8" t="s">
        <v>6</v>
      </c>
      <c r="D148" s="8" t="s">
        <v>108</v>
      </c>
      <c r="E148" s="8">
        <v>0</v>
      </c>
      <c r="F148" s="8" t="s">
        <v>34</v>
      </c>
      <c r="G148" s="8" t="s">
        <v>102</v>
      </c>
      <c r="H148" s="8" t="s">
        <v>103</v>
      </c>
      <c r="I148" s="8" t="s">
        <v>102</v>
      </c>
      <c r="J148" s="8" t="s">
        <v>95</v>
      </c>
      <c r="K148" s="8" t="s">
        <v>96</v>
      </c>
      <c r="L148" s="8" t="s">
        <v>95</v>
      </c>
      <c r="M148" s="8" t="s">
        <v>61</v>
      </c>
      <c r="N148" s="8" t="s">
        <v>62</v>
      </c>
      <c r="O148" s="8" t="s">
        <v>61</v>
      </c>
      <c r="P148" s="8" t="s">
        <v>32</v>
      </c>
      <c r="T148" s="8">
        <f>MATCH(D148,Allocation!A:A,0)</f>
        <v>44</v>
      </c>
    </row>
    <row r="149" spans="1:20" x14ac:dyDescent="0.35">
      <c r="A149" s="8" t="s">
        <v>166</v>
      </c>
      <c r="B149" s="8" t="s">
        <v>169</v>
      </c>
      <c r="C149" s="8" t="s">
        <v>7</v>
      </c>
      <c r="D149" s="8" t="s">
        <v>108</v>
      </c>
      <c r="E149" s="8">
        <v>-71.56</v>
      </c>
      <c r="F149" s="8" t="s">
        <v>168</v>
      </c>
      <c r="G149" s="8" t="s">
        <v>102</v>
      </c>
      <c r="H149" s="8" t="s">
        <v>103</v>
      </c>
      <c r="I149" s="8" t="s">
        <v>102</v>
      </c>
      <c r="J149" s="8" t="s">
        <v>95</v>
      </c>
      <c r="K149" s="8" t="s">
        <v>96</v>
      </c>
      <c r="L149" s="8" t="s">
        <v>95</v>
      </c>
      <c r="M149" s="8" t="s">
        <v>61</v>
      </c>
      <c r="N149" s="8" t="s">
        <v>62</v>
      </c>
      <c r="O149" s="8" t="s">
        <v>61</v>
      </c>
      <c r="P149" s="8" t="s">
        <v>32</v>
      </c>
      <c r="T149" s="8">
        <f>MATCH(D149,Allocation!A:A,0)</f>
        <v>44</v>
      </c>
    </row>
    <row r="150" spans="1:20" x14ac:dyDescent="0.35">
      <c r="A150" s="8" t="s">
        <v>166</v>
      </c>
      <c r="B150" s="8" t="s">
        <v>32</v>
      </c>
      <c r="C150" s="8" t="s">
        <v>8</v>
      </c>
      <c r="D150" s="8" t="s">
        <v>108</v>
      </c>
      <c r="E150" s="8">
        <v>-871.53</v>
      </c>
      <c r="F150" s="8" t="s">
        <v>168</v>
      </c>
      <c r="G150" s="8" t="s">
        <v>102</v>
      </c>
      <c r="H150" s="8" t="s">
        <v>103</v>
      </c>
      <c r="I150" s="8" t="s">
        <v>102</v>
      </c>
      <c r="J150" s="8" t="s">
        <v>95</v>
      </c>
      <c r="K150" s="8" t="s">
        <v>96</v>
      </c>
      <c r="L150" s="8" t="s">
        <v>95</v>
      </c>
      <c r="M150" s="8" t="s">
        <v>61</v>
      </c>
      <c r="N150" s="8" t="s">
        <v>62</v>
      </c>
      <c r="O150" s="8" t="s">
        <v>61</v>
      </c>
      <c r="P150" s="8" t="s">
        <v>32</v>
      </c>
      <c r="T150" s="8">
        <f>MATCH(D150,Allocation!A:A,0)</f>
        <v>44</v>
      </c>
    </row>
    <row r="151" spans="1:20" x14ac:dyDescent="0.35">
      <c r="A151" s="8" t="s">
        <v>170</v>
      </c>
      <c r="B151" s="8" t="s">
        <v>171</v>
      </c>
      <c r="C151" s="8" t="s">
        <v>9</v>
      </c>
      <c r="D151" s="8" t="s">
        <v>108</v>
      </c>
      <c r="E151" s="8">
        <v>-1758.93</v>
      </c>
      <c r="F151" s="8" t="s">
        <v>168</v>
      </c>
      <c r="G151" s="8" t="s">
        <v>102</v>
      </c>
      <c r="H151" s="8" t="s">
        <v>103</v>
      </c>
      <c r="I151" s="8" t="s">
        <v>102</v>
      </c>
      <c r="J151" s="8" t="s">
        <v>95</v>
      </c>
      <c r="K151" s="8" t="s">
        <v>96</v>
      </c>
      <c r="L151" s="8" t="s">
        <v>95</v>
      </c>
      <c r="M151" s="8" t="s">
        <v>61</v>
      </c>
      <c r="N151" s="8" t="s">
        <v>62</v>
      </c>
      <c r="O151" s="8" t="s">
        <v>61</v>
      </c>
      <c r="P151" s="8" t="s">
        <v>32</v>
      </c>
      <c r="T151" s="8">
        <f>MATCH(D151,Allocation!A:A,0)</f>
        <v>44</v>
      </c>
    </row>
    <row r="152" spans="1:20" x14ac:dyDescent="0.35">
      <c r="A152" s="8" t="s">
        <v>172</v>
      </c>
      <c r="B152" s="8" t="s">
        <v>173</v>
      </c>
      <c r="C152" s="8" t="s">
        <v>10</v>
      </c>
      <c r="D152" s="8" t="s">
        <v>108</v>
      </c>
      <c r="E152" s="8">
        <v>2451.75</v>
      </c>
      <c r="F152" s="8" t="s">
        <v>34</v>
      </c>
      <c r="G152" s="8" t="s">
        <v>102</v>
      </c>
      <c r="H152" s="8" t="s">
        <v>103</v>
      </c>
      <c r="I152" s="8" t="s">
        <v>102</v>
      </c>
      <c r="J152" s="8" t="s">
        <v>95</v>
      </c>
      <c r="K152" s="8" t="s">
        <v>96</v>
      </c>
      <c r="L152" s="8" t="s">
        <v>95</v>
      </c>
      <c r="M152" s="8" t="s">
        <v>61</v>
      </c>
      <c r="N152" s="8" t="s">
        <v>62</v>
      </c>
      <c r="O152" s="8" t="s">
        <v>61</v>
      </c>
      <c r="P152" s="8" t="s">
        <v>32</v>
      </c>
      <c r="T152" s="8">
        <f>MATCH(D152,Allocation!A:A,0)</f>
        <v>44</v>
      </c>
    </row>
    <row r="153" spans="1:20" x14ac:dyDescent="0.35">
      <c r="A153" s="8" t="s">
        <v>174</v>
      </c>
      <c r="B153" s="8" t="s">
        <v>171</v>
      </c>
      <c r="C153" s="8" t="s">
        <v>9</v>
      </c>
      <c r="D153" s="8" t="s">
        <v>108</v>
      </c>
      <c r="E153" s="8">
        <v>-871.53</v>
      </c>
      <c r="F153" s="8" t="s">
        <v>168</v>
      </c>
      <c r="G153" s="8" t="s">
        <v>102</v>
      </c>
      <c r="H153" s="8" t="s">
        <v>103</v>
      </c>
      <c r="I153" s="8" t="s">
        <v>102</v>
      </c>
      <c r="J153" s="8" t="s">
        <v>95</v>
      </c>
      <c r="K153" s="8" t="s">
        <v>96</v>
      </c>
      <c r="L153" s="8" t="s">
        <v>95</v>
      </c>
      <c r="M153" s="8" t="s">
        <v>61</v>
      </c>
      <c r="N153" s="8" t="s">
        <v>62</v>
      </c>
      <c r="O153" s="8" t="s">
        <v>61</v>
      </c>
      <c r="P153" s="8" t="s">
        <v>32</v>
      </c>
      <c r="T153" s="8">
        <f>MATCH(D153,Allocation!A:A,0)</f>
        <v>44</v>
      </c>
    </row>
    <row r="154" spans="1:20" x14ac:dyDescent="0.35">
      <c r="A154" s="8" t="s">
        <v>174</v>
      </c>
      <c r="B154" s="8" t="s">
        <v>32</v>
      </c>
      <c r="C154" s="8" t="s">
        <v>8</v>
      </c>
      <c r="D154" s="8" t="s">
        <v>108</v>
      </c>
      <c r="E154" s="8">
        <v>871.53</v>
      </c>
      <c r="F154" s="8" t="s">
        <v>34</v>
      </c>
      <c r="G154" s="8" t="s">
        <v>102</v>
      </c>
      <c r="H154" s="8" t="s">
        <v>103</v>
      </c>
      <c r="I154" s="8" t="s">
        <v>102</v>
      </c>
      <c r="J154" s="8" t="s">
        <v>95</v>
      </c>
      <c r="K154" s="8" t="s">
        <v>96</v>
      </c>
      <c r="L154" s="8" t="s">
        <v>95</v>
      </c>
      <c r="M154" s="8" t="s">
        <v>61</v>
      </c>
      <c r="N154" s="8" t="s">
        <v>62</v>
      </c>
      <c r="O154" s="8" t="s">
        <v>61</v>
      </c>
      <c r="P154" s="8" t="s">
        <v>32</v>
      </c>
      <c r="T154" s="8">
        <f>MATCH(D154,Allocation!A:A,0)</f>
        <v>44</v>
      </c>
    </row>
    <row r="155" spans="1:20" x14ac:dyDescent="0.35">
      <c r="A155" s="8" t="s">
        <v>31</v>
      </c>
      <c r="B155" s="8" t="s">
        <v>32</v>
      </c>
      <c r="C155" s="8" t="s">
        <v>6</v>
      </c>
      <c r="D155" s="8" t="s">
        <v>314</v>
      </c>
      <c r="E155" s="8">
        <v>148.84</v>
      </c>
      <c r="F155" s="8" t="s">
        <v>34</v>
      </c>
      <c r="G155" s="8" t="s">
        <v>111</v>
      </c>
      <c r="H155" s="8" t="s">
        <v>110</v>
      </c>
      <c r="I155" s="8" t="s">
        <v>111</v>
      </c>
      <c r="J155" s="8" t="s">
        <v>315</v>
      </c>
      <c r="K155" s="8" t="s">
        <v>316</v>
      </c>
      <c r="L155" s="8" t="s">
        <v>315</v>
      </c>
      <c r="M155" s="8" t="s">
        <v>114</v>
      </c>
      <c r="N155" s="8" t="s">
        <v>115</v>
      </c>
      <c r="O155" s="8" t="s">
        <v>114</v>
      </c>
      <c r="P155" s="8" t="s">
        <v>32</v>
      </c>
      <c r="T155" s="8">
        <f>MATCH(D155,Allocation!A:A,0)</f>
        <v>29</v>
      </c>
    </row>
    <row r="156" spans="1:20" x14ac:dyDescent="0.35">
      <c r="A156" s="8" t="s">
        <v>31</v>
      </c>
      <c r="B156" s="8" t="s">
        <v>37</v>
      </c>
      <c r="C156" s="8" t="s">
        <v>6</v>
      </c>
      <c r="D156" s="8" t="s">
        <v>314</v>
      </c>
      <c r="E156" s="8">
        <v>0</v>
      </c>
      <c r="F156" s="8" t="s">
        <v>34</v>
      </c>
      <c r="G156" s="8" t="s">
        <v>111</v>
      </c>
      <c r="H156" s="8" t="s">
        <v>110</v>
      </c>
      <c r="I156" s="8" t="s">
        <v>111</v>
      </c>
      <c r="J156" s="8" t="s">
        <v>315</v>
      </c>
      <c r="K156" s="8" t="s">
        <v>316</v>
      </c>
      <c r="L156" s="8" t="s">
        <v>315</v>
      </c>
      <c r="M156" s="8" t="s">
        <v>114</v>
      </c>
      <c r="N156" s="8" t="s">
        <v>115</v>
      </c>
      <c r="O156" s="8" t="s">
        <v>114</v>
      </c>
      <c r="P156" s="8" t="s">
        <v>32</v>
      </c>
      <c r="T156" s="8">
        <f>MATCH(D156,Allocation!A:A,0)</f>
        <v>29</v>
      </c>
    </row>
    <row r="157" spans="1:20" x14ac:dyDescent="0.35">
      <c r="A157" s="8" t="s">
        <v>166</v>
      </c>
      <c r="B157" s="8" t="s">
        <v>169</v>
      </c>
      <c r="C157" s="8" t="s">
        <v>7</v>
      </c>
      <c r="D157" s="8" t="s">
        <v>314</v>
      </c>
      <c r="E157" s="8">
        <v>-122.97</v>
      </c>
      <c r="F157" s="8" t="s">
        <v>168</v>
      </c>
      <c r="G157" s="8" t="s">
        <v>111</v>
      </c>
      <c r="H157" s="8" t="s">
        <v>110</v>
      </c>
      <c r="I157" s="8" t="s">
        <v>111</v>
      </c>
      <c r="J157" s="8" t="s">
        <v>315</v>
      </c>
      <c r="K157" s="8" t="s">
        <v>316</v>
      </c>
      <c r="L157" s="8" t="s">
        <v>315</v>
      </c>
      <c r="M157" s="8" t="s">
        <v>114</v>
      </c>
      <c r="N157" s="8" t="s">
        <v>115</v>
      </c>
      <c r="O157" s="8" t="s">
        <v>114</v>
      </c>
      <c r="P157" s="8" t="s">
        <v>32</v>
      </c>
      <c r="T157" s="8">
        <f>MATCH(D157,Allocation!A:A,0)</f>
        <v>29</v>
      </c>
    </row>
    <row r="158" spans="1:20" x14ac:dyDescent="0.35">
      <c r="A158" s="8" t="s">
        <v>166</v>
      </c>
      <c r="B158" s="8" t="s">
        <v>32</v>
      </c>
      <c r="C158" s="8" t="s">
        <v>8</v>
      </c>
      <c r="D158" s="8" t="s">
        <v>314</v>
      </c>
      <c r="E158" s="8">
        <v>-396.81</v>
      </c>
      <c r="F158" s="8" t="s">
        <v>168</v>
      </c>
      <c r="G158" s="8" t="s">
        <v>111</v>
      </c>
      <c r="H158" s="8" t="s">
        <v>110</v>
      </c>
      <c r="I158" s="8" t="s">
        <v>111</v>
      </c>
      <c r="J158" s="8" t="s">
        <v>315</v>
      </c>
      <c r="K158" s="8" t="s">
        <v>316</v>
      </c>
      <c r="L158" s="8" t="s">
        <v>315</v>
      </c>
      <c r="M158" s="8" t="s">
        <v>114</v>
      </c>
      <c r="N158" s="8" t="s">
        <v>115</v>
      </c>
      <c r="O158" s="8" t="s">
        <v>114</v>
      </c>
      <c r="P158" s="8" t="s">
        <v>32</v>
      </c>
      <c r="T158" s="8">
        <f>MATCH(D158,Allocation!A:A,0)</f>
        <v>29</v>
      </c>
    </row>
    <row r="159" spans="1:20" x14ac:dyDescent="0.35">
      <c r="A159" s="8" t="s">
        <v>170</v>
      </c>
      <c r="B159" s="8" t="s">
        <v>171</v>
      </c>
      <c r="C159" s="8" t="s">
        <v>9</v>
      </c>
      <c r="D159" s="8" t="s">
        <v>314</v>
      </c>
      <c r="E159" s="8">
        <v>-1167.53</v>
      </c>
      <c r="F159" s="8" t="s">
        <v>168</v>
      </c>
      <c r="G159" s="8" t="s">
        <v>111</v>
      </c>
      <c r="H159" s="8" t="s">
        <v>110</v>
      </c>
      <c r="I159" s="8" t="s">
        <v>111</v>
      </c>
      <c r="J159" s="8" t="s">
        <v>315</v>
      </c>
      <c r="K159" s="8" t="s">
        <v>316</v>
      </c>
      <c r="L159" s="8" t="s">
        <v>315</v>
      </c>
      <c r="M159" s="8" t="s">
        <v>114</v>
      </c>
      <c r="N159" s="8" t="s">
        <v>115</v>
      </c>
      <c r="O159" s="8" t="s">
        <v>114</v>
      </c>
      <c r="P159" s="8" t="s">
        <v>32</v>
      </c>
      <c r="T159" s="8">
        <f>MATCH(D159,Allocation!A:A,0)</f>
        <v>29</v>
      </c>
    </row>
    <row r="160" spans="1:20" x14ac:dyDescent="0.35">
      <c r="A160" s="8" t="s">
        <v>172</v>
      </c>
      <c r="B160" s="8" t="s">
        <v>173</v>
      </c>
      <c r="C160" s="8" t="s">
        <v>10</v>
      </c>
      <c r="D160" s="8" t="s">
        <v>314</v>
      </c>
      <c r="E160" s="8">
        <v>1538.47</v>
      </c>
      <c r="F160" s="8" t="s">
        <v>34</v>
      </c>
      <c r="G160" s="8" t="s">
        <v>111</v>
      </c>
      <c r="H160" s="8" t="s">
        <v>110</v>
      </c>
      <c r="I160" s="8" t="s">
        <v>111</v>
      </c>
      <c r="J160" s="8" t="s">
        <v>315</v>
      </c>
      <c r="K160" s="8" t="s">
        <v>316</v>
      </c>
      <c r="L160" s="8" t="s">
        <v>315</v>
      </c>
      <c r="M160" s="8" t="s">
        <v>114</v>
      </c>
      <c r="N160" s="8" t="s">
        <v>115</v>
      </c>
      <c r="O160" s="8" t="s">
        <v>114</v>
      </c>
      <c r="P160" s="8" t="s">
        <v>32</v>
      </c>
      <c r="T160" s="8">
        <f>MATCH(D160,Allocation!A:A,0)</f>
        <v>29</v>
      </c>
    </row>
    <row r="161" spans="1:20" x14ac:dyDescent="0.35">
      <c r="A161" s="8" t="s">
        <v>174</v>
      </c>
      <c r="B161" s="8" t="s">
        <v>171</v>
      </c>
      <c r="C161" s="8" t="s">
        <v>9</v>
      </c>
      <c r="D161" s="8" t="s">
        <v>314</v>
      </c>
      <c r="E161" s="8">
        <v>-396.81</v>
      </c>
      <c r="F161" s="8" t="s">
        <v>168</v>
      </c>
      <c r="G161" s="8" t="s">
        <v>111</v>
      </c>
      <c r="H161" s="8" t="s">
        <v>110</v>
      </c>
      <c r="I161" s="8" t="s">
        <v>111</v>
      </c>
      <c r="J161" s="8" t="s">
        <v>315</v>
      </c>
      <c r="K161" s="8" t="s">
        <v>316</v>
      </c>
      <c r="L161" s="8" t="s">
        <v>315</v>
      </c>
      <c r="M161" s="8" t="s">
        <v>114</v>
      </c>
      <c r="N161" s="8" t="s">
        <v>115</v>
      </c>
      <c r="O161" s="8" t="s">
        <v>114</v>
      </c>
      <c r="P161" s="8" t="s">
        <v>32</v>
      </c>
      <c r="T161" s="8">
        <f>MATCH(D161,Allocation!A:A,0)</f>
        <v>29</v>
      </c>
    </row>
    <row r="162" spans="1:20" x14ac:dyDescent="0.35">
      <c r="A162" s="8" t="s">
        <v>174</v>
      </c>
      <c r="B162" s="8" t="s">
        <v>32</v>
      </c>
      <c r="C162" s="8" t="s">
        <v>8</v>
      </c>
      <c r="D162" s="8" t="s">
        <v>314</v>
      </c>
      <c r="E162" s="8">
        <v>396.81</v>
      </c>
      <c r="F162" s="8" t="s">
        <v>34</v>
      </c>
      <c r="G162" s="8" t="s">
        <v>111</v>
      </c>
      <c r="H162" s="8" t="s">
        <v>110</v>
      </c>
      <c r="I162" s="8" t="s">
        <v>111</v>
      </c>
      <c r="J162" s="8" t="s">
        <v>315</v>
      </c>
      <c r="K162" s="8" t="s">
        <v>316</v>
      </c>
      <c r="L162" s="8" t="s">
        <v>315</v>
      </c>
      <c r="M162" s="8" t="s">
        <v>114</v>
      </c>
      <c r="N162" s="8" t="s">
        <v>115</v>
      </c>
      <c r="O162" s="8" t="s">
        <v>114</v>
      </c>
      <c r="P162" s="8" t="s">
        <v>32</v>
      </c>
      <c r="T162" s="8">
        <f>MATCH(D162,Allocation!A:A,0)</f>
        <v>29</v>
      </c>
    </row>
    <row r="163" spans="1:20" x14ac:dyDescent="0.35">
      <c r="A163" s="8" t="s">
        <v>31</v>
      </c>
      <c r="B163" s="8" t="s">
        <v>32</v>
      </c>
      <c r="C163" s="8" t="s">
        <v>6</v>
      </c>
      <c r="D163" s="8" t="s">
        <v>109</v>
      </c>
      <c r="E163" s="8">
        <v>95.56</v>
      </c>
      <c r="F163" s="8" t="s">
        <v>34</v>
      </c>
      <c r="G163" s="8" t="s">
        <v>111</v>
      </c>
      <c r="H163" s="8" t="s">
        <v>110</v>
      </c>
      <c r="I163" s="8" t="s">
        <v>111</v>
      </c>
      <c r="J163" s="8" t="s">
        <v>112</v>
      </c>
      <c r="K163" s="8" t="s">
        <v>113</v>
      </c>
      <c r="L163" s="8" t="s">
        <v>112</v>
      </c>
      <c r="M163" s="8" t="s">
        <v>114</v>
      </c>
      <c r="N163" s="8" t="s">
        <v>115</v>
      </c>
      <c r="O163" s="8" t="s">
        <v>114</v>
      </c>
      <c r="P163" s="8" t="s">
        <v>32</v>
      </c>
      <c r="T163" s="8">
        <f>MATCH(D163,Allocation!A:A,0)</f>
        <v>12</v>
      </c>
    </row>
    <row r="164" spans="1:20" x14ac:dyDescent="0.35">
      <c r="A164" s="8" t="s">
        <v>31</v>
      </c>
      <c r="B164" s="8" t="s">
        <v>37</v>
      </c>
      <c r="C164" s="8" t="s">
        <v>6</v>
      </c>
      <c r="D164" s="8" t="s">
        <v>109</v>
      </c>
      <c r="E164" s="8">
        <v>0</v>
      </c>
      <c r="F164" s="8" t="s">
        <v>34</v>
      </c>
      <c r="G164" s="8" t="s">
        <v>111</v>
      </c>
      <c r="H164" s="8" t="s">
        <v>110</v>
      </c>
      <c r="I164" s="8" t="s">
        <v>111</v>
      </c>
      <c r="J164" s="8" t="s">
        <v>112</v>
      </c>
      <c r="K164" s="8" t="s">
        <v>113</v>
      </c>
      <c r="L164" s="8" t="s">
        <v>112</v>
      </c>
      <c r="M164" s="8" t="s">
        <v>114</v>
      </c>
      <c r="N164" s="8" t="s">
        <v>115</v>
      </c>
      <c r="O164" s="8" t="s">
        <v>114</v>
      </c>
      <c r="P164" s="8" t="s">
        <v>32</v>
      </c>
      <c r="T164" s="8">
        <f>MATCH(D164,Allocation!A:A,0)</f>
        <v>12</v>
      </c>
    </row>
    <row r="165" spans="1:20" x14ac:dyDescent="0.35">
      <c r="A165" s="8" t="s">
        <v>166</v>
      </c>
      <c r="B165" s="8" t="s">
        <v>169</v>
      </c>
      <c r="C165" s="8" t="s">
        <v>7</v>
      </c>
      <c r="D165" s="8" t="s">
        <v>109</v>
      </c>
      <c r="E165" s="8">
        <v>-98.62</v>
      </c>
      <c r="F165" s="8" t="s">
        <v>168</v>
      </c>
      <c r="G165" s="8" t="s">
        <v>111</v>
      </c>
      <c r="H165" s="8" t="s">
        <v>110</v>
      </c>
      <c r="I165" s="8" t="s">
        <v>111</v>
      </c>
      <c r="J165" s="8" t="s">
        <v>112</v>
      </c>
      <c r="K165" s="8" t="s">
        <v>113</v>
      </c>
      <c r="L165" s="8" t="s">
        <v>112</v>
      </c>
      <c r="M165" s="8" t="s">
        <v>114</v>
      </c>
      <c r="N165" s="8" t="s">
        <v>115</v>
      </c>
      <c r="O165" s="8" t="s">
        <v>114</v>
      </c>
      <c r="P165" s="8" t="s">
        <v>32</v>
      </c>
      <c r="T165" s="8">
        <f>MATCH(D165,Allocation!A:A,0)</f>
        <v>12</v>
      </c>
    </row>
    <row r="166" spans="1:20" x14ac:dyDescent="0.35">
      <c r="A166" s="8" t="s">
        <v>166</v>
      </c>
      <c r="B166" s="8" t="s">
        <v>32</v>
      </c>
      <c r="C166" s="8" t="s">
        <v>8</v>
      </c>
      <c r="D166" s="8" t="s">
        <v>109</v>
      </c>
      <c r="E166" s="8">
        <v>-286.69</v>
      </c>
      <c r="F166" s="8" t="s">
        <v>168</v>
      </c>
      <c r="G166" s="8" t="s">
        <v>111</v>
      </c>
      <c r="H166" s="8" t="s">
        <v>110</v>
      </c>
      <c r="I166" s="8" t="s">
        <v>111</v>
      </c>
      <c r="J166" s="8" t="s">
        <v>112</v>
      </c>
      <c r="K166" s="8" t="s">
        <v>113</v>
      </c>
      <c r="L166" s="8" t="s">
        <v>112</v>
      </c>
      <c r="M166" s="8" t="s">
        <v>114</v>
      </c>
      <c r="N166" s="8" t="s">
        <v>115</v>
      </c>
      <c r="O166" s="8" t="s">
        <v>114</v>
      </c>
      <c r="P166" s="8" t="s">
        <v>32</v>
      </c>
      <c r="T166" s="8">
        <f>MATCH(D166,Allocation!A:A,0)</f>
        <v>12</v>
      </c>
    </row>
    <row r="167" spans="1:20" x14ac:dyDescent="0.35">
      <c r="A167" s="8" t="s">
        <v>170</v>
      </c>
      <c r="B167" s="8" t="s">
        <v>171</v>
      </c>
      <c r="C167" s="8" t="s">
        <v>9</v>
      </c>
      <c r="D167" s="8" t="s">
        <v>109</v>
      </c>
      <c r="E167" s="8">
        <v>-699.26</v>
      </c>
      <c r="F167" s="8" t="s">
        <v>168</v>
      </c>
      <c r="G167" s="8" t="s">
        <v>111</v>
      </c>
      <c r="H167" s="8" t="s">
        <v>110</v>
      </c>
      <c r="I167" s="8" t="s">
        <v>111</v>
      </c>
      <c r="J167" s="8" t="s">
        <v>112</v>
      </c>
      <c r="K167" s="8" t="s">
        <v>113</v>
      </c>
      <c r="L167" s="8" t="s">
        <v>112</v>
      </c>
      <c r="M167" s="8" t="s">
        <v>114</v>
      </c>
      <c r="N167" s="8" t="s">
        <v>115</v>
      </c>
      <c r="O167" s="8" t="s">
        <v>114</v>
      </c>
      <c r="P167" s="8" t="s">
        <v>32</v>
      </c>
      <c r="T167" s="8">
        <f>MATCH(D167,Allocation!A:A,0)</f>
        <v>12</v>
      </c>
    </row>
    <row r="168" spans="1:20" x14ac:dyDescent="0.35">
      <c r="A168" s="8" t="s">
        <v>172</v>
      </c>
      <c r="B168" s="8" t="s">
        <v>173</v>
      </c>
      <c r="C168" s="8" t="s">
        <v>10</v>
      </c>
      <c r="D168" s="8" t="s">
        <v>109</v>
      </c>
      <c r="E168" s="8">
        <v>989.01</v>
      </c>
      <c r="F168" s="8" t="s">
        <v>34</v>
      </c>
      <c r="G168" s="8" t="s">
        <v>111</v>
      </c>
      <c r="H168" s="8" t="s">
        <v>110</v>
      </c>
      <c r="I168" s="8" t="s">
        <v>111</v>
      </c>
      <c r="J168" s="8" t="s">
        <v>112</v>
      </c>
      <c r="K168" s="8" t="s">
        <v>113</v>
      </c>
      <c r="L168" s="8" t="s">
        <v>112</v>
      </c>
      <c r="M168" s="8" t="s">
        <v>114</v>
      </c>
      <c r="N168" s="8" t="s">
        <v>115</v>
      </c>
      <c r="O168" s="8" t="s">
        <v>114</v>
      </c>
      <c r="P168" s="8" t="s">
        <v>32</v>
      </c>
      <c r="T168" s="8">
        <f>MATCH(D168,Allocation!A:A,0)</f>
        <v>12</v>
      </c>
    </row>
    <row r="169" spans="1:20" x14ac:dyDescent="0.35">
      <c r="A169" s="8" t="s">
        <v>174</v>
      </c>
      <c r="B169" s="8" t="s">
        <v>171</v>
      </c>
      <c r="C169" s="8" t="s">
        <v>9</v>
      </c>
      <c r="D169" s="8" t="s">
        <v>109</v>
      </c>
      <c r="E169" s="8">
        <v>-286.69</v>
      </c>
      <c r="F169" s="8" t="s">
        <v>168</v>
      </c>
      <c r="G169" s="8" t="s">
        <v>111</v>
      </c>
      <c r="H169" s="8" t="s">
        <v>110</v>
      </c>
      <c r="I169" s="8" t="s">
        <v>111</v>
      </c>
      <c r="J169" s="8" t="s">
        <v>112</v>
      </c>
      <c r="K169" s="8" t="s">
        <v>113</v>
      </c>
      <c r="L169" s="8" t="s">
        <v>112</v>
      </c>
      <c r="M169" s="8" t="s">
        <v>114</v>
      </c>
      <c r="N169" s="8" t="s">
        <v>115</v>
      </c>
      <c r="O169" s="8" t="s">
        <v>114</v>
      </c>
      <c r="P169" s="8" t="s">
        <v>32</v>
      </c>
      <c r="T169" s="8">
        <f>MATCH(D169,Allocation!A:A,0)</f>
        <v>12</v>
      </c>
    </row>
    <row r="170" spans="1:20" x14ac:dyDescent="0.35">
      <c r="A170" s="8" t="s">
        <v>174</v>
      </c>
      <c r="B170" s="8" t="s">
        <v>32</v>
      </c>
      <c r="C170" s="8" t="s">
        <v>8</v>
      </c>
      <c r="D170" s="8" t="s">
        <v>109</v>
      </c>
      <c r="E170" s="8">
        <v>286.69</v>
      </c>
      <c r="F170" s="8" t="s">
        <v>34</v>
      </c>
      <c r="G170" s="8" t="s">
        <v>111</v>
      </c>
      <c r="H170" s="8" t="s">
        <v>110</v>
      </c>
      <c r="I170" s="8" t="s">
        <v>111</v>
      </c>
      <c r="J170" s="8" t="s">
        <v>112</v>
      </c>
      <c r="K170" s="8" t="s">
        <v>113</v>
      </c>
      <c r="L170" s="8" t="s">
        <v>112</v>
      </c>
      <c r="M170" s="8" t="s">
        <v>114</v>
      </c>
      <c r="N170" s="8" t="s">
        <v>115</v>
      </c>
      <c r="O170" s="8" t="s">
        <v>114</v>
      </c>
      <c r="P170" s="8" t="s">
        <v>32</v>
      </c>
      <c r="T170" s="8">
        <f>MATCH(D170,Allocation!A:A,0)</f>
        <v>12</v>
      </c>
    </row>
    <row r="171" spans="1:20" x14ac:dyDescent="0.35">
      <c r="A171" s="8" t="s">
        <v>31</v>
      </c>
      <c r="B171" s="8" t="s">
        <v>32</v>
      </c>
      <c r="C171" s="8" t="s">
        <v>6</v>
      </c>
      <c r="D171" s="8" t="s">
        <v>116</v>
      </c>
      <c r="E171" s="8">
        <v>60.27</v>
      </c>
      <c r="F171" s="8" t="s">
        <v>34</v>
      </c>
      <c r="G171" s="8" t="s">
        <v>111</v>
      </c>
      <c r="H171" s="8" t="s">
        <v>110</v>
      </c>
      <c r="I171" s="8" t="s">
        <v>111</v>
      </c>
      <c r="J171" s="8" t="s">
        <v>117</v>
      </c>
      <c r="K171" s="8" t="s">
        <v>118</v>
      </c>
      <c r="L171" s="8" t="s">
        <v>117</v>
      </c>
      <c r="M171" s="8" t="s">
        <v>114</v>
      </c>
      <c r="N171" s="8" t="s">
        <v>115</v>
      </c>
      <c r="O171" s="8" t="s">
        <v>114</v>
      </c>
      <c r="P171" s="8" t="s">
        <v>32</v>
      </c>
      <c r="T171" s="8">
        <f>MATCH(D171,Allocation!A:A,0)</f>
        <v>24</v>
      </c>
    </row>
    <row r="172" spans="1:20" x14ac:dyDescent="0.35">
      <c r="A172" s="8" t="s">
        <v>31</v>
      </c>
      <c r="B172" s="8" t="s">
        <v>37</v>
      </c>
      <c r="C172" s="8" t="s">
        <v>6</v>
      </c>
      <c r="D172" s="8" t="s">
        <v>116</v>
      </c>
      <c r="E172" s="8">
        <v>0</v>
      </c>
      <c r="F172" s="8" t="s">
        <v>34</v>
      </c>
      <c r="G172" s="8" t="s">
        <v>111</v>
      </c>
      <c r="H172" s="8" t="s">
        <v>110</v>
      </c>
      <c r="I172" s="8" t="s">
        <v>111</v>
      </c>
      <c r="J172" s="8" t="s">
        <v>117</v>
      </c>
      <c r="K172" s="8" t="s">
        <v>118</v>
      </c>
      <c r="L172" s="8" t="s">
        <v>117</v>
      </c>
      <c r="M172" s="8" t="s">
        <v>114</v>
      </c>
      <c r="N172" s="8" t="s">
        <v>115</v>
      </c>
      <c r="O172" s="8" t="s">
        <v>114</v>
      </c>
      <c r="P172" s="8" t="s">
        <v>32</v>
      </c>
      <c r="T172" s="8">
        <f>MATCH(D172,Allocation!A:A,0)</f>
        <v>24</v>
      </c>
    </row>
    <row r="173" spans="1:20" x14ac:dyDescent="0.35">
      <c r="A173" s="8" t="s">
        <v>166</v>
      </c>
      <c r="B173" s="8" t="s">
        <v>32</v>
      </c>
      <c r="C173" s="8" t="s">
        <v>8</v>
      </c>
      <c r="D173" s="8" t="s">
        <v>116</v>
      </c>
      <c r="E173" s="8">
        <v>-125.83</v>
      </c>
      <c r="F173" s="8" t="s">
        <v>168</v>
      </c>
      <c r="G173" s="8" t="s">
        <v>111</v>
      </c>
      <c r="H173" s="8" t="s">
        <v>110</v>
      </c>
      <c r="I173" s="8" t="s">
        <v>111</v>
      </c>
      <c r="J173" s="8" t="s">
        <v>117</v>
      </c>
      <c r="K173" s="8" t="s">
        <v>118</v>
      </c>
      <c r="L173" s="8" t="s">
        <v>117</v>
      </c>
      <c r="M173" s="8" t="s">
        <v>114</v>
      </c>
      <c r="N173" s="8" t="s">
        <v>115</v>
      </c>
      <c r="O173" s="8" t="s">
        <v>114</v>
      </c>
      <c r="P173" s="8" t="s">
        <v>32</v>
      </c>
      <c r="T173" s="8">
        <f>MATCH(D173,Allocation!A:A,0)</f>
        <v>24</v>
      </c>
    </row>
    <row r="174" spans="1:20" x14ac:dyDescent="0.35">
      <c r="A174" s="8" t="s">
        <v>170</v>
      </c>
      <c r="B174" s="8" t="s">
        <v>171</v>
      </c>
      <c r="C174" s="8" t="s">
        <v>9</v>
      </c>
      <c r="D174" s="8" t="s">
        <v>116</v>
      </c>
      <c r="E174" s="8">
        <v>-511.24</v>
      </c>
      <c r="F174" s="8" t="s">
        <v>168</v>
      </c>
      <c r="G174" s="8" t="s">
        <v>111</v>
      </c>
      <c r="H174" s="8" t="s">
        <v>110</v>
      </c>
      <c r="I174" s="8" t="s">
        <v>111</v>
      </c>
      <c r="J174" s="8" t="s">
        <v>117</v>
      </c>
      <c r="K174" s="8" t="s">
        <v>118</v>
      </c>
      <c r="L174" s="8" t="s">
        <v>117</v>
      </c>
      <c r="M174" s="8" t="s">
        <v>114</v>
      </c>
      <c r="N174" s="8" t="s">
        <v>115</v>
      </c>
      <c r="O174" s="8" t="s">
        <v>114</v>
      </c>
      <c r="P174" s="8" t="s">
        <v>32</v>
      </c>
      <c r="T174" s="8">
        <f>MATCH(D174,Allocation!A:A,0)</f>
        <v>24</v>
      </c>
    </row>
    <row r="175" spans="1:20" x14ac:dyDescent="0.35">
      <c r="A175" s="8" t="s">
        <v>172</v>
      </c>
      <c r="B175" s="8" t="s">
        <v>173</v>
      </c>
      <c r="C175" s="8" t="s">
        <v>10</v>
      </c>
      <c r="D175" s="8" t="s">
        <v>116</v>
      </c>
      <c r="E175" s="8">
        <v>576.79999999999995</v>
      </c>
      <c r="F175" s="8" t="s">
        <v>34</v>
      </c>
      <c r="G175" s="8" t="s">
        <v>111</v>
      </c>
      <c r="H175" s="8" t="s">
        <v>110</v>
      </c>
      <c r="I175" s="8" t="s">
        <v>111</v>
      </c>
      <c r="J175" s="8" t="s">
        <v>117</v>
      </c>
      <c r="K175" s="8" t="s">
        <v>118</v>
      </c>
      <c r="L175" s="8" t="s">
        <v>117</v>
      </c>
      <c r="M175" s="8" t="s">
        <v>114</v>
      </c>
      <c r="N175" s="8" t="s">
        <v>115</v>
      </c>
      <c r="O175" s="8" t="s">
        <v>114</v>
      </c>
      <c r="P175" s="8" t="s">
        <v>32</v>
      </c>
      <c r="T175" s="8">
        <f>MATCH(D175,Allocation!A:A,0)</f>
        <v>24</v>
      </c>
    </row>
    <row r="176" spans="1:20" x14ac:dyDescent="0.35">
      <c r="A176" s="8" t="s">
        <v>174</v>
      </c>
      <c r="B176" s="8" t="s">
        <v>171</v>
      </c>
      <c r="C176" s="8" t="s">
        <v>9</v>
      </c>
      <c r="D176" s="8" t="s">
        <v>116</v>
      </c>
      <c r="E176" s="8">
        <v>-125.83</v>
      </c>
      <c r="F176" s="8" t="s">
        <v>168</v>
      </c>
      <c r="G176" s="8" t="s">
        <v>111</v>
      </c>
      <c r="H176" s="8" t="s">
        <v>110</v>
      </c>
      <c r="I176" s="8" t="s">
        <v>111</v>
      </c>
      <c r="J176" s="8" t="s">
        <v>117</v>
      </c>
      <c r="K176" s="8" t="s">
        <v>118</v>
      </c>
      <c r="L176" s="8" t="s">
        <v>117</v>
      </c>
      <c r="M176" s="8" t="s">
        <v>114</v>
      </c>
      <c r="N176" s="8" t="s">
        <v>115</v>
      </c>
      <c r="O176" s="8" t="s">
        <v>114</v>
      </c>
      <c r="P176" s="8" t="s">
        <v>32</v>
      </c>
      <c r="T176" s="8">
        <f>MATCH(D176,Allocation!A:A,0)</f>
        <v>24</v>
      </c>
    </row>
    <row r="177" spans="1:20" x14ac:dyDescent="0.35">
      <c r="A177" s="8" t="s">
        <v>174</v>
      </c>
      <c r="B177" s="8" t="s">
        <v>32</v>
      </c>
      <c r="C177" s="8" t="s">
        <v>8</v>
      </c>
      <c r="D177" s="8" t="s">
        <v>116</v>
      </c>
      <c r="E177" s="8">
        <v>125.83</v>
      </c>
      <c r="F177" s="8" t="s">
        <v>34</v>
      </c>
      <c r="G177" s="8" t="s">
        <v>111</v>
      </c>
      <c r="H177" s="8" t="s">
        <v>110</v>
      </c>
      <c r="I177" s="8" t="s">
        <v>111</v>
      </c>
      <c r="J177" s="8" t="s">
        <v>117</v>
      </c>
      <c r="K177" s="8" t="s">
        <v>118</v>
      </c>
      <c r="L177" s="8" t="s">
        <v>117</v>
      </c>
      <c r="M177" s="8" t="s">
        <v>114</v>
      </c>
      <c r="N177" s="8" t="s">
        <v>115</v>
      </c>
      <c r="O177" s="8" t="s">
        <v>114</v>
      </c>
      <c r="P177" s="8" t="s">
        <v>32</v>
      </c>
      <c r="T177" s="8">
        <f>MATCH(D177,Allocation!A:A,0)</f>
        <v>24</v>
      </c>
    </row>
    <row r="178" spans="1:20" x14ac:dyDescent="0.35">
      <c r="A178" s="8" t="s">
        <v>31</v>
      </c>
      <c r="B178" s="8" t="s">
        <v>32</v>
      </c>
      <c r="C178" s="8" t="s">
        <v>6</v>
      </c>
      <c r="D178" s="8" t="s">
        <v>119</v>
      </c>
      <c r="E178" s="8">
        <v>253.7</v>
      </c>
      <c r="F178" s="8" t="s">
        <v>34</v>
      </c>
      <c r="G178" s="8" t="s">
        <v>111</v>
      </c>
      <c r="H178" s="8" t="s">
        <v>110</v>
      </c>
      <c r="I178" s="8" t="s">
        <v>111</v>
      </c>
      <c r="J178" s="8" t="s">
        <v>120</v>
      </c>
      <c r="K178" s="8" t="s">
        <v>121</v>
      </c>
      <c r="L178" s="8" t="s">
        <v>120</v>
      </c>
      <c r="M178" s="8" t="s">
        <v>114</v>
      </c>
      <c r="N178" s="8" t="s">
        <v>115</v>
      </c>
      <c r="O178" s="8" t="s">
        <v>114</v>
      </c>
      <c r="P178" s="8" t="s">
        <v>32</v>
      </c>
      <c r="T178" s="8">
        <f>MATCH(D178,Allocation!A:A,0)</f>
        <v>36</v>
      </c>
    </row>
    <row r="179" spans="1:20" x14ac:dyDescent="0.35">
      <c r="A179" s="8" t="s">
        <v>31</v>
      </c>
      <c r="B179" s="8" t="s">
        <v>37</v>
      </c>
      <c r="C179" s="8" t="s">
        <v>6</v>
      </c>
      <c r="D179" s="8" t="s">
        <v>119</v>
      </c>
      <c r="E179" s="8">
        <v>0</v>
      </c>
      <c r="F179" s="8" t="s">
        <v>34</v>
      </c>
      <c r="G179" s="8" t="s">
        <v>111</v>
      </c>
      <c r="H179" s="8" t="s">
        <v>110</v>
      </c>
      <c r="I179" s="8" t="s">
        <v>111</v>
      </c>
      <c r="J179" s="8" t="s">
        <v>120</v>
      </c>
      <c r="K179" s="8" t="s">
        <v>121</v>
      </c>
      <c r="L179" s="8" t="s">
        <v>120</v>
      </c>
      <c r="M179" s="8" t="s">
        <v>114</v>
      </c>
      <c r="N179" s="8" t="s">
        <v>115</v>
      </c>
      <c r="O179" s="8" t="s">
        <v>114</v>
      </c>
      <c r="P179" s="8" t="s">
        <v>32</v>
      </c>
      <c r="T179" s="8">
        <f>MATCH(D179,Allocation!A:A,0)</f>
        <v>36</v>
      </c>
    </row>
    <row r="180" spans="1:20" x14ac:dyDescent="0.35">
      <c r="A180" s="8" t="s">
        <v>166</v>
      </c>
      <c r="B180" s="8" t="s">
        <v>169</v>
      </c>
      <c r="C180" s="8" t="s">
        <v>7</v>
      </c>
      <c r="D180" s="8" t="s">
        <v>119</v>
      </c>
      <c r="E180" s="8">
        <v>-95.42</v>
      </c>
      <c r="F180" s="8" t="s">
        <v>168</v>
      </c>
      <c r="G180" s="8" t="s">
        <v>111</v>
      </c>
      <c r="H180" s="8" t="s">
        <v>110</v>
      </c>
      <c r="I180" s="8" t="s">
        <v>111</v>
      </c>
      <c r="J180" s="8" t="s">
        <v>120</v>
      </c>
      <c r="K180" s="8" t="s">
        <v>121</v>
      </c>
      <c r="L180" s="8" t="s">
        <v>120</v>
      </c>
      <c r="M180" s="8" t="s">
        <v>114</v>
      </c>
      <c r="N180" s="8" t="s">
        <v>115</v>
      </c>
      <c r="O180" s="8" t="s">
        <v>114</v>
      </c>
      <c r="P180" s="8" t="s">
        <v>32</v>
      </c>
      <c r="T180" s="8">
        <f>MATCH(D180,Allocation!A:A,0)</f>
        <v>36</v>
      </c>
    </row>
    <row r="181" spans="1:20" x14ac:dyDescent="0.35">
      <c r="A181" s="8" t="s">
        <v>166</v>
      </c>
      <c r="B181" s="8" t="s">
        <v>32</v>
      </c>
      <c r="C181" s="8" t="s">
        <v>8</v>
      </c>
      <c r="D181" s="8" t="s">
        <v>119</v>
      </c>
      <c r="E181" s="8">
        <v>-839.23</v>
      </c>
      <c r="F181" s="8" t="s">
        <v>168</v>
      </c>
      <c r="G181" s="8" t="s">
        <v>111</v>
      </c>
      <c r="H181" s="8" t="s">
        <v>110</v>
      </c>
      <c r="I181" s="8" t="s">
        <v>111</v>
      </c>
      <c r="J181" s="8" t="s">
        <v>120</v>
      </c>
      <c r="K181" s="8" t="s">
        <v>121</v>
      </c>
      <c r="L181" s="8" t="s">
        <v>120</v>
      </c>
      <c r="M181" s="8" t="s">
        <v>114</v>
      </c>
      <c r="N181" s="8" t="s">
        <v>115</v>
      </c>
      <c r="O181" s="8" t="s">
        <v>114</v>
      </c>
      <c r="P181" s="8" t="s">
        <v>32</v>
      </c>
      <c r="T181" s="8">
        <f>MATCH(D181,Allocation!A:A,0)</f>
        <v>36</v>
      </c>
    </row>
    <row r="182" spans="1:20" x14ac:dyDescent="0.35">
      <c r="A182" s="8" t="s">
        <v>170</v>
      </c>
      <c r="B182" s="8" t="s">
        <v>171</v>
      </c>
      <c r="C182" s="8" t="s">
        <v>9</v>
      </c>
      <c r="D182" s="8" t="s">
        <v>119</v>
      </c>
      <c r="E182" s="8">
        <v>-1819.05</v>
      </c>
      <c r="F182" s="8" t="s">
        <v>168</v>
      </c>
      <c r="G182" s="8" t="s">
        <v>111</v>
      </c>
      <c r="H182" s="8" t="s">
        <v>110</v>
      </c>
      <c r="I182" s="8" t="s">
        <v>111</v>
      </c>
      <c r="J182" s="8" t="s">
        <v>120</v>
      </c>
      <c r="K182" s="8" t="s">
        <v>121</v>
      </c>
      <c r="L182" s="8" t="s">
        <v>120</v>
      </c>
      <c r="M182" s="8" t="s">
        <v>114</v>
      </c>
      <c r="N182" s="8" t="s">
        <v>115</v>
      </c>
      <c r="O182" s="8" t="s">
        <v>114</v>
      </c>
      <c r="P182" s="8" t="s">
        <v>32</v>
      </c>
      <c r="T182" s="8">
        <f>MATCH(D182,Allocation!A:A,0)</f>
        <v>36</v>
      </c>
    </row>
    <row r="183" spans="1:20" x14ac:dyDescent="0.35">
      <c r="A183" s="8" t="s">
        <v>172</v>
      </c>
      <c r="B183" s="8" t="s">
        <v>173</v>
      </c>
      <c r="C183" s="8" t="s">
        <v>10</v>
      </c>
      <c r="D183" s="8" t="s">
        <v>119</v>
      </c>
      <c r="E183" s="8">
        <v>2500</v>
      </c>
      <c r="F183" s="8" t="s">
        <v>34</v>
      </c>
      <c r="G183" s="8" t="s">
        <v>111</v>
      </c>
      <c r="H183" s="8" t="s">
        <v>110</v>
      </c>
      <c r="I183" s="8" t="s">
        <v>111</v>
      </c>
      <c r="J183" s="8" t="s">
        <v>120</v>
      </c>
      <c r="K183" s="8" t="s">
        <v>121</v>
      </c>
      <c r="L183" s="8" t="s">
        <v>120</v>
      </c>
      <c r="M183" s="8" t="s">
        <v>114</v>
      </c>
      <c r="N183" s="8" t="s">
        <v>115</v>
      </c>
      <c r="O183" s="8" t="s">
        <v>114</v>
      </c>
      <c r="P183" s="8" t="s">
        <v>32</v>
      </c>
      <c r="T183" s="8">
        <f>MATCH(D183,Allocation!A:A,0)</f>
        <v>36</v>
      </c>
    </row>
    <row r="184" spans="1:20" x14ac:dyDescent="0.35">
      <c r="A184" s="8" t="s">
        <v>174</v>
      </c>
      <c r="B184" s="8" t="s">
        <v>171</v>
      </c>
      <c r="C184" s="8" t="s">
        <v>9</v>
      </c>
      <c r="D184" s="8" t="s">
        <v>119</v>
      </c>
      <c r="E184" s="8">
        <v>-839.23</v>
      </c>
      <c r="F184" s="8" t="s">
        <v>168</v>
      </c>
      <c r="G184" s="8" t="s">
        <v>111</v>
      </c>
      <c r="H184" s="8" t="s">
        <v>110</v>
      </c>
      <c r="I184" s="8" t="s">
        <v>111</v>
      </c>
      <c r="J184" s="8" t="s">
        <v>120</v>
      </c>
      <c r="K184" s="8" t="s">
        <v>121</v>
      </c>
      <c r="L184" s="8" t="s">
        <v>120</v>
      </c>
      <c r="M184" s="8" t="s">
        <v>114</v>
      </c>
      <c r="N184" s="8" t="s">
        <v>115</v>
      </c>
      <c r="O184" s="8" t="s">
        <v>114</v>
      </c>
      <c r="P184" s="8" t="s">
        <v>32</v>
      </c>
      <c r="T184" s="8">
        <f>MATCH(D184,Allocation!A:A,0)</f>
        <v>36</v>
      </c>
    </row>
    <row r="185" spans="1:20" x14ac:dyDescent="0.35">
      <c r="A185" s="8" t="s">
        <v>174</v>
      </c>
      <c r="B185" s="8" t="s">
        <v>32</v>
      </c>
      <c r="C185" s="8" t="s">
        <v>8</v>
      </c>
      <c r="D185" s="8" t="s">
        <v>119</v>
      </c>
      <c r="E185" s="8">
        <v>839.23</v>
      </c>
      <c r="F185" s="8" t="s">
        <v>34</v>
      </c>
      <c r="G185" s="8" t="s">
        <v>111</v>
      </c>
      <c r="H185" s="8" t="s">
        <v>110</v>
      </c>
      <c r="I185" s="8" t="s">
        <v>111</v>
      </c>
      <c r="J185" s="8" t="s">
        <v>120</v>
      </c>
      <c r="K185" s="8" t="s">
        <v>121</v>
      </c>
      <c r="L185" s="8" t="s">
        <v>120</v>
      </c>
      <c r="M185" s="8" t="s">
        <v>114</v>
      </c>
      <c r="N185" s="8" t="s">
        <v>115</v>
      </c>
      <c r="O185" s="8" t="s">
        <v>114</v>
      </c>
      <c r="P185" s="8" t="s">
        <v>32</v>
      </c>
      <c r="T185" s="8">
        <f>MATCH(D185,Allocation!A:A,0)</f>
        <v>36</v>
      </c>
    </row>
    <row r="186" spans="1:20" x14ac:dyDescent="0.35">
      <c r="A186" s="8" t="s">
        <v>31</v>
      </c>
      <c r="B186" s="8" t="s">
        <v>32</v>
      </c>
      <c r="C186" s="8" t="s">
        <v>6</v>
      </c>
      <c r="D186" s="8" t="s">
        <v>122</v>
      </c>
      <c r="E186" s="8">
        <v>160.77000000000001</v>
      </c>
      <c r="F186" s="8" t="s">
        <v>34</v>
      </c>
      <c r="G186" s="8" t="s">
        <v>111</v>
      </c>
      <c r="H186" s="8" t="s">
        <v>110</v>
      </c>
      <c r="I186" s="8" t="s">
        <v>111</v>
      </c>
      <c r="J186" s="8" t="s">
        <v>123</v>
      </c>
      <c r="K186" s="8" t="s">
        <v>124</v>
      </c>
      <c r="L186" s="8" t="s">
        <v>123</v>
      </c>
      <c r="M186" s="8" t="s">
        <v>106</v>
      </c>
      <c r="N186" s="8" t="s">
        <v>107</v>
      </c>
      <c r="O186" s="8" t="s">
        <v>106</v>
      </c>
      <c r="P186" s="8" t="s">
        <v>32</v>
      </c>
      <c r="T186" s="8">
        <f>MATCH(D186,Allocation!A:A,0)</f>
        <v>25</v>
      </c>
    </row>
    <row r="187" spans="1:20" x14ac:dyDescent="0.35">
      <c r="A187" s="8" t="s">
        <v>31</v>
      </c>
      <c r="B187" s="8" t="s">
        <v>37</v>
      </c>
      <c r="C187" s="8" t="s">
        <v>6</v>
      </c>
      <c r="D187" s="8" t="s">
        <v>122</v>
      </c>
      <c r="E187" s="8">
        <v>0</v>
      </c>
      <c r="F187" s="8" t="s">
        <v>34</v>
      </c>
      <c r="G187" s="8" t="s">
        <v>111</v>
      </c>
      <c r="H187" s="8" t="s">
        <v>110</v>
      </c>
      <c r="I187" s="8" t="s">
        <v>111</v>
      </c>
      <c r="J187" s="8" t="s">
        <v>123</v>
      </c>
      <c r="K187" s="8" t="s">
        <v>124</v>
      </c>
      <c r="L187" s="8" t="s">
        <v>123</v>
      </c>
      <c r="M187" s="8" t="s">
        <v>106</v>
      </c>
      <c r="N187" s="8" t="s">
        <v>107</v>
      </c>
      <c r="O187" s="8" t="s">
        <v>106</v>
      </c>
      <c r="P187" s="8" t="s">
        <v>32</v>
      </c>
      <c r="T187" s="8">
        <f>MATCH(D187,Allocation!A:A,0)</f>
        <v>25</v>
      </c>
    </row>
    <row r="188" spans="1:20" x14ac:dyDescent="0.35">
      <c r="A188" s="8" t="s">
        <v>166</v>
      </c>
      <c r="B188" s="8" t="s">
        <v>32</v>
      </c>
      <c r="C188" s="8" t="s">
        <v>8</v>
      </c>
      <c r="D188" s="8" t="s">
        <v>122</v>
      </c>
      <c r="E188" s="8">
        <v>-318.08999999999997</v>
      </c>
      <c r="F188" s="8" t="s">
        <v>168</v>
      </c>
      <c r="G188" s="8" t="s">
        <v>111</v>
      </c>
      <c r="H188" s="8" t="s">
        <v>110</v>
      </c>
      <c r="I188" s="8" t="s">
        <v>111</v>
      </c>
      <c r="J188" s="8" t="s">
        <v>123</v>
      </c>
      <c r="K188" s="8" t="s">
        <v>124</v>
      </c>
      <c r="L188" s="8" t="s">
        <v>123</v>
      </c>
      <c r="M188" s="8" t="s">
        <v>106</v>
      </c>
      <c r="N188" s="8" t="s">
        <v>107</v>
      </c>
      <c r="O188" s="8" t="s">
        <v>106</v>
      </c>
      <c r="P188" s="8" t="s">
        <v>32</v>
      </c>
      <c r="T188" s="8">
        <f>MATCH(D188,Allocation!A:A,0)</f>
        <v>25</v>
      </c>
    </row>
    <row r="189" spans="1:20" x14ac:dyDescent="0.35">
      <c r="A189" s="8" t="s">
        <v>170</v>
      </c>
      <c r="B189" s="8" t="s">
        <v>171</v>
      </c>
      <c r="C189" s="8" t="s">
        <v>9</v>
      </c>
      <c r="D189" s="8" t="s">
        <v>122</v>
      </c>
      <c r="E189" s="8">
        <v>-1381.14</v>
      </c>
      <c r="F189" s="8" t="s">
        <v>168</v>
      </c>
      <c r="G189" s="8" t="s">
        <v>111</v>
      </c>
      <c r="H189" s="8" t="s">
        <v>110</v>
      </c>
      <c r="I189" s="8" t="s">
        <v>111</v>
      </c>
      <c r="J189" s="8" t="s">
        <v>123</v>
      </c>
      <c r="K189" s="8" t="s">
        <v>124</v>
      </c>
      <c r="L189" s="8" t="s">
        <v>123</v>
      </c>
      <c r="M189" s="8" t="s">
        <v>106</v>
      </c>
      <c r="N189" s="8" t="s">
        <v>107</v>
      </c>
      <c r="O189" s="8" t="s">
        <v>106</v>
      </c>
      <c r="P189" s="8" t="s">
        <v>32</v>
      </c>
      <c r="T189" s="8">
        <f>MATCH(D189,Allocation!A:A,0)</f>
        <v>25</v>
      </c>
    </row>
    <row r="190" spans="1:20" x14ac:dyDescent="0.35">
      <c r="A190" s="8" t="s">
        <v>172</v>
      </c>
      <c r="B190" s="8" t="s">
        <v>173</v>
      </c>
      <c r="C190" s="8" t="s">
        <v>10</v>
      </c>
      <c r="D190" s="8" t="s">
        <v>122</v>
      </c>
      <c r="E190" s="8">
        <v>1538.46</v>
      </c>
      <c r="F190" s="8" t="s">
        <v>34</v>
      </c>
      <c r="G190" s="8" t="s">
        <v>111</v>
      </c>
      <c r="H190" s="8" t="s">
        <v>110</v>
      </c>
      <c r="I190" s="8" t="s">
        <v>111</v>
      </c>
      <c r="J190" s="8" t="s">
        <v>123</v>
      </c>
      <c r="K190" s="8" t="s">
        <v>124</v>
      </c>
      <c r="L190" s="8" t="s">
        <v>123</v>
      </c>
      <c r="M190" s="8" t="s">
        <v>106</v>
      </c>
      <c r="N190" s="8" t="s">
        <v>107</v>
      </c>
      <c r="O190" s="8" t="s">
        <v>106</v>
      </c>
      <c r="P190" s="8" t="s">
        <v>32</v>
      </c>
      <c r="T190" s="8">
        <f>MATCH(D190,Allocation!A:A,0)</f>
        <v>25</v>
      </c>
    </row>
    <row r="191" spans="1:20" x14ac:dyDescent="0.35">
      <c r="A191" s="8" t="s">
        <v>174</v>
      </c>
      <c r="B191" s="8" t="s">
        <v>171</v>
      </c>
      <c r="C191" s="8" t="s">
        <v>9</v>
      </c>
      <c r="D191" s="8" t="s">
        <v>122</v>
      </c>
      <c r="E191" s="8">
        <v>-318.08999999999997</v>
      </c>
      <c r="F191" s="8" t="s">
        <v>168</v>
      </c>
      <c r="G191" s="8" t="s">
        <v>111</v>
      </c>
      <c r="H191" s="8" t="s">
        <v>110</v>
      </c>
      <c r="I191" s="8" t="s">
        <v>111</v>
      </c>
      <c r="J191" s="8" t="s">
        <v>123</v>
      </c>
      <c r="K191" s="8" t="s">
        <v>124</v>
      </c>
      <c r="L191" s="8" t="s">
        <v>123</v>
      </c>
      <c r="M191" s="8" t="s">
        <v>106</v>
      </c>
      <c r="N191" s="8" t="s">
        <v>107</v>
      </c>
      <c r="O191" s="8" t="s">
        <v>106</v>
      </c>
      <c r="P191" s="8" t="s">
        <v>32</v>
      </c>
      <c r="T191" s="8">
        <f>MATCH(D191,Allocation!A:A,0)</f>
        <v>25</v>
      </c>
    </row>
    <row r="192" spans="1:20" x14ac:dyDescent="0.35">
      <c r="A192" s="8" t="s">
        <v>174</v>
      </c>
      <c r="B192" s="8" t="s">
        <v>32</v>
      </c>
      <c r="C192" s="8" t="s">
        <v>8</v>
      </c>
      <c r="D192" s="8" t="s">
        <v>122</v>
      </c>
      <c r="E192" s="8">
        <v>318.08999999999997</v>
      </c>
      <c r="F192" s="8" t="s">
        <v>34</v>
      </c>
      <c r="G192" s="8" t="s">
        <v>111</v>
      </c>
      <c r="H192" s="8" t="s">
        <v>110</v>
      </c>
      <c r="I192" s="8" t="s">
        <v>111</v>
      </c>
      <c r="J192" s="8" t="s">
        <v>123</v>
      </c>
      <c r="K192" s="8" t="s">
        <v>124</v>
      </c>
      <c r="L192" s="8" t="s">
        <v>123</v>
      </c>
      <c r="M192" s="8" t="s">
        <v>106</v>
      </c>
      <c r="N192" s="8" t="s">
        <v>107</v>
      </c>
      <c r="O192" s="8" t="s">
        <v>106</v>
      </c>
      <c r="P192" s="8" t="s">
        <v>32</v>
      </c>
      <c r="T192" s="8">
        <f>MATCH(D192,Allocation!A:A,0)</f>
        <v>25</v>
      </c>
    </row>
    <row r="193" spans="1:20" x14ac:dyDescent="0.35">
      <c r="A193" s="8" t="s">
        <v>31</v>
      </c>
      <c r="B193" s="8" t="s">
        <v>32</v>
      </c>
      <c r="C193" s="8" t="s">
        <v>6</v>
      </c>
      <c r="D193" s="8" t="s">
        <v>127</v>
      </c>
      <c r="E193" s="8">
        <v>160.78</v>
      </c>
      <c r="F193" s="8" t="s">
        <v>34</v>
      </c>
      <c r="G193" s="8" t="s">
        <v>127</v>
      </c>
      <c r="H193" s="8" t="s">
        <v>126</v>
      </c>
      <c r="I193" s="8" t="s">
        <v>127</v>
      </c>
      <c r="J193" s="8" t="s">
        <v>1048</v>
      </c>
      <c r="K193" s="8" t="s">
        <v>149</v>
      </c>
      <c r="L193" s="8" t="s">
        <v>32</v>
      </c>
      <c r="M193" s="8" t="s">
        <v>99</v>
      </c>
      <c r="N193" s="8" t="s">
        <v>100</v>
      </c>
      <c r="O193" s="8" t="s">
        <v>99</v>
      </c>
      <c r="P193" s="8" t="s">
        <v>32</v>
      </c>
      <c r="T193" s="8">
        <f>MATCH(D193,Allocation!A:A,0)</f>
        <v>40</v>
      </c>
    </row>
    <row r="194" spans="1:20" x14ac:dyDescent="0.35">
      <c r="A194" s="8" t="s">
        <v>31</v>
      </c>
      <c r="B194" s="8" t="s">
        <v>37</v>
      </c>
      <c r="C194" s="8" t="s">
        <v>6</v>
      </c>
      <c r="D194" s="8" t="s">
        <v>127</v>
      </c>
      <c r="E194" s="8">
        <v>0</v>
      </c>
      <c r="F194" s="8" t="s">
        <v>34</v>
      </c>
      <c r="G194" s="8" t="s">
        <v>127</v>
      </c>
      <c r="H194" s="8" t="s">
        <v>126</v>
      </c>
      <c r="I194" s="8" t="s">
        <v>127</v>
      </c>
      <c r="J194" s="8" t="s">
        <v>1048</v>
      </c>
      <c r="K194" s="8" t="s">
        <v>149</v>
      </c>
      <c r="L194" s="8" t="s">
        <v>32</v>
      </c>
      <c r="M194" s="8" t="s">
        <v>99</v>
      </c>
      <c r="N194" s="8" t="s">
        <v>100</v>
      </c>
      <c r="O194" s="8" t="s">
        <v>99</v>
      </c>
      <c r="P194" s="8" t="s">
        <v>32</v>
      </c>
      <c r="T194" s="8">
        <f>MATCH(D194,Allocation!A:A,0)</f>
        <v>40</v>
      </c>
    </row>
    <row r="195" spans="1:20" x14ac:dyDescent="0.35">
      <c r="A195" s="8" t="s">
        <v>166</v>
      </c>
      <c r="B195" s="8" t="s">
        <v>32</v>
      </c>
      <c r="C195" s="8" t="s">
        <v>8</v>
      </c>
      <c r="D195" s="8" t="s">
        <v>127</v>
      </c>
      <c r="E195" s="8">
        <v>-431.89</v>
      </c>
      <c r="F195" s="8" t="s">
        <v>168</v>
      </c>
      <c r="G195" s="8" t="s">
        <v>127</v>
      </c>
      <c r="H195" s="8" t="s">
        <v>126</v>
      </c>
      <c r="I195" s="8" t="s">
        <v>127</v>
      </c>
      <c r="J195" s="8" t="s">
        <v>1048</v>
      </c>
      <c r="K195" s="8" t="s">
        <v>149</v>
      </c>
      <c r="L195" s="8" t="s">
        <v>32</v>
      </c>
      <c r="M195" s="8" t="s">
        <v>99</v>
      </c>
      <c r="N195" s="8" t="s">
        <v>100</v>
      </c>
      <c r="O195" s="8" t="s">
        <v>99</v>
      </c>
      <c r="P195" s="8" t="s">
        <v>32</v>
      </c>
      <c r="T195" s="8">
        <f>MATCH(D195,Allocation!A:A,0)</f>
        <v>40</v>
      </c>
    </row>
    <row r="196" spans="1:20" x14ac:dyDescent="0.35">
      <c r="A196" s="8" t="s">
        <v>170</v>
      </c>
      <c r="B196" s="8" t="s">
        <v>171</v>
      </c>
      <c r="C196" s="8" t="s">
        <v>9</v>
      </c>
      <c r="D196" s="8" t="s">
        <v>127</v>
      </c>
      <c r="E196" s="8">
        <v>-1267.3499999999999</v>
      </c>
      <c r="F196" s="8" t="s">
        <v>168</v>
      </c>
      <c r="G196" s="8" t="s">
        <v>127</v>
      </c>
      <c r="H196" s="8" t="s">
        <v>126</v>
      </c>
      <c r="I196" s="8" t="s">
        <v>127</v>
      </c>
      <c r="J196" s="8" t="s">
        <v>1048</v>
      </c>
      <c r="K196" s="8" t="s">
        <v>149</v>
      </c>
      <c r="L196" s="8" t="s">
        <v>32</v>
      </c>
      <c r="M196" s="8" t="s">
        <v>99</v>
      </c>
      <c r="N196" s="8" t="s">
        <v>100</v>
      </c>
      <c r="O196" s="8" t="s">
        <v>99</v>
      </c>
      <c r="P196" s="8" t="s">
        <v>32</v>
      </c>
      <c r="T196" s="8">
        <f>MATCH(D196,Allocation!A:A,0)</f>
        <v>40</v>
      </c>
    </row>
    <row r="197" spans="1:20" x14ac:dyDescent="0.35">
      <c r="A197" s="8" t="s">
        <v>172</v>
      </c>
      <c r="B197" s="8" t="s">
        <v>173</v>
      </c>
      <c r="C197" s="8" t="s">
        <v>10</v>
      </c>
      <c r="D197" s="8" t="s">
        <v>127</v>
      </c>
      <c r="E197" s="8">
        <v>1538.46</v>
      </c>
      <c r="F197" s="8" t="s">
        <v>34</v>
      </c>
      <c r="G197" s="8" t="s">
        <v>127</v>
      </c>
      <c r="H197" s="8" t="s">
        <v>126</v>
      </c>
      <c r="I197" s="8" t="s">
        <v>127</v>
      </c>
      <c r="J197" s="8" t="s">
        <v>1048</v>
      </c>
      <c r="K197" s="8" t="s">
        <v>149</v>
      </c>
      <c r="L197" s="8" t="s">
        <v>32</v>
      </c>
      <c r="M197" s="8" t="s">
        <v>99</v>
      </c>
      <c r="N197" s="8" t="s">
        <v>100</v>
      </c>
      <c r="O197" s="8" t="s">
        <v>99</v>
      </c>
      <c r="P197" s="8" t="s">
        <v>32</v>
      </c>
      <c r="T197" s="8">
        <f>MATCH(D197,Allocation!A:A,0)</f>
        <v>40</v>
      </c>
    </row>
    <row r="198" spans="1:20" x14ac:dyDescent="0.35">
      <c r="A198" s="8" t="s">
        <v>174</v>
      </c>
      <c r="B198" s="8" t="s">
        <v>171</v>
      </c>
      <c r="C198" s="8" t="s">
        <v>9</v>
      </c>
      <c r="D198" s="8" t="s">
        <v>127</v>
      </c>
      <c r="E198" s="8">
        <v>-431.89</v>
      </c>
      <c r="F198" s="8" t="s">
        <v>168</v>
      </c>
      <c r="G198" s="8" t="s">
        <v>127</v>
      </c>
      <c r="H198" s="8" t="s">
        <v>126</v>
      </c>
      <c r="I198" s="8" t="s">
        <v>127</v>
      </c>
      <c r="J198" s="8" t="s">
        <v>1048</v>
      </c>
      <c r="K198" s="8" t="s">
        <v>149</v>
      </c>
      <c r="L198" s="8" t="s">
        <v>32</v>
      </c>
      <c r="M198" s="8" t="s">
        <v>99</v>
      </c>
      <c r="N198" s="8" t="s">
        <v>100</v>
      </c>
      <c r="O198" s="8" t="s">
        <v>99</v>
      </c>
      <c r="P198" s="8" t="s">
        <v>32</v>
      </c>
      <c r="T198" s="8">
        <f>MATCH(D198,Allocation!A:A,0)</f>
        <v>40</v>
      </c>
    </row>
    <row r="199" spans="1:20" x14ac:dyDescent="0.35">
      <c r="A199" s="8" t="s">
        <v>174</v>
      </c>
      <c r="B199" s="8" t="s">
        <v>32</v>
      </c>
      <c r="C199" s="8" t="s">
        <v>8</v>
      </c>
      <c r="D199" s="8" t="s">
        <v>127</v>
      </c>
      <c r="E199" s="8">
        <v>431.89</v>
      </c>
      <c r="F199" s="8" t="s">
        <v>34</v>
      </c>
      <c r="G199" s="8" t="s">
        <v>127</v>
      </c>
      <c r="H199" s="8" t="s">
        <v>126</v>
      </c>
      <c r="I199" s="8" t="s">
        <v>127</v>
      </c>
      <c r="J199" s="8" t="s">
        <v>1048</v>
      </c>
      <c r="K199" s="8" t="s">
        <v>149</v>
      </c>
      <c r="L199" s="8" t="s">
        <v>32</v>
      </c>
      <c r="M199" s="8" t="s">
        <v>99</v>
      </c>
      <c r="N199" s="8" t="s">
        <v>100</v>
      </c>
      <c r="O199" s="8" t="s">
        <v>99</v>
      </c>
      <c r="P199" s="8" t="s">
        <v>32</v>
      </c>
      <c r="T199" s="8">
        <f>MATCH(D199,Allocation!A:A,0)</f>
        <v>40</v>
      </c>
    </row>
    <row r="200" spans="1:20" x14ac:dyDescent="0.35">
      <c r="A200" s="8" t="s">
        <v>31</v>
      </c>
      <c r="B200" s="8" t="s">
        <v>32</v>
      </c>
      <c r="C200" s="8" t="s">
        <v>6</v>
      </c>
      <c r="D200" s="8" t="s">
        <v>125</v>
      </c>
      <c r="E200" s="8">
        <v>329.58</v>
      </c>
      <c r="F200" s="8" t="s">
        <v>34</v>
      </c>
      <c r="G200" s="8" t="s">
        <v>127</v>
      </c>
      <c r="H200" s="8" t="s">
        <v>126</v>
      </c>
      <c r="I200" s="8" t="s">
        <v>127</v>
      </c>
      <c r="J200" s="8" t="s">
        <v>128</v>
      </c>
      <c r="K200" s="8" t="s">
        <v>129</v>
      </c>
      <c r="L200" s="8" t="s">
        <v>128</v>
      </c>
      <c r="M200" s="8" t="s">
        <v>130</v>
      </c>
      <c r="N200" s="8" t="s">
        <v>131</v>
      </c>
      <c r="O200" s="8" t="s">
        <v>130</v>
      </c>
      <c r="P200" s="8" t="s">
        <v>32</v>
      </c>
      <c r="T200" s="8">
        <f>MATCH(D200,Allocation!A:A,0)</f>
        <v>17</v>
      </c>
    </row>
    <row r="201" spans="1:20" x14ac:dyDescent="0.35">
      <c r="A201" s="8" t="s">
        <v>31</v>
      </c>
      <c r="B201" s="8" t="s">
        <v>37</v>
      </c>
      <c r="C201" s="8" t="s">
        <v>6</v>
      </c>
      <c r="D201" s="8" t="s">
        <v>125</v>
      </c>
      <c r="E201" s="8">
        <v>0</v>
      </c>
      <c r="F201" s="8" t="s">
        <v>34</v>
      </c>
      <c r="G201" s="8" t="s">
        <v>127</v>
      </c>
      <c r="H201" s="8" t="s">
        <v>126</v>
      </c>
      <c r="I201" s="8" t="s">
        <v>127</v>
      </c>
      <c r="J201" s="8" t="s">
        <v>128</v>
      </c>
      <c r="K201" s="8" t="s">
        <v>129</v>
      </c>
      <c r="L201" s="8" t="s">
        <v>128</v>
      </c>
      <c r="M201" s="8" t="s">
        <v>130</v>
      </c>
      <c r="N201" s="8" t="s">
        <v>131</v>
      </c>
      <c r="O201" s="8" t="s">
        <v>130</v>
      </c>
      <c r="P201" s="8" t="s">
        <v>32</v>
      </c>
      <c r="T201" s="8">
        <f>MATCH(D201,Allocation!A:A,0)</f>
        <v>17</v>
      </c>
    </row>
    <row r="202" spans="1:20" x14ac:dyDescent="0.35">
      <c r="A202" s="8" t="s">
        <v>166</v>
      </c>
      <c r="B202" s="8" t="s">
        <v>167</v>
      </c>
      <c r="C202" s="8" t="s">
        <v>7</v>
      </c>
      <c r="D202" s="8" t="s">
        <v>125</v>
      </c>
      <c r="E202" s="8">
        <v>-500</v>
      </c>
      <c r="F202" s="8" t="s">
        <v>168</v>
      </c>
      <c r="G202" s="8" t="s">
        <v>127</v>
      </c>
      <c r="H202" s="8" t="s">
        <v>126</v>
      </c>
      <c r="I202" s="8" t="s">
        <v>127</v>
      </c>
      <c r="J202" s="8" t="s">
        <v>128</v>
      </c>
      <c r="K202" s="8" t="s">
        <v>129</v>
      </c>
      <c r="L202" s="8" t="s">
        <v>128</v>
      </c>
      <c r="M202" s="8" t="s">
        <v>130</v>
      </c>
      <c r="N202" s="8" t="s">
        <v>131</v>
      </c>
      <c r="O202" s="8" t="s">
        <v>130</v>
      </c>
      <c r="P202" s="8" t="s">
        <v>32</v>
      </c>
      <c r="T202" s="8">
        <f>MATCH(D202,Allocation!A:A,0)</f>
        <v>17</v>
      </c>
    </row>
    <row r="203" spans="1:20" x14ac:dyDescent="0.35">
      <c r="A203" s="8" t="s">
        <v>166</v>
      </c>
      <c r="B203" s="8" t="s">
        <v>32</v>
      </c>
      <c r="C203" s="8" t="s">
        <v>8</v>
      </c>
      <c r="D203" s="8" t="s">
        <v>125</v>
      </c>
      <c r="E203" s="8">
        <v>-885.49</v>
      </c>
      <c r="F203" s="8" t="s">
        <v>168</v>
      </c>
      <c r="G203" s="8" t="s">
        <v>127</v>
      </c>
      <c r="H203" s="8" t="s">
        <v>126</v>
      </c>
      <c r="I203" s="8" t="s">
        <v>127</v>
      </c>
      <c r="J203" s="8" t="s">
        <v>128</v>
      </c>
      <c r="K203" s="8" t="s">
        <v>129</v>
      </c>
      <c r="L203" s="8" t="s">
        <v>128</v>
      </c>
      <c r="M203" s="8" t="s">
        <v>130</v>
      </c>
      <c r="N203" s="8" t="s">
        <v>131</v>
      </c>
      <c r="O203" s="8" t="s">
        <v>130</v>
      </c>
      <c r="P203" s="8" t="s">
        <v>32</v>
      </c>
      <c r="T203" s="8">
        <f>MATCH(D203,Allocation!A:A,0)</f>
        <v>17</v>
      </c>
    </row>
    <row r="204" spans="1:20" x14ac:dyDescent="0.35">
      <c r="A204" s="8" t="s">
        <v>170</v>
      </c>
      <c r="B204" s="8" t="s">
        <v>171</v>
      </c>
      <c r="C204" s="8" t="s">
        <v>9</v>
      </c>
      <c r="D204" s="8" t="s">
        <v>125</v>
      </c>
      <c r="E204" s="8">
        <v>-2097.94</v>
      </c>
      <c r="F204" s="8" t="s">
        <v>168</v>
      </c>
      <c r="G204" s="8" t="s">
        <v>127</v>
      </c>
      <c r="H204" s="8" t="s">
        <v>126</v>
      </c>
      <c r="I204" s="8" t="s">
        <v>127</v>
      </c>
      <c r="J204" s="8" t="s">
        <v>128</v>
      </c>
      <c r="K204" s="8" t="s">
        <v>129</v>
      </c>
      <c r="L204" s="8" t="s">
        <v>128</v>
      </c>
      <c r="M204" s="8" t="s">
        <v>130</v>
      </c>
      <c r="N204" s="8" t="s">
        <v>131</v>
      </c>
      <c r="O204" s="8" t="s">
        <v>130</v>
      </c>
      <c r="P204" s="8" t="s">
        <v>32</v>
      </c>
      <c r="T204" s="8">
        <f>MATCH(D204,Allocation!A:A,0)</f>
        <v>17</v>
      </c>
    </row>
    <row r="205" spans="1:20" x14ac:dyDescent="0.35">
      <c r="A205" s="8" t="s">
        <v>172</v>
      </c>
      <c r="B205" s="8" t="s">
        <v>173</v>
      </c>
      <c r="C205" s="8" t="s">
        <v>10</v>
      </c>
      <c r="D205" s="8" t="s">
        <v>125</v>
      </c>
      <c r="E205" s="8">
        <v>3153.85</v>
      </c>
      <c r="F205" s="8" t="s">
        <v>34</v>
      </c>
      <c r="G205" s="8" t="s">
        <v>127</v>
      </c>
      <c r="H205" s="8" t="s">
        <v>126</v>
      </c>
      <c r="I205" s="8" t="s">
        <v>127</v>
      </c>
      <c r="J205" s="8" t="s">
        <v>128</v>
      </c>
      <c r="K205" s="8" t="s">
        <v>129</v>
      </c>
      <c r="L205" s="8" t="s">
        <v>128</v>
      </c>
      <c r="M205" s="8" t="s">
        <v>130</v>
      </c>
      <c r="N205" s="8" t="s">
        <v>131</v>
      </c>
      <c r="O205" s="8" t="s">
        <v>130</v>
      </c>
      <c r="P205" s="8" t="s">
        <v>32</v>
      </c>
      <c r="T205" s="8">
        <f>MATCH(D205,Allocation!A:A,0)</f>
        <v>17</v>
      </c>
    </row>
    <row r="206" spans="1:20" x14ac:dyDescent="0.35">
      <c r="A206" s="8" t="s">
        <v>174</v>
      </c>
      <c r="B206" s="8" t="s">
        <v>171</v>
      </c>
      <c r="C206" s="8" t="s">
        <v>9</v>
      </c>
      <c r="D206" s="8" t="s">
        <v>125</v>
      </c>
      <c r="E206" s="8">
        <v>-885.49</v>
      </c>
      <c r="F206" s="8" t="s">
        <v>168</v>
      </c>
      <c r="G206" s="8" t="s">
        <v>127</v>
      </c>
      <c r="H206" s="8" t="s">
        <v>126</v>
      </c>
      <c r="I206" s="8" t="s">
        <v>127</v>
      </c>
      <c r="J206" s="8" t="s">
        <v>128</v>
      </c>
      <c r="K206" s="8" t="s">
        <v>129</v>
      </c>
      <c r="L206" s="8" t="s">
        <v>128</v>
      </c>
      <c r="M206" s="8" t="s">
        <v>130</v>
      </c>
      <c r="N206" s="8" t="s">
        <v>131</v>
      </c>
      <c r="O206" s="8" t="s">
        <v>130</v>
      </c>
      <c r="P206" s="8" t="s">
        <v>32</v>
      </c>
      <c r="T206" s="8">
        <f>MATCH(D206,Allocation!A:A,0)</f>
        <v>17</v>
      </c>
    </row>
    <row r="207" spans="1:20" x14ac:dyDescent="0.35">
      <c r="A207" s="8" t="s">
        <v>174</v>
      </c>
      <c r="B207" s="8" t="s">
        <v>32</v>
      </c>
      <c r="C207" s="8" t="s">
        <v>8</v>
      </c>
      <c r="D207" s="8" t="s">
        <v>125</v>
      </c>
      <c r="E207" s="8">
        <v>885.49</v>
      </c>
      <c r="F207" s="8" t="s">
        <v>34</v>
      </c>
      <c r="G207" s="8" t="s">
        <v>127</v>
      </c>
      <c r="H207" s="8" t="s">
        <v>126</v>
      </c>
      <c r="I207" s="8" t="s">
        <v>127</v>
      </c>
      <c r="J207" s="8" t="s">
        <v>128</v>
      </c>
      <c r="K207" s="8" t="s">
        <v>129</v>
      </c>
      <c r="L207" s="8" t="s">
        <v>128</v>
      </c>
      <c r="M207" s="8" t="s">
        <v>130</v>
      </c>
      <c r="N207" s="8" t="s">
        <v>131</v>
      </c>
      <c r="O207" s="8" t="s">
        <v>130</v>
      </c>
      <c r="P207" s="8" t="s">
        <v>32</v>
      </c>
      <c r="T207" s="8">
        <f>MATCH(D207,Allocation!A:A,0)</f>
        <v>17</v>
      </c>
    </row>
    <row r="208" spans="1:20" x14ac:dyDescent="0.35">
      <c r="A208" s="8" t="s">
        <v>31</v>
      </c>
      <c r="B208" s="8" t="s">
        <v>32</v>
      </c>
      <c r="C208" s="8" t="s">
        <v>6</v>
      </c>
      <c r="D208" s="8" t="s">
        <v>132</v>
      </c>
      <c r="E208" s="8">
        <v>154.32</v>
      </c>
      <c r="F208" s="8" t="s">
        <v>34</v>
      </c>
      <c r="G208" s="8" t="s">
        <v>127</v>
      </c>
      <c r="H208" s="8" t="s">
        <v>126</v>
      </c>
      <c r="I208" s="8" t="s">
        <v>127</v>
      </c>
      <c r="J208" s="8" t="s">
        <v>133</v>
      </c>
      <c r="K208" s="8" t="s">
        <v>134</v>
      </c>
      <c r="L208" s="8" t="s">
        <v>133</v>
      </c>
      <c r="M208" s="8" t="s">
        <v>99</v>
      </c>
      <c r="N208" s="8" t="s">
        <v>100</v>
      </c>
      <c r="O208" s="8" t="s">
        <v>99</v>
      </c>
      <c r="P208" s="8" t="s">
        <v>32</v>
      </c>
      <c r="T208" s="8">
        <f>MATCH(D208,Allocation!A:A,0)</f>
        <v>50</v>
      </c>
    </row>
    <row r="209" spans="1:20" x14ac:dyDescent="0.35">
      <c r="A209" s="8" t="s">
        <v>31</v>
      </c>
      <c r="B209" s="8" t="s">
        <v>37</v>
      </c>
      <c r="C209" s="8" t="s">
        <v>6</v>
      </c>
      <c r="D209" s="8" t="s">
        <v>132</v>
      </c>
      <c r="E209" s="8">
        <v>0</v>
      </c>
      <c r="F209" s="8" t="s">
        <v>34</v>
      </c>
      <c r="G209" s="8" t="s">
        <v>127</v>
      </c>
      <c r="H209" s="8" t="s">
        <v>126</v>
      </c>
      <c r="I209" s="8" t="s">
        <v>127</v>
      </c>
      <c r="J209" s="8" t="s">
        <v>133</v>
      </c>
      <c r="K209" s="8" t="s">
        <v>134</v>
      </c>
      <c r="L209" s="8" t="s">
        <v>133</v>
      </c>
      <c r="M209" s="8" t="s">
        <v>99</v>
      </c>
      <c r="N209" s="8" t="s">
        <v>100</v>
      </c>
      <c r="O209" s="8" t="s">
        <v>99</v>
      </c>
      <c r="P209" s="8" t="s">
        <v>32</v>
      </c>
      <c r="T209" s="8">
        <f>MATCH(D209,Allocation!A:A,0)</f>
        <v>50</v>
      </c>
    </row>
    <row r="210" spans="1:20" x14ac:dyDescent="0.35">
      <c r="A210" s="8" t="s">
        <v>166</v>
      </c>
      <c r="B210" s="8" t="s">
        <v>169</v>
      </c>
      <c r="C210" s="8" t="s">
        <v>7</v>
      </c>
      <c r="D210" s="8" t="s">
        <v>132</v>
      </c>
      <c r="E210" s="8">
        <v>-57.7</v>
      </c>
      <c r="F210" s="8" t="s">
        <v>168</v>
      </c>
      <c r="G210" s="8" t="s">
        <v>127</v>
      </c>
      <c r="H210" s="8" t="s">
        <v>126</v>
      </c>
      <c r="I210" s="8" t="s">
        <v>127</v>
      </c>
      <c r="J210" s="8" t="s">
        <v>133</v>
      </c>
      <c r="K210" s="8" t="s">
        <v>134</v>
      </c>
      <c r="L210" s="8" t="s">
        <v>133</v>
      </c>
      <c r="M210" s="8" t="s">
        <v>99</v>
      </c>
      <c r="N210" s="8" t="s">
        <v>100</v>
      </c>
      <c r="O210" s="8" t="s">
        <v>99</v>
      </c>
      <c r="P210" s="8" t="s">
        <v>32</v>
      </c>
      <c r="T210" s="8">
        <f>MATCH(D210,Allocation!A:A,0)</f>
        <v>50</v>
      </c>
    </row>
    <row r="211" spans="1:20" x14ac:dyDescent="0.35">
      <c r="A211" s="8" t="s">
        <v>166</v>
      </c>
      <c r="B211" s="8" t="s">
        <v>32</v>
      </c>
      <c r="C211" s="8" t="s">
        <v>8</v>
      </c>
      <c r="D211" s="8" t="s">
        <v>132</v>
      </c>
      <c r="E211" s="8">
        <v>-456.06</v>
      </c>
      <c r="F211" s="8" t="s">
        <v>168</v>
      </c>
      <c r="G211" s="8" t="s">
        <v>127</v>
      </c>
      <c r="H211" s="8" t="s">
        <v>126</v>
      </c>
      <c r="I211" s="8" t="s">
        <v>127</v>
      </c>
      <c r="J211" s="8" t="s">
        <v>133</v>
      </c>
      <c r="K211" s="8" t="s">
        <v>134</v>
      </c>
      <c r="L211" s="8" t="s">
        <v>133</v>
      </c>
      <c r="M211" s="8" t="s">
        <v>99</v>
      </c>
      <c r="N211" s="8" t="s">
        <v>100</v>
      </c>
      <c r="O211" s="8" t="s">
        <v>99</v>
      </c>
      <c r="P211" s="8" t="s">
        <v>32</v>
      </c>
      <c r="T211" s="8">
        <f>MATCH(D211,Allocation!A:A,0)</f>
        <v>50</v>
      </c>
    </row>
    <row r="212" spans="1:20" x14ac:dyDescent="0.35">
      <c r="A212" s="8" t="s">
        <v>170</v>
      </c>
      <c r="B212" s="8" t="s">
        <v>171</v>
      </c>
      <c r="C212" s="8" t="s">
        <v>9</v>
      </c>
      <c r="D212" s="8" t="s">
        <v>132</v>
      </c>
      <c r="E212" s="8">
        <v>-1179.02</v>
      </c>
      <c r="F212" s="8" t="s">
        <v>168</v>
      </c>
      <c r="G212" s="8" t="s">
        <v>127</v>
      </c>
      <c r="H212" s="8" t="s">
        <v>126</v>
      </c>
      <c r="I212" s="8" t="s">
        <v>127</v>
      </c>
      <c r="J212" s="8" t="s">
        <v>133</v>
      </c>
      <c r="K212" s="8" t="s">
        <v>134</v>
      </c>
      <c r="L212" s="8" t="s">
        <v>133</v>
      </c>
      <c r="M212" s="8" t="s">
        <v>99</v>
      </c>
      <c r="N212" s="8" t="s">
        <v>100</v>
      </c>
      <c r="O212" s="8" t="s">
        <v>99</v>
      </c>
      <c r="P212" s="8" t="s">
        <v>32</v>
      </c>
      <c r="T212" s="8">
        <f>MATCH(D212,Allocation!A:A,0)</f>
        <v>50</v>
      </c>
    </row>
    <row r="213" spans="1:20" x14ac:dyDescent="0.35">
      <c r="A213" s="8" t="s">
        <v>172</v>
      </c>
      <c r="B213" s="8" t="s">
        <v>173</v>
      </c>
      <c r="C213" s="8" t="s">
        <v>10</v>
      </c>
      <c r="D213" s="8" t="s">
        <v>132</v>
      </c>
      <c r="E213" s="8">
        <v>1538.46</v>
      </c>
      <c r="F213" s="8" t="s">
        <v>34</v>
      </c>
      <c r="G213" s="8" t="s">
        <v>127</v>
      </c>
      <c r="H213" s="8" t="s">
        <v>126</v>
      </c>
      <c r="I213" s="8" t="s">
        <v>127</v>
      </c>
      <c r="J213" s="8" t="s">
        <v>133</v>
      </c>
      <c r="K213" s="8" t="s">
        <v>134</v>
      </c>
      <c r="L213" s="8" t="s">
        <v>133</v>
      </c>
      <c r="M213" s="8" t="s">
        <v>99</v>
      </c>
      <c r="N213" s="8" t="s">
        <v>100</v>
      </c>
      <c r="O213" s="8" t="s">
        <v>99</v>
      </c>
      <c r="P213" s="8" t="s">
        <v>32</v>
      </c>
      <c r="T213" s="8">
        <f>MATCH(D213,Allocation!A:A,0)</f>
        <v>50</v>
      </c>
    </row>
    <row r="214" spans="1:20" x14ac:dyDescent="0.35">
      <c r="A214" s="8" t="s">
        <v>174</v>
      </c>
      <c r="B214" s="8" t="s">
        <v>171</v>
      </c>
      <c r="C214" s="8" t="s">
        <v>9</v>
      </c>
      <c r="D214" s="8" t="s">
        <v>132</v>
      </c>
      <c r="E214" s="8">
        <v>-456.06</v>
      </c>
      <c r="F214" s="8" t="s">
        <v>168</v>
      </c>
      <c r="G214" s="8" t="s">
        <v>127</v>
      </c>
      <c r="H214" s="8" t="s">
        <v>126</v>
      </c>
      <c r="I214" s="8" t="s">
        <v>127</v>
      </c>
      <c r="J214" s="8" t="s">
        <v>133</v>
      </c>
      <c r="K214" s="8" t="s">
        <v>134</v>
      </c>
      <c r="L214" s="8" t="s">
        <v>133</v>
      </c>
      <c r="M214" s="8" t="s">
        <v>99</v>
      </c>
      <c r="N214" s="8" t="s">
        <v>100</v>
      </c>
      <c r="O214" s="8" t="s">
        <v>99</v>
      </c>
      <c r="P214" s="8" t="s">
        <v>32</v>
      </c>
      <c r="T214" s="8">
        <f>MATCH(D214,Allocation!A:A,0)</f>
        <v>50</v>
      </c>
    </row>
    <row r="215" spans="1:20" x14ac:dyDescent="0.35">
      <c r="A215" s="8" t="s">
        <v>174</v>
      </c>
      <c r="B215" s="8" t="s">
        <v>32</v>
      </c>
      <c r="C215" s="8" t="s">
        <v>8</v>
      </c>
      <c r="D215" s="8" t="s">
        <v>132</v>
      </c>
      <c r="E215" s="8">
        <v>456.06</v>
      </c>
      <c r="F215" s="8" t="s">
        <v>34</v>
      </c>
      <c r="G215" s="8" t="s">
        <v>127</v>
      </c>
      <c r="H215" s="8" t="s">
        <v>126</v>
      </c>
      <c r="I215" s="8" t="s">
        <v>127</v>
      </c>
      <c r="J215" s="8" t="s">
        <v>133</v>
      </c>
      <c r="K215" s="8" t="s">
        <v>134</v>
      </c>
      <c r="L215" s="8" t="s">
        <v>133</v>
      </c>
      <c r="M215" s="8" t="s">
        <v>99</v>
      </c>
      <c r="N215" s="8" t="s">
        <v>100</v>
      </c>
      <c r="O215" s="8" t="s">
        <v>99</v>
      </c>
      <c r="P215" s="8" t="s">
        <v>32</v>
      </c>
      <c r="T215" s="8">
        <f>MATCH(D215,Allocation!A:A,0)</f>
        <v>50</v>
      </c>
    </row>
    <row r="216" spans="1:20" x14ac:dyDescent="0.35">
      <c r="A216" s="8" t="s">
        <v>31</v>
      </c>
      <c r="B216" s="8" t="s">
        <v>32</v>
      </c>
      <c r="C216" s="8" t="s">
        <v>6</v>
      </c>
      <c r="D216" s="8" t="s">
        <v>135</v>
      </c>
      <c r="E216" s="8">
        <v>215.26</v>
      </c>
      <c r="F216" s="8" t="s">
        <v>34</v>
      </c>
      <c r="G216" s="8" t="s">
        <v>127</v>
      </c>
      <c r="H216" s="8" t="s">
        <v>126</v>
      </c>
      <c r="I216" s="8" t="s">
        <v>127</v>
      </c>
      <c r="J216" s="8" t="s">
        <v>136</v>
      </c>
      <c r="K216" s="8" t="s">
        <v>137</v>
      </c>
      <c r="L216" s="8" t="s">
        <v>136</v>
      </c>
      <c r="M216" s="8" t="s">
        <v>138</v>
      </c>
      <c r="N216" s="8" t="s">
        <v>139</v>
      </c>
      <c r="O216" s="8" t="s">
        <v>138</v>
      </c>
      <c r="P216" s="8" t="s">
        <v>32</v>
      </c>
      <c r="T216" s="8">
        <f>MATCH(D216,Allocation!A:A,0)</f>
        <v>22</v>
      </c>
    </row>
    <row r="217" spans="1:20" x14ac:dyDescent="0.35">
      <c r="A217" s="8" t="s">
        <v>31</v>
      </c>
      <c r="B217" s="8" t="s">
        <v>37</v>
      </c>
      <c r="C217" s="8" t="s">
        <v>6</v>
      </c>
      <c r="D217" s="8" t="s">
        <v>135</v>
      </c>
      <c r="E217" s="8">
        <v>0</v>
      </c>
      <c r="F217" s="8" t="s">
        <v>34</v>
      </c>
      <c r="G217" s="8" t="s">
        <v>127</v>
      </c>
      <c r="H217" s="8" t="s">
        <v>126</v>
      </c>
      <c r="I217" s="8" t="s">
        <v>127</v>
      </c>
      <c r="J217" s="8" t="s">
        <v>136</v>
      </c>
      <c r="K217" s="8" t="s">
        <v>137</v>
      </c>
      <c r="L217" s="8" t="s">
        <v>136</v>
      </c>
      <c r="M217" s="8" t="s">
        <v>138</v>
      </c>
      <c r="N217" s="8" t="s">
        <v>139</v>
      </c>
      <c r="O217" s="8" t="s">
        <v>138</v>
      </c>
      <c r="P217" s="8" t="s">
        <v>32</v>
      </c>
      <c r="T217" s="8">
        <f>MATCH(D217,Allocation!A:A,0)</f>
        <v>22</v>
      </c>
    </row>
    <row r="218" spans="1:20" x14ac:dyDescent="0.35">
      <c r="A218" s="8" t="s">
        <v>166</v>
      </c>
      <c r="B218" s="8" t="s">
        <v>169</v>
      </c>
      <c r="C218" s="8" t="s">
        <v>7</v>
      </c>
      <c r="D218" s="8" t="s">
        <v>135</v>
      </c>
      <c r="E218" s="8">
        <v>-72.680000000000007</v>
      </c>
      <c r="F218" s="8" t="s">
        <v>168</v>
      </c>
      <c r="G218" s="8" t="s">
        <v>127</v>
      </c>
      <c r="H218" s="8" t="s">
        <v>126</v>
      </c>
      <c r="I218" s="8" t="s">
        <v>127</v>
      </c>
      <c r="J218" s="8" t="s">
        <v>136</v>
      </c>
      <c r="K218" s="8" t="s">
        <v>137</v>
      </c>
      <c r="L218" s="8" t="s">
        <v>136</v>
      </c>
      <c r="M218" s="8" t="s">
        <v>138</v>
      </c>
      <c r="N218" s="8" t="s">
        <v>139</v>
      </c>
      <c r="O218" s="8" t="s">
        <v>138</v>
      </c>
      <c r="P218" s="8" t="s">
        <v>32</v>
      </c>
      <c r="T218" s="8">
        <f>MATCH(D218,Allocation!A:A,0)</f>
        <v>22</v>
      </c>
    </row>
    <row r="219" spans="1:20" x14ac:dyDescent="0.35">
      <c r="A219" s="8" t="s">
        <v>166</v>
      </c>
      <c r="B219" s="8" t="s">
        <v>32</v>
      </c>
      <c r="C219" s="8" t="s">
        <v>8</v>
      </c>
      <c r="D219" s="8" t="s">
        <v>135</v>
      </c>
      <c r="E219" s="8">
        <v>-603.98</v>
      </c>
      <c r="F219" s="8" t="s">
        <v>168</v>
      </c>
      <c r="G219" s="8" t="s">
        <v>127</v>
      </c>
      <c r="H219" s="8" t="s">
        <v>126</v>
      </c>
      <c r="I219" s="8" t="s">
        <v>127</v>
      </c>
      <c r="J219" s="8" t="s">
        <v>136</v>
      </c>
      <c r="K219" s="8" t="s">
        <v>137</v>
      </c>
      <c r="L219" s="8" t="s">
        <v>136</v>
      </c>
      <c r="M219" s="8" t="s">
        <v>138</v>
      </c>
      <c r="N219" s="8" t="s">
        <v>139</v>
      </c>
      <c r="O219" s="8" t="s">
        <v>138</v>
      </c>
      <c r="P219" s="8" t="s">
        <v>32</v>
      </c>
      <c r="T219" s="8">
        <f>MATCH(D219,Allocation!A:A,0)</f>
        <v>22</v>
      </c>
    </row>
    <row r="220" spans="1:20" x14ac:dyDescent="0.35">
      <c r="A220" s="8" t="s">
        <v>170</v>
      </c>
      <c r="B220" s="8" t="s">
        <v>171</v>
      </c>
      <c r="C220" s="8" t="s">
        <v>9</v>
      </c>
      <c r="D220" s="8" t="s">
        <v>135</v>
      </c>
      <c r="E220" s="8">
        <v>-1653.99</v>
      </c>
      <c r="F220" s="8" t="s">
        <v>168</v>
      </c>
      <c r="G220" s="8" t="s">
        <v>127</v>
      </c>
      <c r="H220" s="8" t="s">
        <v>126</v>
      </c>
      <c r="I220" s="8" t="s">
        <v>127</v>
      </c>
      <c r="J220" s="8" t="s">
        <v>136</v>
      </c>
      <c r="K220" s="8" t="s">
        <v>137</v>
      </c>
      <c r="L220" s="8" t="s">
        <v>136</v>
      </c>
      <c r="M220" s="8" t="s">
        <v>138</v>
      </c>
      <c r="N220" s="8" t="s">
        <v>139</v>
      </c>
      <c r="O220" s="8" t="s">
        <v>138</v>
      </c>
      <c r="P220" s="8" t="s">
        <v>32</v>
      </c>
      <c r="T220" s="8">
        <f>MATCH(D220,Allocation!A:A,0)</f>
        <v>22</v>
      </c>
    </row>
    <row r="221" spans="1:20" x14ac:dyDescent="0.35">
      <c r="A221" s="8" t="s">
        <v>172</v>
      </c>
      <c r="B221" s="8" t="s">
        <v>173</v>
      </c>
      <c r="C221" s="8" t="s">
        <v>10</v>
      </c>
      <c r="D221" s="8" t="s">
        <v>135</v>
      </c>
      <c r="E221" s="8">
        <v>2115.39</v>
      </c>
      <c r="F221" s="8" t="s">
        <v>34</v>
      </c>
      <c r="G221" s="8" t="s">
        <v>127</v>
      </c>
      <c r="H221" s="8" t="s">
        <v>126</v>
      </c>
      <c r="I221" s="8" t="s">
        <v>127</v>
      </c>
      <c r="J221" s="8" t="s">
        <v>136</v>
      </c>
      <c r="K221" s="8" t="s">
        <v>137</v>
      </c>
      <c r="L221" s="8" t="s">
        <v>136</v>
      </c>
      <c r="M221" s="8" t="s">
        <v>138</v>
      </c>
      <c r="N221" s="8" t="s">
        <v>139</v>
      </c>
      <c r="O221" s="8" t="s">
        <v>138</v>
      </c>
      <c r="P221" s="8" t="s">
        <v>32</v>
      </c>
      <c r="T221" s="8">
        <f>MATCH(D221,Allocation!A:A,0)</f>
        <v>22</v>
      </c>
    </row>
    <row r="222" spans="1:20" x14ac:dyDescent="0.35">
      <c r="A222" s="8" t="s">
        <v>174</v>
      </c>
      <c r="B222" s="8" t="s">
        <v>171</v>
      </c>
      <c r="C222" s="8" t="s">
        <v>9</v>
      </c>
      <c r="D222" s="8" t="s">
        <v>135</v>
      </c>
      <c r="E222" s="8">
        <v>-603.98</v>
      </c>
      <c r="F222" s="8" t="s">
        <v>168</v>
      </c>
      <c r="G222" s="8" t="s">
        <v>127</v>
      </c>
      <c r="H222" s="8" t="s">
        <v>126</v>
      </c>
      <c r="I222" s="8" t="s">
        <v>127</v>
      </c>
      <c r="J222" s="8" t="s">
        <v>136</v>
      </c>
      <c r="K222" s="8" t="s">
        <v>137</v>
      </c>
      <c r="L222" s="8" t="s">
        <v>136</v>
      </c>
      <c r="M222" s="8" t="s">
        <v>138</v>
      </c>
      <c r="N222" s="8" t="s">
        <v>139</v>
      </c>
      <c r="O222" s="8" t="s">
        <v>138</v>
      </c>
      <c r="P222" s="8" t="s">
        <v>32</v>
      </c>
      <c r="T222" s="8">
        <f>MATCH(D222,Allocation!A:A,0)</f>
        <v>22</v>
      </c>
    </row>
    <row r="223" spans="1:20" x14ac:dyDescent="0.35">
      <c r="A223" s="8" t="s">
        <v>174</v>
      </c>
      <c r="B223" s="8" t="s">
        <v>32</v>
      </c>
      <c r="C223" s="8" t="s">
        <v>8</v>
      </c>
      <c r="D223" s="8" t="s">
        <v>135</v>
      </c>
      <c r="E223" s="8">
        <v>603.98</v>
      </c>
      <c r="F223" s="8" t="s">
        <v>34</v>
      </c>
      <c r="G223" s="8" t="s">
        <v>127</v>
      </c>
      <c r="H223" s="8" t="s">
        <v>126</v>
      </c>
      <c r="I223" s="8" t="s">
        <v>127</v>
      </c>
      <c r="J223" s="8" t="s">
        <v>136</v>
      </c>
      <c r="K223" s="8" t="s">
        <v>137</v>
      </c>
      <c r="L223" s="8" t="s">
        <v>136</v>
      </c>
      <c r="M223" s="8" t="s">
        <v>138</v>
      </c>
      <c r="N223" s="8" t="s">
        <v>139</v>
      </c>
      <c r="O223" s="8" t="s">
        <v>138</v>
      </c>
      <c r="P223" s="8" t="s">
        <v>32</v>
      </c>
      <c r="T223" s="8">
        <f>MATCH(D223,Allocation!A:A,0)</f>
        <v>22</v>
      </c>
    </row>
    <row r="224" spans="1:20" x14ac:dyDescent="0.35">
      <c r="A224" s="8" t="s">
        <v>31</v>
      </c>
      <c r="B224" s="8" t="s">
        <v>32</v>
      </c>
      <c r="C224" s="8" t="s">
        <v>6</v>
      </c>
      <c r="D224" s="8" t="s">
        <v>140</v>
      </c>
      <c r="E224" s="8">
        <v>106.59</v>
      </c>
      <c r="F224" s="8" t="s">
        <v>34</v>
      </c>
      <c r="G224" s="8" t="s">
        <v>127</v>
      </c>
      <c r="H224" s="8" t="s">
        <v>126</v>
      </c>
      <c r="I224" s="8" t="s">
        <v>127</v>
      </c>
      <c r="J224" s="8" t="s">
        <v>141</v>
      </c>
      <c r="K224" s="8" t="s">
        <v>142</v>
      </c>
      <c r="L224" s="8" t="s">
        <v>141</v>
      </c>
      <c r="M224" s="8" t="s">
        <v>106</v>
      </c>
      <c r="N224" s="8" t="s">
        <v>107</v>
      </c>
      <c r="O224" s="8" t="s">
        <v>106</v>
      </c>
      <c r="P224" s="8" t="s">
        <v>32</v>
      </c>
      <c r="T224" s="8">
        <f>MATCH(D224,Allocation!A:A,0)</f>
        <v>28</v>
      </c>
    </row>
    <row r="225" spans="1:20" x14ac:dyDescent="0.35">
      <c r="A225" s="8" t="s">
        <v>31</v>
      </c>
      <c r="B225" s="8" t="s">
        <v>37</v>
      </c>
      <c r="C225" s="8" t="s">
        <v>6</v>
      </c>
      <c r="D225" s="8" t="s">
        <v>140</v>
      </c>
      <c r="E225" s="8">
        <v>0</v>
      </c>
      <c r="F225" s="8" t="s">
        <v>34</v>
      </c>
      <c r="G225" s="8" t="s">
        <v>127</v>
      </c>
      <c r="H225" s="8" t="s">
        <v>126</v>
      </c>
      <c r="I225" s="8" t="s">
        <v>127</v>
      </c>
      <c r="J225" s="8" t="s">
        <v>141</v>
      </c>
      <c r="K225" s="8" t="s">
        <v>142</v>
      </c>
      <c r="L225" s="8" t="s">
        <v>141</v>
      </c>
      <c r="M225" s="8" t="s">
        <v>106</v>
      </c>
      <c r="N225" s="8" t="s">
        <v>107</v>
      </c>
      <c r="O225" s="8" t="s">
        <v>106</v>
      </c>
      <c r="P225" s="8" t="s">
        <v>32</v>
      </c>
      <c r="T225" s="8">
        <f>MATCH(D225,Allocation!A:A,0)</f>
        <v>28</v>
      </c>
    </row>
    <row r="226" spans="1:20" x14ac:dyDescent="0.35">
      <c r="A226" s="8" t="s">
        <v>166</v>
      </c>
      <c r="B226" s="8" t="s">
        <v>32</v>
      </c>
      <c r="C226" s="8" t="s">
        <v>8</v>
      </c>
      <c r="D226" s="8" t="s">
        <v>140</v>
      </c>
      <c r="E226" s="8">
        <v>-212.48</v>
      </c>
      <c r="F226" s="8" t="s">
        <v>168</v>
      </c>
      <c r="G226" s="8" t="s">
        <v>127</v>
      </c>
      <c r="H226" s="8" t="s">
        <v>126</v>
      </c>
      <c r="I226" s="8" t="s">
        <v>127</v>
      </c>
      <c r="J226" s="8" t="s">
        <v>141</v>
      </c>
      <c r="K226" s="8" t="s">
        <v>142</v>
      </c>
      <c r="L226" s="8" t="s">
        <v>141</v>
      </c>
      <c r="M226" s="8" t="s">
        <v>106</v>
      </c>
      <c r="N226" s="8" t="s">
        <v>107</v>
      </c>
      <c r="O226" s="8" t="s">
        <v>106</v>
      </c>
      <c r="P226" s="8" t="s">
        <v>32</v>
      </c>
      <c r="T226" s="8">
        <f>MATCH(D226,Allocation!A:A,0)</f>
        <v>28</v>
      </c>
    </row>
    <row r="227" spans="1:20" x14ac:dyDescent="0.35">
      <c r="A227" s="8" t="s">
        <v>170</v>
      </c>
      <c r="B227" s="8" t="s">
        <v>171</v>
      </c>
      <c r="C227" s="8" t="s">
        <v>9</v>
      </c>
      <c r="D227" s="8" t="s">
        <v>140</v>
      </c>
      <c r="E227" s="8">
        <v>-914.11</v>
      </c>
      <c r="F227" s="8" t="s">
        <v>168</v>
      </c>
      <c r="G227" s="8" t="s">
        <v>127</v>
      </c>
      <c r="H227" s="8" t="s">
        <v>126</v>
      </c>
      <c r="I227" s="8" t="s">
        <v>127</v>
      </c>
      <c r="J227" s="8" t="s">
        <v>141</v>
      </c>
      <c r="K227" s="8" t="s">
        <v>142</v>
      </c>
      <c r="L227" s="8" t="s">
        <v>141</v>
      </c>
      <c r="M227" s="8" t="s">
        <v>106</v>
      </c>
      <c r="N227" s="8" t="s">
        <v>107</v>
      </c>
      <c r="O227" s="8" t="s">
        <v>106</v>
      </c>
      <c r="P227" s="8" t="s">
        <v>32</v>
      </c>
      <c r="T227" s="8">
        <f>MATCH(D227,Allocation!A:A,0)</f>
        <v>28</v>
      </c>
    </row>
    <row r="228" spans="1:20" x14ac:dyDescent="0.35">
      <c r="A228" s="8" t="s">
        <v>172</v>
      </c>
      <c r="B228" s="8" t="s">
        <v>173</v>
      </c>
      <c r="C228" s="8" t="s">
        <v>10</v>
      </c>
      <c r="D228" s="8" t="s">
        <v>140</v>
      </c>
      <c r="E228" s="8">
        <v>1020</v>
      </c>
      <c r="F228" s="8" t="s">
        <v>34</v>
      </c>
      <c r="G228" s="8" t="s">
        <v>127</v>
      </c>
      <c r="H228" s="8" t="s">
        <v>126</v>
      </c>
      <c r="I228" s="8" t="s">
        <v>127</v>
      </c>
      <c r="J228" s="8" t="s">
        <v>141</v>
      </c>
      <c r="K228" s="8" t="s">
        <v>142</v>
      </c>
      <c r="L228" s="8" t="s">
        <v>141</v>
      </c>
      <c r="M228" s="8" t="s">
        <v>106</v>
      </c>
      <c r="N228" s="8" t="s">
        <v>107</v>
      </c>
      <c r="O228" s="8" t="s">
        <v>106</v>
      </c>
      <c r="P228" s="8" t="s">
        <v>32</v>
      </c>
      <c r="T228" s="8">
        <f>MATCH(D228,Allocation!A:A,0)</f>
        <v>28</v>
      </c>
    </row>
    <row r="229" spans="1:20" x14ac:dyDescent="0.35">
      <c r="A229" s="8" t="s">
        <v>174</v>
      </c>
      <c r="B229" s="8" t="s">
        <v>171</v>
      </c>
      <c r="C229" s="8" t="s">
        <v>9</v>
      </c>
      <c r="D229" s="8" t="s">
        <v>140</v>
      </c>
      <c r="E229" s="8">
        <v>-212.48</v>
      </c>
      <c r="F229" s="8" t="s">
        <v>168</v>
      </c>
      <c r="G229" s="8" t="s">
        <v>127</v>
      </c>
      <c r="H229" s="8" t="s">
        <v>126</v>
      </c>
      <c r="I229" s="8" t="s">
        <v>127</v>
      </c>
      <c r="J229" s="8" t="s">
        <v>141</v>
      </c>
      <c r="K229" s="8" t="s">
        <v>142</v>
      </c>
      <c r="L229" s="8" t="s">
        <v>141</v>
      </c>
      <c r="M229" s="8" t="s">
        <v>106</v>
      </c>
      <c r="N229" s="8" t="s">
        <v>107</v>
      </c>
      <c r="O229" s="8" t="s">
        <v>106</v>
      </c>
      <c r="P229" s="8" t="s">
        <v>32</v>
      </c>
      <c r="T229" s="8">
        <f>MATCH(D229,Allocation!A:A,0)</f>
        <v>28</v>
      </c>
    </row>
    <row r="230" spans="1:20" x14ac:dyDescent="0.35">
      <c r="A230" s="8" t="s">
        <v>174</v>
      </c>
      <c r="B230" s="8" t="s">
        <v>32</v>
      </c>
      <c r="C230" s="8" t="s">
        <v>8</v>
      </c>
      <c r="D230" s="8" t="s">
        <v>140</v>
      </c>
      <c r="E230" s="8">
        <v>212.48</v>
      </c>
      <c r="F230" s="8" t="s">
        <v>34</v>
      </c>
      <c r="G230" s="8" t="s">
        <v>127</v>
      </c>
      <c r="H230" s="8" t="s">
        <v>126</v>
      </c>
      <c r="I230" s="8" t="s">
        <v>127</v>
      </c>
      <c r="J230" s="8" t="s">
        <v>141</v>
      </c>
      <c r="K230" s="8" t="s">
        <v>142</v>
      </c>
      <c r="L230" s="8" t="s">
        <v>141</v>
      </c>
      <c r="M230" s="8" t="s">
        <v>106</v>
      </c>
      <c r="N230" s="8" t="s">
        <v>107</v>
      </c>
      <c r="O230" s="8" t="s">
        <v>106</v>
      </c>
      <c r="P230" s="8" t="s">
        <v>32</v>
      </c>
      <c r="T230" s="8">
        <f>MATCH(D230,Allocation!A:A,0)</f>
        <v>28</v>
      </c>
    </row>
    <row r="231" spans="1:20" x14ac:dyDescent="0.35">
      <c r="A231" s="8" t="s">
        <v>31</v>
      </c>
      <c r="B231" s="8" t="s">
        <v>32</v>
      </c>
      <c r="C231" s="8" t="s">
        <v>6</v>
      </c>
      <c r="D231" s="8" t="s">
        <v>143</v>
      </c>
      <c r="E231" s="8">
        <v>253.45</v>
      </c>
      <c r="F231" s="8" t="s">
        <v>34</v>
      </c>
      <c r="G231" s="8" t="s">
        <v>144</v>
      </c>
      <c r="H231" s="8" t="s">
        <v>145</v>
      </c>
      <c r="I231" s="8" t="s">
        <v>146</v>
      </c>
      <c r="J231" s="8" t="s">
        <v>147</v>
      </c>
      <c r="K231" s="8" t="s">
        <v>148</v>
      </c>
      <c r="L231" s="8" t="s">
        <v>147</v>
      </c>
      <c r="M231" s="8" t="s">
        <v>61</v>
      </c>
      <c r="N231" s="8" t="s">
        <v>62</v>
      </c>
      <c r="O231" s="8" t="s">
        <v>61</v>
      </c>
      <c r="P231" s="8" t="s">
        <v>32</v>
      </c>
      <c r="T231" s="8">
        <f>MATCH(D231,Allocation!A:A,0)</f>
        <v>26</v>
      </c>
    </row>
    <row r="232" spans="1:20" x14ac:dyDescent="0.35">
      <c r="A232" s="8" t="s">
        <v>31</v>
      </c>
      <c r="B232" s="8" t="s">
        <v>37</v>
      </c>
      <c r="C232" s="8" t="s">
        <v>6</v>
      </c>
      <c r="D232" s="8" t="s">
        <v>143</v>
      </c>
      <c r="E232" s="8">
        <v>0</v>
      </c>
      <c r="F232" s="8" t="s">
        <v>34</v>
      </c>
      <c r="G232" s="8" t="s">
        <v>144</v>
      </c>
      <c r="H232" s="8" t="s">
        <v>145</v>
      </c>
      <c r="I232" s="8" t="s">
        <v>146</v>
      </c>
      <c r="J232" s="8" t="s">
        <v>147</v>
      </c>
      <c r="K232" s="8" t="s">
        <v>148</v>
      </c>
      <c r="L232" s="8" t="s">
        <v>147</v>
      </c>
      <c r="M232" s="8" t="s">
        <v>61</v>
      </c>
      <c r="N232" s="8" t="s">
        <v>62</v>
      </c>
      <c r="O232" s="8" t="s">
        <v>61</v>
      </c>
      <c r="P232" s="8" t="s">
        <v>32</v>
      </c>
      <c r="T232" s="8">
        <f>MATCH(D232,Allocation!A:A,0)</f>
        <v>26</v>
      </c>
    </row>
    <row r="233" spans="1:20" x14ac:dyDescent="0.35">
      <c r="A233" s="8" t="s">
        <v>166</v>
      </c>
      <c r="B233" s="8" t="s">
        <v>169</v>
      </c>
      <c r="C233" s="8" t="s">
        <v>7</v>
      </c>
      <c r="D233" s="8" t="s">
        <v>143</v>
      </c>
      <c r="E233" s="8">
        <v>-98.62</v>
      </c>
      <c r="F233" s="8" t="s">
        <v>168</v>
      </c>
      <c r="G233" s="8" t="s">
        <v>144</v>
      </c>
      <c r="H233" s="8" t="s">
        <v>145</v>
      </c>
      <c r="I233" s="8" t="s">
        <v>146</v>
      </c>
      <c r="J233" s="8" t="s">
        <v>147</v>
      </c>
      <c r="K233" s="8" t="s">
        <v>148</v>
      </c>
      <c r="L233" s="8" t="s">
        <v>147</v>
      </c>
      <c r="M233" s="8" t="s">
        <v>61</v>
      </c>
      <c r="N233" s="8" t="s">
        <v>62</v>
      </c>
      <c r="O233" s="8" t="s">
        <v>61</v>
      </c>
      <c r="P233" s="8" t="s">
        <v>32</v>
      </c>
      <c r="T233" s="8">
        <f>MATCH(D233,Allocation!A:A,0)</f>
        <v>26</v>
      </c>
    </row>
    <row r="234" spans="1:20" x14ac:dyDescent="0.35">
      <c r="A234" s="8" t="s">
        <v>166</v>
      </c>
      <c r="B234" s="8" t="s">
        <v>32</v>
      </c>
      <c r="C234" s="8" t="s">
        <v>8</v>
      </c>
      <c r="D234" s="8" t="s">
        <v>143</v>
      </c>
      <c r="E234" s="8">
        <v>-785.57</v>
      </c>
      <c r="F234" s="8" t="s">
        <v>168</v>
      </c>
      <c r="G234" s="8" t="s">
        <v>144</v>
      </c>
      <c r="H234" s="8" t="s">
        <v>145</v>
      </c>
      <c r="I234" s="8" t="s">
        <v>146</v>
      </c>
      <c r="J234" s="8" t="s">
        <v>147</v>
      </c>
      <c r="K234" s="8" t="s">
        <v>148</v>
      </c>
      <c r="L234" s="8" t="s">
        <v>147</v>
      </c>
      <c r="M234" s="8" t="s">
        <v>61</v>
      </c>
      <c r="N234" s="8" t="s">
        <v>62</v>
      </c>
      <c r="O234" s="8" t="s">
        <v>61</v>
      </c>
      <c r="P234" s="8" t="s">
        <v>32</v>
      </c>
      <c r="T234" s="8">
        <f>MATCH(D234,Allocation!A:A,0)</f>
        <v>26</v>
      </c>
    </row>
    <row r="235" spans="1:20" x14ac:dyDescent="0.35">
      <c r="A235" s="8" t="s">
        <v>170</v>
      </c>
      <c r="B235" s="8" t="s">
        <v>171</v>
      </c>
      <c r="C235" s="8" t="s">
        <v>9</v>
      </c>
      <c r="D235" s="8" t="s">
        <v>143</v>
      </c>
      <c r="E235" s="8">
        <v>-1869.26</v>
      </c>
      <c r="F235" s="8" t="s">
        <v>168</v>
      </c>
      <c r="G235" s="8" t="s">
        <v>144</v>
      </c>
      <c r="H235" s="8" t="s">
        <v>145</v>
      </c>
      <c r="I235" s="8" t="s">
        <v>146</v>
      </c>
      <c r="J235" s="8" t="s">
        <v>147</v>
      </c>
      <c r="K235" s="8" t="s">
        <v>148</v>
      </c>
      <c r="L235" s="8" t="s">
        <v>147</v>
      </c>
      <c r="M235" s="8" t="s">
        <v>61</v>
      </c>
      <c r="N235" s="8" t="s">
        <v>62</v>
      </c>
      <c r="O235" s="8" t="s">
        <v>61</v>
      </c>
      <c r="P235" s="8" t="s">
        <v>32</v>
      </c>
      <c r="T235" s="8">
        <f>MATCH(D235,Allocation!A:A,0)</f>
        <v>26</v>
      </c>
    </row>
    <row r="236" spans="1:20" x14ac:dyDescent="0.35">
      <c r="A236" s="8" t="s">
        <v>172</v>
      </c>
      <c r="B236" s="8" t="s">
        <v>173</v>
      </c>
      <c r="C236" s="8" t="s">
        <v>10</v>
      </c>
      <c r="D236" s="8" t="s">
        <v>143</v>
      </c>
      <c r="E236" s="8">
        <v>2500</v>
      </c>
      <c r="F236" s="8" t="s">
        <v>34</v>
      </c>
      <c r="G236" s="8" t="s">
        <v>144</v>
      </c>
      <c r="H236" s="8" t="s">
        <v>145</v>
      </c>
      <c r="I236" s="8" t="s">
        <v>146</v>
      </c>
      <c r="J236" s="8" t="s">
        <v>147</v>
      </c>
      <c r="K236" s="8" t="s">
        <v>148</v>
      </c>
      <c r="L236" s="8" t="s">
        <v>147</v>
      </c>
      <c r="M236" s="8" t="s">
        <v>61</v>
      </c>
      <c r="N236" s="8" t="s">
        <v>62</v>
      </c>
      <c r="O236" s="8" t="s">
        <v>61</v>
      </c>
      <c r="P236" s="8" t="s">
        <v>32</v>
      </c>
      <c r="T236" s="8">
        <f>MATCH(D236,Allocation!A:A,0)</f>
        <v>26</v>
      </c>
    </row>
    <row r="237" spans="1:20" x14ac:dyDescent="0.35">
      <c r="A237" s="8" t="s">
        <v>174</v>
      </c>
      <c r="B237" s="8" t="s">
        <v>171</v>
      </c>
      <c r="C237" s="8" t="s">
        <v>9</v>
      </c>
      <c r="D237" s="8" t="s">
        <v>143</v>
      </c>
      <c r="E237" s="8">
        <v>-785.57</v>
      </c>
      <c r="F237" s="8" t="s">
        <v>168</v>
      </c>
      <c r="G237" s="8" t="s">
        <v>144</v>
      </c>
      <c r="H237" s="8" t="s">
        <v>145</v>
      </c>
      <c r="I237" s="8" t="s">
        <v>146</v>
      </c>
      <c r="J237" s="8" t="s">
        <v>147</v>
      </c>
      <c r="K237" s="8" t="s">
        <v>148</v>
      </c>
      <c r="L237" s="8" t="s">
        <v>147</v>
      </c>
      <c r="M237" s="8" t="s">
        <v>61</v>
      </c>
      <c r="N237" s="8" t="s">
        <v>62</v>
      </c>
      <c r="O237" s="8" t="s">
        <v>61</v>
      </c>
      <c r="P237" s="8" t="s">
        <v>32</v>
      </c>
      <c r="T237" s="8">
        <f>MATCH(D237,Allocation!A:A,0)</f>
        <v>26</v>
      </c>
    </row>
    <row r="238" spans="1:20" x14ac:dyDescent="0.35">
      <c r="A238" s="8" t="s">
        <v>174</v>
      </c>
      <c r="B238" s="8" t="s">
        <v>32</v>
      </c>
      <c r="C238" s="8" t="s">
        <v>8</v>
      </c>
      <c r="D238" s="8" t="s">
        <v>143</v>
      </c>
      <c r="E238" s="8">
        <v>785.57</v>
      </c>
      <c r="F238" s="8" t="s">
        <v>34</v>
      </c>
      <c r="G238" s="8" t="s">
        <v>144</v>
      </c>
      <c r="H238" s="8" t="s">
        <v>145</v>
      </c>
      <c r="I238" s="8" t="s">
        <v>146</v>
      </c>
      <c r="J238" s="8" t="s">
        <v>147</v>
      </c>
      <c r="K238" s="8" t="s">
        <v>148</v>
      </c>
      <c r="L238" s="8" t="s">
        <v>147</v>
      </c>
      <c r="M238" s="8" t="s">
        <v>61</v>
      </c>
      <c r="N238" s="8" t="s">
        <v>62</v>
      </c>
      <c r="O238" s="8" t="s">
        <v>61</v>
      </c>
      <c r="P238" s="8" t="s">
        <v>32</v>
      </c>
      <c r="T238" s="8">
        <f>MATCH(D238,Allocation!A:A,0)</f>
        <v>26</v>
      </c>
    </row>
    <row r="239" spans="1:20" x14ac:dyDescent="0.35">
      <c r="A239" s="8" t="s">
        <v>31</v>
      </c>
      <c r="B239" s="8" t="s">
        <v>32</v>
      </c>
      <c r="C239" s="8" t="s">
        <v>6</v>
      </c>
      <c r="D239" s="8" t="s">
        <v>263</v>
      </c>
      <c r="E239" s="8">
        <v>181.42</v>
      </c>
      <c r="F239" s="8" t="s">
        <v>34</v>
      </c>
      <c r="G239" s="8" t="s">
        <v>144</v>
      </c>
      <c r="H239" s="8" t="s">
        <v>145</v>
      </c>
      <c r="I239" s="8" t="s">
        <v>146</v>
      </c>
      <c r="J239" s="8" t="s">
        <v>318</v>
      </c>
      <c r="K239" s="8" t="s">
        <v>319</v>
      </c>
      <c r="L239" s="8" t="s">
        <v>318</v>
      </c>
      <c r="M239" s="8" t="s">
        <v>320</v>
      </c>
      <c r="N239" s="8" t="s">
        <v>321</v>
      </c>
      <c r="O239" s="8" t="s">
        <v>320</v>
      </c>
      <c r="P239" s="8" t="s">
        <v>32</v>
      </c>
      <c r="T239" s="8">
        <f>MATCH(D239,Allocation!A:A,0)</f>
        <v>19</v>
      </c>
    </row>
    <row r="240" spans="1:20" x14ac:dyDescent="0.35">
      <c r="A240" s="8" t="s">
        <v>31</v>
      </c>
      <c r="B240" s="8" t="s">
        <v>37</v>
      </c>
      <c r="C240" s="8" t="s">
        <v>6</v>
      </c>
      <c r="D240" s="8" t="s">
        <v>263</v>
      </c>
      <c r="E240" s="8">
        <v>0</v>
      </c>
      <c r="F240" s="8" t="s">
        <v>34</v>
      </c>
      <c r="G240" s="8" t="s">
        <v>144</v>
      </c>
      <c r="H240" s="8" t="s">
        <v>145</v>
      </c>
      <c r="I240" s="8" t="s">
        <v>146</v>
      </c>
      <c r="J240" s="8" t="s">
        <v>318</v>
      </c>
      <c r="K240" s="8" t="s">
        <v>319</v>
      </c>
      <c r="L240" s="8" t="s">
        <v>318</v>
      </c>
      <c r="M240" s="8" t="s">
        <v>320</v>
      </c>
      <c r="N240" s="8" t="s">
        <v>321</v>
      </c>
      <c r="O240" s="8" t="s">
        <v>320</v>
      </c>
      <c r="P240" s="8" t="s">
        <v>32</v>
      </c>
      <c r="T240" s="8">
        <f>MATCH(D240,Allocation!A:A,0)</f>
        <v>19</v>
      </c>
    </row>
    <row r="241" spans="1:20" x14ac:dyDescent="0.35">
      <c r="A241" s="8" t="s">
        <v>166</v>
      </c>
      <c r="B241" s="8" t="s">
        <v>169</v>
      </c>
      <c r="C241" s="8" t="s">
        <v>7</v>
      </c>
      <c r="D241" s="8" t="s">
        <v>263</v>
      </c>
      <c r="E241" s="8">
        <v>-63.55</v>
      </c>
      <c r="F241" s="8" t="s">
        <v>168</v>
      </c>
      <c r="G241" s="8" t="s">
        <v>144</v>
      </c>
      <c r="H241" s="8" t="s">
        <v>145</v>
      </c>
      <c r="I241" s="8" t="s">
        <v>146</v>
      </c>
      <c r="J241" s="8" t="s">
        <v>318</v>
      </c>
      <c r="K241" s="8" t="s">
        <v>319</v>
      </c>
      <c r="L241" s="8" t="s">
        <v>318</v>
      </c>
      <c r="M241" s="8" t="s">
        <v>320</v>
      </c>
      <c r="N241" s="8" t="s">
        <v>321</v>
      </c>
      <c r="O241" s="8" t="s">
        <v>320</v>
      </c>
      <c r="P241" s="8" t="s">
        <v>32</v>
      </c>
      <c r="T241" s="8">
        <f>MATCH(D241,Allocation!A:A,0)</f>
        <v>19</v>
      </c>
    </row>
    <row r="242" spans="1:20" x14ac:dyDescent="0.35">
      <c r="A242" s="8" t="s">
        <v>166</v>
      </c>
      <c r="B242" s="8" t="s">
        <v>32</v>
      </c>
      <c r="C242" s="8" t="s">
        <v>8</v>
      </c>
      <c r="D242" s="8" t="s">
        <v>263</v>
      </c>
      <c r="E242" s="8">
        <v>-444.03</v>
      </c>
      <c r="F242" s="8" t="s">
        <v>168</v>
      </c>
      <c r="G242" s="8" t="s">
        <v>144</v>
      </c>
      <c r="H242" s="8" t="s">
        <v>145</v>
      </c>
      <c r="I242" s="8" t="s">
        <v>146</v>
      </c>
      <c r="J242" s="8" t="s">
        <v>318</v>
      </c>
      <c r="K242" s="8" t="s">
        <v>319</v>
      </c>
      <c r="L242" s="8" t="s">
        <v>318</v>
      </c>
      <c r="M242" s="8" t="s">
        <v>320</v>
      </c>
      <c r="N242" s="8" t="s">
        <v>321</v>
      </c>
      <c r="O242" s="8" t="s">
        <v>320</v>
      </c>
      <c r="P242" s="8" t="s">
        <v>32</v>
      </c>
      <c r="T242" s="8">
        <f>MATCH(D242,Allocation!A:A,0)</f>
        <v>19</v>
      </c>
    </row>
    <row r="243" spans="1:20" x14ac:dyDescent="0.35">
      <c r="A243" s="8" t="s">
        <v>170</v>
      </c>
      <c r="B243" s="8" t="s">
        <v>171</v>
      </c>
      <c r="C243" s="8" t="s">
        <v>9</v>
      </c>
      <c r="D243" s="8" t="s">
        <v>263</v>
      </c>
      <c r="E243" s="8">
        <v>-1462.3</v>
      </c>
      <c r="F243" s="8" t="s">
        <v>168</v>
      </c>
      <c r="G243" s="8" t="s">
        <v>144</v>
      </c>
      <c r="H243" s="8" t="s">
        <v>145</v>
      </c>
      <c r="I243" s="8" t="s">
        <v>146</v>
      </c>
      <c r="J243" s="8" t="s">
        <v>318</v>
      </c>
      <c r="K243" s="8" t="s">
        <v>319</v>
      </c>
      <c r="L243" s="8" t="s">
        <v>318</v>
      </c>
      <c r="M243" s="8" t="s">
        <v>320</v>
      </c>
      <c r="N243" s="8" t="s">
        <v>321</v>
      </c>
      <c r="O243" s="8" t="s">
        <v>320</v>
      </c>
      <c r="P243" s="8" t="s">
        <v>32</v>
      </c>
      <c r="T243" s="8">
        <f>MATCH(D243,Allocation!A:A,0)</f>
        <v>19</v>
      </c>
    </row>
    <row r="244" spans="1:20" x14ac:dyDescent="0.35">
      <c r="A244" s="8" t="s">
        <v>172</v>
      </c>
      <c r="B244" s="8" t="s">
        <v>173</v>
      </c>
      <c r="C244" s="8" t="s">
        <v>10</v>
      </c>
      <c r="D244" s="8" t="s">
        <v>263</v>
      </c>
      <c r="E244" s="8">
        <v>1788.46</v>
      </c>
      <c r="F244" s="8" t="s">
        <v>34</v>
      </c>
      <c r="G244" s="8" t="s">
        <v>144</v>
      </c>
      <c r="H244" s="8" t="s">
        <v>145</v>
      </c>
      <c r="I244" s="8" t="s">
        <v>146</v>
      </c>
      <c r="J244" s="8" t="s">
        <v>318</v>
      </c>
      <c r="K244" s="8" t="s">
        <v>319</v>
      </c>
      <c r="L244" s="8" t="s">
        <v>318</v>
      </c>
      <c r="M244" s="8" t="s">
        <v>320</v>
      </c>
      <c r="N244" s="8" t="s">
        <v>321</v>
      </c>
      <c r="O244" s="8" t="s">
        <v>320</v>
      </c>
      <c r="P244" s="8" t="s">
        <v>32</v>
      </c>
      <c r="T244" s="8">
        <f>MATCH(D244,Allocation!A:A,0)</f>
        <v>19</v>
      </c>
    </row>
    <row r="245" spans="1:20" x14ac:dyDescent="0.35">
      <c r="A245" s="8" t="s">
        <v>174</v>
      </c>
      <c r="B245" s="8" t="s">
        <v>171</v>
      </c>
      <c r="C245" s="8" t="s">
        <v>9</v>
      </c>
      <c r="D245" s="8" t="s">
        <v>263</v>
      </c>
      <c r="E245" s="8">
        <v>-444.03</v>
      </c>
      <c r="F245" s="8" t="s">
        <v>168</v>
      </c>
      <c r="G245" s="8" t="s">
        <v>144</v>
      </c>
      <c r="H245" s="8" t="s">
        <v>145</v>
      </c>
      <c r="I245" s="8" t="s">
        <v>146</v>
      </c>
      <c r="J245" s="8" t="s">
        <v>318</v>
      </c>
      <c r="K245" s="8" t="s">
        <v>319</v>
      </c>
      <c r="L245" s="8" t="s">
        <v>318</v>
      </c>
      <c r="M245" s="8" t="s">
        <v>320</v>
      </c>
      <c r="N245" s="8" t="s">
        <v>321</v>
      </c>
      <c r="O245" s="8" t="s">
        <v>320</v>
      </c>
      <c r="P245" s="8" t="s">
        <v>32</v>
      </c>
      <c r="T245" s="8">
        <f>MATCH(D245,Allocation!A:A,0)</f>
        <v>19</v>
      </c>
    </row>
    <row r="246" spans="1:20" x14ac:dyDescent="0.35">
      <c r="A246" s="8" t="s">
        <v>174</v>
      </c>
      <c r="B246" s="8" t="s">
        <v>32</v>
      </c>
      <c r="C246" s="8" t="s">
        <v>8</v>
      </c>
      <c r="D246" s="8" t="s">
        <v>263</v>
      </c>
      <c r="E246" s="8">
        <v>444.03</v>
      </c>
      <c r="F246" s="8" t="s">
        <v>34</v>
      </c>
      <c r="G246" s="8" t="s">
        <v>144</v>
      </c>
      <c r="H246" s="8" t="s">
        <v>145</v>
      </c>
      <c r="I246" s="8" t="s">
        <v>146</v>
      </c>
      <c r="J246" s="8" t="s">
        <v>318</v>
      </c>
      <c r="K246" s="8" t="s">
        <v>319</v>
      </c>
      <c r="L246" s="8" t="s">
        <v>318</v>
      </c>
      <c r="M246" s="8" t="s">
        <v>320</v>
      </c>
      <c r="N246" s="8" t="s">
        <v>321</v>
      </c>
      <c r="O246" s="8" t="s">
        <v>320</v>
      </c>
      <c r="P246" s="8" t="s">
        <v>32</v>
      </c>
      <c r="T246" s="8">
        <f>MATCH(D246,Allocation!A:A,0)</f>
        <v>19</v>
      </c>
    </row>
    <row r="247" spans="1:20" x14ac:dyDescent="0.35">
      <c r="A247" s="8" t="s">
        <v>31</v>
      </c>
      <c r="B247" s="8" t="s">
        <v>32</v>
      </c>
      <c r="C247" s="8" t="s">
        <v>6</v>
      </c>
      <c r="D247" s="8" t="s">
        <v>150</v>
      </c>
      <c r="E247" s="8">
        <v>603.70000000000005</v>
      </c>
      <c r="F247" s="8" t="s">
        <v>34</v>
      </c>
      <c r="G247" s="8" t="s">
        <v>151</v>
      </c>
      <c r="H247" s="8" t="s">
        <v>152</v>
      </c>
      <c r="I247" s="8" t="s">
        <v>151</v>
      </c>
      <c r="J247" s="8" t="s">
        <v>153</v>
      </c>
      <c r="K247" s="8" t="s">
        <v>154</v>
      </c>
      <c r="L247" s="8" t="s">
        <v>153</v>
      </c>
      <c r="M247" s="8" t="s">
        <v>155</v>
      </c>
      <c r="N247" s="8" t="s">
        <v>156</v>
      </c>
      <c r="O247" s="8" t="s">
        <v>155</v>
      </c>
      <c r="P247" s="8" t="s">
        <v>32</v>
      </c>
      <c r="T247" s="8">
        <f>MATCH(D247,Allocation!A:A,0)</f>
        <v>16</v>
      </c>
    </row>
    <row r="248" spans="1:20" x14ac:dyDescent="0.35">
      <c r="A248" s="8" t="s">
        <v>31</v>
      </c>
      <c r="B248" s="8" t="s">
        <v>37</v>
      </c>
      <c r="C248" s="8" t="s">
        <v>6</v>
      </c>
      <c r="D248" s="8" t="s">
        <v>150</v>
      </c>
      <c r="E248" s="8">
        <v>0</v>
      </c>
      <c r="F248" s="8" t="s">
        <v>34</v>
      </c>
      <c r="G248" s="8" t="s">
        <v>151</v>
      </c>
      <c r="H248" s="8" t="s">
        <v>152</v>
      </c>
      <c r="I248" s="8" t="s">
        <v>151</v>
      </c>
      <c r="J248" s="8" t="s">
        <v>153</v>
      </c>
      <c r="K248" s="8" t="s">
        <v>154</v>
      </c>
      <c r="L248" s="8" t="s">
        <v>153</v>
      </c>
      <c r="M248" s="8" t="s">
        <v>155</v>
      </c>
      <c r="N248" s="8" t="s">
        <v>156</v>
      </c>
      <c r="O248" s="8" t="s">
        <v>155</v>
      </c>
      <c r="P248" s="8" t="s">
        <v>32</v>
      </c>
      <c r="T248" s="8">
        <f>MATCH(D248,Allocation!A:A,0)</f>
        <v>16</v>
      </c>
    </row>
    <row r="249" spans="1:20" x14ac:dyDescent="0.35">
      <c r="A249" s="8" t="s">
        <v>166</v>
      </c>
      <c r="B249" s="8" t="s">
        <v>167</v>
      </c>
      <c r="C249" s="8" t="s">
        <v>7</v>
      </c>
      <c r="D249" s="8" t="s">
        <v>150</v>
      </c>
      <c r="E249" s="8">
        <v>-423.08</v>
      </c>
      <c r="F249" s="8" t="s">
        <v>168</v>
      </c>
      <c r="G249" s="8" t="s">
        <v>151</v>
      </c>
      <c r="H249" s="8" t="s">
        <v>152</v>
      </c>
      <c r="I249" s="8" t="s">
        <v>151</v>
      </c>
      <c r="J249" s="8" t="s">
        <v>153</v>
      </c>
      <c r="K249" s="8" t="s">
        <v>154</v>
      </c>
      <c r="L249" s="8" t="s">
        <v>153</v>
      </c>
      <c r="M249" s="8" t="s">
        <v>155</v>
      </c>
      <c r="N249" s="8" t="s">
        <v>156</v>
      </c>
      <c r="O249" s="8" t="s">
        <v>155</v>
      </c>
      <c r="P249" s="8" t="s">
        <v>32</v>
      </c>
      <c r="T249" s="8">
        <f>MATCH(D249,Allocation!A:A,0)</f>
        <v>16</v>
      </c>
    </row>
    <row r="250" spans="1:20" x14ac:dyDescent="0.35">
      <c r="A250" s="8" t="s">
        <v>166</v>
      </c>
      <c r="B250" s="8" t="s">
        <v>32</v>
      </c>
      <c r="C250" s="8" t="s">
        <v>8</v>
      </c>
      <c r="D250" s="8" t="s">
        <v>150</v>
      </c>
      <c r="E250" s="8">
        <v>-2116.8000000000002</v>
      </c>
      <c r="F250" s="8" t="s">
        <v>168</v>
      </c>
      <c r="G250" s="8" t="s">
        <v>151</v>
      </c>
      <c r="H250" s="8" t="s">
        <v>152</v>
      </c>
      <c r="I250" s="8" t="s">
        <v>151</v>
      </c>
      <c r="J250" s="8" t="s">
        <v>153</v>
      </c>
      <c r="K250" s="8" t="s">
        <v>154</v>
      </c>
      <c r="L250" s="8" t="s">
        <v>153</v>
      </c>
      <c r="M250" s="8" t="s">
        <v>155</v>
      </c>
      <c r="N250" s="8" t="s">
        <v>156</v>
      </c>
      <c r="O250" s="8" t="s">
        <v>155</v>
      </c>
      <c r="P250" s="8" t="s">
        <v>32</v>
      </c>
      <c r="T250" s="8">
        <f>MATCH(D250,Allocation!A:A,0)</f>
        <v>16</v>
      </c>
    </row>
    <row r="251" spans="1:20" x14ac:dyDescent="0.35">
      <c r="A251" s="8" t="s">
        <v>170</v>
      </c>
      <c r="B251" s="8" t="s">
        <v>171</v>
      </c>
      <c r="C251" s="8" t="s">
        <v>9</v>
      </c>
      <c r="D251" s="8" t="s">
        <v>150</v>
      </c>
      <c r="E251" s="8">
        <v>-4025.36</v>
      </c>
      <c r="F251" s="8" t="s">
        <v>168</v>
      </c>
      <c r="G251" s="8" t="s">
        <v>151</v>
      </c>
      <c r="H251" s="8" t="s">
        <v>152</v>
      </c>
      <c r="I251" s="8" t="s">
        <v>151</v>
      </c>
      <c r="J251" s="8" t="s">
        <v>153</v>
      </c>
      <c r="K251" s="8" t="s">
        <v>154</v>
      </c>
      <c r="L251" s="8" t="s">
        <v>153</v>
      </c>
      <c r="M251" s="8" t="s">
        <v>155</v>
      </c>
      <c r="N251" s="8" t="s">
        <v>156</v>
      </c>
      <c r="O251" s="8" t="s">
        <v>155</v>
      </c>
      <c r="P251" s="8" t="s">
        <v>32</v>
      </c>
      <c r="T251" s="8">
        <f>MATCH(D251,Allocation!A:A,0)</f>
        <v>16</v>
      </c>
    </row>
    <row r="252" spans="1:20" x14ac:dyDescent="0.35">
      <c r="A252" s="8" t="s">
        <v>172</v>
      </c>
      <c r="B252" s="8" t="s">
        <v>173</v>
      </c>
      <c r="C252" s="8" t="s">
        <v>10</v>
      </c>
      <c r="D252" s="8" t="s">
        <v>150</v>
      </c>
      <c r="E252" s="8">
        <v>5961.54</v>
      </c>
      <c r="F252" s="8" t="s">
        <v>34</v>
      </c>
      <c r="G252" s="8" t="s">
        <v>151</v>
      </c>
      <c r="H252" s="8" t="s">
        <v>152</v>
      </c>
      <c r="I252" s="8" t="s">
        <v>151</v>
      </c>
      <c r="J252" s="8" t="s">
        <v>153</v>
      </c>
      <c r="K252" s="8" t="s">
        <v>154</v>
      </c>
      <c r="L252" s="8" t="s">
        <v>153</v>
      </c>
      <c r="M252" s="8" t="s">
        <v>155</v>
      </c>
      <c r="N252" s="8" t="s">
        <v>156</v>
      </c>
      <c r="O252" s="8" t="s">
        <v>155</v>
      </c>
      <c r="P252" s="8" t="s">
        <v>32</v>
      </c>
      <c r="T252" s="8">
        <f>MATCH(D252,Allocation!A:A,0)</f>
        <v>16</v>
      </c>
    </row>
    <row r="253" spans="1:20" x14ac:dyDescent="0.35">
      <c r="A253" s="8" t="s">
        <v>174</v>
      </c>
      <c r="B253" s="8" t="s">
        <v>171</v>
      </c>
      <c r="C253" s="8" t="s">
        <v>9</v>
      </c>
      <c r="D253" s="8" t="s">
        <v>150</v>
      </c>
      <c r="E253" s="8">
        <v>-2116.8000000000002</v>
      </c>
      <c r="F253" s="8" t="s">
        <v>168</v>
      </c>
      <c r="G253" s="8" t="s">
        <v>151</v>
      </c>
      <c r="H253" s="8" t="s">
        <v>152</v>
      </c>
      <c r="I253" s="8" t="s">
        <v>151</v>
      </c>
      <c r="J253" s="8" t="s">
        <v>153</v>
      </c>
      <c r="K253" s="8" t="s">
        <v>154</v>
      </c>
      <c r="L253" s="8" t="s">
        <v>153</v>
      </c>
      <c r="M253" s="8" t="s">
        <v>155</v>
      </c>
      <c r="N253" s="8" t="s">
        <v>156</v>
      </c>
      <c r="O253" s="8" t="s">
        <v>155</v>
      </c>
      <c r="P253" s="8" t="s">
        <v>32</v>
      </c>
      <c r="T253" s="8">
        <f>MATCH(D253,Allocation!A:A,0)</f>
        <v>16</v>
      </c>
    </row>
    <row r="254" spans="1:20" x14ac:dyDescent="0.35">
      <c r="A254" s="8" t="s">
        <v>174</v>
      </c>
      <c r="B254" s="8" t="s">
        <v>32</v>
      </c>
      <c r="C254" s="8" t="s">
        <v>8</v>
      </c>
      <c r="D254" s="8" t="s">
        <v>150</v>
      </c>
      <c r="E254" s="8">
        <v>2116.8000000000002</v>
      </c>
      <c r="F254" s="8" t="s">
        <v>34</v>
      </c>
      <c r="G254" s="8" t="s">
        <v>151</v>
      </c>
      <c r="H254" s="8" t="s">
        <v>152</v>
      </c>
      <c r="I254" s="8" t="s">
        <v>151</v>
      </c>
      <c r="J254" s="8" t="s">
        <v>153</v>
      </c>
      <c r="K254" s="8" t="s">
        <v>154</v>
      </c>
      <c r="L254" s="8" t="s">
        <v>153</v>
      </c>
      <c r="M254" s="8" t="s">
        <v>155</v>
      </c>
      <c r="N254" s="8" t="s">
        <v>156</v>
      </c>
      <c r="O254" s="8" t="s">
        <v>155</v>
      </c>
      <c r="P254" s="8" t="s">
        <v>32</v>
      </c>
      <c r="T254" s="8">
        <f>MATCH(D254,Allocation!A:A,0)</f>
        <v>16</v>
      </c>
    </row>
    <row r="255" spans="1:20" x14ac:dyDescent="0.35">
      <c r="A255" s="8" t="s">
        <v>31</v>
      </c>
      <c r="B255" s="8" t="s">
        <v>32</v>
      </c>
      <c r="C255" s="8" t="s">
        <v>6</v>
      </c>
      <c r="D255" s="8" t="s">
        <v>157</v>
      </c>
      <c r="E255" s="8">
        <v>385.82</v>
      </c>
      <c r="F255" s="8" t="s">
        <v>34</v>
      </c>
      <c r="G255" s="8" t="s">
        <v>158</v>
      </c>
      <c r="H255" s="8" t="s">
        <v>159</v>
      </c>
      <c r="I255" s="8" t="s">
        <v>158</v>
      </c>
      <c r="J255" s="8" t="s">
        <v>90</v>
      </c>
      <c r="K255" s="8" t="s">
        <v>91</v>
      </c>
      <c r="L255" s="8" t="s">
        <v>90</v>
      </c>
      <c r="M255" s="8" t="s">
        <v>92</v>
      </c>
      <c r="N255" s="8" t="s">
        <v>93</v>
      </c>
      <c r="O255" s="8" t="s">
        <v>92</v>
      </c>
      <c r="P255" s="8" t="s">
        <v>32</v>
      </c>
      <c r="T255" s="8">
        <f>MATCH(D255,Allocation!A:A,0)</f>
        <v>49</v>
      </c>
    </row>
    <row r="256" spans="1:20" x14ac:dyDescent="0.35">
      <c r="A256" s="8" t="s">
        <v>31</v>
      </c>
      <c r="B256" s="8" t="s">
        <v>37</v>
      </c>
      <c r="C256" s="8" t="s">
        <v>6</v>
      </c>
      <c r="D256" s="8" t="s">
        <v>157</v>
      </c>
      <c r="E256" s="8">
        <v>0</v>
      </c>
      <c r="F256" s="8" t="s">
        <v>34</v>
      </c>
      <c r="G256" s="8" t="s">
        <v>158</v>
      </c>
      <c r="H256" s="8" t="s">
        <v>159</v>
      </c>
      <c r="I256" s="8" t="s">
        <v>158</v>
      </c>
      <c r="J256" s="8" t="s">
        <v>90</v>
      </c>
      <c r="K256" s="8" t="s">
        <v>91</v>
      </c>
      <c r="L256" s="8" t="s">
        <v>90</v>
      </c>
      <c r="M256" s="8" t="s">
        <v>92</v>
      </c>
      <c r="N256" s="8" t="s">
        <v>93</v>
      </c>
      <c r="O256" s="8" t="s">
        <v>92</v>
      </c>
      <c r="P256" s="8" t="s">
        <v>32</v>
      </c>
      <c r="T256" s="8">
        <f>MATCH(D256,Allocation!A:A,0)</f>
        <v>49</v>
      </c>
    </row>
    <row r="257" spans="1:20" x14ac:dyDescent="0.35">
      <c r="A257" s="8" t="s">
        <v>166</v>
      </c>
      <c r="B257" s="8" t="s">
        <v>32</v>
      </c>
      <c r="C257" s="8" t="s">
        <v>7</v>
      </c>
      <c r="D257" s="8" t="s">
        <v>157</v>
      </c>
      <c r="E257" s="8">
        <v>-279.14999999999998</v>
      </c>
      <c r="F257" s="8" t="s">
        <v>168</v>
      </c>
      <c r="G257" s="8" t="s">
        <v>158</v>
      </c>
      <c r="H257" s="8" t="s">
        <v>159</v>
      </c>
      <c r="I257" s="8" t="s">
        <v>158</v>
      </c>
      <c r="J257" s="8" t="s">
        <v>90</v>
      </c>
      <c r="K257" s="8" t="s">
        <v>91</v>
      </c>
      <c r="L257" s="8" t="s">
        <v>90</v>
      </c>
      <c r="M257" s="8" t="s">
        <v>92</v>
      </c>
      <c r="N257" s="8" t="s">
        <v>93</v>
      </c>
      <c r="O257" s="8" t="s">
        <v>92</v>
      </c>
      <c r="P257" s="8" t="s">
        <v>32</v>
      </c>
      <c r="T257" s="8">
        <f>MATCH(D257,Allocation!A:A,0)</f>
        <v>49</v>
      </c>
    </row>
    <row r="258" spans="1:20" x14ac:dyDescent="0.35">
      <c r="A258" s="8" t="s">
        <v>166</v>
      </c>
      <c r="B258" s="8" t="s">
        <v>32</v>
      </c>
      <c r="C258" s="8" t="s">
        <v>8</v>
      </c>
      <c r="D258" s="8" t="s">
        <v>157</v>
      </c>
      <c r="E258" s="8">
        <v>-1313.4</v>
      </c>
      <c r="F258" s="8" t="s">
        <v>168</v>
      </c>
      <c r="G258" s="8" t="s">
        <v>158</v>
      </c>
      <c r="H258" s="8" t="s">
        <v>159</v>
      </c>
      <c r="I258" s="8" t="s">
        <v>158</v>
      </c>
      <c r="J258" s="8" t="s">
        <v>90</v>
      </c>
      <c r="K258" s="8" t="s">
        <v>91</v>
      </c>
      <c r="L258" s="8" t="s">
        <v>90</v>
      </c>
      <c r="M258" s="8" t="s">
        <v>92</v>
      </c>
      <c r="N258" s="8" t="s">
        <v>93</v>
      </c>
      <c r="O258" s="8" t="s">
        <v>92</v>
      </c>
      <c r="P258" s="8" t="s">
        <v>32</v>
      </c>
      <c r="T258" s="8">
        <f>MATCH(D258,Allocation!A:A,0)</f>
        <v>49</v>
      </c>
    </row>
    <row r="259" spans="1:20" x14ac:dyDescent="0.35">
      <c r="A259" s="8" t="s">
        <v>170</v>
      </c>
      <c r="B259" s="8" t="s">
        <v>171</v>
      </c>
      <c r="C259" s="8" t="s">
        <v>9</v>
      </c>
      <c r="D259" s="8" t="s">
        <v>157</v>
      </c>
      <c r="E259" s="8">
        <v>-2600.96</v>
      </c>
      <c r="F259" s="8" t="s">
        <v>168</v>
      </c>
      <c r="G259" s="8" t="s">
        <v>158</v>
      </c>
      <c r="H259" s="8" t="s">
        <v>159</v>
      </c>
      <c r="I259" s="8" t="s">
        <v>158</v>
      </c>
      <c r="J259" s="8" t="s">
        <v>90</v>
      </c>
      <c r="K259" s="8" t="s">
        <v>91</v>
      </c>
      <c r="L259" s="8" t="s">
        <v>90</v>
      </c>
      <c r="M259" s="8" t="s">
        <v>92</v>
      </c>
      <c r="N259" s="8" t="s">
        <v>93</v>
      </c>
      <c r="O259" s="8" t="s">
        <v>92</v>
      </c>
      <c r="P259" s="8" t="s">
        <v>32</v>
      </c>
      <c r="T259" s="8">
        <f>MATCH(D259,Allocation!A:A,0)</f>
        <v>49</v>
      </c>
    </row>
    <row r="260" spans="1:20" x14ac:dyDescent="0.35">
      <c r="A260" s="8" t="s">
        <v>172</v>
      </c>
      <c r="B260" s="8" t="s">
        <v>173</v>
      </c>
      <c r="C260" s="8" t="s">
        <v>10</v>
      </c>
      <c r="D260" s="8" t="s">
        <v>157</v>
      </c>
      <c r="E260" s="8">
        <v>3807.69</v>
      </c>
      <c r="F260" s="8" t="s">
        <v>34</v>
      </c>
      <c r="G260" s="8" t="s">
        <v>158</v>
      </c>
      <c r="H260" s="8" t="s">
        <v>159</v>
      </c>
      <c r="I260" s="8" t="s">
        <v>158</v>
      </c>
      <c r="J260" s="8" t="s">
        <v>90</v>
      </c>
      <c r="K260" s="8" t="s">
        <v>91</v>
      </c>
      <c r="L260" s="8" t="s">
        <v>90</v>
      </c>
      <c r="M260" s="8" t="s">
        <v>92</v>
      </c>
      <c r="N260" s="8" t="s">
        <v>93</v>
      </c>
      <c r="O260" s="8" t="s">
        <v>92</v>
      </c>
      <c r="P260" s="8" t="s">
        <v>32</v>
      </c>
      <c r="T260" s="8">
        <f>MATCH(D260,Allocation!A:A,0)</f>
        <v>49</v>
      </c>
    </row>
    <row r="261" spans="1:20" x14ac:dyDescent="0.35">
      <c r="A261" s="8" t="s">
        <v>174</v>
      </c>
      <c r="B261" s="8" t="s">
        <v>171</v>
      </c>
      <c r="C261" s="8" t="s">
        <v>9</v>
      </c>
      <c r="D261" s="8" t="s">
        <v>157</v>
      </c>
      <c r="E261" s="8">
        <v>-1313.4</v>
      </c>
      <c r="F261" s="8" t="s">
        <v>168</v>
      </c>
      <c r="G261" s="8" t="s">
        <v>158</v>
      </c>
      <c r="H261" s="8" t="s">
        <v>159</v>
      </c>
      <c r="I261" s="8" t="s">
        <v>158</v>
      </c>
      <c r="J261" s="8" t="s">
        <v>90</v>
      </c>
      <c r="K261" s="8" t="s">
        <v>91</v>
      </c>
      <c r="L261" s="8" t="s">
        <v>90</v>
      </c>
      <c r="M261" s="8" t="s">
        <v>92</v>
      </c>
      <c r="N261" s="8" t="s">
        <v>93</v>
      </c>
      <c r="O261" s="8" t="s">
        <v>92</v>
      </c>
      <c r="P261" s="8" t="s">
        <v>32</v>
      </c>
      <c r="T261" s="8">
        <f>MATCH(D261,Allocation!A:A,0)</f>
        <v>49</v>
      </c>
    </row>
    <row r="262" spans="1:20" x14ac:dyDescent="0.35">
      <c r="A262" s="8" t="s">
        <v>174</v>
      </c>
      <c r="B262" s="8" t="s">
        <v>32</v>
      </c>
      <c r="C262" s="8" t="s">
        <v>8</v>
      </c>
      <c r="D262" s="8" t="s">
        <v>157</v>
      </c>
      <c r="E262" s="8">
        <v>1313.4</v>
      </c>
      <c r="F262" s="8" t="s">
        <v>34</v>
      </c>
      <c r="G262" s="8" t="s">
        <v>158</v>
      </c>
      <c r="H262" s="8" t="s">
        <v>159</v>
      </c>
      <c r="I262" s="8" t="s">
        <v>158</v>
      </c>
      <c r="J262" s="8" t="s">
        <v>90</v>
      </c>
      <c r="K262" s="8" t="s">
        <v>91</v>
      </c>
      <c r="L262" s="8" t="s">
        <v>90</v>
      </c>
      <c r="M262" s="8" t="s">
        <v>92</v>
      </c>
      <c r="N262" s="8" t="s">
        <v>93</v>
      </c>
      <c r="O262" s="8" t="s">
        <v>92</v>
      </c>
      <c r="P262" s="8" t="s">
        <v>32</v>
      </c>
      <c r="T262" s="8">
        <f>MATCH(D262,Allocation!A:A,0)</f>
        <v>49</v>
      </c>
    </row>
    <row r="263" spans="1:20" x14ac:dyDescent="0.35">
      <c r="A263" s="8" t="s">
        <v>31</v>
      </c>
      <c r="B263" s="8" t="s">
        <v>32</v>
      </c>
      <c r="C263" s="8" t="s">
        <v>6</v>
      </c>
      <c r="D263" s="8" t="s">
        <v>950</v>
      </c>
      <c r="E263" s="8">
        <v>353.57</v>
      </c>
      <c r="F263" s="8" t="s">
        <v>34</v>
      </c>
      <c r="G263" s="8" t="s">
        <v>950</v>
      </c>
      <c r="H263" s="8" t="s">
        <v>951</v>
      </c>
      <c r="I263" s="8" t="s">
        <v>950</v>
      </c>
      <c r="J263" s="8" t="s">
        <v>160</v>
      </c>
      <c r="K263" s="8" t="s">
        <v>161</v>
      </c>
      <c r="L263" s="8" t="s">
        <v>32</v>
      </c>
      <c r="M263" s="8" t="s">
        <v>130</v>
      </c>
      <c r="N263" s="8" t="s">
        <v>131</v>
      </c>
      <c r="O263" s="8" t="s">
        <v>130</v>
      </c>
      <c r="P263" s="8" t="s">
        <v>32</v>
      </c>
      <c r="T263" s="8">
        <f>MATCH(D263,Allocation!A:A,0)</f>
        <v>42</v>
      </c>
    </row>
    <row r="264" spans="1:20" x14ac:dyDescent="0.35">
      <c r="A264" s="8" t="s">
        <v>31</v>
      </c>
      <c r="B264" s="8" t="s">
        <v>37</v>
      </c>
      <c r="C264" s="8" t="s">
        <v>6</v>
      </c>
      <c r="D264" s="8" t="s">
        <v>950</v>
      </c>
      <c r="E264" s="8">
        <v>0</v>
      </c>
      <c r="F264" s="8" t="s">
        <v>34</v>
      </c>
      <c r="G264" s="8" t="s">
        <v>950</v>
      </c>
      <c r="H264" s="8" t="s">
        <v>951</v>
      </c>
      <c r="I264" s="8" t="s">
        <v>950</v>
      </c>
      <c r="J264" s="8" t="s">
        <v>160</v>
      </c>
      <c r="K264" s="8" t="s">
        <v>161</v>
      </c>
      <c r="L264" s="8" t="s">
        <v>32</v>
      </c>
      <c r="M264" s="8" t="s">
        <v>130</v>
      </c>
      <c r="N264" s="8" t="s">
        <v>131</v>
      </c>
      <c r="O264" s="8" t="s">
        <v>130</v>
      </c>
      <c r="P264" s="8" t="s">
        <v>32</v>
      </c>
      <c r="T264" s="8">
        <f>MATCH(D264,Allocation!A:A,0)</f>
        <v>42</v>
      </c>
    </row>
    <row r="265" spans="1:20" x14ac:dyDescent="0.35">
      <c r="A265" s="8" t="s">
        <v>166</v>
      </c>
      <c r="B265" s="8" t="s">
        <v>32</v>
      </c>
      <c r="C265" s="8" t="s">
        <v>7</v>
      </c>
      <c r="D265" s="8" t="s">
        <v>950</v>
      </c>
      <c r="E265" s="8">
        <v>-498.62</v>
      </c>
      <c r="F265" s="8" t="s">
        <v>168</v>
      </c>
      <c r="G265" s="8" t="s">
        <v>950</v>
      </c>
      <c r="H265" s="8" t="s">
        <v>951</v>
      </c>
      <c r="I265" s="8" t="s">
        <v>950</v>
      </c>
      <c r="J265" s="8" t="s">
        <v>160</v>
      </c>
      <c r="K265" s="8" t="s">
        <v>161</v>
      </c>
      <c r="L265" s="8" t="s">
        <v>32</v>
      </c>
      <c r="M265" s="8" t="s">
        <v>130</v>
      </c>
      <c r="N265" s="8" t="s">
        <v>131</v>
      </c>
      <c r="O265" s="8" t="s">
        <v>130</v>
      </c>
      <c r="P265" s="8" t="s">
        <v>32</v>
      </c>
      <c r="T265" s="8">
        <f>MATCH(D265,Allocation!A:A,0)</f>
        <v>42</v>
      </c>
    </row>
    <row r="266" spans="1:20" x14ac:dyDescent="0.35">
      <c r="A266" s="8" t="s">
        <v>166</v>
      </c>
      <c r="B266" s="8" t="s">
        <v>32</v>
      </c>
      <c r="C266" s="8" t="s">
        <v>8</v>
      </c>
      <c r="D266" s="8" t="s">
        <v>950</v>
      </c>
      <c r="E266" s="8">
        <v>-1203.94</v>
      </c>
      <c r="F266" s="8" t="s">
        <v>168</v>
      </c>
      <c r="G266" s="8" t="s">
        <v>950</v>
      </c>
      <c r="H266" s="8" t="s">
        <v>951</v>
      </c>
      <c r="I266" s="8" t="s">
        <v>950</v>
      </c>
      <c r="J266" s="8" t="s">
        <v>160</v>
      </c>
      <c r="K266" s="8" t="s">
        <v>161</v>
      </c>
      <c r="L266" s="8" t="s">
        <v>32</v>
      </c>
      <c r="M266" s="8" t="s">
        <v>130</v>
      </c>
      <c r="N266" s="8" t="s">
        <v>131</v>
      </c>
      <c r="O266" s="8" t="s">
        <v>130</v>
      </c>
      <c r="P266" s="8" t="s">
        <v>32</v>
      </c>
      <c r="T266" s="8">
        <f>MATCH(D266,Allocation!A:A,0)</f>
        <v>42</v>
      </c>
    </row>
    <row r="267" spans="1:20" x14ac:dyDescent="0.35">
      <c r="A267" s="8" t="s">
        <v>170</v>
      </c>
      <c r="B267" s="8" t="s">
        <v>171</v>
      </c>
      <c r="C267" s="8" t="s">
        <v>9</v>
      </c>
      <c r="D267" s="8" t="s">
        <v>950</v>
      </c>
      <c r="E267" s="8">
        <v>-2112.5500000000002</v>
      </c>
      <c r="F267" s="8" t="s">
        <v>168</v>
      </c>
      <c r="G267" s="8" t="s">
        <v>950</v>
      </c>
      <c r="H267" s="8" t="s">
        <v>951</v>
      </c>
      <c r="I267" s="8" t="s">
        <v>950</v>
      </c>
      <c r="J267" s="8" t="s">
        <v>160</v>
      </c>
      <c r="K267" s="8" t="s">
        <v>161</v>
      </c>
      <c r="L267" s="8" t="s">
        <v>32</v>
      </c>
      <c r="M267" s="8" t="s">
        <v>130</v>
      </c>
      <c r="N267" s="8" t="s">
        <v>131</v>
      </c>
      <c r="O267" s="8" t="s">
        <v>130</v>
      </c>
      <c r="P267" s="8" t="s">
        <v>32</v>
      </c>
      <c r="T267" s="8">
        <f>MATCH(D267,Allocation!A:A,0)</f>
        <v>42</v>
      </c>
    </row>
    <row r="268" spans="1:20" x14ac:dyDescent="0.35">
      <c r="A268" s="8" t="s">
        <v>172</v>
      </c>
      <c r="B268" s="8" t="s">
        <v>173</v>
      </c>
      <c r="C268" s="8" t="s">
        <v>10</v>
      </c>
      <c r="D268" s="8" t="s">
        <v>950</v>
      </c>
      <c r="E268" s="8">
        <v>3461.54</v>
      </c>
      <c r="F268" s="8" t="s">
        <v>34</v>
      </c>
      <c r="G268" s="8" t="s">
        <v>950</v>
      </c>
      <c r="H268" s="8" t="s">
        <v>951</v>
      </c>
      <c r="I268" s="8" t="s">
        <v>950</v>
      </c>
      <c r="J268" s="8" t="s">
        <v>160</v>
      </c>
      <c r="K268" s="8" t="s">
        <v>161</v>
      </c>
      <c r="L268" s="8" t="s">
        <v>32</v>
      </c>
      <c r="M268" s="8" t="s">
        <v>130</v>
      </c>
      <c r="N268" s="8" t="s">
        <v>131</v>
      </c>
      <c r="O268" s="8" t="s">
        <v>130</v>
      </c>
      <c r="P268" s="8" t="s">
        <v>32</v>
      </c>
      <c r="T268" s="8">
        <f>MATCH(D268,Allocation!A:A,0)</f>
        <v>42</v>
      </c>
    </row>
    <row r="269" spans="1:20" x14ac:dyDescent="0.35">
      <c r="A269" s="8" t="s">
        <v>174</v>
      </c>
      <c r="B269" s="8" t="s">
        <v>171</v>
      </c>
      <c r="C269" s="8" t="s">
        <v>9</v>
      </c>
      <c r="D269" s="8" t="s">
        <v>950</v>
      </c>
      <c r="E269" s="8">
        <v>-1203.94</v>
      </c>
      <c r="F269" s="8" t="s">
        <v>168</v>
      </c>
      <c r="G269" s="8" t="s">
        <v>950</v>
      </c>
      <c r="H269" s="8" t="s">
        <v>951</v>
      </c>
      <c r="I269" s="8" t="s">
        <v>950</v>
      </c>
      <c r="J269" s="8" t="s">
        <v>160</v>
      </c>
      <c r="K269" s="8" t="s">
        <v>161</v>
      </c>
      <c r="L269" s="8" t="s">
        <v>32</v>
      </c>
      <c r="M269" s="8" t="s">
        <v>130</v>
      </c>
      <c r="N269" s="8" t="s">
        <v>131</v>
      </c>
      <c r="O269" s="8" t="s">
        <v>130</v>
      </c>
      <c r="P269" s="8" t="s">
        <v>32</v>
      </c>
      <c r="T269" s="8">
        <f>MATCH(D269,Allocation!A:A,0)</f>
        <v>42</v>
      </c>
    </row>
    <row r="270" spans="1:20" x14ac:dyDescent="0.35">
      <c r="A270" s="8" t="s">
        <v>174</v>
      </c>
      <c r="B270" s="8" t="s">
        <v>32</v>
      </c>
      <c r="C270" s="8" t="s">
        <v>8</v>
      </c>
      <c r="D270" s="8" t="s">
        <v>950</v>
      </c>
      <c r="E270" s="8">
        <v>1203.94</v>
      </c>
      <c r="F270" s="8" t="s">
        <v>34</v>
      </c>
      <c r="G270" s="8" t="s">
        <v>950</v>
      </c>
      <c r="H270" s="8" t="s">
        <v>951</v>
      </c>
      <c r="I270" s="8" t="s">
        <v>950</v>
      </c>
      <c r="J270" s="8" t="s">
        <v>160</v>
      </c>
      <c r="K270" s="8" t="s">
        <v>161</v>
      </c>
      <c r="L270" s="8" t="s">
        <v>32</v>
      </c>
      <c r="M270" s="8" t="s">
        <v>130</v>
      </c>
      <c r="N270" s="8" t="s">
        <v>131</v>
      </c>
      <c r="O270" s="8" t="s">
        <v>130</v>
      </c>
      <c r="P270" s="8" t="s">
        <v>32</v>
      </c>
      <c r="T270" s="8">
        <f>MATCH(D270,Allocation!A:A,0)</f>
        <v>42</v>
      </c>
    </row>
  </sheetData>
  <sortState ref="A2:T270">
    <sortCondition ref="D2:D270"/>
    <sortCondition ref="A2:A270"/>
    <sortCondition ref="C2:C27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mpl"/>
  <dimension ref="A1:J38"/>
  <sheetViews>
    <sheetView workbookViewId="0"/>
  </sheetViews>
  <sheetFormatPr defaultRowHeight="14.5" x14ac:dyDescent="0.35"/>
  <cols>
    <col min="1" max="1" width="10.26953125" style="20" bestFit="1" customWidth="1"/>
    <col min="2" max="2" width="26" style="20" bestFit="1" customWidth="1"/>
    <col min="3" max="3" width="21.36328125" style="29" bestFit="1" customWidth="1"/>
    <col min="4" max="4" width="17.54296875" style="20" bestFit="1" customWidth="1"/>
    <col min="5" max="6" width="15.6328125" style="20" bestFit="1" customWidth="1"/>
    <col min="7" max="7" width="8.453125" style="20" bestFit="1" customWidth="1"/>
    <col min="8" max="8" width="13.26953125" style="20" bestFit="1" customWidth="1"/>
    <col min="9" max="9" width="10.54296875" style="20" bestFit="1" customWidth="1"/>
    <col min="10" max="10" width="12.1796875" style="20" bestFit="1" customWidth="1"/>
    <col min="11" max="16384" width="8.7265625" style="20"/>
  </cols>
  <sheetData>
    <row r="1" spans="1:10" customFormat="1" x14ac:dyDescent="0.35">
      <c r="A1" s="24"/>
      <c r="B1" s="24"/>
      <c r="C1" s="27" t="s">
        <v>272</v>
      </c>
      <c r="D1" s="24" t="s">
        <v>31</v>
      </c>
      <c r="E1" s="24" t="s">
        <v>166</v>
      </c>
      <c r="F1" s="24" t="s">
        <v>166</v>
      </c>
      <c r="G1" s="24" t="s">
        <v>170</v>
      </c>
      <c r="H1" s="24" t="s">
        <v>172</v>
      </c>
      <c r="I1" s="24" t="s">
        <v>174</v>
      </c>
      <c r="J1" s="24" t="s">
        <v>174</v>
      </c>
    </row>
    <row r="2" spans="1:10" customFormat="1" x14ac:dyDescent="0.35">
      <c r="A2" s="24" t="s">
        <v>270</v>
      </c>
      <c r="B2" s="23" t="s">
        <v>23</v>
      </c>
      <c r="C2" s="28" t="s">
        <v>273</v>
      </c>
      <c r="D2" s="24" t="s">
        <v>6</v>
      </c>
      <c r="E2" s="24" t="s">
        <v>7</v>
      </c>
      <c r="F2" s="24" t="s">
        <v>8</v>
      </c>
      <c r="G2" s="24" t="s">
        <v>9</v>
      </c>
      <c r="H2" s="24" t="s">
        <v>10</v>
      </c>
      <c r="I2" s="24" t="s">
        <v>9</v>
      </c>
      <c r="J2" s="24" t="s">
        <v>8</v>
      </c>
    </row>
    <row r="3" spans="1:10" x14ac:dyDescent="0.35">
      <c r="A3" s="20" t="s">
        <v>33</v>
      </c>
      <c r="B3" s="20" t="s">
        <v>36</v>
      </c>
      <c r="C3" s="29">
        <v>0</v>
      </c>
      <c r="D3" s="20">
        <v>117.6</v>
      </c>
      <c r="E3" s="20">
        <v>-50</v>
      </c>
      <c r="F3" s="20">
        <v>-294.26</v>
      </c>
      <c r="G3" s="20">
        <v>-898.59</v>
      </c>
      <c r="H3" s="20">
        <v>1125.25</v>
      </c>
      <c r="I3" s="20">
        <v>-294.26</v>
      </c>
      <c r="J3" s="20">
        <v>294.26</v>
      </c>
    </row>
    <row r="4" spans="1:10" x14ac:dyDescent="0.35">
      <c r="A4" s="20" t="s">
        <v>38</v>
      </c>
      <c r="B4" s="20" t="s">
        <v>40</v>
      </c>
      <c r="C4" s="29">
        <v>0</v>
      </c>
      <c r="D4" s="20">
        <v>126.77</v>
      </c>
      <c r="E4" s="20">
        <v>-156.93</v>
      </c>
      <c r="F4" s="20">
        <v>-262.97000000000003</v>
      </c>
      <c r="G4" s="20">
        <v>-986.39</v>
      </c>
      <c r="H4" s="20">
        <v>1279.52</v>
      </c>
      <c r="I4" s="20">
        <v>-262.97000000000003</v>
      </c>
      <c r="J4" s="20">
        <v>262.97000000000003</v>
      </c>
    </row>
    <row r="5" spans="1:10" x14ac:dyDescent="0.35">
      <c r="A5" s="20" t="s">
        <v>41</v>
      </c>
      <c r="B5" s="20" t="s">
        <v>32</v>
      </c>
      <c r="C5" s="29">
        <v>2.2737367544323206E-13</v>
      </c>
      <c r="D5" s="20">
        <v>213.23</v>
      </c>
      <c r="F5" s="20">
        <v>-526.1</v>
      </c>
      <c r="G5" s="20">
        <v>-1727.54</v>
      </c>
      <c r="H5" s="20">
        <v>2040.41</v>
      </c>
      <c r="I5" s="20">
        <v>-526.1</v>
      </c>
      <c r="J5" s="20">
        <v>526.1</v>
      </c>
    </row>
    <row r="6" spans="1:10" x14ac:dyDescent="0.35">
      <c r="A6" s="20" t="s">
        <v>939</v>
      </c>
      <c r="B6" s="20" t="s">
        <v>1047</v>
      </c>
      <c r="C6" s="29">
        <v>0</v>
      </c>
      <c r="G6" s="20">
        <v>-90</v>
      </c>
      <c r="H6" s="20">
        <v>90</v>
      </c>
    </row>
    <row r="7" spans="1:10" x14ac:dyDescent="0.35">
      <c r="A7" s="20" t="s">
        <v>43</v>
      </c>
      <c r="B7" s="20" t="s">
        <v>45</v>
      </c>
      <c r="C7" s="29">
        <v>0</v>
      </c>
      <c r="D7" s="20">
        <v>122.59</v>
      </c>
      <c r="E7" s="20">
        <v>-101.21</v>
      </c>
      <c r="F7" s="20">
        <v>-298.69</v>
      </c>
      <c r="G7" s="20">
        <v>-970.42</v>
      </c>
      <c r="H7" s="20">
        <v>1247.73</v>
      </c>
      <c r="I7" s="20">
        <v>-298.69</v>
      </c>
      <c r="J7" s="20">
        <v>298.69</v>
      </c>
    </row>
    <row r="8" spans="1:10" x14ac:dyDescent="0.35">
      <c r="A8" s="20" t="s">
        <v>48</v>
      </c>
      <c r="B8" s="20" t="s">
        <v>50</v>
      </c>
      <c r="C8" s="29">
        <v>0</v>
      </c>
      <c r="D8" s="20">
        <v>65.8</v>
      </c>
      <c r="F8" s="20">
        <v>-178.18</v>
      </c>
      <c r="G8" s="20">
        <v>-517.37</v>
      </c>
      <c r="H8" s="20">
        <v>629.75</v>
      </c>
      <c r="I8" s="20">
        <v>-178.18</v>
      </c>
      <c r="J8" s="20">
        <v>178.18</v>
      </c>
    </row>
    <row r="9" spans="1:10" x14ac:dyDescent="0.35">
      <c r="A9" s="20" t="s">
        <v>53</v>
      </c>
      <c r="B9" s="20" t="s">
        <v>55</v>
      </c>
      <c r="C9" s="29">
        <v>0</v>
      </c>
      <c r="D9" s="20">
        <v>63.23</v>
      </c>
      <c r="F9" s="20">
        <v>-151.51</v>
      </c>
      <c r="G9" s="20">
        <v>-516.72</v>
      </c>
      <c r="H9" s="20">
        <v>605</v>
      </c>
      <c r="I9" s="20">
        <v>-151.51</v>
      </c>
      <c r="J9" s="20">
        <v>151.51</v>
      </c>
    </row>
    <row r="10" spans="1:10" x14ac:dyDescent="0.35">
      <c r="A10" s="20" t="s">
        <v>58</v>
      </c>
      <c r="B10" s="20" t="s">
        <v>60</v>
      </c>
      <c r="C10" s="29">
        <v>0</v>
      </c>
      <c r="D10" s="20">
        <v>269.54000000000002</v>
      </c>
      <c r="E10" s="20">
        <v>-283.11</v>
      </c>
      <c r="F10" s="20">
        <v>-879.01</v>
      </c>
      <c r="G10" s="20">
        <v>-1799.73</v>
      </c>
      <c r="H10" s="20">
        <v>2692.31</v>
      </c>
      <c r="I10" s="20">
        <v>-879.01</v>
      </c>
      <c r="J10" s="20">
        <v>879.01</v>
      </c>
    </row>
    <row r="11" spans="1:10" x14ac:dyDescent="0.35">
      <c r="A11" s="20" t="s">
        <v>63</v>
      </c>
      <c r="B11" s="20" t="s">
        <v>65</v>
      </c>
      <c r="C11" s="29">
        <v>0</v>
      </c>
      <c r="D11" s="20">
        <v>272.77999999999997</v>
      </c>
      <c r="E11" s="20">
        <v>-97.13</v>
      </c>
      <c r="F11" s="20">
        <v>-869.18</v>
      </c>
      <c r="G11" s="20">
        <v>-1991.35</v>
      </c>
      <c r="H11" s="20">
        <v>2684.88</v>
      </c>
      <c r="I11" s="20">
        <v>-869.18</v>
      </c>
      <c r="J11" s="20">
        <v>869.18</v>
      </c>
    </row>
    <row r="12" spans="1:10" x14ac:dyDescent="0.35">
      <c r="A12" s="20" t="s">
        <v>308</v>
      </c>
      <c r="B12" s="20" t="s">
        <v>163</v>
      </c>
      <c r="C12" s="29">
        <v>0</v>
      </c>
      <c r="D12" s="20">
        <v>67.930000000000007</v>
      </c>
      <c r="F12" s="20">
        <v>-165.13</v>
      </c>
      <c r="G12" s="20">
        <v>-552.79999999999995</v>
      </c>
      <c r="H12" s="20">
        <v>650</v>
      </c>
      <c r="I12" s="20">
        <v>-165.13</v>
      </c>
      <c r="J12" s="20">
        <v>165.13</v>
      </c>
    </row>
    <row r="13" spans="1:10" x14ac:dyDescent="0.35">
      <c r="A13" s="20" t="s">
        <v>309</v>
      </c>
      <c r="B13" s="20" t="s">
        <v>311</v>
      </c>
      <c r="C13" s="29">
        <v>0</v>
      </c>
      <c r="D13" s="20">
        <v>226.3</v>
      </c>
      <c r="F13" s="20">
        <v>-621.59</v>
      </c>
      <c r="G13" s="20">
        <v>-1770.26</v>
      </c>
      <c r="H13" s="20">
        <v>2165.5500000000002</v>
      </c>
      <c r="I13" s="20">
        <v>-621.59</v>
      </c>
      <c r="J13" s="20">
        <v>621.59</v>
      </c>
    </row>
    <row r="14" spans="1:10" x14ac:dyDescent="0.35">
      <c r="A14" s="20" t="s">
        <v>74</v>
      </c>
      <c r="B14" s="20" t="s">
        <v>76</v>
      </c>
      <c r="C14" s="29">
        <v>0</v>
      </c>
      <c r="D14" s="20">
        <v>155.69</v>
      </c>
      <c r="E14" s="20">
        <v>-183.16</v>
      </c>
      <c r="F14" s="20">
        <v>-384.17</v>
      </c>
      <c r="G14" s="20">
        <v>-1180.23</v>
      </c>
      <c r="H14" s="20">
        <v>1591.87</v>
      </c>
      <c r="I14" s="20">
        <v>-384.17</v>
      </c>
      <c r="J14" s="20">
        <v>384.17</v>
      </c>
    </row>
    <row r="15" spans="1:10" x14ac:dyDescent="0.35">
      <c r="A15" s="20" t="s">
        <v>922</v>
      </c>
      <c r="B15" s="20" t="s">
        <v>45</v>
      </c>
      <c r="C15" s="29">
        <v>0</v>
      </c>
      <c r="E15" s="20">
        <v>-0.81</v>
      </c>
      <c r="G15" s="20">
        <v>-9.19</v>
      </c>
      <c r="H15" s="20">
        <v>10</v>
      </c>
    </row>
    <row r="16" spans="1:10" x14ac:dyDescent="0.35">
      <c r="A16" s="20" t="s">
        <v>77</v>
      </c>
      <c r="B16" s="20" t="s">
        <v>80</v>
      </c>
      <c r="C16" s="29">
        <v>0</v>
      </c>
      <c r="D16" s="20">
        <v>81.91</v>
      </c>
      <c r="F16" s="20">
        <v>-188.52</v>
      </c>
      <c r="G16" s="20">
        <v>-677.14</v>
      </c>
      <c r="H16" s="20">
        <v>783.75</v>
      </c>
      <c r="I16" s="20">
        <v>-188.52</v>
      </c>
      <c r="J16" s="20">
        <v>188.52</v>
      </c>
    </row>
    <row r="17" spans="1:10" x14ac:dyDescent="0.35">
      <c r="A17" s="20" t="s">
        <v>923</v>
      </c>
      <c r="B17" s="20" t="s">
        <v>45</v>
      </c>
      <c r="C17" s="29">
        <v>0</v>
      </c>
      <c r="D17" s="20">
        <v>8.84</v>
      </c>
      <c r="E17" s="20">
        <v>-7.3</v>
      </c>
      <c r="F17" s="20">
        <v>-21.53</v>
      </c>
      <c r="G17" s="20">
        <v>-70.010000000000005</v>
      </c>
      <c r="H17" s="20">
        <v>90</v>
      </c>
      <c r="I17" s="20">
        <v>-21.53</v>
      </c>
      <c r="J17" s="20">
        <v>21.53</v>
      </c>
    </row>
    <row r="18" spans="1:10" x14ac:dyDescent="0.35">
      <c r="A18" s="20" t="s">
        <v>82</v>
      </c>
      <c r="B18" s="20" t="s">
        <v>86</v>
      </c>
      <c r="C18" s="29">
        <v>0</v>
      </c>
      <c r="D18" s="20">
        <v>92.53</v>
      </c>
      <c r="E18" s="20">
        <v>-123.62</v>
      </c>
      <c r="F18" s="20">
        <v>-200.34</v>
      </c>
      <c r="G18" s="20">
        <v>-728.57</v>
      </c>
      <c r="H18" s="20">
        <v>960</v>
      </c>
      <c r="I18" s="20">
        <v>-200.34</v>
      </c>
      <c r="J18" s="20">
        <v>200.34</v>
      </c>
    </row>
    <row r="19" spans="1:10" x14ac:dyDescent="0.35">
      <c r="A19" s="20" t="s">
        <v>87</v>
      </c>
      <c r="B19" s="20" t="s">
        <v>91</v>
      </c>
      <c r="C19" s="29">
        <v>-5.6843418860808015E-14</v>
      </c>
      <c r="D19" s="20">
        <v>42.87</v>
      </c>
      <c r="E19" s="20">
        <v>-31.01</v>
      </c>
      <c r="F19" s="20">
        <v>-145.93</v>
      </c>
      <c r="G19" s="20">
        <v>-289.01</v>
      </c>
      <c r="H19" s="20">
        <v>423.08</v>
      </c>
      <c r="I19" s="20">
        <v>-145.93</v>
      </c>
      <c r="J19" s="20">
        <v>145.93</v>
      </c>
    </row>
    <row r="20" spans="1:10" x14ac:dyDescent="0.35">
      <c r="A20" s="20" t="s">
        <v>94</v>
      </c>
      <c r="B20" s="20" t="s">
        <v>96</v>
      </c>
      <c r="C20" s="29">
        <v>0</v>
      </c>
      <c r="D20" s="20">
        <v>83.43</v>
      </c>
      <c r="E20" s="20">
        <v>-23.86</v>
      </c>
      <c r="F20" s="20">
        <v>-290.52999999999997</v>
      </c>
      <c r="G20" s="20">
        <v>-586.29</v>
      </c>
      <c r="H20" s="20">
        <v>817.25</v>
      </c>
      <c r="I20" s="20">
        <v>-290.52999999999997</v>
      </c>
      <c r="J20" s="20">
        <v>290.52999999999997</v>
      </c>
    </row>
    <row r="21" spans="1:10" x14ac:dyDescent="0.35">
      <c r="A21" s="20" t="s">
        <v>312</v>
      </c>
      <c r="B21" s="20" t="s">
        <v>105</v>
      </c>
      <c r="C21" s="29">
        <v>0</v>
      </c>
      <c r="D21" s="20">
        <v>64.67</v>
      </c>
      <c r="E21" s="20">
        <v>-39.53</v>
      </c>
      <c r="F21" s="20">
        <v>-200.08</v>
      </c>
      <c r="G21" s="20">
        <v>-474.1</v>
      </c>
      <c r="H21" s="20">
        <v>649.04</v>
      </c>
      <c r="I21" s="20">
        <v>-200.08</v>
      </c>
      <c r="J21" s="20">
        <v>200.08</v>
      </c>
    </row>
    <row r="22" spans="1:10" x14ac:dyDescent="0.35">
      <c r="A22" s="20" t="s">
        <v>101</v>
      </c>
      <c r="B22" s="20" t="s">
        <v>105</v>
      </c>
      <c r="C22" s="29">
        <v>0</v>
      </c>
      <c r="D22" s="20">
        <v>79.08</v>
      </c>
      <c r="E22" s="20">
        <v>-48.33</v>
      </c>
      <c r="F22" s="20">
        <v>-244.57</v>
      </c>
      <c r="G22" s="20">
        <v>-579.45000000000005</v>
      </c>
      <c r="H22" s="20">
        <v>793.27</v>
      </c>
      <c r="I22" s="20">
        <v>-244.57</v>
      </c>
      <c r="J22" s="20">
        <v>244.57</v>
      </c>
    </row>
    <row r="23" spans="1:10" x14ac:dyDescent="0.35">
      <c r="A23" s="20" t="s">
        <v>108</v>
      </c>
      <c r="B23" s="20" t="s">
        <v>96</v>
      </c>
      <c r="C23" s="29">
        <v>0</v>
      </c>
      <c r="D23" s="20">
        <v>250.27</v>
      </c>
      <c r="E23" s="20">
        <v>-71.56</v>
      </c>
      <c r="F23" s="20">
        <v>-871.53</v>
      </c>
      <c r="G23" s="20">
        <v>-1758.93</v>
      </c>
      <c r="H23" s="20">
        <v>2451.75</v>
      </c>
      <c r="I23" s="20">
        <v>-871.53</v>
      </c>
      <c r="J23" s="20">
        <v>871.53</v>
      </c>
    </row>
    <row r="24" spans="1:10" x14ac:dyDescent="0.35">
      <c r="A24" s="20" t="s">
        <v>314</v>
      </c>
      <c r="B24" s="20" t="s">
        <v>316</v>
      </c>
      <c r="C24" s="29">
        <v>0</v>
      </c>
      <c r="D24" s="20">
        <v>148.84</v>
      </c>
      <c r="E24" s="20">
        <v>-122.97</v>
      </c>
      <c r="F24" s="20">
        <v>-396.81</v>
      </c>
      <c r="G24" s="20">
        <v>-1167.53</v>
      </c>
      <c r="H24" s="20">
        <v>1538.47</v>
      </c>
      <c r="I24" s="20">
        <v>-396.81</v>
      </c>
      <c r="J24" s="20">
        <v>396.81</v>
      </c>
    </row>
    <row r="25" spans="1:10" x14ac:dyDescent="0.35">
      <c r="A25" s="20" t="s">
        <v>109</v>
      </c>
      <c r="B25" s="20" t="s">
        <v>113</v>
      </c>
      <c r="C25" s="29">
        <v>0</v>
      </c>
      <c r="D25" s="20">
        <v>95.56</v>
      </c>
      <c r="E25" s="20">
        <v>-98.62</v>
      </c>
      <c r="F25" s="20">
        <v>-286.69</v>
      </c>
      <c r="G25" s="20">
        <v>-699.26</v>
      </c>
      <c r="H25" s="20">
        <v>989.01</v>
      </c>
      <c r="I25" s="20">
        <v>-286.69</v>
      </c>
      <c r="J25" s="20">
        <v>286.69</v>
      </c>
    </row>
    <row r="26" spans="1:10" x14ac:dyDescent="0.35">
      <c r="A26" s="20" t="s">
        <v>116</v>
      </c>
      <c r="B26" s="20" t="s">
        <v>118</v>
      </c>
      <c r="C26" s="29">
        <v>0</v>
      </c>
      <c r="D26" s="20">
        <v>60.27</v>
      </c>
      <c r="F26" s="20">
        <v>-125.83</v>
      </c>
      <c r="G26" s="20">
        <v>-511.24</v>
      </c>
      <c r="H26" s="20">
        <v>576.79999999999995</v>
      </c>
      <c r="I26" s="20">
        <v>-125.83</v>
      </c>
      <c r="J26" s="20">
        <v>125.83</v>
      </c>
    </row>
    <row r="27" spans="1:10" x14ac:dyDescent="0.35">
      <c r="A27" s="20" t="s">
        <v>119</v>
      </c>
      <c r="B27" s="20" t="s">
        <v>121</v>
      </c>
      <c r="C27" s="29">
        <v>0</v>
      </c>
      <c r="D27" s="20">
        <v>253.7</v>
      </c>
      <c r="E27" s="20">
        <v>-95.42</v>
      </c>
      <c r="F27" s="20">
        <v>-839.23</v>
      </c>
      <c r="G27" s="20">
        <v>-1819.05</v>
      </c>
      <c r="H27" s="20">
        <v>2500</v>
      </c>
      <c r="I27" s="20">
        <v>-839.23</v>
      </c>
      <c r="J27" s="20">
        <v>839.23</v>
      </c>
    </row>
    <row r="28" spans="1:10" x14ac:dyDescent="0.35">
      <c r="A28" s="20" t="s">
        <v>122</v>
      </c>
      <c r="B28" s="20" t="s">
        <v>124</v>
      </c>
      <c r="C28" s="29">
        <v>0</v>
      </c>
      <c r="D28" s="20">
        <v>160.77000000000001</v>
      </c>
      <c r="F28" s="20">
        <v>-318.08999999999997</v>
      </c>
      <c r="G28" s="20">
        <v>-1381.14</v>
      </c>
      <c r="H28" s="20">
        <v>1538.46</v>
      </c>
      <c r="I28" s="20">
        <v>-318.08999999999997</v>
      </c>
      <c r="J28" s="20">
        <v>318.08999999999997</v>
      </c>
    </row>
    <row r="29" spans="1:10" x14ac:dyDescent="0.35">
      <c r="A29" s="20" t="s">
        <v>127</v>
      </c>
      <c r="B29" s="20" t="s">
        <v>149</v>
      </c>
      <c r="C29" s="29">
        <v>0</v>
      </c>
      <c r="D29" s="20">
        <v>160.78</v>
      </c>
      <c r="F29" s="20">
        <v>-431.89</v>
      </c>
      <c r="G29" s="20">
        <v>-1267.3499999999999</v>
      </c>
      <c r="H29" s="20">
        <v>1538.46</v>
      </c>
      <c r="I29" s="20">
        <v>-431.89</v>
      </c>
      <c r="J29" s="20">
        <v>431.89</v>
      </c>
    </row>
    <row r="30" spans="1:10" x14ac:dyDescent="0.35">
      <c r="A30" s="20" t="s">
        <v>125</v>
      </c>
      <c r="B30" s="20" t="s">
        <v>129</v>
      </c>
      <c r="C30" s="29">
        <v>-4.5474735088646412E-13</v>
      </c>
      <c r="D30" s="20">
        <v>329.58</v>
      </c>
      <c r="E30" s="20">
        <v>-500</v>
      </c>
      <c r="F30" s="20">
        <v>-885.49</v>
      </c>
      <c r="G30" s="20">
        <v>-2097.94</v>
      </c>
      <c r="H30" s="20">
        <v>3153.85</v>
      </c>
      <c r="I30" s="20">
        <v>-885.49</v>
      </c>
      <c r="J30" s="20">
        <v>885.49</v>
      </c>
    </row>
    <row r="31" spans="1:10" x14ac:dyDescent="0.35">
      <c r="A31" s="20" t="s">
        <v>132</v>
      </c>
      <c r="B31" s="20" t="s">
        <v>134</v>
      </c>
      <c r="C31" s="29">
        <v>0</v>
      </c>
      <c r="D31" s="20">
        <v>154.32</v>
      </c>
      <c r="E31" s="20">
        <v>-57.7</v>
      </c>
      <c r="F31" s="20">
        <v>-456.06</v>
      </c>
      <c r="G31" s="20">
        <v>-1179.02</v>
      </c>
      <c r="H31" s="20">
        <v>1538.46</v>
      </c>
      <c r="I31" s="20">
        <v>-456.06</v>
      </c>
      <c r="J31" s="20">
        <v>456.06</v>
      </c>
    </row>
    <row r="32" spans="1:10" x14ac:dyDescent="0.35">
      <c r="A32" s="20" t="s">
        <v>135</v>
      </c>
      <c r="B32" s="20" t="s">
        <v>137</v>
      </c>
      <c r="C32" s="29">
        <v>0</v>
      </c>
      <c r="D32" s="20">
        <v>215.26</v>
      </c>
      <c r="E32" s="20">
        <v>-72.680000000000007</v>
      </c>
      <c r="F32" s="20">
        <v>-603.98</v>
      </c>
      <c r="G32" s="20">
        <v>-1653.99</v>
      </c>
      <c r="H32" s="20">
        <v>2115.39</v>
      </c>
      <c r="I32" s="20">
        <v>-603.98</v>
      </c>
      <c r="J32" s="20">
        <v>603.98</v>
      </c>
    </row>
    <row r="33" spans="1:10" x14ac:dyDescent="0.35">
      <c r="A33" s="20" t="s">
        <v>140</v>
      </c>
      <c r="B33" s="20" t="s">
        <v>142</v>
      </c>
      <c r="C33" s="29">
        <v>0</v>
      </c>
      <c r="D33" s="20">
        <v>106.59</v>
      </c>
      <c r="F33" s="20">
        <v>-212.48</v>
      </c>
      <c r="G33" s="20">
        <v>-914.11</v>
      </c>
      <c r="H33" s="20">
        <v>1020</v>
      </c>
      <c r="I33" s="20">
        <v>-212.48</v>
      </c>
      <c r="J33" s="20">
        <v>212.48</v>
      </c>
    </row>
    <row r="34" spans="1:10" x14ac:dyDescent="0.35">
      <c r="A34" s="20" t="s">
        <v>143</v>
      </c>
      <c r="B34" s="20" t="s">
        <v>148</v>
      </c>
      <c r="C34" s="29">
        <v>0</v>
      </c>
      <c r="D34" s="20">
        <v>253.45</v>
      </c>
      <c r="E34" s="20">
        <v>-98.62</v>
      </c>
      <c r="F34" s="20">
        <v>-785.57</v>
      </c>
      <c r="G34" s="20">
        <v>-1869.26</v>
      </c>
      <c r="H34" s="20">
        <v>2500</v>
      </c>
      <c r="I34" s="20">
        <v>-785.57</v>
      </c>
      <c r="J34" s="20">
        <v>785.57</v>
      </c>
    </row>
    <row r="35" spans="1:10" x14ac:dyDescent="0.35">
      <c r="A35" s="20" t="s">
        <v>263</v>
      </c>
      <c r="B35" s="20" t="s">
        <v>319</v>
      </c>
      <c r="C35" s="29">
        <v>0</v>
      </c>
      <c r="D35" s="20">
        <v>181.42</v>
      </c>
      <c r="E35" s="20">
        <v>-63.55</v>
      </c>
      <c r="F35" s="20">
        <v>-444.03</v>
      </c>
      <c r="G35" s="20">
        <v>-1462.3</v>
      </c>
      <c r="H35" s="20">
        <v>1788.46</v>
      </c>
      <c r="I35" s="20">
        <v>-444.03</v>
      </c>
      <c r="J35" s="20">
        <v>444.03</v>
      </c>
    </row>
    <row r="36" spans="1:10" x14ac:dyDescent="0.35">
      <c r="A36" s="20" t="s">
        <v>150</v>
      </c>
      <c r="B36" s="20" t="s">
        <v>154</v>
      </c>
      <c r="C36" s="29">
        <v>0</v>
      </c>
      <c r="D36" s="20">
        <v>603.70000000000005</v>
      </c>
      <c r="E36" s="20">
        <v>-423.08</v>
      </c>
      <c r="F36" s="20">
        <v>-2116.8000000000002</v>
      </c>
      <c r="G36" s="20">
        <v>-4025.36</v>
      </c>
      <c r="H36" s="20">
        <v>5961.54</v>
      </c>
      <c r="I36" s="20">
        <v>-2116.8000000000002</v>
      </c>
      <c r="J36" s="20">
        <v>2116.8000000000002</v>
      </c>
    </row>
    <row r="37" spans="1:10" x14ac:dyDescent="0.35">
      <c r="A37" s="20" t="s">
        <v>157</v>
      </c>
      <c r="B37" s="20" t="s">
        <v>91</v>
      </c>
      <c r="C37" s="29">
        <v>0</v>
      </c>
      <c r="D37" s="20">
        <v>385.82</v>
      </c>
      <c r="E37" s="20">
        <v>-279.14999999999998</v>
      </c>
      <c r="F37" s="20">
        <v>-1313.4</v>
      </c>
      <c r="G37" s="20">
        <v>-2600.96</v>
      </c>
      <c r="H37" s="20">
        <v>3807.69</v>
      </c>
      <c r="I37" s="20">
        <v>-1313.4</v>
      </c>
      <c r="J37" s="20">
        <v>1313.4</v>
      </c>
    </row>
    <row r="38" spans="1:10" x14ac:dyDescent="0.35">
      <c r="A38" s="20" t="s">
        <v>950</v>
      </c>
      <c r="B38" s="20" t="s">
        <v>161</v>
      </c>
      <c r="C38" s="29">
        <v>0</v>
      </c>
      <c r="D38" s="20">
        <v>353.57</v>
      </c>
      <c r="E38" s="20">
        <v>-498.62</v>
      </c>
      <c r="F38" s="20">
        <v>-1203.94</v>
      </c>
      <c r="G38" s="20">
        <v>-2112.5500000000002</v>
      </c>
      <c r="H38" s="20">
        <v>3461.54</v>
      </c>
      <c r="I38" s="20">
        <v>-1203.94</v>
      </c>
      <c r="J38" s="20">
        <v>1203.94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51"/>
  <sheetViews>
    <sheetView topLeftCell="A38" workbookViewId="0">
      <selection activeCell="A42" sqref="A42"/>
    </sheetView>
  </sheetViews>
  <sheetFormatPr defaultRowHeight="14.5" x14ac:dyDescent="0.35"/>
  <cols>
    <col min="3" max="3" width="40.453125" bestFit="1" customWidth="1"/>
    <col min="4" max="4" width="13.36328125" style="20" bestFit="1" customWidth="1"/>
  </cols>
  <sheetData>
    <row r="1" spans="1:34" x14ac:dyDescent="0.35">
      <c r="A1" s="38"/>
      <c r="B1" s="38" t="s">
        <v>175</v>
      </c>
      <c r="C1" s="39">
        <v>43850</v>
      </c>
      <c r="D1" s="38"/>
      <c r="E1" s="40" t="s">
        <v>30</v>
      </c>
      <c r="F1" s="38"/>
      <c r="G1" s="41" t="s">
        <v>213</v>
      </c>
      <c r="H1" s="41" t="s">
        <v>81</v>
      </c>
      <c r="I1" s="41" t="s">
        <v>81</v>
      </c>
      <c r="J1" s="41" t="s">
        <v>81</v>
      </c>
      <c r="K1" s="41" t="s">
        <v>294</v>
      </c>
      <c r="L1" s="41" t="s">
        <v>215</v>
      </c>
      <c r="M1" s="41" t="s">
        <v>295</v>
      </c>
      <c r="N1" s="41" t="s">
        <v>216</v>
      </c>
      <c r="O1" s="41" t="s">
        <v>296</v>
      </c>
      <c r="P1" s="41" t="s">
        <v>297</v>
      </c>
      <c r="Q1" s="41" t="s">
        <v>297</v>
      </c>
      <c r="R1" s="41" t="s">
        <v>298</v>
      </c>
      <c r="S1" s="41" t="s">
        <v>294</v>
      </c>
      <c r="T1" s="41" t="s">
        <v>299</v>
      </c>
      <c r="U1" s="41" t="s">
        <v>217</v>
      </c>
      <c r="V1" s="41" t="s">
        <v>295</v>
      </c>
      <c r="W1" s="41" t="s">
        <v>297</v>
      </c>
      <c r="X1" s="41" t="s">
        <v>300</v>
      </c>
      <c r="Y1" s="41" t="s">
        <v>301</v>
      </c>
      <c r="Z1" s="41" t="s">
        <v>218</v>
      </c>
      <c r="AA1" s="41" t="s">
        <v>302</v>
      </c>
      <c r="AB1" s="41" t="s">
        <v>81</v>
      </c>
      <c r="AC1" s="41" t="s">
        <v>81</v>
      </c>
      <c r="AD1" s="41" t="s">
        <v>81</v>
      </c>
      <c r="AE1" s="30" t="s">
        <v>305</v>
      </c>
      <c r="AF1" s="42"/>
      <c r="AG1" s="42"/>
      <c r="AH1" s="42"/>
    </row>
    <row r="2" spans="1:34" x14ac:dyDescent="0.35">
      <c r="A2" s="43"/>
      <c r="B2" s="44"/>
      <c r="C2" s="44"/>
      <c r="D2" s="44"/>
      <c r="E2" s="45" t="s">
        <v>219</v>
      </c>
      <c r="F2" s="45"/>
      <c r="G2" s="41" t="s">
        <v>179</v>
      </c>
      <c r="H2" s="41" t="s">
        <v>220</v>
      </c>
      <c r="I2" s="41" t="s">
        <v>915</v>
      </c>
      <c r="J2" s="41" t="s">
        <v>221</v>
      </c>
      <c r="K2" s="41" t="s">
        <v>222</v>
      </c>
      <c r="L2" s="41" t="s">
        <v>223</v>
      </c>
      <c r="M2" s="41" t="s">
        <v>224</v>
      </c>
      <c r="N2" s="41" t="s">
        <v>225</v>
      </c>
      <c r="O2" s="41" t="s">
        <v>226</v>
      </c>
      <c r="P2" s="41" t="s">
        <v>303</v>
      </c>
      <c r="Q2" s="41" t="s">
        <v>227</v>
      </c>
      <c r="R2" s="41" t="s">
        <v>228</v>
      </c>
      <c r="S2" s="41" t="s">
        <v>229</v>
      </c>
      <c r="T2" s="41" t="s">
        <v>230</v>
      </c>
      <c r="U2" s="41" t="s">
        <v>231</v>
      </c>
      <c r="V2" s="41" t="s">
        <v>232</v>
      </c>
      <c r="W2" s="41" t="s">
        <v>261</v>
      </c>
      <c r="X2" s="41" t="s">
        <v>237</v>
      </c>
      <c r="Y2" s="41" t="s">
        <v>233</v>
      </c>
      <c r="Z2" s="41" t="s">
        <v>234</v>
      </c>
      <c r="AA2" s="41" t="s">
        <v>235</v>
      </c>
      <c r="AB2" s="41" t="s">
        <v>180</v>
      </c>
      <c r="AC2" s="41" t="s">
        <v>236</v>
      </c>
      <c r="AD2" s="41" t="s">
        <v>237</v>
      </c>
      <c r="AE2" s="41" t="s">
        <v>304</v>
      </c>
      <c r="AF2" s="42"/>
      <c r="AG2" s="42"/>
      <c r="AH2" s="42"/>
    </row>
    <row r="3" spans="1:34" x14ac:dyDescent="0.35">
      <c r="A3" s="46" t="s">
        <v>176</v>
      </c>
      <c r="B3" s="47" t="s">
        <v>177</v>
      </c>
      <c r="C3" s="47" t="s">
        <v>178</v>
      </c>
      <c r="D3" s="48" t="s">
        <v>201</v>
      </c>
      <c r="E3" s="49">
        <v>48</v>
      </c>
      <c r="F3" s="48" t="s">
        <v>238</v>
      </c>
      <c r="G3" s="50">
        <v>14.89</v>
      </c>
      <c r="H3" s="50">
        <v>2.11</v>
      </c>
      <c r="I3" s="50">
        <v>2</v>
      </c>
      <c r="J3" s="50">
        <v>2</v>
      </c>
      <c r="K3" s="50">
        <v>6.7</v>
      </c>
      <c r="L3" s="50">
        <v>1.33</v>
      </c>
      <c r="M3" s="50">
        <v>1.63</v>
      </c>
      <c r="N3" s="50">
        <v>2</v>
      </c>
      <c r="O3" s="50">
        <v>0.4</v>
      </c>
      <c r="P3" s="50">
        <v>0.18</v>
      </c>
      <c r="Q3" s="50">
        <v>1.01</v>
      </c>
      <c r="R3" s="50">
        <v>0.52</v>
      </c>
      <c r="S3" s="50">
        <v>0.33</v>
      </c>
      <c r="T3" s="50">
        <v>0.34</v>
      </c>
      <c r="U3" s="50">
        <v>2.0099999999999998</v>
      </c>
      <c r="V3" s="50">
        <v>1.18</v>
      </c>
      <c r="W3" s="50">
        <v>0.27</v>
      </c>
      <c r="X3" s="50">
        <v>0.57999999999999996</v>
      </c>
      <c r="Y3" s="50">
        <v>0.76</v>
      </c>
      <c r="Z3" s="50">
        <v>2.88</v>
      </c>
      <c r="AA3" s="50">
        <v>0.9</v>
      </c>
      <c r="AB3" s="50">
        <v>1.88</v>
      </c>
      <c r="AC3" s="50">
        <v>0.1</v>
      </c>
      <c r="AD3" s="50">
        <v>1</v>
      </c>
      <c r="AE3" s="50">
        <v>1</v>
      </c>
      <c r="AF3" s="51"/>
      <c r="AG3" s="51"/>
      <c r="AH3" s="51"/>
    </row>
    <row r="4" spans="1:34" x14ac:dyDescent="0.35">
      <c r="A4" s="79" t="s">
        <v>41</v>
      </c>
      <c r="B4" s="52" t="s">
        <v>42</v>
      </c>
      <c r="C4" s="52" t="s">
        <v>916</v>
      </c>
      <c r="D4" s="34" t="s">
        <v>66</v>
      </c>
      <c r="E4" s="53">
        <v>1</v>
      </c>
      <c r="F4" s="54">
        <v>1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>
        <v>1</v>
      </c>
      <c r="AF4" s="52"/>
      <c r="AG4" s="52"/>
      <c r="AH4" s="52"/>
    </row>
    <row r="5" spans="1:34" x14ac:dyDescent="0.35">
      <c r="A5" s="78" t="s">
        <v>33</v>
      </c>
      <c r="B5" s="52" t="s">
        <v>36</v>
      </c>
      <c r="C5" s="52" t="s">
        <v>917</v>
      </c>
      <c r="D5" s="34" t="s">
        <v>333</v>
      </c>
      <c r="E5" s="53">
        <v>1</v>
      </c>
      <c r="F5" s="38">
        <v>2</v>
      </c>
      <c r="G5" s="52">
        <v>0.77</v>
      </c>
      <c r="H5" s="52">
        <v>0.23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</row>
    <row r="6" spans="1:34" x14ac:dyDescent="0.35">
      <c r="A6" s="78" t="s">
        <v>308</v>
      </c>
      <c r="B6" s="52" t="s">
        <v>163</v>
      </c>
      <c r="C6" s="52" t="s">
        <v>918</v>
      </c>
      <c r="D6" s="34" t="s">
        <v>164</v>
      </c>
      <c r="E6" s="53">
        <v>1</v>
      </c>
      <c r="F6" s="38">
        <v>2</v>
      </c>
      <c r="G6" s="52">
        <v>0.38</v>
      </c>
      <c r="H6" s="52">
        <v>0.62</v>
      </c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</row>
    <row r="7" spans="1:34" x14ac:dyDescent="0.35">
      <c r="A7" s="52" t="s">
        <v>262</v>
      </c>
      <c r="B7" s="34" t="s">
        <v>239</v>
      </c>
      <c r="C7" s="52" t="s">
        <v>919</v>
      </c>
      <c r="D7" s="34" t="s">
        <v>335</v>
      </c>
      <c r="E7" s="53">
        <v>1</v>
      </c>
      <c r="F7" s="54">
        <v>1</v>
      </c>
      <c r="G7" s="52">
        <v>1</v>
      </c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</row>
    <row r="8" spans="1:34" x14ac:dyDescent="0.35">
      <c r="A8" s="78" t="s">
        <v>77</v>
      </c>
      <c r="B8" s="52" t="s">
        <v>80</v>
      </c>
      <c r="C8" s="52" t="s">
        <v>920</v>
      </c>
      <c r="D8" s="34" t="s">
        <v>334</v>
      </c>
      <c r="E8" s="53">
        <v>1</v>
      </c>
      <c r="F8" s="54">
        <v>1</v>
      </c>
      <c r="G8" s="52"/>
      <c r="H8" s="52"/>
      <c r="I8" s="52">
        <v>1</v>
      </c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</row>
    <row r="9" spans="1:34" x14ac:dyDescent="0.35">
      <c r="A9" s="78" t="s">
        <v>43</v>
      </c>
      <c r="B9" s="52" t="s">
        <v>45</v>
      </c>
      <c r="C9" s="52" t="s">
        <v>921</v>
      </c>
      <c r="D9" s="34" t="s">
        <v>335</v>
      </c>
      <c r="E9" s="53">
        <v>1</v>
      </c>
      <c r="F9" s="54">
        <v>1</v>
      </c>
      <c r="G9" s="52">
        <v>1</v>
      </c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</row>
    <row r="10" spans="1:34" x14ac:dyDescent="0.35">
      <c r="A10" s="78" t="s">
        <v>922</v>
      </c>
      <c r="B10" s="52" t="s">
        <v>45</v>
      </c>
      <c r="C10" s="52" t="s">
        <v>921</v>
      </c>
      <c r="D10" s="34" t="s">
        <v>335</v>
      </c>
      <c r="E10" s="53">
        <v>1</v>
      </c>
      <c r="F10" s="54">
        <v>1</v>
      </c>
      <c r="G10" s="52">
        <v>1</v>
      </c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</row>
    <row r="11" spans="1:34" x14ac:dyDescent="0.35">
      <c r="A11" s="78" t="s">
        <v>923</v>
      </c>
      <c r="B11" s="52" t="s">
        <v>45</v>
      </c>
      <c r="C11" s="52" t="s">
        <v>921</v>
      </c>
      <c r="D11" s="34" t="s">
        <v>335</v>
      </c>
      <c r="E11" s="53">
        <v>1</v>
      </c>
      <c r="F11" s="54">
        <v>1</v>
      </c>
      <c r="G11" s="52">
        <v>1</v>
      </c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</row>
    <row r="12" spans="1:34" x14ac:dyDescent="0.35">
      <c r="A12" s="78" t="s">
        <v>109</v>
      </c>
      <c r="B12" s="52" t="s">
        <v>113</v>
      </c>
      <c r="C12" s="52" t="s">
        <v>924</v>
      </c>
      <c r="D12" s="34" t="s">
        <v>336</v>
      </c>
      <c r="E12" s="53">
        <v>1</v>
      </c>
      <c r="F12" s="54">
        <v>1</v>
      </c>
      <c r="G12" s="52"/>
      <c r="H12" s="52"/>
      <c r="I12" s="52"/>
      <c r="J12" s="52"/>
      <c r="K12" s="52">
        <v>1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</row>
    <row r="13" spans="1:34" x14ac:dyDescent="0.35">
      <c r="A13" s="52" t="s">
        <v>97</v>
      </c>
      <c r="B13" s="52" t="s">
        <v>98</v>
      </c>
      <c r="C13" s="52" t="s">
        <v>925</v>
      </c>
      <c r="D13" s="34" t="s">
        <v>106</v>
      </c>
      <c r="E13" s="53">
        <v>1</v>
      </c>
      <c r="F13" s="54">
        <v>1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>
        <v>1</v>
      </c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</row>
    <row r="14" spans="1:34" x14ac:dyDescent="0.35">
      <c r="A14" s="78" t="s">
        <v>58</v>
      </c>
      <c r="B14" s="52" t="s">
        <v>60</v>
      </c>
      <c r="C14" s="52" t="s">
        <v>926</v>
      </c>
      <c r="D14" s="34" t="s">
        <v>329</v>
      </c>
      <c r="E14" s="53">
        <v>1</v>
      </c>
      <c r="F14" s="38">
        <v>2</v>
      </c>
      <c r="G14" s="52">
        <v>0.72</v>
      </c>
      <c r="H14" s="52">
        <v>0.28000000000000003</v>
      </c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</row>
    <row r="15" spans="1:34" x14ac:dyDescent="0.35">
      <c r="A15" s="78" t="s">
        <v>82</v>
      </c>
      <c r="B15" s="52" t="s">
        <v>86</v>
      </c>
      <c r="C15" s="52" t="s">
        <v>927</v>
      </c>
      <c r="D15" s="34" t="s">
        <v>66</v>
      </c>
      <c r="E15" s="53">
        <v>1</v>
      </c>
      <c r="F15" s="54">
        <v>1</v>
      </c>
      <c r="G15" s="52"/>
      <c r="H15" s="52"/>
      <c r="I15" s="52"/>
      <c r="J15" s="52">
        <v>1</v>
      </c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</row>
    <row r="16" spans="1:34" x14ac:dyDescent="0.35">
      <c r="A16" s="78" t="s">
        <v>150</v>
      </c>
      <c r="B16" s="52" t="s">
        <v>154</v>
      </c>
      <c r="C16" s="52" t="s">
        <v>928</v>
      </c>
      <c r="D16" s="34" t="s">
        <v>155</v>
      </c>
      <c r="E16" s="53">
        <v>1</v>
      </c>
      <c r="F16" s="38">
        <v>2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v>0.9</v>
      </c>
      <c r="AB16" s="52"/>
      <c r="AC16" s="52">
        <v>0.1</v>
      </c>
      <c r="AD16" s="52"/>
      <c r="AE16" s="52"/>
      <c r="AF16" s="52"/>
      <c r="AG16" s="52"/>
      <c r="AH16" s="52"/>
    </row>
    <row r="17" spans="1:34" x14ac:dyDescent="0.35">
      <c r="A17" s="78" t="s">
        <v>125</v>
      </c>
      <c r="B17" s="52" t="s">
        <v>129</v>
      </c>
      <c r="C17" s="52" t="s">
        <v>929</v>
      </c>
      <c r="D17" s="34">
        <v>7225</v>
      </c>
      <c r="E17" s="53">
        <v>1</v>
      </c>
      <c r="F17" s="38">
        <v>2</v>
      </c>
      <c r="G17" s="52"/>
      <c r="H17" s="52"/>
      <c r="I17" s="52"/>
      <c r="J17" s="52"/>
      <c r="K17" s="52"/>
      <c r="L17" s="52">
        <v>0.33</v>
      </c>
      <c r="M17" s="52">
        <v>0.67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</row>
    <row r="18" spans="1:34" x14ac:dyDescent="0.35">
      <c r="A18" s="78" t="s">
        <v>38</v>
      </c>
      <c r="B18" s="52" t="s">
        <v>40</v>
      </c>
      <c r="C18" s="52" t="s">
        <v>927</v>
      </c>
      <c r="D18" s="34" t="s">
        <v>66</v>
      </c>
      <c r="E18" s="53">
        <v>1</v>
      </c>
      <c r="F18" s="54">
        <v>1</v>
      </c>
      <c r="G18" s="52"/>
      <c r="H18" s="52"/>
      <c r="I18" s="52"/>
      <c r="J18" s="52">
        <v>1</v>
      </c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</row>
    <row r="19" spans="1:34" x14ac:dyDescent="0.35">
      <c r="A19" s="78" t="s">
        <v>263</v>
      </c>
      <c r="B19" s="34" t="s">
        <v>240</v>
      </c>
      <c r="C19" s="52" t="s">
        <v>930</v>
      </c>
      <c r="D19" s="34" t="s">
        <v>320</v>
      </c>
      <c r="E19" s="53">
        <v>1</v>
      </c>
      <c r="F19" s="38">
        <v>3</v>
      </c>
      <c r="G19" s="52"/>
      <c r="H19" s="52"/>
      <c r="I19" s="52"/>
      <c r="J19" s="52"/>
      <c r="K19" s="52"/>
      <c r="L19" s="52"/>
      <c r="M19" s="52"/>
      <c r="N19" s="52"/>
      <c r="O19" s="55">
        <v>0.15</v>
      </c>
      <c r="P19" s="55"/>
      <c r="Q19" s="55">
        <v>0.74</v>
      </c>
      <c r="R19" s="55">
        <v>0.11</v>
      </c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</row>
    <row r="20" spans="1:34" x14ac:dyDescent="0.35">
      <c r="A20" s="77" t="s">
        <v>952</v>
      </c>
      <c r="B20" s="52" t="s">
        <v>149</v>
      </c>
      <c r="C20" s="52" t="s">
        <v>931</v>
      </c>
      <c r="D20" s="34">
        <v>7228</v>
      </c>
      <c r="E20" s="53">
        <v>1</v>
      </c>
      <c r="F20" s="38">
        <v>4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6">
        <v>0.1</v>
      </c>
      <c r="U20" s="56">
        <v>0.45</v>
      </c>
      <c r="V20" s="56">
        <v>0.18</v>
      </c>
      <c r="W20" s="56">
        <v>0.27</v>
      </c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</row>
    <row r="21" spans="1:34" x14ac:dyDescent="0.35">
      <c r="A21" s="52" t="s">
        <v>72</v>
      </c>
      <c r="B21" s="52" t="s">
        <v>73</v>
      </c>
      <c r="C21" s="52" t="s">
        <v>916</v>
      </c>
      <c r="D21" s="34" t="s">
        <v>66</v>
      </c>
      <c r="E21" s="53">
        <v>1</v>
      </c>
      <c r="F21" s="54">
        <v>1</v>
      </c>
      <c r="G21" s="52">
        <v>1</v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</row>
    <row r="22" spans="1:34" x14ac:dyDescent="0.35">
      <c r="A22" s="78" t="s">
        <v>135</v>
      </c>
      <c r="B22" s="52" t="s">
        <v>137</v>
      </c>
      <c r="C22" s="52" t="s">
        <v>932</v>
      </c>
      <c r="D22" s="34">
        <v>7226</v>
      </c>
      <c r="E22" s="53">
        <v>1</v>
      </c>
      <c r="F22" s="54">
        <v>1</v>
      </c>
      <c r="G22" s="52"/>
      <c r="H22" s="52"/>
      <c r="I22" s="52"/>
      <c r="J22" s="52"/>
      <c r="K22" s="52"/>
      <c r="L22" s="52">
        <v>1</v>
      </c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</row>
    <row r="23" spans="1:34" x14ac:dyDescent="0.35">
      <c r="A23" s="52" t="s">
        <v>68</v>
      </c>
      <c r="B23" s="52" t="s">
        <v>69</v>
      </c>
      <c r="C23" s="52" t="s">
        <v>933</v>
      </c>
      <c r="D23" s="34" t="s">
        <v>66</v>
      </c>
      <c r="E23" s="53">
        <v>1</v>
      </c>
      <c r="F23" s="54">
        <v>1</v>
      </c>
      <c r="G23" s="52"/>
      <c r="H23" s="52"/>
      <c r="I23" s="52"/>
      <c r="J23" s="52"/>
      <c r="K23" s="52">
        <v>1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</row>
    <row r="24" spans="1:34" x14ac:dyDescent="0.35">
      <c r="A24" s="78" t="s">
        <v>116</v>
      </c>
      <c r="B24" s="52" t="s">
        <v>118</v>
      </c>
      <c r="C24" s="52" t="s">
        <v>924</v>
      </c>
      <c r="D24" s="34" t="s">
        <v>336</v>
      </c>
      <c r="E24" s="53">
        <v>1</v>
      </c>
      <c r="F24" s="54">
        <v>1</v>
      </c>
      <c r="G24" s="52">
        <v>1</v>
      </c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</row>
    <row r="25" spans="1:34" x14ac:dyDescent="0.35">
      <c r="A25" s="78" t="s">
        <v>122</v>
      </c>
      <c r="B25" s="52" t="s">
        <v>124</v>
      </c>
      <c r="C25" s="52" t="s">
        <v>924</v>
      </c>
      <c r="D25" s="34" t="s">
        <v>336</v>
      </c>
      <c r="E25" s="53">
        <v>1</v>
      </c>
      <c r="F25" s="54">
        <v>1</v>
      </c>
      <c r="G25" s="52"/>
      <c r="H25" s="52"/>
      <c r="I25" s="52"/>
      <c r="J25" s="52"/>
      <c r="K25" s="52">
        <v>1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</row>
    <row r="26" spans="1:34" x14ac:dyDescent="0.35">
      <c r="A26" s="78" t="s">
        <v>143</v>
      </c>
      <c r="B26" s="52" t="s">
        <v>148</v>
      </c>
      <c r="C26" s="52" t="s">
        <v>934</v>
      </c>
      <c r="D26" s="34" t="s">
        <v>320</v>
      </c>
      <c r="E26" s="53">
        <v>1</v>
      </c>
      <c r="F26" s="38">
        <v>5</v>
      </c>
      <c r="G26" s="52"/>
      <c r="H26" s="52"/>
      <c r="I26" s="52"/>
      <c r="J26" s="52"/>
      <c r="K26" s="52"/>
      <c r="L26" s="52"/>
      <c r="M26" s="52"/>
      <c r="N26" s="52"/>
      <c r="O26" s="57">
        <v>0.25</v>
      </c>
      <c r="P26" s="57">
        <v>0.18</v>
      </c>
      <c r="Q26" s="57">
        <v>7.0000000000000007E-2</v>
      </c>
      <c r="R26" s="57">
        <v>0.25</v>
      </c>
      <c r="S26" s="57">
        <v>0.25</v>
      </c>
      <c r="T26" s="57"/>
      <c r="U26" s="57"/>
      <c r="V26" s="57"/>
      <c r="W26" s="57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</row>
    <row r="27" spans="1:34" x14ac:dyDescent="0.35">
      <c r="A27" s="52" t="s">
        <v>70</v>
      </c>
      <c r="B27" s="52" t="s">
        <v>71</v>
      </c>
      <c r="C27" s="52" t="s">
        <v>921</v>
      </c>
      <c r="D27" s="34" t="s">
        <v>335</v>
      </c>
      <c r="E27" s="53">
        <v>1</v>
      </c>
      <c r="F27" s="54">
        <v>1</v>
      </c>
      <c r="G27" s="52">
        <v>1</v>
      </c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</row>
    <row r="28" spans="1:34" x14ac:dyDescent="0.35">
      <c r="A28" s="78" t="s">
        <v>140</v>
      </c>
      <c r="B28" s="52" t="s">
        <v>142</v>
      </c>
      <c r="C28" s="52" t="s">
        <v>935</v>
      </c>
      <c r="D28" s="34" t="s">
        <v>106</v>
      </c>
      <c r="E28" s="53">
        <v>1</v>
      </c>
      <c r="F28" s="54">
        <v>1</v>
      </c>
      <c r="G28" s="52"/>
      <c r="H28" s="52"/>
      <c r="I28" s="52"/>
      <c r="J28" s="52"/>
      <c r="K28" s="52"/>
      <c r="L28" s="52"/>
      <c r="M28" s="52"/>
      <c r="N28" s="52">
        <v>1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</row>
    <row r="29" spans="1:34" x14ac:dyDescent="0.35">
      <c r="A29" s="78" t="s">
        <v>314</v>
      </c>
      <c r="B29" s="34" t="s">
        <v>181</v>
      </c>
      <c r="C29" s="52" t="s">
        <v>936</v>
      </c>
      <c r="D29" s="34" t="s">
        <v>337</v>
      </c>
      <c r="E29" s="53">
        <v>1</v>
      </c>
      <c r="F29" s="38">
        <v>2</v>
      </c>
      <c r="G29" s="52"/>
      <c r="H29" s="52"/>
      <c r="I29" s="52"/>
      <c r="J29" s="52"/>
      <c r="K29" s="58">
        <v>0.95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>
        <v>0.05</v>
      </c>
      <c r="AC29" s="58"/>
      <c r="AD29" s="52"/>
      <c r="AE29" s="52"/>
      <c r="AF29" s="52"/>
      <c r="AG29" s="52"/>
      <c r="AH29" s="52"/>
    </row>
    <row r="30" spans="1:34" x14ac:dyDescent="0.35">
      <c r="A30" s="52" t="s">
        <v>264</v>
      </c>
      <c r="B30" s="34" t="s">
        <v>181</v>
      </c>
      <c r="C30" s="52" t="s">
        <v>936</v>
      </c>
      <c r="D30" s="34" t="s">
        <v>337</v>
      </c>
      <c r="E30" s="53">
        <v>1</v>
      </c>
      <c r="F30" s="38">
        <v>2</v>
      </c>
      <c r="G30" s="52"/>
      <c r="H30" s="52"/>
      <c r="I30" s="52"/>
      <c r="J30" s="52"/>
      <c r="K30" s="58">
        <v>0.95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>
        <v>0.05</v>
      </c>
      <c r="AC30" s="58"/>
      <c r="AD30" s="52"/>
      <c r="AE30" s="52"/>
      <c r="AF30" s="52"/>
      <c r="AG30" s="52"/>
      <c r="AH30" s="52"/>
    </row>
    <row r="31" spans="1:34" x14ac:dyDescent="0.35">
      <c r="A31" s="78" t="s">
        <v>312</v>
      </c>
      <c r="B31" s="52" t="s">
        <v>105</v>
      </c>
      <c r="C31" s="52" t="s">
        <v>937</v>
      </c>
      <c r="D31" s="34" t="s">
        <v>330</v>
      </c>
      <c r="E31" s="53">
        <v>1</v>
      </c>
      <c r="F31" s="54">
        <v>1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9"/>
      <c r="Z31" s="59">
        <v>1</v>
      </c>
      <c r="AA31" s="59"/>
      <c r="AB31" s="59"/>
      <c r="AC31" s="59"/>
      <c r="AD31" s="59"/>
      <c r="AE31" s="59"/>
      <c r="AF31" s="52"/>
      <c r="AG31" s="52"/>
      <c r="AH31" s="52"/>
    </row>
    <row r="32" spans="1:34" x14ac:dyDescent="0.35">
      <c r="A32" s="78" t="s">
        <v>101</v>
      </c>
      <c r="B32" s="52" t="s">
        <v>105</v>
      </c>
      <c r="C32" s="52" t="s">
        <v>937</v>
      </c>
      <c r="D32" s="34" t="s">
        <v>330</v>
      </c>
      <c r="E32" s="53">
        <v>1</v>
      </c>
      <c r="F32" s="54">
        <v>1</v>
      </c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9"/>
      <c r="Z32" s="59">
        <v>1</v>
      </c>
      <c r="AA32" s="59"/>
      <c r="AB32" s="59"/>
      <c r="AC32" s="59"/>
      <c r="AD32" s="59"/>
      <c r="AE32" s="59"/>
      <c r="AF32" s="52"/>
      <c r="AG32" s="52"/>
      <c r="AH32" s="52"/>
    </row>
    <row r="33" spans="1:34" x14ac:dyDescent="0.35">
      <c r="A33" s="77" t="s">
        <v>41</v>
      </c>
      <c r="B33" s="34" t="s">
        <v>182</v>
      </c>
      <c r="C33" s="52" t="s">
        <v>938</v>
      </c>
      <c r="D33" s="34" t="s">
        <v>331</v>
      </c>
      <c r="E33" s="53">
        <v>1</v>
      </c>
      <c r="F33" s="38">
        <v>2</v>
      </c>
      <c r="G33" s="52">
        <v>0.82</v>
      </c>
      <c r="H33" s="52">
        <v>0.18</v>
      </c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</row>
    <row r="34" spans="1:34" x14ac:dyDescent="0.35">
      <c r="A34" s="78" t="s">
        <v>939</v>
      </c>
      <c r="B34" s="34" t="s">
        <v>182</v>
      </c>
      <c r="C34" s="52" t="s">
        <v>938</v>
      </c>
      <c r="D34" s="34" t="s">
        <v>331</v>
      </c>
      <c r="E34" s="53">
        <v>1</v>
      </c>
      <c r="F34" s="38">
        <v>2</v>
      </c>
      <c r="G34" s="52">
        <v>0.82</v>
      </c>
      <c r="H34" s="52">
        <v>0.18</v>
      </c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</row>
    <row r="35" spans="1:34" x14ac:dyDescent="0.35">
      <c r="A35" s="78" t="s">
        <v>309</v>
      </c>
      <c r="B35" s="34" t="s">
        <v>184</v>
      </c>
      <c r="C35" s="52" t="s">
        <v>916</v>
      </c>
      <c r="D35" s="34" t="s">
        <v>66</v>
      </c>
      <c r="E35" s="53">
        <v>1</v>
      </c>
      <c r="F35" s="54">
        <v>1</v>
      </c>
      <c r="G35" s="52">
        <v>1</v>
      </c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</row>
    <row r="36" spans="1:34" x14ac:dyDescent="0.35">
      <c r="A36" s="78" t="s">
        <v>119</v>
      </c>
      <c r="B36" s="52" t="s">
        <v>121</v>
      </c>
      <c r="C36" s="52" t="s">
        <v>940</v>
      </c>
      <c r="D36" s="34" t="s">
        <v>329</v>
      </c>
      <c r="E36" s="53">
        <v>1</v>
      </c>
      <c r="F36" s="54">
        <v>1</v>
      </c>
      <c r="G36" s="52"/>
      <c r="H36" s="52"/>
      <c r="I36" s="52"/>
      <c r="J36" s="52"/>
      <c r="K36" s="52">
        <v>1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</row>
    <row r="37" spans="1:34" x14ac:dyDescent="0.35">
      <c r="A37" s="77" t="s">
        <v>41</v>
      </c>
      <c r="B37" s="34" t="s">
        <v>183</v>
      </c>
      <c r="C37" s="52" t="s">
        <v>941</v>
      </c>
      <c r="D37" s="34" t="s">
        <v>51</v>
      </c>
      <c r="E37" s="53">
        <v>1</v>
      </c>
      <c r="F37" s="54">
        <v>1</v>
      </c>
      <c r="G37" s="52">
        <v>1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</row>
    <row r="38" spans="1:34" x14ac:dyDescent="0.35">
      <c r="A38" s="77" t="s">
        <v>953</v>
      </c>
      <c r="B38" s="34" t="s">
        <v>241</v>
      </c>
      <c r="C38" s="52" t="s">
        <v>942</v>
      </c>
      <c r="D38" s="34" t="s">
        <v>328</v>
      </c>
      <c r="E38" s="53">
        <v>1</v>
      </c>
      <c r="F38" s="54">
        <v>1</v>
      </c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>
        <v>1</v>
      </c>
      <c r="AE38" s="52"/>
      <c r="AF38" s="52"/>
      <c r="AG38" s="52"/>
      <c r="AH38" s="52"/>
    </row>
    <row r="39" spans="1:34" x14ac:dyDescent="0.35">
      <c r="A39" s="77" t="s">
        <v>111</v>
      </c>
      <c r="B39" s="52" t="s">
        <v>161</v>
      </c>
      <c r="C39" s="52" t="s">
        <v>943</v>
      </c>
      <c r="D39" s="34" t="s">
        <v>130</v>
      </c>
      <c r="E39" s="53">
        <v>1</v>
      </c>
      <c r="F39" s="38">
        <v>7</v>
      </c>
      <c r="G39" s="52"/>
      <c r="H39" s="52"/>
      <c r="I39" s="52"/>
      <c r="J39" s="52"/>
      <c r="K39" s="60">
        <v>0.2</v>
      </c>
      <c r="L39" s="60"/>
      <c r="M39" s="60">
        <v>0.24</v>
      </c>
      <c r="N39" s="60"/>
      <c r="O39" s="60"/>
      <c r="P39" s="60"/>
      <c r="Q39" s="60">
        <v>0.05</v>
      </c>
      <c r="R39" s="60">
        <v>0.04</v>
      </c>
      <c r="S39" s="60">
        <v>0.02</v>
      </c>
      <c r="T39" s="60">
        <v>0.06</v>
      </c>
      <c r="U39" s="60">
        <v>0.39</v>
      </c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</row>
    <row r="40" spans="1:34" x14ac:dyDescent="0.35">
      <c r="A40" s="79" t="s">
        <v>127</v>
      </c>
      <c r="B40" s="52" t="s">
        <v>161</v>
      </c>
      <c r="C40" s="52" t="s">
        <v>943</v>
      </c>
      <c r="D40" s="34" t="s">
        <v>130</v>
      </c>
      <c r="E40" s="53">
        <v>1</v>
      </c>
      <c r="F40" s="38">
        <v>7</v>
      </c>
      <c r="G40" s="52"/>
      <c r="H40" s="52"/>
      <c r="I40" s="52"/>
      <c r="J40" s="52"/>
      <c r="K40" s="60">
        <v>0.2</v>
      </c>
      <c r="L40" s="60"/>
      <c r="M40" s="60">
        <v>0.24</v>
      </c>
      <c r="N40" s="60"/>
      <c r="O40" s="60"/>
      <c r="P40" s="60"/>
      <c r="Q40" s="60">
        <v>0.05</v>
      </c>
      <c r="R40" s="60">
        <v>0.04</v>
      </c>
      <c r="S40" s="60">
        <v>0.02</v>
      </c>
      <c r="T40" s="60">
        <v>0.06</v>
      </c>
      <c r="U40" s="60">
        <v>0.39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</row>
    <row r="41" spans="1:34" x14ac:dyDescent="0.35">
      <c r="A41" s="77" t="s">
        <v>317</v>
      </c>
      <c r="B41" s="52" t="s">
        <v>161</v>
      </c>
      <c r="C41" s="52" t="s">
        <v>943</v>
      </c>
      <c r="D41" s="34" t="s">
        <v>130</v>
      </c>
      <c r="E41" s="53">
        <v>1</v>
      </c>
      <c r="F41" s="38">
        <v>7</v>
      </c>
      <c r="G41" s="52"/>
      <c r="H41" s="52"/>
      <c r="I41" s="52"/>
      <c r="J41" s="52"/>
      <c r="K41" s="60">
        <v>0.2</v>
      </c>
      <c r="L41" s="60"/>
      <c r="M41" s="60">
        <v>0.24</v>
      </c>
      <c r="N41" s="60"/>
      <c r="O41" s="60"/>
      <c r="P41" s="60"/>
      <c r="Q41" s="60">
        <v>0.05</v>
      </c>
      <c r="R41" s="60">
        <v>0.04</v>
      </c>
      <c r="S41" s="60">
        <v>0.02</v>
      </c>
      <c r="T41" s="60">
        <v>0.06</v>
      </c>
      <c r="U41" s="60">
        <v>0.39</v>
      </c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</row>
    <row r="42" spans="1:34" x14ac:dyDescent="0.35">
      <c r="A42" s="79" t="s">
        <v>950</v>
      </c>
      <c r="B42" s="52" t="s">
        <v>161</v>
      </c>
      <c r="C42" s="52" t="s">
        <v>943</v>
      </c>
      <c r="D42" s="34" t="s">
        <v>130</v>
      </c>
      <c r="E42" s="53">
        <v>1</v>
      </c>
      <c r="F42" s="38">
        <v>7</v>
      </c>
      <c r="G42" s="52"/>
      <c r="H42" s="52"/>
      <c r="I42" s="52"/>
      <c r="J42" s="52"/>
      <c r="K42" s="60">
        <v>0.2</v>
      </c>
      <c r="L42" s="60"/>
      <c r="M42" s="60">
        <v>0.24</v>
      </c>
      <c r="N42" s="60"/>
      <c r="O42" s="60"/>
      <c r="P42" s="60"/>
      <c r="Q42" s="60">
        <v>0.05</v>
      </c>
      <c r="R42" s="60">
        <v>0.04</v>
      </c>
      <c r="S42" s="60">
        <v>0.02</v>
      </c>
      <c r="T42" s="60">
        <v>0.06</v>
      </c>
      <c r="U42" s="60">
        <v>0.39</v>
      </c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</row>
    <row r="43" spans="1:34" x14ac:dyDescent="0.35">
      <c r="A43" s="78" t="s">
        <v>94</v>
      </c>
      <c r="B43" s="52" t="s">
        <v>96</v>
      </c>
      <c r="C43" s="52" t="s">
        <v>944</v>
      </c>
      <c r="D43" s="34" t="s">
        <v>61</v>
      </c>
      <c r="E43" s="53">
        <v>1</v>
      </c>
      <c r="F43" s="38">
        <v>3</v>
      </c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61">
        <v>0.27</v>
      </c>
      <c r="Y43" s="61">
        <v>0.28999999999999998</v>
      </c>
      <c r="Z43" s="61">
        <v>0.44</v>
      </c>
      <c r="AA43" s="52"/>
      <c r="AB43" s="52"/>
      <c r="AC43" s="52"/>
      <c r="AD43" s="52"/>
      <c r="AE43" s="52"/>
      <c r="AF43" s="52"/>
      <c r="AG43" s="52"/>
      <c r="AH43" s="52"/>
    </row>
    <row r="44" spans="1:34" x14ac:dyDescent="0.35">
      <c r="A44" s="78" t="s">
        <v>108</v>
      </c>
      <c r="B44" s="52" t="s">
        <v>96</v>
      </c>
      <c r="C44" s="52" t="s">
        <v>944</v>
      </c>
      <c r="D44" s="34" t="s">
        <v>61</v>
      </c>
      <c r="E44" s="53">
        <v>1</v>
      </c>
      <c r="F44" s="38">
        <v>3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61">
        <v>0.27</v>
      </c>
      <c r="Y44" s="61">
        <v>0.28999999999999998</v>
      </c>
      <c r="Z44" s="61">
        <v>0.44</v>
      </c>
      <c r="AA44" s="52"/>
      <c r="AB44" s="52"/>
      <c r="AC44" s="52"/>
      <c r="AD44" s="52"/>
      <c r="AE44" s="52"/>
      <c r="AF44" s="52"/>
      <c r="AG44" s="52"/>
      <c r="AH44" s="52"/>
    </row>
    <row r="45" spans="1:34" x14ac:dyDescent="0.35">
      <c r="A45" s="78" t="s">
        <v>63</v>
      </c>
      <c r="B45" s="52" t="s">
        <v>65</v>
      </c>
      <c r="C45" s="52" t="s">
        <v>916</v>
      </c>
      <c r="D45" s="34" t="s">
        <v>66</v>
      </c>
      <c r="E45" s="53">
        <v>1</v>
      </c>
      <c r="F45" s="54">
        <v>1</v>
      </c>
      <c r="G45" s="52">
        <v>1</v>
      </c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</row>
    <row r="46" spans="1:34" x14ac:dyDescent="0.35">
      <c r="A46" s="78" t="s">
        <v>74</v>
      </c>
      <c r="B46" s="52" t="s">
        <v>76</v>
      </c>
      <c r="C46" s="52" t="s">
        <v>921</v>
      </c>
      <c r="D46" s="34" t="s">
        <v>335</v>
      </c>
      <c r="E46" s="53">
        <v>1</v>
      </c>
      <c r="F46" s="54">
        <v>1</v>
      </c>
      <c r="G46" s="52">
        <v>1</v>
      </c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</row>
    <row r="47" spans="1:34" x14ac:dyDescent="0.35">
      <c r="A47" s="78" t="s">
        <v>53</v>
      </c>
      <c r="B47" s="52" t="s">
        <v>55</v>
      </c>
      <c r="C47" s="52" t="s">
        <v>945</v>
      </c>
      <c r="D47" s="34" t="s">
        <v>332</v>
      </c>
      <c r="E47" s="53">
        <v>1</v>
      </c>
      <c r="F47" s="38">
        <v>2</v>
      </c>
      <c r="G47" s="52">
        <v>0.38</v>
      </c>
      <c r="H47" s="52">
        <v>0.62</v>
      </c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</row>
    <row r="48" spans="1:34" x14ac:dyDescent="0.35">
      <c r="A48" s="78" t="s">
        <v>87</v>
      </c>
      <c r="B48" s="52" t="s">
        <v>91</v>
      </c>
      <c r="C48" s="52" t="s">
        <v>946</v>
      </c>
      <c r="D48" s="34" t="s">
        <v>92</v>
      </c>
      <c r="E48" s="53">
        <v>1</v>
      </c>
      <c r="F48" s="38">
        <v>3</v>
      </c>
      <c r="G48" s="52"/>
      <c r="H48" s="52"/>
      <c r="I48" s="52"/>
      <c r="J48" s="52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>
        <v>0.02</v>
      </c>
      <c r="Y48" s="58">
        <v>0.09</v>
      </c>
      <c r="Z48" s="58"/>
      <c r="AA48" s="58"/>
      <c r="AB48" s="58">
        <v>0.89</v>
      </c>
      <c r="AC48" s="58"/>
      <c r="AD48" s="52"/>
      <c r="AE48" s="52"/>
      <c r="AF48" s="52"/>
      <c r="AG48" s="52"/>
      <c r="AH48" s="52"/>
    </row>
    <row r="49" spans="1:34" x14ac:dyDescent="0.35">
      <c r="A49" s="78" t="s">
        <v>157</v>
      </c>
      <c r="B49" s="52" t="s">
        <v>91</v>
      </c>
      <c r="C49" s="52" t="s">
        <v>946</v>
      </c>
      <c r="D49" s="34" t="s">
        <v>92</v>
      </c>
      <c r="E49" s="53">
        <v>1</v>
      </c>
      <c r="F49" s="38">
        <v>3</v>
      </c>
      <c r="G49" s="52"/>
      <c r="H49" s="52"/>
      <c r="I49" s="52"/>
      <c r="J49" s="52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>
        <v>0.02</v>
      </c>
      <c r="Y49" s="58">
        <v>0.09</v>
      </c>
      <c r="Z49" s="58"/>
      <c r="AA49" s="58"/>
      <c r="AB49" s="58">
        <v>0.89</v>
      </c>
      <c r="AC49" s="58"/>
      <c r="AD49" s="52"/>
      <c r="AE49" s="52"/>
      <c r="AF49" s="52"/>
      <c r="AG49" s="52"/>
      <c r="AH49" s="52"/>
    </row>
    <row r="50" spans="1:34" x14ac:dyDescent="0.35">
      <c r="A50" s="78" t="s">
        <v>132</v>
      </c>
      <c r="B50" s="52" t="s">
        <v>134</v>
      </c>
      <c r="C50" s="52" t="s">
        <v>947</v>
      </c>
      <c r="D50" s="34">
        <v>7227</v>
      </c>
      <c r="E50" s="53">
        <v>1</v>
      </c>
      <c r="F50" s="54">
        <v>1</v>
      </c>
      <c r="G50" s="52"/>
      <c r="H50" s="52"/>
      <c r="I50" s="52"/>
      <c r="J50" s="52"/>
      <c r="K50" s="52"/>
      <c r="L50" s="52"/>
      <c r="M50" s="52"/>
      <c r="N50" s="52">
        <v>1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</row>
    <row r="51" spans="1:34" x14ac:dyDescent="0.35">
      <c r="A51" s="78" t="s">
        <v>48</v>
      </c>
      <c r="B51" s="52" t="s">
        <v>50</v>
      </c>
      <c r="C51" s="52" t="s">
        <v>920</v>
      </c>
      <c r="D51" s="34" t="s">
        <v>334</v>
      </c>
      <c r="E51" s="53">
        <v>1</v>
      </c>
      <c r="F51" s="54">
        <v>1</v>
      </c>
      <c r="G51" s="52"/>
      <c r="H51" s="52"/>
      <c r="I51" s="52">
        <v>1</v>
      </c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</row>
  </sheetData>
  <conditionalFormatting sqref="E37">
    <cfRule type="cellIs" dxfId="19" priority="4" operator="notEqual">
      <formula>1</formula>
    </cfRule>
  </conditionalFormatting>
  <conditionalFormatting sqref="F37">
    <cfRule type="cellIs" dxfId="18" priority="3" operator="greaterThan">
      <formula>1</formula>
    </cfRule>
  </conditionalFormatting>
  <conditionalFormatting sqref="E28">
    <cfRule type="cellIs" dxfId="17" priority="2" operator="notEqual">
      <formula>1</formula>
    </cfRule>
  </conditionalFormatting>
  <conditionalFormatting sqref="F28">
    <cfRule type="cellIs" dxfId="16" priority="1" operator="greaterThan">
      <formula>1</formula>
    </cfRule>
  </conditionalFormatting>
  <conditionalFormatting sqref="E5:E27 E31:E36 E38:E46 E29">
    <cfRule type="cellIs" dxfId="15" priority="10" operator="notEqual">
      <formula>1</formula>
    </cfRule>
  </conditionalFormatting>
  <conditionalFormatting sqref="F5:F27 F31:F36 F38:F46 F29">
    <cfRule type="cellIs" dxfId="14" priority="9" operator="greaterThan">
      <formula>1</formula>
    </cfRule>
  </conditionalFormatting>
  <conditionalFormatting sqref="E4">
    <cfRule type="cellIs" dxfId="13" priority="8" operator="notEqual">
      <formula>1</formula>
    </cfRule>
  </conditionalFormatting>
  <conditionalFormatting sqref="F4">
    <cfRule type="cellIs" dxfId="12" priority="7" operator="greaterThan">
      <formula>1</formula>
    </cfRule>
  </conditionalFormatting>
  <conditionalFormatting sqref="E30">
    <cfRule type="cellIs" dxfId="11" priority="6" operator="notEqual">
      <formula>1</formula>
    </cfRule>
  </conditionalFormatting>
  <conditionalFormatting sqref="F30">
    <cfRule type="cellIs" dxfId="10" priority="5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3" max="3" width="40.453125" bestFit="1" customWidth="1"/>
    <col min="4" max="4" width="13.36328125" style="20" bestFit="1" customWidth="1"/>
  </cols>
  <sheetData>
    <row r="1" spans="1:54" x14ac:dyDescent="0.35">
      <c r="A1" s="38"/>
      <c r="B1" s="38" t="s">
        <v>175</v>
      </c>
      <c r="C1" s="39">
        <v>43850</v>
      </c>
      <c r="D1" s="38"/>
      <c r="E1" s="40" t="s">
        <v>30</v>
      </c>
      <c r="F1" s="38"/>
      <c r="G1" s="41" t="s">
        <v>213</v>
      </c>
      <c r="H1" s="41" t="s">
        <v>81</v>
      </c>
      <c r="I1" s="41" t="s">
        <v>81</v>
      </c>
      <c r="J1" s="41" t="s">
        <v>81</v>
      </c>
      <c r="K1" s="41" t="s">
        <v>294</v>
      </c>
      <c r="L1" s="41" t="s">
        <v>215</v>
      </c>
      <c r="M1" s="41" t="s">
        <v>295</v>
      </c>
      <c r="N1" s="41" t="s">
        <v>216</v>
      </c>
      <c r="O1" s="41" t="s">
        <v>296</v>
      </c>
      <c r="P1" s="41" t="s">
        <v>297</v>
      </c>
      <c r="Q1" s="41" t="s">
        <v>297</v>
      </c>
      <c r="R1" s="41" t="s">
        <v>298</v>
      </c>
      <c r="S1" s="41" t="s">
        <v>294</v>
      </c>
      <c r="T1" s="41" t="s">
        <v>299</v>
      </c>
      <c r="U1" s="41" t="s">
        <v>217</v>
      </c>
      <c r="V1" s="41" t="s">
        <v>295</v>
      </c>
      <c r="W1" s="41" t="s">
        <v>297</v>
      </c>
      <c r="X1" s="41" t="s">
        <v>300</v>
      </c>
      <c r="Y1" s="41" t="s">
        <v>301</v>
      </c>
      <c r="Z1" s="41" t="s">
        <v>218</v>
      </c>
      <c r="AA1" s="41" t="s">
        <v>302</v>
      </c>
      <c r="AB1" s="41" t="s">
        <v>81</v>
      </c>
      <c r="AC1" s="41" t="s">
        <v>81</v>
      </c>
      <c r="AD1" s="41" t="s">
        <v>81</v>
      </c>
      <c r="AE1" s="30" t="s">
        <v>305</v>
      </c>
      <c r="AF1" s="42"/>
      <c r="AG1" s="42"/>
      <c r="AH1" s="42"/>
    </row>
    <row r="2" spans="1:54" x14ac:dyDescent="0.35">
      <c r="A2" s="43"/>
      <c r="B2" s="44"/>
      <c r="C2" s="44"/>
      <c r="D2" s="44"/>
      <c r="E2" s="45" t="s">
        <v>219</v>
      </c>
      <c r="F2" s="45"/>
      <c r="G2" s="41" t="s">
        <v>179</v>
      </c>
      <c r="H2" s="41" t="s">
        <v>220</v>
      </c>
      <c r="I2" s="41" t="s">
        <v>915</v>
      </c>
      <c r="J2" s="41" t="s">
        <v>221</v>
      </c>
      <c r="K2" s="41" t="s">
        <v>222</v>
      </c>
      <c r="L2" s="41" t="s">
        <v>223</v>
      </c>
      <c r="M2" s="41" t="s">
        <v>224</v>
      </c>
      <c r="N2" s="41" t="s">
        <v>225</v>
      </c>
      <c r="O2" s="41" t="s">
        <v>226</v>
      </c>
      <c r="P2" s="41" t="s">
        <v>303</v>
      </c>
      <c r="Q2" s="41" t="s">
        <v>227</v>
      </c>
      <c r="R2" s="41" t="s">
        <v>228</v>
      </c>
      <c r="S2" s="41" t="s">
        <v>229</v>
      </c>
      <c r="T2" s="41" t="s">
        <v>230</v>
      </c>
      <c r="U2" s="41" t="s">
        <v>231</v>
      </c>
      <c r="V2" s="41" t="s">
        <v>232</v>
      </c>
      <c r="W2" s="41" t="s">
        <v>261</v>
      </c>
      <c r="X2" s="41" t="s">
        <v>237</v>
      </c>
      <c r="Y2" s="41" t="s">
        <v>233</v>
      </c>
      <c r="Z2" s="41" t="s">
        <v>234</v>
      </c>
      <c r="AA2" s="41" t="s">
        <v>235</v>
      </c>
      <c r="AB2" s="41" t="s">
        <v>180</v>
      </c>
      <c r="AC2" s="41" t="s">
        <v>236</v>
      </c>
      <c r="AD2" s="41" t="s">
        <v>237</v>
      </c>
      <c r="AE2" s="41" t="s">
        <v>304</v>
      </c>
      <c r="AF2" s="42"/>
      <c r="AG2" s="42"/>
      <c r="AH2" s="42"/>
    </row>
    <row r="3" spans="1:54" x14ac:dyDescent="0.35">
      <c r="A3" s="46" t="s">
        <v>176</v>
      </c>
      <c r="B3" s="47" t="s">
        <v>177</v>
      </c>
      <c r="C3" s="47" t="s">
        <v>178</v>
      </c>
      <c r="D3" s="48" t="s">
        <v>201</v>
      </c>
      <c r="E3" s="49">
        <v>48</v>
      </c>
      <c r="F3" s="48" t="s">
        <v>238</v>
      </c>
      <c r="G3" s="50">
        <v>14.89</v>
      </c>
      <c r="H3" s="50">
        <v>2.11</v>
      </c>
      <c r="I3" s="50">
        <v>2</v>
      </c>
      <c r="J3" s="50">
        <v>2</v>
      </c>
      <c r="K3" s="50">
        <v>6.7</v>
      </c>
      <c r="L3" s="50">
        <v>1.33</v>
      </c>
      <c r="M3" s="50">
        <v>1.63</v>
      </c>
      <c r="N3" s="50">
        <v>2</v>
      </c>
      <c r="O3" s="50">
        <v>0.4</v>
      </c>
      <c r="P3" s="50">
        <v>0.18</v>
      </c>
      <c r="Q3" s="50">
        <v>1.01</v>
      </c>
      <c r="R3" s="50">
        <v>0.52</v>
      </c>
      <c r="S3" s="50">
        <v>0.33</v>
      </c>
      <c r="T3" s="50">
        <v>0.34</v>
      </c>
      <c r="U3" s="50">
        <v>2.0099999999999998</v>
      </c>
      <c r="V3" s="50">
        <v>1.18</v>
      </c>
      <c r="W3" s="50">
        <v>0.27</v>
      </c>
      <c r="X3" s="50">
        <v>0.57999999999999996</v>
      </c>
      <c r="Y3" s="50">
        <v>0.76</v>
      </c>
      <c r="Z3" s="50">
        <v>2.88</v>
      </c>
      <c r="AA3" s="50">
        <v>0.9</v>
      </c>
      <c r="AB3" s="50">
        <v>1.88</v>
      </c>
      <c r="AC3" s="50">
        <v>0.1</v>
      </c>
      <c r="AD3" s="50">
        <v>1</v>
      </c>
      <c r="AE3" s="50">
        <v>1</v>
      </c>
      <c r="AF3" s="51"/>
      <c r="AG3" s="51"/>
      <c r="AH3" s="51"/>
    </row>
    <row r="4" spans="1:54" x14ac:dyDescent="0.35">
      <c r="A4" s="77" t="s">
        <v>41</v>
      </c>
      <c r="B4" s="52" t="s">
        <v>42</v>
      </c>
      <c r="C4" s="52" t="s">
        <v>916</v>
      </c>
      <c r="D4" s="34" t="s">
        <v>66</v>
      </c>
      <c r="E4" s="62">
        <v>1</v>
      </c>
      <c r="F4" s="63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>
        <v>2.2737367544323206E-13</v>
      </c>
      <c r="AF4" s="64"/>
      <c r="AG4" s="64"/>
      <c r="AH4" s="64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5">
      <c r="A5" s="52" t="s">
        <v>33</v>
      </c>
      <c r="B5" s="52" t="s">
        <v>36</v>
      </c>
      <c r="C5" s="52" t="s">
        <v>917</v>
      </c>
      <c r="D5" s="34" t="s">
        <v>333</v>
      </c>
      <c r="E5" s="62">
        <v>1</v>
      </c>
      <c r="F5" s="65"/>
      <c r="G5" s="64">
        <v>0</v>
      </c>
      <c r="H5" s="64">
        <v>0</v>
      </c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5">
      <c r="A6" s="52" t="s">
        <v>308</v>
      </c>
      <c r="B6" s="52" t="s">
        <v>163</v>
      </c>
      <c r="C6" s="52" t="s">
        <v>918</v>
      </c>
      <c r="D6" s="34" t="s">
        <v>164</v>
      </c>
      <c r="E6" s="62">
        <v>1</v>
      </c>
      <c r="F6" s="65"/>
      <c r="G6" s="64">
        <v>0</v>
      </c>
      <c r="H6" s="64">
        <v>0</v>
      </c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5">
      <c r="A7" s="52" t="s">
        <v>262</v>
      </c>
      <c r="B7" s="34" t="s">
        <v>239</v>
      </c>
      <c r="C7" s="52" t="s">
        <v>919</v>
      </c>
      <c r="D7" s="34" t="s">
        <v>335</v>
      </c>
      <c r="E7" s="62">
        <v>1</v>
      </c>
      <c r="F7" s="63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x14ac:dyDescent="0.35">
      <c r="A8" s="52" t="s">
        <v>77</v>
      </c>
      <c r="B8" s="52" t="s">
        <v>80</v>
      </c>
      <c r="C8" s="52" t="s">
        <v>920</v>
      </c>
      <c r="D8" s="34" t="s">
        <v>334</v>
      </c>
      <c r="E8" s="62">
        <v>1</v>
      </c>
      <c r="F8" s="63"/>
      <c r="G8" s="64"/>
      <c r="H8" s="64"/>
      <c r="I8" s="64">
        <v>0</v>
      </c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</row>
    <row r="9" spans="1:54" x14ac:dyDescent="0.35">
      <c r="A9" s="52" t="s">
        <v>43</v>
      </c>
      <c r="B9" s="52" t="s">
        <v>45</v>
      </c>
      <c r="C9" s="52" t="s">
        <v>921</v>
      </c>
      <c r="D9" s="34" t="s">
        <v>335</v>
      </c>
      <c r="E9" s="62">
        <v>1</v>
      </c>
      <c r="F9" s="63"/>
      <c r="G9" s="64">
        <v>0</v>
      </c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</row>
    <row r="10" spans="1:54" x14ac:dyDescent="0.35">
      <c r="A10" s="52" t="s">
        <v>922</v>
      </c>
      <c r="B10" s="52" t="s">
        <v>45</v>
      </c>
      <c r="C10" s="52" t="s">
        <v>921</v>
      </c>
      <c r="D10" s="34" t="s">
        <v>335</v>
      </c>
      <c r="E10" s="62">
        <v>1</v>
      </c>
      <c r="F10" s="63"/>
      <c r="G10" s="64">
        <v>0</v>
      </c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</row>
    <row r="11" spans="1:54" x14ac:dyDescent="0.35">
      <c r="A11" s="52" t="s">
        <v>923</v>
      </c>
      <c r="B11" s="52" t="s">
        <v>45</v>
      </c>
      <c r="C11" s="52" t="s">
        <v>921</v>
      </c>
      <c r="D11" s="34" t="s">
        <v>335</v>
      </c>
      <c r="E11" s="62">
        <v>1</v>
      </c>
      <c r="F11" s="63"/>
      <c r="G11" s="64">
        <v>0</v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</row>
    <row r="12" spans="1:54" x14ac:dyDescent="0.35">
      <c r="A12" s="52" t="s">
        <v>109</v>
      </c>
      <c r="B12" s="52" t="s">
        <v>113</v>
      </c>
      <c r="C12" s="52" t="s">
        <v>924</v>
      </c>
      <c r="D12" s="34" t="s">
        <v>336</v>
      </c>
      <c r="E12" s="62">
        <v>1</v>
      </c>
      <c r="F12" s="63"/>
      <c r="G12" s="64"/>
      <c r="H12" s="64"/>
      <c r="I12" s="64"/>
      <c r="J12" s="64"/>
      <c r="K12" s="64">
        <v>0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</row>
    <row r="13" spans="1:54" x14ac:dyDescent="0.35">
      <c r="A13" s="52" t="s">
        <v>97</v>
      </c>
      <c r="B13" s="52" t="s">
        <v>98</v>
      </c>
      <c r="C13" s="52" t="s">
        <v>925</v>
      </c>
      <c r="D13" s="34" t="s">
        <v>106</v>
      </c>
      <c r="E13" s="62">
        <v>1</v>
      </c>
      <c r="F13" s="63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</row>
    <row r="14" spans="1:54" x14ac:dyDescent="0.35">
      <c r="A14" s="52" t="s">
        <v>58</v>
      </c>
      <c r="B14" s="52" t="s">
        <v>60</v>
      </c>
      <c r="C14" s="52" t="s">
        <v>926</v>
      </c>
      <c r="D14" s="34" t="s">
        <v>329</v>
      </c>
      <c r="E14" s="62">
        <v>1</v>
      </c>
      <c r="F14" s="65"/>
      <c r="G14" s="64">
        <v>0</v>
      </c>
      <c r="H14" s="64">
        <v>0</v>
      </c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</row>
    <row r="15" spans="1:54" x14ac:dyDescent="0.35">
      <c r="A15" s="52" t="s">
        <v>82</v>
      </c>
      <c r="B15" s="52" t="s">
        <v>86</v>
      </c>
      <c r="C15" s="52" t="s">
        <v>927</v>
      </c>
      <c r="D15" s="34" t="s">
        <v>66</v>
      </c>
      <c r="E15" s="62">
        <v>1</v>
      </c>
      <c r="F15" s="63"/>
      <c r="G15" s="64"/>
      <c r="H15" s="64"/>
      <c r="I15" s="64"/>
      <c r="J15" s="64">
        <v>0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</row>
    <row r="16" spans="1:54" x14ac:dyDescent="0.35">
      <c r="A16" s="52" t="s">
        <v>150</v>
      </c>
      <c r="B16" s="52" t="s">
        <v>154</v>
      </c>
      <c r="C16" s="52" t="s">
        <v>928</v>
      </c>
      <c r="D16" s="34" t="s">
        <v>155</v>
      </c>
      <c r="E16" s="62">
        <v>1</v>
      </c>
      <c r="F16" s="65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>
        <v>0</v>
      </c>
      <c r="AB16" s="64"/>
      <c r="AC16" s="64">
        <v>-1.1368683772161603E-13</v>
      </c>
      <c r="AD16" s="64"/>
      <c r="AE16" s="64"/>
      <c r="AF16" s="64"/>
      <c r="AG16" s="64"/>
      <c r="AH16" s="64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</row>
    <row r="17" spans="1:54" x14ac:dyDescent="0.35">
      <c r="A17" s="52" t="s">
        <v>125</v>
      </c>
      <c r="B17" s="52" t="s">
        <v>129</v>
      </c>
      <c r="C17" s="52" t="s">
        <v>929</v>
      </c>
      <c r="D17" s="34">
        <v>7225</v>
      </c>
      <c r="E17" s="62">
        <v>1</v>
      </c>
      <c r="F17" s="65"/>
      <c r="G17" s="64"/>
      <c r="H17" s="64"/>
      <c r="I17" s="64"/>
      <c r="J17" s="64"/>
      <c r="K17" s="64"/>
      <c r="L17" s="64">
        <v>0</v>
      </c>
      <c r="M17" s="64">
        <v>0</v>
      </c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</row>
    <row r="18" spans="1:54" x14ac:dyDescent="0.35">
      <c r="A18" s="52" t="s">
        <v>38</v>
      </c>
      <c r="B18" s="52" t="s">
        <v>40</v>
      </c>
      <c r="C18" s="52" t="s">
        <v>927</v>
      </c>
      <c r="D18" s="34" t="s">
        <v>66</v>
      </c>
      <c r="E18" s="62">
        <v>1</v>
      </c>
      <c r="F18" s="63"/>
      <c r="G18" s="64"/>
      <c r="H18" s="64"/>
      <c r="I18" s="64"/>
      <c r="J18" s="64">
        <v>0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</row>
    <row r="19" spans="1:54" x14ac:dyDescent="0.35">
      <c r="A19" s="52" t="s">
        <v>263</v>
      </c>
      <c r="B19" s="34" t="s">
        <v>240</v>
      </c>
      <c r="C19" s="52" t="s">
        <v>930</v>
      </c>
      <c r="D19" s="34" t="s">
        <v>320</v>
      </c>
      <c r="E19" s="62">
        <v>1</v>
      </c>
      <c r="F19" s="65"/>
      <c r="G19" s="64"/>
      <c r="H19" s="64"/>
      <c r="I19" s="64"/>
      <c r="J19" s="64"/>
      <c r="K19" s="64"/>
      <c r="L19" s="64"/>
      <c r="M19" s="64"/>
      <c r="N19" s="64"/>
      <c r="O19" s="66">
        <v>0</v>
      </c>
      <c r="P19" s="66"/>
      <c r="Q19" s="66">
        <v>0</v>
      </c>
      <c r="R19" s="66">
        <v>0</v>
      </c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</row>
    <row r="20" spans="1:54" x14ac:dyDescent="0.35">
      <c r="A20" s="77" t="s">
        <v>952</v>
      </c>
      <c r="B20" s="52" t="s">
        <v>149</v>
      </c>
      <c r="C20" s="52" t="s">
        <v>931</v>
      </c>
      <c r="D20" s="34">
        <v>7228</v>
      </c>
      <c r="E20" s="62">
        <v>1</v>
      </c>
      <c r="F20" s="65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7"/>
      <c r="U20" s="67"/>
      <c r="V20" s="67"/>
      <c r="W20" s="67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</row>
    <row r="21" spans="1:54" x14ac:dyDescent="0.35">
      <c r="A21" s="52" t="s">
        <v>72</v>
      </c>
      <c r="B21" s="52" t="s">
        <v>73</v>
      </c>
      <c r="C21" s="52" t="s">
        <v>916</v>
      </c>
      <c r="D21" s="34" t="s">
        <v>66</v>
      </c>
      <c r="E21" s="62">
        <v>1</v>
      </c>
      <c r="F21" s="63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</row>
    <row r="22" spans="1:54" x14ac:dyDescent="0.35">
      <c r="A22" s="52" t="s">
        <v>135</v>
      </c>
      <c r="B22" s="52" t="s">
        <v>137</v>
      </c>
      <c r="C22" s="52" t="s">
        <v>932</v>
      </c>
      <c r="D22" s="34">
        <v>7226</v>
      </c>
      <c r="E22" s="62">
        <v>1</v>
      </c>
      <c r="F22" s="63"/>
      <c r="G22" s="64"/>
      <c r="H22" s="64"/>
      <c r="I22" s="64"/>
      <c r="J22" s="64"/>
      <c r="K22" s="64"/>
      <c r="L22" s="64">
        <v>0</v>
      </c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</row>
    <row r="23" spans="1:54" x14ac:dyDescent="0.35">
      <c r="A23" s="52" t="s">
        <v>68</v>
      </c>
      <c r="B23" s="52" t="s">
        <v>69</v>
      </c>
      <c r="C23" s="52" t="s">
        <v>933</v>
      </c>
      <c r="D23" s="34" t="s">
        <v>66</v>
      </c>
      <c r="E23" s="62">
        <v>1</v>
      </c>
      <c r="F23" s="63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</row>
    <row r="24" spans="1:54" x14ac:dyDescent="0.35">
      <c r="A24" s="52" t="s">
        <v>116</v>
      </c>
      <c r="B24" s="52" t="s">
        <v>118</v>
      </c>
      <c r="C24" s="52" t="s">
        <v>924</v>
      </c>
      <c r="D24" s="34" t="s">
        <v>336</v>
      </c>
      <c r="E24" s="62">
        <v>1</v>
      </c>
      <c r="F24" s="63"/>
      <c r="G24" s="64">
        <v>0</v>
      </c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</row>
    <row r="25" spans="1:54" x14ac:dyDescent="0.35">
      <c r="A25" s="52" t="s">
        <v>122</v>
      </c>
      <c r="B25" s="52" t="s">
        <v>124</v>
      </c>
      <c r="C25" s="52" t="s">
        <v>924</v>
      </c>
      <c r="D25" s="34" t="s">
        <v>336</v>
      </c>
      <c r="E25" s="62">
        <v>1</v>
      </c>
      <c r="F25" s="63"/>
      <c r="G25" s="64"/>
      <c r="H25" s="64"/>
      <c r="I25" s="64"/>
      <c r="J25" s="64"/>
      <c r="K25" s="64">
        <v>0</v>
      </c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</row>
    <row r="26" spans="1:54" x14ac:dyDescent="0.35">
      <c r="A26" s="52" t="s">
        <v>143</v>
      </c>
      <c r="B26" s="52" t="s">
        <v>148</v>
      </c>
      <c r="C26" s="52" t="s">
        <v>934</v>
      </c>
      <c r="D26" s="34" t="s">
        <v>320</v>
      </c>
      <c r="E26" s="62">
        <v>1</v>
      </c>
      <c r="F26" s="65"/>
      <c r="G26" s="64"/>
      <c r="H26" s="64"/>
      <c r="I26" s="64"/>
      <c r="J26" s="64"/>
      <c r="K26" s="64"/>
      <c r="L26" s="64"/>
      <c r="M26" s="64"/>
      <c r="N26" s="64"/>
      <c r="O26" s="68">
        <v>0</v>
      </c>
      <c r="P26" s="68">
        <v>0</v>
      </c>
      <c r="Q26" s="68">
        <v>0</v>
      </c>
      <c r="R26" s="68">
        <v>0</v>
      </c>
      <c r="S26" s="68">
        <v>0</v>
      </c>
      <c r="T26" s="68"/>
      <c r="U26" s="68"/>
      <c r="V26" s="68"/>
      <c r="W26" s="68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</row>
    <row r="27" spans="1:54" x14ac:dyDescent="0.35">
      <c r="A27" s="52" t="s">
        <v>70</v>
      </c>
      <c r="B27" s="52" t="s">
        <v>71</v>
      </c>
      <c r="C27" s="52" t="s">
        <v>921</v>
      </c>
      <c r="D27" s="34" t="s">
        <v>335</v>
      </c>
      <c r="E27" s="62">
        <v>1</v>
      </c>
      <c r="F27" s="63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</row>
    <row r="28" spans="1:54" x14ac:dyDescent="0.35">
      <c r="A28" s="52" t="s">
        <v>140</v>
      </c>
      <c r="B28" s="52" t="s">
        <v>142</v>
      </c>
      <c r="C28" s="52" t="s">
        <v>935</v>
      </c>
      <c r="D28" s="34" t="s">
        <v>106</v>
      </c>
      <c r="E28" s="62">
        <v>1</v>
      </c>
      <c r="F28" s="63"/>
      <c r="G28" s="64"/>
      <c r="H28" s="64"/>
      <c r="I28" s="64"/>
      <c r="J28" s="64"/>
      <c r="K28" s="64"/>
      <c r="L28" s="64"/>
      <c r="M28" s="64"/>
      <c r="N28" s="64">
        <v>0</v>
      </c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</row>
    <row r="29" spans="1:54" x14ac:dyDescent="0.35">
      <c r="A29" s="52" t="s">
        <v>314</v>
      </c>
      <c r="B29" s="34" t="s">
        <v>181</v>
      </c>
      <c r="C29" s="52" t="s">
        <v>936</v>
      </c>
      <c r="D29" s="34" t="s">
        <v>337</v>
      </c>
      <c r="E29" s="62">
        <v>1</v>
      </c>
      <c r="F29" s="65"/>
      <c r="G29" s="64"/>
      <c r="H29" s="64"/>
      <c r="I29" s="64"/>
      <c r="J29" s="64"/>
      <c r="K29" s="69">
        <v>0</v>
      </c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>
        <v>0</v>
      </c>
      <c r="AC29" s="69"/>
      <c r="AD29" s="64"/>
      <c r="AE29" s="64"/>
      <c r="AF29" s="64"/>
      <c r="AG29" s="64"/>
      <c r="AH29" s="64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</row>
    <row r="30" spans="1:54" x14ac:dyDescent="0.35">
      <c r="A30" s="52" t="s">
        <v>264</v>
      </c>
      <c r="B30" s="34" t="s">
        <v>181</v>
      </c>
      <c r="C30" s="52" t="s">
        <v>936</v>
      </c>
      <c r="D30" s="34" t="s">
        <v>337</v>
      </c>
      <c r="E30" s="62">
        <v>1</v>
      </c>
      <c r="F30" s="65"/>
      <c r="G30" s="64"/>
      <c r="H30" s="64"/>
      <c r="I30" s="64"/>
      <c r="J30" s="64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4"/>
      <c r="AE30" s="64"/>
      <c r="AF30" s="64"/>
      <c r="AG30" s="64"/>
      <c r="AH30" s="64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</row>
    <row r="31" spans="1:54" x14ac:dyDescent="0.35">
      <c r="A31" s="52" t="s">
        <v>312</v>
      </c>
      <c r="B31" s="52" t="s">
        <v>105</v>
      </c>
      <c r="C31" s="52" t="s">
        <v>937</v>
      </c>
      <c r="D31" s="34" t="s">
        <v>330</v>
      </c>
      <c r="E31" s="62">
        <v>1</v>
      </c>
      <c r="F31" s="63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70"/>
      <c r="Z31" s="70">
        <v>0</v>
      </c>
      <c r="AA31" s="70"/>
      <c r="AB31" s="70"/>
      <c r="AC31" s="70"/>
      <c r="AD31" s="70"/>
      <c r="AE31" s="70"/>
      <c r="AF31" s="64"/>
      <c r="AG31" s="64"/>
      <c r="AH31" s="64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</row>
    <row r="32" spans="1:54" x14ac:dyDescent="0.35">
      <c r="A32" s="52" t="s">
        <v>101</v>
      </c>
      <c r="B32" s="52" t="s">
        <v>105</v>
      </c>
      <c r="C32" s="52" t="s">
        <v>937</v>
      </c>
      <c r="D32" s="34" t="s">
        <v>330</v>
      </c>
      <c r="E32" s="62">
        <v>1</v>
      </c>
      <c r="F32" s="63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70"/>
      <c r="Z32" s="70">
        <v>0</v>
      </c>
      <c r="AA32" s="70"/>
      <c r="AB32" s="70"/>
      <c r="AC32" s="70"/>
      <c r="AD32" s="70"/>
      <c r="AE32" s="70"/>
      <c r="AF32" s="64"/>
      <c r="AG32" s="64"/>
      <c r="AH32" s="64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</row>
    <row r="33" spans="1:54" x14ac:dyDescent="0.35">
      <c r="A33" s="77" t="s">
        <v>41</v>
      </c>
      <c r="B33" s="34" t="s">
        <v>182</v>
      </c>
      <c r="C33" s="52" t="s">
        <v>938</v>
      </c>
      <c r="D33" s="34" t="s">
        <v>331</v>
      </c>
      <c r="E33" s="62">
        <v>1</v>
      </c>
      <c r="F33" s="65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</row>
    <row r="34" spans="1:54" x14ac:dyDescent="0.35">
      <c r="A34" s="52" t="s">
        <v>939</v>
      </c>
      <c r="B34" s="34" t="s">
        <v>182</v>
      </c>
      <c r="C34" s="52" t="s">
        <v>938</v>
      </c>
      <c r="D34" s="34" t="s">
        <v>331</v>
      </c>
      <c r="E34" s="62">
        <v>1</v>
      </c>
      <c r="F34" s="65"/>
      <c r="G34" s="64">
        <v>0</v>
      </c>
      <c r="H34" s="64">
        <v>0</v>
      </c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</row>
    <row r="35" spans="1:54" x14ac:dyDescent="0.35">
      <c r="A35" s="52" t="s">
        <v>309</v>
      </c>
      <c r="B35" s="34" t="s">
        <v>184</v>
      </c>
      <c r="C35" s="52" t="s">
        <v>916</v>
      </c>
      <c r="D35" s="34" t="s">
        <v>66</v>
      </c>
      <c r="E35" s="62">
        <v>1</v>
      </c>
      <c r="F35" s="63"/>
      <c r="G35" s="64">
        <v>0</v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</row>
    <row r="36" spans="1:54" x14ac:dyDescent="0.35">
      <c r="A36" s="52" t="s">
        <v>119</v>
      </c>
      <c r="B36" s="52" t="s">
        <v>121</v>
      </c>
      <c r="C36" s="52" t="s">
        <v>940</v>
      </c>
      <c r="D36" s="34" t="s">
        <v>329</v>
      </c>
      <c r="E36" s="62">
        <v>1</v>
      </c>
      <c r="F36" s="63"/>
      <c r="G36" s="64"/>
      <c r="H36" s="64"/>
      <c r="I36" s="64"/>
      <c r="J36" s="64"/>
      <c r="K36" s="64">
        <v>0</v>
      </c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</row>
    <row r="37" spans="1:54" x14ac:dyDescent="0.35">
      <c r="A37" s="77" t="s">
        <v>41</v>
      </c>
      <c r="B37" s="34" t="s">
        <v>183</v>
      </c>
      <c r="C37" s="52" t="s">
        <v>941</v>
      </c>
      <c r="D37" s="34" t="s">
        <v>51</v>
      </c>
      <c r="E37" s="62">
        <v>1</v>
      </c>
      <c r="F37" s="63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</row>
    <row r="38" spans="1:54" x14ac:dyDescent="0.35">
      <c r="A38" s="77" t="s">
        <v>953</v>
      </c>
      <c r="B38" s="34" t="s">
        <v>241</v>
      </c>
      <c r="C38" s="52" t="s">
        <v>942</v>
      </c>
      <c r="D38" s="34" t="s">
        <v>328</v>
      </c>
      <c r="E38" s="62">
        <v>1</v>
      </c>
      <c r="F38" s="63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</row>
    <row r="39" spans="1:54" x14ac:dyDescent="0.35">
      <c r="A39" s="77" t="s">
        <v>111</v>
      </c>
      <c r="B39" s="52" t="s">
        <v>161</v>
      </c>
      <c r="C39" s="52" t="s">
        <v>943</v>
      </c>
      <c r="D39" s="34" t="s">
        <v>130</v>
      </c>
      <c r="E39" s="62">
        <v>1</v>
      </c>
      <c r="F39" s="65"/>
      <c r="G39" s="64"/>
      <c r="H39" s="64"/>
      <c r="I39" s="64"/>
      <c r="J39" s="64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</row>
    <row r="40" spans="1:54" x14ac:dyDescent="0.35">
      <c r="A40" s="77" t="s">
        <v>127</v>
      </c>
      <c r="B40" s="52" t="s">
        <v>161</v>
      </c>
      <c r="C40" s="52" t="s">
        <v>943</v>
      </c>
      <c r="D40" s="34" t="s">
        <v>130</v>
      </c>
      <c r="E40" s="62">
        <v>1</v>
      </c>
      <c r="F40" s="65"/>
      <c r="G40" s="64"/>
      <c r="H40" s="64"/>
      <c r="I40" s="64"/>
      <c r="J40" s="64"/>
      <c r="K40" s="71">
        <v>0</v>
      </c>
      <c r="L40" s="71"/>
      <c r="M40" s="71">
        <v>0</v>
      </c>
      <c r="N40" s="71"/>
      <c r="O40" s="71"/>
      <c r="P40" s="71"/>
      <c r="Q40" s="71">
        <v>0</v>
      </c>
      <c r="R40" s="71">
        <v>7.1054273576010019E-15</v>
      </c>
      <c r="S40" s="71">
        <v>3.5527136788005009E-15</v>
      </c>
      <c r="T40" s="71">
        <v>0</v>
      </c>
      <c r="U40" s="71">
        <v>0</v>
      </c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</row>
    <row r="41" spans="1:54" x14ac:dyDescent="0.35">
      <c r="A41" s="77" t="s">
        <v>317</v>
      </c>
      <c r="B41" s="52" t="s">
        <v>161</v>
      </c>
      <c r="C41" s="52" t="s">
        <v>943</v>
      </c>
      <c r="D41" s="34" t="s">
        <v>130</v>
      </c>
      <c r="E41" s="62">
        <v>1</v>
      </c>
      <c r="F41" s="65"/>
      <c r="G41" s="64"/>
      <c r="H41" s="64"/>
      <c r="I41" s="64"/>
      <c r="J41" s="64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</row>
    <row r="42" spans="1:54" x14ac:dyDescent="0.35">
      <c r="A42" s="77" t="s">
        <v>950</v>
      </c>
      <c r="B42" s="52" t="s">
        <v>161</v>
      </c>
      <c r="C42" s="52" t="s">
        <v>943</v>
      </c>
      <c r="D42" s="34" t="s">
        <v>130</v>
      </c>
      <c r="E42" s="62">
        <v>1</v>
      </c>
      <c r="F42" s="65"/>
      <c r="G42" s="64"/>
      <c r="H42" s="64"/>
      <c r="I42" s="64"/>
      <c r="J42" s="64"/>
      <c r="K42" s="71">
        <v>0</v>
      </c>
      <c r="L42" s="71"/>
      <c r="M42" s="71">
        <v>-1.1368683772161603E-13</v>
      </c>
      <c r="N42" s="71"/>
      <c r="O42" s="71"/>
      <c r="P42" s="71"/>
      <c r="Q42" s="71">
        <v>0</v>
      </c>
      <c r="R42" s="71">
        <v>0</v>
      </c>
      <c r="S42" s="71">
        <v>0</v>
      </c>
      <c r="T42" s="71">
        <v>-2.8421709430404007E-14</v>
      </c>
      <c r="U42" s="71">
        <v>0</v>
      </c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</row>
    <row r="43" spans="1:54" x14ac:dyDescent="0.35">
      <c r="A43" s="52" t="s">
        <v>94</v>
      </c>
      <c r="B43" s="52" t="s">
        <v>96</v>
      </c>
      <c r="C43" s="52" t="s">
        <v>944</v>
      </c>
      <c r="D43" s="34" t="s">
        <v>61</v>
      </c>
      <c r="E43" s="62">
        <v>1</v>
      </c>
      <c r="F43" s="65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72">
        <v>0</v>
      </c>
      <c r="Y43" s="72">
        <v>5.6843418860808015E-14</v>
      </c>
      <c r="Z43" s="72">
        <v>0</v>
      </c>
      <c r="AA43" s="64"/>
      <c r="AB43" s="64"/>
      <c r="AC43" s="64"/>
      <c r="AD43" s="64"/>
      <c r="AE43" s="64"/>
      <c r="AF43" s="64"/>
      <c r="AG43" s="64"/>
      <c r="AH43" s="64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</row>
    <row r="44" spans="1:54" x14ac:dyDescent="0.35">
      <c r="A44" s="52" t="s">
        <v>108</v>
      </c>
      <c r="B44" s="52" t="s">
        <v>96</v>
      </c>
      <c r="C44" s="52" t="s">
        <v>944</v>
      </c>
      <c r="D44" s="34" t="s">
        <v>61</v>
      </c>
      <c r="E44" s="62">
        <v>1</v>
      </c>
      <c r="F44" s="65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72">
        <v>0</v>
      </c>
      <c r="Y44" s="72">
        <v>0</v>
      </c>
      <c r="Z44" s="72">
        <v>0</v>
      </c>
      <c r="AA44" s="64"/>
      <c r="AB44" s="64"/>
      <c r="AC44" s="64"/>
      <c r="AD44" s="64"/>
      <c r="AE44" s="64"/>
      <c r="AF44" s="64"/>
      <c r="AG44" s="64"/>
      <c r="AH44" s="64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</row>
    <row r="45" spans="1:54" x14ac:dyDescent="0.35">
      <c r="A45" s="52" t="s">
        <v>63</v>
      </c>
      <c r="B45" s="52" t="s">
        <v>65</v>
      </c>
      <c r="C45" s="52" t="s">
        <v>916</v>
      </c>
      <c r="D45" s="34" t="s">
        <v>66</v>
      </c>
      <c r="E45" s="62">
        <v>1</v>
      </c>
      <c r="F45" s="63"/>
      <c r="G45" s="64">
        <v>0</v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</row>
    <row r="46" spans="1:54" x14ac:dyDescent="0.35">
      <c r="A46" s="52" t="s">
        <v>74</v>
      </c>
      <c r="B46" s="52" t="s">
        <v>76</v>
      </c>
      <c r="C46" s="52" t="s">
        <v>921</v>
      </c>
      <c r="D46" s="34" t="s">
        <v>335</v>
      </c>
      <c r="E46" s="62">
        <v>1</v>
      </c>
      <c r="F46" s="63"/>
      <c r="G46" s="64">
        <v>0</v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</row>
    <row r="47" spans="1:54" x14ac:dyDescent="0.35">
      <c r="A47" s="52" t="s">
        <v>53</v>
      </c>
      <c r="B47" s="52" t="s">
        <v>55</v>
      </c>
      <c r="C47" s="52" t="s">
        <v>945</v>
      </c>
      <c r="D47" s="34" t="s">
        <v>332</v>
      </c>
      <c r="E47" s="62">
        <v>1</v>
      </c>
      <c r="F47" s="65"/>
      <c r="G47" s="64">
        <v>0</v>
      </c>
      <c r="H47" s="64">
        <v>0</v>
      </c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</row>
    <row r="48" spans="1:54" x14ac:dyDescent="0.35">
      <c r="A48" s="52" t="s">
        <v>87</v>
      </c>
      <c r="B48" s="52" t="s">
        <v>91</v>
      </c>
      <c r="C48" s="52" t="s">
        <v>946</v>
      </c>
      <c r="D48" s="34" t="s">
        <v>92</v>
      </c>
      <c r="E48" s="62">
        <v>1</v>
      </c>
      <c r="F48" s="65"/>
      <c r="G48" s="64"/>
      <c r="H48" s="64"/>
      <c r="I48" s="64"/>
      <c r="J48" s="64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>
        <v>0</v>
      </c>
      <c r="Y48" s="69">
        <v>0</v>
      </c>
      <c r="Z48" s="69"/>
      <c r="AA48" s="69"/>
      <c r="AB48" s="69">
        <v>0</v>
      </c>
      <c r="AC48" s="69"/>
      <c r="AD48" s="64"/>
      <c r="AE48" s="64"/>
      <c r="AF48" s="64"/>
      <c r="AG48" s="64"/>
      <c r="AH48" s="64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</row>
    <row r="49" spans="1:54" x14ac:dyDescent="0.35">
      <c r="A49" s="52" t="s">
        <v>157</v>
      </c>
      <c r="B49" s="52" t="s">
        <v>91</v>
      </c>
      <c r="C49" s="52" t="s">
        <v>946</v>
      </c>
      <c r="D49" s="34" t="s">
        <v>92</v>
      </c>
      <c r="E49" s="62">
        <v>1</v>
      </c>
      <c r="F49" s="65"/>
      <c r="G49" s="64"/>
      <c r="H49" s="64"/>
      <c r="I49" s="64"/>
      <c r="J49" s="64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>
        <v>0</v>
      </c>
      <c r="Y49" s="69">
        <v>0</v>
      </c>
      <c r="Z49" s="69"/>
      <c r="AA49" s="69"/>
      <c r="AB49" s="69">
        <v>0</v>
      </c>
      <c r="AC49" s="69"/>
      <c r="AD49" s="64"/>
      <c r="AE49" s="64"/>
      <c r="AF49" s="64"/>
      <c r="AG49" s="64"/>
      <c r="AH49" s="64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</row>
    <row r="50" spans="1:54" x14ac:dyDescent="0.35">
      <c r="A50" s="52" t="s">
        <v>132</v>
      </c>
      <c r="B50" s="52" t="s">
        <v>134</v>
      </c>
      <c r="C50" s="52" t="s">
        <v>947</v>
      </c>
      <c r="D50" s="34">
        <v>7227</v>
      </c>
      <c r="E50" s="62">
        <v>1</v>
      </c>
      <c r="F50" s="63"/>
      <c r="G50" s="64"/>
      <c r="H50" s="64"/>
      <c r="I50" s="64"/>
      <c r="J50" s="64"/>
      <c r="K50" s="64"/>
      <c r="L50" s="64"/>
      <c r="M50" s="64"/>
      <c r="N50" s="64">
        <v>0</v>
      </c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</row>
    <row r="51" spans="1:54" x14ac:dyDescent="0.35">
      <c r="A51" s="52" t="s">
        <v>48</v>
      </c>
      <c r="B51" s="52" t="s">
        <v>50</v>
      </c>
      <c r="C51" s="52" t="s">
        <v>920</v>
      </c>
      <c r="D51" s="34" t="s">
        <v>334</v>
      </c>
      <c r="E51" s="62">
        <v>1</v>
      </c>
      <c r="F51" s="63"/>
      <c r="G51" s="64"/>
      <c r="H51" s="64"/>
      <c r="I51" s="64">
        <v>0</v>
      </c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</row>
    <row r="52" spans="1:54" x14ac:dyDescent="0.35"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</row>
    <row r="53" spans="1:54" x14ac:dyDescent="0.35"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</row>
    <row r="54" spans="1:54" x14ac:dyDescent="0.35"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</row>
    <row r="55" spans="1:54" x14ac:dyDescent="0.35"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</row>
    <row r="56" spans="1:54" x14ac:dyDescent="0.35"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</row>
    <row r="57" spans="1:54" x14ac:dyDescent="0.35"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</row>
    <row r="58" spans="1:54" x14ac:dyDescent="0.35"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</row>
    <row r="59" spans="1:54" x14ac:dyDescent="0.35"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</row>
    <row r="60" spans="1:54" x14ac:dyDescent="0.35"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</row>
    <row r="61" spans="1:54" x14ac:dyDescent="0.35"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</row>
    <row r="62" spans="1:54" x14ac:dyDescent="0.35"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</row>
    <row r="63" spans="1:54" x14ac:dyDescent="0.35"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</row>
    <row r="64" spans="1:54" x14ac:dyDescent="0.35"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</row>
    <row r="65" spans="5:54" x14ac:dyDescent="0.35"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</row>
    <row r="66" spans="5:54" x14ac:dyDescent="0.35"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</row>
    <row r="67" spans="5:54" x14ac:dyDescent="0.35"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</row>
    <row r="68" spans="5:54" x14ac:dyDescent="0.35"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</row>
    <row r="69" spans="5:54" x14ac:dyDescent="0.35"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</row>
    <row r="70" spans="5:54" x14ac:dyDescent="0.35"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</row>
    <row r="71" spans="5:54" x14ac:dyDescent="0.35"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</row>
    <row r="72" spans="5:54" x14ac:dyDescent="0.35"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</row>
    <row r="73" spans="5:54" x14ac:dyDescent="0.35"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</row>
    <row r="74" spans="5:54" x14ac:dyDescent="0.35"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</row>
    <row r="75" spans="5:54" x14ac:dyDescent="0.35"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</row>
    <row r="76" spans="5:54" x14ac:dyDescent="0.35"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</row>
    <row r="77" spans="5:54" x14ac:dyDescent="0.35"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</row>
    <row r="78" spans="5:54" x14ac:dyDescent="0.35"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</row>
    <row r="79" spans="5:54" x14ac:dyDescent="0.35"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</row>
    <row r="80" spans="5:54" x14ac:dyDescent="0.35"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</row>
    <row r="81" spans="5:54" x14ac:dyDescent="0.35"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</row>
    <row r="82" spans="5:54" x14ac:dyDescent="0.35"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</row>
    <row r="83" spans="5:54" x14ac:dyDescent="0.35"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</row>
    <row r="84" spans="5:54" x14ac:dyDescent="0.35"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</row>
    <row r="85" spans="5:54" x14ac:dyDescent="0.35"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</row>
    <row r="86" spans="5:54" x14ac:dyDescent="0.35"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</row>
    <row r="87" spans="5:54" x14ac:dyDescent="0.35"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</row>
    <row r="88" spans="5:54" x14ac:dyDescent="0.35"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</row>
    <row r="89" spans="5:54" x14ac:dyDescent="0.35"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</row>
    <row r="90" spans="5:54" x14ac:dyDescent="0.35"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</row>
    <row r="91" spans="5:54" x14ac:dyDescent="0.35"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</row>
    <row r="92" spans="5:54" x14ac:dyDescent="0.35"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</row>
    <row r="93" spans="5:54" x14ac:dyDescent="0.35"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</row>
    <row r="94" spans="5:54" x14ac:dyDescent="0.35"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</row>
    <row r="95" spans="5:54" x14ac:dyDescent="0.35"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</row>
    <row r="96" spans="5:54" x14ac:dyDescent="0.35"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</row>
    <row r="97" spans="5:54" x14ac:dyDescent="0.35"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</row>
    <row r="98" spans="5:54" x14ac:dyDescent="0.35"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</row>
    <row r="99" spans="5:54" x14ac:dyDescent="0.35"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</row>
    <row r="100" spans="5:54" x14ac:dyDescent="0.35"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</row>
    <row r="101" spans="5:54" x14ac:dyDescent="0.35"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</row>
    <row r="102" spans="5:54" x14ac:dyDescent="0.35"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</row>
    <row r="103" spans="5:54" x14ac:dyDescent="0.35"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</row>
    <row r="104" spans="5:54" x14ac:dyDescent="0.35"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</row>
    <row r="105" spans="5:54" x14ac:dyDescent="0.35"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</row>
    <row r="106" spans="5:54" x14ac:dyDescent="0.35"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</row>
    <row r="107" spans="5:54" x14ac:dyDescent="0.35"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</row>
    <row r="108" spans="5:54" x14ac:dyDescent="0.35"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</row>
    <row r="109" spans="5:54" x14ac:dyDescent="0.35"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</row>
    <row r="110" spans="5:54" x14ac:dyDescent="0.35"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</row>
    <row r="111" spans="5:54" x14ac:dyDescent="0.35"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</row>
    <row r="112" spans="5:54" x14ac:dyDescent="0.35"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</row>
    <row r="113" spans="5:54" x14ac:dyDescent="0.35"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</row>
    <row r="114" spans="5:54" x14ac:dyDescent="0.35"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</row>
    <row r="115" spans="5:54" x14ac:dyDescent="0.35"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</row>
    <row r="116" spans="5:54" x14ac:dyDescent="0.35"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</row>
    <row r="117" spans="5:54" x14ac:dyDescent="0.35"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</row>
    <row r="118" spans="5:54" x14ac:dyDescent="0.35"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</row>
    <row r="119" spans="5:54" x14ac:dyDescent="0.35"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</row>
    <row r="120" spans="5:54" x14ac:dyDescent="0.35"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</row>
    <row r="121" spans="5:54" x14ac:dyDescent="0.35"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</row>
    <row r="122" spans="5:54" x14ac:dyDescent="0.35"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</row>
    <row r="123" spans="5:54" x14ac:dyDescent="0.35"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</row>
    <row r="124" spans="5:54" x14ac:dyDescent="0.35"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</row>
    <row r="125" spans="5:54" x14ac:dyDescent="0.35"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</row>
    <row r="126" spans="5:54" x14ac:dyDescent="0.35"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</row>
    <row r="127" spans="5:54" x14ac:dyDescent="0.35"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</row>
    <row r="128" spans="5:54" x14ac:dyDescent="0.35"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</row>
    <row r="129" spans="5:54" x14ac:dyDescent="0.35"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</row>
    <row r="130" spans="5:54" x14ac:dyDescent="0.35"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</row>
    <row r="131" spans="5:54" x14ac:dyDescent="0.35"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</row>
    <row r="132" spans="5:54" x14ac:dyDescent="0.35"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</row>
    <row r="133" spans="5:54" x14ac:dyDescent="0.35"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</row>
    <row r="134" spans="5:54" x14ac:dyDescent="0.35"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</row>
    <row r="135" spans="5:54" x14ac:dyDescent="0.35"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</row>
    <row r="136" spans="5:54" x14ac:dyDescent="0.35"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</row>
    <row r="137" spans="5:54" x14ac:dyDescent="0.35"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</row>
    <row r="138" spans="5:54" x14ac:dyDescent="0.35"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</row>
    <row r="139" spans="5:54" x14ac:dyDescent="0.35"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</row>
    <row r="140" spans="5:54" x14ac:dyDescent="0.35"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</row>
    <row r="141" spans="5:54" x14ac:dyDescent="0.35"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</row>
    <row r="142" spans="5:54" x14ac:dyDescent="0.35"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</row>
    <row r="143" spans="5:54" x14ac:dyDescent="0.35"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</row>
    <row r="144" spans="5:54" x14ac:dyDescent="0.35"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</row>
    <row r="145" spans="5:54" x14ac:dyDescent="0.35"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</row>
    <row r="146" spans="5:54" x14ac:dyDescent="0.35"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</row>
    <row r="147" spans="5:54" x14ac:dyDescent="0.35"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</row>
    <row r="148" spans="5:54" x14ac:dyDescent="0.35"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</row>
    <row r="149" spans="5:54" x14ac:dyDescent="0.35"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</row>
    <row r="150" spans="5:54" x14ac:dyDescent="0.35"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</row>
    <row r="151" spans="5:54" x14ac:dyDescent="0.35"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</row>
    <row r="152" spans="5:54" x14ac:dyDescent="0.35"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</row>
    <row r="153" spans="5:54" x14ac:dyDescent="0.35"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</row>
    <row r="154" spans="5:54" x14ac:dyDescent="0.35"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</row>
    <row r="155" spans="5:54" x14ac:dyDescent="0.35"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</row>
    <row r="156" spans="5:54" x14ac:dyDescent="0.35"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</row>
    <row r="157" spans="5:54" x14ac:dyDescent="0.35"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</row>
    <row r="158" spans="5:54" x14ac:dyDescent="0.35"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</row>
    <row r="159" spans="5:54" x14ac:dyDescent="0.35"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</row>
    <row r="160" spans="5:54" x14ac:dyDescent="0.35"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</row>
    <row r="161" spans="5:54" x14ac:dyDescent="0.35"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</row>
    <row r="162" spans="5:54" x14ac:dyDescent="0.35"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</row>
    <row r="163" spans="5:54" x14ac:dyDescent="0.35"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</row>
    <row r="164" spans="5:54" x14ac:dyDescent="0.35"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</row>
    <row r="165" spans="5:54" x14ac:dyDescent="0.35"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</row>
    <row r="166" spans="5:54" x14ac:dyDescent="0.35"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</row>
    <row r="167" spans="5:54" x14ac:dyDescent="0.35"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</row>
    <row r="168" spans="5:54" x14ac:dyDescent="0.35"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</row>
    <row r="169" spans="5:54" x14ac:dyDescent="0.35"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</row>
    <row r="170" spans="5:54" x14ac:dyDescent="0.35"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</row>
    <row r="171" spans="5:54" x14ac:dyDescent="0.35"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</row>
    <row r="172" spans="5:54" x14ac:dyDescent="0.35"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</row>
    <row r="173" spans="5:54" x14ac:dyDescent="0.35"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</row>
    <row r="174" spans="5:54" x14ac:dyDescent="0.35"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</row>
    <row r="175" spans="5:54" x14ac:dyDescent="0.35"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</row>
    <row r="176" spans="5:54" x14ac:dyDescent="0.35"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</row>
    <row r="177" spans="5:54" x14ac:dyDescent="0.35"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</row>
    <row r="178" spans="5:54" x14ac:dyDescent="0.35"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</row>
    <row r="179" spans="5:54" x14ac:dyDescent="0.35"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</row>
    <row r="180" spans="5:54" x14ac:dyDescent="0.35"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</row>
    <row r="181" spans="5:54" x14ac:dyDescent="0.35"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</row>
    <row r="182" spans="5:54" x14ac:dyDescent="0.35"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</row>
    <row r="183" spans="5:54" x14ac:dyDescent="0.35"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</row>
    <row r="184" spans="5:54" x14ac:dyDescent="0.35"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</row>
    <row r="185" spans="5:54" x14ac:dyDescent="0.35"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</row>
    <row r="186" spans="5:54" x14ac:dyDescent="0.35"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</row>
    <row r="187" spans="5:54" x14ac:dyDescent="0.35"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</row>
    <row r="188" spans="5:54" x14ac:dyDescent="0.35"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</row>
    <row r="189" spans="5:54" x14ac:dyDescent="0.35"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</row>
    <row r="190" spans="5:54" x14ac:dyDescent="0.35"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</row>
    <row r="191" spans="5:54" x14ac:dyDescent="0.35"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</row>
    <row r="192" spans="5:54" x14ac:dyDescent="0.35"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</row>
    <row r="193" spans="5:54" x14ac:dyDescent="0.35"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</row>
    <row r="194" spans="5:54" x14ac:dyDescent="0.35"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</row>
    <row r="195" spans="5:54" x14ac:dyDescent="0.35"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</row>
    <row r="196" spans="5:54" x14ac:dyDescent="0.35"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</row>
    <row r="197" spans="5:54" x14ac:dyDescent="0.35"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</row>
    <row r="198" spans="5:54" x14ac:dyDescent="0.35"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</row>
    <row r="199" spans="5:54" x14ac:dyDescent="0.35"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</row>
    <row r="200" spans="5:54" x14ac:dyDescent="0.35"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</row>
    <row r="201" spans="5:54" x14ac:dyDescent="0.35"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</row>
    <row r="202" spans="5:54" x14ac:dyDescent="0.35"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</row>
    <row r="203" spans="5:54" x14ac:dyDescent="0.35"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</row>
    <row r="204" spans="5:54" x14ac:dyDescent="0.35"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</row>
    <row r="205" spans="5:54" x14ac:dyDescent="0.35"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</row>
    <row r="206" spans="5:54" x14ac:dyDescent="0.35"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</row>
    <row r="207" spans="5:54" x14ac:dyDescent="0.35"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</row>
    <row r="208" spans="5:54" x14ac:dyDescent="0.35"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</row>
    <row r="209" spans="5:54" x14ac:dyDescent="0.35"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</row>
    <row r="210" spans="5:54" x14ac:dyDescent="0.35"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</row>
    <row r="211" spans="5:54" x14ac:dyDescent="0.35"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</row>
    <row r="212" spans="5:54" x14ac:dyDescent="0.35"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</row>
    <row r="213" spans="5:54" x14ac:dyDescent="0.35"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</row>
    <row r="214" spans="5:54" x14ac:dyDescent="0.35"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</row>
    <row r="215" spans="5:54" x14ac:dyDescent="0.35"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</row>
    <row r="216" spans="5:54" x14ac:dyDescent="0.35"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</row>
    <row r="217" spans="5:54" x14ac:dyDescent="0.35"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</row>
    <row r="218" spans="5:54" x14ac:dyDescent="0.35"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</row>
    <row r="219" spans="5:54" x14ac:dyDescent="0.35"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</row>
    <row r="220" spans="5:54" x14ac:dyDescent="0.35"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</row>
    <row r="221" spans="5:54" x14ac:dyDescent="0.35"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</row>
    <row r="222" spans="5:54" x14ac:dyDescent="0.35"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</row>
    <row r="223" spans="5:54" x14ac:dyDescent="0.35"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</row>
    <row r="224" spans="5:54" x14ac:dyDescent="0.35"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</row>
    <row r="225" spans="5:54" x14ac:dyDescent="0.35"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</row>
    <row r="226" spans="5:54" x14ac:dyDescent="0.35"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</row>
    <row r="227" spans="5:54" x14ac:dyDescent="0.35"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</row>
    <row r="228" spans="5:54" x14ac:dyDescent="0.35"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</row>
    <row r="229" spans="5:54" x14ac:dyDescent="0.35"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</row>
    <row r="230" spans="5:54" x14ac:dyDescent="0.35"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</row>
    <row r="231" spans="5:54" x14ac:dyDescent="0.35"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</row>
    <row r="232" spans="5:54" x14ac:dyDescent="0.35"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</row>
    <row r="233" spans="5:54" x14ac:dyDescent="0.35"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</row>
    <row r="234" spans="5:54" x14ac:dyDescent="0.35"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</row>
    <row r="235" spans="5:54" x14ac:dyDescent="0.35"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</row>
    <row r="236" spans="5:54" x14ac:dyDescent="0.35"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</row>
    <row r="237" spans="5:54" x14ac:dyDescent="0.35"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</row>
    <row r="238" spans="5:54" x14ac:dyDescent="0.35"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</row>
    <row r="239" spans="5:54" x14ac:dyDescent="0.35"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</row>
    <row r="240" spans="5:54" x14ac:dyDescent="0.35"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</row>
    <row r="241" spans="5:54" x14ac:dyDescent="0.35"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</row>
    <row r="242" spans="5:54" x14ac:dyDescent="0.35"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</row>
    <row r="243" spans="5:54" x14ac:dyDescent="0.35"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</row>
    <row r="244" spans="5:54" x14ac:dyDescent="0.35"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</row>
    <row r="245" spans="5:54" x14ac:dyDescent="0.35"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</row>
    <row r="246" spans="5:54" x14ac:dyDescent="0.35"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</row>
    <row r="247" spans="5:54" x14ac:dyDescent="0.35"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</row>
    <row r="248" spans="5:54" x14ac:dyDescent="0.35"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</row>
    <row r="249" spans="5:54" x14ac:dyDescent="0.35"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</row>
    <row r="250" spans="5:54" x14ac:dyDescent="0.35"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</row>
    <row r="251" spans="5:54" x14ac:dyDescent="0.35"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</row>
    <row r="252" spans="5:54" x14ac:dyDescent="0.35"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</row>
    <row r="253" spans="5:54" x14ac:dyDescent="0.35"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</row>
    <row r="254" spans="5:54" x14ac:dyDescent="0.35"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</row>
    <row r="255" spans="5:54" x14ac:dyDescent="0.35"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</row>
    <row r="256" spans="5:54" x14ac:dyDescent="0.35"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</row>
    <row r="257" spans="5:54" x14ac:dyDescent="0.35"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</row>
    <row r="258" spans="5:54" x14ac:dyDescent="0.35"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</row>
    <row r="259" spans="5:54" x14ac:dyDescent="0.35"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</row>
    <row r="260" spans="5:54" x14ac:dyDescent="0.35"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</row>
    <row r="261" spans="5:54" x14ac:dyDescent="0.35"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</row>
    <row r="262" spans="5:54" x14ac:dyDescent="0.35"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</row>
    <row r="263" spans="5:54" x14ac:dyDescent="0.35"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</row>
    <row r="264" spans="5:54" x14ac:dyDescent="0.35"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</row>
    <row r="265" spans="5:54" x14ac:dyDescent="0.35"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</row>
    <row r="266" spans="5:54" x14ac:dyDescent="0.35"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</row>
    <row r="267" spans="5:54" x14ac:dyDescent="0.35"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</row>
    <row r="268" spans="5:54" x14ac:dyDescent="0.35"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</row>
    <row r="269" spans="5:54" x14ac:dyDescent="0.35"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</row>
    <row r="270" spans="5:54" x14ac:dyDescent="0.35"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</row>
    <row r="271" spans="5:54" x14ac:dyDescent="0.35"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</row>
    <row r="272" spans="5:54" x14ac:dyDescent="0.35"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</row>
    <row r="273" spans="5:54" x14ac:dyDescent="0.35"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</row>
    <row r="274" spans="5:54" x14ac:dyDescent="0.35"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</row>
    <row r="275" spans="5:54" x14ac:dyDescent="0.35"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</row>
    <row r="276" spans="5:54" x14ac:dyDescent="0.35"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</row>
    <row r="277" spans="5:54" x14ac:dyDescent="0.35"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</row>
    <row r="278" spans="5:54" x14ac:dyDescent="0.35"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</row>
    <row r="279" spans="5:54" x14ac:dyDescent="0.35"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</row>
    <row r="280" spans="5:54" x14ac:dyDescent="0.35"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</row>
    <row r="281" spans="5:54" x14ac:dyDescent="0.35"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</row>
    <row r="282" spans="5:54" x14ac:dyDescent="0.35"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</row>
    <row r="283" spans="5:54" x14ac:dyDescent="0.35"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</row>
    <row r="284" spans="5:54" x14ac:dyDescent="0.35"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</row>
    <row r="285" spans="5:54" x14ac:dyDescent="0.35"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</row>
    <row r="286" spans="5:54" x14ac:dyDescent="0.35"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</row>
    <row r="287" spans="5:54" x14ac:dyDescent="0.35"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</row>
    <row r="288" spans="5:54" x14ac:dyDescent="0.35"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</row>
    <row r="289" spans="5:54" x14ac:dyDescent="0.35"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</row>
    <row r="290" spans="5:54" x14ac:dyDescent="0.35"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</row>
    <row r="291" spans="5:54" x14ac:dyDescent="0.35"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</row>
    <row r="292" spans="5:54" x14ac:dyDescent="0.35"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</row>
    <row r="293" spans="5:54" x14ac:dyDescent="0.35"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</row>
    <row r="294" spans="5:54" x14ac:dyDescent="0.35"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</row>
    <row r="295" spans="5:54" x14ac:dyDescent="0.35"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</row>
    <row r="296" spans="5:54" x14ac:dyDescent="0.35"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</row>
    <row r="297" spans="5:54" x14ac:dyDescent="0.35"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</row>
    <row r="298" spans="5:54" x14ac:dyDescent="0.35"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</row>
    <row r="299" spans="5:54" x14ac:dyDescent="0.35"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</row>
    <row r="300" spans="5:54" x14ac:dyDescent="0.35"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</row>
    <row r="301" spans="5:54" x14ac:dyDescent="0.35"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</row>
    <row r="302" spans="5:54" x14ac:dyDescent="0.35"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</row>
    <row r="303" spans="5:54" x14ac:dyDescent="0.35"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</row>
    <row r="304" spans="5:54" x14ac:dyDescent="0.35"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</row>
    <row r="305" spans="5:54" x14ac:dyDescent="0.35"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</row>
    <row r="306" spans="5:54" x14ac:dyDescent="0.35"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</row>
    <row r="307" spans="5:54" x14ac:dyDescent="0.35"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</row>
    <row r="308" spans="5:54" x14ac:dyDescent="0.35"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</row>
    <row r="309" spans="5:54" x14ac:dyDescent="0.35"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</row>
    <row r="310" spans="5:54" x14ac:dyDescent="0.35"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</row>
    <row r="311" spans="5:54" x14ac:dyDescent="0.35"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</row>
    <row r="312" spans="5:54" x14ac:dyDescent="0.35"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</row>
    <row r="313" spans="5:54" x14ac:dyDescent="0.35"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</row>
    <row r="314" spans="5:54" x14ac:dyDescent="0.35"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</row>
    <row r="315" spans="5:54" x14ac:dyDescent="0.35"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</row>
    <row r="316" spans="5:54" x14ac:dyDescent="0.35"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</row>
    <row r="317" spans="5:54" x14ac:dyDescent="0.35"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</row>
    <row r="318" spans="5:54" x14ac:dyDescent="0.35"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</row>
    <row r="319" spans="5:54" x14ac:dyDescent="0.35"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</row>
    <row r="320" spans="5:54" x14ac:dyDescent="0.35"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</row>
    <row r="321" spans="5:54" x14ac:dyDescent="0.35"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</row>
    <row r="322" spans="5:54" x14ac:dyDescent="0.35"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</row>
    <row r="323" spans="5:54" x14ac:dyDescent="0.35"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</row>
    <row r="324" spans="5:54" x14ac:dyDescent="0.35"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22"/>
    </row>
    <row r="325" spans="5:54" x14ac:dyDescent="0.35"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</row>
    <row r="326" spans="5:54" x14ac:dyDescent="0.35"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</row>
    <row r="327" spans="5:54" x14ac:dyDescent="0.35"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</row>
    <row r="328" spans="5:54" x14ac:dyDescent="0.35"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</row>
    <row r="329" spans="5:54" x14ac:dyDescent="0.35"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</row>
    <row r="330" spans="5:54" x14ac:dyDescent="0.35"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</row>
    <row r="331" spans="5:54" x14ac:dyDescent="0.35"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</row>
    <row r="332" spans="5:54" x14ac:dyDescent="0.35"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</row>
    <row r="333" spans="5:54" x14ac:dyDescent="0.35"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</row>
    <row r="334" spans="5:54" x14ac:dyDescent="0.35"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</row>
    <row r="335" spans="5:54" x14ac:dyDescent="0.35"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</row>
    <row r="336" spans="5:54" x14ac:dyDescent="0.35"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</row>
    <row r="337" spans="5:54" x14ac:dyDescent="0.35"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</row>
    <row r="338" spans="5:54" x14ac:dyDescent="0.35"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</row>
    <row r="339" spans="5:54" x14ac:dyDescent="0.35"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</row>
    <row r="340" spans="5:54" x14ac:dyDescent="0.35"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</row>
    <row r="341" spans="5:54" x14ac:dyDescent="0.35"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</row>
    <row r="342" spans="5:54" x14ac:dyDescent="0.35"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</row>
    <row r="343" spans="5:54" x14ac:dyDescent="0.35"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</row>
    <row r="344" spans="5:54" x14ac:dyDescent="0.35"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</row>
    <row r="345" spans="5:54" x14ac:dyDescent="0.35"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</row>
    <row r="346" spans="5:54" x14ac:dyDescent="0.35"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</row>
    <row r="347" spans="5:54" x14ac:dyDescent="0.35"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</row>
    <row r="348" spans="5:54" x14ac:dyDescent="0.35"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</row>
    <row r="349" spans="5:54" x14ac:dyDescent="0.35"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</row>
    <row r="350" spans="5:54" x14ac:dyDescent="0.35"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</row>
    <row r="351" spans="5:54" x14ac:dyDescent="0.35"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</row>
    <row r="352" spans="5:54" x14ac:dyDescent="0.35"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</row>
    <row r="353" spans="5:54" x14ac:dyDescent="0.35"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</row>
    <row r="354" spans="5:54" x14ac:dyDescent="0.35"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</row>
    <row r="355" spans="5:54" x14ac:dyDescent="0.35"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</row>
    <row r="356" spans="5:54" x14ac:dyDescent="0.35"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</row>
    <row r="357" spans="5:54" x14ac:dyDescent="0.35"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</row>
    <row r="358" spans="5:54" x14ac:dyDescent="0.35"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</row>
    <row r="359" spans="5:54" x14ac:dyDescent="0.35"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</row>
    <row r="360" spans="5:54" x14ac:dyDescent="0.35"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</row>
    <row r="361" spans="5:54" x14ac:dyDescent="0.35"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</row>
    <row r="362" spans="5:54" x14ac:dyDescent="0.35"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</row>
    <row r="363" spans="5:54" x14ac:dyDescent="0.35"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</row>
    <row r="364" spans="5:54" x14ac:dyDescent="0.35"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</row>
    <row r="365" spans="5:54" x14ac:dyDescent="0.35"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</row>
    <row r="366" spans="5:54" x14ac:dyDescent="0.35"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</row>
    <row r="367" spans="5:54" x14ac:dyDescent="0.35"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</row>
    <row r="368" spans="5:54" x14ac:dyDescent="0.35"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</row>
    <row r="369" spans="5:54" x14ac:dyDescent="0.35"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</row>
    <row r="370" spans="5:54" x14ac:dyDescent="0.35"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</row>
    <row r="371" spans="5:54" x14ac:dyDescent="0.35"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</row>
    <row r="372" spans="5:54" x14ac:dyDescent="0.35"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</row>
    <row r="373" spans="5:54" x14ac:dyDescent="0.35"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</row>
    <row r="374" spans="5:54" x14ac:dyDescent="0.35"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</row>
    <row r="375" spans="5:54" x14ac:dyDescent="0.35"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</row>
    <row r="376" spans="5:54" x14ac:dyDescent="0.35"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</row>
    <row r="377" spans="5:54" x14ac:dyDescent="0.35"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</row>
    <row r="378" spans="5:54" x14ac:dyDescent="0.35"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</row>
    <row r="379" spans="5:54" x14ac:dyDescent="0.35"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</row>
    <row r="380" spans="5:54" x14ac:dyDescent="0.35"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</row>
    <row r="381" spans="5:54" x14ac:dyDescent="0.35"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</row>
    <row r="382" spans="5:54" x14ac:dyDescent="0.35"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</row>
    <row r="383" spans="5:54" x14ac:dyDescent="0.35"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</row>
    <row r="384" spans="5:54" x14ac:dyDescent="0.35"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</row>
    <row r="385" spans="5:54" x14ac:dyDescent="0.35"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</row>
    <row r="386" spans="5:54" x14ac:dyDescent="0.35"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</row>
    <row r="387" spans="5:54" x14ac:dyDescent="0.35"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</row>
    <row r="388" spans="5:54" x14ac:dyDescent="0.35"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</row>
    <row r="389" spans="5:54" x14ac:dyDescent="0.35"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</row>
    <row r="390" spans="5:54" x14ac:dyDescent="0.35"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</row>
    <row r="391" spans="5:54" x14ac:dyDescent="0.35"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</row>
    <row r="392" spans="5:54" x14ac:dyDescent="0.35"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</row>
    <row r="393" spans="5:54" x14ac:dyDescent="0.35"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</row>
    <row r="394" spans="5:54" x14ac:dyDescent="0.35"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</row>
    <row r="395" spans="5:54" x14ac:dyDescent="0.35"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</row>
    <row r="396" spans="5:54" x14ac:dyDescent="0.35"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</row>
    <row r="397" spans="5:54" x14ac:dyDescent="0.35"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</row>
    <row r="398" spans="5:54" x14ac:dyDescent="0.35"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</row>
    <row r="399" spans="5:54" x14ac:dyDescent="0.35"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</row>
    <row r="400" spans="5:54" x14ac:dyDescent="0.35"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</row>
    <row r="401" spans="5:54" x14ac:dyDescent="0.35"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</row>
    <row r="402" spans="5:54" x14ac:dyDescent="0.35"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</row>
    <row r="403" spans="5:54" x14ac:dyDescent="0.35"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</row>
    <row r="404" spans="5:54" x14ac:dyDescent="0.35"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</row>
    <row r="405" spans="5:54" x14ac:dyDescent="0.35"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</row>
    <row r="406" spans="5:54" x14ac:dyDescent="0.35"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</row>
    <row r="407" spans="5:54" x14ac:dyDescent="0.35"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</row>
    <row r="408" spans="5:54" x14ac:dyDescent="0.35"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</row>
    <row r="409" spans="5:54" x14ac:dyDescent="0.35"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</row>
    <row r="410" spans="5:54" x14ac:dyDescent="0.35"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</row>
    <row r="411" spans="5:54" x14ac:dyDescent="0.35"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</row>
    <row r="412" spans="5:54" x14ac:dyDescent="0.35"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</row>
    <row r="413" spans="5:54" x14ac:dyDescent="0.35"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</row>
    <row r="414" spans="5:54" x14ac:dyDescent="0.35"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</row>
    <row r="415" spans="5:54" x14ac:dyDescent="0.35"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</row>
    <row r="416" spans="5:54" x14ac:dyDescent="0.35"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</row>
    <row r="417" spans="5:54" x14ac:dyDescent="0.35"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</row>
    <row r="418" spans="5:54" x14ac:dyDescent="0.35"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</row>
    <row r="419" spans="5:54" x14ac:dyDescent="0.35"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</row>
    <row r="420" spans="5:54" x14ac:dyDescent="0.35"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</row>
    <row r="421" spans="5:54" x14ac:dyDescent="0.35"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</row>
    <row r="422" spans="5:54" x14ac:dyDescent="0.35"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</row>
    <row r="423" spans="5:54" x14ac:dyDescent="0.35"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</row>
    <row r="424" spans="5:54" x14ac:dyDescent="0.35"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</row>
    <row r="425" spans="5:54" x14ac:dyDescent="0.35"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</row>
    <row r="426" spans="5:54" x14ac:dyDescent="0.35"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</row>
    <row r="427" spans="5:54" x14ac:dyDescent="0.35"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</row>
    <row r="428" spans="5:54" x14ac:dyDescent="0.35"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</row>
    <row r="429" spans="5:54" x14ac:dyDescent="0.35"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</row>
    <row r="430" spans="5:54" x14ac:dyDescent="0.35"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</row>
    <row r="431" spans="5:54" x14ac:dyDescent="0.35"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</row>
    <row r="432" spans="5:54" x14ac:dyDescent="0.35"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</row>
    <row r="433" spans="5:54" x14ac:dyDescent="0.35"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</row>
    <row r="434" spans="5:54" x14ac:dyDescent="0.35"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</row>
    <row r="435" spans="5:54" x14ac:dyDescent="0.35"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</row>
    <row r="436" spans="5:54" x14ac:dyDescent="0.35"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</row>
    <row r="437" spans="5:54" x14ac:dyDescent="0.35"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</row>
    <row r="438" spans="5:54" x14ac:dyDescent="0.35"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</row>
    <row r="439" spans="5:54" x14ac:dyDescent="0.35"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</row>
    <row r="440" spans="5:54" x14ac:dyDescent="0.35"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</row>
    <row r="441" spans="5:54" x14ac:dyDescent="0.35"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</row>
    <row r="442" spans="5:54" x14ac:dyDescent="0.35"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</row>
    <row r="443" spans="5:54" x14ac:dyDescent="0.35"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</row>
    <row r="444" spans="5:54" x14ac:dyDescent="0.35"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</row>
    <row r="445" spans="5:54" x14ac:dyDescent="0.35"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</row>
    <row r="446" spans="5:54" x14ac:dyDescent="0.35"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</row>
    <row r="447" spans="5:54" x14ac:dyDescent="0.35"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</row>
    <row r="448" spans="5:54" x14ac:dyDescent="0.35"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</row>
    <row r="449" spans="5:54" x14ac:dyDescent="0.35"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</row>
    <row r="450" spans="5:54" x14ac:dyDescent="0.35"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</row>
    <row r="451" spans="5:54" x14ac:dyDescent="0.35"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</row>
    <row r="452" spans="5:54" x14ac:dyDescent="0.35"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</row>
    <row r="453" spans="5:54" x14ac:dyDescent="0.35"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</row>
    <row r="454" spans="5:54" x14ac:dyDescent="0.35"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</row>
    <row r="455" spans="5:54" x14ac:dyDescent="0.35"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</row>
    <row r="456" spans="5:54" x14ac:dyDescent="0.35"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</row>
    <row r="457" spans="5:54" x14ac:dyDescent="0.35"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</row>
    <row r="458" spans="5:54" x14ac:dyDescent="0.35"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</row>
    <row r="459" spans="5:54" x14ac:dyDescent="0.35"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</row>
    <row r="460" spans="5:54" x14ac:dyDescent="0.35"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</row>
    <row r="461" spans="5:54" x14ac:dyDescent="0.35"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</row>
    <row r="462" spans="5:54" x14ac:dyDescent="0.35"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</row>
    <row r="463" spans="5:54" x14ac:dyDescent="0.35"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</row>
    <row r="464" spans="5:54" x14ac:dyDescent="0.35"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</row>
    <row r="465" spans="5:54" x14ac:dyDescent="0.35"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</row>
    <row r="466" spans="5:54" x14ac:dyDescent="0.35"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</row>
    <row r="467" spans="5:54" x14ac:dyDescent="0.35"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</row>
    <row r="468" spans="5:54" x14ac:dyDescent="0.35"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</row>
    <row r="469" spans="5:54" x14ac:dyDescent="0.35"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</row>
    <row r="470" spans="5:54" x14ac:dyDescent="0.35"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</row>
    <row r="471" spans="5:54" x14ac:dyDescent="0.35"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</row>
    <row r="472" spans="5:54" x14ac:dyDescent="0.35"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</row>
    <row r="473" spans="5:54" x14ac:dyDescent="0.35"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</row>
    <row r="474" spans="5:54" x14ac:dyDescent="0.35"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</row>
    <row r="475" spans="5:54" x14ac:dyDescent="0.35"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</row>
    <row r="476" spans="5:54" x14ac:dyDescent="0.35"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</row>
    <row r="477" spans="5:54" x14ac:dyDescent="0.35"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</row>
    <row r="478" spans="5:54" x14ac:dyDescent="0.35"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</row>
    <row r="479" spans="5:54" x14ac:dyDescent="0.35"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</row>
    <row r="480" spans="5:54" x14ac:dyDescent="0.35"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</row>
    <row r="481" spans="5:54" x14ac:dyDescent="0.35"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</row>
    <row r="482" spans="5:54" x14ac:dyDescent="0.35"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</row>
    <row r="483" spans="5:54" x14ac:dyDescent="0.35"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</row>
    <row r="484" spans="5:54" x14ac:dyDescent="0.35"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</row>
    <row r="485" spans="5:54" x14ac:dyDescent="0.35"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</row>
    <row r="486" spans="5:54" x14ac:dyDescent="0.35"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</row>
    <row r="487" spans="5:54" x14ac:dyDescent="0.35"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</row>
    <row r="488" spans="5:54" x14ac:dyDescent="0.35"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</row>
    <row r="489" spans="5:54" x14ac:dyDescent="0.35"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</row>
    <row r="490" spans="5:54" x14ac:dyDescent="0.35"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</row>
    <row r="491" spans="5:54" x14ac:dyDescent="0.35"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</row>
    <row r="492" spans="5:54" x14ac:dyDescent="0.35"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</row>
    <row r="493" spans="5:54" x14ac:dyDescent="0.35"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</row>
    <row r="494" spans="5:54" x14ac:dyDescent="0.35"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</row>
    <row r="495" spans="5:54" x14ac:dyDescent="0.35"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</row>
    <row r="496" spans="5:54" x14ac:dyDescent="0.35"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</row>
    <row r="497" spans="5:54" x14ac:dyDescent="0.35"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</row>
    <row r="498" spans="5:54" x14ac:dyDescent="0.35"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</row>
    <row r="499" spans="5:54" x14ac:dyDescent="0.35"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</row>
    <row r="500" spans="5:54" x14ac:dyDescent="0.35"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</row>
    <row r="501" spans="5:54" x14ac:dyDescent="0.35"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</row>
    <row r="502" spans="5:54" x14ac:dyDescent="0.35"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</row>
    <row r="503" spans="5:54" x14ac:dyDescent="0.35"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</row>
    <row r="504" spans="5:54" x14ac:dyDescent="0.35"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</row>
    <row r="505" spans="5:54" x14ac:dyDescent="0.35"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</row>
    <row r="506" spans="5:54" x14ac:dyDescent="0.35"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</row>
    <row r="507" spans="5:54" x14ac:dyDescent="0.35"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</row>
    <row r="508" spans="5:54" x14ac:dyDescent="0.35"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</row>
    <row r="509" spans="5:54" x14ac:dyDescent="0.35"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</row>
    <row r="510" spans="5:54" x14ac:dyDescent="0.35"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</row>
    <row r="511" spans="5:54" x14ac:dyDescent="0.35"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</row>
    <row r="512" spans="5:54" x14ac:dyDescent="0.35"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</row>
    <row r="513" spans="5:54" x14ac:dyDescent="0.35"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</row>
    <row r="514" spans="5:54" x14ac:dyDescent="0.35"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</row>
    <row r="515" spans="5:54" x14ac:dyDescent="0.35"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</row>
    <row r="516" spans="5:54" x14ac:dyDescent="0.35"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</row>
    <row r="517" spans="5:54" x14ac:dyDescent="0.35"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</row>
    <row r="518" spans="5:54" x14ac:dyDescent="0.35"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</row>
    <row r="519" spans="5:54" x14ac:dyDescent="0.35"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</row>
    <row r="520" spans="5:54" x14ac:dyDescent="0.35"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</row>
    <row r="521" spans="5:54" x14ac:dyDescent="0.35"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</row>
    <row r="522" spans="5:54" x14ac:dyDescent="0.35"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</row>
    <row r="523" spans="5:54" x14ac:dyDescent="0.35"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</row>
    <row r="524" spans="5:54" x14ac:dyDescent="0.35"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</row>
    <row r="525" spans="5:54" x14ac:dyDescent="0.35"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</row>
    <row r="526" spans="5:54" x14ac:dyDescent="0.35"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</row>
    <row r="527" spans="5:54" x14ac:dyDescent="0.35"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</row>
    <row r="528" spans="5:54" x14ac:dyDescent="0.35"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</row>
    <row r="529" spans="5:54" x14ac:dyDescent="0.35"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</row>
    <row r="530" spans="5:54" x14ac:dyDescent="0.35"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</row>
    <row r="531" spans="5:54" x14ac:dyDescent="0.35"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</row>
    <row r="532" spans="5:54" x14ac:dyDescent="0.35"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</row>
    <row r="533" spans="5:54" x14ac:dyDescent="0.35"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</row>
    <row r="534" spans="5:54" x14ac:dyDescent="0.35"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</row>
    <row r="535" spans="5:54" x14ac:dyDescent="0.35"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</row>
    <row r="536" spans="5:54" x14ac:dyDescent="0.35"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</row>
    <row r="537" spans="5:54" x14ac:dyDescent="0.35"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</row>
    <row r="538" spans="5:54" x14ac:dyDescent="0.35"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</row>
    <row r="539" spans="5:54" x14ac:dyDescent="0.35"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</row>
    <row r="540" spans="5:54" x14ac:dyDescent="0.35"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</row>
    <row r="541" spans="5:54" x14ac:dyDescent="0.35"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</row>
    <row r="542" spans="5:54" x14ac:dyDescent="0.35"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</row>
    <row r="543" spans="5:54" x14ac:dyDescent="0.35"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</row>
    <row r="544" spans="5:54" x14ac:dyDescent="0.35"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</row>
    <row r="545" spans="5:54" x14ac:dyDescent="0.35"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</row>
    <row r="546" spans="5:54" x14ac:dyDescent="0.35"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</row>
    <row r="547" spans="5:54" x14ac:dyDescent="0.35"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</row>
    <row r="548" spans="5:54" x14ac:dyDescent="0.35"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</row>
    <row r="549" spans="5:54" x14ac:dyDescent="0.35"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</row>
    <row r="550" spans="5:54" x14ac:dyDescent="0.35"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</row>
    <row r="551" spans="5:54" x14ac:dyDescent="0.35"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</row>
    <row r="552" spans="5:54" x14ac:dyDescent="0.35"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</row>
    <row r="553" spans="5:54" x14ac:dyDescent="0.35"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</row>
    <row r="554" spans="5:54" x14ac:dyDescent="0.35"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</row>
    <row r="555" spans="5:54" x14ac:dyDescent="0.35"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</row>
    <row r="556" spans="5:54" x14ac:dyDescent="0.35"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</row>
    <row r="557" spans="5:54" x14ac:dyDescent="0.35"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</row>
    <row r="558" spans="5:54" x14ac:dyDescent="0.35"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</row>
    <row r="559" spans="5:54" x14ac:dyDescent="0.35"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</row>
    <row r="560" spans="5:54" x14ac:dyDescent="0.35"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</row>
    <row r="561" spans="5:54" x14ac:dyDescent="0.35"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</row>
    <row r="562" spans="5:54" x14ac:dyDescent="0.35"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</row>
    <row r="563" spans="5:54" x14ac:dyDescent="0.35"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</row>
    <row r="564" spans="5:54" x14ac:dyDescent="0.35"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</row>
    <row r="565" spans="5:54" x14ac:dyDescent="0.35"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</row>
    <row r="566" spans="5:54" x14ac:dyDescent="0.35"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</row>
    <row r="567" spans="5:54" x14ac:dyDescent="0.35"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</row>
    <row r="568" spans="5:54" x14ac:dyDescent="0.35"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</row>
    <row r="569" spans="5:54" x14ac:dyDescent="0.35"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</row>
    <row r="570" spans="5:54" x14ac:dyDescent="0.35"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</row>
    <row r="571" spans="5:54" x14ac:dyDescent="0.35"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</row>
    <row r="572" spans="5:54" x14ac:dyDescent="0.35"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</row>
    <row r="573" spans="5:54" x14ac:dyDescent="0.35"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</row>
    <row r="574" spans="5:54" x14ac:dyDescent="0.35"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</row>
    <row r="575" spans="5:54" x14ac:dyDescent="0.35"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</row>
    <row r="576" spans="5:54" x14ac:dyDescent="0.35"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</row>
    <row r="577" spans="5:54" x14ac:dyDescent="0.35"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</row>
    <row r="578" spans="5:54" x14ac:dyDescent="0.35"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</row>
    <row r="579" spans="5:54" x14ac:dyDescent="0.35"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</row>
    <row r="580" spans="5:54" x14ac:dyDescent="0.35"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</row>
    <row r="581" spans="5:54" x14ac:dyDescent="0.35"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</row>
    <row r="582" spans="5:54" x14ac:dyDescent="0.35"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</row>
    <row r="583" spans="5:54" x14ac:dyDescent="0.35"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</row>
    <row r="584" spans="5:54" x14ac:dyDescent="0.35"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</row>
    <row r="585" spans="5:54" x14ac:dyDescent="0.35"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</row>
    <row r="586" spans="5:54" x14ac:dyDescent="0.35"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</row>
    <row r="587" spans="5:54" x14ac:dyDescent="0.35"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</row>
    <row r="588" spans="5:54" x14ac:dyDescent="0.35"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</row>
    <row r="589" spans="5:54" x14ac:dyDescent="0.35"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</row>
    <row r="590" spans="5:54" x14ac:dyDescent="0.35"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</row>
    <row r="591" spans="5:54" x14ac:dyDescent="0.35"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</row>
    <row r="592" spans="5:54" x14ac:dyDescent="0.35"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</row>
    <row r="593" spans="5:54" x14ac:dyDescent="0.35"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</row>
    <row r="594" spans="5:54" x14ac:dyDescent="0.35"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</row>
    <row r="595" spans="5:54" x14ac:dyDescent="0.35"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</row>
    <row r="596" spans="5:54" x14ac:dyDescent="0.35"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</row>
    <row r="597" spans="5:54" x14ac:dyDescent="0.35"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22"/>
    </row>
    <row r="598" spans="5:54" x14ac:dyDescent="0.35"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</row>
    <row r="599" spans="5:54" x14ac:dyDescent="0.35"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</row>
    <row r="600" spans="5:54" x14ac:dyDescent="0.35"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</row>
    <row r="601" spans="5:54" x14ac:dyDescent="0.35"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</row>
    <row r="602" spans="5:54" x14ac:dyDescent="0.35"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22"/>
    </row>
    <row r="603" spans="5:54" x14ac:dyDescent="0.35"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22"/>
    </row>
    <row r="604" spans="5:54" x14ac:dyDescent="0.35"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22"/>
    </row>
    <row r="605" spans="5:54" x14ac:dyDescent="0.35"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22"/>
    </row>
    <row r="606" spans="5:54" x14ac:dyDescent="0.35"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22"/>
    </row>
    <row r="607" spans="5:54" x14ac:dyDescent="0.35"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22"/>
    </row>
    <row r="608" spans="5:54" x14ac:dyDescent="0.35"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</row>
    <row r="609" spans="5:54" x14ac:dyDescent="0.35"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22"/>
    </row>
    <row r="610" spans="5:54" x14ac:dyDescent="0.35"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22"/>
    </row>
    <row r="611" spans="5:54" x14ac:dyDescent="0.35"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22"/>
    </row>
    <row r="612" spans="5:54" x14ac:dyDescent="0.35"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22"/>
    </row>
    <row r="613" spans="5:54" x14ac:dyDescent="0.35"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22"/>
    </row>
    <row r="614" spans="5:54" x14ac:dyDescent="0.35"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22"/>
    </row>
    <row r="615" spans="5:54" x14ac:dyDescent="0.35"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22"/>
    </row>
    <row r="616" spans="5:54" x14ac:dyDescent="0.35"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22"/>
    </row>
    <row r="617" spans="5:54" x14ac:dyDescent="0.35"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22"/>
    </row>
    <row r="618" spans="5:54" x14ac:dyDescent="0.35"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22"/>
    </row>
    <row r="619" spans="5:54" x14ac:dyDescent="0.35"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22"/>
    </row>
    <row r="620" spans="5:54" x14ac:dyDescent="0.35"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22"/>
    </row>
    <row r="621" spans="5:54" x14ac:dyDescent="0.35"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22"/>
    </row>
    <row r="622" spans="5:54" x14ac:dyDescent="0.35"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22"/>
    </row>
    <row r="623" spans="5:54" x14ac:dyDescent="0.35"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22"/>
    </row>
    <row r="624" spans="5:54" x14ac:dyDescent="0.35"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22"/>
    </row>
    <row r="625" spans="5:54" x14ac:dyDescent="0.35"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22"/>
    </row>
    <row r="626" spans="5:54" x14ac:dyDescent="0.35"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22"/>
    </row>
    <row r="627" spans="5:54" x14ac:dyDescent="0.35"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22"/>
    </row>
    <row r="628" spans="5:54" x14ac:dyDescent="0.35"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22"/>
    </row>
    <row r="629" spans="5:54" x14ac:dyDescent="0.35"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22"/>
    </row>
    <row r="630" spans="5:54" x14ac:dyDescent="0.35"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22"/>
    </row>
    <row r="631" spans="5:54" x14ac:dyDescent="0.35"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22"/>
    </row>
    <row r="632" spans="5:54" x14ac:dyDescent="0.35"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22"/>
    </row>
    <row r="633" spans="5:54" x14ac:dyDescent="0.35"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22"/>
    </row>
    <row r="634" spans="5:54" x14ac:dyDescent="0.35"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22"/>
    </row>
    <row r="635" spans="5:54" x14ac:dyDescent="0.35"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22"/>
    </row>
    <row r="636" spans="5:54" x14ac:dyDescent="0.35"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22"/>
    </row>
    <row r="637" spans="5:54" x14ac:dyDescent="0.35"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22"/>
    </row>
    <row r="638" spans="5:54" x14ac:dyDescent="0.35"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22"/>
    </row>
    <row r="639" spans="5:54" x14ac:dyDescent="0.35"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22"/>
    </row>
    <row r="640" spans="5:54" x14ac:dyDescent="0.35"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</row>
    <row r="641" spans="5:54" x14ac:dyDescent="0.35"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22"/>
    </row>
    <row r="642" spans="5:54" x14ac:dyDescent="0.35"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22"/>
    </row>
    <row r="643" spans="5:54" x14ac:dyDescent="0.35"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22"/>
    </row>
    <row r="644" spans="5:54" x14ac:dyDescent="0.35"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22"/>
    </row>
    <row r="645" spans="5:54" x14ac:dyDescent="0.35"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22"/>
    </row>
    <row r="646" spans="5:54" x14ac:dyDescent="0.35"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22"/>
    </row>
    <row r="647" spans="5:54" x14ac:dyDescent="0.35"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22"/>
    </row>
    <row r="648" spans="5:54" x14ac:dyDescent="0.35"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22"/>
    </row>
    <row r="649" spans="5:54" x14ac:dyDescent="0.35"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22"/>
    </row>
    <row r="650" spans="5:54" x14ac:dyDescent="0.35"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22"/>
    </row>
    <row r="651" spans="5:54" x14ac:dyDescent="0.35"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22"/>
    </row>
    <row r="652" spans="5:54" x14ac:dyDescent="0.35"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22"/>
    </row>
    <row r="653" spans="5:54" x14ac:dyDescent="0.35"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22"/>
    </row>
    <row r="654" spans="5:54" x14ac:dyDescent="0.35"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22"/>
    </row>
    <row r="655" spans="5:54" x14ac:dyDescent="0.35"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22"/>
    </row>
    <row r="656" spans="5:54" x14ac:dyDescent="0.35"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22"/>
    </row>
    <row r="657" spans="5:54" x14ac:dyDescent="0.35"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22"/>
    </row>
    <row r="658" spans="5:54" x14ac:dyDescent="0.35"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22"/>
    </row>
    <row r="659" spans="5:54" x14ac:dyDescent="0.35"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22"/>
    </row>
    <row r="660" spans="5:54" x14ac:dyDescent="0.35"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22"/>
    </row>
    <row r="661" spans="5:54" x14ac:dyDescent="0.35"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22"/>
    </row>
    <row r="662" spans="5:54" x14ac:dyDescent="0.35"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22"/>
    </row>
    <row r="663" spans="5:54" x14ac:dyDescent="0.35"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22"/>
    </row>
    <row r="664" spans="5:54" x14ac:dyDescent="0.35"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22"/>
    </row>
    <row r="665" spans="5:54" x14ac:dyDescent="0.35"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22"/>
    </row>
    <row r="666" spans="5:54" x14ac:dyDescent="0.35"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22"/>
    </row>
    <row r="667" spans="5:54" x14ac:dyDescent="0.35"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22"/>
    </row>
    <row r="668" spans="5:54" x14ac:dyDescent="0.35"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22"/>
    </row>
    <row r="669" spans="5:54" x14ac:dyDescent="0.35"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22"/>
    </row>
    <row r="670" spans="5:54" x14ac:dyDescent="0.35"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22"/>
    </row>
    <row r="671" spans="5:54" x14ac:dyDescent="0.35"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22"/>
    </row>
    <row r="672" spans="5:54" x14ac:dyDescent="0.35"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</row>
    <row r="673" spans="5:54" x14ac:dyDescent="0.35"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22"/>
    </row>
    <row r="674" spans="5:54" x14ac:dyDescent="0.35"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22"/>
    </row>
    <row r="675" spans="5:54" x14ac:dyDescent="0.35"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22"/>
    </row>
    <row r="676" spans="5:54" x14ac:dyDescent="0.35"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22"/>
    </row>
    <row r="677" spans="5:54" x14ac:dyDescent="0.35"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22"/>
    </row>
    <row r="678" spans="5:54" x14ac:dyDescent="0.35"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22"/>
    </row>
    <row r="679" spans="5:54" x14ac:dyDescent="0.35"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22"/>
    </row>
    <row r="680" spans="5:54" x14ac:dyDescent="0.35"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22"/>
    </row>
    <row r="681" spans="5:54" x14ac:dyDescent="0.35"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22"/>
    </row>
    <row r="682" spans="5:54" x14ac:dyDescent="0.35"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22"/>
    </row>
    <row r="683" spans="5:54" x14ac:dyDescent="0.35"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22"/>
    </row>
    <row r="684" spans="5:54" x14ac:dyDescent="0.35"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22"/>
    </row>
    <row r="685" spans="5:54" x14ac:dyDescent="0.35"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22"/>
    </row>
    <row r="686" spans="5:54" x14ac:dyDescent="0.35"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22"/>
    </row>
    <row r="687" spans="5:54" x14ac:dyDescent="0.35"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22"/>
    </row>
    <row r="688" spans="5:54" x14ac:dyDescent="0.35"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22"/>
    </row>
    <row r="689" spans="5:54" x14ac:dyDescent="0.35"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22"/>
    </row>
    <row r="690" spans="5:54" x14ac:dyDescent="0.35"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22"/>
    </row>
    <row r="691" spans="5:54" x14ac:dyDescent="0.35"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22"/>
    </row>
    <row r="692" spans="5:54" x14ac:dyDescent="0.35"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22"/>
    </row>
    <row r="693" spans="5:54" x14ac:dyDescent="0.35"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22"/>
    </row>
    <row r="694" spans="5:54" x14ac:dyDescent="0.35"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22"/>
    </row>
    <row r="695" spans="5:54" x14ac:dyDescent="0.35"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22"/>
    </row>
    <row r="696" spans="5:54" x14ac:dyDescent="0.35"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22"/>
    </row>
    <row r="697" spans="5:54" x14ac:dyDescent="0.35"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22"/>
    </row>
    <row r="698" spans="5:54" x14ac:dyDescent="0.35"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22"/>
    </row>
    <row r="699" spans="5:54" x14ac:dyDescent="0.35"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22"/>
    </row>
    <row r="700" spans="5:54" x14ac:dyDescent="0.35"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22"/>
    </row>
    <row r="701" spans="5:54" x14ac:dyDescent="0.35"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22"/>
    </row>
    <row r="702" spans="5:54" x14ac:dyDescent="0.35"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22"/>
    </row>
    <row r="703" spans="5:54" x14ac:dyDescent="0.35"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22"/>
    </row>
    <row r="704" spans="5:54" x14ac:dyDescent="0.35"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</row>
    <row r="705" spans="5:54" x14ac:dyDescent="0.35"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22"/>
    </row>
    <row r="706" spans="5:54" x14ac:dyDescent="0.35"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22"/>
    </row>
    <row r="707" spans="5:54" x14ac:dyDescent="0.35"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22"/>
    </row>
    <row r="708" spans="5:54" x14ac:dyDescent="0.35"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22"/>
    </row>
    <row r="709" spans="5:54" x14ac:dyDescent="0.35"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22"/>
    </row>
    <row r="710" spans="5:54" x14ac:dyDescent="0.35"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22"/>
    </row>
    <row r="711" spans="5:54" x14ac:dyDescent="0.35"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22"/>
    </row>
    <row r="712" spans="5:54" x14ac:dyDescent="0.35"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22"/>
    </row>
    <row r="713" spans="5:54" x14ac:dyDescent="0.35"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22"/>
    </row>
    <row r="714" spans="5:54" x14ac:dyDescent="0.35"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22"/>
    </row>
    <row r="715" spans="5:54" x14ac:dyDescent="0.35"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22"/>
    </row>
    <row r="716" spans="5:54" x14ac:dyDescent="0.35"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22"/>
    </row>
    <row r="717" spans="5:54" x14ac:dyDescent="0.35"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22"/>
    </row>
    <row r="718" spans="5:54" x14ac:dyDescent="0.35"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22"/>
    </row>
    <row r="719" spans="5:54" x14ac:dyDescent="0.35"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22"/>
    </row>
    <row r="720" spans="5:54" x14ac:dyDescent="0.35"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22"/>
    </row>
    <row r="721" spans="5:54" x14ac:dyDescent="0.35"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22"/>
    </row>
    <row r="722" spans="5:54" x14ac:dyDescent="0.35"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22"/>
    </row>
    <row r="723" spans="5:54" x14ac:dyDescent="0.35"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22"/>
    </row>
    <row r="724" spans="5:54" x14ac:dyDescent="0.35"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22"/>
    </row>
    <row r="725" spans="5:54" x14ac:dyDescent="0.35"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22"/>
    </row>
    <row r="726" spans="5:54" x14ac:dyDescent="0.35"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22"/>
    </row>
    <row r="727" spans="5:54" x14ac:dyDescent="0.35"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22"/>
    </row>
    <row r="728" spans="5:54" x14ac:dyDescent="0.35"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22"/>
    </row>
    <row r="729" spans="5:54" x14ac:dyDescent="0.35"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22"/>
    </row>
    <row r="730" spans="5:54" x14ac:dyDescent="0.35"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22"/>
    </row>
    <row r="731" spans="5:54" x14ac:dyDescent="0.35"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22"/>
    </row>
    <row r="732" spans="5:54" x14ac:dyDescent="0.35"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22"/>
    </row>
    <row r="733" spans="5:54" x14ac:dyDescent="0.35"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22"/>
    </row>
    <row r="734" spans="5:54" x14ac:dyDescent="0.35"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22"/>
    </row>
    <row r="735" spans="5:54" x14ac:dyDescent="0.35"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22"/>
    </row>
    <row r="736" spans="5:54" x14ac:dyDescent="0.35"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</row>
    <row r="737" spans="5:54" x14ac:dyDescent="0.35"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22"/>
    </row>
    <row r="738" spans="5:54" x14ac:dyDescent="0.35"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22"/>
    </row>
    <row r="739" spans="5:54" x14ac:dyDescent="0.35"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22"/>
    </row>
    <row r="740" spans="5:54" x14ac:dyDescent="0.35"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22"/>
    </row>
    <row r="741" spans="5:54" x14ac:dyDescent="0.35"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22"/>
    </row>
    <row r="742" spans="5:54" x14ac:dyDescent="0.35"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22"/>
    </row>
    <row r="743" spans="5:54" x14ac:dyDescent="0.35"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22"/>
    </row>
    <row r="744" spans="5:54" x14ac:dyDescent="0.35"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22"/>
    </row>
    <row r="745" spans="5:54" x14ac:dyDescent="0.35"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22"/>
    </row>
    <row r="746" spans="5:54" x14ac:dyDescent="0.35"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22"/>
    </row>
    <row r="747" spans="5:54" x14ac:dyDescent="0.35"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22"/>
    </row>
    <row r="748" spans="5:54" x14ac:dyDescent="0.35"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22"/>
    </row>
    <row r="749" spans="5:54" x14ac:dyDescent="0.35"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22"/>
    </row>
    <row r="750" spans="5:54" x14ac:dyDescent="0.35"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22"/>
    </row>
    <row r="751" spans="5:54" x14ac:dyDescent="0.35"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22"/>
    </row>
    <row r="752" spans="5:54" x14ac:dyDescent="0.35"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22"/>
    </row>
    <row r="753" spans="5:54" x14ac:dyDescent="0.35"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22"/>
    </row>
    <row r="754" spans="5:54" x14ac:dyDescent="0.35"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22"/>
    </row>
    <row r="755" spans="5:54" x14ac:dyDescent="0.35"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22"/>
    </row>
    <row r="756" spans="5:54" x14ac:dyDescent="0.35"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22"/>
    </row>
    <row r="757" spans="5:54" x14ac:dyDescent="0.35"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22"/>
    </row>
    <row r="758" spans="5:54" x14ac:dyDescent="0.35"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22"/>
    </row>
    <row r="759" spans="5:54" x14ac:dyDescent="0.35"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22"/>
    </row>
    <row r="760" spans="5:54" x14ac:dyDescent="0.35"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22"/>
    </row>
    <row r="761" spans="5:54" x14ac:dyDescent="0.35"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22"/>
    </row>
    <row r="762" spans="5:54" x14ac:dyDescent="0.35"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22"/>
    </row>
    <row r="763" spans="5:54" x14ac:dyDescent="0.35"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22"/>
    </row>
    <row r="764" spans="5:54" x14ac:dyDescent="0.35"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22"/>
    </row>
    <row r="765" spans="5:54" x14ac:dyDescent="0.35"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22"/>
    </row>
    <row r="766" spans="5:54" x14ac:dyDescent="0.35"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22"/>
    </row>
    <row r="767" spans="5:54" x14ac:dyDescent="0.35"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22"/>
    </row>
    <row r="768" spans="5:54" x14ac:dyDescent="0.35"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</row>
    <row r="769" spans="5:54" x14ac:dyDescent="0.35"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22"/>
    </row>
    <row r="770" spans="5:54" x14ac:dyDescent="0.35"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22"/>
    </row>
    <row r="771" spans="5:54" x14ac:dyDescent="0.35"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22"/>
    </row>
    <row r="772" spans="5:54" x14ac:dyDescent="0.35"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22"/>
    </row>
    <row r="773" spans="5:54" x14ac:dyDescent="0.35"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22"/>
    </row>
    <row r="774" spans="5:54" x14ac:dyDescent="0.35"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22"/>
    </row>
    <row r="775" spans="5:54" x14ac:dyDescent="0.35"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22"/>
    </row>
    <row r="776" spans="5:54" x14ac:dyDescent="0.35"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22"/>
    </row>
    <row r="777" spans="5:54" x14ac:dyDescent="0.35"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22"/>
    </row>
    <row r="778" spans="5:54" x14ac:dyDescent="0.35"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22"/>
    </row>
    <row r="779" spans="5:54" x14ac:dyDescent="0.35"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22"/>
    </row>
    <row r="780" spans="5:54" x14ac:dyDescent="0.35"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22"/>
    </row>
    <row r="781" spans="5:54" x14ac:dyDescent="0.35"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22"/>
    </row>
    <row r="782" spans="5:54" x14ac:dyDescent="0.35"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22"/>
    </row>
    <row r="783" spans="5:54" x14ac:dyDescent="0.35"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22"/>
    </row>
    <row r="784" spans="5:54" x14ac:dyDescent="0.35"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22"/>
    </row>
    <row r="785" spans="5:54" x14ac:dyDescent="0.35"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22"/>
    </row>
    <row r="786" spans="5:54" x14ac:dyDescent="0.35"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22"/>
    </row>
    <row r="787" spans="5:54" x14ac:dyDescent="0.35"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22"/>
    </row>
    <row r="788" spans="5:54" x14ac:dyDescent="0.35"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22"/>
    </row>
    <row r="789" spans="5:54" x14ac:dyDescent="0.35"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22"/>
    </row>
    <row r="790" spans="5:54" x14ac:dyDescent="0.35"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22"/>
    </row>
    <row r="791" spans="5:54" x14ac:dyDescent="0.35"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22"/>
    </row>
    <row r="792" spans="5:54" x14ac:dyDescent="0.35"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22"/>
    </row>
    <row r="793" spans="5:54" x14ac:dyDescent="0.35"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22"/>
    </row>
    <row r="794" spans="5:54" x14ac:dyDescent="0.35"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22"/>
    </row>
    <row r="795" spans="5:54" x14ac:dyDescent="0.35"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22"/>
    </row>
    <row r="796" spans="5:54" x14ac:dyDescent="0.35"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22"/>
    </row>
    <row r="797" spans="5:54" x14ac:dyDescent="0.35"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22"/>
    </row>
    <row r="798" spans="5:54" x14ac:dyDescent="0.35"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22"/>
    </row>
    <row r="799" spans="5:54" x14ac:dyDescent="0.35"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22"/>
    </row>
    <row r="800" spans="5:54" x14ac:dyDescent="0.35"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</row>
    <row r="801" spans="5:54" x14ac:dyDescent="0.35"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22"/>
    </row>
    <row r="802" spans="5:54" x14ac:dyDescent="0.35"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22"/>
    </row>
    <row r="803" spans="5:54" x14ac:dyDescent="0.35"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22"/>
    </row>
    <row r="804" spans="5:54" x14ac:dyDescent="0.35"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22"/>
    </row>
    <row r="805" spans="5:54" x14ac:dyDescent="0.35"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22"/>
    </row>
    <row r="806" spans="5:54" x14ac:dyDescent="0.35"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22"/>
    </row>
    <row r="807" spans="5:54" x14ac:dyDescent="0.35"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22"/>
    </row>
    <row r="808" spans="5:54" x14ac:dyDescent="0.35"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22"/>
    </row>
    <row r="809" spans="5:54" x14ac:dyDescent="0.35"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22"/>
    </row>
    <row r="810" spans="5:54" x14ac:dyDescent="0.35"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22"/>
    </row>
    <row r="811" spans="5:54" x14ac:dyDescent="0.35"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22"/>
    </row>
    <row r="812" spans="5:54" x14ac:dyDescent="0.35"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22"/>
    </row>
    <row r="813" spans="5:54" x14ac:dyDescent="0.35"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22"/>
    </row>
    <row r="814" spans="5:54" x14ac:dyDescent="0.35"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22"/>
    </row>
    <row r="815" spans="5:54" x14ac:dyDescent="0.35"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22"/>
    </row>
    <row r="816" spans="5:54" x14ac:dyDescent="0.35"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22"/>
    </row>
    <row r="817" spans="5:54" x14ac:dyDescent="0.35"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22"/>
    </row>
    <row r="818" spans="5:54" x14ac:dyDescent="0.35"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22"/>
    </row>
    <row r="819" spans="5:54" x14ac:dyDescent="0.35"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22"/>
    </row>
    <row r="820" spans="5:54" x14ac:dyDescent="0.35"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22"/>
    </row>
    <row r="821" spans="5:54" x14ac:dyDescent="0.35"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22"/>
    </row>
    <row r="822" spans="5:54" x14ac:dyDescent="0.35"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22"/>
    </row>
    <row r="823" spans="5:54" x14ac:dyDescent="0.35"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22"/>
    </row>
    <row r="824" spans="5:54" x14ac:dyDescent="0.35"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22"/>
    </row>
    <row r="825" spans="5:54" x14ac:dyDescent="0.35"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22"/>
    </row>
    <row r="826" spans="5:54" x14ac:dyDescent="0.35"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22"/>
    </row>
    <row r="827" spans="5:54" x14ac:dyDescent="0.35"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22"/>
    </row>
    <row r="828" spans="5:54" x14ac:dyDescent="0.35"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22"/>
    </row>
    <row r="829" spans="5:54" x14ac:dyDescent="0.35"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22"/>
    </row>
    <row r="830" spans="5:54" x14ac:dyDescent="0.35"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22"/>
    </row>
    <row r="831" spans="5:54" x14ac:dyDescent="0.35"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22"/>
    </row>
    <row r="832" spans="5:54" x14ac:dyDescent="0.35"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</row>
    <row r="833" spans="5:54" x14ac:dyDescent="0.35"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22"/>
    </row>
    <row r="834" spans="5:54" x14ac:dyDescent="0.35"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22"/>
    </row>
    <row r="835" spans="5:54" x14ac:dyDescent="0.35"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22"/>
    </row>
    <row r="836" spans="5:54" x14ac:dyDescent="0.35"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22"/>
    </row>
    <row r="837" spans="5:54" x14ac:dyDescent="0.35"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22"/>
    </row>
    <row r="838" spans="5:54" x14ac:dyDescent="0.35"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22"/>
    </row>
    <row r="839" spans="5:54" x14ac:dyDescent="0.35"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22"/>
    </row>
    <row r="840" spans="5:54" x14ac:dyDescent="0.35"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22"/>
    </row>
    <row r="841" spans="5:54" x14ac:dyDescent="0.35"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22"/>
    </row>
    <row r="842" spans="5:54" x14ac:dyDescent="0.35"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22"/>
    </row>
    <row r="843" spans="5:54" x14ac:dyDescent="0.35"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22"/>
    </row>
    <row r="844" spans="5:54" x14ac:dyDescent="0.35"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22"/>
    </row>
    <row r="845" spans="5:54" x14ac:dyDescent="0.35"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22"/>
    </row>
    <row r="846" spans="5:54" x14ac:dyDescent="0.35"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22"/>
    </row>
    <row r="847" spans="5:54" x14ac:dyDescent="0.35"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22"/>
    </row>
    <row r="848" spans="5:54" x14ac:dyDescent="0.35"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22"/>
    </row>
    <row r="849" spans="5:54" x14ac:dyDescent="0.35"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22"/>
    </row>
    <row r="850" spans="5:54" x14ac:dyDescent="0.35"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22"/>
    </row>
    <row r="851" spans="5:54" x14ac:dyDescent="0.35"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22"/>
    </row>
    <row r="852" spans="5:54" x14ac:dyDescent="0.35"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22"/>
    </row>
    <row r="853" spans="5:54" x14ac:dyDescent="0.35"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22"/>
    </row>
    <row r="854" spans="5:54" x14ac:dyDescent="0.35"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22"/>
    </row>
    <row r="855" spans="5:54" x14ac:dyDescent="0.35"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22"/>
    </row>
    <row r="856" spans="5:54" x14ac:dyDescent="0.35"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22"/>
    </row>
    <row r="857" spans="5:54" x14ac:dyDescent="0.35"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22"/>
    </row>
    <row r="858" spans="5:54" x14ac:dyDescent="0.35"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22"/>
    </row>
    <row r="859" spans="5:54" x14ac:dyDescent="0.35"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22"/>
    </row>
    <row r="860" spans="5:54" x14ac:dyDescent="0.35"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22"/>
    </row>
    <row r="861" spans="5:54" x14ac:dyDescent="0.35"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22"/>
    </row>
    <row r="862" spans="5:54" x14ac:dyDescent="0.35"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22"/>
    </row>
    <row r="863" spans="5:54" x14ac:dyDescent="0.35"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22"/>
    </row>
    <row r="864" spans="5:54" x14ac:dyDescent="0.35"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22"/>
    </row>
    <row r="865" spans="5:54" x14ac:dyDescent="0.35"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22"/>
    </row>
    <row r="866" spans="5:54" x14ac:dyDescent="0.35"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22"/>
    </row>
    <row r="867" spans="5:54" x14ac:dyDescent="0.35"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22"/>
    </row>
    <row r="868" spans="5:54" x14ac:dyDescent="0.35"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22"/>
    </row>
    <row r="869" spans="5:54" x14ac:dyDescent="0.35"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22"/>
    </row>
    <row r="870" spans="5:54" x14ac:dyDescent="0.35"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22"/>
    </row>
    <row r="871" spans="5:54" x14ac:dyDescent="0.35"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22"/>
    </row>
    <row r="872" spans="5:54" x14ac:dyDescent="0.35"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22"/>
    </row>
    <row r="873" spans="5:54" x14ac:dyDescent="0.35"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22"/>
    </row>
    <row r="874" spans="5:54" x14ac:dyDescent="0.35"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22"/>
    </row>
    <row r="875" spans="5:54" x14ac:dyDescent="0.35"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22"/>
    </row>
    <row r="876" spans="5:54" x14ac:dyDescent="0.35"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22"/>
    </row>
    <row r="877" spans="5:54" x14ac:dyDescent="0.35"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22"/>
    </row>
    <row r="878" spans="5:54" x14ac:dyDescent="0.35"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22"/>
    </row>
    <row r="879" spans="5:54" x14ac:dyDescent="0.35"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22"/>
    </row>
    <row r="880" spans="5:54" x14ac:dyDescent="0.35"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22"/>
    </row>
    <row r="881" spans="5:54" x14ac:dyDescent="0.35"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22"/>
    </row>
    <row r="882" spans="5:54" x14ac:dyDescent="0.35"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22"/>
    </row>
    <row r="883" spans="5:54" x14ac:dyDescent="0.35"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22"/>
    </row>
    <row r="884" spans="5:54" x14ac:dyDescent="0.35"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22"/>
    </row>
    <row r="885" spans="5:54" x14ac:dyDescent="0.35"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22"/>
    </row>
    <row r="886" spans="5:54" x14ac:dyDescent="0.35"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22"/>
    </row>
    <row r="887" spans="5:54" x14ac:dyDescent="0.35"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22"/>
    </row>
    <row r="888" spans="5:54" x14ac:dyDescent="0.35"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22"/>
    </row>
    <row r="889" spans="5:54" x14ac:dyDescent="0.35"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22"/>
    </row>
    <row r="890" spans="5:54" x14ac:dyDescent="0.35"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22"/>
    </row>
    <row r="891" spans="5:54" x14ac:dyDescent="0.35"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22"/>
    </row>
    <row r="892" spans="5:54" x14ac:dyDescent="0.35"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22"/>
    </row>
    <row r="893" spans="5:54" x14ac:dyDescent="0.35"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22"/>
    </row>
    <row r="894" spans="5:54" x14ac:dyDescent="0.35"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22"/>
    </row>
    <row r="895" spans="5:54" x14ac:dyDescent="0.35"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22"/>
    </row>
    <row r="896" spans="5:54" x14ac:dyDescent="0.35"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22"/>
    </row>
    <row r="897" spans="5:54" x14ac:dyDescent="0.35"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22"/>
    </row>
    <row r="898" spans="5:54" x14ac:dyDescent="0.35"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22"/>
    </row>
    <row r="899" spans="5:54" x14ac:dyDescent="0.35"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22"/>
    </row>
    <row r="900" spans="5:54" x14ac:dyDescent="0.35"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22"/>
    </row>
    <row r="901" spans="5:54" x14ac:dyDescent="0.35"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22"/>
    </row>
    <row r="902" spans="5:54" x14ac:dyDescent="0.35"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22"/>
    </row>
    <row r="903" spans="5:54" x14ac:dyDescent="0.35"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22"/>
    </row>
    <row r="904" spans="5:54" x14ac:dyDescent="0.35"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22"/>
    </row>
    <row r="905" spans="5:54" x14ac:dyDescent="0.35"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22"/>
    </row>
    <row r="906" spans="5:54" x14ac:dyDescent="0.35"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22"/>
    </row>
    <row r="907" spans="5:54" x14ac:dyDescent="0.35"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22"/>
    </row>
    <row r="908" spans="5:54" x14ac:dyDescent="0.35"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22"/>
    </row>
    <row r="909" spans="5:54" x14ac:dyDescent="0.35"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22"/>
    </row>
    <row r="910" spans="5:54" x14ac:dyDescent="0.35"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22"/>
    </row>
    <row r="911" spans="5:54" x14ac:dyDescent="0.35"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22"/>
    </row>
    <row r="912" spans="5:54" x14ac:dyDescent="0.35"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22"/>
    </row>
    <row r="913" spans="5:54" x14ac:dyDescent="0.35"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22"/>
    </row>
    <row r="914" spans="5:54" x14ac:dyDescent="0.35"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22"/>
    </row>
    <row r="915" spans="5:54" x14ac:dyDescent="0.35"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22"/>
    </row>
    <row r="916" spans="5:54" x14ac:dyDescent="0.35"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22"/>
    </row>
    <row r="917" spans="5:54" x14ac:dyDescent="0.35"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22"/>
    </row>
    <row r="918" spans="5:54" x14ac:dyDescent="0.35"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22"/>
    </row>
    <row r="919" spans="5:54" x14ac:dyDescent="0.35"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22"/>
    </row>
    <row r="920" spans="5:54" x14ac:dyDescent="0.35"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22"/>
    </row>
    <row r="921" spans="5:54" x14ac:dyDescent="0.35"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22"/>
    </row>
    <row r="922" spans="5:54" x14ac:dyDescent="0.35"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22"/>
    </row>
    <row r="923" spans="5:54" x14ac:dyDescent="0.35"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22"/>
    </row>
    <row r="924" spans="5:54" x14ac:dyDescent="0.35"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22"/>
    </row>
    <row r="925" spans="5:54" x14ac:dyDescent="0.35"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22"/>
    </row>
    <row r="926" spans="5:54" x14ac:dyDescent="0.35"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22"/>
    </row>
    <row r="927" spans="5:54" x14ac:dyDescent="0.35"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22"/>
    </row>
    <row r="928" spans="5:54" x14ac:dyDescent="0.35"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22"/>
    </row>
    <row r="929" spans="5:54" x14ac:dyDescent="0.35"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22"/>
    </row>
    <row r="930" spans="5:54" x14ac:dyDescent="0.35"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22"/>
    </row>
    <row r="931" spans="5:54" x14ac:dyDescent="0.35"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22"/>
    </row>
    <row r="932" spans="5:54" x14ac:dyDescent="0.35"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22"/>
    </row>
    <row r="933" spans="5:54" x14ac:dyDescent="0.35"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22"/>
    </row>
    <row r="934" spans="5:54" x14ac:dyDescent="0.35"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22"/>
    </row>
    <row r="935" spans="5:54" x14ac:dyDescent="0.35"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22"/>
    </row>
    <row r="936" spans="5:54" x14ac:dyDescent="0.35"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22"/>
    </row>
    <row r="937" spans="5:54" x14ac:dyDescent="0.35"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22"/>
    </row>
    <row r="938" spans="5:54" x14ac:dyDescent="0.35"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22"/>
    </row>
    <row r="939" spans="5:54" x14ac:dyDescent="0.35"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22"/>
    </row>
    <row r="940" spans="5:54" x14ac:dyDescent="0.35"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22"/>
    </row>
    <row r="941" spans="5:54" x14ac:dyDescent="0.35"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22"/>
    </row>
    <row r="942" spans="5:54" x14ac:dyDescent="0.35"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22"/>
    </row>
    <row r="943" spans="5:54" x14ac:dyDescent="0.35"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22"/>
    </row>
    <row r="944" spans="5:54" x14ac:dyDescent="0.35"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22"/>
    </row>
    <row r="945" spans="5:54" x14ac:dyDescent="0.35"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22"/>
    </row>
    <row r="946" spans="5:54" x14ac:dyDescent="0.35"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22"/>
    </row>
    <row r="947" spans="5:54" x14ac:dyDescent="0.35"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22"/>
    </row>
    <row r="948" spans="5:54" x14ac:dyDescent="0.35"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22"/>
    </row>
    <row r="949" spans="5:54" x14ac:dyDescent="0.35"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22"/>
    </row>
    <row r="950" spans="5:54" x14ac:dyDescent="0.35"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22"/>
    </row>
    <row r="951" spans="5:54" x14ac:dyDescent="0.35"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22"/>
    </row>
    <row r="952" spans="5:54" x14ac:dyDescent="0.35"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22"/>
    </row>
    <row r="953" spans="5:54" x14ac:dyDescent="0.35"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22"/>
    </row>
    <row r="954" spans="5:54" x14ac:dyDescent="0.35"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22"/>
    </row>
    <row r="955" spans="5:54" x14ac:dyDescent="0.35"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22"/>
    </row>
    <row r="956" spans="5:54" x14ac:dyDescent="0.35"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22"/>
    </row>
    <row r="957" spans="5:54" x14ac:dyDescent="0.35"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22"/>
    </row>
    <row r="958" spans="5:54" x14ac:dyDescent="0.35"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22"/>
    </row>
    <row r="959" spans="5:54" x14ac:dyDescent="0.35"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22"/>
    </row>
    <row r="960" spans="5:54" x14ac:dyDescent="0.35"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22"/>
    </row>
    <row r="961" spans="5:54" x14ac:dyDescent="0.35"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22"/>
    </row>
    <row r="962" spans="5:54" x14ac:dyDescent="0.35"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22"/>
    </row>
    <row r="963" spans="5:54" x14ac:dyDescent="0.35"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22"/>
    </row>
    <row r="964" spans="5:54" x14ac:dyDescent="0.35"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22"/>
    </row>
    <row r="965" spans="5:54" x14ac:dyDescent="0.35"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22"/>
    </row>
    <row r="966" spans="5:54" x14ac:dyDescent="0.35"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22"/>
    </row>
    <row r="967" spans="5:54" x14ac:dyDescent="0.35"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22"/>
    </row>
    <row r="968" spans="5:54" x14ac:dyDescent="0.35"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22"/>
    </row>
    <row r="969" spans="5:54" x14ac:dyDescent="0.35"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22"/>
    </row>
    <row r="970" spans="5:54" x14ac:dyDescent="0.35"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22"/>
    </row>
    <row r="971" spans="5:54" x14ac:dyDescent="0.35"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22"/>
    </row>
    <row r="972" spans="5:54" x14ac:dyDescent="0.35"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22"/>
    </row>
    <row r="973" spans="5:54" x14ac:dyDescent="0.35"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22"/>
    </row>
    <row r="974" spans="5:54" x14ac:dyDescent="0.35"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22"/>
    </row>
    <row r="975" spans="5:54" x14ac:dyDescent="0.35"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22"/>
    </row>
    <row r="976" spans="5:54" x14ac:dyDescent="0.35"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22"/>
    </row>
    <row r="977" spans="5:54" x14ac:dyDescent="0.35"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22"/>
    </row>
    <row r="978" spans="5:54" x14ac:dyDescent="0.35"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22"/>
    </row>
    <row r="979" spans="5:54" x14ac:dyDescent="0.35"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22"/>
    </row>
    <row r="980" spans="5:54" x14ac:dyDescent="0.35"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22"/>
    </row>
    <row r="981" spans="5:54" x14ac:dyDescent="0.35"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22"/>
    </row>
    <row r="982" spans="5:54" x14ac:dyDescent="0.35"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22"/>
    </row>
    <row r="983" spans="5:54" x14ac:dyDescent="0.35"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22"/>
    </row>
    <row r="984" spans="5:54" x14ac:dyDescent="0.35"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22"/>
    </row>
    <row r="985" spans="5:54" x14ac:dyDescent="0.35"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22"/>
    </row>
    <row r="986" spans="5:54" x14ac:dyDescent="0.35"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22"/>
    </row>
    <row r="987" spans="5:54" x14ac:dyDescent="0.35"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22"/>
    </row>
    <row r="988" spans="5:54" x14ac:dyDescent="0.35"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22"/>
    </row>
    <row r="989" spans="5:54" x14ac:dyDescent="0.35"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22"/>
    </row>
    <row r="990" spans="5:54" x14ac:dyDescent="0.35"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22"/>
    </row>
    <row r="991" spans="5:54" x14ac:dyDescent="0.35"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22"/>
    </row>
    <row r="992" spans="5:54" x14ac:dyDescent="0.35"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22"/>
    </row>
    <row r="993" spans="5:54" x14ac:dyDescent="0.35"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22"/>
    </row>
    <row r="994" spans="5:54" x14ac:dyDescent="0.35"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22"/>
    </row>
    <row r="995" spans="5:54" x14ac:dyDescent="0.35"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22"/>
    </row>
    <row r="996" spans="5:54" x14ac:dyDescent="0.35"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22"/>
    </row>
    <row r="997" spans="5:54" x14ac:dyDescent="0.35"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22"/>
    </row>
    <row r="998" spans="5:54" x14ac:dyDescent="0.35"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22"/>
    </row>
    <row r="999" spans="5:54" x14ac:dyDescent="0.35"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22"/>
    </row>
    <row r="1000" spans="5:54" x14ac:dyDescent="0.35"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22"/>
    </row>
    <row r="1001" spans="5:54" x14ac:dyDescent="0.35"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22"/>
    </row>
    <row r="1002" spans="5:54" x14ac:dyDescent="0.35"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22"/>
    </row>
    <row r="1003" spans="5:54" x14ac:dyDescent="0.35"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22"/>
    </row>
    <row r="1004" spans="5:54" x14ac:dyDescent="0.35"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22"/>
    </row>
    <row r="1005" spans="5:54" x14ac:dyDescent="0.35"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22"/>
    </row>
    <row r="1006" spans="5:54" x14ac:dyDescent="0.35"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22"/>
    </row>
    <row r="1007" spans="5:54" x14ac:dyDescent="0.35"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22"/>
    </row>
    <row r="1008" spans="5:54" x14ac:dyDescent="0.35"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22"/>
    </row>
    <row r="1009" spans="5:54" x14ac:dyDescent="0.35"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22"/>
    </row>
    <row r="1010" spans="5:54" x14ac:dyDescent="0.35"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22"/>
    </row>
    <row r="1011" spans="5:54" x14ac:dyDescent="0.35"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22"/>
    </row>
    <row r="1012" spans="5:54" x14ac:dyDescent="0.35"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22"/>
    </row>
    <row r="1013" spans="5:54" x14ac:dyDescent="0.35"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22"/>
    </row>
    <row r="1014" spans="5:54" x14ac:dyDescent="0.35"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22"/>
    </row>
    <row r="1015" spans="5:54" x14ac:dyDescent="0.35"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22"/>
    </row>
    <row r="1016" spans="5:54" x14ac:dyDescent="0.35"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22"/>
    </row>
    <row r="1017" spans="5:54" x14ac:dyDescent="0.35"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22"/>
    </row>
    <row r="1018" spans="5:54" x14ac:dyDescent="0.35"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22"/>
    </row>
    <row r="1019" spans="5:54" x14ac:dyDescent="0.35"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22"/>
    </row>
    <row r="1020" spans="5:54" x14ac:dyDescent="0.35"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22"/>
    </row>
    <row r="1021" spans="5:54" x14ac:dyDescent="0.35"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22"/>
    </row>
    <row r="1022" spans="5:54" x14ac:dyDescent="0.35"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22"/>
    </row>
    <row r="1023" spans="5:54" x14ac:dyDescent="0.35"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22"/>
    </row>
    <row r="1024" spans="5:54" x14ac:dyDescent="0.35"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22"/>
    </row>
    <row r="1025" spans="5:54" x14ac:dyDescent="0.35"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22"/>
    </row>
    <row r="1026" spans="5:54" x14ac:dyDescent="0.35"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22"/>
    </row>
    <row r="1027" spans="5:54" x14ac:dyDescent="0.35"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22"/>
    </row>
    <row r="1028" spans="5:54" x14ac:dyDescent="0.35"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22"/>
    </row>
    <row r="1029" spans="5:54" x14ac:dyDescent="0.35"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22"/>
    </row>
    <row r="1030" spans="5:54" x14ac:dyDescent="0.35"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22"/>
    </row>
    <row r="1031" spans="5:54" x14ac:dyDescent="0.35"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22"/>
    </row>
    <row r="1032" spans="5:54" x14ac:dyDescent="0.35"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22"/>
    </row>
    <row r="1033" spans="5:54" x14ac:dyDescent="0.35"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22"/>
    </row>
    <row r="1034" spans="5:54" x14ac:dyDescent="0.35"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22"/>
    </row>
    <row r="1035" spans="5:54" x14ac:dyDescent="0.35"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22"/>
    </row>
    <row r="1036" spans="5:54" x14ac:dyDescent="0.35"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22"/>
    </row>
    <row r="1037" spans="5:54" x14ac:dyDescent="0.35"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22"/>
    </row>
    <row r="1038" spans="5:54" x14ac:dyDescent="0.35"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22"/>
    </row>
    <row r="1039" spans="5:54" x14ac:dyDescent="0.35"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22"/>
    </row>
    <row r="1040" spans="5:54" x14ac:dyDescent="0.35"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22"/>
    </row>
    <row r="1041" spans="5:54" x14ac:dyDescent="0.35"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22"/>
    </row>
    <row r="1042" spans="5:54" x14ac:dyDescent="0.35"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22"/>
    </row>
    <row r="1043" spans="5:54" x14ac:dyDescent="0.35"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22"/>
    </row>
    <row r="1044" spans="5:54" x14ac:dyDescent="0.35"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22"/>
    </row>
    <row r="1045" spans="5:54" x14ac:dyDescent="0.35"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22"/>
    </row>
    <row r="1046" spans="5:54" x14ac:dyDescent="0.35"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22"/>
    </row>
    <row r="1047" spans="5:54" x14ac:dyDescent="0.35"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22"/>
    </row>
    <row r="1048" spans="5:54" x14ac:dyDescent="0.35"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22"/>
    </row>
    <row r="1049" spans="5:54" x14ac:dyDescent="0.35"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22"/>
    </row>
    <row r="1050" spans="5:54" x14ac:dyDescent="0.35"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22"/>
    </row>
    <row r="1051" spans="5:54" x14ac:dyDescent="0.35"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22"/>
    </row>
    <row r="1052" spans="5:54" x14ac:dyDescent="0.35"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22"/>
    </row>
    <row r="1053" spans="5:54" x14ac:dyDescent="0.35"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22"/>
    </row>
    <row r="1054" spans="5:54" x14ac:dyDescent="0.35"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22"/>
    </row>
    <row r="1055" spans="5:54" x14ac:dyDescent="0.35"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22"/>
    </row>
    <row r="1056" spans="5:54" x14ac:dyDescent="0.35"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22"/>
    </row>
    <row r="1057" spans="5:54" x14ac:dyDescent="0.35"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22"/>
    </row>
    <row r="1058" spans="5:54" x14ac:dyDescent="0.35"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22"/>
    </row>
    <row r="1059" spans="5:54" x14ac:dyDescent="0.35"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22"/>
    </row>
    <row r="1060" spans="5:54" x14ac:dyDescent="0.35"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22"/>
    </row>
    <row r="1061" spans="5:54" x14ac:dyDescent="0.35"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22"/>
    </row>
    <row r="1062" spans="5:54" x14ac:dyDescent="0.35"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22"/>
    </row>
    <row r="1063" spans="5:54" x14ac:dyDescent="0.35"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22"/>
    </row>
    <row r="1064" spans="5:54" x14ac:dyDescent="0.35"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22"/>
    </row>
    <row r="1065" spans="5:54" x14ac:dyDescent="0.35"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22"/>
    </row>
    <row r="1066" spans="5:54" x14ac:dyDescent="0.35"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22"/>
    </row>
    <row r="1067" spans="5:54" x14ac:dyDescent="0.35"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22"/>
    </row>
    <row r="1068" spans="5:54" x14ac:dyDescent="0.35"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22"/>
    </row>
    <row r="1069" spans="5:54" x14ac:dyDescent="0.35"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22"/>
    </row>
    <row r="1070" spans="5:54" x14ac:dyDescent="0.35"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22"/>
    </row>
    <row r="1071" spans="5:54" x14ac:dyDescent="0.35"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22"/>
    </row>
    <row r="1072" spans="5:54" x14ac:dyDescent="0.35"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22"/>
    </row>
    <row r="1073" spans="5:54" x14ac:dyDescent="0.35"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22"/>
    </row>
    <row r="1074" spans="5:54" x14ac:dyDescent="0.35"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22"/>
    </row>
    <row r="1075" spans="5:54" x14ac:dyDescent="0.35"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22"/>
    </row>
    <row r="1076" spans="5:54" x14ac:dyDescent="0.35"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22"/>
    </row>
    <row r="1077" spans="5:54" x14ac:dyDescent="0.35"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22"/>
    </row>
    <row r="1078" spans="5:54" x14ac:dyDescent="0.35"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22"/>
    </row>
    <row r="1079" spans="5:54" x14ac:dyDescent="0.35"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22"/>
    </row>
    <row r="1080" spans="5:54" x14ac:dyDescent="0.35"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22"/>
    </row>
    <row r="1081" spans="5:54" x14ac:dyDescent="0.35"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22"/>
    </row>
    <row r="1082" spans="5:54" x14ac:dyDescent="0.35"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22"/>
    </row>
    <row r="1083" spans="5:54" x14ac:dyDescent="0.35"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22"/>
    </row>
    <row r="1084" spans="5:54" x14ac:dyDescent="0.35"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22"/>
    </row>
    <row r="1085" spans="5:54" x14ac:dyDescent="0.35"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22"/>
    </row>
    <row r="1086" spans="5:54" x14ac:dyDescent="0.35"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22"/>
    </row>
    <row r="1087" spans="5:54" x14ac:dyDescent="0.35"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22"/>
    </row>
    <row r="1088" spans="5:54" x14ac:dyDescent="0.35"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22"/>
    </row>
    <row r="1089" spans="5:54" x14ac:dyDescent="0.35"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22"/>
    </row>
    <row r="1090" spans="5:54" x14ac:dyDescent="0.35"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22"/>
    </row>
    <row r="1091" spans="5:54" x14ac:dyDescent="0.35"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22"/>
    </row>
    <row r="1092" spans="5:54" x14ac:dyDescent="0.35"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22"/>
    </row>
    <row r="1093" spans="5:54" x14ac:dyDescent="0.35"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22"/>
    </row>
    <row r="1094" spans="5:54" x14ac:dyDescent="0.35"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22"/>
    </row>
    <row r="1095" spans="5:54" x14ac:dyDescent="0.35"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22"/>
    </row>
    <row r="1096" spans="5:54" x14ac:dyDescent="0.35"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22"/>
    </row>
    <row r="1097" spans="5:54" x14ac:dyDescent="0.35"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22"/>
    </row>
    <row r="1098" spans="5:54" x14ac:dyDescent="0.35"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22"/>
    </row>
    <row r="1099" spans="5:54" x14ac:dyDescent="0.35"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22"/>
    </row>
    <row r="1100" spans="5:54" x14ac:dyDescent="0.35"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22"/>
    </row>
    <row r="1101" spans="5:54" x14ac:dyDescent="0.35"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22"/>
    </row>
    <row r="1102" spans="5:54" x14ac:dyDescent="0.35"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22"/>
    </row>
    <row r="1103" spans="5:54" x14ac:dyDescent="0.35"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22"/>
    </row>
    <row r="1104" spans="5:54" x14ac:dyDescent="0.35"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22"/>
    </row>
    <row r="1105" spans="5:54" x14ac:dyDescent="0.35"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22"/>
    </row>
    <row r="1106" spans="5:54" x14ac:dyDescent="0.35"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22"/>
    </row>
    <row r="1107" spans="5:54" x14ac:dyDescent="0.35"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22"/>
    </row>
    <row r="1108" spans="5:54" x14ac:dyDescent="0.35"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22"/>
    </row>
    <row r="1109" spans="5:54" x14ac:dyDescent="0.35"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22"/>
    </row>
    <row r="1110" spans="5:54" x14ac:dyDescent="0.35"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22"/>
    </row>
    <row r="1111" spans="5:54" x14ac:dyDescent="0.35"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22"/>
    </row>
    <row r="1112" spans="5:54" x14ac:dyDescent="0.35"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22"/>
    </row>
    <row r="1113" spans="5:54" x14ac:dyDescent="0.35"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22"/>
    </row>
    <row r="1114" spans="5:54" x14ac:dyDescent="0.35"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22"/>
    </row>
    <row r="1115" spans="5:54" x14ac:dyDescent="0.35"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22"/>
    </row>
    <row r="1116" spans="5:54" x14ac:dyDescent="0.35"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22"/>
    </row>
    <row r="1117" spans="5:54" x14ac:dyDescent="0.35"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22"/>
    </row>
    <row r="1118" spans="5:54" x14ac:dyDescent="0.35"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22"/>
    </row>
    <row r="1119" spans="5:54" x14ac:dyDescent="0.35"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22"/>
    </row>
    <row r="1120" spans="5:54" x14ac:dyDescent="0.35"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22"/>
    </row>
    <row r="1121" spans="5:54" x14ac:dyDescent="0.35"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22"/>
    </row>
    <row r="1122" spans="5:54" x14ac:dyDescent="0.35"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22"/>
    </row>
    <row r="1123" spans="5:54" x14ac:dyDescent="0.35"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22"/>
    </row>
    <row r="1124" spans="5:54" x14ac:dyDescent="0.35"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22"/>
    </row>
    <row r="1125" spans="5:54" x14ac:dyDescent="0.35"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22"/>
    </row>
    <row r="1126" spans="5:54" x14ac:dyDescent="0.35"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22"/>
    </row>
    <row r="1127" spans="5:54" x14ac:dyDescent="0.35"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22"/>
    </row>
    <row r="1128" spans="5:54" x14ac:dyDescent="0.35"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22"/>
    </row>
    <row r="1129" spans="5:54" x14ac:dyDescent="0.35"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22"/>
    </row>
    <row r="1130" spans="5:54" x14ac:dyDescent="0.35"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22"/>
    </row>
    <row r="1131" spans="5:54" x14ac:dyDescent="0.35"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22"/>
    </row>
    <row r="1132" spans="5:54" x14ac:dyDescent="0.35"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22"/>
    </row>
    <row r="1133" spans="5:54" x14ac:dyDescent="0.35"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22"/>
    </row>
    <row r="1134" spans="5:54" x14ac:dyDescent="0.35"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22"/>
    </row>
    <row r="1135" spans="5:54" x14ac:dyDescent="0.35"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22"/>
    </row>
    <row r="1136" spans="5:54" x14ac:dyDescent="0.35"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22"/>
    </row>
    <row r="1137" spans="5:54" x14ac:dyDescent="0.35"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22"/>
    </row>
    <row r="1138" spans="5:54" x14ac:dyDescent="0.35"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22"/>
    </row>
    <row r="1139" spans="5:54" x14ac:dyDescent="0.35"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22"/>
    </row>
    <row r="1140" spans="5:54" x14ac:dyDescent="0.35"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22"/>
    </row>
    <row r="1141" spans="5:54" x14ac:dyDescent="0.35"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22"/>
    </row>
    <row r="1142" spans="5:54" x14ac:dyDescent="0.35"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22"/>
    </row>
    <row r="1143" spans="5:54" x14ac:dyDescent="0.35"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  <c r="AA1143" s="22"/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22"/>
    </row>
    <row r="1144" spans="5:54" x14ac:dyDescent="0.35"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2"/>
      <c r="AA1144" s="22"/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22"/>
    </row>
    <row r="1145" spans="5:54" x14ac:dyDescent="0.35"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  <c r="AA1145" s="22"/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22"/>
    </row>
    <row r="1146" spans="5:54" x14ac:dyDescent="0.35"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2"/>
      <c r="AA1146" s="22"/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22"/>
    </row>
    <row r="1147" spans="5:54" x14ac:dyDescent="0.35"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  <c r="AA1147" s="22"/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22"/>
    </row>
    <row r="1148" spans="5:54" x14ac:dyDescent="0.35"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2"/>
      <c r="AA1148" s="22"/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22"/>
    </row>
    <row r="1149" spans="5:54" x14ac:dyDescent="0.35"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  <c r="AA1149" s="22"/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22"/>
    </row>
    <row r="1150" spans="5:54" x14ac:dyDescent="0.35"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2"/>
      <c r="AA1150" s="22"/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22"/>
    </row>
    <row r="1151" spans="5:54" x14ac:dyDescent="0.35"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  <c r="AA1151" s="22"/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22"/>
    </row>
    <row r="1152" spans="5:54" x14ac:dyDescent="0.35"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2"/>
      <c r="AA1152" s="22"/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22"/>
    </row>
    <row r="1153" spans="5:54" x14ac:dyDescent="0.35"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  <c r="AA1153" s="22"/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22"/>
    </row>
    <row r="1154" spans="5:54" x14ac:dyDescent="0.35"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2"/>
      <c r="AA1154" s="22"/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22"/>
    </row>
    <row r="1155" spans="5:54" x14ac:dyDescent="0.35"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22"/>
    </row>
    <row r="1156" spans="5:54" x14ac:dyDescent="0.35"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2"/>
      <c r="AA1156" s="22"/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22"/>
    </row>
    <row r="1157" spans="5:54" x14ac:dyDescent="0.35"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  <c r="AA1157" s="22"/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22"/>
    </row>
    <row r="1158" spans="5:54" x14ac:dyDescent="0.35"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2"/>
      <c r="AA1158" s="22"/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22"/>
    </row>
    <row r="1159" spans="5:54" x14ac:dyDescent="0.35"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  <c r="AA1159" s="22"/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22"/>
    </row>
    <row r="1160" spans="5:54" x14ac:dyDescent="0.35"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2"/>
      <c r="AA1160" s="22"/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22"/>
    </row>
    <row r="1161" spans="5:54" x14ac:dyDescent="0.35"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  <c r="AA1161" s="22"/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22"/>
    </row>
    <row r="1162" spans="5:54" x14ac:dyDescent="0.35"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2"/>
      <c r="AA1162" s="22"/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22"/>
    </row>
    <row r="1163" spans="5:54" x14ac:dyDescent="0.35"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  <c r="AA1163" s="22"/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22"/>
    </row>
    <row r="1164" spans="5:54" x14ac:dyDescent="0.35"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2"/>
      <c r="AA1164" s="22"/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22"/>
    </row>
    <row r="1165" spans="5:54" x14ac:dyDescent="0.35"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  <c r="AA1165" s="22"/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22"/>
    </row>
    <row r="1166" spans="5:54" x14ac:dyDescent="0.35"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2"/>
      <c r="AA1166" s="22"/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22"/>
    </row>
    <row r="1167" spans="5:54" x14ac:dyDescent="0.35"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  <c r="AA1167" s="22"/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22"/>
    </row>
    <row r="1168" spans="5:54" x14ac:dyDescent="0.35"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2"/>
      <c r="AA1168" s="22"/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22"/>
    </row>
    <row r="1169" spans="5:54" x14ac:dyDescent="0.35"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  <c r="AA1169" s="22"/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22"/>
    </row>
    <row r="1170" spans="5:54" x14ac:dyDescent="0.35"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2"/>
      <c r="AA1170" s="22"/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22"/>
    </row>
    <row r="1171" spans="5:54" x14ac:dyDescent="0.35"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  <c r="AA1171" s="22"/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22"/>
    </row>
    <row r="1172" spans="5:54" x14ac:dyDescent="0.35"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22"/>
    </row>
    <row r="1173" spans="5:54" x14ac:dyDescent="0.35"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  <c r="AA1173" s="22"/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22"/>
    </row>
    <row r="1174" spans="5:54" x14ac:dyDescent="0.35"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2"/>
      <c r="AA1174" s="22"/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22"/>
    </row>
    <row r="1175" spans="5:54" x14ac:dyDescent="0.35"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  <c r="AA1175" s="22"/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22"/>
    </row>
    <row r="1176" spans="5:54" x14ac:dyDescent="0.35"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2"/>
      <c r="AA1176" s="22"/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22"/>
    </row>
    <row r="1177" spans="5:54" x14ac:dyDescent="0.35"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  <c r="AA1177" s="22"/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22"/>
    </row>
    <row r="1178" spans="5:54" x14ac:dyDescent="0.35"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2"/>
      <c r="AA1178" s="22"/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22"/>
    </row>
    <row r="1179" spans="5:54" x14ac:dyDescent="0.35"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  <c r="AA1179" s="22"/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22"/>
    </row>
    <row r="1180" spans="5:54" x14ac:dyDescent="0.35"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22"/>
    </row>
    <row r="1181" spans="5:54" x14ac:dyDescent="0.35"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  <c r="AA1181" s="22"/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22"/>
    </row>
    <row r="1182" spans="5:54" x14ac:dyDescent="0.35"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2"/>
      <c r="AA1182" s="22"/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22"/>
    </row>
    <row r="1183" spans="5:54" x14ac:dyDescent="0.35"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22"/>
    </row>
    <row r="1184" spans="5:54" x14ac:dyDescent="0.35"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22"/>
    </row>
    <row r="1185" spans="5:54" x14ac:dyDescent="0.35"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22"/>
    </row>
    <row r="1186" spans="5:54" x14ac:dyDescent="0.35"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2"/>
      <c r="AA1186" s="22"/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22"/>
    </row>
    <row r="1187" spans="5:54" x14ac:dyDescent="0.35"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  <c r="AA1187" s="22"/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22"/>
    </row>
    <row r="1188" spans="5:54" x14ac:dyDescent="0.35"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22"/>
    </row>
    <row r="1189" spans="5:54" x14ac:dyDescent="0.35"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22"/>
    </row>
    <row r="1190" spans="5:54" x14ac:dyDescent="0.35"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22"/>
    </row>
    <row r="1191" spans="5:54" x14ac:dyDescent="0.35"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22"/>
    </row>
    <row r="1192" spans="5:54" x14ac:dyDescent="0.35"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22"/>
    </row>
    <row r="1193" spans="5:54" x14ac:dyDescent="0.35"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22"/>
    </row>
    <row r="1194" spans="5:54" x14ac:dyDescent="0.35"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22"/>
    </row>
    <row r="1195" spans="5:54" x14ac:dyDescent="0.35"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  <c r="AA1195" s="22"/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22"/>
    </row>
    <row r="1196" spans="5:54" x14ac:dyDescent="0.35"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2"/>
      <c r="AA1196" s="22"/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22"/>
    </row>
    <row r="1197" spans="5:54" x14ac:dyDescent="0.35"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22"/>
    </row>
    <row r="1198" spans="5:54" x14ac:dyDescent="0.35"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2"/>
      <c r="AA1198" s="22"/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22"/>
    </row>
    <row r="1199" spans="5:54" x14ac:dyDescent="0.35"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22"/>
    </row>
    <row r="1200" spans="5:54" x14ac:dyDescent="0.35"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22"/>
    </row>
    <row r="1201" spans="5:54" x14ac:dyDescent="0.35"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  <c r="AA1201" s="22"/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22"/>
    </row>
    <row r="1202" spans="5:54" x14ac:dyDescent="0.35"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22"/>
    </row>
    <row r="1203" spans="5:54" x14ac:dyDescent="0.35"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  <c r="AA1203" s="22"/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22"/>
    </row>
    <row r="1204" spans="5:54" x14ac:dyDescent="0.35"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2"/>
      <c r="AA1204" s="22"/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22"/>
    </row>
    <row r="1205" spans="5:54" x14ac:dyDescent="0.35"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22"/>
    </row>
    <row r="1206" spans="5:54" x14ac:dyDescent="0.35"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2"/>
      <c r="AA1206" s="22"/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22"/>
    </row>
    <row r="1207" spans="5:54" x14ac:dyDescent="0.35"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22"/>
    </row>
    <row r="1208" spans="5:54" x14ac:dyDescent="0.35"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2"/>
      <c r="AA1208" s="22"/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22"/>
    </row>
    <row r="1209" spans="5:54" x14ac:dyDescent="0.35"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22"/>
    </row>
    <row r="1210" spans="5:54" x14ac:dyDescent="0.35"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2"/>
      <c r="AA1210" s="22"/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22"/>
    </row>
    <row r="1211" spans="5:54" x14ac:dyDescent="0.35"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22"/>
    </row>
    <row r="1212" spans="5:54" x14ac:dyDescent="0.35"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22"/>
    </row>
    <row r="1213" spans="5:54" x14ac:dyDescent="0.35"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22"/>
    </row>
    <row r="1214" spans="5:54" x14ac:dyDescent="0.35"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22"/>
    </row>
    <row r="1215" spans="5:54" x14ac:dyDescent="0.35"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22"/>
    </row>
    <row r="1216" spans="5:54" x14ac:dyDescent="0.35"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22"/>
    </row>
    <row r="1217" spans="5:54" x14ac:dyDescent="0.35"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22"/>
    </row>
    <row r="1218" spans="5:54" x14ac:dyDescent="0.35"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22"/>
    </row>
    <row r="1219" spans="5:54" x14ac:dyDescent="0.35"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22"/>
    </row>
    <row r="1220" spans="5:54" x14ac:dyDescent="0.35"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22"/>
    </row>
    <row r="1221" spans="5:54" x14ac:dyDescent="0.35"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22"/>
    </row>
    <row r="1222" spans="5:54" x14ac:dyDescent="0.35"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22"/>
    </row>
    <row r="1223" spans="5:54" x14ac:dyDescent="0.35"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22"/>
    </row>
    <row r="1224" spans="5:54" x14ac:dyDescent="0.35"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22"/>
    </row>
    <row r="1225" spans="5:54" x14ac:dyDescent="0.35"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22"/>
    </row>
    <row r="1226" spans="5:54" x14ac:dyDescent="0.35"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22"/>
    </row>
    <row r="1227" spans="5:54" x14ac:dyDescent="0.35"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22"/>
    </row>
    <row r="1228" spans="5:54" x14ac:dyDescent="0.35"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22"/>
    </row>
    <row r="1229" spans="5:54" x14ac:dyDescent="0.35"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22"/>
    </row>
    <row r="1230" spans="5:54" x14ac:dyDescent="0.35"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22"/>
    </row>
    <row r="1231" spans="5:54" x14ac:dyDescent="0.35"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22"/>
    </row>
    <row r="1232" spans="5:54" x14ac:dyDescent="0.35"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22"/>
    </row>
    <row r="1233" spans="5:54" x14ac:dyDescent="0.35"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22"/>
    </row>
    <row r="1234" spans="5:54" x14ac:dyDescent="0.35"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22"/>
    </row>
    <row r="1235" spans="5:54" x14ac:dyDescent="0.35"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22"/>
    </row>
    <row r="1236" spans="5:54" x14ac:dyDescent="0.35"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22"/>
    </row>
    <row r="1237" spans="5:54" x14ac:dyDescent="0.35"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22"/>
    </row>
    <row r="1238" spans="5:54" x14ac:dyDescent="0.35"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22"/>
    </row>
    <row r="1239" spans="5:54" x14ac:dyDescent="0.35"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22"/>
    </row>
    <row r="1240" spans="5:54" x14ac:dyDescent="0.35"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22"/>
    </row>
    <row r="1241" spans="5:54" x14ac:dyDescent="0.35"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22"/>
    </row>
    <row r="1242" spans="5:54" x14ac:dyDescent="0.35"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22"/>
    </row>
    <row r="1243" spans="5:54" x14ac:dyDescent="0.35"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22"/>
    </row>
    <row r="1244" spans="5:54" x14ac:dyDescent="0.35"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22"/>
    </row>
    <row r="1245" spans="5:54" x14ac:dyDescent="0.35"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22"/>
    </row>
    <row r="1246" spans="5:54" x14ac:dyDescent="0.35"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22"/>
    </row>
    <row r="1247" spans="5:54" x14ac:dyDescent="0.35"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22"/>
    </row>
    <row r="1248" spans="5:54" x14ac:dyDescent="0.35"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22"/>
    </row>
    <row r="1249" spans="5:54" x14ac:dyDescent="0.35"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22"/>
    </row>
    <row r="1250" spans="5:54" x14ac:dyDescent="0.35"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22"/>
    </row>
    <row r="1251" spans="5:54" x14ac:dyDescent="0.35"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22"/>
    </row>
    <row r="1252" spans="5:54" x14ac:dyDescent="0.35"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22"/>
    </row>
    <row r="1253" spans="5:54" x14ac:dyDescent="0.35"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22"/>
    </row>
    <row r="1254" spans="5:54" x14ac:dyDescent="0.35"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22"/>
    </row>
    <row r="1255" spans="5:54" x14ac:dyDescent="0.35"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22"/>
    </row>
    <row r="1256" spans="5:54" x14ac:dyDescent="0.35"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22"/>
    </row>
    <row r="1257" spans="5:54" x14ac:dyDescent="0.35"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22"/>
    </row>
    <row r="1258" spans="5:54" x14ac:dyDescent="0.35"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22"/>
    </row>
    <row r="1259" spans="5:54" x14ac:dyDescent="0.35"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22"/>
    </row>
    <row r="1260" spans="5:54" x14ac:dyDescent="0.35"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22"/>
    </row>
    <row r="1261" spans="5:54" x14ac:dyDescent="0.35"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22"/>
    </row>
    <row r="1262" spans="5:54" x14ac:dyDescent="0.35"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22"/>
    </row>
    <row r="1263" spans="5:54" x14ac:dyDescent="0.35"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22"/>
    </row>
    <row r="1264" spans="5:54" x14ac:dyDescent="0.35"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22"/>
    </row>
    <row r="1265" spans="5:54" x14ac:dyDescent="0.35"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22"/>
    </row>
    <row r="1266" spans="5:54" x14ac:dyDescent="0.35"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22"/>
    </row>
    <row r="1267" spans="5:54" x14ac:dyDescent="0.35"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22"/>
    </row>
    <row r="1268" spans="5:54" x14ac:dyDescent="0.35"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22"/>
    </row>
    <row r="1269" spans="5:54" x14ac:dyDescent="0.35"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22"/>
    </row>
    <row r="1270" spans="5:54" x14ac:dyDescent="0.35"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22"/>
    </row>
    <row r="1271" spans="5:54" x14ac:dyDescent="0.35"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22"/>
    </row>
    <row r="1272" spans="5:54" x14ac:dyDescent="0.35"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22"/>
    </row>
    <row r="1273" spans="5:54" x14ac:dyDescent="0.35"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22"/>
    </row>
    <row r="1274" spans="5:54" x14ac:dyDescent="0.35"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22"/>
    </row>
    <row r="1275" spans="5:54" x14ac:dyDescent="0.35"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22"/>
    </row>
    <row r="1276" spans="5:54" x14ac:dyDescent="0.35"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22"/>
    </row>
    <row r="1277" spans="5:54" x14ac:dyDescent="0.35"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22"/>
    </row>
    <row r="1278" spans="5:54" x14ac:dyDescent="0.35"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22"/>
    </row>
    <row r="1279" spans="5:54" x14ac:dyDescent="0.35"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22"/>
    </row>
    <row r="1280" spans="5:54" x14ac:dyDescent="0.35"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22"/>
    </row>
    <row r="1281" spans="5:54" x14ac:dyDescent="0.35"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22"/>
    </row>
    <row r="1282" spans="5:54" x14ac:dyDescent="0.35"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22"/>
    </row>
    <row r="1283" spans="5:54" x14ac:dyDescent="0.35"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22"/>
    </row>
    <row r="1284" spans="5:54" x14ac:dyDescent="0.35"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22"/>
    </row>
    <row r="1285" spans="5:54" x14ac:dyDescent="0.35"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22"/>
    </row>
    <row r="1286" spans="5:54" x14ac:dyDescent="0.35"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22"/>
    </row>
    <row r="1287" spans="5:54" x14ac:dyDescent="0.35"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22"/>
    </row>
    <row r="1288" spans="5:54" x14ac:dyDescent="0.35"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22"/>
    </row>
    <row r="1289" spans="5:54" x14ac:dyDescent="0.35"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22"/>
    </row>
    <row r="1290" spans="5:54" x14ac:dyDescent="0.35"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22"/>
    </row>
    <row r="1291" spans="5:54" x14ac:dyDescent="0.35"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22"/>
    </row>
    <row r="1292" spans="5:54" x14ac:dyDescent="0.35"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22"/>
    </row>
    <row r="1293" spans="5:54" x14ac:dyDescent="0.35"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2"/>
      <c r="T1293" s="22"/>
      <c r="U1293" s="22"/>
      <c r="V1293" s="22"/>
      <c r="W1293" s="22"/>
      <c r="X1293" s="22"/>
      <c r="Y1293" s="22"/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22"/>
    </row>
    <row r="1294" spans="5:54" x14ac:dyDescent="0.35"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2"/>
      <c r="Y1294" s="22"/>
      <c r="Z1294" s="22"/>
      <c r="AA1294" s="22"/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22"/>
    </row>
    <row r="1295" spans="5:54" x14ac:dyDescent="0.35"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2"/>
      <c r="T1295" s="22"/>
      <c r="U1295" s="22"/>
      <c r="V1295" s="22"/>
      <c r="W1295" s="22"/>
      <c r="X1295" s="22"/>
      <c r="Y1295" s="22"/>
      <c r="Z1295" s="22"/>
      <c r="AA1295" s="22"/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22"/>
    </row>
    <row r="1296" spans="5:54" x14ac:dyDescent="0.35"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22"/>
    </row>
    <row r="1297" spans="5:54" x14ac:dyDescent="0.35"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2"/>
      <c r="T1297" s="22"/>
      <c r="U1297" s="22"/>
      <c r="V1297" s="22"/>
      <c r="W1297" s="22"/>
      <c r="X1297" s="22"/>
      <c r="Y1297" s="22"/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22"/>
    </row>
    <row r="1298" spans="5:54" x14ac:dyDescent="0.35"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2"/>
      <c r="Y1298" s="22"/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22"/>
    </row>
    <row r="1299" spans="5:54" x14ac:dyDescent="0.35"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2"/>
      <c r="T1299" s="22"/>
      <c r="U1299" s="22"/>
      <c r="V1299" s="22"/>
      <c r="W1299" s="22"/>
      <c r="X1299" s="22"/>
      <c r="Y1299" s="22"/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22"/>
    </row>
    <row r="1300" spans="5:54" x14ac:dyDescent="0.35"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2"/>
      <c r="Y1300" s="22"/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22"/>
    </row>
    <row r="1301" spans="5:54" x14ac:dyDescent="0.35"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2"/>
      <c r="T1301" s="22"/>
      <c r="U1301" s="22"/>
      <c r="V1301" s="22"/>
      <c r="W1301" s="22"/>
      <c r="X1301" s="22"/>
      <c r="Y1301" s="22"/>
      <c r="Z1301" s="22"/>
      <c r="AA1301" s="22"/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22"/>
    </row>
    <row r="1302" spans="5:54" x14ac:dyDescent="0.35"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2"/>
      <c r="Y1302" s="22"/>
      <c r="Z1302" s="22"/>
      <c r="AA1302" s="22"/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22"/>
    </row>
    <row r="1303" spans="5:54" x14ac:dyDescent="0.35"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2"/>
      <c r="T1303" s="22"/>
      <c r="U1303" s="22"/>
      <c r="V1303" s="22"/>
      <c r="W1303" s="22"/>
      <c r="X1303" s="22"/>
      <c r="Y1303" s="22"/>
      <c r="Z1303" s="22"/>
      <c r="AA1303" s="22"/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22"/>
    </row>
    <row r="1304" spans="5:54" x14ac:dyDescent="0.35"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2"/>
      <c r="Y1304" s="22"/>
      <c r="Z1304" s="22"/>
      <c r="AA1304" s="22"/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22"/>
    </row>
    <row r="1305" spans="5:54" x14ac:dyDescent="0.35"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2"/>
      <c r="T1305" s="22"/>
      <c r="U1305" s="22"/>
      <c r="V1305" s="22"/>
      <c r="W1305" s="22"/>
      <c r="X1305" s="22"/>
      <c r="Y1305" s="22"/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22"/>
    </row>
    <row r="1306" spans="5:54" x14ac:dyDescent="0.35"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2"/>
      <c r="Y1306" s="22"/>
      <c r="Z1306" s="22"/>
      <c r="AA1306" s="22"/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22"/>
    </row>
    <row r="1307" spans="5:54" x14ac:dyDescent="0.35"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2"/>
      <c r="T1307" s="22"/>
      <c r="U1307" s="22"/>
      <c r="V1307" s="22"/>
      <c r="W1307" s="22"/>
      <c r="X1307" s="22"/>
      <c r="Y1307" s="22"/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22"/>
    </row>
    <row r="1308" spans="5:54" x14ac:dyDescent="0.35"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2"/>
      <c r="Y1308" s="22"/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22"/>
    </row>
    <row r="1309" spans="5:54" x14ac:dyDescent="0.35"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2"/>
      <c r="T1309" s="22"/>
      <c r="U1309" s="22"/>
      <c r="V1309" s="22"/>
      <c r="W1309" s="22"/>
      <c r="X1309" s="22"/>
      <c r="Y1309" s="22"/>
      <c r="Z1309" s="22"/>
      <c r="AA1309" s="22"/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22"/>
    </row>
    <row r="1310" spans="5:54" x14ac:dyDescent="0.35"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2"/>
      <c r="Y1310" s="22"/>
      <c r="Z1310" s="22"/>
      <c r="AA1310" s="22"/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22"/>
    </row>
    <row r="1311" spans="5:54" x14ac:dyDescent="0.35"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2"/>
      <c r="T1311" s="22"/>
      <c r="U1311" s="22"/>
      <c r="V1311" s="22"/>
      <c r="W1311" s="22"/>
      <c r="X1311" s="22"/>
      <c r="Y1311" s="22"/>
      <c r="Z1311" s="22"/>
      <c r="AA1311" s="22"/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22"/>
    </row>
    <row r="1312" spans="5:54" x14ac:dyDescent="0.35"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2"/>
      <c r="Y1312" s="22"/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22"/>
    </row>
    <row r="1313" spans="5:54" x14ac:dyDescent="0.35"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2"/>
      <c r="T1313" s="22"/>
      <c r="U1313" s="22"/>
      <c r="V1313" s="22"/>
      <c r="W1313" s="22"/>
      <c r="X1313" s="22"/>
      <c r="Y1313" s="22"/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22"/>
    </row>
    <row r="1314" spans="5:54" x14ac:dyDescent="0.35"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2"/>
      <c r="Y1314" s="22"/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22"/>
    </row>
    <row r="1315" spans="5:54" x14ac:dyDescent="0.35"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2"/>
      <c r="T1315" s="22"/>
      <c r="U1315" s="22"/>
      <c r="V1315" s="22"/>
      <c r="W1315" s="22"/>
      <c r="X1315" s="22"/>
      <c r="Y1315" s="22"/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22"/>
    </row>
    <row r="1316" spans="5:54" x14ac:dyDescent="0.35"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2"/>
      <c r="Y1316" s="22"/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22"/>
    </row>
    <row r="1317" spans="5:54" x14ac:dyDescent="0.35"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2"/>
      <c r="T1317" s="22"/>
      <c r="U1317" s="22"/>
      <c r="V1317" s="22"/>
      <c r="W1317" s="22"/>
      <c r="X1317" s="22"/>
      <c r="Y1317" s="22"/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22"/>
    </row>
    <row r="1318" spans="5:54" x14ac:dyDescent="0.35"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2"/>
      <c r="Y1318" s="22"/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22"/>
    </row>
    <row r="1319" spans="5:54" x14ac:dyDescent="0.35"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2"/>
      <c r="T1319" s="22"/>
      <c r="U1319" s="22"/>
      <c r="V1319" s="22"/>
      <c r="W1319" s="22"/>
      <c r="X1319" s="22"/>
      <c r="Y1319" s="22"/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22"/>
    </row>
    <row r="1320" spans="5:54" x14ac:dyDescent="0.35"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2"/>
      <c r="Y1320" s="22"/>
      <c r="Z1320" s="22"/>
      <c r="AA1320" s="22"/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22"/>
    </row>
    <row r="1321" spans="5:54" x14ac:dyDescent="0.35"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2"/>
      <c r="T1321" s="22"/>
      <c r="U1321" s="22"/>
      <c r="V1321" s="22"/>
      <c r="W1321" s="22"/>
      <c r="X1321" s="22"/>
      <c r="Y1321" s="22"/>
      <c r="Z1321" s="22"/>
      <c r="AA1321" s="22"/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22"/>
    </row>
    <row r="1322" spans="5:54" x14ac:dyDescent="0.35"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2"/>
      <c r="Y1322" s="22"/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22"/>
    </row>
    <row r="1323" spans="5:54" x14ac:dyDescent="0.35"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2"/>
      <c r="T1323" s="22"/>
      <c r="U1323" s="22"/>
      <c r="V1323" s="22"/>
      <c r="W1323" s="22"/>
      <c r="X1323" s="22"/>
      <c r="Y1323" s="22"/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22"/>
    </row>
    <row r="1324" spans="5:54" x14ac:dyDescent="0.35"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2"/>
      <c r="Y1324" s="22"/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22"/>
    </row>
    <row r="1325" spans="5:54" x14ac:dyDescent="0.35"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2"/>
      <c r="T1325" s="22"/>
      <c r="U1325" s="22"/>
      <c r="V1325" s="22"/>
      <c r="W1325" s="22"/>
      <c r="X1325" s="22"/>
      <c r="Y1325" s="22"/>
      <c r="Z1325" s="22"/>
      <c r="AA1325" s="22"/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22"/>
    </row>
    <row r="1326" spans="5:54" x14ac:dyDescent="0.35"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2"/>
      <c r="Y1326" s="22"/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22"/>
    </row>
    <row r="1327" spans="5:54" x14ac:dyDescent="0.35"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2"/>
      <c r="T1327" s="22"/>
      <c r="U1327" s="22"/>
      <c r="V1327" s="22"/>
      <c r="W1327" s="22"/>
      <c r="X1327" s="22"/>
      <c r="Y1327" s="22"/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22"/>
    </row>
    <row r="1328" spans="5:54" x14ac:dyDescent="0.35"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2"/>
      <c r="Y1328" s="22"/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22"/>
    </row>
    <row r="1329" spans="5:54" x14ac:dyDescent="0.35"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2"/>
      <c r="T1329" s="22"/>
      <c r="U1329" s="22"/>
      <c r="V1329" s="22"/>
      <c r="W1329" s="22"/>
      <c r="X1329" s="22"/>
      <c r="Y1329" s="22"/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22"/>
    </row>
    <row r="1330" spans="5:54" x14ac:dyDescent="0.35"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22"/>
    </row>
    <row r="1331" spans="5:54" x14ac:dyDescent="0.35"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22"/>
    </row>
    <row r="1332" spans="5:54" x14ac:dyDescent="0.35"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22"/>
    </row>
    <row r="1333" spans="5:54" x14ac:dyDescent="0.35"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22"/>
    </row>
    <row r="1334" spans="5:54" x14ac:dyDescent="0.35"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22"/>
    </row>
    <row r="1335" spans="5:54" x14ac:dyDescent="0.35"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22"/>
    </row>
    <row r="1336" spans="5:54" x14ac:dyDescent="0.35"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22"/>
    </row>
    <row r="1337" spans="5:54" x14ac:dyDescent="0.35"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2"/>
      <c r="T1337" s="22"/>
      <c r="U1337" s="22"/>
      <c r="V1337" s="22"/>
      <c r="W1337" s="22"/>
      <c r="X1337" s="22"/>
      <c r="Y1337" s="22"/>
      <c r="Z1337" s="22"/>
      <c r="AA1337" s="22"/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22"/>
    </row>
    <row r="1338" spans="5:54" x14ac:dyDescent="0.35"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2"/>
      <c r="Y1338" s="22"/>
      <c r="Z1338" s="22"/>
      <c r="AA1338" s="22"/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22"/>
    </row>
    <row r="1339" spans="5:54" x14ac:dyDescent="0.35"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2"/>
      <c r="T1339" s="22"/>
      <c r="U1339" s="22"/>
      <c r="V1339" s="22"/>
      <c r="W1339" s="22"/>
      <c r="X1339" s="22"/>
      <c r="Y1339" s="22"/>
      <c r="Z1339" s="22"/>
      <c r="AA1339" s="22"/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22"/>
    </row>
    <row r="1340" spans="5:54" x14ac:dyDescent="0.35"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2"/>
      <c r="Y1340" s="22"/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22"/>
    </row>
    <row r="1341" spans="5:54" x14ac:dyDescent="0.35"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2"/>
      <c r="T1341" s="22"/>
      <c r="U1341" s="22"/>
      <c r="V1341" s="22"/>
      <c r="W1341" s="22"/>
      <c r="X1341" s="22"/>
      <c r="Y1341" s="22"/>
      <c r="Z1341" s="22"/>
      <c r="AA1341" s="22"/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22"/>
    </row>
    <row r="1342" spans="5:54" x14ac:dyDescent="0.35"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2"/>
      <c r="Y1342" s="22"/>
      <c r="Z1342" s="22"/>
      <c r="AA1342" s="22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22"/>
    </row>
    <row r="1343" spans="5:54" x14ac:dyDescent="0.35"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2"/>
      <c r="T1343" s="22"/>
      <c r="U1343" s="22"/>
      <c r="V1343" s="22"/>
      <c r="W1343" s="22"/>
      <c r="X1343" s="22"/>
      <c r="Y1343" s="22"/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22"/>
    </row>
    <row r="1344" spans="5:54" x14ac:dyDescent="0.35"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2"/>
      <c r="Y1344" s="22"/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22"/>
    </row>
    <row r="1345" spans="5:54" x14ac:dyDescent="0.35"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2"/>
      <c r="T1345" s="22"/>
      <c r="U1345" s="22"/>
      <c r="V1345" s="22"/>
      <c r="W1345" s="22"/>
      <c r="X1345" s="22"/>
      <c r="Y1345" s="22"/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22"/>
    </row>
    <row r="1346" spans="5:54" x14ac:dyDescent="0.35"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2"/>
      <c r="Y1346" s="22"/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22"/>
    </row>
    <row r="1347" spans="5:54" x14ac:dyDescent="0.35"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2"/>
      <c r="T1347" s="22"/>
      <c r="U1347" s="22"/>
      <c r="V1347" s="22"/>
      <c r="W1347" s="22"/>
      <c r="X1347" s="22"/>
      <c r="Y1347" s="22"/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22"/>
    </row>
    <row r="1348" spans="5:54" x14ac:dyDescent="0.35"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2"/>
      <c r="Y1348" s="22"/>
      <c r="Z1348" s="22"/>
      <c r="AA1348" s="22"/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22"/>
    </row>
    <row r="1349" spans="5:54" x14ac:dyDescent="0.35"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2"/>
      <c r="T1349" s="22"/>
      <c r="U1349" s="22"/>
      <c r="V1349" s="22"/>
      <c r="W1349" s="22"/>
      <c r="X1349" s="22"/>
      <c r="Y1349" s="22"/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22"/>
    </row>
    <row r="1350" spans="5:54" x14ac:dyDescent="0.35"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2"/>
      <c r="Y1350" s="22"/>
      <c r="Z1350" s="22"/>
      <c r="AA1350" s="22"/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22"/>
    </row>
    <row r="1351" spans="5:54" x14ac:dyDescent="0.35"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2"/>
      <c r="T1351" s="22"/>
      <c r="U1351" s="22"/>
      <c r="V1351" s="22"/>
      <c r="W1351" s="22"/>
      <c r="X1351" s="22"/>
      <c r="Y1351" s="22"/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22"/>
    </row>
    <row r="1352" spans="5:54" x14ac:dyDescent="0.35"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2"/>
      <c r="Y1352" s="22"/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22"/>
    </row>
    <row r="1353" spans="5:54" x14ac:dyDescent="0.35"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2"/>
      <c r="T1353" s="22"/>
      <c r="U1353" s="22"/>
      <c r="V1353" s="22"/>
      <c r="W1353" s="22"/>
      <c r="X1353" s="22"/>
      <c r="Y1353" s="22"/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22"/>
    </row>
    <row r="1354" spans="5:54" x14ac:dyDescent="0.35"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2"/>
      <c r="Y1354" s="22"/>
      <c r="Z1354" s="22"/>
      <c r="AA1354" s="22"/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22"/>
    </row>
    <row r="1355" spans="5:54" x14ac:dyDescent="0.35"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  <c r="X1355" s="22"/>
      <c r="Y1355" s="22"/>
      <c r="Z1355" s="22"/>
      <c r="AA1355" s="22"/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22"/>
    </row>
    <row r="1356" spans="5:54" x14ac:dyDescent="0.35"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22"/>
    </row>
    <row r="1357" spans="5:54" x14ac:dyDescent="0.35"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2"/>
      <c r="T1357" s="22"/>
      <c r="U1357" s="22"/>
      <c r="V1357" s="22"/>
      <c r="W1357" s="22"/>
      <c r="X1357" s="22"/>
      <c r="Y1357" s="22"/>
      <c r="Z1357" s="22"/>
      <c r="AA1357" s="22"/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22"/>
    </row>
    <row r="1358" spans="5:54" x14ac:dyDescent="0.35"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2"/>
      <c r="Y1358" s="22"/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22"/>
    </row>
    <row r="1359" spans="5:54" x14ac:dyDescent="0.35"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2"/>
      <c r="T1359" s="22"/>
      <c r="U1359" s="22"/>
      <c r="V1359" s="22"/>
      <c r="W1359" s="22"/>
      <c r="X1359" s="22"/>
      <c r="Y1359" s="22"/>
      <c r="Z1359" s="22"/>
      <c r="AA1359" s="22"/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22"/>
    </row>
    <row r="1360" spans="5:54" x14ac:dyDescent="0.35"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2"/>
      <c r="Y1360" s="22"/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22"/>
    </row>
    <row r="1361" spans="5:54" x14ac:dyDescent="0.35"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2"/>
      <c r="T1361" s="22"/>
      <c r="U1361" s="22"/>
      <c r="V1361" s="22"/>
      <c r="W1361" s="22"/>
      <c r="X1361" s="22"/>
      <c r="Y1361" s="22"/>
      <c r="Z1361" s="22"/>
      <c r="AA1361" s="22"/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22"/>
    </row>
    <row r="1362" spans="5:54" x14ac:dyDescent="0.35"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2"/>
      <c r="Y1362" s="22"/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22"/>
    </row>
    <row r="1363" spans="5:54" x14ac:dyDescent="0.35"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2"/>
      <c r="T1363" s="22"/>
      <c r="U1363" s="22"/>
      <c r="V1363" s="22"/>
      <c r="W1363" s="22"/>
      <c r="X1363" s="22"/>
      <c r="Y1363" s="22"/>
      <c r="Z1363" s="22"/>
      <c r="AA1363" s="22"/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22"/>
    </row>
    <row r="1364" spans="5:54" x14ac:dyDescent="0.35"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2"/>
      <c r="Y1364" s="22"/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22"/>
    </row>
    <row r="1365" spans="5:54" x14ac:dyDescent="0.35"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2"/>
      <c r="T1365" s="22"/>
      <c r="U1365" s="22"/>
      <c r="V1365" s="22"/>
      <c r="W1365" s="22"/>
      <c r="X1365" s="22"/>
      <c r="Y1365" s="22"/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22"/>
    </row>
    <row r="1366" spans="5:54" x14ac:dyDescent="0.35"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2"/>
      <c r="Y1366" s="22"/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22"/>
    </row>
    <row r="1367" spans="5:54" x14ac:dyDescent="0.35"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2"/>
      <c r="T1367" s="22"/>
      <c r="U1367" s="22"/>
      <c r="V1367" s="22"/>
      <c r="W1367" s="22"/>
      <c r="X1367" s="22"/>
      <c r="Y1367" s="22"/>
      <c r="Z1367" s="22"/>
      <c r="AA1367" s="22"/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22"/>
    </row>
    <row r="1368" spans="5:54" x14ac:dyDescent="0.35"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22"/>
    </row>
    <row r="1369" spans="5:54" x14ac:dyDescent="0.35"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22"/>
    </row>
    <row r="1370" spans="5:54" x14ac:dyDescent="0.35"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22"/>
    </row>
    <row r="1371" spans="5:54" x14ac:dyDescent="0.35"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2"/>
      <c r="T1371" s="22"/>
      <c r="U1371" s="22"/>
      <c r="V1371" s="22"/>
      <c r="W1371" s="22"/>
      <c r="X1371" s="22"/>
      <c r="Y1371" s="22"/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22"/>
    </row>
    <row r="1372" spans="5:54" x14ac:dyDescent="0.35"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22"/>
    </row>
    <row r="1373" spans="5:54" x14ac:dyDescent="0.35"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2"/>
      <c r="T1373" s="22"/>
      <c r="U1373" s="22"/>
      <c r="V1373" s="22"/>
      <c r="W1373" s="22"/>
      <c r="X1373" s="22"/>
      <c r="Y1373" s="22"/>
      <c r="Z1373" s="22"/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22"/>
    </row>
    <row r="1374" spans="5:54" x14ac:dyDescent="0.35"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2"/>
      <c r="Y1374" s="22"/>
      <c r="Z1374" s="22"/>
      <c r="AA1374" s="22"/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22"/>
    </row>
    <row r="1375" spans="5:54" x14ac:dyDescent="0.35"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2"/>
      <c r="T1375" s="22"/>
      <c r="U1375" s="22"/>
      <c r="V1375" s="22"/>
      <c r="W1375" s="22"/>
      <c r="X1375" s="22"/>
      <c r="Y1375" s="22"/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22"/>
    </row>
    <row r="1376" spans="5:54" x14ac:dyDescent="0.35"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2"/>
      <c r="Y1376" s="22"/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22"/>
    </row>
    <row r="1377" spans="5:54" x14ac:dyDescent="0.35"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22"/>
    </row>
    <row r="1378" spans="5:54" x14ac:dyDescent="0.35"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22"/>
    </row>
    <row r="1379" spans="5:54" x14ac:dyDescent="0.35"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22"/>
    </row>
    <row r="1380" spans="5:54" x14ac:dyDescent="0.35"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2"/>
      <c r="Y1380" s="22"/>
      <c r="Z1380" s="22"/>
      <c r="AA1380" s="22"/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22"/>
    </row>
    <row r="1381" spans="5:54" x14ac:dyDescent="0.35"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2"/>
      <c r="T1381" s="22"/>
      <c r="U1381" s="22"/>
      <c r="V1381" s="22"/>
      <c r="W1381" s="22"/>
      <c r="X1381" s="22"/>
      <c r="Y1381" s="22"/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22"/>
    </row>
    <row r="1382" spans="5:54" x14ac:dyDescent="0.35"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2"/>
      <c r="Y1382" s="22"/>
      <c r="Z1382" s="22"/>
      <c r="AA1382" s="22"/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22"/>
    </row>
    <row r="1383" spans="5:54" x14ac:dyDescent="0.35"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2"/>
      <c r="T1383" s="22"/>
      <c r="U1383" s="22"/>
      <c r="V1383" s="22"/>
      <c r="W1383" s="22"/>
      <c r="X1383" s="22"/>
      <c r="Y1383" s="22"/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22"/>
    </row>
    <row r="1384" spans="5:54" x14ac:dyDescent="0.35"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2"/>
      <c r="Y1384" s="22"/>
      <c r="Z1384" s="22"/>
      <c r="AA1384" s="22"/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22"/>
    </row>
    <row r="1385" spans="5:54" x14ac:dyDescent="0.35"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2"/>
      <c r="T1385" s="22"/>
      <c r="U1385" s="22"/>
      <c r="V1385" s="22"/>
      <c r="W1385" s="22"/>
      <c r="X1385" s="22"/>
      <c r="Y1385" s="22"/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22"/>
    </row>
    <row r="1386" spans="5:54" x14ac:dyDescent="0.35"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22"/>
    </row>
    <row r="1387" spans="5:54" x14ac:dyDescent="0.35"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22"/>
    </row>
    <row r="1388" spans="5:54" x14ac:dyDescent="0.35"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22"/>
    </row>
    <row r="1389" spans="5:54" x14ac:dyDescent="0.35"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2"/>
      <c r="T1389" s="22"/>
      <c r="U1389" s="22"/>
      <c r="V1389" s="22"/>
      <c r="W1389" s="22"/>
      <c r="X1389" s="22"/>
      <c r="Y1389" s="22"/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22"/>
    </row>
    <row r="1390" spans="5:54" x14ac:dyDescent="0.35"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2"/>
      <c r="Y1390" s="22"/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22"/>
    </row>
    <row r="1391" spans="5:54" x14ac:dyDescent="0.35"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2"/>
      <c r="T1391" s="22"/>
      <c r="U1391" s="22"/>
      <c r="V1391" s="22"/>
      <c r="W1391" s="22"/>
      <c r="X1391" s="22"/>
      <c r="Y1391" s="22"/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22"/>
    </row>
    <row r="1392" spans="5:54" x14ac:dyDescent="0.35"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2"/>
      <c r="Y1392" s="22"/>
      <c r="Z1392" s="22"/>
      <c r="AA1392" s="22"/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22"/>
    </row>
    <row r="1393" spans="5:54" x14ac:dyDescent="0.35"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2"/>
      <c r="T1393" s="22"/>
      <c r="U1393" s="22"/>
      <c r="V1393" s="22"/>
      <c r="W1393" s="22"/>
      <c r="X1393" s="22"/>
      <c r="Y1393" s="22"/>
      <c r="Z1393" s="22"/>
      <c r="AA1393" s="22"/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22"/>
    </row>
    <row r="1394" spans="5:54" x14ac:dyDescent="0.35"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2"/>
      <c r="Y1394" s="22"/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22"/>
    </row>
    <row r="1395" spans="5:54" x14ac:dyDescent="0.35"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2"/>
      <c r="T1395" s="22"/>
      <c r="U1395" s="22"/>
      <c r="V1395" s="22"/>
      <c r="W1395" s="22"/>
      <c r="X1395" s="22"/>
      <c r="Y1395" s="22"/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22"/>
    </row>
    <row r="1396" spans="5:54" x14ac:dyDescent="0.35"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2"/>
      <c r="Y1396" s="22"/>
      <c r="Z1396" s="22"/>
      <c r="AA1396" s="22"/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22"/>
    </row>
    <row r="1397" spans="5:54" x14ac:dyDescent="0.35"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2"/>
      <c r="T1397" s="22"/>
      <c r="U1397" s="22"/>
      <c r="V1397" s="22"/>
      <c r="W1397" s="22"/>
      <c r="X1397" s="22"/>
      <c r="Y1397" s="22"/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22"/>
    </row>
    <row r="1398" spans="5:54" x14ac:dyDescent="0.35"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2"/>
      <c r="Y1398" s="22"/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22"/>
    </row>
    <row r="1399" spans="5:54" x14ac:dyDescent="0.35"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22"/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22"/>
    </row>
    <row r="1400" spans="5:54" x14ac:dyDescent="0.35"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22"/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22"/>
    </row>
    <row r="1401" spans="5:54" x14ac:dyDescent="0.35"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22"/>
      <c r="Z1401" s="22"/>
      <c r="AA1401" s="22"/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22"/>
    </row>
    <row r="1402" spans="5:54" x14ac:dyDescent="0.35"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22"/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22"/>
    </row>
    <row r="1403" spans="5:54" x14ac:dyDescent="0.35"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22"/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22"/>
    </row>
    <row r="1404" spans="5:54" x14ac:dyDescent="0.35"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22"/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22"/>
    </row>
    <row r="1405" spans="5:54" x14ac:dyDescent="0.35"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22"/>
      <c r="Z1405" s="22"/>
      <c r="AA1405" s="22"/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22"/>
    </row>
    <row r="1406" spans="5:54" x14ac:dyDescent="0.35"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22"/>
      <c r="Z1406" s="22"/>
      <c r="AA1406" s="22"/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22"/>
    </row>
    <row r="1407" spans="5:54" x14ac:dyDescent="0.35"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22"/>
      <c r="Z1407" s="22"/>
      <c r="AA1407" s="22"/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22"/>
    </row>
    <row r="1408" spans="5:54" x14ac:dyDescent="0.35"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22"/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22"/>
    </row>
    <row r="1409" spans="5:54" x14ac:dyDescent="0.35"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22"/>
      <c r="Z1409" s="22"/>
      <c r="AA1409" s="22"/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22"/>
    </row>
    <row r="1410" spans="5:54" x14ac:dyDescent="0.35"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22"/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22"/>
    </row>
    <row r="1411" spans="5:54" x14ac:dyDescent="0.35"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22"/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22"/>
    </row>
    <row r="1412" spans="5:54" x14ac:dyDescent="0.35"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22"/>
      <c r="Z1412" s="22"/>
      <c r="AA1412" s="22"/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22"/>
    </row>
    <row r="1413" spans="5:54" x14ac:dyDescent="0.35"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22"/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22"/>
    </row>
    <row r="1414" spans="5:54" x14ac:dyDescent="0.35"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22"/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22"/>
    </row>
    <row r="1415" spans="5:54" x14ac:dyDescent="0.35"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22"/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22"/>
    </row>
    <row r="1416" spans="5:54" x14ac:dyDescent="0.35"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22"/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22"/>
    </row>
    <row r="1417" spans="5:54" x14ac:dyDescent="0.35"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22"/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22"/>
    </row>
    <row r="1418" spans="5:54" x14ac:dyDescent="0.35"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22"/>
      <c r="Z1418" s="22"/>
      <c r="AA1418" s="22"/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22"/>
    </row>
    <row r="1419" spans="5:54" x14ac:dyDescent="0.35"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22"/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22"/>
    </row>
    <row r="1420" spans="5:54" x14ac:dyDescent="0.35"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22"/>
      <c r="Z1420" s="22"/>
      <c r="AA1420" s="22"/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22"/>
    </row>
    <row r="1421" spans="5:54" x14ac:dyDescent="0.35"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22"/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22"/>
    </row>
    <row r="1422" spans="5:54" x14ac:dyDescent="0.35"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22"/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22"/>
    </row>
    <row r="1423" spans="5:54" x14ac:dyDescent="0.35"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22"/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22"/>
    </row>
    <row r="1424" spans="5:54" x14ac:dyDescent="0.35"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22"/>
      <c r="Z1424" s="22"/>
      <c r="AA1424" s="22"/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22"/>
    </row>
    <row r="1425" spans="5:54" x14ac:dyDescent="0.35"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22"/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22"/>
    </row>
    <row r="1426" spans="5:54" x14ac:dyDescent="0.35"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22"/>
      <c r="Z1426" s="22"/>
      <c r="AA1426" s="22"/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22"/>
    </row>
    <row r="1427" spans="5:54" x14ac:dyDescent="0.35"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22"/>
      <c r="Z1427" s="22"/>
      <c r="AA1427" s="22"/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22"/>
    </row>
    <row r="1428" spans="5:54" x14ac:dyDescent="0.35"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22"/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22"/>
    </row>
    <row r="1429" spans="5:54" x14ac:dyDescent="0.35"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22"/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22"/>
    </row>
    <row r="1430" spans="5:54" x14ac:dyDescent="0.35"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22"/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22"/>
    </row>
    <row r="1431" spans="5:54" x14ac:dyDescent="0.35"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22"/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22"/>
    </row>
    <row r="1432" spans="5:54" x14ac:dyDescent="0.35"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22"/>
      <c r="Z1432" s="22"/>
      <c r="AA1432" s="22"/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22"/>
    </row>
    <row r="1433" spans="5:54" x14ac:dyDescent="0.35"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22"/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22"/>
    </row>
    <row r="1434" spans="5:54" x14ac:dyDescent="0.35"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22"/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22"/>
    </row>
    <row r="1435" spans="5:54" x14ac:dyDescent="0.35"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22"/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22"/>
    </row>
    <row r="1436" spans="5:54" x14ac:dyDescent="0.35"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22"/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22"/>
    </row>
    <row r="1437" spans="5:54" x14ac:dyDescent="0.35"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22"/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22"/>
    </row>
    <row r="1438" spans="5:54" x14ac:dyDescent="0.35"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22"/>
      <c r="Z1438" s="22"/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22"/>
    </row>
    <row r="1439" spans="5:54" x14ac:dyDescent="0.35"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22"/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22"/>
    </row>
    <row r="1440" spans="5:54" x14ac:dyDescent="0.35"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22"/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22"/>
    </row>
    <row r="1441" spans="5:54" x14ac:dyDescent="0.35"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22"/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22"/>
    </row>
    <row r="1442" spans="5:54" x14ac:dyDescent="0.35"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22"/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22"/>
    </row>
    <row r="1443" spans="5:54" x14ac:dyDescent="0.35"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22"/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22"/>
    </row>
    <row r="1444" spans="5:54" x14ac:dyDescent="0.35"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22"/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22"/>
    </row>
    <row r="1445" spans="5:54" x14ac:dyDescent="0.35"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22"/>
      <c r="Z1445" s="22"/>
      <c r="AA1445" s="22"/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22"/>
    </row>
    <row r="1446" spans="5:54" x14ac:dyDescent="0.35"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22"/>
      <c r="Z1446" s="22"/>
      <c r="AA1446" s="22"/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22"/>
    </row>
    <row r="1447" spans="5:54" x14ac:dyDescent="0.35"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22"/>
      <c r="Z1447" s="22"/>
      <c r="AA1447" s="22"/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22"/>
    </row>
    <row r="1448" spans="5:54" x14ac:dyDescent="0.35"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22"/>
      <c r="Z1448" s="22"/>
      <c r="AA1448" s="22"/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22"/>
    </row>
    <row r="1449" spans="5:54" x14ac:dyDescent="0.35"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22"/>
      <c r="Z1449" s="22"/>
      <c r="AA1449" s="22"/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22"/>
    </row>
    <row r="1450" spans="5:54" x14ac:dyDescent="0.35"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22"/>
      <c r="Z1450" s="22"/>
      <c r="AA1450" s="22"/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22"/>
    </row>
    <row r="1451" spans="5:54" x14ac:dyDescent="0.35"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22"/>
    </row>
    <row r="1452" spans="5:54" x14ac:dyDescent="0.35"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22"/>
    </row>
    <row r="1453" spans="5:54" x14ac:dyDescent="0.35"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22"/>
    </row>
    <row r="1454" spans="5:54" x14ac:dyDescent="0.35"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22"/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22"/>
    </row>
    <row r="1455" spans="5:54" x14ac:dyDescent="0.35"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22"/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22"/>
    </row>
    <row r="1456" spans="5:54" x14ac:dyDescent="0.35"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22"/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22"/>
    </row>
    <row r="1457" spans="5:54" x14ac:dyDescent="0.35"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2"/>
      <c r="T1457" s="22"/>
      <c r="U1457" s="22"/>
      <c r="V1457" s="22"/>
      <c r="W1457" s="22"/>
      <c r="X1457" s="22"/>
      <c r="Y1457" s="22"/>
      <c r="Z1457" s="22"/>
      <c r="AA1457" s="22"/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22"/>
    </row>
    <row r="1458" spans="5:54" x14ac:dyDescent="0.35"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2"/>
      <c r="Y1458" s="22"/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22"/>
    </row>
    <row r="1459" spans="5:54" x14ac:dyDescent="0.35"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2"/>
      <c r="T1459" s="22"/>
      <c r="U1459" s="22"/>
      <c r="V1459" s="22"/>
      <c r="W1459" s="22"/>
      <c r="X1459" s="22"/>
      <c r="Y1459" s="22"/>
      <c r="Z1459" s="22"/>
      <c r="AA1459" s="22"/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22"/>
    </row>
    <row r="1460" spans="5:54" x14ac:dyDescent="0.35"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2"/>
      <c r="Y1460" s="22"/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22"/>
    </row>
    <row r="1461" spans="5:54" x14ac:dyDescent="0.35"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2"/>
      <c r="T1461" s="22"/>
      <c r="U1461" s="22"/>
      <c r="V1461" s="22"/>
      <c r="W1461" s="22"/>
      <c r="X1461" s="22"/>
      <c r="Y1461" s="22"/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22"/>
    </row>
    <row r="1462" spans="5:54" x14ac:dyDescent="0.35"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2"/>
      <c r="Y1462" s="22"/>
      <c r="Z1462" s="22"/>
      <c r="AA1462" s="22"/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22"/>
    </row>
    <row r="1463" spans="5:54" x14ac:dyDescent="0.35"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2"/>
      <c r="T1463" s="22"/>
      <c r="U1463" s="22"/>
      <c r="V1463" s="22"/>
      <c r="W1463" s="22"/>
      <c r="X1463" s="22"/>
      <c r="Y1463" s="22"/>
      <c r="Z1463" s="22"/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22"/>
    </row>
    <row r="1464" spans="5:54" x14ac:dyDescent="0.35"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2"/>
      <c r="Y1464" s="22"/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22"/>
    </row>
    <row r="1465" spans="5:54" x14ac:dyDescent="0.35"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2"/>
      <c r="T1465" s="22"/>
      <c r="U1465" s="22"/>
      <c r="V1465" s="22"/>
      <c r="W1465" s="22"/>
      <c r="X1465" s="22"/>
      <c r="Y1465" s="22"/>
      <c r="Z1465" s="22"/>
      <c r="AA1465" s="22"/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22"/>
    </row>
    <row r="1466" spans="5:54" x14ac:dyDescent="0.35"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2"/>
      <c r="Y1466" s="22"/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22"/>
    </row>
    <row r="1467" spans="5:54" x14ac:dyDescent="0.35"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2"/>
      <c r="T1467" s="22"/>
      <c r="U1467" s="22"/>
      <c r="V1467" s="22"/>
      <c r="W1467" s="22"/>
      <c r="X1467" s="22"/>
      <c r="Y1467" s="22"/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22"/>
    </row>
    <row r="1468" spans="5:54" x14ac:dyDescent="0.35"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2"/>
      <c r="Y1468" s="22"/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22"/>
    </row>
    <row r="1469" spans="5:54" x14ac:dyDescent="0.35"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2"/>
      <c r="T1469" s="22"/>
      <c r="U1469" s="22"/>
      <c r="V1469" s="22"/>
      <c r="W1469" s="22"/>
      <c r="X1469" s="22"/>
      <c r="Y1469" s="22"/>
      <c r="Z1469" s="22"/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22"/>
    </row>
    <row r="1470" spans="5:54" x14ac:dyDescent="0.35"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2"/>
      <c r="Y1470" s="22"/>
      <c r="Z1470" s="22"/>
      <c r="AA1470" s="22"/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22"/>
    </row>
    <row r="1471" spans="5:54" x14ac:dyDescent="0.35"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2"/>
      <c r="T1471" s="22"/>
      <c r="U1471" s="22"/>
      <c r="V1471" s="22"/>
      <c r="W1471" s="22"/>
      <c r="X1471" s="22"/>
      <c r="Y1471" s="22"/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22"/>
    </row>
    <row r="1472" spans="5:54" x14ac:dyDescent="0.35"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2"/>
      <c r="Y1472" s="22"/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22"/>
    </row>
    <row r="1473" spans="5:54" x14ac:dyDescent="0.35"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2"/>
      <c r="T1473" s="22"/>
      <c r="U1473" s="22"/>
      <c r="V1473" s="22"/>
      <c r="W1473" s="22"/>
      <c r="X1473" s="22"/>
      <c r="Y1473" s="22"/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22"/>
    </row>
    <row r="1474" spans="5:54" x14ac:dyDescent="0.35"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2"/>
      <c r="Y1474" s="22"/>
      <c r="Z1474" s="22"/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22"/>
    </row>
    <row r="1475" spans="5:54" x14ac:dyDescent="0.35"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22"/>
    </row>
    <row r="1476" spans="5:54" x14ac:dyDescent="0.35"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22"/>
    </row>
    <row r="1477" spans="5:54" x14ac:dyDescent="0.35"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22"/>
    </row>
    <row r="1478" spans="5:54" x14ac:dyDescent="0.35"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2"/>
      <c r="Y1478" s="22"/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22"/>
    </row>
    <row r="1479" spans="5:54" x14ac:dyDescent="0.35"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2"/>
      <c r="T1479" s="22"/>
      <c r="U1479" s="22"/>
      <c r="V1479" s="22"/>
      <c r="W1479" s="22"/>
      <c r="X1479" s="22"/>
      <c r="Y1479" s="22"/>
      <c r="Z1479" s="22"/>
      <c r="AA1479" s="22"/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22"/>
    </row>
    <row r="1480" spans="5:54" x14ac:dyDescent="0.35"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2"/>
      <c r="Y1480" s="22"/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22"/>
    </row>
    <row r="1481" spans="5:54" x14ac:dyDescent="0.35"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2"/>
      <c r="T1481" s="22"/>
      <c r="U1481" s="22"/>
      <c r="V1481" s="22"/>
      <c r="W1481" s="22"/>
      <c r="X1481" s="22"/>
      <c r="Y1481" s="22"/>
      <c r="Z1481" s="22"/>
      <c r="AA1481" s="22"/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22"/>
    </row>
    <row r="1482" spans="5:54" x14ac:dyDescent="0.35"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2"/>
      <c r="Y1482" s="22"/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22"/>
    </row>
    <row r="1483" spans="5:54" x14ac:dyDescent="0.35"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2"/>
      <c r="T1483" s="22"/>
      <c r="U1483" s="22"/>
      <c r="V1483" s="22"/>
      <c r="W1483" s="22"/>
      <c r="X1483" s="22"/>
      <c r="Y1483" s="22"/>
      <c r="Z1483" s="22"/>
      <c r="AA1483" s="22"/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22"/>
    </row>
    <row r="1484" spans="5:54" x14ac:dyDescent="0.35"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22"/>
    </row>
    <row r="1485" spans="5:54" x14ac:dyDescent="0.35"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22"/>
    </row>
    <row r="1486" spans="5:54" x14ac:dyDescent="0.35"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22"/>
    </row>
    <row r="1487" spans="5:54" x14ac:dyDescent="0.35"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22"/>
    </row>
    <row r="1488" spans="5:54" x14ac:dyDescent="0.35"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2"/>
      <c r="Y1488" s="22"/>
      <c r="Z1488" s="22"/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22"/>
    </row>
    <row r="1489" spans="5:54" x14ac:dyDescent="0.35"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2"/>
      <c r="T1489" s="22"/>
      <c r="U1489" s="22"/>
      <c r="V1489" s="22"/>
      <c r="W1489" s="22"/>
      <c r="X1489" s="22"/>
      <c r="Y1489" s="22"/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22"/>
    </row>
    <row r="1490" spans="5:54" x14ac:dyDescent="0.35"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2"/>
      <c r="Y1490" s="22"/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22"/>
    </row>
    <row r="1491" spans="5:54" x14ac:dyDescent="0.35"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2"/>
      <c r="T1491" s="22"/>
      <c r="U1491" s="22"/>
      <c r="V1491" s="22"/>
      <c r="W1491" s="22"/>
      <c r="X1491" s="22"/>
      <c r="Y1491" s="22"/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22"/>
    </row>
    <row r="1492" spans="5:54" x14ac:dyDescent="0.35"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2"/>
      <c r="Y1492" s="22"/>
      <c r="Z1492" s="22"/>
      <c r="AA1492" s="22"/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22"/>
    </row>
    <row r="1493" spans="5:54" x14ac:dyDescent="0.35"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2"/>
      <c r="T1493" s="22"/>
      <c r="U1493" s="22"/>
      <c r="V1493" s="22"/>
      <c r="W1493" s="22"/>
      <c r="X1493" s="22"/>
      <c r="Y1493" s="22"/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22"/>
    </row>
    <row r="1494" spans="5:54" x14ac:dyDescent="0.35"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2"/>
      <c r="Y1494" s="22"/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22"/>
    </row>
    <row r="1495" spans="5:54" x14ac:dyDescent="0.35"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2"/>
      <c r="T1495" s="22"/>
      <c r="U1495" s="22"/>
      <c r="V1495" s="22"/>
      <c r="W1495" s="22"/>
      <c r="X1495" s="22"/>
      <c r="Y1495" s="22"/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22"/>
    </row>
    <row r="1496" spans="5:54" x14ac:dyDescent="0.35"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2"/>
      <c r="Y1496" s="22"/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22"/>
    </row>
    <row r="1497" spans="5:54" x14ac:dyDescent="0.35"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2"/>
      <c r="T1497" s="22"/>
      <c r="U1497" s="22"/>
      <c r="V1497" s="22"/>
      <c r="W1497" s="22"/>
      <c r="X1497" s="22"/>
      <c r="Y1497" s="22"/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22"/>
    </row>
    <row r="1498" spans="5:54" x14ac:dyDescent="0.35"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2"/>
      <c r="Y1498" s="22"/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22"/>
    </row>
    <row r="1499" spans="5:54" x14ac:dyDescent="0.35"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2"/>
      <c r="T1499" s="22"/>
      <c r="U1499" s="22"/>
      <c r="V1499" s="22"/>
      <c r="W1499" s="22"/>
      <c r="X1499" s="22"/>
      <c r="Y1499" s="22"/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22"/>
    </row>
    <row r="1500" spans="5:54" x14ac:dyDescent="0.35"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2"/>
      <c r="Y1500" s="22"/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22"/>
    </row>
    <row r="1501" spans="5:54" x14ac:dyDescent="0.35"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2"/>
      <c r="T1501" s="22"/>
      <c r="U1501" s="22"/>
      <c r="V1501" s="22"/>
      <c r="W1501" s="22"/>
      <c r="X1501" s="22"/>
      <c r="Y1501" s="22"/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22"/>
    </row>
    <row r="1502" spans="5:54" x14ac:dyDescent="0.35"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2"/>
      <c r="Y1502" s="22"/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22"/>
    </row>
    <row r="1503" spans="5:54" x14ac:dyDescent="0.35"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2"/>
      <c r="T1503" s="22"/>
      <c r="U1503" s="22"/>
      <c r="V1503" s="22"/>
      <c r="W1503" s="22"/>
      <c r="X1503" s="22"/>
      <c r="Y1503" s="22"/>
      <c r="Z1503" s="22"/>
      <c r="AA1503" s="22"/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22"/>
    </row>
    <row r="1504" spans="5:54" x14ac:dyDescent="0.35"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2"/>
      <c r="Y1504" s="22"/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22"/>
    </row>
    <row r="1505" spans="5:54" x14ac:dyDescent="0.35"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2"/>
      <c r="T1505" s="22"/>
      <c r="U1505" s="22"/>
      <c r="V1505" s="22"/>
      <c r="W1505" s="22"/>
      <c r="X1505" s="22"/>
      <c r="Y1505" s="22"/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22"/>
    </row>
    <row r="1506" spans="5:54" x14ac:dyDescent="0.35"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2"/>
      <c r="Y1506" s="22"/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22"/>
    </row>
    <row r="1507" spans="5:54" x14ac:dyDescent="0.35"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22"/>
    </row>
    <row r="1508" spans="5:54" x14ac:dyDescent="0.35"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2"/>
      <c r="Y1508" s="22"/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22"/>
    </row>
    <row r="1509" spans="5:54" x14ac:dyDescent="0.35"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2"/>
      <c r="T1509" s="22"/>
      <c r="U1509" s="22"/>
      <c r="V1509" s="22"/>
      <c r="W1509" s="22"/>
      <c r="X1509" s="22"/>
      <c r="Y1509" s="22"/>
      <c r="Z1509" s="22"/>
      <c r="AA1509" s="22"/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22"/>
    </row>
    <row r="1510" spans="5:54" x14ac:dyDescent="0.35"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2"/>
      <c r="Y1510" s="22"/>
      <c r="Z1510" s="22"/>
      <c r="AA1510" s="22"/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22"/>
    </row>
    <row r="1511" spans="5:54" x14ac:dyDescent="0.35"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2"/>
      <c r="T1511" s="22"/>
      <c r="U1511" s="22"/>
      <c r="V1511" s="22"/>
      <c r="W1511" s="22"/>
      <c r="X1511" s="22"/>
      <c r="Y1511" s="22"/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22"/>
    </row>
    <row r="1512" spans="5:54" x14ac:dyDescent="0.35"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2"/>
      <c r="Y1512" s="22"/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22"/>
    </row>
    <row r="1513" spans="5:54" x14ac:dyDescent="0.35"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2"/>
      <c r="T1513" s="22"/>
      <c r="U1513" s="22"/>
      <c r="V1513" s="22"/>
      <c r="W1513" s="22"/>
      <c r="X1513" s="22"/>
      <c r="Y1513" s="22"/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22"/>
    </row>
    <row r="1514" spans="5:54" x14ac:dyDescent="0.35"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2"/>
      <c r="Y1514" s="22"/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22"/>
    </row>
    <row r="1515" spans="5:54" x14ac:dyDescent="0.35"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2"/>
      <c r="T1515" s="22"/>
      <c r="U1515" s="22"/>
      <c r="V1515" s="22"/>
      <c r="W1515" s="22"/>
      <c r="X1515" s="22"/>
      <c r="Y1515" s="22"/>
      <c r="Z1515" s="22"/>
      <c r="AA1515" s="22"/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22"/>
    </row>
    <row r="1516" spans="5:54" x14ac:dyDescent="0.35"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2"/>
      <c r="Y1516" s="22"/>
      <c r="Z1516" s="22"/>
      <c r="AA1516" s="22"/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22"/>
    </row>
    <row r="1517" spans="5:54" x14ac:dyDescent="0.35"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2"/>
      <c r="T1517" s="22"/>
      <c r="U1517" s="22"/>
      <c r="V1517" s="22"/>
      <c r="W1517" s="22"/>
      <c r="X1517" s="22"/>
      <c r="Y1517" s="22"/>
      <c r="Z1517" s="22"/>
      <c r="AA1517" s="22"/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22"/>
    </row>
    <row r="1518" spans="5:54" x14ac:dyDescent="0.35"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2"/>
      <c r="Y1518" s="22"/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22"/>
    </row>
    <row r="1519" spans="5:54" x14ac:dyDescent="0.35"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2"/>
      <c r="T1519" s="22"/>
      <c r="U1519" s="22"/>
      <c r="V1519" s="22"/>
      <c r="W1519" s="22"/>
      <c r="X1519" s="22"/>
      <c r="Y1519" s="22"/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22"/>
    </row>
    <row r="1520" spans="5:54" x14ac:dyDescent="0.35"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2"/>
      <c r="Y1520" s="22"/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22"/>
    </row>
    <row r="1521" spans="5:54" x14ac:dyDescent="0.35"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2"/>
      <c r="T1521" s="22"/>
      <c r="U1521" s="22"/>
      <c r="V1521" s="22"/>
      <c r="W1521" s="22"/>
      <c r="X1521" s="22"/>
      <c r="Y1521" s="22"/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22"/>
    </row>
    <row r="1522" spans="5:54" x14ac:dyDescent="0.35"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2"/>
      <c r="Y1522" s="22"/>
      <c r="Z1522" s="22"/>
      <c r="AA1522" s="22"/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22"/>
    </row>
    <row r="1523" spans="5:54" x14ac:dyDescent="0.35"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2"/>
      <c r="T1523" s="22"/>
      <c r="U1523" s="22"/>
      <c r="V1523" s="22"/>
      <c r="W1523" s="22"/>
      <c r="X1523" s="22"/>
      <c r="Y1523" s="22"/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22"/>
    </row>
    <row r="1524" spans="5:54" x14ac:dyDescent="0.35"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2"/>
      <c r="Y1524" s="22"/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22"/>
    </row>
    <row r="1525" spans="5:54" x14ac:dyDescent="0.35"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2"/>
      <c r="T1525" s="22"/>
      <c r="U1525" s="22"/>
      <c r="V1525" s="22"/>
      <c r="W1525" s="22"/>
      <c r="X1525" s="22"/>
      <c r="Y1525" s="22"/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22"/>
    </row>
    <row r="1526" spans="5:54" x14ac:dyDescent="0.35"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2"/>
      <c r="Y1526" s="22"/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22"/>
    </row>
    <row r="1527" spans="5:54" x14ac:dyDescent="0.35"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2"/>
      <c r="T1527" s="22"/>
      <c r="U1527" s="22"/>
      <c r="V1527" s="22"/>
      <c r="W1527" s="22"/>
      <c r="X1527" s="22"/>
      <c r="Y1527" s="22"/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22"/>
    </row>
    <row r="1528" spans="5:54" x14ac:dyDescent="0.35"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2"/>
      <c r="Y1528" s="22"/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22"/>
    </row>
    <row r="1529" spans="5:54" x14ac:dyDescent="0.35"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22"/>
    </row>
    <row r="1530" spans="5:54" x14ac:dyDescent="0.35"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22"/>
    </row>
    <row r="1531" spans="5:54" x14ac:dyDescent="0.35"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22"/>
    </row>
    <row r="1532" spans="5:54" x14ac:dyDescent="0.35"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22"/>
    </row>
    <row r="1533" spans="5:54" x14ac:dyDescent="0.35"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2"/>
      <c r="T1533" s="22"/>
      <c r="U1533" s="22"/>
      <c r="V1533" s="22"/>
      <c r="W1533" s="22"/>
      <c r="X1533" s="22"/>
      <c r="Y1533" s="22"/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22"/>
    </row>
    <row r="1534" spans="5:54" x14ac:dyDescent="0.35"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2"/>
      <c r="Y1534" s="22"/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22"/>
    </row>
    <row r="1535" spans="5:54" x14ac:dyDescent="0.35"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2"/>
      <c r="T1535" s="22"/>
      <c r="U1535" s="22"/>
      <c r="V1535" s="22"/>
      <c r="W1535" s="22"/>
      <c r="X1535" s="22"/>
      <c r="Y1535" s="22"/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22"/>
    </row>
    <row r="1536" spans="5:54" x14ac:dyDescent="0.35"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2"/>
      <c r="Y1536" s="22"/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22"/>
    </row>
    <row r="1537" spans="5:54" x14ac:dyDescent="0.35"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2"/>
      <c r="T1537" s="22"/>
      <c r="U1537" s="22"/>
      <c r="V1537" s="22"/>
      <c r="W1537" s="22"/>
      <c r="X1537" s="22"/>
      <c r="Y1537" s="22"/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22"/>
    </row>
    <row r="1538" spans="5:54" x14ac:dyDescent="0.35"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2"/>
      <c r="Y1538" s="22"/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22"/>
    </row>
    <row r="1539" spans="5:54" x14ac:dyDescent="0.35"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2"/>
      <c r="T1539" s="22"/>
      <c r="U1539" s="22"/>
      <c r="V1539" s="22"/>
      <c r="W1539" s="22"/>
      <c r="X1539" s="22"/>
      <c r="Y1539" s="22"/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22"/>
    </row>
    <row r="1540" spans="5:54" x14ac:dyDescent="0.35"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2"/>
      <c r="Y1540" s="22"/>
      <c r="Z1540" s="22"/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22"/>
    </row>
    <row r="1541" spans="5:54" x14ac:dyDescent="0.35"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2"/>
      <c r="T1541" s="22"/>
      <c r="U1541" s="22"/>
      <c r="V1541" s="22"/>
      <c r="W1541" s="22"/>
      <c r="X1541" s="22"/>
      <c r="Y1541" s="22"/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22"/>
    </row>
    <row r="1542" spans="5:54" x14ac:dyDescent="0.35"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2"/>
      <c r="Y1542" s="22"/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22"/>
    </row>
    <row r="1543" spans="5:54" x14ac:dyDescent="0.35"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2"/>
      <c r="T1543" s="22"/>
      <c r="U1543" s="22"/>
      <c r="V1543" s="22"/>
      <c r="W1543" s="22"/>
      <c r="X1543" s="22"/>
      <c r="Y1543" s="22"/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22"/>
    </row>
    <row r="1544" spans="5:54" x14ac:dyDescent="0.35"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2"/>
      <c r="Y1544" s="22"/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22"/>
    </row>
    <row r="1545" spans="5:54" x14ac:dyDescent="0.35"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2"/>
      <c r="T1545" s="22"/>
      <c r="U1545" s="22"/>
      <c r="V1545" s="22"/>
      <c r="W1545" s="22"/>
      <c r="X1545" s="22"/>
      <c r="Y1545" s="22"/>
      <c r="Z1545" s="22"/>
      <c r="AA1545" s="22"/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22"/>
    </row>
    <row r="1546" spans="5:54" x14ac:dyDescent="0.35"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2"/>
      <c r="Y1546" s="22"/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22"/>
    </row>
    <row r="1547" spans="5:54" x14ac:dyDescent="0.35"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2"/>
      <c r="T1547" s="22"/>
      <c r="U1547" s="22"/>
      <c r="V1547" s="22"/>
      <c r="W1547" s="22"/>
      <c r="X1547" s="22"/>
      <c r="Y1547" s="22"/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22"/>
    </row>
    <row r="1548" spans="5:54" x14ac:dyDescent="0.35"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2"/>
      <c r="Y1548" s="22"/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22"/>
    </row>
    <row r="1549" spans="5:54" x14ac:dyDescent="0.35"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2"/>
      <c r="T1549" s="22"/>
      <c r="U1549" s="22"/>
      <c r="V1549" s="22"/>
      <c r="W1549" s="22"/>
      <c r="X1549" s="22"/>
      <c r="Y1549" s="22"/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22"/>
    </row>
    <row r="1550" spans="5:54" x14ac:dyDescent="0.35"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2"/>
      <c r="Y1550" s="22"/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22"/>
    </row>
    <row r="1551" spans="5:54" x14ac:dyDescent="0.35"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2"/>
      <c r="T1551" s="22"/>
      <c r="U1551" s="22"/>
      <c r="V1551" s="22"/>
      <c r="W1551" s="22"/>
      <c r="X1551" s="22"/>
      <c r="Y1551" s="22"/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22"/>
    </row>
    <row r="1552" spans="5:54" x14ac:dyDescent="0.35"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2"/>
      <c r="Y1552" s="22"/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22"/>
    </row>
    <row r="1553" spans="5:54" x14ac:dyDescent="0.35"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2"/>
      <c r="T1553" s="22"/>
      <c r="U1553" s="22"/>
      <c r="V1553" s="22"/>
      <c r="W1553" s="22"/>
      <c r="X1553" s="22"/>
      <c r="Y1553" s="22"/>
      <c r="Z1553" s="22"/>
      <c r="AA1553" s="22"/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22"/>
    </row>
    <row r="1554" spans="5:54" x14ac:dyDescent="0.35"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2"/>
      <c r="Y1554" s="22"/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22"/>
    </row>
    <row r="1555" spans="5:54" x14ac:dyDescent="0.35"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2"/>
      <c r="T1555" s="22"/>
      <c r="U1555" s="22"/>
      <c r="V1555" s="22"/>
      <c r="W1555" s="22"/>
      <c r="X1555" s="22"/>
      <c r="Y1555" s="22"/>
      <c r="Z1555" s="22"/>
      <c r="AA1555" s="22"/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22"/>
    </row>
    <row r="1556" spans="5:54" x14ac:dyDescent="0.35"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2"/>
      <c r="Y1556" s="22"/>
      <c r="Z1556" s="22"/>
      <c r="AA1556" s="22"/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22"/>
    </row>
    <row r="1557" spans="5:54" x14ac:dyDescent="0.35"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2"/>
      <c r="T1557" s="22"/>
      <c r="U1557" s="22"/>
      <c r="V1557" s="22"/>
      <c r="W1557" s="22"/>
      <c r="X1557" s="22"/>
      <c r="Y1557" s="22"/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22"/>
    </row>
    <row r="1558" spans="5:54" x14ac:dyDescent="0.35"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2"/>
      <c r="Y1558" s="22"/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22"/>
    </row>
    <row r="1559" spans="5:54" x14ac:dyDescent="0.35"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2"/>
      <c r="T1559" s="22"/>
      <c r="U1559" s="22"/>
      <c r="V1559" s="22"/>
      <c r="W1559" s="22"/>
      <c r="X1559" s="22"/>
      <c r="Y1559" s="22"/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22"/>
    </row>
    <row r="1560" spans="5:54" x14ac:dyDescent="0.35"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2"/>
      <c r="Y1560" s="22"/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</row>
    <row r="1561" spans="5:54" x14ac:dyDescent="0.35"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2"/>
      <c r="T1561" s="22"/>
      <c r="U1561" s="22"/>
      <c r="V1561" s="22"/>
      <c r="W1561" s="22"/>
      <c r="X1561" s="22"/>
      <c r="Y1561" s="22"/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</row>
    <row r="1562" spans="5:54" x14ac:dyDescent="0.35"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2"/>
      <c r="Y1562" s="22"/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</row>
    <row r="1563" spans="5:54" x14ac:dyDescent="0.35"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2"/>
      <c r="T1563" s="22"/>
      <c r="U1563" s="22"/>
      <c r="V1563" s="22"/>
      <c r="W1563" s="22"/>
      <c r="X1563" s="22"/>
      <c r="Y1563" s="22"/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22"/>
    </row>
    <row r="1564" spans="5:54" x14ac:dyDescent="0.35"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2"/>
      <c r="Y1564" s="22"/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22"/>
    </row>
    <row r="1565" spans="5:54" x14ac:dyDescent="0.35"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2"/>
      <c r="T1565" s="22"/>
      <c r="U1565" s="22"/>
      <c r="V1565" s="22"/>
      <c r="W1565" s="22"/>
      <c r="X1565" s="22"/>
      <c r="Y1565" s="22"/>
      <c r="Z1565" s="22"/>
      <c r="AA1565" s="22"/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22"/>
    </row>
    <row r="1566" spans="5:54" x14ac:dyDescent="0.35"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22"/>
    </row>
    <row r="1567" spans="5:54" x14ac:dyDescent="0.35"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22"/>
    </row>
    <row r="1568" spans="5:54" x14ac:dyDescent="0.35"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22"/>
    </row>
    <row r="1569" spans="5:54" x14ac:dyDescent="0.35"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22"/>
    </row>
    <row r="1570" spans="5:54" x14ac:dyDescent="0.35"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2"/>
      <c r="Y1570" s="22"/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22"/>
    </row>
    <row r="1571" spans="5:54" x14ac:dyDescent="0.35"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2"/>
      <c r="T1571" s="22"/>
      <c r="U1571" s="22"/>
      <c r="V1571" s="22"/>
      <c r="W1571" s="22"/>
      <c r="X1571" s="22"/>
      <c r="Y1571" s="22"/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22"/>
    </row>
    <row r="1572" spans="5:54" x14ac:dyDescent="0.35"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2"/>
      <c r="Y1572" s="22"/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22"/>
    </row>
    <row r="1573" spans="5:54" x14ac:dyDescent="0.35"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2"/>
      <c r="T1573" s="22"/>
      <c r="U1573" s="22"/>
      <c r="V1573" s="22"/>
      <c r="W1573" s="22"/>
      <c r="X1573" s="22"/>
      <c r="Y1573" s="22"/>
      <c r="Z1573" s="22"/>
      <c r="AA1573" s="22"/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22"/>
    </row>
    <row r="1574" spans="5:54" x14ac:dyDescent="0.35"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22"/>
    </row>
    <row r="1575" spans="5:54" x14ac:dyDescent="0.35"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22"/>
    </row>
    <row r="1576" spans="5:54" x14ac:dyDescent="0.35"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22"/>
    </row>
    <row r="1577" spans="5:54" x14ac:dyDescent="0.35"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2"/>
      <c r="T1577" s="22"/>
      <c r="U1577" s="22"/>
      <c r="V1577" s="22"/>
      <c r="W1577" s="22"/>
      <c r="X1577" s="22"/>
      <c r="Y1577" s="22"/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22"/>
    </row>
    <row r="1578" spans="5:54" x14ac:dyDescent="0.35"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2"/>
      <c r="Y1578" s="22"/>
      <c r="Z1578" s="22"/>
      <c r="AA1578" s="22"/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22"/>
    </row>
    <row r="1579" spans="5:54" x14ac:dyDescent="0.35"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2"/>
      <c r="T1579" s="22"/>
      <c r="U1579" s="22"/>
      <c r="V1579" s="22"/>
      <c r="W1579" s="22"/>
      <c r="X1579" s="22"/>
      <c r="Y1579" s="22"/>
      <c r="Z1579" s="22"/>
      <c r="AA1579" s="22"/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22"/>
    </row>
    <row r="1580" spans="5:54" x14ac:dyDescent="0.35"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2"/>
      <c r="Y1580" s="22"/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22"/>
    </row>
    <row r="1581" spans="5:54" x14ac:dyDescent="0.35"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2"/>
      <c r="T1581" s="22"/>
      <c r="U1581" s="22"/>
      <c r="V1581" s="22"/>
      <c r="W1581" s="22"/>
      <c r="X1581" s="22"/>
      <c r="Y1581" s="22"/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22"/>
    </row>
    <row r="1582" spans="5:54" x14ac:dyDescent="0.35"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2"/>
      <c r="Y1582" s="22"/>
      <c r="Z1582" s="22"/>
      <c r="AA1582" s="22"/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22"/>
    </row>
    <row r="1583" spans="5:54" x14ac:dyDescent="0.35"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2"/>
      <c r="T1583" s="22"/>
      <c r="U1583" s="22"/>
      <c r="V1583" s="22"/>
      <c r="W1583" s="22"/>
      <c r="X1583" s="22"/>
      <c r="Y1583" s="22"/>
      <c r="Z1583" s="22"/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22"/>
    </row>
    <row r="1584" spans="5:54" x14ac:dyDescent="0.35"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2"/>
      <c r="Y1584" s="22"/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22"/>
    </row>
    <row r="1585" spans="5:54" x14ac:dyDescent="0.35"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2"/>
      <c r="T1585" s="22"/>
      <c r="U1585" s="22"/>
      <c r="V1585" s="22"/>
      <c r="W1585" s="22"/>
      <c r="X1585" s="22"/>
      <c r="Y1585" s="22"/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22"/>
    </row>
    <row r="1586" spans="5:54" x14ac:dyDescent="0.35"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2"/>
      <c r="Y1586" s="22"/>
      <c r="Z1586" s="22"/>
      <c r="AA1586" s="22"/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22"/>
    </row>
    <row r="1587" spans="5:54" x14ac:dyDescent="0.35"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2"/>
      <c r="T1587" s="22"/>
      <c r="U1587" s="22"/>
      <c r="V1587" s="22"/>
      <c r="W1587" s="22"/>
      <c r="X1587" s="22"/>
      <c r="Y1587" s="22"/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22"/>
    </row>
    <row r="1588" spans="5:54" x14ac:dyDescent="0.35"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2"/>
      <c r="Y1588" s="22"/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22"/>
    </row>
    <row r="1589" spans="5:54" x14ac:dyDescent="0.35"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22"/>
    </row>
    <row r="1590" spans="5:54" x14ac:dyDescent="0.35"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2"/>
      <c r="Y1590" s="22"/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22"/>
    </row>
    <row r="1591" spans="5:54" x14ac:dyDescent="0.35"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2"/>
      <c r="T1591" s="22"/>
      <c r="U1591" s="22"/>
      <c r="V1591" s="22"/>
      <c r="W1591" s="22"/>
      <c r="X1591" s="22"/>
      <c r="Y1591" s="22"/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22"/>
    </row>
    <row r="1592" spans="5:54" x14ac:dyDescent="0.35"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2"/>
      <c r="Y1592" s="22"/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22"/>
    </row>
    <row r="1593" spans="5:54" x14ac:dyDescent="0.35"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2"/>
      <c r="T1593" s="22"/>
      <c r="U1593" s="22"/>
      <c r="V1593" s="22"/>
      <c r="W1593" s="22"/>
      <c r="X1593" s="22"/>
      <c r="Y1593" s="22"/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22"/>
    </row>
    <row r="1594" spans="5:54" x14ac:dyDescent="0.35"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2"/>
      <c r="Y1594" s="22"/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22"/>
    </row>
    <row r="1595" spans="5:54" x14ac:dyDescent="0.35"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2"/>
      <c r="T1595" s="22"/>
      <c r="U1595" s="22"/>
      <c r="V1595" s="22"/>
      <c r="W1595" s="22"/>
      <c r="X1595" s="22"/>
      <c r="Y1595" s="22"/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22"/>
    </row>
    <row r="1596" spans="5:54" x14ac:dyDescent="0.35"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2"/>
      <c r="Y1596" s="22"/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22"/>
    </row>
    <row r="1597" spans="5:54" x14ac:dyDescent="0.35"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2"/>
      <c r="T1597" s="22"/>
      <c r="U1597" s="22"/>
      <c r="V1597" s="22"/>
      <c r="W1597" s="22"/>
      <c r="X1597" s="22"/>
      <c r="Y1597" s="22"/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22"/>
    </row>
    <row r="1598" spans="5:54" x14ac:dyDescent="0.35"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2"/>
      <c r="Y1598" s="22"/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22"/>
    </row>
    <row r="1599" spans="5:54" x14ac:dyDescent="0.35"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2"/>
      <c r="T1599" s="22"/>
      <c r="U1599" s="22"/>
      <c r="V1599" s="22"/>
      <c r="W1599" s="22"/>
      <c r="X1599" s="22"/>
      <c r="Y1599" s="22"/>
      <c r="Z1599" s="22"/>
      <c r="AA1599" s="22"/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22"/>
    </row>
    <row r="1600" spans="5:54" x14ac:dyDescent="0.35"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2"/>
      <c r="Y1600" s="22"/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22"/>
    </row>
    <row r="1601" spans="5:54" x14ac:dyDescent="0.35"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2"/>
      <c r="T1601" s="22"/>
      <c r="U1601" s="22"/>
      <c r="V1601" s="22"/>
      <c r="W1601" s="22"/>
      <c r="X1601" s="22"/>
      <c r="Y1601" s="22"/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22"/>
    </row>
    <row r="1602" spans="5:54" x14ac:dyDescent="0.35"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2"/>
      <c r="Y1602" s="22"/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22"/>
    </row>
    <row r="1603" spans="5:54" x14ac:dyDescent="0.35"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2"/>
      <c r="T1603" s="22"/>
      <c r="U1603" s="22"/>
      <c r="V1603" s="22"/>
      <c r="W1603" s="22"/>
      <c r="X1603" s="22"/>
      <c r="Y1603" s="22"/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22"/>
    </row>
    <row r="1604" spans="5:54" x14ac:dyDescent="0.35"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2"/>
      <c r="Y1604" s="22"/>
      <c r="Z1604" s="22"/>
      <c r="AA1604" s="22"/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22"/>
    </row>
    <row r="1605" spans="5:54" x14ac:dyDescent="0.35"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2"/>
      <c r="T1605" s="22"/>
      <c r="U1605" s="22"/>
      <c r="V1605" s="22"/>
      <c r="W1605" s="22"/>
      <c r="X1605" s="22"/>
      <c r="Y1605" s="22"/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22"/>
    </row>
    <row r="1606" spans="5:54" x14ac:dyDescent="0.35"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2"/>
      <c r="Y1606" s="22"/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22"/>
    </row>
    <row r="1607" spans="5:54" x14ac:dyDescent="0.35"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2"/>
      <c r="T1607" s="22"/>
      <c r="U1607" s="22"/>
      <c r="V1607" s="22"/>
      <c r="W1607" s="22"/>
      <c r="X1607" s="22"/>
      <c r="Y1607" s="22"/>
      <c r="Z1607" s="22"/>
      <c r="AA1607" s="22"/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22"/>
    </row>
    <row r="1608" spans="5:54" x14ac:dyDescent="0.35"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22"/>
    </row>
    <row r="1609" spans="5:54" x14ac:dyDescent="0.35"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22"/>
    </row>
    <row r="1610" spans="5:54" x14ac:dyDescent="0.35"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22"/>
    </row>
    <row r="1611" spans="5:54" x14ac:dyDescent="0.35"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22"/>
    </row>
    <row r="1612" spans="5:54" x14ac:dyDescent="0.35"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2"/>
      <c r="Y1612" s="22"/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22"/>
    </row>
    <row r="1613" spans="5:54" x14ac:dyDescent="0.35"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2"/>
      <c r="T1613" s="22"/>
      <c r="U1613" s="22"/>
      <c r="V1613" s="22"/>
      <c r="W1613" s="22"/>
      <c r="X1613" s="22"/>
      <c r="Y1613" s="22"/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22"/>
    </row>
    <row r="1614" spans="5:54" x14ac:dyDescent="0.35"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2"/>
      <c r="Y1614" s="22"/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22"/>
    </row>
    <row r="1615" spans="5:54" x14ac:dyDescent="0.35"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2"/>
      <c r="T1615" s="22"/>
      <c r="U1615" s="22"/>
      <c r="V1615" s="22"/>
      <c r="W1615" s="22"/>
      <c r="X1615" s="22"/>
      <c r="Y1615" s="22"/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22"/>
    </row>
    <row r="1616" spans="5:54" x14ac:dyDescent="0.35"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2"/>
      <c r="Y1616" s="22"/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22"/>
    </row>
    <row r="1617" spans="5:54" x14ac:dyDescent="0.35"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22"/>
    </row>
    <row r="1618" spans="5:54" x14ac:dyDescent="0.35"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22"/>
    </row>
    <row r="1619" spans="5:54" x14ac:dyDescent="0.35"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22"/>
    </row>
    <row r="1620" spans="5:54" x14ac:dyDescent="0.35"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2"/>
      <c r="Y1620" s="22"/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22"/>
    </row>
    <row r="1621" spans="5:54" x14ac:dyDescent="0.35"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2"/>
      <c r="T1621" s="22"/>
      <c r="U1621" s="22"/>
      <c r="V1621" s="22"/>
      <c r="W1621" s="22"/>
      <c r="X1621" s="22"/>
      <c r="Y1621" s="22"/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22"/>
    </row>
    <row r="1622" spans="5:54" x14ac:dyDescent="0.35"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2"/>
      <c r="Y1622" s="22"/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22"/>
    </row>
    <row r="1623" spans="5:54" x14ac:dyDescent="0.35"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22"/>
    </row>
    <row r="1624" spans="5:54" x14ac:dyDescent="0.35"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22"/>
    </row>
    <row r="1625" spans="5:54" x14ac:dyDescent="0.35"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22"/>
    </row>
    <row r="1626" spans="5:54" x14ac:dyDescent="0.35"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22"/>
    </row>
    <row r="1627" spans="5:54" x14ac:dyDescent="0.35"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22"/>
    </row>
    <row r="1628" spans="5:54" x14ac:dyDescent="0.35"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22"/>
    </row>
    <row r="1629" spans="5:54" x14ac:dyDescent="0.35"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2"/>
      <c r="T1629" s="22"/>
      <c r="U1629" s="22"/>
      <c r="V1629" s="22"/>
      <c r="W1629" s="22"/>
      <c r="X1629" s="22"/>
      <c r="Y1629" s="22"/>
      <c r="Z1629" s="22"/>
      <c r="AA1629" s="22"/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22"/>
    </row>
    <row r="1630" spans="5:54" x14ac:dyDescent="0.35"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2"/>
      <c r="Y1630" s="22"/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22"/>
    </row>
    <row r="1631" spans="5:54" x14ac:dyDescent="0.35"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2"/>
      <c r="T1631" s="22"/>
      <c r="U1631" s="22"/>
      <c r="V1631" s="22"/>
      <c r="W1631" s="22"/>
      <c r="X1631" s="22"/>
      <c r="Y1631" s="22"/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22"/>
    </row>
    <row r="1632" spans="5:54" x14ac:dyDescent="0.35"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2"/>
      <c r="Y1632" s="22"/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22"/>
    </row>
    <row r="1633" spans="5:54" x14ac:dyDescent="0.35"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2"/>
      <c r="T1633" s="22"/>
      <c r="U1633" s="22"/>
      <c r="V1633" s="22"/>
      <c r="W1633" s="22"/>
      <c r="X1633" s="22"/>
      <c r="Y1633" s="22"/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22"/>
    </row>
    <row r="1634" spans="5:54" x14ac:dyDescent="0.35"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2"/>
      <c r="Y1634" s="22"/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22"/>
    </row>
    <row r="1635" spans="5:54" x14ac:dyDescent="0.35"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2"/>
      <c r="T1635" s="22"/>
      <c r="U1635" s="22"/>
      <c r="V1635" s="22"/>
      <c r="W1635" s="22"/>
      <c r="X1635" s="22"/>
      <c r="Y1635" s="22"/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22"/>
    </row>
    <row r="1636" spans="5:54" x14ac:dyDescent="0.35"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2"/>
      <c r="Y1636" s="22"/>
      <c r="Z1636" s="22"/>
      <c r="AA1636" s="22"/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22"/>
    </row>
    <row r="1637" spans="5:54" x14ac:dyDescent="0.35"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2"/>
      <c r="T1637" s="22"/>
      <c r="U1637" s="22"/>
      <c r="V1637" s="22"/>
      <c r="W1637" s="22"/>
      <c r="X1637" s="22"/>
      <c r="Y1637" s="22"/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22"/>
    </row>
    <row r="1638" spans="5:54" x14ac:dyDescent="0.35"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2"/>
      <c r="Y1638" s="22"/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22"/>
    </row>
    <row r="1639" spans="5:54" x14ac:dyDescent="0.35"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2"/>
      <c r="T1639" s="22"/>
      <c r="U1639" s="22"/>
      <c r="V1639" s="22"/>
      <c r="W1639" s="22"/>
      <c r="X1639" s="22"/>
      <c r="Y1639" s="22"/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22"/>
    </row>
    <row r="1640" spans="5:54" x14ac:dyDescent="0.35"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2"/>
      <c r="Y1640" s="22"/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22"/>
    </row>
    <row r="1641" spans="5:54" x14ac:dyDescent="0.35"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2"/>
      <c r="T1641" s="22"/>
      <c r="U1641" s="22"/>
      <c r="V1641" s="22"/>
      <c r="W1641" s="22"/>
      <c r="X1641" s="22"/>
      <c r="Y1641" s="22"/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22"/>
    </row>
    <row r="1642" spans="5:54" x14ac:dyDescent="0.35"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2"/>
      <c r="Y1642" s="22"/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22"/>
    </row>
    <row r="1643" spans="5:54" x14ac:dyDescent="0.35"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2"/>
      <c r="T1643" s="22"/>
      <c r="U1643" s="22"/>
      <c r="V1643" s="22"/>
      <c r="W1643" s="22"/>
      <c r="X1643" s="22"/>
      <c r="Y1643" s="22"/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22"/>
    </row>
    <row r="1644" spans="5:54" x14ac:dyDescent="0.35"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2"/>
      <c r="Y1644" s="22"/>
      <c r="Z1644" s="22"/>
      <c r="AA1644" s="22"/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22"/>
    </row>
    <row r="1645" spans="5:54" x14ac:dyDescent="0.35"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2"/>
      <c r="T1645" s="22"/>
      <c r="U1645" s="22"/>
      <c r="V1645" s="22"/>
      <c r="W1645" s="22"/>
      <c r="X1645" s="22"/>
      <c r="Y1645" s="22"/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22"/>
    </row>
    <row r="1646" spans="5:54" x14ac:dyDescent="0.35"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2"/>
      <c r="Y1646" s="22"/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22"/>
    </row>
    <row r="1647" spans="5:54" x14ac:dyDescent="0.35"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2"/>
      <c r="T1647" s="22"/>
      <c r="U1647" s="22"/>
      <c r="V1647" s="22"/>
      <c r="W1647" s="22"/>
      <c r="X1647" s="22"/>
      <c r="Y1647" s="22"/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22"/>
    </row>
    <row r="1648" spans="5:54" x14ac:dyDescent="0.35"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2"/>
      <c r="Y1648" s="22"/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22"/>
    </row>
    <row r="1649" spans="5:54" x14ac:dyDescent="0.35"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2"/>
      <c r="T1649" s="22"/>
      <c r="U1649" s="22"/>
      <c r="V1649" s="22"/>
      <c r="W1649" s="22"/>
      <c r="X1649" s="22"/>
      <c r="Y1649" s="22"/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22"/>
    </row>
    <row r="1650" spans="5:54" x14ac:dyDescent="0.35"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2"/>
      <c r="Y1650" s="22"/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22"/>
    </row>
    <row r="1651" spans="5:54" x14ac:dyDescent="0.35"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2"/>
      <c r="T1651" s="22"/>
      <c r="U1651" s="22"/>
      <c r="V1651" s="22"/>
      <c r="W1651" s="22"/>
      <c r="X1651" s="22"/>
      <c r="Y1651" s="22"/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22"/>
    </row>
    <row r="1652" spans="5:54" x14ac:dyDescent="0.35"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2"/>
      <c r="Y1652" s="22"/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22"/>
    </row>
    <row r="1653" spans="5:54" x14ac:dyDescent="0.35"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2"/>
      <c r="T1653" s="22"/>
      <c r="U1653" s="22"/>
      <c r="V1653" s="22"/>
      <c r="W1653" s="22"/>
      <c r="X1653" s="22"/>
      <c r="Y1653" s="22"/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22"/>
    </row>
    <row r="1654" spans="5:54" x14ac:dyDescent="0.35"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2"/>
      <c r="Y1654" s="22"/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22"/>
    </row>
    <row r="1655" spans="5:54" x14ac:dyDescent="0.35"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2"/>
      <c r="T1655" s="22"/>
      <c r="U1655" s="22"/>
      <c r="V1655" s="22"/>
      <c r="W1655" s="22"/>
      <c r="X1655" s="22"/>
      <c r="Y1655" s="22"/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22"/>
    </row>
    <row r="1656" spans="5:54" x14ac:dyDescent="0.35"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2"/>
      <c r="Y1656" s="22"/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22"/>
    </row>
    <row r="1657" spans="5:54" x14ac:dyDescent="0.35"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2"/>
      <c r="T1657" s="22"/>
      <c r="U1657" s="22"/>
      <c r="V1657" s="22"/>
      <c r="W1657" s="22"/>
      <c r="X1657" s="22"/>
      <c r="Y1657" s="22"/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22"/>
    </row>
    <row r="1658" spans="5:54" x14ac:dyDescent="0.35"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2"/>
      <c r="Y1658" s="22"/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22"/>
    </row>
    <row r="1659" spans="5:54" x14ac:dyDescent="0.35"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2"/>
      <c r="T1659" s="22"/>
      <c r="U1659" s="22"/>
      <c r="V1659" s="22"/>
      <c r="W1659" s="22"/>
      <c r="X1659" s="22"/>
      <c r="Y1659" s="22"/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22"/>
    </row>
    <row r="1660" spans="5:54" x14ac:dyDescent="0.35"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2"/>
      <c r="Y1660" s="22"/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22"/>
    </row>
    <row r="1661" spans="5:54" x14ac:dyDescent="0.35"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2"/>
      <c r="T1661" s="22"/>
      <c r="U1661" s="22"/>
      <c r="V1661" s="22"/>
      <c r="W1661" s="22"/>
      <c r="X1661" s="22"/>
      <c r="Y1661" s="22"/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22"/>
    </row>
    <row r="1662" spans="5:54" x14ac:dyDescent="0.35"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2"/>
      <c r="Y1662" s="22"/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22"/>
    </row>
    <row r="1663" spans="5:54" x14ac:dyDescent="0.35"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2"/>
      <c r="T1663" s="22"/>
      <c r="U1663" s="22"/>
      <c r="V1663" s="22"/>
      <c r="W1663" s="22"/>
      <c r="X1663" s="22"/>
      <c r="Y1663" s="22"/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22"/>
    </row>
    <row r="1664" spans="5:54" x14ac:dyDescent="0.35"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2"/>
      <c r="Y1664" s="22"/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22"/>
    </row>
    <row r="1665" spans="5:54" x14ac:dyDescent="0.35"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2"/>
      <c r="T1665" s="22"/>
      <c r="U1665" s="22"/>
      <c r="V1665" s="22"/>
      <c r="W1665" s="22"/>
      <c r="X1665" s="22"/>
      <c r="Y1665" s="22"/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22"/>
    </row>
    <row r="1666" spans="5:54" x14ac:dyDescent="0.35"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2"/>
      <c r="Y1666" s="22"/>
      <c r="Z1666" s="22"/>
      <c r="AA1666" s="22"/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22"/>
    </row>
    <row r="1667" spans="5:54" x14ac:dyDescent="0.35"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2"/>
      <c r="T1667" s="22"/>
      <c r="U1667" s="22"/>
      <c r="V1667" s="22"/>
      <c r="W1667" s="22"/>
      <c r="X1667" s="22"/>
      <c r="Y1667" s="22"/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22"/>
    </row>
    <row r="1668" spans="5:54" x14ac:dyDescent="0.35"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2"/>
      <c r="Y1668" s="22"/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22"/>
    </row>
    <row r="1669" spans="5:54" x14ac:dyDescent="0.35"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2"/>
      <c r="T1669" s="22"/>
      <c r="U1669" s="22"/>
      <c r="V1669" s="22"/>
      <c r="W1669" s="22"/>
      <c r="X1669" s="22"/>
      <c r="Y1669" s="22"/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22"/>
    </row>
    <row r="1670" spans="5:54" x14ac:dyDescent="0.35"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2"/>
      <c r="Y1670" s="22"/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22"/>
    </row>
    <row r="1671" spans="5:54" x14ac:dyDescent="0.35"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2"/>
      <c r="T1671" s="22"/>
      <c r="U1671" s="22"/>
      <c r="V1671" s="22"/>
      <c r="W1671" s="22"/>
      <c r="X1671" s="22"/>
      <c r="Y1671" s="22"/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22"/>
    </row>
    <row r="1672" spans="5:54" x14ac:dyDescent="0.35"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2"/>
      <c r="Y1672" s="22"/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22"/>
    </row>
    <row r="1673" spans="5:54" x14ac:dyDescent="0.35"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2"/>
      <c r="T1673" s="22"/>
      <c r="U1673" s="22"/>
      <c r="V1673" s="22"/>
      <c r="W1673" s="22"/>
      <c r="X1673" s="22"/>
      <c r="Y1673" s="22"/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22"/>
    </row>
    <row r="1674" spans="5:54" x14ac:dyDescent="0.35"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2"/>
      <c r="Y1674" s="22"/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22"/>
    </row>
    <row r="1675" spans="5:54" x14ac:dyDescent="0.35"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2"/>
      <c r="T1675" s="22"/>
      <c r="U1675" s="22"/>
      <c r="V1675" s="22"/>
      <c r="W1675" s="22"/>
      <c r="X1675" s="22"/>
      <c r="Y1675" s="22"/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22"/>
    </row>
    <row r="1676" spans="5:54" x14ac:dyDescent="0.35"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2"/>
      <c r="Y1676" s="22"/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22"/>
    </row>
    <row r="1677" spans="5:54" x14ac:dyDescent="0.35"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2"/>
      <c r="T1677" s="22"/>
      <c r="U1677" s="22"/>
      <c r="V1677" s="22"/>
      <c r="W1677" s="22"/>
      <c r="X1677" s="22"/>
      <c r="Y1677" s="22"/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22"/>
    </row>
    <row r="1678" spans="5:54" x14ac:dyDescent="0.35"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2"/>
      <c r="Y1678" s="22"/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22"/>
    </row>
    <row r="1679" spans="5:54" x14ac:dyDescent="0.35"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2"/>
      <c r="T1679" s="22"/>
      <c r="U1679" s="22"/>
      <c r="V1679" s="22"/>
      <c r="W1679" s="22"/>
      <c r="X1679" s="22"/>
      <c r="Y1679" s="22"/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22"/>
    </row>
    <row r="1680" spans="5:54" x14ac:dyDescent="0.35"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2"/>
      <c r="Y1680" s="22"/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22"/>
    </row>
    <row r="1681" spans="5:54" x14ac:dyDescent="0.35"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2"/>
      <c r="T1681" s="22"/>
      <c r="U1681" s="22"/>
      <c r="V1681" s="22"/>
      <c r="W1681" s="22"/>
      <c r="X1681" s="22"/>
      <c r="Y1681" s="22"/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22"/>
    </row>
    <row r="1682" spans="5:54" x14ac:dyDescent="0.35"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2"/>
      <c r="Y1682" s="22"/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22"/>
    </row>
    <row r="1683" spans="5:54" x14ac:dyDescent="0.35"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2"/>
      <c r="T1683" s="22"/>
      <c r="U1683" s="22"/>
      <c r="V1683" s="22"/>
      <c r="W1683" s="22"/>
      <c r="X1683" s="22"/>
      <c r="Y1683" s="22"/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22"/>
    </row>
    <row r="1684" spans="5:54" x14ac:dyDescent="0.35"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2"/>
      <c r="Y1684" s="22"/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22"/>
    </row>
    <row r="1685" spans="5:54" x14ac:dyDescent="0.35"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2"/>
      <c r="T1685" s="22"/>
      <c r="U1685" s="22"/>
      <c r="V1685" s="22"/>
      <c r="W1685" s="22"/>
      <c r="X1685" s="22"/>
      <c r="Y1685" s="22"/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22"/>
    </row>
    <row r="1686" spans="5:54" x14ac:dyDescent="0.35"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2"/>
      <c r="Y1686" s="22"/>
      <c r="Z1686" s="22"/>
      <c r="AA1686" s="22"/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22"/>
    </row>
    <row r="1687" spans="5:54" x14ac:dyDescent="0.35"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2"/>
      <c r="T1687" s="22"/>
      <c r="U1687" s="22"/>
      <c r="V1687" s="22"/>
      <c r="W1687" s="22"/>
      <c r="X1687" s="22"/>
      <c r="Y1687" s="22"/>
      <c r="Z1687" s="22"/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22"/>
    </row>
    <row r="1688" spans="5:54" x14ac:dyDescent="0.35"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2"/>
      <c r="Y1688" s="22"/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22"/>
    </row>
    <row r="1689" spans="5:54" x14ac:dyDescent="0.35"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2"/>
      <c r="T1689" s="22"/>
      <c r="U1689" s="22"/>
      <c r="V1689" s="22"/>
      <c r="W1689" s="22"/>
      <c r="X1689" s="22"/>
      <c r="Y1689" s="22"/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22"/>
    </row>
    <row r="1690" spans="5:54" x14ac:dyDescent="0.35"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2"/>
      <c r="Y1690" s="22"/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22"/>
    </row>
    <row r="1691" spans="5:54" x14ac:dyDescent="0.35"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2"/>
      <c r="T1691" s="22"/>
      <c r="U1691" s="22"/>
      <c r="V1691" s="22"/>
      <c r="W1691" s="22"/>
      <c r="X1691" s="22"/>
      <c r="Y1691" s="22"/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22"/>
    </row>
    <row r="1692" spans="5:54" x14ac:dyDescent="0.35"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2"/>
      <c r="Y1692" s="22"/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22"/>
    </row>
    <row r="1693" spans="5:54" x14ac:dyDescent="0.35"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2"/>
      <c r="T1693" s="22"/>
      <c r="U1693" s="22"/>
      <c r="V1693" s="22"/>
      <c r="W1693" s="22"/>
      <c r="X1693" s="22"/>
      <c r="Y1693" s="22"/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22"/>
    </row>
    <row r="1694" spans="5:54" x14ac:dyDescent="0.35"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2"/>
      <c r="Y1694" s="22"/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22"/>
    </row>
    <row r="1695" spans="5:54" x14ac:dyDescent="0.35"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2"/>
      <c r="T1695" s="22"/>
      <c r="U1695" s="22"/>
      <c r="V1695" s="22"/>
      <c r="W1695" s="22"/>
      <c r="X1695" s="22"/>
      <c r="Y1695" s="22"/>
      <c r="Z1695" s="22"/>
      <c r="AA1695" s="22"/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22"/>
    </row>
    <row r="1696" spans="5:54" x14ac:dyDescent="0.35"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2"/>
      <c r="Y1696" s="22"/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22"/>
    </row>
    <row r="1697" spans="5:54" x14ac:dyDescent="0.35"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2"/>
      <c r="T1697" s="22"/>
      <c r="U1697" s="22"/>
      <c r="V1697" s="22"/>
      <c r="W1697" s="22"/>
      <c r="X1697" s="22"/>
      <c r="Y1697" s="22"/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22"/>
    </row>
    <row r="1698" spans="5:54" x14ac:dyDescent="0.35"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2"/>
      <c r="Y1698" s="22"/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22"/>
    </row>
    <row r="1699" spans="5:54" x14ac:dyDescent="0.35"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2"/>
      <c r="T1699" s="22"/>
      <c r="U1699" s="22"/>
      <c r="V1699" s="22"/>
      <c r="W1699" s="22"/>
      <c r="X1699" s="22"/>
      <c r="Y1699" s="22"/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22"/>
    </row>
    <row r="1700" spans="5:54" x14ac:dyDescent="0.35"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2"/>
      <c r="Y1700" s="22"/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22"/>
    </row>
    <row r="1701" spans="5:54" x14ac:dyDescent="0.35"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2"/>
      <c r="T1701" s="22"/>
      <c r="U1701" s="22"/>
      <c r="V1701" s="22"/>
      <c r="W1701" s="22"/>
      <c r="X1701" s="22"/>
      <c r="Y1701" s="22"/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22"/>
    </row>
    <row r="1702" spans="5:54" x14ac:dyDescent="0.35"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2"/>
      <c r="Y1702" s="22"/>
      <c r="Z1702" s="22"/>
      <c r="AA1702" s="22"/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22"/>
    </row>
    <row r="1703" spans="5:54" x14ac:dyDescent="0.35"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2"/>
      <c r="T1703" s="22"/>
      <c r="U1703" s="22"/>
      <c r="V1703" s="22"/>
      <c r="W1703" s="22"/>
      <c r="X1703" s="22"/>
      <c r="Y1703" s="22"/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22"/>
    </row>
    <row r="1704" spans="5:54" x14ac:dyDescent="0.35"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2"/>
      <c r="Y1704" s="22"/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22"/>
    </row>
    <row r="1705" spans="5:54" x14ac:dyDescent="0.35"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2"/>
      <c r="T1705" s="22"/>
      <c r="U1705" s="22"/>
      <c r="V1705" s="22"/>
      <c r="W1705" s="22"/>
      <c r="X1705" s="22"/>
      <c r="Y1705" s="22"/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22"/>
    </row>
    <row r="1706" spans="5:54" x14ac:dyDescent="0.35"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2"/>
      <c r="Y1706" s="22"/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22"/>
    </row>
    <row r="1707" spans="5:54" x14ac:dyDescent="0.35"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2"/>
      <c r="T1707" s="22"/>
      <c r="U1707" s="22"/>
      <c r="V1707" s="22"/>
      <c r="W1707" s="22"/>
      <c r="X1707" s="22"/>
      <c r="Y1707" s="22"/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22"/>
    </row>
    <row r="1708" spans="5:54" x14ac:dyDescent="0.35"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2"/>
      <c r="Y1708" s="22"/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22"/>
    </row>
    <row r="1709" spans="5:54" x14ac:dyDescent="0.35"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2"/>
      <c r="T1709" s="22"/>
      <c r="U1709" s="22"/>
      <c r="V1709" s="22"/>
      <c r="W1709" s="22"/>
      <c r="X1709" s="22"/>
      <c r="Y1709" s="22"/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22"/>
    </row>
    <row r="1710" spans="5:54" x14ac:dyDescent="0.35"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2"/>
      <c r="Y1710" s="22"/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22"/>
    </row>
    <row r="1711" spans="5:54" x14ac:dyDescent="0.35"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2"/>
      <c r="T1711" s="22"/>
      <c r="U1711" s="22"/>
      <c r="V1711" s="22"/>
      <c r="W1711" s="22"/>
      <c r="X1711" s="22"/>
      <c r="Y1711" s="22"/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22"/>
    </row>
    <row r="1712" spans="5:54" x14ac:dyDescent="0.35"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2"/>
      <c r="Y1712" s="22"/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22"/>
    </row>
    <row r="1713" spans="5:54" x14ac:dyDescent="0.35"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2"/>
      <c r="T1713" s="22"/>
      <c r="U1713" s="22"/>
      <c r="V1713" s="22"/>
      <c r="W1713" s="22"/>
      <c r="X1713" s="22"/>
      <c r="Y1713" s="22"/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22"/>
    </row>
    <row r="1714" spans="5:54" x14ac:dyDescent="0.35"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2"/>
      <c r="Y1714" s="22"/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22"/>
    </row>
    <row r="1715" spans="5:54" x14ac:dyDescent="0.35"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2"/>
      <c r="T1715" s="22"/>
      <c r="U1715" s="22"/>
      <c r="V1715" s="22"/>
      <c r="W1715" s="22"/>
      <c r="X1715" s="22"/>
      <c r="Y1715" s="22"/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22"/>
    </row>
    <row r="1716" spans="5:54" x14ac:dyDescent="0.35"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2"/>
      <c r="Y1716" s="22"/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22"/>
    </row>
    <row r="1717" spans="5:54" x14ac:dyDescent="0.35"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2"/>
      <c r="T1717" s="22"/>
      <c r="U1717" s="22"/>
      <c r="V1717" s="22"/>
      <c r="W1717" s="22"/>
      <c r="X1717" s="22"/>
      <c r="Y1717" s="22"/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22"/>
    </row>
    <row r="1718" spans="5:54" x14ac:dyDescent="0.35"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2"/>
      <c r="Y1718" s="22"/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22"/>
    </row>
    <row r="1719" spans="5:54" x14ac:dyDescent="0.35"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2"/>
      <c r="T1719" s="22"/>
      <c r="U1719" s="22"/>
      <c r="V1719" s="22"/>
      <c r="W1719" s="22"/>
      <c r="X1719" s="22"/>
      <c r="Y1719" s="22"/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22"/>
    </row>
    <row r="1720" spans="5:54" x14ac:dyDescent="0.35"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2"/>
      <c r="Y1720" s="22"/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22"/>
    </row>
    <row r="1721" spans="5:54" x14ac:dyDescent="0.35"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2"/>
      <c r="T1721" s="22"/>
      <c r="U1721" s="22"/>
      <c r="V1721" s="22"/>
      <c r="W1721" s="22"/>
      <c r="X1721" s="22"/>
      <c r="Y1721" s="22"/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22"/>
    </row>
    <row r="1722" spans="5:54" x14ac:dyDescent="0.35"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2"/>
      <c r="Y1722" s="22"/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22"/>
    </row>
    <row r="1723" spans="5:54" x14ac:dyDescent="0.35"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2"/>
      <c r="T1723" s="22"/>
      <c r="U1723" s="22"/>
      <c r="V1723" s="22"/>
      <c r="W1723" s="22"/>
      <c r="X1723" s="22"/>
      <c r="Y1723" s="22"/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22"/>
    </row>
    <row r="1724" spans="5:54" x14ac:dyDescent="0.35"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2"/>
      <c r="Y1724" s="22"/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22"/>
    </row>
    <row r="1725" spans="5:54" x14ac:dyDescent="0.35"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2"/>
      <c r="T1725" s="22"/>
      <c r="U1725" s="22"/>
      <c r="V1725" s="22"/>
      <c r="W1725" s="22"/>
      <c r="X1725" s="22"/>
      <c r="Y1725" s="22"/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22"/>
    </row>
    <row r="1726" spans="5:54" x14ac:dyDescent="0.35"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2"/>
      <c r="Y1726" s="22"/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22"/>
    </row>
    <row r="1727" spans="5:54" x14ac:dyDescent="0.35"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2"/>
      <c r="T1727" s="22"/>
      <c r="U1727" s="22"/>
      <c r="V1727" s="22"/>
      <c r="W1727" s="22"/>
      <c r="X1727" s="22"/>
      <c r="Y1727" s="22"/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22"/>
    </row>
    <row r="1728" spans="5:54" x14ac:dyDescent="0.35"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2"/>
      <c r="Y1728" s="22"/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22"/>
    </row>
    <row r="1729" spans="5:54" x14ac:dyDescent="0.35"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2"/>
      <c r="T1729" s="22"/>
      <c r="U1729" s="22"/>
      <c r="V1729" s="22"/>
      <c r="W1729" s="22"/>
      <c r="X1729" s="22"/>
      <c r="Y1729" s="22"/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22"/>
    </row>
    <row r="1730" spans="5:54" x14ac:dyDescent="0.35"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2"/>
      <c r="Y1730" s="22"/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22"/>
    </row>
    <row r="1731" spans="5:54" x14ac:dyDescent="0.35"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2"/>
      <c r="T1731" s="22"/>
      <c r="U1731" s="22"/>
      <c r="V1731" s="22"/>
      <c r="W1731" s="22"/>
      <c r="X1731" s="22"/>
      <c r="Y1731" s="22"/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22"/>
    </row>
    <row r="1732" spans="5:54" x14ac:dyDescent="0.35"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2"/>
      <c r="Y1732" s="22"/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22"/>
    </row>
    <row r="1733" spans="5:54" x14ac:dyDescent="0.35"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2"/>
      <c r="T1733" s="22"/>
      <c r="U1733" s="22"/>
      <c r="V1733" s="22"/>
      <c r="W1733" s="22"/>
      <c r="X1733" s="22"/>
      <c r="Y1733" s="22"/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22"/>
    </row>
    <row r="1734" spans="5:54" x14ac:dyDescent="0.35"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2"/>
      <c r="Y1734" s="22"/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22"/>
    </row>
    <row r="1735" spans="5:54" x14ac:dyDescent="0.35"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2"/>
      <c r="T1735" s="22"/>
      <c r="U1735" s="22"/>
      <c r="V1735" s="22"/>
      <c r="W1735" s="22"/>
      <c r="X1735" s="22"/>
      <c r="Y1735" s="22"/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22"/>
    </row>
    <row r="1736" spans="5:54" x14ac:dyDescent="0.35"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2"/>
      <c r="Y1736" s="22"/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22"/>
    </row>
    <row r="1737" spans="5:54" x14ac:dyDescent="0.35"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2"/>
      <c r="T1737" s="22"/>
      <c r="U1737" s="22"/>
      <c r="V1737" s="22"/>
      <c r="W1737" s="22"/>
      <c r="X1737" s="22"/>
      <c r="Y1737" s="22"/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22"/>
    </row>
    <row r="1738" spans="5:54" x14ac:dyDescent="0.35"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2"/>
      <c r="Y1738" s="22"/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22"/>
    </row>
    <row r="1739" spans="5:54" x14ac:dyDescent="0.35"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2"/>
      <c r="T1739" s="22"/>
      <c r="U1739" s="22"/>
      <c r="V1739" s="22"/>
      <c r="W1739" s="22"/>
      <c r="X1739" s="22"/>
      <c r="Y1739" s="22"/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22"/>
    </row>
    <row r="1740" spans="5:54" x14ac:dyDescent="0.35"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2"/>
      <c r="Y1740" s="22"/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22"/>
    </row>
    <row r="1741" spans="5:54" x14ac:dyDescent="0.35"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2"/>
      <c r="T1741" s="22"/>
      <c r="U1741" s="22"/>
      <c r="V1741" s="22"/>
      <c r="W1741" s="22"/>
      <c r="X1741" s="22"/>
      <c r="Y1741" s="22"/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22"/>
    </row>
    <row r="1742" spans="5:54" x14ac:dyDescent="0.35"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2"/>
      <c r="Y1742" s="22"/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22"/>
    </row>
    <row r="1743" spans="5:54" x14ac:dyDescent="0.35"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2"/>
      <c r="T1743" s="22"/>
      <c r="U1743" s="22"/>
      <c r="V1743" s="22"/>
      <c r="W1743" s="22"/>
      <c r="X1743" s="22"/>
      <c r="Y1743" s="22"/>
      <c r="Z1743" s="22"/>
      <c r="AA1743" s="22"/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22"/>
    </row>
    <row r="1744" spans="5:54" x14ac:dyDescent="0.35"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2"/>
      <c r="Y1744" s="22"/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22"/>
    </row>
    <row r="1745" spans="5:54" x14ac:dyDescent="0.35"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2"/>
      <c r="T1745" s="22"/>
      <c r="U1745" s="22"/>
      <c r="V1745" s="22"/>
      <c r="W1745" s="22"/>
      <c r="X1745" s="22"/>
      <c r="Y1745" s="22"/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22"/>
    </row>
    <row r="1746" spans="5:54" x14ac:dyDescent="0.35"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2"/>
      <c r="Y1746" s="22"/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22"/>
    </row>
    <row r="1747" spans="5:54" x14ac:dyDescent="0.35"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2"/>
      <c r="T1747" s="22"/>
      <c r="U1747" s="22"/>
      <c r="V1747" s="22"/>
      <c r="W1747" s="22"/>
      <c r="X1747" s="22"/>
      <c r="Y1747" s="22"/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22"/>
    </row>
    <row r="1748" spans="5:54" x14ac:dyDescent="0.35"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2"/>
      <c r="Y1748" s="22"/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22"/>
    </row>
    <row r="1749" spans="5:54" x14ac:dyDescent="0.35"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2"/>
      <c r="T1749" s="22"/>
      <c r="U1749" s="22"/>
      <c r="V1749" s="22"/>
      <c r="W1749" s="22"/>
      <c r="X1749" s="22"/>
      <c r="Y1749" s="22"/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22"/>
    </row>
    <row r="1750" spans="5:54" x14ac:dyDescent="0.35"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2"/>
      <c r="Y1750" s="22"/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22"/>
    </row>
    <row r="1751" spans="5:54" x14ac:dyDescent="0.35"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2"/>
      <c r="T1751" s="22"/>
      <c r="U1751" s="22"/>
      <c r="V1751" s="22"/>
      <c r="W1751" s="22"/>
      <c r="X1751" s="22"/>
      <c r="Y1751" s="22"/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22"/>
    </row>
    <row r="1752" spans="5:54" x14ac:dyDescent="0.35"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2"/>
      <c r="Y1752" s="22"/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22"/>
    </row>
    <row r="1753" spans="5:54" x14ac:dyDescent="0.35"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2"/>
      <c r="T1753" s="22"/>
      <c r="U1753" s="22"/>
      <c r="V1753" s="22"/>
      <c r="W1753" s="22"/>
      <c r="X1753" s="22"/>
      <c r="Y1753" s="22"/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22"/>
    </row>
    <row r="1754" spans="5:54" x14ac:dyDescent="0.35"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2"/>
      <c r="Y1754" s="22"/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22"/>
    </row>
    <row r="1755" spans="5:54" x14ac:dyDescent="0.35"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2"/>
      <c r="T1755" s="22"/>
      <c r="U1755" s="22"/>
      <c r="V1755" s="22"/>
      <c r="W1755" s="22"/>
      <c r="X1755" s="22"/>
      <c r="Y1755" s="22"/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22"/>
    </row>
    <row r="1756" spans="5:54" x14ac:dyDescent="0.35"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2"/>
      <c r="Y1756" s="22"/>
      <c r="Z1756" s="22"/>
      <c r="AA1756" s="22"/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22"/>
    </row>
    <row r="1757" spans="5:54" x14ac:dyDescent="0.35"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2"/>
      <c r="T1757" s="22"/>
      <c r="U1757" s="22"/>
      <c r="V1757" s="22"/>
      <c r="W1757" s="22"/>
      <c r="X1757" s="22"/>
      <c r="Y1757" s="22"/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22"/>
    </row>
    <row r="1758" spans="5:54" x14ac:dyDescent="0.35"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2"/>
      <c r="Y1758" s="22"/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22"/>
    </row>
    <row r="1759" spans="5:54" x14ac:dyDescent="0.35"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2"/>
      <c r="T1759" s="22"/>
      <c r="U1759" s="22"/>
      <c r="V1759" s="22"/>
      <c r="W1759" s="22"/>
      <c r="X1759" s="22"/>
      <c r="Y1759" s="22"/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22"/>
    </row>
    <row r="1760" spans="5:54" x14ac:dyDescent="0.35"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2"/>
      <c r="Y1760" s="22"/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22"/>
    </row>
    <row r="1761" spans="5:54" x14ac:dyDescent="0.35"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2"/>
      <c r="T1761" s="22"/>
      <c r="U1761" s="22"/>
      <c r="V1761" s="22"/>
      <c r="W1761" s="22"/>
      <c r="X1761" s="22"/>
      <c r="Y1761" s="22"/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22"/>
    </row>
    <row r="1762" spans="5:54" x14ac:dyDescent="0.35"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2"/>
      <c r="Y1762" s="22"/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22"/>
    </row>
    <row r="1763" spans="5:54" x14ac:dyDescent="0.35"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2"/>
      <c r="T1763" s="22"/>
      <c r="U1763" s="22"/>
      <c r="V1763" s="22"/>
      <c r="W1763" s="22"/>
      <c r="X1763" s="22"/>
      <c r="Y1763" s="22"/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22"/>
    </row>
    <row r="1764" spans="5:54" x14ac:dyDescent="0.35"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2"/>
      <c r="Y1764" s="22"/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22"/>
    </row>
    <row r="1765" spans="5:54" x14ac:dyDescent="0.35"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2"/>
      <c r="T1765" s="22"/>
      <c r="U1765" s="22"/>
      <c r="V1765" s="22"/>
      <c r="W1765" s="22"/>
      <c r="X1765" s="22"/>
      <c r="Y1765" s="22"/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22"/>
    </row>
    <row r="1766" spans="5:54" x14ac:dyDescent="0.35"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2"/>
      <c r="Y1766" s="22"/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22"/>
    </row>
    <row r="1767" spans="5:54" x14ac:dyDescent="0.35"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2"/>
      <c r="T1767" s="22"/>
      <c r="U1767" s="22"/>
      <c r="V1767" s="22"/>
      <c r="W1767" s="22"/>
      <c r="X1767" s="22"/>
      <c r="Y1767" s="22"/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22"/>
    </row>
    <row r="1768" spans="5:54" x14ac:dyDescent="0.35"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2"/>
      <c r="Y1768" s="22"/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22"/>
    </row>
    <row r="1769" spans="5:54" x14ac:dyDescent="0.35"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2"/>
      <c r="T1769" s="22"/>
      <c r="U1769" s="22"/>
      <c r="V1769" s="22"/>
      <c r="W1769" s="22"/>
      <c r="X1769" s="22"/>
      <c r="Y1769" s="22"/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22"/>
    </row>
    <row r="1770" spans="5:54" x14ac:dyDescent="0.35"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2"/>
      <c r="Y1770" s="22"/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22"/>
    </row>
    <row r="1771" spans="5:54" x14ac:dyDescent="0.35"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2"/>
      <c r="T1771" s="22"/>
      <c r="U1771" s="22"/>
      <c r="V1771" s="22"/>
      <c r="W1771" s="22"/>
      <c r="X1771" s="22"/>
      <c r="Y1771" s="22"/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22"/>
    </row>
    <row r="1772" spans="5:54" x14ac:dyDescent="0.35"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2"/>
      <c r="Y1772" s="22"/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22"/>
    </row>
    <row r="1773" spans="5:54" x14ac:dyDescent="0.35"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2"/>
      <c r="T1773" s="22"/>
      <c r="U1773" s="22"/>
      <c r="V1773" s="22"/>
      <c r="W1773" s="22"/>
      <c r="X1773" s="22"/>
      <c r="Y1773" s="22"/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22"/>
    </row>
    <row r="1774" spans="5:54" x14ac:dyDescent="0.35"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2"/>
      <c r="Y1774" s="22"/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22"/>
    </row>
    <row r="1775" spans="5:54" x14ac:dyDescent="0.35"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2"/>
      <c r="T1775" s="22"/>
      <c r="U1775" s="22"/>
      <c r="V1775" s="22"/>
      <c r="W1775" s="22"/>
      <c r="X1775" s="22"/>
      <c r="Y1775" s="22"/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22"/>
    </row>
    <row r="1776" spans="5:54" x14ac:dyDescent="0.35"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2"/>
      <c r="Y1776" s="22"/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22"/>
    </row>
    <row r="1777" spans="5:54" x14ac:dyDescent="0.35"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2"/>
      <c r="T1777" s="22"/>
      <c r="U1777" s="22"/>
      <c r="V1777" s="22"/>
      <c r="W1777" s="22"/>
      <c r="X1777" s="22"/>
      <c r="Y1777" s="22"/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22"/>
    </row>
    <row r="1778" spans="5:54" x14ac:dyDescent="0.35"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2"/>
      <c r="Y1778" s="22"/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22"/>
    </row>
    <row r="1779" spans="5:54" x14ac:dyDescent="0.35"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2"/>
      <c r="T1779" s="22"/>
      <c r="U1779" s="22"/>
      <c r="V1779" s="22"/>
      <c r="W1779" s="22"/>
      <c r="X1779" s="22"/>
      <c r="Y1779" s="22"/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22"/>
    </row>
    <row r="1780" spans="5:54" x14ac:dyDescent="0.35"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2"/>
      <c r="Y1780" s="22"/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22"/>
    </row>
    <row r="1781" spans="5:54" x14ac:dyDescent="0.35"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2"/>
      <c r="T1781" s="22"/>
      <c r="U1781" s="22"/>
      <c r="V1781" s="22"/>
      <c r="W1781" s="22"/>
      <c r="X1781" s="22"/>
      <c r="Y1781" s="22"/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22"/>
    </row>
    <row r="1782" spans="5:54" x14ac:dyDescent="0.35"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2"/>
      <c r="Y1782" s="22"/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22"/>
    </row>
    <row r="1783" spans="5:54" x14ac:dyDescent="0.35"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2"/>
      <c r="T1783" s="22"/>
      <c r="U1783" s="22"/>
      <c r="V1783" s="22"/>
      <c r="W1783" s="22"/>
      <c r="X1783" s="22"/>
      <c r="Y1783" s="22"/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22"/>
    </row>
    <row r="1784" spans="5:54" x14ac:dyDescent="0.35"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2"/>
      <c r="Y1784" s="22"/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22"/>
    </row>
    <row r="1785" spans="5:54" x14ac:dyDescent="0.35"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2"/>
      <c r="T1785" s="22"/>
      <c r="U1785" s="22"/>
      <c r="V1785" s="22"/>
      <c r="W1785" s="22"/>
      <c r="X1785" s="22"/>
      <c r="Y1785" s="22"/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22"/>
    </row>
    <row r="1786" spans="5:54" x14ac:dyDescent="0.35"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2"/>
      <c r="Y1786" s="22"/>
      <c r="Z1786" s="22"/>
      <c r="AA1786" s="22"/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22"/>
    </row>
    <row r="1787" spans="5:54" x14ac:dyDescent="0.35"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2"/>
      <c r="T1787" s="22"/>
      <c r="U1787" s="22"/>
      <c r="V1787" s="22"/>
      <c r="W1787" s="22"/>
      <c r="X1787" s="22"/>
      <c r="Y1787" s="22"/>
      <c r="Z1787" s="22"/>
      <c r="AA1787" s="22"/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22"/>
    </row>
    <row r="1788" spans="5:54" x14ac:dyDescent="0.35"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2"/>
      <c r="Y1788" s="22"/>
      <c r="Z1788" s="22"/>
      <c r="AA1788" s="22"/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22"/>
    </row>
    <row r="1789" spans="5:54" x14ac:dyDescent="0.35"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2"/>
      <c r="T1789" s="22"/>
      <c r="U1789" s="22"/>
      <c r="V1789" s="22"/>
      <c r="W1789" s="22"/>
      <c r="X1789" s="22"/>
      <c r="Y1789" s="22"/>
      <c r="Z1789" s="22"/>
      <c r="AA1789" s="22"/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22"/>
    </row>
    <row r="1790" spans="5:54" x14ac:dyDescent="0.35"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2"/>
      <c r="Y1790" s="22"/>
      <c r="Z1790" s="22"/>
      <c r="AA1790" s="22"/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22"/>
    </row>
    <row r="1791" spans="5:54" x14ac:dyDescent="0.35"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2"/>
      <c r="T1791" s="22"/>
      <c r="U1791" s="22"/>
      <c r="V1791" s="22"/>
      <c r="W1791" s="22"/>
      <c r="X1791" s="22"/>
      <c r="Y1791" s="22"/>
      <c r="Z1791" s="22"/>
      <c r="AA1791" s="22"/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22"/>
    </row>
    <row r="1792" spans="5:54" x14ac:dyDescent="0.35"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2"/>
      <c r="Y1792" s="22"/>
      <c r="Z1792" s="22"/>
      <c r="AA1792" s="22"/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22"/>
    </row>
    <row r="1793" spans="5:54" x14ac:dyDescent="0.35"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2"/>
      <c r="T1793" s="22"/>
      <c r="U1793" s="22"/>
      <c r="V1793" s="22"/>
      <c r="W1793" s="22"/>
      <c r="X1793" s="22"/>
      <c r="Y1793" s="22"/>
      <c r="Z1793" s="22"/>
      <c r="AA1793" s="22"/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22"/>
    </row>
    <row r="1794" spans="5:54" x14ac:dyDescent="0.35"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2"/>
      <c r="Y1794" s="22"/>
      <c r="Z1794" s="22"/>
      <c r="AA1794" s="22"/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22"/>
    </row>
    <row r="1795" spans="5:54" x14ac:dyDescent="0.35"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2"/>
      <c r="T1795" s="22"/>
      <c r="U1795" s="22"/>
      <c r="V1795" s="22"/>
      <c r="W1795" s="22"/>
      <c r="X1795" s="22"/>
      <c r="Y1795" s="22"/>
      <c r="Z1795" s="22"/>
      <c r="AA1795" s="22"/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22"/>
    </row>
    <row r="1796" spans="5:54" x14ac:dyDescent="0.35"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2"/>
      <c r="Y1796" s="22"/>
      <c r="Z1796" s="22"/>
      <c r="AA1796" s="22"/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22"/>
    </row>
    <row r="1797" spans="5:54" x14ac:dyDescent="0.35"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2"/>
      <c r="T1797" s="22"/>
      <c r="U1797" s="22"/>
      <c r="V1797" s="22"/>
      <c r="W1797" s="22"/>
      <c r="X1797" s="22"/>
      <c r="Y1797" s="22"/>
      <c r="Z1797" s="22"/>
      <c r="AA1797" s="22"/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22"/>
    </row>
    <row r="1798" spans="5:54" x14ac:dyDescent="0.35"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2"/>
      <c r="T1798" s="22"/>
      <c r="U1798" s="22"/>
      <c r="V1798" s="22"/>
      <c r="W1798" s="22"/>
      <c r="X1798" s="22"/>
      <c r="Y1798" s="22"/>
      <c r="Z1798" s="22"/>
      <c r="AA1798" s="22"/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22"/>
    </row>
    <row r="1799" spans="5:54" x14ac:dyDescent="0.35"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2"/>
      <c r="T1799" s="22"/>
      <c r="U1799" s="22"/>
      <c r="V1799" s="22"/>
      <c r="W1799" s="22"/>
      <c r="X1799" s="22"/>
      <c r="Y1799" s="22"/>
      <c r="Z1799" s="22"/>
      <c r="AA1799" s="22"/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22"/>
    </row>
    <row r="1800" spans="5:54" x14ac:dyDescent="0.35"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2"/>
      <c r="T1800" s="22"/>
      <c r="U1800" s="22"/>
      <c r="V1800" s="22"/>
      <c r="W1800" s="22"/>
      <c r="X1800" s="22"/>
      <c r="Y1800" s="22"/>
      <c r="Z1800" s="22"/>
      <c r="AA1800" s="22"/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22"/>
    </row>
    <row r="1801" spans="5:54" x14ac:dyDescent="0.35"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2"/>
      <c r="T1801" s="22"/>
      <c r="U1801" s="22"/>
      <c r="V1801" s="22"/>
      <c r="W1801" s="22"/>
      <c r="X1801" s="22"/>
      <c r="Y1801" s="22"/>
      <c r="Z1801" s="22"/>
      <c r="AA1801" s="22"/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22"/>
    </row>
    <row r="1802" spans="5:54" x14ac:dyDescent="0.35"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2"/>
      <c r="T1802" s="22"/>
      <c r="U1802" s="22"/>
      <c r="V1802" s="22"/>
      <c r="W1802" s="22"/>
      <c r="X1802" s="22"/>
      <c r="Y1802" s="22"/>
      <c r="Z1802" s="22"/>
      <c r="AA1802" s="22"/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22"/>
    </row>
    <row r="1803" spans="5:54" x14ac:dyDescent="0.35"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2"/>
      <c r="T1803" s="22"/>
      <c r="U1803" s="22"/>
      <c r="V1803" s="22"/>
      <c r="W1803" s="22"/>
      <c r="X1803" s="22"/>
      <c r="Y1803" s="22"/>
      <c r="Z1803" s="22"/>
      <c r="AA1803" s="22"/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22"/>
    </row>
    <row r="1804" spans="5:54" x14ac:dyDescent="0.35"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2"/>
      <c r="T1804" s="22"/>
      <c r="U1804" s="22"/>
      <c r="V1804" s="22"/>
      <c r="W1804" s="22"/>
      <c r="X1804" s="22"/>
      <c r="Y1804" s="22"/>
      <c r="Z1804" s="22"/>
      <c r="AA1804" s="22"/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22"/>
    </row>
    <row r="1805" spans="5:54" x14ac:dyDescent="0.35"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2"/>
      <c r="T1805" s="22"/>
      <c r="U1805" s="22"/>
      <c r="V1805" s="22"/>
      <c r="W1805" s="22"/>
      <c r="X1805" s="22"/>
      <c r="Y1805" s="22"/>
      <c r="Z1805" s="22"/>
      <c r="AA1805" s="22"/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22"/>
    </row>
    <row r="1806" spans="5:54" x14ac:dyDescent="0.35"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2"/>
      <c r="T1806" s="22"/>
      <c r="U1806" s="22"/>
      <c r="V1806" s="22"/>
      <c r="W1806" s="22"/>
      <c r="X1806" s="22"/>
      <c r="Y1806" s="22"/>
      <c r="Z1806" s="22"/>
      <c r="AA1806" s="22"/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22"/>
    </row>
    <row r="1807" spans="5:54" x14ac:dyDescent="0.35"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2"/>
      <c r="T1807" s="22"/>
      <c r="U1807" s="22"/>
      <c r="V1807" s="22"/>
      <c r="W1807" s="22"/>
      <c r="X1807" s="22"/>
      <c r="Y1807" s="22"/>
      <c r="Z1807" s="22"/>
      <c r="AA1807" s="22"/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22"/>
    </row>
    <row r="1808" spans="5:54" x14ac:dyDescent="0.35"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2"/>
      <c r="T1808" s="22"/>
      <c r="U1808" s="22"/>
      <c r="V1808" s="22"/>
      <c r="W1808" s="22"/>
      <c r="X1808" s="22"/>
      <c r="Y1808" s="22"/>
      <c r="Z1808" s="22"/>
      <c r="AA1808" s="22"/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22"/>
    </row>
    <row r="1809" spans="5:54" x14ac:dyDescent="0.35"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2"/>
      <c r="T1809" s="22"/>
      <c r="U1809" s="22"/>
      <c r="V1809" s="22"/>
      <c r="W1809" s="22"/>
      <c r="X1809" s="22"/>
      <c r="Y1809" s="22"/>
      <c r="Z1809" s="22"/>
      <c r="AA1809" s="22"/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22"/>
    </row>
    <row r="1810" spans="5:54" x14ac:dyDescent="0.35"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2"/>
      <c r="T1810" s="22"/>
      <c r="U1810" s="22"/>
      <c r="V1810" s="22"/>
      <c r="W1810" s="22"/>
      <c r="X1810" s="22"/>
      <c r="Y1810" s="22"/>
      <c r="Z1810" s="22"/>
      <c r="AA1810" s="22"/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22"/>
    </row>
    <row r="1811" spans="5:54" x14ac:dyDescent="0.35"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2"/>
      <c r="T1811" s="22"/>
      <c r="U1811" s="22"/>
      <c r="V1811" s="22"/>
      <c r="W1811" s="22"/>
      <c r="X1811" s="22"/>
      <c r="Y1811" s="22"/>
      <c r="Z1811" s="22"/>
      <c r="AA1811" s="22"/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22"/>
    </row>
    <row r="1812" spans="5:54" x14ac:dyDescent="0.35"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2"/>
      <c r="T1812" s="22"/>
      <c r="U1812" s="22"/>
      <c r="V1812" s="22"/>
      <c r="W1812" s="22"/>
      <c r="X1812" s="22"/>
      <c r="Y1812" s="22"/>
      <c r="Z1812" s="22"/>
      <c r="AA1812" s="22"/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22"/>
    </row>
    <row r="1813" spans="5:54" x14ac:dyDescent="0.35"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2"/>
      <c r="T1813" s="22"/>
      <c r="U1813" s="22"/>
      <c r="V1813" s="22"/>
      <c r="W1813" s="22"/>
      <c r="X1813" s="22"/>
      <c r="Y1813" s="22"/>
      <c r="Z1813" s="22"/>
      <c r="AA1813" s="22"/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22"/>
    </row>
    <row r="1814" spans="5:54" x14ac:dyDescent="0.35"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2"/>
      <c r="T1814" s="22"/>
      <c r="U1814" s="22"/>
      <c r="V1814" s="22"/>
      <c r="W1814" s="22"/>
      <c r="X1814" s="22"/>
      <c r="Y1814" s="22"/>
      <c r="Z1814" s="22"/>
      <c r="AA1814" s="22"/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22"/>
    </row>
    <row r="1815" spans="5:54" x14ac:dyDescent="0.35"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2"/>
      <c r="T1815" s="22"/>
      <c r="U1815" s="22"/>
      <c r="V1815" s="22"/>
      <c r="W1815" s="22"/>
      <c r="X1815" s="22"/>
      <c r="Y1815" s="22"/>
      <c r="Z1815" s="22"/>
      <c r="AA1815" s="22"/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22"/>
    </row>
    <row r="1816" spans="5:54" x14ac:dyDescent="0.35"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2"/>
      <c r="T1816" s="22"/>
      <c r="U1816" s="22"/>
      <c r="V1816" s="22"/>
      <c r="W1816" s="22"/>
      <c r="X1816" s="22"/>
      <c r="Y1816" s="22"/>
      <c r="Z1816" s="22"/>
      <c r="AA1816" s="22"/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22"/>
    </row>
    <row r="1817" spans="5:54" x14ac:dyDescent="0.35"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2"/>
      <c r="T1817" s="22"/>
      <c r="U1817" s="22"/>
      <c r="V1817" s="22"/>
      <c r="W1817" s="22"/>
      <c r="X1817" s="22"/>
      <c r="Y1817" s="22"/>
      <c r="Z1817" s="22"/>
      <c r="AA1817" s="22"/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22"/>
    </row>
    <row r="1818" spans="5:54" x14ac:dyDescent="0.35"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2"/>
      <c r="T1818" s="22"/>
      <c r="U1818" s="22"/>
      <c r="V1818" s="22"/>
      <c r="W1818" s="22"/>
      <c r="X1818" s="22"/>
      <c r="Y1818" s="22"/>
      <c r="Z1818" s="22"/>
      <c r="AA1818" s="22"/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22"/>
    </row>
    <row r="1819" spans="5:54" x14ac:dyDescent="0.35"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2"/>
      <c r="T1819" s="22"/>
      <c r="U1819" s="22"/>
      <c r="V1819" s="22"/>
      <c r="W1819" s="22"/>
      <c r="X1819" s="22"/>
      <c r="Y1819" s="22"/>
      <c r="Z1819" s="22"/>
      <c r="AA1819" s="22"/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22"/>
    </row>
    <row r="1820" spans="5:54" x14ac:dyDescent="0.35"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2"/>
      <c r="T1820" s="22"/>
      <c r="U1820" s="22"/>
      <c r="V1820" s="22"/>
      <c r="W1820" s="22"/>
      <c r="X1820" s="22"/>
      <c r="Y1820" s="22"/>
      <c r="Z1820" s="22"/>
      <c r="AA1820" s="22"/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22"/>
    </row>
    <row r="1821" spans="5:54" x14ac:dyDescent="0.35"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2"/>
      <c r="T1821" s="22"/>
      <c r="U1821" s="22"/>
      <c r="V1821" s="22"/>
      <c r="W1821" s="22"/>
      <c r="X1821" s="22"/>
      <c r="Y1821" s="22"/>
      <c r="Z1821" s="22"/>
      <c r="AA1821" s="22"/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22"/>
    </row>
    <row r="1822" spans="5:54" x14ac:dyDescent="0.35"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2"/>
      <c r="T1822" s="22"/>
      <c r="U1822" s="22"/>
      <c r="V1822" s="22"/>
      <c r="W1822" s="22"/>
      <c r="X1822" s="22"/>
      <c r="Y1822" s="22"/>
      <c r="Z1822" s="22"/>
      <c r="AA1822" s="22"/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22"/>
    </row>
    <row r="1823" spans="5:54" x14ac:dyDescent="0.35"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2"/>
      <c r="T1823" s="22"/>
      <c r="U1823" s="22"/>
      <c r="V1823" s="22"/>
      <c r="W1823" s="22"/>
      <c r="X1823" s="22"/>
      <c r="Y1823" s="22"/>
      <c r="Z1823" s="22"/>
      <c r="AA1823" s="22"/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22"/>
    </row>
    <row r="1824" spans="5:54" x14ac:dyDescent="0.35"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2"/>
      <c r="T1824" s="22"/>
      <c r="U1824" s="22"/>
      <c r="V1824" s="22"/>
      <c r="W1824" s="22"/>
      <c r="X1824" s="22"/>
      <c r="Y1824" s="22"/>
      <c r="Z1824" s="22"/>
      <c r="AA1824" s="22"/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22"/>
    </row>
    <row r="1825" spans="5:54" x14ac:dyDescent="0.35"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2"/>
      <c r="T1825" s="22"/>
      <c r="U1825" s="22"/>
      <c r="V1825" s="22"/>
      <c r="W1825" s="22"/>
      <c r="X1825" s="22"/>
      <c r="Y1825" s="22"/>
      <c r="Z1825" s="22"/>
      <c r="AA1825" s="22"/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22"/>
    </row>
    <row r="1826" spans="5:54" x14ac:dyDescent="0.35"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2"/>
      <c r="T1826" s="22"/>
      <c r="U1826" s="22"/>
      <c r="V1826" s="22"/>
      <c r="W1826" s="22"/>
      <c r="X1826" s="22"/>
      <c r="Y1826" s="22"/>
      <c r="Z1826" s="22"/>
      <c r="AA1826" s="22"/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22"/>
    </row>
    <row r="1827" spans="5:54" x14ac:dyDescent="0.35"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2"/>
      <c r="T1827" s="22"/>
      <c r="U1827" s="22"/>
      <c r="V1827" s="22"/>
      <c r="W1827" s="22"/>
      <c r="X1827" s="22"/>
      <c r="Y1827" s="22"/>
      <c r="Z1827" s="22"/>
      <c r="AA1827" s="22"/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22"/>
    </row>
    <row r="1828" spans="5:54" x14ac:dyDescent="0.35"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2"/>
      <c r="T1828" s="22"/>
      <c r="U1828" s="22"/>
      <c r="V1828" s="22"/>
      <c r="W1828" s="22"/>
      <c r="X1828" s="22"/>
      <c r="Y1828" s="22"/>
      <c r="Z1828" s="22"/>
      <c r="AA1828" s="22"/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22"/>
    </row>
    <row r="1829" spans="5:54" x14ac:dyDescent="0.35"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2"/>
      <c r="T1829" s="22"/>
      <c r="U1829" s="22"/>
      <c r="V1829" s="22"/>
      <c r="W1829" s="22"/>
      <c r="X1829" s="22"/>
      <c r="Y1829" s="22"/>
      <c r="Z1829" s="22"/>
      <c r="AA1829" s="22"/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22"/>
    </row>
    <row r="1830" spans="5:54" x14ac:dyDescent="0.35"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2"/>
      <c r="T1830" s="22"/>
      <c r="U1830" s="22"/>
      <c r="V1830" s="22"/>
      <c r="W1830" s="22"/>
      <c r="X1830" s="22"/>
      <c r="Y1830" s="22"/>
      <c r="Z1830" s="22"/>
      <c r="AA1830" s="22"/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22"/>
    </row>
    <row r="1831" spans="5:54" x14ac:dyDescent="0.35"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2"/>
      <c r="T1831" s="22"/>
      <c r="U1831" s="22"/>
      <c r="V1831" s="22"/>
      <c r="W1831" s="22"/>
      <c r="X1831" s="22"/>
      <c r="Y1831" s="22"/>
      <c r="Z1831" s="22"/>
      <c r="AA1831" s="22"/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22"/>
    </row>
    <row r="1832" spans="5:54" x14ac:dyDescent="0.35"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2"/>
      <c r="T1832" s="22"/>
      <c r="U1832" s="22"/>
      <c r="V1832" s="22"/>
      <c r="W1832" s="22"/>
      <c r="X1832" s="22"/>
      <c r="Y1832" s="22"/>
      <c r="Z1832" s="22"/>
      <c r="AA1832" s="22"/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22"/>
    </row>
    <row r="1833" spans="5:54" x14ac:dyDescent="0.35"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2"/>
      <c r="T1833" s="22"/>
      <c r="U1833" s="22"/>
      <c r="V1833" s="22"/>
      <c r="W1833" s="22"/>
      <c r="X1833" s="22"/>
      <c r="Y1833" s="22"/>
      <c r="Z1833" s="22"/>
      <c r="AA1833" s="22"/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22"/>
    </row>
    <row r="1834" spans="5:54" x14ac:dyDescent="0.35"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2"/>
      <c r="T1834" s="22"/>
      <c r="U1834" s="22"/>
      <c r="V1834" s="22"/>
      <c r="W1834" s="22"/>
      <c r="X1834" s="22"/>
      <c r="Y1834" s="22"/>
      <c r="Z1834" s="22"/>
      <c r="AA1834" s="22"/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22"/>
    </row>
    <row r="1835" spans="5:54" x14ac:dyDescent="0.35"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2"/>
      <c r="T1835" s="22"/>
      <c r="U1835" s="22"/>
      <c r="V1835" s="22"/>
      <c r="W1835" s="22"/>
      <c r="X1835" s="22"/>
      <c r="Y1835" s="22"/>
      <c r="Z1835" s="22"/>
      <c r="AA1835" s="22"/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22"/>
    </row>
    <row r="1836" spans="5:54" x14ac:dyDescent="0.35"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2"/>
      <c r="T1836" s="22"/>
      <c r="U1836" s="22"/>
      <c r="V1836" s="22"/>
      <c r="W1836" s="22"/>
      <c r="X1836" s="22"/>
      <c r="Y1836" s="22"/>
      <c r="Z1836" s="22"/>
      <c r="AA1836" s="22"/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22"/>
    </row>
    <row r="1837" spans="5:54" x14ac:dyDescent="0.35"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2"/>
      <c r="T1837" s="22"/>
      <c r="U1837" s="22"/>
      <c r="V1837" s="22"/>
      <c r="W1837" s="22"/>
      <c r="X1837" s="22"/>
      <c r="Y1837" s="22"/>
      <c r="Z1837" s="22"/>
      <c r="AA1837" s="22"/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22"/>
    </row>
    <row r="1838" spans="5:54" x14ac:dyDescent="0.35"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2"/>
      <c r="T1838" s="22"/>
      <c r="U1838" s="22"/>
      <c r="V1838" s="22"/>
      <c r="W1838" s="22"/>
      <c r="X1838" s="22"/>
      <c r="Y1838" s="22"/>
      <c r="Z1838" s="22"/>
      <c r="AA1838" s="22"/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22"/>
    </row>
    <row r="1839" spans="5:54" x14ac:dyDescent="0.35"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2"/>
      <c r="T1839" s="22"/>
      <c r="U1839" s="22"/>
      <c r="V1839" s="22"/>
      <c r="W1839" s="22"/>
      <c r="X1839" s="22"/>
      <c r="Y1839" s="22"/>
      <c r="Z1839" s="22"/>
      <c r="AA1839" s="22"/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22"/>
    </row>
    <row r="1840" spans="5:54" x14ac:dyDescent="0.35"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2"/>
      <c r="T1840" s="22"/>
      <c r="U1840" s="22"/>
      <c r="V1840" s="22"/>
      <c r="W1840" s="22"/>
      <c r="X1840" s="22"/>
      <c r="Y1840" s="22"/>
      <c r="Z1840" s="22"/>
      <c r="AA1840" s="22"/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22"/>
    </row>
    <row r="1841" spans="5:54" x14ac:dyDescent="0.35"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2"/>
      <c r="T1841" s="22"/>
      <c r="U1841" s="22"/>
      <c r="V1841" s="22"/>
      <c r="W1841" s="22"/>
      <c r="X1841" s="22"/>
      <c r="Y1841" s="22"/>
      <c r="Z1841" s="22"/>
      <c r="AA1841" s="22"/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22"/>
    </row>
    <row r="1842" spans="5:54" x14ac:dyDescent="0.35"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2"/>
      <c r="T1842" s="22"/>
      <c r="U1842" s="22"/>
      <c r="V1842" s="22"/>
      <c r="W1842" s="22"/>
      <c r="X1842" s="22"/>
      <c r="Y1842" s="22"/>
      <c r="Z1842" s="22"/>
      <c r="AA1842" s="22"/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22"/>
    </row>
    <row r="1843" spans="5:54" x14ac:dyDescent="0.35"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2"/>
      <c r="T1843" s="22"/>
      <c r="U1843" s="22"/>
      <c r="V1843" s="22"/>
      <c r="W1843" s="22"/>
      <c r="X1843" s="22"/>
      <c r="Y1843" s="22"/>
      <c r="Z1843" s="22"/>
      <c r="AA1843" s="22"/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22"/>
    </row>
    <row r="1844" spans="5:54" x14ac:dyDescent="0.35"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2"/>
      <c r="T1844" s="22"/>
      <c r="U1844" s="22"/>
      <c r="V1844" s="22"/>
      <c r="W1844" s="22"/>
      <c r="X1844" s="22"/>
      <c r="Y1844" s="22"/>
      <c r="Z1844" s="22"/>
      <c r="AA1844" s="22"/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22"/>
    </row>
    <row r="1845" spans="5:54" x14ac:dyDescent="0.35"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2"/>
      <c r="T1845" s="22"/>
      <c r="U1845" s="22"/>
      <c r="V1845" s="22"/>
      <c r="W1845" s="22"/>
      <c r="X1845" s="22"/>
      <c r="Y1845" s="22"/>
      <c r="Z1845" s="22"/>
      <c r="AA1845" s="22"/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22"/>
    </row>
    <row r="1846" spans="5:54" x14ac:dyDescent="0.35"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2"/>
      <c r="T1846" s="22"/>
      <c r="U1846" s="22"/>
      <c r="V1846" s="22"/>
      <c r="W1846" s="22"/>
      <c r="X1846" s="22"/>
      <c r="Y1846" s="22"/>
      <c r="Z1846" s="22"/>
      <c r="AA1846" s="22"/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22"/>
    </row>
    <row r="1847" spans="5:54" x14ac:dyDescent="0.35"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2"/>
      <c r="T1847" s="22"/>
      <c r="U1847" s="22"/>
      <c r="V1847" s="22"/>
      <c r="W1847" s="22"/>
      <c r="X1847" s="22"/>
      <c r="Y1847" s="22"/>
      <c r="Z1847" s="22"/>
      <c r="AA1847" s="22"/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22"/>
    </row>
    <row r="1848" spans="5:54" x14ac:dyDescent="0.35"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2"/>
      <c r="T1848" s="22"/>
      <c r="U1848" s="22"/>
      <c r="V1848" s="22"/>
      <c r="W1848" s="22"/>
      <c r="X1848" s="22"/>
      <c r="Y1848" s="22"/>
      <c r="Z1848" s="22"/>
      <c r="AA1848" s="22"/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22"/>
    </row>
    <row r="1849" spans="5:54" x14ac:dyDescent="0.35"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2"/>
      <c r="T1849" s="22"/>
      <c r="U1849" s="22"/>
      <c r="V1849" s="22"/>
      <c r="W1849" s="22"/>
      <c r="X1849" s="22"/>
      <c r="Y1849" s="22"/>
      <c r="Z1849" s="22"/>
      <c r="AA1849" s="22"/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22"/>
    </row>
    <row r="1850" spans="5:54" x14ac:dyDescent="0.35"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2"/>
      <c r="T1850" s="22"/>
      <c r="U1850" s="22"/>
      <c r="V1850" s="22"/>
      <c r="W1850" s="22"/>
      <c r="X1850" s="22"/>
      <c r="Y1850" s="22"/>
      <c r="Z1850" s="22"/>
      <c r="AA1850" s="22"/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22"/>
    </row>
    <row r="1851" spans="5:54" x14ac:dyDescent="0.35"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2"/>
      <c r="T1851" s="22"/>
      <c r="U1851" s="22"/>
      <c r="V1851" s="22"/>
      <c r="W1851" s="22"/>
      <c r="X1851" s="22"/>
      <c r="Y1851" s="22"/>
      <c r="Z1851" s="22"/>
      <c r="AA1851" s="22"/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22"/>
    </row>
    <row r="1852" spans="5:54" x14ac:dyDescent="0.35"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2"/>
      <c r="T1852" s="22"/>
      <c r="U1852" s="22"/>
      <c r="V1852" s="22"/>
      <c r="W1852" s="22"/>
      <c r="X1852" s="22"/>
      <c r="Y1852" s="22"/>
      <c r="Z1852" s="22"/>
      <c r="AA1852" s="22"/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22"/>
    </row>
    <row r="1853" spans="5:54" x14ac:dyDescent="0.35"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2"/>
      <c r="T1853" s="22"/>
      <c r="U1853" s="22"/>
      <c r="V1853" s="22"/>
      <c r="W1853" s="22"/>
      <c r="X1853" s="22"/>
      <c r="Y1853" s="22"/>
      <c r="Z1853" s="22"/>
      <c r="AA1853" s="22"/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22"/>
    </row>
    <row r="1854" spans="5:54" x14ac:dyDescent="0.35"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2"/>
      <c r="T1854" s="22"/>
      <c r="U1854" s="22"/>
      <c r="V1854" s="22"/>
      <c r="W1854" s="22"/>
      <c r="X1854" s="22"/>
      <c r="Y1854" s="22"/>
      <c r="Z1854" s="22"/>
      <c r="AA1854" s="22"/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22"/>
    </row>
    <row r="1855" spans="5:54" x14ac:dyDescent="0.35"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2"/>
      <c r="T1855" s="22"/>
      <c r="U1855" s="22"/>
      <c r="V1855" s="22"/>
      <c r="W1855" s="22"/>
      <c r="X1855" s="22"/>
      <c r="Y1855" s="22"/>
      <c r="Z1855" s="22"/>
      <c r="AA1855" s="22"/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22"/>
    </row>
    <row r="1856" spans="5:54" x14ac:dyDescent="0.35"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2"/>
      <c r="T1856" s="22"/>
      <c r="U1856" s="22"/>
      <c r="V1856" s="22"/>
      <c r="W1856" s="22"/>
      <c r="X1856" s="22"/>
      <c r="Y1856" s="22"/>
      <c r="Z1856" s="22"/>
      <c r="AA1856" s="22"/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22"/>
    </row>
    <row r="1857" spans="5:54" x14ac:dyDescent="0.35"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2"/>
      <c r="T1857" s="22"/>
      <c r="U1857" s="22"/>
      <c r="V1857" s="22"/>
      <c r="W1857" s="22"/>
      <c r="X1857" s="22"/>
      <c r="Y1857" s="22"/>
      <c r="Z1857" s="22"/>
      <c r="AA1857" s="22"/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22"/>
    </row>
    <row r="1858" spans="5:54" x14ac:dyDescent="0.35"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2"/>
      <c r="T1858" s="22"/>
      <c r="U1858" s="22"/>
      <c r="V1858" s="22"/>
      <c r="W1858" s="22"/>
      <c r="X1858" s="22"/>
      <c r="Y1858" s="22"/>
      <c r="Z1858" s="22"/>
      <c r="AA1858" s="22"/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22"/>
    </row>
    <row r="1859" spans="5:54" x14ac:dyDescent="0.35"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2"/>
      <c r="T1859" s="22"/>
      <c r="U1859" s="22"/>
      <c r="V1859" s="22"/>
      <c r="W1859" s="22"/>
      <c r="X1859" s="22"/>
      <c r="Y1859" s="22"/>
      <c r="Z1859" s="22"/>
      <c r="AA1859" s="22"/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22"/>
    </row>
    <row r="1860" spans="5:54" x14ac:dyDescent="0.35"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2"/>
      <c r="T1860" s="22"/>
      <c r="U1860" s="22"/>
      <c r="V1860" s="22"/>
      <c r="W1860" s="22"/>
      <c r="X1860" s="22"/>
      <c r="Y1860" s="22"/>
      <c r="Z1860" s="22"/>
      <c r="AA1860" s="22"/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22"/>
    </row>
    <row r="1861" spans="5:54" x14ac:dyDescent="0.35"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2"/>
      <c r="T1861" s="22"/>
      <c r="U1861" s="22"/>
      <c r="V1861" s="22"/>
      <c r="W1861" s="22"/>
      <c r="X1861" s="22"/>
      <c r="Y1861" s="22"/>
      <c r="Z1861" s="22"/>
      <c r="AA1861" s="22"/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22"/>
    </row>
    <row r="1862" spans="5:54" x14ac:dyDescent="0.35"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2"/>
      <c r="T1862" s="22"/>
      <c r="U1862" s="22"/>
      <c r="V1862" s="22"/>
      <c r="W1862" s="22"/>
      <c r="X1862" s="22"/>
      <c r="Y1862" s="22"/>
      <c r="Z1862" s="22"/>
      <c r="AA1862" s="22"/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22"/>
    </row>
    <row r="1863" spans="5:54" x14ac:dyDescent="0.35"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2"/>
      <c r="T1863" s="22"/>
      <c r="U1863" s="22"/>
      <c r="V1863" s="22"/>
      <c r="W1863" s="22"/>
      <c r="X1863" s="22"/>
      <c r="Y1863" s="22"/>
      <c r="Z1863" s="22"/>
      <c r="AA1863" s="22"/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22"/>
    </row>
    <row r="1864" spans="5:54" x14ac:dyDescent="0.35"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2"/>
      <c r="T1864" s="22"/>
      <c r="U1864" s="22"/>
      <c r="V1864" s="22"/>
      <c r="W1864" s="22"/>
      <c r="X1864" s="22"/>
      <c r="Y1864" s="22"/>
      <c r="Z1864" s="22"/>
      <c r="AA1864" s="22"/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22"/>
    </row>
    <row r="1865" spans="5:54" x14ac:dyDescent="0.35"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2"/>
      <c r="T1865" s="22"/>
      <c r="U1865" s="22"/>
      <c r="V1865" s="22"/>
      <c r="W1865" s="22"/>
      <c r="X1865" s="22"/>
      <c r="Y1865" s="22"/>
      <c r="Z1865" s="22"/>
      <c r="AA1865" s="22"/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22"/>
    </row>
    <row r="1866" spans="5:54" x14ac:dyDescent="0.35"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2"/>
      <c r="T1866" s="22"/>
      <c r="U1866" s="22"/>
      <c r="V1866" s="22"/>
      <c r="W1866" s="22"/>
      <c r="X1866" s="22"/>
      <c r="Y1866" s="22"/>
      <c r="Z1866" s="22"/>
      <c r="AA1866" s="22"/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22"/>
    </row>
    <row r="1867" spans="5:54" x14ac:dyDescent="0.35"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2"/>
      <c r="T1867" s="22"/>
      <c r="U1867" s="22"/>
      <c r="V1867" s="22"/>
      <c r="W1867" s="22"/>
      <c r="X1867" s="22"/>
      <c r="Y1867" s="22"/>
      <c r="Z1867" s="22"/>
      <c r="AA1867" s="22"/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22"/>
    </row>
    <row r="1868" spans="5:54" x14ac:dyDescent="0.35"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2"/>
      <c r="T1868" s="22"/>
      <c r="U1868" s="22"/>
      <c r="V1868" s="22"/>
      <c r="W1868" s="22"/>
      <c r="X1868" s="22"/>
      <c r="Y1868" s="22"/>
      <c r="Z1868" s="22"/>
      <c r="AA1868" s="22"/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22"/>
    </row>
    <row r="1869" spans="5:54" x14ac:dyDescent="0.35"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2"/>
      <c r="T1869" s="22"/>
      <c r="U1869" s="22"/>
      <c r="V1869" s="22"/>
      <c r="W1869" s="22"/>
      <c r="X1869" s="22"/>
      <c r="Y1869" s="22"/>
      <c r="Z1869" s="22"/>
      <c r="AA1869" s="22"/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22"/>
    </row>
    <row r="1870" spans="5:54" x14ac:dyDescent="0.35"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2"/>
      <c r="T1870" s="22"/>
      <c r="U1870" s="22"/>
      <c r="V1870" s="22"/>
      <c r="W1870" s="22"/>
      <c r="X1870" s="22"/>
      <c r="Y1870" s="22"/>
      <c r="Z1870" s="22"/>
      <c r="AA1870" s="22"/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22"/>
    </row>
    <row r="1871" spans="5:54" x14ac:dyDescent="0.35"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2"/>
      <c r="T1871" s="22"/>
      <c r="U1871" s="22"/>
      <c r="V1871" s="22"/>
      <c r="W1871" s="22"/>
      <c r="X1871" s="22"/>
      <c r="Y1871" s="22"/>
      <c r="Z1871" s="22"/>
      <c r="AA1871" s="22"/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22"/>
    </row>
    <row r="1872" spans="5:54" x14ac:dyDescent="0.35"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2"/>
      <c r="T1872" s="22"/>
      <c r="U1872" s="22"/>
      <c r="V1872" s="22"/>
      <c r="W1872" s="22"/>
      <c r="X1872" s="22"/>
      <c r="Y1872" s="22"/>
      <c r="Z1872" s="22"/>
      <c r="AA1872" s="22"/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22"/>
    </row>
    <row r="1873" spans="5:54" x14ac:dyDescent="0.35"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2"/>
      <c r="T1873" s="22"/>
      <c r="U1873" s="22"/>
      <c r="V1873" s="22"/>
      <c r="W1873" s="22"/>
      <c r="X1873" s="22"/>
      <c r="Y1873" s="22"/>
      <c r="Z1873" s="22"/>
      <c r="AA1873" s="22"/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22"/>
    </row>
    <row r="1874" spans="5:54" x14ac:dyDescent="0.35"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2"/>
      <c r="T1874" s="22"/>
      <c r="U1874" s="22"/>
      <c r="V1874" s="22"/>
      <c r="W1874" s="22"/>
      <c r="X1874" s="22"/>
      <c r="Y1874" s="22"/>
      <c r="Z1874" s="22"/>
      <c r="AA1874" s="22"/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22"/>
    </row>
    <row r="1875" spans="5:54" x14ac:dyDescent="0.35"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2"/>
      <c r="T1875" s="22"/>
      <c r="U1875" s="22"/>
      <c r="V1875" s="22"/>
      <c r="W1875" s="22"/>
      <c r="X1875" s="22"/>
      <c r="Y1875" s="22"/>
      <c r="Z1875" s="22"/>
      <c r="AA1875" s="22"/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22"/>
    </row>
    <row r="1876" spans="5:54" x14ac:dyDescent="0.35"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2"/>
      <c r="T1876" s="22"/>
      <c r="U1876" s="22"/>
      <c r="V1876" s="22"/>
      <c r="W1876" s="22"/>
      <c r="X1876" s="22"/>
      <c r="Y1876" s="22"/>
      <c r="Z1876" s="22"/>
      <c r="AA1876" s="22"/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22"/>
    </row>
    <row r="1877" spans="5:54" x14ac:dyDescent="0.35"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2"/>
      <c r="T1877" s="22"/>
      <c r="U1877" s="22"/>
      <c r="V1877" s="22"/>
      <c r="W1877" s="22"/>
      <c r="X1877" s="22"/>
      <c r="Y1877" s="22"/>
      <c r="Z1877" s="22"/>
      <c r="AA1877" s="22"/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22"/>
    </row>
    <row r="1878" spans="5:54" x14ac:dyDescent="0.35"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2"/>
      <c r="T1878" s="22"/>
      <c r="U1878" s="22"/>
      <c r="V1878" s="22"/>
      <c r="W1878" s="22"/>
      <c r="X1878" s="22"/>
      <c r="Y1878" s="22"/>
      <c r="Z1878" s="22"/>
      <c r="AA1878" s="22"/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22"/>
    </row>
    <row r="1879" spans="5:54" x14ac:dyDescent="0.35"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2"/>
      <c r="T1879" s="22"/>
      <c r="U1879" s="22"/>
      <c r="V1879" s="22"/>
      <c r="W1879" s="22"/>
      <c r="X1879" s="22"/>
      <c r="Y1879" s="22"/>
      <c r="Z1879" s="22"/>
      <c r="AA1879" s="22"/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22"/>
    </row>
    <row r="1880" spans="5:54" x14ac:dyDescent="0.35"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2"/>
      <c r="T1880" s="22"/>
      <c r="U1880" s="22"/>
      <c r="V1880" s="22"/>
      <c r="W1880" s="22"/>
      <c r="X1880" s="22"/>
      <c r="Y1880" s="22"/>
      <c r="Z1880" s="22"/>
      <c r="AA1880" s="22"/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22"/>
    </row>
    <row r="1881" spans="5:54" x14ac:dyDescent="0.35"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2"/>
      <c r="T1881" s="22"/>
      <c r="U1881" s="22"/>
      <c r="V1881" s="22"/>
      <c r="W1881" s="22"/>
      <c r="X1881" s="22"/>
      <c r="Y1881" s="22"/>
      <c r="Z1881" s="22"/>
      <c r="AA1881" s="22"/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22"/>
    </row>
    <row r="1882" spans="5:54" x14ac:dyDescent="0.35"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2"/>
      <c r="T1882" s="22"/>
      <c r="U1882" s="22"/>
      <c r="V1882" s="22"/>
      <c r="W1882" s="22"/>
      <c r="X1882" s="22"/>
      <c r="Y1882" s="22"/>
      <c r="Z1882" s="22"/>
      <c r="AA1882" s="22"/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22"/>
    </row>
    <row r="1883" spans="5:54" x14ac:dyDescent="0.35"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2"/>
      <c r="T1883" s="22"/>
      <c r="U1883" s="22"/>
      <c r="V1883" s="22"/>
      <c r="W1883" s="22"/>
      <c r="X1883" s="22"/>
      <c r="Y1883" s="22"/>
      <c r="Z1883" s="22"/>
      <c r="AA1883" s="22"/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22"/>
    </row>
    <row r="1884" spans="5:54" x14ac:dyDescent="0.35"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2"/>
      <c r="T1884" s="22"/>
      <c r="U1884" s="22"/>
      <c r="V1884" s="22"/>
      <c r="W1884" s="22"/>
      <c r="X1884" s="22"/>
      <c r="Y1884" s="22"/>
      <c r="Z1884" s="22"/>
      <c r="AA1884" s="22"/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22"/>
    </row>
    <row r="1885" spans="5:54" x14ac:dyDescent="0.35"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2"/>
      <c r="T1885" s="22"/>
      <c r="U1885" s="22"/>
      <c r="V1885" s="22"/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22"/>
    </row>
    <row r="1886" spans="5:54" x14ac:dyDescent="0.35"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T1886" s="22"/>
      <c r="U1886" s="22"/>
      <c r="V1886" s="22"/>
      <c r="W1886" s="22"/>
      <c r="X1886" s="22"/>
      <c r="Y1886" s="22"/>
      <c r="Z1886" s="22"/>
      <c r="AA1886" s="22"/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22"/>
    </row>
    <row r="1887" spans="5:54" x14ac:dyDescent="0.35"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2"/>
      <c r="T1887" s="22"/>
      <c r="U1887" s="22"/>
      <c r="V1887" s="22"/>
      <c r="W1887" s="22"/>
      <c r="X1887" s="22"/>
      <c r="Y1887" s="22"/>
      <c r="Z1887" s="22"/>
      <c r="AA1887" s="22"/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22"/>
    </row>
    <row r="1888" spans="5:54" x14ac:dyDescent="0.35"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2"/>
      <c r="T1888" s="22"/>
      <c r="U1888" s="22"/>
      <c r="V1888" s="22"/>
      <c r="W1888" s="22"/>
      <c r="X1888" s="22"/>
      <c r="Y1888" s="22"/>
      <c r="Z1888" s="22"/>
      <c r="AA1888" s="22"/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22"/>
    </row>
    <row r="1889" spans="5:54" x14ac:dyDescent="0.35"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2"/>
      <c r="T1889" s="22"/>
      <c r="U1889" s="22"/>
      <c r="V1889" s="22"/>
      <c r="W1889" s="22"/>
      <c r="X1889" s="22"/>
      <c r="Y1889" s="22"/>
      <c r="Z1889" s="22"/>
      <c r="AA1889" s="22"/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22"/>
    </row>
    <row r="1890" spans="5:54" x14ac:dyDescent="0.35"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2"/>
      <c r="T1890" s="22"/>
      <c r="U1890" s="22"/>
      <c r="V1890" s="22"/>
      <c r="W1890" s="22"/>
      <c r="X1890" s="22"/>
      <c r="Y1890" s="22"/>
      <c r="Z1890" s="22"/>
      <c r="AA1890" s="22"/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22"/>
    </row>
    <row r="1891" spans="5:54" x14ac:dyDescent="0.35"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2"/>
      <c r="T1891" s="22"/>
      <c r="U1891" s="22"/>
      <c r="V1891" s="22"/>
      <c r="W1891" s="22"/>
      <c r="X1891" s="22"/>
      <c r="Y1891" s="22"/>
      <c r="Z1891" s="22"/>
      <c r="AA1891" s="22"/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22"/>
    </row>
    <row r="1892" spans="5:54" x14ac:dyDescent="0.35"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2"/>
      <c r="T1892" s="22"/>
      <c r="U1892" s="22"/>
      <c r="V1892" s="22"/>
      <c r="W1892" s="22"/>
      <c r="X1892" s="22"/>
      <c r="Y1892" s="22"/>
      <c r="Z1892" s="22"/>
      <c r="AA1892" s="22"/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22"/>
    </row>
    <row r="1893" spans="5:54" x14ac:dyDescent="0.35"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2"/>
      <c r="T1893" s="22"/>
      <c r="U1893" s="22"/>
      <c r="V1893" s="22"/>
      <c r="W1893" s="22"/>
      <c r="X1893" s="22"/>
      <c r="Y1893" s="22"/>
      <c r="Z1893" s="22"/>
      <c r="AA1893" s="22"/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22"/>
    </row>
    <row r="1894" spans="5:54" x14ac:dyDescent="0.35"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2"/>
      <c r="T1894" s="22"/>
      <c r="U1894" s="22"/>
      <c r="V1894" s="22"/>
      <c r="W1894" s="22"/>
      <c r="X1894" s="22"/>
      <c r="Y1894" s="22"/>
      <c r="Z1894" s="22"/>
      <c r="AA1894" s="22"/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22"/>
    </row>
    <row r="1895" spans="5:54" x14ac:dyDescent="0.35"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2"/>
      <c r="T1895" s="22"/>
      <c r="U1895" s="22"/>
      <c r="V1895" s="22"/>
      <c r="W1895" s="22"/>
      <c r="X1895" s="22"/>
      <c r="Y1895" s="22"/>
      <c r="Z1895" s="22"/>
      <c r="AA1895" s="22"/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22"/>
    </row>
    <row r="1896" spans="5:54" x14ac:dyDescent="0.35"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2"/>
      <c r="T1896" s="22"/>
      <c r="U1896" s="22"/>
      <c r="V1896" s="22"/>
      <c r="W1896" s="22"/>
      <c r="X1896" s="22"/>
      <c r="Y1896" s="22"/>
      <c r="Z1896" s="22"/>
      <c r="AA1896" s="22"/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22"/>
    </row>
    <row r="1897" spans="5:54" x14ac:dyDescent="0.35"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2"/>
      <c r="T1897" s="22"/>
      <c r="U1897" s="22"/>
      <c r="V1897" s="22"/>
      <c r="W1897" s="22"/>
      <c r="X1897" s="22"/>
      <c r="Y1897" s="22"/>
      <c r="Z1897" s="22"/>
      <c r="AA1897" s="22"/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22"/>
    </row>
    <row r="1898" spans="5:54" x14ac:dyDescent="0.35"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2"/>
      <c r="T1898" s="22"/>
      <c r="U1898" s="22"/>
      <c r="V1898" s="22"/>
      <c r="W1898" s="22"/>
      <c r="X1898" s="22"/>
      <c r="Y1898" s="22"/>
      <c r="Z1898" s="22"/>
      <c r="AA1898" s="22"/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22"/>
    </row>
    <row r="1899" spans="5:54" x14ac:dyDescent="0.35"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2"/>
      <c r="T1899" s="22"/>
      <c r="U1899" s="22"/>
      <c r="V1899" s="22"/>
      <c r="W1899" s="22"/>
      <c r="X1899" s="22"/>
      <c r="Y1899" s="22"/>
      <c r="Z1899" s="22"/>
      <c r="AA1899" s="22"/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22"/>
    </row>
    <row r="1900" spans="5:54" x14ac:dyDescent="0.35"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2"/>
      <c r="T1900" s="22"/>
      <c r="U1900" s="22"/>
      <c r="V1900" s="22"/>
      <c r="W1900" s="22"/>
      <c r="X1900" s="22"/>
      <c r="Y1900" s="22"/>
      <c r="Z1900" s="22"/>
      <c r="AA1900" s="22"/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22"/>
    </row>
    <row r="1901" spans="5:54" x14ac:dyDescent="0.35"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2"/>
      <c r="T1901" s="22"/>
      <c r="U1901" s="22"/>
      <c r="V1901" s="22"/>
      <c r="W1901" s="22"/>
      <c r="X1901" s="22"/>
      <c r="Y1901" s="22"/>
      <c r="Z1901" s="22"/>
      <c r="AA1901" s="22"/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22"/>
    </row>
    <row r="1902" spans="5:54" x14ac:dyDescent="0.35"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2"/>
      <c r="T1902" s="22"/>
      <c r="U1902" s="22"/>
      <c r="V1902" s="22"/>
      <c r="W1902" s="22"/>
      <c r="X1902" s="22"/>
      <c r="Y1902" s="22"/>
      <c r="Z1902" s="22"/>
      <c r="AA1902" s="22"/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22"/>
    </row>
    <row r="1903" spans="5:54" x14ac:dyDescent="0.35"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2"/>
      <c r="T1903" s="22"/>
      <c r="U1903" s="22"/>
      <c r="V1903" s="22"/>
      <c r="W1903" s="22"/>
      <c r="X1903" s="22"/>
      <c r="Y1903" s="22"/>
      <c r="Z1903" s="22"/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22"/>
    </row>
    <row r="1904" spans="5:54" x14ac:dyDescent="0.35"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2"/>
      <c r="T1904" s="22"/>
      <c r="U1904" s="22"/>
      <c r="V1904" s="22"/>
      <c r="W1904" s="22"/>
      <c r="X1904" s="22"/>
      <c r="Y1904" s="22"/>
      <c r="Z1904" s="22"/>
      <c r="AA1904" s="22"/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22"/>
    </row>
    <row r="1905" spans="5:54" x14ac:dyDescent="0.35"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2"/>
      <c r="T1905" s="22"/>
      <c r="U1905" s="22"/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22"/>
    </row>
    <row r="1906" spans="5:54" x14ac:dyDescent="0.35"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2"/>
      <c r="T1906" s="22"/>
      <c r="U1906" s="22"/>
      <c r="V1906" s="22"/>
      <c r="W1906" s="22"/>
      <c r="X1906" s="22"/>
      <c r="Y1906" s="22"/>
      <c r="Z1906" s="22"/>
      <c r="AA1906" s="22"/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22"/>
    </row>
    <row r="1907" spans="5:54" x14ac:dyDescent="0.35"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2"/>
      <c r="T1907" s="22"/>
      <c r="U1907" s="22"/>
      <c r="V1907" s="22"/>
      <c r="W1907" s="22"/>
      <c r="X1907" s="22"/>
      <c r="Y1907" s="22"/>
      <c r="Z1907" s="22"/>
      <c r="AA1907" s="22"/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22"/>
    </row>
    <row r="1908" spans="5:54" x14ac:dyDescent="0.35"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2"/>
      <c r="T1908" s="22"/>
      <c r="U1908" s="22"/>
      <c r="V1908" s="22"/>
      <c r="W1908" s="22"/>
      <c r="X1908" s="22"/>
      <c r="Y1908" s="22"/>
      <c r="Z1908" s="22"/>
      <c r="AA1908" s="22"/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22"/>
    </row>
    <row r="1909" spans="5:54" x14ac:dyDescent="0.35"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2"/>
      <c r="T1909" s="22"/>
      <c r="U1909" s="22"/>
      <c r="V1909" s="22"/>
      <c r="W1909" s="22"/>
      <c r="X1909" s="22"/>
      <c r="Y1909" s="22"/>
      <c r="Z1909" s="22"/>
      <c r="AA1909" s="22"/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22"/>
    </row>
    <row r="1910" spans="5:54" x14ac:dyDescent="0.35"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2"/>
      <c r="T1910" s="22"/>
      <c r="U1910" s="22"/>
      <c r="V1910" s="22"/>
      <c r="W1910" s="22"/>
      <c r="X1910" s="22"/>
      <c r="Y1910" s="22"/>
      <c r="Z1910" s="22"/>
      <c r="AA1910" s="22"/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22"/>
    </row>
    <row r="1911" spans="5:54" x14ac:dyDescent="0.35"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2"/>
      <c r="T1911" s="22"/>
      <c r="U1911" s="22"/>
      <c r="V1911" s="22"/>
      <c r="W1911" s="22"/>
      <c r="X1911" s="22"/>
      <c r="Y1911" s="22"/>
      <c r="Z1911" s="22"/>
      <c r="AA1911" s="22"/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22"/>
    </row>
    <row r="1912" spans="5:54" x14ac:dyDescent="0.35"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2"/>
      <c r="T1912" s="22"/>
      <c r="U1912" s="22"/>
      <c r="V1912" s="22"/>
      <c r="W1912" s="22"/>
      <c r="X1912" s="22"/>
      <c r="Y1912" s="22"/>
      <c r="Z1912" s="22"/>
      <c r="AA1912" s="22"/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22"/>
    </row>
    <row r="1913" spans="5:54" x14ac:dyDescent="0.35"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2"/>
      <c r="T1913" s="22"/>
      <c r="U1913" s="22"/>
      <c r="V1913" s="22"/>
      <c r="W1913" s="22"/>
      <c r="X1913" s="22"/>
      <c r="Y1913" s="22"/>
      <c r="Z1913" s="22"/>
      <c r="AA1913" s="22"/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22"/>
    </row>
    <row r="1914" spans="5:54" x14ac:dyDescent="0.35"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2"/>
      <c r="T1914" s="22"/>
      <c r="U1914" s="22"/>
      <c r="V1914" s="22"/>
      <c r="W1914" s="22"/>
      <c r="X1914" s="22"/>
      <c r="Y1914" s="22"/>
      <c r="Z1914" s="22"/>
      <c r="AA1914" s="22"/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22"/>
    </row>
    <row r="1915" spans="5:54" x14ac:dyDescent="0.35"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2"/>
      <c r="T1915" s="22"/>
      <c r="U1915" s="22"/>
      <c r="V1915" s="22"/>
      <c r="W1915" s="22"/>
      <c r="X1915" s="22"/>
      <c r="Y1915" s="22"/>
      <c r="Z1915" s="22"/>
      <c r="AA1915" s="22"/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22"/>
    </row>
    <row r="1916" spans="5:54" x14ac:dyDescent="0.35"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2"/>
      <c r="T1916" s="22"/>
      <c r="U1916" s="22"/>
      <c r="V1916" s="22"/>
      <c r="W1916" s="22"/>
      <c r="X1916" s="22"/>
      <c r="Y1916" s="22"/>
      <c r="Z1916" s="22"/>
      <c r="AA1916" s="22"/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22"/>
    </row>
    <row r="1917" spans="5:54" x14ac:dyDescent="0.35"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2"/>
      <c r="T1917" s="22"/>
      <c r="U1917" s="22"/>
      <c r="V1917" s="22"/>
      <c r="W1917" s="22"/>
      <c r="X1917" s="22"/>
      <c r="Y1917" s="22"/>
      <c r="Z1917" s="22"/>
      <c r="AA1917" s="22"/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22"/>
    </row>
    <row r="1918" spans="5:54" x14ac:dyDescent="0.35"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2"/>
      <c r="T1918" s="22"/>
      <c r="U1918" s="22"/>
      <c r="V1918" s="22"/>
      <c r="W1918" s="22"/>
      <c r="X1918" s="22"/>
      <c r="Y1918" s="22"/>
      <c r="Z1918" s="22"/>
      <c r="AA1918" s="22"/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22"/>
    </row>
    <row r="1919" spans="5:54" x14ac:dyDescent="0.35"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2"/>
      <c r="T1919" s="22"/>
      <c r="U1919" s="22"/>
      <c r="V1919" s="22"/>
      <c r="W1919" s="22"/>
      <c r="X1919" s="22"/>
      <c r="Y1919" s="22"/>
      <c r="Z1919" s="22"/>
      <c r="AA1919" s="22"/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22"/>
    </row>
    <row r="1920" spans="5:54" x14ac:dyDescent="0.35"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2"/>
      <c r="T1920" s="22"/>
      <c r="U1920" s="22"/>
      <c r="V1920" s="22"/>
      <c r="W1920" s="22"/>
      <c r="X1920" s="22"/>
      <c r="Y1920" s="22"/>
      <c r="Z1920" s="22"/>
      <c r="AA1920" s="22"/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22"/>
    </row>
    <row r="1921" spans="5:54" x14ac:dyDescent="0.35"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22"/>
      <c r="V1921" s="22"/>
      <c r="W1921" s="22"/>
      <c r="X1921" s="22"/>
      <c r="Y1921" s="22"/>
      <c r="Z1921" s="22"/>
      <c r="AA1921" s="22"/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22"/>
    </row>
    <row r="1922" spans="5:54" x14ac:dyDescent="0.35"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22"/>
      <c r="V1922" s="22"/>
      <c r="W1922" s="22"/>
      <c r="X1922" s="22"/>
      <c r="Y1922" s="22"/>
      <c r="Z1922" s="22"/>
      <c r="AA1922" s="22"/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22"/>
    </row>
    <row r="1923" spans="5:54" x14ac:dyDescent="0.35"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22"/>
      <c r="V1923" s="22"/>
      <c r="W1923" s="22"/>
      <c r="X1923" s="22"/>
      <c r="Y1923" s="22"/>
      <c r="Z1923" s="22"/>
      <c r="AA1923" s="22"/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22"/>
    </row>
    <row r="1924" spans="5:54" x14ac:dyDescent="0.35"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22"/>
      <c r="V1924" s="22"/>
      <c r="W1924" s="22"/>
      <c r="X1924" s="22"/>
      <c r="Y1924" s="22"/>
      <c r="Z1924" s="22"/>
      <c r="AA1924" s="22"/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22"/>
    </row>
    <row r="1925" spans="5:54" x14ac:dyDescent="0.35"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22"/>
      <c r="V1925" s="22"/>
      <c r="W1925" s="22"/>
      <c r="X1925" s="22"/>
      <c r="Y1925" s="22"/>
      <c r="Z1925" s="22"/>
      <c r="AA1925" s="22"/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22"/>
    </row>
    <row r="1926" spans="5:54" x14ac:dyDescent="0.35"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22"/>
      <c r="V1926" s="22"/>
      <c r="W1926" s="22"/>
      <c r="X1926" s="22"/>
      <c r="Y1926" s="22"/>
      <c r="Z1926" s="22"/>
      <c r="AA1926" s="22"/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22"/>
    </row>
    <row r="1927" spans="5:54" x14ac:dyDescent="0.35"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22"/>
      <c r="V1927" s="22"/>
      <c r="W1927" s="22"/>
      <c r="X1927" s="22"/>
      <c r="Y1927" s="22"/>
      <c r="Z1927" s="22"/>
      <c r="AA1927" s="22"/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22"/>
    </row>
    <row r="1928" spans="5:54" x14ac:dyDescent="0.35"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22"/>
      <c r="V1928" s="22"/>
      <c r="W1928" s="22"/>
      <c r="X1928" s="22"/>
      <c r="Y1928" s="22"/>
      <c r="Z1928" s="22"/>
      <c r="AA1928" s="22"/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22"/>
    </row>
    <row r="1929" spans="5:54" x14ac:dyDescent="0.35"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22"/>
      <c r="V1929" s="22"/>
      <c r="W1929" s="22"/>
      <c r="X1929" s="22"/>
      <c r="Y1929" s="22"/>
      <c r="Z1929" s="22"/>
      <c r="AA1929" s="22"/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22"/>
    </row>
    <row r="1930" spans="5:54" x14ac:dyDescent="0.35"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22"/>
      <c r="V1930" s="22"/>
      <c r="W1930" s="22"/>
      <c r="X1930" s="22"/>
      <c r="Y1930" s="22"/>
      <c r="Z1930" s="22"/>
      <c r="AA1930" s="22"/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22"/>
    </row>
    <row r="1931" spans="5:54" x14ac:dyDescent="0.35"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22"/>
      <c r="V1931" s="22"/>
      <c r="W1931" s="22"/>
      <c r="X1931" s="22"/>
      <c r="Y1931" s="22"/>
      <c r="Z1931" s="22"/>
      <c r="AA1931" s="22"/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22"/>
    </row>
    <row r="1932" spans="5:54" x14ac:dyDescent="0.35"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22"/>
      <c r="V1932" s="22"/>
      <c r="W1932" s="22"/>
      <c r="X1932" s="22"/>
      <c r="Y1932" s="22"/>
      <c r="Z1932" s="22"/>
      <c r="AA1932" s="22"/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22"/>
    </row>
    <row r="1933" spans="5:54" x14ac:dyDescent="0.35"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22"/>
      <c r="V1933" s="22"/>
      <c r="W1933" s="22"/>
      <c r="X1933" s="22"/>
      <c r="Y1933" s="22"/>
      <c r="Z1933" s="22"/>
      <c r="AA1933" s="22"/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22"/>
    </row>
    <row r="1934" spans="5:54" x14ac:dyDescent="0.35"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22"/>
      <c r="V1934" s="22"/>
      <c r="W1934" s="22"/>
      <c r="X1934" s="22"/>
      <c r="Y1934" s="22"/>
      <c r="Z1934" s="22"/>
      <c r="AA1934" s="22"/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22"/>
    </row>
    <row r="1935" spans="5:54" x14ac:dyDescent="0.35"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22"/>
      <c r="V1935" s="22"/>
      <c r="W1935" s="22"/>
      <c r="X1935" s="22"/>
      <c r="Y1935" s="22"/>
      <c r="Z1935" s="22"/>
      <c r="AA1935" s="22"/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22"/>
    </row>
    <row r="1936" spans="5:54" x14ac:dyDescent="0.35"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22"/>
      <c r="V1936" s="22"/>
      <c r="W1936" s="22"/>
      <c r="X1936" s="22"/>
      <c r="Y1936" s="22"/>
      <c r="Z1936" s="22"/>
      <c r="AA1936" s="22"/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22"/>
    </row>
    <row r="1937" spans="5:54" x14ac:dyDescent="0.35"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22"/>
      <c r="V1937" s="22"/>
      <c r="W1937" s="22"/>
      <c r="X1937" s="22"/>
      <c r="Y1937" s="22"/>
      <c r="Z1937" s="22"/>
      <c r="AA1937" s="22"/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22"/>
    </row>
    <row r="1938" spans="5:54" x14ac:dyDescent="0.35"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22"/>
      <c r="V1938" s="22"/>
      <c r="W1938" s="22"/>
      <c r="X1938" s="22"/>
      <c r="Y1938" s="22"/>
      <c r="Z1938" s="22"/>
      <c r="AA1938" s="22"/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22"/>
    </row>
    <row r="1939" spans="5:54" x14ac:dyDescent="0.35"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22"/>
      <c r="V1939" s="22"/>
      <c r="W1939" s="22"/>
      <c r="X1939" s="22"/>
      <c r="Y1939" s="22"/>
      <c r="Z1939" s="22"/>
      <c r="AA1939" s="22"/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22"/>
    </row>
    <row r="1940" spans="5:54" x14ac:dyDescent="0.35"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22"/>
      <c r="V1940" s="22"/>
      <c r="W1940" s="22"/>
      <c r="X1940" s="22"/>
      <c r="Y1940" s="22"/>
      <c r="Z1940" s="22"/>
      <c r="AA1940" s="22"/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22"/>
    </row>
    <row r="1941" spans="5:54" x14ac:dyDescent="0.35"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22"/>
      <c r="V1941" s="22"/>
      <c r="W1941" s="22"/>
      <c r="X1941" s="22"/>
      <c r="Y1941" s="22"/>
      <c r="Z1941" s="22"/>
      <c r="AA1941" s="22"/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22"/>
    </row>
    <row r="1942" spans="5:54" x14ac:dyDescent="0.35"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22"/>
      <c r="V1942" s="22"/>
      <c r="W1942" s="22"/>
      <c r="X1942" s="22"/>
      <c r="Y1942" s="22"/>
      <c r="Z1942" s="22"/>
      <c r="AA1942" s="22"/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22"/>
    </row>
    <row r="1943" spans="5:54" x14ac:dyDescent="0.35"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22"/>
      <c r="V1943" s="22"/>
      <c r="W1943" s="22"/>
      <c r="X1943" s="22"/>
      <c r="Y1943" s="22"/>
      <c r="Z1943" s="22"/>
      <c r="AA1943" s="22"/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22"/>
    </row>
    <row r="1944" spans="5:54" x14ac:dyDescent="0.35"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22"/>
    </row>
    <row r="1945" spans="5:54" x14ac:dyDescent="0.35"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22"/>
      <c r="V1945" s="22"/>
      <c r="W1945" s="22"/>
      <c r="X1945" s="22"/>
      <c r="Y1945" s="22"/>
      <c r="Z1945" s="22"/>
      <c r="AA1945" s="22"/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22"/>
    </row>
    <row r="1946" spans="5:54" x14ac:dyDescent="0.35"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22"/>
      <c r="V1946" s="22"/>
      <c r="W1946" s="22"/>
      <c r="X1946" s="22"/>
      <c r="Y1946" s="22"/>
      <c r="Z1946" s="22"/>
      <c r="AA1946" s="22"/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22"/>
    </row>
    <row r="1947" spans="5:54" x14ac:dyDescent="0.35"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22"/>
      <c r="V1947" s="22"/>
      <c r="W1947" s="22"/>
      <c r="X1947" s="22"/>
      <c r="Y1947" s="22"/>
      <c r="Z1947" s="22"/>
      <c r="AA1947" s="22"/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22"/>
    </row>
    <row r="1948" spans="5:54" x14ac:dyDescent="0.35"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22"/>
      <c r="V1948" s="22"/>
      <c r="W1948" s="22"/>
      <c r="X1948" s="22"/>
      <c r="Y1948" s="22"/>
      <c r="Z1948" s="22"/>
      <c r="AA1948" s="22"/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22"/>
    </row>
    <row r="1949" spans="5:54" x14ac:dyDescent="0.35"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22"/>
      <c r="V1949" s="22"/>
      <c r="W1949" s="22"/>
      <c r="X1949" s="22"/>
      <c r="Y1949" s="22"/>
      <c r="Z1949" s="22"/>
      <c r="AA1949" s="22"/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22"/>
    </row>
    <row r="1950" spans="5:54" x14ac:dyDescent="0.35"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22"/>
      <c r="V1950" s="22"/>
      <c r="W1950" s="22"/>
      <c r="X1950" s="22"/>
      <c r="Y1950" s="22"/>
      <c r="Z1950" s="22"/>
      <c r="AA1950" s="22"/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22"/>
    </row>
    <row r="1951" spans="5:54" x14ac:dyDescent="0.35"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22"/>
      <c r="V1951" s="22"/>
      <c r="W1951" s="22"/>
      <c r="X1951" s="22"/>
      <c r="Y1951" s="22"/>
      <c r="Z1951" s="22"/>
      <c r="AA1951" s="22"/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22"/>
    </row>
    <row r="1952" spans="5:54" x14ac:dyDescent="0.35"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22"/>
      <c r="V1952" s="22"/>
      <c r="W1952" s="22"/>
      <c r="X1952" s="22"/>
      <c r="Y1952" s="22"/>
      <c r="Z1952" s="22"/>
      <c r="AA1952" s="22"/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22"/>
    </row>
    <row r="1953" spans="5:54" x14ac:dyDescent="0.35"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22"/>
      <c r="V1953" s="22"/>
      <c r="W1953" s="22"/>
      <c r="X1953" s="22"/>
      <c r="Y1953" s="22"/>
      <c r="Z1953" s="22"/>
      <c r="AA1953" s="22"/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22"/>
    </row>
    <row r="1954" spans="5:54" x14ac:dyDescent="0.35"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22"/>
      <c r="V1954" s="22"/>
      <c r="W1954" s="22"/>
      <c r="X1954" s="22"/>
      <c r="Y1954" s="22"/>
      <c r="Z1954" s="22"/>
      <c r="AA1954" s="22"/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22"/>
    </row>
    <row r="1955" spans="5:54" x14ac:dyDescent="0.35"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22"/>
      <c r="V1955" s="22"/>
      <c r="W1955" s="22"/>
      <c r="X1955" s="22"/>
      <c r="Y1955" s="22"/>
      <c r="Z1955" s="22"/>
      <c r="AA1955" s="22"/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22"/>
    </row>
    <row r="1956" spans="5:54" x14ac:dyDescent="0.35"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22"/>
    </row>
    <row r="1957" spans="5:54" x14ac:dyDescent="0.35"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22"/>
      <c r="V1957" s="22"/>
      <c r="W1957" s="22"/>
      <c r="X1957" s="22"/>
      <c r="Y1957" s="22"/>
      <c r="Z1957" s="22"/>
      <c r="AA1957" s="22"/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22"/>
    </row>
    <row r="1958" spans="5:54" x14ac:dyDescent="0.35"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22"/>
      <c r="V1958" s="22"/>
      <c r="W1958" s="22"/>
      <c r="X1958" s="22"/>
      <c r="Y1958" s="22"/>
      <c r="Z1958" s="22"/>
      <c r="AA1958" s="22"/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22"/>
    </row>
    <row r="1959" spans="5:54" x14ac:dyDescent="0.35"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22"/>
      <c r="V1959" s="22"/>
      <c r="W1959" s="22"/>
      <c r="X1959" s="22"/>
      <c r="Y1959" s="22"/>
      <c r="Z1959" s="22"/>
      <c r="AA1959" s="22"/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22"/>
    </row>
    <row r="1960" spans="5:54" x14ac:dyDescent="0.35"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22"/>
      <c r="V1960" s="22"/>
      <c r="W1960" s="22"/>
      <c r="X1960" s="22"/>
      <c r="Y1960" s="22"/>
      <c r="Z1960" s="22"/>
      <c r="AA1960" s="22"/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22"/>
    </row>
    <row r="1961" spans="5:54" x14ac:dyDescent="0.35"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22"/>
      <c r="V1961" s="22"/>
      <c r="W1961" s="22"/>
      <c r="X1961" s="22"/>
      <c r="Y1961" s="22"/>
      <c r="Z1961" s="22"/>
      <c r="AA1961" s="22"/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22"/>
    </row>
    <row r="1962" spans="5:54" x14ac:dyDescent="0.35"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22"/>
      <c r="V1962" s="22"/>
      <c r="W1962" s="22"/>
      <c r="X1962" s="22"/>
      <c r="Y1962" s="22"/>
      <c r="Z1962" s="22"/>
      <c r="AA1962" s="22"/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22"/>
    </row>
    <row r="1963" spans="5:54" x14ac:dyDescent="0.35"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22"/>
      <c r="V1963" s="22"/>
      <c r="W1963" s="22"/>
      <c r="X1963" s="22"/>
      <c r="Y1963" s="22"/>
      <c r="Z1963" s="22"/>
      <c r="AA1963" s="22"/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22"/>
    </row>
    <row r="1964" spans="5:54" x14ac:dyDescent="0.35"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22"/>
      <c r="V1964" s="22"/>
      <c r="W1964" s="22"/>
      <c r="X1964" s="22"/>
      <c r="Y1964" s="22"/>
      <c r="Z1964" s="22"/>
      <c r="AA1964" s="22"/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22"/>
    </row>
    <row r="1965" spans="5:54" x14ac:dyDescent="0.35"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22"/>
      <c r="V1965" s="22"/>
      <c r="W1965" s="22"/>
      <c r="X1965" s="22"/>
      <c r="Y1965" s="22"/>
      <c r="Z1965" s="22"/>
      <c r="AA1965" s="22"/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22"/>
    </row>
    <row r="1966" spans="5:54" x14ac:dyDescent="0.35"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22"/>
      <c r="V1966" s="22"/>
      <c r="W1966" s="22"/>
      <c r="X1966" s="22"/>
      <c r="Y1966" s="22"/>
      <c r="Z1966" s="22"/>
      <c r="AA1966" s="22"/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22"/>
    </row>
    <row r="1967" spans="5:54" x14ac:dyDescent="0.35"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22"/>
      <c r="V1967" s="22"/>
      <c r="W1967" s="22"/>
      <c r="X1967" s="22"/>
      <c r="Y1967" s="22"/>
      <c r="Z1967" s="22"/>
      <c r="AA1967" s="22"/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22"/>
    </row>
    <row r="1968" spans="5:54" x14ac:dyDescent="0.35"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22"/>
      <c r="V1968" s="22"/>
      <c r="W1968" s="22"/>
      <c r="X1968" s="22"/>
      <c r="Y1968" s="22"/>
      <c r="Z1968" s="22"/>
      <c r="AA1968" s="22"/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22"/>
    </row>
    <row r="1969" spans="5:54" x14ac:dyDescent="0.35"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22"/>
      <c r="V1969" s="22"/>
      <c r="W1969" s="22"/>
      <c r="X1969" s="22"/>
      <c r="Y1969" s="22"/>
      <c r="Z1969" s="22"/>
      <c r="AA1969" s="22"/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22"/>
    </row>
    <row r="1970" spans="5:54" x14ac:dyDescent="0.35"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22"/>
      <c r="V1970" s="22"/>
      <c r="W1970" s="22"/>
      <c r="X1970" s="22"/>
      <c r="Y1970" s="22"/>
      <c r="Z1970" s="22"/>
      <c r="AA1970" s="22"/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22"/>
    </row>
    <row r="1971" spans="5:54" x14ac:dyDescent="0.35"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22"/>
    </row>
    <row r="1972" spans="5:54" x14ac:dyDescent="0.35"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22"/>
    </row>
    <row r="1973" spans="5:54" x14ac:dyDescent="0.35"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22"/>
    </row>
    <row r="1974" spans="5:54" x14ac:dyDescent="0.35"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22"/>
    </row>
    <row r="1975" spans="5:54" x14ac:dyDescent="0.35"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22"/>
    </row>
    <row r="1976" spans="5:54" x14ac:dyDescent="0.35"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22"/>
    </row>
    <row r="1977" spans="5:54" x14ac:dyDescent="0.35"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22"/>
    </row>
    <row r="1978" spans="5:54" x14ac:dyDescent="0.35"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22"/>
    </row>
    <row r="1979" spans="5:54" x14ac:dyDescent="0.35"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22"/>
    </row>
    <row r="1980" spans="5:54" x14ac:dyDescent="0.35"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22"/>
    </row>
    <row r="1981" spans="5:54" x14ac:dyDescent="0.35"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22"/>
      <c r="V1981" s="22"/>
      <c r="W1981" s="22"/>
      <c r="X1981" s="22"/>
      <c r="Y1981" s="22"/>
      <c r="Z1981" s="22"/>
      <c r="AA1981" s="22"/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22"/>
    </row>
    <row r="1982" spans="5:54" x14ac:dyDescent="0.35"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22"/>
      <c r="V1982" s="22"/>
      <c r="W1982" s="22"/>
      <c r="X1982" s="22"/>
      <c r="Y1982" s="22"/>
      <c r="Z1982" s="22"/>
      <c r="AA1982" s="22"/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22"/>
    </row>
    <row r="1983" spans="5:54" x14ac:dyDescent="0.35"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22"/>
      <c r="V1983" s="22"/>
      <c r="W1983" s="22"/>
      <c r="X1983" s="22"/>
      <c r="Y1983" s="22"/>
      <c r="Z1983" s="22"/>
      <c r="AA1983" s="22"/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22"/>
    </row>
    <row r="1984" spans="5:54" x14ac:dyDescent="0.35"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22"/>
      <c r="V1984" s="22"/>
      <c r="W1984" s="22"/>
      <c r="X1984" s="22"/>
      <c r="Y1984" s="22"/>
      <c r="Z1984" s="22"/>
      <c r="AA1984" s="22"/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22"/>
    </row>
    <row r="1985" spans="5:54" x14ac:dyDescent="0.35"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22"/>
      <c r="V1985" s="22"/>
      <c r="W1985" s="22"/>
      <c r="X1985" s="22"/>
      <c r="Y1985" s="22"/>
      <c r="Z1985" s="22"/>
      <c r="AA1985" s="22"/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22"/>
    </row>
    <row r="1986" spans="5:54" x14ac:dyDescent="0.35"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22"/>
      <c r="V1986" s="22"/>
      <c r="W1986" s="22"/>
      <c r="X1986" s="22"/>
      <c r="Y1986" s="22"/>
      <c r="Z1986" s="22"/>
      <c r="AA1986" s="22"/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22"/>
    </row>
    <row r="1987" spans="5:54" x14ac:dyDescent="0.35"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22"/>
      <c r="V1987" s="22"/>
      <c r="W1987" s="22"/>
      <c r="X1987" s="22"/>
      <c r="Y1987" s="22"/>
      <c r="Z1987" s="22"/>
      <c r="AA1987" s="22"/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22"/>
    </row>
    <row r="1988" spans="5:54" x14ac:dyDescent="0.35"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22"/>
      <c r="V1988" s="22"/>
      <c r="W1988" s="22"/>
      <c r="X1988" s="22"/>
      <c r="Y1988" s="22"/>
      <c r="Z1988" s="22"/>
      <c r="AA1988" s="22"/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22"/>
    </row>
    <row r="1989" spans="5:54" x14ac:dyDescent="0.35"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22"/>
      <c r="V1989" s="22"/>
      <c r="W1989" s="22"/>
      <c r="X1989" s="22"/>
      <c r="Y1989" s="22"/>
      <c r="Z1989" s="22"/>
      <c r="AA1989" s="22"/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22"/>
    </row>
    <row r="1990" spans="5:54" x14ac:dyDescent="0.35"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22"/>
      <c r="V1990" s="22"/>
      <c r="W1990" s="22"/>
      <c r="X1990" s="22"/>
      <c r="Y1990" s="22"/>
      <c r="Z1990" s="22"/>
      <c r="AA1990" s="22"/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22"/>
    </row>
    <row r="1991" spans="5:54" x14ac:dyDescent="0.35"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22"/>
      <c r="V1991" s="22"/>
      <c r="W1991" s="22"/>
      <c r="X1991" s="22"/>
      <c r="Y1991" s="22"/>
      <c r="Z1991" s="22"/>
      <c r="AA1991" s="22"/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22"/>
    </row>
    <row r="1992" spans="5:54" x14ac:dyDescent="0.35"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22"/>
      <c r="V1992" s="22"/>
      <c r="W1992" s="22"/>
      <c r="X1992" s="22"/>
      <c r="Y1992" s="22"/>
      <c r="Z1992" s="22"/>
      <c r="AA1992" s="22"/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22"/>
    </row>
    <row r="1993" spans="5:54" x14ac:dyDescent="0.35"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22"/>
      <c r="V1993" s="22"/>
      <c r="W1993" s="22"/>
      <c r="X1993" s="22"/>
      <c r="Y1993" s="22"/>
      <c r="Z1993" s="22"/>
      <c r="AA1993" s="22"/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22"/>
    </row>
    <row r="1994" spans="5:54" x14ac:dyDescent="0.35"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22"/>
      <c r="V1994" s="22"/>
      <c r="W1994" s="22"/>
      <c r="X1994" s="22"/>
      <c r="Y1994" s="22"/>
      <c r="Z1994" s="22"/>
      <c r="AA1994" s="22"/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22"/>
    </row>
    <row r="1995" spans="5:54" x14ac:dyDescent="0.35"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22"/>
      <c r="V1995" s="22"/>
      <c r="W1995" s="22"/>
      <c r="X1995" s="22"/>
      <c r="Y1995" s="22"/>
      <c r="Z1995" s="22"/>
      <c r="AA1995" s="22"/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22"/>
    </row>
    <row r="1996" spans="5:54" x14ac:dyDescent="0.35"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22"/>
      <c r="V1996" s="22"/>
      <c r="W1996" s="22"/>
      <c r="X1996" s="22"/>
      <c r="Y1996" s="22"/>
      <c r="Z1996" s="22"/>
      <c r="AA1996" s="22"/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22"/>
    </row>
    <row r="1997" spans="5:54" x14ac:dyDescent="0.35"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22"/>
      <c r="V1997" s="22"/>
      <c r="W1997" s="22"/>
      <c r="X1997" s="22"/>
      <c r="Y1997" s="22"/>
      <c r="Z1997" s="22"/>
      <c r="AA1997" s="22"/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22"/>
    </row>
    <row r="1998" spans="5:54" x14ac:dyDescent="0.35"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22"/>
      <c r="V1998" s="22"/>
      <c r="W1998" s="22"/>
      <c r="X1998" s="22"/>
      <c r="Y1998" s="22"/>
      <c r="Z1998" s="22"/>
      <c r="AA1998" s="22"/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22"/>
    </row>
    <row r="1999" spans="5:54" x14ac:dyDescent="0.35"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22"/>
      <c r="V1999" s="22"/>
      <c r="W1999" s="22"/>
      <c r="X1999" s="22"/>
      <c r="Y1999" s="22"/>
      <c r="Z1999" s="22"/>
      <c r="AA1999" s="22"/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22"/>
    </row>
    <row r="2000" spans="5:54" x14ac:dyDescent="0.35"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22"/>
      <c r="V2000" s="22"/>
      <c r="W2000" s="22"/>
      <c r="X2000" s="22"/>
      <c r="Y2000" s="22"/>
      <c r="Z2000" s="22"/>
      <c r="AA2000" s="22"/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22"/>
    </row>
    <row r="2001" spans="5:54" x14ac:dyDescent="0.35"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22"/>
      <c r="V2001" s="22"/>
      <c r="W2001" s="22"/>
      <c r="X2001" s="22"/>
      <c r="Y2001" s="22"/>
      <c r="Z2001" s="22"/>
      <c r="AA2001" s="22"/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22"/>
    </row>
    <row r="2002" spans="5:54" x14ac:dyDescent="0.35"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22"/>
      <c r="V2002" s="22"/>
      <c r="W2002" s="22"/>
      <c r="X2002" s="22"/>
      <c r="Y2002" s="22"/>
      <c r="Z2002" s="22"/>
      <c r="AA2002" s="22"/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22"/>
    </row>
    <row r="2003" spans="5:54" x14ac:dyDescent="0.35"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22"/>
      <c r="V2003" s="22"/>
      <c r="W2003" s="22"/>
      <c r="X2003" s="22"/>
      <c r="Y2003" s="22"/>
      <c r="Z2003" s="22"/>
      <c r="AA2003" s="22"/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22"/>
    </row>
    <row r="2004" spans="5:54" x14ac:dyDescent="0.35"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22"/>
      <c r="V2004" s="22"/>
      <c r="W2004" s="22"/>
      <c r="X2004" s="22"/>
      <c r="Y2004" s="22"/>
      <c r="Z2004" s="22"/>
      <c r="AA2004" s="22"/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22"/>
    </row>
    <row r="2005" spans="5:54" x14ac:dyDescent="0.35"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22"/>
      <c r="V2005" s="22"/>
      <c r="W2005" s="22"/>
      <c r="X2005" s="22"/>
      <c r="Y2005" s="22"/>
      <c r="Z2005" s="22"/>
      <c r="AA2005" s="22"/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22"/>
    </row>
    <row r="2006" spans="5:54" x14ac:dyDescent="0.35"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22"/>
      <c r="V2006" s="22"/>
      <c r="W2006" s="22"/>
      <c r="X2006" s="22"/>
      <c r="Y2006" s="22"/>
      <c r="Z2006" s="22"/>
      <c r="AA2006" s="22"/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22"/>
    </row>
    <row r="2007" spans="5:54" x14ac:dyDescent="0.35"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22"/>
      <c r="V2007" s="22"/>
      <c r="W2007" s="22"/>
      <c r="X2007" s="22"/>
      <c r="Y2007" s="22"/>
      <c r="Z2007" s="22"/>
      <c r="AA2007" s="22"/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22"/>
    </row>
    <row r="2008" spans="5:54" x14ac:dyDescent="0.35"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22"/>
      <c r="V2008" s="22"/>
      <c r="W2008" s="22"/>
      <c r="X2008" s="22"/>
      <c r="Y2008" s="22"/>
      <c r="Z2008" s="22"/>
      <c r="AA2008" s="22"/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22"/>
    </row>
    <row r="2009" spans="5:54" x14ac:dyDescent="0.35"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22"/>
      <c r="V2009" s="22"/>
      <c r="W2009" s="22"/>
      <c r="X2009" s="22"/>
      <c r="Y2009" s="22"/>
      <c r="Z2009" s="22"/>
      <c r="AA2009" s="22"/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22"/>
    </row>
    <row r="2010" spans="5:54" x14ac:dyDescent="0.35"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22"/>
      <c r="V2010" s="22"/>
      <c r="W2010" s="22"/>
      <c r="X2010" s="22"/>
      <c r="Y2010" s="22"/>
      <c r="Z2010" s="22"/>
      <c r="AA2010" s="22"/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22"/>
    </row>
    <row r="2011" spans="5:54" x14ac:dyDescent="0.35"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22"/>
      <c r="V2011" s="22"/>
      <c r="W2011" s="22"/>
      <c r="X2011" s="22"/>
      <c r="Y2011" s="22"/>
      <c r="Z2011" s="22"/>
      <c r="AA2011" s="22"/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22"/>
    </row>
    <row r="2012" spans="5:54" x14ac:dyDescent="0.35"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22"/>
      <c r="V2012" s="22"/>
      <c r="W2012" s="22"/>
      <c r="X2012" s="22"/>
      <c r="Y2012" s="22"/>
      <c r="Z2012" s="22"/>
      <c r="AA2012" s="22"/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22"/>
    </row>
    <row r="2013" spans="5:54" x14ac:dyDescent="0.35"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22"/>
      <c r="V2013" s="22"/>
      <c r="W2013" s="22"/>
      <c r="X2013" s="22"/>
      <c r="Y2013" s="22"/>
      <c r="Z2013" s="22"/>
      <c r="AA2013" s="22"/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22"/>
    </row>
    <row r="2014" spans="5:54" x14ac:dyDescent="0.35"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22"/>
      <c r="V2014" s="22"/>
      <c r="W2014" s="22"/>
      <c r="X2014" s="22"/>
      <c r="Y2014" s="22"/>
      <c r="Z2014" s="22"/>
      <c r="AA2014" s="22"/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22"/>
    </row>
    <row r="2015" spans="5:54" x14ac:dyDescent="0.35"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22"/>
      <c r="V2015" s="22"/>
      <c r="W2015" s="22"/>
      <c r="X2015" s="22"/>
      <c r="Y2015" s="22"/>
      <c r="Z2015" s="22"/>
      <c r="AA2015" s="22"/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22"/>
    </row>
    <row r="2016" spans="5:54" x14ac:dyDescent="0.35"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22"/>
      <c r="V2016" s="22"/>
      <c r="W2016" s="22"/>
      <c r="X2016" s="22"/>
      <c r="Y2016" s="22"/>
      <c r="Z2016" s="22"/>
      <c r="AA2016" s="22"/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22"/>
    </row>
    <row r="2017" spans="5:54" x14ac:dyDescent="0.35"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22"/>
      <c r="V2017" s="22"/>
      <c r="W2017" s="22"/>
      <c r="X2017" s="22"/>
      <c r="Y2017" s="22"/>
      <c r="Z2017" s="22"/>
      <c r="AA2017" s="22"/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22"/>
    </row>
    <row r="2018" spans="5:54" x14ac:dyDescent="0.35"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22"/>
      <c r="V2018" s="22"/>
      <c r="W2018" s="22"/>
      <c r="X2018" s="22"/>
      <c r="Y2018" s="22"/>
      <c r="Z2018" s="22"/>
      <c r="AA2018" s="22"/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22"/>
    </row>
    <row r="2019" spans="5:54" x14ac:dyDescent="0.35"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22"/>
      <c r="V2019" s="22"/>
      <c r="W2019" s="22"/>
      <c r="X2019" s="22"/>
      <c r="Y2019" s="22"/>
      <c r="Z2019" s="22"/>
      <c r="AA2019" s="22"/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22"/>
    </row>
    <row r="2020" spans="5:54" x14ac:dyDescent="0.35"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22"/>
      <c r="V2020" s="22"/>
      <c r="W2020" s="22"/>
      <c r="X2020" s="22"/>
      <c r="Y2020" s="22"/>
      <c r="Z2020" s="22"/>
      <c r="AA2020" s="22"/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22"/>
    </row>
    <row r="2021" spans="5:54" x14ac:dyDescent="0.35"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22"/>
      <c r="V2021" s="22"/>
      <c r="W2021" s="22"/>
      <c r="X2021" s="22"/>
      <c r="Y2021" s="22"/>
      <c r="Z2021" s="22"/>
      <c r="AA2021" s="22"/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22"/>
    </row>
    <row r="2022" spans="5:54" x14ac:dyDescent="0.35"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22"/>
      <c r="V2022" s="22"/>
      <c r="W2022" s="22"/>
      <c r="X2022" s="22"/>
      <c r="Y2022" s="22"/>
      <c r="Z2022" s="22"/>
      <c r="AA2022" s="22"/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22"/>
    </row>
    <row r="2023" spans="5:54" x14ac:dyDescent="0.35"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22"/>
      <c r="V2023" s="22"/>
      <c r="W2023" s="22"/>
      <c r="X2023" s="22"/>
      <c r="Y2023" s="22"/>
      <c r="Z2023" s="22"/>
      <c r="AA2023" s="22"/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22"/>
    </row>
    <row r="2024" spans="5:54" x14ac:dyDescent="0.35"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22"/>
      <c r="V2024" s="22"/>
      <c r="W2024" s="22"/>
      <c r="X2024" s="22"/>
      <c r="Y2024" s="22"/>
      <c r="Z2024" s="22"/>
      <c r="AA2024" s="22"/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22"/>
    </row>
    <row r="2025" spans="5:54" x14ac:dyDescent="0.35"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22"/>
      <c r="V2025" s="22"/>
      <c r="W2025" s="22"/>
      <c r="X2025" s="22"/>
      <c r="Y2025" s="22"/>
      <c r="Z2025" s="22"/>
      <c r="AA2025" s="22"/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22"/>
    </row>
    <row r="2026" spans="5:54" x14ac:dyDescent="0.35"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22"/>
      <c r="V2026" s="22"/>
      <c r="W2026" s="22"/>
      <c r="X2026" s="22"/>
      <c r="Y2026" s="22"/>
      <c r="Z2026" s="22"/>
      <c r="AA2026" s="22"/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22"/>
    </row>
    <row r="2027" spans="5:54" x14ac:dyDescent="0.35"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22"/>
      <c r="V2027" s="22"/>
      <c r="W2027" s="22"/>
      <c r="X2027" s="22"/>
      <c r="Y2027" s="22"/>
      <c r="Z2027" s="22"/>
      <c r="AA2027" s="22"/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22"/>
    </row>
    <row r="2028" spans="5:54" x14ac:dyDescent="0.35"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22"/>
      <c r="V2028" s="22"/>
      <c r="W2028" s="22"/>
      <c r="X2028" s="22"/>
      <c r="Y2028" s="22"/>
      <c r="Z2028" s="22"/>
      <c r="AA2028" s="22"/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22"/>
    </row>
    <row r="2029" spans="5:54" x14ac:dyDescent="0.35"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22"/>
      <c r="V2029" s="22"/>
      <c r="W2029" s="22"/>
      <c r="X2029" s="22"/>
      <c r="Y2029" s="22"/>
      <c r="Z2029" s="22"/>
      <c r="AA2029" s="22"/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22"/>
    </row>
    <row r="2030" spans="5:54" x14ac:dyDescent="0.35"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22"/>
      <c r="V2030" s="22"/>
      <c r="W2030" s="22"/>
      <c r="X2030" s="22"/>
      <c r="Y2030" s="22"/>
      <c r="Z2030" s="22"/>
      <c r="AA2030" s="22"/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22"/>
    </row>
    <row r="2031" spans="5:54" x14ac:dyDescent="0.35"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22"/>
      <c r="V2031" s="22"/>
      <c r="W2031" s="22"/>
      <c r="X2031" s="22"/>
      <c r="Y2031" s="22"/>
      <c r="Z2031" s="22"/>
      <c r="AA2031" s="22"/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22"/>
    </row>
    <row r="2032" spans="5:54" x14ac:dyDescent="0.35"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22"/>
      <c r="V2032" s="22"/>
      <c r="W2032" s="22"/>
      <c r="X2032" s="22"/>
      <c r="Y2032" s="22"/>
      <c r="Z2032" s="22"/>
      <c r="AA2032" s="22"/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22"/>
    </row>
    <row r="2033" spans="5:54" x14ac:dyDescent="0.35"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22"/>
      <c r="V2033" s="22"/>
      <c r="W2033" s="22"/>
      <c r="X2033" s="22"/>
      <c r="Y2033" s="22"/>
      <c r="Z2033" s="22"/>
      <c r="AA2033" s="22"/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22"/>
    </row>
    <row r="2034" spans="5:54" x14ac:dyDescent="0.35"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22"/>
      <c r="V2034" s="22"/>
      <c r="W2034" s="22"/>
      <c r="X2034" s="22"/>
      <c r="Y2034" s="22"/>
      <c r="Z2034" s="22"/>
      <c r="AA2034" s="22"/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22"/>
    </row>
    <row r="2035" spans="5:54" x14ac:dyDescent="0.35"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22"/>
      <c r="V2035" s="22"/>
      <c r="W2035" s="22"/>
      <c r="X2035" s="22"/>
      <c r="Y2035" s="22"/>
      <c r="Z2035" s="22"/>
      <c r="AA2035" s="22"/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22"/>
    </row>
    <row r="2036" spans="5:54" x14ac:dyDescent="0.35"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22"/>
      <c r="V2036" s="22"/>
      <c r="W2036" s="22"/>
      <c r="X2036" s="22"/>
      <c r="Y2036" s="22"/>
      <c r="Z2036" s="22"/>
      <c r="AA2036" s="22"/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22"/>
    </row>
    <row r="2037" spans="5:54" x14ac:dyDescent="0.35"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22"/>
      <c r="V2037" s="22"/>
      <c r="W2037" s="22"/>
      <c r="X2037" s="22"/>
      <c r="Y2037" s="22"/>
      <c r="Z2037" s="22"/>
      <c r="AA2037" s="22"/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22"/>
    </row>
    <row r="2038" spans="5:54" x14ac:dyDescent="0.35"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22"/>
      <c r="V2038" s="22"/>
      <c r="W2038" s="22"/>
      <c r="X2038" s="22"/>
      <c r="Y2038" s="22"/>
      <c r="Z2038" s="22"/>
      <c r="AA2038" s="22"/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22"/>
    </row>
    <row r="2039" spans="5:54" x14ac:dyDescent="0.35"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22"/>
      <c r="V2039" s="22"/>
      <c r="W2039" s="22"/>
      <c r="X2039" s="22"/>
      <c r="Y2039" s="22"/>
      <c r="Z2039" s="22"/>
      <c r="AA2039" s="22"/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22"/>
    </row>
    <row r="2040" spans="5:54" x14ac:dyDescent="0.35"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22"/>
      <c r="V2040" s="22"/>
      <c r="W2040" s="22"/>
      <c r="X2040" s="22"/>
      <c r="Y2040" s="22"/>
      <c r="Z2040" s="22"/>
      <c r="AA2040" s="22"/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22"/>
    </row>
    <row r="2041" spans="5:54" x14ac:dyDescent="0.35"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22"/>
      <c r="V2041" s="22"/>
      <c r="W2041" s="22"/>
      <c r="X2041" s="22"/>
      <c r="Y2041" s="22"/>
      <c r="Z2041" s="22"/>
      <c r="AA2041" s="22"/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22"/>
    </row>
    <row r="2042" spans="5:54" x14ac:dyDescent="0.35"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22"/>
      <c r="V2042" s="22"/>
      <c r="W2042" s="22"/>
      <c r="X2042" s="22"/>
      <c r="Y2042" s="22"/>
      <c r="Z2042" s="22"/>
      <c r="AA2042" s="22"/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22"/>
    </row>
    <row r="2043" spans="5:54" x14ac:dyDescent="0.35"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22"/>
      <c r="V2043" s="22"/>
      <c r="W2043" s="22"/>
      <c r="X2043" s="22"/>
      <c r="Y2043" s="22"/>
      <c r="Z2043" s="22"/>
      <c r="AA2043" s="22"/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22"/>
    </row>
    <row r="2044" spans="5:54" x14ac:dyDescent="0.35"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22"/>
      <c r="V2044" s="22"/>
      <c r="W2044" s="22"/>
      <c r="X2044" s="22"/>
      <c r="Y2044" s="22"/>
      <c r="Z2044" s="22"/>
      <c r="AA2044" s="22"/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22"/>
    </row>
    <row r="2045" spans="5:54" x14ac:dyDescent="0.35"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22"/>
      <c r="V2045" s="22"/>
      <c r="W2045" s="22"/>
      <c r="X2045" s="22"/>
      <c r="Y2045" s="22"/>
      <c r="Z2045" s="22"/>
      <c r="AA2045" s="22"/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22"/>
    </row>
    <row r="2046" spans="5:54" x14ac:dyDescent="0.35"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22"/>
      <c r="V2046" s="22"/>
      <c r="W2046" s="22"/>
      <c r="X2046" s="22"/>
      <c r="Y2046" s="22"/>
      <c r="Z2046" s="22"/>
      <c r="AA2046" s="22"/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22"/>
    </row>
    <row r="2047" spans="5:54" x14ac:dyDescent="0.35"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22"/>
      <c r="V2047" s="22"/>
      <c r="W2047" s="22"/>
      <c r="X2047" s="22"/>
      <c r="Y2047" s="22"/>
      <c r="Z2047" s="22"/>
      <c r="AA2047" s="22"/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22"/>
    </row>
    <row r="2048" spans="5:54" x14ac:dyDescent="0.35"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22"/>
      <c r="V2048" s="22"/>
      <c r="W2048" s="22"/>
      <c r="X2048" s="22"/>
      <c r="Y2048" s="22"/>
      <c r="Z2048" s="22"/>
      <c r="AA2048" s="22"/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22"/>
    </row>
    <row r="2049" spans="5:54" x14ac:dyDescent="0.35"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22"/>
      <c r="V2049" s="22"/>
      <c r="W2049" s="22"/>
      <c r="X2049" s="22"/>
      <c r="Y2049" s="22"/>
      <c r="Z2049" s="22"/>
      <c r="AA2049" s="22"/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22"/>
    </row>
    <row r="2050" spans="5:54" x14ac:dyDescent="0.35"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22"/>
      <c r="V2050" s="22"/>
      <c r="W2050" s="22"/>
      <c r="X2050" s="22"/>
      <c r="Y2050" s="22"/>
      <c r="Z2050" s="22"/>
      <c r="AA2050" s="22"/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22"/>
    </row>
    <row r="2051" spans="5:54" x14ac:dyDescent="0.35"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22"/>
      <c r="V2051" s="22"/>
      <c r="W2051" s="22"/>
      <c r="X2051" s="22"/>
      <c r="Y2051" s="22"/>
      <c r="Z2051" s="22"/>
      <c r="AA2051" s="22"/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22"/>
    </row>
    <row r="2052" spans="5:54" x14ac:dyDescent="0.35"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22"/>
      <c r="V2052" s="22"/>
      <c r="W2052" s="22"/>
      <c r="X2052" s="22"/>
      <c r="Y2052" s="22"/>
      <c r="Z2052" s="22"/>
      <c r="AA2052" s="22"/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22"/>
    </row>
    <row r="2053" spans="5:54" x14ac:dyDescent="0.35"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22"/>
      <c r="V2053" s="22"/>
      <c r="W2053" s="22"/>
      <c r="X2053" s="22"/>
      <c r="Y2053" s="22"/>
      <c r="Z2053" s="22"/>
      <c r="AA2053" s="22"/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22"/>
    </row>
    <row r="2054" spans="5:54" x14ac:dyDescent="0.35"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22"/>
      <c r="V2054" s="22"/>
      <c r="W2054" s="22"/>
      <c r="X2054" s="22"/>
      <c r="Y2054" s="22"/>
      <c r="Z2054" s="22"/>
      <c r="AA2054" s="22"/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22"/>
    </row>
    <row r="2055" spans="5:54" x14ac:dyDescent="0.35"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22"/>
      <c r="V2055" s="22"/>
      <c r="W2055" s="22"/>
      <c r="X2055" s="22"/>
      <c r="Y2055" s="22"/>
      <c r="Z2055" s="22"/>
      <c r="AA2055" s="22"/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22"/>
    </row>
    <row r="2056" spans="5:54" x14ac:dyDescent="0.35"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22"/>
      <c r="V2056" s="22"/>
      <c r="W2056" s="22"/>
      <c r="X2056" s="22"/>
      <c r="Y2056" s="22"/>
      <c r="Z2056" s="22"/>
      <c r="AA2056" s="22"/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22"/>
    </row>
    <row r="2057" spans="5:54" x14ac:dyDescent="0.35"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22"/>
      <c r="V2057" s="22"/>
      <c r="W2057" s="22"/>
      <c r="X2057" s="22"/>
      <c r="Y2057" s="22"/>
      <c r="Z2057" s="22"/>
      <c r="AA2057" s="22"/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22"/>
    </row>
    <row r="2058" spans="5:54" x14ac:dyDescent="0.35"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22"/>
      <c r="V2058" s="22"/>
      <c r="W2058" s="22"/>
      <c r="X2058" s="22"/>
      <c r="Y2058" s="22"/>
      <c r="Z2058" s="22"/>
      <c r="AA2058" s="22"/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22"/>
    </row>
    <row r="2059" spans="5:54" x14ac:dyDescent="0.35"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22"/>
      <c r="V2059" s="22"/>
      <c r="W2059" s="22"/>
      <c r="X2059" s="22"/>
      <c r="Y2059" s="22"/>
      <c r="Z2059" s="22"/>
      <c r="AA2059" s="22"/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22"/>
    </row>
    <row r="2060" spans="5:54" x14ac:dyDescent="0.35"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22"/>
      <c r="V2060" s="22"/>
      <c r="W2060" s="22"/>
      <c r="X2060" s="22"/>
      <c r="Y2060" s="22"/>
      <c r="Z2060" s="22"/>
      <c r="AA2060" s="22"/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22"/>
    </row>
    <row r="2061" spans="5:54" x14ac:dyDescent="0.35"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22"/>
      <c r="V2061" s="22"/>
      <c r="W2061" s="22"/>
      <c r="X2061" s="22"/>
      <c r="Y2061" s="22"/>
      <c r="Z2061" s="22"/>
      <c r="AA2061" s="22"/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22"/>
    </row>
    <row r="2062" spans="5:54" x14ac:dyDescent="0.35"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22"/>
      <c r="V2062" s="22"/>
      <c r="W2062" s="22"/>
      <c r="X2062" s="22"/>
      <c r="Y2062" s="22"/>
      <c r="Z2062" s="22"/>
      <c r="AA2062" s="22"/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22"/>
    </row>
    <row r="2063" spans="5:54" x14ac:dyDescent="0.35"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22"/>
      <c r="V2063" s="22"/>
      <c r="W2063" s="22"/>
      <c r="X2063" s="22"/>
      <c r="Y2063" s="22"/>
      <c r="Z2063" s="22"/>
      <c r="AA2063" s="22"/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22"/>
    </row>
    <row r="2064" spans="5:54" x14ac:dyDescent="0.35"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22"/>
      <c r="V2064" s="22"/>
      <c r="W2064" s="22"/>
      <c r="X2064" s="22"/>
      <c r="Y2064" s="22"/>
      <c r="Z2064" s="22"/>
      <c r="AA2064" s="22"/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22"/>
    </row>
    <row r="2065" spans="5:54" x14ac:dyDescent="0.35"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22"/>
      <c r="V2065" s="22"/>
      <c r="W2065" s="22"/>
      <c r="X2065" s="22"/>
      <c r="Y2065" s="22"/>
      <c r="Z2065" s="22"/>
      <c r="AA2065" s="22"/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22"/>
    </row>
    <row r="2066" spans="5:54" x14ac:dyDescent="0.35"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22"/>
      <c r="V2066" s="22"/>
      <c r="W2066" s="22"/>
      <c r="X2066" s="22"/>
      <c r="Y2066" s="22"/>
      <c r="Z2066" s="22"/>
      <c r="AA2066" s="22"/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22"/>
    </row>
    <row r="2067" spans="5:54" x14ac:dyDescent="0.35"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22"/>
      <c r="V2067" s="22"/>
      <c r="W2067" s="22"/>
      <c r="X2067" s="22"/>
      <c r="Y2067" s="22"/>
      <c r="Z2067" s="22"/>
      <c r="AA2067" s="22"/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22"/>
    </row>
    <row r="2068" spans="5:54" x14ac:dyDescent="0.35"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22"/>
      <c r="V2068" s="22"/>
      <c r="W2068" s="22"/>
      <c r="X2068" s="22"/>
      <c r="Y2068" s="22"/>
      <c r="Z2068" s="22"/>
      <c r="AA2068" s="22"/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22"/>
    </row>
    <row r="2069" spans="5:54" x14ac:dyDescent="0.35"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22"/>
      <c r="V2069" s="22"/>
      <c r="W2069" s="22"/>
      <c r="X2069" s="22"/>
      <c r="Y2069" s="22"/>
      <c r="Z2069" s="22"/>
      <c r="AA2069" s="22"/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22"/>
    </row>
    <row r="2070" spans="5:54" x14ac:dyDescent="0.35"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22"/>
      <c r="V2070" s="22"/>
      <c r="W2070" s="22"/>
      <c r="X2070" s="22"/>
      <c r="Y2070" s="22"/>
      <c r="Z2070" s="22"/>
      <c r="AA2070" s="22"/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22"/>
    </row>
    <row r="2071" spans="5:54" x14ac:dyDescent="0.35"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22"/>
      <c r="V2071" s="22"/>
      <c r="W2071" s="22"/>
      <c r="X2071" s="22"/>
      <c r="Y2071" s="22"/>
      <c r="Z2071" s="22"/>
      <c r="AA2071" s="22"/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22"/>
    </row>
    <row r="2072" spans="5:54" x14ac:dyDescent="0.35"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22"/>
      <c r="V2072" s="22"/>
      <c r="W2072" s="22"/>
      <c r="X2072" s="22"/>
      <c r="Y2072" s="22"/>
      <c r="Z2072" s="22"/>
      <c r="AA2072" s="22"/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22"/>
    </row>
    <row r="2073" spans="5:54" x14ac:dyDescent="0.35"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22"/>
      <c r="V2073" s="22"/>
      <c r="W2073" s="22"/>
      <c r="X2073" s="22"/>
      <c r="Y2073" s="22"/>
      <c r="Z2073" s="22"/>
      <c r="AA2073" s="22"/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22"/>
    </row>
    <row r="2074" spans="5:54" x14ac:dyDescent="0.35"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22"/>
      <c r="V2074" s="22"/>
      <c r="W2074" s="22"/>
      <c r="X2074" s="22"/>
      <c r="Y2074" s="22"/>
      <c r="Z2074" s="22"/>
      <c r="AA2074" s="22"/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22"/>
    </row>
    <row r="2075" spans="5:54" x14ac:dyDescent="0.35"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22"/>
      <c r="V2075" s="22"/>
      <c r="W2075" s="22"/>
      <c r="X2075" s="22"/>
      <c r="Y2075" s="22"/>
      <c r="Z2075" s="22"/>
      <c r="AA2075" s="22"/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22"/>
    </row>
    <row r="2076" spans="5:54" x14ac:dyDescent="0.35"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22"/>
      <c r="V2076" s="22"/>
      <c r="W2076" s="22"/>
      <c r="X2076" s="22"/>
      <c r="Y2076" s="22"/>
      <c r="Z2076" s="22"/>
      <c r="AA2076" s="22"/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22"/>
    </row>
    <row r="2077" spans="5:54" x14ac:dyDescent="0.35"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22"/>
      <c r="V2077" s="22"/>
      <c r="W2077" s="22"/>
      <c r="X2077" s="22"/>
      <c r="Y2077" s="22"/>
      <c r="Z2077" s="22"/>
      <c r="AA2077" s="22"/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22"/>
    </row>
    <row r="2078" spans="5:54" x14ac:dyDescent="0.35"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22"/>
      <c r="V2078" s="22"/>
      <c r="W2078" s="22"/>
      <c r="X2078" s="22"/>
      <c r="Y2078" s="22"/>
      <c r="Z2078" s="22"/>
      <c r="AA2078" s="22"/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22"/>
    </row>
    <row r="2079" spans="5:54" x14ac:dyDescent="0.35"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22"/>
      <c r="V2079" s="22"/>
      <c r="W2079" s="22"/>
      <c r="X2079" s="22"/>
      <c r="Y2079" s="22"/>
      <c r="Z2079" s="22"/>
      <c r="AA2079" s="22"/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22"/>
    </row>
    <row r="2080" spans="5:54" x14ac:dyDescent="0.35"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22"/>
      <c r="V2080" s="22"/>
      <c r="W2080" s="22"/>
      <c r="X2080" s="22"/>
      <c r="Y2080" s="22"/>
      <c r="Z2080" s="22"/>
      <c r="AA2080" s="22"/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22"/>
    </row>
    <row r="2081" spans="5:54" x14ac:dyDescent="0.35"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22"/>
      <c r="V2081" s="22"/>
      <c r="W2081" s="22"/>
      <c r="X2081" s="22"/>
      <c r="Y2081" s="22"/>
      <c r="Z2081" s="22"/>
      <c r="AA2081" s="22"/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22"/>
    </row>
    <row r="2082" spans="5:54" x14ac:dyDescent="0.35"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22"/>
      <c r="V2082" s="22"/>
      <c r="W2082" s="22"/>
      <c r="X2082" s="22"/>
      <c r="Y2082" s="22"/>
      <c r="Z2082" s="22"/>
      <c r="AA2082" s="22"/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22"/>
    </row>
    <row r="2083" spans="5:54" x14ac:dyDescent="0.35"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22"/>
      <c r="V2083" s="22"/>
      <c r="W2083" s="22"/>
      <c r="X2083" s="22"/>
      <c r="Y2083" s="22"/>
      <c r="Z2083" s="22"/>
      <c r="AA2083" s="22"/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22"/>
    </row>
    <row r="2084" spans="5:54" x14ac:dyDescent="0.35"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22"/>
      <c r="V2084" s="22"/>
      <c r="W2084" s="22"/>
      <c r="X2084" s="22"/>
      <c r="Y2084" s="22"/>
      <c r="Z2084" s="22"/>
      <c r="AA2084" s="22"/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22"/>
    </row>
    <row r="2085" spans="5:54" x14ac:dyDescent="0.35"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22"/>
      <c r="V2085" s="22"/>
      <c r="W2085" s="22"/>
      <c r="X2085" s="22"/>
      <c r="Y2085" s="22"/>
      <c r="Z2085" s="22"/>
      <c r="AA2085" s="22"/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22"/>
    </row>
    <row r="2086" spans="5:54" x14ac:dyDescent="0.35"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22"/>
      <c r="V2086" s="22"/>
      <c r="W2086" s="22"/>
      <c r="X2086" s="22"/>
      <c r="Y2086" s="22"/>
      <c r="Z2086" s="22"/>
      <c r="AA2086" s="22"/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22"/>
    </row>
    <row r="2087" spans="5:54" x14ac:dyDescent="0.35"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22"/>
      <c r="V2087" s="22"/>
      <c r="W2087" s="22"/>
      <c r="X2087" s="22"/>
      <c r="Y2087" s="22"/>
      <c r="Z2087" s="22"/>
      <c r="AA2087" s="22"/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22"/>
    </row>
    <row r="2088" spans="5:54" x14ac:dyDescent="0.35"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22"/>
      <c r="V2088" s="22"/>
      <c r="W2088" s="22"/>
      <c r="X2088" s="22"/>
      <c r="Y2088" s="22"/>
      <c r="Z2088" s="22"/>
      <c r="AA2088" s="22"/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22"/>
    </row>
    <row r="2089" spans="5:54" x14ac:dyDescent="0.35"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22"/>
      <c r="V2089" s="22"/>
      <c r="W2089" s="22"/>
      <c r="X2089" s="22"/>
      <c r="Y2089" s="22"/>
      <c r="Z2089" s="22"/>
      <c r="AA2089" s="22"/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22"/>
    </row>
    <row r="2090" spans="5:54" x14ac:dyDescent="0.35"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22"/>
      <c r="V2090" s="22"/>
      <c r="W2090" s="22"/>
      <c r="X2090" s="22"/>
      <c r="Y2090" s="22"/>
      <c r="Z2090" s="22"/>
      <c r="AA2090" s="22"/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22"/>
    </row>
    <row r="2091" spans="5:54" x14ac:dyDescent="0.35"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22"/>
      <c r="V2091" s="22"/>
      <c r="W2091" s="22"/>
      <c r="X2091" s="22"/>
      <c r="Y2091" s="22"/>
      <c r="Z2091" s="22"/>
      <c r="AA2091" s="22"/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22"/>
    </row>
    <row r="2092" spans="5:54" x14ac:dyDescent="0.35"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22"/>
      <c r="V2092" s="22"/>
      <c r="W2092" s="22"/>
      <c r="X2092" s="22"/>
      <c r="Y2092" s="22"/>
      <c r="Z2092" s="22"/>
      <c r="AA2092" s="22"/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22"/>
    </row>
    <row r="2093" spans="5:54" x14ac:dyDescent="0.35"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22"/>
      <c r="V2093" s="22"/>
      <c r="W2093" s="22"/>
      <c r="X2093" s="22"/>
      <c r="Y2093" s="22"/>
      <c r="Z2093" s="22"/>
      <c r="AA2093" s="22"/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22"/>
    </row>
    <row r="2094" spans="5:54" x14ac:dyDescent="0.35"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22"/>
      <c r="V2094" s="22"/>
      <c r="W2094" s="22"/>
      <c r="X2094" s="22"/>
      <c r="Y2094" s="22"/>
      <c r="Z2094" s="22"/>
      <c r="AA2094" s="22"/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22"/>
    </row>
    <row r="2095" spans="5:54" x14ac:dyDescent="0.35"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22"/>
      <c r="V2095" s="22"/>
      <c r="W2095" s="22"/>
      <c r="X2095" s="22"/>
      <c r="Y2095" s="22"/>
      <c r="Z2095" s="22"/>
      <c r="AA2095" s="22"/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22"/>
    </row>
    <row r="2096" spans="5:54" x14ac:dyDescent="0.35"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22"/>
      <c r="V2096" s="22"/>
      <c r="W2096" s="22"/>
      <c r="X2096" s="22"/>
      <c r="Y2096" s="22"/>
      <c r="Z2096" s="22"/>
      <c r="AA2096" s="22"/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22"/>
    </row>
    <row r="2097" spans="5:54" x14ac:dyDescent="0.35"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22"/>
      <c r="V2097" s="22"/>
      <c r="W2097" s="22"/>
      <c r="X2097" s="22"/>
      <c r="Y2097" s="22"/>
      <c r="Z2097" s="22"/>
      <c r="AA2097" s="22"/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22"/>
    </row>
    <row r="2098" spans="5:54" x14ac:dyDescent="0.35"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22"/>
      <c r="V2098" s="22"/>
      <c r="W2098" s="22"/>
      <c r="X2098" s="22"/>
      <c r="Y2098" s="22"/>
      <c r="Z2098" s="22"/>
      <c r="AA2098" s="22"/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22"/>
    </row>
    <row r="2099" spans="5:54" x14ac:dyDescent="0.35"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22"/>
      <c r="V2099" s="22"/>
      <c r="W2099" s="22"/>
      <c r="X2099" s="22"/>
      <c r="Y2099" s="22"/>
      <c r="Z2099" s="22"/>
      <c r="AA2099" s="22"/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22"/>
    </row>
    <row r="2100" spans="5:54" x14ac:dyDescent="0.35"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22"/>
      <c r="V2100" s="22"/>
      <c r="W2100" s="22"/>
      <c r="X2100" s="22"/>
      <c r="Y2100" s="22"/>
      <c r="Z2100" s="22"/>
      <c r="AA2100" s="22"/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22"/>
    </row>
    <row r="2101" spans="5:54" x14ac:dyDescent="0.35"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22"/>
      <c r="V2101" s="22"/>
      <c r="W2101" s="22"/>
      <c r="X2101" s="22"/>
      <c r="Y2101" s="22"/>
      <c r="Z2101" s="22"/>
      <c r="AA2101" s="22"/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22"/>
    </row>
    <row r="2102" spans="5:54" x14ac:dyDescent="0.35"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22"/>
      <c r="V2102" s="22"/>
      <c r="W2102" s="22"/>
      <c r="X2102" s="22"/>
      <c r="Y2102" s="22"/>
      <c r="Z2102" s="22"/>
      <c r="AA2102" s="22"/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22"/>
    </row>
    <row r="2103" spans="5:54" x14ac:dyDescent="0.35"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22"/>
      <c r="V2103" s="22"/>
      <c r="W2103" s="22"/>
      <c r="X2103" s="22"/>
      <c r="Y2103" s="22"/>
      <c r="Z2103" s="22"/>
      <c r="AA2103" s="22"/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22"/>
    </row>
    <row r="2104" spans="5:54" x14ac:dyDescent="0.35"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22"/>
      <c r="V2104" s="22"/>
      <c r="W2104" s="22"/>
      <c r="X2104" s="22"/>
      <c r="Y2104" s="22"/>
      <c r="Z2104" s="22"/>
      <c r="AA2104" s="22"/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22"/>
    </row>
    <row r="2105" spans="5:54" x14ac:dyDescent="0.35"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22"/>
      <c r="V2105" s="22"/>
      <c r="W2105" s="22"/>
      <c r="X2105" s="22"/>
      <c r="Y2105" s="22"/>
      <c r="Z2105" s="22"/>
      <c r="AA2105" s="22"/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22"/>
    </row>
    <row r="2106" spans="5:54" x14ac:dyDescent="0.35"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22"/>
      <c r="V2106" s="22"/>
      <c r="W2106" s="22"/>
      <c r="X2106" s="22"/>
      <c r="Y2106" s="22"/>
      <c r="Z2106" s="22"/>
      <c r="AA2106" s="22"/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22"/>
    </row>
    <row r="2107" spans="5:54" x14ac:dyDescent="0.35"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22"/>
      <c r="V2107" s="22"/>
      <c r="W2107" s="22"/>
      <c r="X2107" s="22"/>
      <c r="Y2107" s="22"/>
      <c r="Z2107" s="22"/>
      <c r="AA2107" s="22"/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22"/>
    </row>
    <row r="2108" spans="5:54" x14ac:dyDescent="0.35"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22"/>
      <c r="V2108" s="22"/>
      <c r="W2108" s="22"/>
      <c r="X2108" s="22"/>
      <c r="Y2108" s="22"/>
      <c r="Z2108" s="22"/>
      <c r="AA2108" s="22"/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22"/>
    </row>
    <row r="2109" spans="5:54" x14ac:dyDescent="0.35"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22"/>
      <c r="V2109" s="22"/>
      <c r="W2109" s="22"/>
      <c r="X2109" s="22"/>
      <c r="Y2109" s="22"/>
      <c r="Z2109" s="22"/>
      <c r="AA2109" s="22"/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22"/>
    </row>
    <row r="2110" spans="5:54" x14ac:dyDescent="0.35"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22"/>
      <c r="V2110" s="22"/>
      <c r="W2110" s="22"/>
      <c r="X2110" s="22"/>
      <c r="Y2110" s="22"/>
      <c r="Z2110" s="22"/>
      <c r="AA2110" s="22"/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22"/>
    </row>
    <row r="2111" spans="5:54" x14ac:dyDescent="0.35"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22"/>
      <c r="V2111" s="22"/>
      <c r="W2111" s="22"/>
      <c r="X2111" s="22"/>
      <c r="Y2111" s="22"/>
      <c r="Z2111" s="22"/>
      <c r="AA2111" s="22"/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22"/>
    </row>
    <row r="2112" spans="5:54" x14ac:dyDescent="0.35"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22"/>
      <c r="V2112" s="22"/>
      <c r="W2112" s="22"/>
      <c r="X2112" s="22"/>
      <c r="Y2112" s="22"/>
      <c r="Z2112" s="22"/>
      <c r="AA2112" s="22"/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22"/>
    </row>
    <row r="2113" spans="5:54" x14ac:dyDescent="0.35"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22"/>
      <c r="V2113" s="22"/>
      <c r="W2113" s="22"/>
      <c r="X2113" s="22"/>
      <c r="Y2113" s="22"/>
      <c r="Z2113" s="22"/>
      <c r="AA2113" s="22"/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22"/>
    </row>
    <row r="2114" spans="5:54" x14ac:dyDescent="0.35"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22"/>
      <c r="V2114" s="22"/>
      <c r="W2114" s="22"/>
      <c r="X2114" s="22"/>
      <c r="Y2114" s="22"/>
      <c r="Z2114" s="22"/>
      <c r="AA2114" s="22"/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22"/>
    </row>
    <row r="2115" spans="5:54" x14ac:dyDescent="0.35"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22"/>
      <c r="V2115" s="22"/>
      <c r="W2115" s="22"/>
      <c r="X2115" s="22"/>
      <c r="Y2115" s="22"/>
      <c r="Z2115" s="22"/>
      <c r="AA2115" s="22"/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22"/>
    </row>
    <row r="2116" spans="5:54" x14ac:dyDescent="0.35"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22"/>
      <c r="V2116" s="22"/>
      <c r="W2116" s="22"/>
      <c r="X2116" s="22"/>
      <c r="Y2116" s="22"/>
      <c r="Z2116" s="22"/>
      <c r="AA2116" s="22"/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22"/>
    </row>
    <row r="2117" spans="5:54" x14ac:dyDescent="0.35"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22"/>
      <c r="V2117" s="22"/>
      <c r="W2117" s="22"/>
      <c r="X2117" s="22"/>
      <c r="Y2117" s="22"/>
      <c r="Z2117" s="22"/>
      <c r="AA2117" s="22"/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22"/>
    </row>
    <row r="2118" spans="5:54" x14ac:dyDescent="0.35"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22"/>
      <c r="V2118" s="22"/>
      <c r="W2118" s="22"/>
      <c r="X2118" s="22"/>
      <c r="Y2118" s="22"/>
      <c r="Z2118" s="22"/>
      <c r="AA2118" s="22"/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22"/>
    </row>
    <row r="2119" spans="5:54" x14ac:dyDescent="0.35"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22"/>
      <c r="V2119" s="22"/>
      <c r="W2119" s="22"/>
      <c r="X2119" s="22"/>
      <c r="Y2119" s="22"/>
      <c r="Z2119" s="22"/>
      <c r="AA2119" s="22"/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22"/>
    </row>
    <row r="2120" spans="5:54" x14ac:dyDescent="0.35"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22"/>
      <c r="V2120" s="22"/>
      <c r="W2120" s="22"/>
      <c r="X2120" s="22"/>
      <c r="Y2120" s="22"/>
      <c r="Z2120" s="22"/>
      <c r="AA2120" s="22"/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22"/>
    </row>
    <row r="2121" spans="5:54" x14ac:dyDescent="0.35"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22"/>
      <c r="V2121" s="22"/>
      <c r="W2121" s="22"/>
      <c r="X2121" s="22"/>
      <c r="Y2121" s="22"/>
      <c r="Z2121" s="22"/>
      <c r="AA2121" s="22"/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22"/>
    </row>
    <row r="2122" spans="5:54" x14ac:dyDescent="0.35"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22"/>
      <c r="V2122" s="22"/>
      <c r="W2122" s="22"/>
      <c r="X2122" s="22"/>
      <c r="Y2122" s="22"/>
      <c r="Z2122" s="22"/>
      <c r="AA2122" s="22"/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22"/>
    </row>
    <row r="2123" spans="5:54" x14ac:dyDescent="0.35"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22"/>
      <c r="V2123" s="22"/>
      <c r="W2123" s="22"/>
      <c r="X2123" s="22"/>
      <c r="Y2123" s="22"/>
      <c r="Z2123" s="22"/>
      <c r="AA2123" s="22"/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22"/>
    </row>
    <row r="2124" spans="5:54" x14ac:dyDescent="0.35"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22"/>
      <c r="V2124" s="22"/>
      <c r="W2124" s="22"/>
      <c r="X2124" s="22"/>
      <c r="Y2124" s="22"/>
      <c r="Z2124" s="22"/>
      <c r="AA2124" s="22"/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22"/>
    </row>
    <row r="2125" spans="5:54" x14ac:dyDescent="0.35"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22"/>
      <c r="V2125" s="22"/>
      <c r="W2125" s="22"/>
      <c r="X2125" s="22"/>
      <c r="Y2125" s="22"/>
      <c r="Z2125" s="22"/>
      <c r="AA2125" s="22"/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22"/>
    </row>
    <row r="2126" spans="5:54" x14ac:dyDescent="0.35"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22"/>
      <c r="V2126" s="22"/>
      <c r="W2126" s="22"/>
      <c r="X2126" s="22"/>
      <c r="Y2126" s="22"/>
      <c r="Z2126" s="22"/>
      <c r="AA2126" s="22"/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22"/>
    </row>
    <row r="2127" spans="5:54" x14ac:dyDescent="0.35"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22"/>
      <c r="V2127" s="22"/>
      <c r="W2127" s="22"/>
      <c r="X2127" s="22"/>
      <c r="Y2127" s="22"/>
      <c r="Z2127" s="22"/>
      <c r="AA2127" s="22"/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22"/>
    </row>
    <row r="2128" spans="5:54" x14ac:dyDescent="0.35"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22"/>
      <c r="V2128" s="22"/>
      <c r="W2128" s="22"/>
      <c r="X2128" s="22"/>
      <c r="Y2128" s="22"/>
      <c r="Z2128" s="22"/>
      <c r="AA2128" s="22"/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22"/>
    </row>
    <row r="2129" spans="5:54" x14ac:dyDescent="0.35"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22"/>
      <c r="V2129" s="22"/>
      <c r="W2129" s="22"/>
      <c r="X2129" s="22"/>
      <c r="Y2129" s="22"/>
      <c r="Z2129" s="22"/>
      <c r="AA2129" s="22"/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22"/>
    </row>
    <row r="2130" spans="5:54" x14ac:dyDescent="0.35"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22"/>
      <c r="V2130" s="22"/>
      <c r="W2130" s="22"/>
      <c r="X2130" s="22"/>
      <c r="Y2130" s="22"/>
      <c r="Z2130" s="22"/>
      <c r="AA2130" s="22"/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22"/>
    </row>
    <row r="2131" spans="5:54" x14ac:dyDescent="0.35"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22"/>
      <c r="V2131" s="22"/>
      <c r="W2131" s="22"/>
      <c r="X2131" s="22"/>
      <c r="Y2131" s="22"/>
      <c r="Z2131" s="22"/>
      <c r="AA2131" s="22"/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22"/>
    </row>
    <row r="2132" spans="5:54" x14ac:dyDescent="0.35"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22"/>
      <c r="V2132" s="22"/>
      <c r="W2132" s="22"/>
      <c r="X2132" s="22"/>
      <c r="Y2132" s="22"/>
      <c r="Z2132" s="22"/>
      <c r="AA2132" s="22"/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22"/>
    </row>
    <row r="2133" spans="5:54" x14ac:dyDescent="0.35"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22"/>
      <c r="V2133" s="22"/>
      <c r="W2133" s="22"/>
      <c r="X2133" s="22"/>
      <c r="Y2133" s="22"/>
      <c r="Z2133" s="22"/>
      <c r="AA2133" s="22"/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22"/>
    </row>
    <row r="2134" spans="5:54" x14ac:dyDescent="0.35"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22"/>
      <c r="V2134" s="22"/>
      <c r="W2134" s="22"/>
      <c r="X2134" s="22"/>
      <c r="Y2134" s="22"/>
      <c r="Z2134" s="22"/>
      <c r="AA2134" s="22"/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22"/>
    </row>
    <row r="2135" spans="5:54" x14ac:dyDescent="0.35"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22"/>
      <c r="V2135" s="22"/>
      <c r="W2135" s="22"/>
      <c r="X2135" s="22"/>
      <c r="Y2135" s="22"/>
      <c r="Z2135" s="22"/>
      <c r="AA2135" s="22"/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22"/>
    </row>
    <row r="2136" spans="5:54" x14ac:dyDescent="0.35"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22"/>
      <c r="V2136" s="22"/>
      <c r="W2136" s="22"/>
      <c r="X2136" s="22"/>
      <c r="Y2136" s="22"/>
      <c r="Z2136" s="22"/>
      <c r="AA2136" s="22"/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22"/>
    </row>
    <row r="2137" spans="5:54" x14ac:dyDescent="0.35"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22"/>
      <c r="V2137" s="22"/>
      <c r="W2137" s="22"/>
      <c r="X2137" s="22"/>
      <c r="Y2137" s="22"/>
      <c r="Z2137" s="22"/>
      <c r="AA2137" s="22"/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22"/>
    </row>
    <row r="2138" spans="5:54" x14ac:dyDescent="0.35"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22"/>
      <c r="V2138" s="22"/>
      <c r="W2138" s="22"/>
      <c r="X2138" s="22"/>
      <c r="Y2138" s="22"/>
      <c r="Z2138" s="22"/>
      <c r="AA2138" s="22"/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22"/>
    </row>
    <row r="2139" spans="5:54" x14ac:dyDescent="0.35"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22"/>
      <c r="V2139" s="22"/>
      <c r="W2139" s="22"/>
      <c r="X2139" s="22"/>
      <c r="Y2139" s="22"/>
      <c r="Z2139" s="22"/>
      <c r="AA2139" s="22"/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22"/>
    </row>
    <row r="2140" spans="5:54" x14ac:dyDescent="0.35"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22"/>
      <c r="V2140" s="22"/>
      <c r="W2140" s="22"/>
      <c r="X2140" s="22"/>
      <c r="Y2140" s="22"/>
      <c r="Z2140" s="22"/>
      <c r="AA2140" s="22"/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22"/>
    </row>
    <row r="2141" spans="5:54" x14ac:dyDescent="0.35"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22"/>
      <c r="V2141" s="22"/>
      <c r="W2141" s="22"/>
      <c r="X2141" s="22"/>
      <c r="Y2141" s="22"/>
      <c r="Z2141" s="22"/>
      <c r="AA2141" s="22"/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22"/>
    </row>
    <row r="2142" spans="5:54" x14ac:dyDescent="0.35"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22"/>
      <c r="V2142" s="22"/>
      <c r="W2142" s="22"/>
      <c r="X2142" s="22"/>
      <c r="Y2142" s="22"/>
      <c r="Z2142" s="22"/>
      <c r="AA2142" s="22"/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22"/>
    </row>
    <row r="2143" spans="5:54" x14ac:dyDescent="0.35"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22"/>
      <c r="V2143" s="22"/>
      <c r="W2143" s="22"/>
      <c r="X2143" s="22"/>
      <c r="Y2143" s="22"/>
      <c r="Z2143" s="22"/>
      <c r="AA2143" s="22"/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22"/>
    </row>
    <row r="2144" spans="5:54" x14ac:dyDescent="0.35"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22"/>
      <c r="V2144" s="22"/>
      <c r="W2144" s="22"/>
      <c r="X2144" s="22"/>
      <c r="Y2144" s="22"/>
      <c r="Z2144" s="22"/>
      <c r="AA2144" s="22"/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22"/>
    </row>
    <row r="2145" spans="5:54" x14ac:dyDescent="0.35"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22"/>
      <c r="V2145" s="22"/>
      <c r="W2145" s="22"/>
      <c r="X2145" s="22"/>
      <c r="Y2145" s="22"/>
      <c r="Z2145" s="22"/>
      <c r="AA2145" s="22"/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22"/>
    </row>
    <row r="2146" spans="5:54" x14ac:dyDescent="0.35"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22"/>
      <c r="V2146" s="22"/>
      <c r="W2146" s="22"/>
      <c r="X2146" s="22"/>
      <c r="Y2146" s="22"/>
      <c r="Z2146" s="22"/>
      <c r="AA2146" s="22"/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22"/>
    </row>
    <row r="2147" spans="5:54" x14ac:dyDescent="0.35"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22"/>
      <c r="V2147" s="22"/>
      <c r="W2147" s="22"/>
      <c r="X2147" s="22"/>
      <c r="Y2147" s="22"/>
      <c r="Z2147" s="22"/>
      <c r="AA2147" s="22"/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22"/>
    </row>
    <row r="2148" spans="5:54" x14ac:dyDescent="0.35"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22"/>
      <c r="V2148" s="22"/>
      <c r="W2148" s="22"/>
      <c r="X2148" s="22"/>
      <c r="Y2148" s="22"/>
      <c r="Z2148" s="22"/>
      <c r="AA2148" s="22"/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22"/>
    </row>
    <row r="2149" spans="5:54" x14ac:dyDescent="0.35"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22"/>
      <c r="V2149" s="22"/>
      <c r="W2149" s="22"/>
      <c r="X2149" s="22"/>
      <c r="Y2149" s="22"/>
      <c r="Z2149" s="22"/>
      <c r="AA2149" s="22"/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22"/>
    </row>
    <row r="2150" spans="5:54" x14ac:dyDescent="0.35"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  <c r="Z2150" s="22"/>
      <c r="AA2150" s="22"/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22"/>
    </row>
    <row r="2151" spans="5:54" x14ac:dyDescent="0.35"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22"/>
      <c r="V2151" s="22"/>
      <c r="W2151" s="22"/>
      <c r="X2151" s="22"/>
      <c r="Y2151" s="22"/>
      <c r="Z2151" s="22"/>
      <c r="AA2151" s="22"/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22"/>
    </row>
    <row r="2152" spans="5:54" x14ac:dyDescent="0.35"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22"/>
      <c r="V2152" s="22"/>
      <c r="W2152" s="22"/>
      <c r="X2152" s="22"/>
      <c r="Y2152" s="22"/>
      <c r="Z2152" s="22"/>
      <c r="AA2152" s="22"/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22"/>
    </row>
    <row r="2153" spans="5:54" x14ac:dyDescent="0.35"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22"/>
      <c r="V2153" s="22"/>
      <c r="W2153" s="22"/>
      <c r="X2153" s="22"/>
      <c r="Y2153" s="22"/>
      <c r="Z2153" s="22"/>
      <c r="AA2153" s="22"/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22"/>
    </row>
    <row r="2154" spans="5:54" x14ac:dyDescent="0.35"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22"/>
      <c r="V2154" s="22"/>
      <c r="W2154" s="22"/>
      <c r="X2154" s="22"/>
      <c r="Y2154" s="22"/>
      <c r="Z2154" s="22"/>
      <c r="AA2154" s="22"/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22"/>
    </row>
    <row r="2155" spans="5:54" x14ac:dyDescent="0.35"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22"/>
      <c r="V2155" s="22"/>
      <c r="W2155" s="22"/>
      <c r="X2155" s="22"/>
      <c r="Y2155" s="22"/>
      <c r="Z2155" s="22"/>
      <c r="AA2155" s="22"/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22"/>
    </row>
    <row r="2156" spans="5:54" x14ac:dyDescent="0.35"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22"/>
      <c r="V2156" s="22"/>
      <c r="W2156" s="22"/>
      <c r="X2156" s="22"/>
      <c r="Y2156" s="22"/>
      <c r="Z2156" s="22"/>
      <c r="AA2156" s="22"/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22"/>
    </row>
    <row r="2157" spans="5:54" x14ac:dyDescent="0.35"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22"/>
      <c r="V2157" s="22"/>
      <c r="W2157" s="22"/>
      <c r="X2157" s="22"/>
      <c r="Y2157" s="22"/>
      <c r="Z2157" s="22"/>
      <c r="AA2157" s="22"/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22"/>
    </row>
    <row r="2158" spans="5:54" x14ac:dyDescent="0.35"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22"/>
      <c r="V2158" s="22"/>
      <c r="W2158" s="22"/>
      <c r="X2158" s="22"/>
      <c r="Y2158" s="22"/>
      <c r="Z2158" s="22"/>
      <c r="AA2158" s="22"/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22"/>
    </row>
    <row r="2159" spans="5:54" x14ac:dyDescent="0.35"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22"/>
      <c r="V2159" s="22"/>
      <c r="W2159" s="22"/>
      <c r="X2159" s="22"/>
      <c r="Y2159" s="22"/>
      <c r="Z2159" s="22"/>
      <c r="AA2159" s="22"/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22"/>
    </row>
    <row r="2160" spans="5:54" x14ac:dyDescent="0.35"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22"/>
      <c r="V2160" s="22"/>
      <c r="W2160" s="22"/>
      <c r="X2160" s="22"/>
      <c r="Y2160" s="22"/>
      <c r="Z2160" s="22"/>
      <c r="AA2160" s="22"/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22"/>
    </row>
    <row r="2161" spans="5:54" x14ac:dyDescent="0.35"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22"/>
      <c r="V2161" s="22"/>
      <c r="W2161" s="22"/>
      <c r="X2161" s="22"/>
      <c r="Y2161" s="22"/>
      <c r="Z2161" s="22"/>
      <c r="AA2161" s="22"/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22"/>
    </row>
    <row r="2162" spans="5:54" x14ac:dyDescent="0.35"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22"/>
      <c r="V2162" s="22"/>
      <c r="W2162" s="22"/>
      <c r="X2162" s="22"/>
      <c r="Y2162" s="22"/>
      <c r="Z2162" s="22"/>
      <c r="AA2162" s="22"/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22"/>
    </row>
    <row r="2163" spans="5:54" x14ac:dyDescent="0.35"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22"/>
      <c r="V2163" s="22"/>
      <c r="W2163" s="22"/>
      <c r="X2163" s="22"/>
      <c r="Y2163" s="22"/>
      <c r="Z2163" s="22"/>
      <c r="AA2163" s="22"/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22"/>
    </row>
    <row r="2164" spans="5:54" x14ac:dyDescent="0.35"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22"/>
      <c r="V2164" s="22"/>
      <c r="W2164" s="22"/>
      <c r="X2164" s="22"/>
      <c r="Y2164" s="22"/>
      <c r="Z2164" s="22"/>
      <c r="AA2164" s="22"/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22"/>
    </row>
    <row r="2165" spans="5:54" x14ac:dyDescent="0.35"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22"/>
      <c r="V2165" s="22"/>
      <c r="W2165" s="22"/>
      <c r="X2165" s="22"/>
      <c r="Y2165" s="22"/>
      <c r="Z2165" s="22"/>
      <c r="AA2165" s="22"/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22"/>
    </row>
    <row r="2166" spans="5:54" x14ac:dyDescent="0.35"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22"/>
      <c r="V2166" s="22"/>
      <c r="W2166" s="22"/>
      <c r="X2166" s="22"/>
      <c r="Y2166" s="22"/>
      <c r="Z2166" s="22"/>
      <c r="AA2166" s="22"/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22"/>
    </row>
    <row r="2167" spans="5:54" x14ac:dyDescent="0.35"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22"/>
      <c r="V2167" s="22"/>
      <c r="W2167" s="22"/>
      <c r="X2167" s="22"/>
      <c r="Y2167" s="22"/>
      <c r="Z2167" s="22"/>
      <c r="AA2167" s="22"/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22"/>
    </row>
    <row r="2168" spans="5:54" x14ac:dyDescent="0.35"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22"/>
      <c r="V2168" s="22"/>
      <c r="W2168" s="22"/>
      <c r="X2168" s="22"/>
      <c r="Y2168" s="22"/>
      <c r="Z2168" s="22"/>
      <c r="AA2168" s="22"/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22"/>
    </row>
    <row r="2169" spans="5:54" x14ac:dyDescent="0.35"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22"/>
      <c r="V2169" s="22"/>
      <c r="W2169" s="22"/>
      <c r="X2169" s="22"/>
      <c r="Y2169" s="22"/>
      <c r="Z2169" s="22"/>
      <c r="AA2169" s="22"/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22"/>
    </row>
    <row r="2170" spans="5:54" x14ac:dyDescent="0.35"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22"/>
      <c r="V2170" s="22"/>
      <c r="W2170" s="22"/>
      <c r="X2170" s="22"/>
      <c r="Y2170" s="22"/>
      <c r="Z2170" s="22"/>
      <c r="AA2170" s="22"/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22"/>
    </row>
    <row r="2171" spans="5:54" x14ac:dyDescent="0.35"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22"/>
      <c r="V2171" s="22"/>
      <c r="W2171" s="22"/>
      <c r="X2171" s="22"/>
      <c r="Y2171" s="22"/>
      <c r="Z2171" s="22"/>
      <c r="AA2171" s="22"/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22"/>
    </row>
    <row r="2172" spans="5:54" x14ac:dyDescent="0.35"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X2172" s="22"/>
      <c r="Y2172" s="22"/>
      <c r="Z2172" s="22"/>
      <c r="AA2172" s="22"/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22"/>
    </row>
    <row r="2173" spans="5:54" x14ac:dyDescent="0.35"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22"/>
      <c r="V2173" s="22"/>
      <c r="W2173" s="22"/>
      <c r="X2173" s="22"/>
      <c r="Y2173" s="22"/>
      <c r="Z2173" s="22"/>
      <c r="AA2173" s="22"/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22"/>
    </row>
    <row r="2174" spans="5:54" x14ac:dyDescent="0.35"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22"/>
      <c r="V2174" s="22"/>
      <c r="W2174" s="22"/>
      <c r="X2174" s="22"/>
      <c r="Y2174" s="22"/>
      <c r="Z2174" s="22"/>
      <c r="AA2174" s="22"/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22"/>
    </row>
    <row r="2175" spans="5:54" x14ac:dyDescent="0.35"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22"/>
      <c r="V2175" s="22"/>
      <c r="W2175" s="22"/>
      <c r="X2175" s="22"/>
      <c r="Y2175" s="22"/>
      <c r="Z2175" s="22"/>
      <c r="AA2175" s="22"/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22"/>
    </row>
    <row r="2176" spans="5:54" x14ac:dyDescent="0.35"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22"/>
      <c r="V2176" s="22"/>
      <c r="W2176" s="22"/>
      <c r="X2176" s="22"/>
      <c r="Y2176" s="22"/>
      <c r="Z2176" s="22"/>
      <c r="AA2176" s="22"/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22"/>
    </row>
    <row r="2177" spans="5:54" x14ac:dyDescent="0.35"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22"/>
      <c r="V2177" s="22"/>
      <c r="W2177" s="22"/>
      <c r="X2177" s="22"/>
      <c r="Y2177" s="22"/>
      <c r="Z2177" s="22"/>
      <c r="AA2177" s="22"/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22"/>
    </row>
    <row r="2178" spans="5:54" x14ac:dyDescent="0.35"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22"/>
      <c r="V2178" s="22"/>
      <c r="W2178" s="22"/>
      <c r="X2178" s="22"/>
      <c r="Y2178" s="22"/>
      <c r="Z2178" s="22"/>
      <c r="AA2178" s="22"/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22"/>
    </row>
    <row r="2179" spans="5:54" x14ac:dyDescent="0.35"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22"/>
      <c r="V2179" s="22"/>
      <c r="W2179" s="22"/>
      <c r="X2179" s="22"/>
      <c r="Y2179" s="22"/>
      <c r="Z2179" s="22"/>
      <c r="AA2179" s="22"/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22"/>
    </row>
    <row r="2180" spans="5:54" x14ac:dyDescent="0.35"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22"/>
      <c r="V2180" s="22"/>
      <c r="W2180" s="22"/>
      <c r="X2180" s="22"/>
      <c r="Y2180" s="22"/>
      <c r="Z2180" s="22"/>
      <c r="AA2180" s="22"/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22"/>
    </row>
    <row r="2181" spans="5:54" x14ac:dyDescent="0.35"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22"/>
      <c r="V2181" s="22"/>
      <c r="W2181" s="22"/>
      <c r="X2181" s="22"/>
      <c r="Y2181" s="22"/>
      <c r="Z2181" s="22"/>
      <c r="AA2181" s="22"/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22"/>
    </row>
    <row r="2182" spans="5:54" x14ac:dyDescent="0.35"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22"/>
      <c r="V2182" s="22"/>
      <c r="W2182" s="22"/>
      <c r="X2182" s="22"/>
      <c r="Y2182" s="22"/>
      <c r="Z2182" s="22"/>
      <c r="AA2182" s="22"/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22"/>
    </row>
    <row r="2183" spans="5:54" x14ac:dyDescent="0.35"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22"/>
      <c r="V2183" s="22"/>
      <c r="W2183" s="22"/>
      <c r="X2183" s="22"/>
      <c r="Y2183" s="22"/>
      <c r="Z2183" s="22"/>
      <c r="AA2183" s="22"/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22"/>
    </row>
    <row r="2184" spans="5:54" x14ac:dyDescent="0.35"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22"/>
      <c r="V2184" s="22"/>
      <c r="W2184" s="22"/>
      <c r="X2184" s="22"/>
      <c r="Y2184" s="22"/>
      <c r="Z2184" s="22"/>
      <c r="AA2184" s="22"/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22"/>
    </row>
    <row r="2185" spans="5:54" x14ac:dyDescent="0.35"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22"/>
      <c r="V2185" s="22"/>
      <c r="W2185" s="22"/>
      <c r="X2185" s="22"/>
      <c r="Y2185" s="22"/>
      <c r="Z2185" s="22"/>
      <c r="AA2185" s="22"/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22"/>
    </row>
    <row r="2186" spans="5:54" x14ac:dyDescent="0.35"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22"/>
      <c r="V2186" s="22"/>
      <c r="W2186" s="22"/>
      <c r="X2186" s="22"/>
      <c r="Y2186" s="22"/>
      <c r="Z2186" s="22"/>
      <c r="AA2186" s="22"/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22"/>
    </row>
    <row r="2187" spans="5:54" x14ac:dyDescent="0.35"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22"/>
      <c r="V2187" s="22"/>
      <c r="W2187" s="22"/>
      <c r="X2187" s="22"/>
      <c r="Y2187" s="22"/>
      <c r="Z2187" s="22"/>
      <c r="AA2187" s="22"/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22"/>
    </row>
    <row r="2188" spans="5:54" x14ac:dyDescent="0.35"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22"/>
      <c r="V2188" s="22"/>
      <c r="W2188" s="22"/>
      <c r="X2188" s="22"/>
      <c r="Y2188" s="22"/>
      <c r="Z2188" s="22"/>
      <c r="AA2188" s="22"/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22"/>
    </row>
    <row r="2189" spans="5:54" x14ac:dyDescent="0.35"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22"/>
      <c r="V2189" s="22"/>
      <c r="W2189" s="22"/>
      <c r="X2189" s="22"/>
      <c r="Y2189" s="22"/>
      <c r="Z2189" s="22"/>
      <c r="AA2189" s="22"/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22"/>
    </row>
    <row r="2190" spans="5:54" x14ac:dyDescent="0.35"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22"/>
      <c r="V2190" s="22"/>
      <c r="W2190" s="22"/>
      <c r="X2190" s="22"/>
      <c r="Y2190" s="22"/>
      <c r="Z2190" s="22"/>
      <c r="AA2190" s="22"/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22"/>
    </row>
    <row r="2191" spans="5:54" x14ac:dyDescent="0.35"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22"/>
      <c r="V2191" s="22"/>
      <c r="W2191" s="22"/>
      <c r="X2191" s="22"/>
      <c r="Y2191" s="22"/>
      <c r="Z2191" s="22"/>
      <c r="AA2191" s="22"/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22"/>
    </row>
    <row r="2192" spans="5:54" x14ac:dyDescent="0.35"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22"/>
      <c r="V2192" s="22"/>
      <c r="W2192" s="22"/>
      <c r="X2192" s="22"/>
      <c r="Y2192" s="22"/>
      <c r="Z2192" s="22"/>
      <c r="AA2192" s="22"/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22"/>
    </row>
    <row r="2193" spans="5:54" x14ac:dyDescent="0.35"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22"/>
      <c r="V2193" s="22"/>
      <c r="W2193" s="22"/>
      <c r="X2193" s="22"/>
      <c r="Y2193" s="22"/>
      <c r="Z2193" s="22"/>
      <c r="AA2193" s="22"/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22"/>
    </row>
    <row r="2194" spans="5:54" x14ac:dyDescent="0.35"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22"/>
      <c r="V2194" s="22"/>
      <c r="W2194" s="22"/>
      <c r="X2194" s="22"/>
      <c r="Y2194" s="22"/>
      <c r="Z2194" s="22"/>
      <c r="AA2194" s="22"/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22"/>
    </row>
    <row r="2195" spans="5:54" x14ac:dyDescent="0.35"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22"/>
      <c r="V2195" s="22"/>
      <c r="W2195" s="22"/>
      <c r="X2195" s="22"/>
      <c r="Y2195" s="22"/>
      <c r="Z2195" s="22"/>
      <c r="AA2195" s="22"/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22"/>
    </row>
    <row r="2196" spans="5:54" x14ac:dyDescent="0.35"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22"/>
      <c r="V2196" s="22"/>
      <c r="W2196" s="22"/>
      <c r="X2196" s="22"/>
      <c r="Y2196" s="22"/>
      <c r="Z2196" s="22"/>
      <c r="AA2196" s="22"/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22"/>
    </row>
    <row r="2197" spans="5:54" x14ac:dyDescent="0.35"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22"/>
      <c r="V2197" s="22"/>
      <c r="W2197" s="22"/>
      <c r="X2197" s="22"/>
      <c r="Y2197" s="22"/>
      <c r="Z2197" s="22"/>
      <c r="AA2197" s="22"/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22"/>
    </row>
    <row r="2198" spans="5:54" x14ac:dyDescent="0.35"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22"/>
      <c r="V2198" s="22"/>
      <c r="W2198" s="22"/>
      <c r="X2198" s="22"/>
      <c r="Y2198" s="22"/>
      <c r="Z2198" s="22"/>
      <c r="AA2198" s="22"/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22"/>
    </row>
    <row r="2199" spans="5:54" x14ac:dyDescent="0.35"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22"/>
      <c r="V2199" s="22"/>
      <c r="W2199" s="22"/>
      <c r="X2199" s="22"/>
      <c r="Y2199" s="22"/>
      <c r="Z2199" s="22"/>
      <c r="AA2199" s="22"/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22"/>
    </row>
    <row r="2200" spans="5:54" x14ac:dyDescent="0.35"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22"/>
      <c r="V2200" s="22"/>
      <c r="W2200" s="22"/>
      <c r="X2200" s="22"/>
      <c r="Y2200" s="22"/>
      <c r="Z2200" s="22"/>
      <c r="AA2200" s="22"/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22"/>
    </row>
    <row r="2201" spans="5:54" x14ac:dyDescent="0.35"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22"/>
      <c r="V2201" s="22"/>
      <c r="W2201" s="22"/>
      <c r="X2201" s="22"/>
      <c r="Y2201" s="22"/>
      <c r="Z2201" s="22"/>
      <c r="AA2201" s="22"/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22"/>
    </row>
    <row r="2202" spans="5:54" x14ac:dyDescent="0.35"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22"/>
      <c r="V2202" s="22"/>
      <c r="W2202" s="22"/>
      <c r="X2202" s="22"/>
      <c r="Y2202" s="22"/>
      <c r="Z2202" s="22"/>
      <c r="AA2202" s="22"/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22"/>
    </row>
    <row r="2203" spans="5:54" x14ac:dyDescent="0.35"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22"/>
      <c r="V2203" s="22"/>
      <c r="W2203" s="22"/>
      <c r="X2203" s="22"/>
      <c r="Y2203" s="22"/>
      <c r="Z2203" s="22"/>
      <c r="AA2203" s="22"/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22"/>
    </row>
    <row r="2204" spans="5:54" x14ac:dyDescent="0.35"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22"/>
      <c r="V2204" s="22"/>
      <c r="W2204" s="22"/>
      <c r="X2204" s="22"/>
      <c r="Y2204" s="22"/>
      <c r="Z2204" s="22"/>
      <c r="AA2204" s="22"/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22"/>
    </row>
    <row r="2205" spans="5:54" x14ac:dyDescent="0.35"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22"/>
      <c r="V2205" s="22"/>
      <c r="W2205" s="22"/>
      <c r="X2205" s="22"/>
      <c r="Y2205" s="22"/>
      <c r="Z2205" s="22"/>
      <c r="AA2205" s="22"/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22"/>
    </row>
    <row r="2206" spans="5:54" x14ac:dyDescent="0.35"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  <c r="W2206" s="22"/>
      <c r="X2206" s="22"/>
      <c r="Y2206" s="22"/>
      <c r="Z2206" s="22"/>
      <c r="AA2206" s="22"/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22"/>
    </row>
    <row r="2207" spans="5:54" x14ac:dyDescent="0.35"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22"/>
      <c r="V2207" s="22"/>
      <c r="W2207" s="22"/>
      <c r="X2207" s="22"/>
      <c r="Y2207" s="22"/>
      <c r="Z2207" s="22"/>
      <c r="AA2207" s="22"/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22"/>
    </row>
    <row r="2208" spans="5:54" x14ac:dyDescent="0.35"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Z2208" s="22"/>
      <c r="AA2208" s="22"/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22"/>
    </row>
    <row r="2209" spans="5:54" x14ac:dyDescent="0.35"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22"/>
      <c r="V2209" s="22"/>
      <c r="W2209" s="22"/>
      <c r="X2209" s="22"/>
      <c r="Y2209" s="22"/>
      <c r="Z2209" s="22"/>
      <c r="AA2209" s="22"/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22"/>
    </row>
    <row r="2210" spans="5:54" x14ac:dyDescent="0.35"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22"/>
      <c r="V2210" s="22"/>
      <c r="W2210" s="22"/>
      <c r="X2210" s="22"/>
      <c r="Y2210" s="22"/>
      <c r="Z2210" s="22"/>
      <c r="AA2210" s="22"/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22"/>
    </row>
    <row r="2211" spans="5:54" x14ac:dyDescent="0.35"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22"/>
      <c r="V2211" s="22"/>
      <c r="W2211" s="22"/>
      <c r="X2211" s="22"/>
      <c r="Y2211" s="22"/>
      <c r="Z2211" s="22"/>
      <c r="AA2211" s="22"/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22"/>
    </row>
    <row r="2212" spans="5:54" x14ac:dyDescent="0.35"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22"/>
    </row>
    <row r="2213" spans="5:54" x14ac:dyDescent="0.35"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22"/>
      <c r="V2213" s="22"/>
      <c r="W2213" s="22"/>
      <c r="X2213" s="22"/>
      <c r="Y2213" s="22"/>
      <c r="Z2213" s="22"/>
      <c r="AA2213" s="22"/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22"/>
    </row>
    <row r="2214" spans="5:54" x14ac:dyDescent="0.35"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22"/>
      <c r="V2214" s="22"/>
      <c r="W2214" s="22"/>
      <c r="X2214" s="22"/>
      <c r="Y2214" s="22"/>
      <c r="Z2214" s="22"/>
      <c r="AA2214" s="22"/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22"/>
    </row>
    <row r="2215" spans="5:54" x14ac:dyDescent="0.35"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22"/>
      <c r="V2215" s="22"/>
      <c r="W2215" s="22"/>
      <c r="X2215" s="22"/>
      <c r="Y2215" s="22"/>
      <c r="Z2215" s="22"/>
      <c r="AA2215" s="22"/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22"/>
    </row>
    <row r="2216" spans="5:54" x14ac:dyDescent="0.35"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22"/>
      <c r="V2216" s="22"/>
      <c r="W2216" s="22"/>
      <c r="X2216" s="22"/>
      <c r="Y2216" s="22"/>
      <c r="Z2216" s="22"/>
      <c r="AA2216" s="22"/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22"/>
    </row>
    <row r="2217" spans="5:54" x14ac:dyDescent="0.35"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22"/>
      <c r="V2217" s="22"/>
      <c r="W2217" s="22"/>
      <c r="X2217" s="22"/>
      <c r="Y2217" s="22"/>
      <c r="Z2217" s="22"/>
      <c r="AA2217" s="22"/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22"/>
    </row>
    <row r="2218" spans="5:54" x14ac:dyDescent="0.35"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22"/>
      <c r="V2218" s="22"/>
      <c r="W2218" s="22"/>
      <c r="X2218" s="22"/>
      <c r="Y2218" s="22"/>
      <c r="Z2218" s="22"/>
      <c r="AA2218" s="22"/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22"/>
    </row>
    <row r="2219" spans="5:54" x14ac:dyDescent="0.35"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22"/>
      <c r="V2219" s="22"/>
      <c r="W2219" s="22"/>
      <c r="X2219" s="22"/>
      <c r="Y2219" s="22"/>
      <c r="Z2219" s="22"/>
      <c r="AA2219" s="22"/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22"/>
    </row>
    <row r="2220" spans="5:54" x14ac:dyDescent="0.35"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22"/>
      <c r="V2220" s="22"/>
      <c r="W2220" s="22"/>
      <c r="X2220" s="22"/>
      <c r="Y2220" s="22"/>
      <c r="Z2220" s="22"/>
      <c r="AA2220" s="22"/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22"/>
    </row>
    <row r="2221" spans="5:54" x14ac:dyDescent="0.35"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22"/>
      <c r="V2221" s="22"/>
      <c r="W2221" s="22"/>
      <c r="X2221" s="22"/>
      <c r="Y2221" s="22"/>
      <c r="Z2221" s="22"/>
      <c r="AA2221" s="22"/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22"/>
    </row>
    <row r="2222" spans="5:54" x14ac:dyDescent="0.35"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22"/>
      <c r="V2222" s="22"/>
      <c r="W2222" s="22"/>
      <c r="X2222" s="22"/>
      <c r="Y2222" s="22"/>
      <c r="Z2222" s="22"/>
      <c r="AA2222" s="22"/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22"/>
    </row>
    <row r="2223" spans="5:54" x14ac:dyDescent="0.35"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22"/>
      <c r="V2223" s="22"/>
      <c r="W2223" s="22"/>
      <c r="X2223" s="22"/>
      <c r="Y2223" s="22"/>
      <c r="Z2223" s="22"/>
      <c r="AA2223" s="22"/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22"/>
    </row>
    <row r="2224" spans="5:54" x14ac:dyDescent="0.35"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22"/>
      <c r="V2224" s="22"/>
      <c r="W2224" s="22"/>
      <c r="X2224" s="22"/>
      <c r="Y2224" s="22"/>
      <c r="Z2224" s="22"/>
      <c r="AA2224" s="22"/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22"/>
    </row>
    <row r="2225" spans="5:54" x14ac:dyDescent="0.35"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22"/>
      <c r="V2225" s="22"/>
      <c r="W2225" s="22"/>
      <c r="X2225" s="22"/>
      <c r="Y2225" s="22"/>
      <c r="Z2225" s="22"/>
      <c r="AA2225" s="22"/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22"/>
    </row>
    <row r="2226" spans="5:54" x14ac:dyDescent="0.35"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22"/>
      <c r="V2226" s="22"/>
      <c r="W2226" s="22"/>
      <c r="X2226" s="22"/>
      <c r="Y2226" s="22"/>
      <c r="Z2226" s="22"/>
      <c r="AA2226" s="22"/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22"/>
    </row>
    <row r="2227" spans="5:54" x14ac:dyDescent="0.35"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22"/>
      <c r="V2227" s="22"/>
      <c r="W2227" s="22"/>
      <c r="X2227" s="22"/>
      <c r="Y2227" s="22"/>
      <c r="Z2227" s="22"/>
      <c r="AA2227" s="22"/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22"/>
    </row>
    <row r="2228" spans="5:54" x14ac:dyDescent="0.35"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22"/>
      <c r="V2228" s="22"/>
      <c r="W2228" s="22"/>
      <c r="X2228" s="22"/>
      <c r="Y2228" s="22"/>
      <c r="Z2228" s="22"/>
      <c r="AA2228" s="22"/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22"/>
    </row>
    <row r="2229" spans="5:54" x14ac:dyDescent="0.35"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22"/>
      <c r="V2229" s="22"/>
      <c r="W2229" s="22"/>
      <c r="X2229" s="22"/>
      <c r="Y2229" s="22"/>
      <c r="Z2229" s="22"/>
      <c r="AA2229" s="22"/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22"/>
    </row>
    <row r="2230" spans="5:54" x14ac:dyDescent="0.35"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22"/>
      <c r="V2230" s="22"/>
      <c r="W2230" s="22"/>
      <c r="X2230" s="22"/>
      <c r="Y2230" s="22"/>
      <c r="Z2230" s="22"/>
      <c r="AA2230" s="22"/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22"/>
    </row>
    <row r="2231" spans="5:54" x14ac:dyDescent="0.35"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22"/>
      <c r="V2231" s="22"/>
      <c r="W2231" s="22"/>
      <c r="X2231" s="22"/>
      <c r="Y2231" s="22"/>
      <c r="Z2231" s="22"/>
      <c r="AA2231" s="22"/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22"/>
    </row>
    <row r="2232" spans="5:54" x14ac:dyDescent="0.35"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22"/>
      <c r="V2232" s="22"/>
      <c r="W2232" s="22"/>
      <c r="X2232" s="22"/>
      <c r="Y2232" s="22"/>
      <c r="Z2232" s="22"/>
      <c r="AA2232" s="22"/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22"/>
    </row>
    <row r="2233" spans="5:54" x14ac:dyDescent="0.35"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22"/>
      <c r="V2233" s="22"/>
      <c r="W2233" s="22"/>
      <c r="X2233" s="22"/>
      <c r="Y2233" s="22"/>
      <c r="Z2233" s="22"/>
      <c r="AA2233" s="22"/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22"/>
    </row>
    <row r="2234" spans="5:54" x14ac:dyDescent="0.35"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22"/>
      <c r="V2234" s="22"/>
      <c r="W2234" s="22"/>
      <c r="X2234" s="22"/>
      <c r="Y2234" s="22"/>
      <c r="Z2234" s="22"/>
      <c r="AA2234" s="22"/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22"/>
    </row>
    <row r="2235" spans="5:54" x14ac:dyDescent="0.35"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22"/>
      <c r="V2235" s="22"/>
      <c r="W2235" s="22"/>
      <c r="X2235" s="22"/>
      <c r="Y2235" s="22"/>
      <c r="Z2235" s="22"/>
      <c r="AA2235" s="22"/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22"/>
    </row>
    <row r="2236" spans="5:54" x14ac:dyDescent="0.35"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22"/>
      <c r="V2236" s="22"/>
      <c r="W2236" s="22"/>
      <c r="X2236" s="22"/>
      <c r="Y2236" s="22"/>
      <c r="Z2236" s="22"/>
      <c r="AA2236" s="22"/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22"/>
    </row>
    <row r="2237" spans="5:54" x14ac:dyDescent="0.35"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22"/>
      <c r="V2237" s="22"/>
      <c r="W2237" s="22"/>
      <c r="X2237" s="22"/>
      <c r="Y2237" s="22"/>
      <c r="Z2237" s="22"/>
      <c r="AA2237" s="22"/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22"/>
    </row>
    <row r="2238" spans="5:54" x14ac:dyDescent="0.35"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22"/>
      <c r="V2238" s="22"/>
      <c r="W2238" s="22"/>
      <c r="X2238" s="22"/>
      <c r="Y2238" s="22"/>
      <c r="Z2238" s="22"/>
      <c r="AA2238" s="22"/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22"/>
    </row>
    <row r="2239" spans="5:54" x14ac:dyDescent="0.35"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22"/>
      <c r="V2239" s="22"/>
      <c r="W2239" s="22"/>
      <c r="X2239" s="22"/>
      <c r="Y2239" s="22"/>
      <c r="Z2239" s="22"/>
      <c r="AA2239" s="22"/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22"/>
    </row>
    <row r="2240" spans="5:54" x14ac:dyDescent="0.35"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22"/>
      <c r="V2240" s="22"/>
      <c r="W2240" s="22"/>
      <c r="X2240" s="22"/>
      <c r="Y2240" s="22"/>
      <c r="Z2240" s="22"/>
      <c r="AA2240" s="22"/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22"/>
    </row>
    <row r="2241" spans="5:54" x14ac:dyDescent="0.35"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22"/>
      <c r="V2241" s="22"/>
      <c r="W2241" s="22"/>
      <c r="X2241" s="22"/>
      <c r="Y2241" s="22"/>
      <c r="Z2241" s="22"/>
      <c r="AA2241" s="22"/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22"/>
    </row>
    <row r="2242" spans="5:54" x14ac:dyDescent="0.35"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22"/>
      <c r="V2242" s="22"/>
      <c r="W2242" s="22"/>
      <c r="X2242" s="22"/>
      <c r="Y2242" s="22"/>
      <c r="Z2242" s="22"/>
      <c r="AA2242" s="22"/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22"/>
    </row>
    <row r="2243" spans="5:54" x14ac:dyDescent="0.35"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22"/>
      <c r="V2243" s="22"/>
      <c r="W2243" s="22"/>
      <c r="X2243" s="22"/>
      <c r="Y2243" s="22"/>
      <c r="Z2243" s="22"/>
      <c r="AA2243" s="22"/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22"/>
    </row>
    <row r="2244" spans="5:54" x14ac:dyDescent="0.35"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22"/>
      <c r="V2244" s="22"/>
      <c r="W2244" s="22"/>
      <c r="X2244" s="22"/>
      <c r="Y2244" s="22"/>
      <c r="Z2244" s="22"/>
      <c r="AA2244" s="22"/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22"/>
    </row>
    <row r="2245" spans="5:54" x14ac:dyDescent="0.35"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22"/>
      <c r="V2245" s="22"/>
      <c r="W2245" s="22"/>
      <c r="X2245" s="22"/>
      <c r="Y2245" s="22"/>
      <c r="Z2245" s="22"/>
      <c r="AA2245" s="22"/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22"/>
    </row>
    <row r="2246" spans="5:54" x14ac:dyDescent="0.35"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22"/>
      <c r="V2246" s="22"/>
      <c r="W2246" s="22"/>
      <c r="X2246" s="22"/>
      <c r="Y2246" s="22"/>
      <c r="Z2246" s="22"/>
      <c r="AA2246" s="22"/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22"/>
    </row>
    <row r="2247" spans="5:54" x14ac:dyDescent="0.35"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22"/>
      <c r="V2247" s="22"/>
      <c r="W2247" s="22"/>
      <c r="X2247" s="22"/>
      <c r="Y2247" s="22"/>
      <c r="Z2247" s="22"/>
      <c r="AA2247" s="22"/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22"/>
    </row>
    <row r="2248" spans="5:54" x14ac:dyDescent="0.35"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22"/>
      <c r="V2248" s="22"/>
      <c r="W2248" s="22"/>
      <c r="X2248" s="22"/>
      <c r="Y2248" s="22"/>
      <c r="Z2248" s="22"/>
      <c r="AA2248" s="22"/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22"/>
    </row>
    <row r="2249" spans="5:54" x14ac:dyDescent="0.35"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22"/>
      <c r="V2249" s="22"/>
      <c r="W2249" s="22"/>
      <c r="X2249" s="22"/>
      <c r="Y2249" s="22"/>
      <c r="Z2249" s="22"/>
      <c r="AA2249" s="22"/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22"/>
    </row>
    <row r="2250" spans="5:54" x14ac:dyDescent="0.35"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22"/>
      <c r="V2250" s="22"/>
      <c r="W2250" s="22"/>
      <c r="X2250" s="22"/>
      <c r="Y2250" s="22"/>
      <c r="Z2250" s="22"/>
      <c r="AA2250" s="22"/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22"/>
    </row>
    <row r="2251" spans="5:54" x14ac:dyDescent="0.35"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22"/>
      <c r="V2251" s="22"/>
      <c r="W2251" s="22"/>
      <c r="X2251" s="22"/>
      <c r="Y2251" s="22"/>
      <c r="Z2251" s="22"/>
      <c r="AA2251" s="22"/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22"/>
    </row>
    <row r="2252" spans="5:54" x14ac:dyDescent="0.35"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22"/>
      <c r="V2252" s="22"/>
      <c r="W2252" s="22"/>
      <c r="X2252" s="22"/>
      <c r="Y2252" s="22"/>
      <c r="Z2252" s="22"/>
      <c r="AA2252" s="22"/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22"/>
    </row>
    <row r="2253" spans="5:54" x14ac:dyDescent="0.35"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22"/>
      <c r="V2253" s="22"/>
      <c r="W2253" s="22"/>
      <c r="X2253" s="22"/>
      <c r="Y2253" s="22"/>
      <c r="Z2253" s="22"/>
      <c r="AA2253" s="22"/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22"/>
    </row>
    <row r="2254" spans="5:54" x14ac:dyDescent="0.35"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22"/>
      <c r="V2254" s="22"/>
      <c r="W2254" s="22"/>
      <c r="X2254" s="22"/>
      <c r="Y2254" s="22"/>
      <c r="Z2254" s="22"/>
      <c r="AA2254" s="22"/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22"/>
    </row>
    <row r="2255" spans="5:54" x14ac:dyDescent="0.35"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22"/>
      <c r="V2255" s="22"/>
      <c r="W2255" s="22"/>
      <c r="X2255" s="22"/>
      <c r="Y2255" s="22"/>
      <c r="Z2255" s="22"/>
      <c r="AA2255" s="22"/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22"/>
    </row>
    <row r="2256" spans="5:54" x14ac:dyDescent="0.35"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22"/>
      <c r="V2256" s="22"/>
      <c r="W2256" s="22"/>
      <c r="X2256" s="22"/>
      <c r="Y2256" s="22"/>
      <c r="Z2256" s="22"/>
      <c r="AA2256" s="22"/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22"/>
    </row>
    <row r="2257" spans="5:54" x14ac:dyDescent="0.35"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22"/>
      <c r="V2257" s="22"/>
      <c r="W2257" s="22"/>
      <c r="X2257" s="22"/>
      <c r="Y2257" s="22"/>
      <c r="Z2257" s="22"/>
      <c r="AA2257" s="22"/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22"/>
    </row>
    <row r="2258" spans="5:54" x14ac:dyDescent="0.35"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22"/>
      <c r="V2258" s="22"/>
      <c r="W2258" s="22"/>
      <c r="X2258" s="22"/>
      <c r="Y2258" s="22"/>
      <c r="Z2258" s="22"/>
      <c r="AA2258" s="22"/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22"/>
    </row>
    <row r="2259" spans="5:54" x14ac:dyDescent="0.35"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22"/>
      <c r="V2259" s="22"/>
      <c r="W2259" s="22"/>
      <c r="X2259" s="22"/>
      <c r="Y2259" s="22"/>
      <c r="Z2259" s="22"/>
      <c r="AA2259" s="22"/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22"/>
    </row>
    <row r="2260" spans="5:54" x14ac:dyDescent="0.35"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22"/>
      <c r="V2260" s="22"/>
      <c r="W2260" s="22"/>
      <c r="X2260" s="22"/>
      <c r="Y2260" s="22"/>
      <c r="Z2260" s="22"/>
      <c r="AA2260" s="22"/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22"/>
    </row>
    <row r="2261" spans="5:54" x14ac:dyDescent="0.35"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22"/>
      <c r="V2261" s="22"/>
      <c r="W2261" s="22"/>
      <c r="X2261" s="22"/>
      <c r="Y2261" s="22"/>
      <c r="Z2261" s="22"/>
      <c r="AA2261" s="22"/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22"/>
    </row>
    <row r="2262" spans="5:54" x14ac:dyDescent="0.35"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22"/>
      <c r="V2262" s="22"/>
      <c r="W2262" s="22"/>
      <c r="X2262" s="22"/>
      <c r="Y2262" s="22"/>
      <c r="Z2262" s="22"/>
      <c r="AA2262" s="22"/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22"/>
    </row>
    <row r="2263" spans="5:54" x14ac:dyDescent="0.35"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22"/>
      <c r="V2263" s="22"/>
      <c r="W2263" s="22"/>
      <c r="X2263" s="22"/>
      <c r="Y2263" s="22"/>
      <c r="Z2263" s="22"/>
      <c r="AA2263" s="22"/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22"/>
    </row>
    <row r="2264" spans="5:54" x14ac:dyDescent="0.35"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22"/>
      <c r="V2264" s="22"/>
      <c r="W2264" s="22"/>
      <c r="X2264" s="22"/>
      <c r="Y2264" s="22"/>
      <c r="Z2264" s="22"/>
      <c r="AA2264" s="22"/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22"/>
    </row>
    <row r="2265" spans="5:54" x14ac:dyDescent="0.35"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22"/>
      <c r="V2265" s="22"/>
      <c r="W2265" s="22"/>
      <c r="X2265" s="22"/>
      <c r="Y2265" s="22"/>
      <c r="Z2265" s="22"/>
      <c r="AA2265" s="22"/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22"/>
    </row>
    <row r="2266" spans="5:54" x14ac:dyDescent="0.35"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22"/>
      <c r="V2266" s="22"/>
      <c r="W2266" s="22"/>
      <c r="X2266" s="22"/>
      <c r="Y2266" s="22"/>
      <c r="Z2266" s="22"/>
      <c r="AA2266" s="22"/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22"/>
    </row>
    <row r="2267" spans="5:54" x14ac:dyDescent="0.35"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22"/>
      <c r="V2267" s="22"/>
      <c r="W2267" s="22"/>
      <c r="X2267" s="22"/>
      <c r="Y2267" s="22"/>
      <c r="Z2267" s="22"/>
      <c r="AA2267" s="22"/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22"/>
    </row>
    <row r="2268" spans="5:54" x14ac:dyDescent="0.35"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22"/>
      <c r="V2268" s="22"/>
      <c r="W2268" s="22"/>
      <c r="X2268" s="22"/>
      <c r="Y2268" s="22"/>
      <c r="Z2268" s="22"/>
      <c r="AA2268" s="22"/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22"/>
    </row>
    <row r="2269" spans="5:54" x14ac:dyDescent="0.35"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22"/>
      <c r="V2269" s="22"/>
      <c r="W2269" s="22"/>
      <c r="X2269" s="22"/>
      <c r="Y2269" s="22"/>
      <c r="Z2269" s="22"/>
      <c r="AA2269" s="22"/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22"/>
    </row>
    <row r="2270" spans="5:54" x14ac:dyDescent="0.35"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22"/>
      <c r="V2270" s="22"/>
      <c r="W2270" s="22"/>
      <c r="X2270" s="22"/>
      <c r="Y2270" s="22"/>
      <c r="Z2270" s="22"/>
      <c r="AA2270" s="22"/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22"/>
    </row>
    <row r="2271" spans="5:54" x14ac:dyDescent="0.35"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22"/>
      <c r="V2271" s="22"/>
      <c r="W2271" s="22"/>
      <c r="X2271" s="22"/>
      <c r="Y2271" s="22"/>
      <c r="Z2271" s="22"/>
      <c r="AA2271" s="22"/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22"/>
    </row>
    <row r="2272" spans="5:54" x14ac:dyDescent="0.35"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22"/>
      <c r="V2272" s="22"/>
      <c r="W2272" s="22"/>
      <c r="X2272" s="22"/>
      <c r="Y2272" s="22"/>
      <c r="Z2272" s="22"/>
      <c r="AA2272" s="22"/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22"/>
    </row>
    <row r="2273" spans="5:54" x14ac:dyDescent="0.35"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22"/>
      <c r="V2273" s="22"/>
      <c r="W2273" s="22"/>
      <c r="X2273" s="22"/>
      <c r="Y2273" s="22"/>
      <c r="Z2273" s="22"/>
      <c r="AA2273" s="22"/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22"/>
    </row>
    <row r="2274" spans="5:54" x14ac:dyDescent="0.35"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22"/>
      <c r="V2274" s="22"/>
      <c r="W2274" s="22"/>
      <c r="X2274" s="22"/>
      <c r="Y2274" s="22"/>
      <c r="Z2274" s="22"/>
      <c r="AA2274" s="22"/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22"/>
    </row>
    <row r="2275" spans="5:54" x14ac:dyDescent="0.35"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22"/>
      <c r="V2275" s="22"/>
      <c r="W2275" s="22"/>
      <c r="X2275" s="22"/>
      <c r="Y2275" s="22"/>
      <c r="Z2275" s="22"/>
      <c r="AA2275" s="22"/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22"/>
    </row>
    <row r="2276" spans="5:54" x14ac:dyDescent="0.35"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22"/>
      <c r="V2276" s="22"/>
      <c r="W2276" s="22"/>
      <c r="X2276" s="22"/>
      <c r="Y2276" s="22"/>
      <c r="Z2276" s="22"/>
      <c r="AA2276" s="22"/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22"/>
    </row>
    <row r="2277" spans="5:54" x14ac:dyDescent="0.35"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22"/>
      <c r="V2277" s="22"/>
      <c r="W2277" s="22"/>
      <c r="X2277" s="22"/>
      <c r="Y2277" s="22"/>
      <c r="Z2277" s="22"/>
      <c r="AA2277" s="22"/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22"/>
    </row>
    <row r="2278" spans="5:54" x14ac:dyDescent="0.35"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22"/>
      <c r="V2278" s="22"/>
      <c r="W2278" s="22"/>
      <c r="X2278" s="22"/>
      <c r="Y2278" s="22"/>
      <c r="Z2278" s="22"/>
      <c r="AA2278" s="22"/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22"/>
    </row>
    <row r="2279" spans="5:54" x14ac:dyDescent="0.35"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22"/>
      <c r="V2279" s="22"/>
      <c r="W2279" s="22"/>
      <c r="X2279" s="22"/>
      <c r="Y2279" s="22"/>
      <c r="Z2279" s="22"/>
      <c r="AA2279" s="22"/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22"/>
    </row>
    <row r="2280" spans="5:54" x14ac:dyDescent="0.35"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22"/>
      <c r="V2280" s="22"/>
      <c r="W2280" s="22"/>
      <c r="X2280" s="22"/>
      <c r="Y2280" s="22"/>
      <c r="Z2280" s="22"/>
      <c r="AA2280" s="22"/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22"/>
    </row>
    <row r="2281" spans="5:54" x14ac:dyDescent="0.35"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22"/>
      <c r="V2281" s="22"/>
      <c r="W2281" s="22"/>
      <c r="X2281" s="22"/>
      <c r="Y2281" s="22"/>
      <c r="Z2281" s="22"/>
      <c r="AA2281" s="22"/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22"/>
    </row>
    <row r="2282" spans="5:54" x14ac:dyDescent="0.35"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22"/>
      <c r="V2282" s="22"/>
      <c r="W2282" s="22"/>
      <c r="X2282" s="22"/>
      <c r="Y2282" s="22"/>
      <c r="Z2282" s="22"/>
      <c r="AA2282" s="22"/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22"/>
    </row>
    <row r="2283" spans="5:54" x14ac:dyDescent="0.35"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22"/>
      <c r="V2283" s="22"/>
      <c r="W2283" s="22"/>
      <c r="X2283" s="22"/>
      <c r="Y2283" s="22"/>
      <c r="Z2283" s="22"/>
      <c r="AA2283" s="22"/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22"/>
    </row>
    <row r="2284" spans="5:54" x14ac:dyDescent="0.35"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22"/>
      <c r="V2284" s="22"/>
      <c r="W2284" s="22"/>
      <c r="X2284" s="22"/>
      <c r="Y2284" s="22"/>
      <c r="Z2284" s="22"/>
      <c r="AA2284" s="22"/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22"/>
    </row>
    <row r="2285" spans="5:54" x14ac:dyDescent="0.35"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22"/>
      <c r="V2285" s="22"/>
      <c r="W2285" s="22"/>
      <c r="X2285" s="22"/>
      <c r="Y2285" s="22"/>
      <c r="Z2285" s="22"/>
      <c r="AA2285" s="22"/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22"/>
    </row>
    <row r="2286" spans="5:54" x14ac:dyDescent="0.35"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22"/>
      <c r="V2286" s="22"/>
      <c r="W2286" s="22"/>
      <c r="X2286" s="22"/>
      <c r="Y2286" s="22"/>
      <c r="Z2286" s="22"/>
      <c r="AA2286" s="22"/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22"/>
    </row>
    <row r="2287" spans="5:54" x14ac:dyDescent="0.35"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22"/>
      <c r="V2287" s="22"/>
      <c r="W2287" s="22"/>
      <c r="X2287" s="22"/>
      <c r="Y2287" s="22"/>
      <c r="Z2287" s="22"/>
      <c r="AA2287" s="22"/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22"/>
    </row>
    <row r="2288" spans="5:54" x14ac:dyDescent="0.35"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22"/>
      <c r="V2288" s="22"/>
      <c r="W2288" s="22"/>
      <c r="X2288" s="22"/>
      <c r="Y2288" s="22"/>
      <c r="Z2288" s="22"/>
      <c r="AA2288" s="22"/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22"/>
    </row>
    <row r="2289" spans="5:54" x14ac:dyDescent="0.35"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22"/>
      <c r="V2289" s="22"/>
      <c r="W2289" s="22"/>
      <c r="X2289" s="22"/>
      <c r="Y2289" s="22"/>
      <c r="Z2289" s="22"/>
      <c r="AA2289" s="22"/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22"/>
    </row>
    <row r="2290" spans="5:54" x14ac:dyDescent="0.35"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22"/>
      <c r="V2290" s="22"/>
      <c r="W2290" s="22"/>
      <c r="X2290" s="22"/>
      <c r="Y2290" s="22"/>
      <c r="Z2290" s="22"/>
      <c r="AA2290" s="22"/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22"/>
    </row>
    <row r="2291" spans="5:54" x14ac:dyDescent="0.35"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22"/>
      <c r="V2291" s="22"/>
      <c r="W2291" s="22"/>
      <c r="X2291" s="22"/>
      <c r="Y2291" s="22"/>
      <c r="Z2291" s="22"/>
      <c r="AA2291" s="22"/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22"/>
    </row>
    <row r="2292" spans="5:54" x14ac:dyDescent="0.35"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22"/>
      <c r="V2292" s="22"/>
      <c r="W2292" s="22"/>
      <c r="X2292" s="22"/>
      <c r="Y2292" s="22"/>
      <c r="Z2292" s="22"/>
      <c r="AA2292" s="22"/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22"/>
    </row>
    <row r="2293" spans="5:54" x14ac:dyDescent="0.35"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22"/>
      <c r="V2293" s="22"/>
      <c r="W2293" s="22"/>
      <c r="X2293" s="22"/>
      <c r="Y2293" s="22"/>
      <c r="Z2293" s="22"/>
      <c r="AA2293" s="22"/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22"/>
    </row>
    <row r="2294" spans="5:54" x14ac:dyDescent="0.35"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22"/>
      <c r="V2294" s="22"/>
      <c r="W2294" s="22"/>
      <c r="X2294" s="22"/>
      <c r="Y2294" s="22"/>
      <c r="Z2294" s="22"/>
      <c r="AA2294" s="22"/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22"/>
    </row>
    <row r="2295" spans="5:54" x14ac:dyDescent="0.35"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22"/>
      <c r="V2295" s="22"/>
      <c r="W2295" s="22"/>
      <c r="X2295" s="22"/>
      <c r="Y2295" s="22"/>
      <c r="Z2295" s="22"/>
      <c r="AA2295" s="22"/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22"/>
    </row>
    <row r="2296" spans="5:54" x14ac:dyDescent="0.35"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22"/>
      <c r="V2296" s="22"/>
      <c r="W2296" s="22"/>
      <c r="X2296" s="22"/>
      <c r="Y2296" s="22"/>
      <c r="Z2296" s="22"/>
      <c r="AA2296" s="22"/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22"/>
    </row>
    <row r="2297" spans="5:54" x14ac:dyDescent="0.35"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22"/>
      <c r="V2297" s="22"/>
      <c r="W2297" s="22"/>
      <c r="X2297" s="22"/>
      <c r="Y2297" s="22"/>
      <c r="Z2297" s="22"/>
      <c r="AA2297" s="22"/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22"/>
    </row>
    <row r="2298" spans="5:54" x14ac:dyDescent="0.35"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22"/>
      <c r="V2298" s="22"/>
      <c r="W2298" s="22"/>
      <c r="X2298" s="22"/>
      <c r="Y2298" s="22"/>
      <c r="Z2298" s="22"/>
      <c r="AA2298" s="22"/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22"/>
    </row>
    <row r="2299" spans="5:54" x14ac:dyDescent="0.35"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22"/>
      <c r="V2299" s="22"/>
      <c r="W2299" s="22"/>
      <c r="X2299" s="22"/>
      <c r="Y2299" s="22"/>
      <c r="Z2299" s="22"/>
      <c r="AA2299" s="22"/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22"/>
    </row>
    <row r="2300" spans="5:54" x14ac:dyDescent="0.35"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22"/>
      <c r="V2300" s="22"/>
      <c r="W2300" s="22"/>
      <c r="X2300" s="22"/>
      <c r="Y2300" s="22"/>
      <c r="Z2300" s="22"/>
      <c r="AA2300" s="22"/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22"/>
    </row>
    <row r="2301" spans="5:54" x14ac:dyDescent="0.35"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22"/>
      <c r="V2301" s="22"/>
      <c r="W2301" s="22"/>
      <c r="X2301" s="22"/>
      <c r="Y2301" s="22"/>
      <c r="Z2301" s="22"/>
      <c r="AA2301" s="22"/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22"/>
    </row>
    <row r="2302" spans="5:54" x14ac:dyDescent="0.35"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22"/>
      <c r="V2302" s="22"/>
      <c r="W2302" s="22"/>
      <c r="X2302" s="22"/>
      <c r="Y2302" s="22"/>
      <c r="Z2302" s="22"/>
      <c r="AA2302" s="22"/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22"/>
    </row>
    <row r="2303" spans="5:54" x14ac:dyDescent="0.35"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22"/>
      <c r="V2303" s="22"/>
      <c r="W2303" s="22"/>
      <c r="X2303" s="22"/>
      <c r="Y2303" s="22"/>
      <c r="Z2303" s="22"/>
      <c r="AA2303" s="22"/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22"/>
    </row>
    <row r="2304" spans="5:54" x14ac:dyDescent="0.35"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22"/>
      <c r="V2304" s="22"/>
      <c r="W2304" s="22"/>
      <c r="X2304" s="22"/>
      <c r="Y2304" s="22"/>
      <c r="Z2304" s="22"/>
      <c r="AA2304" s="22"/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22"/>
    </row>
    <row r="2305" spans="5:54" x14ac:dyDescent="0.35"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22"/>
      <c r="V2305" s="22"/>
      <c r="W2305" s="22"/>
      <c r="X2305" s="22"/>
      <c r="Y2305" s="22"/>
      <c r="Z2305" s="22"/>
      <c r="AA2305" s="22"/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22"/>
    </row>
    <row r="2306" spans="5:54" x14ac:dyDescent="0.35"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22"/>
      <c r="V2306" s="22"/>
      <c r="W2306" s="22"/>
      <c r="X2306" s="22"/>
      <c r="Y2306" s="22"/>
      <c r="Z2306" s="22"/>
      <c r="AA2306" s="22"/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22"/>
    </row>
    <row r="2307" spans="5:54" x14ac:dyDescent="0.35"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22"/>
      <c r="V2307" s="22"/>
      <c r="W2307" s="22"/>
      <c r="X2307" s="22"/>
      <c r="Y2307" s="22"/>
      <c r="Z2307" s="22"/>
      <c r="AA2307" s="22"/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22"/>
    </row>
    <row r="2308" spans="5:54" x14ac:dyDescent="0.35"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22"/>
      <c r="V2308" s="22"/>
      <c r="W2308" s="22"/>
      <c r="X2308" s="22"/>
      <c r="Y2308" s="22"/>
      <c r="Z2308" s="22"/>
      <c r="AA2308" s="22"/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22"/>
    </row>
    <row r="2309" spans="5:54" x14ac:dyDescent="0.35"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22"/>
    </row>
    <row r="2310" spans="5:54" x14ac:dyDescent="0.35"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22"/>
      <c r="V2310" s="22"/>
      <c r="W2310" s="22"/>
      <c r="X2310" s="22"/>
      <c r="Y2310" s="22"/>
      <c r="Z2310" s="22"/>
      <c r="AA2310" s="22"/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22"/>
    </row>
    <row r="2311" spans="5:54" x14ac:dyDescent="0.35"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22"/>
      <c r="V2311" s="22"/>
      <c r="W2311" s="22"/>
      <c r="X2311" s="22"/>
      <c r="Y2311" s="22"/>
      <c r="Z2311" s="22"/>
      <c r="AA2311" s="22"/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22"/>
    </row>
    <row r="2312" spans="5:54" x14ac:dyDescent="0.35"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22"/>
      <c r="V2312" s="22"/>
      <c r="W2312" s="22"/>
      <c r="X2312" s="22"/>
      <c r="Y2312" s="22"/>
      <c r="Z2312" s="22"/>
      <c r="AA2312" s="22"/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22"/>
    </row>
    <row r="2313" spans="5:54" x14ac:dyDescent="0.35"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22"/>
      <c r="V2313" s="22"/>
      <c r="W2313" s="22"/>
      <c r="X2313" s="22"/>
      <c r="Y2313" s="22"/>
      <c r="Z2313" s="22"/>
      <c r="AA2313" s="22"/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22"/>
    </row>
    <row r="2314" spans="5:54" x14ac:dyDescent="0.35"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22"/>
      <c r="V2314" s="22"/>
      <c r="W2314" s="22"/>
      <c r="X2314" s="22"/>
      <c r="Y2314" s="22"/>
      <c r="Z2314" s="22"/>
      <c r="AA2314" s="22"/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22"/>
    </row>
    <row r="2315" spans="5:54" x14ac:dyDescent="0.35"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22"/>
      <c r="V2315" s="22"/>
      <c r="W2315" s="22"/>
      <c r="X2315" s="22"/>
      <c r="Y2315" s="22"/>
      <c r="Z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22"/>
    </row>
    <row r="2316" spans="5:54" x14ac:dyDescent="0.35"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22"/>
      <c r="V2316" s="22"/>
      <c r="W2316" s="22"/>
      <c r="X2316" s="22"/>
      <c r="Y2316" s="22"/>
      <c r="Z2316" s="22"/>
      <c r="AA2316" s="22"/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22"/>
    </row>
    <row r="2317" spans="5:54" x14ac:dyDescent="0.35"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22"/>
      <c r="V2317" s="22"/>
      <c r="W2317" s="22"/>
      <c r="X2317" s="22"/>
      <c r="Y2317" s="22"/>
      <c r="Z2317" s="22"/>
      <c r="AA2317" s="22"/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22"/>
    </row>
    <row r="2318" spans="5:54" x14ac:dyDescent="0.35"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22"/>
      <c r="V2318" s="22"/>
      <c r="W2318" s="22"/>
      <c r="X2318" s="22"/>
      <c r="Y2318" s="22"/>
      <c r="Z2318" s="22"/>
      <c r="AA2318" s="22"/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22"/>
    </row>
    <row r="2319" spans="5:54" x14ac:dyDescent="0.35"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22"/>
      <c r="V2319" s="22"/>
      <c r="W2319" s="22"/>
      <c r="X2319" s="22"/>
      <c r="Y2319" s="22"/>
      <c r="Z2319" s="22"/>
      <c r="AA2319" s="22"/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22"/>
    </row>
    <row r="2320" spans="5:54" x14ac:dyDescent="0.35"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22"/>
      <c r="V2320" s="22"/>
      <c r="W2320" s="22"/>
      <c r="X2320" s="22"/>
      <c r="Y2320" s="22"/>
      <c r="Z2320" s="22"/>
      <c r="AA2320" s="22"/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22"/>
    </row>
    <row r="2321" spans="5:54" x14ac:dyDescent="0.35"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22"/>
      <c r="V2321" s="22"/>
      <c r="W2321" s="22"/>
      <c r="X2321" s="22"/>
      <c r="Y2321" s="22"/>
      <c r="Z2321" s="22"/>
      <c r="AA2321" s="22"/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22"/>
    </row>
    <row r="2322" spans="5:54" x14ac:dyDescent="0.35"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22"/>
      <c r="V2322" s="22"/>
      <c r="W2322" s="22"/>
      <c r="X2322" s="22"/>
      <c r="Y2322" s="22"/>
      <c r="Z2322" s="22"/>
      <c r="AA2322" s="22"/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22"/>
    </row>
    <row r="2323" spans="5:54" x14ac:dyDescent="0.35"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22"/>
      <c r="V2323" s="22"/>
      <c r="W2323" s="22"/>
      <c r="X2323" s="22"/>
      <c r="Y2323" s="22"/>
      <c r="Z2323" s="22"/>
      <c r="AA2323" s="22"/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22"/>
    </row>
    <row r="2324" spans="5:54" x14ac:dyDescent="0.35"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22"/>
      <c r="V2324" s="22"/>
      <c r="W2324" s="22"/>
      <c r="X2324" s="22"/>
      <c r="Y2324" s="22"/>
      <c r="Z2324" s="22"/>
      <c r="AA2324" s="22"/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22"/>
    </row>
    <row r="2325" spans="5:54" x14ac:dyDescent="0.35"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22"/>
      <c r="V2325" s="22"/>
      <c r="W2325" s="22"/>
      <c r="X2325" s="22"/>
      <c r="Y2325" s="22"/>
      <c r="Z2325" s="22"/>
      <c r="AA2325" s="22"/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22"/>
    </row>
    <row r="2326" spans="5:54" x14ac:dyDescent="0.35"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22"/>
      <c r="V2326" s="22"/>
      <c r="W2326" s="22"/>
      <c r="X2326" s="22"/>
      <c r="Y2326" s="22"/>
      <c r="Z2326" s="22"/>
      <c r="AA2326" s="22"/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22"/>
    </row>
    <row r="2327" spans="5:54" x14ac:dyDescent="0.35"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22"/>
      <c r="V2327" s="22"/>
      <c r="W2327" s="22"/>
      <c r="X2327" s="22"/>
      <c r="Y2327" s="22"/>
      <c r="Z2327" s="22"/>
      <c r="AA2327" s="22"/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22"/>
    </row>
    <row r="2328" spans="5:54" x14ac:dyDescent="0.35"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22"/>
      <c r="V2328" s="22"/>
      <c r="W2328" s="22"/>
      <c r="X2328" s="22"/>
      <c r="Y2328" s="22"/>
      <c r="Z2328" s="22"/>
      <c r="AA2328" s="22"/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22"/>
    </row>
    <row r="2329" spans="5:54" x14ac:dyDescent="0.35"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22"/>
      <c r="V2329" s="22"/>
      <c r="W2329" s="22"/>
      <c r="X2329" s="22"/>
      <c r="Y2329" s="22"/>
      <c r="Z2329" s="22"/>
      <c r="AA2329" s="22"/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22"/>
    </row>
    <row r="2330" spans="5:54" x14ac:dyDescent="0.35"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22"/>
      <c r="V2330" s="22"/>
      <c r="W2330" s="22"/>
      <c r="X2330" s="22"/>
      <c r="Y2330" s="22"/>
      <c r="Z2330" s="22"/>
      <c r="AA2330" s="22"/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22"/>
    </row>
    <row r="2331" spans="5:54" x14ac:dyDescent="0.35"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22"/>
      <c r="V2331" s="22"/>
      <c r="W2331" s="22"/>
      <c r="X2331" s="22"/>
      <c r="Y2331" s="22"/>
      <c r="Z2331" s="22"/>
      <c r="AA2331" s="22"/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22"/>
    </row>
    <row r="2332" spans="5:54" x14ac:dyDescent="0.35"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22"/>
      <c r="V2332" s="22"/>
      <c r="W2332" s="22"/>
      <c r="X2332" s="22"/>
      <c r="Y2332" s="22"/>
      <c r="Z2332" s="22"/>
      <c r="AA2332" s="22"/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22"/>
    </row>
    <row r="2333" spans="5:54" x14ac:dyDescent="0.35"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22"/>
      <c r="V2333" s="22"/>
      <c r="W2333" s="22"/>
      <c r="X2333" s="22"/>
      <c r="Y2333" s="22"/>
      <c r="Z2333" s="22"/>
      <c r="AA2333" s="22"/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22"/>
    </row>
    <row r="2334" spans="5:54" x14ac:dyDescent="0.35"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22"/>
      <c r="V2334" s="22"/>
      <c r="W2334" s="22"/>
      <c r="X2334" s="22"/>
      <c r="Y2334" s="22"/>
      <c r="Z2334" s="22"/>
      <c r="AA2334" s="22"/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22"/>
    </row>
    <row r="2335" spans="5:54" x14ac:dyDescent="0.35"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22"/>
      <c r="V2335" s="22"/>
      <c r="W2335" s="22"/>
      <c r="X2335" s="22"/>
      <c r="Y2335" s="22"/>
      <c r="Z2335" s="22"/>
      <c r="AA2335" s="22"/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22"/>
    </row>
    <row r="2336" spans="5:54" x14ac:dyDescent="0.35"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22"/>
      <c r="V2336" s="22"/>
      <c r="W2336" s="22"/>
      <c r="X2336" s="22"/>
      <c r="Y2336" s="22"/>
      <c r="Z2336" s="22"/>
      <c r="AA2336" s="22"/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22"/>
    </row>
    <row r="2337" spans="5:54" x14ac:dyDescent="0.35"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22"/>
      <c r="V2337" s="22"/>
      <c r="W2337" s="22"/>
      <c r="X2337" s="22"/>
      <c r="Y2337" s="22"/>
      <c r="Z2337" s="22"/>
      <c r="AA2337" s="22"/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22"/>
    </row>
    <row r="2338" spans="5:54" x14ac:dyDescent="0.35"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22"/>
      <c r="V2338" s="22"/>
      <c r="W2338" s="22"/>
      <c r="X2338" s="22"/>
      <c r="Y2338" s="22"/>
      <c r="Z2338" s="22"/>
      <c r="AA2338" s="22"/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22"/>
    </row>
    <row r="2339" spans="5:54" x14ac:dyDescent="0.35"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22"/>
      <c r="V2339" s="22"/>
      <c r="W2339" s="22"/>
      <c r="X2339" s="22"/>
      <c r="Y2339" s="22"/>
      <c r="Z2339" s="22"/>
      <c r="AA2339" s="22"/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22"/>
    </row>
    <row r="2340" spans="5:54" x14ac:dyDescent="0.35"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22"/>
      <c r="V2340" s="22"/>
      <c r="W2340" s="22"/>
      <c r="X2340" s="22"/>
      <c r="Y2340" s="22"/>
      <c r="Z2340" s="22"/>
      <c r="AA2340" s="22"/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22"/>
    </row>
    <row r="2341" spans="5:54" x14ac:dyDescent="0.35"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22"/>
      <c r="V2341" s="22"/>
      <c r="W2341" s="22"/>
      <c r="X2341" s="22"/>
      <c r="Y2341" s="22"/>
      <c r="Z2341" s="22"/>
      <c r="AA2341" s="22"/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22"/>
    </row>
    <row r="2342" spans="5:54" x14ac:dyDescent="0.35"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22"/>
      <c r="V2342" s="22"/>
      <c r="W2342" s="22"/>
      <c r="X2342" s="22"/>
      <c r="Y2342" s="22"/>
      <c r="Z2342" s="22"/>
      <c r="AA2342" s="22"/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22"/>
    </row>
    <row r="2343" spans="5:54" x14ac:dyDescent="0.35"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22"/>
      <c r="V2343" s="22"/>
      <c r="W2343" s="22"/>
      <c r="X2343" s="22"/>
      <c r="Y2343" s="22"/>
      <c r="Z2343" s="22"/>
      <c r="AA2343" s="22"/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22"/>
    </row>
    <row r="2344" spans="5:54" x14ac:dyDescent="0.35"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22"/>
      <c r="V2344" s="22"/>
      <c r="W2344" s="22"/>
      <c r="X2344" s="22"/>
      <c r="Y2344" s="22"/>
      <c r="Z2344" s="22"/>
      <c r="AA2344" s="22"/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22"/>
    </row>
    <row r="2345" spans="5:54" x14ac:dyDescent="0.35"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22"/>
      <c r="V2345" s="22"/>
      <c r="W2345" s="22"/>
      <c r="X2345" s="22"/>
      <c r="Y2345" s="22"/>
      <c r="Z2345" s="22"/>
      <c r="AA2345" s="22"/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22"/>
    </row>
    <row r="2346" spans="5:54" x14ac:dyDescent="0.35"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22"/>
      <c r="V2346" s="22"/>
      <c r="W2346" s="22"/>
      <c r="X2346" s="22"/>
      <c r="Y2346" s="22"/>
      <c r="Z2346" s="22"/>
      <c r="AA2346" s="22"/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22"/>
    </row>
    <row r="2347" spans="5:54" x14ac:dyDescent="0.35"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22"/>
      <c r="V2347" s="22"/>
      <c r="W2347" s="22"/>
      <c r="X2347" s="22"/>
      <c r="Y2347" s="22"/>
      <c r="Z2347" s="22"/>
      <c r="AA2347" s="22"/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22"/>
    </row>
    <row r="2348" spans="5:54" x14ac:dyDescent="0.35"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22"/>
      <c r="V2348" s="22"/>
      <c r="W2348" s="22"/>
      <c r="X2348" s="22"/>
      <c r="Y2348" s="22"/>
      <c r="Z2348" s="22"/>
      <c r="AA2348" s="22"/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22"/>
    </row>
    <row r="2349" spans="5:54" x14ac:dyDescent="0.35"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22"/>
      <c r="V2349" s="22"/>
      <c r="W2349" s="22"/>
      <c r="X2349" s="22"/>
      <c r="Y2349" s="22"/>
      <c r="Z2349" s="22"/>
      <c r="AA2349" s="22"/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22"/>
    </row>
    <row r="2350" spans="5:54" x14ac:dyDescent="0.35"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22"/>
      <c r="V2350" s="22"/>
      <c r="W2350" s="22"/>
      <c r="X2350" s="22"/>
      <c r="Y2350" s="22"/>
      <c r="Z2350" s="22"/>
      <c r="AA2350" s="22"/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22"/>
    </row>
    <row r="2351" spans="5:54" x14ac:dyDescent="0.35"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22"/>
      <c r="V2351" s="22"/>
      <c r="W2351" s="22"/>
      <c r="X2351" s="22"/>
      <c r="Y2351" s="22"/>
      <c r="Z2351" s="22"/>
      <c r="AA2351" s="22"/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22"/>
    </row>
    <row r="2352" spans="5:54" x14ac:dyDescent="0.35"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22"/>
      <c r="V2352" s="22"/>
      <c r="W2352" s="22"/>
      <c r="X2352" s="22"/>
      <c r="Y2352" s="22"/>
      <c r="Z2352" s="22"/>
      <c r="AA2352" s="22"/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22"/>
    </row>
    <row r="2353" spans="5:54" x14ac:dyDescent="0.35"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22"/>
      <c r="V2353" s="22"/>
      <c r="W2353" s="22"/>
      <c r="X2353" s="22"/>
      <c r="Y2353" s="22"/>
      <c r="Z2353" s="22"/>
      <c r="AA2353" s="22"/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22"/>
    </row>
    <row r="2354" spans="5:54" x14ac:dyDescent="0.35"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22"/>
      <c r="V2354" s="22"/>
      <c r="W2354" s="22"/>
      <c r="X2354" s="22"/>
      <c r="Y2354" s="22"/>
      <c r="Z2354" s="22"/>
      <c r="AA2354" s="22"/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22"/>
    </row>
    <row r="2355" spans="5:54" x14ac:dyDescent="0.35"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22"/>
      <c r="V2355" s="22"/>
      <c r="W2355" s="22"/>
      <c r="X2355" s="22"/>
      <c r="Y2355" s="22"/>
      <c r="Z2355" s="22"/>
      <c r="AA2355" s="22"/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22"/>
    </row>
    <row r="2356" spans="5:54" x14ac:dyDescent="0.35"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22"/>
      <c r="V2356" s="22"/>
      <c r="W2356" s="22"/>
      <c r="X2356" s="22"/>
      <c r="Y2356" s="22"/>
      <c r="Z2356" s="22"/>
      <c r="AA2356" s="22"/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22"/>
    </row>
    <row r="2357" spans="5:54" x14ac:dyDescent="0.35"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22"/>
      <c r="V2357" s="22"/>
      <c r="W2357" s="22"/>
      <c r="X2357" s="22"/>
      <c r="Y2357" s="22"/>
      <c r="Z2357" s="22"/>
      <c r="AA2357" s="22"/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22"/>
    </row>
    <row r="2358" spans="5:54" x14ac:dyDescent="0.35"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22"/>
      <c r="V2358" s="22"/>
      <c r="W2358" s="22"/>
      <c r="X2358" s="22"/>
      <c r="Y2358" s="22"/>
      <c r="Z2358" s="22"/>
      <c r="AA2358" s="22"/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22"/>
    </row>
    <row r="2359" spans="5:54" x14ac:dyDescent="0.35"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22"/>
      <c r="V2359" s="22"/>
      <c r="W2359" s="22"/>
      <c r="X2359" s="22"/>
      <c r="Y2359" s="22"/>
      <c r="Z2359" s="22"/>
      <c r="AA2359" s="22"/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22"/>
    </row>
    <row r="2360" spans="5:54" x14ac:dyDescent="0.35"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22"/>
    </row>
    <row r="2361" spans="5:54" x14ac:dyDescent="0.35"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22"/>
      <c r="V2361" s="22"/>
      <c r="W2361" s="22"/>
      <c r="X2361" s="22"/>
      <c r="Y2361" s="22"/>
      <c r="Z2361" s="22"/>
      <c r="AA2361" s="22"/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22"/>
    </row>
    <row r="2362" spans="5:54" x14ac:dyDescent="0.35"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22"/>
      <c r="V2362" s="22"/>
      <c r="W2362" s="22"/>
      <c r="X2362" s="22"/>
      <c r="Y2362" s="22"/>
      <c r="Z2362" s="22"/>
      <c r="AA2362" s="22"/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22"/>
    </row>
    <row r="2363" spans="5:54" x14ac:dyDescent="0.35"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22"/>
      <c r="V2363" s="22"/>
      <c r="W2363" s="22"/>
      <c r="X2363" s="22"/>
      <c r="Y2363" s="22"/>
      <c r="Z2363" s="22"/>
      <c r="AA2363" s="22"/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22"/>
    </row>
    <row r="2364" spans="5:54" x14ac:dyDescent="0.35"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22"/>
      <c r="V2364" s="22"/>
      <c r="W2364" s="22"/>
      <c r="X2364" s="22"/>
      <c r="Y2364" s="22"/>
      <c r="Z2364" s="22"/>
      <c r="AA2364" s="22"/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22"/>
    </row>
    <row r="2365" spans="5:54" x14ac:dyDescent="0.35"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22"/>
      <c r="V2365" s="22"/>
      <c r="W2365" s="22"/>
      <c r="X2365" s="22"/>
      <c r="Y2365" s="22"/>
      <c r="Z2365" s="22"/>
      <c r="AA2365" s="22"/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22"/>
    </row>
    <row r="2366" spans="5:54" x14ac:dyDescent="0.35"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22"/>
      <c r="V2366" s="22"/>
      <c r="W2366" s="22"/>
      <c r="X2366" s="22"/>
      <c r="Y2366" s="22"/>
      <c r="Z2366" s="22"/>
      <c r="AA2366" s="22"/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22"/>
    </row>
    <row r="2367" spans="5:54" x14ac:dyDescent="0.35"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22"/>
      <c r="V2367" s="22"/>
      <c r="W2367" s="22"/>
      <c r="X2367" s="22"/>
      <c r="Y2367" s="22"/>
      <c r="Z2367" s="22"/>
      <c r="AA2367" s="22"/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22"/>
    </row>
    <row r="2368" spans="5:54" x14ac:dyDescent="0.35"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22"/>
      <c r="V2368" s="22"/>
      <c r="W2368" s="22"/>
      <c r="X2368" s="22"/>
      <c r="Y2368" s="22"/>
      <c r="Z2368" s="22"/>
      <c r="AA2368" s="22"/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22"/>
    </row>
    <row r="2369" spans="5:54" x14ac:dyDescent="0.35"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22"/>
      <c r="V2369" s="22"/>
      <c r="W2369" s="22"/>
      <c r="X2369" s="22"/>
      <c r="Y2369" s="22"/>
      <c r="Z2369" s="22"/>
      <c r="AA2369" s="22"/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22"/>
    </row>
    <row r="2370" spans="5:54" x14ac:dyDescent="0.35"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22"/>
      <c r="V2370" s="22"/>
      <c r="W2370" s="22"/>
      <c r="X2370" s="22"/>
      <c r="Y2370" s="22"/>
      <c r="Z2370" s="22"/>
      <c r="AA2370" s="22"/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22"/>
    </row>
    <row r="2371" spans="5:54" x14ac:dyDescent="0.35"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22"/>
      <c r="V2371" s="22"/>
      <c r="W2371" s="22"/>
      <c r="X2371" s="22"/>
      <c r="Y2371" s="22"/>
      <c r="Z2371" s="22"/>
      <c r="AA2371" s="22"/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22"/>
    </row>
    <row r="2372" spans="5:54" x14ac:dyDescent="0.35"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22"/>
      <c r="V2372" s="22"/>
      <c r="W2372" s="22"/>
      <c r="X2372" s="22"/>
      <c r="Y2372" s="22"/>
      <c r="Z2372" s="22"/>
      <c r="AA2372" s="22"/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22"/>
    </row>
    <row r="2373" spans="5:54" x14ac:dyDescent="0.35"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22"/>
      <c r="V2373" s="22"/>
      <c r="W2373" s="22"/>
      <c r="X2373" s="22"/>
      <c r="Y2373" s="22"/>
      <c r="Z2373" s="22"/>
      <c r="AA2373" s="22"/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22"/>
    </row>
    <row r="2374" spans="5:54" x14ac:dyDescent="0.35"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22"/>
      <c r="V2374" s="22"/>
      <c r="W2374" s="22"/>
      <c r="X2374" s="22"/>
      <c r="Y2374" s="22"/>
      <c r="Z2374" s="22"/>
      <c r="AA2374" s="22"/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22"/>
    </row>
    <row r="2375" spans="5:54" x14ac:dyDescent="0.35"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22"/>
      <c r="V2375" s="22"/>
      <c r="W2375" s="22"/>
      <c r="X2375" s="22"/>
      <c r="Y2375" s="22"/>
      <c r="Z2375" s="22"/>
      <c r="AA2375" s="22"/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22"/>
    </row>
    <row r="2376" spans="5:54" x14ac:dyDescent="0.35"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22"/>
      <c r="V2376" s="22"/>
      <c r="W2376" s="22"/>
      <c r="X2376" s="22"/>
      <c r="Y2376" s="22"/>
      <c r="Z2376" s="22"/>
      <c r="AA2376" s="22"/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22"/>
    </row>
    <row r="2377" spans="5:54" x14ac:dyDescent="0.35"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22"/>
      <c r="V2377" s="22"/>
      <c r="W2377" s="22"/>
      <c r="X2377" s="22"/>
      <c r="Y2377" s="22"/>
      <c r="Z2377" s="22"/>
      <c r="AA2377" s="22"/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22"/>
    </row>
    <row r="2378" spans="5:54" x14ac:dyDescent="0.35"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22"/>
      <c r="V2378" s="22"/>
      <c r="W2378" s="22"/>
      <c r="X2378" s="22"/>
      <c r="Y2378" s="22"/>
      <c r="Z2378" s="22"/>
      <c r="AA2378" s="22"/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22"/>
    </row>
    <row r="2379" spans="5:54" x14ac:dyDescent="0.35"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22"/>
      <c r="V2379" s="22"/>
      <c r="W2379" s="22"/>
      <c r="X2379" s="22"/>
      <c r="Y2379" s="22"/>
      <c r="Z2379" s="22"/>
      <c r="AA2379" s="22"/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22"/>
    </row>
    <row r="2380" spans="5:54" x14ac:dyDescent="0.35"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22"/>
      <c r="V2380" s="22"/>
      <c r="W2380" s="22"/>
      <c r="X2380" s="22"/>
      <c r="Y2380" s="22"/>
      <c r="Z2380" s="22"/>
      <c r="AA2380" s="22"/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22"/>
    </row>
    <row r="2381" spans="5:54" x14ac:dyDescent="0.35"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22"/>
      <c r="V2381" s="22"/>
      <c r="W2381" s="22"/>
      <c r="X2381" s="22"/>
      <c r="Y2381" s="22"/>
      <c r="Z2381" s="22"/>
      <c r="AA2381" s="22"/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22"/>
    </row>
    <row r="2382" spans="5:54" x14ac:dyDescent="0.35"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22"/>
      <c r="V2382" s="22"/>
      <c r="W2382" s="22"/>
      <c r="X2382" s="22"/>
      <c r="Y2382" s="22"/>
      <c r="Z2382" s="22"/>
      <c r="AA2382" s="22"/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22"/>
    </row>
    <row r="2383" spans="5:54" x14ac:dyDescent="0.35"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22"/>
      <c r="V2383" s="22"/>
      <c r="W2383" s="22"/>
      <c r="X2383" s="22"/>
      <c r="Y2383" s="22"/>
      <c r="Z2383" s="22"/>
      <c r="AA2383" s="22"/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22"/>
    </row>
    <row r="2384" spans="5:54" x14ac:dyDescent="0.35"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22"/>
      <c r="V2384" s="22"/>
      <c r="W2384" s="22"/>
      <c r="X2384" s="22"/>
      <c r="Y2384" s="22"/>
      <c r="Z2384" s="22"/>
      <c r="AA2384" s="22"/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22"/>
    </row>
    <row r="2385" spans="5:54" x14ac:dyDescent="0.35"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22"/>
      <c r="V2385" s="22"/>
      <c r="W2385" s="22"/>
      <c r="X2385" s="22"/>
      <c r="Y2385" s="22"/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22"/>
    </row>
    <row r="2386" spans="5:54" x14ac:dyDescent="0.35"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22"/>
      <c r="V2386" s="22"/>
      <c r="W2386" s="22"/>
      <c r="X2386" s="22"/>
      <c r="Y2386" s="22"/>
      <c r="Z2386" s="22"/>
      <c r="AA2386" s="22"/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22"/>
    </row>
    <row r="2387" spans="5:54" x14ac:dyDescent="0.35"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22"/>
      <c r="V2387" s="22"/>
      <c r="W2387" s="22"/>
      <c r="X2387" s="22"/>
      <c r="Y2387" s="22"/>
      <c r="Z2387" s="22"/>
      <c r="AA2387" s="22"/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22"/>
    </row>
    <row r="2388" spans="5:54" x14ac:dyDescent="0.35"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22"/>
      <c r="V2388" s="22"/>
      <c r="W2388" s="22"/>
      <c r="X2388" s="22"/>
      <c r="Y2388" s="22"/>
      <c r="Z2388" s="22"/>
      <c r="AA2388" s="22"/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22"/>
    </row>
    <row r="2389" spans="5:54" x14ac:dyDescent="0.35"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22"/>
      <c r="V2389" s="22"/>
      <c r="W2389" s="22"/>
      <c r="X2389" s="22"/>
      <c r="Y2389" s="22"/>
      <c r="Z2389" s="22"/>
      <c r="AA2389" s="22"/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22"/>
    </row>
    <row r="2390" spans="5:54" x14ac:dyDescent="0.35"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22"/>
      <c r="V2390" s="22"/>
      <c r="W2390" s="22"/>
      <c r="X2390" s="22"/>
      <c r="Y2390" s="22"/>
      <c r="Z2390" s="22"/>
      <c r="AA2390" s="22"/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22"/>
    </row>
    <row r="2391" spans="5:54" x14ac:dyDescent="0.35"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22"/>
      <c r="V2391" s="22"/>
      <c r="W2391" s="22"/>
      <c r="X2391" s="22"/>
      <c r="Y2391" s="22"/>
      <c r="Z2391" s="22"/>
      <c r="AA2391" s="22"/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22"/>
    </row>
    <row r="2392" spans="5:54" x14ac:dyDescent="0.35"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22"/>
      <c r="V2392" s="22"/>
      <c r="W2392" s="22"/>
      <c r="X2392" s="22"/>
      <c r="Y2392" s="22"/>
      <c r="Z2392" s="22"/>
      <c r="AA2392" s="22"/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22"/>
    </row>
    <row r="2393" spans="5:54" x14ac:dyDescent="0.35"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22"/>
      <c r="V2393" s="22"/>
      <c r="W2393" s="22"/>
      <c r="X2393" s="22"/>
      <c r="Y2393" s="22"/>
      <c r="Z2393" s="22"/>
      <c r="AA2393" s="22"/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22"/>
    </row>
    <row r="2394" spans="5:54" x14ac:dyDescent="0.35"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22"/>
      <c r="V2394" s="22"/>
      <c r="W2394" s="22"/>
      <c r="X2394" s="22"/>
      <c r="Y2394" s="22"/>
      <c r="Z2394" s="22"/>
      <c r="AA2394" s="22"/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22"/>
    </row>
    <row r="2395" spans="5:54" x14ac:dyDescent="0.35"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22"/>
      <c r="V2395" s="22"/>
      <c r="W2395" s="22"/>
      <c r="X2395" s="22"/>
      <c r="Y2395" s="22"/>
      <c r="Z2395" s="22"/>
      <c r="AA2395" s="22"/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22"/>
    </row>
    <row r="2396" spans="5:54" x14ac:dyDescent="0.35"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22"/>
      <c r="V2396" s="22"/>
      <c r="W2396" s="22"/>
      <c r="X2396" s="22"/>
      <c r="Y2396" s="22"/>
      <c r="Z2396" s="22"/>
      <c r="AA2396" s="22"/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22"/>
    </row>
    <row r="2397" spans="5:54" x14ac:dyDescent="0.35"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22"/>
      <c r="V2397" s="22"/>
      <c r="W2397" s="22"/>
      <c r="X2397" s="22"/>
      <c r="Y2397" s="22"/>
      <c r="Z2397" s="22"/>
      <c r="AA2397" s="22"/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22"/>
    </row>
    <row r="2398" spans="5:54" x14ac:dyDescent="0.35"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22"/>
      <c r="V2398" s="22"/>
      <c r="W2398" s="22"/>
      <c r="X2398" s="22"/>
      <c r="Y2398" s="22"/>
      <c r="Z2398" s="22"/>
      <c r="AA2398" s="22"/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22"/>
    </row>
    <row r="2399" spans="5:54" x14ac:dyDescent="0.35"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22"/>
      <c r="V2399" s="22"/>
      <c r="W2399" s="22"/>
      <c r="X2399" s="22"/>
      <c r="Y2399" s="22"/>
      <c r="Z2399" s="22"/>
      <c r="AA2399" s="22"/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22"/>
    </row>
    <row r="2400" spans="5:54" x14ac:dyDescent="0.35"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22"/>
      <c r="V2400" s="22"/>
      <c r="W2400" s="22"/>
      <c r="X2400" s="22"/>
      <c r="Y2400" s="22"/>
      <c r="Z2400" s="22"/>
      <c r="AA2400" s="22"/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22"/>
    </row>
    <row r="2401" spans="5:54" x14ac:dyDescent="0.35"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22"/>
      <c r="V2401" s="22"/>
      <c r="W2401" s="22"/>
      <c r="X2401" s="22"/>
      <c r="Y2401" s="22"/>
      <c r="Z2401" s="22"/>
      <c r="AA2401" s="22"/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22"/>
    </row>
    <row r="2402" spans="5:54" x14ac:dyDescent="0.35"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2"/>
      <c r="T2402" s="22"/>
      <c r="U2402" s="22"/>
      <c r="V2402" s="22"/>
      <c r="W2402" s="22"/>
      <c r="X2402" s="22"/>
      <c r="Y2402" s="22"/>
      <c r="Z2402" s="22"/>
      <c r="AA2402" s="22"/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22"/>
    </row>
    <row r="2403" spans="5:54" x14ac:dyDescent="0.35"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2"/>
      <c r="T2403" s="22"/>
      <c r="U2403" s="22"/>
      <c r="V2403" s="22"/>
      <c r="W2403" s="22"/>
      <c r="X2403" s="22"/>
      <c r="Y2403" s="22"/>
      <c r="Z2403" s="22"/>
      <c r="AA2403" s="22"/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22"/>
    </row>
    <row r="2404" spans="5:54" x14ac:dyDescent="0.35"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2"/>
      <c r="T2404" s="22"/>
      <c r="U2404" s="22"/>
      <c r="V2404" s="22"/>
      <c r="W2404" s="22"/>
      <c r="X2404" s="22"/>
      <c r="Y2404" s="22"/>
      <c r="Z2404" s="22"/>
      <c r="AA2404" s="22"/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22"/>
    </row>
    <row r="2405" spans="5:54" x14ac:dyDescent="0.35"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2"/>
      <c r="T2405" s="22"/>
      <c r="U2405" s="22"/>
      <c r="V2405" s="22"/>
      <c r="W2405" s="22"/>
      <c r="X2405" s="22"/>
      <c r="Y2405" s="22"/>
      <c r="Z2405" s="22"/>
      <c r="AA2405" s="22"/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22"/>
    </row>
    <row r="2406" spans="5:54" x14ac:dyDescent="0.35"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2"/>
      <c r="T2406" s="22"/>
      <c r="U2406" s="22"/>
      <c r="V2406" s="22"/>
      <c r="W2406" s="22"/>
      <c r="X2406" s="22"/>
      <c r="Y2406" s="22"/>
      <c r="Z2406" s="22"/>
      <c r="AA2406" s="22"/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22"/>
    </row>
    <row r="2407" spans="5:54" x14ac:dyDescent="0.35"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2"/>
      <c r="T2407" s="22"/>
      <c r="U2407" s="22"/>
      <c r="V2407" s="22"/>
      <c r="W2407" s="22"/>
      <c r="X2407" s="22"/>
      <c r="Y2407" s="22"/>
      <c r="Z2407" s="22"/>
      <c r="AA2407" s="22"/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22"/>
    </row>
    <row r="2408" spans="5:54" x14ac:dyDescent="0.35"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2"/>
      <c r="T2408" s="22"/>
      <c r="U2408" s="22"/>
      <c r="V2408" s="22"/>
      <c r="W2408" s="22"/>
      <c r="X2408" s="22"/>
      <c r="Y2408" s="22"/>
      <c r="Z2408" s="22"/>
      <c r="AA2408" s="22"/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22"/>
    </row>
    <row r="2409" spans="5:54" x14ac:dyDescent="0.35"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2"/>
      <c r="T2409" s="22"/>
      <c r="U2409" s="22"/>
      <c r="V2409" s="22"/>
      <c r="W2409" s="22"/>
      <c r="X2409" s="22"/>
      <c r="Y2409" s="22"/>
      <c r="Z2409" s="22"/>
      <c r="AA2409" s="22"/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22"/>
    </row>
    <row r="2410" spans="5:54" x14ac:dyDescent="0.35"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2"/>
      <c r="T2410" s="22"/>
      <c r="U2410" s="22"/>
      <c r="V2410" s="22"/>
      <c r="W2410" s="22"/>
      <c r="X2410" s="22"/>
      <c r="Y2410" s="22"/>
      <c r="Z2410" s="22"/>
      <c r="AA2410" s="22"/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22"/>
    </row>
    <row r="2411" spans="5:54" x14ac:dyDescent="0.35"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2"/>
      <c r="T2411" s="22"/>
      <c r="U2411" s="22"/>
      <c r="V2411" s="22"/>
      <c r="W2411" s="22"/>
      <c r="X2411" s="22"/>
      <c r="Y2411" s="22"/>
      <c r="Z2411" s="22"/>
      <c r="AA2411" s="22"/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22"/>
    </row>
    <row r="2412" spans="5:54" x14ac:dyDescent="0.35"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2"/>
      <c r="T2412" s="22"/>
      <c r="U2412" s="22"/>
      <c r="V2412" s="22"/>
      <c r="W2412" s="22"/>
      <c r="X2412" s="22"/>
      <c r="Y2412" s="22"/>
      <c r="Z2412" s="22"/>
      <c r="AA2412" s="22"/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22"/>
    </row>
    <row r="2413" spans="5:54" x14ac:dyDescent="0.35"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2"/>
      <c r="T2413" s="22"/>
      <c r="U2413" s="22"/>
      <c r="V2413" s="22"/>
      <c r="W2413" s="22"/>
      <c r="X2413" s="22"/>
      <c r="Y2413" s="22"/>
      <c r="Z2413" s="22"/>
      <c r="AA2413" s="22"/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22"/>
    </row>
    <row r="2414" spans="5:54" x14ac:dyDescent="0.35"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2"/>
      <c r="T2414" s="22"/>
      <c r="U2414" s="22"/>
      <c r="V2414" s="22"/>
      <c r="W2414" s="22"/>
      <c r="X2414" s="22"/>
      <c r="Y2414" s="22"/>
      <c r="Z2414" s="22"/>
      <c r="AA2414" s="22"/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22"/>
    </row>
    <row r="2415" spans="5:54" x14ac:dyDescent="0.35"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2"/>
      <c r="T2415" s="22"/>
      <c r="U2415" s="22"/>
      <c r="V2415" s="22"/>
      <c r="W2415" s="22"/>
      <c r="X2415" s="22"/>
      <c r="Y2415" s="22"/>
      <c r="Z2415" s="22"/>
      <c r="AA2415" s="22"/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22"/>
    </row>
    <row r="2416" spans="5:54" x14ac:dyDescent="0.35"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2"/>
      <c r="T2416" s="22"/>
      <c r="U2416" s="22"/>
      <c r="V2416" s="22"/>
      <c r="W2416" s="22"/>
      <c r="X2416" s="22"/>
      <c r="Y2416" s="22"/>
      <c r="Z2416" s="22"/>
      <c r="AA2416" s="22"/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22"/>
    </row>
    <row r="2417" spans="5:54" x14ac:dyDescent="0.35"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2"/>
      <c r="T2417" s="22"/>
      <c r="U2417" s="22"/>
      <c r="V2417" s="22"/>
      <c r="W2417" s="22"/>
      <c r="X2417" s="22"/>
      <c r="Y2417" s="22"/>
      <c r="Z2417" s="22"/>
      <c r="AA2417" s="22"/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22"/>
    </row>
    <row r="2418" spans="5:54" x14ac:dyDescent="0.35"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2"/>
      <c r="T2418" s="22"/>
      <c r="U2418" s="22"/>
      <c r="V2418" s="22"/>
      <c r="W2418" s="22"/>
      <c r="X2418" s="22"/>
      <c r="Y2418" s="22"/>
      <c r="Z2418" s="22"/>
      <c r="AA2418" s="22"/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22"/>
    </row>
    <row r="2419" spans="5:54" x14ac:dyDescent="0.35"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2"/>
      <c r="T2419" s="22"/>
      <c r="U2419" s="22"/>
      <c r="V2419" s="22"/>
      <c r="W2419" s="22"/>
      <c r="X2419" s="22"/>
      <c r="Y2419" s="22"/>
      <c r="Z2419" s="22"/>
      <c r="AA2419" s="22"/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22"/>
    </row>
    <row r="2420" spans="5:54" x14ac:dyDescent="0.35"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2"/>
      <c r="T2420" s="22"/>
      <c r="U2420" s="22"/>
      <c r="V2420" s="22"/>
      <c r="W2420" s="22"/>
      <c r="X2420" s="22"/>
      <c r="Y2420" s="22"/>
      <c r="Z2420" s="22"/>
      <c r="AA2420" s="22"/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22"/>
    </row>
    <row r="2421" spans="5:54" x14ac:dyDescent="0.35"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2"/>
      <c r="T2421" s="22"/>
      <c r="U2421" s="22"/>
      <c r="V2421" s="22"/>
      <c r="W2421" s="22"/>
      <c r="X2421" s="22"/>
      <c r="Y2421" s="22"/>
      <c r="Z2421" s="22"/>
      <c r="AA2421" s="22"/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22"/>
    </row>
    <row r="2422" spans="5:54" x14ac:dyDescent="0.35"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2"/>
      <c r="T2422" s="22"/>
      <c r="U2422" s="22"/>
      <c r="V2422" s="22"/>
      <c r="W2422" s="22"/>
      <c r="X2422" s="22"/>
      <c r="Y2422" s="22"/>
      <c r="Z2422" s="22"/>
      <c r="AA2422" s="22"/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22"/>
    </row>
    <row r="2423" spans="5:54" x14ac:dyDescent="0.35"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2"/>
      <c r="T2423" s="22"/>
      <c r="U2423" s="22"/>
      <c r="V2423" s="22"/>
      <c r="W2423" s="22"/>
      <c r="X2423" s="22"/>
      <c r="Y2423" s="22"/>
      <c r="Z2423" s="22"/>
      <c r="AA2423" s="22"/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22"/>
    </row>
    <row r="2424" spans="5:54" x14ac:dyDescent="0.35"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2"/>
      <c r="T2424" s="22"/>
      <c r="U2424" s="22"/>
      <c r="V2424" s="22"/>
      <c r="W2424" s="22"/>
      <c r="X2424" s="22"/>
      <c r="Y2424" s="22"/>
      <c r="Z2424" s="22"/>
      <c r="AA2424" s="22"/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22"/>
    </row>
    <row r="2425" spans="5:54" x14ac:dyDescent="0.35"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2"/>
      <c r="T2425" s="22"/>
      <c r="U2425" s="22"/>
      <c r="V2425" s="22"/>
      <c r="W2425" s="22"/>
      <c r="X2425" s="22"/>
      <c r="Y2425" s="22"/>
      <c r="Z2425" s="22"/>
      <c r="AA2425" s="22"/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22"/>
    </row>
    <row r="2426" spans="5:54" x14ac:dyDescent="0.35"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2"/>
      <c r="T2426" s="22"/>
      <c r="U2426" s="22"/>
      <c r="V2426" s="22"/>
      <c r="W2426" s="22"/>
      <c r="X2426" s="22"/>
      <c r="Y2426" s="22"/>
      <c r="Z2426" s="22"/>
      <c r="AA2426" s="22"/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22"/>
    </row>
    <row r="2427" spans="5:54" x14ac:dyDescent="0.35"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2"/>
      <c r="T2427" s="22"/>
      <c r="U2427" s="22"/>
      <c r="V2427" s="22"/>
      <c r="W2427" s="22"/>
      <c r="X2427" s="22"/>
      <c r="Y2427" s="22"/>
      <c r="Z2427" s="22"/>
      <c r="AA2427" s="22"/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22"/>
    </row>
    <row r="2428" spans="5:54" x14ac:dyDescent="0.35"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2"/>
      <c r="T2428" s="22"/>
      <c r="U2428" s="22"/>
      <c r="V2428" s="22"/>
      <c r="W2428" s="22"/>
      <c r="X2428" s="22"/>
      <c r="Y2428" s="22"/>
      <c r="Z2428" s="22"/>
      <c r="AA2428" s="22"/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22"/>
    </row>
    <row r="2429" spans="5:54" x14ac:dyDescent="0.35"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2"/>
      <c r="T2429" s="22"/>
      <c r="U2429" s="22"/>
      <c r="V2429" s="22"/>
      <c r="W2429" s="22"/>
      <c r="X2429" s="22"/>
      <c r="Y2429" s="22"/>
      <c r="Z2429" s="22"/>
      <c r="AA2429" s="22"/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22"/>
    </row>
    <row r="2430" spans="5:54" x14ac:dyDescent="0.35"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2"/>
      <c r="T2430" s="22"/>
      <c r="U2430" s="22"/>
      <c r="V2430" s="22"/>
      <c r="W2430" s="22"/>
      <c r="X2430" s="22"/>
      <c r="Y2430" s="22"/>
      <c r="Z2430" s="22"/>
      <c r="AA2430" s="22"/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22"/>
    </row>
    <row r="2431" spans="5:54" x14ac:dyDescent="0.35"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2"/>
      <c r="T2431" s="22"/>
      <c r="U2431" s="22"/>
      <c r="V2431" s="22"/>
      <c r="W2431" s="22"/>
      <c r="X2431" s="22"/>
      <c r="Y2431" s="22"/>
      <c r="Z2431" s="22"/>
      <c r="AA2431" s="22"/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22"/>
    </row>
    <row r="2432" spans="5:54" x14ac:dyDescent="0.35"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2"/>
      <c r="T2432" s="22"/>
      <c r="U2432" s="22"/>
      <c r="V2432" s="22"/>
      <c r="W2432" s="22"/>
      <c r="X2432" s="22"/>
      <c r="Y2432" s="22"/>
      <c r="Z2432" s="22"/>
      <c r="AA2432" s="22"/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22"/>
    </row>
    <row r="2433" spans="5:54" x14ac:dyDescent="0.35"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2"/>
      <c r="T2433" s="22"/>
      <c r="U2433" s="22"/>
      <c r="V2433" s="22"/>
      <c r="W2433" s="22"/>
      <c r="X2433" s="22"/>
      <c r="Y2433" s="22"/>
      <c r="Z2433" s="22"/>
      <c r="AA2433" s="22"/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22"/>
    </row>
    <row r="2434" spans="5:54" x14ac:dyDescent="0.35"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2"/>
      <c r="T2434" s="22"/>
      <c r="U2434" s="22"/>
      <c r="V2434" s="22"/>
      <c r="W2434" s="22"/>
      <c r="X2434" s="22"/>
      <c r="Y2434" s="22"/>
      <c r="Z2434" s="22"/>
      <c r="AA2434" s="22"/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22"/>
    </row>
    <row r="2435" spans="5:54" x14ac:dyDescent="0.35"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2"/>
      <c r="T2435" s="22"/>
      <c r="U2435" s="22"/>
      <c r="V2435" s="22"/>
      <c r="W2435" s="22"/>
      <c r="X2435" s="22"/>
      <c r="Y2435" s="22"/>
      <c r="Z2435" s="22"/>
      <c r="AA2435" s="22"/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22"/>
    </row>
    <row r="2436" spans="5:54" x14ac:dyDescent="0.35"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2"/>
      <c r="T2436" s="22"/>
      <c r="U2436" s="22"/>
      <c r="V2436" s="22"/>
      <c r="W2436" s="22"/>
      <c r="X2436" s="22"/>
      <c r="Y2436" s="22"/>
      <c r="Z2436" s="22"/>
      <c r="AA2436" s="22"/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22"/>
    </row>
    <row r="2437" spans="5:54" x14ac:dyDescent="0.35"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2"/>
      <c r="T2437" s="22"/>
      <c r="U2437" s="22"/>
      <c r="V2437" s="22"/>
      <c r="W2437" s="22"/>
      <c r="X2437" s="22"/>
      <c r="Y2437" s="22"/>
      <c r="Z2437" s="22"/>
      <c r="AA2437" s="22"/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22"/>
    </row>
    <row r="2438" spans="5:54" x14ac:dyDescent="0.35"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2"/>
      <c r="T2438" s="22"/>
      <c r="U2438" s="22"/>
      <c r="V2438" s="22"/>
      <c r="W2438" s="22"/>
      <c r="X2438" s="22"/>
      <c r="Y2438" s="22"/>
      <c r="Z2438" s="22"/>
      <c r="AA2438" s="22"/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22"/>
    </row>
    <row r="2439" spans="5:54" x14ac:dyDescent="0.35"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2"/>
      <c r="T2439" s="22"/>
      <c r="U2439" s="22"/>
      <c r="V2439" s="22"/>
      <c r="W2439" s="22"/>
      <c r="X2439" s="22"/>
      <c r="Y2439" s="22"/>
      <c r="Z2439" s="22"/>
      <c r="AA2439" s="22"/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22"/>
    </row>
    <row r="2440" spans="5:54" x14ac:dyDescent="0.35"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2"/>
      <c r="T2440" s="22"/>
      <c r="U2440" s="22"/>
      <c r="V2440" s="22"/>
      <c r="W2440" s="22"/>
      <c r="X2440" s="22"/>
      <c r="Y2440" s="22"/>
      <c r="Z2440" s="22"/>
      <c r="AA2440" s="22"/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22"/>
    </row>
    <row r="2441" spans="5:54" x14ac:dyDescent="0.35"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2"/>
      <c r="T2441" s="22"/>
      <c r="U2441" s="22"/>
      <c r="V2441" s="22"/>
      <c r="W2441" s="22"/>
      <c r="X2441" s="22"/>
      <c r="Y2441" s="22"/>
      <c r="Z2441" s="22"/>
      <c r="AA2441" s="22"/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22"/>
    </row>
    <row r="2442" spans="5:54" x14ac:dyDescent="0.35"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2"/>
      <c r="T2442" s="22"/>
      <c r="U2442" s="22"/>
      <c r="V2442" s="22"/>
      <c r="W2442" s="22"/>
      <c r="X2442" s="22"/>
      <c r="Y2442" s="22"/>
      <c r="Z2442" s="22"/>
      <c r="AA2442" s="22"/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22"/>
    </row>
    <row r="2443" spans="5:54" x14ac:dyDescent="0.35"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2"/>
      <c r="T2443" s="22"/>
      <c r="U2443" s="22"/>
      <c r="V2443" s="22"/>
      <c r="W2443" s="22"/>
      <c r="X2443" s="22"/>
      <c r="Y2443" s="22"/>
      <c r="Z2443" s="22"/>
      <c r="AA2443" s="22"/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22"/>
    </row>
    <row r="2444" spans="5:54" x14ac:dyDescent="0.35"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2"/>
      <c r="T2444" s="22"/>
      <c r="U2444" s="22"/>
      <c r="V2444" s="22"/>
      <c r="W2444" s="22"/>
      <c r="X2444" s="22"/>
      <c r="Y2444" s="22"/>
      <c r="Z2444" s="22"/>
      <c r="AA2444" s="22"/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22"/>
    </row>
    <row r="2445" spans="5:54" x14ac:dyDescent="0.35"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2"/>
      <c r="T2445" s="22"/>
      <c r="U2445" s="22"/>
      <c r="V2445" s="22"/>
      <c r="W2445" s="22"/>
      <c r="X2445" s="22"/>
      <c r="Y2445" s="22"/>
      <c r="Z2445" s="22"/>
      <c r="AA2445" s="22"/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22"/>
    </row>
    <row r="2446" spans="5:54" x14ac:dyDescent="0.35"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2"/>
      <c r="T2446" s="22"/>
      <c r="U2446" s="22"/>
      <c r="V2446" s="22"/>
      <c r="W2446" s="22"/>
      <c r="X2446" s="22"/>
      <c r="Y2446" s="22"/>
      <c r="Z2446" s="22"/>
      <c r="AA2446" s="22"/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22"/>
    </row>
    <row r="2447" spans="5:54" x14ac:dyDescent="0.35"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2"/>
      <c r="T2447" s="22"/>
      <c r="U2447" s="22"/>
      <c r="V2447" s="22"/>
      <c r="W2447" s="22"/>
      <c r="X2447" s="22"/>
      <c r="Y2447" s="22"/>
      <c r="Z2447" s="22"/>
      <c r="AA2447" s="22"/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22"/>
    </row>
    <row r="2448" spans="5:54" x14ac:dyDescent="0.35"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2"/>
      <c r="T2448" s="22"/>
      <c r="U2448" s="22"/>
      <c r="V2448" s="22"/>
      <c r="W2448" s="22"/>
      <c r="X2448" s="22"/>
      <c r="Y2448" s="22"/>
      <c r="Z2448" s="22"/>
      <c r="AA2448" s="22"/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22"/>
    </row>
    <row r="2449" spans="5:54" x14ac:dyDescent="0.35"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2"/>
      <c r="T2449" s="22"/>
      <c r="U2449" s="22"/>
      <c r="V2449" s="22"/>
      <c r="W2449" s="22"/>
      <c r="X2449" s="22"/>
      <c r="Y2449" s="22"/>
      <c r="Z2449" s="22"/>
      <c r="AA2449" s="22"/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22"/>
    </row>
    <row r="2450" spans="5:54" x14ac:dyDescent="0.35"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2"/>
      <c r="T2450" s="22"/>
      <c r="U2450" s="22"/>
      <c r="V2450" s="22"/>
      <c r="W2450" s="22"/>
      <c r="X2450" s="22"/>
      <c r="Y2450" s="22"/>
      <c r="Z2450" s="22"/>
      <c r="AA2450" s="22"/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22"/>
    </row>
    <row r="2451" spans="5:54" x14ac:dyDescent="0.35"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2"/>
      <c r="T2451" s="22"/>
      <c r="U2451" s="22"/>
      <c r="V2451" s="22"/>
      <c r="W2451" s="22"/>
      <c r="X2451" s="22"/>
      <c r="Y2451" s="22"/>
      <c r="Z2451" s="22"/>
      <c r="AA2451" s="22"/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22"/>
    </row>
    <row r="2452" spans="5:54" x14ac:dyDescent="0.35"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2"/>
      <c r="T2452" s="22"/>
      <c r="U2452" s="22"/>
      <c r="V2452" s="22"/>
      <c r="W2452" s="22"/>
      <c r="X2452" s="22"/>
      <c r="Y2452" s="22"/>
      <c r="Z2452" s="22"/>
      <c r="AA2452" s="22"/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22"/>
    </row>
    <row r="2453" spans="5:54" x14ac:dyDescent="0.35"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2"/>
      <c r="T2453" s="22"/>
      <c r="U2453" s="22"/>
      <c r="V2453" s="22"/>
      <c r="W2453" s="22"/>
      <c r="X2453" s="22"/>
      <c r="Y2453" s="22"/>
      <c r="Z2453" s="22"/>
      <c r="AA2453" s="22"/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22"/>
    </row>
    <row r="2454" spans="5:54" x14ac:dyDescent="0.35"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2"/>
      <c r="T2454" s="22"/>
      <c r="U2454" s="22"/>
      <c r="V2454" s="22"/>
      <c r="W2454" s="22"/>
      <c r="X2454" s="22"/>
      <c r="Y2454" s="22"/>
      <c r="Z2454" s="22"/>
      <c r="AA2454" s="22"/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22"/>
    </row>
    <row r="2455" spans="5:54" x14ac:dyDescent="0.35"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2"/>
      <c r="T2455" s="22"/>
      <c r="U2455" s="22"/>
      <c r="V2455" s="22"/>
      <c r="W2455" s="22"/>
      <c r="X2455" s="22"/>
      <c r="Y2455" s="22"/>
      <c r="Z2455" s="22"/>
      <c r="AA2455" s="22"/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22"/>
    </row>
    <row r="2456" spans="5:54" x14ac:dyDescent="0.35"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2"/>
      <c r="T2456" s="22"/>
      <c r="U2456" s="22"/>
      <c r="V2456" s="22"/>
      <c r="W2456" s="22"/>
      <c r="X2456" s="22"/>
      <c r="Y2456" s="22"/>
      <c r="Z2456" s="22"/>
      <c r="AA2456" s="22"/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22"/>
    </row>
    <row r="2457" spans="5:54" x14ac:dyDescent="0.35"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2"/>
      <c r="T2457" s="22"/>
      <c r="U2457" s="22"/>
      <c r="V2457" s="22"/>
      <c r="W2457" s="22"/>
      <c r="X2457" s="22"/>
      <c r="Y2457" s="22"/>
      <c r="Z2457" s="22"/>
      <c r="AA2457" s="22"/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22"/>
    </row>
    <row r="2458" spans="5:54" x14ac:dyDescent="0.35"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2"/>
      <c r="T2458" s="22"/>
      <c r="U2458" s="22"/>
      <c r="V2458" s="22"/>
      <c r="W2458" s="22"/>
      <c r="X2458" s="22"/>
      <c r="Y2458" s="22"/>
      <c r="Z2458" s="22"/>
      <c r="AA2458" s="22"/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22"/>
    </row>
    <row r="2459" spans="5:54" x14ac:dyDescent="0.35"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2"/>
      <c r="T2459" s="22"/>
      <c r="U2459" s="22"/>
      <c r="V2459" s="22"/>
      <c r="W2459" s="22"/>
      <c r="X2459" s="22"/>
      <c r="Y2459" s="22"/>
      <c r="Z2459" s="22"/>
      <c r="AA2459" s="22"/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22"/>
    </row>
    <row r="2460" spans="5:54" x14ac:dyDescent="0.35"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2"/>
      <c r="T2460" s="22"/>
      <c r="U2460" s="22"/>
      <c r="V2460" s="22"/>
      <c r="W2460" s="22"/>
      <c r="X2460" s="22"/>
      <c r="Y2460" s="22"/>
      <c r="Z2460" s="22"/>
      <c r="AA2460" s="22"/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22"/>
    </row>
    <row r="2461" spans="5:54" x14ac:dyDescent="0.35"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2"/>
      <c r="T2461" s="22"/>
      <c r="U2461" s="22"/>
      <c r="V2461" s="22"/>
      <c r="W2461" s="22"/>
      <c r="X2461" s="22"/>
      <c r="Y2461" s="22"/>
      <c r="Z2461" s="22"/>
      <c r="AA2461" s="22"/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22"/>
    </row>
    <row r="2462" spans="5:54" x14ac:dyDescent="0.35"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2"/>
      <c r="T2462" s="22"/>
      <c r="U2462" s="22"/>
      <c r="V2462" s="22"/>
      <c r="W2462" s="22"/>
      <c r="X2462" s="22"/>
      <c r="Y2462" s="22"/>
      <c r="Z2462" s="22"/>
      <c r="AA2462" s="22"/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22"/>
    </row>
    <row r="2463" spans="5:54" x14ac:dyDescent="0.35"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2"/>
      <c r="T2463" s="22"/>
      <c r="U2463" s="22"/>
      <c r="V2463" s="22"/>
      <c r="W2463" s="22"/>
      <c r="X2463" s="22"/>
      <c r="Y2463" s="22"/>
      <c r="Z2463" s="22"/>
      <c r="AA2463" s="22"/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22"/>
    </row>
    <row r="2464" spans="5:54" x14ac:dyDescent="0.35"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2"/>
      <c r="T2464" s="22"/>
      <c r="U2464" s="22"/>
      <c r="V2464" s="22"/>
      <c r="W2464" s="22"/>
      <c r="X2464" s="22"/>
      <c r="Y2464" s="22"/>
      <c r="Z2464" s="22"/>
      <c r="AA2464" s="22"/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22"/>
    </row>
    <row r="2465" spans="5:54" x14ac:dyDescent="0.35"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2"/>
      <c r="T2465" s="22"/>
      <c r="U2465" s="22"/>
      <c r="V2465" s="22"/>
      <c r="W2465" s="22"/>
      <c r="X2465" s="22"/>
      <c r="Y2465" s="22"/>
      <c r="Z2465" s="22"/>
      <c r="AA2465" s="22"/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22"/>
    </row>
    <row r="2466" spans="5:54" x14ac:dyDescent="0.35"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2"/>
      <c r="T2466" s="22"/>
      <c r="U2466" s="22"/>
      <c r="V2466" s="22"/>
      <c r="W2466" s="22"/>
      <c r="X2466" s="22"/>
      <c r="Y2466" s="22"/>
      <c r="Z2466" s="22"/>
      <c r="AA2466" s="22"/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22"/>
    </row>
    <row r="2467" spans="5:54" x14ac:dyDescent="0.35"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2"/>
      <c r="T2467" s="22"/>
      <c r="U2467" s="22"/>
      <c r="V2467" s="22"/>
      <c r="W2467" s="22"/>
      <c r="X2467" s="22"/>
      <c r="Y2467" s="22"/>
      <c r="Z2467" s="22"/>
      <c r="AA2467" s="22"/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22"/>
    </row>
    <row r="2468" spans="5:54" x14ac:dyDescent="0.35"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2"/>
      <c r="T2468" s="22"/>
      <c r="U2468" s="22"/>
      <c r="V2468" s="22"/>
      <c r="W2468" s="22"/>
      <c r="X2468" s="22"/>
      <c r="Y2468" s="22"/>
      <c r="Z2468" s="22"/>
      <c r="AA2468" s="22"/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22"/>
    </row>
    <row r="2469" spans="5:54" x14ac:dyDescent="0.35"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2"/>
      <c r="T2469" s="22"/>
      <c r="U2469" s="22"/>
      <c r="V2469" s="22"/>
      <c r="W2469" s="22"/>
      <c r="X2469" s="22"/>
      <c r="Y2469" s="22"/>
      <c r="Z2469" s="22"/>
      <c r="AA2469" s="22"/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22"/>
    </row>
    <row r="2470" spans="5:54" x14ac:dyDescent="0.35"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2"/>
      <c r="T2470" s="22"/>
      <c r="U2470" s="22"/>
      <c r="V2470" s="22"/>
      <c r="W2470" s="22"/>
      <c r="X2470" s="22"/>
      <c r="Y2470" s="22"/>
      <c r="Z2470" s="22"/>
      <c r="AA2470" s="22"/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22"/>
    </row>
    <row r="2471" spans="5:54" x14ac:dyDescent="0.35"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2"/>
      <c r="T2471" s="22"/>
      <c r="U2471" s="22"/>
      <c r="V2471" s="22"/>
      <c r="W2471" s="22"/>
      <c r="X2471" s="22"/>
      <c r="Y2471" s="22"/>
      <c r="Z2471" s="22"/>
      <c r="AA2471" s="22"/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22"/>
    </row>
    <row r="2472" spans="5:54" x14ac:dyDescent="0.35"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2"/>
      <c r="T2472" s="22"/>
      <c r="U2472" s="22"/>
      <c r="V2472" s="22"/>
      <c r="W2472" s="22"/>
      <c r="X2472" s="22"/>
      <c r="Y2472" s="22"/>
      <c r="Z2472" s="22"/>
      <c r="AA2472" s="22"/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22"/>
    </row>
    <row r="2473" spans="5:54" x14ac:dyDescent="0.35"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22"/>
    </row>
    <row r="2474" spans="5:54" x14ac:dyDescent="0.35"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2"/>
      <c r="T2474" s="22"/>
      <c r="U2474" s="22"/>
      <c r="V2474" s="22"/>
      <c r="W2474" s="22"/>
      <c r="X2474" s="22"/>
      <c r="Y2474" s="22"/>
      <c r="Z2474" s="22"/>
      <c r="AA2474" s="22"/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22"/>
    </row>
    <row r="2475" spans="5:54" x14ac:dyDescent="0.35"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2"/>
      <c r="T2475" s="22"/>
      <c r="U2475" s="22"/>
      <c r="V2475" s="22"/>
      <c r="W2475" s="22"/>
      <c r="X2475" s="22"/>
      <c r="Y2475" s="22"/>
      <c r="Z2475" s="22"/>
      <c r="AA2475" s="22"/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22"/>
    </row>
    <row r="2476" spans="5:54" x14ac:dyDescent="0.35"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2"/>
      <c r="T2476" s="22"/>
      <c r="U2476" s="22"/>
      <c r="V2476" s="22"/>
      <c r="W2476" s="22"/>
      <c r="X2476" s="22"/>
      <c r="Y2476" s="22"/>
      <c r="Z2476" s="22"/>
      <c r="AA2476" s="22"/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22"/>
    </row>
    <row r="2477" spans="5:54" x14ac:dyDescent="0.35"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2"/>
      <c r="T2477" s="22"/>
      <c r="U2477" s="22"/>
      <c r="V2477" s="22"/>
      <c r="W2477" s="22"/>
      <c r="X2477" s="22"/>
      <c r="Y2477" s="22"/>
      <c r="Z2477" s="22"/>
      <c r="AA2477" s="22"/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22"/>
    </row>
    <row r="2478" spans="5:54" x14ac:dyDescent="0.35"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V2478" s="22"/>
      <c r="W2478" s="22"/>
      <c r="X2478" s="22"/>
      <c r="Y2478" s="22"/>
      <c r="Z2478" s="22"/>
      <c r="AA2478" s="22"/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22"/>
    </row>
    <row r="2479" spans="5:54" x14ac:dyDescent="0.35"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2"/>
      <c r="T2479" s="22"/>
      <c r="U2479" s="22"/>
      <c r="V2479" s="22"/>
      <c r="W2479" s="22"/>
      <c r="X2479" s="22"/>
      <c r="Y2479" s="22"/>
      <c r="Z2479" s="22"/>
      <c r="AA2479" s="22"/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22"/>
    </row>
    <row r="2480" spans="5:54" x14ac:dyDescent="0.35"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2"/>
      <c r="T2480" s="22"/>
      <c r="U2480" s="22"/>
      <c r="V2480" s="22"/>
      <c r="W2480" s="22"/>
      <c r="X2480" s="22"/>
      <c r="Y2480" s="22"/>
      <c r="Z2480" s="22"/>
      <c r="AA2480" s="22"/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22"/>
    </row>
    <row r="2481" spans="5:54" x14ac:dyDescent="0.35"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2"/>
      <c r="T2481" s="22"/>
      <c r="U2481" s="22"/>
      <c r="V2481" s="22"/>
      <c r="W2481" s="22"/>
      <c r="X2481" s="22"/>
      <c r="Y2481" s="22"/>
      <c r="Z2481" s="22"/>
      <c r="AA2481" s="22"/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22"/>
    </row>
    <row r="2482" spans="5:54" x14ac:dyDescent="0.35"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2"/>
      <c r="T2482" s="22"/>
      <c r="U2482" s="22"/>
      <c r="V2482" s="22"/>
      <c r="W2482" s="22"/>
      <c r="X2482" s="22"/>
      <c r="Y2482" s="22"/>
      <c r="Z2482" s="22"/>
      <c r="AA2482" s="22"/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22"/>
    </row>
    <row r="2483" spans="5:54" x14ac:dyDescent="0.35"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2"/>
      <c r="T2483" s="22"/>
      <c r="U2483" s="22"/>
      <c r="V2483" s="22"/>
      <c r="W2483" s="22"/>
      <c r="X2483" s="22"/>
      <c r="Y2483" s="22"/>
      <c r="Z2483" s="22"/>
      <c r="AA2483" s="22"/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22"/>
    </row>
    <row r="2484" spans="5:54" x14ac:dyDescent="0.35"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2"/>
      <c r="T2484" s="22"/>
      <c r="U2484" s="22"/>
      <c r="V2484" s="22"/>
      <c r="W2484" s="22"/>
      <c r="X2484" s="22"/>
      <c r="Y2484" s="22"/>
      <c r="Z2484" s="22"/>
      <c r="AA2484" s="22"/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22"/>
    </row>
    <row r="2485" spans="5:54" x14ac:dyDescent="0.35"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22"/>
    </row>
    <row r="2486" spans="5:54" x14ac:dyDescent="0.35"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2"/>
      <c r="T2486" s="22"/>
      <c r="U2486" s="22"/>
      <c r="V2486" s="22"/>
      <c r="W2486" s="22"/>
      <c r="X2486" s="22"/>
      <c r="Y2486" s="22"/>
      <c r="Z2486" s="22"/>
      <c r="AA2486" s="22"/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22"/>
    </row>
    <row r="2487" spans="5:54" x14ac:dyDescent="0.35"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2"/>
      <c r="T2487" s="22"/>
      <c r="U2487" s="22"/>
      <c r="V2487" s="22"/>
      <c r="W2487" s="22"/>
      <c r="X2487" s="22"/>
      <c r="Y2487" s="22"/>
      <c r="Z2487" s="22"/>
      <c r="AA2487" s="22"/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22"/>
    </row>
    <row r="2488" spans="5:54" x14ac:dyDescent="0.35"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2"/>
      <c r="T2488" s="22"/>
      <c r="U2488" s="22"/>
      <c r="V2488" s="22"/>
      <c r="W2488" s="22"/>
      <c r="X2488" s="22"/>
      <c r="Y2488" s="22"/>
      <c r="Z2488" s="22"/>
      <c r="AA2488" s="22"/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22"/>
    </row>
    <row r="2489" spans="5:54" x14ac:dyDescent="0.35"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2"/>
      <c r="T2489" s="22"/>
      <c r="U2489" s="22"/>
      <c r="V2489" s="22"/>
      <c r="W2489" s="22"/>
      <c r="X2489" s="22"/>
      <c r="Y2489" s="22"/>
      <c r="Z2489" s="22"/>
      <c r="AA2489" s="22"/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22"/>
    </row>
    <row r="2490" spans="5:54" x14ac:dyDescent="0.35"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2"/>
      <c r="T2490" s="22"/>
      <c r="U2490" s="22"/>
      <c r="V2490" s="22"/>
      <c r="W2490" s="22"/>
      <c r="X2490" s="22"/>
      <c r="Y2490" s="22"/>
      <c r="Z2490" s="22"/>
      <c r="AA2490" s="22"/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22"/>
    </row>
    <row r="2491" spans="5:54" x14ac:dyDescent="0.35"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2"/>
      <c r="T2491" s="22"/>
      <c r="U2491" s="22"/>
      <c r="V2491" s="22"/>
      <c r="W2491" s="22"/>
      <c r="X2491" s="22"/>
      <c r="Y2491" s="22"/>
      <c r="Z2491" s="22"/>
      <c r="AA2491" s="22"/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22"/>
    </row>
    <row r="2492" spans="5:54" x14ac:dyDescent="0.35"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2"/>
      <c r="T2492" s="22"/>
      <c r="U2492" s="22"/>
      <c r="V2492" s="22"/>
      <c r="W2492" s="22"/>
      <c r="X2492" s="22"/>
      <c r="Y2492" s="22"/>
      <c r="Z2492" s="22"/>
      <c r="AA2492" s="22"/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22"/>
    </row>
    <row r="2493" spans="5:54" x14ac:dyDescent="0.35"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2"/>
      <c r="T2493" s="22"/>
      <c r="U2493" s="22"/>
      <c r="V2493" s="22"/>
      <c r="W2493" s="22"/>
      <c r="X2493" s="22"/>
      <c r="Y2493" s="22"/>
      <c r="Z2493" s="22"/>
      <c r="AA2493" s="22"/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22"/>
    </row>
    <row r="2494" spans="5:54" x14ac:dyDescent="0.35"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W2494" s="22"/>
      <c r="X2494" s="22"/>
      <c r="Y2494" s="22"/>
      <c r="Z2494" s="22"/>
      <c r="AA2494" s="22"/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22"/>
    </row>
    <row r="2495" spans="5:54" x14ac:dyDescent="0.35"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2"/>
      <c r="T2495" s="22"/>
      <c r="U2495" s="22"/>
      <c r="V2495" s="22"/>
      <c r="W2495" s="22"/>
      <c r="X2495" s="22"/>
      <c r="Y2495" s="22"/>
      <c r="Z2495" s="22"/>
      <c r="AA2495" s="22"/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22"/>
    </row>
    <row r="2496" spans="5:54" x14ac:dyDescent="0.35"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2"/>
      <c r="T2496" s="22"/>
      <c r="U2496" s="22"/>
      <c r="V2496" s="22"/>
      <c r="W2496" s="22"/>
      <c r="X2496" s="22"/>
      <c r="Y2496" s="22"/>
      <c r="Z2496" s="22"/>
      <c r="AA2496" s="22"/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22"/>
    </row>
    <row r="2497" spans="5:54" x14ac:dyDescent="0.35"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2"/>
      <c r="T2497" s="22"/>
      <c r="U2497" s="22"/>
      <c r="V2497" s="22"/>
      <c r="W2497" s="22"/>
      <c r="X2497" s="22"/>
      <c r="Y2497" s="22"/>
      <c r="Z2497" s="22"/>
      <c r="AA2497" s="22"/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22"/>
    </row>
    <row r="2498" spans="5:54" x14ac:dyDescent="0.35"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2"/>
      <c r="T2498" s="22"/>
      <c r="U2498" s="22"/>
      <c r="V2498" s="22"/>
      <c r="W2498" s="22"/>
      <c r="X2498" s="22"/>
      <c r="Y2498" s="22"/>
      <c r="Z2498" s="22"/>
      <c r="AA2498" s="22"/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22"/>
    </row>
    <row r="2499" spans="5:54" x14ac:dyDescent="0.35"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2"/>
      <c r="T2499" s="22"/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22"/>
    </row>
    <row r="2500" spans="5:54" x14ac:dyDescent="0.35"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2"/>
      <c r="T2500" s="22"/>
      <c r="U2500" s="22"/>
      <c r="V2500" s="22"/>
      <c r="W2500" s="22"/>
      <c r="X2500" s="22"/>
      <c r="Y2500" s="22"/>
      <c r="Z2500" s="22"/>
      <c r="AA2500" s="22"/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22"/>
    </row>
    <row r="2501" spans="5:54" x14ac:dyDescent="0.35"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2"/>
      <c r="T2501" s="22"/>
      <c r="U2501" s="22"/>
      <c r="V2501" s="22"/>
      <c r="W2501" s="22"/>
      <c r="X2501" s="22"/>
      <c r="Y2501" s="22"/>
      <c r="Z2501" s="22"/>
      <c r="AA2501" s="22"/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22"/>
    </row>
    <row r="2502" spans="5:54" x14ac:dyDescent="0.35"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2"/>
      <c r="T2502" s="22"/>
      <c r="U2502" s="22"/>
      <c r="V2502" s="22"/>
      <c r="W2502" s="22"/>
      <c r="X2502" s="22"/>
      <c r="Y2502" s="22"/>
      <c r="Z2502" s="22"/>
      <c r="AA2502" s="22"/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22"/>
    </row>
    <row r="2503" spans="5:54" x14ac:dyDescent="0.35"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22"/>
    </row>
    <row r="2504" spans="5:54" x14ac:dyDescent="0.35"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2"/>
      <c r="T2504" s="22"/>
      <c r="U2504" s="22"/>
      <c r="V2504" s="22"/>
      <c r="W2504" s="22"/>
      <c r="X2504" s="22"/>
      <c r="Y2504" s="22"/>
      <c r="Z2504" s="22"/>
      <c r="AA2504" s="22"/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22"/>
    </row>
    <row r="2505" spans="5:54" x14ac:dyDescent="0.35"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2"/>
      <c r="T2505" s="22"/>
      <c r="U2505" s="22"/>
      <c r="V2505" s="22"/>
      <c r="W2505" s="22"/>
      <c r="X2505" s="22"/>
      <c r="Y2505" s="22"/>
      <c r="Z2505" s="22"/>
      <c r="AA2505" s="22"/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22"/>
    </row>
    <row r="2506" spans="5:54" x14ac:dyDescent="0.35"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2"/>
      <c r="T2506" s="22"/>
      <c r="U2506" s="22"/>
      <c r="V2506" s="22"/>
      <c r="W2506" s="22"/>
      <c r="X2506" s="22"/>
      <c r="Y2506" s="22"/>
      <c r="Z2506" s="22"/>
      <c r="AA2506" s="22"/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22"/>
    </row>
    <row r="2507" spans="5:54" x14ac:dyDescent="0.35"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2"/>
      <c r="T2507" s="22"/>
      <c r="U2507" s="22"/>
      <c r="V2507" s="22"/>
      <c r="W2507" s="22"/>
      <c r="X2507" s="22"/>
      <c r="Y2507" s="22"/>
      <c r="Z2507" s="22"/>
      <c r="AA2507" s="22"/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22"/>
    </row>
    <row r="2508" spans="5:54" x14ac:dyDescent="0.35"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2"/>
      <c r="T2508" s="22"/>
      <c r="U2508" s="22"/>
      <c r="V2508" s="22"/>
      <c r="W2508" s="22"/>
      <c r="X2508" s="22"/>
      <c r="Y2508" s="22"/>
      <c r="Z2508" s="22"/>
      <c r="AA2508" s="22"/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22"/>
    </row>
    <row r="2509" spans="5:54" x14ac:dyDescent="0.35"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2"/>
      <c r="T2509" s="22"/>
      <c r="U2509" s="22"/>
      <c r="V2509" s="22"/>
      <c r="W2509" s="22"/>
      <c r="X2509" s="22"/>
      <c r="Y2509" s="22"/>
      <c r="Z2509" s="22"/>
      <c r="AA2509" s="22"/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22"/>
    </row>
    <row r="2510" spans="5:54" x14ac:dyDescent="0.35"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2"/>
      <c r="T2510" s="22"/>
      <c r="U2510" s="22"/>
      <c r="V2510" s="22"/>
      <c r="W2510" s="22"/>
      <c r="X2510" s="22"/>
      <c r="Y2510" s="22"/>
      <c r="Z2510" s="22"/>
      <c r="AA2510" s="22"/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22"/>
    </row>
    <row r="2511" spans="5:54" x14ac:dyDescent="0.35"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2"/>
      <c r="T2511" s="22"/>
      <c r="U2511" s="22"/>
      <c r="V2511" s="22"/>
      <c r="W2511" s="22"/>
      <c r="X2511" s="22"/>
      <c r="Y2511" s="22"/>
      <c r="Z2511" s="22"/>
      <c r="AA2511" s="22"/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22"/>
    </row>
    <row r="2512" spans="5:54" x14ac:dyDescent="0.35"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2"/>
      <c r="T2512" s="22"/>
      <c r="U2512" s="22"/>
      <c r="V2512" s="22"/>
      <c r="W2512" s="22"/>
      <c r="X2512" s="22"/>
      <c r="Y2512" s="22"/>
      <c r="Z2512" s="22"/>
      <c r="AA2512" s="22"/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22"/>
    </row>
    <row r="2513" spans="5:54" x14ac:dyDescent="0.35"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2"/>
      <c r="T2513" s="22"/>
      <c r="U2513" s="22"/>
      <c r="V2513" s="22"/>
      <c r="W2513" s="22"/>
      <c r="X2513" s="22"/>
      <c r="Y2513" s="22"/>
      <c r="Z2513" s="22"/>
      <c r="AA2513" s="22"/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22"/>
    </row>
    <row r="2514" spans="5:54" x14ac:dyDescent="0.35"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2"/>
      <c r="T2514" s="22"/>
      <c r="U2514" s="22"/>
      <c r="V2514" s="22"/>
      <c r="W2514" s="22"/>
      <c r="X2514" s="22"/>
      <c r="Y2514" s="22"/>
      <c r="Z2514" s="22"/>
      <c r="AA2514" s="22"/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22"/>
    </row>
    <row r="2515" spans="5:54" x14ac:dyDescent="0.35"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2"/>
      <c r="T2515" s="22"/>
      <c r="U2515" s="22"/>
      <c r="V2515" s="22"/>
      <c r="W2515" s="22"/>
      <c r="X2515" s="22"/>
      <c r="Y2515" s="22"/>
      <c r="Z2515" s="22"/>
      <c r="AA2515" s="22"/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22"/>
    </row>
    <row r="2516" spans="5:54" x14ac:dyDescent="0.35"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2"/>
      <c r="T2516" s="22"/>
      <c r="U2516" s="22"/>
      <c r="V2516" s="22"/>
      <c r="W2516" s="22"/>
      <c r="X2516" s="22"/>
      <c r="Y2516" s="22"/>
      <c r="Z2516" s="22"/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22"/>
    </row>
    <row r="2517" spans="5:54" x14ac:dyDescent="0.35"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2"/>
      <c r="T2517" s="22"/>
      <c r="U2517" s="22"/>
      <c r="V2517" s="22"/>
      <c r="W2517" s="22"/>
      <c r="X2517" s="22"/>
      <c r="Y2517" s="22"/>
      <c r="Z2517" s="22"/>
      <c r="AA2517" s="22"/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22"/>
    </row>
    <row r="2518" spans="5:54" x14ac:dyDescent="0.35"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2"/>
      <c r="T2518" s="22"/>
      <c r="U2518" s="22"/>
      <c r="V2518" s="22"/>
      <c r="W2518" s="22"/>
      <c r="X2518" s="22"/>
      <c r="Y2518" s="22"/>
      <c r="Z2518" s="22"/>
      <c r="AA2518" s="22"/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22"/>
    </row>
    <row r="2519" spans="5:54" x14ac:dyDescent="0.35"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A2519" s="22"/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22"/>
    </row>
    <row r="2520" spans="5:54" x14ac:dyDescent="0.35"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2"/>
      <c r="T2520" s="22"/>
      <c r="U2520" s="22"/>
      <c r="V2520" s="22"/>
      <c r="W2520" s="22"/>
      <c r="X2520" s="22"/>
      <c r="Y2520" s="22"/>
      <c r="Z2520" s="22"/>
      <c r="AA2520" s="22"/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22"/>
    </row>
    <row r="2521" spans="5:54" x14ac:dyDescent="0.35"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2"/>
      <c r="T2521" s="22"/>
      <c r="U2521" s="22"/>
      <c r="V2521" s="22"/>
      <c r="W2521" s="22"/>
      <c r="X2521" s="22"/>
      <c r="Y2521" s="22"/>
      <c r="Z2521" s="22"/>
      <c r="AA2521" s="22"/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22"/>
    </row>
    <row r="2522" spans="5:54" x14ac:dyDescent="0.35"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2"/>
      <c r="T2522" s="22"/>
      <c r="U2522" s="22"/>
      <c r="V2522" s="22"/>
      <c r="W2522" s="22"/>
      <c r="X2522" s="22"/>
      <c r="Y2522" s="22"/>
      <c r="Z2522" s="22"/>
      <c r="AA2522" s="22"/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22"/>
    </row>
    <row r="2523" spans="5:54" x14ac:dyDescent="0.35"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2"/>
      <c r="T2523" s="22"/>
      <c r="U2523" s="22"/>
      <c r="V2523" s="22"/>
      <c r="W2523" s="22"/>
      <c r="X2523" s="22"/>
      <c r="Y2523" s="22"/>
      <c r="Z2523" s="22"/>
      <c r="AA2523" s="22"/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22"/>
    </row>
    <row r="2524" spans="5:54" x14ac:dyDescent="0.35"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2"/>
      <c r="T2524" s="22"/>
      <c r="U2524" s="22"/>
      <c r="V2524" s="22"/>
      <c r="W2524" s="22"/>
      <c r="X2524" s="22"/>
      <c r="Y2524" s="22"/>
      <c r="Z2524" s="22"/>
      <c r="AA2524" s="22"/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22"/>
    </row>
    <row r="2525" spans="5:54" x14ac:dyDescent="0.35"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2"/>
      <c r="T2525" s="22"/>
      <c r="U2525" s="22"/>
      <c r="V2525" s="22"/>
      <c r="W2525" s="22"/>
      <c r="X2525" s="22"/>
      <c r="Y2525" s="22"/>
      <c r="Z2525" s="22"/>
      <c r="AA2525" s="22"/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22"/>
    </row>
    <row r="2526" spans="5:54" x14ac:dyDescent="0.35"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2"/>
      <c r="T2526" s="22"/>
      <c r="U2526" s="22"/>
      <c r="V2526" s="22"/>
      <c r="W2526" s="22"/>
      <c r="X2526" s="22"/>
      <c r="Y2526" s="22"/>
      <c r="Z2526" s="22"/>
      <c r="AA2526" s="22"/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22"/>
    </row>
    <row r="2527" spans="5:54" x14ac:dyDescent="0.35"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2"/>
      <c r="T2527" s="22"/>
      <c r="U2527" s="22"/>
      <c r="V2527" s="22"/>
      <c r="W2527" s="22"/>
      <c r="X2527" s="22"/>
      <c r="Y2527" s="22"/>
      <c r="Z2527" s="22"/>
      <c r="AA2527" s="22"/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22"/>
    </row>
    <row r="2528" spans="5:54" x14ac:dyDescent="0.35"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2"/>
      <c r="T2528" s="22"/>
      <c r="U2528" s="22"/>
      <c r="V2528" s="22"/>
      <c r="W2528" s="22"/>
      <c r="X2528" s="22"/>
      <c r="Y2528" s="22"/>
      <c r="Z2528" s="22"/>
      <c r="AA2528" s="22"/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22"/>
    </row>
    <row r="2529" spans="5:54" x14ac:dyDescent="0.35"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  <c r="X2529" s="22"/>
      <c r="Y2529" s="22"/>
      <c r="Z2529" s="22"/>
      <c r="AA2529" s="22"/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22"/>
    </row>
    <row r="2530" spans="5:54" x14ac:dyDescent="0.35"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2"/>
      <c r="T2530" s="22"/>
      <c r="U2530" s="22"/>
      <c r="V2530" s="22"/>
      <c r="W2530" s="22"/>
      <c r="X2530" s="22"/>
      <c r="Y2530" s="22"/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22"/>
    </row>
    <row r="2531" spans="5:54" x14ac:dyDescent="0.35"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22"/>
    </row>
    <row r="2532" spans="5:54" x14ac:dyDescent="0.35"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2"/>
      <c r="T2532" s="22"/>
      <c r="U2532" s="22"/>
      <c r="V2532" s="22"/>
      <c r="W2532" s="22"/>
      <c r="X2532" s="22"/>
      <c r="Y2532" s="22"/>
      <c r="Z2532" s="22"/>
      <c r="AA2532" s="22"/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22"/>
    </row>
    <row r="2533" spans="5:54" x14ac:dyDescent="0.35"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2"/>
      <c r="T2533" s="22"/>
      <c r="U2533" s="22"/>
      <c r="V2533" s="22"/>
      <c r="W2533" s="22"/>
      <c r="X2533" s="22"/>
      <c r="Y2533" s="22"/>
      <c r="Z2533" s="22"/>
      <c r="AA2533" s="22"/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22"/>
    </row>
    <row r="2534" spans="5:54" x14ac:dyDescent="0.35"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2"/>
      <c r="T2534" s="22"/>
      <c r="U2534" s="22"/>
      <c r="V2534" s="22"/>
      <c r="W2534" s="22"/>
      <c r="X2534" s="22"/>
      <c r="Y2534" s="22"/>
      <c r="Z2534" s="22"/>
      <c r="AA2534" s="22"/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22"/>
    </row>
    <row r="2535" spans="5:54" x14ac:dyDescent="0.35"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2"/>
      <c r="T2535" s="22"/>
      <c r="U2535" s="22"/>
      <c r="V2535" s="22"/>
      <c r="W2535" s="22"/>
      <c r="X2535" s="22"/>
      <c r="Y2535" s="22"/>
      <c r="Z2535" s="22"/>
      <c r="AA2535" s="22"/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22"/>
    </row>
    <row r="2536" spans="5:54" x14ac:dyDescent="0.35"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2"/>
      <c r="T2536" s="22"/>
      <c r="U2536" s="22"/>
      <c r="V2536" s="22"/>
      <c r="W2536" s="22"/>
      <c r="X2536" s="22"/>
      <c r="Y2536" s="22"/>
      <c r="Z2536" s="22"/>
      <c r="AA2536" s="22"/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22"/>
    </row>
    <row r="2537" spans="5:54" x14ac:dyDescent="0.35"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2"/>
      <c r="T2537" s="22"/>
      <c r="U2537" s="22"/>
      <c r="V2537" s="22"/>
      <c r="W2537" s="22"/>
      <c r="X2537" s="22"/>
      <c r="Y2537" s="22"/>
      <c r="Z2537" s="22"/>
      <c r="AA2537" s="22"/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22"/>
    </row>
    <row r="2538" spans="5:54" x14ac:dyDescent="0.35"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2"/>
      <c r="T2538" s="22"/>
      <c r="U2538" s="22"/>
      <c r="V2538" s="22"/>
      <c r="W2538" s="22"/>
      <c r="X2538" s="22"/>
      <c r="Y2538" s="22"/>
      <c r="Z2538" s="22"/>
      <c r="AA2538" s="22"/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22"/>
    </row>
    <row r="2539" spans="5:54" x14ac:dyDescent="0.35"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2"/>
      <c r="T2539" s="22"/>
      <c r="U2539" s="22"/>
      <c r="V2539" s="22"/>
      <c r="W2539" s="22"/>
      <c r="X2539" s="22"/>
      <c r="Y2539" s="22"/>
      <c r="Z2539" s="22"/>
      <c r="AA2539" s="22"/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22"/>
    </row>
    <row r="2540" spans="5:54" x14ac:dyDescent="0.35"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2"/>
      <c r="T2540" s="22"/>
      <c r="U2540" s="22"/>
      <c r="V2540" s="22"/>
      <c r="W2540" s="22"/>
      <c r="X2540" s="22"/>
      <c r="Y2540" s="22"/>
      <c r="Z2540" s="22"/>
      <c r="AA2540" s="22"/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22"/>
    </row>
    <row r="2541" spans="5:54" x14ac:dyDescent="0.35"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2"/>
      <c r="T2541" s="22"/>
      <c r="U2541" s="22"/>
      <c r="V2541" s="22"/>
      <c r="W2541" s="22"/>
      <c r="X2541" s="22"/>
      <c r="Y2541" s="22"/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22"/>
    </row>
    <row r="2542" spans="5:54" x14ac:dyDescent="0.35"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2"/>
      <c r="T2542" s="22"/>
      <c r="U2542" s="22"/>
      <c r="V2542" s="22"/>
      <c r="W2542" s="22"/>
      <c r="X2542" s="22"/>
      <c r="Y2542" s="22"/>
      <c r="Z2542" s="22"/>
      <c r="AA2542" s="22"/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22"/>
    </row>
    <row r="2543" spans="5:54" x14ac:dyDescent="0.35"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2"/>
      <c r="T2543" s="22"/>
      <c r="U2543" s="22"/>
      <c r="V2543" s="22"/>
      <c r="W2543" s="22"/>
      <c r="X2543" s="22"/>
      <c r="Y2543" s="22"/>
      <c r="Z2543" s="22"/>
      <c r="AA2543" s="22"/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22"/>
    </row>
    <row r="2544" spans="5:54" x14ac:dyDescent="0.35"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2"/>
      <c r="T2544" s="22"/>
      <c r="U2544" s="22"/>
      <c r="V2544" s="22"/>
      <c r="W2544" s="22"/>
      <c r="X2544" s="22"/>
      <c r="Y2544" s="22"/>
      <c r="Z2544" s="22"/>
      <c r="AA2544" s="22"/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22"/>
    </row>
    <row r="2545" spans="5:54" x14ac:dyDescent="0.35"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2"/>
      <c r="T2545" s="22"/>
      <c r="U2545" s="22"/>
      <c r="V2545" s="22"/>
      <c r="W2545" s="22"/>
      <c r="X2545" s="22"/>
      <c r="Y2545" s="22"/>
      <c r="Z2545" s="22"/>
      <c r="AA2545" s="22"/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22"/>
    </row>
    <row r="2546" spans="5:54" x14ac:dyDescent="0.35"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2"/>
      <c r="T2546" s="22"/>
      <c r="U2546" s="22"/>
      <c r="V2546" s="22"/>
      <c r="W2546" s="22"/>
      <c r="X2546" s="22"/>
      <c r="Y2546" s="22"/>
      <c r="Z2546" s="22"/>
      <c r="AA2546" s="22"/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22"/>
    </row>
    <row r="2547" spans="5:54" x14ac:dyDescent="0.35"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2"/>
      <c r="T2547" s="22"/>
      <c r="U2547" s="22"/>
      <c r="V2547" s="22"/>
      <c r="W2547" s="22"/>
      <c r="X2547" s="22"/>
      <c r="Y2547" s="22"/>
      <c r="Z2547" s="22"/>
      <c r="AA2547" s="22"/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22"/>
    </row>
    <row r="2548" spans="5:54" x14ac:dyDescent="0.35"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2"/>
      <c r="T2548" s="22"/>
      <c r="U2548" s="22"/>
      <c r="V2548" s="22"/>
      <c r="W2548" s="22"/>
      <c r="X2548" s="22"/>
      <c r="Y2548" s="22"/>
      <c r="Z2548" s="22"/>
      <c r="AA2548" s="22"/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22"/>
    </row>
    <row r="2549" spans="5:54" x14ac:dyDescent="0.35"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2"/>
      <c r="T2549" s="22"/>
      <c r="U2549" s="22"/>
      <c r="V2549" s="22"/>
      <c r="W2549" s="22"/>
      <c r="X2549" s="22"/>
      <c r="Y2549" s="22"/>
      <c r="Z2549" s="22"/>
      <c r="AA2549" s="22"/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22"/>
    </row>
    <row r="2550" spans="5:54" x14ac:dyDescent="0.35"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2"/>
      <c r="T2550" s="22"/>
      <c r="U2550" s="22"/>
      <c r="V2550" s="22"/>
      <c r="W2550" s="22"/>
      <c r="X2550" s="22"/>
      <c r="Y2550" s="22"/>
      <c r="Z2550" s="22"/>
      <c r="AA2550" s="22"/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22"/>
    </row>
    <row r="2551" spans="5:54" x14ac:dyDescent="0.35"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2"/>
      <c r="T2551" s="22"/>
      <c r="U2551" s="22"/>
      <c r="V2551" s="22"/>
      <c r="W2551" s="22"/>
      <c r="X2551" s="22"/>
      <c r="Y2551" s="22"/>
      <c r="Z2551" s="22"/>
      <c r="AA2551" s="22"/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22"/>
    </row>
    <row r="2552" spans="5:54" x14ac:dyDescent="0.35"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2"/>
      <c r="T2552" s="22"/>
      <c r="U2552" s="22"/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22"/>
    </row>
    <row r="2553" spans="5:54" x14ac:dyDescent="0.35"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2"/>
      <c r="T2553" s="22"/>
      <c r="U2553" s="22"/>
      <c r="V2553" s="22"/>
      <c r="W2553" s="22"/>
      <c r="X2553" s="22"/>
      <c r="Y2553" s="22"/>
      <c r="Z2553" s="22"/>
      <c r="AA2553" s="22"/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22"/>
    </row>
    <row r="2554" spans="5:54" x14ac:dyDescent="0.35"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2"/>
      <c r="T2554" s="22"/>
      <c r="U2554" s="22"/>
      <c r="V2554" s="22"/>
      <c r="W2554" s="22"/>
      <c r="X2554" s="22"/>
      <c r="Y2554" s="22"/>
      <c r="Z2554" s="22"/>
      <c r="AA2554" s="22"/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22"/>
    </row>
    <row r="2555" spans="5:54" x14ac:dyDescent="0.35"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2"/>
      <c r="T2555" s="22"/>
      <c r="U2555" s="22"/>
      <c r="V2555" s="22"/>
      <c r="W2555" s="22"/>
      <c r="X2555" s="22"/>
      <c r="Y2555" s="22"/>
      <c r="Z2555" s="22"/>
      <c r="AA2555" s="22"/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22"/>
    </row>
    <row r="2556" spans="5:54" x14ac:dyDescent="0.35"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2"/>
      <c r="T2556" s="22"/>
      <c r="U2556" s="22"/>
      <c r="V2556" s="22"/>
      <c r="W2556" s="22"/>
      <c r="X2556" s="22"/>
      <c r="Y2556" s="22"/>
      <c r="Z2556" s="22"/>
      <c r="AA2556" s="22"/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22"/>
    </row>
    <row r="2557" spans="5:54" x14ac:dyDescent="0.35"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2"/>
      <c r="T2557" s="22"/>
      <c r="U2557" s="22"/>
      <c r="V2557" s="22"/>
      <c r="W2557" s="22"/>
      <c r="X2557" s="22"/>
      <c r="Y2557" s="22"/>
      <c r="Z2557" s="22"/>
      <c r="AA2557" s="22"/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22"/>
    </row>
    <row r="2558" spans="5:54" x14ac:dyDescent="0.35"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2"/>
      <c r="T2558" s="22"/>
      <c r="U2558" s="22"/>
      <c r="V2558" s="22"/>
      <c r="W2558" s="22"/>
      <c r="X2558" s="22"/>
      <c r="Y2558" s="22"/>
      <c r="Z2558" s="22"/>
      <c r="AA2558" s="22"/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22"/>
    </row>
    <row r="2559" spans="5:54" x14ac:dyDescent="0.35"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2"/>
      <c r="T2559" s="22"/>
      <c r="U2559" s="22"/>
      <c r="V2559" s="22"/>
      <c r="W2559" s="22"/>
      <c r="X2559" s="22"/>
      <c r="Y2559" s="22"/>
      <c r="Z2559" s="22"/>
      <c r="AA2559" s="22"/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22"/>
    </row>
    <row r="2560" spans="5:54" x14ac:dyDescent="0.35"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2"/>
      <c r="T2560" s="22"/>
      <c r="U2560" s="22"/>
      <c r="V2560" s="22"/>
      <c r="W2560" s="22"/>
      <c r="X2560" s="22"/>
      <c r="Y2560" s="22"/>
      <c r="Z2560" s="22"/>
      <c r="AA2560" s="22"/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22"/>
    </row>
    <row r="2561" spans="5:54" x14ac:dyDescent="0.35"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22"/>
    </row>
    <row r="2562" spans="5:54" x14ac:dyDescent="0.35"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2"/>
      <c r="T2562" s="22"/>
      <c r="U2562" s="22"/>
      <c r="V2562" s="22"/>
      <c r="W2562" s="22"/>
      <c r="X2562" s="22"/>
      <c r="Y2562" s="22"/>
      <c r="Z2562" s="22"/>
      <c r="AA2562" s="22"/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22"/>
    </row>
    <row r="2563" spans="5:54" x14ac:dyDescent="0.35"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2"/>
      <c r="T2563" s="22"/>
      <c r="U2563" s="22"/>
      <c r="V2563" s="22"/>
      <c r="W2563" s="22"/>
      <c r="X2563" s="22"/>
      <c r="Y2563" s="22"/>
      <c r="Z2563" s="22"/>
      <c r="AA2563" s="22"/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22"/>
    </row>
    <row r="2564" spans="5:54" x14ac:dyDescent="0.35"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2"/>
      <c r="T2564" s="22"/>
      <c r="U2564" s="22"/>
      <c r="V2564" s="22"/>
      <c r="W2564" s="22"/>
      <c r="X2564" s="22"/>
      <c r="Y2564" s="22"/>
      <c r="Z2564" s="22"/>
      <c r="AA2564" s="22"/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22"/>
    </row>
    <row r="2565" spans="5:54" x14ac:dyDescent="0.35"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2"/>
      <c r="T2565" s="22"/>
      <c r="U2565" s="22"/>
      <c r="V2565" s="22"/>
      <c r="W2565" s="22"/>
      <c r="X2565" s="22"/>
      <c r="Y2565" s="22"/>
      <c r="Z2565" s="22"/>
      <c r="AA2565" s="22"/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22"/>
    </row>
    <row r="2566" spans="5:54" x14ac:dyDescent="0.35"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2"/>
      <c r="T2566" s="22"/>
      <c r="U2566" s="22"/>
      <c r="V2566" s="22"/>
      <c r="W2566" s="22"/>
      <c r="X2566" s="22"/>
      <c r="Y2566" s="22"/>
      <c r="Z2566" s="22"/>
      <c r="AA2566" s="22"/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22"/>
    </row>
    <row r="2567" spans="5:54" x14ac:dyDescent="0.35"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2"/>
      <c r="T2567" s="22"/>
      <c r="U2567" s="22"/>
      <c r="V2567" s="22"/>
      <c r="W2567" s="22"/>
      <c r="X2567" s="22"/>
      <c r="Y2567" s="22"/>
      <c r="Z2567" s="22"/>
      <c r="AA2567" s="22"/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22"/>
    </row>
    <row r="2568" spans="5:54" x14ac:dyDescent="0.35"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2"/>
      <c r="T2568" s="22"/>
      <c r="U2568" s="22"/>
      <c r="V2568" s="22"/>
      <c r="W2568" s="22"/>
      <c r="X2568" s="22"/>
      <c r="Y2568" s="22"/>
      <c r="Z2568" s="22"/>
      <c r="AA2568" s="22"/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22"/>
    </row>
    <row r="2569" spans="5:54" x14ac:dyDescent="0.35"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2"/>
      <c r="T2569" s="22"/>
      <c r="U2569" s="22"/>
      <c r="V2569" s="22"/>
      <c r="W2569" s="22"/>
      <c r="X2569" s="22"/>
      <c r="Y2569" s="22"/>
      <c r="Z2569" s="22"/>
      <c r="AA2569" s="22"/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22"/>
    </row>
    <row r="2570" spans="5:54" x14ac:dyDescent="0.35"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2"/>
      <c r="T2570" s="22"/>
      <c r="U2570" s="22"/>
      <c r="V2570" s="22"/>
      <c r="W2570" s="22"/>
      <c r="X2570" s="22"/>
      <c r="Y2570" s="22"/>
      <c r="Z2570" s="22"/>
      <c r="AA2570" s="22"/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22"/>
    </row>
    <row r="2571" spans="5:54" x14ac:dyDescent="0.35"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2"/>
      <c r="T2571" s="22"/>
      <c r="U2571" s="22"/>
      <c r="V2571" s="22"/>
      <c r="W2571" s="22"/>
      <c r="X2571" s="22"/>
      <c r="Y2571" s="22"/>
      <c r="Z2571" s="22"/>
      <c r="AA2571" s="22"/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22"/>
    </row>
    <row r="2572" spans="5:54" x14ac:dyDescent="0.35"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2"/>
      <c r="T2572" s="22"/>
      <c r="U2572" s="22"/>
      <c r="V2572" s="22"/>
      <c r="W2572" s="22"/>
      <c r="X2572" s="22"/>
      <c r="Y2572" s="22"/>
      <c r="Z2572" s="22"/>
      <c r="AA2572" s="22"/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22"/>
    </row>
    <row r="2573" spans="5:54" x14ac:dyDescent="0.35"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2"/>
      <c r="T2573" s="22"/>
      <c r="U2573" s="22"/>
      <c r="V2573" s="22"/>
      <c r="W2573" s="22"/>
      <c r="X2573" s="22"/>
      <c r="Y2573" s="22"/>
      <c r="Z2573" s="22"/>
      <c r="AA2573" s="22"/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22"/>
    </row>
    <row r="2574" spans="5:54" x14ac:dyDescent="0.35"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X2574" s="22"/>
      <c r="Y2574" s="22"/>
      <c r="Z2574" s="22"/>
      <c r="AA2574" s="22"/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22"/>
    </row>
    <row r="2575" spans="5:54" x14ac:dyDescent="0.35"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22"/>
    </row>
    <row r="2576" spans="5:54" x14ac:dyDescent="0.35"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2"/>
      <c r="T2576" s="22"/>
      <c r="U2576" s="22"/>
      <c r="V2576" s="22"/>
      <c r="W2576" s="22"/>
      <c r="X2576" s="22"/>
      <c r="Y2576" s="22"/>
      <c r="Z2576" s="22"/>
      <c r="AA2576" s="22"/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22"/>
    </row>
    <row r="2577" spans="5:54" x14ac:dyDescent="0.35"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22"/>
    </row>
    <row r="2578" spans="5:54" x14ac:dyDescent="0.35"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2"/>
      <c r="T2578" s="22"/>
      <c r="U2578" s="22"/>
      <c r="V2578" s="22"/>
      <c r="W2578" s="22"/>
      <c r="X2578" s="22"/>
      <c r="Y2578" s="22"/>
      <c r="Z2578" s="22"/>
      <c r="AA2578" s="22"/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22"/>
    </row>
    <row r="2579" spans="5:54" x14ac:dyDescent="0.35"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2"/>
      <c r="T2579" s="22"/>
      <c r="U2579" s="22"/>
      <c r="V2579" s="22"/>
      <c r="W2579" s="22"/>
      <c r="X2579" s="22"/>
      <c r="Y2579" s="22"/>
      <c r="Z2579" s="22"/>
      <c r="AA2579" s="22"/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22"/>
    </row>
    <row r="2580" spans="5:54" x14ac:dyDescent="0.35"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2"/>
      <c r="T2580" s="22"/>
      <c r="U2580" s="22"/>
      <c r="V2580" s="22"/>
      <c r="W2580" s="22"/>
      <c r="X2580" s="22"/>
      <c r="Y2580" s="22"/>
      <c r="Z2580" s="22"/>
      <c r="AA2580" s="22"/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22"/>
    </row>
    <row r="2581" spans="5:54" x14ac:dyDescent="0.35"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2"/>
      <c r="T2581" s="22"/>
      <c r="U2581" s="22"/>
      <c r="V2581" s="22"/>
      <c r="W2581" s="22"/>
      <c r="X2581" s="22"/>
      <c r="Y2581" s="22"/>
      <c r="Z2581" s="22"/>
      <c r="AA2581" s="22"/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22"/>
    </row>
    <row r="2582" spans="5:54" x14ac:dyDescent="0.35"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2"/>
      <c r="T2582" s="22"/>
      <c r="U2582" s="22"/>
      <c r="V2582" s="22"/>
      <c r="W2582" s="22"/>
      <c r="X2582" s="22"/>
      <c r="Y2582" s="22"/>
      <c r="Z2582" s="22"/>
      <c r="AA2582" s="22"/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22"/>
    </row>
    <row r="2583" spans="5:54" x14ac:dyDescent="0.35"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2"/>
      <c r="T2583" s="22"/>
      <c r="U2583" s="22"/>
      <c r="V2583" s="22"/>
      <c r="W2583" s="22"/>
      <c r="X2583" s="22"/>
      <c r="Y2583" s="22"/>
      <c r="Z2583" s="22"/>
      <c r="AA2583" s="22"/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22"/>
    </row>
    <row r="2584" spans="5:54" x14ac:dyDescent="0.35"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2"/>
      <c r="T2584" s="22"/>
      <c r="U2584" s="22"/>
      <c r="V2584" s="22"/>
      <c r="W2584" s="22"/>
      <c r="X2584" s="22"/>
      <c r="Y2584" s="22"/>
      <c r="Z2584" s="22"/>
      <c r="AA2584" s="22"/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22"/>
    </row>
    <row r="2585" spans="5:54" x14ac:dyDescent="0.35"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2"/>
      <c r="T2585" s="22"/>
      <c r="U2585" s="22"/>
      <c r="V2585" s="22"/>
      <c r="W2585" s="22"/>
      <c r="X2585" s="22"/>
      <c r="Y2585" s="22"/>
      <c r="Z2585" s="22"/>
      <c r="AA2585" s="22"/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22"/>
    </row>
    <row r="2586" spans="5:54" x14ac:dyDescent="0.35"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2"/>
      <c r="T2586" s="22"/>
      <c r="U2586" s="22"/>
      <c r="V2586" s="22"/>
      <c r="W2586" s="22"/>
      <c r="X2586" s="22"/>
      <c r="Y2586" s="22"/>
      <c r="Z2586" s="22"/>
      <c r="AA2586" s="22"/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22"/>
    </row>
    <row r="2587" spans="5:54" x14ac:dyDescent="0.35"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2"/>
      <c r="T2587" s="22"/>
      <c r="U2587" s="22"/>
      <c r="V2587" s="22"/>
      <c r="W2587" s="22"/>
      <c r="X2587" s="22"/>
      <c r="Y2587" s="22"/>
      <c r="Z2587" s="22"/>
      <c r="AA2587" s="22"/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22"/>
    </row>
    <row r="2588" spans="5:54" x14ac:dyDescent="0.35"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2"/>
      <c r="T2588" s="22"/>
      <c r="U2588" s="22"/>
      <c r="V2588" s="22"/>
      <c r="W2588" s="22"/>
      <c r="X2588" s="22"/>
      <c r="Y2588" s="22"/>
      <c r="Z2588" s="22"/>
      <c r="AA2588" s="22"/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22"/>
    </row>
    <row r="2589" spans="5:54" x14ac:dyDescent="0.35"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2"/>
      <c r="T2589" s="22"/>
      <c r="U2589" s="22"/>
      <c r="V2589" s="22"/>
      <c r="W2589" s="22"/>
      <c r="X2589" s="22"/>
      <c r="Y2589" s="22"/>
      <c r="Z2589" s="22"/>
      <c r="AA2589" s="22"/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22"/>
    </row>
    <row r="2590" spans="5:54" x14ac:dyDescent="0.35"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2"/>
      <c r="T2590" s="22"/>
      <c r="U2590" s="22"/>
      <c r="V2590" s="22"/>
      <c r="W2590" s="22"/>
      <c r="X2590" s="22"/>
      <c r="Y2590" s="22"/>
      <c r="Z2590" s="22"/>
      <c r="AA2590" s="22"/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22"/>
    </row>
    <row r="2591" spans="5:54" x14ac:dyDescent="0.35"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2"/>
      <c r="T2591" s="22"/>
      <c r="U2591" s="22"/>
      <c r="V2591" s="22"/>
      <c r="W2591" s="22"/>
      <c r="X2591" s="22"/>
      <c r="Y2591" s="22"/>
      <c r="Z2591" s="22"/>
      <c r="AA2591" s="22"/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22"/>
    </row>
    <row r="2592" spans="5:54" x14ac:dyDescent="0.35"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2"/>
      <c r="T2592" s="22"/>
      <c r="U2592" s="22"/>
      <c r="V2592" s="22"/>
      <c r="W2592" s="22"/>
      <c r="X2592" s="22"/>
      <c r="Y2592" s="22"/>
      <c r="Z2592" s="22"/>
      <c r="AA2592" s="22"/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22"/>
    </row>
    <row r="2593" spans="5:54" x14ac:dyDescent="0.35"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2"/>
      <c r="T2593" s="22"/>
      <c r="U2593" s="22"/>
      <c r="V2593" s="22"/>
      <c r="W2593" s="22"/>
      <c r="X2593" s="22"/>
      <c r="Y2593" s="22"/>
      <c r="Z2593" s="22"/>
      <c r="AA2593" s="22"/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22"/>
    </row>
    <row r="2594" spans="5:54" x14ac:dyDescent="0.35"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2"/>
      <c r="T2594" s="22"/>
      <c r="U2594" s="22"/>
      <c r="V2594" s="22"/>
      <c r="W2594" s="22"/>
      <c r="X2594" s="22"/>
      <c r="Y2594" s="22"/>
      <c r="Z2594" s="22"/>
      <c r="AA2594" s="22"/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22"/>
    </row>
    <row r="2595" spans="5:54" x14ac:dyDescent="0.35"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2"/>
      <c r="T2595" s="22"/>
      <c r="U2595" s="22"/>
      <c r="V2595" s="22"/>
      <c r="W2595" s="22"/>
      <c r="X2595" s="22"/>
      <c r="Y2595" s="22"/>
      <c r="Z2595" s="22"/>
      <c r="AA2595" s="22"/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22"/>
    </row>
    <row r="2596" spans="5:54" x14ac:dyDescent="0.35"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2"/>
      <c r="T2596" s="22"/>
      <c r="U2596" s="22"/>
      <c r="V2596" s="22"/>
      <c r="W2596" s="22"/>
      <c r="X2596" s="22"/>
      <c r="Y2596" s="22"/>
      <c r="Z2596" s="22"/>
      <c r="AA2596" s="22"/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22"/>
    </row>
    <row r="2597" spans="5:54" x14ac:dyDescent="0.35"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2"/>
      <c r="T2597" s="22"/>
      <c r="U2597" s="22"/>
      <c r="V2597" s="22"/>
      <c r="W2597" s="22"/>
      <c r="X2597" s="22"/>
      <c r="Y2597" s="22"/>
      <c r="Z2597" s="22"/>
      <c r="AA2597" s="22"/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22"/>
    </row>
    <row r="2598" spans="5:54" x14ac:dyDescent="0.35"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2"/>
      <c r="T2598" s="22"/>
      <c r="U2598" s="22"/>
      <c r="V2598" s="22"/>
      <c r="W2598" s="22"/>
      <c r="X2598" s="22"/>
      <c r="Y2598" s="22"/>
      <c r="Z2598" s="22"/>
      <c r="AA2598" s="22"/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22"/>
    </row>
    <row r="2599" spans="5:54" x14ac:dyDescent="0.35"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2"/>
      <c r="T2599" s="22"/>
      <c r="U2599" s="22"/>
      <c r="V2599" s="22"/>
      <c r="W2599" s="22"/>
      <c r="X2599" s="22"/>
      <c r="Y2599" s="22"/>
      <c r="Z2599" s="22"/>
      <c r="AA2599" s="22"/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22"/>
    </row>
    <row r="2600" spans="5:54" x14ac:dyDescent="0.35"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2"/>
      <c r="T2600" s="22"/>
      <c r="U2600" s="22"/>
      <c r="V2600" s="22"/>
      <c r="W2600" s="22"/>
      <c r="X2600" s="22"/>
      <c r="Y2600" s="22"/>
      <c r="Z2600" s="22"/>
      <c r="AA2600" s="22"/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22"/>
    </row>
    <row r="2601" spans="5:54" x14ac:dyDescent="0.35"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2"/>
      <c r="T2601" s="22"/>
      <c r="U2601" s="22"/>
      <c r="V2601" s="22"/>
      <c r="W2601" s="22"/>
      <c r="X2601" s="22"/>
      <c r="Y2601" s="22"/>
      <c r="Z2601" s="22"/>
      <c r="AA2601" s="22"/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22"/>
    </row>
    <row r="2602" spans="5:54" x14ac:dyDescent="0.35"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2"/>
      <c r="T2602" s="22"/>
      <c r="U2602" s="22"/>
      <c r="V2602" s="22"/>
      <c r="W2602" s="22"/>
      <c r="X2602" s="22"/>
      <c r="Y2602" s="22"/>
      <c r="Z2602" s="22"/>
      <c r="AA2602" s="22"/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22"/>
    </row>
    <row r="2603" spans="5:54" x14ac:dyDescent="0.35"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2"/>
      <c r="T2603" s="22"/>
      <c r="U2603" s="22"/>
      <c r="V2603" s="22"/>
      <c r="W2603" s="22"/>
      <c r="X2603" s="22"/>
      <c r="Y2603" s="22"/>
      <c r="Z2603" s="22"/>
      <c r="AA2603" s="22"/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22"/>
    </row>
    <row r="2604" spans="5:54" x14ac:dyDescent="0.35"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2"/>
      <c r="T2604" s="22"/>
      <c r="U2604" s="22"/>
      <c r="V2604" s="22"/>
      <c r="W2604" s="22"/>
      <c r="X2604" s="22"/>
      <c r="Y2604" s="22"/>
      <c r="Z2604" s="22"/>
      <c r="AA2604" s="22"/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22"/>
    </row>
    <row r="2605" spans="5:54" x14ac:dyDescent="0.35"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2"/>
      <c r="T2605" s="22"/>
      <c r="U2605" s="22"/>
      <c r="V2605" s="22"/>
      <c r="W2605" s="22"/>
      <c r="X2605" s="22"/>
      <c r="Y2605" s="22"/>
      <c r="Z2605" s="22"/>
      <c r="AA2605" s="22"/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22"/>
    </row>
    <row r="2606" spans="5:54" x14ac:dyDescent="0.35"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2"/>
      <c r="T2606" s="22"/>
      <c r="U2606" s="22"/>
      <c r="V2606" s="22"/>
      <c r="W2606" s="22"/>
      <c r="X2606" s="22"/>
      <c r="Y2606" s="22"/>
      <c r="Z2606" s="22"/>
      <c r="AA2606" s="22"/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22"/>
    </row>
    <row r="2607" spans="5:54" x14ac:dyDescent="0.35"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2"/>
      <c r="T2607" s="22"/>
      <c r="U2607" s="22"/>
      <c r="V2607" s="22"/>
      <c r="W2607" s="22"/>
      <c r="X2607" s="22"/>
      <c r="Y2607" s="22"/>
      <c r="Z2607" s="22"/>
      <c r="AA2607" s="22"/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22"/>
    </row>
    <row r="2608" spans="5:54" x14ac:dyDescent="0.35"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2"/>
      <c r="T2608" s="22"/>
      <c r="U2608" s="22"/>
      <c r="V2608" s="22"/>
      <c r="W2608" s="22"/>
      <c r="X2608" s="22"/>
      <c r="Y2608" s="22"/>
      <c r="Z2608" s="22"/>
      <c r="AA2608" s="22"/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22"/>
    </row>
    <row r="2609" spans="5:54" x14ac:dyDescent="0.35"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2"/>
      <c r="T2609" s="22"/>
      <c r="U2609" s="22"/>
      <c r="V2609" s="22"/>
      <c r="W2609" s="22"/>
      <c r="X2609" s="22"/>
      <c r="Y2609" s="22"/>
      <c r="Z2609" s="22"/>
      <c r="AA2609" s="22"/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22"/>
    </row>
    <row r="2610" spans="5:54" x14ac:dyDescent="0.35"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2"/>
      <c r="T2610" s="22"/>
      <c r="U2610" s="22"/>
      <c r="V2610" s="22"/>
      <c r="W2610" s="22"/>
      <c r="X2610" s="22"/>
      <c r="Y2610" s="22"/>
      <c r="Z2610" s="22"/>
      <c r="AA2610" s="22"/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22"/>
    </row>
    <row r="2611" spans="5:54" x14ac:dyDescent="0.35"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2"/>
      <c r="T2611" s="22"/>
      <c r="U2611" s="22"/>
      <c r="V2611" s="22"/>
      <c r="W2611" s="22"/>
      <c r="X2611" s="22"/>
      <c r="Y2611" s="22"/>
      <c r="Z2611" s="22"/>
      <c r="AA2611" s="22"/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22"/>
    </row>
    <row r="2612" spans="5:54" x14ac:dyDescent="0.35"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2"/>
      <c r="T2612" s="22"/>
      <c r="U2612" s="22"/>
      <c r="V2612" s="22"/>
      <c r="W2612" s="22"/>
      <c r="X2612" s="22"/>
      <c r="Y2612" s="22"/>
      <c r="Z2612" s="22"/>
      <c r="AA2612" s="22"/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22"/>
    </row>
    <row r="2613" spans="5:54" x14ac:dyDescent="0.35"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2"/>
      <c r="T2613" s="22"/>
      <c r="U2613" s="22"/>
      <c r="V2613" s="22"/>
      <c r="W2613" s="22"/>
      <c r="X2613" s="22"/>
      <c r="Y2613" s="22"/>
      <c r="Z2613" s="22"/>
      <c r="AA2613" s="22"/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22"/>
    </row>
    <row r="2614" spans="5:54" x14ac:dyDescent="0.35"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2"/>
      <c r="T2614" s="22"/>
      <c r="U2614" s="22"/>
      <c r="V2614" s="22"/>
      <c r="W2614" s="22"/>
      <c r="X2614" s="22"/>
      <c r="Y2614" s="22"/>
      <c r="Z2614" s="22"/>
      <c r="AA2614" s="22"/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22"/>
    </row>
    <row r="2615" spans="5:54" x14ac:dyDescent="0.35"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2"/>
      <c r="T2615" s="22"/>
      <c r="U2615" s="22"/>
      <c r="V2615" s="22"/>
      <c r="W2615" s="22"/>
      <c r="X2615" s="22"/>
      <c r="Y2615" s="22"/>
      <c r="Z2615" s="22"/>
      <c r="AA2615" s="22"/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22"/>
    </row>
    <row r="2616" spans="5:54" x14ac:dyDescent="0.35"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2"/>
      <c r="T2616" s="22"/>
      <c r="U2616" s="22"/>
      <c r="V2616" s="22"/>
      <c r="W2616" s="22"/>
      <c r="X2616" s="22"/>
      <c r="Y2616" s="22"/>
      <c r="Z2616" s="22"/>
      <c r="AA2616" s="22"/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22"/>
    </row>
    <row r="2617" spans="5:54" x14ac:dyDescent="0.35"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2"/>
      <c r="T2617" s="22"/>
      <c r="U2617" s="22"/>
      <c r="V2617" s="22"/>
      <c r="W2617" s="22"/>
      <c r="X2617" s="22"/>
      <c r="Y2617" s="22"/>
      <c r="Z2617" s="22"/>
      <c r="AA2617" s="22"/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22"/>
    </row>
    <row r="2618" spans="5:54" x14ac:dyDescent="0.35"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2"/>
      <c r="T2618" s="22"/>
      <c r="U2618" s="22"/>
      <c r="V2618" s="22"/>
      <c r="W2618" s="22"/>
      <c r="X2618" s="22"/>
      <c r="Y2618" s="22"/>
      <c r="Z2618" s="22"/>
      <c r="AA2618" s="22"/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22"/>
    </row>
    <row r="2619" spans="5:54" x14ac:dyDescent="0.35"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2"/>
      <c r="T2619" s="22"/>
      <c r="U2619" s="22"/>
      <c r="V2619" s="22"/>
      <c r="W2619" s="22"/>
      <c r="X2619" s="22"/>
      <c r="Y2619" s="22"/>
      <c r="Z2619" s="22"/>
      <c r="AA2619" s="22"/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22"/>
    </row>
    <row r="2620" spans="5:54" x14ac:dyDescent="0.35"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2"/>
      <c r="T2620" s="22"/>
      <c r="U2620" s="22"/>
      <c r="V2620" s="22"/>
      <c r="W2620" s="22"/>
      <c r="X2620" s="22"/>
      <c r="Y2620" s="22"/>
      <c r="Z2620" s="22"/>
      <c r="AA2620" s="22"/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22"/>
    </row>
    <row r="2621" spans="5:54" x14ac:dyDescent="0.35"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2"/>
      <c r="T2621" s="22"/>
      <c r="U2621" s="22"/>
      <c r="V2621" s="22"/>
      <c r="W2621" s="22"/>
      <c r="X2621" s="22"/>
      <c r="Y2621" s="22"/>
      <c r="Z2621" s="22"/>
      <c r="AA2621" s="22"/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22"/>
    </row>
    <row r="2622" spans="5:54" x14ac:dyDescent="0.35"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2"/>
      <c r="T2622" s="22"/>
      <c r="U2622" s="22"/>
      <c r="V2622" s="22"/>
      <c r="W2622" s="22"/>
      <c r="X2622" s="22"/>
      <c r="Y2622" s="22"/>
      <c r="Z2622" s="22"/>
      <c r="AA2622" s="22"/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22"/>
    </row>
    <row r="2623" spans="5:54" x14ac:dyDescent="0.35"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2"/>
      <c r="T2623" s="22"/>
      <c r="U2623" s="22"/>
      <c r="V2623" s="22"/>
      <c r="W2623" s="22"/>
      <c r="X2623" s="22"/>
      <c r="Y2623" s="22"/>
      <c r="Z2623" s="22"/>
      <c r="AA2623" s="22"/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22"/>
    </row>
    <row r="2624" spans="5:54" x14ac:dyDescent="0.35"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2"/>
      <c r="T2624" s="22"/>
      <c r="U2624" s="22"/>
      <c r="V2624" s="22"/>
      <c r="W2624" s="22"/>
      <c r="X2624" s="22"/>
      <c r="Y2624" s="22"/>
      <c r="Z2624" s="22"/>
      <c r="AA2624" s="22"/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22"/>
    </row>
    <row r="2625" spans="5:54" x14ac:dyDescent="0.35"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2"/>
      <c r="T2625" s="22"/>
      <c r="U2625" s="22"/>
      <c r="V2625" s="22"/>
      <c r="W2625" s="22"/>
      <c r="X2625" s="22"/>
      <c r="Y2625" s="22"/>
      <c r="Z2625" s="22"/>
      <c r="AA2625" s="22"/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22"/>
    </row>
    <row r="2626" spans="5:54" x14ac:dyDescent="0.35"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2"/>
      <c r="T2626" s="22"/>
      <c r="U2626" s="22"/>
      <c r="V2626" s="22"/>
      <c r="W2626" s="22"/>
      <c r="X2626" s="22"/>
      <c r="Y2626" s="22"/>
      <c r="Z2626" s="22"/>
      <c r="AA2626" s="22"/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22"/>
    </row>
    <row r="2627" spans="5:54" x14ac:dyDescent="0.35"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2"/>
      <c r="T2627" s="22"/>
      <c r="U2627" s="22"/>
      <c r="V2627" s="22"/>
      <c r="W2627" s="22"/>
      <c r="X2627" s="22"/>
      <c r="Y2627" s="22"/>
      <c r="Z2627" s="22"/>
      <c r="AA2627" s="22"/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22"/>
    </row>
    <row r="2628" spans="5:54" x14ac:dyDescent="0.35"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2"/>
      <c r="T2628" s="22"/>
      <c r="U2628" s="22"/>
      <c r="V2628" s="22"/>
      <c r="W2628" s="22"/>
      <c r="X2628" s="22"/>
      <c r="Y2628" s="22"/>
      <c r="Z2628" s="22"/>
      <c r="AA2628" s="22"/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22"/>
    </row>
    <row r="2629" spans="5:54" x14ac:dyDescent="0.35"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2"/>
      <c r="T2629" s="22"/>
      <c r="U2629" s="22"/>
      <c r="V2629" s="22"/>
      <c r="W2629" s="22"/>
      <c r="X2629" s="22"/>
      <c r="Y2629" s="22"/>
      <c r="Z2629" s="22"/>
      <c r="AA2629" s="22"/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22"/>
    </row>
    <row r="2630" spans="5:54" x14ac:dyDescent="0.35"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2"/>
      <c r="T2630" s="22"/>
      <c r="U2630" s="22"/>
      <c r="V2630" s="22"/>
      <c r="W2630" s="22"/>
      <c r="X2630" s="22"/>
      <c r="Y2630" s="22"/>
      <c r="Z2630" s="22"/>
      <c r="AA2630" s="22"/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22"/>
    </row>
    <row r="2631" spans="5:54" x14ac:dyDescent="0.35"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2"/>
      <c r="T2631" s="22"/>
      <c r="U2631" s="22"/>
      <c r="V2631" s="22"/>
      <c r="W2631" s="22"/>
      <c r="X2631" s="22"/>
      <c r="Y2631" s="22"/>
      <c r="Z2631" s="22"/>
      <c r="AA2631" s="22"/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22"/>
    </row>
    <row r="2632" spans="5:54" x14ac:dyDescent="0.35"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2"/>
      <c r="T2632" s="22"/>
      <c r="U2632" s="22"/>
      <c r="V2632" s="22"/>
      <c r="W2632" s="22"/>
      <c r="X2632" s="22"/>
      <c r="Y2632" s="22"/>
      <c r="Z2632" s="22"/>
      <c r="AA2632" s="22"/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22"/>
    </row>
    <row r="2633" spans="5:54" x14ac:dyDescent="0.35"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2"/>
      <c r="T2633" s="22"/>
      <c r="U2633" s="22"/>
      <c r="V2633" s="22"/>
      <c r="W2633" s="22"/>
      <c r="X2633" s="22"/>
      <c r="Y2633" s="22"/>
      <c r="Z2633" s="22"/>
      <c r="AA2633" s="22"/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22"/>
    </row>
    <row r="2634" spans="5:54" x14ac:dyDescent="0.35"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2"/>
      <c r="T2634" s="22"/>
      <c r="U2634" s="22"/>
      <c r="V2634" s="22"/>
      <c r="W2634" s="22"/>
      <c r="X2634" s="22"/>
      <c r="Y2634" s="22"/>
      <c r="Z2634" s="22"/>
      <c r="AA2634" s="22"/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22"/>
    </row>
    <row r="2635" spans="5:54" x14ac:dyDescent="0.35"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2"/>
      <c r="T2635" s="22"/>
      <c r="U2635" s="22"/>
      <c r="V2635" s="22"/>
      <c r="W2635" s="22"/>
      <c r="X2635" s="22"/>
      <c r="Y2635" s="22"/>
      <c r="Z2635" s="22"/>
      <c r="AA2635" s="22"/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22"/>
    </row>
    <row r="2636" spans="5:54" x14ac:dyDescent="0.35"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2"/>
      <c r="T2636" s="22"/>
      <c r="U2636" s="22"/>
      <c r="V2636" s="22"/>
      <c r="W2636" s="22"/>
      <c r="X2636" s="22"/>
      <c r="Y2636" s="22"/>
      <c r="Z2636" s="22"/>
      <c r="AA2636" s="22"/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22"/>
    </row>
    <row r="2637" spans="5:54" x14ac:dyDescent="0.35"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Z2637" s="22"/>
      <c r="AA2637" s="22"/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22"/>
    </row>
    <row r="2638" spans="5:54" x14ac:dyDescent="0.35"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2"/>
      <c r="T2638" s="22"/>
      <c r="U2638" s="22"/>
      <c r="V2638" s="22"/>
      <c r="W2638" s="22"/>
      <c r="X2638" s="22"/>
      <c r="Y2638" s="22"/>
      <c r="Z2638" s="22"/>
      <c r="AA2638" s="22"/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22"/>
    </row>
    <row r="2639" spans="5:54" x14ac:dyDescent="0.35"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2"/>
      <c r="T2639" s="22"/>
      <c r="U2639" s="22"/>
      <c r="V2639" s="22"/>
      <c r="W2639" s="22"/>
      <c r="X2639" s="22"/>
      <c r="Y2639" s="22"/>
      <c r="Z2639" s="22"/>
      <c r="AA2639" s="22"/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22"/>
    </row>
    <row r="2640" spans="5:54" x14ac:dyDescent="0.35"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2"/>
      <c r="T2640" s="22"/>
      <c r="U2640" s="22"/>
      <c r="V2640" s="22"/>
      <c r="W2640" s="22"/>
      <c r="X2640" s="22"/>
      <c r="Y2640" s="22"/>
      <c r="Z2640" s="22"/>
      <c r="AA2640" s="22"/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22"/>
    </row>
    <row r="2641" spans="5:54" x14ac:dyDescent="0.35"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2"/>
      <c r="T2641" s="22"/>
      <c r="U2641" s="22"/>
      <c r="V2641" s="22"/>
      <c r="W2641" s="22"/>
      <c r="X2641" s="22"/>
      <c r="Y2641" s="22"/>
      <c r="Z2641" s="22"/>
      <c r="AA2641" s="22"/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22"/>
    </row>
    <row r="2642" spans="5:54" x14ac:dyDescent="0.35"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2"/>
      <c r="T2642" s="22"/>
      <c r="U2642" s="22"/>
      <c r="V2642" s="22"/>
      <c r="W2642" s="22"/>
      <c r="X2642" s="22"/>
      <c r="Y2642" s="22"/>
      <c r="Z2642" s="22"/>
      <c r="AA2642" s="22"/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22"/>
    </row>
    <row r="2643" spans="5:54" x14ac:dyDescent="0.35"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2"/>
      <c r="T2643" s="22"/>
      <c r="U2643" s="22"/>
      <c r="V2643" s="22"/>
      <c r="W2643" s="22"/>
      <c r="X2643" s="22"/>
      <c r="Y2643" s="22"/>
      <c r="Z2643" s="22"/>
      <c r="AA2643" s="22"/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22"/>
    </row>
    <row r="2644" spans="5:54" x14ac:dyDescent="0.35"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2"/>
      <c r="T2644" s="22"/>
      <c r="U2644" s="22"/>
      <c r="V2644" s="22"/>
      <c r="W2644" s="22"/>
      <c r="X2644" s="22"/>
      <c r="Y2644" s="22"/>
      <c r="Z2644" s="22"/>
      <c r="AA2644" s="22"/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22"/>
    </row>
    <row r="2645" spans="5:54" x14ac:dyDescent="0.35"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2"/>
      <c r="T2645" s="22"/>
      <c r="U2645" s="22"/>
      <c r="V2645" s="22"/>
      <c r="W2645" s="22"/>
      <c r="X2645" s="22"/>
      <c r="Y2645" s="22"/>
      <c r="Z2645" s="22"/>
      <c r="AA2645" s="22"/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22"/>
    </row>
    <row r="2646" spans="5:54" x14ac:dyDescent="0.35"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22"/>
    </row>
    <row r="2647" spans="5:54" x14ac:dyDescent="0.35"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2"/>
      <c r="T2647" s="22"/>
      <c r="U2647" s="22"/>
      <c r="V2647" s="22"/>
      <c r="W2647" s="22"/>
      <c r="X2647" s="22"/>
      <c r="Y2647" s="22"/>
      <c r="Z2647" s="22"/>
      <c r="AA2647" s="22"/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22"/>
    </row>
    <row r="2648" spans="5:54" x14ac:dyDescent="0.35"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2"/>
      <c r="T2648" s="22"/>
      <c r="U2648" s="22"/>
      <c r="V2648" s="22"/>
      <c r="W2648" s="22"/>
      <c r="X2648" s="22"/>
      <c r="Y2648" s="22"/>
      <c r="Z2648" s="22"/>
      <c r="AA2648" s="22"/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22"/>
    </row>
    <row r="2649" spans="5:54" x14ac:dyDescent="0.35"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2"/>
      <c r="T2649" s="22"/>
      <c r="U2649" s="22"/>
      <c r="V2649" s="22"/>
      <c r="W2649" s="22"/>
      <c r="X2649" s="22"/>
      <c r="Y2649" s="22"/>
      <c r="Z2649" s="22"/>
      <c r="AA2649" s="22"/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22"/>
    </row>
    <row r="2650" spans="5:54" x14ac:dyDescent="0.35"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2"/>
      <c r="T2650" s="22"/>
      <c r="U2650" s="22"/>
      <c r="V2650" s="22"/>
      <c r="W2650" s="22"/>
      <c r="X2650" s="22"/>
      <c r="Y2650" s="22"/>
      <c r="Z2650" s="22"/>
      <c r="AA2650" s="22"/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22"/>
    </row>
    <row r="2651" spans="5:54" x14ac:dyDescent="0.35"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2"/>
      <c r="T2651" s="22"/>
      <c r="U2651" s="22"/>
      <c r="V2651" s="22"/>
      <c r="W2651" s="22"/>
      <c r="X2651" s="22"/>
      <c r="Y2651" s="22"/>
      <c r="Z2651" s="22"/>
      <c r="AA2651" s="22"/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22"/>
    </row>
    <row r="2652" spans="5:54" x14ac:dyDescent="0.35"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2"/>
      <c r="T2652" s="22"/>
      <c r="U2652" s="22"/>
      <c r="V2652" s="22"/>
      <c r="W2652" s="22"/>
      <c r="X2652" s="22"/>
      <c r="Y2652" s="22"/>
      <c r="Z2652" s="22"/>
      <c r="AA2652" s="22"/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22"/>
    </row>
    <row r="2653" spans="5:54" x14ac:dyDescent="0.35"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2"/>
      <c r="T2653" s="22"/>
      <c r="U2653" s="22"/>
      <c r="V2653" s="22"/>
      <c r="W2653" s="22"/>
      <c r="X2653" s="22"/>
      <c r="Y2653" s="22"/>
      <c r="Z2653" s="22"/>
      <c r="AA2653" s="22"/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22"/>
    </row>
    <row r="2654" spans="5:54" x14ac:dyDescent="0.35"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2"/>
      <c r="T2654" s="22"/>
      <c r="U2654" s="22"/>
      <c r="V2654" s="22"/>
      <c r="W2654" s="22"/>
      <c r="X2654" s="22"/>
      <c r="Y2654" s="22"/>
      <c r="Z2654" s="22"/>
      <c r="AA2654" s="22"/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22"/>
    </row>
    <row r="2655" spans="5:54" x14ac:dyDescent="0.35"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2"/>
      <c r="T2655" s="22"/>
      <c r="U2655" s="22"/>
      <c r="V2655" s="22"/>
      <c r="W2655" s="22"/>
      <c r="X2655" s="22"/>
      <c r="Y2655" s="22"/>
      <c r="Z2655" s="22"/>
      <c r="AA2655" s="22"/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22"/>
    </row>
    <row r="2656" spans="5:54" x14ac:dyDescent="0.35"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2"/>
      <c r="T2656" s="22"/>
      <c r="U2656" s="22"/>
      <c r="V2656" s="22"/>
      <c r="W2656" s="22"/>
      <c r="X2656" s="22"/>
      <c r="Y2656" s="22"/>
      <c r="Z2656" s="22"/>
      <c r="AA2656" s="22"/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22"/>
    </row>
    <row r="2657" spans="5:54" x14ac:dyDescent="0.35"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2"/>
      <c r="T2657" s="22"/>
      <c r="U2657" s="22"/>
      <c r="V2657" s="22"/>
      <c r="W2657" s="22"/>
      <c r="X2657" s="22"/>
      <c r="Y2657" s="22"/>
      <c r="Z2657" s="22"/>
      <c r="AA2657" s="22"/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22"/>
    </row>
    <row r="2658" spans="5:54" x14ac:dyDescent="0.35"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2"/>
      <c r="T2658" s="22"/>
      <c r="U2658" s="22"/>
      <c r="V2658" s="22"/>
      <c r="W2658" s="22"/>
      <c r="X2658" s="22"/>
      <c r="Y2658" s="22"/>
      <c r="Z2658" s="22"/>
      <c r="AA2658" s="22"/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22"/>
    </row>
    <row r="2659" spans="5:54" x14ac:dyDescent="0.35"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W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22"/>
    </row>
    <row r="2660" spans="5:54" x14ac:dyDescent="0.35"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2"/>
      <c r="T2660" s="22"/>
      <c r="U2660" s="22"/>
      <c r="V2660" s="22"/>
      <c r="W2660" s="22"/>
      <c r="X2660" s="22"/>
      <c r="Y2660" s="22"/>
      <c r="Z2660" s="22"/>
      <c r="AA2660" s="22"/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22"/>
    </row>
    <row r="2661" spans="5:54" x14ac:dyDescent="0.35"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2"/>
      <c r="T2661" s="22"/>
      <c r="U2661" s="22"/>
      <c r="V2661" s="22"/>
      <c r="W2661" s="22"/>
      <c r="X2661" s="22"/>
      <c r="Y2661" s="22"/>
      <c r="Z2661" s="22"/>
      <c r="AA2661" s="22"/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22"/>
    </row>
    <row r="2662" spans="5:54" x14ac:dyDescent="0.35"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2"/>
      <c r="T2662" s="22"/>
      <c r="U2662" s="22"/>
      <c r="V2662" s="22"/>
      <c r="W2662" s="22"/>
      <c r="X2662" s="22"/>
      <c r="Y2662" s="22"/>
      <c r="Z2662" s="22"/>
      <c r="AA2662" s="22"/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22"/>
    </row>
    <row r="2663" spans="5:54" x14ac:dyDescent="0.35"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2"/>
      <c r="T2663" s="22"/>
      <c r="U2663" s="22"/>
      <c r="V2663" s="22"/>
      <c r="W2663" s="22"/>
      <c r="X2663" s="22"/>
      <c r="Y2663" s="22"/>
      <c r="Z2663" s="22"/>
      <c r="AA2663" s="22"/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22"/>
    </row>
    <row r="2664" spans="5:54" x14ac:dyDescent="0.35"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2"/>
      <c r="T2664" s="22"/>
      <c r="U2664" s="22"/>
      <c r="V2664" s="22"/>
      <c r="W2664" s="22"/>
      <c r="X2664" s="22"/>
      <c r="Y2664" s="22"/>
      <c r="Z2664" s="22"/>
      <c r="AA2664" s="22"/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22"/>
    </row>
    <row r="2665" spans="5:54" x14ac:dyDescent="0.35"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2"/>
      <c r="T2665" s="22"/>
      <c r="U2665" s="22"/>
      <c r="V2665" s="22"/>
      <c r="W2665" s="22"/>
      <c r="X2665" s="22"/>
      <c r="Y2665" s="22"/>
      <c r="Z2665" s="22"/>
      <c r="AA2665" s="22"/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22"/>
    </row>
    <row r="2666" spans="5:54" x14ac:dyDescent="0.35"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2"/>
      <c r="T2666" s="22"/>
      <c r="U2666" s="22"/>
      <c r="V2666" s="22"/>
      <c r="W2666" s="22"/>
      <c r="X2666" s="22"/>
      <c r="Y2666" s="22"/>
      <c r="Z2666" s="22"/>
      <c r="AA2666" s="22"/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22"/>
    </row>
    <row r="2667" spans="5:54" x14ac:dyDescent="0.35"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2"/>
      <c r="T2667" s="22"/>
      <c r="U2667" s="22"/>
      <c r="V2667" s="22"/>
      <c r="W2667" s="22"/>
      <c r="X2667" s="22"/>
      <c r="Y2667" s="22"/>
      <c r="Z2667" s="22"/>
      <c r="AA2667" s="22"/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22"/>
    </row>
    <row r="2668" spans="5:54" x14ac:dyDescent="0.35"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2"/>
      <c r="T2668" s="22"/>
      <c r="U2668" s="22"/>
      <c r="V2668" s="22"/>
      <c r="W2668" s="22"/>
      <c r="X2668" s="22"/>
      <c r="Y2668" s="22"/>
      <c r="Z2668" s="22"/>
      <c r="AA2668" s="22"/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22"/>
    </row>
    <row r="2669" spans="5:54" x14ac:dyDescent="0.35"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2"/>
      <c r="T2669" s="22"/>
      <c r="U2669" s="22"/>
      <c r="V2669" s="22"/>
      <c r="W2669" s="22"/>
      <c r="X2669" s="22"/>
      <c r="Y2669" s="22"/>
      <c r="Z2669" s="22"/>
      <c r="AA2669" s="22"/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22"/>
    </row>
    <row r="2670" spans="5:54" x14ac:dyDescent="0.35"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2"/>
      <c r="T2670" s="22"/>
      <c r="U2670" s="22"/>
      <c r="V2670" s="22"/>
      <c r="W2670" s="22"/>
      <c r="X2670" s="22"/>
      <c r="Y2670" s="22"/>
      <c r="Z2670" s="22"/>
      <c r="AA2670" s="22"/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22"/>
    </row>
    <row r="2671" spans="5:54" x14ac:dyDescent="0.35"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2"/>
      <c r="T2671" s="22"/>
      <c r="U2671" s="22"/>
      <c r="V2671" s="22"/>
      <c r="W2671" s="22"/>
      <c r="X2671" s="22"/>
      <c r="Y2671" s="22"/>
      <c r="Z2671" s="22"/>
      <c r="AA2671" s="22"/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22"/>
    </row>
    <row r="2672" spans="5:54" x14ac:dyDescent="0.35"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2"/>
      <c r="T2672" s="22"/>
      <c r="U2672" s="22"/>
      <c r="V2672" s="22"/>
      <c r="W2672" s="22"/>
      <c r="X2672" s="22"/>
      <c r="Y2672" s="22"/>
      <c r="Z2672" s="22"/>
      <c r="AA2672" s="22"/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22"/>
    </row>
    <row r="2673" spans="5:54" x14ac:dyDescent="0.35"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2"/>
      <c r="T2673" s="22"/>
      <c r="U2673" s="22"/>
      <c r="V2673" s="22"/>
      <c r="W2673" s="22"/>
      <c r="X2673" s="22"/>
      <c r="Y2673" s="22"/>
      <c r="Z2673" s="22"/>
      <c r="AA2673" s="22"/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22"/>
    </row>
    <row r="2674" spans="5:54" x14ac:dyDescent="0.35"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2"/>
      <c r="T2674" s="22"/>
      <c r="U2674" s="22"/>
      <c r="V2674" s="22"/>
      <c r="W2674" s="22"/>
      <c r="X2674" s="22"/>
      <c r="Y2674" s="22"/>
      <c r="Z2674" s="22"/>
      <c r="AA2674" s="22"/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22"/>
    </row>
    <row r="2675" spans="5:54" x14ac:dyDescent="0.35"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2"/>
      <c r="T2675" s="22"/>
      <c r="U2675" s="22"/>
      <c r="V2675" s="22"/>
      <c r="W2675" s="22"/>
      <c r="X2675" s="22"/>
      <c r="Y2675" s="22"/>
      <c r="Z2675" s="22"/>
      <c r="AA2675" s="22"/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22"/>
    </row>
    <row r="2676" spans="5:54" x14ac:dyDescent="0.35"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2"/>
      <c r="T2676" s="22"/>
      <c r="U2676" s="22"/>
      <c r="V2676" s="22"/>
      <c r="W2676" s="22"/>
      <c r="X2676" s="22"/>
      <c r="Y2676" s="22"/>
      <c r="Z2676" s="22"/>
      <c r="AA2676" s="22"/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22"/>
    </row>
    <row r="2677" spans="5:54" x14ac:dyDescent="0.35"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2"/>
      <c r="T2677" s="22"/>
      <c r="U2677" s="22"/>
      <c r="V2677" s="22"/>
      <c r="W2677" s="22"/>
      <c r="X2677" s="22"/>
      <c r="Y2677" s="22"/>
      <c r="Z2677" s="22"/>
      <c r="AA2677" s="22"/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22"/>
    </row>
    <row r="2678" spans="5:54" x14ac:dyDescent="0.35"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2"/>
      <c r="T2678" s="22"/>
      <c r="U2678" s="22"/>
      <c r="V2678" s="22"/>
      <c r="W2678" s="22"/>
      <c r="X2678" s="22"/>
      <c r="Y2678" s="22"/>
      <c r="Z2678" s="22"/>
      <c r="AA2678" s="22"/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22"/>
    </row>
    <row r="2679" spans="5:54" x14ac:dyDescent="0.35"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2"/>
      <c r="T2679" s="22"/>
      <c r="U2679" s="22"/>
      <c r="V2679" s="22"/>
      <c r="W2679" s="22"/>
      <c r="X2679" s="22"/>
      <c r="Y2679" s="22"/>
      <c r="Z2679" s="22"/>
      <c r="AA2679" s="22"/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22"/>
    </row>
    <row r="2680" spans="5:54" x14ac:dyDescent="0.35"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2"/>
      <c r="T2680" s="22"/>
      <c r="U2680" s="22"/>
      <c r="V2680" s="22"/>
      <c r="W2680" s="22"/>
      <c r="X2680" s="22"/>
      <c r="Y2680" s="22"/>
      <c r="Z2680" s="22"/>
      <c r="AA2680" s="22"/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22"/>
    </row>
    <row r="2681" spans="5:54" x14ac:dyDescent="0.35"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2"/>
      <c r="T2681" s="22"/>
      <c r="U2681" s="22"/>
      <c r="V2681" s="22"/>
      <c r="W2681" s="22"/>
      <c r="X2681" s="22"/>
      <c r="Y2681" s="22"/>
      <c r="Z2681" s="22"/>
      <c r="AA2681" s="22"/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22"/>
    </row>
    <row r="2682" spans="5:54" x14ac:dyDescent="0.35"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2"/>
      <c r="T2682" s="22"/>
      <c r="U2682" s="22"/>
      <c r="V2682" s="22"/>
      <c r="W2682" s="22"/>
      <c r="X2682" s="22"/>
      <c r="Y2682" s="22"/>
      <c r="Z2682" s="22"/>
      <c r="AA2682" s="22"/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22"/>
    </row>
    <row r="2683" spans="5:54" x14ac:dyDescent="0.35"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2"/>
      <c r="T2683" s="22"/>
      <c r="U2683" s="22"/>
      <c r="V2683" s="22"/>
      <c r="W2683" s="22"/>
      <c r="X2683" s="22"/>
      <c r="Y2683" s="22"/>
      <c r="Z2683" s="22"/>
      <c r="AA2683" s="22"/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22"/>
    </row>
    <row r="2684" spans="5:54" x14ac:dyDescent="0.35"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2"/>
      <c r="T2684" s="22"/>
      <c r="U2684" s="22"/>
      <c r="V2684" s="22"/>
      <c r="W2684" s="22"/>
      <c r="X2684" s="22"/>
      <c r="Y2684" s="22"/>
      <c r="Z2684" s="22"/>
      <c r="AA2684" s="22"/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22"/>
    </row>
    <row r="2685" spans="5:54" x14ac:dyDescent="0.35"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2"/>
      <c r="T2685" s="22"/>
      <c r="U2685" s="22"/>
      <c r="V2685" s="22"/>
      <c r="W2685" s="22"/>
      <c r="X2685" s="22"/>
      <c r="Y2685" s="22"/>
      <c r="Z2685" s="22"/>
      <c r="AA2685" s="22"/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22"/>
    </row>
    <row r="2686" spans="5:54" x14ac:dyDescent="0.35"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2"/>
      <c r="T2686" s="22"/>
      <c r="U2686" s="22"/>
      <c r="V2686" s="22"/>
      <c r="W2686" s="22"/>
      <c r="X2686" s="22"/>
      <c r="Y2686" s="22"/>
      <c r="Z2686" s="22"/>
      <c r="AA2686" s="22"/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22"/>
    </row>
    <row r="2687" spans="5:54" x14ac:dyDescent="0.35"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2"/>
      <c r="T2687" s="22"/>
      <c r="U2687" s="22"/>
      <c r="V2687" s="22"/>
      <c r="W2687" s="22"/>
      <c r="X2687" s="22"/>
      <c r="Y2687" s="22"/>
      <c r="Z2687" s="22"/>
      <c r="AA2687" s="22"/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22"/>
    </row>
    <row r="2688" spans="5:54" x14ac:dyDescent="0.35"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2"/>
      <c r="T2688" s="22"/>
      <c r="U2688" s="22"/>
      <c r="V2688" s="22"/>
      <c r="W2688" s="22"/>
      <c r="X2688" s="22"/>
      <c r="Y2688" s="22"/>
      <c r="Z2688" s="22"/>
      <c r="AA2688" s="22"/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22"/>
    </row>
    <row r="2689" spans="5:54" x14ac:dyDescent="0.35"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2"/>
      <c r="T2689" s="22"/>
      <c r="U2689" s="22"/>
      <c r="V2689" s="22"/>
      <c r="W2689" s="22"/>
      <c r="X2689" s="22"/>
      <c r="Y2689" s="22"/>
      <c r="Z2689" s="22"/>
      <c r="AA2689" s="22"/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22"/>
    </row>
    <row r="2690" spans="5:54" x14ac:dyDescent="0.35"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2"/>
      <c r="T2690" s="22"/>
      <c r="U2690" s="22"/>
      <c r="V2690" s="22"/>
      <c r="W2690" s="22"/>
      <c r="X2690" s="22"/>
      <c r="Y2690" s="22"/>
      <c r="Z2690" s="22"/>
      <c r="AA2690" s="22"/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22"/>
    </row>
    <row r="2691" spans="5:54" x14ac:dyDescent="0.35"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2"/>
      <c r="T2691" s="22"/>
      <c r="U2691" s="22"/>
      <c r="V2691" s="22"/>
      <c r="W2691" s="22"/>
      <c r="X2691" s="22"/>
      <c r="Y2691" s="22"/>
      <c r="Z2691" s="22"/>
      <c r="AA2691" s="22"/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22"/>
    </row>
    <row r="2692" spans="5:54" x14ac:dyDescent="0.35"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2"/>
      <c r="T2692" s="22"/>
      <c r="U2692" s="22"/>
      <c r="V2692" s="22"/>
      <c r="W2692" s="22"/>
      <c r="X2692" s="22"/>
      <c r="Y2692" s="22"/>
      <c r="Z2692" s="22"/>
      <c r="AA2692" s="22"/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22"/>
    </row>
    <row r="2693" spans="5:54" x14ac:dyDescent="0.35"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2"/>
      <c r="T2693" s="22"/>
      <c r="U2693" s="22"/>
      <c r="V2693" s="22"/>
      <c r="W2693" s="22"/>
      <c r="X2693" s="22"/>
      <c r="Y2693" s="22"/>
      <c r="Z2693" s="22"/>
      <c r="AA2693" s="22"/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22"/>
    </row>
    <row r="2694" spans="5:54" x14ac:dyDescent="0.35"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2"/>
      <c r="T2694" s="22"/>
      <c r="U2694" s="22"/>
      <c r="V2694" s="22"/>
      <c r="W2694" s="22"/>
      <c r="X2694" s="22"/>
      <c r="Y2694" s="22"/>
      <c r="Z2694" s="22"/>
      <c r="AA2694" s="22"/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22"/>
    </row>
    <row r="2695" spans="5:54" x14ac:dyDescent="0.35"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2"/>
      <c r="T2695" s="22"/>
      <c r="U2695" s="22"/>
      <c r="V2695" s="22"/>
      <c r="W2695" s="22"/>
      <c r="X2695" s="22"/>
      <c r="Y2695" s="22"/>
      <c r="Z2695" s="22"/>
      <c r="AA2695" s="22"/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22"/>
    </row>
    <row r="2696" spans="5:54" x14ac:dyDescent="0.35"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2"/>
      <c r="T2696" s="22"/>
      <c r="U2696" s="22"/>
      <c r="V2696" s="22"/>
      <c r="W2696" s="22"/>
      <c r="X2696" s="22"/>
      <c r="Y2696" s="22"/>
      <c r="Z2696" s="22"/>
      <c r="AA2696" s="22"/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22"/>
    </row>
    <row r="2697" spans="5:54" x14ac:dyDescent="0.35"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2"/>
      <c r="T2697" s="22"/>
      <c r="U2697" s="22"/>
      <c r="V2697" s="22"/>
      <c r="W2697" s="22"/>
      <c r="X2697" s="22"/>
      <c r="Y2697" s="22"/>
      <c r="Z2697" s="22"/>
      <c r="AA2697" s="22"/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22"/>
    </row>
    <row r="2698" spans="5:54" x14ac:dyDescent="0.35"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2"/>
      <c r="T2698" s="22"/>
      <c r="U2698" s="22"/>
      <c r="V2698" s="22"/>
      <c r="W2698" s="22"/>
      <c r="X2698" s="22"/>
      <c r="Y2698" s="22"/>
      <c r="Z2698" s="22"/>
      <c r="AA2698" s="22"/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22"/>
    </row>
    <row r="2699" spans="5:54" x14ac:dyDescent="0.35"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2"/>
      <c r="T2699" s="22"/>
      <c r="U2699" s="22"/>
      <c r="V2699" s="22"/>
      <c r="W2699" s="22"/>
      <c r="X2699" s="22"/>
      <c r="Y2699" s="22"/>
      <c r="Z2699" s="22"/>
      <c r="AA2699" s="22"/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22"/>
    </row>
    <row r="2700" spans="5:54" x14ac:dyDescent="0.35"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2"/>
      <c r="T2700" s="22"/>
      <c r="U2700" s="22"/>
      <c r="V2700" s="22"/>
      <c r="W2700" s="22"/>
      <c r="X2700" s="22"/>
      <c r="Y2700" s="22"/>
      <c r="Z2700" s="22"/>
      <c r="AA2700" s="22"/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22"/>
    </row>
    <row r="2701" spans="5:54" x14ac:dyDescent="0.35"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2"/>
      <c r="T2701" s="22"/>
      <c r="U2701" s="22"/>
      <c r="V2701" s="22"/>
      <c r="W2701" s="22"/>
      <c r="X2701" s="22"/>
      <c r="Y2701" s="22"/>
      <c r="Z2701" s="22"/>
      <c r="AA2701" s="22"/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22"/>
    </row>
    <row r="2702" spans="5:54" x14ac:dyDescent="0.35"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2"/>
      <c r="T2702" s="22"/>
      <c r="U2702" s="22"/>
      <c r="V2702" s="22"/>
      <c r="W2702" s="22"/>
      <c r="X2702" s="22"/>
      <c r="Y2702" s="22"/>
      <c r="Z2702" s="22"/>
      <c r="AA2702" s="22"/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22"/>
    </row>
    <row r="2703" spans="5:54" x14ac:dyDescent="0.35"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2"/>
      <c r="T2703" s="22"/>
      <c r="U2703" s="22"/>
      <c r="V2703" s="22"/>
      <c r="W2703" s="22"/>
      <c r="X2703" s="22"/>
      <c r="Y2703" s="22"/>
      <c r="Z2703" s="22"/>
      <c r="AA2703" s="22"/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22"/>
    </row>
    <row r="2704" spans="5:54" x14ac:dyDescent="0.35"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2"/>
      <c r="T2704" s="22"/>
      <c r="U2704" s="22"/>
      <c r="V2704" s="22"/>
      <c r="W2704" s="22"/>
      <c r="X2704" s="22"/>
      <c r="Y2704" s="22"/>
      <c r="Z2704" s="22"/>
      <c r="AA2704" s="22"/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22"/>
    </row>
    <row r="2705" spans="5:54" x14ac:dyDescent="0.35"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2"/>
      <c r="T2705" s="22"/>
      <c r="U2705" s="22"/>
      <c r="V2705" s="22"/>
      <c r="W2705" s="22"/>
      <c r="X2705" s="22"/>
      <c r="Y2705" s="22"/>
      <c r="Z2705" s="22"/>
      <c r="AA2705" s="22"/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22"/>
    </row>
    <row r="2706" spans="5:54" x14ac:dyDescent="0.35"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2"/>
      <c r="T2706" s="22"/>
      <c r="U2706" s="22"/>
      <c r="V2706" s="22"/>
      <c r="W2706" s="22"/>
      <c r="X2706" s="22"/>
      <c r="Y2706" s="22"/>
      <c r="Z2706" s="22"/>
      <c r="AA2706" s="22"/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22"/>
    </row>
    <row r="2707" spans="5:54" x14ac:dyDescent="0.35"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2"/>
      <c r="T2707" s="22"/>
      <c r="U2707" s="22"/>
      <c r="V2707" s="22"/>
      <c r="W2707" s="22"/>
      <c r="X2707" s="22"/>
      <c r="Y2707" s="22"/>
      <c r="Z2707" s="22"/>
      <c r="AA2707" s="22"/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22"/>
    </row>
    <row r="2708" spans="5:54" x14ac:dyDescent="0.35"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2"/>
      <c r="T2708" s="22"/>
      <c r="U2708" s="22"/>
      <c r="V2708" s="22"/>
      <c r="W2708" s="22"/>
      <c r="X2708" s="22"/>
      <c r="Y2708" s="22"/>
      <c r="Z2708" s="22"/>
      <c r="AA2708" s="22"/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22"/>
    </row>
    <row r="2709" spans="5:54" x14ac:dyDescent="0.35"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2"/>
      <c r="T2709" s="22"/>
      <c r="U2709" s="22"/>
      <c r="V2709" s="22"/>
      <c r="W2709" s="22"/>
      <c r="X2709" s="22"/>
      <c r="Y2709" s="22"/>
      <c r="Z2709" s="22"/>
      <c r="AA2709" s="22"/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22"/>
    </row>
    <row r="2710" spans="5:54" x14ac:dyDescent="0.35"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2"/>
      <c r="T2710" s="22"/>
      <c r="U2710" s="22"/>
      <c r="V2710" s="22"/>
      <c r="W2710" s="22"/>
      <c r="X2710" s="22"/>
      <c r="Y2710" s="22"/>
      <c r="Z2710" s="22"/>
      <c r="AA2710" s="22"/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22"/>
    </row>
    <row r="2711" spans="5:54" x14ac:dyDescent="0.35"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2"/>
      <c r="T2711" s="22"/>
      <c r="U2711" s="22"/>
      <c r="V2711" s="22"/>
      <c r="W2711" s="22"/>
      <c r="X2711" s="22"/>
      <c r="Y2711" s="22"/>
      <c r="Z2711" s="22"/>
      <c r="AA2711" s="22"/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22"/>
    </row>
    <row r="2712" spans="5:54" x14ac:dyDescent="0.35"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2"/>
      <c r="T2712" s="22"/>
      <c r="U2712" s="22"/>
      <c r="V2712" s="22"/>
      <c r="W2712" s="22"/>
      <c r="X2712" s="22"/>
      <c r="Y2712" s="22"/>
      <c r="Z2712" s="22"/>
      <c r="AA2712" s="22"/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22"/>
    </row>
    <row r="2713" spans="5:54" x14ac:dyDescent="0.35"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2"/>
      <c r="T2713" s="22"/>
      <c r="U2713" s="22"/>
      <c r="V2713" s="22"/>
      <c r="W2713" s="22"/>
      <c r="X2713" s="22"/>
      <c r="Y2713" s="22"/>
      <c r="Z2713" s="22"/>
      <c r="AA2713" s="22"/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22"/>
    </row>
    <row r="2714" spans="5:54" x14ac:dyDescent="0.35"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2"/>
      <c r="T2714" s="22"/>
      <c r="U2714" s="22"/>
      <c r="V2714" s="22"/>
      <c r="W2714" s="22"/>
      <c r="X2714" s="22"/>
      <c r="Y2714" s="22"/>
      <c r="Z2714" s="22"/>
      <c r="AA2714" s="22"/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22"/>
    </row>
    <row r="2715" spans="5:54" x14ac:dyDescent="0.35"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2"/>
      <c r="T2715" s="22"/>
      <c r="U2715" s="22"/>
      <c r="V2715" s="22"/>
      <c r="W2715" s="22"/>
      <c r="X2715" s="22"/>
      <c r="Y2715" s="22"/>
      <c r="Z2715" s="22"/>
      <c r="AA2715" s="22"/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22"/>
    </row>
    <row r="2716" spans="5:54" x14ac:dyDescent="0.35"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2"/>
      <c r="T2716" s="22"/>
      <c r="U2716" s="22"/>
      <c r="V2716" s="22"/>
      <c r="W2716" s="22"/>
      <c r="X2716" s="22"/>
      <c r="Y2716" s="22"/>
      <c r="Z2716" s="22"/>
      <c r="AA2716" s="22"/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22"/>
    </row>
    <row r="2717" spans="5:54" x14ac:dyDescent="0.35"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2"/>
      <c r="T2717" s="22"/>
      <c r="U2717" s="22"/>
      <c r="V2717" s="22"/>
      <c r="W2717" s="22"/>
      <c r="X2717" s="22"/>
      <c r="Y2717" s="22"/>
      <c r="Z2717" s="22"/>
      <c r="AA2717" s="22"/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22"/>
    </row>
    <row r="2718" spans="5:54" x14ac:dyDescent="0.35"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2"/>
      <c r="T2718" s="22"/>
      <c r="U2718" s="22"/>
      <c r="V2718" s="22"/>
      <c r="W2718" s="22"/>
      <c r="X2718" s="22"/>
      <c r="Y2718" s="22"/>
      <c r="Z2718" s="22"/>
      <c r="AA2718" s="22"/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22"/>
    </row>
    <row r="2719" spans="5:54" x14ac:dyDescent="0.35"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2"/>
      <c r="T2719" s="22"/>
      <c r="U2719" s="22"/>
      <c r="V2719" s="22"/>
      <c r="W2719" s="22"/>
      <c r="X2719" s="22"/>
      <c r="Y2719" s="22"/>
      <c r="Z2719" s="22"/>
      <c r="AA2719" s="22"/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22"/>
    </row>
    <row r="2720" spans="5:54" x14ac:dyDescent="0.35"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2"/>
      <c r="T2720" s="22"/>
      <c r="U2720" s="22"/>
      <c r="V2720" s="22"/>
      <c r="W2720" s="22"/>
      <c r="X2720" s="22"/>
      <c r="Y2720" s="22"/>
      <c r="Z2720" s="22"/>
      <c r="AA2720" s="22"/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22"/>
    </row>
    <row r="2721" spans="5:54" x14ac:dyDescent="0.35"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2"/>
      <c r="T2721" s="22"/>
      <c r="U2721" s="22"/>
      <c r="V2721" s="22"/>
      <c r="W2721" s="22"/>
      <c r="X2721" s="22"/>
      <c r="Y2721" s="22"/>
      <c r="Z2721" s="22"/>
      <c r="AA2721" s="22"/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22"/>
    </row>
    <row r="2722" spans="5:54" x14ac:dyDescent="0.35"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2"/>
      <c r="T2722" s="22"/>
      <c r="U2722" s="22"/>
      <c r="V2722" s="22"/>
      <c r="W2722" s="22"/>
      <c r="X2722" s="22"/>
      <c r="Y2722" s="22"/>
      <c r="Z2722" s="22"/>
      <c r="AA2722" s="22"/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22"/>
    </row>
    <row r="2723" spans="5:54" x14ac:dyDescent="0.35"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2"/>
      <c r="T2723" s="22"/>
      <c r="U2723" s="22"/>
      <c r="V2723" s="22"/>
      <c r="W2723" s="22"/>
      <c r="X2723" s="22"/>
      <c r="Y2723" s="22"/>
      <c r="Z2723" s="22"/>
      <c r="AA2723" s="22"/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22"/>
    </row>
    <row r="2724" spans="5:54" x14ac:dyDescent="0.35"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2"/>
      <c r="T2724" s="22"/>
      <c r="U2724" s="22"/>
      <c r="V2724" s="22"/>
      <c r="W2724" s="22"/>
      <c r="X2724" s="22"/>
      <c r="Y2724" s="22"/>
      <c r="Z2724" s="22"/>
      <c r="AA2724" s="22"/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22"/>
    </row>
    <row r="2725" spans="5:54" x14ac:dyDescent="0.35"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2"/>
      <c r="T2725" s="22"/>
      <c r="U2725" s="22"/>
      <c r="V2725" s="22"/>
      <c r="W2725" s="22"/>
      <c r="X2725" s="22"/>
      <c r="Y2725" s="22"/>
      <c r="Z2725" s="22"/>
      <c r="AA2725" s="22"/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22"/>
    </row>
    <row r="2726" spans="5:54" x14ac:dyDescent="0.35"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2"/>
      <c r="T2726" s="22"/>
      <c r="U2726" s="22"/>
      <c r="V2726" s="22"/>
      <c r="W2726" s="22"/>
      <c r="X2726" s="22"/>
      <c r="Y2726" s="22"/>
      <c r="Z2726" s="22"/>
      <c r="AA2726" s="22"/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22"/>
    </row>
    <row r="2727" spans="5:54" x14ac:dyDescent="0.35"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2"/>
      <c r="T2727" s="22"/>
      <c r="U2727" s="22"/>
      <c r="V2727" s="22"/>
      <c r="W2727" s="22"/>
      <c r="X2727" s="22"/>
      <c r="Y2727" s="22"/>
      <c r="Z2727" s="22"/>
      <c r="AA2727" s="22"/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22"/>
    </row>
    <row r="2728" spans="5:54" x14ac:dyDescent="0.35"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2"/>
      <c r="T2728" s="22"/>
      <c r="U2728" s="22"/>
      <c r="V2728" s="22"/>
      <c r="W2728" s="22"/>
      <c r="X2728" s="22"/>
      <c r="Y2728" s="22"/>
      <c r="Z2728" s="22"/>
      <c r="AA2728" s="22"/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22"/>
    </row>
    <row r="2729" spans="5:54" x14ac:dyDescent="0.35"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2"/>
      <c r="T2729" s="22"/>
      <c r="U2729" s="22"/>
      <c r="V2729" s="22"/>
      <c r="W2729" s="22"/>
      <c r="X2729" s="22"/>
      <c r="Y2729" s="22"/>
      <c r="Z2729" s="22"/>
      <c r="AA2729" s="22"/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22"/>
    </row>
    <row r="2730" spans="5:54" x14ac:dyDescent="0.35"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22"/>
      <c r="AA2730" s="22"/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22"/>
    </row>
    <row r="2731" spans="5:54" x14ac:dyDescent="0.35"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2"/>
      <c r="T2731" s="22"/>
      <c r="U2731" s="22"/>
      <c r="V2731" s="22"/>
      <c r="W2731" s="22"/>
      <c r="X2731" s="22"/>
      <c r="Y2731" s="22"/>
      <c r="Z2731" s="22"/>
      <c r="AA2731" s="22"/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22"/>
    </row>
    <row r="2732" spans="5:54" x14ac:dyDescent="0.35"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2"/>
      <c r="T2732" s="22"/>
      <c r="U2732" s="22"/>
      <c r="V2732" s="22"/>
      <c r="W2732" s="22"/>
      <c r="X2732" s="22"/>
      <c r="Y2732" s="22"/>
      <c r="Z2732" s="22"/>
      <c r="AA2732" s="22"/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22"/>
    </row>
    <row r="2733" spans="5:54" x14ac:dyDescent="0.35"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22"/>
      <c r="X2733" s="22"/>
      <c r="Y2733" s="22"/>
      <c r="Z2733" s="22"/>
      <c r="AA2733" s="22"/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22"/>
    </row>
    <row r="2734" spans="5:54" x14ac:dyDescent="0.35"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2"/>
      <c r="T2734" s="22"/>
      <c r="U2734" s="22"/>
      <c r="V2734" s="22"/>
      <c r="W2734" s="22"/>
      <c r="X2734" s="22"/>
      <c r="Y2734" s="22"/>
      <c r="Z2734" s="22"/>
      <c r="AA2734" s="22"/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22"/>
    </row>
    <row r="2735" spans="5:54" x14ac:dyDescent="0.35"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2"/>
      <c r="T2735" s="22"/>
      <c r="U2735" s="22"/>
      <c r="V2735" s="22"/>
      <c r="W2735" s="22"/>
      <c r="X2735" s="22"/>
      <c r="Y2735" s="22"/>
      <c r="Z2735" s="22"/>
      <c r="AA2735" s="22"/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22"/>
    </row>
    <row r="2736" spans="5:54" x14ac:dyDescent="0.35"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2"/>
      <c r="T2736" s="22"/>
      <c r="U2736" s="22"/>
      <c r="V2736" s="22"/>
      <c r="W2736" s="22"/>
      <c r="X2736" s="22"/>
      <c r="Y2736" s="22"/>
      <c r="Z2736" s="22"/>
      <c r="AA2736" s="22"/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22"/>
    </row>
    <row r="2737" spans="5:54" x14ac:dyDescent="0.35"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2"/>
      <c r="T2737" s="22"/>
      <c r="U2737" s="22"/>
      <c r="V2737" s="22"/>
      <c r="W2737" s="22"/>
      <c r="X2737" s="22"/>
      <c r="Y2737" s="22"/>
      <c r="Z2737" s="22"/>
      <c r="AA2737" s="22"/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22"/>
    </row>
    <row r="2738" spans="5:54" x14ac:dyDescent="0.35"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2"/>
      <c r="T2738" s="22"/>
      <c r="U2738" s="22"/>
      <c r="V2738" s="22"/>
      <c r="W2738" s="22"/>
      <c r="X2738" s="22"/>
      <c r="Y2738" s="22"/>
      <c r="Z2738" s="22"/>
      <c r="AA2738" s="22"/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22"/>
    </row>
    <row r="2739" spans="5:54" x14ac:dyDescent="0.35"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2"/>
      <c r="T2739" s="22"/>
      <c r="U2739" s="22"/>
      <c r="V2739" s="22"/>
      <c r="W2739" s="22"/>
      <c r="X2739" s="22"/>
      <c r="Y2739" s="22"/>
      <c r="Z2739" s="22"/>
      <c r="AA2739" s="22"/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22"/>
    </row>
    <row r="2740" spans="5:54" x14ac:dyDescent="0.35"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2"/>
      <c r="T2740" s="22"/>
      <c r="U2740" s="22"/>
      <c r="V2740" s="22"/>
      <c r="W2740" s="22"/>
      <c r="X2740" s="22"/>
      <c r="Y2740" s="22"/>
      <c r="Z2740" s="22"/>
      <c r="AA2740" s="22"/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22"/>
    </row>
    <row r="2741" spans="5:54" x14ac:dyDescent="0.35"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2"/>
      <c r="T2741" s="22"/>
      <c r="U2741" s="22"/>
      <c r="V2741" s="22"/>
      <c r="W2741" s="22"/>
      <c r="X2741" s="22"/>
      <c r="Y2741" s="22"/>
      <c r="Z2741" s="22"/>
      <c r="AA2741" s="22"/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22"/>
    </row>
    <row r="2742" spans="5:54" x14ac:dyDescent="0.35"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2"/>
      <c r="T2742" s="22"/>
      <c r="U2742" s="22"/>
      <c r="V2742" s="22"/>
      <c r="W2742" s="22"/>
      <c r="X2742" s="22"/>
      <c r="Y2742" s="22"/>
      <c r="Z2742" s="22"/>
      <c r="AA2742" s="22"/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22"/>
    </row>
    <row r="2743" spans="5:54" x14ac:dyDescent="0.35"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2"/>
      <c r="T2743" s="22"/>
      <c r="U2743" s="22"/>
      <c r="V2743" s="22"/>
      <c r="W2743" s="22"/>
      <c r="X2743" s="22"/>
      <c r="Y2743" s="22"/>
      <c r="Z2743" s="22"/>
      <c r="AA2743" s="22"/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22"/>
    </row>
    <row r="2744" spans="5:54" x14ac:dyDescent="0.35"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2"/>
      <c r="T2744" s="22"/>
      <c r="U2744" s="22"/>
      <c r="V2744" s="22"/>
      <c r="W2744" s="22"/>
      <c r="X2744" s="22"/>
      <c r="Y2744" s="22"/>
      <c r="Z2744" s="22"/>
      <c r="AA2744" s="22"/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22"/>
    </row>
    <row r="2745" spans="5:54" x14ac:dyDescent="0.35"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2"/>
      <c r="T2745" s="22"/>
      <c r="U2745" s="22"/>
      <c r="V2745" s="22"/>
      <c r="W2745" s="22"/>
      <c r="X2745" s="22"/>
      <c r="Y2745" s="22"/>
      <c r="Z2745" s="22"/>
      <c r="AA2745" s="22"/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22"/>
    </row>
    <row r="2746" spans="5:54" x14ac:dyDescent="0.35"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2"/>
      <c r="T2746" s="22"/>
      <c r="U2746" s="22"/>
      <c r="V2746" s="22"/>
      <c r="W2746" s="22"/>
      <c r="X2746" s="22"/>
      <c r="Y2746" s="22"/>
      <c r="Z2746" s="22"/>
      <c r="AA2746" s="22"/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22"/>
    </row>
    <row r="2747" spans="5:54" x14ac:dyDescent="0.35"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2"/>
      <c r="T2747" s="22"/>
      <c r="U2747" s="22"/>
      <c r="V2747" s="22"/>
      <c r="W2747" s="22"/>
      <c r="X2747" s="22"/>
      <c r="Y2747" s="22"/>
      <c r="Z2747" s="22"/>
      <c r="AA2747" s="22"/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22"/>
    </row>
    <row r="2748" spans="5:54" x14ac:dyDescent="0.35"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2"/>
      <c r="T2748" s="22"/>
      <c r="U2748" s="22"/>
      <c r="V2748" s="22"/>
      <c r="W2748" s="22"/>
      <c r="X2748" s="22"/>
      <c r="Y2748" s="22"/>
      <c r="Z2748" s="22"/>
      <c r="AA2748" s="22"/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22"/>
    </row>
    <row r="2749" spans="5:54" x14ac:dyDescent="0.35"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2"/>
      <c r="T2749" s="22"/>
      <c r="U2749" s="22"/>
      <c r="V2749" s="22"/>
      <c r="W2749" s="22"/>
      <c r="X2749" s="22"/>
      <c r="Y2749" s="22"/>
      <c r="Z2749" s="22"/>
      <c r="AA2749" s="22"/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22"/>
    </row>
    <row r="2750" spans="5:54" x14ac:dyDescent="0.35"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2"/>
      <c r="T2750" s="22"/>
      <c r="U2750" s="22"/>
      <c r="V2750" s="22"/>
      <c r="W2750" s="22"/>
      <c r="X2750" s="22"/>
      <c r="Y2750" s="22"/>
      <c r="Z2750" s="22"/>
      <c r="AA2750" s="22"/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22"/>
    </row>
    <row r="2751" spans="5:54" x14ac:dyDescent="0.35"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2"/>
      <c r="T2751" s="22"/>
      <c r="U2751" s="22"/>
      <c r="V2751" s="22"/>
      <c r="W2751" s="22"/>
      <c r="X2751" s="22"/>
      <c r="Y2751" s="22"/>
      <c r="Z2751" s="22"/>
      <c r="AA2751" s="22"/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22"/>
    </row>
    <row r="2752" spans="5:54" x14ac:dyDescent="0.35"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2"/>
      <c r="T2752" s="22"/>
      <c r="U2752" s="22"/>
      <c r="V2752" s="22"/>
      <c r="W2752" s="22"/>
      <c r="X2752" s="22"/>
      <c r="Y2752" s="22"/>
      <c r="Z2752" s="22"/>
      <c r="AA2752" s="22"/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22"/>
    </row>
    <row r="2753" spans="5:54" x14ac:dyDescent="0.35"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2"/>
      <c r="T2753" s="22"/>
      <c r="U2753" s="22"/>
      <c r="V2753" s="22"/>
      <c r="W2753" s="22"/>
      <c r="X2753" s="22"/>
      <c r="Y2753" s="22"/>
      <c r="Z2753" s="22"/>
      <c r="AA2753" s="22"/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22"/>
    </row>
    <row r="2754" spans="5:54" x14ac:dyDescent="0.35"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2"/>
      <c r="T2754" s="22"/>
      <c r="U2754" s="22"/>
      <c r="V2754" s="22"/>
      <c r="W2754" s="22"/>
      <c r="X2754" s="22"/>
      <c r="Y2754" s="22"/>
      <c r="Z2754" s="22"/>
      <c r="AA2754" s="22"/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22"/>
    </row>
    <row r="2755" spans="5:54" x14ac:dyDescent="0.35"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2"/>
      <c r="T2755" s="22"/>
      <c r="U2755" s="22"/>
      <c r="V2755" s="22"/>
      <c r="W2755" s="22"/>
      <c r="X2755" s="22"/>
      <c r="Y2755" s="22"/>
      <c r="Z2755" s="22"/>
      <c r="AA2755" s="22"/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22"/>
    </row>
    <row r="2756" spans="5:54" x14ac:dyDescent="0.35"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2"/>
      <c r="T2756" s="22"/>
      <c r="U2756" s="22"/>
      <c r="V2756" s="22"/>
      <c r="W2756" s="22"/>
      <c r="X2756" s="22"/>
      <c r="Y2756" s="22"/>
      <c r="Z2756" s="22"/>
      <c r="AA2756" s="22"/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22"/>
    </row>
    <row r="2757" spans="5:54" x14ac:dyDescent="0.35"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2"/>
      <c r="T2757" s="22"/>
      <c r="U2757" s="22"/>
      <c r="V2757" s="22"/>
      <c r="W2757" s="22"/>
      <c r="X2757" s="22"/>
      <c r="Y2757" s="22"/>
      <c r="Z2757" s="22"/>
      <c r="AA2757" s="22"/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22"/>
    </row>
    <row r="2758" spans="5:54" x14ac:dyDescent="0.35"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2"/>
      <c r="T2758" s="22"/>
      <c r="U2758" s="22"/>
      <c r="V2758" s="22"/>
      <c r="W2758" s="22"/>
      <c r="X2758" s="22"/>
      <c r="Y2758" s="22"/>
      <c r="Z2758" s="22"/>
      <c r="AA2758" s="22"/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22"/>
    </row>
    <row r="2759" spans="5:54" x14ac:dyDescent="0.35"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2"/>
      <c r="T2759" s="22"/>
      <c r="U2759" s="22"/>
      <c r="V2759" s="22"/>
      <c r="W2759" s="22"/>
      <c r="X2759" s="22"/>
      <c r="Y2759" s="22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22"/>
    </row>
    <row r="2760" spans="5:54" x14ac:dyDescent="0.35"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2"/>
      <c r="T2760" s="22"/>
      <c r="U2760" s="22"/>
      <c r="V2760" s="22"/>
      <c r="W2760" s="22"/>
      <c r="X2760" s="22"/>
      <c r="Y2760" s="22"/>
      <c r="Z2760" s="22"/>
      <c r="AA2760" s="22"/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22"/>
    </row>
    <row r="2761" spans="5:54" x14ac:dyDescent="0.35"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2"/>
      <c r="T2761" s="22"/>
      <c r="U2761" s="22"/>
      <c r="V2761" s="22"/>
      <c r="W2761" s="22"/>
      <c r="X2761" s="22"/>
      <c r="Y2761" s="22"/>
      <c r="Z2761" s="22"/>
      <c r="AA2761" s="22"/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22"/>
    </row>
    <row r="2762" spans="5:54" x14ac:dyDescent="0.35"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2"/>
      <c r="T2762" s="22"/>
      <c r="U2762" s="22"/>
      <c r="V2762" s="22"/>
      <c r="W2762" s="22"/>
      <c r="X2762" s="22"/>
      <c r="Y2762" s="22"/>
      <c r="Z2762" s="22"/>
      <c r="AA2762" s="22"/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22"/>
    </row>
    <row r="2763" spans="5:54" x14ac:dyDescent="0.35"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2"/>
      <c r="T2763" s="22"/>
      <c r="U2763" s="22"/>
      <c r="V2763" s="22"/>
      <c r="W2763" s="22"/>
      <c r="X2763" s="22"/>
      <c r="Y2763" s="22"/>
      <c r="Z2763" s="22"/>
      <c r="AA2763" s="22"/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22"/>
    </row>
    <row r="2764" spans="5:54" x14ac:dyDescent="0.35"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2"/>
      <c r="T2764" s="22"/>
      <c r="U2764" s="22"/>
      <c r="V2764" s="22"/>
      <c r="W2764" s="22"/>
      <c r="X2764" s="22"/>
      <c r="Y2764" s="22"/>
      <c r="Z2764" s="22"/>
      <c r="AA2764" s="22"/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22"/>
    </row>
    <row r="2765" spans="5:54" x14ac:dyDescent="0.35"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2"/>
      <c r="T2765" s="22"/>
      <c r="U2765" s="22"/>
      <c r="V2765" s="22"/>
      <c r="W2765" s="22"/>
      <c r="X2765" s="22"/>
      <c r="Y2765" s="22"/>
      <c r="Z2765" s="22"/>
      <c r="AA2765" s="22"/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22"/>
    </row>
    <row r="2766" spans="5:54" x14ac:dyDescent="0.35"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2"/>
      <c r="T2766" s="22"/>
      <c r="U2766" s="22"/>
      <c r="V2766" s="22"/>
      <c r="W2766" s="22"/>
      <c r="X2766" s="22"/>
      <c r="Y2766" s="22"/>
      <c r="Z2766" s="22"/>
      <c r="AA2766" s="22"/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22"/>
    </row>
    <row r="2767" spans="5:54" x14ac:dyDescent="0.35"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2"/>
      <c r="T2767" s="22"/>
      <c r="U2767" s="22"/>
      <c r="V2767" s="22"/>
      <c r="W2767" s="22"/>
      <c r="X2767" s="22"/>
      <c r="Y2767" s="22"/>
      <c r="Z2767" s="22"/>
      <c r="AA2767" s="22"/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22"/>
    </row>
    <row r="2768" spans="5:54" x14ac:dyDescent="0.35"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2"/>
      <c r="T2768" s="22"/>
      <c r="U2768" s="22"/>
      <c r="V2768" s="22"/>
      <c r="W2768" s="22"/>
      <c r="X2768" s="22"/>
      <c r="Y2768" s="22"/>
      <c r="Z2768" s="22"/>
      <c r="AA2768" s="22"/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22"/>
    </row>
    <row r="2769" spans="5:54" x14ac:dyDescent="0.35"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2"/>
      <c r="T2769" s="22"/>
      <c r="U2769" s="22"/>
      <c r="V2769" s="22"/>
      <c r="W2769" s="22"/>
      <c r="X2769" s="22"/>
      <c r="Y2769" s="22"/>
      <c r="Z2769" s="22"/>
      <c r="AA2769" s="22"/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22"/>
    </row>
    <row r="2770" spans="5:54" x14ac:dyDescent="0.35"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2"/>
      <c r="T2770" s="22"/>
      <c r="U2770" s="22"/>
      <c r="V2770" s="22"/>
      <c r="W2770" s="22"/>
      <c r="X2770" s="22"/>
      <c r="Y2770" s="22"/>
      <c r="Z2770" s="22"/>
      <c r="AA2770" s="22"/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22"/>
    </row>
    <row r="2771" spans="5:54" x14ac:dyDescent="0.35"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2"/>
      <c r="T2771" s="22"/>
      <c r="U2771" s="22"/>
      <c r="V2771" s="22"/>
      <c r="W2771" s="22"/>
      <c r="X2771" s="22"/>
      <c r="Y2771" s="22"/>
      <c r="Z2771" s="22"/>
      <c r="AA2771" s="22"/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22"/>
    </row>
    <row r="2772" spans="5:54" x14ac:dyDescent="0.35"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2"/>
      <c r="T2772" s="22"/>
      <c r="U2772" s="22"/>
      <c r="V2772" s="22"/>
      <c r="W2772" s="22"/>
      <c r="X2772" s="22"/>
      <c r="Y2772" s="22"/>
      <c r="Z2772" s="22"/>
      <c r="AA2772" s="22"/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22"/>
    </row>
    <row r="2773" spans="5:54" x14ac:dyDescent="0.35"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2"/>
      <c r="T2773" s="22"/>
      <c r="U2773" s="22"/>
      <c r="V2773" s="22"/>
      <c r="W2773" s="22"/>
      <c r="X2773" s="22"/>
      <c r="Y2773" s="22"/>
      <c r="Z2773" s="22"/>
      <c r="AA2773" s="22"/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22"/>
    </row>
    <row r="2774" spans="5:54" x14ac:dyDescent="0.35"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2"/>
      <c r="T2774" s="22"/>
      <c r="U2774" s="22"/>
      <c r="V2774" s="22"/>
      <c r="W2774" s="22"/>
      <c r="X2774" s="22"/>
      <c r="Y2774" s="22"/>
      <c r="Z2774" s="22"/>
      <c r="AA2774" s="22"/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22"/>
    </row>
    <row r="2775" spans="5:54" x14ac:dyDescent="0.35"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2"/>
      <c r="T2775" s="22"/>
      <c r="U2775" s="22"/>
      <c r="V2775" s="22"/>
      <c r="W2775" s="22"/>
      <c r="X2775" s="22"/>
      <c r="Y2775" s="22"/>
      <c r="Z2775" s="22"/>
      <c r="AA2775" s="22"/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22"/>
    </row>
    <row r="2776" spans="5:54" x14ac:dyDescent="0.35"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2"/>
      <c r="T2776" s="22"/>
      <c r="U2776" s="22"/>
      <c r="V2776" s="22"/>
      <c r="W2776" s="22"/>
      <c r="X2776" s="22"/>
      <c r="Y2776" s="22"/>
      <c r="Z2776" s="22"/>
      <c r="AA2776" s="22"/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22"/>
    </row>
    <row r="2777" spans="5:54" x14ac:dyDescent="0.35"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2"/>
      <c r="T2777" s="22"/>
      <c r="U2777" s="22"/>
      <c r="V2777" s="22"/>
      <c r="W2777" s="22"/>
      <c r="X2777" s="22"/>
      <c r="Y2777" s="22"/>
      <c r="Z2777" s="22"/>
      <c r="AA2777" s="22"/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22"/>
    </row>
    <row r="2778" spans="5:54" x14ac:dyDescent="0.35"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2"/>
      <c r="T2778" s="22"/>
      <c r="U2778" s="22"/>
      <c r="V2778" s="22"/>
      <c r="W2778" s="22"/>
      <c r="X2778" s="22"/>
      <c r="Y2778" s="22"/>
      <c r="Z2778" s="22"/>
      <c r="AA2778" s="22"/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22"/>
    </row>
    <row r="2779" spans="5:54" x14ac:dyDescent="0.35"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2"/>
      <c r="T2779" s="22"/>
      <c r="U2779" s="22"/>
      <c r="V2779" s="22"/>
      <c r="W2779" s="22"/>
      <c r="X2779" s="22"/>
      <c r="Y2779" s="22"/>
      <c r="Z2779" s="22"/>
      <c r="AA2779" s="22"/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22"/>
    </row>
    <row r="2780" spans="5:54" x14ac:dyDescent="0.35"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2"/>
      <c r="T2780" s="22"/>
      <c r="U2780" s="22"/>
      <c r="V2780" s="22"/>
      <c r="W2780" s="22"/>
      <c r="X2780" s="22"/>
      <c r="Y2780" s="22"/>
      <c r="Z2780" s="22"/>
      <c r="AA2780" s="22"/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22"/>
    </row>
    <row r="2781" spans="5:54" x14ac:dyDescent="0.35"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2"/>
      <c r="T2781" s="22"/>
      <c r="U2781" s="22"/>
      <c r="V2781" s="22"/>
      <c r="W2781" s="22"/>
      <c r="X2781" s="22"/>
      <c r="Y2781" s="22"/>
      <c r="Z2781" s="22"/>
      <c r="AA2781" s="22"/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22"/>
    </row>
    <row r="2782" spans="5:54" x14ac:dyDescent="0.35"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2"/>
      <c r="T2782" s="22"/>
      <c r="U2782" s="22"/>
      <c r="V2782" s="22"/>
      <c r="W2782" s="22"/>
      <c r="X2782" s="22"/>
      <c r="Y2782" s="22"/>
      <c r="Z2782" s="22"/>
      <c r="AA2782" s="22"/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22"/>
    </row>
    <row r="2783" spans="5:54" x14ac:dyDescent="0.35"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2"/>
      <c r="T2783" s="22"/>
      <c r="U2783" s="22"/>
      <c r="V2783" s="22"/>
      <c r="W2783" s="22"/>
      <c r="X2783" s="22"/>
      <c r="Y2783" s="22"/>
      <c r="Z2783" s="22"/>
      <c r="AA2783" s="22"/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22"/>
    </row>
    <row r="2784" spans="5:54" x14ac:dyDescent="0.35"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2"/>
      <c r="T2784" s="22"/>
      <c r="U2784" s="22"/>
      <c r="V2784" s="22"/>
      <c r="W2784" s="22"/>
      <c r="X2784" s="22"/>
      <c r="Y2784" s="22"/>
      <c r="Z2784" s="22"/>
      <c r="AA2784" s="22"/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22"/>
    </row>
    <row r="2785" spans="5:54" x14ac:dyDescent="0.35"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2"/>
      <c r="T2785" s="22"/>
      <c r="U2785" s="22"/>
      <c r="V2785" s="22"/>
      <c r="W2785" s="22"/>
      <c r="X2785" s="22"/>
      <c r="Y2785" s="22"/>
      <c r="Z2785" s="22"/>
      <c r="AA2785" s="22"/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22"/>
    </row>
    <row r="2786" spans="5:54" x14ac:dyDescent="0.35"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2"/>
      <c r="T2786" s="22"/>
      <c r="U2786" s="22"/>
      <c r="V2786" s="22"/>
      <c r="W2786" s="22"/>
      <c r="X2786" s="22"/>
      <c r="Y2786" s="22"/>
      <c r="Z2786" s="22"/>
      <c r="AA2786" s="22"/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22"/>
    </row>
    <row r="2787" spans="5:54" x14ac:dyDescent="0.35"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2"/>
      <c r="T2787" s="22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22"/>
    </row>
    <row r="2788" spans="5:54" x14ac:dyDescent="0.35"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2"/>
      <c r="T2788" s="22"/>
      <c r="U2788" s="22"/>
      <c r="V2788" s="22"/>
      <c r="W2788" s="22"/>
      <c r="X2788" s="22"/>
      <c r="Y2788" s="22"/>
      <c r="Z2788" s="22"/>
      <c r="AA2788" s="22"/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22"/>
    </row>
    <row r="2789" spans="5:54" x14ac:dyDescent="0.35"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2"/>
      <c r="T2789" s="22"/>
      <c r="U2789" s="22"/>
      <c r="V2789" s="22"/>
      <c r="W2789" s="22"/>
      <c r="X2789" s="22"/>
      <c r="Y2789" s="22"/>
      <c r="Z2789" s="22"/>
      <c r="AA2789" s="22"/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22"/>
    </row>
    <row r="2790" spans="5:54" x14ac:dyDescent="0.35"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2"/>
      <c r="T2790" s="22"/>
      <c r="U2790" s="22"/>
      <c r="V2790" s="22"/>
      <c r="W2790" s="22"/>
      <c r="X2790" s="22"/>
      <c r="Y2790" s="22"/>
      <c r="Z2790" s="22"/>
      <c r="AA2790" s="22"/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22"/>
    </row>
    <row r="2791" spans="5:54" x14ac:dyDescent="0.35"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2"/>
      <c r="T2791" s="22"/>
      <c r="U2791" s="22"/>
      <c r="V2791" s="22"/>
      <c r="W2791" s="22"/>
      <c r="X2791" s="22"/>
      <c r="Y2791" s="22"/>
      <c r="Z2791" s="22"/>
      <c r="AA2791" s="22"/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22"/>
    </row>
    <row r="2792" spans="5:54" x14ac:dyDescent="0.35"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2"/>
      <c r="T2792" s="22"/>
      <c r="U2792" s="22"/>
      <c r="V2792" s="22"/>
      <c r="W2792" s="22"/>
      <c r="X2792" s="22"/>
      <c r="Y2792" s="22"/>
      <c r="Z2792" s="22"/>
      <c r="AA2792" s="22"/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22"/>
    </row>
    <row r="2793" spans="5:54" x14ac:dyDescent="0.35"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2"/>
      <c r="T2793" s="22"/>
      <c r="U2793" s="22"/>
      <c r="V2793" s="22"/>
      <c r="W2793" s="22"/>
      <c r="X2793" s="22"/>
      <c r="Y2793" s="22"/>
      <c r="Z2793" s="22"/>
      <c r="AA2793" s="22"/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22"/>
    </row>
    <row r="2794" spans="5:54" x14ac:dyDescent="0.35"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2"/>
      <c r="T2794" s="22"/>
      <c r="U2794" s="22"/>
      <c r="V2794" s="22"/>
      <c r="W2794" s="22"/>
      <c r="X2794" s="22"/>
      <c r="Y2794" s="22"/>
      <c r="Z2794" s="22"/>
      <c r="AA2794" s="22"/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22"/>
    </row>
    <row r="2795" spans="5:54" x14ac:dyDescent="0.35"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2"/>
      <c r="T2795" s="22"/>
      <c r="U2795" s="22"/>
      <c r="V2795" s="22"/>
      <c r="W2795" s="22"/>
      <c r="X2795" s="22"/>
      <c r="Y2795" s="22"/>
      <c r="Z2795" s="22"/>
      <c r="AA2795" s="22"/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22"/>
    </row>
    <row r="2796" spans="5:54" x14ac:dyDescent="0.35"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2"/>
      <c r="T2796" s="22"/>
      <c r="U2796" s="22"/>
      <c r="V2796" s="22"/>
      <c r="W2796" s="22"/>
      <c r="X2796" s="22"/>
      <c r="Y2796" s="22"/>
      <c r="Z2796" s="22"/>
      <c r="AA2796" s="22"/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22"/>
    </row>
    <row r="2797" spans="5:54" x14ac:dyDescent="0.35"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2"/>
      <c r="T2797" s="22"/>
      <c r="U2797" s="22"/>
      <c r="V2797" s="22"/>
      <c r="W2797" s="22"/>
      <c r="X2797" s="22"/>
      <c r="Y2797" s="22"/>
      <c r="Z2797" s="22"/>
      <c r="AA2797" s="22"/>
      <c r="AB2797" s="22"/>
      <c r="AC2797" s="22"/>
      <c r="AD2797" s="22"/>
      <c r="AE2797" s="22"/>
      <c r="AF2797" s="22"/>
      <c r="AG2797" s="22"/>
      <c r="AH2797" s="22"/>
      <c r="AI2797" s="22"/>
      <c r="AJ2797" s="22"/>
      <c r="AK2797" s="22"/>
      <c r="AL2797" s="22"/>
      <c r="AM2797" s="22"/>
      <c r="AN2797" s="22"/>
      <c r="AO2797" s="22"/>
      <c r="AP2797" s="22"/>
      <c r="AQ2797" s="22"/>
      <c r="AR2797" s="22"/>
      <c r="AS2797" s="22"/>
      <c r="AT2797" s="22"/>
      <c r="AU2797" s="22"/>
      <c r="AV2797" s="22"/>
      <c r="AW2797" s="22"/>
      <c r="AX2797" s="22"/>
      <c r="AY2797" s="22"/>
      <c r="AZ2797" s="22"/>
      <c r="BA2797" s="22"/>
      <c r="BB2797" s="22"/>
    </row>
    <row r="2798" spans="5:54" x14ac:dyDescent="0.35"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2"/>
      <c r="T2798" s="22"/>
      <c r="U2798" s="22"/>
      <c r="V2798" s="22"/>
      <c r="W2798" s="22"/>
      <c r="X2798" s="22"/>
      <c r="Y2798" s="22"/>
      <c r="Z2798" s="22"/>
      <c r="AA2798" s="22"/>
      <c r="AB2798" s="22"/>
      <c r="AC2798" s="22"/>
      <c r="AD2798" s="22"/>
      <c r="AE2798" s="22"/>
      <c r="AF2798" s="22"/>
      <c r="AG2798" s="22"/>
      <c r="AH2798" s="22"/>
      <c r="AI2798" s="22"/>
      <c r="AJ2798" s="22"/>
      <c r="AK2798" s="22"/>
      <c r="AL2798" s="22"/>
      <c r="AM2798" s="22"/>
      <c r="AN2798" s="22"/>
      <c r="AO2798" s="22"/>
      <c r="AP2798" s="22"/>
      <c r="AQ2798" s="22"/>
      <c r="AR2798" s="22"/>
      <c r="AS2798" s="22"/>
      <c r="AT2798" s="22"/>
      <c r="AU2798" s="22"/>
      <c r="AV2798" s="22"/>
      <c r="AW2798" s="22"/>
      <c r="AX2798" s="22"/>
      <c r="AY2798" s="22"/>
      <c r="AZ2798" s="22"/>
      <c r="BA2798" s="22"/>
      <c r="BB2798" s="22"/>
    </row>
    <row r="2799" spans="5:54" x14ac:dyDescent="0.35"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2"/>
      <c r="T2799" s="22"/>
      <c r="U2799" s="22"/>
      <c r="V2799" s="22"/>
      <c r="W2799" s="22"/>
      <c r="X2799" s="22"/>
      <c r="Y2799" s="22"/>
      <c r="Z2799" s="22"/>
      <c r="AA2799" s="22"/>
      <c r="AB2799" s="22"/>
      <c r="AC2799" s="22"/>
      <c r="AD2799" s="22"/>
      <c r="AE2799" s="22"/>
      <c r="AF2799" s="22"/>
      <c r="AG2799" s="22"/>
      <c r="AH2799" s="22"/>
      <c r="AI2799" s="22"/>
      <c r="AJ2799" s="22"/>
      <c r="AK2799" s="22"/>
      <c r="AL2799" s="22"/>
      <c r="AM2799" s="22"/>
      <c r="AN2799" s="22"/>
      <c r="AO2799" s="22"/>
      <c r="AP2799" s="22"/>
      <c r="AQ2799" s="22"/>
      <c r="AR2799" s="22"/>
      <c r="AS2799" s="22"/>
      <c r="AT2799" s="22"/>
      <c r="AU2799" s="22"/>
      <c r="AV2799" s="22"/>
      <c r="AW2799" s="22"/>
      <c r="AX2799" s="22"/>
      <c r="AY2799" s="22"/>
      <c r="AZ2799" s="22"/>
      <c r="BA2799" s="22"/>
      <c r="BB2799" s="22"/>
    </row>
    <row r="2800" spans="5:54" x14ac:dyDescent="0.35"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2"/>
      <c r="T2800" s="22"/>
      <c r="U2800" s="22"/>
      <c r="V2800" s="22"/>
      <c r="W2800" s="22"/>
      <c r="X2800" s="22"/>
      <c r="Y2800" s="22"/>
      <c r="Z2800" s="22"/>
      <c r="AA2800" s="22"/>
      <c r="AB2800" s="22"/>
      <c r="AC2800" s="22"/>
      <c r="AD2800" s="22"/>
      <c r="AE2800" s="22"/>
      <c r="AF2800" s="22"/>
      <c r="AG2800" s="22"/>
      <c r="AH2800" s="22"/>
      <c r="AI2800" s="22"/>
      <c r="AJ2800" s="22"/>
      <c r="AK2800" s="22"/>
      <c r="AL2800" s="22"/>
      <c r="AM2800" s="22"/>
      <c r="AN2800" s="22"/>
      <c r="AO2800" s="22"/>
      <c r="AP2800" s="22"/>
      <c r="AQ2800" s="22"/>
      <c r="AR2800" s="22"/>
      <c r="AS2800" s="22"/>
      <c r="AT2800" s="22"/>
      <c r="AU2800" s="22"/>
      <c r="AV2800" s="22"/>
      <c r="AW2800" s="22"/>
      <c r="AX2800" s="22"/>
      <c r="AY2800" s="22"/>
      <c r="AZ2800" s="22"/>
      <c r="BA2800" s="22"/>
      <c r="BB2800" s="22"/>
    </row>
    <row r="2801" spans="5:54" x14ac:dyDescent="0.35"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2"/>
      <c r="T2801" s="22"/>
      <c r="U2801" s="22"/>
      <c r="V2801" s="22"/>
      <c r="W2801" s="22"/>
      <c r="X2801" s="22"/>
      <c r="Y2801" s="22"/>
      <c r="Z2801" s="22"/>
      <c r="AA2801" s="22"/>
      <c r="AB2801" s="22"/>
      <c r="AC2801" s="22"/>
      <c r="AD2801" s="22"/>
      <c r="AE2801" s="22"/>
      <c r="AF2801" s="22"/>
      <c r="AG2801" s="22"/>
      <c r="AH2801" s="22"/>
      <c r="AI2801" s="22"/>
      <c r="AJ2801" s="22"/>
      <c r="AK2801" s="22"/>
      <c r="AL2801" s="22"/>
      <c r="AM2801" s="22"/>
      <c r="AN2801" s="22"/>
      <c r="AO2801" s="22"/>
      <c r="AP2801" s="22"/>
      <c r="AQ2801" s="22"/>
      <c r="AR2801" s="22"/>
      <c r="AS2801" s="22"/>
      <c r="AT2801" s="22"/>
      <c r="AU2801" s="22"/>
      <c r="AV2801" s="22"/>
      <c r="AW2801" s="22"/>
      <c r="AX2801" s="22"/>
      <c r="AY2801" s="22"/>
      <c r="AZ2801" s="22"/>
      <c r="BA2801" s="22"/>
      <c r="BB2801" s="22"/>
    </row>
    <row r="2802" spans="5:54" x14ac:dyDescent="0.35"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2"/>
      <c r="T2802" s="22"/>
      <c r="U2802" s="22"/>
      <c r="V2802" s="22"/>
      <c r="W2802" s="22"/>
      <c r="X2802" s="22"/>
      <c r="Y2802" s="22"/>
      <c r="Z2802" s="22"/>
      <c r="AA2802" s="22"/>
      <c r="AB2802" s="22"/>
      <c r="AC2802" s="22"/>
      <c r="AD2802" s="22"/>
      <c r="AE2802" s="22"/>
      <c r="AF2802" s="22"/>
      <c r="AG2802" s="22"/>
      <c r="AH2802" s="22"/>
      <c r="AI2802" s="22"/>
      <c r="AJ2802" s="22"/>
      <c r="AK2802" s="22"/>
      <c r="AL2802" s="22"/>
      <c r="AM2802" s="22"/>
      <c r="AN2802" s="22"/>
      <c r="AO2802" s="22"/>
      <c r="AP2802" s="22"/>
      <c r="AQ2802" s="22"/>
      <c r="AR2802" s="22"/>
      <c r="AS2802" s="22"/>
      <c r="AT2802" s="22"/>
      <c r="AU2802" s="22"/>
      <c r="AV2802" s="22"/>
      <c r="AW2802" s="22"/>
      <c r="AX2802" s="22"/>
      <c r="AY2802" s="22"/>
      <c r="AZ2802" s="22"/>
      <c r="BA2802" s="22"/>
      <c r="BB2802" s="22"/>
    </row>
    <row r="2803" spans="5:54" x14ac:dyDescent="0.35"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2"/>
      <c r="T2803" s="22"/>
      <c r="U2803" s="22"/>
      <c r="V2803" s="22"/>
      <c r="W2803" s="22"/>
      <c r="X2803" s="22"/>
      <c r="Y2803" s="22"/>
      <c r="Z2803" s="22"/>
      <c r="AA2803" s="22"/>
      <c r="AB2803" s="22"/>
      <c r="AC2803" s="22"/>
      <c r="AD2803" s="22"/>
      <c r="AE2803" s="22"/>
      <c r="AF2803" s="22"/>
      <c r="AG2803" s="22"/>
      <c r="AH2803" s="22"/>
      <c r="AI2803" s="22"/>
      <c r="AJ2803" s="22"/>
      <c r="AK2803" s="22"/>
      <c r="AL2803" s="22"/>
      <c r="AM2803" s="22"/>
      <c r="AN2803" s="22"/>
      <c r="AO2803" s="22"/>
      <c r="AP2803" s="22"/>
      <c r="AQ2803" s="22"/>
      <c r="AR2803" s="22"/>
      <c r="AS2803" s="22"/>
      <c r="AT2803" s="22"/>
      <c r="AU2803" s="22"/>
      <c r="AV2803" s="22"/>
      <c r="AW2803" s="22"/>
      <c r="AX2803" s="22"/>
      <c r="AY2803" s="22"/>
      <c r="AZ2803" s="22"/>
      <c r="BA2803" s="22"/>
      <c r="BB2803" s="22"/>
    </row>
    <row r="2804" spans="5:54" x14ac:dyDescent="0.35"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2"/>
      <c r="T2804" s="22"/>
      <c r="U2804" s="22"/>
      <c r="V2804" s="22"/>
      <c r="W2804" s="22"/>
      <c r="X2804" s="22"/>
      <c r="Y2804" s="22"/>
      <c r="Z2804" s="22"/>
      <c r="AA2804" s="22"/>
      <c r="AB2804" s="22"/>
      <c r="AC2804" s="22"/>
      <c r="AD2804" s="22"/>
      <c r="AE2804" s="22"/>
      <c r="AF2804" s="22"/>
      <c r="AG2804" s="22"/>
      <c r="AH2804" s="22"/>
      <c r="AI2804" s="22"/>
      <c r="AJ2804" s="22"/>
      <c r="AK2804" s="22"/>
      <c r="AL2804" s="22"/>
      <c r="AM2804" s="22"/>
      <c r="AN2804" s="22"/>
      <c r="AO2804" s="22"/>
      <c r="AP2804" s="22"/>
      <c r="AQ2804" s="22"/>
      <c r="AR2804" s="22"/>
      <c r="AS2804" s="22"/>
      <c r="AT2804" s="22"/>
      <c r="AU2804" s="22"/>
      <c r="AV2804" s="22"/>
      <c r="AW2804" s="22"/>
      <c r="AX2804" s="22"/>
      <c r="AY2804" s="22"/>
      <c r="AZ2804" s="22"/>
      <c r="BA2804" s="22"/>
      <c r="BB2804" s="22"/>
    </row>
    <row r="2805" spans="5:54" x14ac:dyDescent="0.35"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2"/>
      <c r="T2805" s="22"/>
      <c r="U2805" s="22"/>
      <c r="V2805" s="22"/>
      <c r="W2805" s="22"/>
      <c r="X2805" s="22"/>
      <c r="Y2805" s="22"/>
      <c r="Z2805" s="22"/>
      <c r="AA2805" s="22"/>
      <c r="AB2805" s="22"/>
      <c r="AC2805" s="22"/>
      <c r="AD2805" s="22"/>
      <c r="AE2805" s="22"/>
      <c r="AF2805" s="22"/>
      <c r="AG2805" s="22"/>
      <c r="AH2805" s="22"/>
      <c r="AI2805" s="22"/>
      <c r="AJ2805" s="22"/>
      <c r="AK2805" s="22"/>
      <c r="AL2805" s="22"/>
      <c r="AM2805" s="22"/>
      <c r="AN2805" s="22"/>
      <c r="AO2805" s="22"/>
      <c r="AP2805" s="22"/>
      <c r="AQ2805" s="22"/>
      <c r="AR2805" s="22"/>
      <c r="AS2805" s="22"/>
      <c r="AT2805" s="22"/>
      <c r="AU2805" s="22"/>
      <c r="AV2805" s="22"/>
      <c r="AW2805" s="22"/>
      <c r="AX2805" s="22"/>
      <c r="AY2805" s="22"/>
      <c r="AZ2805" s="22"/>
      <c r="BA2805" s="22"/>
      <c r="BB2805" s="22"/>
    </row>
    <row r="2806" spans="5:54" x14ac:dyDescent="0.35"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2"/>
      <c r="T2806" s="22"/>
      <c r="U2806" s="22"/>
      <c r="V2806" s="22"/>
      <c r="W2806" s="22"/>
      <c r="X2806" s="22"/>
      <c r="Y2806" s="22"/>
      <c r="Z2806" s="22"/>
      <c r="AA2806" s="22"/>
      <c r="AB2806" s="22"/>
      <c r="AC2806" s="22"/>
      <c r="AD2806" s="22"/>
      <c r="AE2806" s="22"/>
      <c r="AF2806" s="22"/>
      <c r="AG2806" s="22"/>
      <c r="AH2806" s="22"/>
      <c r="AI2806" s="22"/>
      <c r="AJ2806" s="22"/>
      <c r="AK2806" s="22"/>
      <c r="AL2806" s="22"/>
      <c r="AM2806" s="22"/>
      <c r="AN2806" s="22"/>
      <c r="AO2806" s="22"/>
      <c r="AP2806" s="22"/>
      <c r="AQ2806" s="22"/>
      <c r="AR2806" s="22"/>
      <c r="AS2806" s="22"/>
      <c r="AT2806" s="22"/>
      <c r="AU2806" s="22"/>
      <c r="AV2806" s="22"/>
      <c r="AW2806" s="22"/>
      <c r="AX2806" s="22"/>
      <c r="AY2806" s="22"/>
      <c r="AZ2806" s="22"/>
      <c r="BA2806" s="22"/>
      <c r="BB2806" s="22"/>
    </row>
    <row r="2807" spans="5:54" x14ac:dyDescent="0.35"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2"/>
      <c r="T2807" s="22"/>
      <c r="U2807" s="22"/>
      <c r="V2807" s="22"/>
      <c r="W2807" s="22"/>
      <c r="X2807" s="22"/>
      <c r="Y2807" s="22"/>
      <c r="Z2807" s="22"/>
      <c r="AA2807" s="22"/>
      <c r="AB2807" s="22"/>
      <c r="AC2807" s="22"/>
      <c r="AD2807" s="22"/>
      <c r="AE2807" s="22"/>
      <c r="AF2807" s="22"/>
      <c r="AG2807" s="22"/>
      <c r="AH2807" s="22"/>
      <c r="AI2807" s="22"/>
      <c r="AJ2807" s="22"/>
      <c r="AK2807" s="22"/>
      <c r="AL2807" s="22"/>
      <c r="AM2807" s="22"/>
      <c r="AN2807" s="22"/>
      <c r="AO2807" s="22"/>
      <c r="AP2807" s="22"/>
      <c r="AQ2807" s="22"/>
      <c r="AR2807" s="22"/>
      <c r="AS2807" s="22"/>
      <c r="AT2807" s="22"/>
      <c r="AU2807" s="22"/>
      <c r="AV2807" s="22"/>
      <c r="AW2807" s="22"/>
      <c r="AX2807" s="22"/>
      <c r="AY2807" s="22"/>
      <c r="AZ2807" s="22"/>
      <c r="BA2807" s="22"/>
      <c r="BB2807" s="22"/>
    </row>
    <row r="2808" spans="5:54" x14ac:dyDescent="0.35"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2"/>
      <c r="T2808" s="22"/>
      <c r="U2808" s="22"/>
      <c r="V2808" s="22"/>
      <c r="W2808" s="22"/>
      <c r="X2808" s="22"/>
      <c r="Y2808" s="22"/>
      <c r="Z2808" s="22"/>
      <c r="AA2808" s="22"/>
      <c r="AB2808" s="22"/>
      <c r="AC2808" s="22"/>
      <c r="AD2808" s="22"/>
      <c r="AE2808" s="22"/>
      <c r="AF2808" s="22"/>
      <c r="AG2808" s="22"/>
      <c r="AH2808" s="22"/>
      <c r="AI2808" s="22"/>
      <c r="AJ2808" s="22"/>
      <c r="AK2808" s="22"/>
      <c r="AL2808" s="22"/>
      <c r="AM2808" s="22"/>
      <c r="AN2808" s="22"/>
      <c r="AO2808" s="22"/>
      <c r="AP2808" s="22"/>
      <c r="AQ2808" s="22"/>
      <c r="AR2808" s="22"/>
      <c r="AS2808" s="22"/>
      <c r="AT2808" s="22"/>
      <c r="AU2808" s="22"/>
      <c r="AV2808" s="22"/>
      <c r="AW2808" s="22"/>
      <c r="AX2808" s="22"/>
      <c r="AY2808" s="22"/>
      <c r="AZ2808" s="22"/>
      <c r="BA2808" s="22"/>
      <c r="BB2808" s="22"/>
    </row>
    <row r="2809" spans="5:54" x14ac:dyDescent="0.35"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22"/>
      <c r="AD2809" s="22"/>
      <c r="AE2809" s="22"/>
      <c r="AF2809" s="22"/>
      <c r="AG2809" s="22"/>
      <c r="AH2809" s="22"/>
      <c r="AI2809" s="22"/>
      <c r="AJ2809" s="22"/>
      <c r="AK2809" s="22"/>
      <c r="AL2809" s="22"/>
      <c r="AM2809" s="22"/>
      <c r="AN2809" s="22"/>
      <c r="AO2809" s="22"/>
      <c r="AP2809" s="22"/>
      <c r="AQ2809" s="22"/>
      <c r="AR2809" s="22"/>
      <c r="AS2809" s="22"/>
      <c r="AT2809" s="22"/>
      <c r="AU2809" s="22"/>
      <c r="AV2809" s="22"/>
      <c r="AW2809" s="22"/>
      <c r="AX2809" s="22"/>
      <c r="AY2809" s="22"/>
      <c r="AZ2809" s="22"/>
      <c r="BA2809" s="22"/>
      <c r="BB2809" s="22"/>
    </row>
    <row r="2810" spans="5:54" x14ac:dyDescent="0.35"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2"/>
      <c r="T2810" s="22"/>
      <c r="U2810" s="22"/>
      <c r="V2810" s="22"/>
      <c r="W2810" s="22"/>
      <c r="X2810" s="22"/>
      <c r="Y2810" s="22"/>
      <c r="Z2810" s="22"/>
      <c r="AA2810" s="22"/>
      <c r="AB2810" s="22"/>
      <c r="AC2810" s="22"/>
      <c r="AD2810" s="22"/>
      <c r="AE2810" s="22"/>
      <c r="AF2810" s="22"/>
      <c r="AG2810" s="22"/>
      <c r="AH2810" s="22"/>
      <c r="AI2810" s="22"/>
      <c r="AJ2810" s="22"/>
      <c r="AK2810" s="22"/>
      <c r="AL2810" s="22"/>
      <c r="AM2810" s="22"/>
      <c r="AN2810" s="22"/>
      <c r="AO2810" s="22"/>
      <c r="AP2810" s="22"/>
      <c r="AQ2810" s="22"/>
      <c r="AR2810" s="22"/>
      <c r="AS2810" s="22"/>
      <c r="AT2810" s="22"/>
      <c r="AU2810" s="22"/>
      <c r="AV2810" s="22"/>
      <c r="AW2810" s="22"/>
      <c r="AX2810" s="22"/>
      <c r="AY2810" s="22"/>
      <c r="AZ2810" s="22"/>
      <c r="BA2810" s="22"/>
      <c r="BB2810" s="22"/>
    </row>
    <row r="2811" spans="5:54" x14ac:dyDescent="0.35"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2"/>
      <c r="T2811" s="22"/>
      <c r="U2811" s="22"/>
      <c r="V2811" s="22"/>
      <c r="W2811" s="22"/>
      <c r="X2811" s="22"/>
      <c r="Y2811" s="22"/>
      <c r="Z2811" s="22"/>
      <c r="AA2811" s="22"/>
      <c r="AB2811" s="22"/>
      <c r="AC2811" s="22"/>
      <c r="AD2811" s="22"/>
      <c r="AE2811" s="22"/>
      <c r="AF2811" s="22"/>
      <c r="AG2811" s="22"/>
      <c r="AH2811" s="22"/>
      <c r="AI2811" s="22"/>
      <c r="AJ2811" s="22"/>
      <c r="AK2811" s="22"/>
      <c r="AL2811" s="22"/>
      <c r="AM2811" s="22"/>
      <c r="AN2811" s="22"/>
      <c r="AO2811" s="22"/>
      <c r="AP2811" s="22"/>
      <c r="AQ2811" s="22"/>
      <c r="AR2811" s="22"/>
      <c r="AS2811" s="22"/>
      <c r="AT2811" s="22"/>
      <c r="AU2811" s="22"/>
      <c r="AV2811" s="22"/>
      <c r="AW2811" s="22"/>
      <c r="AX2811" s="22"/>
      <c r="AY2811" s="22"/>
      <c r="AZ2811" s="22"/>
      <c r="BA2811" s="22"/>
      <c r="BB2811" s="22"/>
    </row>
    <row r="2812" spans="5:54" x14ac:dyDescent="0.35"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2"/>
      <c r="T2812" s="22"/>
      <c r="U2812" s="22"/>
      <c r="V2812" s="22"/>
      <c r="W2812" s="22"/>
      <c r="X2812" s="22"/>
      <c r="Y2812" s="22"/>
      <c r="Z2812" s="22"/>
      <c r="AA2812" s="22"/>
      <c r="AB2812" s="22"/>
      <c r="AC2812" s="22"/>
      <c r="AD2812" s="22"/>
      <c r="AE2812" s="22"/>
      <c r="AF2812" s="22"/>
      <c r="AG2812" s="22"/>
      <c r="AH2812" s="22"/>
      <c r="AI2812" s="22"/>
      <c r="AJ2812" s="22"/>
      <c r="AK2812" s="22"/>
      <c r="AL2812" s="22"/>
      <c r="AM2812" s="22"/>
      <c r="AN2812" s="22"/>
      <c r="AO2812" s="22"/>
      <c r="AP2812" s="22"/>
      <c r="AQ2812" s="22"/>
      <c r="AR2812" s="22"/>
      <c r="AS2812" s="22"/>
      <c r="AT2812" s="22"/>
      <c r="AU2812" s="22"/>
      <c r="AV2812" s="22"/>
      <c r="AW2812" s="22"/>
      <c r="AX2812" s="22"/>
      <c r="AY2812" s="22"/>
      <c r="AZ2812" s="22"/>
      <c r="BA2812" s="22"/>
      <c r="BB2812" s="22"/>
    </row>
    <row r="2813" spans="5:54" x14ac:dyDescent="0.35"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2"/>
      <c r="T2813" s="22"/>
      <c r="U2813" s="22"/>
      <c r="V2813" s="22"/>
      <c r="W2813" s="22"/>
      <c r="X2813" s="22"/>
      <c r="Y2813" s="22"/>
      <c r="Z2813" s="22"/>
      <c r="AA2813" s="22"/>
      <c r="AB2813" s="22"/>
      <c r="AC2813" s="22"/>
      <c r="AD2813" s="22"/>
      <c r="AE2813" s="22"/>
      <c r="AF2813" s="22"/>
      <c r="AG2813" s="22"/>
      <c r="AH2813" s="22"/>
      <c r="AI2813" s="22"/>
      <c r="AJ2813" s="22"/>
      <c r="AK2813" s="22"/>
      <c r="AL2813" s="22"/>
      <c r="AM2813" s="22"/>
      <c r="AN2813" s="22"/>
      <c r="AO2813" s="22"/>
      <c r="AP2813" s="22"/>
      <c r="AQ2813" s="22"/>
      <c r="AR2813" s="22"/>
      <c r="AS2813" s="22"/>
      <c r="AT2813" s="22"/>
      <c r="AU2813" s="22"/>
      <c r="AV2813" s="22"/>
      <c r="AW2813" s="22"/>
      <c r="AX2813" s="22"/>
      <c r="AY2813" s="22"/>
      <c r="AZ2813" s="22"/>
      <c r="BA2813" s="22"/>
      <c r="BB2813" s="22"/>
    </row>
    <row r="2814" spans="5:54" x14ac:dyDescent="0.35"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2"/>
      <c r="T2814" s="22"/>
      <c r="U2814" s="22"/>
      <c r="V2814" s="22"/>
      <c r="W2814" s="22"/>
      <c r="X2814" s="22"/>
      <c r="Y2814" s="22"/>
      <c r="Z2814" s="22"/>
      <c r="AA2814" s="22"/>
      <c r="AB2814" s="22"/>
      <c r="AC2814" s="22"/>
      <c r="AD2814" s="22"/>
      <c r="AE2814" s="22"/>
      <c r="AF2814" s="22"/>
      <c r="AG2814" s="22"/>
      <c r="AH2814" s="22"/>
      <c r="AI2814" s="22"/>
      <c r="AJ2814" s="22"/>
      <c r="AK2814" s="22"/>
      <c r="AL2814" s="22"/>
      <c r="AM2814" s="22"/>
      <c r="AN2814" s="22"/>
      <c r="AO2814" s="22"/>
      <c r="AP2814" s="22"/>
      <c r="AQ2814" s="22"/>
      <c r="AR2814" s="22"/>
      <c r="AS2814" s="22"/>
      <c r="AT2814" s="22"/>
      <c r="AU2814" s="22"/>
      <c r="AV2814" s="22"/>
      <c r="AW2814" s="22"/>
      <c r="AX2814" s="22"/>
      <c r="AY2814" s="22"/>
      <c r="AZ2814" s="22"/>
      <c r="BA2814" s="22"/>
      <c r="BB2814" s="22"/>
    </row>
    <row r="2815" spans="5:54" x14ac:dyDescent="0.35"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2"/>
      <c r="T2815" s="22"/>
      <c r="U2815" s="22"/>
      <c r="V2815" s="22"/>
      <c r="W2815" s="22"/>
      <c r="X2815" s="22"/>
      <c r="Y2815" s="22"/>
      <c r="Z2815" s="22"/>
      <c r="AA2815" s="22"/>
      <c r="AB2815" s="22"/>
      <c r="AC2815" s="22"/>
      <c r="AD2815" s="22"/>
      <c r="AE2815" s="22"/>
      <c r="AF2815" s="22"/>
      <c r="AG2815" s="22"/>
      <c r="AH2815" s="22"/>
      <c r="AI2815" s="22"/>
      <c r="AJ2815" s="22"/>
      <c r="AK2815" s="22"/>
      <c r="AL2815" s="22"/>
      <c r="AM2815" s="22"/>
      <c r="AN2815" s="22"/>
      <c r="AO2815" s="22"/>
      <c r="AP2815" s="22"/>
      <c r="AQ2815" s="22"/>
      <c r="AR2815" s="22"/>
      <c r="AS2815" s="22"/>
      <c r="AT2815" s="22"/>
      <c r="AU2815" s="22"/>
      <c r="AV2815" s="22"/>
      <c r="AW2815" s="22"/>
      <c r="AX2815" s="22"/>
      <c r="AY2815" s="22"/>
      <c r="AZ2815" s="22"/>
      <c r="BA2815" s="22"/>
      <c r="BB2815" s="22"/>
    </row>
    <row r="2816" spans="5:54" x14ac:dyDescent="0.35"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2"/>
      <c r="T2816" s="22"/>
      <c r="U2816" s="22"/>
      <c r="V2816" s="22"/>
      <c r="W2816" s="22"/>
      <c r="X2816" s="22"/>
      <c r="Y2816" s="22"/>
      <c r="Z2816" s="22"/>
      <c r="AA2816" s="22"/>
      <c r="AB2816" s="22"/>
      <c r="AC2816" s="22"/>
      <c r="AD2816" s="22"/>
      <c r="AE2816" s="22"/>
      <c r="AF2816" s="22"/>
      <c r="AG2816" s="22"/>
      <c r="AH2816" s="22"/>
      <c r="AI2816" s="22"/>
      <c r="AJ2816" s="22"/>
      <c r="AK2816" s="22"/>
      <c r="AL2816" s="22"/>
      <c r="AM2816" s="22"/>
      <c r="AN2816" s="22"/>
      <c r="AO2816" s="22"/>
      <c r="AP2816" s="22"/>
      <c r="AQ2816" s="22"/>
      <c r="AR2816" s="22"/>
      <c r="AS2816" s="22"/>
      <c r="AT2816" s="22"/>
      <c r="AU2816" s="22"/>
      <c r="AV2816" s="22"/>
      <c r="AW2816" s="22"/>
      <c r="AX2816" s="22"/>
      <c r="AY2816" s="22"/>
      <c r="AZ2816" s="22"/>
      <c r="BA2816" s="22"/>
      <c r="BB2816" s="22"/>
    </row>
    <row r="2817" spans="5:54" x14ac:dyDescent="0.35"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2"/>
      <c r="T2817" s="22"/>
      <c r="U2817" s="22"/>
      <c r="V2817" s="22"/>
      <c r="W2817" s="22"/>
      <c r="X2817" s="22"/>
      <c r="Y2817" s="22"/>
      <c r="Z2817" s="22"/>
      <c r="AA2817" s="22"/>
      <c r="AB2817" s="22"/>
      <c r="AC2817" s="22"/>
      <c r="AD2817" s="22"/>
      <c r="AE2817" s="22"/>
      <c r="AF2817" s="22"/>
      <c r="AG2817" s="22"/>
      <c r="AH2817" s="22"/>
      <c r="AI2817" s="22"/>
      <c r="AJ2817" s="22"/>
      <c r="AK2817" s="22"/>
      <c r="AL2817" s="22"/>
      <c r="AM2817" s="22"/>
      <c r="AN2817" s="22"/>
      <c r="AO2817" s="22"/>
      <c r="AP2817" s="22"/>
      <c r="AQ2817" s="22"/>
      <c r="AR2817" s="22"/>
      <c r="AS2817" s="22"/>
      <c r="AT2817" s="22"/>
      <c r="AU2817" s="22"/>
      <c r="AV2817" s="22"/>
      <c r="AW2817" s="22"/>
      <c r="AX2817" s="22"/>
      <c r="AY2817" s="22"/>
      <c r="AZ2817" s="22"/>
      <c r="BA2817" s="22"/>
      <c r="BB2817" s="22"/>
    </row>
    <row r="2818" spans="5:54" x14ac:dyDescent="0.35"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2"/>
      <c r="T2818" s="22"/>
      <c r="U2818" s="22"/>
      <c r="V2818" s="22"/>
      <c r="W2818" s="22"/>
      <c r="X2818" s="22"/>
      <c r="Y2818" s="22"/>
      <c r="Z2818" s="22"/>
      <c r="AA2818" s="22"/>
      <c r="AB2818" s="22"/>
      <c r="AC2818" s="22"/>
      <c r="AD2818" s="22"/>
      <c r="AE2818" s="22"/>
      <c r="AF2818" s="22"/>
      <c r="AG2818" s="22"/>
      <c r="AH2818" s="22"/>
      <c r="AI2818" s="22"/>
      <c r="AJ2818" s="22"/>
      <c r="AK2818" s="22"/>
      <c r="AL2818" s="22"/>
      <c r="AM2818" s="22"/>
      <c r="AN2818" s="22"/>
      <c r="AO2818" s="22"/>
      <c r="AP2818" s="22"/>
      <c r="AQ2818" s="22"/>
      <c r="AR2818" s="22"/>
      <c r="AS2818" s="22"/>
      <c r="AT2818" s="22"/>
      <c r="AU2818" s="22"/>
      <c r="AV2818" s="22"/>
      <c r="AW2818" s="22"/>
      <c r="AX2818" s="22"/>
      <c r="AY2818" s="22"/>
      <c r="AZ2818" s="22"/>
      <c r="BA2818" s="22"/>
      <c r="BB2818" s="22"/>
    </row>
    <row r="2819" spans="5:54" x14ac:dyDescent="0.35"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2"/>
      <c r="T2819" s="22"/>
      <c r="U2819" s="22"/>
      <c r="V2819" s="22"/>
      <c r="W2819" s="22"/>
      <c r="X2819" s="22"/>
      <c r="Y2819" s="22"/>
      <c r="Z2819" s="22"/>
      <c r="AA2819" s="22"/>
      <c r="AB2819" s="22"/>
      <c r="AC2819" s="22"/>
      <c r="AD2819" s="22"/>
      <c r="AE2819" s="22"/>
      <c r="AF2819" s="22"/>
      <c r="AG2819" s="22"/>
      <c r="AH2819" s="22"/>
      <c r="AI2819" s="22"/>
      <c r="AJ2819" s="22"/>
      <c r="AK2819" s="22"/>
      <c r="AL2819" s="22"/>
      <c r="AM2819" s="22"/>
      <c r="AN2819" s="22"/>
      <c r="AO2819" s="22"/>
      <c r="AP2819" s="22"/>
      <c r="AQ2819" s="22"/>
      <c r="AR2819" s="22"/>
      <c r="AS2819" s="22"/>
      <c r="AT2819" s="22"/>
      <c r="AU2819" s="22"/>
      <c r="AV2819" s="22"/>
      <c r="AW2819" s="22"/>
      <c r="AX2819" s="22"/>
      <c r="AY2819" s="22"/>
      <c r="AZ2819" s="22"/>
      <c r="BA2819" s="22"/>
      <c r="BB2819" s="22"/>
    </row>
    <row r="2820" spans="5:54" x14ac:dyDescent="0.35"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2"/>
      <c r="T2820" s="22"/>
      <c r="U2820" s="22"/>
      <c r="V2820" s="22"/>
      <c r="W2820" s="22"/>
      <c r="X2820" s="22"/>
      <c r="Y2820" s="22"/>
      <c r="Z2820" s="22"/>
      <c r="AA2820" s="22"/>
      <c r="AB2820" s="22"/>
      <c r="AC2820" s="22"/>
      <c r="AD2820" s="22"/>
      <c r="AE2820" s="22"/>
      <c r="AF2820" s="22"/>
      <c r="AG2820" s="22"/>
      <c r="AH2820" s="22"/>
      <c r="AI2820" s="22"/>
      <c r="AJ2820" s="22"/>
      <c r="AK2820" s="22"/>
      <c r="AL2820" s="22"/>
      <c r="AM2820" s="22"/>
      <c r="AN2820" s="22"/>
      <c r="AO2820" s="22"/>
      <c r="AP2820" s="22"/>
      <c r="AQ2820" s="22"/>
      <c r="AR2820" s="22"/>
      <c r="AS2820" s="22"/>
      <c r="AT2820" s="22"/>
      <c r="AU2820" s="22"/>
      <c r="AV2820" s="22"/>
      <c r="AW2820" s="22"/>
      <c r="AX2820" s="22"/>
      <c r="AY2820" s="22"/>
      <c r="AZ2820" s="22"/>
      <c r="BA2820" s="22"/>
      <c r="BB2820" s="22"/>
    </row>
    <row r="2821" spans="5:54" x14ac:dyDescent="0.35"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2"/>
      <c r="T2821" s="22"/>
      <c r="U2821" s="22"/>
      <c r="V2821" s="22"/>
      <c r="W2821" s="22"/>
      <c r="X2821" s="22"/>
      <c r="Y2821" s="22"/>
      <c r="Z2821" s="22"/>
      <c r="AA2821" s="22"/>
      <c r="AB2821" s="22"/>
      <c r="AC2821" s="22"/>
      <c r="AD2821" s="22"/>
      <c r="AE2821" s="22"/>
      <c r="AF2821" s="22"/>
      <c r="AG2821" s="22"/>
      <c r="AH2821" s="22"/>
      <c r="AI2821" s="22"/>
      <c r="AJ2821" s="22"/>
      <c r="AK2821" s="22"/>
      <c r="AL2821" s="22"/>
      <c r="AM2821" s="22"/>
      <c r="AN2821" s="22"/>
      <c r="AO2821" s="22"/>
      <c r="AP2821" s="22"/>
      <c r="AQ2821" s="22"/>
      <c r="AR2821" s="22"/>
      <c r="AS2821" s="22"/>
      <c r="AT2821" s="22"/>
      <c r="AU2821" s="22"/>
      <c r="AV2821" s="22"/>
      <c r="AW2821" s="22"/>
      <c r="AX2821" s="22"/>
      <c r="AY2821" s="22"/>
      <c r="AZ2821" s="22"/>
      <c r="BA2821" s="22"/>
      <c r="BB2821" s="22"/>
    </row>
    <row r="2822" spans="5:54" x14ac:dyDescent="0.35"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2"/>
      <c r="T2822" s="22"/>
      <c r="U2822" s="22"/>
      <c r="V2822" s="22"/>
      <c r="W2822" s="22"/>
      <c r="X2822" s="22"/>
      <c r="Y2822" s="22"/>
      <c r="Z2822" s="22"/>
      <c r="AA2822" s="22"/>
      <c r="AB2822" s="22"/>
      <c r="AC2822" s="22"/>
      <c r="AD2822" s="22"/>
      <c r="AE2822" s="22"/>
      <c r="AF2822" s="22"/>
      <c r="AG2822" s="22"/>
      <c r="AH2822" s="22"/>
      <c r="AI2822" s="22"/>
      <c r="AJ2822" s="22"/>
      <c r="AK2822" s="22"/>
      <c r="AL2822" s="22"/>
      <c r="AM2822" s="22"/>
      <c r="AN2822" s="22"/>
      <c r="AO2822" s="22"/>
      <c r="AP2822" s="22"/>
      <c r="AQ2822" s="22"/>
      <c r="AR2822" s="22"/>
      <c r="AS2822" s="22"/>
      <c r="AT2822" s="22"/>
      <c r="AU2822" s="22"/>
      <c r="AV2822" s="22"/>
      <c r="AW2822" s="22"/>
      <c r="AX2822" s="22"/>
      <c r="AY2822" s="22"/>
      <c r="AZ2822" s="22"/>
      <c r="BA2822" s="22"/>
      <c r="BB2822" s="22"/>
    </row>
    <row r="2823" spans="5:54" x14ac:dyDescent="0.35"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2"/>
      <c r="T2823" s="22"/>
      <c r="U2823" s="22"/>
      <c r="V2823" s="22"/>
      <c r="W2823" s="22"/>
      <c r="X2823" s="22"/>
      <c r="Y2823" s="22"/>
      <c r="Z2823" s="22"/>
      <c r="AA2823" s="22"/>
      <c r="AB2823" s="22"/>
      <c r="AC2823" s="22"/>
      <c r="AD2823" s="22"/>
      <c r="AE2823" s="22"/>
      <c r="AF2823" s="22"/>
      <c r="AG2823" s="22"/>
      <c r="AH2823" s="22"/>
      <c r="AI2823" s="22"/>
      <c r="AJ2823" s="22"/>
      <c r="AK2823" s="22"/>
      <c r="AL2823" s="22"/>
      <c r="AM2823" s="22"/>
      <c r="AN2823" s="22"/>
      <c r="AO2823" s="22"/>
      <c r="AP2823" s="22"/>
      <c r="AQ2823" s="22"/>
      <c r="AR2823" s="22"/>
      <c r="AS2823" s="22"/>
      <c r="AT2823" s="22"/>
      <c r="AU2823" s="22"/>
      <c r="AV2823" s="22"/>
      <c r="AW2823" s="22"/>
      <c r="AX2823" s="22"/>
      <c r="AY2823" s="22"/>
      <c r="AZ2823" s="22"/>
      <c r="BA2823" s="22"/>
      <c r="BB2823" s="22"/>
    </row>
    <row r="2824" spans="5:54" x14ac:dyDescent="0.35"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2"/>
      <c r="T2824" s="22"/>
      <c r="U2824" s="22"/>
      <c r="V2824" s="22"/>
      <c r="W2824" s="22"/>
      <c r="X2824" s="22"/>
      <c r="Y2824" s="22"/>
      <c r="Z2824" s="22"/>
      <c r="AA2824" s="22"/>
      <c r="AB2824" s="22"/>
      <c r="AC2824" s="22"/>
      <c r="AD2824" s="22"/>
      <c r="AE2824" s="22"/>
      <c r="AF2824" s="22"/>
      <c r="AG2824" s="22"/>
      <c r="AH2824" s="22"/>
      <c r="AI2824" s="22"/>
      <c r="AJ2824" s="22"/>
      <c r="AK2824" s="22"/>
      <c r="AL2824" s="22"/>
      <c r="AM2824" s="22"/>
      <c r="AN2824" s="22"/>
      <c r="AO2824" s="22"/>
      <c r="AP2824" s="22"/>
      <c r="AQ2824" s="22"/>
      <c r="AR2824" s="22"/>
      <c r="AS2824" s="22"/>
      <c r="AT2824" s="22"/>
      <c r="AU2824" s="22"/>
      <c r="AV2824" s="22"/>
      <c r="AW2824" s="22"/>
      <c r="AX2824" s="22"/>
      <c r="AY2824" s="22"/>
      <c r="AZ2824" s="22"/>
      <c r="BA2824" s="22"/>
      <c r="BB2824" s="22"/>
    </row>
    <row r="2825" spans="5:54" x14ac:dyDescent="0.35"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2"/>
      <c r="T2825" s="22"/>
      <c r="U2825" s="22"/>
      <c r="V2825" s="22"/>
      <c r="W2825" s="22"/>
      <c r="X2825" s="22"/>
      <c r="Y2825" s="22"/>
      <c r="Z2825" s="22"/>
      <c r="AA2825" s="22"/>
      <c r="AB2825" s="22"/>
      <c r="AC2825" s="22"/>
      <c r="AD2825" s="22"/>
      <c r="AE2825" s="22"/>
      <c r="AF2825" s="22"/>
      <c r="AG2825" s="22"/>
      <c r="AH2825" s="22"/>
      <c r="AI2825" s="22"/>
      <c r="AJ2825" s="22"/>
      <c r="AK2825" s="22"/>
      <c r="AL2825" s="22"/>
      <c r="AM2825" s="22"/>
      <c r="AN2825" s="22"/>
      <c r="AO2825" s="22"/>
      <c r="AP2825" s="22"/>
      <c r="AQ2825" s="22"/>
      <c r="AR2825" s="22"/>
      <c r="AS2825" s="22"/>
      <c r="AT2825" s="22"/>
      <c r="AU2825" s="22"/>
      <c r="AV2825" s="22"/>
      <c r="AW2825" s="22"/>
      <c r="AX2825" s="22"/>
      <c r="AY2825" s="22"/>
      <c r="AZ2825" s="22"/>
      <c r="BA2825" s="22"/>
      <c r="BB2825" s="22"/>
    </row>
    <row r="2826" spans="5:54" x14ac:dyDescent="0.35"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2"/>
      <c r="T2826" s="22"/>
      <c r="U2826" s="22"/>
      <c r="V2826" s="22"/>
      <c r="W2826" s="22"/>
      <c r="X2826" s="22"/>
      <c r="Y2826" s="22"/>
      <c r="Z2826" s="22"/>
      <c r="AA2826" s="22"/>
      <c r="AB2826" s="22"/>
      <c r="AC2826" s="22"/>
      <c r="AD2826" s="22"/>
      <c r="AE2826" s="22"/>
      <c r="AF2826" s="22"/>
      <c r="AG2826" s="22"/>
      <c r="AH2826" s="22"/>
      <c r="AI2826" s="22"/>
      <c r="AJ2826" s="22"/>
      <c r="AK2826" s="22"/>
      <c r="AL2826" s="22"/>
      <c r="AM2826" s="22"/>
      <c r="AN2826" s="22"/>
      <c r="AO2826" s="22"/>
      <c r="AP2826" s="22"/>
      <c r="AQ2826" s="22"/>
      <c r="AR2826" s="22"/>
      <c r="AS2826" s="22"/>
      <c r="AT2826" s="22"/>
      <c r="AU2826" s="22"/>
      <c r="AV2826" s="22"/>
      <c r="AW2826" s="22"/>
      <c r="AX2826" s="22"/>
      <c r="AY2826" s="22"/>
      <c r="AZ2826" s="22"/>
      <c r="BA2826" s="22"/>
      <c r="BB2826" s="22"/>
    </row>
    <row r="2827" spans="5:54" x14ac:dyDescent="0.35"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2"/>
      <c r="T2827" s="22"/>
      <c r="U2827" s="22"/>
      <c r="V2827" s="22"/>
      <c r="W2827" s="22"/>
      <c r="X2827" s="22"/>
      <c r="Y2827" s="22"/>
      <c r="Z2827" s="22"/>
      <c r="AA2827" s="22"/>
      <c r="AB2827" s="22"/>
      <c r="AC2827" s="22"/>
      <c r="AD2827" s="22"/>
      <c r="AE2827" s="22"/>
      <c r="AF2827" s="22"/>
      <c r="AG2827" s="22"/>
      <c r="AH2827" s="22"/>
      <c r="AI2827" s="22"/>
      <c r="AJ2827" s="22"/>
      <c r="AK2827" s="22"/>
      <c r="AL2827" s="22"/>
      <c r="AM2827" s="22"/>
      <c r="AN2827" s="22"/>
      <c r="AO2827" s="22"/>
      <c r="AP2827" s="22"/>
      <c r="AQ2827" s="22"/>
      <c r="AR2827" s="22"/>
      <c r="AS2827" s="22"/>
      <c r="AT2827" s="22"/>
      <c r="AU2827" s="22"/>
      <c r="AV2827" s="22"/>
      <c r="AW2827" s="22"/>
      <c r="AX2827" s="22"/>
      <c r="AY2827" s="22"/>
      <c r="AZ2827" s="22"/>
      <c r="BA2827" s="22"/>
      <c r="BB2827" s="22"/>
    </row>
    <row r="2828" spans="5:54" x14ac:dyDescent="0.35"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2"/>
      <c r="T2828" s="22"/>
      <c r="U2828" s="22"/>
      <c r="V2828" s="22"/>
      <c r="W2828" s="22"/>
      <c r="X2828" s="22"/>
      <c r="Y2828" s="22"/>
      <c r="Z2828" s="22"/>
      <c r="AA2828" s="22"/>
      <c r="AB2828" s="22"/>
      <c r="AC2828" s="22"/>
      <c r="AD2828" s="22"/>
      <c r="AE2828" s="22"/>
      <c r="AF2828" s="22"/>
      <c r="AG2828" s="22"/>
      <c r="AH2828" s="22"/>
      <c r="AI2828" s="22"/>
      <c r="AJ2828" s="22"/>
      <c r="AK2828" s="22"/>
      <c r="AL2828" s="22"/>
      <c r="AM2828" s="22"/>
      <c r="AN2828" s="22"/>
      <c r="AO2828" s="22"/>
      <c r="AP2828" s="22"/>
      <c r="AQ2828" s="22"/>
      <c r="AR2828" s="22"/>
      <c r="AS2828" s="22"/>
      <c r="AT2828" s="22"/>
      <c r="AU2828" s="22"/>
      <c r="AV2828" s="22"/>
      <c r="AW2828" s="22"/>
      <c r="AX2828" s="22"/>
      <c r="AY2828" s="22"/>
      <c r="AZ2828" s="22"/>
      <c r="BA2828" s="22"/>
      <c r="BB2828" s="22"/>
    </row>
    <row r="2829" spans="5:54" x14ac:dyDescent="0.35"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2"/>
      <c r="T2829" s="22"/>
      <c r="U2829" s="22"/>
      <c r="V2829" s="22"/>
      <c r="W2829" s="22"/>
      <c r="X2829" s="22"/>
      <c r="Y2829" s="22"/>
      <c r="Z2829" s="22"/>
      <c r="AA2829" s="22"/>
      <c r="AB2829" s="22"/>
      <c r="AC2829" s="22"/>
      <c r="AD2829" s="22"/>
      <c r="AE2829" s="22"/>
      <c r="AF2829" s="22"/>
      <c r="AG2829" s="22"/>
      <c r="AH2829" s="22"/>
      <c r="AI2829" s="22"/>
      <c r="AJ2829" s="22"/>
      <c r="AK2829" s="22"/>
      <c r="AL2829" s="22"/>
      <c r="AM2829" s="22"/>
      <c r="AN2829" s="22"/>
      <c r="AO2829" s="22"/>
      <c r="AP2829" s="22"/>
      <c r="AQ2829" s="22"/>
      <c r="AR2829" s="22"/>
      <c r="AS2829" s="22"/>
      <c r="AT2829" s="22"/>
      <c r="AU2829" s="22"/>
      <c r="AV2829" s="22"/>
      <c r="AW2829" s="22"/>
      <c r="AX2829" s="22"/>
      <c r="AY2829" s="22"/>
      <c r="AZ2829" s="22"/>
      <c r="BA2829" s="22"/>
      <c r="BB2829" s="22"/>
    </row>
    <row r="2830" spans="5:54" x14ac:dyDescent="0.35"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2"/>
      <c r="T2830" s="22"/>
      <c r="U2830" s="22"/>
      <c r="V2830" s="22"/>
      <c r="W2830" s="22"/>
      <c r="X2830" s="22"/>
      <c r="Y2830" s="22"/>
      <c r="Z2830" s="22"/>
      <c r="AA2830" s="22"/>
      <c r="AB2830" s="22"/>
      <c r="AC2830" s="22"/>
      <c r="AD2830" s="22"/>
      <c r="AE2830" s="22"/>
      <c r="AF2830" s="22"/>
      <c r="AG2830" s="22"/>
      <c r="AH2830" s="22"/>
      <c r="AI2830" s="22"/>
      <c r="AJ2830" s="22"/>
      <c r="AK2830" s="22"/>
      <c r="AL2830" s="22"/>
      <c r="AM2830" s="22"/>
      <c r="AN2830" s="22"/>
      <c r="AO2830" s="22"/>
      <c r="AP2830" s="22"/>
      <c r="AQ2830" s="22"/>
      <c r="AR2830" s="22"/>
      <c r="AS2830" s="22"/>
      <c r="AT2830" s="22"/>
      <c r="AU2830" s="22"/>
      <c r="AV2830" s="22"/>
      <c r="AW2830" s="22"/>
      <c r="AX2830" s="22"/>
      <c r="AY2830" s="22"/>
      <c r="AZ2830" s="22"/>
      <c r="BA2830" s="22"/>
      <c r="BB2830" s="22"/>
    </row>
    <row r="2831" spans="5:54" x14ac:dyDescent="0.35"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2"/>
      <c r="T2831" s="22"/>
      <c r="U2831" s="22"/>
      <c r="V2831" s="22"/>
      <c r="W2831" s="22"/>
      <c r="X2831" s="22"/>
      <c r="Y2831" s="22"/>
      <c r="Z2831" s="22"/>
      <c r="AA2831" s="22"/>
      <c r="AB2831" s="22"/>
      <c r="AC2831" s="22"/>
      <c r="AD2831" s="22"/>
      <c r="AE2831" s="22"/>
      <c r="AF2831" s="22"/>
      <c r="AG2831" s="22"/>
      <c r="AH2831" s="22"/>
      <c r="AI2831" s="22"/>
      <c r="AJ2831" s="22"/>
      <c r="AK2831" s="22"/>
      <c r="AL2831" s="22"/>
      <c r="AM2831" s="22"/>
      <c r="AN2831" s="22"/>
      <c r="AO2831" s="22"/>
      <c r="AP2831" s="22"/>
      <c r="AQ2831" s="22"/>
      <c r="AR2831" s="22"/>
      <c r="AS2831" s="22"/>
      <c r="AT2831" s="22"/>
      <c r="AU2831" s="22"/>
      <c r="AV2831" s="22"/>
      <c r="AW2831" s="22"/>
      <c r="AX2831" s="22"/>
      <c r="AY2831" s="22"/>
      <c r="AZ2831" s="22"/>
      <c r="BA2831" s="22"/>
      <c r="BB2831" s="22"/>
    </row>
    <row r="2832" spans="5:54" x14ac:dyDescent="0.35"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2"/>
      <c r="T2832" s="22"/>
      <c r="U2832" s="22"/>
      <c r="V2832" s="22"/>
      <c r="W2832" s="22"/>
      <c r="X2832" s="22"/>
      <c r="Y2832" s="22"/>
      <c r="Z2832" s="22"/>
      <c r="AA2832" s="22"/>
      <c r="AB2832" s="22"/>
      <c r="AC2832" s="22"/>
      <c r="AD2832" s="22"/>
      <c r="AE2832" s="22"/>
      <c r="AF2832" s="22"/>
      <c r="AG2832" s="22"/>
      <c r="AH2832" s="22"/>
      <c r="AI2832" s="22"/>
      <c r="AJ2832" s="22"/>
      <c r="AK2832" s="22"/>
      <c r="AL2832" s="22"/>
      <c r="AM2832" s="22"/>
      <c r="AN2832" s="22"/>
      <c r="AO2832" s="22"/>
      <c r="AP2832" s="22"/>
      <c r="AQ2832" s="22"/>
      <c r="AR2832" s="22"/>
      <c r="AS2832" s="22"/>
      <c r="AT2832" s="22"/>
      <c r="AU2832" s="22"/>
      <c r="AV2832" s="22"/>
      <c r="AW2832" s="22"/>
      <c r="AX2832" s="22"/>
      <c r="AY2832" s="22"/>
      <c r="AZ2832" s="22"/>
      <c r="BA2832" s="22"/>
      <c r="BB2832" s="22"/>
    </row>
    <row r="2833" spans="5:54" x14ac:dyDescent="0.35"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2"/>
      <c r="T2833" s="22"/>
      <c r="U2833" s="22"/>
      <c r="V2833" s="22"/>
      <c r="W2833" s="22"/>
      <c r="X2833" s="22"/>
      <c r="Y2833" s="22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22"/>
      <c r="AO2833" s="22"/>
      <c r="AP2833" s="22"/>
      <c r="AQ2833" s="22"/>
      <c r="AR2833" s="22"/>
      <c r="AS2833" s="22"/>
      <c r="AT2833" s="22"/>
      <c r="AU2833" s="22"/>
      <c r="AV2833" s="22"/>
      <c r="AW2833" s="22"/>
      <c r="AX2833" s="22"/>
      <c r="AY2833" s="22"/>
      <c r="AZ2833" s="22"/>
      <c r="BA2833" s="22"/>
      <c r="BB2833" s="22"/>
    </row>
    <row r="2834" spans="5:54" x14ac:dyDescent="0.35"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2"/>
      <c r="T2834" s="22"/>
      <c r="U2834" s="22"/>
      <c r="V2834" s="22"/>
      <c r="W2834" s="22"/>
      <c r="X2834" s="22"/>
      <c r="Y2834" s="22"/>
      <c r="Z2834" s="22"/>
      <c r="AA2834" s="22"/>
      <c r="AB2834" s="22"/>
      <c r="AC2834" s="22"/>
      <c r="AD2834" s="22"/>
      <c r="AE2834" s="22"/>
      <c r="AF2834" s="22"/>
      <c r="AG2834" s="22"/>
      <c r="AH2834" s="22"/>
      <c r="AI2834" s="22"/>
      <c r="AJ2834" s="22"/>
      <c r="AK2834" s="22"/>
      <c r="AL2834" s="22"/>
      <c r="AM2834" s="22"/>
      <c r="AN2834" s="22"/>
      <c r="AO2834" s="22"/>
      <c r="AP2834" s="22"/>
      <c r="AQ2834" s="22"/>
      <c r="AR2834" s="22"/>
      <c r="AS2834" s="22"/>
      <c r="AT2834" s="22"/>
      <c r="AU2834" s="22"/>
      <c r="AV2834" s="22"/>
      <c r="AW2834" s="22"/>
      <c r="AX2834" s="22"/>
      <c r="AY2834" s="22"/>
      <c r="AZ2834" s="22"/>
      <c r="BA2834" s="22"/>
      <c r="BB2834" s="22"/>
    </row>
    <row r="2835" spans="5:54" x14ac:dyDescent="0.35"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2"/>
      <c r="T2835" s="22"/>
      <c r="U2835" s="22"/>
      <c r="V2835" s="22"/>
      <c r="W2835" s="22"/>
      <c r="X2835" s="22"/>
      <c r="Y2835" s="22"/>
      <c r="Z2835" s="22"/>
      <c r="AA2835" s="22"/>
      <c r="AB2835" s="22"/>
      <c r="AC2835" s="22"/>
      <c r="AD2835" s="22"/>
      <c r="AE2835" s="22"/>
      <c r="AF2835" s="22"/>
      <c r="AG2835" s="22"/>
      <c r="AH2835" s="22"/>
      <c r="AI2835" s="22"/>
      <c r="AJ2835" s="22"/>
      <c r="AK2835" s="22"/>
      <c r="AL2835" s="22"/>
      <c r="AM2835" s="22"/>
      <c r="AN2835" s="22"/>
      <c r="AO2835" s="22"/>
      <c r="AP2835" s="22"/>
      <c r="AQ2835" s="22"/>
      <c r="AR2835" s="22"/>
      <c r="AS2835" s="22"/>
      <c r="AT2835" s="22"/>
      <c r="AU2835" s="22"/>
      <c r="AV2835" s="22"/>
      <c r="AW2835" s="22"/>
      <c r="AX2835" s="22"/>
      <c r="AY2835" s="22"/>
      <c r="AZ2835" s="22"/>
      <c r="BA2835" s="22"/>
      <c r="BB2835" s="22"/>
    </row>
    <row r="2836" spans="5:54" x14ac:dyDescent="0.35"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2"/>
      <c r="T2836" s="22"/>
      <c r="U2836" s="22"/>
      <c r="V2836" s="22"/>
      <c r="W2836" s="22"/>
      <c r="X2836" s="22"/>
      <c r="Y2836" s="22"/>
      <c r="Z2836" s="22"/>
      <c r="AA2836" s="22"/>
      <c r="AB2836" s="22"/>
      <c r="AC2836" s="22"/>
      <c r="AD2836" s="22"/>
      <c r="AE2836" s="22"/>
      <c r="AF2836" s="22"/>
      <c r="AG2836" s="22"/>
      <c r="AH2836" s="22"/>
      <c r="AI2836" s="22"/>
      <c r="AJ2836" s="22"/>
      <c r="AK2836" s="22"/>
      <c r="AL2836" s="22"/>
      <c r="AM2836" s="22"/>
      <c r="AN2836" s="22"/>
      <c r="AO2836" s="22"/>
      <c r="AP2836" s="22"/>
      <c r="AQ2836" s="22"/>
      <c r="AR2836" s="22"/>
      <c r="AS2836" s="22"/>
      <c r="AT2836" s="22"/>
      <c r="AU2836" s="22"/>
      <c r="AV2836" s="22"/>
      <c r="AW2836" s="22"/>
      <c r="AX2836" s="22"/>
      <c r="AY2836" s="22"/>
      <c r="AZ2836" s="22"/>
      <c r="BA2836" s="22"/>
      <c r="BB2836" s="22"/>
    </row>
    <row r="2837" spans="5:54" x14ac:dyDescent="0.35"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2"/>
      <c r="T2837" s="22"/>
      <c r="U2837" s="22"/>
      <c r="V2837" s="22"/>
      <c r="W2837" s="22"/>
      <c r="X2837" s="22"/>
      <c r="Y2837" s="22"/>
      <c r="Z2837" s="22"/>
      <c r="AA2837" s="22"/>
      <c r="AB2837" s="22"/>
      <c r="AC2837" s="22"/>
      <c r="AD2837" s="22"/>
      <c r="AE2837" s="22"/>
      <c r="AF2837" s="22"/>
      <c r="AG2837" s="22"/>
      <c r="AH2837" s="22"/>
      <c r="AI2837" s="22"/>
      <c r="AJ2837" s="22"/>
      <c r="AK2837" s="22"/>
      <c r="AL2837" s="22"/>
      <c r="AM2837" s="22"/>
      <c r="AN2837" s="22"/>
      <c r="AO2837" s="22"/>
      <c r="AP2837" s="22"/>
      <c r="AQ2837" s="22"/>
      <c r="AR2837" s="22"/>
      <c r="AS2837" s="22"/>
      <c r="AT2837" s="22"/>
      <c r="AU2837" s="22"/>
      <c r="AV2837" s="22"/>
      <c r="AW2837" s="22"/>
      <c r="AX2837" s="22"/>
      <c r="AY2837" s="22"/>
      <c r="AZ2837" s="22"/>
      <c r="BA2837" s="22"/>
      <c r="BB2837" s="22"/>
    </row>
    <row r="2838" spans="5:54" x14ac:dyDescent="0.35"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2"/>
      <c r="T2838" s="22"/>
      <c r="U2838" s="22"/>
      <c r="V2838" s="22"/>
      <c r="W2838" s="22"/>
      <c r="X2838" s="22"/>
      <c r="Y2838" s="22"/>
      <c r="Z2838" s="22"/>
      <c r="AA2838" s="22"/>
      <c r="AB2838" s="22"/>
      <c r="AC2838" s="22"/>
      <c r="AD2838" s="22"/>
      <c r="AE2838" s="22"/>
      <c r="AF2838" s="22"/>
      <c r="AG2838" s="22"/>
      <c r="AH2838" s="22"/>
      <c r="AI2838" s="22"/>
      <c r="AJ2838" s="22"/>
      <c r="AK2838" s="22"/>
      <c r="AL2838" s="22"/>
      <c r="AM2838" s="22"/>
      <c r="AN2838" s="22"/>
      <c r="AO2838" s="22"/>
      <c r="AP2838" s="22"/>
      <c r="AQ2838" s="22"/>
      <c r="AR2838" s="22"/>
      <c r="AS2838" s="22"/>
      <c r="AT2838" s="22"/>
      <c r="AU2838" s="22"/>
      <c r="AV2838" s="22"/>
      <c r="AW2838" s="22"/>
      <c r="AX2838" s="22"/>
      <c r="AY2838" s="22"/>
      <c r="AZ2838" s="22"/>
      <c r="BA2838" s="22"/>
      <c r="BB2838" s="22"/>
    </row>
    <row r="2839" spans="5:54" x14ac:dyDescent="0.35"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2"/>
      <c r="T2839" s="22"/>
      <c r="U2839" s="22"/>
      <c r="V2839" s="22"/>
      <c r="W2839" s="22"/>
      <c r="X2839" s="22"/>
      <c r="Y2839" s="22"/>
      <c r="Z2839" s="22"/>
      <c r="AA2839" s="22"/>
      <c r="AB2839" s="22"/>
      <c r="AC2839" s="22"/>
      <c r="AD2839" s="22"/>
      <c r="AE2839" s="22"/>
      <c r="AF2839" s="22"/>
      <c r="AG2839" s="22"/>
      <c r="AH2839" s="22"/>
      <c r="AI2839" s="22"/>
      <c r="AJ2839" s="22"/>
      <c r="AK2839" s="22"/>
      <c r="AL2839" s="22"/>
      <c r="AM2839" s="22"/>
      <c r="AN2839" s="22"/>
      <c r="AO2839" s="22"/>
      <c r="AP2839" s="22"/>
      <c r="AQ2839" s="22"/>
      <c r="AR2839" s="22"/>
      <c r="AS2839" s="22"/>
      <c r="AT2839" s="22"/>
      <c r="AU2839" s="22"/>
      <c r="AV2839" s="22"/>
      <c r="AW2839" s="22"/>
      <c r="AX2839" s="22"/>
      <c r="AY2839" s="22"/>
      <c r="AZ2839" s="22"/>
      <c r="BA2839" s="22"/>
      <c r="BB2839" s="22"/>
    </row>
    <row r="2840" spans="5:54" x14ac:dyDescent="0.35"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2"/>
      <c r="T2840" s="22"/>
      <c r="U2840" s="22"/>
      <c r="V2840" s="22"/>
      <c r="W2840" s="22"/>
      <c r="X2840" s="22"/>
      <c r="Y2840" s="22"/>
      <c r="Z2840" s="22"/>
      <c r="AA2840" s="22"/>
      <c r="AB2840" s="22"/>
      <c r="AC2840" s="22"/>
      <c r="AD2840" s="22"/>
      <c r="AE2840" s="22"/>
      <c r="AF2840" s="22"/>
      <c r="AG2840" s="22"/>
      <c r="AH2840" s="22"/>
      <c r="AI2840" s="22"/>
      <c r="AJ2840" s="22"/>
      <c r="AK2840" s="22"/>
      <c r="AL2840" s="22"/>
      <c r="AM2840" s="22"/>
      <c r="AN2840" s="22"/>
      <c r="AO2840" s="22"/>
      <c r="AP2840" s="22"/>
      <c r="AQ2840" s="22"/>
      <c r="AR2840" s="22"/>
      <c r="AS2840" s="22"/>
      <c r="AT2840" s="22"/>
      <c r="AU2840" s="22"/>
      <c r="AV2840" s="22"/>
      <c r="AW2840" s="22"/>
      <c r="AX2840" s="22"/>
      <c r="AY2840" s="22"/>
      <c r="AZ2840" s="22"/>
      <c r="BA2840" s="22"/>
      <c r="BB2840" s="22"/>
    </row>
    <row r="2841" spans="5:54" x14ac:dyDescent="0.35"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2"/>
      <c r="T2841" s="22"/>
      <c r="U2841" s="22"/>
      <c r="V2841" s="22"/>
      <c r="W2841" s="22"/>
      <c r="X2841" s="22"/>
      <c r="Y2841" s="22"/>
      <c r="Z2841" s="22"/>
      <c r="AA2841" s="22"/>
      <c r="AB2841" s="22"/>
      <c r="AC2841" s="22"/>
      <c r="AD2841" s="22"/>
      <c r="AE2841" s="22"/>
      <c r="AF2841" s="22"/>
      <c r="AG2841" s="22"/>
      <c r="AH2841" s="22"/>
      <c r="AI2841" s="22"/>
      <c r="AJ2841" s="22"/>
      <c r="AK2841" s="22"/>
      <c r="AL2841" s="22"/>
      <c r="AM2841" s="22"/>
      <c r="AN2841" s="22"/>
      <c r="AO2841" s="22"/>
      <c r="AP2841" s="22"/>
      <c r="AQ2841" s="22"/>
      <c r="AR2841" s="22"/>
      <c r="AS2841" s="22"/>
      <c r="AT2841" s="22"/>
      <c r="AU2841" s="22"/>
      <c r="AV2841" s="22"/>
      <c r="AW2841" s="22"/>
      <c r="AX2841" s="22"/>
      <c r="AY2841" s="22"/>
      <c r="AZ2841" s="22"/>
      <c r="BA2841" s="22"/>
      <c r="BB2841" s="22"/>
    </row>
    <row r="2842" spans="5:54" x14ac:dyDescent="0.35"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2"/>
      <c r="T2842" s="22"/>
      <c r="U2842" s="22"/>
      <c r="V2842" s="22"/>
      <c r="W2842" s="22"/>
      <c r="X2842" s="22"/>
      <c r="Y2842" s="22"/>
      <c r="Z2842" s="22"/>
      <c r="AA2842" s="22"/>
      <c r="AB2842" s="22"/>
      <c r="AC2842" s="22"/>
      <c r="AD2842" s="22"/>
      <c r="AE2842" s="22"/>
      <c r="AF2842" s="22"/>
      <c r="AG2842" s="22"/>
      <c r="AH2842" s="22"/>
      <c r="AI2842" s="22"/>
      <c r="AJ2842" s="22"/>
      <c r="AK2842" s="22"/>
      <c r="AL2842" s="22"/>
      <c r="AM2842" s="22"/>
      <c r="AN2842" s="22"/>
      <c r="AO2842" s="22"/>
      <c r="AP2842" s="22"/>
      <c r="AQ2842" s="22"/>
      <c r="AR2842" s="22"/>
      <c r="AS2842" s="22"/>
      <c r="AT2842" s="22"/>
      <c r="AU2842" s="22"/>
      <c r="AV2842" s="22"/>
      <c r="AW2842" s="22"/>
      <c r="AX2842" s="22"/>
      <c r="AY2842" s="22"/>
      <c r="AZ2842" s="22"/>
      <c r="BA2842" s="22"/>
      <c r="BB2842" s="22"/>
    </row>
    <row r="2843" spans="5:54" x14ac:dyDescent="0.35"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2"/>
      <c r="T2843" s="22"/>
      <c r="U2843" s="22"/>
      <c r="V2843" s="22"/>
      <c r="W2843" s="22"/>
      <c r="X2843" s="22"/>
      <c r="Y2843" s="22"/>
      <c r="Z2843" s="22"/>
      <c r="AA2843" s="22"/>
      <c r="AB2843" s="22"/>
      <c r="AC2843" s="22"/>
      <c r="AD2843" s="22"/>
      <c r="AE2843" s="22"/>
      <c r="AF2843" s="22"/>
      <c r="AG2843" s="22"/>
      <c r="AH2843" s="22"/>
      <c r="AI2843" s="22"/>
      <c r="AJ2843" s="22"/>
      <c r="AK2843" s="22"/>
      <c r="AL2843" s="22"/>
      <c r="AM2843" s="22"/>
      <c r="AN2843" s="22"/>
      <c r="AO2843" s="22"/>
      <c r="AP2843" s="22"/>
      <c r="AQ2843" s="22"/>
      <c r="AR2843" s="22"/>
      <c r="AS2843" s="22"/>
      <c r="AT2843" s="22"/>
      <c r="AU2843" s="22"/>
      <c r="AV2843" s="22"/>
      <c r="AW2843" s="22"/>
      <c r="AX2843" s="22"/>
      <c r="AY2843" s="22"/>
      <c r="AZ2843" s="22"/>
      <c r="BA2843" s="22"/>
      <c r="BB2843" s="22"/>
    </row>
    <row r="2844" spans="5:54" x14ac:dyDescent="0.35"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2"/>
      <c r="T2844" s="22"/>
      <c r="U2844" s="22"/>
      <c r="V2844" s="22"/>
      <c r="W2844" s="22"/>
      <c r="X2844" s="22"/>
      <c r="Y2844" s="22"/>
      <c r="Z2844" s="22"/>
      <c r="AA2844" s="22"/>
      <c r="AB2844" s="22"/>
      <c r="AC2844" s="22"/>
      <c r="AD2844" s="22"/>
      <c r="AE2844" s="22"/>
      <c r="AF2844" s="22"/>
      <c r="AG2844" s="22"/>
      <c r="AH2844" s="22"/>
      <c r="AI2844" s="22"/>
      <c r="AJ2844" s="22"/>
      <c r="AK2844" s="22"/>
      <c r="AL2844" s="22"/>
      <c r="AM2844" s="22"/>
      <c r="AN2844" s="22"/>
      <c r="AO2844" s="22"/>
      <c r="AP2844" s="22"/>
      <c r="AQ2844" s="22"/>
      <c r="AR2844" s="22"/>
      <c r="AS2844" s="22"/>
      <c r="AT2844" s="22"/>
      <c r="AU2844" s="22"/>
      <c r="AV2844" s="22"/>
      <c r="AW2844" s="22"/>
      <c r="AX2844" s="22"/>
      <c r="AY2844" s="22"/>
      <c r="AZ2844" s="22"/>
      <c r="BA2844" s="22"/>
      <c r="BB2844" s="22"/>
    </row>
    <row r="2845" spans="5:54" x14ac:dyDescent="0.35"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2"/>
      <c r="T2845" s="22"/>
      <c r="U2845" s="22"/>
      <c r="V2845" s="22"/>
      <c r="W2845" s="22"/>
      <c r="X2845" s="22"/>
      <c r="Y2845" s="22"/>
      <c r="Z2845" s="22"/>
      <c r="AA2845" s="22"/>
      <c r="AB2845" s="22"/>
      <c r="AC2845" s="22"/>
      <c r="AD2845" s="22"/>
      <c r="AE2845" s="22"/>
      <c r="AF2845" s="22"/>
      <c r="AG2845" s="22"/>
      <c r="AH2845" s="22"/>
      <c r="AI2845" s="22"/>
      <c r="AJ2845" s="22"/>
      <c r="AK2845" s="22"/>
      <c r="AL2845" s="22"/>
      <c r="AM2845" s="22"/>
      <c r="AN2845" s="22"/>
      <c r="AO2845" s="22"/>
      <c r="AP2845" s="22"/>
      <c r="AQ2845" s="22"/>
      <c r="AR2845" s="22"/>
      <c r="AS2845" s="22"/>
      <c r="AT2845" s="22"/>
      <c r="AU2845" s="22"/>
      <c r="AV2845" s="22"/>
      <c r="AW2845" s="22"/>
      <c r="AX2845" s="22"/>
      <c r="AY2845" s="22"/>
      <c r="AZ2845" s="22"/>
      <c r="BA2845" s="22"/>
      <c r="BB2845" s="22"/>
    </row>
    <row r="2846" spans="5:54" x14ac:dyDescent="0.35"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2"/>
      <c r="T2846" s="22"/>
      <c r="U2846" s="22"/>
      <c r="V2846" s="22"/>
      <c r="W2846" s="22"/>
      <c r="X2846" s="22"/>
      <c r="Y2846" s="22"/>
      <c r="Z2846" s="22"/>
      <c r="AA2846" s="22"/>
      <c r="AB2846" s="22"/>
      <c r="AC2846" s="22"/>
      <c r="AD2846" s="22"/>
      <c r="AE2846" s="22"/>
      <c r="AF2846" s="22"/>
      <c r="AG2846" s="22"/>
      <c r="AH2846" s="22"/>
      <c r="AI2846" s="22"/>
      <c r="AJ2846" s="22"/>
      <c r="AK2846" s="22"/>
      <c r="AL2846" s="22"/>
      <c r="AM2846" s="22"/>
      <c r="AN2846" s="22"/>
      <c r="AO2846" s="22"/>
      <c r="AP2846" s="22"/>
      <c r="AQ2846" s="22"/>
      <c r="AR2846" s="22"/>
      <c r="AS2846" s="22"/>
      <c r="AT2846" s="22"/>
      <c r="AU2846" s="22"/>
      <c r="AV2846" s="22"/>
      <c r="AW2846" s="22"/>
      <c r="AX2846" s="22"/>
      <c r="AY2846" s="22"/>
      <c r="AZ2846" s="22"/>
      <c r="BA2846" s="22"/>
      <c r="BB2846" s="22"/>
    </row>
    <row r="2847" spans="5:54" x14ac:dyDescent="0.35"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2"/>
      <c r="T2847" s="22"/>
      <c r="U2847" s="22"/>
      <c r="V2847" s="22"/>
      <c r="W2847" s="22"/>
      <c r="X2847" s="22"/>
      <c r="Y2847" s="22"/>
      <c r="Z2847" s="22"/>
      <c r="AA2847" s="22"/>
      <c r="AB2847" s="22"/>
      <c r="AC2847" s="22"/>
      <c r="AD2847" s="22"/>
      <c r="AE2847" s="22"/>
      <c r="AF2847" s="22"/>
      <c r="AG2847" s="22"/>
      <c r="AH2847" s="22"/>
      <c r="AI2847" s="22"/>
      <c r="AJ2847" s="22"/>
      <c r="AK2847" s="22"/>
      <c r="AL2847" s="22"/>
      <c r="AM2847" s="22"/>
      <c r="AN2847" s="22"/>
      <c r="AO2847" s="22"/>
      <c r="AP2847" s="22"/>
      <c r="AQ2847" s="22"/>
      <c r="AR2847" s="22"/>
      <c r="AS2847" s="22"/>
      <c r="AT2847" s="22"/>
      <c r="AU2847" s="22"/>
      <c r="AV2847" s="22"/>
      <c r="AW2847" s="22"/>
      <c r="AX2847" s="22"/>
      <c r="AY2847" s="22"/>
      <c r="AZ2847" s="22"/>
      <c r="BA2847" s="22"/>
      <c r="BB2847" s="22"/>
    </row>
    <row r="2848" spans="5:54" x14ac:dyDescent="0.35"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2"/>
      <c r="T2848" s="22"/>
      <c r="U2848" s="22"/>
      <c r="V2848" s="22"/>
      <c r="W2848" s="22"/>
      <c r="X2848" s="22"/>
      <c r="Y2848" s="22"/>
      <c r="Z2848" s="22"/>
      <c r="AA2848" s="22"/>
      <c r="AB2848" s="22"/>
      <c r="AC2848" s="22"/>
      <c r="AD2848" s="22"/>
      <c r="AE2848" s="22"/>
      <c r="AF2848" s="22"/>
      <c r="AG2848" s="22"/>
      <c r="AH2848" s="22"/>
      <c r="AI2848" s="22"/>
      <c r="AJ2848" s="22"/>
      <c r="AK2848" s="22"/>
      <c r="AL2848" s="22"/>
      <c r="AM2848" s="22"/>
      <c r="AN2848" s="22"/>
      <c r="AO2848" s="22"/>
      <c r="AP2848" s="22"/>
      <c r="AQ2848" s="22"/>
      <c r="AR2848" s="22"/>
      <c r="AS2848" s="22"/>
      <c r="AT2848" s="22"/>
      <c r="AU2848" s="22"/>
      <c r="AV2848" s="22"/>
      <c r="AW2848" s="22"/>
      <c r="AX2848" s="22"/>
      <c r="AY2848" s="22"/>
      <c r="AZ2848" s="22"/>
      <c r="BA2848" s="22"/>
      <c r="BB2848" s="22"/>
    </row>
    <row r="2849" spans="5:54" x14ac:dyDescent="0.35"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2"/>
      <c r="T2849" s="22"/>
      <c r="U2849" s="22"/>
      <c r="V2849" s="22"/>
      <c r="W2849" s="22"/>
      <c r="X2849" s="22"/>
      <c r="Y2849" s="22"/>
      <c r="Z2849" s="22"/>
      <c r="AA2849" s="22"/>
      <c r="AB2849" s="22"/>
      <c r="AC2849" s="22"/>
      <c r="AD2849" s="22"/>
      <c r="AE2849" s="22"/>
      <c r="AF2849" s="22"/>
      <c r="AG2849" s="22"/>
      <c r="AH2849" s="22"/>
      <c r="AI2849" s="22"/>
      <c r="AJ2849" s="22"/>
      <c r="AK2849" s="22"/>
      <c r="AL2849" s="22"/>
      <c r="AM2849" s="22"/>
      <c r="AN2849" s="22"/>
      <c r="AO2849" s="22"/>
      <c r="AP2849" s="22"/>
      <c r="AQ2849" s="22"/>
      <c r="AR2849" s="22"/>
      <c r="AS2849" s="22"/>
      <c r="AT2849" s="22"/>
      <c r="AU2849" s="22"/>
      <c r="AV2849" s="22"/>
      <c r="AW2849" s="22"/>
      <c r="AX2849" s="22"/>
      <c r="AY2849" s="22"/>
      <c r="AZ2849" s="22"/>
      <c r="BA2849" s="22"/>
      <c r="BB2849" s="22"/>
    </row>
    <row r="2850" spans="5:54" x14ac:dyDescent="0.35"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2"/>
      <c r="T2850" s="22"/>
      <c r="U2850" s="22"/>
      <c r="V2850" s="22"/>
      <c r="W2850" s="22"/>
      <c r="X2850" s="22"/>
      <c r="Y2850" s="22"/>
      <c r="Z2850" s="22"/>
      <c r="AA2850" s="22"/>
      <c r="AB2850" s="22"/>
      <c r="AC2850" s="22"/>
      <c r="AD2850" s="22"/>
      <c r="AE2850" s="22"/>
      <c r="AF2850" s="22"/>
      <c r="AG2850" s="22"/>
      <c r="AH2850" s="22"/>
      <c r="AI2850" s="22"/>
      <c r="AJ2850" s="22"/>
      <c r="AK2850" s="22"/>
      <c r="AL2850" s="22"/>
      <c r="AM2850" s="22"/>
      <c r="AN2850" s="22"/>
      <c r="AO2850" s="22"/>
      <c r="AP2850" s="22"/>
      <c r="AQ2850" s="22"/>
      <c r="AR2850" s="22"/>
      <c r="AS2850" s="22"/>
      <c r="AT2850" s="22"/>
      <c r="AU2850" s="22"/>
      <c r="AV2850" s="22"/>
      <c r="AW2850" s="22"/>
      <c r="AX2850" s="22"/>
      <c r="AY2850" s="22"/>
      <c r="AZ2850" s="22"/>
      <c r="BA2850" s="22"/>
      <c r="BB2850" s="22"/>
    </row>
    <row r="2851" spans="5:54" x14ac:dyDescent="0.35"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2"/>
      <c r="T2851" s="22"/>
      <c r="U2851" s="22"/>
      <c r="V2851" s="22"/>
      <c r="W2851" s="22"/>
      <c r="X2851" s="22"/>
      <c r="Y2851" s="22"/>
      <c r="Z2851" s="22"/>
      <c r="AA2851" s="22"/>
      <c r="AB2851" s="22"/>
      <c r="AC2851" s="22"/>
      <c r="AD2851" s="22"/>
      <c r="AE2851" s="22"/>
      <c r="AF2851" s="22"/>
      <c r="AG2851" s="22"/>
      <c r="AH2851" s="22"/>
      <c r="AI2851" s="22"/>
      <c r="AJ2851" s="22"/>
      <c r="AK2851" s="22"/>
      <c r="AL2851" s="22"/>
      <c r="AM2851" s="22"/>
      <c r="AN2851" s="22"/>
      <c r="AO2851" s="22"/>
      <c r="AP2851" s="22"/>
      <c r="AQ2851" s="22"/>
      <c r="AR2851" s="22"/>
      <c r="AS2851" s="22"/>
      <c r="AT2851" s="22"/>
      <c r="AU2851" s="22"/>
      <c r="AV2851" s="22"/>
      <c r="AW2851" s="22"/>
      <c r="AX2851" s="22"/>
      <c r="AY2851" s="22"/>
      <c r="AZ2851" s="22"/>
      <c r="BA2851" s="22"/>
      <c r="BB2851" s="22"/>
    </row>
    <row r="2852" spans="5:54" x14ac:dyDescent="0.35"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2"/>
      <c r="T2852" s="22"/>
      <c r="U2852" s="22"/>
      <c r="V2852" s="22"/>
      <c r="W2852" s="22"/>
      <c r="X2852" s="22"/>
      <c r="Y2852" s="22"/>
      <c r="Z2852" s="22"/>
      <c r="AA2852" s="22"/>
      <c r="AB2852" s="22"/>
      <c r="AC2852" s="22"/>
      <c r="AD2852" s="22"/>
      <c r="AE2852" s="22"/>
      <c r="AF2852" s="22"/>
      <c r="AG2852" s="22"/>
      <c r="AH2852" s="22"/>
      <c r="AI2852" s="22"/>
      <c r="AJ2852" s="22"/>
      <c r="AK2852" s="22"/>
      <c r="AL2852" s="22"/>
      <c r="AM2852" s="22"/>
      <c r="AN2852" s="22"/>
      <c r="AO2852" s="22"/>
      <c r="AP2852" s="22"/>
      <c r="AQ2852" s="22"/>
      <c r="AR2852" s="22"/>
      <c r="AS2852" s="22"/>
      <c r="AT2852" s="22"/>
      <c r="AU2852" s="22"/>
      <c r="AV2852" s="22"/>
      <c r="AW2852" s="22"/>
      <c r="AX2852" s="22"/>
      <c r="AY2852" s="22"/>
      <c r="AZ2852" s="22"/>
      <c r="BA2852" s="22"/>
      <c r="BB2852" s="22"/>
    </row>
    <row r="2853" spans="5:54" x14ac:dyDescent="0.35"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2"/>
      <c r="T2853" s="22"/>
      <c r="U2853" s="22"/>
      <c r="V2853" s="22"/>
      <c r="W2853" s="22"/>
      <c r="X2853" s="22"/>
      <c r="Y2853" s="22"/>
      <c r="Z2853" s="22"/>
      <c r="AA2853" s="22"/>
      <c r="AB2853" s="22"/>
      <c r="AC2853" s="22"/>
      <c r="AD2853" s="22"/>
      <c r="AE2853" s="22"/>
      <c r="AF2853" s="22"/>
      <c r="AG2853" s="22"/>
      <c r="AH2853" s="22"/>
      <c r="AI2853" s="22"/>
      <c r="AJ2853" s="22"/>
      <c r="AK2853" s="22"/>
      <c r="AL2853" s="22"/>
      <c r="AM2853" s="22"/>
      <c r="AN2853" s="22"/>
      <c r="AO2853" s="22"/>
      <c r="AP2853" s="22"/>
      <c r="AQ2853" s="22"/>
      <c r="AR2853" s="22"/>
      <c r="AS2853" s="22"/>
      <c r="AT2853" s="22"/>
      <c r="AU2853" s="22"/>
      <c r="AV2853" s="22"/>
      <c r="AW2853" s="22"/>
      <c r="AX2853" s="22"/>
      <c r="AY2853" s="22"/>
      <c r="AZ2853" s="22"/>
      <c r="BA2853" s="22"/>
      <c r="BB2853" s="22"/>
    </row>
    <row r="2854" spans="5:54" x14ac:dyDescent="0.35"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2"/>
      <c r="T2854" s="22"/>
      <c r="U2854" s="22"/>
      <c r="V2854" s="22"/>
      <c r="W2854" s="22"/>
      <c r="X2854" s="22"/>
      <c r="Y2854" s="22"/>
      <c r="Z2854" s="22"/>
      <c r="AA2854" s="22"/>
      <c r="AB2854" s="22"/>
      <c r="AC2854" s="22"/>
      <c r="AD2854" s="22"/>
      <c r="AE2854" s="22"/>
      <c r="AF2854" s="22"/>
      <c r="AG2854" s="22"/>
      <c r="AH2854" s="22"/>
      <c r="AI2854" s="22"/>
      <c r="AJ2854" s="22"/>
      <c r="AK2854" s="22"/>
      <c r="AL2854" s="22"/>
      <c r="AM2854" s="22"/>
      <c r="AN2854" s="22"/>
      <c r="AO2854" s="22"/>
      <c r="AP2854" s="22"/>
      <c r="AQ2854" s="22"/>
      <c r="AR2854" s="22"/>
      <c r="AS2854" s="22"/>
      <c r="AT2854" s="22"/>
      <c r="AU2854" s="22"/>
      <c r="AV2854" s="22"/>
      <c r="AW2854" s="22"/>
      <c r="AX2854" s="22"/>
      <c r="AY2854" s="22"/>
      <c r="AZ2854" s="22"/>
      <c r="BA2854" s="22"/>
      <c r="BB2854" s="22"/>
    </row>
    <row r="2855" spans="5:54" x14ac:dyDescent="0.35"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2"/>
      <c r="T2855" s="22"/>
      <c r="U2855" s="22"/>
      <c r="V2855" s="22"/>
      <c r="W2855" s="22"/>
      <c r="X2855" s="22"/>
      <c r="Y2855" s="22"/>
      <c r="Z2855" s="22"/>
      <c r="AA2855" s="22"/>
      <c r="AB2855" s="22"/>
      <c r="AC2855" s="22"/>
      <c r="AD2855" s="22"/>
      <c r="AE2855" s="22"/>
      <c r="AF2855" s="22"/>
      <c r="AG2855" s="22"/>
      <c r="AH2855" s="22"/>
      <c r="AI2855" s="22"/>
      <c r="AJ2855" s="22"/>
      <c r="AK2855" s="22"/>
      <c r="AL2855" s="22"/>
      <c r="AM2855" s="22"/>
      <c r="AN2855" s="22"/>
      <c r="AO2855" s="22"/>
      <c r="AP2855" s="22"/>
      <c r="AQ2855" s="22"/>
      <c r="AR2855" s="22"/>
      <c r="AS2855" s="22"/>
      <c r="AT2855" s="22"/>
      <c r="AU2855" s="22"/>
      <c r="AV2855" s="22"/>
      <c r="AW2855" s="22"/>
      <c r="AX2855" s="22"/>
      <c r="AY2855" s="22"/>
      <c r="AZ2855" s="22"/>
      <c r="BA2855" s="22"/>
      <c r="BB2855" s="22"/>
    </row>
    <row r="2856" spans="5:54" x14ac:dyDescent="0.35"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2"/>
      <c r="T2856" s="22"/>
      <c r="U2856" s="22"/>
      <c r="V2856" s="22"/>
      <c r="W2856" s="22"/>
      <c r="X2856" s="22"/>
      <c r="Y2856" s="22"/>
      <c r="Z2856" s="22"/>
      <c r="AA2856" s="22"/>
      <c r="AB2856" s="22"/>
      <c r="AC2856" s="22"/>
      <c r="AD2856" s="22"/>
      <c r="AE2856" s="22"/>
      <c r="AF2856" s="22"/>
      <c r="AG2856" s="22"/>
      <c r="AH2856" s="22"/>
      <c r="AI2856" s="22"/>
      <c r="AJ2856" s="22"/>
      <c r="AK2856" s="22"/>
      <c r="AL2856" s="22"/>
      <c r="AM2856" s="22"/>
      <c r="AN2856" s="22"/>
      <c r="AO2856" s="22"/>
      <c r="AP2856" s="22"/>
      <c r="AQ2856" s="22"/>
      <c r="AR2856" s="22"/>
      <c r="AS2856" s="22"/>
      <c r="AT2856" s="22"/>
      <c r="AU2856" s="22"/>
      <c r="AV2856" s="22"/>
      <c r="AW2856" s="22"/>
      <c r="AX2856" s="22"/>
      <c r="AY2856" s="22"/>
      <c r="AZ2856" s="22"/>
      <c r="BA2856" s="22"/>
      <c r="BB2856" s="22"/>
    </row>
    <row r="2857" spans="5:54" x14ac:dyDescent="0.35"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2"/>
      <c r="T2857" s="22"/>
      <c r="U2857" s="22"/>
      <c r="V2857" s="22"/>
      <c r="W2857" s="22"/>
      <c r="X2857" s="22"/>
      <c r="Y2857" s="22"/>
      <c r="Z2857" s="22"/>
      <c r="AA2857" s="22"/>
      <c r="AB2857" s="22"/>
      <c r="AC2857" s="22"/>
      <c r="AD2857" s="22"/>
      <c r="AE2857" s="22"/>
      <c r="AF2857" s="22"/>
      <c r="AG2857" s="22"/>
      <c r="AH2857" s="22"/>
      <c r="AI2857" s="22"/>
      <c r="AJ2857" s="22"/>
      <c r="AK2857" s="22"/>
      <c r="AL2857" s="22"/>
      <c r="AM2857" s="22"/>
      <c r="AN2857" s="22"/>
      <c r="AO2857" s="22"/>
      <c r="AP2857" s="22"/>
      <c r="AQ2857" s="22"/>
      <c r="AR2857" s="22"/>
      <c r="AS2857" s="22"/>
      <c r="AT2857" s="22"/>
      <c r="AU2857" s="22"/>
      <c r="AV2857" s="22"/>
      <c r="AW2857" s="22"/>
      <c r="AX2857" s="22"/>
      <c r="AY2857" s="22"/>
      <c r="AZ2857" s="22"/>
      <c r="BA2857" s="22"/>
      <c r="BB2857" s="22"/>
    </row>
    <row r="2858" spans="5:54" x14ac:dyDescent="0.35"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2"/>
      <c r="T2858" s="22"/>
      <c r="U2858" s="22"/>
      <c r="V2858" s="22"/>
      <c r="W2858" s="22"/>
      <c r="X2858" s="22"/>
      <c r="Y2858" s="22"/>
      <c r="Z2858" s="22"/>
      <c r="AA2858" s="22"/>
      <c r="AB2858" s="22"/>
      <c r="AC2858" s="22"/>
      <c r="AD2858" s="22"/>
      <c r="AE2858" s="22"/>
      <c r="AF2858" s="22"/>
      <c r="AG2858" s="22"/>
      <c r="AH2858" s="22"/>
      <c r="AI2858" s="22"/>
      <c r="AJ2858" s="22"/>
      <c r="AK2858" s="22"/>
      <c r="AL2858" s="22"/>
      <c r="AM2858" s="22"/>
      <c r="AN2858" s="22"/>
      <c r="AO2858" s="22"/>
      <c r="AP2858" s="22"/>
      <c r="AQ2858" s="22"/>
      <c r="AR2858" s="22"/>
      <c r="AS2858" s="22"/>
      <c r="AT2858" s="22"/>
      <c r="AU2858" s="22"/>
      <c r="AV2858" s="22"/>
      <c r="AW2858" s="22"/>
      <c r="AX2858" s="22"/>
      <c r="AY2858" s="22"/>
      <c r="AZ2858" s="22"/>
      <c r="BA2858" s="22"/>
      <c r="BB2858" s="22"/>
    </row>
    <row r="2859" spans="5:54" x14ac:dyDescent="0.35"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2"/>
      <c r="T2859" s="22"/>
      <c r="U2859" s="22"/>
      <c r="V2859" s="22"/>
      <c r="W2859" s="22"/>
      <c r="X2859" s="22"/>
      <c r="Y2859" s="22"/>
      <c r="Z2859" s="22"/>
      <c r="AA2859" s="22"/>
      <c r="AB2859" s="22"/>
      <c r="AC2859" s="22"/>
      <c r="AD2859" s="22"/>
      <c r="AE2859" s="22"/>
      <c r="AF2859" s="22"/>
      <c r="AG2859" s="22"/>
      <c r="AH2859" s="22"/>
      <c r="AI2859" s="22"/>
      <c r="AJ2859" s="22"/>
      <c r="AK2859" s="22"/>
      <c r="AL2859" s="22"/>
      <c r="AM2859" s="22"/>
      <c r="AN2859" s="22"/>
      <c r="AO2859" s="22"/>
      <c r="AP2859" s="22"/>
      <c r="AQ2859" s="22"/>
      <c r="AR2859" s="22"/>
      <c r="AS2859" s="22"/>
      <c r="AT2859" s="22"/>
      <c r="AU2859" s="22"/>
      <c r="AV2859" s="22"/>
      <c r="AW2859" s="22"/>
      <c r="AX2859" s="22"/>
      <c r="AY2859" s="22"/>
      <c r="AZ2859" s="22"/>
      <c r="BA2859" s="22"/>
      <c r="BB2859" s="22"/>
    </row>
    <row r="2860" spans="5:54" x14ac:dyDescent="0.35"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2"/>
      <c r="T2860" s="22"/>
      <c r="U2860" s="22"/>
      <c r="V2860" s="22"/>
      <c r="W2860" s="22"/>
      <c r="X2860" s="22"/>
      <c r="Y2860" s="22"/>
      <c r="Z2860" s="22"/>
      <c r="AA2860" s="22"/>
      <c r="AB2860" s="22"/>
      <c r="AC2860" s="22"/>
      <c r="AD2860" s="22"/>
      <c r="AE2860" s="22"/>
      <c r="AF2860" s="22"/>
      <c r="AG2860" s="22"/>
      <c r="AH2860" s="22"/>
      <c r="AI2860" s="22"/>
      <c r="AJ2860" s="22"/>
      <c r="AK2860" s="22"/>
      <c r="AL2860" s="22"/>
      <c r="AM2860" s="22"/>
      <c r="AN2860" s="22"/>
      <c r="AO2860" s="22"/>
      <c r="AP2860" s="22"/>
      <c r="AQ2860" s="22"/>
      <c r="AR2860" s="22"/>
      <c r="AS2860" s="22"/>
      <c r="AT2860" s="22"/>
      <c r="AU2860" s="22"/>
      <c r="AV2860" s="22"/>
      <c r="AW2860" s="22"/>
      <c r="AX2860" s="22"/>
      <c r="AY2860" s="22"/>
      <c r="AZ2860" s="22"/>
      <c r="BA2860" s="22"/>
      <c r="BB2860" s="22"/>
    </row>
    <row r="2861" spans="5:54" x14ac:dyDescent="0.35"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2"/>
      <c r="T2861" s="22"/>
      <c r="U2861" s="22"/>
      <c r="V2861" s="22"/>
      <c r="W2861" s="22"/>
      <c r="X2861" s="22"/>
      <c r="Y2861" s="22"/>
      <c r="Z2861" s="22"/>
      <c r="AA2861" s="22"/>
      <c r="AB2861" s="22"/>
      <c r="AC2861" s="22"/>
      <c r="AD2861" s="22"/>
      <c r="AE2861" s="22"/>
      <c r="AF2861" s="22"/>
      <c r="AG2861" s="22"/>
      <c r="AH2861" s="22"/>
      <c r="AI2861" s="22"/>
      <c r="AJ2861" s="22"/>
      <c r="AK2861" s="22"/>
      <c r="AL2861" s="22"/>
      <c r="AM2861" s="22"/>
      <c r="AN2861" s="22"/>
      <c r="AO2861" s="22"/>
      <c r="AP2861" s="22"/>
      <c r="AQ2861" s="22"/>
      <c r="AR2861" s="22"/>
      <c r="AS2861" s="22"/>
      <c r="AT2861" s="22"/>
      <c r="AU2861" s="22"/>
      <c r="AV2861" s="22"/>
      <c r="AW2861" s="22"/>
      <c r="AX2861" s="22"/>
      <c r="AY2861" s="22"/>
      <c r="AZ2861" s="22"/>
      <c r="BA2861" s="22"/>
      <c r="BB2861" s="22"/>
    </row>
    <row r="2862" spans="5:54" x14ac:dyDescent="0.35"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2"/>
      <c r="T2862" s="22"/>
      <c r="U2862" s="22"/>
      <c r="V2862" s="22"/>
      <c r="W2862" s="22"/>
      <c r="X2862" s="22"/>
      <c r="Y2862" s="22"/>
      <c r="Z2862" s="22"/>
      <c r="AA2862" s="22"/>
      <c r="AB2862" s="22"/>
      <c r="AC2862" s="22"/>
      <c r="AD2862" s="22"/>
      <c r="AE2862" s="22"/>
      <c r="AF2862" s="22"/>
      <c r="AG2862" s="22"/>
      <c r="AH2862" s="22"/>
      <c r="AI2862" s="22"/>
      <c r="AJ2862" s="22"/>
      <c r="AK2862" s="22"/>
      <c r="AL2862" s="22"/>
      <c r="AM2862" s="22"/>
      <c r="AN2862" s="22"/>
      <c r="AO2862" s="22"/>
      <c r="AP2862" s="22"/>
      <c r="AQ2862" s="22"/>
      <c r="AR2862" s="22"/>
      <c r="AS2862" s="22"/>
      <c r="AT2862" s="22"/>
      <c r="AU2862" s="22"/>
      <c r="AV2862" s="22"/>
      <c r="AW2862" s="22"/>
      <c r="AX2862" s="22"/>
      <c r="AY2862" s="22"/>
      <c r="AZ2862" s="22"/>
      <c r="BA2862" s="22"/>
      <c r="BB2862" s="22"/>
    </row>
    <row r="2863" spans="5:54" x14ac:dyDescent="0.35"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2"/>
      <c r="T2863" s="22"/>
      <c r="U2863" s="22"/>
      <c r="V2863" s="22"/>
      <c r="W2863" s="22"/>
      <c r="X2863" s="22"/>
      <c r="Y2863" s="22"/>
      <c r="Z2863" s="22"/>
      <c r="AA2863" s="22"/>
      <c r="AB2863" s="22"/>
      <c r="AC2863" s="22"/>
      <c r="AD2863" s="22"/>
      <c r="AE2863" s="22"/>
      <c r="AF2863" s="22"/>
      <c r="AG2863" s="22"/>
      <c r="AH2863" s="22"/>
      <c r="AI2863" s="22"/>
      <c r="AJ2863" s="22"/>
      <c r="AK2863" s="22"/>
      <c r="AL2863" s="22"/>
      <c r="AM2863" s="22"/>
      <c r="AN2863" s="22"/>
      <c r="AO2863" s="22"/>
      <c r="AP2863" s="22"/>
      <c r="AQ2863" s="22"/>
      <c r="AR2863" s="22"/>
      <c r="AS2863" s="22"/>
      <c r="AT2863" s="22"/>
      <c r="AU2863" s="22"/>
      <c r="AV2863" s="22"/>
      <c r="AW2863" s="22"/>
      <c r="AX2863" s="22"/>
      <c r="AY2863" s="22"/>
      <c r="AZ2863" s="22"/>
      <c r="BA2863" s="22"/>
      <c r="BB2863" s="22"/>
    </row>
    <row r="2864" spans="5:54" x14ac:dyDescent="0.35"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2"/>
      <c r="T2864" s="22"/>
      <c r="U2864" s="22"/>
      <c r="V2864" s="22"/>
      <c r="W2864" s="22"/>
      <c r="X2864" s="22"/>
      <c r="Y2864" s="22"/>
      <c r="Z2864" s="22"/>
      <c r="AA2864" s="22"/>
      <c r="AB2864" s="22"/>
      <c r="AC2864" s="22"/>
      <c r="AD2864" s="22"/>
      <c r="AE2864" s="22"/>
      <c r="AF2864" s="22"/>
      <c r="AG2864" s="22"/>
      <c r="AH2864" s="22"/>
      <c r="AI2864" s="22"/>
      <c r="AJ2864" s="22"/>
      <c r="AK2864" s="22"/>
      <c r="AL2864" s="22"/>
      <c r="AM2864" s="22"/>
      <c r="AN2864" s="22"/>
      <c r="AO2864" s="22"/>
      <c r="AP2864" s="22"/>
      <c r="AQ2864" s="22"/>
      <c r="AR2864" s="22"/>
      <c r="AS2864" s="22"/>
      <c r="AT2864" s="22"/>
      <c r="AU2864" s="22"/>
      <c r="AV2864" s="22"/>
      <c r="AW2864" s="22"/>
      <c r="AX2864" s="22"/>
      <c r="AY2864" s="22"/>
      <c r="AZ2864" s="22"/>
      <c r="BA2864" s="22"/>
      <c r="BB2864" s="22"/>
    </row>
    <row r="2865" spans="5:54" x14ac:dyDescent="0.35"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2"/>
      <c r="T2865" s="22"/>
      <c r="U2865" s="22"/>
      <c r="V2865" s="22"/>
      <c r="W2865" s="22"/>
      <c r="X2865" s="22"/>
      <c r="Y2865" s="22"/>
      <c r="Z2865" s="22"/>
      <c r="AA2865" s="22"/>
      <c r="AB2865" s="22"/>
      <c r="AC2865" s="22"/>
      <c r="AD2865" s="22"/>
      <c r="AE2865" s="22"/>
      <c r="AF2865" s="22"/>
      <c r="AG2865" s="22"/>
      <c r="AH2865" s="22"/>
      <c r="AI2865" s="22"/>
      <c r="AJ2865" s="22"/>
      <c r="AK2865" s="22"/>
      <c r="AL2865" s="22"/>
      <c r="AM2865" s="22"/>
      <c r="AN2865" s="22"/>
      <c r="AO2865" s="22"/>
      <c r="AP2865" s="22"/>
      <c r="AQ2865" s="22"/>
      <c r="AR2865" s="22"/>
      <c r="AS2865" s="22"/>
      <c r="AT2865" s="22"/>
      <c r="AU2865" s="22"/>
      <c r="AV2865" s="22"/>
      <c r="AW2865" s="22"/>
      <c r="AX2865" s="22"/>
      <c r="AY2865" s="22"/>
      <c r="AZ2865" s="22"/>
      <c r="BA2865" s="22"/>
      <c r="BB2865" s="22"/>
    </row>
    <row r="2866" spans="5:54" x14ac:dyDescent="0.35"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2"/>
      <c r="T2866" s="22"/>
      <c r="U2866" s="22"/>
      <c r="V2866" s="22"/>
      <c r="W2866" s="22"/>
      <c r="X2866" s="22"/>
      <c r="Y2866" s="22"/>
      <c r="Z2866" s="22"/>
      <c r="AA2866" s="22"/>
      <c r="AB2866" s="22"/>
      <c r="AC2866" s="22"/>
      <c r="AD2866" s="22"/>
      <c r="AE2866" s="22"/>
      <c r="AF2866" s="22"/>
      <c r="AG2866" s="22"/>
      <c r="AH2866" s="22"/>
      <c r="AI2866" s="22"/>
      <c r="AJ2866" s="22"/>
      <c r="AK2866" s="22"/>
      <c r="AL2866" s="22"/>
      <c r="AM2866" s="22"/>
      <c r="AN2866" s="22"/>
      <c r="AO2866" s="22"/>
      <c r="AP2866" s="22"/>
      <c r="AQ2866" s="22"/>
      <c r="AR2866" s="22"/>
      <c r="AS2866" s="22"/>
      <c r="AT2866" s="22"/>
      <c r="AU2866" s="22"/>
      <c r="AV2866" s="22"/>
      <c r="AW2866" s="22"/>
      <c r="AX2866" s="22"/>
      <c r="AY2866" s="22"/>
      <c r="AZ2866" s="22"/>
      <c r="BA2866" s="22"/>
      <c r="BB2866" s="22"/>
    </row>
    <row r="2867" spans="5:54" x14ac:dyDescent="0.35"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2"/>
      <c r="T2867" s="22"/>
      <c r="U2867" s="22"/>
      <c r="V2867" s="22"/>
      <c r="W2867" s="22"/>
      <c r="X2867" s="22"/>
      <c r="Y2867" s="22"/>
      <c r="Z2867" s="22"/>
      <c r="AA2867" s="22"/>
      <c r="AB2867" s="22"/>
      <c r="AC2867" s="22"/>
      <c r="AD2867" s="22"/>
      <c r="AE2867" s="22"/>
      <c r="AF2867" s="22"/>
      <c r="AG2867" s="22"/>
      <c r="AH2867" s="22"/>
      <c r="AI2867" s="22"/>
      <c r="AJ2867" s="22"/>
      <c r="AK2867" s="22"/>
      <c r="AL2867" s="22"/>
      <c r="AM2867" s="22"/>
      <c r="AN2867" s="22"/>
      <c r="AO2867" s="22"/>
      <c r="AP2867" s="22"/>
      <c r="AQ2867" s="22"/>
      <c r="AR2867" s="22"/>
      <c r="AS2867" s="22"/>
      <c r="AT2867" s="22"/>
      <c r="AU2867" s="22"/>
      <c r="AV2867" s="22"/>
      <c r="AW2867" s="22"/>
      <c r="AX2867" s="22"/>
      <c r="AY2867" s="22"/>
      <c r="AZ2867" s="22"/>
      <c r="BA2867" s="22"/>
      <c r="BB2867" s="22"/>
    </row>
    <row r="2868" spans="5:54" x14ac:dyDescent="0.35"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2"/>
      <c r="T2868" s="22"/>
      <c r="U2868" s="22"/>
      <c r="V2868" s="22"/>
      <c r="W2868" s="22"/>
      <c r="X2868" s="22"/>
      <c r="Y2868" s="22"/>
      <c r="Z2868" s="22"/>
      <c r="AA2868" s="22"/>
      <c r="AB2868" s="22"/>
      <c r="AC2868" s="22"/>
      <c r="AD2868" s="22"/>
      <c r="AE2868" s="22"/>
      <c r="AF2868" s="22"/>
      <c r="AG2868" s="22"/>
      <c r="AH2868" s="22"/>
      <c r="AI2868" s="22"/>
      <c r="AJ2868" s="22"/>
      <c r="AK2868" s="22"/>
      <c r="AL2868" s="22"/>
      <c r="AM2868" s="22"/>
      <c r="AN2868" s="22"/>
      <c r="AO2868" s="22"/>
      <c r="AP2868" s="22"/>
      <c r="AQ2868" s="22"/>
      <c r="AR2868" s="22"/>
      <c r="AS2868" s="22"/>
      <c r="AT2868" s="22"/>
      <c r="AU2868" s="22"/>
      <c r="AV2868" s="22"/>
      <c r="AW2868" s="22"/>
      <c r="AX2868" s="22"/>
      <c r="AY2868" s="22"/>
      <c r="AZ2868" s="22"/>
      <c r="BA2868" s="22"/>
      <c r="BB2868" s="22"/>
    </row>
    <row r="2869" spans="5:54" x14ac:dyDescent="0.35"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2"/>
      <c r="T2869" s="22"/>
      <c r="U2869" s="22"/>
      <c r="V2869" s="22"/>
      <c r="W2869" s="22"/>
      <c r="X2869" s="22"/>
      <c r="Y2869" s="22"/>
      <c r="Z2869" s="22"/>
      <c r="AA2869" s="22"/>
      <c r="AB2869" s="22"/>
      <c r="AC2869" s="22"/>
      <c r="AD2869" s="22"/>
      <c r="AE2869" s="22"/>
      <c r="AF2869" s="22"/>
      <c r="AG2869" s="22"/>
      <c r="AH2869" s="22"/>
      <c r="AI2869" s="22"/>
      <c r="AJ2869" s="22"/>
      <c r="AK2869" s="22"/>
      <c r="AL2869" s="22"/>
      <c r="AM2869" s="22"/>
      <c r="AN2869" s="22"/>
      <c r="AO2869" s="22"/>
      <c r="AP2869" s="22"/>
      <c r="AQ2869" s="22"/>
      <c r="AR2869" s="22"/>
      <c r="AS2869" s="22"/>
      <c r="AT2869" s="22"/>
      <c r="AU2869" s="22"/>
      <c r="AV2869" s="22"/>
      <c r="AW2869" s="22"/>
      <c r="AX2869" s="22"/>
      <c r="AY2869" s="22"/>
      <c r="AZ2869" s="22"/>
      <c r="BA2869" s="22"/>
      <c r="BB2869" s="22"/>
    </row>
    <row r="2870" spans="5:54" x14ac:dyDescent="0.35"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2"/>
      <c r="T2870" s="22"/>
      <c r="U2870" s="22"/>
      <c r="V2870" s="22"/>
      <c r="W2870" s="22"/>
      <c r="X2870" s="22"/>
      <c r="Y2870" s="22"/>
      <c r="Z2870" s="22"/>
      <c r="AA2870" s="22"/>
      <c r="AB2870" s="22"/>
      <c r="AC2870" s="22"/>
      <c r="AD2870" s="22"/>
      <c r="AE2870" s="22"/>
      <c r="AF2870" s="22"/>
      <c r="AG2870" s="22"/>
      <c r="AH2870" s="22"/>
      <c r="AI2870" s="22"/>
      <c r="AJ2870" s="22"/>
      <c r="AK2870" s="22"/>
      <c r="AL2870" s="22"/>
      <c r="AM2870" s="22"/>
      <c r="AN2870" s="22"/>
      <c r="AO2870" s="22"/>
      <c r="AP2870" s="22"/>
      <c r="AQ2870" s="22"/>
      <c r="AR2870" s="22"/>
      <c r="AS2870" s="22"/>
      <c r="AT2870" s="22"/>
      <c r="AU2870" s="22"/>
      <c r="AV2870" s="22"/>
      <c r="AW2870" s="22"/>
      <c r="AX2870" s="22"/>
      <c r="AY2870" s="22"/>
      <c r="AZ2870" s="22"/>
      <c r="BA2870" s="22"/>
      <c r="BB2870" s="22"/>
    </row>
    <row r="2871" spans="5:54" x14ac:dyDescent="0.35"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2"/>
      <c r="T2871" s="22"/>
      <c r="U2871" s="22"/>
      <c r="V2871" s="22"/>
      <c r="W2871" s="22"/>
      <c r="X2871" s="22"/>
      <c r="Y2871" s="22"/>
      <c r="Z2871" s="22"/>
      <c r="AA2871" s="22"/>
      <c r="AB2871" s="22"/>
      <c r="AC2871" s="22"/>
      <c r="AD2871" s="22"/>
      <c r="AE2871" s="22"/>
      <c r="AF2871" s="22"/>
      <c r="AG2871" s="22"/>
      <c r="AH2871" s="22"/>
      <c r="AI2871" s="22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22"/>
      <c r="BB2871" s="22"/>
    </row>
    <row r="2872" spans="5:54" x14ac:dyDescent="0.35"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2"/>
      <c r="T2872" s="22"/>
      <c r="U2872" s="22"/>
      <c r="V2872" s="22"/>
      <c r="W2872" s="22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22"/>
      <c r="AS2872" s="22"/>
      <c r="AT2872" s="22"/>
      <c r="AU2872" s="22"/>
      <c r="AV2872" s="22"/>
      <c r="AW2872" s="22"/>
      <c r="AX2872" s="22"/>
      <c r="AY2872" s="22"/>
      <c r="AZ2872" s="22"/>
      <c r="BA2872" s="22"/>
      <c r="BB2872" s="22"/>
    </row>
    <row r="2873" spans="5:54" x14ac:dyDescent="0.35"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22"/>
      <c r="X2873" s="22"/>
      <c r="Y2873" s="22"/>
      <c r="Z2873" s="22"/>
      <c r="AA2873" s="22"/>
      <c r="AB2873" s="22"/>
      <c r="AC2873" s="22"/>
      <c r="AD2873" s="22"/>
      <c r="AE2873" s="22"/>
      <c r="AF2873" s="22"/>
      <c r="AG2873" s="22"/>
      <c r="AH2873" s="22"/>
      <c r="AI2873" s="22"/>
      <c r="AJ2873" s="22"/>
      <c r="AK2873" s="22"/>
      <c r="AL2873" s="22"/>
      <c r="AM2873" s="22"/>
      <c r="AN2873" s="22"/>
      <c r="AO2873" s="22"/>
      <c r="AP2873" s="22"/>
      <c r="AQ2873" s="22"/>
      <c r="AR2873" s="22"/>
      <c r="AS2873" s="22"/>
      <c r="AT2873" s="22"/>
      <c r="AU2873" s="22"/>
      <c r="AV2873" s="22"/>
      <c r="AW2873" s="22"/>
      <c r="AX2873" s="22"/>
      <c r="AY2873" s="22"/>
      <c r="AZ2873" s="22"/>
      <c r="BA2873" s="22"/>
      <c r="BB2873" s="22"/>
    </row>
    <row r="2874" spans="5:54" x14ac:dyDescent="0.35"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2"/>
      <c r="T2874" s="22"/>
      <c r="U2874" s="22"/>
      <c r="V2874" s="22"/>
      <c r="W2874" s="22"/>
      <c r="X2874" s="22"/>
      <c r="Y2874" s="22"/>
      <c r="Z2874" s="22"/>
      <c r="AA2874" s="22"/>
      <c r="AB2874" s="22"/>
      <c r="AC2874" s="22"/>
      <c r="AD2874" s="22"/>
      <c r="AE2874" s="22"/>
      <c r="AF2874" s="22"/>
      <c r="AG2874" s="22"/>
      <c r="AH2874" s="22"/>
      <c r="AI2874" s="22"/>
      <c r="AJ2874" s="22"/>
      <c r="AK2874" s="22"/>
      <c r="AL2874" s="22"/>
      <c r="AM2874" s="22"/>
      <c r="AN2874" s="22"/>
      <c r="AO2874" s="22"/>
      <c r="AP2874" s="22"/>
      <c r="AQ2874" s="22"/>
      <c r="AR2874" s="22"/>
      <c r="AS2874" s="22"/>
      <c r="AT2874" s="22"/>
      <c r="AU2874" s="22"/>
      <c r="AV2874" s="22"/>
      <c r="AW2874" s="22"/>
      <c r="AX2874" s="22"/>
      <c r="AY2874" s="22"/>
      <c r="AZ2874" s="22"/>
      <c r="BA2874" s="22"/>
      <c r="BB2874" s="22"/>
    </row>
    <row r="2875" spans="5:54" x14ac:dyDescent="0.35"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2"/>
      <c r="T2875" s="22"/>
      <c r="U2875" s="22"/>
      <c r="V2875" s="22"/>
      <c r="W2875" s="22"/>
      <c r="X2875" s="22"/>
      <c r="Y2875" s="22"/>
      <c r="Z2875" s="22"/>
      <c r="AA2875" s="22"/>
      <c r="AB2875" s="22"/>
      <c r="AC2875" s="22"/>
      <c r="AD2875" s="22"/>
      <c r="AE2875" s="22"/>
      <c r="AF2875" s="22"/>
      <c r="AG2875" s="22"/>
      <c r="AH2875" s="22"/>
      <c r="AI2875" s="22"/>
      <c r="AJ2875" s="22"/>
      <c r="AK2875" s="22"/>
      <c r="AL2875" s="22"/>
      <c r="AM2875" s="22"/>
      <c r="AN2875" s="22"/>
      <c r="AO2875" s="22"/>
      <c r="AP2875" s="22"/>
      <c r="AQ2875" s="22"/>
      <c r="AR2875" s="22"/>
      <c r="AS2875" s="22"/>
      <c r="AT2875" s="22"/>
      <c r="AU2875" s="22"/>
      <c r="AV2875" s="22"/>
      <c r="AW2875" s="22"/>
      <c r="AX2875" s="22"/>
      <c r="AY2875" s="22"/>
      <c r="AZ2875" s="22"/>
      <c r="BA2875" s="22"/>
      <c r="BB2875" s="22"/>
    </row>
    <row r="2876" spans="5:54" x14ac:dyDescent="0.35"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2"/>
      <c r="T2876" s="22"/>
      <c r="U2876" s="22"/>
      <c r="V2876" s="22"/>
      <c r="W2876" s="22"/>
      <c r="X2876" s="22"/>
      <c r="Y2876" s="22"/>
      <c r="Z2876" s="22"/>
      <c r="AA2876" s="22"/>
      <c r="AB2876" s="22"/>
      <c r="AC2876" s="22"/>
      <c r="AD2876" s="22"/>
      <c r="AE2876" s="22"/>
      <c r="AF2876" s="22"/>
      <c r="AG2876" s="22"/>
      <c r="AH2876" s="22"/>
      <c r="AI2876" s="22"/>
      <c r="AJ2876" s="22"/>
      <c r="AK2876" s="22"/>
      <c r="AL2876" s="22"/>
      <c r="AM2876" s="22"/>
      <c r="AN2876" s="22"/>
      <c r="AO2876" s="22"/>
      <c r="AP2876" s="22"/>
      <c r="AQ2876" s="22"/>
      <c r="AR2876" s="22"/>
      <c r="AS2876" s="22"/>
      <c r="AT2876" s="22"/>
      <c r="AU2876" s="22"/>
      <c r="AV2876" s="22"/>
      <c r="AW2876" s="22"/>
      <c r="AX2876" s="22"/>
      <c r="AY2876" s="22"/>
      <c r="AZ2876" s="22"/>
      <c r="BA2876" s="22"/>
      <c r="BB2876" s="22"/>
    </row>
    <row r="2877" spans="5:54" x14ac:dyDescent="0.35"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2"/>
      <c r="T2877" s="22"/>
      <c r="U2877" s="22"/>
      <c r="V2877" s="22"/>
      <c r="W2877" s="22"/>
      <c r="X2877" s="22"/>
      <c r="Y2877" s="22"/>
      <c r="Z2877" s="22"/>
      <c r="AA2877" s="22"/>
      <c r="AB2877" s="22"/>
      <c r="AC2877" s="22"/>
      <c r="AD2877" s="22"/>
      <c r="AE2877" s="22"/>
      <c r="AF2877" s="22"/>
      <c r="AG2877" s="22"/>
      <c r="AH2877" s="22"/>
      <c r="AI2877" s="22"/>
      <c r="AJ2877" s="22"/>
      <c r="AK2877" s="22"/>
      <c r="AL2877" s="22"/>
      <c r="AM2877" s="22"/>
      <c r="AN2877" s="22"/>
      <c r="AO2877" s="22"/>
      <c r="AP2877" s="22"/>
      <c r="AQ2877" s="22"/>
      <c r="AR2877" s="22"/>
      <c r="AS2877" s="22"/>
      <c r="AT2877" s="22"/>
      <c r="AU2877" s="22"/>
      <c r="AV2877" s="22"/>
      <c r="AW2877" s="22"/>
      <c r="AX2877" s="22"/>
      <c r="AY2877" s="22"/>
      <c r="AZ2877" s="22"/>
      <c r="BA2877" s="22"/>
      <c r="BB2877" s="22"/>
    </row>
    <row r="2878" spans="5:54" x14ac:dyDescent="0.35"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2"/>
      <c r="T2878" s="22"/>
      <c r="U2878" s="22"/>
      <c r="V2878" s="22"/>
      <c r="W2878" s="22"/>
      <c r="X2878" s="22"/>
      <c r="Y2878" s="22"/>
      <c r="Z2878" s="22"/>
      <c r="AA2878" s="22"/>
      <c r="AB2878" s="22"/>
      <c r="AC2878" s="22"/>
      <c r="AD2878" s="22"/>
      <c r="AE2878" s="22"/>
      <c r="AF2878" s="22"/>
      <c r="AG2878" s="22"/>
      <c r="AH2878" s="22"/>
      <c r="AI2878" s="22"/>
      <c r="AJ2878" s="22"/>
      <c r="AK2878" s="22"/>
      <c r="AL2878" s="22"/>
      <c r="AM2878" s="22"/>
      <c r="AN2878" s="22"/>
      <c r="AO2878" s="22"/>
      <c r="AP2878" s="22"/>
      <c r="AQ2878" s="22"/>
      <c r="AR2878" s="22"/>
      <c r="AS2878" s="22"/>
      <c r="AT2878" s="22"/>
      <c r="AU2878" s="22"/>
      <c r="AV2878" s="22"/>
      <c r="AW2878" s="22"/>
      <c r="AX2878" s="22"/>
      <c r="AY2878" s="22"/>
      <c r="AZ2878" s="22"/>
      <c r="BA2878" s="22"/>
      <c r="BB2878" s="22"/>
    </row>
    <row r="2879" spans="5:54" x14ac:dyDescent="0.35"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2"/>
      <c r="T2879" s="22"/>
      <c r="U2879" s="22"/>
      <c r="V2879" s="22"/>
      <c r="W2879" s="22"/>
      <c r="X2879" s="22"/>
      <c r="Y2879" s="22"/>
      <c r="Z2879" s="22"/>
      <c r="AA2879" s="22"/>
      <c r="AB2879" s="22"/>
      <c r="AC2879" s="22"/>
      <c r="AD2879" s="22"/>
      <c r="AE2879" s="22"/>
      <c r="AF2879" s="22"/>
      <c r="AG2879" s="22"/>
      <c r="AH2879" s="22"/>
      <c r="AI2879" s="22"/>
      <c r="AJ2879" s="22"/>
      <c r="AK2879" s="22"/>
      <c r="AL2879" s="22"/>
      <c r="AM2879" s="22"/>
      <c r="AN2879" s="22"/>
      <c r="AO2879" s="22"/>
      <c r="AP2879" s="22"/>
      <c r="AQ2879" s="22"/>
      <c r="AR2879" s="22"/>
      <c r="AS2879" s="22"/>
      <c r="AT2879" s="22"/>
      <c r="AU2879" s="22"/>
      <c r="AV2879" s="22"/>
      <c r="AW2879" s="22"/>
      <c r="AX2879" s="22"/>
      <c r="AY2879" s="22"/>
      <c r="AZ2879" s="22"/>
      <c r="BA2879" s="22"/>
      <c r="BB2879" s="22"/>
    </row>
    <row r="2880" spans="5:54" x14ac:dyDescent="0.35"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2"/>
      <c r="T2880" s="22"/>
      <c r="U2880" s="22"/>
      <c r="V2880" s="22"/>
      <c r="W2880" s="22"/>
      <c r="X2880" s="22"/>
      <c r="Y2880" s="22"/>
      <c r="Z2880" s="22"/>
      <c r="AA2880" s="22"/>
      <c r="AB2880" s="22"/>
      <c r="AC2880" s="22"/>
      <c r="AD2880" s="22"/>
      <c r="AE2880" s="22"/>
      <c r="AF2880" s="22"/>
      <c r="AG2880" s="22"/>
      <c r="AH2880" s="22"/>
      <c r="AI2880" s="22"/>
      <c r="AJ2880" s="22"/>
      <c r="AK2880" s="22"/>
      <c r="AL2880" s="22"/>
      <c r="AM2880" s="22"/>
      <c r="AN2880" s="22"/>
      <c r="AO2880" s="22"/>
      <c r="AP2880" s="22"/>
      <c r="AQ2880" s="22"/>
      <c r="AR2880" s="22"/>
      <c r="AS2880" s="22"/>
      <c r="AT2880" s="22"/>
      <c r="AU2880" s="22"/>
      <c r="AV2880" s="22"/>
      <c r="AW2880" s="22"/>
      <c r="AX2880" s="22"/>
      <c r="AY2880" s="22"/>
      <c r="AZ2880" s="22"/>
      <c r="BA2880" s="22"/>
      <c r="BB2880" s="22"/>
    </row>
    <row r="2881" spans="5:54" x14ac:dyDescent="0.35"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2"/>
      <c r="T2881" s="22"/>
      <c r="U2881" s="22"/>
      <c r="V2881" s="22"/>
      <c r="W2881" s="22"/>
      <c r="X2881" s="22"/>
      <c r="Y2881" s="22"/>
      <c r="Z2881" s="22"/>
      <c r="AA2881" s="22"/>
      <c r="AB2881" s="22"/>
      <c r="AC2881" s="22"/>
      <c r="AD2881" s="22"/>
      <c r="AE2881" s="22"/>
      <c r="AF2881" s="22"/>
      <c r="AG2881" s="22"/>
      <c r="AH2881" s="22"/>
      <c r="AI2881" s="22"/>
      <c r="AJ2881" s="22"/>
      <c r="AK2881" s="22"/>
      <c r="AL2881" s="22"/>
      <c r="AM2881" s="22"/>
      <c r="AN2881" s="22"/>
      <c r="AO2881" s="22"/>
      <c r="AP2881" s="22"/>
      <c r="AQ2881" s="22"/>
      <c r="AR2881" s="22"/>
      <c r="AS2881" s="22"/>
      <c r="AT2881" s="22"/>
      <c r="AU2881" s="22"/>
      <c r="AV2881" s="22"/>
      <c r="AW2881" s="22"/>
      <c r="AX2881" s="22"/>
      <c r="AY2881" s="22"/>
      <c r="AZ2881" s="22"/>
      <c r="BA2881" s="22"/>
      <c r="BB2881" s="22"/>
    </row>
    <row r="2882" spans="5:54" x14ac:dyDescent="0.35"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2"/>
      <c r="T2882" s="22"/>
      <c r="U2882" s="22"/>
      <c r="V2882" s="22"/>
      <c r="W2882" s="22"/>
      <c r="X2882" s="22"/>
      <c r="Y2882" s="22"/>
      <c r="Z2882" s="22"/>
      <c r="AA2882" s="22"/>
      <c r="AB2882" s="22"/>
      <c r="AC2882" s="22"/>
      <c r="AD2882" s="22"/>
      <c r="AE2882" s="22"/>
      <c r="AF2882" s="22"/>
      <c r="AG2882" s="22"/>
      <c r="AH2882" s="22"/>
      <c r="AI2882" s="22"/>
      <c r="AJ2882" s="22"/>
      <c r="AK2882" s="22"/>
      <c r="AL2882" s="22"/>
      <c r="AM2882" s="22"/>
      <c r="AN2882" s="22"/>
      <c r="AO2882" s="22"/>
      <c r="AP2882" s="22"/>
      <c r="AQ2882" s="22"/>
      <c r="AR2882" s="22"/>
      <c r="AS2882" s="22"/>
      <c r="AT2882" s="22"/>
      <c r="AU2882" s="22"/>
      <c r="AV2882" s="22"/>
      <c r="AW2882" s="22"/>
      <c r="AX2882" s="22"/>
      <c r="AY2882" s="22"/>
      <c r="AZ2882" s="22"/>
      <c r="BA2882" s="22"/>
      <c r="BB2882" s="22"/>
    </row>
    <row r="2883" spans="5:54" x14ac:dyDescent="0.35"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2"/>
      <c r="T2883" s="22"/>
      <c r="U2883" s="22"/>
      <c r="V2883" s="22"/>
      <c r="W2883" s="22"/>
      <c r="X2883" s="22"/>
      <c r="Y2883" s="22"/>
      <c r="Z2883" s="22"/>
      <c r="AA2883" s="22"/>
      <c r="AB2883" s="22"/>
      <c r="AC2883" s="22"/>
      <c r="AD2883" s="22"/>
      <c r="AE2883" s="22"/>
      <c r="AF2883" s="22"/>
      <c r="AG2883" s="22"/>
      <c r="AH2883" s="22"/>
      <c r="AI2883" s="22"/>
      <c r="AJ2883" s="22"/>
      <c r="AK2883" s="22"/>
      <c r="AL2883" s="22"/>
      <c r="AM2883" s="22"/>
      <c r="AN2883" s="22"/>
      <c r="AO2883" s="22"/>
      <c r="AP2883" s="22"/>
      <c r="AQ2883" s="22"/>
      <c r="AR2883" s="22"/>
      <c r="AS2883" s="22"/>
      <c r="AT2883" s="22"/>
      <c r="AU2883" s="22"/>
      <c r="AV2883" s="22"/>
      <c r="AW2883" s="22"/>
      <c r="AX2883" s="22"/>
      <c r="AY2883" s="22"/>
      <c r="AZ2883" s="22"/>
      <c r="BA2883" s="22"/>
      <c r="BB2883" s="22"/>
    </row>
    <row r="2884" spans="5:54" x14ac:dyDescent="0.35"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2"/>
      <c r="T2884" s="22"/>
      <c r="U2884" s="22"/>
      <c r="V2884" s="22"/>
      <c r="W2884" s="22"/>
      <c r="X2884" s="22"/>
      <c r="Y2884" s="22"/>
      <c r="Z2884" s="22"/>
      <c r="AA2884" s="22"/>
      <c r="AB2884" s="22"/>
      <c r="AC2884" s="22"/>
      <c r="AD2884" s="22"/>
      <c r="AE2884" s="22"/>
      <c r="AF2884" s="22"/>
      <c r="AG2884" s="22"/>
      <c r="AH2884" s="22"/>
      <c r="AI2884" s="22"/>
      <c r="AJ2884" s="22"/>
      <c r="AK2884" s="22"/>
      <c r="AL2884" s="22"/>
      <c r="AM2884" s="22"/>
      <c r="AN2884" s="22"/>
      <c r="AO2884" s="22"/>
      <c r="AP2884" s="22"/>
      <c r="AQ2884" s="22"/>
      <c r="AR2884" s="22"/>
      <c r="AS2884" s="22"/>
      <c r="AT2884" s="22"/>
      <c r="AU2884" s="22"/>
      <c r="AV2884" s="22"/>
      <c r="AW2884" s="22"/>
      <c r="AX2884" s="22"/>
      <c r="AY2884" s="22"/>
      <c r="AZ2884" s="22"/>
      <c r="BA2884" s="22"/>
      <c r="BB2884" s="22"/>
    </row>
    <row r="2885" spans="5:54" x14ac:dyDescent="0.35"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2"/>
      <c r="T2885" s="22"/>
      <c r="U2885" s="22"/>
      <c r="V2885" s="22"/>
      <c r="W2885" s="22"/>
      <c r="X2885" s="22"/>
      <c r="Y2885" s="22"/>
      <c r="Z2885" s="22"/>
      <c r="AA2885" s="22"/>
      <c r="AB2885" s="22"/>
      <c r="AC2885" s="22"/>
      <c r="AD2885" s="22"/>
      <c r="AE2885" s="22"/>
      <c r="AF2885" s="22"/>
      <c r="AG2885" s="22"/>
      <c r="AH2885" s="22"/>
      <c r="AI2885" s="22"/>
      <c r="AJ2885" s="22"/>
      <c r="AK2885" s="22"/>
      <c r="AL2885" s="22"/>
      <c r="AM2885" s="22"/>
      <c r="AN2885" s="22"/>
      <c r="AO2885" s="22"/>
      <c r="AP2885" s="22"/>
      <c r="AQ2885" s="22"/>
      <c r="AR2885" s="22"/>
      <c r="AS2885" s="22"/>
      <c r="AT2885" s="22"/>
      <c r="AU2885" s="22"/>
      <c r="AV2885" s="22"/>
      <c r="AW2885" s="22"/>
      <c r="AX2885" s="22"/>
      <c r="AY2885" s="22"/>
      <c r="AZ2885" s="22"/>
      <c r="BA2885" s="22"/>
      <c r="BB2885" s="22"/>
    </row>
    <row r="2886" spans="5:54" x14ac:dyDescent="0.35"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2"/>
      <c r="T2886" s="22"/>
      <c r="U2886" s="22"/>
      <c r="V2886" s="22"/>
      <c r="W2886" s="22"/>
      <c r="X2886" s="22"/>
      <c r="Y2886" s="22"/>
      <c r="Z2886" s="22"/>
      <c r="AA2886" s="22"/>
      <c r="AB2886" s="22"/>
      <c r="AC2886" s="22"/>
      <c r="AD2886" s="22"/>
      <c r="AE2886" s="22"/>
      <c r="AF2886" s="22"/>
      <c r="AG2886" s="22"/>
      <c r="AH2886" s="22"/>
      <c r="AI2886" s="22"/>
      <c r="AJ2886" s="22"/>
      <c r="AK2886" s="22"/>
      <c r="AL2886" s="22"/>
      <c r="AM2886" s="22"/>
      <c r="AN2886" s="22"/>
      <c r="AO2886" s="22"/>
      <c r="AP2886" s="22"/>
      <c r="AQ2886" s="22"/>
      <c r="AR2886" s="22"/>
      <c r="AS2886" s="22"/>
      <c r="AT2886" s="22"/>
      <c r="AU2886" s="22"/>
      <c r="AV2886" s="22"/>
      <c r="AW2886" s="22"/>
      <c r="AX2886" s="22"/>
      <c r="AY2886" s="22"/>
      <c r="AZ2886" s="22"/>
      <c r="BA2886" s="22"/>
      <c r="BB2886" s="22"/>
    </row>
    <row r="2887" spans="5:54" x14ac:dyDescent="0.35"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2"/>
      <c r="T2887" s="22"/>
      <c r="U2887" s="22"/>
      <c r="V2887" s="22"/>
      <c r="W2887" s="22"/>
      <c r="X2887" s="22"/>
      <c r="Y2887" s="22"/>
      <c r="Z2887" s="22"/>
      <c r="AA2887" s="22"/>
      <c r="AB2887" s="22"/>
      <c r="AC2887" s="22"/>
      <c r="AD2887" s="22"/>
      <c r="AE2887" s="22"/>
      <c r="AF2887" s="22"/>
      <c r="AG2887" s="22"/>
      <c r="AH2887" s="22"/>
      <c r="AI2887" s="22"/>
      <c r="AJ2887" s="22"/>
      <c r="AK2887" s="22"/>
      <c r="AL2887" s="22"/>
      <c r="AM2887" s="22"/>
      <c r="AN2887" s="22"/>
      <c r="AO2887" s="22"/>
      <c r="AP2887" s="22"/>
      <c r="AQ2887" s="22"/>
      <c r="AR2887" s="22"/>
      <c r="AS2887" s="22"/>
      <c r="AT2887" s="22"/>
      <c r="AU2887" s="22"/>
      <c r="AV2887" s="22"/>
      <c r="AW2887" s="22"/>
      <c r="AX2887" s="22"/>
      <c r="AY2887" s="22"/>
      <c r="AZ2887" s="22"/>
      <c r="BA2887" s="22"/>
      <c r="BB2887" s="22"/>
    </row>
    <row r="2888" spans="5:54" x14ac:dyDescent="0.35"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2"/>
      <c r="T2888" s="22"/>
      <c r="U2888" s="22"/>
      <c r="V2888" s="22"/>
      <c r="W2888" s="22"/>
      <c r="X2888" s="22"/>
      <c r="Y2888" s="22"/>
      <c r="Z2888" s="22"/>
      <c r="AA2888" s="22"/>
      <c r="AB2888" s="22"/>
      <c r="AC2888" s="22"/>
      <c r="AD2888" s="22"/>
      <c r="AE2888" s="22"/>
      <c r="AF2888" s="22"/>
      <c r="AG2888" s="22"/>
      <c r="AH2888" s="22"/>
      <c r="AI2888" s="22"/>
      <c r="AJ2888" s="22"/>
      <c r="AK2888" s="22"/>
      <c r="AL2888" s="22"/>
      <c r="AM2888" s="22"/>
      <c r="AN2888" s="22"/>
      <c r="AO2888" s="22"/>
      <c r="AP2888" s="22"/>
      <c r="AQ2888" s="22"/>
      <c r="AR2888" s="22"/>
      <c r="AS2888" s="22"/>
      <c r="AT2888" s="22"/>
      <c r="AU2888" s="22"/>
      <c r="AV2888" s="22"/>
      <c r="AW2888" s="22"/>
      <c r="AX2888" s="22"/>
      <c r="AY2888" s="22"/>
      <c r="AZ2888" s="22"/>
      <c r="BA2888" s="22"/>
      <c r="BB2888" s="22"/>
    </row>
    <row r="2889" spans="5:54" x14ac:dyDescent="0.35"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2"/>
      <c r="T2889" s="22"/>
      <c r="U2889" s="22"/>
      <c r="V2889" s="22"/>
      <c r="W2889" s="22"/>
      <c r="X2889" s="22"/>
      <c r="Y2889" s="22"/>
      <c r="Z2889" s="22"/>
      <c r="AA2889" s="22"/>
      <c r="AB2889" s="22"/>
      <c r="AC2889" s="22"/>
      <c r="AD2889" s="22"/>
      <c r="AE2889" s="22"/>
      <c r="AF2889" s="22"/>
      <c r="AG2889" s="22"/>
      <c r="AH2889" s="22"/>
      <c r="AI2889" s="22"/>
      <c r="AJ2889" s="22"/>
      <c r="AK2889" s="22"/>
      <c r="AL2889" s="22"/>
      <c r="AM2889" s="22"/>
      <c r="AN2889" s="22"/>
      <c r="AO2889" s="22"/>
      <c r="AP2889" s="22"/>
      <c r="AQ2889" s="22"/>
      <c r="AR2889" s="22"/>
      <c r="AS2889" s="22"/>
      <c r="AT2889" s="22"/>
      <c r="AU2889" s="22"/>
      <c r="AV2889" s="22"/>
      <c r="AW2889" s="22"/>
      <c r="AX2889" s="22"/>
      <c r="AY2889" s="22"/>
      <c r="AZ2889" s="22"/>
      <c r="BA2889" s="22"/>
      <c r="BB2889" s="22"/>
    </row>
    <row r="2890" spans="5:54" x14ac:dyDescent="0.35"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2"/>
      <c r="T2890" s="22"/>
      <c r="U2890" s="22"/>
      <c r="V2890" s="22"/>
      <c r="W2890" s="22"/>
      <c r="X2890" s="22"/>
      <c r="Y2890" s="22"/>
      <c r="Z2890" s="22"/>
      <c r="AA2890" s="22"/>
      <c r="AB2890" s="22"/>
      <c r="AC2890" s="22"/>
      <c r="AD2890" s="22"/>
      <c r="AE2890" s="22"/>
      <c r="AF2890" s="22"/>
      <c r="AG2890" s="22"/>
      <c r="AH2890" s="22"/>
      <c r="AI2890" s="22"/>
      <c r="AJ2890" s="22"/>
      <c r="AK2890" s="22"/>
      <c r="AL2890" s="22"/>
      <c r="AM2890" s="22"/>
      <c r="AN2890" s="22"/>
      <c r="AO2890" s="22"/>
      <c r="AP2890" s="22"/>
      <c r="AQ2890" s="22"/>
      <c r="AR2890" s="22"/>
      <c r="AS2890" s="22"/>
      <c r="AT2890" s="22"/>
      <c r="AU2890" s="22"/>
      <c r="AV2890" s="22"/>
      <c r="AW2890" s="22"/>
      <c r="AX2890" s="22"/>
      <c r="AY2890" s="22"/>
      <c r="AZ2890" s="22"/>
      <c r="BA2890" s="22"/>
      <c r="BB2890" s="22"/>
    </row>
    <row r="2891" spans="5:54" x14ac:dyDescent="0.35"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2"/>
      <c r="T2891" s="22"/>
      <c r="U2891" s="22"/>
      <c r="V2891" s="22"/>
      <c r="W2891" s="22"/>
      <c r="X2891" s="22"/>
      <c r="Y2891" s="22"/>
      <c r="Z2891" s="22"/>
      <c r="AA2891" s="22"/>
      <c r="AB2891" s="22"/>
      <c r="AC2891" s="22"/>
      <c r="AD2891" s="22"/>
      <c r="AE2891" s="22"/>
      <c r="AF2891" s="22"/>
      <c r="AG2891" s="22"/>
      <c r="AH2891" s="22"/>
      <c r="AI2891" s="22"/>
      <c r="AJ2891" s="22"/>
      <c r="AK2891" s="22"/>
      <c r="AL2891" s="22"/>
      <c r="AM2891" s="22"/>
      <c r="AN2891" s="22"/>
      <c r="AO2891" s="22"/>
      <c r="AP2891" s="22"/>
      <c r="AQ2891" s="22"/>
      <c r="AR2891" s="22"/>
      <c r="AS2891" s="22"/>
      <c r="AT2891" s="22"/>
      <c r="AU2891" s="22"/>
      <c r="AV2891" s="22"/>
      <c r="AW2891" s="22"/>
      <c r="AX2891" s="22"/>
      <c r="AY2891" s="22"/>
      <c r="AZ2891" s="22"/>
      <c r="BA2891" s="22"/>
      <c r="BB2891" s="22"/>
    </row>
    <row r="2892" spans="5:54" x14ac:dyDescent="0.35"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2"/>
      <c r="T2892" s="22"/>
      <c r="U2892" s="22"/>
      <c r="V2892" s="22"/>
      <c r="W2892" s="22"/>
      <c r="X2892" s="22"/>
      <c r="Y2892" s="22"/>
      <c r="Z2892" s="22"/>
      <c r="AA2892" s="22"/>
      <c r="AB2892" s="22"/>
      <c r="AC2892" s="22"/>
      <c r="AD2892" s="22"/>
      <c r="AE2892" s="22"/>
      <c r="AF2892" s="22"/>
      <c r="AG2892" s="22"/>
      <c r="AH2892" s="22"/>
      <c r="AI2892" s="22"/>
      <c r="AJ2892" s="22"/>
      <c r="AK2892" s="22"/>
      <c r="AL2892" s="22"/>
      <c r="AM2892" s="22"/>
      <c r="AN2892" s="22"/>
      <c r="AO2892" s="22"/>
      <c r="AP2892" s="22"/>
      <c r="AQ2892" s="22"/>
      <c r="AR2892" s="22"/>
      <c r="AS2892" s="22"/>
      <c r="AT2892" s="22"/>
      <c r="AU2892" s="22"/>
      <c r="AV2892" s="22"/>
      <c r="AW2892" s="22"/>
      <c r="AX2892" s="22"/>
      <c r="AY2892" s="22"/>
      <c r="AZ2892" s="22"/>
      <c r="BA2892" s="22"/>
      <c r="BB2892" s="22"/>
    </row>
    <row r="2893" spans="5:54" x14ac:dyDescent="0.35"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2"/>
      <c r="T2893" s="22"/>
      <c r="U2893" s="22"/>
      <c r="V2893" s="22"/>
      <c r="W2893" s="22"/>
      <c r="X2893" s="22"/>
      <c r="Y2893" s="22"/>
      <c r="Z2893" s="22"/>
      <c r="AA2893" s="22"/>
      <c r="AB2893" s="22"/>
      <c r="AC2893" s="22"/>
      <c r="AD2893" s="22"/>
      <c r="AE2893" s="22"/>
      <c r="AF2893" s="22"/>
      <c r="AG2893" s="22"/>
      <c r="AH2893" s="22"/>
      <c r="AI2893" s="22"/>
      <c r="AJ2893" s="22"/>
      <c r="AK2893" s="22"/>
      <c r="AL2893" s="22"/>
      <c r="AM2893" s="22"/>
      <c r="AN2893" s="22"/>
      <c r="AO2893" s="22"/>
      <c r="AP2893" s="22"/>
      <c r="AQ2893" s="22"/>
      <c r="AR2893" s="22"/>
      <c r="AS2893" s="22"/>
      <c r="AT2893" s="22"/>
      <c r="AU2893" s="22"/>
      <c r="AV2893" s="22"/>
      <c r="AW2893" s="22"/>
      <c r="AX2893" s="22"/>
      <c r="AY2893" s="22"/>
      <c r="AZ2893" s="22"/>
      <c r="BA2893" s="22"/>
      <c r="BB2893" s="22"/>
    </row>
    <row r="2894" spans="5:54" x14ac:dyDescent="0.35"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2"/>
      <c r="T2894" s="22"/>
      <c r="U2894" s="22"/>
      <c r="V2894" s="22"/>
      <c r="W2894" s="22"/>
      <c r="X2894" s="22"/>
      <c r="Y2894" s="22"/>
      <c r="Z2894" s="22"/>
      <c r="AA2894" s="22"/>
      <c r="AB2894" s="22"/>
      <c r="AC2894" s="22"/>
      <c r="AD2894" s="22"/>
      <c r="AE2894" s="22"/>
      <c r="AF2894" s="22"/>
      <c r="AG2894" s="22"/>
      <c r="AH2894" s="22"/>
      <c r="AI2894" s="22"/>
      <c r="AJ2894" s="22"/>
      <c r="AK2894" s="22"/>
      <c r="AL2894" s="22"/>
      <c r="AM2894" s="22"/>
      <c r="AN2894" s="22"/>
      <c r="AO2894" s="22"/>
      <c r="AP2894" s="22"/>
      <c r="AQ2894" s="22"/>
      <c r="AR2894" s="22"/>
      <c r="AS2894" s="22"/>
      <c r="AT2894" s="22"/>
      <c r="AU2894" s="22"/>
      <c r="AV2894" s="22"/>
      <c r="AW2894" s="22"/>
      <c r="AX2894" s="22"/>
      <c r="AY2894" s="22"/>
      <c r="AZ2894" s="22"/>
      <c r="BA2894" s="22"/>
      <c r="BB2894" s="22"/>
    </row>
    <row r="2895" spans="5:54" x14ac:dyDescent="0.35"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2"/>
      <c r="T2895" s="22"/>
      <c r="U2895" s="22"/>
      <c r="V2895" s="22"/>
      <c r="W2895" s="22"/>
      <c r="X2895" s="22"/>
      <c r="Y2895" s="22"/>
      <c r="Z2895" s="22"/>
      <c r="AA2895" s="22"/>
      <c r="AB2895" s="22"/>
      <c r="AC2895" s="22"/>
      <c r="AD2895" s="22"/>
      <c r="AE2895" s="22"/>
      <c r="AF2895" s="22"/>
      <c r="AG2895" s="22"/>
      <c r="AH2895" s="22"/>
      <c r="AI2895" s="22"/>
      <c r="AJ2895" s="22"/>
      <c r="AK2895" s="22"/>
      <c r="AL2895" s="22"/>
      <c r="AM2895" s="22"/>
      <c r="AN2895" s="22"/>
      <c r="AO2895" s="22"/>
      <c r="AP2895" s="22"/>
      <c r="AQ2895" s="22"/>
      <c r="AR2895" s="22"/>
      <c r="AS2895" s="22"/>
      <c r="AT2895" s="22"/>
      <c r="AU2895" s="22"/>
      <c r="AV2895" s="22"/>
      <c r="AW2895" s="22"/>
      <c r="AX2895" s="22"/>
      <c r="AY2895" s="22"/>
      <c r="AZ2895" s="22"/>
      <c r="BA2895" s="22"/>
      <c r="BB2895" s="22"/>
    </row>
    <row r="2896" spans="5:54" x14ac:dyDescent="0.35"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2"/>
      <c r="T2896" s="22"/>
      <c r="U2896" s="22"/>
      <c r="V2896" s="22"/>
      <c r="W2896" s="22"/>
      <c r="X2896" s="22"/>
      <c r="Y2896" s="22"/>
      <c r="Z2896" s="22"/>
      <c r="AA2896" s="22"/>
      <c r="AB2896" s="22"/>
      <c r="AC2896" s="22"/>
      <c r="AD2896" s="22"/>
      <c r="AE2896" s="22"/>
      <c r="AF2896" s="22"/>
      <c r="AG2896" s="22"/>
      <c r="AH2896" s="22"/>
      <c r="AI2896" s="22"/>
      <c r="AJ2896" s="22"/>
      <c r="AK2896" s="22"/>
      <c r="AL2896" s="22"/>
      <c r="AM2896" s="22"/>
      <c r="AN2896" s="22"/>
      <c r="AO2896" s="22"/>
      <c r="AP2896" s="22"/>
      <c r="AQ2896" s="22"/>
      <c r="AR2896" s="22"/>
      <c r="AS2896" s="22"/>
      <c r="AT2896" s="22"/>
      <c r="AU2896" s="22"/>
      <c r="AV2896" s="22"/>
      <c r="AW2896" s="22"/>
      <c r="AX2896" s="22"/>
      <c r="AY2896" s="22"/>
      <c r="AZ2896" s="22"/>
      <c r="BA2896" s="22"/>
      <c r="BB2896" s="22"/>
    </row>
    <row r="2897" spans="5:54" x14ac:dyDescent="0.35"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2"/>
      <c r="T2897" s="22"/>
      <c r="U2897" s="22"/>
      <c r="V2897" s="22"/>
      <c r="W2897" s="22"/>
      <c r="X2897" s="22"/>
      <c r="Y2897" s="22"/>
      <c r="Z2897" s="22"/>
      <c r="AA2897" s="22"/>
      <c r="AB2897" s="22"/>
      <c r="AC2897" s="22"/>
      <c r="AD2897" s="22"/>
      <c r="AE2897" s="22"/>
      <c r="AF2897" s="22"/>
      <c r="AG2897" s="22"/>
      <c r="AH2897" s="22"/>
      <c r="AI2897" s="22"/>
      <c r="AJ2897" s="22"/>
      <c r="AK2897" s="22"/>
      <c r="AL2897" s="22"/>
      <c r="AM2897" s="22"/>
      <c r="AN2897" s="22"/>
      <c r="AO2897" s="22"/>
      <c r="AP2897" s="22"/>
      <c r="AQ2897" s="22"/>
      <c r="AR2897" s="22"/>
      <c r="AS2897" s="22"/>
      <c r="AT2897" s="22"/>
      <c r="AU2897" s="22"/>
      <c r="AV2897" s="22"/>
      <c r="AW2897" s="22"/>
      <c r="AX2897" s="22"/>
      <c r="AY2897" s="22"/>
      <c r="AZ2897" s="22"/>
      <c r="BA2897" s="22"/>
      <c r="BB2897" s="22"/>
    </row>
    <row r="2898" spans="5:54" x14ac:dyDescent="0.35"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2"/>
      <c r="T2898" s="22"/>
      <c r="U2898" s="22"/>
      <c r="V2898" s="22"/>
      <c r="W2898" s="22"/>
      <c r="X2898" s="22"/>
      <c r="Y2898" s="22"/>
      <c r="Z2898" s="22"/>
      <c r="AA2898" s="22"/>
      <c r="AB2898" s="22"/>
      <c r="AC2898" s="22"/>
      <c r="AD2898" s="22"/>
      <c r="AE2898" s="22"/>
      <c r="AF2898" s="22"/>
      <c r="AG2898" s="22"/>
      <c r="AH2898" s="22"/>
      <c r="AI2898" s="22"/>
      <c r="AJ2898" s="22"/>
      <c r="AK2898" s="22"/>
      <c r="AL2898" s="22"/>
      <c r="AM2898" s="22"/>
      <c r="AN2898" s="22"/>
      <c r="AO2898" s="22"/>
      <c r="AP2898" s="22"/>
      <c r="AQ2898" s="22"/>
      <c r="AR2898" s="22"/>
      <c r="AS2898" s="22"/>
      <c r="AT2898" s="22"/>
      <c r="AU2898" s="22"/>
      <c r="AV2898" s="22"/>
      <c r="AW2898" s="22"/>
      <c r="AX2898" s="22"/>
      <c r="AY2898" s="22"/>
      <c r="AZ2898" s="22"/>
      <c r="BA2898" s="22"/>
      <c r="BB2898" s="22"/>
    </row>
    <row r="2899" spans="5:54" x14ac:dyDescent="0.35"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2"/>
      <c r="T2899" s="22"/>
      <c r="U2899" s="22"/>
      <c r="V2899" s="22"/>
      <c r="W2899" s="22"/>
      <c r="X2899" s="22"/>
      <c r="Y2899" s="22"/>
      <c r="Z2899" s="22"/>
      <c r="AA2899" s="22"/>
      <c r="AB2899" s="22"/>
      <c r="AC2899" s="22"/>
      <c r="AD2899" s="22"/>
      <c r="AE2899" s="22"/>
      <c r="AF2899" s="22"/>
      <c r="AG2899" s="22"/>
      <c r="AH2899" s="22"/>
      <c r="AI2899" s="22"/>
      <c r="AJ2899" s="22"/>
      <c r="AK2899" s="22"/>
      <c r="AL2899" s="22"/>
      <c r="AM2899" s="22"/>
      <c r="AN2899" s="22"/>
      <c r="AO2899" s="22"/>
      <c r="AP2899" s="22"/>
      <c r="AQ2899" s="22"/>
      <c r="AR2899" s="22"/>
      <c r="AS2899" s="22"/>
      <c r="AT2899" s="22"/>
      <c r="AU2899" s="22"/>
      <c r="AV2899" s="22"/>
      <c r="AW2899" s="22"/>
      <c r="AX2899" s="22"/>
      <c r="AY2899" s="22"/>
      <c r="AZ2899" s="22"/>
      <c r="BA2899" s="22"/>
      <c r="BB2899" s="22"/>
    </row>
    <row r="2900" spans="5:54" x14ac:dyDescent="0.35"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2"/>
      <c r="T2900" s="22"/>
      <c r="U2900" s="22"/>
      <c r="V2900" s="22"/>
      <c r="W2900" s="22"/>
      <c r="X2900" s="22"/>
      <c r="Y2900" s="22"/>
      <c r="Z2900" s="22"/>
      <c r="AA2900" s="22"/>
      <c r="AB2900" s="22"/>
      <c r="AC2900" s="22"/>
      <c r="AD2900" s="22"/>
      <c r="AE2900" s="22"/>
      <c r="AF2900" s="22"/>
      <c r="AG2900" s="22"/>
      <c r="AH2900" s="22"/>
      <c r="AI2900" s="22"/>
      <c r="AJ2900" s="22"/>
      <c r="AK2900" s="22"/>
      <c r="AL2900" s="22"/>
      <c r="AM2900" s="22"/>
      <c r="AN2900" s="22"/>
      <c r="AO2900" s="22"/>
      <c r="AP2900" s="22"/>
      <c r="AQ2900" s="22"/>
      <c r="AR2900" s="22"/>
      <c r="AS2900" s="22"/>
      <c r="AT2900" s="22"/>
      <c r="AU2900" s="22"/>
      <c r="AV2900" s="22"/>
      <c r="AW2900" s="22"/>
      <c r="AX2900" s="22"/>
      <c r="AY2900" s="22"/>
      <c r="AZ2900" s="22"/>
      <c r="BA2900" s="22"/>
      <c r="BB2900" s="22"/>
    </row>
    <row r="2901" spans="5:54" x14ac:dyDescent="0.35"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2"/>
      <c r="T2901" s="22"/>
      <c r="U2901" s="22"/>
      <c r="V2901" s="22"/>
      <c r="W2901" s="22"/>
      <c r="X2901" s="22"/>
      <c r="Y2901" s="22"/>
      <c r="Z2901" s="22"/>
      <c r="AA2901" s="22"/>
      <c r="AB2901" s="22"/>
      <c r="AC2901" s="22"/>
      <c r="AD2901" s="22"/>
      <c r="AE2901" s="22"/>
      <c r="AF2901" s="22"/>
      <c r="AG2901" s="22"/>
      <c r="AH2901" s="22"/>
      <c r="AI2901" s="22"/>
      <c r="AJ2901" s="22"/>
      <c r="AK2901" s="22"/>
      <c r="AL2901" s="22"/>
      <c r="AM2901" s="22"/>
      <c r="AN2901" s="22"/>
      <c r="AO2901" s="22"/>
      <c r="AP2901" s="22"/>
      <c r="AQ2901" s="22"/>
      <c r="AR2901" s="22"/>
      <c r="AS2901" s="22"/>
      <c r="AT2901" s="22"/>
      <c r="AU2901" s="22"/>
      <c r="AV2901" s="22"/>
      <c r="AW2901" s="22"/>
      <c r="AX2901" s="22"/>
      <c r="AY2901" s="22"/>
      <c r="AZ2901" s="22"/>
      <c r="BA2901" s="22"/>
      <c r="BB2901" s="22"/>
    </row>
    <row r="2902" spans="5:54" x14ac:dyDescent="0.35"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2"/>
      <c r="T2902" s="22"/>
      <c r="U2902" s="22"/>
      <c r="V2902" s="22"/>
      <c r="W2902" s="22"/>
      <c r="X2902" s="22"/>
      <c r="Y2902" s="22"/>
      <c r="Z2902" s="22"/>
      <c r="AA2902" s="22"/>
      <c r="AB2902" s="22"/>
      <c r="AC2902" s="22"/>
      <c r="AD2902" s="22"/>
      <c r="AE2902" s="22"/>
      <c r="AF2902" s="22"/>
      <c r="AG2902" s="22"/>
      <c r="AH2902" s="22"/>
      <c r="AI2902" s="22"/>
      <c r="AJ2902" s="22"/>
      <c r="AK2902" s="22"/>
      <c r="AL2902" s="22"/>
      <c r="AM2902" s="22"/>
      <c r="AN2902" s="22"/>
      <c r="AO2902" s="22"/>
      <c r="AP2902" s="22"/>
      <c r="AQ2902" s="22"/>
      <c r="AR2902" s="22"/>
      <c r="AS2902" s="22"/>
      <c r="AT2902" s="22"/>
      <c r="AU2902" s="22"/>
      <c r="AV2902" s="22"/>
      <c r="AW2902" s="22"/>
      <c r="AX2902" s="22"/>
      <c r="AY2902" s="22"/>
      <c r="AZ2902" s="22"/>
      <c r="BA2902" s="22"/>
      <c r="BB2902" s="22"/>
    </row>
    <row r="2903" spans="5:54" x14ac:dyDescent="0.35"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2"/>
      <c r="T2903" s="22"/>
      <c r="U2903" s="22"/>
      <c r="V2903" s="22"/>
      <c r="W2903" s="22"/>
      <c r="X2903" s="22"/>
      <c r="Y2903" s="22"/>
      <c r="Z2903" s="22"/>
      <c r="AA2903" s="22"/>
      <c r="AB2903" s="22"/>
      <c r="AC2903" s="22"/>
      <c r="AD2903" s="22"/>
      <c r="AE2903" s="22"/>
      <c r="AF2903" s="22"/>
      <c r="AG2903" s="22"/>
      <c r="AH2903" s="22"/>
      <c r="AI2903" s="22"/>
      <c r="AJ2903" s="22"/>
      <c r="AK2903" s="22"/>
      <c r="AL2903" s="22"/>
      <c r="AM2903" s="22"/>
      <c r="AN2903" s="22"/>
      <c r="AO2903" s="22"/>
      <c r="AP2903" s="22"/>
      <c r="AQ2903" s="22"/>
      <c r="AR2903" s="22"/>
      <c r="AS2903" s="22"/>
      <c r="AT2903" s="22"/>
      <c r="AU2903" s="22"/>
      <c r="AV2903" s="22"/>
      <c r="AW2903" s="22"/>
      <c r="AX2903" s="22"/>
      <c r="AY2903" s="22"/>
      <c r="AZ2903" s="22"/>
      <c r="BA2903" s="22"/>
      <c r="BB2903" s="22"/>
    </row>
    <row r="2904" spans="5:54" x14ac:dyDescent="0.35"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2"/>
      <c r="T2904" s="22"/>
      <c r="U2904" s="22"/>
      <c r="V2904" s="22"/>
      <c r="W2904" s="22"/>
      <c r="X2904" s="22"/>
      <c r="Y2904" s="22"/>
      <c r="Z2904" s="22"/>
      <c r="AA2904" s="22"/>
      <c r="AB2904" s="22"/>
      <c r="AC2904" s="22"/>
      <c r="AD2904" s="22"/>
      <c r="AE2904" s="22"/>
      <c r="AF2904" s="22"/>
      <c r="AG2904" s="22"/>
      <c r="AH2904" s="22"/>
      <c r="AI2904" s="22"/>
      <c r="AJ2904" s="22"/>
      <c r="AK2904" s="22"/>
      <c r="AL2904" s="22"/>
      <c r="AM2904" s="22"/>
      <c r="AN2904" s="22"/>
      <c r="AO2904" s="22"/>
      <c r="AP2904" s="22"/>
      <c r="AQ2904" s="22"/>
      <c r="AR2904" s="22"/>
      <c r="AS2904" s="22"/>
      <c r="AT2904" s="22"/>
      <c r="AU2904" s="22"/>
      <c r="AV2904" s="22"/>
      <c r="AW2904" s="22"/>
      <c r="AX2904" s="22"/>
      <c r="AY2904" s="22"/>
      <c r="AZ2904" s="22"/>
      <c r="BA2904" s="22"/>
      <c r="BB2904" s="22"/>
    </row>
    <row r="2905" spans="5:54" x14ac:dyDescent="0.35"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2"/>
      <c r="T2905" s="22"/>
      <c r="U2905" s="22"/>
      <c r="V2905" s="22"/>
      <c r="W2905" s="22"/>
      <c r="X2905" s="22"/>
      <c r="Y2905" s="22"/>
      <c r="Z2905" s="22"/>
      <c r="AA2905" s="22"/>
      <c r="AB2905" s="22"/>
      <c r="AC2905" s="22"/>
      <c r="AD2905" s="22"/>
      <c r="AE2905" s="22"/>
      <c r="AF2905" s="22"/>
      <c r="AG2905" s="22"/>
      <c r="AH2905" s="22"/>
      <c r="AI2905" s="22"/>
      <c r="AJ2905" s="22"/>
      <c r="AK2905" s="22"/>
      <c r="AL2905" s="22"/>
      <c r="AM2905" s="22"/>
      <c r="AN2905" s="22"/>
      <c r="AO2905" s="22"/>
      <c r="AP2905" s="22"/>
      <c r="AQ2905" s="22"/>
      <c r="AR2905" s="22"/>
      <c r="AS2905" s="22"/>
      <c r="AT2905" s="22"/>
      <c r="AU2905" s="22"/>
      <c r="AV2905" s="22"/>
      <c r="AW2905" s="22"/>
      <c r="AX2905" s="22"/>
      <c r="AY2905" s="22"/>
      <c r="AZ2905" s="22"/>
      <c r="BA2905" s="22"/>
      <c r="BB2905" s="22"/>
    </row>
    <row r="2906" spans="5:54" x14ac:dyDescent="0.35"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2"/>
      <c r="T2906" s="22"/>
      <c r="U2906" s="22"/>
      <c r="V2906" s="22"/>
      <c r="W2906" s="22"/>
      <c r="X2906" s="22"/>
      <c r="Y2906" s="22"/>
      <c r="Z2906" s="22"/>
      <c r="AA2906" s="22"/>
      <c r="AB2906" s="22"/>
      <c r="AC2906" s="22"/>
      <c r="AD2906" s="22"/>
      <c r="AE2906" s="22"/>
      <c r="AF2906" s="22"/>
      <c r="AG2906" s="22"/>
      <c r="AH2906" s="22"/>
      <c r="AI2906" s="22"/>
      <c r="AJ2906" s="22"/>
      <c r="AK2906" s="22"/>
      <c r="AL2906" s="22"/>
      <c r="AM2906" s="22"/>
      <c r="AN2906" s="22"/>
      <c r="AO2906" s="22"/>
      <c r="AP2906" s="22"/>
      <c r="AQ2906" s="22"/>
      <c r="AR2906" s="22"/>
      <c r="AS2906" s="22"/>
      <c r="AT2906" s="22"/>
      <c r="AU2906" s="22"/>
      <c r="AV2906" s="22"/>
      <c r="AW2906" s="22"/>
      <c r="AX2906" s="22"/>
      <c r="AY2906" s="22"/>
      <c r="AZ2906" s="22"/>
      <c r="BA2906" s="22"/>
      <c r="BB2906" s="22"/>
    </row>
    <row r="2907" spans="5:54" x14ac:dyDescent="0.35"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2"/>
      <c r="T2907" s="22"/>
      <c r="U2907" s="22"/>
      <c r="V2907" s="22"/>
      <c r="W2907" s="22"/>
      <c r="X2907" s="22"/>
      <c r="Y2907" s="22"/>
      <c r="Z2907" s="22"/>
      <c r="AA2907" s="22"/>
      <c r="AB2907" s="22"/>
      <c r="AC2907" s="22"/>
      <c r="AD2907" s="22"/>
      <c r="AE2907" s="22"/>
      <c r="AF2907" s="22"/>
      <c r="AG2907" s="22"/>
      <c r="AH2907" s="22"/>
      <c r="AI2907" s="22"/>
      <c r="AJ2907" s="22"/>
      <c r="AK2907" s="22"/>
      <c r="AL2907" s="22"/>
      <c r="AM2907" s="22"/>
      <c r="AN2907" s="22"/>
      <c r="AO2907" s="22"/>
      <c r="AP2907" s="22"/>
      <c r="AQ2907" s="22"/>
      <c r="AR2907" s="22"/>
      <c r="AS2907" s="22"/>
      <c r="AT2907" s="22"/>
      <c r="AU2907" s="22"/>
      <c r="AV2907" s="22"/>
      <c r="AW2907" s="22"/>
      <c r="AX2907" s="22"/>
      <c r="AY2907" s="22"/>
      <c r="AZ2907" s="22"/>
      <c r="BA2907" s="22"/>
      <c r="BB2907" s="22"/>
    </row>
    <row r="2908" spans="5:54" x14ac:dyDescent="0.35"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2"/>
      <c r="T2908" s="22"/>
      <c r="U2908" s="22"/>
      <c r="V2908" s="22"/>
      <c r="W2908" s="22"/>
      <c r="X2908" s="22"/>
      <c r="Y2908" s="22"/>
      <c r="Z2908" s="22"/>
      <c r="AA2908" s="22"/>
      <c r="AB2908" s="22"/>
      <c r="AC2908" s="22"/>
      <c r="AD2908" s="22"/>
      <c r="AE2908" s="22"/>
      <c r="AF2908" s="22"/>
      <c r="AG2908" s="22"/>
      <c r="AH2908" s="22"/>
      <c r="AI2908" s="22"/>
      <c r="AJ2908" s="22"/>
      <c r="AK2908" s="22"/>
      <c r="AL2908" s="22"/>
      <c r="AM2908" s="22"/>
      <c r="AN2908" s="22"/>
      <c r="AO2908" s="22"/>
      <c r="AP2908" s="22"/>
      <c r="AQ2908" s="22"/>
      <c r="AR2908" s="22"/>
      <c r="AS2908" s="22"/>
      <c r="AT2908" s="22"/>
      <c r="AU2908" s="22"/>
      <c r="AV2908" s="22"/>
      <c r="AW2908" s="22"/>
      <c r="AX2908" s="22"/>
      <c r="AY2908" s="22"/>
      <c r="AZ2908" s="22"/>
      <c r="BA2908" s="22"/>
      <c r="BB2908" s="22"/>
    </row>
    <row r="2909" spans="5:54" x14ac:dyDescent="0.35"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2"/>
      <c r="T2909" s="22"/>
      <c r="U2909" s="22"/>
      <c r="V2909" s="22"/>
      <c r="W2909" s="22"/>
      <c r="X2909" s="22"/>
      <c r="Y2909" s="22"/>
      <c r="Z2909" s="22"/>
      <c r="AA2909" s="22"/>
      <c r="AB2909" s="22"/>
      <c r="AC2909" s="22"/>
      <c r="AD2909" s="22"/>
      <c r="AE2909" s="22"/>
      <c r="AF2909" s="22"/>
      <c r="AG2909" s="22"/>
      <c r="AH2909" s="22"/>
      <c r="AI2909" s="22"/>
      <c r="AJ2909" s="22"/>
      <c r="AK2909" s="22"/>
      <c r="AL2909" s="22"/>
      <c r="AM2909" s="22"/>
      <c r="AN2909" s="22"/>
      <c r="AO2909" s="22"/>
      <c r="AP2909" s="22"/>
      <c r="AQ2909" s="22"/>
      <c r="AR2909" s="22"/>
      <c r="AS2909" s="22"/>
      <c r="AT2909" s="22"/>
      <c r="AU2909" s="22"/>
      <c r="AV2909" s="22"/>
      <c r="AW2909" s="22"/>
      <c r="AX2909" s="22"/>
      <c r="AY2909" s="22"/>
      <c r="AZ2909" s="22"/>
      <c r="BA2909" s="22"/>
      <c r="BB2909" s="22"/>
    </row>
    <row r="2910" spans="5:54" x14ac:dyDescent="0.35"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2"/>
      <c r="T2910" s="22"/>
      <c r="U2910" s="22"/>
      <c r="V2910" s="22"/>
      <c r="W2910" s="22"/>
      <c r="X2910" s="22"/>
      <c r="Y2910" s="22"/>
      <c r="Z2910" s="22"/>
      <c r="AA2910" s="22"/>
      <c r="AB2910" s="22"/>
      <c r="AC2910" s="22"/>
      <c r="AD2910" s="22"/>
      <c r="AE2910" s="22"/>
      <c r="AF2910" s="22"/>
      <c r="AG2910" s="22"/>
      <c r="AH2910" s="22"/>
      <c r="AI2910" s="22"/>
      <c r="AJ2910" s="22"/>
      <c r="AK2910" s="22"/>
      <c r="AL2910" s="22"/>
      <c r="AM2910" s="22"/>
      <c r="AN2910" s="22"/>
      <c r="AO2910" s="22"/>
      <c r="AP2910" s="22"/>
      <c r="AQ2910" s="22"/>
      <c r="AR2910" s="22"/>
      <c r="AS2910" s="22"/>
      <c r="AT2910" s="22"/>
      <c r="AU2910" s="22"/>
      <c r="AV2910" s="22"/>
      <c r="AW2910" s="22"/>
      <c r="AX2910" s="22"/>
      <c r="AY2910" s="22"/>
      <c r="AZ2910" s="22"/>
      <c r="BA2910" s="22"/>
      <c r="BB2910" s="22"/>
    </row>
    <row r="2911" spans="5:54" x14ac:dyDescent="0.35"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2"/>
      <c r="T2911" s="22"/>
      <c r="U2911" s="22"/>
      <c r="V2911" s="22"/>
      <c r="W2911" s="22"/>
      <c r="X2911" s="22"/>
      <c r="Y2911" s="22"/>
      <c r="Z2911" s="22"/>
      <c r="AA2911" s="22"/>
      <c r="AB2911" s="22"/>
      <c r="AC2911" s="22"/>
      <c r="AD2911" s="22"/>
      <c r="AE2911" s="22"/>
      <c r="AF2911" s="22"/>
      <c r="AG2911" s="22"/>
      <c r="AH2911" s="22"/>
      <c r="AI2911" s="22"/>
      <c r="AJ2911" s="22"/>
      <c r="AK2911" s="22"/>
      <c r="AL2911" s="22"/>
      <c r="AM2911" s="22"/>
      <c r="AN2911" s="22"/>
      <c r="AO2911" s="22"/>
      <c r="AP2911" s="22"/>
      <c r="AQ2911" s="22"/>
      <c r="AR2911" s="22"/>
      <c r="AS2911" s="22"/>
      <c r="AT2911" s="22"/>
      <c r="AU2911" s="22"/>
      <c r="AV2911" s="22"/>
      <c r="AW2911" s="22"/>
      <c r="AX2911" s="22"/>
      <c r="AY2911" s="22"/>
      <c r="AZ2911" s="22"/>
      <c r="BA2911" s="22"/>
      <c r="BB2911" s="22"/>
    </row>
    <row r="2912" spans="5:54" x14ac:dyDescent="0.35"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2"/>
      <c r="T2912" s="22"/>
      <c r="U2912" s="22"/>
      <c r="V2912" s="22"/>
      <c r="W2912" s="22"/>
      <c r="X2912" s="22"/>
      <c r="Y2912" s="22"/>
      <c r="Z2912" s="22"/>
      <c r="AA2912" s="22"/>
      <c r="AB2912" s="22"/>
      <c r="AC2912" s="22"/>
      <c r="AD2912" s="22"/>
      <c r="AE2912" s="22"/>
      <c r="AF2912" s="22"/>
      <c r="AG2912" s="22"/>
      <c r="AH2912" s="22"/>
      <c r="AI2912" s="22"/>
      <c r="AJ2912" s="22"/>
      <c r="AK2912" s="22"/>
      <c r="AL2912" s="22"/>
      <c r="AM2912" s="22"/>
      <c r="AN2912" s="22"/>
      <c r="AO2912" s="22"/>
      <c r="AP2912" s="22"/>
      <c r="AQ2912" s="22"/>
      <c r="AR2912" s="22"/>
      <c r="AS2912" s="22"/>
      <c r="AT2912" s="22"/>
      <c r="AU2912" s="22"/>
      <c r="AV2912" s="22"/>
      <c r="AW2912" s="22"/>
      <c r="AX2912" s="22"/>
      <c r="AY2912" s="22"/>
      <c r="AZ2912" s="22"/>
      <c r="BA2912" s="22"/>
      <c r="BB2912" s="22"/>
    </row>
    <row r="2913" spans="5:54" x14ac:dyDescent="0.35"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2"/>
      <c r="T2913" s="22"/>
      <c r="U2913" s="22"/>
      <c r="V2913" s="22"/>
      <c r="W2913" s="22"/>
      <c r="X2913" s="22"/>
      <c r="Y2913" s="22"/>
      <c r="Z2913" s="22"/>
      <c r="AA2913" s="22"/>
      <c r="AB2913" s="22"/>
      <c r="AC2913" s="22"/>
      <c r="AD2913" s="22"/>
      <c r="AE2913" s="22"/>
      <c r="AF2913" s="22"/>
      <c r="AG2913" s="22"/>
      <c r="AH2913" s="22"/>
      <c r="AI2913" s="22"/>
      <c r="AJ2913" s="22"/>
      <c r="AK2913" s="22"/>
      <c r="AL2913" s="22"/>
      <c r="AM2913" s="22"/>
      <c r="AN2913" s="22"/>
      <c r="AO2913" s="22"/>
      <c r="AP2913" s="22"/>
      <c r="AQ2913" s="22"/>
      <c r="AR2913" s="22"/>
      <c r="AS2913" s="22"/>
      <c r="AT2913" s="22"/>
      <c r="AU2913" s="22"/>
      <c r="AV2913" s="22"/>
      <c r="AW2913" s="22"/>
      <c r="AX2913" s="22"/>
      <c r="AY2913" s="22"/>
      <c r="AZ2913" s="22"/>
      <c r="BA2913" s="22"/>
      <c r="BB2913" s="22"/>
    </row>
    <row r="2914" spans="5:54" x14ac:dyDescent="0.35"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2"/>
      <c r="T2914" s="22"/>
      <c r="U2914" s="22"/>
      <c r="V2914" s="22"/>
      <c r="W2914" s="22"/>
      <c r="X2914" s="22"/>
      <c r="Y2914" s="22"/>
      <c r="Z2914" s="22"/>
      <c r="AA2914" s="22"/>
      <c r="AB2914" s="22"/>
      <c r="AC2914" s="22"/>
      <c r="AD2914" s="22"/>
      <c r="AE2914" s="22"/>
      <c r="AF2914" s="22"/>
      <c r="AG2914" s="22"/>
      <c r="AH2914" s="22"/>
      <c r="AI2914" s="22"/>
      <c r="AJ2914" s="22"/>
      <c r="AK2914" s="22"/>
      <c r="AL2914" s="22"/>
      <c r="AM2914" s="22"/>
      <c r="AN2914" s="22"/>
      <c r="AO2914" s="22"/>
      <c r="AP2914" s="22"/>
      <c r="AQ2914" s="22"/>
      <c r="AR2914" s="22"/>
      <c r="AS2914" s="22"/>
      <c r="AT2914" s="22"/>
      <c r="AU2914" s="22"/>
      <c r="AV2914" s="22"/>
      <c r="AW2914" s="22"/>
      <c r="AX2914" s="22"/>
      <c r="AY2914" s="22"/>
      <c r="AZ2914" s="22"/>
      <c r="BA2914" s="22"/>
      <c r="BB2914" s="22"/>
    </row>
    <row r="2915" spans="5:54" x14ac:dyDescent="0.35"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2"/>
      <c r="T2915" s="22"/>
      <c r="U2915" s="22"/>
      <c r="V2915" s="22"/>
      <c r="W2915" s="22"/>
      <c r="X2915" s="22"/>
      <c r="Y2915" s="22"/>
      <c r="Z2915" s="22"/>
      <c r="AA2915" s="22"/>
      <c r="AB2915" s="22"/>
      <c r="AC2915" s="22"/>
      <c r="AD2915" s="22"/>
      <c r="AE2915" s="22"/>
      <c r="AF2915" s="22"/>
      <c r="AG2915" s="22"/>
      <c r="AH2915" s="22"/>
      <c r="AI2915" s="22"/>
      <c r="AJ2915" s="22"/>
      <c r="AK2915" s="22"/>
      <c r="AL2915" s="22"/>
      <c r="AM2915" s="22"/>
      <c r="AN2915" s="22"/>
      <c r="AO2915" s="22"/>
      <c r="AP2915" s="22"/>
      <c r="AQ2915" s="22"/>
      <c r="AR2915" s="22"/>
      <c r="AS2915" s="22"/>
      <c r="AT2915" s="22"/>
      <c r="AU2915" s="22"/>
      <c r="AV2915" s="22"/>
      <c r="AW2915" s="22"/>
      <c r="AX2915" s="22"/>
      <c r="AY2915" s="22"/>
      <c r="AZ2915" s="22"/>
      <c r="BA2915" s="22"/>
      <c r="BB2915" s="22"/>
    </row>
    <row r="2916" spans="5:54" x14ac:dyDescent="0.35"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2"/>
      <c r="T2916" s="22"/>
      <c r="U2916" s="22"/>
      <c r="V2916" s="22"/>
      <c r="W2916" s="22"/>
      <c r="X2916" s="22"/>
      <c r="Y2916" s="22"/>
      <c r="Z2916" s="22"/>
      <c r="AA2916" s="22"/>
      <c r="AB2916" s="22"/>
      <c r="AC2916" s="22"/>
      <c r="AD2916" s="22"/>
      <c r="AE2916" s="22"/>
      <c r="AF2916" s="22"/>
      <c r="AG2916" s="22"/>
      <c r="AH2916" s="22"/>
      <c r="AI2916" s="22"/>
      <c r="AJ2916" s="22"/>
      <c r="AK2916" s="22"/>
      <c r="AL2916" s="22"/>
      <c r="AM2916" s="22"/>
      <c r="AN2916" s="22"/>
      <c r="AO2916" s="22"/>
      <c r="AP2916" s="22"/>
      <c r="AQ2916" s="22"/>
      <c r="AR2916" s="22"/>
      <c r="AS2916" s="22"/>
      <c r="AT2916" s="22"/>
      <c r="AU2916" s="22"/>
      <c r="AV2916" s="22"/>
      <c r="AW2916" s="22"/>
      <c r="AX2916" s="22"/>
      <c r="AY2916" s="22"/>
      <c r="AZ2916" s="22"/>
      <c r="BA2916" s="22"/>
      <c r="BB2916" s="22"/>
    </row>
    <row r="2917" spans="5:54" x14ac:dyDescent="0.35"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2"/>
      <c r="T2917" s="22"/>
      <c r="U2917" s="22"/>
      <c r="V2917" s="22"/>
      <c r="W2917" s="22"/>
      <c r="X2917" s="22"/>
      <c r="Y2917" s="22"/>
      <c r="Z2917" s="22"/>
      <c r="AA2917" s="22"/>
      <c r="AB2917" s="22"/>
      <c r="AC2917" s="22"/>
      <c r="AD2917" s="22"/>
      <c r="AE2917" s="22"/>
      <c r="AF2917" s="22"/>
      <c r="AG2917" s="22"/>
      <c r="AH2917" s="22"/>
      <c r="AI2917" s="22"/>
      <c r="AJ2917" s="22"/>
      <c r="AK2917" s="22"/>
      <c r="AL2917" s="22"/>
      <c r="AM2917" s="22"/>
      <c r="AN2917" s="22"/>
      <c r="AO2917" s="22"/>
      <c r="AP2917" s="22"/>
      <c r="AQ2917" s="22"/>
      <c r="AR2917" s="22"/>
      <c r="AS2917" s="22"/>
      <c r="AT2917" s="22"/>
      <c r="AU2917" s="22"/>
      <c r="AV2917" s="22"/>
      <c r="AW2917" s="22"/>
      <c r="AX2917" s="22"/>
      <c r="AY2917" s="22"/>
      <c r="AZ2917" s="22"/>
      <c r="BA2917" s="22"/>
      <c r="BB2917" s="22"/>
    </row>
    <row r="2918" spans="5:54" x14ac:dyDescent="0.35"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2"/>
      <c r="T2918" s="22"/>
      <c r="U2918" s="22"/>
      <c r="V2918" s="22"/>
      <c r="W2918" s="22"/>
      <c r="X2918" s="22"/>
      <c r="Y2918" s="22"/>
      <c r="Z2918" s="22"/>
      <c r="AA2918" s="22"/>
      <c r="AB2918" s="22"/>
      <c r="AC2918" s="22"/>
      <c r="AD2918" s="22"/>
      <c r="AE2918" s="22"/>
      <c r="AF2918" s="22"/>
      <c r="AG2918" s="22"/>
      <c r="AH2918" s="22"/>
      <c r="AI2918" s="22"/>
      <c r="AJ2918" s="22"/>
      <c r="AK2918" s="22"/>
      <c r="AL2918" s="22"/>
      <c r="AM2918" s="22"/>
      <c r="AN2918" s="22"/>
      <c r="AO2918" s="22"/>
      <c r="AP2918" s="22"/>
      <c r="AQ2918" s="22"/>
      <c r="AR2918" s="22"/>
      <c r="AS2918" s="22"/>
      <c r="AT2918" s="22"/>
      <c r="AU2918" s="22"/>
      <c r="AV2918" s="22"/>
      <c r="AW2918" s="22"/>
      <c r="AX2918" s="22"/>
      <c r="AY2918" s="22"/>
      <c r="AZ2918" s="22"/>
      <c r="BA2918" s="22"/>
      <c r="BB2918" s="22"/>
    </row>
    <row r="2919" spans="5:54" x14ac:dyDescent="0.35"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2"/>
      <c r="T2919" s="22"/>
      <c r="U2919" s="22"/>
      <c r="V2919" s="22"/>
      <c r="W2919" s="22"/>
      <c r="X2919" s="22"/>
      <c r="Y2919" s="22"/>
      <c r="Z2919" s="22"/>
      <c r="AA2919" s="22"/>
      <c r="AB2919" s="22"/>
      <c r="AC2919" s="22"/>
      <c r="AD2919" s="22"/>
      <c r="AE2919" s="22"/>
      <c r="AF2919" s="22"/>
      <c r="AG2919" s="22"/>
      <c r="AH2919" s="22"/>
      <c r="AI2919" s="22"/>
      <c r="AJ2919" s="22"/>
      <c r="AK2919" s="22"/>
      <c r="AL2919" s="22"/>
      <c r="AM2919" s="22"/>
      <c r="AN2919" s="22"/>
      <c r="AO2919" s="22"/>
      <c r="AP2919" s="22"/>
      <c r="AQ2919" s="22"/>
      <c r="AR2919" s="22"/>
      <c r="AS2919" s="22"/>
      <c r="AT2919" s="22"/>
      <c r="AU2919" s="22"/>
      <c r="AV2919" s="22"/>
      <c r="AW2919" s="22"/>
      <c r="AX2919" s="22"/>
      <c r="AY2919" s="22"/>
      <c r="AZ2919" s="22"/>
      <c r="BA2919" s="22"/>
      <c r="BB2919" s="22"/>
    </row>
    <row r="2920" spans="5:54" x14ac:dyDescent="0.35"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2"/>
      <c r="T2920" s="22"/>
      <c r="U2920" s="22"/>
      <c r="V2920" s="22"/>
      <c r="W2920" s="22"/>
      <c r="X2920" s="22"/>
      <c r="Y2920" s="22"/>
      <c r="Z2920" s="22"/>
      <c r="AA2920" s="22"/>
      <c r="AB2920" s="22"/>
      <c r="AC2920" s="22"/>
      <c r="AD2920" s="22"/>
      <c r="AE2920" s="22"/>
      <c r="AF2920" s="22"/>
      <c r="AG2920" s="22"/>
      <c r="AH2920" s="22"/>
      <c r="AI2920" s="22"/>
      <c r="AJ2920" s="22"/>
      <c r="AK2920" s="22"/>
      <c r="AL2920" s="22"/>
      <c r="AM2920" s="22"/>
      <c r="AN2920" s="22"/>
      <c r="AO2920" s="22"/>
      <c r="AP2920" s="22"/>
      <c r="AQ2920" s="22"/>
      <c r="AR2920" s="22"/>
      <c r="AS2920" s="22"/>
      <c r="AT2920" s="22"/>
      <c r="AU2920" s="22"/>
      <c r="AV2920" s="22"/>
      <c r="AW2920" s="22"/>
      <c r="AX2920" s="22"/>
      <c r="AY2920" s="22"/>
      <c r="AZ2920" s="22"/>
      <c r="BA2920" s="22"/>
      <c r="BB2920" s="22"/>
    </row>
    <row r="2921" spans="5:54" x14ac:dyDescent="0.35"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2"/>
      <c r="T2921" s="22"/>
      <c r="U2921" s="22"/>
      <c r="V2921" s="22"/>
      <c r="W2921" s="22"/>
      <c r="X2921" s="22"/>
      <c r="Y2921" s="22"/>
      <c r="Z2921" s="22"/>
      <c r="AA2921" s="22"/>
      <c r="AB2921" s="22"/>
      <c r="AC2921" s="22"/>
      <c r="AD2921" s="22"/>
      <c r="AE2921" s="22"/>
      <c r="AF2921" s="22"/>
      <c r="AG2921" s="22"/>
      <c r="AH2921" s="22"/>
      <c r="AI2921" s="22"/>
      <c r="AJ2921" s="22"/>
      <c r="AK2921" s="22"/>
      <c r="AL2921" s="22"/>
      <c r="AM2921" s="22"/>
      <c r="AN2921" s="22"/>
      <c r="AO2921" s="22"/>
      <c r="AP2921" s="22"/>
      <c r="AQ2921" s="22"/>
      <c r="AR2921" s="22"/>
      <c r="AS2921" s="22"/>
      <c r="AT2921" s="22"/>
      <c r="AU2921" s="22"/>
      <c r="AV2921" s="22"/>
      <c r="AW2921" s="22"/>
      <c r="AX2921" s="22"/>
      <c r="AY2921" s="22"/>
      <c r="AZ2921" s="22"/>
      <c r="BA2921" s="22"/>
      <c r="BB2921" s="22"/>
    </row>
    <row r="2922" spans="5:54" x14ac:dyDescent="0.35"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2"/>
      <c r="T2922" s="22"/>
      <c r="U2922" s="22"/>
      <c r="V2922" s="22"/>
      <c r="W2922" s="22"/>
      <c r="X2922" s="22"/>
      <c r="Y2922" s="22"/>
      <c r="Z2922" s="22"/>
      <c r="AA2922" s="22"/>
      <c r="AB2922" s="22"/>
      <c r="AC2922" s="22"/>
      <c r="AD2922" s="22"/>
      <c r="AE2922" s="22"/>
      <c r="AF2922" s="22"/>
      <c r="AG2922" s="22"/>
      <c r="AH2922" s="22"/>
      <c r="AI2922" s="22"/>
      <c r="AJ2922" s="22"/>
      <c r="AK2922" s="22"/>
      <c r="AL2922" s="22"/>
      <c r="AM2922" s="22"/>
      <c r="AN2922" s="22"/>
      <c r="AO2922" s="22"/>
      <c r="AP2922" s="22"/>
      <c r="AQ2922" s="22"/>
      <c r="AR2922" s="22"/>
      <c r="AS2922" s="22"/>
      <c r="AT2922" s="22"/>
      <c r="AU2922" s="22"/>
      <c r="AV2922" s="22"/>
      <c r="AW2922" s="22"/>
      <c r="AX2922" s="22"/>
      <c r="AY2922" s="22"/>
      <c r="AZ2922" s="22"/>
      <c r="BA2922" s="22"/>
      <c r="BB2922" s="22"/>
    </row>
    <row r="2923" spans="5:54" x14ac:dyDescent="0.35"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2"/>
      <c r="T2923" s="22"/>
      <c r="U2923" s="22"/>
      <c r="V2923" s="22"/>
      <c r="W2923" s="22"/>
      <c r="X2923" s="22"/>
      <c r="Y2923" s="22"/>
      <c r="Z2923" s="22"/>
      <c r="AA2923" s="22"/>
      <c r="AB2923" s="22"/>
      <c r="AC2923" s="22"/>
      <c r="AD2923" s="22"/>
      <c r="AE2923" s="22"/>
      <c r="AF2923" s="22"/>
      <c r="AG2923" s="22"/>
      <c r="AH2923" s="22"/>
      <c r="AI2923" s="22"/>
      <c r="AJ2923" s="22"/>
      <c r="AK2923" s="22"/>
      <c r="AL2923" s="22"/>
      <c r="AM2923" s="22"/>
      <c r="AN2923" s="22"/>
      <c r="AO2923" s="22"/>
      <c r="AP2923" s="22"/>
      <c r="AQ2923" s="22"/>
      <c r="AR2923" s="22"/>
      <c r="AS2923" s="22"/>
      <c r="AT2923" s="22"/>
      <c r="AU2923" s="22"/>
      <c r="AV2923" s="22"/>
      <c r="AW2923" s="22"/>
      <c r="AX2923" s="22"/>
      <c r="AY2923" s="22"/>
      <c r="AZ2923" s="22"/>
      <c r="BA2923" s="22"/>
      <c r="BB2923" s="22"/>
    </row>
    <row r="2924" spans="5:54" x14ac:dyDescent="0.35"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2"/>
      <c r="T2924" s="22"/>
      <c r="U2924" s="22"/>
      <c r="V2924" s="22"/>
      <c r="W2924" s="22"/>
      <c r="X2924" s="22"/>
      <c r="Y2924" s="22"/>
      <c r="Z2924" s="22"/>
      <c r="AA2924" s="22"/>
      <c r="AB2924" s="22"/>
      <c r="AC2924" s="22"/>
      <c r="AD2924" s="22"/>
      <c r="AE2924" s="22"/>
      <c r="AF2924" s="22"/>
      <c r="AG2924" s="22"/>
      <c r="AH2924" s="22"/>
      <c r="AI2924" s="22"/>
      <c r="AJ2924" s="22"/>
      <c r="AK2924" s="22"/>
      <c r="AL2924" s="22"/>
      <c r="AM2924" s="22"/>
      <c r="AN2924" s="22"/>
      <c r="AO2924" s="22"/>
      <c r="AP2924" s="22"/>
      <c r="AQ2924" s="22"/>
      <c r="AR2924" s="22"/>
      <c r="AS2924" s="22"/>
      <c r="AT2924" s="22"/>
      <c r="AU2924" s="22"/>
      <c r="AV2924" s="22"/>
      <c r="AW2924" s="22"/>
      <c r="AX2924" s="22"/>
      <c r="AY2924" s="22"/>
      <c r="AZ2924" s="22"/>
      <c r="BA2924" s="22"/>
      <c r="BB2924" s="22"/>
    </row>
    <row r="2925" spans="5:54" x14ac:dyDescent="0.35"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2"/>
      <c r="T2925" s="22"/>
      <c r="U2925" s="22"/>
      <c r="V2925" s="22"/>
      <c r="W2925" s="22"/>
      <c r="X2925" s="22"/>
      <c r="Y2925" s="22"/>
      <c r="Z2925" s="22"/>
      <c r="AA2925" s="22"/>
      <c r="AB2925" s="22"/>
      <c r="AC2925" s="22"/>
      <c r="AD2925" s="22"/>
      <c r="AE2925" s="22"/>
      <c r="AF2925" s="22"/>
      <c r="AG2925" s="22"/>
      <c r="AH2925" s="22"/>
      <c r="AI2925" s="22"/>
      <c r="AJ2925" s="22"/>
      <c r="AK2925" s="22"/>
      <c r="AL2925" s="22"/>
      <c r="AM2925" s="22"/>
      <c r="AN2925" s="22"/>
      <c r="AO2925" s="22"/>
      <c r="AP2925" s="22"/>
      <c r="AQ2925" s="22"/>
      <c r="AR2925" s="22"/>
      <c r="AS2925" s="22"/>
      <c r="AT2925" s="22"/>
      <c r="AU2925" s="22"/>
      <c r="AV2925" s="22"/>
      <c r="AW2925" s="22"/>
      <c r="AX2925" s="22"/>
      <c r="AY2925" s="22"/>
      <c r="AZ2925" s="22"/>
      <c r="BA2925" s="22"/>
      <c r="BB2925" s="22"/>
    </row>
    <row r="2926" spans="5:54" x14ac:dyDescent="0.35"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2"/>
      <c r="T2926" s="22"/>
      <c r="U2926" s="22"/>
      <c r="V2926" s="22"/>
      <c r="W2926" s="22"/>
      <c r="X2926" s="22"/>
      <c r="Y2926" s="22"/>
      <c r="Z2926" s="22"/>
      <c r="AA2926" s="22"/>
      <c r="AB2926" s="22"/>
      <c r="AC2926" s="22"/>
      <c r="AD2926" s="22"/>
      <c r="AE2926" s="22"/>
      <c r="AF2926" s="22"/>
      <c r="AG2926" s="22"/>
      <c r="AH2926" s="22"/>
      <c r="AI2926" s="22"/>
      <c r="AJ2926" s="22"/>
      <c r="AK2926" s="22"/>
      <c r="AL2926" s="22"/>
      <c r="AM2926" s="22"/>
      <c r="AN2926" s="22"/>
      <c r="AO2926" s="22"/>
      <c r="AP2926" s="22"/>
      <c r="AQ2926" s="22"/>
      <c r="AR2926" s="22"/>
      <c r="AS2926" s="22"/>
      <c r="AT2926" s="22"/>
      <c r="AU2926" s="22"/>
      <c r="AV2926" s="22"/>
      <c r="AW2926" s="22"/>
      <c r="AX2926" s="22"/>
      <c r="AY2926" s="22"/>
      <c r="AZ2926" s="22"/>
      <c r="BA2926" s="22"/>
      <c r="BB2926" s="22"/>
    </row>
    <row r="2927" spans="5:54" x14ac:dyDescent="0.35"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2"/>
      <c r="T2927" s="22"/>
      <c r="U2927" s="22"/>
      <c r="V2927" s="22"/>
      <c r="W2927" s="22"/>
      <c r="X2927" s="22"/>
      <c r="Y2927" s="22"/>
      <c r="Z2927" s="22"/>
      <c r="AA2927" s="22"/>
      <c r="AB2927" s="22"/>
      <c r="AC2927" s="22"/>
      <c r="AD2927" s="22"/>
      <c r="AE2927" s="22"/>
      <c r="AF2927" s="22"/>
      <c r="AG2927" s="22"/>
      <c r="AH2927" s="22"/>
      <c r="AI2927" s="22"/>
      <c r="AJ2927" s="22"/>
      <c r="AK2927" s="22"/>
      <c r="AL2927" s="22"/>
      <c r="AM2927" s="22"/>
      <c r="AN2927" s="22"/>
      <c r="AO2927" s="22"/>
      <c r="AP2927" s="22"/>
      <c r="AQ2927" s="22"/>
      <c r="AR2927" s="22"/>
      <c r="AS2927" s="22"/>
      <c r="AT2927" s="22"/>
      <c r="AU2927" s="22"/>
      <c r="AV2927" s="22"/>
      <c r="AW2927" s="22"/>
      <c r="AX2927" s="22"/>
      <c r="AY2927" s="22"/>
      <c r="AZ2927" s="22"/>
      <c r="BA2927" s="22"/>
      <c r="BB2927" s="22"/>
    </row>
    <row r="2928" spans="5:54" x14ac:dyDescent="0.35"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2"/>
      <c r="T2928" s="22"/>
      <c r="U2928" s="22"/>
      <c r="V2928" s="22"/>
      <c r="W2928" s="22"/>
      <c r="X2928" s="22"/>
      <c r="Y2928" s="22"/>
      <c r="Z2928" s="22"/>
      <c r="AA2928" s="22"/>
      <c r="AB2928" s="22"/>
      <c r="AC2928" s="22"/>
      <c r="AD2928" s="22"/>
      <c r="AE2928" s="22"/>
      <c r="AF2928" s="22"/>
      <c r="AG2928" s="22"/>
      <c r="AH2928" s="22"/>
      <c r="AI2928" s="22"/>
      <c r="AJ2928" s="22"/>
      <c r="AK2928" s="22"/>
      <c r="AL2928" s="22"/>
      <c r="AM2928" s="22"/>
      <c r="AN2928" s="22"/>
      <c r="AO2928" s="22"/>
      <c r="AP2928" s="22"/>
      <c r="AQ2928" s="22"/>
      <c r="AR2928" s="22"/>
      <c r="AS2928" s="22"/>
      <c r="AT2928" s="22"/>
      <c r="AU2928" s="22"/>
      <c r="AV2928" s="22"/>
      <c r="AW2928" s="22"/>
      <c r="AX2928" s="22"/>
      <c r="AY2928" s="22"/>
      <c r="AZ2928" s="22"/>
      <c r="BA2928" s="22"/>
      <c r="BB2928" s="22"/>
    </row>
    <row r="2929" spans="5:54" x14ac:dyDescent="0.35"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2"/>
      <c r="T2929" s="22"/>
      <c r="U2929" s="22"/>
      <c r="V2929" s="22"/>
      <c r="W2929" s="22"/>
      <c r="X2929" s="22"/>
      <c r="Y2929" s="22"/>
      <c r="Z2929" s="22"/>
      <c r="AA2929" s="22"/>
      <c r="AB2929" s="22"/>
      <c r="AC2929" s="22"/>
      <c r="AD2929" s="22"/>
      <c r="AE2929" s="22"/>
      <c r="AF2929" s="22"/>
      <c r="AG2929" s="22"/>
      <c r="AH2929" s="22"/>
      <c r="AI2929" s="22"/>
      <c r="AJ2929" s="22"/>
      <c r="AK2929" s="22"/>
      <c r="AL2929" s="22"/>
      <c r="AM2929" s="22"/>
      <c r="AN2929" s="22"/>
      <c r="AO2929" s="22"/>
      <c r="AP2929" s="22"/>
      <c r="AQ2929" s="22"/>
      <c r="AR2929" s="22"/>
      <c r="AS2929" s="22"/>
      <c r="AT2929" s="22"/>
      <c r="AU2929" s="22"/>
      <c r="AV2929" s="22"/>
      <c r="AW2929" s="22"/>
      <c r="AX2929" s="22"/>
      <c r="AY2929" s="22"/>
      <c r="AZ2929" s="22"/>
      <c r="BA2929" s="22"/>
      <c r="BB2929" s="22"/>
    </row>
    <row r="2930" spans="5:54" x14ac:dyDescent="0.35"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2"/>
      <c r="T2930" s="22"/>
      <c r="U2930" s="22"/>
      <c r="V2930" s="22"/>
      <c r="W2930" s="22"/>
      <c r="X2930" s="22"/>
      <c r="Y2930" s="22"/>
      <c r="Z2930" s="22"/>
      <c r="AA2930" s="22"/>
      <c r="AB2930" s="22"/>
      <c r="AC2930" s="22"/>
      <c r="AD2930" s="22"/>
      <c r="AE2930" s="22"/>
      <c r="AF2930" s="22"/>
      <c r="AG2930" s="22"/>
      <c r="AH2930" s="22"/>
      <c r="AI2930" s="22"/>
      <c r="AJ2930" s="22"/>
      <c r="AK2930" s="22"/>
      <c r="AL2930" s="22"/>
      <c r="AM2930" s="22"/>
      <c r="AN2930" s="22"/>
      <c r="AO2930" s="22"/>
      <c r="AP2930" s="22"/>
      <c r="AQ2930" s="22"/>
      <c r="AR2930" s="22"/>
      <c r="AS2930" s="22"/>
      <c r="AT2930" s="22"/>
      <c r="AU2930" s="22"/>
      <c r="AV2930" s="22"/>
      <c r="AW2930" s="22"/>
      <c r="AX2930" s="22"/>
      <c r="AY2930" s="22"/>
      <c r="AZ2930" s="22"/>
      <c r="BA2930" s="22"/>
      <c r="BB2930" s="22"/>
    </row>
    <row r="2931" spans="5:54" x14ac:dyDescent="0.35"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2"/>
      <c r="T2931" s="22"/>
      <c r="U2931" s="22"/>
      <c r="V2931" s="22"/>
      <c r="W2931" s="22"/>
      <c r="X2931" s="22"/>
      <c r="Y2931" s="22"/>
      <c r="Z2931" s="22"/>
      <c r="AA2931" s="22"/>
      <c r="AB2931" s="22"/>
      <c r="AC2931" s="22"/>
      <c r="AD2931" s="22"/>
      <c r="AE2931" s="22"/>
      <c r="AF2931" s="22"/>
      <c r="AG2931" s="22"/>
      <c r="AH2931" s="22"/>
      <c r="AI2931" s="22"/>
      <c r="AJ2931" s="22"/>
      <c r="AK2931" s="22"/>
      <c r="AL2931" s="22"/>
      <c r="AM2931" s="22"/>
      <c r="AN2931" s="22"/>
      <c r="AO2931" s="22"/>
      <c r="AP2931" s="22"/>
      <c r="AQ2931" s="22"/>
      <c r="AR2931" s="22"/>
      <c r="AS2931" s="22"/>
      <c r="AT2931" s="22"/>
      <c r="AU2931" s="22"/>
      <c r="AV2931" s="22"/>
      <c r="AW2931" s="22"/>
      <c r="AX2931" s="22"/>
      <c r="AY2931" s="22"/>
      <c r="AZ2931" s="22"/>
      <c r="BA2931" s="22"/>
      <c r="BB2931" s="22"/>
    </row>
    <row r="2932" spans="5:54" x14ac:dyDescent="0.35"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2"/>
      <c r="T2932" s="22"/>
      <c r="U2932" s="22"/>
      <c r="V2932" s="22"/>
      <c r="W2932" s="22"/>
      <c r="X2932" s="22"/>
      <c r="Y2932" s="22"/>
      <c r="Z2932" s="22"/>
      <c r="AA2932" s="22"/>
      <c r="AB2932" s="22"/>
      <c r="AC2932" s="22"/>
      <c r="AD2932" s="22"/>
      <c r="AE2932" s="22"/>
      <c r="AF2932" s="22"/>
      <c r="AG2932" s="22"/>
      <c r="AH2932" s="22"/>
      <c r="AI2932" s="22"/>
      <c r="AJ2932" s="22"/>
      <c r="AK2932" s="22"/>
      <c r="AL2932" s="22"/>
      <c r="AM2932" s="22"/>
      <c r="AN2932" s="22"/>
      <c r="AO2932" s="22"/>
      <c r="AP2932" s="22"/>
      <c r="AQ2932" s="22"/>
      <c r="AR2932" s="22"/>
      <c r="AS2932" s="22"/>
      <c r="AT2932" s="22"/>
      <c r="AU2932" s="22"/>
      <c r="AV2932" s="22"/>
      <c r="AW2932" s="22"/>
      <c r="AX2932" s="22"/>
      <c r="AY2932" s="22"/>
      <c r="AZ2932" s="22"/>
      <c r="BA2932" s="22"/>
      <c r="BB2932" s="22"/>
    </row>
    <row r="2933" spans="5:54" x14ac:dyDescent="0.35"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2"/>
      <c r="T2933" s="22"/>
      <c r="U2933" s="22"/>
      <c r="V2933" s="22"/>
      <c r="W2933" s="22"/>
      <c r="X2933" s="22"/>
      <c r="Y2933" s="22"/>
      <c r="Z2933" s="22"/>
      <c r="AA2933" s="22"/>
      <c r="AB2933" s="22"/>
      <c r="AC2933" s="22"/>
      <c r="AD2933" s="22"/>
      <c r="AE2933" s="22"/>
      <c r="AF2933" s="22"/>
      <c r="AG2933" s="22"/>
      <c r="AH2933" s="22"/>
      <c r="AI2933" s="22"/>
      <c r="AJ2933" s="22"/>
      <c r="AK2933" s="22"/>
      <c r="AL2933" s="22"/>
      <c r="AM2933" s="22"/>
      <c r="AN2933" s="22"/>
      <c r="AO2933" s="22"/>
      <c r="AP2933" s="22"/>
      <c r="AQ2933" s="22"/>
      <c r="AR2933" s="22"/>
      <c r="AS2933" s="22"/>
      <c r="AT2933" s="22"/>
      <c r="AU2933" s="22"/>
      <c r="AV2933" s="22"/>
      <c r="AW2933" s="22"/>
      <c r="AX2933" s="22"/>
      <c r="AY2933" s="22"/>
      <c r="AZ2933" s="22"/>
      <c r="BA2933" s="22"/>
      <c r="BB2933" s="22"/>
    </row>
    <row r="2934" spans="5:54" x14ac:dyDescent="0.35"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2"/>
      <c r="T2934" s="22"/>
      <c r="U2934" s="22"/>
      <c r="V2934" s="22"/>
      <c r="W2934" s="22"/>
      <c r="X2934" s="22"/>
      <c r="Y2934" s="22"/>
      <c r="Z2934" s="22"/>
      <c r="AA2934" s="22"/>
      <c r="AB2934" s="22"/>
      <c r="AC2934" s="22"/>
      <c r="AD2934" s="22"/>
      <c r="AE2934" s="22"/>
      <c r="AF2934" s="22"/>
      <c r="AG2934" s="22"/>
      <c r="AH2934" s="22"/>
      <c r="AI2934" s="22"/>
      <c r="AJ2934" s="22"/>
      <c r="AK2934" s="22"/>
      <c r="AL2934" s="22"/>
      <c r="AM2934" s="22"/>
      <c r="AN2934" s="22"/>
      <c r="AO2934" s="22"/>
      <c r="AP2934" s="22"/>
      <c r="AQ2934" s="22"/>
      <c r="AR2934" s="22"/>
      <c r="AS2934" s="22"/>
      <c r="AT2934" s="22"/>
      <c r="AU2934" s="22"/>
      <c r="AV2934" s="22"/>
      <c r="AW2934" s="22"/>
      <c r="AX2934" s="22"/>
      <c r="AY2934" s="22"/>
      <c r="AZ2934" s="22"/>
      <c r="BA2934" s="22"/>
      <c r="BB2934" s="22"/>
    </row>
    <row r="2935" spans="5:54" x14ac:dyDescent="0.35"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2"/>
      <c r="T2935" s="22"/>
      <c r="U2935" s="22"/>
      <c r="V2935" s="22"/>
      <c r="W2935" s="22"/>
      <c r="X2935" s="22"/>
      <c r="Y2935" s="22"/>
      <c r="Z2935" s="22"/>
      <c r="AA2935" s="22"/>
      <c r="AB2935" s="22"/>
      <c r="AC2935" s="22"/>
      <c r="AD2935" s="22"/>
      <c r="AE2935" s="22"/>
      <c r="AF2935" s="22"/>
      <c r="AG2935" s="22"/>
      <c r="AH2935" s="22"/>
      <c r="AI2935" s="22"/>
      <c r="AJ2935" s="22"/>
      <c r="AK2935" s="22"/>
      <c r="AL2935" s="22"/>
      <c r="AM2935" s="22"/>
      <c r="AN2935" s="22"/>
      <c r="AO2935" s="22"/>
      <c r="AP2935" s="22"/>
      <c r="AQ2935" s="22"/>
      <c r="AR2935" s="22"/>
      <c r="AS2935" s="22"/>
      <c r="AT2935" s="22"/>
      <c r="AU2935" s="22"/>
      <c r="AV2935" s="22"/>
      <c r="AW2935" s="22"/>
      <c r="AX2935" s="22"/>
      <c r="AY2935" s="22"/>
      <c r="AZ2935" s="22"/>
      <c r="BA2935" s="22"/>
      <c r="BB2935" s="22"/>
    </row>
    <row r="2936" spans="5:54" x14ac:dyDescent="0.35"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2"/>
      <c r="T2936" s="22"/>
      <c r="U2936" s="22"/>
      <c r="V2936" s="22"/>
      <c r="W2936" s="22"/>
      <c r="X2936" s="22"/>
      <c r="Y2936" s="22"/>
      <c r="Z2936" s="22"/>
      <c r="AA2936" s="22"/>
      <c r="AB2936" s="22"/>
      <c r="AC2936" s="22"/>
      <c r="AD2936" s="22"/>
      <c r="AE2936" s="22"/>
      <c r="AF2936" s="22"/>
      <c r="AG2936" s="22"/>
      <c r="AH2936" s="22"/>
      <c r="AI2936" s="22"/>
      <c r="AJ2936" s="22"/>
      <c r="AK2936" s="22"/>
      <c r="AL2936" s="22"/>
      <c r="AM2936" s="22"/>
      <c r="AN2936" s="22"/>
      <c r="AO2936" s="22"/>
      <c r="AP2936" s="22"/>
      <c r="AQ2936" s="22"/>
      <c r="AR2936" s="22"/>
      <c r="AS2936" s="22"/>
      <c r="AT2936" s="22"/>
      <c r="AU2936" s="22"/>
      <c r="AV2936" s="22"/>
      <c r="AW2936" s="22"/>
      <c r="AX2936" s="22"/>
      <c r="AY2936" s="22"/>
      <c r="AZ2936" s="22"/>
      <c r="BA2936" s="22"/>
      <c r="BB2936" s="22"/>
    </row>
    <row r="2937" spans="5:54" x14ac:dyDescent="0.35"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2"/>
      <c r="T2937" s="22"/>
      <c r="U2937" s="22"/>
      <c r="V2937" s="22"/>
      <c r="W2937" s="22"/>
      <c r="X2937" s="22"/>
      <c r="Y2937" s="22"/>
      <c r="Z2937" s="22"/>
      <c r="AA2937" s="22"/>
      <c r="AB2937" s="22"/>
      <c r="AC2937" s="22"/>
      <c r="AD2937" s="22"/>
      <c r="AE2937" s="22"/>
      <c r="AF2937" s="22"/>
      <c r="AG2937" s="22"/>
      <c r="AH2937" s="22"/>
      <c r="AI2937" s="22"/>
      <c r="AJ2937" s="22"/>
      <c r="AK2937" s="22"/>
      <c r="AL2937" s="22"/>
      <c r="AM2937" s="22"/>
      <c r="AN2937" s="22"/>
      <c r="AO2937" s="22"/>
      <c r="AP2937" s="22"/>
      <c r="AQ2937" s="22"/>
      <c r="AR2937" s="22"/>
      <c r="AS2937" s="22"/>
      <c r="AT2937" s="22"/>
      <c r="AU2937" s="22"/>
      <c r="AV2937" s="22"/>
      <c r="AW2937" s="22"/>
      <c r="AX2937" s="22"/>
      <c r="AY2937" s="22"/>
      <c r="AZ2937" s="22"/>
      <c r="BA2937" s="22"/>
      <c r="BB2937" s="22"/>
    </row>
    <row r="2938" spans="5:54" x14ac:dyDescent="0.35"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2"/>
      <c r="T2938" s="22"/>
      <c r="U2938" s="22"/>
      <c r="V2938" s="22"/>
      <c r="W2938" s="22"/>
      <c r="X2938" s="22"/>
      <c r="Y2938" s="22"/>
      <c r="Z2938" s="22"/>
      <c r="AA2938" s="22"/>
      <c r="AB2938" s="22"/>
      <c r="AC2938" s="22"/>
      <c r="AD2938" s="22"/>
      <c r="AE2938" s="22"/>
      <c r="AF2938" s="22"/>
      <c r="AG2938" s="22"/>
      <c r="AH2938" s="22"/>
      <c r="AI2938" s="22"/>
      <c r="AJ2938" s="22"/>
      <c r="AK2938" s="22"/>
      <c r="AL2938" s="22"/>
      <c r="AM2938" s="22"/>
      <c r="AN2938" s="22"/>
      <c r="AO2938" s="22"/>
      <c r="AP2938" s="22"/>
      <c r="AQ2938" s="22"/>
      <c r="AR2938" s="22"/>
      <c r="AS2938" s="22"/>
      <c r="AT2938" s="22"/>
      <c r="AU2938" s="22"/>
      <c r="AV2938" s="22"/>
      <c r="AW2938" s="22"/>
      <c r="AX2938" s="22"/>
      <c r="AY2938" s="22"/>
      <c r="AZ2938" s="22"/>
      <c r="BA2938" s="22"/>
      <c r="BB2938" s="22"/>
    </row>
    <row r="2939" spans="5:54" x14ac:dyDescent="0.35"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2"/>
      <c r="T2939" s="22"/>
      <c r="U2939" s="22"/>
      <c r="V2939" s="22"/>
      <c r="W2939" s="22"/>
      <c r="X2939" s="22"/>
      <c r="Y2939" s="22"/>
      <c r="Z2939" s="22"/>
      <c r="AA2939" s="22"/>
      <c r="AB2939" s="22"/>
      <c r="AC2939" s="22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2"/>
      <c r="BB2939" s="22"/>
    </row>
    <row r="2940" spans="5:54" x14ac:dyDescent="0.35"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22"/>
      <c r="AD2940" s="22"/>
      <c r="AE2940" s="22"/>
      <c r="AF2940" s="22"/>
      <c r="AG2940" s="22"/>
      <c r="AH2940" s="22"/>
      <c r="AI2940" s="22"/>
      <c r="AJ2940" s="22"/>
      <c r="AK2940" s="22"/>
      <c r="AL2940" s="22"/>
      <c r="AM2940" s="22"/>
      <c r="AN2940" s="22"/>
      <c r="AO2940" s="22"/>
      <c r="AP2940" s="22"/>
      <c r="AQ2940" s="22"/>
      <c r="AR2940" s="22"/>
      <c r="AS2940" s="22"/>
      <c r="AT2940" s="22"/>
      <c r="AU2940" s="22"/>
      <c r="AV2940" s="22"/>
      <c r="AW2940" s="22"/>
      <c r="AX2940" s="22"/>
      <c r="AY2940" s="22"/>
      <c r="AZ2940" s="22"/>
      <c r="BA2940" s="22"/>
      <c r="BB2940" s="22"/>
    </row>
    <row r="2941" spans="5:54" x14ac:dyDescent="0.35"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2"/>
      <c r="T2941" s="22"/>
      <c r="U2941" s="22"/>
      <c r="V2941" s="22"/>
      <c r="W2941" s="22"/>
      <c r="X2941" s="22"/>
      <c r="Y2941" s="22"/>
      <c r="Z2941" s="22"/>
      <c r="AA2941" s="22"/>
      <c r="AB2941" s="22"/>
      <c r="AC2941" s="22"/>
      <c r="AD2941" s="22"/>
      <c r="AE2941" s="22"/>
      <c r="AF2941" s="22"/>
      <c r="AG2941" s="22"/>
      <c r="AH2941" s="22"/>
      <c r="AI2941" s="22"/>
      <c r="AJ2941" s="22"/>
      <c r="AK2941" s="22"/>
      <c r="AL2941" s="22"/>
      <c r="AM2941" s="22"/>
      <c r="AN2941" s="22"/>
      <c r="AO2941" s="22"/>
      <c r="AP2941" s="22"/>
      <c r="AQ2941" s="22"/>
      <c r="AR2941" s="22"/>
      <c r="AS2941" s="22"/>
      <c r="AT2941" s="22"/>
      <c r="AU2941" s="22"/>
      <c r="AV2941" s="22"/>
      <c r="AW2941" s="22"/>
      <c r="AX2941" s="22"/>
      <c r="AY2941" s="22"/>
      <c r="AZ2941" s="22"/>
      <c r="BA2941" s="22"/>
      <c r="BB2941" s="22"/>
    </row>
    <row r="2942" spans="5:54" x14ac:dyDescent="0.35"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2"/>
      <c r="T2942" s="22"/>
      <c r="U2942" s="22"/>
      <c r="V2942" s="22"/>
      <c r="W2942" s="22"/>
      <c r="X2942" s="22"/>
      <c r="Y2942" s="22"/>
      <c r="Z2942" s="22"/>
      <c r="AA2942" s="22"/>
      <c r="AB2942" s="22"/>
      <c r="AC2942" s="22"/>
      <c r="AD2942" s="22"/>
      <c r="AE2942" s="22"/>
      <c r="AF2942" s="22"/>
      <c r="AG2942" s="22"/>
      <c r="AH2942" s="22"/>
      <c r="AI2942" s="22"/>
      <c r="AJ2942" s="22"/>
      <c r="AK2942" s="22"/>
      <c r="AL2942" s="22"/>
      <c r="AM2942" s="22"/>
      <c r="AN2942" s="22"/>
      <c r="AO2942" s="22"/>
      <c r="AP2942" s="22"/>
      <c r="AQ2942" s="22"/>
      <c r="AR2942" s="22"/>
      <c r="AS2942" s="22"/>
      <c r="AT2942" s="22"/>
      <c r="AU2942" s="22"/>
      <c r="AV2942" s="22"/>
      <c r="AW2942" s="22"/>
      <c r="AX2942" s="22"/>
      <c r="AY2942" s="22"/>
      <c r="AZ2942" s="22"/>
      <c r="BA2942" s="22"/>
      <c r="BB2942" s="22"/>
    </row>
    <row r="2943" spans="5:54" x14ac:dyDescent="0.35"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2"/>
      <c r="T2943" s="22"/>
      <c r="U2943" s="22"/>
      <c r="V2943" s="22"/>
      <c r="W2943" s="22"/>
      <c r="X2943" s="22"/>
      <c r="Y2943" s="22"/>
      <c r="Z2943" s="22"/>
      <c r="AA2943" s="22"/>
      <c r="AB2943" s="22"/>
      <c r="AC2943" s="22"/>
      <c r="AD2943" s="22"/>
      <c r="AE2943" s="22"/>
      <c r="AF2943" s="22"/>
      <c r="AG2943" s="22"/>
      <c r="AH2943" s="22"/>
      <c r="AI2943" s="22"/>
      <c r="AJ2943" s="22"/>
      <c r="AK2943" s="22"/>
      <c r="AL2943" s="22"/>
      <c r="AM2943" s="22"/>
      <c r="AN2943" s="22"/>
      <c r="AO2943" s="22"/>
      <c r="AP2943" s="22"/>
      <c r="AQ2943" s="22"/>
      <c r="AR2943" s="22"/>
      <c r="AS2943" s="22"/>
      <c r="AT2943" s="22"/>
      <c r="AU2943" s="22"/>
      <c r="AV2943" s="22"/>
      <c r="AW2943" s="22"/>
      <c r="AX2943" s="22"/>
      <c r="AY2943" s="22"/>
      <c r="AZ2943" s="22"/>
      <c r="BA2943" s="22"/>
      <c r="BB2943" s="22"/>
    </row>
    <row r="2944" spans="5:54" x14ac:dyDescent="0.35"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2"/>
      <c r="T2944" s="22"/>
      <c r="U2944" s="22"/>
      <c r="V2944" s="22"/>
      <c r="W2944" s="22"/>
      <c r="X2944" s="22"/>
      <c r="Y2944" s="22"/>
      <c r="Z2944" s="22"/>
      <c r="AA2944" s="22"/>
      <c r="AB2944" s="22"/>
      <c r="AC2944" s="22"/>
      <c r="AD2944" s="22"/>
      <c r="AE2944" s="22"/>
      <c r="AF2944" s="22"/>
      <c r="AG2944" s="22"/>
      <c r="AH2944" s="22"/>
      <c r="AI2944" s="22"/>
      <c r="AJ2944" s="22"/>
      <c r="AK2944" s="22"/>
      <c r="AL2944" s="22"/>
      <c r="AM2944" s="22"/>
      <c r="AN2944" s="22"/>
      <c r="AO2944" s="22"/>
      <c r="AP2944" s="22"/>
      <c r="AQ2944" s="22"/>
      <c r="AR2944" s="22"/>
      <c r="AS2944" s="22"/>
      <c r="AT2944" s="22"/>
      <c r="AU2944" s="22"/>
      <c r="AV2944" s="22"/>
      <c r="AW2944" s="22"/>
      <c r="AX2944" s="22"/>
      <c r="AY2944" s="22"/>
      <c r="AZ2944" s="22"/>
      <c r="BA2944" s="22"/>
      <c r="BB2944" s="22"/>
    </row>
    <row r="2945" spans="5:54" x14ac:dyDescent="0.35"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2"/>
      <c r="T2945" s="22"/>
      <c r="U2945" s="22"/>
      <c r="V2945" s="22"/>
      <c r="W2945" s="22"/>
      <c r="X2945" s="22"/>
      <c r="Y2945" s="22"/>
      <c r="Z2945" s="22"/>
      <c r="AA2945" s="22"/>
      <c r="AB2945" s="22"/>
      <c r="AC2945" s="22"/>
      <c r="AD2945" s="22"/>
      <c r="AE2945" s="22"/>
      <c r="AF2945" s="22"/>
      <c r="AG2945" s="22"/>
      <c r="AH2945" s="22"/>
      <c r="AI2945" s="22"/>
      <c r="AJ2945" s="22"/>
      <c r="AK2945" s="22"/>
      <c r="AL2945" s="22"/>
      <c r="AM2945" s="22"/>
      <c r="AN2945" s="22"/>
      <c r="AO2945" s="22"/>
      <c r="AP2945" s="22"/>
      <c r="AQ2945" s="22"/>
      <c r="AR2945" s="22"/>
      <c r="AS2945" s="22"/>
      <c r="AT2945" s="22"/>
      <c r="AU2945" s="22"/>
      <c r="AV2945" s="22"/>
      <c r="AW2945" s="22"/>
      <c r="AX2945" s="22"/>
      <c r="AY2945" s="22"/>
      <c r="AZ2945" s="22"/>
      <c r="BA2945" s="22"/>
      <c r="BB2945" s="22"/>
    </row>
    <row r="2946" spans="5:54" x14ac:dyDescent="0.35"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2"/>
      <c r="T2946" s="22"/>
      <c r="U2946" s="22"/>
      <c r="V2946" s="22"/>
      <c r="W2946" s="22"/>
      <c r="X2946" s="22"/>
      <c r="Y2946" s="22"/>
      <c r="Z2946" s="22"/>
      <c r="AA2946" s="22"/>
      <c r="AB2946" s="22"/>
      <c r="AC2946" s="22"/>
      <c r="AD2946" s="22"/>
      <c r="AE2946" s="22"/>
      <c r="AF2946" s="22"/>
      <c r="AG2946" s="22"/>
      <c r="AH2946" s="22"/>
      <c r="AI2946" s="22"/>
      <c r="AJ2946" s="22"/>
      <c r="AK2946" s="22"/>
      <c r="AL2946" s="22"/>
      <c r="AM2946" s="22"/>
      <c r="AN2946" s="22"/>
      <c r="AO2946" s="22"/>
      <c r="AP2946" s="22"/>
      <c r="AQ2946" s="22"/>
      <c r="AR2946" s="22"/>
      <c r="AS2946" s="22"/>
      <c r="AT2946" s="22"/>
      <c r="AU2946" s="22"/>
      <c r="AV2946" s="22"/>
      <c r="AW2946" s="22"/>
      <c r="AX2946" s="22"/>
      <c r="AY2946" s="22"/>
      <c r="AZ2946" s="22"/>
      <c r="BA2946" s="22"/>
      <c r="BB2946" s="22"/>
    </row>
    <row r="2947" spans="5:54" x14ac:dyDescent="0.35"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2"/>
      <c r="T2947" s="22"/>
      <c r="U2947" s="22"/>
      <c r="V2947" s="22"/>
      <c r="W2947" s="22"/>
      <c r="X2947" s="22"/>
      <c r="Y2947" s="22"/>
      <c r="Z2947" s="22"/>
      <c r="AA2947" s="22"/>
      <c r="AB2947" s="22"/>
      <c r="AC2947" s="22"/>
      <c r="AD2947" s="22"/>
      <c r="AE2947" s="22"/>
      <c r="AF2947" s="22"/>
      <c r="AG2947" s="22"/>
      <c r="AH2947" s="22"/>
      <c r="AI2947" s="22"/>
      <c r="AJ2947" s="22"/>
      <c r="AK2947" s="22"/>
      <c r="AL2947" s="22"/>
      <c r="AM2947" s="22"/>
      <c r="AN2947" s="22"/>
      <c r="AO2947" s="22"/>
      <c r="AP2947" s="22"/>
      <c r="AQ2947" s="22"/>
      <c r="AR2947" s="22"/>
      <c r="AS2947" s="22"/>
      <c r="AT2947" s="22"/>
      <c r="AU2947" s="22"/>
      <c r="AV2947" s="22"/>
      <c r="AW2947" s="22"/>
      <c r="AX2947" s="22"/>
      <c r="AY2947" s="22"/>
      <c r="AZ2947" s="22"/>
      <c r="BA2947" s="22"/>
      <c r="BB2947" s="22"/>
    </row>
    <row r="2948" spans="5:54" x14ac:dyDescent="0.35"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2"/>
      <c r="T2948" s="22"/>
      <c r="U2948" s="22"/>
      <c r="V2948" s="22"/>
      <c r="W2948" s="22"/>
      <c r="X2948" s="22"/>
      <c r="Y2948" s="22"/>
      <c r="Z2948" s="22"/>
      <c r="AA2948" s="22"/>
      <c r="AB2948" s="22"/>
      <c r="AC2948" s="22"/>
      <c r="AD2948" s="22"/>
      <c r="AE2948" s="22"/>
      <c r="AF2948" s="22"/>
      <c r="AG2948" s="22"/>
      <c r="AH2948" s="22"/>
      <c r="AI2948" s="22"/>
      <c r="AJ2948" s="22"/>
      <c r="AK2948" s="22"/>
      <c r="AL2948" s="22"/>
      <c r="AM2948" s="22"/>
      <c r="AN2948" s="22"/>
      <c r="AO2948" s="22"/>
      <c r="AP2948" s="22"/>
      <c r="AQ2948" s="22"/>
      <c r="AR2948" s="22"/>
      <c r="AS2948" s="22"/>
      <c r="AT2948" s="22"/>
      <c r="AU2948" s="22"/>
      <c r="AV2948" s="22"/>
      <c r="AW2948" s="22"/>
      <c r="AX2948" s="22"/>
      <c r="AY2948" s="22"/>
      <c r="AZ2948" s="22"/>
      <c r="BA2948" s="22"/>
      <c r="BB2948" s="22"/>
    </row>
    <row r="2949" spans="5:54" x14ac:dyDescent="0.35"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2"/>
      <c r="T2949" s="22"/>
      <c r="U2949" s="22"/>
      <c r="V2949" s="22"/>
      <c r="W2949" s="22"/>
      <c r="X2949" s="22"/>
      <c r="Y2949" s="22"/>
      <c r="Z2949" s="22"/>
      <c r="AA2949" s="22"/>
      <c r="AB2949" s="22"/>
      <c r="AC2949" s="22"/>
      <c r="AD2949" s="22"/>
      <c r="AE2949" s="22"/>
      <c r="AF2949" s="22"/>
      <c r="AG2949" s="22"/>
      <c r="AH2949" s="22"/>
      <c r="AI2949" s="22"/>
      <c r="AJ2949" s="22"/>
      <c r="AK2949" s="22"/>
      <c r="AL2949" s="22"/>
      <c r="AM2949" s="22"/>
      <c r="AN2949" s="22"/>
      <c r="AO2949" s="22"/>
      <c r="AP2949" s="22"/>
      <c r="AQ2949" s="22"/>
      <c r="AR2949" s="22"/>
      <c r="AS2949" s="22"/>
      <c r="AT2949" s="22"/>
      <c r="AU2949" s="22"/>
      <c r="AV2949" s="22"/>
      <c r="AW2949" s="22"/>
      <c r="AX2949" s="22"/>
      <c r="AY2949" s="22"/>
      <c r="AZ2949" s="22"/>
      <c r="BA2949" s="22"/>
      <c r="BB2949" s="22"/>
    </row>
    <row r="2950" spans="5:54" x14ac:dyDescent="0.35"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2"/>
      <c r="T2950" s="22"/>
      <c r="U2950" s="22"/>
      <c r="V2950" s="22"/>
      <c r="W2950" s="22"/>
      <c r="X2950" s="22"/>
      <c r="Y2950" s="22"/>
      <c r="Z2950" s="22"/>
      <c r="AA2950" s="22"/>
      <c r="AB2950" s="22"/>
      <c r="AC2950" s="22"/>
      <c r="AD2950" s="22"/>
      <c r="AE2950" s="22"/>
      <c r="AF2950" s="22"/>
      <c r="AG2950" s="22"/>
      <c r="AH2950" s="22"/>
      <c r="AI2950" s="22"/>
      <c r="AJ2950" s="22"/>
      <c r="AK2950" s="22"/>
      <c r="AL2950" s="22"/>
      <c r="AM2950" s="22"/>
      <c r="AN2950" s="22"/>
      <c r="AO2950" s="22"/>
      <c r="AP2950" s="22"/>
      <c r="AQ2950" s="22"/>
      <c r="AR2950" s="22"/>
      <c r="AS2950" s="22"/>
      <c r="AT2950" s="22"/>
      <c r="AU2950" s="22"/>
      <c r="AV2950" s="22"/>
      <c r="AW2950" s="22"/>
      <c r="AX2950" s="22"/>
      <c r="AY2950" s="22"/>
      <c r="AZ2950" s="22"/>
      <c r="BA2950" s="22"/>
      <c r="BB2950" s="22"/>
    </row>
    <row r="2951" spans="5:54" x14ac:dyDescent="0.35"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2"/>
      <c r="T2951" s="22"/>
      <c r="U2951" s="22"/>
      <c r="V2951" s="22"/>
      <c r="W2951" s="22"/>
      <c r="X2951" s="22"/>
      <c r="Y2951" s="22"/>
      <c r="Z2951" s="22"/>
      <c r="AA2951" s="22"/>
      <c r="AB2951" s="22"/>
      <c r="AC2951" s="22"/>
      <c r="AD2951" s="22"/>
      <c r="AE2951" s="22"/>
      <c r="AF2951" s="22"/>
      <c r="AG2951" s="22"/>
      <c r="AH2951" s="22"/>
      <c r="AI2951" s="22"/>
      <c r="AJ2951" s="22"/>
      <c r="AK2951" s="22"/>
      <c r="AL2951" s="22"/>
      <c r="AM2951" s="22"/>
      <c r="AN2951" s="22"/>
      <c r="AO2951" s="22"/>
      <c r="AP2951" s="22"/>
      <c r="AQ2951" s="22"/>
      <c r="AR2951" s="22"/>
      <c r="AS2951" s="22"/>
      <c r="AT2951" s="22"/>
      <c r="AU2951" s="22"/>
      <c r="AV2951" s="22"/>
      <c r="AW2951" s="22"/>
      <c r="AX2951" s="22"/>
      <c r="AY2951" s="22"/>
      <c r="AZ2951" s="22"/>
      <c r="BA2951" s="22"/>
      <c r="BB2951" s="22"/>
    </row>
    <row r="2952" spans="5:54" x14ac:dyDescent="0.35"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2"/>
      <c r="T2952" s="22"/>
      <c r="U2952" s="22"/>
      <c r="V2952" s="22"/>
      <c r="W2952" s="22"/>
      <c r="X2952" s="22"/>
      <c r="Y2952" s="22"/>
      <c r="Z2952" s="22"/>
      <c r="AA2952" s="22"/>
      <c r="AB2952" s="22"/>
      <c r="AC2952" s="22"/>
      <c r="AD2952" s="22"/>
      <c r="AE2952" s="22"/>
      <c r="AF2952" s="22"/>
      <c r="AG2952" s="22"/>
      <c r="AH2952" s="22"/>
      <c r="AI2952" s="22"/>
      <c r="AJ2952" s="22"/>
      <c r="AK2952" s="22"/>
      <c r="AL2952" s="22"/>
      <c r="AM2952" s="22"/>
      <c r="AN2952" s="22"/>
      <c r="AO2952" s="22"/>
      <c r="AP2952" s="22"/>
      <c r="AQ2952" s="22"/>
      <c r="AR2952" s="22"/>
      <c r="AS2952" s="22"/>
      <c r="AT2952" s="22"/>
      <c r="AU2952" s="22"/>
      <c r="AV2952" s="22"/>
      <c r="AW2952" s="22"/>
      <c r="AX2952" s="22"/>
      <c r="AY2952" s="22"/>
      <c r="AZ2952" s="22"/>
      <c r="BA2952" s="22"/>
      <c r="BB2952" s="22"/>
    </row>
    <row r="2953" spans="5:54" x14ac:dyDescent="0.35"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2"/>
      <c r="T2953" s="22"/>
      <c r="U2953" s="22"/>
      <c r="V2953" s="22"/>
      <c r="W2953" s="22"/>
      <c r="X2953" s="22"/>
      <c r="Y2953" s="22"/>
      <c r="Z2953" s="22"/>
      <c r="AA2953" s="22"/>
      <c r="AB2953" s="22"/>
      <c r="AC2953" s="22"/>
      <c r="AD2953" s="22"/>
      <c r="AE2953" s="22"/>
      <c r="AF2953" s="22"/>
      <c r="AG2953" s="22"/>
      <c r="AH2953" s="22"/>
      <c r="AI2953" s="22"/>
      <c r="AJ2953" s="22"/>
      <c r="AK2953" s="22"/>
      <c r="AL2953" s="22"/>
      <c r="AM2953" s="22"/>
      <c r="AN2953" s="22"/>
      <c r="AO2953" s="22"/>
      <c r="AP2953" s="22"/>
      <c r="AQ2953" s="22"/>
      <c r="AR2953" s="22"/>
      <c r="AS2953" s="22"/>
      <c r="AT2953" s="22"/>
      <c r="AU2953" s="22"/>
      <c r="AV2953" s="22"/>
      <c r="AW2953" s="22"/>
      <c r="AX2953" s="22"/>
      <c r="AY2953" s="22"/>
      <c r="AZ2953" s="22"/>
      <c r="BA2953" s="22"/>
      <c r="BB2953" s="22"/>
    </row>
    <row r="2954" spans="5:54" x14ac:dyDescent="0.35"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2"/>
      <c r="T2954" s="22"/>
      <c r="U2954" s="22"/>
      <c r="V2954" s="22"/>
      <c r="W2954" s="22"/>
      <c r="X2954" s="22"/>
      <c r="Y2954" s="22"/>
      <c r="Z2954" s="22"/>
      <c r="AA2954" s="22"/>
      <c r="AB2954" s="22"/>
      <c r="AC2954" s="22"/>
      <c r="AD2954" s="22"/>
      <c r="AE2954" s="22"/>
      <c r="AF2954" s="22"/>
      <c r="AG2954" s="22"/>
      <c r="AH2954" s="22"/>
      <c r="AI2954" s="22"/>
      <c r="AJ2954" s="22"/>
      <c r="AK2954" s="22"/>
      <c r="AL2954" s="22"/>
      <c r="AM2954" s="22"/>
      <c r="AN2954" s="22"/>
      <c r="AO2954" s="22"/>
      <c r="AP2954" s="22"/>
      <c r="AQ2954" s="22"/>
      <c r="AR2954" s="22"/>
      <c r="AS2954" s="22"/>
      <c r="AT2954" s="22"/>
      <c r="AU2954" s="22"/>
      <c r="AV2954" s="22"/>
      <c r="AW2954" s="22"/>
      <c r="AX2954" s="22"/>
      <c r="AY2954" s="22"/>
      <c r="AZ2954" s="22"/>
      <c r="BA2954" s="22"/>
      <c r="BB2954" s="22"/>
    </row>
    <row r="2955" spans="5:54" x14ac:dyDescent="0.35"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2"/>
      <c r="T2955" s="22"/>
      <c r="U2955" s="22"/>
      <c r="V2955" s="22"/>
      <c r="W2955" s="22"/>
      <c r="X2955" s="22"/>
      <c r="Y2955" s="22"/>
      <c r="Z2955" s="22"/>
      <c r="AA2955" s="22"/>
      <c r="AB2955" s="22"/>
      <c r="AC2955" s="22"/>
      <c r="AD2955" s="22"/>
      <c r="AE2955" s="22"/>
      <c r="AF2955" s="22"/>
      <c r="AG2955" s="22"/>
      <c r="AH2955" s="22"/>
      <c r="AI2955" s="22"/>
      <c r="AJ2955" s="22"/>
      <c r="AK2955" s="22"/>
      <c r="AL2955" s="22"/>
      <c r="AM2955" s="22"/>
      <c r="AN2955" s="22"/>
      <c r="AO2955" s="22"/>
      <c r="AP2955" s="22"/>
      <c r="AQ2955" s="22"/>
      <c r="AR2955" s="22"/>
      <c r="AS2955" s="22"/>
      <c r="AT2955" s="22"/>
      <c r="AU2955" s="22"/>
      <c r="AV2955" s="22"/>
      <c r="AW2955" s="22"/>
      <c r="AX2955" s="22"/>
      <c r="AY2955" s="22"/>
      <c r="AZ2955" s="22"/>
      <c r="BA2955" s="22"/>
      <c r="BB2955" s="22"/>
    </row>
    <row r="2956" spans="5:54" x14ac:dyDescent="0.35"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2"/>
      <c r="T2956" s="22"/>
      <c r="U2956" s="22"/>
      <c r="V2956" s="22"/>
      <c r="W2956" s="22"/>
      <c r="X2956" s="22"/>
      <c r="Y2956" s="22"/>
      <c r="Z2956" s="22"/>
      <c r="AA2956" s="22"/>
      <c r="AB2956" s="22"/>
      <c r="AC2956" s="22"/>
      <c r="AD2956" s="22"/>
      <c r="AE2956" s="22"/>
      <c r="AF2956" s="22"/>
      <c r="AG2956" s="22"/>
      <c r="AH2956" s="22"/>
      <c r="AI2956" s="22"/>
      <c r="AJ2956" s="22"/>
      <c r="AK2956" s="22"/>
      <c r="AL2956" s="22"/>
      <c r="AM2956" s="22"/>
      <c r="AN2956" s="22"/>
      <c r="AO2956" s="22"/>
      <c r="AP2956" s="22"/>
      <c r="AQ2956" s="22"/>
      <c r="AR2956" s="22"/>
      <c r="AS2956" s="22"/>
      <c r="AT2956" s="22"/>
      <c r="AU2956" s="22"/>
      <c r="AV2956" s="22"/>
      <c r="AW2956" s="22"/>
      <c r="AX2956" s="22"/>
      <c r="AY2956" s="22"/>
      <c r="AZ2956" s="22"/>
      <c r="BA2956" s="22"/>
      <c r="BB2956" s="22"/>
    </row>
    <row r="2957" spans="5:54" x14ac:dyDescent="0.35"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2"/>
      <c r="T2957" s="22"/>
      <c r="U2957" s="22"/>
      <c r="V2957" s="22"/>
      <c r="W2957" s="22"/>
      <c r="X2957" s="22"/>
      <c r="Y2957" s="22"/>
      <c r="Z2957" s="22"/>
      <c r="AA2957" s="22"/>
      <c r="AB2957" s="22"/>
      <c r="AC2957" s="22"/>
      <c r="AD2957" s="22"/>
      <c r="AE2957" s="22"/>
      <c r="AF2957" s="22"/>
      <c r="AG2957" s="22"/>
      <c r="AH2957" s="22"/>
      <c r="AI2957" s="22"/>
      <c r="AJ2957" s="22"/>
      <c r="AK2957" s="22"/>
      <c r="AL2957" s="22"/>
      <c r="AM2957" s="22"/>
      <c r="AN2957" s="22"/>
      <c r="AO2957" s="22"/>
      <c r="AP2957" s="22"/>
      <c r="AQ2957" s="22"/>
      <c r="AR2957" s="22"/>
      <c r="AS2957" s="22"/>
      <c r="AT2957" s="22"/>
      <c r="AU2957" s="22"/>
      <c r="AV2957" s="22"/>
      <c r="AW2957" s="22"/>
      <c r="AX2957" s="22"/>
      <c r="AY2957" s="22"/>
      <c r="AZ2957" s="22"/>
      <c r="BA2957" s="22"/>
      <c r="BB2957" s="22"/>
    </row>
    <row r="2958" spans="5:54" x14ac:dyDescent="0.35"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2"/>
      <c r="T2958" s="22"/>
      <c r="U2958" s="22"/>
      <c r="V2958" s="22"/>
      <c r="W2958" s="22"/>
      <c r="X2958" s="22"/>
      <c r="Y2958" s="22"/>
      <c r="Z2958" s="22"/>
      <c r="AA2958" s="22"/>
      <c r="AB2958" s="22"/>
      <c r="AC2958" s="22"/>
      <c r="AD2958" s="22"/>
      <c r="AE2958" s="22"/>
      <c r="AF2958" s="22"/>
      <c r="AG2958" s="22"/>
      <c r="AH2958" s="22"/>
      <c r="AI2958" s="22"/>
      <c r="AJ2958" s="22"/>
      <c r="AK2958" s="22"/>
      <c r="AL2958" s="22"/>
      <c r="AM2958" s="22"/>
      <c r="AN2958" s="22"/>
      <c r="AO2958" s="22"/>
      <c r="AP2958" s="22"/>
      <c r="AQ2958" s="22"/>
      <c r="AR2958" s="22"/>
      <c r="AS2958" s="22"/>
      <c r="AT2958" s="22"/>
      <c r="AU2958" s="22"/>
      <c r="AV2958" s="22"/>
      <c r="AW2958" s="22"/>
      <c r="AX2958" s="22"/>
      <c r="AY2958" s="22"/>
      <c r="AZ2958" s="22"/>
      <c r="BA2958" s="22"/>
      <c r="BB2958" s="22"/>
    </row>
    <row r="2959" spans="5:54" x14ac:dyDescent="0.35"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2"/>
      <c r="T2959" s="22"/>
      <c r="U2959" s="22"/>
      <c r="V2959" s="22"/>
      <c r="W2959" s="22"/>
      <c r="X2959" s="22"/>
      <c r="Y2959" s="22"/>
      <c r="Z2959" s="22"/>
      <c r="AA2959" s="22"/>
      <c r="AB2959" s="22"/>
      <c r="AC2959" s="22"/>
      <c r="AD2959" s="22"/>
      <c r="AE2959" s="22"/>
      <c r="AF2959" s="22"/>
      <c r="AG2959" s="22"/>
      <c r="AH2959" s="22"/>
      <c r="AI2959" s="22"/>
      <c r="AJ2959" s="22"/>
      <c r="AK2959" s="22"/>
      <c r="AL2959" s="22"/>
      <c r="AM2959" s="22"/>
      <c r="AN2959" s="22"/>
      <c r="AO2959" s="22"/>
      <c r="AP2959" s="22"/>
      <c r="AQ2959" s="22"/>
      <c r="AR2959" s="22"/>
      <c r="AS2959" s="22"/>
      <c r="AT2959" s="22"/>
      <c r="AU2959" s="22"/>
      <c r="AV2959" s="22"/>
      <c r="AW2959" s="22"/>
      <c r="AX2959" s="22"/>
      <c r="AY2959" s="22"/>
      <c r="AZ2959" s="22"/>
      <c r="BA2959" s="22"/>
      <c r="BB2959" s="22"/>
    </row>
    <row r="2960" spans="5:54" x14ac:dyDescent="0.35"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2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22"/>
      <c r="AD2960" s="22"/>
      <c r="AE2960" s="22"/>
      <c r="AF2960" s="22"/>
      <c r="AG2960" s="22"/>
      <c r="AH2960" s="22"/>
      <c r="AI2960" s="22"/>
      <c r="AJ2960" s="22"/>
      <c r="AK2960" s="22"/>
      <c r="AL2960" s="22"/>
      <c r="AM2960" s="22"/>
      <c r="AN2960" s="22"/>
      <c r="AO2960" s="22"/>
      <c r="AP2960" s="22"/>
      <c r="AQ2960" s="22"/>
      <c r="AR2960" s="22"/>
      <c r="AS2960" s="22"/>
      <c r="AT2960" s="22"/>
      <c r="AU2960" s="22"/>
      <c r="AV2960" s="22"/>
      <c r="AW2960" s="22"/>
      <c r="AX2960" s="22"/>
      <c r="AY2960" s="22"/>
      <c r="AZ2960" s="22"/>
      <c r="BA2960" s="22"/>
      <c r="BB2960" s="22"/>
    </row>
    <row r="2961" spans="5:54" x14ac:dyDescent="0.35"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2"/>
      <c r="T2961" s="22"/>
      <c r="U2961" s="22"/>
      <c r="V2961" s="22"/>
      <c r="W2961" s="22"/>
      <c r="X2961" s="22"/>
      <c r="Y2961" s="22"/>
      <c r="Z2961" s="22"/>
      <c r="AA2961" s="22"/>
      <c r="AB2961" s="22"/>
      <c r="AC2961" s="22"/>
      <c r="AD2961" s="22"/>
      <c r="AE2961" s="22"/>
      <c r="AF2961" s="22"/>
      <c r="AG2961" s="22"/>
      <c r="AH2961" s="22"/>
      <c r="AI2961" s="22"/>
      <c r="AJ2961" s="22"/>
      <c r="AK2961" s="22"/>
      <c r="AL2961" s="22"/>
      <c r="AM2961" s="22"/>
      <c r="AN2961" s="22"/>
      <c r="AO2961" s="22"/>
      <c r="AP2961" s="22"/>
      <c r="AQ2961" s="22"/>
      <c r="AR2961" s="22"/>
      <c r="AS2961" s="22"/>
      <c r="AT2961" s="22"/>
      <c r="AU2961" s="22"/>
      <c r="AV2961" s="22"/>
      <c r="AW2961" s="22"/>
      <c r="AX2961" s="22"/>
      <c r="AY2961" s="22"/>
      <c r="AZ2961" s="22"/>
      <c r="BA2961" s="22"/>
      <c r="BB2961" s="22"/>
    </row>
    <row r="2962" spans="5:54" x14ac:dyDescent="0.35"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2"/>
      <c r="T2962" s="22"/>
      <c r="U2962" s="22"/>
      <c r="V2962" s="22"/>
      <c r="W2962" s="22"/>
      <c r="X2962" s="22"/>
      <c r="Y2962" s="22"/>
      <c r="Z2962" s="22"/>
      <c r="AA2962" s="22"/>
      <c r="AB2962" s="22"/>
      <c r="AC2962" s="22"/>
      <c r="AD2962" s="22"/>
      <c r="AE2962" s="22"/>
      <c r="AF2962" s="22"/>
      <c r="AG2962" s="22"/>
      <c r="AH2962" s="22"/>
      <c r="AI2962" s="22"/>
      <c r="AJ2962" s="22"/>
      <c r="AK2962" s="22"/>
      <c r="AL2962" s="22"/>
      <c r="AM2962" s="22"/>
      <c r="AN2962" s="22"/>
      <c r="AO2962" s="22"/>
      <c r="AP2962" s="22"/>
      <c r="AQ2962" s="22"/>
      <c r="AR2962" s="22"/>
      <c r="AS2962" s="22"/>
      <c r="AT2962" s="22"/>
      <c r="AU2962" s="22"/>
      <c r="AV2962" s="22"/>
      <c r="AW2962" s="22"/>
      <c r="AX2962" s="22"/>
      <c r="AY2962" s="22"/>
      <c r="AZ2962" s="22"/>
      <c r="BA2962" s="22"/>
      <c r="BB2962" s="22"/>
    </row>
    <row r="2963" spans="5:54" x14ac:dyDescent="0.35"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2"/>
      <c r="T2963" s="22"/>
      <c r="U2963" s="22"/>
      <c r="V2963" s="22"/>
      <c r="W2963" s="22"/>
      <c r="X2963" s="22"/>
      <c r="Y2963" s="22"/>
      <c r="Z2963" s="22"/>
      <c r="AA2963" s="22"/>
      <c r="AB2963" s="22"/>
      <c r="AC2963" s="22"/>
      <c r="AD2963" s="22"/>
      <c r="AE2963" s="22"/>
      <c r="AF2963" s="22"/>
      <c r="AG2963" s="22"/>
      <c r="AH2963" s="22"/>
      <c r="AI2963" s="22"/>
      <c r="AJ2963" s="22"/>
      <c r="AK2963" s="22"/>
      <c r="AL2963" s="22"/>
      <c r="AM2963" s="22"/>
      <c r="AN2963" s="22"/>
      <c r="AO2963" s="22"/>
      <c r="AP2963" s="22"/>
      <c r="AQ2963" s="22"/>
      <c r="AR2963" s="22"/>
      <c r="AS2963" s="22"/>
      <c r="AT2963" s="22"/>
      <c r="AU2963" s="22"/>
      <c r="AV2963" s="22"/>
      <c r="AW2963" s="22"/>
      <c r="AX2963" s="22"/>
      <c r="AY2963" s="22"/>
      <c r="AZ2963" s="22"/>
      <c r="BA2963" s="22"/>
      <c r="BB2963" s="22"/>
    </row>
    <row r="2964" spans="5:54" x14ac:dyDescent="0.35"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2"/>
      <c r="T2964" s="22"/>
      <c r="U2964" s="22"/>
      <c r="V2964" s="22"/>
      <c r="W2964" s="22"/>
      <c r="X2964" s="22"/>
      <c r="Y2964" s="22"/>
      <c r="Z2964" s="22"/>
      <c r="AA2964" s="22"/>
      <c r="AB2964" s="22"/>
      <c r="AC2964" s="22"/>
      <c r="AD2964" s="22"/>
      <c r="AE2964" s="22"/>
      <c r="AF2964" s="22"/>
      <c r="AG2964" s="22"/>
      <c r="AH2964" s="22"/>
      <c r="AI2964" s="22"/>
      <c r="AJ2964" s="22"/>
      <c r="AK2964" s="22"/>
      <c r="AL2964" s="22"/>
      <c r="AM2964" s="22"/>
      <c r="AN2964" s="22"/>
      <c r="AO2964" s="22"/>
      <c r="AP2964" s="22"/>
      <c r="AQ2964" s="22"/>
      <c r="AR2964" s="22"/>
      <c r="AS2964" s="22"/>
      <c r="AT2964" s="22"/>
      <c r="AU2964" s="22"/>
      <c r="AV2964" s="22"/>
      <c r="AW2964" s="22"/>
      <c r="AX2964" s="22"/>
      <c r="AY2964" s="22"/>
      <c r="AZ2964" s="22"/>
      <c r="BA2964" s="22"/>
      <c r="BB2964" s="22"/>
    </row>
    <row r="2965" spans="5:54" x14ac:dyDescent="0.35"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2"/>
      <c r="T2965" s="22"/>
      <c r="U2965" s="22"/>
      <c r="V2965" s="22"/>
      <c r="W2965" s="22"/>
      <c r="X2965" s="22"/>
      <c r="Y2965" s="22"/>
      <c r="Z2965" s="22"/>
      <c r="AA2965" s="22"/>
      <c r="AB2965" s="22"/>
      <c r="AC2965" s="22"/>
      <c r="AD2965" s="22"/>
      <c r="AE2965" s="22"/>
      <c r="AF2965" s="22"/>
      <c r="AG2965" s="22"/>
      <c r="AH2965" s="22"/>
      <c r="AI2965" s="22"/>
      <c r="AJ2965" s="22"/>
      <c r="AK2965" s="22"/>
      <c r="AL2965" s="22"/>
      <c r="AM2965" s="22"/>
      <c r="AN2965" s="22"/>
      <c r="AO2965" s="22"/>
      <c r="AP2965" s="22"/>
      <c r="AQ2965" s="22"/>
      <c r="AR2965" s="22"/>
      <c r="AS2965" s="22"/>
      <c r="AT2965" s="22"/>
      <c r="AU2965" s="22"/>
      <c r="AV2965" s="22"/>
      <c r="AW2965" s="22"/>
      <c r="AX2965" s="22"/>
      <c r="AY2965" s="22"/>
      <c r="AZ2965" s="22"/>
      <c r="BA2965" s="22"/>
      <c r="BB2965" s="22"/>
    </row>
    <row r="2966" spans="5:54" x14ac:dyDescent="0.35"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2"/>
      <c r="T2966" s="22"/>
      <c r="U2966" s="22"/>
      <c r="V2966" s="22"/>
      <c r="W2966" s="22"/>
      <c r="X2966" s="22"/>
      <c r="Y2966" s="22"/>
      <c r="Z2966" s="22"/>
      <c r="AA2966" s="22"/>
      <c r="AB2966" s="22"/>
      <c r="AC2966" s="22"/>
      <c r="AD2966" s="22"/>
      <c r="AE2966" s="22"/>
      <c r="AF2966" s="22"/>
      <c r="AG2966" s="22"/>
      <c r="AH2966" s="22"/>
      <c r="AI2966" s="22"/>
      <c r="AJ2966" s="22"/>
      <c r="AK2966" s="22"/>
      <c r="AL2966" s="22"/>
      <c r="AM2966" s="22"/>
      <c r="AN2966" s="22"/>
      <c r="AO2966" s="22"/>
      <c r="AP2966" s="22"/>
      <c r="AQ2966" s="22"/>
      <c r="AR2966" s="22"/>
      <c r="AS2966" s="22"/>
      <c r="AT2966" s="22"/>
      <c r="AU2966" s="22"/>
      <c r="AV2966" s="22"/>
      <c r="AW2966" s="22"/>
      <c r="AX2966" s="22"/>
      <c r="AY2966" s="22"/>
      <c r="AZ2966" s="22"/>
      <c r="BA2966" s="22"/>
      <c r="BB2966" s="22"/>
    </row>
    <row r="2967" spans="5:54" x14ac:dyDescent="0.35"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2"/>
      <c r="T2967" s="22"/>
      <c r="U2967" s="22"/>
      <c r="V2967" s="22"/>
      <c r="W2967" s="22"/>
      <c r="X2967" s="22"/>
      <c r="Y2967" s="22"/>
      <c r="Z2967" s="22"/>
      <c r="AA2967" s="22"/>
      <c r="AB2967" s="22"/>
      <c r="AC2967" s="22"/>
      <c r="AD2967" s="22"/>
      <c r="AE2967" s="22"/>
      <c r="AF2967" s="22"/>
      <c r="AG2967" s="22"/>
      <c r="AH2967" s="22"/>
      <c r="AI2967" s="22"/>
      <c r="AJ2967" s="22"/>
      <c r="AK2967" s="22"/>
      <c r="AL2967" s="22"/>
      <c r="AM2967" s="22"/>
      <c r="AN2967" s="22"/>
      <c r="AO2967" s="22"/>
      <c r="AP2967" s="22"/>
      <c r="AQ2967" s="22"/>
      <c r="AR2967" s="22"/>
      <c r="AS2967" s="22"/>
      <c r="AT2967" s="22"/>
      <c r="AU2967" s="22"/>
      <c r="AV2967" s="22"/>
      <c r="AW2967" s="22"/>
      <c r="AX2967" s="22"/>
      <c r="AY2967" s="22"/>
      <c r="AZ2967" s="22"/>
      <c r="BA2967" s="22"/>
      <c r="BB2967" s="22"/>
    </row>
    <row r="2968" spans="5:54" x14ac:dyDescent="0.35"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2"/>
      <c r="T2968" s="22"/>
      <c r="U2968" s="22"/>
      <c r="V2968" s="22"/>
      <c r="W2968" s="22"/>
      <c r="X2968" s="22"/>
      <c r="Y2968" s="22"/>
      <c r="Z2968" s="22"/>
      <c r="AA2968" s="22"/>
      <c r="AB2968" s="22"/>
      <c r="AC2968" s="22"/>
      <c r="AD2968" s="22"/>
      <c r="AE2968" s="22"/>
      <c r="AF2968" s="22"/>
      <c r="AG2968" s="22"/>
      <c r="AH2968" s="22"/>
      <c r="AI2968" s="22"/>
      <c r="AJ2968" s="22"/>
      <c r="AK2968" s="22"/>
      <c r="AL2968" s="22"/>
      <c r="AM2968" s="22"/>
      <c r="AN2968" s="22"/>
      <c r="AO2968" s="22"/>
      <c r="AP2968" s="22"/>
      <c r="AQ2968" s="22"/>
      <c r="AR2968" s="22"/>
      <c r="AS2968" s="22"/>
      <c r="AT2968" s="22"/>
      <c r="AU2968" s="22"/>
      <c r="AV2968" s="22"/>
      <c r="AW2968" s="22"/>
      <c r="AX2968" s="22"/>
      <c r="AY2968" s="22"/>
      <c r="AZ2968" s="22"/>
      <c r="BA2968" s="22"/>
      <c r="BB2968" s="22"/>
    </row>
    <row r="2969" spans="5:54" x14ac:dyDescent="0.35"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2"/>
      <c r="T2969" s="22"/>
      <c r="U2969" s="22"/>
      <c r="V2969" s="22"/>
      <c r="W2969" s="22"/>
      <c r="X2969" s="22"/>
      <c r="Y2969" s="22"/>
      <c r="Z2969" s="22"/>
      <c r="AA2969" s="22"/>
      <c r="AB2969" s="22"/>
      <c r="AC2969" s="22"/>
      <c r="AD2969" s="22"/>
      <c r="AE2969" s="22"/>
      <c r="AF2969" s="22"/>
      <c r="AG2969" s="22"/>
      <c r="AH2969" s="22"/>
      <c r="AI2969" s="22"/>
      <c r="AJ2969" s="22"/>
      <c r="AK2969" s="22"/>
      <c r="AL2969" s="22"/>
      <c r="AM2969" s="22"/>
      <c r="AN2969" s="22"/>
      <c r="AO2969" s="22"/>
      <c r="AP2969" s="22"/>
      <c r="AQ2969" s="22"/>
      <c r="AR2969" s="22"/>
      <c r="AS2969" s="22"/>
      <c r="AT2969" s="22"/>
      <c r="AU2969" s="22"/>
      <c r="AV2969" s="22"/>
      <c r="AW2969" s="22"/>
      <c r="AX2969" s="22"/>
      <c r="AY2969" s="22"/>
      <c r="AZ2969" s="22"/>
      <c r="BA2969" s="22"/>
      <c r="BB2969" s="22"/>
    </row>
    <row r="2970" spans="5:54" x14ac:dyDescent="0.35"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2"/>
      <c r="T2970" s="22"/>
      <c r="U2970" s="22"/>
      <c r="V2970" s="22"/>
      <c r="W2970" s="22"/>
      <c r="X2970" s="22"/>
      <c r="Y2970" s="22"/>
      <c r="Z2970" s="22"/>
      <c r="AA2970" s="22"/>
      <c r="AB2970" s="22"/>
      <c r="AC2970" s="22"/>
      <c r="AD2970" s="22"/>
      <c r="AE2970" s="22"/>
      <c r="AF2970" s="22"/>
      <c r="AG2970" s="22"/>
      <c r="AH2970" s="22"/>
      <c r="AI2970" s="22"/>
      <c r="AJ2970" s="22"/>
      <c r="AK2970" s="22"/>
      <c r="AL2970" s="22"/>
      <c r="AM2970" s="22"/>
      <c r="AN2970" s="22"/>
      <c r="AO2970" s="22"/>
      <c r="AP2970" s="22"/>
      <c r="AQ2970" s="22"/>
      <c r="AR2970" s="22"/>
      <c r="AS2970" s="22"/>
      <c r="AT2970" s="22"/>
      <c r="AU2970" s="22"/>
      <c r="AV2970" s="22"/>
      <c r="AW2970" s="22"/>
      <c r="AX2970" s="22"/>
      <c r="AY2970" s="22"/>
      <c r="AZ2970" s="22"/>
      <c r="BA2970" s="22"/>
      <c r="BB2970" s="22"/>
    </row>
    <row r="2971" spans="5:54" x14ac:dyDescent="0.35"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2"/>
      <c r="T2971" s="22"/>
      <c r="U2971" s="22"/>
      <c r="V2971" s="22"/>
      <c r="W2971" s="22"/>
      <c r="X2971" s="22"/>
      <c r="Y2971" s="22"/>
      <c r="Z2971" s="22"/>
      <c r="AA2971" s="22"/>
      <c r="AB2971" s="22"/>
      <c r="AC2971" s="22"/>
      <c r="AD2971" s="22"/>
      <c r="AE2971" s="22"/>
      <c r="AF2971" s="22"/>
      <c r="AG2971" s="22"/>
      <c r="AH2971" s="22"/>
      <c r="AI2971" s="22"/>
      <c r="AJ2971" s="22"/>
      <c r="AK2971" s="22"/>
      <c r="AL2971" s="22"/>
      <c r="AM2971" s="22"/>
      <c r="AN2971" s="22"/>
      <c r="AO2971" s="22"/>
      <c r="AP2971" s="22"/>
      <c r="AQ2971" s="22"/>
      <c r="AR2971" s="22"/>
      <c r="AS2971" s="22"/>
      <c r="AT2971" s="22"/>
      <c r="AU2971" s="22"/>
      <c r="AV2971" s="22"/>
      <c r="AW2971" s="22"/>
      <c r="AX2971" s="22"/>
      <c r="AY2971" s="22"/>
      <c r="AZ2971" s="22"/>
      <c r="BA2971" s="22"/>
      <c r="BB2971" s="22"/>
    </row>
    <row r="2972" spans="5:54" x14ac:dyDescent="0.35"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2"/>
      <c r="T2972" s="22"/>
      <c r="U2972" s="22"/>
      <c r="V2972" s="22"/>
      <c r="W2972" s="22"/>
      <c r="X2972" s="22"/>
      <c r="Y2972" s="22"/>
      <c r="Z2972" s="22"/>
      <c r="AA2972" s="22"/>
      <c r="AB2972" s="22"/>
      <c r="AC2972" s="22"/>
      <c r="AD2972" s="22"/>
      <c r="AE2972" s="22"/>
      <c r="AF2972" s="22"/>
      <c r="AG2972" s="22"/>
      <c r="AH2972" s="22"/>
      <c r="AI2972" s="22"/>
      <c r="AJ2972" s="22"/>
      <c r="AK2972" s="22"/>
      <c r="AL2972" s="22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2"/>
      <c r="BB2972" s="22"/>
    </row>
    <row r="2973" spans="5:54" x14ac:dyDescent="0.35"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2"/>
      <c r="T2973" s="22"/>
      <c r="U2973" s="22"/>
      <c r="V2973" s="22"/>
      <c r="W2973" s="22"/>
      <c r="X2973" s="22"/>
      <c r="Y2973" s="22"/>
      <c r="Z2973" s="22"/>
      <c r="AA2973" s="22"/>
      <c r="AB2973" s="22"/>
      <c r="AC2973" s="22"/>
      <c r="AD2973" s="22"/>
      <c r="AE2973" s="22"/>
      <c r="AF2973" s="22"/>
      <c r="AG2973" s="22"/>
      <c r="AH2973" s="22"/>
      <c r="AI2973" s="22"/>
      <c r="AJ2973" s="22"/>
      <c r="AK2973" s="22"/>
      <c r="AL2973" s="22"/>
      <c r="AM2973" s="22"/>
      <c r="AN2973" s="22"/>
      <c r="AO2973" s="22"/>
      <c r="AP2973" s="22"/>
      <c r="AQ2973" s="22"/>
      <c r="AR2973" s="22"/>
      <c r="AS2973" s="22"/>
      <c r="AT2973" s="22"/>
      <c r="AU2973" s="22"/>
      <c r="AV2973" s="22"/>
      <c r="AW2973" s="22"/>
      <c r="AX2973" s="22"/>
      <c r="AY2973" s="22"/>
      <c r="AZ2973" s="22"/>
      <c r="BA2973" s="22"/>
      <c r="BB2973" s="22"/>
    </row>
    <row r="2974" spans="5:54" x14ac:dyDescent="0.35"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2"/>
      <c r="T2974" s="22"/>
      <c r="U2974" s="22"/>
      <c r="V2974" s="22"/>
      <c r="W2974" s="22"/>
      <c r="X2974" s="22"/>
      <c r="Y2974" s="22"/>
      <c r="Z2974" s="22"/>
      <c r="AA2974" s="22"/>
      <c r="AB2974" s="22"/>
      <c r="AC2974" s="22"/>
      <c r="AD2974" s="22"/>
      <c r="AE2974" s="22"/>
      <c r="AF2974" s="22"/>
      <c r="AG2974" s="22"/>
      <c r="AH2974" s="22"/>
      <c r="AI2974" s="22"/>
      <c r="AJ2974" s="22"/>
      <c r="AK2974" s="22"/>
      <c r="AL2974" s="22"/>
      <c r="AM2974" s="22"/>
      <c r="AN2974" s="22"/>
      <c r="AO2974" s="22"/>
      <c r="AP2974" s="22"/>
      <c r="AQ2974" s="22"/>
      <c r="AR2974" s="22"/>
      <c r="AS2974" s="22"/>
      <c r="AT2974" s="22"/>
      <c r="AU2974" s="22"/>
      <c r="AV2974" s="22"/>
      <c r="AW2974" s="22"/>
      <c r="AX2974" s="22"/>
      <c r="AY2974" s="22"/>
      <c r="AZ2974" s="22"/>
      <c r="BA2974" s="22"/>
      <c r="BB2974" s="22"/>
    </row>
    <row r="2975" spans="5:54" x14ac:dyDescent="0.35"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2"/>
      <c r="T2975" s="22"/>
      <c r="U2975" s="22"/>
      <c r="V2975" s="22"/>
      <c r="W2975" s="22"/>
      <c r="X2975" s="22"/>
      <c r="Y2975" s="22"/>
      <c r="Z2975" s="22"/>
      <c r="AA2975" s="22"/>
      <c r="AB2975" s="22"/>
      <c r="AC2975" s="22"/>
      <c r="AD2975" s="22"/>
      <c r="AE2975" s="22"/>
      <c r="AF2975" s="22"/>
      <c r="AG2975" s="22"/>
      <c r="AH2975" s="22"/>
      <c r="AI2975" s="22"/>
      <c r="AJ2975" s="22"/>
      <c r="AK2975" s="22"/>
      <c r="AL2975" s="22"/>
      <c r="AM2975" s="22"/>
      <c r="AN2975" s="22"/>
      <c r="AO2975" s="22"/>
      <c r="AP2975" s="22"/>
      <c r="AQ2975" s="22"/>
      <c r="AR2975" s="22"/>
      <c r="AS2975" s="22"/>
      <c r="AT2975" s="22"/>
      <c r="AU2975" s="22"/>
      <c r="AV2975" s="22"/>
      <c r="AW2975" s="22"/>
      <c r="AX2975" s="22"/>
      <c r="AY2975" s="22"/>
      <c r="AZ2975" s="22"/>
      <c r="BA2975" s="22"/>
      <c r="BB2975" s="22"/>
    </row>
    <row r="2976" spans="5:54" x14ac:dyDescent="0.35"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2"/>
      <c r="T2976" s="22"/>
      <c r="U2976" s="22"/>
      <c r="V2976" s="22"/>
      <c r="W2976" s="22"/>
      <c r="X2976" s="22"/>
      <c r="Y2976" s="22"/>
      <c r="Z2976" s="22"/>
      <c r="AA2976" s="22"/>
      <c r="AB2976" s="22"/>
      <c r="AC2976" s="22"/>
      <c r="AD2976" s="22"/>
      <c r="AE2976" s="22"/>
      <c r="AF2976" s="22"/>
      <c r="AG2976" s="22"/>
      <c r="AH2976" s="22"/>
      <c r="AI2976" s="22"/>
      <c r="AJ2976" s="22"/>
      <c r="AK2976" s="22"/>
      <c r="AL2976" s="22"/>
      <c r="AM2976" s="22"/>
      <c r="AN2976" s="22"/>
      <c r="AO2976" s="22"/>
      <c r="AP2976" s="22"/>
      <c r="AQ2976" s="22"/>
      <c r="AR2976" s="22"/>
      <c r="AS2976" s="22"/>
      <c r="AT2976" s="22"/>
      <c r="AU2976" s="22"/>
      <c r="AV2976" s="22"/>
      <c r="AW2976" s="22"/>
      <c r="AX2976" s="22"/>
      <c r="AY2976" s="22"/>
      <c r="AZ2976" s="22"/>
      <c r="BA2976" s="22"/>
      <c r="BB2976" s="22"/>
    </row>
    <row r="2977" spans="5:54" x14ac:dyDescent="0.35"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2"/>
      <c r="T2977" s="22"/>
      <c r="U2977" s="22"/>
      <c r="V2977" s="22"/>
      <c r="W2977" s="22"/>
      <c r="X2977" s="22"/>
      <c r="Y2977" s="22"/>
      <c r="Z2977" s="22"/>
      <c r="AA2977" s="22"/>
      <c r="AB2977" s="22"/>
      <c r="AC2977" s="22"/>
      <c r="AD2977" s="22"/>
      <c r="AE2977" s="22"/>
      <c r="AF2977" s="22"/>
      <c r="AG2977" s="22"/>
      <c r="AH2977" s="22"/>
      <c r="AI2977" s="22"/>
      <c r="AJ2977" s="22"/>
      <c r="AK2977" s="22"/>
      <c r="AL2977" s="22"/>
      <c r="AM2977" s="22"/>
      <c r="AN2977" s="22"/>
      <c r="AO2977" s="22"/>
      <c r="AP2977" s="22"/>
      <c r="AQ2977" s="22"/>
      <c r="AR2977" s="22"/>
      <c r="AS2977" s="22"/>
      <c r="AT2977" s="22"/>
      <c r="AU2977" s="22"/>
      <c r="AV2977" s="22"/>
      <c r="AW2977" s="22"/>
      <c r="AX2977" s="22"/>
      <c r="AY2977" s="22"/>
      <c r="AZ2977" s="22"/>
      <c r="BA2977" s="22"/>
      <c r="BB2977" s="22"/>
    </row>
    <row r="2978" spans="5:54" x14ac:dyDescent="0.35"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22"/>
      <c r="AQ2978" s="22"/>
      <c r="AR2978" s="22"/>
      <c r="AS2978" s="22"/>
      <c r="AT2978" s="22"/>
      <c r="AU2978" s="22"/>
      <c r="AV2978" s="22"/>
      <c r="AW2978" s="22"/>
      <c r="AX2978" s="22"/>
      <c r="AY2978" s="22"/>
      <c r="AZ2978" s="22"/>
      <c r="BA2978" s="22"/>
      <c r="BB2978" s="22"/>
    </row>
    <row r="2979" spans="5:54" x14ac:dyDescent="0.35"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2"/>
      <c r="T2979" s="22"/>
      <c r="U2979" s="22"/>
      <c r="V2979" s="22"/>
      <c r="W2979" s="22"/>
      <c r="X2979" s="22"/>
      <c r="Y2979" s="22"/>
      <c r="Z2979" s="22"/>
      <c r="AA2979" s="22"/>
      <c r="AB2979" s="22"/>
      <c r="AC2979" s="22"/>
      <c r="AD2979" s="22"/>
      <c r="AE2979" s="22"/>
      <c r="AF2979" s="22"/>
      <c r="AG2979" s="22"/>
      <c r="AH2979" s="22"/>
      <c r="AI2979" s="22"/>
      <c r="AJ2979" s="22"/>
      <c r="AK2979" s="22"/>
      <c r="AL2979" s="22"/>
      <c r="AM2979" s="22"/>
      <c r="AN2979" s="22"/>
      <c r="AO2979" s="22"/>
      <c r="AP2979" s="22"/>
      <c r="AQ2979" s="22"/>
      <c r="AR2979" s="22"/>
      <c r="AS2979" s="22"/>
      <c r="AT2979" s="22"/>
      <c r="AU2979" s="22"/>
      <c r="AV2979" s="22"/>
      <c r="AW2979" s="22"/>
      <c r="AX2979" s="22"/>
      <c r="AY2979" s="22"/>
      <c r="AZ2979" s="22"/>
      <c r="BA2979" s="22"/>
      <c r="BB2979" s="22"/>
    </row>
    <row r="2980" spans="5:54" x14ac:dyDescent="0.35"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2"/>
      <c r="T2980" s="22"/>
      <c r="U2980" s="22"/>
      <c r="V2980" s="22"/>
      <c r="W2980" s="22"/>
      <c r="X2980" s="22"/>
      <c r="Y2980" s="22"/>
      <c r="Z2980" s="22"/>
      <c r="AA2980" s="22"/>
      <c r="AB2980" s="22"/>
      <c r="AC2980" s="22"/>
      <c r="AD2980" s="22"/>
      <c r="AE2980" s="22"/>
      <c r="AF2980" s="22"/>
      <c r="AG2980" s="22"/>
      <c r="AH2980" s="22"/>
      <c r="AI2980" s="22"/>
      <c r="AJ2980" s="22"/>
      <c r="AK2980" s="22"/>
      <c r="AL2980" s="22"/>
      <c r="AM2980" s="22"/>
      <c r="AN2980" s="22"/>
      <c r="AO2980" s="22"/>
      <c r="AP2980" s="22"/>
      <c r="AQ2980" s="22"/>
      <c r="AR2980" s="22"/>
      <c r="AS2980" s="22"/>
      <c r="AT2980" s="22"/>
      <c r="AU2980" s="22"/>
      <c r="AV2980" s="22"/>
      <c r="AW2980" s="22"/>
      <c r="AX2980" s="22"/>
      <c r="AY2980" s="22"/>
      <c r="AZ2980" s="22"/>
      <c r="BA2980" s="22"/>
      <c r="BB2980" s="22"/>
    </row>
    <row r="2981" spans="5:54" x14ac:dyDescent="0.35"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2"/>
      <c r="T2981" s="22"/>
      <c r="U2981" s="22"/>
      <c r="V2981" s="22"/>
      <c r="W2981" s="22"/>
      <c r="X2981" s="22"/>
      <c r="Y2981" s="22"/>
      <c r="Z2981" s="22"/>
      <c r="AA2981" s="22"/>
      <c r="AB2981" s="22"/>
      <c r="AC2981" s="22"/>
      <c r="AD2981" s="22"/>
      <c r="AE2981" s="22"/>
      <c r="AF2981" s="22"/>
      <c r="AG2981" s="22"/>
      <c r="AH2981" s="22"/>
      <c r="AI2981" s="22"/>
      <c r="AJ2981" s="22"/>
      <c r="AK2981" s="22"/>
      <c r="AL2981" s="22"/>
      <c r="AM2981" s="22"/>
      <c r="AN2981" s="22"/>
      <c r="AO2981" s="22"/>
      <c r="AP2981" s="22"/>
      <c r="AQ2981" s="22"/>
      <c r="AR2981" s="22"/>
      <c r="AS2981" s="22"/>
      <c r="AT2981" s="22"/>
      <c r="AU2981" s="22"/>
      <c r="AV2981" s="22"/>
      <c r="AW2981" s="22"/>
      <c r="AX2981" s="22"/>
      <c r="AY2981" s="22"/>
      <c r="AZ2981" s="22"/>
      <c r="BA2981" s="22"/>
      <c r="BB2981" s="22"/>
    </row>
    <row r="2982" spans="5:54" x14ac:dyDescent="0.35"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2"/>
      <c r="T2982" s="22"/>
      <c r="U2982" s="22"/>
      <c r="V2982" s="22"/>
      <c r="W2982" s="22"/>
      <c r="X2982" s="22"/>
      <c r="Y2982" s="22"/>
      <c r="Z2982" s="22"/>
      <c r="AA2982" s="22"/>
      <c r="AB2982" s="22"/>
      <c r="AC2982" s="22"/>
      <c r="AD2982" s="22"/>
      <c r="AE2982" s="22"/>
      <c r="AF2982" s="22"/>
      <c r="AG2982" s="22"/>
      <c r="AH2982" s="22"/>
      <c r="AI2982" s="22"/>
      <c r="AJ2982" s="22"/>
      <c r="AK2982" s="22"/>
      <c r="AL2982" s="22"/>
      <c r="AM2982" s="22"/>
      <c r="AN2982" s="22"/>
      <c r="AO2982" s="22"/>
      <c r="AP2982" s="22"/>
      <c r="AQ2982" s="22"/>
      <c r="AR2982" s="22"/>
      <c r="AS2982" s="22"/>
      <c r="AT2982" s="22"/>
      <c r="AU2982" s="22"/>
      <c r="AV2982" s="22"/>
      <c r="AW2982" s="22"/>
      <c r="AX2982" s="22"/>
      <c r="AY2982" s="22"/>
      <c r="AZ2982" s="22"/>
      <c r="BA2982" s="22"/>
      <c r="BB2982" s="22"/>
    </row>
    <row r="2983" spans="5:54" x14ac:dyDescent="0.35"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2"/>
      <c r="T2983" s="22"/>
      <c r="U2983" s="22"/>
      <c r="V2983" s="22"/>
      <c r="W2983" s="22"/>
      <c r="X2983" s="22"/>
      <c r="Y2983" s="22"/>
      <c r="Z2983" s="22"/>
      <c r="AA2983" s="22"/>
      <c r="AB2983" s="22"/>
      <c r="AC2983" s="22"/>
      <c r="AD2983" s="22"/>
      <c r="AE2983" s="22"/>
      <c r="AF2983" s="22"/>
      <c r="AG2983" s="22"/>
      <c r="AH2983" s="22"/>
      <c r="AI2983" s="22"/>
      <c r="AJ2983" s="22"/>
      <c r="AK2983" s="22"/>
      <c r="AL2983" s="22"/>
      <c r="AM2983" s="22"/>
      <c r="AN2983" s="22"/>
      <c r="AO2983" s="22"/>
      <c r="AP2983" s="22"/>
      <c r="AQ2983" s="22"/>
      <c r="AR2983" s="22"/>
      <c r="AS2983" s="22"/>
      <c r="AT2983" s="22"/>
      <c r="AU2983" s="22"/>
      <c r="AV2983" s="22"/>
      <c r="AW2983" s="22"/>
      <c r="AX2983" s="22"/>
      <c r="AY2983" s="22"/>
      <c r="AZ2983" s="22"/>
      <c r="BA2983" s="22"/>
      <c r="BB2983" s="22"/>
    </row>
    <row r="2984" spans="5:54" x14ac:dyDescent="0.35"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2"/>
      <c r="T2984" s="22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22"/>
      <c r="AO2984" s="22"/>
      <c r="AP2984" s="22"/>
      <c r="AQ2984" s="22"/>
      <c r="AR2984" s="22"/>
      <c r="AS2984" s="22"/>
      <c r="AT2984" s="22"/>
      <c r="AU2984" s="22"/>
      <c r="AV2984" s="22"/>
      <c r="AW2984" s="22"/>
      <c r="AX2984" s="22"/>
      <c r="AY2984" s="22"/>
      <c r="AZ2984" s="22"/>
      <c r="BA2984" s="22"/>
      <c r="BB2984" s="22"/>
    </row>
    <row r="2985" spans="5:54" x14ac:dyDescent="0.35"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2"/>
      <c r="T2985" s="22"/>
      <c r="U2985" s="22"/>
      <c r="V2985" s="22"/>
      <c r="W2985" s="22"/>
      <c r="X2985" s="22"/>
      <c r="Y2985" s="22"/>
      <c r="Z2985" s="22"/>
      <c r="AA2985" s="22"/>
      <c r="AB2985" s="22"/>
      <c r="AC2985" s="22"/>
      <c r="AD2985" s="22"/>
      <c r="AE2985" s="22"/>
      <c r="AF2985" s="22"/>
      <c r="AG2985" s="22"/>
      <c r="AH2985" s="22"/>
      <c r="AI2985" s="22"/>
      <c r="AJ2985" s="22"/>
      <c r="AK2985" s="22"/>
      <c r="AL2985" s="22"/>
      <c r="AM2985" s="22"/>
      <c r="AN2985" s="22"/>
      <c r="AO2985" s="22"/>
      <c r="AP2985" s="22"/>
      <c r="AQ2985" s="22"/>
      <c r="AR2985" s="22"/>
      <c r="AS2985" s="22"/>
      <c r="AT2985" s="22"/>
      <c r="AU2985" s="22"/>
      <c r="AV2985" s="22"/>
      <c r="AW2985" s="22"/>
      <c r="AX2985" s="22"/>
      <c r="AY2985" s="22"/>
      <c r="AZ2985" s="22"/>
      <c r="BA2985" s="22"/>
      <c r="BB2985" s="22"/>
    </row>
    <row r="2986" spans="5:54" x14ac:dyDescent="0.35"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2"/>
      <c r="T2986" s="22"/>
      <c r="U2986" s="22"/>
      <c r="V2986" s="22"/>
      <c r="W2986" s="22"/>
      <c r="X2986" s="22"/>
      <c r="Y2986" s="22"/>
      <c r="Z2986" s="22"/>
      <c r="AA2986" s="22"/>
      <c r="AB2986" s="22"/>
      <c r="AC2986" s="22"/>
      <c r="AD2986" s="22"/>
      <c r="AE2986" s="22"/>
      <c r="AF2986" s="22"/>
      <c r="AG2986" s="22"/>
      <c r="AH2986" s="22"/>
      <c r="AI2986" s="22"/>
      <c r="AJ2986" s="22"/>
      <c r="AK2986" s="22"/>
      <c r="AL2986" s="22"/>
      <c r="AM2986" s="22"/>
      <c r="AN2986" s="22"/>
      <c r="AO2986" s="22"/>
      <c r="AP2986" s="22"/>
      <c r="AQ2986" s="22"/>
      <c r="AR2986" s="22"/>
      <c r="AS2986" s="22"/>
      <c r="AT2986" s="22"/>
      <c r="AU2986" s="22"/>
      <c r="AV2986" s="22"/>
      <c r="AW2986" s="22"/>
      <c r="AX2986" s="22"/>
      <c r="AY2986" s="22"/>
      <c r="AZ2986" s="22"/>
      <c r="BA2986" s="22"/>
      <c r="BB2986" s="22"/>
    </row>
    <row r="2987" spans="5:54" x14ac:dyDescent="0.35"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2"/>
      <c r="T2987" s="22"/>
      <c r="U2987" s="22"/>
      <c r="V2987" s="22"/>
      <c r="W2987" s="22"/>
      <c r="X2987" s="22"/>
      <c r="Y2987" s="22"/>
      <c r="Z2987" s="22"/>
      <c r="AA2987" s="22"/>
      <c r="AB2987" s="22"/>
      <c r="AC2987" s="22"/>
      <c r="AD2987" s="22"/>
      <c r="AE2987" s="22"/>
      <c r="AF2987" s="22"/>
      <c r="AG2987" s="22"/>
      <c r="AH2987" s="22"/>
      <c r="AI2987" s="22"/>
      <c r="AJ2987" s="22"/>
      <c r="AK2987" s="22"/>
      <c r="AL2987" s="22"/>
      <c r="AM2987" s="22"/>
      <c r="AN2987" s="22"/>
      <c r="AO2987" s="22"/>
      <c r="AP2987" s="22"/>
      <c r="AQ2987" s="22"/>
      <c r="AR2987" s="22"/>
      <c r="AS2987" s="22"/>
      <c r="AT2987" s="22"/>
      <c r="AU2987" s="22"/>
      <c r="AV2987" s="22"/>
      <c r="AW2987" s="22"/>
      <c r="AX2987" s="22"/>
      <c r="AY2987" s="22"/>
      <c r="AZ2987" s="22"/>
      <c r="BA2987" s="22"/>
      <c r="BB2987" s="22"/>
    </row>
    <row r="2988" spans="5:54" x14ac:dyDescent="0.35"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2"/>
      <c r="T2988" s="22"/>
      <c r="U2988" s="22"/>
      <c r="V2988" s="22"/>
      <c r="W2988" s="22"/>
      <c r="X2988" s="22"/>
      <c r="Y2988" s="22"/>
      <c r="Z2988" s="22"/>
      <c r="AA2988" s="22"/>
      <c r="AB2988" s="22"/>
      <c r="AC2988" s="22"/>
      <c r="AD2988" s="22"/>
      <c r="AE2988" s="22"/>
      <c r="AF2988" s="22"/>
      <c r="AG2988" s="22"/>
      <c r="AH2988" s="22"/>
      <c r="AI2988" s="22"/>
      <c r="AJ2988" s="22"/>
      <c r="AK2988" s="22"/>
      <c r="AL2988" s="22"/>
      <c r="AM2988" s="22"/>
      <c r="AN2988" s="22"/>
      <c r="AO2988" s="22"/>
      <c r="AP2988" s="22"/>
      <c r="AQ2988" s="22"/>
      <c r="AR2988" s="22"/>
      <c r="AS2988" s="22"/>
      <c r="AT2988" s="22"/>
      <c r="AU2988" s="22"/>
      <c r="AV2988" s="22"/>
      <c r="AW2988" s="22"/>
      <c r="AX2988" s="22"/>
      <c r="AY2988" s="22"/>
      <c r="AZ2988" s="22"/>
      <c r="BA2988" s="22"/>
      <c r="BB2988" s="22"/>
    </row>
    <row r="2989" spans="5:54" x14ac:dyDescent="0.35"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2"/>
      <c r="T2989" s="22"/>
      <c r="U2989" s="22"/>
      <c r="V2989" s="22"/>
      <c r="W2989" s="22"/>
      <c r="X2989" s="22"/>
      <c r="Y2989" s="22"/>
      <c r="Z2989" s="22"/>
      <c r="AA2989" s="22"/>
      <c r="AB2989" s="22"/>
      <c r="AC2989" s="22"/>
      <c r="AD2989" s="22"/>
      <c r="AE2989" s="22"/>
      <c r="AF2989" s="22"/>
      <c r="AG2989" s="22"/>
      <c r="AH2989" s="22"/>
      <c r="AI2989" s="22"/>
      <c r="AJ2989" s="22"/>
      <c r="AK2989" s="22"/>
      <c r="AL2989" s="22"/>
      <c r="AM2989" s="22"/>
      <c r="AN2989" s="22"/>
      <c r="AO2989" s="22"/>
      <c r="AP2989" s="22"/>
      <c r="AQ2989" s="22"/>
      <c r="AR2989" s="22"/>
      <c r="AS2989" s="22"/>
      <c r="AT2989" s="22"/>
      <c r="AU2989" s="22"/>
      <c r="AV2989" s="22"/>
      <c r="AW2989" s="22"/>
      <c r="AX2989" s="22"/>
      <c r="AY2989" s="22"/>
      <c r="AZ2989" s="22"/>
      <c r="BA2989" s="22"/>
      <c r="BB2989" s="22"/>
    </row>
    <row r="2990" spans="5:54" x14ac:dyDescent="0.35"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2"/>
      <c r="T2990" s="22"/>
      <c r="U2990" s="22"/>
      <c r="V2990" s="22"/>
      <c r="W2990" s="22"/>
      <c r="X2990" s="22"/>
      <c r="Y2990" s="22"/>
      <c r="Z2990" s="22"/>
      <c r="AA2990" s="22"/>
      <c r="AB2990" s="22"/>
      <c r="AC2990" s="22"/>
      <c r="AD2990" s="22"/>
      <c r="AE2990" s="22"/>
      <c r="AF2990" s="22"/>
      <c r="AG2990" s="22"/>
      <c r="AH2990" s="22"/>
      <c r="AI2990" s="22"/>
      <c r="AJ2990" s="22"/>
      <c r="AK2990" s="22"/>
      <c r="AL2990" s="22"/>
      <c r="AM2990" s="22"/>
      <c r="AN2990" s="22"/>
      <c r="AO2990" s="22"/>
      <c r="AP2990" s="22"/>
      <c r="AQ2990" s="22"/>
      <c r="AR2990" s="22"/>
      <c r="AS2990" s="22"/>
      <c r="AT2990" s="22"/>
      <c r="AU2990" s="22"/>
      <c r="AV2990" s="22"/>
      <c r="AW2990" s="22"/>
      <c r="AX2990" s="22"/>
      <c r="AY2990" s="22"/>
      <c r="AZ2990" s="22"/>
      <c r="BA2990" s="22"/>
      <c r="BB2990" s="22"/>
    </row>
    <row r="2991" spans="5:54" x14ac:dyDescent="0.35"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2"/>
      <c r="T2991" s="22"/>
      <c r="U2991" s="22"/>
      <c r="V2991" s="22"/>
      <c r="W2991" s="22"/>
      <c r="X2991" s="22"/>
      <c r="Y2991" s="22"/>
      <c r="Z2991" s="22"/>
      <c r="AA2991" s="22"/>
      <c r="AB2991" s="22"/>
      <c r="AC2991" s="22"/>
      <c r="AD2991" s="22"/>
      <c r="AE2991" s="22"/>
      <c r="AF2991" s="22"/>
      <c r="AG2991" s="22"/>
      <c r="AH2991" s="22"/>
      <c r="AI2991" s="22"/>
      <c r="AJ2991" s="22"/>
      <c r="AK2991" s="22"/>
      <c r="AL2991" s="22"/>
      <c r="AM2991" s="22"/>
      <c r="AN2991" s="22"/>
      <c r="AO2991" s="22"/>
      <c r="AP2991" s="22"/>
      <c r="AQ2991" s="22"/>
      <c r="AR2991" s="22"/>
      <c r="AS2991" s="22"/>
      <c r="AT2991" s="22"/>
      <c r="AU2991" s="22"/>
      <c r="AV2991" s="22"/>
      <c r="AW2991" s="22"/>
      <c r="AX2991" s="22"/>
      <c r="AY2991" s="22"/>
      <c r="AZ2991" s="22"/>
      <c r="BA2991" s="22"/>
      <c r="BB2991" s="22"/>
    </row>
    <row r="2992" spans="5:54" x14ac:dyDescent="0.35"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2"/>
      <c r="T2992" s="22"/>
      <c r="U2992" s="22"/>
      <c r="V2992" s="22"/>
      <c r="W2992" s="22"/>
      <c r="X2992" s="22"/>
      <c r="Y2992" s="22"/>
      <c r="Z2992" s="22"/>
      <c r="AA2992" s="22"/>
      <c r="AB2992" s="22"/>
      <c r="AC2992" s="22"/>
      <c r="AD2992" s="22"/>
      <c r="AE2992" s="22"/>
      <c r="AF2992" s="22"/>
      <c r="AG2992" s="22"/>
      <c r="AH2992" s="22"/>
      <c r="AI2992" s="22"/>
      <c r="AJ2992" s="22"/>
      <c r="AK2992" s="22"/>
      <c r="AL2992" s="22"/>
      <c r="AM2992" s="22"/>
      <c r="AN2992" s="22"/>
      <c r="AO2992" s="22"/>
      <c r="AP2992" s="22"/>
      <c r="AQ2992" s="22"/>
      <c r="AR2992" s="22"/>
      <c r="AS2992" s="22"/>
      <c r="AT2992" s="22"/>
      <c r="AU2992" s="22"/>
      <c r="AV2992" s="22"/>
      <c r="AW2992" s="22"/>
      <c r="AX2992" s="22"/>
      <c r="AY2992" s="22"/>
      <c r="AZ2992" s="22"/>
      <c r="BA2992" s="22"/>
      <c r="BB2992" s="22"/>
    </row>
    <row r="2993" spans="5:54" x14ac:dyDescent="0.35"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2"/>
      <c r="T2993" s="22"/>
      <c r="U2993" s="22"/>
      <c r="V2993" s="22"/>
      <c r="W2993" s="22"/>
      <c r="X2993" s="22"/>
      <c r="Y2993" s="22"/>
      <c r="Z2993" s="22"/>
      <c r="AA2993" s="22"/>
      <c r="AB2993" s="22"/>
      <c r="AC2993" s="22"/>
      <c r="AD2993" s="22"/>
      <c r="AE2993" s="22"/>
      <c r="AF2993" s="22"/>
      <c r="AG2993" s="22"/>
      <c r="AH2993" s="22"/>
      <c r="AI2993" s="22"/>
      <c r="AJ2993" s="22"/>
      <c r="AK2993" s="22"/>
      <c r="AL2993" s="22"/>
      <c r="AM2993" s="22"/>
      <c r="AN2993" s="22"/>
      <c r="AO2993" s="22"/>
      <c r="AP2993" s="22"/>
      <c r="AQ2993" s="22"/>
      <c r="AR2993" s="22"/>
      <c r="AS2993" s="22"/>
      <c r="AT2993" s="22"/>
      <c r="AU2993" s="22"/>
      <c r="AV2993" s="22"/>
      <c r="AW2993" s="22"/>
      <c r="AX2993" s="22"/>
      <c r="AY2993" s="22"/>
      <c r="AZ2993" s="22"/>
      <c r="BA2993" s="22"/>
      <c r="BB2993" s="22"/>
    </row>
    <row r="2994" spans="5:54" x14ac:dyDescent="0.35"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2"/>
      <c r="T2994" s="22"/>
      <c r="U2994" s="22"/>
      <c r="V2994" s="22"/>
      <c r="W2994" s="22"/>
      <c r="X2994" s="22"/>
      <c r="Y2994" s="22"/>
      <c r="Z2994" s="22"/>
      <c r="AA2994" s="22"/>
      <c r="AB2994" s="22"/>
      <c r="AC2994" s="22"/>
      <c r="AD2994" s="22"/>
      <c r="AE2994" s="22"/>
      <c r="AF2994" s="22"/>
      <c r="AG2994" s="22"/>
      <c r="AH2994" s="22"/>
      <c r="AI2994" s="22"/>
      <c r="AJ2994" s="22"/>
      <c r="AK2994" s="22"/>
      <c r="AL2994" s="22"/>
      <c r="AM2994" s="22"/>
      <c r="AN2994" s="22"/>
      <c r="AO2994" s="22"/>
      <c r="AP2994" s="22"/>
      <c r="AQ2994" s="22"/>
      <c r="AR2994" s="22"/>
      <c r="AS2994" s="22"/>
      <c r="AT2994" s="22"/>
      <c r="AU2994" s="22"/>
      <c r="AV2994" s="22"/>
      <c r="AW2994" s="22"/>
      <c r="AX2994" s="22"/>
      <c r="AY2994" s="22"/>
      <c r="AZ2994" s="22"/>
      <c r="BA2994" s="22"/>
      <c r="BB2994" s="22"/>
    </row>
    <row r="2995" spans="5:54" x14ac:dyDescent="0.35"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2"/>
      <c r="T2995" s="22"/>
      <c r="U2995" s="22"/>
      <c r="V2995" s="22"/>
      <c r="W2995" s="22"/>
      <c r="X2995" s="22"/>
      <c r="Y2995" s="22"/>
      <c r="Z2995" s="22"/>
      <c r="AA2995" s="22"/>
      <c r="AB2995" s="22"/>
      <c r="AC2995" s="22"/>
      <c r="AD2995" s="22"/>
      <c r="AE2995" s="22"/>
      <c r="AF2995" s="22"/>
      <c r="AG2995" s="22"/>
      <c r="AH2995" s="22"/>
      <c r="AI2995" s="22"/>
      <c r="AJ2995" s="22"/>
      <c r="AK2995" s="22"/>
      <c r="AL2995" s="22"/>
      <c r="AM2995" s="22"/>
      <c r="AN2995" s="22"/>
      <c r="AO2995" s="22"/>
      <c r="AP2995" s="22"/>
      <c r="AQ2995" s="22"/>
      <c r="AR2995" s="22"/>
      <c r="AS2995" s="22"/>
      <c r="AT2995" s="22"/>
      <c r="AU2995" s="22"/>
      <c r="AV2995" s="22"/>
      <c r="AW2995" s="22"/>
      <c r="AX2995" s="22"/>
      <c r="AY2995" s="22"/>
      <c r="AZ2995" s="22"/>
      <c r="BA2995" s="22"/>
      <c r="BB2995" s="22"/>
    </row>
    <row r="2996" spans="5:54" x14ac:dyDescent="0.35"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2"/>
      <c r="T2996" s="22"/>
      <c r="U2996" s="22"/>
      <c r="V2996" s="22"/>
      <c r="W2996" s="22"/>
      <c r="X2996" s="22"/>
      <c r="Y2996" s="22"/>
      <c r="Z2996" s="22"/>
      <c r="AA2996" s="22"/>
      <c r="AB2996" s="22"/>
      <c r="AC2996" s="22"/>
      <c r="AD2996" s="22"/>
      <c r="AE2996" s="22"/>
      <c r="AF2996" s="22"/>
      <c r="AG2996" s="22"/>
      <c r="AH2996" s="22"/>
      <c r="AI2996" s="22"/>
      <c r="AJ2996" s="22"/>
      <c r="AK2996" s="22"/>
      <c r="AL2996" s="22"/>
      <c r="AM2996" s="22"/>
      <c r="AN2996" s="22"/>
      <c r="AO2996" s="22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2"/>
      <c r="BB2996" s="22"/>
    </row>
    <row r="2997" spans="5:54" x14ac:dyDescent="0.35"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22"/>
      <c r="AA2997" s="22"/>
      <c r="AB2997" s="22"/>
      <c r="AC2997" s="22"/>
      <c r="AD2997" s="22"/>
      <c r="AE2997" s="22"/>
      <c r="AF2997" s="22"/>
      <c r="AG2997" s="22"/>
      <c r="AH2997" s="22"/>
      <c r="AI2997" s="22"/>
      <c r="AJ2997" s="22"/>
      <c r="AK2997" s="22"/>
      <c r="AL2997" s="22"/>
      <c r="AM2997" s="22"/>
      <c r="AN2997" s="22"/>
      <c r="AO2997" s="22"/>
      <c r="AP2997" s="22"/>
      <c r="AQ2997" s="22"/>
      <c r="AR2997" s="22"/>
      <c r="AS2997" s="22"/>
      <c r="AT2997" s="22"/>
      <c r="AU2997" s="22"/>
      <c r="AV2997" s="22"/>
      <c r="AW2997" s="22"/>
      <c r="AX2997" s="22"/>
      <c r="AY2997" s="22"/>
      <c r="AZ2997" s="22"/>
      <c r="BA2997" s="22"/>
      <c r="BB2997" s="22"/>
    </row>
    <row r="2998" spans="5:54" x14ac:dyDescent="0.35"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2"/>
      <c r="T2998" s="22"/>
      <c r="U2998" s="22"/>
      <c r="V2998" s="22"/>
      <c r="W2998" s="22"/>
      <c r="X2998" s="22"/>
      <c r="Y2998" s="22"/>
      <c r="Z2998" s="22"/>
      <c r="AA2998" s="22"/>
      <c r="AB2998" s="22"/>
      <c r="AC2998" s="22"/>
      <c r="AD2998" s="22"/>
      <c r="AE2998" s="22"/>
      <c r="AF2998" s="22"/>
      <c r="AG2998" s="22"/>
      <c r="AH2998" s="22"/>
      <c r="AI2998" s="22"/>
      <c r="AJ2998" s="22"/>
      <c r="AK2998" s="22"/>
      <c r="AL2998" s="22"/>
      <c r="AM2998" s="22"/>
      <c r="AN2998" s="22"/>
      <c r="AO2998" s="22"/>
      <c r="AP2998" s="22"/>
      <c r="AQ2998" s="22"/>
      <c r="AR2998" s="22"/>
      <c r="AS2998" s="22"/>
      <c r="AT2998" s="22"/>
      <c r="AU2998" s="22"/>
      <c r="AV2998" s="22"/>
      <c r="AW2998" s="22"/>
      <c r="AX2998" s="22"/>
      <c r="AY2998" s="22"/>
      <c r="AZ2998" s="22"/>
      <c r="BA2998" s="22"/>
      <c r="BB2998" s="22"/>
    </row>
    <row r="2999" spans="5:54" x14ac:dyDescent="0.35"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2"/>
      <c r="T2999" s="22"/>
      <c r="U2999" s="22"/>
      <c r="V2999" s="22"/>
      <c r="W2999" s="22"/>
      <c r="X2999" s="22"/>
      <c r="Y2999" s="22"/>
      <c r="Z2999" s="22"/>
      <c r="AA2999" s="22"/>
      <c r="AB2999" s="22"/>
      <c r="AC2999" s="22"/>
      <c r="AD2999" s="22"/>
      <c r="AE2999" s="22"/>
      <c r="AF2999" s="22"/>
      <c r="AG2999" s="22"/>
      <c r="AH2999" s="22"/>
      <c r="AI2999" s="22"/>
      <c r="AJ2999" s="22"/>
      <c r="AK2999" s="22"/>
      <c r="AL2999" s="22"/>
      <c r="AM2999" s="22"/>
      <c r="AN2999" s="22"/>
      <c r="AO2999" s="22"/>
      <c r="AP2999" s="22"/>
      <c r="AQ2999" s="22"/>
      <c r="AR2999" s="22"/>
      <c r="AS2999" s="22"/>
      <c r="AT2999" s="22"/>
      <c r="AU2999" s="22"/>
      <c r="AV2999" s="22"/>
      <c r="AW2999" s="22"/>
      <c r="AX2999" s="22"/>
      <c r="AY2999" s="22"/>
      <c r="AZ2999" s="22"/>
      <c r="BA2999" s="22"/>
      <c r="BB2999" s="22"/>
    </row>
    <row r="3000" spans="5:54" x14ac:dyDescent="0.35"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2"/>
      <c r="T3000" s="22"/>
      <c r="U3000" s="22"/>
      <c r="V3000" s="22"/>
      <c r="W3000" s="22"/>
      <c r="X3000" s="22"/>
      <c r="Y3000" s="22"/>
      <c r="Z3000" s="22"/>
      <c r="AA3000" s="22"/>
      <c r="AB3000" s="22"/>
      <c r="AC3000" s="22"/>
      <c r="AD3000" s="22"/>
      <c r="AE3000" s="22"/>
      <c r="AF3000" s="22"/>
      <c r="AG3000" s="22"/>
      <c r="AH3000" s="22"/>
      <c r="AI3000" s="22"/>
      <c r="AJ3000" s="22"/>
      <c r="AK3000" s="22"/>
      <c r="AL3000" s="22"/>
      <c r="AM3000" s="22"/>
      <c r="AN3000" s="22"/>
      <c r="AO3000" s="22"/>
      <c r="AP3000" s="22"/>
      <c r="AQ3000" s="22"/>
      <c r="AR3000" s="22"/>
      <c r="AS3000" s="22"/>
      <c r="AT3000" s="22"/>
      <c r="AU3000" s="22"/>
      <c r="AV3000" s="22"/>
      <c r="AW3000" s="22"/>
      <c r="AX3000" s="22"/>
      <c r="AY3000" s="22"/>
      <c r="AZ3000" s="22"/>
      <c r="BA3000" s="22"/>
      <c r="BB3000" s="22"/>
    </row>
  </sheetData>
  <conditionalFormatting sqref="E37">
    <cfRule type="cellIs" dxfId="9" priority="4" operator="notEqual">
      <formula>1</formula>
    </cfRule>
  </conditionalFormatting>
  <conditionalFormatting sqref="F37">
    <cfRule type="cellIs" dxfId="8" priority="3" operator="greaterThan">
      <formula>1</formula>
    </cfRule>
  </conditionalFormatting>
  <conditionalFormatting sqref="E28">
    <cfRule type="cellIs" dxfId="7" priority="2" operator="notEqual">
      <formula>1</formula>
    </cfRule>
  </conditionalFormatting>
  <conditionalFormatting sqref="F28">
    <cfRule type="cellIs" dxfId="6" priority="1" operator="greaterThan">
      <formula>1</formula>
    </cfRule>
  </conditionalFormatting>
  <conditionalFormatting sqref="E5:E27 E31:E36 E38:E46 E29">
    <cfRule type="cellIs" dxfId="5" priority="10" operator="notEqual">
      <formula>1</formula>
    </cfRule>
  </conditionalFormatting>
  <conditionalFormatting sqref="F5:F27 F31:F36 F38:F46 F29">
    <cfRule type="cellIs" dxfId="4" priority="9" operator="greaterThan">
      <formula>1</formula>
    </cfRule>
  </conditionalFormatting>
  <conditionalFormatting sqref="E4">
    <cfRule type="cellIs" dxfId="3" priority="8" operator="notEqual">
      <formula>1</formula>
    </cfRule>
  </conditionalFormatting>
  <conditionalFormatting sqref="F4">
    <cfRule type="cellIs" dxfId="2" priority="7" operator="greaterThan">
      <formula>1</formula>
    </cfRule>
  </conditionalFormatting>
  <conditionalFormatting sqref="E30">
    <cfRule type="cellIs" dxfId="1" priority="6" operator="notEqual">
      <formula>1</formula>
    </cfRule>
  </conditionalFormatting>
  <conditionalFormatting sqref="F30">
    <cfRule type="cellIs" dxfId="0" priority="5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459"/>
  <sheetViews>
    <sheetView tabSelected="1" workbookViewId="0"/>
  </sheetViews>
  <sheetFormatPr defaultRowHeight="14.5" x14ac:dyDescent="0.35"/>
  <cols>
    <col min="1" max="1" width="2.453125" bestFit="1" customWidth="1"/>
    <col min="2" max="2" width="15" style="17" bestFit="1" customWidth="1"/>
    <col min="3" max="3" width="17" bestFit="1" customWidth="1"/>
    <col min="4" max="4" width="7.54296875" style="22" bestFit="1" customWidth="1"/>
    <col min="5" max="5" width="24" bestFit="1" customWidth="1"/>
    <col min="6" max="6" width="26.453125" bestFit="1" customWidth="1"/>
    <col min="7" max="7" width="28.36328125" bestFit="1" customWidth="1"/>
    <col min="8" max="8" width="56.1796875" bestFit="1" customWidth="1"/>
    <col min="9" max="9" width="48.54296875" bestFit="1" customWidth="1"/>
    <col min="10" max="10" width="8.36328125" style="22" bestFit="1" customWidth="1"/>
    <col min="11" max="11" width="14.08984375" bestFit="1" customWidth="1"/>
    <col min="12" max="12" width="10.08984375" style="22" bestFit="1" customWidth="1"/>
    <col min="13" max="13" width="16.7265625" bestFit="1" customWidth="1"/>
  </cols>
  <sheetData>
    <row r="1" spans="1:13" x14ac:dyDescent="0.35">
      <c r="A1" s="10" t="s">
        <v>202</v>
      </c>
      <c r="B1" s="10" t="s">
        <v>203</v>
      </c>
      <c r="C1" s="10" t="s">
        <v>204</v>
      </c>
      <c r="D1" s="80" t="s">
        <v>17</v>
      </c>
      <c r="E1" s="10" t="s">
        <v>16</v>
      </c>
      <c r="F1" s="10" t="s">
        <v>189</v>
      </c>
      <c r="G1" s="10" t="s">
        <v>30</v>
      </c>
      <c r="H1" s="10" t="s">
        <v>187</v>
      </c>
      <c r="I1" s="10" t="s">
        <v>265</v>
      </c>
      <c r="J1" s="80" t="s">
        <v>268</v>
      </c>
      <c r="K1" s="10" t="s">
        <v>269</v>
      </c>
      <c r="L1" s="80" t="s">
        <v>287</v>
      </c>
      <c r="M1" s="10" t="s">
        <v>288</v>
      </c>
    </row>
    <row r="2" spans="1:13" x14ac:dyDescent="0.35">
      <c r="A2">
        <v>1</v>
      </c>
      <c r="B2" s="17">
        <v>43910</v>
      </c>
      <c r="C2" t="s">
        <v>34</v>
      </c>
      <c r="D2" s="22">
        <v>90.55</v>
      </c>
      <c r="E2" t="s">
        <v>289</v>
      </c>
      <c r="F2" t="s">
        <v>179</v>
      </c>
      <c r="G2" t="s">
        <v>213</v>
      </c>
      <c r="H2" t="s">
        <v>1049</v>
      </c>
      <c r="I2" t="s">
        <v>271</v>
      </c>
      <c r="J2" s="22">
        <v>-90.55</v>
      </c>
      <c r="K2" s="21">
        <v>90.55</v>
      </c>
      <c r="L2" s="22">
        <v>-90.55</v>
      </c>
      <c r="M2" t="s">
        <v>266</v>
      </c>
    </row>
    <row r="3" spans="1:13" x14ac:dyDescent="0.35">
      <c r="A3">
        <v>1</v>
      </c>
      <c r="B3" s="17">
        <v>43910</v>
      </c>
      <c r="C3" t="s">
        <v>34</v>
      </c>
      <c r="D3" s="22">
        <v>27.05</v>
      </c>
      <c r="E3" t="s">
        <v>289</v>
      </c>
      <c r="F3" t="s">
        <v>220</v>
      </c>
      <c r="G3" t="s">
        <v>81</v>
      </c>
      <c r="H3" t="s">
        <v>1049</v>
      </c>
      <c r="I3" t="s">
        <v>271</v>
      </c>
      <c r="J3" s="22">
        <v>-27.05</v>
      </c>
      <c r="K3" s="21">
        <v>27.05</v>
      </c>
      <c r="L3" s="22">
        <v>-27.05</v>
      </c>
    </row>
    <row r="4" spans="1:13" x14ac:dyDescent="0.35">
      <c r="A4">
        <v>1</v>
      </c>
      <c r="B4" s="17">
        <v>43910</v>
      </c>
      <c r="C4" t="s">
        <v>168</v>
      </c>
      <c r="D4" s="22">
        <v>38.5</v>
      </c>
      <c r="E4" t="s">
        <v>290</v>
      </c>
      <c r="F4" t="s">
        <v>179</v>
      </c>
      <c r="G4" t="s">
        <v>213</v>
      </c>
      <c r="H4" t="s">
        <v>1049</v>
      </c>
      <c r="I4" t="s">
        <v>274</v>
      </c>
      <c r="J4" s="22">
        <v>38.5</v>
      </c>
      <c r="K4" s="21">
        <v>38.5</v>
      </c>
      <c r="L4" s="22">
        <v>38.5</v>
      </c>
      <c r="M4" t="s">
        <v>266</v>
      </c>
    </row>
    <row r="5" spans="1:13" x14ac:dyDescent="0.35">
      <c r="A5">
        <v>1</v>
      </c>
      <c r="B5" s="17">
        <v>43910</v>
      </c>
      <c r="C5" t="s">
        <v>168</v>
      </c>
      <c r="D5" s="22">
        <v>11.5</v>
      </c>
      <c r="E5" t="s">
        <v>290</v>
      </c>
      <c r="F5" t="s">
        <v>220</v>
      </c>
      <c r="G5" t="s">
        <v>81</v>
      </c>
      <c r="H5" t="s">
        <v>1049</v>
      </c>
      <c r="I5" t="s">
        <v>274</v>
      </c>
      <c r="J5" s="22">
        <v>11.5</v>
      </c>
      <c r="K5" s="21">
        <v>11.5</v>
      </c>
      <c r="L5" s="22">
        <v>11.5</v>
      </c>
    </row>
    <row r="6" spans="1:13" x14ac:dyDescent="0.35">
      <c r="A6">
        <v>1</v>
      </c>
      <c r="B6" s="17">
        <v>43910</v>
      </c>
      <c r="C6" t="s">
        <v>168</v>
      </c>
      <c r="D6" s="22">
        <v>226.58</v>
      </c>
      <c r="E6" t="s">
        <v>291</v>
      </c>
      <c r="F6" t="s">
        <v>179</v>
      </c>
      <c r="G6" t="s">
        <v>213</v>
      </c>
      <c r="H6" t="s">
        <v>1049</v>
      </c>
      <c r="I6" t="s">
        <v>275</v>
      </c>
      <c r="J6" s="22">
        <v>226.58</v>
      </c>
      <c r="K6" s="21">
        <v>226.58</v>
      </c>
      <c r="L6" s="22">
        <v>226.58</v>
      </c>
      <c r="M6" t="s">
        <v>266</v>
      </c>
    </row>
    <row r="7" spans="1:13" x14ac:dyDescent="0.35">
      <c r="A7">
        <v>1</v>
      </c>
      <c r="B7" s="17">
        <v>43910</v>
      </c>
      <c r="C7" t="s">
        <v>168</v>
      </c>
      <c r="D7" s="22">
        <v>67.680000000000007</v>
      </c>
      <c r="E7" t="s">
        <v>291</v>
      </c>
      <c r="F7" t="s">
        <v>220</v>
      </c>
      <c r="G7" t="s">
        <v>81</v>
      </c>
      <c r="H7" t="s">
        <v>1049</v>
      </c>
      <c r="I7" t="s">
        <v>275</v>
      </c>
      <c r="J7" s="22">
        <v>67.680000000000007</v>
      </c>
      <c r="K7" s="21">
        <v>67.680000000000007</v>
      </c>
      <c r="L7" s="22">
        <v>67.680000000000007</v>
      </c>
    </row>
    <row r="8" spans="1:13" x14ac:dyDescent="0.35">
      <c r="A8">
        <v>1</v>
      </c>
      <c r="B8" s="17">
        <v>43910</v>
      </c>
      <c r="C8" t="s">
        <v>168</v>
      </c>
      <c r="D8" s="22">
        <v>691.91</v>
      </c>
      <c r="E8" t="s">
        <v>292</v>
      </c>
      <c r="F8" t="s">
        <v>179</v>
      </c>
      <c r="G8" t="s">
        <v>213</v>
      </c>
      <c r="H8" t="s">
        <v>1049</v>
      </c>
      <c r="I8" t="s">
        <v>276</v>
      </c>
      <c r="J8" s="22">
        <v>691.91</v>
      </c>
      <c r="K8" s="21">
        <v>691.91</v>
      </c>
      <c r="L8" s="22">
        <v>691.91</v>
      </c>
      <c r="M8" t="s">
        <v>266</v>
      </c>
    </row>
    <row r="9" spans="1:13" x14ac:dyDescent="0.35">
      <c r="A9">
        <v>1</v>
      </c>
      <c r="B9" s="17">
        <v>43910</v>
      </c>
      <c r="C9" t="s">
        <v>168</v>
      </c>
      <c r="D9" s="22">
        <v>206.68</v>
      </c>
      <c r="E9" t="s">
        <v>292</v>
      </c>
      <c r="F9" t="s">
        <v>220</v>
      </c>
      <c r="G9" t="s">
        <v>81</v>
      </c>
      <c r="H9" t="s">
        <v>1049</v>
      </c>
      <c r="I9" t="s">
        <v>276</v>
      </c>
      <c r="J9" s="22">
        <v>206.68</v>
      </c>
      <c r="K9" s="21">
        <v>206.68</v>
      </c>
      <c r="L9" s="22">
        <v>206.68</v>
      </c>
    </row>
    <row r="10" spans="1:13" x14ac:dyDescent="0.35">
      <c r="A10">
        <v>1</v>
      </c>
      <c r="B10" s="17">
        <v>43910</v>
      </c>
      <c r="C10" t="s">
        <v>34</v>
      </c>
      <c r="D10" s="22">
        <v>866.44</v>
      </c>
      <c r="E10" t="s">
        <v>350</v>
      </c>
      <c r="F10" t="s">
        <v>179</v>
      </c>
      <c r="G10" t="s">
        <v>213</v>
      </c>
      <c r="H10" t="s">
        <v>1049</v>
      </c>
      <c r="I10" t="s">
        <v>277</v>
      </c>
      <c r="J10" s="22">
        <v>-866.44</v>
      </c>
      <c r="K10" s="21">
        <v>866.44</v>
      </c>
      <c r="L10" s="22">
        <v>-866.44</v>
      </c>
      <c r="M10" t="s">
        <v>266</v>
      </c>
    </row>
    <row r="11" spans="1:13" x14ac:dyDescent="0.35">
      <c r="A11">
        <v>1</v>
      </c>
      <c r="B11" s="17">
        <v>43910</v>
      </c>
      <c r="C11" t="s">
        <v>34</v>
      </c>
      <c r="D11" s="22">
        <v>258.81</v>
      </c>
      <c r="E11" t="s">
        <v>350</v>
      </c>
      <c r="F11" t="s">
        <v>220</v>
      </c>
      <c r="G11" t="s">
        <v>81</v>
      </c>
      <c r="H11" t="s">
        <v>1049</v>
      </c>
      <c r="I11" t="s">
        <v>277</v>
      </c>
      <c r="J11" s="22">
        <v>-258.81</v>
      </c>
      <c r="K11" s="21">
        <v>258.81</v>
      </c>
      <c r="L11" s="22">
        <v>-258.81</v>
      </c>
    </row>
    <row r="12" spans="1:13" x14ac:dyDescent="0.35">
      <c r="A12">
        <v>1</v>
      </c>
      <c r="B12" s="17">
        <v>43910</v>
      </c>
      <c r="C12" t="s">
        <v>168</v>
      </c>
      <c r="D12" s="22">
        <v>226.58</v>
      </c>
      <c r="E12" t="s">
        <v>292</v>
      </c>
      <c r="F12" t="s">
        <v>179</v>
      </c>
      <c r="G12" t="s">
        <v>213</v>
      </c>
      <c r="H12" t="s">
        <v>1049</v>
      </c>
      <c r="I12" t="s">
        <v>278</v>
      </c>
      <c r="J12" s="22">
        <v>226.58</v>
      </c>
      <c r="K12" s="21">
        <v>226.58</v>
      </c>
      <c r="L12" s="22">
        <v>226.58</v>
      </c>
      <c r="M12" t="s">
        <v>266</v>
      </c>
    </row>
    <row r="13" spans="1:13" x14ac:dyDescent="0.35">
      <c r="A13">
        <v>1</v>
      </c>
      <c r="B13" s="17">
        <v>43910</v>
      </c>
      <c r="C13" t="s">
        <v>168</v>
      </c>
      <c r="D13" s="22">
        <v>67.680000000000007</v>
      </c>
      <c r="E13" t="s">
        <v>292</v>
      </c>
      <c r="F13" t="s">
        <v>220</v>
      </c>
      <c r="G13" t="s">
        <v>81</v>
      </c>
      <c r="H13" t="s">
        <v>1049</v>
      </c>
      <c r="I13" t="s">
        <v>278</v>
      </c>
      <c r="J13" s="22">
        <v>67.680000000000007</v>
      </c>
      <c r="K13" s="21">
        <v>67.680000000000007</v>
      </c>
      <c r="L13" s="22">
        <v>67.680000000000007</v>
      </c>
    </row>
    <row r="14" spans="1:13" x14ac:dyDescent="0.35">
      <c r="A14">
        <v>1</v>
      </c>
      <c r="B14" s="17">
        <v>43910</v>
      </c>
      <c r="C14" t="s">
        <v>34</v>
      </c>
      <c r="D14" s="22">
        <v>226.58</v>
      </c>
      <c r="E14" t="s">
        <v>291</v>
      </c>
      <c r="F14" t="s">
        <v>179</v>
      </c>
      <c r="G14" t="s">
        <v>213</v>
      </c>
      <c r="H14" t="s">
        <v>1049</v>
      </c>
      <c r="I14" t="s">
        <v>279</v>
      </c>
      <c r="J14" s="22">
        <v>-226.58</v>
      </c>
      <c r="K14" s="21">
        <v>226.58</v>
      </c>
      <c r="L14" s="22">
        <v>-226.58</v>
      </c>
      <c r="M14" t="s">
        <v>266</v>
      </c>
    </row>
    <row r="15" spans="1:13" x14ac:dyDescent="0.35">
      <c r="A15">
        <v>1</v>
      </c>
      <c r="B15" s="17">
        <v>43910</v>
      </c>
      <c r="C15" t="s">
        <v>34</v>
      </c>
      <c r="D15" s="22">
        <v>67.680000000000007</v>
      </c>
      <c r="E15" t="s">
        <v>291</v>
      </c>
      <c r="F15" t="s">
        <v>220</v>
      </c>
      <c r="G15" t="s">
        <v>81</v>
      </c>
      <c r="H15" t="s">
        <v>1049</v>
      </c>
      <c r="I15" t="s">
        <v>279</v>
      </c>
      <c r="J15" s="22">
        <v>-67.680000000000007</v>
      </c>
      <c r="K15" s="21">
        <v>67.680000000000007</v>
      </c>
      <c r="L15" s="22">
        <v>-67.680000000000007</v>
      </c>
    </row>
    <row r="16" spans="1:13" x14ac:dyDescent="0.35">
      <c r="A16">
        <v>1</v>
      </c>
      <c r="B16" s="17">
        <v>43910</v>
      </c>
      <c r="C16" t="s">
        <v>34</v>
      </c>
      <c r="D16" s="22">
        <v>126.77</v>
      </c>
      <c r="E16" t="s">
        <v>289</v>
      </c>
      <c r="F16" t="s">
        <v>221</v>
      </c>
      <c r="G16" t="s">
        <v>81</v>
      </c>
      <c r="H16" t="s">
        <v>1050</v>
      </c>
      <c r="I16" t="s">
        <v>280</v>
      </c>
      <c r="J16" s="22">
        <v>-126.77</v>
      </c>
      <c r="K16" s="21">
        <v>126.77</v>
      </c>
      <c r="L16" s="22">
        <v>-126.77</v>
      </c>
      <c r="M16" t="s">
        <v>266</v>
      </c>
    </row>
    <row r="17" spans="1:13" x14ac:dyDescent="0.35">
      <c r="A17">
        <v>1</v>
      </c>
      <c r="B17" s="17">
        <v>43910</v>
      </c>
      <c r="C17" t="s">
        <v>168</v>
      </c>
      <c r="D17" s="22">
        <v>156.93</v>
      </c>
      <c r="E17" t="s">
        <v>290</v>
      </c>
      <c r="F17" t="s">
        <v>221</v>
      </c>
      <c r="G17" t="s">
        <v>81</v>
      </c>
      <c r="H17" t="s">
        <v>1050</v>
      </c>
      <c r="I17" t="s">
        <v>281</v>
      </c>
      <c r="J17" s="22">
        <v>156.93</v>
      </c>
      <c r="K17" s="21">
        <v>156.93</v>
      </c>
      <c r="L17" s="22">
        <v>156.93</v>
      </c>
      <c r="M17" t="s">
        <v>266</v>
      </c>
    </row>
    <row r="18" spans="1:13" x14ac:dyDescent="0.35">
      <c r="A18">
        <v>1</v>
      </c>
      <c r="B18" s="17">
        <v>43910</v>
      </c>
      <c r="C18" t="s">
        <v>168</v>
      </c>
      <c r="D18" s="22">
        <v>262.97000000000003</v>
      </c>
      <c r="E18" t="s">
        <v>291</v>
      </c>
      <c r="F18" t="s">
        <v>221</v>
      </c>
      <c r="G18" t="s">
        <v>81</v>
      </c>
      <c r="H18" t="s">
        <v>1050</v>
      </c>
      <c r="I18" t="s">
        <v>282</v>
      </c>
      <c r="J18" s="22">
        <v>262.97000000000003</v>
      </c>
      <c r="K18" s="21">
        <v>262.97000000000003</v>
      </c>
      <c r="L18" s="22">
        <v>262.97000000000003</v>
      </c>
      <c r="M18" t="s">
        <v>266</v>
      </c>
    </row>
    <row r="19" spans="1:13" x14ac:dyDescent="0.35">
      <c r="A19">
        <v>1</v>
      </c>
      <c r="B19" s="17">
        <v>43910</v>
      </c>
      <c r="C19" t="s">
        <v>168</v>
      </c>
      <c r="D19" s="22">
        <v>986.39</v>
      </c>
      <c r="E19" t="s">
        <v>292</v>
      </c>
      <c r="F19" t="s">
        <v>221</v>
      </c>
      <c r="G19" t="s">
        <v>81</v>
      </c>
      <c r="H19" t="s">
        <v>1050</v>
      </c>
      <c r="I19" t="s">
        <v>283</v>
      </c>
      <c r="J19" s="22">
        <v>986.39</v>
      </c>
      <c r="K19" s="21">
        <v>986.39</v>
      </c>
      <c r="L19" s="22">
        <v>986.39</v>
      </c>
      <c r="M19" t="s">
        <v>266</v>
      </c>
    </row>
    <row r="20" spans="1:13" x14ac:dyDescent="0.35">
      <c r="A20">
        <v>1</v>
      </c>
      <c r="B20" s="17">
        <v>43910</v>
      </c>
      <c r="C20" t="s">
        <v>34</v>
      </c>
      <c r="D20" s="22">
        <v>1279.52</v>
      </c>
      <c r="E20" t="s">
        <v>67</v>
      </c>
      <c r="F20" t="s">
        <v>221</v>
      </c>
      <c r="G20" t="s">
        <v>81</v>
      </c>
      <c r="H20" t="s">
        <v>1050</v>
      </c>
      <c r="I20" t="s">
        <v>284</v>
      </c>
      <c r="J20" s="22">
        <v>-1279.52</v>
      </c>
      <c r="K20" s="21">
        <v>1279.52</v>
      </c>
      <c r="L20" s="22">
        <v>-1279.52</v>
      </c>
      <c r="M20" t="s">
        <v>266</v>
      </c>
    </row>
    <row r="21" spans="1:13" x14ac:dyDescent="0.35">
      <c r="A21">
        <v>1</v>
      </c>
      <c r="B21" s="17">
        <v>43910</v>
      </c>
      <c r="C21" t="s">
        <v>168</v>
      </c>
      <c r="D21" s="22">
        <v>262.97000000000003</v>
      </c>
      <c r="E21" t="s">
        <v>292</v>
      </c>
      <c r="F21" t="s">
        <v>221</v>
      </c>
      <c r="G21" t="s">
        <v>81</v>
      </c>
      <c r="H21" t="s">
        <v>1050</v>
      </c>
      <c r="I21" t="s">
        <v>285</v>
      </c>
      <c r="J21" s="22">
        <v>262.97000000000003</v>
      </c>
      <c r="K21" s="21">
        <v>262.97000000000003</v>
      </c>
      <c r="L21" s="22">
        <v>262.97000000000003</v>
      </c>
      <c r="M21" t="s">
        <v>266</v>
      </c>
    </row>
    <row r="22" spans="1:13" x14ac:dyDescent="0.35">
      <c r="A22">
        <v>1</v>
      </c>
      <c r="B22" s="17">
        <v>43910</v>
      </c>
      <c r="C22" t="s">
        <v>34</v>
      </c>
      <c r="D22" s="22">
        <v>262.97000000000003</v>
      </c>
      <c r="E22" t="s">
        <v>291</v>
      </c>
      <c r="F22" t="s">
        <v>221</v>
      </c>
      <c r="G22" t="s">
        <v>81</v>
      </c>
      <c r="H22" t="s">
        <v>1050</v>
      </c>
      <c r="I22" t="s">
        <v>286</v>
      </c>
      <c r="J22" s="22">
        <v>-262.97000000000003</v>
      </c>
      <c r="K22" s="21">
        <v>262.97000000000003</v>
      </c>
      <c r="L22" s="22">
        <v>-262.97000000000003</v>
      </c>
      <c r="M22" t="s">
        <v>266</v>
      </c>
    </row>
    <row r="23" spans="1:13" x14ac:dyDescent="0.35">
      <c r="A23">
        <v>1</v>
      </c>
      <c r="B23" s="17">
        <v>43910</v>
      </c>
      <c r="C23" t="s">
        <v>34</v>
      </c>
      <c r="D23" s="22">
        <v>213.23</v>
      </c>
      <c r="E23" t="s">
        <v>289</v>
      </c>
      <c r="F23" t="s">
        <v>304</v>
      </c>
      <c r="G23" t="s">
        <v>305</v>
      </c>
      <c r="H23" t="s">
        <v>1051</v>
      </c>
      <c r="I23" t="s">
        <v>954</v>
      </c>
      <c r="J23" s="22">
        <v>-213.23</v>
      </c>
      <c r="K23" s="21">
        <v>213.23</v>
      </c>
      <c r="L23" s="22">
        <v>-213.23</v>
      </c>
      <c r="M23" t="s">
        <v>266</v>
      </c>
    </row>
    <row r="24" spans="1:13" x14ac:dyDescent="0.35">
      <c r="A24">
        <v>1</v>
      </c>
      <c r="B24" s="17">
        <v>43910</v>
      </c>
      <c r="C24" t="s">
        <v>168</v>
      </c>
      <c r="D24" s="22">
        <v>526.1</v>
      </c>
      <c r="E24" t="s">
        <v>291</v>
      </c>
      <c r="F24" t="s">
        <v>304</v>
      </c>
      <c r="G24" t="s">
        <v>305</v>
      </c>
      <c r="H24" t="s">
        <v>1051</v>
      </c>
      <c r="I24" t="s">
        <v>955</v>
      </c>
      <c r="J24" s="22">
        <v>526.1</v>
      </c>
      <c r="K24" s="21">
        <v>526.1</v>
      </c>
      <c r="L24" s="22">
        <v>526.1</v>
      </c>
      <c r="M24" t="s">
        <v>266</v>
      </c>
    </row>
    <row r="25" spans="1:13" x14ac:dyDescent="0.35">
      <c r="A25">
        <v>1</v>
      </c>
      <c r="B25" s="17">
        <v>43910</v>
      </c>
      <c r="C25" t="s">
        <v>168</v>
      </c>
      <c r="D25" s="22">
        <v>1727.54</v>
      </c>
      <c r="E25" t="s">
        <v>292</v>
      </c>
      <c r="F25" t="s">
        <v>304</v>
      </c>
      <c r="G25" t="s">
        <v>305</v>
      </c>
      <c r="H25" t="s">
        <v>1051</v>
      </c>
      <c r="I25" t="s">
        <v>956</v>
      </c>
      <c r="J25" s="22">
        <v>1727.54</v>
      </c>
      <c r="K25" s="21">
        <v>1727.54</v>
      </c>
      <c r="L25" s="22">
        <v>1727.54</v>
      </c>
      <c r="M25" t="s">
        <v>266</v>
      </c>
    </row>
    <row r="26" spans="1:13" x14ac:dyDescent="0.35">
      <c r="A26">
        <v>1</v>
      </c>
      <c r="B26" s="17">
        <v>43910</v>
      </c>
      <c r="C26" t="s">
        <v>34</v>
      </c>
      <c r="D26" s="22">
        <v>2040.41</v>
      </c>
      <c r="E26" t="s">
        <v>67</v>
      </c>
      <c r="F26" t="s">
        <v>304</v>
      </c>
      <c r="G26" t="s">
        <v>305</v>
      </c>
      <c r="H26" t="s">
        <v>1051</v>
      </c>
      <c r="I26" t="s">
        <v>957</v>
      </c>
      <c r="J26" s="22">
        <v>-2040.41</v>
      </c>
      <c r="K26" s="21">
        <v>2040.41</v>
      </c>
      <c r="L26" s="22">
        <v>-2040.41</v>
      </c>
      <c r="M26" t="s">
        <v>266</v>
      </c>
    </row>
    <row r="27" spans="1:13" x14ac:dyDescent="0.35">
      <c r="A27">
        <v>1</v>
      </c>
      <c r="B27" s="17">
        <v>43910</v>
      </c>
      <c r="C27" t="s">
        <v>168</v>
      </c>
      <c r="D27" s="22">
        <v>526.1</v>
      </c>
      <c r="E27" t="s">
        <v>292</v>
      </c>
      <c r="F27" t="s">
        <v>304</v>
      </c>
      <c r="G27" t="s">
        <v>305</v>
      </c>
      <c r="H27" t="s">
        <v>1051</v>
      </c>
      <c r="I27" t="s">
        <v>958</v>
      </c>
      <c r="J27" s="22">
        <v>526.1</v>
      </c>
      <c r="K27" s="21">
        <v>526.1</v>
      </c>
      <c r="L27" s="22">
        <v>526.1</v>
      </c>
      <c r="M27" t="s">
        <v>266</v>
      </c>
    </row>
    <row r="28" spans="1:13" x14ac:dyDescent="0.35">
      <c r="A28">
        <v>1</v>
      </c>
      <c r="B28" s="17">
        <v>43910</v>
      </c>
      <c r="C28" t="s">
        <v>34</v>
      </c>
      <c r="D28" s="22">
        <v>526.1</v>
      </c>
      <c r="E28" t="s">
        <v>291</v>
      </c>
      <c r="F28" t="s">
        <v>304</v>
      </c>
      <c r="G28" t="s">
        <v>305</v>
      </c>
      <c r="H28" t="s">
        <v>1051</v>
      </c>
      <c r="I28" t="s">
        <v>959</v>
      </c>
      <c r="J28" s="22">
        <v>-526.1</v>
      </c>
      <c r="K28" s="21">
        <v>526.1</v>
      </c>
      <c r="L28" s="22">
        <v>-526.1</v>
      </c>
      <c r="M28" t="s">
        <v>266</v>
      </c>
    </row>
    <row r="29" spans="1:13" x14ac:dyDescent="0.35">
      <c r="A29">
        <v>1</v>
      </c>
      <c r="B29" s="17">
        <v>43910</v>
      </c>
      <c r="C29" t="s">
        <v>168</v>
      </c>
      <c r="D29" s="22">
        <v>73.8</v>
      </c>
      <c r="E29" t="s">
        <v>292</v>
      </c>
      <c r="F29" t="s">
        <v>179</v>
      </c>
      <c r="G29" t="s">
        <v>213</v>
      </c>
      <c r="H29" t="s">
        <v>1052</v>
      </c>
      <c r="I29" t="s">
        <v>1053</v>
      </c>
      <c r="J29" s="22">
        <v>73.8</v>
      </c>
      <c r="K29" s="21">
        <v>73.8</v>
      </c>
      <c r="L29" s="22">
        <v>73.8</v>
      </c>
      <c r="M29" t="s">
        <v>266</v>
      </c>
    </row>
    <row r="30" spans="1:13" x14ac:dyDescent="0.35">
      <c r="A30">
        <v>1</v>
      </c>
      <c r="B30" s="17">
        <v>43910</v>
      </c>
      <c r="C30" t="s">
        <v>168</v>
      </c>
      <c r="D30" s="22">
        <v>16.2</v>
      </c>
      <c r="E30" t="s">
        <v>292</v>
      </c>
      <c r="F30" t="s">
        <v>220</v>
      </c>
      <c r="G30" t="s">
        <v>81</v>
      </c>
      <c r="H30" t="s">
        <v>1052</v>
      </c>
      <c r="I30" t="s">
        <v>1053</v>
      </c>
      <c r="J30" s="22">
        <v>16.2</v>
      </c>
      <c r="K30" s="21">
        <v>16.2</v>
      </c>
      <c r="L30" s="22">
        <v>16.2</v>
      </c>
    </row>
    <row r="31" spans="1:13" x14ac:dyDescent="0.35">
      <c r="A31">
        <v>1</v>
      </c>
      <c r="B31" s="17">
        <v>43910</v>
      </c>
      <c r="C31" t="s">
        <v>34</v>
      </c>
      <c r="D31" s="22">
        <v>73.8</v>
      </c>
      <c r="E31" t="s">
        <v>348</v>
      </c>
      <c r="F31" t="s">
        <v>179</v>
      </c>
      <c r="G31" t="s">
        <v>213</v>
      </c>
      <c r="H31" t="s">
        <v>1052</v>
      </c>
      <c r="I31" t="s">
        <v>1054</v>
      </c>
      <c r="J31" s="22">
        <v>-73.8</v>
      </c>
      <c r="K31" s="21">
        <v>73.8</v>
      </c>
      <c r="L31" s="22">
        <v>-73.8</v>
      </c>
      <c r="M31" t="s">
        <v>266</v>
      </c>
    </row>
    <row r="32" spans="1:13" x14ac:dyDescent="0.35">
      <c r="A32">
        <v>1</v>
      </c>
      <c r="B32" s="17">
        <v>43910</v>
      </c>
      <c r="C32" t="s">
        <v>34</v>
      </c>
      <c r="D32" s="22">
        <v>16.2</v>
      </c>
      <c r="E32" t="s">
        <v>348</v>
      </c>
      <c r="F32" t="s">
        <v>220</v>
      </c>
      <c r="G32" t="s">
        <v>81</v>
      </c>
      <c r="H32" t="s">
        <v>1052</v>
      </c>
      <c r="I32" t="s">
        <v>1054</v>
      </c>
      <c r="J32" s="22">
        <v>-16.2</v>
      </c>
      <c r="K32" s="21">
        <v>16.2</v>
      </c>
      <c r="L32" s="22">
        <v>-16.2</v>
      </c>
    </row>
    <row r="33" spans="1:13" x14ac:dyDescent="0.35">
      <c r="A33">
        <v>1</v>
      </c>
      <c r="B33" s="17">
        <v>43910</v>
      </c>
      <c r="C33" t="s">
        <v>34</v>
      </c>
      <c r="D33" s="22">
        <v>122.59</v>
      </c>
      <c r="E33" t="s">
        <v>289</v>
      </c>
      <c r="F33" t="s">
        <v>179</v>
      </c>
      <c r="G33" t="s">
        <v>213</v>
      </c>
      <c r="H33" t="s">
        <v>1055</v>
      </c>
      <c r="I33" t="s">
        <v>1056</v>
      </c>
      <c r="J33" s="22">
        <v>-122.59</v>
      </c>
      <c r="K33" s="21">
        <v>122.59</v>
      </c>
      <c r="L33" s="22">
        <v>-122.59</v>
      </c>
      <c r="M33" t="s">
        <v>266</v>
      </c>
    </row>
    <row r="34" spans="1:13" x14ac:dyDescent="0.35">
      <c r="A34">
        <v>1</v>
      </c>
      <c r="B34" s="17">
        <v>43910</v>
      </c>
      <c r="C34" t="s">
        <v>168</v>
      </c>
      <c r="D34" s="22">
        <v>101.21</v>
      </c>
      <c r="E34" t="s">
        <v>290</v>
      </c>
      <c r="F34" t="s">
        <v>179</v>
      </c>
      <c r="G34" t="s">
        <v>213</v>
      </c>
      <c r="H34" t="s">
        <v>1055</v>
      </c>
      <c r="I34" t="s">
        <v>1057</v>
      </c>
      <c r="J34" s="22">
        <v>101.21</v>
      </c>
      <c r="K34" s="21">
        <v>101.21</v>
      </c>
      <c r="L34" s="22">
        <v>101.21</v>
      </c>
      <c r="M34" t="s">
        <v>266</v>
      </c>
    </row>
    <row r="35" spans="1:13" x14ac:dyDescent="0.35">
      <c r="A35">
        <v>1</v>
      </c>
      <c r="B35" s="17">
        <v>43910</v>
      </c>
      <c r="C35" t="s">
        <v>168</v>
      </c>
      <c r="D35" s="22">
        <v>298.69</v>
      </c>
      <c r="E35" t="s">
        <v>291</v>
      </c>
      <c r="F35" t="s">
        <v>179</v>
      </c>
      <c r="G35" t="s">
        <v>213</v>
      </c>
      <c r="H35" t="s">
        <v>1055</v>
      </c>
      <c r="I35" t="s">
        <v>1058</v>
      </c>
      <c r="J35" s="22">
        <v>298.69</v>
      </c>
      <c r="K35" s="21">
        <v>298.69</v>
      </c>
      <c r="L35" s="22">
        <v>298.69</v>
      </c>
      <c r="M35" t="s">
        <v>266</v>
      </c>
    </row>
    <row r="36" spans="1:13" x14ac:dyDescent="0.35">
      <c r="A36">
        <v>1</v>
      </c>
      <c r="B36" s="17">
        <v>43910</v>
      </c>
      <c r="C36" t="s">
        <v>168</v>
      </c>
      <c r="D36" s="22">
        <v>970.42</v>
      </c>
      <c r="E36" t="s">
        <v>292</v>
      </c>
      <c r="F36" t="s">
        <v>179</v>
      </c>
      <c r="G36" t="s">
        <v>213</v>
      </c>
      <c r="H36" t="s">
        <v>1055</v>
      </c>
      <c r="I36" t="s">
        <v>1059</v>
      </c>
      <c r="J36" s="22">
        <v>970.42</v>
      </c>
      <c r="K36" s="21">
        <v>970.42</v>
      </c>
      <c r="L36" s="22">
        <v>970.42</v>
      </c>
      <c r="M36" t="s">
        <v>266</v>
      </c>
    </row>
    <row r="37" spans="1:13" x14ac:dyDescent="0.35">
      <c r="A37">
        <v>1</v>
      </c>
      <c r="B37" s="17">
        <v>43910</v>
      </c>
      <c r="C37" t="s">
        <v>34</v>
      </c>
      <c r="D37" s="22">
        <v>1247.73</v>
      </c>
      <c r="E37" t="s">
        <v>354</v>
      </c>
      <c r="F37" t="s">
        <v>179</v>
      </c>
      <c r="G37" t="s">
        <v>213</v>
      </c>
      <c r="H37" t="s">
        <v>1055</v>
      </c>
      <c r="I37" t="s">
        <v>1060</v>
      </c>
      <c r="J37" s="22">
        <v>-1247.73</v>
      </c>
      <c r="K37" s="21">
        <v>1247.73</v>
      </c>
      <c r="L37" s="22">
        <v>-1247.73</v>
      </c>
      <c r="M37" t="s">
        <v>266</v>
      </c>
    </row>
    <row r="38" spans="1:13" x14ac:dyDescent="0.35">
      <c r="A38">
        <v>1</v>
      </c>
      <c r="B38" s="17">
        <v>43910</v>
      </c>
      <c r="C38" t="s">
        <v>168</v>
      </c>
      <c r="D38" s="22">
        <v>298.69</v>
      </c>
      <c r="E38" t="s">
        <v>292</v>
      </c>
      <c r="F38" t="s">
        <v>179</v>
      </c>
      <c r="G38" t="s">
        <v>213</v>
      </c>
      <c r="H38" t="s">
        <v>1055</v>
      </c>
      <c r="I38" t="s">
        <v>1061</v>
      </c>
      <c r="J38" s="22">
        <v>298.69</v>
      </c>
      <c r="K38" s="21">
        <v>298.69</v>
      </c>
      <c r="L38" s="22">
        <v>298.69</v>
      </c>
      <c r="M38" t="s">
        <v>266</v>
      </c>
    </row>
    <row r="39" spans="1:13" x14ac:dyDescent="0.35">
      <c r="A39">
        <v>1</v>
      </c>
      <c r="B39" s="17">
        <v>43910</v>
      </c>
      <c r="C39" t="s">
        <v>34</v>
      </c>
      <c r="D39" s="22">
        <v>298.69</v>
      </c>
      <c r="E39" t="s">
        <v>291</v>
      </c>
      <c r="F39" t="s">
        <v>179</v>
      </c>
      <c r="G39" t="s">
        <v>213</v>
      </c>
      <c r="H39" t="s">
        <v>1055</v>
      </c>
      <c r="I39" t="s">
        <v>1062</v>
      </c>
      <c r="J39" s="22">
        <v>-298.69</v>
      </c>
      <c r="K39" s="21">
        <v>298.69</v>
      </c>
      <c r="L39" s="22">
        <v>-298.69</v>
      </c>
      <c r="M39" t="s">
        <v>266</v>
      </c>
    </row>
    <row r="40" spans="1:13" x14ac:dyDescent="0.35">
      <c r="A40">
        <v>1</v>
      </c>
      <c r="B40" s="17">
        <v>43910</v>
      </c>
      <c r="C40" t="s">
        <v>34</v>
      </c>
      <c r="D40" s="22">
        <v>65.8</v>
      </c>
      <c r="E40" t="s">
        <v>289</v>
      </c>
      <c r="F40" t="s">
        <v>915</v>
      </c>
      <c r="G40" t="s">
        <v>81</v>
      </c>
      <c r="H40" t="s">
        <v>1063</v>
      </c>
      <c r="I40" t="s">
        <v>1064</v>
      </c>
      <c r="J40" s="22">
        <v>-65.8</v>
      </c>
      <c r="K40" s="21">
        <v>65.8</v>
      </c>
      <c r="L40" s="22">
        <v>-65.8</v>
      </c>
      <c r="M40" t="s">
        <v>266</v>
      </c>
    </row>
    <row r="41" spans="1:13" x14ac:dyDescent="0.35">
      <c r="A41">
        <v>1</v>
      </c>
      <c r="B41" s="17">
        <v>43910</v>
      </c>
      <c r="C41" t="s">
        <v>168</v>
      </c>
      <c r="D41" s="22">
        <v>178.18</v>
      </c>
      <c r="E41" t="s">
        <v>291</v>
      </c>
      <c r="F41" t="s">
        <v>915</v>
      </c>
      <c r="G41" t="s">
        <v>81</v>
      </c>
      <c r="H41" t="s">
        <v>1063</v>
      </c>
      <c r="I41" t="s">
        <v>1065</v>
      </c>
      <c r="J41" s="22">
        <v>178.18</v>
      </c>
      <c r="K41" s="21">
        <v>178.18</v>
      </c>
      <c r="L41" s="22">
        <v>178.18</v>
      </c>
      <c r="M41" t="s">
        <v>266</v>
      </c>
    </row>
    <row r="42" spans="1:13" x14ac:dyDescent="0.35">
      <c r="A42">
        <v>1</v>
      </c>
      <c r="B42" s="17">
        <v>43910</v>
      </c>
      <c r="C42" t="s">
        <v>168</v>
      </c>
      <c r="D42" s="22">
        <v>517.37</v>
      </c>
      <c r="E42" t="s">
        <v>292</v>
      </c>
      <c r="F42" t="s">
        <v>915</v>
      </c>
      <c r="G42" t="s">
        <v>81</v>
      </c>
      <c r="H42" t="s">
        <v>1063</v>
      </c>
      <c r="I42" t="s">
        <v>1066</v>
      </c>
      <c r="J42" s="22">
        <v>517.37</v>
      </c>
      <c r="K42" s="21">
        <v>517.37</v>
      </c>
      <c r="L42" s="22">
        <v>517.37</v>
      </c>
      <c r="M42" t="s">
        <v>266</v>
      </c>
    </row>
    <row r="43" spans="1:13" x14ac:dyDescent="0.35">
      <c r="A43">
        <v>1</v>
      </c>
      <c r="B43" s="17">
        <v>43910</v>
      </c>
      <c r="C43" t="s">
        <v>34</v>
      </c>
      <c r="D43" s="22">
        <v>629.75</v>
      </c>
      <c r="E43" t="s">
        <v>353</v>
      </c>
      <c r="F43" t="s">
        <v>915</v>
      </c>
      <c r="G43" t="s">
        <v>81</v>
      </c>
      <c r="H43" t="s">
        <v>1063</v>
      </c>
      <c r="I43" t="s">
        <v>1067</v>
      </c>
      <c r="J43" s="22">
        <v>-629.75</v>
      </c>
      <c r="K43" s="21">
        <v>629.75</v>
      </c>
      <c r="L43" s="22">
        <v>-629.75</v>
      </c>
      <c r="M43" t="s">
        <v>266</v>
      </c>
    </row>
    <row r="44" spans="1:13" x14ac:dyDescent="0.35">
      <c r="A44">
        <v>1</v>
      </c>
      <c r="B44" s="17">
        <v>43910</v>
      </c>
      <c r="C44" t="s">
        <v>168</v>
      </c>
      <c r="D44" s="22">
        <v>178.18</v>
      </c>
      <c r="E44" t="s">
        <v>292</v>
      </c>
      <c r="F44" t="s">
        <v>915</v>
      </c>
      <c r="G44" t="s">
        <v>81</v>
      </c>
      <c r="H44" t="s">
        <v>1063</v>
      </c>
      <c r="I44" t="s">
        <v>1068</v>
      </c>
      <c r="J44" s="22">
        <v>178.18</v>
      </c>
      <c r="K44" s="21">
        <v>178.18</v>
      </c>
      <c r="L44" s="22">
        <v>178.18</v>
      </c>
      <c r="M44" t="s">
        <v>266</v>
      </c>
    </row>
    <row r="45" spans="1:13" x14ac:dyDescent="0.35">
      <c r="A45">
        <v>1</v>
      </c>
      <c r="B45" s="17">
        <v>43910</v>
      </c>
      <c r="C45" t="s">
        <v>34</v>
      </c>
      <c r="D45" s="22">
        <v>178.18</v>
      </c>
      <c r="E45" t="s">
        <v>291</v>
      </c>
      <c r="F45" t="s">
        <v>915</v>
      </c>
      <c r="G45" t="s">
        <v>81</v>
      </c>
      <c r="H45" t="s">
        <v>1063</v>
      </c>
      <c r="I45" t="s">
        <v>1069</v>
      </c>
      <c r="J45" s="22">
        <v>-178.18</v>
      </c>
      <c r="K45" s="21">
        <v>178.18</v>
      </c>
      <c r="L45" s="22">
        <v>-178.18</v>
      </c>
      <c r="M45" t="s">
        <v>266</v>
      </c>
    </row>
    <row r="46" spans="1:13" x14ac:dyDescent="0.35">
      <c r="A46">
        <v>1</v>
      </c>
      <c r="B46" s="17">
        <v>43910</v>
      </c>
      <c r="C46" t="s">
        <v>34</v>
      </c>
      <c r="D46" s="22">
        <v>24.03</v>
      </c>
      <c r="E46" t="s">
        <v>289</v>
      </c>
      <c r="F46" t="s">
        <v>179</v>
      </c>
      <c r="G46" t="s">
        <v>213</v>
      </c>
      <c r="H46" t="s">
        <v>1070</v>
      </c>
      <c r="I46" t="s">
        <v>1071</v>
      </c>
      <c r="J46" s="22">
        <v>-24.03</v>
      </c>
      <c r="K46" s="21">
        <v>24.03</v>
      </c>
      <c r="L46" s="22">
        <v>-24.03</v>
      </c>
      <c r="M46" t="s">
        <v>266</v>
      </c>
    </row>
    <row r="47" spans="1:13" x14ac:dyDescent="0.35">
      <c r="A47">
        <v>1</v>
      </c>
      <c r="B47" s="17">
        <v>43910</v>
      </c>
      <c r="C47" t="s">
        <v>34</v>
      </c>
      <c r="D47" s="22">
        <v>39.200000000000003</v>
      </c>
      <c r="E47" t="s">
        <v>289</v>
      </c>
      <c r="F47" t="s">
        <v>220</v>
      </c>
      <c r="G47" t="s">
        <v>81</v>
      </c>
      <c r="H47" t="s">
        <v>1070</v>
      </c>
      <c r="I47" t="s">
        <v>1071</v>
      </c>
      <c r="J47" s="22">
        <v>-39.200000000000003</v>
      </c>
      <c r="K47" s="21">
        <v>39.200000000000003</v>
      </c>
      <c r="L47" s="22">
        <v>-39.200000000000003</v>
      </c>
    </row>
    <row r="48" spans="1:13" x14ac:dyDescent="0.35">
      <c r="A48">
        <v>1</v>
      </c>
      <c r="B48" s="17">
        <v>43910</v>
      </c>
      <c r="C48" t="s">
        <v>168</v>
      </c>
      <c r="D48" s="22">
        <v>57.57</v>
      </c>
      <c r="E48" t="s">
        <v>291</v>
      </c>
      <c r="F48" t="s">
        <v>179</v>
      </c>
      <c r="G48" t="s">
        <v>213</v>
      </c>
      <c r="H48" t="s">
        <v>1070</v>
      </c>
      <c r="I48" t="s">
        <v>1072</v>
      </c>
      <c r="J48" s="22">
        <v>57.57</v>
      </c>
      <c r="K48" s="21">
        <v>57.57</v>
      </c>
      <c r="L48" s="22">
        <v>57.57</v>
      </c>
      <c r="M48" t="s">
        <v>266</v>
      </c>
    </row>
    <row r="49" spans="1:13" x14ac:dyDescent="0.35">
      <c r="A49">
        <v>1</v>
      </c>
      <c r="B49" s="17">
        <v>43910</v>
      </c>
      <c r="C49" t="s">
        <v>168</v>
      </c>
      <c r="D49" s="22">
        <v>93.94</v>
      </c>
      <c r="E49" t="s">
        <v>291</v>
      </c>
      <c r="F49" t="s">
        <v>220</v>
      </c>
      <c r="G49" t="s">
        <v>81</v>
      </c>
      <c r="H49" t="s">
        <v>1070</v>
      </c>
      <c r="I49" t="s">
        <v>1072</v>
      </c>
      <c r="J49" s="22">
        <v>93.94</v>
      </c>
      <c r="K49" s="21">
        <v>93.94</v>
      </c>
      <c r="L49" s="22">
        <v>93.94</v>
      </c>
    </row>
    <row r="50" spans="1:13" x14ac:dyDescent="0.35">
      <c r="A50">
        <v>1</v>
      </c>
      <c r="B50" s="17">
        <v>43910</v>
      </c>
      <c r="C50" t="s">
        <v>168</v>
      </c>
      <c r="D50" s="22">
        <v>196.35</v>
      </c>
      <c r="E50" t="s">
        <v>292</v>
      </c>
      <c r="F50" t="s">
        <v>179</v>
      </c>
      <c r="G50" t="s">
        <v>213</v>
      </c>
      <c r="H50" t="s">
        <v>1070</v>
      </c>
      <c r="I50" t="s">
        <v>1073</v>
      </c>
      <c r="J50" s="22">
        <v>196.35</v>
      </c>
      <c r="K50" s="21">
        <v>196.35</v>
      </c>
      <c r="L50" s="22">
        <v>196.35</v>
      </c>
      <c r="M50" t="s">
        <v>266</v>
      </c>
    </row>
    <row r="51" spans="1:13" x14ac:dyDescent="0.35">
      <c r="A51">
        <v>1</v>
      </c>
      <c r="B51" s="17">
        <v>43910</v>
      </c>
      <c r="C51" t="s">
        <v>168</v>
      </c>
      <c r="D51" s="22">
        <v>320.37</v>
      </c>
      <c r="E51" t="s">
        <v>292</v>
      </c>
      <c r="F51" t="s">
        <v>220</v>
      </c>
      <c r="G51" t="s">
        <v>81</v>
      </c>
      <c r="H51" t="s">
        <v>1070</v>
      </c>
      <c r="I51" t="s">
        <v>1073</v>
      </c>
      <c r="J51" s="22">
        <v>320.37</v>
      </c>
      <c r="K51" s="21">
        <v>320.37</v>
      </c>
      <c r="L51" s="22">
        <v>320.37</v>
      </c>
    </row>
    <row r="52" spans="1:13" x14ac:dyDescent="0.35">
      <c r="A52">
        <v>1</v>
      </c>
      <c r="B52" s="17">
        <v>43910</v>
      </c>
      <c r="C52" t="s">
        <v>34</v>
      </c>
      <c r="D52" s="22">
        <v>229.9</v>
      </c>
      <c r="E52" t="s">
        <v>349</v>
      </c>
      <c r="F52" t="s">
        <v>179</v>
      </c>
      <c r="G52" t="s">
        <v>213</v>
      </c>
      <c r="H52" t="s">
        <v>1070</v>
      </c>
      <c r="I52" t="s">
        <v>1074</v>
      </c>
      <c r="J52" s="22">
        <v>-229.9</v>
      </c>
      <c r="K52" s="21">
        <v>229.9</v>
      </c>
      <c r="L52" s="22">
        <v>-229.9</v>
      </c>
      <c r="M52" t="s">
        <v>266</v>
      </c>
    </row>
    <row r="53" spans="1:13" x14ac:dyDescent="0.35">
      <c r="A53">
        <v>1</v>
      </c>
      <c r="B53" s="17">
        <v>43910</v>
      </c>
      <c r="C53" t="s">
        <v>34</v>
      </c>
      <c r="D53" s="22">
        <v>375.1</v>
      </c>
      <c r="E53" t="s">
        <v>349</v>
      </c>
      <c r="F53" t="s">
        <v>220</v>
      </c>
      <c r="G53" t="s">
        <v>81</v>
      </c>
      <c r="H53" t="s">
        <v>1070</v>
      </c>
      <c r="I53" t="s">
        <v>1074</v>
      </c>
      <c r="J53" s="22">
        <v>-375.1</v>
      </c>
      <c r="K53" s="21">
        <v>375.1</v>
      </c>
      <c r="L53" s="22">
        <v>-375.1</v>
      </c>
    </row>
    <row r="54" spans="1:13" x14ac:dyDescent="0.35">
      <c r="A54">
        <v>1</v>
      </c>
      <c r="B54" s="17">
        <v>43910</v>
      </c>
      <c r="C54" t="s">
        <v>168</v>
      </c>
      <c r="D54" s="22">
        <v>57.57</v>
      </c>
      <c r="E54" t="s">
        <v>292</v>
      </c>
      <c r="F54" t="s">
        <v>179</v>
      </c>
      <c r="G54" t="s">
        <v>213</v>
      </c>
      <c r="H54" t="s">
        <v>1070</v>
      </c>
      <c r="I54" t="s">
        <v>1075</v>
      </c>
      <c r="J54" s="22">
        <v>57.57</v>
      </c>
      <c r="K54" s="21">
        <v>57.57</v>
      </c>
      <c r="L54" s="22">
        <v>57.57</v>
      </c>
      <c r="M54" t="s">
        <v>266</v>
      </c>
    </row>
    <row r="55" spans="1:13" x14ac:dyDescent="0.35">
      <c r="A55">
        <v>1</v>
      </c>
      <c r="B55" s="17">
        <v>43910</v>
      </c>
      <c r="C55" t="s">
        <v>168</v>
      </c>
      <c r="D55" s="22">
        <v>93.94</v>
      </c>
      <c r="E55" t="s">
        <v>292</v>
      </c>
      <c r="F55" t="s">
        <v>220</v>
      </c>
      <c r="G55" t="s">
        <v>81</v>
      </c>
      <c r="H55" t="s">
        <v>1070</v>
      </c>
      <c r="I55" t="s">
        <v>1075</v>
      </c>
      <c r="J55" s="22">
        <v>93.94</v>
      </c>
      <c r="K55" s="21">
        <v>93.94</v>
      </c>
      <c r="L55" s="22">
        <v>93.94</v>
      </c>
    </row>
    <row r="56" spans="1:13" x14ac:dyDescent="0.35">
      <c r="A56">
        <v>1</v>
      </c>
      <c r="B56" s="17">
        <v>43910</v>
      </c>
      <c r="C56" t="s">
        <v>34</v>
      </c>
      <c r="D56" s="22">
        <v>57.57</v>
      </c>
      <c r="E56" t="s">
        <v>291</v>
      </c>
      <c r="F56" t="s">
        <v>179</v>
      </c>
      <c r="G56" t="s">
        <v>213</v>
      </c>
      <c r="H56" t="s">
        <v>1070</v>
      </c>
      <c r="I56" t="s">
        <v>1076</v>
      </c>
      <c r="J56" s="22">
        <v>-57.57</v>
      </c>
      <c r="K56" s="21">
        <v>57.57</v>
      </c>
      <c r="L56" s="22">
        <v>-57.57</v>
      </c>
      <c r="M56" t="s">
        <v>266</v>
      </c>
    </row>
    <row r="57" spans="1:13" x14ac:dyDescent="0.35">
      <c r="A57">
        <v>1</v>
      </c>
      <c r="B57" s="17">
        <v>43910</v>
      </c>
      <c r="C57" t="s">
        <v>34</v>
      </c>
      <c r="D57" s="22">
        <v>93.94</v>
      </c>
      <c r="E57" t="s">
        <v>291</v>
      </c>
      <c r="F57" t="s">
        <v>220</v>
      </c>
      <c r="G57" t="s">
        <v>81</v>
      </c>
      <c r="H57" t="s">
        <v>1070</v>
      </c>
      <c r="I57" t="s">
        <v>1076</v>
      </c>
      <c r="J57" s="22">
        <v>-93.94</v>
      </c>
      <c r="K57" s="21">
        <v>93.94</v>
      </c>
      <c r="L57" s="22">
        <v>-93.94</v>
      </c>
    </row>
    <row r="58" spans="1:13" x14ac:dyDescent="0.35">
      <c r="A58">
        <v>1</v>
      </c>
      <c r="B58" s="17">
        <v>43910</v>
      </c>
      <c r="C58" t="s">
        <v>34</v>
      </c>
      <c r="D58" s="22">
        <v>194.07</v>
      </c>
      <c r="E58" t="s">
        <v>289</v>
      </c>
      <c r="F58" t="s">
        <v>179</v>
      </c>
      <c r="G58" t="s">
        <v>213</v>
      </c>
      <c r="H58" t="s">
        <v>1077</v>
      </c>
      <c r="I58" t="s">
        <v>1078</v>
      </c>
      <c r="J58" s="22">
        <v>-194.07</v>
      </c>
      <c r="K58" s="21">
        <v>194.07</v>
      </c>
      <c r="L58" s="22">
        <v>-194.07</v>
      </c>
      <c r="M58" t="s">
        <v>266</v>
      </c>
    </row>
    <row r="59" spans="1:13" x14ac:dyDescent="0.35">
      <c r="A59">
        <v>1</v>
      </c>
      <c r="B59" s="17">
        <v>43910</v>
      </c>
      <c r="C59" t="s">
        <v>34</v>
      </c>
      <c r="D59" s="22">
        <v>75.47</v>
      </c>
      <c r="E59" t="s">
        <v>289</v>
      </c>
      <c r="F59" t="s">
        <v>220</v>
      </c>
      <c r="G59" t="s">
        <v>81</v>
      </c>
      <c r="H59" t="s">
        <v>1077</v>
      </c>
      <c r="I59" t="s">
        <v>1078</v>
      </c>
      <c r="J59" s="22">
        <v>-75.47</v>
      </c>
      <c r="K59" s="21">
        <v>75.47</v>
      </c>
      <c r="L59" s="22">
        <v>-75.47</v>
      </c>
    </row>
    <row r="60" spans="1:13" x14ac:dyDescent="0.35">
      <c r="A60">
        <v>1</v>
      </c>
      <c r="B60" s="17">
        <v>43910</v>
      </c>
      <c r="C60" t="s">
        <v>168</v>
      </c>
      <c r="D60" s="22">
        <v>203.84</v>
      </c>
      <c r="E60" t="s">
        <v>290</v>
      </c>
      <c r="F60" t="s">
        <v>179</v>
      </c>
      <c r="G60" t="s">
        <v>213</v>
      </c>
      <c r="H60" t="s">
        <v>1077</v>
      </c>
      <c r="I60" t="s">
        <v>1079</v>
      </c>
      <c r="J60" s="22">
        <v>203.84</v>
      </c>
      <c r="K60" s="21">
        <v>203.84</v>
      </c>
      <c r="L60" s="22">
        <v>203.84</v>
      </c>
      <c r="M60" t="s">
        <v>266</v>
      </c>
    </row>
    <row r="61" spans="1:13" x14ac:dyDescent="0.35">
      <c r="A61">
        <v>1</v>
      </c>
      <c r="B61" s="17">
        <v>43910</v>
      </c>
      <c r="C61" t="s">
        <v>168</v>
      </c>
      <c r="D61" s="22">
        <v>79.27</v>
      </c>
      <c r="E61" t="s">
        <v>290</v>
      </c>
      <c r="F61" t="s">
        <v>220</v>
      </c>
      <c r="G61" t="s">
        <v>81</v>
      </c>
      <c r="H61" t="s">
        <v>1077</v>
      </c>
      <c r="I61" t="s">
        <v>1079</v>
      </c>
      <c r="J61" s="22">
        <v>79.27</v>
      </c>
      <c r="K61" s="21">
        <v>79.27</v>
      </c>
      <c r="L61" s="22">
        <v>79.27</v>
      </c>
    </row>
    <row r="62" spans="1:13" x14ac:dyDescent="0.35">
      <c r="A62">
        <v>1</v>
      </c>
      <c r="B62" s="17">
        <v>43910</v>
      </c>
      <c r="C62" t="s">
        <v>168</v>
      </c>
      <c r="D62" s="22">
        <v>632.89</v>
      </c>
      <c r="E62" t="s">
        <v>291</v>
      </c>
      <c r="F62" t="s">
        <v>179</v>
      </c>
      <c r="G62" t="s">
        <v>213</v>
      </c>
      <c r="H62" t="s">
        <v>1077</v>
      </c>
      <c r="I62" t="s">
        <v>1080</v>
      </c>
      <c r="J62" s="22">
        <v>632.89</v>
      </c>
      <c r="K62" s="21">
        <v>632.89</v>
      </c>
      <c r="L62" s="22">
        <v>632.89</v>
      </c>
      <c r="M62" t="s">
        <v>266</v>
      </c>
    </row>
    <row r="63" spans="1:13" x14ac:dyDescent="0.35">
      <c r="A63">
        <v>1</v>
      </c>
      <c r="B63" s="17">
        <v>43910</v>
      </c>
      <c r="C63" t="s">
        <v>168</v>
      </c>
      <c r="D63" s="22">
        <v>246.12</v>
      </c>
      <c r="E63" t="s">
        <v>291</v>
      </c>
      <c r="F63" t="s">
        <v>220</v>
      </c>
      <c r="G63" t="s">
        <v>81</v>
      </c>
      <c r="H63" t="s">
        <v>1077</v>
      </c>
      <c r="I63" t="s">
        <v>1080</v>
      </c>
      <c r="J63" s="22">
        <v>246.12</v>
      </c>
      <c r="K63" s="21">
        <v>246.12</v>
      </c>
      <c r="L63" s="22">
        <v>246.12</v>
      </c>
    </row>
    <row r="64" spans="1:13" x14ac:dyDescent="0.35">
      <c r="A64">
        <v>1</v>
      </c>
      <c r="B64" s="17">
        <v>43910</v>
      </c>
      <c r="C64" t="s">
        <v>168</v>
      </c>
      <c r="D64" s="22">
        <v>1295.81</v>
      </c>
      <c r="E64" t="s">
        <v>292</v>
      </c>
      <c r="F64" t="s">
        <v>179</v>
      </c>
      <c r="G64" t="s">
        <v>213</v>
      </c>
      <c r="H64" t="s">
        <v>1077</v>
      </c>
      <c r="I64" t="s">
        <v>1081</v>
      </c>
      <c r="J64" s="22">
        <v>1295.81</v>
      </c>
      <c r="K64" s="21">
        <v>1295.81</v>
      </c>
      <c r="L64" s="22">
        <v>1295.81</v>
      </c>
      <c r="M64" t="s">
        <v>266</v>
      </c>
    </row>
    <row r="65" spans="1:13" x14ac:dyDescent="0.35">
      <c r="A65">
        <v>1</v>
      </c>
      <c r="B65" s="17">
        <v>43910</v>
      </c>
      <c r="C65" t="s">
        <v>168</v>
      </c>
      <c r="D65" s="22">
        <v>503.92</v>
      </c>
      <c r="E65" t="s">
        <v>292</v>
      </c>
      <c r="F65" t="s">
        <v>220</v>
      </c>
      <c r="G65" t="s">
        <v>81</v>
      </c>
      <c r="H65" t="s">
        <v>1077</v>
      </c>
      <c r="I65" t="s">
        <v>1081</v>
      </c>
      <c r="J65" s="22">
        <v>503.92</v>
      </c>
      <c r="K65" s="21">
        <v>503.92</v>
      </c>
      <c r="L65" s="22">
        <v>503.92</v>
      </c>
    </row>
    <row r="66" spans="1:13" x14ac:dyDescent="0.35">
      <c r="A66">
        <v>1</v>
      </c>
      <c r="B66" s="17">
        <v>43910</v>
      </c>
      <c r="C66" t="s">
        <v>34</v>
      </c>
      <c r="D66" s="22">
        <v>1938.46</v>
      </c>
      <c r="E66" t="s">
        <v>346</v>
      </c>
      <c r="F66" t="s">
        <v>179</v>
      </c>
      <c r="G66" t="s">
        <v>213</v>
      </c>
      <c r="H66" t="s">
        <v>1077</v>
      </c>
      <c r="I66" t="s">
        <v>1082</v>
      </c>
      <c r="J66" s="22">
        <v>-1938.46</v>
      </c>
      <c r="K66" s="21">
        <v>1938.46</v>
      </c>
      <c r="L66" s="22">
        <v>-1938.46</v>
      </c>
      <c r="M66" t="s">
        <v>266</v>
      </c>
    </row>
    <row r="67" spans="1:13" x14ac:dyDescent="0.35">
      <c r="A67">
        <v>1</v>
      </c>
      <c r="B67" s="17">
        <v>43910</v>
      </c>
      <c r="C67" t="s">
        <v>34</v>
      </c>
      <c r="D67" s="22">
        <v>753.85</v>
      </c>
      <c r="E67" t="s">
        <v>346</v>
      </c>
      <c r="F67" t="s">
        <v>220</v>
      </c>
      <c r="G67" t="s">
        <v>81</v>
      </c>
      <c r="H67" t="s">
        <v>1077</v>
      </c>
      <c r="I67" t="s">
        <v>1082</v>
      </c>
      <c r="J67" s="22">
        <v>-753.85</v>
      </c>
      <c r="K67" s="21">
        <v>753.85</v>
      </c>
      <c r="L67" s="22">
        <v>-753.85</v>
      </c>
    </row>
    <row r="68" spans="1:13" x14ac:dyDescent="0.35">
      <c r="A68">
        <v>1</v>
      </c>
      <c r="B68" s="17">
        <v>43910</v>
      </c>
      <c r="C68" t="s">
        <v>168</v>
      </c>
      <c r="D68" s="22">
        <v>632.89</v>
      </c>
      <c r="E68" t="s">
        <v>292</v>
      </c>
      <c r="F68" t="s">
        <v>179</v>
      </c>
      <c r="G68" t="s">
        <v>213</v>
      </c>
      <c r="H68" t="s">
        <v>1077</v>
      </c>
      <c r="I68" t="s">
        <v>1083</v>
      </c>
      <c r="J68" s="22">
        <v>632.89</v>
      </c>
      <c r="K68" s="21">
        <v>632.89</v>
      </c>
      <c r="L68" s="22">
        <v>632.89</v>
      </c>
      <c r="M68" t="s">
        <v>266</v>
      </c>
    </row>
    <row r="69" spans="1:13" x14ac:dyDescent="0.35">
      <c r="A69">
        <v>1</v>
      </c>
      <c r="B69" s="17">
        <v>43910</v>
      </c>
      <c r="C69" t="s">
        <v>168</v>
      </c>
      <c r="D69" s="22">
        <v>246.12</v>
      </c>
      <c r="E69" t="s">
        <v>292</v>
      </c>
      <c r="F69" t="s">
        <v>220</v>
      </c>
      <c r="G69" t="s">
        <v>81</v>
      </c>
      <c r="H69" t="s">
        <v>1077</v>
      </c>
      <c r="I69" t="s">
        <v>1083</v>
      </c>
      <c r="J69" s="22">
        <v>246.12</v>
      </c>
      <c r="K69" s="21">
        <v>246.12</v>
      </c>
      <c r="L69" s="22">
        <v>246.12</v>
      </c>
    </row>
    <row r="70" spans="1:13" x14ac:dyDescent="0.35">
      <c r="A70">
        <v>1</v>
      </c>
      <c r="B70" s="17">
        <v>43910</v>
      </c>
      <c r="C70" t="s">
        <v>34</v>
      </c>
      <c r="D70" s="22">
        <v>632.89</v>
      </c>
      <c r="E70" t="s">
        <v>291</v>
      </c>
      <c r="F70" t="s">
        <v>179</v>
      </c>
      <c r="G70" t="s">
        <v>213</v>
      </c>
      <c r="H70" t="s">
        <v>1077</v>
      </c>
      <c r="I70" t="s">
        <v>1084</v>
      </c>
      <c r="J70" s="22">
        <v>-632.89</v>
      </c>
      <c r="K70" s="21">
        <v>632.89</v>
      </c>
      <c r="L70" s="22">
        <v>-632.89</v>
      </c>
      <c r="M70" t="s">
        <v>266</v>
      </c>
    </row>
    <row r="71" spans="1:13" x14ac:dyDescent="0.35">
      <c r="A71">
        <v>1</v>
      </c>
      <c r="B71" s="17">
        <v>43910</v>
      </c>
      <c r="C71" t="s">
        <v>34</v>
      </c>
      <c r="D71" s="22">
        <v>246.12</v>
      </c>
      <c r="E71" t="s">
        <v>291</v>
      </c>
      <c r="F71" t="s">
        <v>220</v>
      </c>
      <c r="G71" t="s">
        <v>81</v>
      </c>
      <c r="H71" t="s">
        <v>1077</v>
      </c>
      <c r="I71" t="s">
        <v>1084</v>
      </c>
      <c r="J71" s="22">
        <v>-246.12</v>
      </c>
      <c r="K71" s="21">
        <v>246.12</v>
      </c>
      <c r="L71" s="22">
        <v>-246.12</v>
      </c>
    </row>
    <row r="72" spans="1:13" x14ac:dyDescent="0.35">
      <c r="A72">
        <v>1</v>
      </c>
      <c r="B72" s="17">
        <v>43910</v>
      </c>
      <c r="C72" t="s">
        <v>34</v>
      </c>
      <c r="D72" s="22">
        <v>272.77999999999997</v>
      </c>
      <c r="E72" t="s">
        <v>289</v>
      </c>
      <c r="F72" t="s">
        <v>179</v>
      </c>
      <c r="G72" t="s">
        <v>213</v>
      </c>
      <c r="H72" t="s">
        <v>1085</v>
      </c>
      <c r="I72" t="s">
        <v>1086</v>
      </c>
      <c r="J72" s="22">
        <v>-272.77999999999997</v>
      </c>
      <c r="K72" s="21">
        <v>272.77999999999997</v>
      </c>
      <c r="L72" s="22">
        <v>-272.77999999999997</v>
      </c>
      <c r="M72" t="s">
        <v>266</v>
      </c>
    </row>
    <row r="73" spans="1:13" x14ac:dyDescent="0.35">
      <c r="A73">
        <v>1</v>
      </c>
      <c r="B73" s="17">
        <v>43910</v>
      </c>
      <c r="C73" t="s">
        <v>168</v>
      </c>
      <c r="D73" s="22">
        <v>97.13</v>
      </c>
      <c r="E73" t="s">
        <v>290</v>
      </c>
      <c r="F73" t="s">
        <v>179</v>
      </c>
      <c r="G73" t="s">
        <v>213</v>
      </c>
      <c r="H73" t="s">
        <v>1085</v>
      </c>
      <c r="I73" t="s">
        <v>1087</v>
      </c>
      <c r="J73" s="22">
        <v>97.13</v>
      </c>
      <c r="K73" s="21">
        <v>97.13</v>
      </c>
      <c r="L73" s="22">
        <v>97.13</v>
      </c>
      <c r="M73" t="s">
        <v>266</v>
      </c>
    </row>
    <row r="74" spans="1:13" x14ac:dyDescent="0.35">
      <c r="A74">
        <v>1</v>
      </c>
      <c r="B74" s="17">
        <v>43910</v>
      </c>
      <c r="C74" t="s">
        <v>168</v>
      </c>
      <c r="D74" s="22">
        <v>869.18</v>
      </c>
      <c r="E74" t="s">
        <v>291</v>
      </c>
      <c r="F74" t="s">
        <v>179</v>
      </c>
      <c r="G74" t="s">
        <v>213</v>
      </c>
      <c r="H74" t="s">
        <v>1085</v>
      </c>
      <c r="I74" t="s">
        <v>1088</v>
      </c>
      <c r="J74" s="22">
        <v>869.18</v>
      </c>
      <c r="K74" s="21">
        <v>869.18</v>
      </c>
      <c r="L74" s="22">
        <v>869.18</v>
      </c>
      <c r="M74" t="s">
        <v>266</v>
      </c>
    </row>
    <row r="75" spans="1:13" x14ac:dyDescent="0.35">
      <c r="A75">
        <v>1</v>
      </c>
      <c r="B75" s="17">
        <v>43910</v>
      </c>
      <c r="C75" t="s">
        <v>168</v>
      </c>
      <c r="D75" s="22">
        <v>1991.35</v>
      </c>
      <c r="E75" t="s">
        <v>292</v>
      </c>
      <c r="F75" t="s">
        <v>179</v>
      </c>
      <c r="G75" t="s">
        <v>213</v>
      </c>
      <c r="H75" t="s">
        <v>1085</v>
      </c>
      <c r="I75" t="s">
        <v>1089</v>
      </c>
      <c r="J75" s="22">
        <v>1991.35</v>
      </c>
      <c r="K75" s="21">
        <v>1991.35</v>
      </c>
      <c r="L75" s="22">
        <v>1991.35</v>
      </c>
      <c r="M75" t="s">
        <v>266</v>
      </c>
    </row>
    <row r="76" spans="1:13" x14ac:dyDescent="0.35">
      <c r="A76">
        <v>1</v>
      </c>
      <c r="B76" s="17">
        <v>43910</v>
      </c>
      <c r="C76" t="s">
        <v>34</v>
      </c>
      <c r="D76" s="22">
        <v>2684.88</v>
      </c>
      <c r="E76" t="s">
        <v>67</v>
      </c>
      <c r="F76" t="s">
        <v>179</v>
      </c>
      <c r="G76" t="s">
        <v>213</v>
      </c>
      <c r="H76" t="s">
        <v>1085</v>
      </c>
      <c r="I76" t="s">
        <v>1090</v>
      </c>
      <c r="J76" s="22">
        <v>-2684.88</v>
      </c>
      <c r="K76" s="21">
        <v>2684.88</v>
      </c>
      <c r="L76" s="22">
        <v>-2684.88</v>
      </c>
      <c r="M76" t="s">
        <v>266</v>
      </c>
    </row>
    <row r="77" spans="1:13" x14ac:dyDescent="0.35">
      <c r="A77">
        <v>1</v>
      </c>
      <c r="B77" s="17">
        <v>43910</v>
      </c>
      <c r="C77" t="s">
        <v>168</v>
      </c>
      <c r="D77" s="22">
        <v>869.18</v>
      </c>
      <c r="E77" t="s">
        <v>292</v>
      </c>
      <c r="F77" t="s">
        <v>179</v>
      </c>
      <c r="G77" t="s">
        <v>213</v>
      </c>
      <c r="H77" t="s">
        <v>1085</v>
      </c>
      <c r="I77" t="s">
        <v>1091</v>
      </c>
      <c r="J77" s="22">
        <v>869.18</v>
      </c>
      <c r="K77" s="21">
        <v>869.18</v>
      </c>
      <c r="L77" s="22">
        <v>869.18</v>
      </c>
      <c r="M77" t="s">
        <v>266</v>
      </c>
    </row>
    <row r="78" spans="1:13" x14ac:dyDescent="0.35">
      <c r="A78">
        <v>1</v>
      </c>
      <c r="B78" s="17">
        <v>43910</v>
      </c>
      <c r="C78" t="s">
        <v>34</v>
      </c>
      <c r="D78" s="22">
        <v>869.18</v>
      </c>
      <c r="E78" t="s">
        <v>291</v>
      </c>
      <c r="F78" t="s">
        <v>179</v>
      </c>
      <c r="G78" t="s">
        <v>213</v>
      </c>
      <c r="H78" t="s">
        <v>1085</v>
      </c>
      <c r="I78" t="s">
        <v>1092</v>
      </c>
      <c r="J78" s="22">
        <v>-869.18</v>
      </c>
      <c r="K78" s="21">
        <v>869.18</v>
      </c>
      <c r="L78" s="22">
        <v>-869.18</v>
      </c>
      <c r="M78" t="s">
        <v>266</v>
      </c>
    </row>
    <row r="79" spans="1:13" x14ac:dyDescent="0.35">
      <c r="A79">
        <v>1</v>
      </c>
      <c r="B79" s="17">
        <v>43910</v>
      </c>
      <c r="C79" t="s">
        <v>34</v>
      </c>
      <c r="D79" s="22">
        <v>25.81</v>
      </c>
      <c r="E79" t="s">
        <v>289</v>
      </c>
      <c r="F79" t="s">
        <v>179</v>
      </c>
      <c r="G79" t="s">
        <v>213</v>
      </c>
      <c r="H79" t="s">
        <v>1093</v>
      </c>
      <c r="I79" t="s">
        <v>1094</v>
      </c>
      <c r="J79" s="22">
        <v>-25.81</v>
      </c>
      <c r="K79" s="21">
        <v>25.81</v>
      </c>
      <c r="L79" s="22">
        <v>-25.81</v>
      </c>
      <c r="M79" t="s">
        <v>266</v>
      </c>
    </row>
    <row r="80" spans="1:13" x14ac:dyDescent="0.35">
      <c r="A80">
        <v>1</v>
      </c>
      <c r="B80" s="17">
        <v>43910</v>
      </c>
      <c r="C80" t="s">
        <v>34</v>
      </c>
      <c r="D80" s="22">
        <v>42.12</v>
      </c>
      <c r="E80" t="s">
        <v>289</v>
      </c>
      <c r="F80" t="s">
        <v>220</v>
      </c>
      <c r="G80" t="s">
        <v>81</v>
      </c>
      <c r="H80" t="s">
        <v>1093</v>
      </c>
      <c r="I80" t="s">
        <v>1094</v>
      </c>
      <c r="J80" s="22">
        <v>-42.12</v>
      </c>
      <c r="K80" s="21">
        <v>42.12</v>
      </c>
      <c r="L80" s="22">
        <v>-42.12</v>
      </c>
    </row>
    <row r="81" spans="1:13" x14ac:dyDescent="0.35">
      <c r="A81">
        <v>1</v>
      </c>
      <c r="B81" s="17">
        <v>43910</v>
      </c>
      <c r="C81" t="s">
        <v>168</v>
      </c>
      <c r="D81" s="22">
        <v>62.75</v>
      </c>
      <c r="E81" t="s">
        <v>291</v>
      </c>
      <c r="F81" t="s">
        <v>179</v>
      </c>
      <c r="G81" t="s">
        <v>213</v>
      </c>
      <c r="H81" t="s">
        <v>1093</v>
      </c>
      <c r="I81" t="s">
        <v>1095</v>
      </c>
      <c r="J81" s="22">
        <v>62.75</v>
      </c>
      <c r="K81" s="21">
        <v>62.75</v>
      </c>
      <c r="L81" s="22">
        <v>62.75</v>
      </c>
      <c r="M81" t="s">
        <v>266</v>
      </c>
    </row>
    <row r="82" spans="1:13" x14ac:dyDescent="0.35">
      <c r="A82">
        <v>1</v>
      </c>
      <c r="B82" s="17">
        <v>43910</v>
      </c>
      <c r="C82" t="s">
        <v>168</v>
      </c>
      <c r="D82" s="22">
        <v>102.38</v>
      </c>
      <c r="E82" t="s">
        <v>291</v>
      </c>
      <c r="F82" t="s">
        <v>220</v>
      </c>
      <c r="G82" t="s">
        <v>81</v>
      </c>
      <c r="H82" t="s">
        <v>1093</v>
      </c>
      <c r="I82" t="s">
        <v>1095</v>
      </c>
      <c r="J82" s="22">
        <v>102.38</v>
      </c>
      <c r="K82" s="21">
        <v>102.38</v>
      </c>
      <c r="L82" s="22">
        <v>102.38</v>
      </c>
    </row>
    <row r="83" spans="1:13" x14ac:dyDescent="0.35">
      <c r="A83">
        <v>1</v>
      </c>
      <c r="B83" s="17">
        <v>43910</v>
      </c>
      <c r="C83" t="s">
        <v>168</v>
      </c>
      <c r="D83" s="22">
        <v>210.06</v>
      </c>
      <c r="E83" t="s">
        <v>292</v>
      </c>
      <c r="F83" t="s">
        <v>179</v>
      </c>
      <c r="G83" t="s">
        <v>213</v>
      </c>
      <c r="H83" t="s">
        <v>1093</v>
      </c>
      <c r="I83" t="s">
        <v>1096</v>
      </c>
      <c r="J83" s="22">
        <v>210.06</v>
      </c>
      <c r="K83" s="21">
        <v>210.06</v>
      </c>
      <c r="L83" s="22">
        <v>210.06</v>
      </c>
      <c r="M83" t="s">
        <v>266</v>
      </c>
    </row>
    <row r="84" spans="1:13" x14ac:dyDescent="0.35">
      <c r="A84">
        <v>1</v>
      </c>
      <c r="B84" s="17">
        <v>43910</v>
      </c>
      <c r="C84" t="s">
        <v>168</v>
      </c>
      <c r="D84" s="22">
        <v>342.74</v>
      </c>
      <c r="E84" t="s">
        <v>292</v>
      </c>
      <c r="F84" t="s">
        <v>220</v>
      </c>
      <c r="G84" t="s">
        <v>81</v>
      </c>
      <c r="H84" t="s">
        <v>1093</v>
      </c>
      <c r="I84" t="s">
        <v>1096</v>
      </c>
      <c r="J84" s="22">
        <v>342.74</v>
      </c>
      <c r="K84" s="21">
        <v>342.74</v>
      </c>
      <c r="L84" s="22">
        <v>342.74</v>
      </c>
    </row>
    <row r="85" spans="1:13" x14ac:dyDescent="0.35">
      <c r="A85">
        <v>1</v>
      </c>
      <c r="B85" s="17">
        <v>43910</v>
      </c>
      <c r="C85" t="s">
        <v>34</v>
      </c>
      <c r="D85" s="22">
        <v>247</v>
      </c>
      <c r="E85" t="s">
        <v>165</v>
      </c>
      <c r="F85" t="s">
        <v>179</v>
      </c>
      <c r="G85" t="s">
        <v>213</v>
      </c>
      <c r="H85" t="s">
        <v>1093</v>
      </c>
      <c r="I85" t="s">
        <v>1097</v>
      </c>
      <c r="J85" s="22">
        <v>-247</v>
      </c>
      <c r="K85" s="21">
        <v>247</v>
      </c>
      <c r="L85" s="22">
        <v>-247</v>
      </c>
      <c r="M85" t="s">
        <v>266</v>
      </c>
    </row>
    <row r="86" spans="1:13" x14ac:dyDescent="0.35">
      <c r="A86">
        <v>1</v>
      </c>
      <c r="B86" s="17">
        <v>43910</v>
      </c>
      <c r="C86" t="s">
        <v>34</v>
      </c>
      <c r="D86" s="22">
        <v>403</v>
      </c>
      <c r="E86" t="s">
        <v>165</v>
      </c>
      <c r="F86" t="s">
        <v>220</v>
      </c>
      <c r="G86" t="s">
        <v>81</v>
      </c>
      <c r="H86" t="s">
        <v>1093</v>
      </c>
      <c r="I86" t="s">
        <v>1097</v>
      </c>
      <c r="J86" s="22">
        <v>-403</v>
      </c>
      <c r="K86" s="21">
        <v>403</v>
      </c>
      <c r="L86" s="22">
        <v>-403</v>
      </c>
    </row>
    <row r="87" spans="1:13" x14ac:dyDescent="0.35">
      <c r="A87">
        <v>1</v>
      </c>
      <c r="B87" s="17">
        <v>43910</v>
      </c>
      <c r="C87" t="s">
        <v>168</v>
      </c>
      <c r="D87" s="22">
        <v>62.75</v>
      </c>
      <c r="E87" t="s">
        <v>292</v>
      </c>
      <c r="F87" t="s">
        <v>179</v>
      </c>
      <c r="G87" t="s">
        <v>213</v>
      </c>
      <c r="H87" t="s">
        <v>1093</v>
      </c>
      <c r="I87" t="s">
        <v>1098</v>
      </c>
      <c r="J87" s="22">
        <v>62.75</v>
      </c>
      <c r="K87" s="21">
        <v>62.75</v>
      </c>
      <c r="L87" s="22">
        <v>62.75</v>
      </c>
      <c r="M87" t="s">
        <v>266</v>
      </c>
    </row>
    <row r="88" spans="1:13" x14ac:dyDescent="0.35">
      <c r="A88">
        <v>1</v>
      </c>
      <c r="B88" s="17">
        <v>43910</v>
      </c>
      <c r="C88" t="s">
        <v>168</v>
      </c>
      <c r="D88" s="22">
        <v>102.38</v>
      </c>
      <c r="E88" t="s">
        <v>292</v>
      </c>
      <c r="F88" t="s">
        <v>220</v>
      </c>
      <c r="G88" t="s">
        <v>81</v>
      </c>
      <c r="H88" t="s">
        <v>1093</v>
      </c>
      <c r="I88" t="s">
        <v>1098</v>
      </c>
      <c r="J88" s="22">
        <v>102.38</v>
      </c>
      <c r="K88" s="21">
        <v>102.38</v>
      </c>
      <c r="L88" s="22">
        <v>102.38</v>
      </c>
    </row>
    <row r="89" spans="1:13" x14ac:dyDescent="0.35">
      <c r="A89">
        <v>1</v>
      </c>
      <c r="B89" s="17">
        <v>43910</v>
      </c>
      <c r="C89" t="s">
        <v>34</v>
      </c>
      <c r="D89" s="22">
        <v>62.75</v>
      </c>
      <c r="E89" t="s">
        <v>291</v>
      </c>
      <c r="F89" t="s">
        <v>179</v>
      </c>
      <c r="G89" t="s">
        <v>213</v>
      </c>
      <c r="H89" t="s">
        <v>1093</v>
      </c>
      <c r="I89" t="s">
        <v>1099</v>
      </c>
      <c r="J89" s="22">
        <v>-62.75</v>
      </c>
      <c r="K89" s="21">
        <v>62.75</v>
      </c>
      <c r="L89" s="22">
        <v>-62.75</v>
      </c>
      <c r="M89" t="s">
        <v>266</v>
      </c>
    </row>
    <row r="90" spans="1:13" x14ac:dyDescent="0.35">
      <c r="A90">
        <v>1</v>
      </c>
      <c r="B90" s="17">
        <v>43910</v>
      </c>
      <c r="C90" t="s">
        <v>34</v>
      </c>
      <c r="D90" s="22">
        <v>102.38</v>
      </c>
      <c r="E90" t="s">
        <v>291</v>
      </c>
      <c r="F90" t="s">
        <v>220</v>
      </c>
      <c r="G90" t="s">
        <v>81</v>
      </c>
      <c r="H90" t="s">
        <v>1093</v>
      </c>
      <c r="I90" t="s">
        <v>1099</v>
      </c>
      <c r="J90" s="22">
        <v>-102.38</v>
      </c>
      <c r="K90" s="21">
        <v>102.38</v>
      </c>
      <c r="L90" s="22">
        <v>-102.38</v>
      </c>
    </row>
    <row r="91" spans="1:13" x14ac:dyDescent="0.35">
      <c r="A91">
        <v>1</v>
      </c>
      <c r="B91" s="17">
        <v>43910</v>
      </c>
      <c r="C91" t="s">
        <v>34</v>
      </c>
      <c r="D91" s="22">
        <v>226.3</v>
      </c>
      <c r="E91" t="s">
        <v>289</v>
      </c>
      <c r="F91" t="s">
        <v>179</v>
      </c>
      <c r="G91" t="s">
        <v>213</v>
      </c>
      <c r="H91" t="s">
        <v>1100</v>
      </c>
      <c r="I91" t="s">
        <v>1101</v>
      </c>
      <c r="J91" s="22">
        <v>-226.3</v>
      </c>
      <c r="K91" s="21">
        <v>226.3</v>
      </c>
      <c r="L91" s="22">
        <v>-226.3</v>
      </c>
      <c r="M91" t="s">
        <v>266</v>
      </c>
    </row>
    <row r="92" spans="1:13" x14ac:dyDescent="0.35">
      <c r="A92">
        <v>1</v>
      </c>
      <c r="B92" s="17">
        <v>43910</v>
      </c>
      <c r="C92" t="s">
        <v>168</v>
      </c>
      <c r="D92" s="22">
        <v>621.59</v>
      </c>
      <c r="E92" t="s">
        <v>291</v>
      </c>
      <c r="F92" t="s">
        <v>179</v>
      </c>
      <c r="G92" t="s">
        <v>213</v>
      </c>
      <c r="H92" t="s">
        <v>1100</v>
      </c>
      <c r="I92" t="s">
        <v>1102</v>
      </c>
      <c r="J92" s="22">
        <v>621.59</v>
      </c>
      <c r="K92" s="21">
        <v>621.59</v>
      </c>
      <c r="L92" s="22">
        <v>621.59</v>
      </c>
      <c r="M92" t="s">
        <v>266</v>
      </c>
    </row>
    <row r="93" spans="1:13" x14ac:dyDescent="0.35">
      <c r="A93">
        <v>1</v>
      </c>
      <c r="B93" s="17">
        <v>43910</v>
      </c>
      <c r="C93" t="s">
        <v>168</v>
      </c>
      <c r="D93" s="22">
        <v>1770.26</v>
      </c>
      <c r="E93" t="s">
        <v>292</v>
      </c>
      <c r="F93" t="s">
        <v>179</v>
      </c>
      <c r="G93" t="s">
        <v>213</v>
      </c>
      <c r="H93" t="s">
        <v>1100</v>
      </c>
      <c r="I93" t="s">
        <v>1103</v>
      </c>
      <c r="J93" s="22">
        <v>1770.26</v>
      </c>
      <c r="K93" s="21">
        <v>1770.26</v>
      </c>
      <c r="L93" s="22">
        <v>1770.26</v>
      </c>
      <c r="M93" t="s">
        <v>266</v>
      </c>
    </row>
    <row r="94" spans="1:13" x14ac:dyDescent="0.35">
      <c r="A94">
        <v>1</v>
      </c>
      <c r="B94" s="17">
        <v>43910</v>
      </c>
      <c r="C94" t="s">
        <v>34</v>
      </c>
      <c r="D94" s="22">
        <v>2165.5500000000002</v>
      </c>
      <c r="E94" t="s">
        <v>67</v>
      </c>
      <c r="F94" t="s">
        <v>179</v>
      </c>
      <c r="G94" t="s">
        <v>213</v>
      </c>
      <c r="H94" t="s">
        <v>1100</v>
      </c>
      <c r="I94" t="s">
        <v>1104</v>
      </c>
      <c r="J94" s="22">
        <v>-2165.5500000000002</v>
      </c>
      <c r="K94" s="21">
        <v>2165.5500000000002</v>
      </c>
      <c r="L94" s="22">
        <v>-2165.5500000000002</v>
      </c>
      <c r="M94" t="s">
        <v>266</v>
      </c>
    </row>
    <row r="95" spans="1:13" x14ac:dyDescent="0.35">
      <c r="A95">
        <v>1</v>
      </c>
      <c r="B95" s="17">
        <v>43910</v>
      </c>
      <c r="C95" t="s">
        <v>168</v>
      </c>
      <c r="D95" s="22">
        <v>621.59</v>
      </c>
      <c r="E95" t="s">
        <v>292</v>
      </c>
      <c r="F95" t="s">
        <v>179</v>
      </c>
      <c r="G95" t="s">
        <v>213</v>
      </c>
      <c r="H95" t="s">
        <v>1100</v>
      </c>
      <c r="I95" t="s">
        <v>1105</v>
      </c>
      <c r="J95" s="22">
        <v>621.59</v>
      </c>
      <c r="K95" s="21">
        <v>621.59</v>
      </c>
      <c r="L95" s="22">
        <v>621.59</v>
      </c>
      <c r="M95" t="s">
        <v>266</v>
      </c>
    </row>
    <row r="96" spans="1:13" x14ac:dyDescent="0.35">
      <c r="A96">
        <v>1</v>
      </c>
      <c r="B96" s="17">
        <v>43910</v>
      </c>
      <c r="C96" t="s">
        <v>34</v>
      </c>
      <c r="D96" s="22">
        <v>621.59</v>
      </c>
      <c r="E96" t="s">
        <v>291</v>
      </c>
      <c r="F96" t="s">
        <v>179</v>
      </c>
      <c r="G96" t="s">
        <v>213</v>
      </c>
      <c r="H96" t="s">
        <v>1100</v>
      </c>
      <c r="I96" t="s">
        <v>1106</v>
      </c>
      <c r="J96" s="22">
        <v>-621.59</v>
      </c>
      <c r="K96" s="21">
        <v>621.59</v>
      </c>
      <c r="L96" s="22">
        <v>-621.59</v>
      </c>
      <c r="M96" t="s">
        <v>266</v>
      </c>
    </row>
    <row r="97" spans="1:13" x14ac:dyDescent="0.35">
      <c r="A97">
        <v>1</v>
      </c>
      <c r="B97" s="17">
        <v>43910</v>
      </c>
      <c r="C97" t="s">
        <v>34</v>
      </c>
      <c r="D97" s="22">
        <v>155.69</v>
      </c>
      <c r="E97" t="s">
        <v>289</v>
      </c>
      <c r="F97" t="s">
        <v>179</v>
      </c>
      <c r="G97" t="s">
        <v>213</v>
      </c>
      <c r="H97" t="s">
        <v>1107</v>
      </c>
      <c r="I97" t="s">
        <v>1108</v>
      </c>
      <c r="J97" s="22">
        <v>-155.69</v>
      </c>
      <c r="K97" s="21">
        <v>155.69</v>
      </c>
      <c r="L97" s="22">
        <v>-155.69</v>
      </c>
      <c r="M97" t="s">
        <v>266</v>
      </c>
    </row>
    <row r="98" spans="1:13" x14ac:dyDescent="0.35">
      <c r="A98">
        <v>1</v>
      </c>
      <c r="B98" s="17">
        <v>43910</v>
      </c>
      <c r="C98" t="s">
        <v>168</v>
      </c>
      <c r="D98" s="22">
        <v>183.16</v>
      </c>
      <c r="E98" t="s">
        <v>290</v>
      </c>
      <c r="F98" t="s">
        <v>179</v>
      </c>
      <c r="G98" t="s">
        <v>213</v>
      </c>
      <c r="H98" t="s">
        <v>1107</v>
      </c>
      <c r="I98" t="s">
        <v>1109</v>
      </c>
      <c r="J98" s="22">
        <v>183.16</v>
      </c>
      <c r="K98" s="21">
        <v>183.16</v>
      </c>
      <c r="L98" s="22">
        <v>183.16</v>
      </c>
      <c r="M98" t="s">
        <v>266</v>
      </c>
    </row>
    <row r="99" spans="1:13" x14ac:dyDescent="0.35">
      <c r="A99">
        <v>1</v>
      </c>
      <c r="B99" s="17">
        <v>43910</v>
      </c>
      <c r="C99" t="s">
        <v>168</v>
      </c>
      <c r="D99" s="22">
        <v>384.17</v>
      </c>
      <c r="E99" t="s">
        <v>291</v>
      </c>
      <c r="F99" t="s">
        <v>179</v>
      </c>
      <c r="G99" t="s">
        <v>213</v>
      </c>
      <c r="H99" t="s">
        <v>1107</v>
      </c>
      <c r="I99" t="s">
        <v>1110</v>
      </c>
      <c r="J99" s="22">
        <v>384.17</v>
      </c>
      <c r="K99" s="21">
        <v>384.17</v>
      </c>
      <c r="L99" s="22">
        <v>384.17</v>
      </c>
      <c r="M99" t="s">
        <v>266</v>
      </c>
    </row>
    <row r="100" spans="1:13" x14ac:dyDescent="0.35">
      <c r="A100">
        <v>1</v>
      </c>
      <c r="B100" s="17">
        <v>43910</v>
      </c>
      <c r="C100" t="s">
        <v>168</v>
      </c>
      <c r="D100" s="22">
        <v>1180.23</v>
      </c>
      <c r="E100" t="s">
        <v>292</v>
      </c>
      <c r="F100" t="s">
        <v>179</v>
      </c>
      <c r="G100" t="s">
        <v>213</v>
      </c>
      <c r="H100" t="s">
        <v>1107</v>
      </c>
      <c r="I100" t="s">
        <v>1111</v>
      </c>
      <c r="J100" s="22">
        <v>1180.23</v>
      </c>
      <c r="K100" s="21">
        <v>1180.23</v>
      </c>
      <c r="L100" s="22">
        <v>1180.23</v>
      </c>
      <c r="M100" t="s">
        <v>266</v>
      </c>
    </row>
    <row r="101" spans="1:13" x14ac:dyDescent="0.35">
      <c r="A101">
        <v>1</v>
      </c>
      <c r="B101" s="17">
        <v>43910</v>
      </c>
      <c r="C101" t="s">
        <v>34</v>
      </c>
      <c r="D101" s="22">
        <v>1591.87</v>
      </c>
      <c r="E101" t="s">
        <v>354</v>
      </c>
      <c r="F101" t="s">
        <v>179</v>
      </c>
      <c r="G101" t="s">
        <v>213</v>
      </c>
      <c r="H101" t="s">
        <v>1107</v>
      </c>
      <c r="I101" t="s">
        <v>1112</v>
      </c>
      <c r="J101" s="22">
        <v>-1591.87</v>
      </c>
      <c r="K101" s="21">
        <v>1591.87</v>
      </c>
      <c r="L101" s="22">
        <v>-1591.87</v>
      </c>
      <c r="M101" t="s">
        <v>266</v>
      </c>
    </row>
    <row r="102" spans="1:13" x14ac:dyDescent="0.35">
      <c r="A102">
        <v>1</v>
      </c>
      <c r="B102" s="17">
        <v>43910</v>
      </c>
      <c r="C102" t="s">
        <v>168</v>
      </c>
      <c r="D102" s="22">
        <v>384.17</v>
      </c>
      <c r="E102" t="s">
        <v>292</v>
      </c>
      <c r="F102" t="s">
        <v>179</v>
      </c>
      <c r="G102" t="s">
        <v>213</v>
      </c>
      <c r="H102" t="s">
        <v>1107</v>
      </c>
      <c r="I102" t="s">
        <v>1113</v>
      </c>
      <c r="J102" s="22">
        <v>384.17</v>
      </c>
      <c r="K102" s="21">
        <v>384.17</v>
      </c>
      <c r="L102" s="22">
        <v>384.17</v>
      </c>
      <c r="M102" t="s">
        <v>266</v>
      </c>
    </row>
    <row r="103" spans="1:13" x14ac:dyDescent="0.35">
      <c r="A103">
        <v>1</v>
      </c>
      <c r="B103" s="17">
        <v>43910</v>
      </c>
      <c r="C103" t="s">
        <v>34</v>
      </c>
      <c r="D103" s="22">
        <v>384.17</v>
      </c>
      <c r="E103" t="s">
        <v>291</v>
      </c>
      <c r="F103" t="s">
        <v>179</v>
      </c>
      <c r="G103" t="s">
        <v>213</v>
      </c>
      <c r="H103" t="s">
        <v>1107</v>
      </c>
      <c r="I103" t="s">
        <v>1114</v>
      </c>
      <c r="J103" s="22">
        <v>-384.17</v>
      </c>
      <c r="K103" s="21">
        <v>384.17</v>
      </c>
      <c r="L103" s="22">
        <v>-384.17</v>
      </c>
      <c r="M103" t="s">
        <v>266</v>
      </c>
    </row>
    <row r="104" spans="1:13" x14ac:dyDescent="0.35">
      <c r="A104">
        <v>1</v>
      </c>
      <c r="B104" s="17">
        <v>43910</v>
      </c>
      <c r="C104" t="s">
        <v>168</v>
      </c>
      <c r="D104" s="22">
        <v>0.81</v>
      </c>
      <c r="E104" t="s">
        <v>290</v>
      </c>
      <c r="F104" t="s">
        <v>179</v>
      </c>
      <c r="G104" t="s">
        <v>213</v>
      </c>
      <c r="H104" t="s">
        <v>1055</v>
      </c>
      <c r="I104" t="s">
        <v>1115</v>
      </c>
      <c r="J104" s="22">
        <v>0.81</v>
      </c>
      <c r="K104" s="21">
        <v>0.81</v>
      </c>
      <c r="L104" s="22">
        <v>0.81</v>
      </c>
      <c r="M104" t="s">
        <v>266</v>
      </c>
    </row>
    <row r="105" spans="1:13" x14ac:dyDescent="0.35">
      <c r="A105">
        <v>1</v>
      </c>
      <c r="B105" s="17">
        <v>43910</v>
      </c>
      <c r="C105" t="s">
        <v>168</v>
      </c>
      <c r="D105" s="22">
        <v>9.19</v>
      </c>
      <c r="E105" t="s">
        <v>292</v>
      </c>
      <c r="F105" t="s">
        <v>179</v>
      </c>
      <c r="G105" t="s">
        <v>213</v>
      </c>
      <c r="H105" t="s">
        <v>1055</v>
      </c>
      <c r="I105" t="s">
        <v>1116</v>
      </c>
      <c r="J105" s="22">
        <v>9.19</v>
      </c>
      <c r="K105" s="21">
        <v>9.19</v>
      </c>
      <c r="L105" s="22">
        <v>9.19</v>
      </c>
      <c r="M105" t="s">
        <v>266</v>
      </c>
    </row>
    <row r="106" spans="1:13" x14ac:dyDescent="0.35">
      <c r="A106">
        <v>1</v>
      </c>
      <c r="B106" s="17">
        <v>43910</v>
      </c>
      <c r="C106" t="s">
        <v>34</v>
      </c>
      <c r="D106" s="22">
        <v>10</v>
      </c>
      <c r="E106" t="s">
        <v>354</v>
      </c>
      <c r="F106" t="s">
        <v>179</v>
      </c>
      <c r="G106" t="s">
        <v>213</v>
      </c>
      <c r="H106" t="s">
        <v>1055</v>
      </c>
      <c r="I106" t="s">
        <v>1117</v>
      </c>
      <c r="J106" s="22">
        <v>-10</v>
      </c>
      <c r="K106" s="21">
        <v>10</v>
      </c>
      <c r="L106" s="22">
        <v>-10</v>
      </c>
      <c r="M106" t="s">
        <v>266</v>
      </c>
    </row>
    <row r="107" spans="1:13" x14ac:dyDescent="0.35">
      <c r="A107">
        <v>1</v>
      </c>
      <c r="B107" s="17">
        <v>43910</v>
      </c>
      <c r="C107" t="s">
        <v>34</v>
      </c>
      <c r="D107" s="22">
        <v>81.91</v>
      </c>
      <c r="E107" t="s">
        <v>289</v>
      </c>
      <c r="F107" t="s">
        <v>915</v>
      </c>
      <c r="G107" t="s">
        <v>81</v>
      </c>
      <c r="H107" t="s">
        <v>1118</v>
      </c>
      <c r="I107" t="s">
        <v>960</v>
      </c>
      <c r="J107" s="22">
        <v>-81.91</v>
      </c>
      <c r="K107" s="21">
        <v>81.91</v>
      </c>
      <c r="L107" s="22">
        <v>-81.91</v>
      </c>
      <c r="M107" t="s">
        <v>266</v>
      </c>
    </row>
    <row r="108" spans="1:13" x14ac:dyDescent="0.35">
      <c r="A108">
        <v>1</v>
      </c>
      <c r="B108" s="17">
        <v>43910</v>
      </c>
      <c r="C108" t="s">
        <v>168</v>
      </c>
      <c r="D108" s="22">
        <v>188.52</v>
      </c>
      <c r="E108" t="s">
        <v>291</v>
      </c>
      <c r="F108" t="s">
        <v>915</v>
      </c>
      <c r="G108" t="s">
        <v>81</v>
      </c>
      <c r="H108" t="s">
        <v>1118</v>
      </c>
      <c r="I108" t="s">
        <v>322</v>
      </c>
      <c r="J108" s="22">
        <v>188.52</v>
      </c>
      <c r="K108" s="21">
        <v>188.52</v>
      </c>
      <c r="L108" s="22">
        <v>188.52</v>
      </c>
      <c r="M108" t="s">
        <v>266</v>
      </c>
    </row>
    <row r="109" spans="1:13" x14ac:dyDescent="0.35">
      <c r="A109">
        <v>1</v>
      </c>
      <c r="B109" s="17">
        <v>43910</v>
      </c>
      <c r="C109" t="s">
        <v>168</v>
      </c>
      <c r="D109" s="22">
        <v>677.14</v>
      </c>
      <c r="E109" t="s">
        <v>292</v>
      </c>
      <c r="F109" t="s">
        <v>915</v>
      </c>
      <c r="G109" t="s">
        <v>81</v>
      </c>
      <c r="H109" t="s">
        <v>1118</v>
      </c>
      <c r="I109" t="s">
        <v>323</v>
      </c>
      <c r="J109" s="22">
        <v>677.14</v>
      </c>
      <c r="K109" s="21">
        <v>677.14</v>
      </c>
      <c r="L109" s="22">
        <v>677.14</v>
      </c>
      <c r="M109" t="s">
        <v>266</v>
      </c>
    </row>
    <row r="110" spans="1:13" x14ac:dyDescent="0.35">
      <c r="A110">
        <v>1</v>
      </c>
      <c r="B110" s="17">
        <v>43910</v>
      </c>
      <c r="C110" t="s">
        <v>34</v>
      </c>
      <c r="D110" s="22">
        <v>783.75</v>
      </c>
      <c r="E110" t="s">
        <v>353</v>
      </c>
      <c r="F110" t="s">
        <v>915</v>
      </c>
      <c r="G110" t="s">
        <v>81</v>
      </c>
      <c r="H110" t="s">
        <v>1118</v>
      </c>
      <c r="I110" t="s">
        <v>324</v>
      </c>
      <c r="J110" s="22">
        <v>-783.75</v>
      </c>
      <c r="K110" s="21">
        <v>783.75</v>
      </c>
      <c r="L110" s="22">
        <v>-783.75</v>
      </c>
      <c r="M110" t="s">
        <v>266</v>
      </c>
    </row>
    <row r="111" spans="1:13" x14ac:dyDescent="0.35">
      <c r="A111">
        <v>1</v>
      </c>
      <c r="B111" s="17">
        <v>43910</v>
      </c>
      <c r="C111" t="s">
        <v>168</v>
      </c>
      <c r="D111" s="22">
        <v>188.52</v>
      </c>
      <c r="E111" t="s">
        <v>292</v>
      </c>
      <c r="F111" t="s">
        <v>915</v>
      </c>
      <c r="G111" t="s">
        <v>81</v>
      </c>
      <c r="H111" t="s">
        <v>1118</v>
      </c>
      <c r="I111" t="s">
        <v>325</v>
      </c>
      <c r="J111" s="22">
        <v>188.52</v>
      </c>
      <c r="K111" s="21">
        <v>188.52</v>
      </c>
      <c r="L111" s="22">
        <v>188.52</v>
      </c>
      <c r="M111" t="s">
        <v>266</v>
      </c>
    </row>
    <row r="112" spans="1:13" x14ac:dyDescent="0.35">
      <c r="A112">
        <v>1</v>
      </c>
      <c r="B112" s="17">
        <v>43910</v>
      </c>
      <c r="C112" t="s">
        <v>34</v>
      </c>
      <c r="D112" s="22">
        <v>188.52</v>
      </c>
      <c r="E112" t="s">
        <v>291</v>
      </c>
      <c r="F112" t="s">
        <v>915</v>
      </c>
      <c r="G112" t="s">
        <v>81</v>
      </c>
      <c r="H112" t="s">
        <v>1118</v>
      </c>
      <c r="I112" t="s">
        <v>326</v>
      </c>
      <c r="J112" s="22">
        <v>-188.52</v>
      </c>
      <c r="K112" s="21">
        <v>188.52</v>
      </c>
      <c r="L112" s="22">
        <v>-188.52</v>
      </c>
      <c r="M112" t="s">
        <v>266</v>
      </c>
    </row>
    <row r="113" spans="1:13" x14ac:dyDescent="0.35">
      <c r="A113">
        <v>1</v>
      </c>
      <c r="B113" s="17">
        <v>43910</v>
      </c>
      <c r="C113" t="s">
        <v>34</v>
      </c>
      <c r="D113" s="22">
        <v>8.84</v>
      </c>
      <c r="E113" t="s">
        <v>289</v>
      </c>
      <c r="F113" t="s">
        <v>179</v>
      </c>
      <c r="G113" t="s">
        <v>213</v>
      </c>
      <c r="H113" t="s">
        <v>1055</v>
      </c>
      <c r="I113" t="s">
        <v>327</v>
      </c>
      <c r="J113" s="22">
        <v>-8.84</v>
      </c>
      <c r="K113" s="21">
        <v>8.84</v>
      </c>
      <c r="L113" s="22">
        <v>-8.84</v>
      </c>
      <c r="M113" t="s">
        <v>266</v>
      </c>
    </row>
    <row r="114" spans="1:13" x14ac:dyDescent="0.35">
      <c r="A114">
        <v>1</v>
      </c>
      <c r="B114" s="17">
        <v>43910</v>
      </c>
      <c r="C114" t="s">
        <v>168</v>
      </c>
      <c r="D114" s="22">
        <v>7.3</v>
      </c>
      <c r="E114" t="s">
        <v>290</v>
      </c>
      <c r="F114" t="s">
        <v>179</v>
      </c>
      <c r="G114" t="s">
        <v>213</v>
      </c>
      <c r="H114" t="s">
        <v>1055</v>
      </c>
      <c r="I114" t="s">
        <v>961</v>
      </c>
      <c r="J114" s="22">
        <v>7.3</v>
      </c>
      <c r="K114" s="21">
        <v>7.3</v>
      </c>
      <c r="L114" s="22">
        <v>7.3</v>
      </c>
      <c r="M114" t="s">
        <v>266</v>
      </c>
    </row>
    <row r="115" spans="1:13" x14ac:dyDescent="0.35">
      <c r="A115">
        <v>1</v>
      </c>
      <c r="B115" s="17">
        <v>43910</v>
      </c>
      <c r="C115" t="s">
        <v>168</v>
      </c>
      <c r="D115" s="22">
        <v>21.53</v>
      </c>
      <c r="E115" t="s">
        <v>291</v>
      </c>
      <c r="F115" t="s">
        <v>179</v>
      </c>
      <c r="G115" t="s">
        <v>213</v>
      </c>
      <c r="H115" t="s">
        <v>1055</v>
      </c>
      <c r="I115" t="s">
        <v>962</v>
      </c>
      <c r="J115" s="22">
        <v>21.53</v>
      </c>
      <c r="K115" s="21">
        <v>21.53</v>
      </c>
      <c r="L115" s="22">
        <v>21.53</v>
      </c>
      <c r="M115" t="s">
        <v>266</v>
      </c>
    </row>
    <row r="116" spans="1:13" x14ac:dyDescent="0.35">
      <c r="A116">
        <v>1</v>
      </c>
      <c r="B116" s="17">
        <v>43910</v>
      </c>
      <c r="C116" t="s">
        <v>168</v>
      </c>
      <c r="D116" s="22">
        <v>70.010000000000005</v>
      </c>
      <c r="E116" t="s">
        <v>292</v>
      </c>
      <c r="F116" t="s">
        <v>179</v>
      </c>
      <c r="G116" t="s">
        <v>213</v>
      </c>
      <c r="H116" t="s">
        <v>1055</v>
      </c>
      <c r="I116" t="s">
        <v>963</v>
      </c>
      <c r="J116" s="22">
        <v>70.010000000000005</v>
      </c>
      <c r="K116" s="21">
        <v>70.010000000000005</v>
      </c>
      <c r="L116" s="22">
        <v>70.010000000000005</v>
      </c>
      <c r="M116" t="s">
        <v>266</v>
      </c>
    </row>
    <row r="117" spans="1:13" x14ac:dyDescent="0.35">
      <c r="A117">
        <v>1</v>
      </c>
      <c r="B117" s="17">
        <v>43910</v>
      </c>
      <c r="C117" t="s">
        <v>34</v>
      </c>
      <c r="D117" s="22">
        <v>90</v>
      </c>
      <c r="E117" t="s">
        <v>354</v>
      </c>
      <c r="F117" t="s">
        <v>179</v>
      </c>
      <c r="G117" t="s">
        <v>213</v>
      </c>
      <c r="H117" t="s">
        <v>1055</v>
      </c>
      <c r="I117" t="s">
        <v>964</v>
      </c>
      <c r="J117" s="22">
        <v>-90</v>
      </c>
      <c r="K117" s="21">
        <v>90</v>
      </c>
      <c r="L117" s="22">
        <v>-90</v>
      </c>
      <c r="M117" t="s">
        <v>266</v>
      </c>
    </row>
    <row r="118" spans="1:13" x14ac:dyDescent="0.35">
      <c r="A118">
        <v>1</v>
      </c>
      <c r="B118" s="17">
        <v>43910</v>
      </c>
      <c r="C118" t="s">
        <v>168</v>
      </c>
      <c r="D118" s="22">
        <v>21.53</v>
      </c>
      <c r="E118" t="s">
        <v>292</v>
      </c>
      <c r="F118" t="s">
        <v>179</v>
      </c>
      <c r="G118" t="s">
        <v>213</v>
      </c>
      <c r="H118" t="s">
        <v>1055</v>
      </c>
      <c r="I118" t="s">
        <v>965</v>
      </c>
      <c r="J118" s="22">
        <v>21.53</v>
      </c>
      <c r="K118" s="21">
        <v>21.53</v>
      </c>
      <c r="L118" s="22">
        <v>21.53</v>
      </c>
      <c r="M118" t="s">
        <v>266</v>
      </c>
    </row>
    <row r="119" spans="1:13" x14ac:dyDescent="0.35">
      <c r="A119">
        <v>1</v>
      </c>
      <c r="B119" s="17">
        <v>43910</v>
      </c>
      <c r="C119" t="s">
        <v>34</v>
      </c>
      <c r="D119" s="22">
        <v>21.53</v>
      </c>
      <c r="E119" t="s">
        <v>291</v>
      </c>
      <c r="F119" t="s">
        <v>179</v>
      </c>
      <c r="G119" t="s">
        <v>213</v>
      </c>
      <c r="H119" t="s">
        <v>1055</v>
      </c>
      <c r="I119" t="s">
        <v>966</v>
      </c>
      <c r="J119" s="22">
        <v>-21.53</v>
      </c>
      <c r="K119" s="21">
        <v>21.53</v>
      </c>
      <c r="L119" s="22">
        <v>-21.53</v>
      </c>
      <c r="M119" t="s">
        <v>266</v>
      </c>
    </row>
    <row r="120" spans="1:13" x14ac:dyDescent="0.35">
      <c r="A120">
        <v>1</v>
      </c>
      <c r="B120" s="17">
        <v>43910</v>
      </c>
      <c r="C120" t="s">
        <v>34</v>
      </c>
      <c r="D120" s="22">
        <v>92.53</v>
      </c>
      <c r="E120" t="s">
        <v>289</v>
      </c>
      <c r="F120" t="s">
        <v>221</v>
      </c>
      <c r="G120" t="s">
        <v>81</v>
      </c>
      <c r="H120" t="s">
        <v>1119</v>
      </c>
      <c r="I120" t="s">
        <v>967</v>
      </c>
      <c r="J120" s="22">
        <v>-92.53</v>
      </c>
      <c r="K120" s="21">
        <v>92.53</v>
      </c>
      <c r="L120" s="22">
        <v>-92.53</v>
      </c>
      <c r="M120" t="s">
        <v>266</v>
      </c>
    </row>
    <row r="121" spans="1:13" x14ac:dyDescent="0.35">
      <c r="A121">
        <v>1</v>
      </c>
      <c r="B121" s="17">
        <v>43910</v>
      </c>
      <c r="C121" t="s">
        <v>168</v>
      </c>
      <c r="D121" s="22">
        <v>123.62</v>
      </c>
      <c r="E121" t="s">
        <v>290</v>
      </c>
      <c r="F121" t="s">
        <v>221</v>
      </c>
      <c r="G121" t="s">
        <v>81</v>
      </c>
      <c r="H121" t="s">
        <v>1119</v>
      </c>
      <c r="I121" t="s">
        <v>968</v>
      </c>
      <c r="J121" s="22">
        <v>123.62</v>
      </c>
      <c r="K121" s="21">
        <v>123.62</v>
      </c>
      <c r="L121" s="22">
        <v>123.62</v>
      </c>
      <c r="M121" t="s">
        <v>266</v>
      </c>
    </row>
    <row r="122" spans="1:13" x14ac:dyDescent="0.35">
      <c r="A122">
        <v>1</v>
      </c>
      <c r="B122" s="17">
        <v>43910</v>
      </c>
      <c r="C122" t="s">
        <v>168</v>
      </c>
      <c r="D122" s="22">
        <v>200.34</v>
      </c>
      <c r="E122" t="s">
        <v>291</v>
      </c>
      <c r="F122" t="s">
        <v>221</v>
      </c>
      <c r="G122" t="s">
        <v>81</v>
      </c>
      <c r="H122" t="s">
        <v>1119</v>
      </c>
      <c r="I122" t="s">
        <v>969</v>
      </c>
      <c r="J122" s="22">
        <v>200.34</v>
      </c>
      <c r="K122" s="21">
        <v>200.34</v>
      </c>
      <c r="L122" s="22">
        <v>200.34</v>
      </c>
      <c r="M122" t="s">
        <v>266</v>
      </c>
    </row>
    <row r="123" spans="1:13" x14ac:dyDescent="0.35">
      <c r="A123">
        <v>1</v>
      </c>
      <c r="B123" s="17">
        <v>43910</v>
      </c>
      <c r="C123" t="s">
        <v>168</v>
      </c>
      <c r="D123" s="22">
        <v>728.57</v>
      </c>
      <c r="E123" t="s">
        <v>292</v>
      </c>
      <c r="F123" t="s">
        <v>221</v>
      </c>
      <c r="G123" t="s">
        <v>81</v>
      </c>
      <c r="H123" t="s">
        <v>1119</v>
      </c>
      <c r="I123" t="s">
        <v>970</v>
      </c>
      <c r="J123" s="22">
        <v>728.57</v>
      </c>
      <c r="K123" s="21">
        <v>728.57</v>
      </c>
      <c r="L123" s="22">
        <v>728.57</v>
      </c>
      <c r="M123" t="s">
        <v>266</v>
      </c>
    </row>
    <row r="124" spans="1:13" x14ac:dyDescent="0.35">
      <c r="A124">
        <v>1</v>
      </c>
      <c r="B124" s="17">
        <v>43910</v>
      </c>
      <c r="C124" t="s">
        <v>34</v>
      </c>
      <c r="D124" s="22">
        <v>960</v>
      </c>
      <c r="E124" t="s">
        <v>67</v>
      </c>
      <c r="F124" t="s">
        <v>221</v>
      </c>
      <c r="G124" t="s">
        <v>81</v>
      </c>
      <c r="H124" t="s">
        <v>1119</v>
      </c>
      <c r="I124" t="s">
        <v>971</v>
      </c>
      <c r="J124" s="22">
        <v>-960</v>
      </c>
      <c r="K124" s="21">
        <v>960</v>
      </c>
      <c r="L124" s="22">
        <v>-960</v>
      </c>
      <c r="M124" t="s">
        <v>266</v>
      </c>
    </row>
    <row r="125" spans="1:13" x14ac:dyDescent="0.35">
      <c r="A125">
        <v>1</v>
      </c>
      <c r="B125" s="17">
        <v>43910</v>
      </c>
      <c r="C125" t="s">
        <v>168</v>
      </c>
      <c r="D125" s="22">
        <v>200.34</v>
      </c>
      <c r="E125" t="s">
        <v>292</v>
      </c>
      <c r="F125" t="s">
        <v>221</v>
      </c>
      <c r="G125" t="s">
        <v>81</v>
      </c>
      <c r="H125" t="s">
        <v>1119</v>
      </c>
      <c r="I125" t="s">
        <v>972</v>
      </c>
      <c r="J125" s="22">
        <v>200.34</v>
      </c>
      <c r="K125" s="21">
        <v>200.34</v>
      </c>
      <c r="L125" s="22">
        <v>200.34</v>
      </c>
      <c r="M125" t="s">
        <v>266</v>
      </c>
    </row>
    <row r="126" spans="1:13" x14ac:dyDescent="0.35">
      <c r="A126">
        <v>1</v>
      </c>
      <c r="B126" s="17">
        <v>43910</v>
      </c>
      <c r="C126" t="s">
        <v>34</v>
      </c>
      <c r="D126" s="22">
        <v>200.34</v>
      </c>
      <c r="E126" t="s">
        <v>291</v>
      </c>
      <c r="F126" t="s">
        <v>221</v>
      </c>
      <c r="G126" t="s">
        <v>81</v>
      </c>
      <c r="H126" t="s">
        <v>1119</v>
      </c>
      <c r="I126" t="s">
        <v>973</v>
      </c>
      <c r="J126" s="22">
        <v>-200.34</v>
      </c>
      <c r="K126" s="21">
        <v>200.34</v>
      </c>
      <c r="L126" s="22">
        <v>-200.34</v>
      </c>
      <c r="M126" t="s">
        <v>266</v>
      </c>
    </row>
    <row r="127" spans="1:13" x14ac:dyDescent="0.35">
      <c r="A127">
        <v>1</v>
      </c>
      <c r="B127" s="17">
        <v>43910</v>
      </c>
      <c r="C127" t="s">
        <v>34</v>
      </c>
      <c r="D127" s="22">
        <v>0.86</v>
      </c>
      <c r="E127" t="s">
        <v>289</v>
      </c>
      <c r="F127" t="s">
        <v>237</v>
      </c>
      <c r="G127" t="s">
        <v>300</v>
      </c>
      <c r="H127" t="s">
        <v>1120</v>
      </c>
      <c r="I127" t="s">
        <v>974</v>
      </c>
      <c r="J127" s="22">
        <v>-0.86</v>
      </c>
      <c r="K127" s="21">
        <v>0.86</v>
      </c>
      <c r="L127" s="22">
        <v>-0.86</v>
      </c>
      <c r="M127" t="s">
        <v>266</v>
      </c>
    </row>
    <row r="128" spans="1:13" x14ac:dyDescent="0.35">
      <c r="A128">
        <v>1</v>
      </c>
      <c r="B128" s="17">
        <v>43910</v>
      </c>
      <c r="C128" t="s">
        <v>34</v>
      </c>
      <c r="D128" s="22">
        <v>3.86</v>
      </c>
      <c r="E128" t="s">
        <v>289</v>
      </c>
      <c r="F128" t="s">
        <v>233</v>
      </c>
      <c r="G128" t="s">
        <v>301</v>
      </c>
      <c r="H128" t="s">
        <v>1120</v>
      </c>
      <c r="I128" t="s">
        <v>974</v>
      </c>
      <c r="J128" s="22">
        <v>-3.86</v>
      </c>
      <c r="K128" s="21">
        <v>3.86</v>
      </c>
      <c r="L128" s="22">
        <v>-3.86</v>
      </c>
    </row>
    <row r="129" spans="1:13" x14ac:dyDescent="0.35">
      <c r="A129">
        <v>1</v>
      </c>
      <c r="B129" s="17">
        <v>43910</v>
      </c>
      <c r="C129" t="s">
        <v>34</v>
      </c>
      <c r="D129" s="22">
        <v>38.15</v>
      </c>
      <c r="E129" t="s">
        <v>289</v>
      </c>
      <c r="F129" t="s">
        <v>180</v>
      </c>
      <c r="G129" t="s">
        <v>81</v>
      </c>
      <c r="H129" t="s">
        <v>1120</v>
      </c>
      <c r="I129" t="s">
        <v>974</v>
      </c>
      <c r="J129" s="22">
        <v>-38.15</v>
      </c>
      <c r="K129" s="21">
        <v>38.15</v>
      </c>
      <c r="L129" s="22">
        <v>-38.15</v>
      </c>
    </row>
    <row r="130" spans="1:13" x14ac:dyDescent="0.35">
      <c r="A130">
        <v>1</v>
      </c>
      <c r="B130" s="17">
        <v>43910</v>
      </c>
      <c r="C130" t="s">
        <v>168</v>
      </c>
      <c r="D130" s="22">
        <v>0.62</v>
      </c>
      <c r="E130" t="s">
        <v>290</v>
      </c>
      <c r="F130" t="s">
        <v>237</v>
      </c>
      <c r="G130" t="s">
        <v>300</v>
      </c>
      <c r="H130" t="s">
        <v>1120</v>
      </c>
      <c r="I130" t="s">
        <v>975</v>
      </c>
      <c r="J130" s="22">
        <v>0.62</v>
      </c>
      <c r="K130" s="21">
        <v>0.62</v>
      </c>
      <c r="L130" s="22">
        <v>0.62</v>
      </c>
      <c r="M130" t="s">
        <v>266</v>
      </c>
    </row>
    <row r="131" spans="1:13" x14ac:dyDescent="0.35">
      <c r="A131">
        <v>1</v>
      </c>
      <c r="B131" s="17">
        <v>43910</v>
      </c>
      <c r="C131" t="s">
        <v>168</v>
      </c>
      <c r="D131" s="22">
        <v>2.79</v>
      </c>
      <c r="E131" t="s">
        <v>290</v>
      </c>
      <c r="F131" t="s">
        <v>233</v>
      </c>
      <c r="G131" t="s">
        <v>301</v>
      </c>
      <c r="H131" t="s">
        <v>1120</v>
      </c>
      <c r="I131" t="s">
        <v>975</v>
      </c>
      <c r="J131" s="22">
        <v>2.79</v>
      </c>
      <c r="K131" s="21">
        <v>2.79</v>
      </c>
      <c r="L131" s="22">
        <v>2.79</v>
      </c>
    </row>
    <row r="132" spans="1:13" x14ac:dyDescent="0.35">
      <c r="A132">
        <v>1</v>
      </c>
      <c r="B132" s="17">
        <v>43910</v>
      </c>
      <c r="C132" t="s">
        <v>168</v>
      </c>
      <c r="D132" s="22">
        <v>27.6</v>
      </c>
      <c r="E132" t="s">
        <v>290</v>
      </c>
      <c r="F132" t="s">
        <v>180</v>
      </c>
      <c r="G132" t="s">
        <v>81</v>
      </c>
      <c r="H132" t="s">
        <v>1120</v>
      </c>
      <c r="I132" t="s">
        <v>975</v>
      </c>
      <c r="J132" s="22">
        <v>27.6</v>
      </c>
      <c r="K132" s="21">
        <v>27.6</v>
      </c>
      <c r="L132" s="22">
        <v>27.6</v>
      </c>
    </row>
    <row r="133" spans="1:13" x14ac:dyDescent="0.35">
      <c r="A133">
        <v>1</v>
      </c>
      <c r="B133" s="17">
        <v>43910</v>
      </c>
      <c r="C133" t="s">
        <v>168</v>
      </c>
      <c r="D133" s="22">
        <v>2.92</v>
      </c>
      <c r="E133" t="s">
        <v>291</v>
      </c>
      <c r="F133" t="s">
        <v>237</v>
      </c>
      <c r="G133" t="s">
        <v>300</v>
      </c>
      <c r="H133" t="s">
        <v>1120</v>
      </c>
      <c r="I133" t="s">
        <v>976</v>
      </c>
      <c r="J133" s="22">
        <v>2.92</v>
      </c>
      <c r="K133" s="21">
        <v>2.92</v>
      </c>
      <c r="L133" s="22">
        <v>2.92</v>
      </c>
      <c r="M133" t="s">
        <v>266</v>
      </c>
    </row>
    <row r="134" spans="1:13" x14ac:dyDescent="0.35">
      <c r="A134">
        <v>1</v>
      </c>
      <c r="B134" s="17">
        <v>43910</v>
      </c>
      <c r="C134" t="s">
        <v>168</v>
      </c>
      <c r="D134" s="22">
        <v>13.13</v>
      </c>
      <c r="E134" t="s">
        <v>291</v>
      </c>
      <c r="F134" t="s">
        <v>233</v>
      </c>
      <c r="G134" t="s">
        <v>301</v>
      </c>
      <c r="H134" t="s">
        <v>1120</v>
      </c>
      <c r="I134" t="s">
        <v>976</v>
      </c>
      <c r="J134" s="22">
        <v>13.13</v>
      </c>
      <c r="K134" s="21">
        <v>13.13</v>
      </c>
      <c r="L134" s="22">
        <v>13.13</v>
      </c>
    </row>
    <row r="135" spans="1:13" x14ac:dyDescent="0.35">
      <c r="A135">
        <v>1</v>
      </c>
      <c r="B135" s="17">
        <v>43910</v>
      </c>
      <c r="C135" t="s">
        <v>168</v>
      </c>
      <c r="D135" s="22">
        <v>129.88</v>
      </c>
      <c r="E135" t="s">
        <v>291</v>
      </c>
      <c r="F135" t="s">
        <v>180</v>
      </c>
      <c r="G135" t="s">
        <v>81</v>
      </c>
      <c r="H135" t="s">
        <v>1120</v>
      </c>
      <c r="I135" t="s">
        <v>976</v>
      </c>
      <c r="J135" s="22">
        <v>129.88</v>
      </c>
      <c r="K135" s="21">
        <v>129.88</v>
      </c>
      <c r="L135" s="22">
        <v>129.88</v>
      </c>
    </row>
    <row r="136" spans="1:13" x14ac:dyDescent="0.35">
      <c r="A136">
        <v>1</v>
      </c>
      <c r="B136" s="17">
        <v>43910</v>
      </c>
      <c r="C136" t="s">
        <v>168</v>
      </c>
      <c r="D136" s="22">
        <v>5.78</v>
      </c>
      <c r="E136" t="s">
        <v>292</v>
      </c>
      <c r="F136" t="s">
        <v>237</v>
      </c>
      <c r="G136" t="s">
        <v>300</v>
      </c>
      <c r="H136" t="s">
        <v>1120</v>
      </c>
      <c r="I136" t="s">
        <v>977</v>
      </c>
      <c r="J136" s="22">
        <v>5.78</v>
      </c>
      <c r="K136" s="21">
        <v>5.78</v>
      </c>
      <c r="L136" s="22">
        <v>5.78</v>
      </c>
      <c r="M136" t="s">
        <v>266</v>
      </c>
    </row>
    <row r="137" spans="1:13" x14ac:dyDescent="0.35">
      <c r="A137">
        <v>1</v>
      </c>
      <c r="B137" s="17">
        <v>43910</v>
      </c>
      <c r="C137" t="s">
        <v>168</v>
      </c>
      <c r="D137" s="22">
        <v>26.01</v>
      </c>
      <c r="E137" t="s">
        <v>292</v>
      </c>
      <c r="F137" t="s">
        <v>233</v>
      </c>
      <c r="G137" t="s">
        <v>301</v>
      </c>
      <c r="H137" t="s">
        <v>1120</v>
      </c>
      <c r="I137" t="s">
        <v>977</v>
      </c>
      <c r="J137" s="22">
        <v>26.01</v>
      </c>
      <c r="K137" s="21">
        <v>26.01</v>
      </c>
      <c r="L137" s="22">
        <v>26.01</v>
      </c>
    </row>
    <row r="138" spans="1:13" x14ac:dyDescent="0.35">
      <c r="A138">
        <v>1</v>
      </c>
      <c r="B138" s="17">
        <v>43910</v>
      </c>
      <c r="C138" t="s">
        <v>168</v>
      </c>
      <c r="D138" s="22">
        <v>257.22000000000003</v>
      </c>
      <c r="E138" t="s">
        <v>292</v>
      </c>
      <c r="F138" t="s">
        <v>180</v>
      </c>
      <c r="G138" t="s">
        <v>81</v>
      </c>
      <c r="H138" t="s">
        <v>1120</v>
      </c>
      <c r="I138" t="s">
        <v>977</v>
      </c>
      <c r="J138" s="22">
        <v>257.22000000000003</v>
      </c>
      <c r="K138" s="21">
        <v>257.22000000000003</v>
      </c>
      <c r="L138" s="22">
        <v>257.22000000000003</v>
      </c>
    </row>
    <row r="139" spans="1:13" x14ac:dyDescent="0.35">
      <c r="A139">
        <v>1</v>
      </c>
      <c r="B139" s="17">
        <v>43910</v>
      </c>
      <c r="C139" t="s">
        <v>34</v>
      </c>
      <c r="D139" s="22">
        <v>8.4600000000000009</v>
      </c>
      <c r="E139" t="s">
        <v>93</v>
      </c>
      <c r="F139" t="s">
        <v>237</v>
      </c>
      <c r="G139" t="s">
        <v>300</v>
      </c>
      <c r="H139" t="s">
        <v>1120</v>
      </c>
      <c r="I139" t="s">
        <v>978</v>
      </c>
      <c r="J139" s="22">
        <v>-8.4600000000000009</v>
      </c>
      <c r="K139" s="21">
        <v>8.4600000000000009</v>
      </c>
      <c r="L139" s="22">
        <v>-8.4600000000000009</v>
      </c>
      <c r="M139" t="s">
        <v>266</v>
      </c>
    </row>
    <row r="140" spans="1:13" x14ac:dyDescent="0.35">
      <c r="A140">
        <v>1</v>
      </c>
      <c r="B140" s="17">
        <v>43910</v>
      </c>
      <c r="C140" t="s">
        <v>34</v>
      </c>
      <c r="D140" s="22">
        <v>38.08</v>
      </c>
      <c r="E140" t="s">
        <v>93</v>
      </c>
      <c r="F140" t="s">
        <v>233</v>
      </c>
      <c r="G140" t="s">
        <v>301</v>
      </c>
      <c r="H140" t="s">
        <v>1120</v>
      </c>
      <c r="I140" t="s">
        <v>978</v>
      </c>
      <c r="J140" s="22">
        <v>-38.08</v>
      </c>
      <c r="K140" s="21">
        <v>38.08</v>
      </c>
      <c r="L140" s="22">
        <v>-38.08</v>
      </c>
    </row>
    <row r="141" spans="1:13" x14ac:dyDescent="0.35">
      <c r="A141">
        <v>1</v>
      </c>
      <c r="B141" s="17">
        <v>43910</v>
      </c>
      <c r="C141" t="s">
        <v>34</v>
      </c>
      <c r="D141" s="22">
        <v>376.54</v>
      </c>
      <c r="E141" t="s">
        <v>93</v>
      </c>
      <c r="F141" t="s">
        <v>180</v>
      </c>
      <c r="G141" t="s">
        <v>81</v>
      </c>
      <c r="H141" t="s">
        <v>1120</v>
      </c>
      <c r="I141" t="s">
        <v>978</v>
      </c>
      <c r="J141" s="22">
        <v>-376.54</v>
      </c>
      <c r="K141" s="21">
        <v>376.54</v>
      </c>
      <c r="L141" s="22">
        <v>-376.54</v>
      </c>
    </row>
    <row r="142" spans="1:13" x14ac:dyDescent="0.35">
      <c r="A142">
        <v>1</v>
      </c>
      <c r="B142" s="17">
        <v>43910</v>
      </c>
      <c r="C142" t="s">
        <v>168</v>
      </c>
      <c r="D142" s="22">
        <v>2.92</v>
      </c>
      <c r="E142" t="s">
        <v>292</v>
      </c>
      <c r="F142" t="s">
        <v>237</v>
      </c>
      <c r="G142" t="s">
        <v>300</v>
      </c>
      <c r="H142" t="s">
        <v>1120</v>
      </c>
      <c r="I142" t="s">
        <v>979</v>
      </c>
      <c r="J142" s="22">
        <v>2.92</v>
      </c>
      <c r="K142" s="21">
        <v>2.92</v>
      </c>
      <c r="L142" s="22">
        <v>2.92</v>
      </c>
      <c r="M142" t="s">
        <v>266</v>
      </c>
    </row>
    <row r="143" spans="1:13" x14ac:dyDescent="0.35">
      <c r="A143">
        <v>1</v>
      </c>
      <c r="B143" s="17">
        <v>43910</v>
      </c>
      <c r="C143" t="s">
        <v>168</v>
      </c>
      <c r="D143" s="22">
        <v>13.13</v>
      </c>
      <c r="E143" t="s">
        <v>292</v>
      </c>
      <c r="F143" t="s">
        <v>233</v>
      </c>
      <c r="G143" t="s">
        <v>301</v>
      </c>
      <c r="H143" t="s">
        <v>1120</v>
      </c>
      <c r="I143" t="s">
        <v>979</v>
      </c>
      <c r="J143" s="22">
        <v>13.13</v>
      </c>
      <c r="K143" s="21">
        <v>13.13</v>
      </c>
      <c r="L143" s="22">
        <v>13.13</v>
      </c>
    </row>
    <row r="144" spans="1:13" x14ac:dyDescent="0.35">
      <c r="A144">
        <v>1</v>
      </c>
      <c r="B144" s="17">
        <v>43910</v>
      </c>
      <c r="C144" t="s">
        <v>168</v>
      </c>
      <c r="D144" s="22">
        <v>129.88</v>
      </c>
      <c r="E144" t="s">
        <v>292</v>
      </c>
      <c r="F144" t="s">
        <v>180</v>
      </c>
      <c r="G144" t="s">
        <v>81</v>
      </c>
      <c r="H144" t="s">
        <v>1120</v>
      </c>
      <c r="I144" t="s">
        <v>979</v>
      </c>
      <c r="J144" s="22">
        <v>129.88</v>
      </c>
      <c r="K144" s="21">
        <v>129.88</v>
      </c>
      <c r="L144" s="22">
        <v>129.88</v>
      </c>
    </row>
    <row r="145" spans="1:13" x14ac:dyDescent="0.35">
      <c r="A145">
        <v>1</v>
      </c>
      <c r="B145" s="17">
        <v>43910</v>
      </c>
      <c r="C145" t="s">
        <v>34</v>
      </c>
      <c r="D145" s="22">
        <v>2.92</v>
      </c>
      <c r="E145" t="s">
        <v>291</v>
      </c>
      <c r="F145" t="s">
        <v>237</v>
      </c>
      <c r="G145" t="s">
        <v>300</v>
      </c>
      <c r="H145" t="s">
        <v>1120</v>
      </c>
      <c r="I145" t="s">
        <v>980</v>
      </c>
      <c r="J145" s="22">
        <v>-2.92</v>
      </c>
      <c r="K145" s="21">
        <v>2.92</v>
      </c>
      <c r="L145" s="22">
        <v>-2.92</v>
      </c>
      <c r="M145" t="s">
        <v>266</v>
      </c>
    </row>
    <row r="146" spans="1:13" x14ac:dyDescent="0.35">
      <c r="A146">
        <v>1</v>
      </c>
      <c r="B146" s="17">
        <v>43910</v>
      </c>
      <c r="C146" t="s">
        <v>34</v>
      </c>
      <c r="D146" s="22">
        <v>13.13</v>
      </c>
      <c r="E146" t="s">
        <v>291</v>
      </c>
      <c r="F146" t="s">
        <v>233</v>
      </c>
      <c r="G146" t="s">
        <v>301</v>
      </c>
      <c r="H146" t="s">
        <v>1120</v>
      </c>
      <c r="I146" t="s">
        <v>980</v>
      </c>
      <c r="J146" s="22">
        <v>-13.13</v>
      </c>
      <c r="K146" s="21">
        <v>13.13</v>
      </c>
      <c r="L146" s="22">
        <v>-13.13</v>
      </c>
    </row>
    <row r="147" spans="1:13" x14ac:dyDescent="0.35">
      <c r="A147">
        <v>1</v>
      </c>
      <c r="B147" s="17">
        <v>43910</v>
      </c>
      <c r="C147" t="s">
        <v>34</v>
      </c>
      <c r="D147" s="22">
        <v>129.88</v>
      </c>
      <c r="E147" t="s">
        <v>291</v>
      </c>
      <c r="F147" t="s">
        <v>180</v>
      </c>
      <c r="G147" t="s">
        <v>81</v>
      </c>
      <c r="H147" t="s">
        <v>1120</v>
      </c>
      <c r="I147" t="s">
        <v>980</v>
      </c>
      <c r="J147" s="22">
        <v>-129.88</v>
      </c>
      <c r="K147" s="21">
        <v>129.88</v>
      </c>
      <c r="L147" s="22">
        <v>-129.88</v>
      </c>
    </row>
    <row r="148" spans="1:13" x14ac:dyDescent="0.35">
      <c r="A148">
        <v>1</v>
      </c>
      <c r="B148" s="17">
        <v>43910</v>
      </c>
      <c r="C148" t="s">
        <v>34</v>
      </c>
      <c r="D148" s="22">
        <v>22.53</v>
      </c>
      <c r="E148" t="s">
        <v>289</v>
      </c>
      <c r="F148" t="s">
        <v>237</v>
      </c>
      <c r="G148" t="s">
        <v>300</v>
      </c>
      <c r="H148" t="s">
        <v>1121</v>
      </c>
      <c r="I148" t="s">
        <v>981</v>
      </c>
      <c r="J148" s="22">
        <v>-22.53</v>
      </c>
      <c r="K148" s="21">
        <v>22.53</v>
      </c>
      <c r="L148" s="22">
        <v>-22.53</v>
      </c>
      <c r="M148" t="s">
        <v>266</v>
      </c>
    </row>
    <row r="149" spans="1:13" x14ac:dyDescent="0.35">
      <c r="A149">
        <v>1</v>
      </c>
      <c r="B149" s="17">
        <v>43910</v>
      </c>
      <c r="C149" t="s">
        <v>34</v>
      </c>
      <c r="D149" s="22">
        <v>24.19</v>
      </c>
      <c r="E149" t="s">
        <v>289</v>
      </c>
      <c r="F149" t="s">
        <v>233</v>
      </c>
      <c r="G149" t="s">
        <v>301</v>
      </c>
      <c r="H149" t="s">
        <v>1121</v>
      </c>
      <c r="I149" t="s">
        <v>981</v>
      </c>
      <c r="J149" s="22">
        <v>-24.19</v>
      </c>
      <c r="K149" s="21">
        <v>24.19</v>
      </c>
      <c r="L149" s="22">
        <v>-24.19</v>
      </c>
    </row>
    <row r="150" spans="1:13" x14ac:dyDescent="0.35">
      <c r="A150">
        <v>1</v>
      </c>
      <c r="B150" s="17">
        <v>43910</v>
      </c>
      <c r="C150" t="s">
        <v>34</v>
      </c>
      <c r="D150" s="22">
        <v>36.71</v>
      </c>
      <c r="E150" t="s">
        <v>289</v>
      </c>
      <c r="F150" t="s">
        <v>234</v>
      </c>
      <c r="G150" t="s">
        <v>218</v>
      </c>
      <c r="H150" t="s">
        <v>1121</v>
      </c>
      <c r="I150" t="s">
        <v>981</v>
      </c>
      <c r="J150" s="22">
        <v>-36.71</v>
      </c>
      <c r="K150" s="21">
        <v>36.71</v>
      </c>
      <c r="L150" s="22">
        <v>-36.71</v>
      </c>
    </row>
    <row r="151" spans="1:13" x14ac:dyDescent="0.35">
      <c r="A151">
        <v>1</v>
      </c>
      <c r="B151" s="17">
        <v>43910</v>
      </c>
      <c r="C151" t="s">
        <v>168</v>
      </c>
      <c r="D151" s="22">
        <v>6.44</v>
      </c>
      <c r="E151" t="s">
        <v>290</v>
      </c>
      <c r="F151" t="s">
        <v>237</v>
      </c>
      <c r="G151" t="s">
        <v>300</v>
      </c>
      <c r="H151" t="s">
        <v>1121</v>
      </c>
      <c r="I151" t="s">
        <v>982</v>
      </c>
      <c r="J151" s="22">
        <v>6.44</v>
      </c>
      <c r="K151" s="21">
        <v>6.44</v>
      </c>
      <c r="L151" s="22">
        <v>6.44</v>
      </c>
      <c r="M151" t="s">
        <v>266</v>
      </c>
    </row>
    <row r="152" spans="1:13" x14ac:dyDescent="0.35">
      <c r="A152">
        <v>1</v>
      </c>
      <c r="B152" s="17">
        <v>43910</v>
      </c>
      <c r="C152" t="s">
        <v>168</v>
      </c>
      <c r="D152" s="22">
        <v>6.92</v>
      </c>
      <c r="E152" t="s">
        <v>290</v>
      </c>
      <c r="F152" t="s">
        <v>233</v>
      </c>
      <c r="G152" t="s">
        <v>301</v>
      </c>
      <c r="H152" t="s">
        <v>1121</v>
      </c>
      <c r="I152" t="s">
        <v>982</v>
      </c>
      <c r="J152" s="22">
        <v>6.92</v>
      </c>
      <c r="K152" s="21">
        <v>6.92</v>
      </c>
      <c r="L152" s="22">
        <v>6.92</v>
      </c>
    </row>
    <row r="153" spans="1:13" x14ac:dyDescent="0.35">
      <c r="A153">
        <v>1</v>
      </c>
      <c r="B153" s="17">
        <v>43910</v>
      </c>
      <c r="C153" t="s">
        <v>168</v>
      </c>
      <c r="D153" s="22">
        <v>10.5</v>
      </c>
      <c r="E153" t="s">
        <v>290</v>
      </c>
      <c r="F153" t="s">
        <v>234</v>
      </c>
      <c r="G153" t="s">
        <v>218</v>
      </c>
      <c r="H153" t="s">
        <v>1121</v>
      </c>
      <c r="I153" t="s">
        <v>982</v>
      </c>
      <c r="J153" s="22">
        <v>10.5</v>
      </c>
      <c r="K153" s="21">
        <v>10.5</v>
      </c>
      <c r="L153" s="22">
        <v>10.5</v>
      </c>
    </row>
    <row r="154" spans="1:13" x14ac:dyDescent="0.35">
      <c r="A154">
        <v>1</v>
      </c>
      <c r="B154" s="17">
        <v>43910</v>
      </c>
      <c r="C154" t="s">
        <v>168</v>
      </c>
      <c r="D154" s="22">
        <v>78.44</v>
      </c>
      <c r="E154" t="s">
        <v>291</v>
      </c>
      <c r="F154" t="s">
        <v>237</v>
      </c>
      <c r="G154" t="s">
        <v>300</v>
      </c>
      <c r="H154" t="s">
        <v>1121</v>
      </c>
      <c r="I154" t="s">
        <v>983</v>
      </c>
      <c r="J154" s="22">
        <v>78.44</v>
      </c>
      <c r="K154" s="21">
        <v>78.44</v>
      </c>
      <c r="L154" s="22">
        <v>78.44</v>
      </c>
      <c r="M154" t="s">
        <v>266</v>
      </c>
    </row>
    <row r="155" spans="1:13" x14ac:dyDescent="0.35">
      <c r="A155">
        <v>1</v>
      </c>
      <c r="B155" s="17">
        <v>43910</v>
      </c>
      <c r="C155" t="s">
        <v>168</v>
      </c>
      <c r="D155" s="22">
        <v>84.25</v>
      </c>
      <c r="E155" t="s">
        <v>291</v>
      </c>
      <c r="F155" t="s">
        <v>233</v>
      </c>
      <c r="G155" t="s">
        <v>301</v>
      </c>
      <c r="H155" t="s">
        <v>1121</v>
      </c>
      <c r="I155" t="s">
        <v>983</v>
      </c>
      <c r="J155" s="22">
        <v>84.25</v>
      </c>
      <c r="K155" s="21">
        <v>84.25</v>
      </c>
      <c r="L155" s="22">
        <v>84.25</v>
      </c>
    </row>
    <row r="156" spans="1:13" x14ac:dyDescent="0.35">
      <c r="A156">
        <v>1</v>
      </c>
      <c r="B156" s="17">
        <v>43910</v>
      </c>
      <c r="C156" t="s">
        <v>168</v>
      </c>
      <c r="D156" s="22">
        <v>127.84</v>
      </c>
      <c r="E156" t="s">
        <v>291</v>
      </c>
      <c r="F156" t="s">
        <v>234</v>
      </c>
      <c r="G156" t="s">
        <v>218</v>
      </c>
      <c r="H156" t="s">
        <v>1121</v>
      </c>
      <c r="I156" t="s">
        <v>983</v>
      </c>
      <c r="J156" s="22">
        <v>127.84</v>
      </c>
      <c r="K156" s="21">
        <v>127.84</v>
      </c>
      <c r="L156" s="22">
        <v>127.84</v>
      </c>
    </row>
    <row r="157" spans="1:13" x14ac:dyDescent="0.35">
      <c r="A157">
        <v>1</v>
      </c>
      <c r="B157" s="17">
        <v>43910</v>
      </c>
      <c r="C157" t="s">
        <v>168</v>
      </c>
      <c r="D157" s="22">
        <v>158.30000000000001</v>
      </c>
      <c r="E157" t="s">
        <v>292</v>
      </c>
      <c r="F157" t="s">
        <v>237</v>
      </c>
      <c r="G157" t="s">
        <v>300</v>
      </c>
      <c r="H157" t="s">
        <v>1121</v>
      </c>
      <c r="I157" t="s">
        <v>984</v>
      </c>
      <c r="J157" s="22">
        <v>158.30000000000001</v>
      </c>
      <c r="K157" s="21">
        <v>158.30000000000001</v>
      </c>
      <c r="L157" s="22">
        <v>158.30000000000001</v>
      </c>
      <c r="M157" t="s">
        <v>266</v>
      </c>
    </row>
    <row r="158" spans="1:13" x14ac:dyDescent="0.35">
      <c r="A158">
        <v>1</v>
      </c>
      <c r="B158" s="17">
        <v>43910</v>
      </c>
      <c r="C158" t="s">
        <v>168</v>
      </c>
      <c r="D158" s="22">
        <v>170.02</v>
      </c>
      <c r="E158" t="s">
        <v>292</v>
      </c>
      <c r="F158" t="s">
        <v>233</v>
      </c>
      <c r="G158" t="s">
        <v>301</v>
      </c>
      <c r="H158" t="s">
        <v>1121</v>
      </c>
      <c r="I158" t="s">
        <v>984</v>
      </c>
      <c r="J158" s="22">
        <v>170.02</v>
      </c>
      <c r="K158" s="21">
        <v>170.02</v>
      </c>
      <c r="L158" s="22">
        <v>170.02</v>
      </c>
    </row>
    <row r="159" spans="1:13" x14ac:dyDescent="0.35">
      <c r="A159">
        <v>1</v>
      </c>
      <c r="B159" s="17">
        <v>43910</v>
      </c>
      <c r="C159" t="s">
        <v>168</v>
      </c>
      <c r="D159" s="22">
        <v>257.97000000000003</v>
      </c>
      <c r="E159" t="s">
        <v>292</v>
      </c>
      <c r="F159" t="s">
        <v>234</v>
      </c>
      <c r="G159" t="s">
        <v>218</v>
      </c>
      <c r="H159" t="s">
        <v>1121</v>
      </c>
      <c r="I159" t="s">
        <v>984</v>
      </c>
      <c r="J159" s="22">
        <v>257.97000000000003</v>
      </c>
      <c r="K159" s="21">
        <v>257.97000000000003</v>
      </c>
      <c r="L159" s="22">
        <v>257.97000000000003</v>
      </c>
    </row>
    <row r="160" spans="1:13" x14ac:dyDescent="0.35">
      <c r="A160">
        <v>1</v>
      </c>
      <c r="B160" s="17">
        <v>43910</v>
      </c>
      <c r="C160" t="s">
        <v>34</v>
      </c>
      <c r="D160" s="22">
        <v>220.66</v>
      </c>
      <c r="E160" t="s">
        <v>343</v>
      </c>
      <c r="F160" t="s">
        <v>237</v>
      </c>
      <c r="G160" t="s">
        <v>300</v>
      </c>
      <c r="H160" t="s">
        <v>1121</v>
      </c>
      <c r="I160" t="s">
        <v>985</v>
      </c>
      <c r="J160" s="22">
        <v>-220.66</v>
      </c>
      <c r="K160" s="21">
        <v>220.66</v>
      </c>
      <c r="L160" s="22">
        <v>-220.66</v>
      </c>
      <c r="M160" t="s">
        <v>266</v>
      </c>
    </row>
    <row r="161" spans="1:13" x14ac:dyDescent="0.35">
      <c r="A161">
        <v>1</v>
      </c>
      <c r="B161" s="17">
        <v>43910</v>
      </c>
      <c r="C161" t="s">
        <v>34</v>
      </c>
      <c r="D161" s="22">
        <v>237</v>
      </c>
      <c r="E161" t="s">
        <v>343</v>
      </c>
      <c r="F161" t="s">
        <v>233</v>
      </c>
      <c r="G161" t="s">
        <v>301</v>
      </c>
      <c r="H161" t="s">
        <v>1121</v>
      </c>
      <c r="I161" t="s">
        <v>985</v>
      </c>
      <c r="J161" s="22">
        <v>-237</v>
      </c>
      <c r="K161" s="21">
        <v>237</v>
      </c>
      <c r="L161" s="22">
        <v>-237</v>
      </c>
    </row>
    <row r="162" spans="1:13" x14ac:dyDescent="0.35">
      <c r="A162">
        <v>1</v>
      </c>
      <c r="B162" s="17">
        <v>43910</v>
      </c>
      <c r="C162" t="s">
        <v>34</v>
      </c>
      <c r="D162" s="22">
        <v>359.59</v>
      </c>
      <c r="E162" t="s">
        <v>343</v>
      </c>
      <c r="F162" t="s">
        <v>234</v>
      </c>
      <c r="G162" t="s">
        <v>218</v>
      </c>
      <c r="H162" t="s">
        <v>1121</v>
      </c>
      <c r="I162" t="s">
        <v>985</v>
      </c>
      <c r="J162" s="22">
        <v>-359.59</v>
      </c>
      <c r="K162" s="21">
        <v>359.59</v>
      </c>
      <c r="L162" s="22">
        <v>-359.59</v>
      </c>
    </row>
    <row r="163" spans="1:13" x14ac:dyDescent="0.35">
      <c r="A163">
        <v>1</v>
      </c>
      <c r="B163" s="17">
        <v>43910</v>
      </c>
      <c r="C163" t="s">
        <v>168</v>
      </c>
      <c r="D163" s="22">
        <v>78.44</v>
      </c>
      <c r="E163" t="s">
        <v>292</v>
      </c>
      <c r="F163" t="s">
        <v>237</v>
      </c>
      <c r="G163" t="s">
        <v>300</v>
      </c>
      <c r="H163" t="s">
        <v>1121</v>
      </c>
      <c r="I163" t="s">
        <v>986</v>
      </c>
      <c r="J163" s="22">
        <v>78.44</v>
      </c>
      <c r="K163" s="21">
        <v>78.44</v>
      </c>
      <c r="L163" s="22">
        <v>78.44</v>
      </c>
      <c r="M163" t="s">
        <v>266</v>
      </c>
    </row>
    <row r="164" spans="1:13" x14ac:dyDescent="0.35">
      <c r="A164">
        <v>1</v>
      </c>
      <c r="B164" s="17">
        <v>43910</v>
      </c>
      <c r="C164" t="s">
        <v>168</v>
      </c>
      <c r="D164" s="22">
        <v>84.25</v>
      </c>
      <c r="E164" t="s">
        <v>292</v>
      </c>
      <c r="F164" t="s">
        <v>233</v>
      </c>
      <c r="G164" t="s">
        <v>301</v>
      </c>
      <c r="H164" t="s">
        <v>1121</v>
      </c>
      <c r="I164" t="s">
        <v>986</v>
      </c>
      <c r="J164" s="22">
        <v>84.25</v>
      </c>
      <c r="K164" s="21">
        <v>84.25</v>
      </c>
      <c r="L164" s="22">
        <v>84.25</v>
      </c>
    </row>
    <row r="165" spans="1:13" x14ac:dyDescent="0.35">
      <c r="A165">
        <v>1</v>
      </c>
      <c r="B165" s="17">
        <v>43910</v>
      </c>
      <c r="C165" t="s">
        <v>168</v>
      </c>
      <c r="D165" s="22">
        <v>127.84</v>
      </c>
      <c r="E165" t="s">
        <v>292</v>
      </c>
      <c r="F165" t="s">
        <v>234</v>
      </c>
      <c r="G165" t="s">
        <v>218</v>
      </c>
      <c r="H165" t="s">
        <v>1121</v>
      </c>
      <c r="I165" t="s">
        <v>986</v>
      </c>
      <c r="J165" s="22">
        <v>127.84</v>
      </c>
      <c r="K165" s="21">
        <v>127.84</v>
      </c>
      <c r="L165" s="22">
        <v>127.84</v>
      </c>
    </row>
    <row r="166" spans="1:13" x14ac:dyDescent="0.35">
      <c r="A166">
        <v>1</v>
      </c>
      <c r="B166" s="17">
        <v>43910</v>
      </c>
      <c r="C166" t="s">
        <v>34</v>
      </c>
      <c r="D166" s="22">
        <v>78.44</v>
      </c>
      <c r="E166" t="s">
        <v>291</v>
      </c>
      <c r="F166" t="s">
        <v>237</v>
      </c>
      <c r="G166" t="s">
        <v>300</v>
      </c>
      <c r="H166" t="s">
        <v>1121</v>
      </c>
      <c r="I166" t="s">
        <v>987</v>
      </c>
      <c r="J166" s="22">
        <v>-78.44</v>
      </c>
      <c r="K166" s="21">
        <v>78.44</v>
      </c>
      <c r="L166" s="22">
        <v>-78.44</v>
      </c>
      <c r="M166" t="s">
        <v>266</v>
      </c>
    </row>
    <row r="167" spans="1:13" x14ac:dyDescent="0.35">
      <c r="A167">
        <v>1</v>
      </c>
      <c r="B167" s="17">
        <v>43910</v>
      </c>
      <c r="C167" t="s">
        <v>34</v>
      </c>
      <c r="D167" s="22">
        <v>84.25</v>
      </c>
      <c r="E167" t="s">
        <v>291</v>
      </c>
      <c r="F167" t="s">
        <v>233</v>
      </c>
      <c r="G167" t="s">
        <v>301</v>
      </c>
      <c r="H167" t="s">
        <v>1121</v>
      </c>
      <c r="I167" t="s">
        <v>987</v>
      </c>
      <c r="J167" s="22">
        <v>-84.25</v>
      </c>
      <c r="K167" s="21">
        <v>84.25</v>
      </c>
      <c r="L167" s="22">
        <v>-84.25</v>
      </c>
    </row>
    <row r="168" spans="1:13" x14ac:dyDescent="0.35">
      <c r="A168">
        <v>1</v>
      </c>
      <c r="B168" s="17">
        <v>43910</v>
      </c>
      <c r="C168" t="s">
        <v>34</v>
      </c>
      <c r="D168" s="22">
        <v>127.84</v>
      </c>
      <c r="E168" t="s">
        <v>291</v>
      </c>
      <c r="F168" t="s">
        <v>234</v>
      </c>
      <c r="G168" t="s">
        <v>218</v>
      </c>
      <c r="H168" t="s">
        <v>1121</v>
      </c>
      <c r="I168" t="s">
        <v>987</v>
      </c>
      <c r="J168" s="22">
        <v>-127.84</v>
      </c>
      <c r="K168" s="21">
        <v>127.84</v>
      </c>
      <c r="L168" s="22">
        <v>-127.84</v>
      </c>
    </row>
    <row r="169" spans="1:13" x14ac:dyDescent="0.35">
      <c r="A169">
        <v>1</v>
      </c>
      <c r="B169" s="17">
        <v>43910</v>
      </c>
      <c r="C169" t="s">
        <v>34</v>
      </c>
      <c r="D169" s="22">
        <v>64.67</v>
      </c>
      <c r="E169" t="s">
        <v>289</v>
      </c>
      <c r="F169" t="s">
        <v>234</v>
      </c>
      <c r="G169" t="s">
        <v>218</v>
      </c>
      <c r="H169" t="s">
        <v>1122</v>
      </c>
      <c r="I169" t="s">
        <v>988</v>
      </c>
      <c r="J169" s="22">
        <v>-64.67</v>
      </c>
      <c r="K169" s="21">
        <v>64.67</v>
      </c>
      <c r="L169" s="22">
        <v>-64.67</v>
      </c>
      <c r="M169" t="s">
        <v>266</v>
      </c>
    </row>
    <row r="170" spans="1:13" x14ac:dyDescent="0.35">
      <c r="A170">
        <v>1</v>
      </c>
      <c r="B170" s="17">
        <v>43910</v>
      </c>
      <c r="C170" t="s">
        <v>168</v>
      </c>
      <c r="D170" s="22">
        <v>39.53</v>
      </c>
      <c r="E170" t="s">
        <v>290</v>
      </c>
      <c r="F170" t="s">
        <v>234</v>
      </c>
      <c r="G170" t="s">
        <v>218</v>
      </c>
      <c r="H170" t="s">
        <v>1122</v>
      </c>
      <c r="I170" t="s">
        <v>989</v>
      </c>
      <c r="J170" s="22">
        <v>39.53</v>
      </c>
      <c r="K170" s="21">
        <v>39.53</v>
      </c>
      <c r="L170" s="22">
        <v>39.53</v>
      </c>
      <c r="M170" t="s">
        <v>266</v>
      </c>
    </row>
    <row r="171" spans="1:13" x14ac:dyDescent="0.35">
      <c r="A171">
        <v>1</v>
      </c>
      <c r="B171" s="17">
        <v>43910</v>
      </c>
      <c r="C171" t="s">
        <v>168</v>
      </c>
      <c r="D171" s="22">
        <v>200.08</v>
      </c>
      <c r="E171" t="s">
        <v>291</v>
      </c>
      <c r="F171" t="s">
        <v>234</v>
      </c>
      <c r="G171" t="s">
        <v>218</v>
      </c>
      <c r="H171" t="s">
        <v>1122</v>
      </c>
      <c r="I171" t="s">
        <v>990</v>
      </c>
      <c r="J171" s="22">
        <v>200.08</v>
      </c>
      <c r="K171" s="21">
        <v>200.08</v>
      </c>
      <c r="L171" s="22">
        <v>200.08</v>
      </c>
      <c r="M171" t="s">
        <v>266</v>
      </c>
    </row>
    <row r="172" spans="1:13" x14ac:dyDescent="0.35">
      <c r="A172">
        <v>1</v>
      </c>
      <c r="B172" s="17">
        <v>43910</v>
      </c>
      <c r="C172" t="s">
        <v>168</v>
      </c>
      <c r="D172" s="22">
        <v>474.1</v>
      </c>
      <c r="E172" t="s">
        <v>292</v>
      </c>
      <c r="F172" t="s">
        <v>234</v>
      </c>
      <c r="G172" t="s">
        <v>218</v>
      </c>
      <c r="H172" t="s">
        <v>1122</v>
      </c>
      <c r="I172" t="s">
        <v>991</v>
      </c>
      <c r="J172" s="22">
        <v>474.1</v>
      </c>
      <c r="K172" s="21">
        <v>474.1</v>
      </c>
      <c r="L172" s="22">
        <v>474.1</v>
      </c>
      <c r="M172" t="s">
        <v>266</v>
      </c>
    </row>
    <row r="173" spans="1:13" x14ac:dyDescent="0.35">
      <c r="A173">
        <v>1</v>
      </c>
      <c r="B173" s="17">
        <v>43910</v>
      </c>
      <c r="C173" t="s">
        <v>34</v>
      </c>
      <c r="D173" s="22">
        <v>649.04</v>
      </c>
      <c r="E173" t="s">
        <v>347</v>
      </c>
      <c r="F173" t="s">
        <v>234</v>
      </c>
      <c r="G173" t="s">
        <v>218</v>
      </c>
      <c r="H173" t="s">
        <v>1122</v>
      </c>
      <c r="I173" t="s">
        <v>992</v>
      </c>
      <c r="J173" s="22">
        <v>-649.04</v>
      </c>
      <c r="K173" s="21">
        <v>649.04</v>
      </c>
      <c r="L173" s="22">
        <v>-649.04</v>
      </c>
      <c r="M173" t="s">
        <v>266</v>
      </c>
    </row>
    <row r="174" spans="1:13" x14ac:dyDescent="0.35">
      <c r="A174">
        <v>1</v>
      </c>
      <c r="B174" s="17">
        <v>43910</v>
      </c>
      <c r="C174" t="s">
        <v>168</v>
      </c>
      <c r="D174" s="22">
        <v>200.08</v>
      </c>
      <c r="E174" t="s">
        <v>292</v>
      </c>
      <c r="F174" t="s">
        <v>234</v>
      </c>
      <c r="G174" t="s">
        <v>218</v>
      </c>
      <c r="H174" t="s">
        <v>1122</v>
      </c>
      <c r="I174" t="s">
        <v>993</v>
      </c>
      <c r="J174" s="22">
        <v>200.08</v>
      </c>
      <c r="K174" s="21">
        <v>200.08</v>
      </c>
      <c r="L174" s="22">
        <v>200.08</v>
      </c>
      <c r="M174" t="s">
        <v>266</v>
      </c>
    </row>
    <row r="175" spans="1:13" x14ac:dyDescent="0.35">
      <c r="A175">
        <v>1</v>
      </c>
      <c r="B175" s="17">
        <v>43910</v>
      </c>
      <c r="C175" t="s">
        <v>34</v>
      </c>
      <c r="D175" s="22">
        <v>200.08</v>
      </c>
      <c r="E175" t="s">
        <v>291</v>
      </c>
      <c r="F175" t="s">
        <v>234</v>
      </c>
      <c r="G175" t="s">
        <v>218</v>
      </c>
      <c r="H175" t="s">
        <v>1122</v>
      </c>
      <c r="I175" t="s">
        <v>994</v>
      </c>
      <c r="J175" s="22">
        <v>-200.08</v>
      </c>
      <c r="K175" s="21">
        <v>200.08</v>
      </c>
      <c r="L175" s="22">
        <v>-200.08</v>
      </c>
      <c r="M175" t="s">
        <v>266</v>
      </c>
    </row>
    <row r="176" spans="1:13" x14ac:dyDescent="0.35">
      <c r="A176">
        <v>1</v>
      </c>
      <c r="B176" s="17">
        <v>43910</v>
      </c>
      <c r="C176" t="s">
        <v>34</v>
      </c>
      <c r="D176" s="22">
        <v>79.08</v>
      </c>
      <c r="E176" t="s">
        <v>289</v>
      </c>
      <c r="F176" t="s">
        <v>234</v>
      </c>
      <c r="G176" t="s">
        <v>218</v>
      </c>
      <c r="H176" t="s">
        <v>1122</v>
      </c>
      <c r="I176" t="s">
        <v>995</v>
      </c>
      <c r="J176" s="22">
        <v>-79.08</v>
      </c>
      <c r="K176" s="21">
        <v>79.08</v>
      </c>
      <c r="L176" s="22">
        <v>-79.08</v>
      </c>
      <c r="M176" t="s">
        <v>266</v>
      </c>
    </row>
    <row r="177" spans="1:13" x14ac:dyDescent="0.35">
      <c r="A177">
        <v>1</v>
      </c>
      <c r="B177" s="17">
        <v>43910</v>
      </c>
      <c r="C177" t="s">
        <v>168</v>
      </c>
      <c r="D177" s="22">
        <v>48.33</v>
      </c>
      <c r="E177" t="s">
        <v>290</v>
      </c>
      <c r="F177" t="s">
        <v>234</v>
      </c>
      <c r="G177" t="s">
        <v>218</v>
      </c>
      <c r="H177" t="s">
        <v>1122</v>
      </c>
      <c r="I177" t="s">
        <v>996</v>
      </c>
      <c r="J177" s="22">
        <v>48.33</v>
      </c>
      <c r="K177" s="21">
        <v>48.33</v>
      </c>
      <c r="L177" s="22">
        <v>48.33</v>
      </c>
      <c r="M177" t="s">
        <v>266</v>
      </c>
    </row>
    <row r="178" spans="1:13" x14ac:dyDescent="0.35">
      <c r="A178">
        <v>1</v>
      </c>
      <c r="B178" s="17">
        <v>43910</v>
      </c>
      <c r="C178" t="s">
        <v>168</v>
      </c>
      <c r="D178" s="22">
        <v>244.57</v>
      </c>
      <c r="E178" t="s">
        <v>291</v>
      </c>
      <c r="F178" t="s">
        <v>234</v>
      </c>
      <c r="G178" t="s">
        <v>218</v>
      </c>
      <c r="H178" t="s">
        <v>1122</v>
      </c>
      <c r="I178" t="s">
        <v>997</v>
      </c>
      <c r="J178" s="22">
        <v>244.57</v>
      </c>
      <c r="K178" s="21">
        <v>244.57</v>
      </c>
      <c r="L178" s="22">
        <v>244.57</v>
      </c>
      <c r="M178" t="s">
        <v>266</v>
      </c>
    </row>
    <row r="179" spans="1:13" x14ac:dyDescent="0.35">
      <c r="A179">
        <v>1</v>
      </c>
      <c r="B179" s="17">
        <v>43910</v>
      </c>
      <c r="C179" t="s">
        <v>168</v>
      </c>
      <c r="D179" s="22">
        <v>579.45000000000005</v>
      </c>
      <c r="E179" t="s">
        <v>292</v>
      </c>
      <c r="F179" t="s">
        <v>234</v>
      </c>
      <c r="G179" t="s">
        <v>218</v>
      </c>
      <c r="H179" t="s">
        <v>1122</v>
      </c>
      <c r="I179" t="s">
        <v>998</v>
      </c>
      <c r="J179" s="22">
        <v>579.45000000000005</v>
      </c>
      <c r="K179" s="21">
        <v>579.45000000000005</v>
      </c>
      <c r="L179" s="22">
        <v>579.45000000000005</v>
      </c>
      <c r="M179" t="s">
        <v>266</v>
      </c>
    </row>
    <row r="180" spans="1:13" x14ac:dyDescent="0.35">
      <c r="A180">
        <v>1</v>
      </c>
      <c r="B180" s="17">
        <v>43910</v>
      </c>
      <c r="C180" t="s">
        <v>34</v>
      </c>
      <c r="D180" s="22">
        <v>793.27</v>
      </c>
      <c r="E180" t="s">
        <v>347</v>
      </c>
      <c r="F180" t="s">
        <v>234</v>
      </c>
      <c r="G180" t="s">
        <v>218</v>
      </c>
      <c r="H180" t="s">
        <v>1122</v>
      </c>
      <c r="I180" t="s">
        <v>999</v>
      </c>
      <c r="J180" s="22">
        <v>-793.27</v>
      </c>
      <c r="K180" s="21">
        <v>793.27</v>
      </c>
      <c r="L180" s="22">
        <v>-793.27</v>
      </c>
      <c r="M180" t="s">
        <v>266</v>
      </c>
    </row>
    <row r="181" spans="1:13" x14ac:dyDescent="0.35">
      <c r="A181">
        <v>1</v>
      </c>
      <c r="B181" s="17">
        <v>43910</v>
      </c>
      <c r="C181" t="s">
        <v>168</v>
      </c>
      <c r="D181" s="22">
        <v>244.57</v>
      </c>
      <c r="E181" t="s">
        <v>292</v>
      </c>
      <c r="F181" t="s">
        <v>234</v>
      </c>
      <c r="G181" t="s">
        <v>218</v>
      </c>
      <c r="H181" t="s">
        <v>1122</v>
      </c>
      <c r="I181" t="s">
        <v>1000</v>
      </c>
      <c r="J181" s="22">
        <v>244.57</v>
      </c>
      <c r="K181" s="21">
        <v>244.57</v>
      </c>
      <c r="L181" s="22">
        <v>244.57</v>
      </c>
      <c r="M181" t="s">
        <v>266</v>
      </c>
    </row>
    <row r="182" spans="1:13" x14ac:dyDescent="0.35">
      <c r="A182">
        <v>1</v>
      </c>
      <c r="B182" s="17">
        <v>43910</v>
      </c>
      <c r="C182" t="s">
        <v>34</v>
      </c>
      <c r="D182" s="22">
        <v>244.57</v>
      </c>
      <c r="E182" t="s">
        <v>291</v>
      </c>
      <c r="F182" t="s">
        <v>234</v>
      </c>
      <c r="G182" t="s">
        <v>218</v>
      </c>
      <c r="H182" t="s">
        <v>1122</v>
      </c>
      <c r="I182" t="s">
        <v>1001</v>
      </c>
      <c r="J182" s="22">
        <v>-244.57</v>
      </c>
      <c r="K182" s="21">
        <v>244.57</v>
      </c>
      <c r="L182" s="22">
        <v>-244.57</v>
      </c>
      <c r="M182" t="s">
        <v>266</v>
      </c>
    </row>
    <row r="183" spans="1:13" x14ac:dyDescent="0.35">
      <c r="A183">
        <v>1</v>
      </c>
      <c r="B183" s="17">
        <v>43910</v>
      </c>
      <c r="C183" t="s">
        <v>34</v>
      </c>
      <c r="D183" s="22">
        <v>67.569999999999993</v>
      </c>
      <c r="E183" t="s">
        <v>289</v>
      </c>
      <c r="F183" t="s">
        <v>237</v>
      </c>
      <c r="G183" t="s">
        <v>300</v>
      </c>
      <c r="H183" t="s">
        <v>1121</v>
      </c>
      <c r="I183" t="s">
        <v>1002</v>
      </c>
      <c r="J183" s="22">
        <v>-67.569999999999993</v>
      </c>
      <c r="K183" s="21">
        <v>67.569999999999993</v>
      </c>
      <c r="L183" s="22">
        <v>-67.569999999999993</v>
      </c>
      <c r="M183" t="s">
        <v>266</v>
      </c>
    </row>
    <row r="184" spans="1:13" x14ac:dyDescent="0.35">
      <c r="A184">
        <v>1</v>
      </c>
      <c r="B184" s="17">
        <v>43910</v>
      </c>
      <c r="C184" t="s">
        <v>34</v>
      </c>
      <c r="D184" s="22">
        <v>72.58</v>
      </c>
      <c r="E184" t="s">
        <v>289</v>
      </c>
      <c r="F184" t="s">
        <v>233</v>
      </c>
      <c r="G184" t="s">
        <v>301</v>
      </c>
      <c r="H184" t="s">
        <v>1121</v>
      </c>
      <c r="I184" t="s">
        <v>1002</v>
      </c>
      <c r="J184" s="22">
        <v>-72.58</v>
      </c>
      <c r="K184" s="21">
        <v>72.58</v>
      </c>
      <c r="L184" s="22">
        <v>-72.58</v>
      </c>
    </row>
    <row r="185" spans="1:13" x14ac:dyDescent="0.35">
      <c r="A185">
        <v>1</v>
      </c>
      <c r="B185" s="17">
        <v>43910</v>
      </c>
      <c r="C185" t="s">
        <v>34</v>
      </c>
      <c r="D185" s="22">
        <v>110.12</v>
      </c>
      <c r="E185" t="s">
        <v>289</v>
      </c>
      <c r="F185" t="s">
        <v>234</v>
      </c>
      <c r="G185" t="s">
        <v>218</v>
      </c>
      <c r="H185" t="s">
        <v>1121</v>
      </c>
      <c r="I185" t="s">
        <v>1002</v>
      </c>
      <c r="J185" s="22">
        <v>-110.12</v>
      </c>
      <c r="K185" s="21">
        <v>110.12</v>
      </c>
      <c r="L185" s="22">
        <v>-110.12</v>
      </c>
    </row>
    <row r="186" spans="1:13" x14ac:dyDescent="0.35">
      <c r="A186">
        <v>1</v>
      </c>
      <c r="B186" s="17">
        <v>43910</v>
      </c>
      <c r="C186" t="s">
        <v>168</v>
      </c>
      <c r="D186" s="22">
        <v>19.32</v>
      </c>
      <c r="E186" t="s">
        <v>290</v>
      </c>
      <c r="F186" t="s">
        <v>237</v>
      </c>
      <c r="G186" t="s">
        <v>300</v>
      </c>
      <c r="H186" t="s">
        <v>1121</v>
      </c>
      <c r="I186" t="s">
        <v>1003</v>
      </c>
      <c r="J186" s="22">
        <v>19.32</v>
      </c>
      <c r="K186" s="21">
        <v>19.32</v>
      </c>
      <c r="L186" s="22">
        <v>19.32</v>
      </c>
      <c r="M186" t="s">
        <v>266</v>
      </c>
    </row>
    <row r="187" spans="1:13" x14ac:dyDescent="0.35">
      <c r="A187">
        <v>1</v>
      </c>
      <c r="B187" s="17">
        <v>43910</v>
      </c>
      <c r="C187" t="s">
        <v>168</v>
      </c>
      <c r="D187" s="22">
        <v>20.75</v>
      </c>
      <c r="E187" t="s">
        <v>290</v>
      </c>
      <c r="F187" t="s">
        <v>233</v>
      </c>
      <c r="G187" t="s">
        <v>301</v>
      </c>
      <c r="H187" t="s">
        <v>1121</v>
      </c>
      <c r="I187" t="s">
        <v>1003</v>
      </c>
      <c r="J187" s="22">
        <v>20.75</v>
      </c>
      <c r="K187" s="21">
        <v>20.75</v>
      </c>
      <c r="L187" s="22">
        <v>20.75</v>
      </c>
    </row>
    <row r="188" spans="1:13" x14ac:dyDescent="0.35">
      <c r="A188">
        <v>1</v>
      </c>
      <c r="B188" s="17">
        <v>43910</v>
      </c>
      <c r="C188" t="s">
        <v>168</v>
      </c>
      <c r="D188" s="22">
        <v>31.49</v>
      </c>
      <c r="E188" t="s">
        <v>290</v>
      </c>
      <c r="F188" t="s">
        <v>234</v>
      </c>
      <c r="G188" t="s">
        <v>218</v>
      </c>
      <c r="H188" t="s">
        <v>1121</v>
      </c>
      <c r="I188" t="s">
        <v>1003</v>
      </c>
      <c r="J188" s="22">
        <v>31.49</v>
      </c>
      <c r="K188" s="21">
        <v>31.49</v>
      </c>
      <c r="L188" s="22">
        <v>31.49</v>
      </c>
    </row>
    <row r="189" spans="1:13" x14ac:dyDescent="0.35">
      <c r="A189">
        <v>1</v>
      </c>
      <c r="B189" s="17">
        <v>43910</v>
      </c>
      <c r="C189" t="s">
        <v>168</v>
      </c>
      <c r="D189" s="22">
        <v>235.31</v>
      </c>
      <c r="E189" t="s">
        <v>291</v>
      </c>
      <c r="F189" t="s">
        <v>237</v>
      </c>
      <c r="G189" t="s">
        <v>300</v>
      </c>
      <c r="H189" t="s">
        <v>1121</v>
      </c>
      <c r="I189" t="s">
        <v>1004</v>
      </c>
      <c r="J189" s="22">
        <v>235.31</v>
      </c>
      <c r="K189" s="21">
        <v>235.31</v>
      </c>
      <c r="L189" s="22">
        <v>235.31</v>
      </c>
      <c r="M189" t="s">
        <v>266</v>
      </c>
    </row>
    <row r="190" spans="1:13" x14ac:dyDescent="0.35">
      <c r="A190">
        <v>1</v>
      </c>
      <c r="B190" s="17">
        <v>43910</v>
      </c>
      <c r="C190" t="s">
        <v>168</v>
      </c>
      <c r="D190" s="22">
        <v>252.74</v>
      </c>
      <c r="E190" t="s">
        <v>291</v>
      </c>
      <c r="F190" t="s">
        <v>233</v>
      </c>
      <c r="G190" t="s">
        <v>301</v>
      </c>
      <c r="H190" t="s">
        <v>1121</v>
      </c>
      <c r="I190" t="s">
        <v>1004</v>
      </c>
      <c r="J190" s="22">
        <v>252.74</v>
      </c>
      <c r="K190" s="21">
        <v>252.74</v>
      </c>
      <c r="L190" s="22">
        <v>252.74</v>
      </c>
    </row>
    <row r="191" spans="1:13" x14ac:dyDescent="0.35">
      <c r="A191">
        <v>1</v>
      </c>
      <c r="B191" s="17">
        <v>43910</v>
      </c>
      <c r="C191" t="s">
        <v>168</v>
      </c>
      <c r="D191" s="22">
        <v>383.48</v>
      </c>
      <c r="E191" t="s">
        <v>291</v>
      </c>
      <c r="F191" t="s">
        <v>234</v>
      </c>
      <c r="G191" t="s">
        <v>218</v>
      </c>
      <c r="H191" t="s">
        <v>1121</v>
      </c>
      <c r="I191" t="s">
        <v>1004</v>
      </c>
      <c r="J191" s="22">
        <v>383.48</v>
      </c>
      <c r="K191" s="21">
        <v>383.48</v>
      </c>
      <c r="L191" s="22">
        <v>383.48</v>
      </c>
    </row>
    <row r="192" spans="1:13" x14ac:dyDescent="0.35">
      <c r="A192">
        <v>1</v>
      </c>
      <c r="B192" s="17">
        <v>43910</v>
      </c>
      <c r="C192" t="s">
        <v>168</v>
      </c>
      <c r="D192" s="22">
        <v>474.91</v>
      </c>
      <c r="E192" t="s">
        <v>292</v>
      </c>
      <c r="F192" t="s">
        <v>237</v>
      </c>
      <c r="G192" t="s">
        <v>300</v>
      </c>
      <c r="H192" t="s">
        <v>1121</v>
      </c>
      <c r="I192" t="s">
        <v>1005</v>
      </c>
      <c r="J192" s="22">
        <v>474.91</v>
      </c>
      <c r="K192" s="21">
        <v>474.91</v>
      </c>
      <c r="L192" s="22">
        <v>474.91</v>
      </c>
      <c r="M192" t="s">
        <v>266</v>
      </c>
    </row>
    <row r="193" spans="1:13" x14ac:dyDescent="0.35">
      <c r="A193">
        <v>1</v>
      </c>
      <c r="B193" s="17">
        <v>43910</v>
      </c>
      <c r="C193" t="s">
        <v>168</v>
      </c>
      <c r="D193" s="22">
        <v>510.09</v>
      </c>
      <c r="E193" t="s">
        <v>292</v>
      </c>
      <c r="F193" t="s">
        <v>233</v>
      </c>
      <c r="G193" t="s">
        <v>301</v>
      </c>
      <c r="H193" t="s">
        <v>1121</v>
      </c>
      <c r="I193" t="s">
        <v>1005</v>
      </c>
      <c r="J193" s="22">
        <v>510.09</v>
      </c>
      <c r="K193" s="21">
        <v>510.09</v>
      </c>
      <c r="L193" s="22">
        <v>510.09</v>
      </c>
    </row>
    <row r="194" spans="1:13" x14ac:dyDescent="0.35">
      <c r="A194">
        <v>1</v>
      </c>
      <c r="B194" s="17">
        <v>43910</v>
      </c>
      <c r="C194" t="s">
        <v>168</v>
      </c>
      <c r="D194" s="22">
        <v>773.93</v>
      </c>
      <c r="E194" t="s">
        <v>292</v>
      </c>
      <c r="F194" t="s">
        <v>234</v>
      </c>
      <c r="G194" t="s">
        <v>218</v>
      </c>
      <c r="H194" t="s">
        <v>1121</v>
      </c>
      <c r="I194" t="s">
        <v>1005</v>
      </c>
      <c r="J194" s="22">
        <v>773.93</v>
      </c>
      <c r="K194" s="21">
        <v>773.93</v>
      </c>
      <c r="L194" s="22">
        <v>773.93</v>
      </c>
    </row>
    <row r="195" spans="1:13" x14ac:dyDescent="0.35">
      <c r="A195">
        <v>1</v>
      </c>
      <c r="B195" s="17">
        <v>43910</v>
      </c>
      <c r="C195" t="s">
        <v>34</v>
      </c>
      <c r="D195" s="22">
        <v>661.97</v>
      </c>
      <c r="E195" t="s">
        <v>343</v>
      </c>
      <c r="F195" t="s">
        <v>237</v>
      </c>
      <c r="G195" t="s">
        <v>300</v>
      </c>
      <c r="H195" t="s">
        <v>1121</v>
      </c>
      <c r="I195" t="s">
        <v>1006</v>
      </c>
      <c r="J195" s="22">
        <v>-661.97</v>
      </c>
      <c r="K195" s="21">
        <v>661.97</v>
      </c>
      <c r="L195" s="22">
        <v>-661.97</v>
      </c>
      <c r="M195" t="s">
        <v>266</v>
      </c>
    </row>
    <row r="196" spans="1:13" x14ac:dyDescent="0.35">
      <c r="A196">
        <v>1</v>
      </c>
      <c r="B196" s="17">
        <v>43910</v>
      </c>
      <c r="C196" t="s">
        <v>34</v>
      </c>
      <c r="D196" s="22">
        <v>711.01</v>
      </c>
      <c r="E196" t="s">
        <v>343</v>
      </c>
      <c r="F196" t="s">
        <v>233</v>
      </c>
      <c r="G196" t="s">
        <v>301</v>
      </c>
      <c r="H196" t="s">
        <v>1121</v>
      </c>
      <c r="I196" t="s">
        <v>1006</v>
      </c>
      <c r="J196" s="22">
        <v>-711.01</v>
      </c>
      <c r="K196" s="21">
        <v>711.01</v>
      </c>
      <c r="L196" s="22">
        <v>-711.01</v>
      </c>
    </row>
    <row r="197" spans="1:13" x14ac:dyDescent="0.35">
      <c r="A197">
        <v>1</v>
      </c>
      <c r="B197" s="17">
        <v>43910</v>
      </c>
      <c r="C197" t="s">
        <v>34</v>
      </c>
      <c r="D197" s="22">
        <v>1078.77</v>
      </c>
      <c r="E197" t="s">
        <v>343</v>
      </c>
      <c r="F197" t="s">
        <v>234</v>
      </c>
      <c r="G197" t="s">
        <v>218</v>
      </c>
      <c r="H197" t="s">
        <v>1121</v>
      </c>
      <c r="I197" t="s">
        <v>1006</v>
      </c>
      <c r="J197" s="22">
        <v>-1078.77</v>
      </c>
      <c r="K197" s="21">
        <v>1078.77</v>
      </c>
      <c r="L197" s="22">
        <v>-1078.77</v>
      </c>
    </row>
    <row r="198" spans="1:13" x14ac:dyDescent="0.35">
      <c r="A198">
        <v>1</v>
      </c>
      <c r="B198" s="17">
        <v>43910</v>
      </c>
      <c r="C198" t="s">
        <v>168</v>
      </c>
      <c r="D198" s="22">
        <v>235.31</v>
      </c>
      <c r="E198" t="s">
        <v>292</v>
      </c>
      <c r="F198" t="s">
        <v>237</v>
      </c>
      <c r="G198" t="s">
        <v>300</v>
      </c>
      <c r="H198" t="s">
        <v>1121</v>
      </c>
      <c r="I198" t="s">
        <v>1007</v>
      </c>
      <c r="J198" s="22">
        <v>235.31</v>
      </c>
      <c r="K198" s="21">
        <v>235.31</v>
      </c>
      <c r="L198" s="22">
        <v>235.31</v>
      </c>
      <c r="M198" t="s">
        <v>266</v>
      </c>
    </row>
    <row r="199" spans="1:13" x14ac:dyDescent="0.35">
      <c r="A199">
        <v>1</v>
      </c>
      <c r="B199" s="17">
        <v>43910</v>
      </c>
      <c r="C199" t="s">
        <v>168</v>
      </c>
      <c r="D199" s="22">
        <v>252.74</v>
      </c>
      <c r="E199" t="s">
        <v>292</v>
      </c>
      <c r="F199" t="s">
        <v>233</v>
      </c>
      <c r="G199" t="s">
        <v>301</v>
      </c>
      <c r="H199" t="s">
        <v>1121</v>
      </c>
      <c r="I199" t="s">
        <v>1007</v>
      </c>
      <c r="J199" s="22">
        <v>252.74</v>
      </c>
      <c r="K199" s="21">
        <v>252.74</v>
      </c>
      <c r="L199" s="22">
        <v>252.74</v>
      </c>
    </row>
    <row r="200" spans="1:13" x14ac:dyDescent="0.35">
      <c r="A200">
        <v>1</v>
      </c>
      <c r="B200" s="17">
        <v>43910</v>
      </c>
      <c r="C200" t="s">
        <v>168</v>
      </c>
      <c r="D200" s="22">
        <v>383.48</v>
      </c>
      <c r="E200" t="s">
        <v>292</v>
      </c>
      <c r="F200" t="s">
        <v>234</v>
      </c>
      <c r="G200" t="s">
        <v>218</v>
      </c>
      <c r="H200" t="s">
        <v>1121</v>
      </c>
      <c r="I200" t="s">
        <v>1007</v>
      </c>
      <c r="J200" s="22">
        <v>383.48</v>
      </c>
      <c r="K200" s="21">
        <v>383.48</v>
      </c>
      <c r="L200" s="22">
        <v>383.48</v>
      </c>
    </row>
    <row r="201" spans="1:13" x14ac:dyDescent="0.35">
      <c r="A201">
        <v>1</v>
      </c>
      <c r="B201" s="17">
        <v>43910</v>
      </c>
      <c r="C201" t="s">
        <v>34</v>
      </c>
      <c r="D201" s="22">
        <v>235.31</v>
      </c>
      <c r="E201" t="s">
        <v>291</v>
      </c>
      <c r="F201" t="s">
        <v>237</v>
      </c>
      <c r="G201" t="s">
        <v>300</v>
      </c>
      <c r="H201" t="s">
        <v>1121</v>
      </c>
      <c r="I201" t="s">
        <v>1008</v>
      </c>
      <c r="J201" s="22">
        <v>-235.31</v>
      </c>
      <c r="K201" s="21">
        <v>235.31</v>
      </c>
      <c r="L201" s="22">
        <v>-235.31</v>
      </c>
      <c r="M201" t="s">
        <v>266</v>
      </c>
    </row>
    <row r="202" spans="1:13" x14ac:dyDescent="0.35">
      <c r="A202">
        <v>1</v>
      </c>
      <c r="B202" s="17">
        <v>43910</v>
      </c>
      <c r="C202" t="s">
        <v>34</v>
      </c>
      <c r="D202" s="22">
        <v>252.74</v>
      </c>
      <c r="E202" t="s">
        <v>291</v>
      </c>
      <c r="F202" t="s">
        <v>233</v>
      </c>
      <c r="G202" t="s">
        <v>301</v>
      </c>
      <c r="H202" t="s">
        <v>1121</v>
      </c>
      <c r="I202" t="s">
        <v>1008</v>
      </c>
      <c r="J202" s="22">
        <v>-252.74</v>
      </c>
      <c r="K202" s="21">
        <v>252.74</v>
      </c>
      <c r="L202" s="22">
        <v>-252.74</v>
      </c>
    </row>
    <row r="203" spans="1:13" x14ac:dyDescent="0.35">
      <c r="A203">
        <v>1</v>
      </c>
      <c r="B203" s="17">
        <v>43910</v>
      </c>
      <c r="C203" t="s">
        <v>34</v>
      </c>
      <c r="D203" s="22">
        <v>383.48</v>
      </c>
      <c r="E203" t="s">
        <v>291</v>
      </c>
      <c r="F203" t="s">
        <v>234</v>
      </c>
      <c r="G203" t="s">
        <v>218</v>
      </c>
      <c r="H203" t="s">
        <v>1121</v>
      </c>
      <c r="I203" t="s">
        <v>1008</v>
      </c>
      <c r="J203" s="22">
        <v>-383.48</v>
      </c>
      <c r="K203" s="21">
        <v>383.48</v>
      </c>
      <c r="L203" s="22">
        <v>-383.48</v>
      </c>
    </row>
    <row r="204" spans="1:13" x14ac:dyDescent="0.35">
      <c r="A204">
        <v>1</v>
      </c>
      <c r="B204" s="17">
        <v>43910</v>
      </c>
      <c r="C204" t="s">
        <v>34</v>
      </c>
      <c r="D204" s="22">
        <v>141.4</v>
      </c>
      <c r="E204" t="s">
        <v>289</v>
      </c>
      <c r="F204" t="s">
        <v>222</v>
      </c>
      <c r="G204" t="s">
        <v>294</v>
      </c>
      <c r="H204" t="s">
        <v>1123</v>
      </c>
      <c r="I204" t="s">
        <v>1009</v>
      </c>
      <c r="J204" s="22">
        <v>-141.4</v>
      </c>
      <c r="K204" s="21">
        <v>141.4</v>
      </c>
      <c r="L204" s="22">
        <v>-141.4</v>
      </c>
      <c r="M204" t="s">
        <v>266</v>
      </c>
    </row>
    <row r="205" spans="1:13" x14ac:dyDescent="0.35">
      <c r="A205">
        <v>1</v>
      </c>
      <c r="B205" s="17">
        <v>43910</v>
      </c>
      <c r="C205" t="s">
        <v>34</v>
      </c>
      <c r="D205" s="22">
        <v>7.44</v>
      </c>
      <c r="E205" t="s">
        <v>289</v>
      </c>
      <c r="F205" t="s">
        <v>180</v>
      </c>
      <c r="G205" t="s">
        <v>81</v>
      </c>
      <c r="H205" t="s">
        <v>1123</v>
      </c>
      <c r="I205" t="s">
        <v>1009</v>
      </c>
      <c r="J205" s="22">
        <v>-7.44</v>
      </c>
      <c r="K205" s="21">
        <v>7.44</v>
      </c>
      <c r="L205" s="22">
        <v>-7.44</v>
      </c>
    </row>
    <row r="206" spans="1:13" x14ac:dyDescent="0.35">
      <c r="A206">
        <v>1</v>
      </c>
      <c r="B206" s="17">
        <v>43910</v>
      </c>
      <c r="C206" t="s">
        <v>168</v>
      </c>
      <c r="D206" s="22">
        <v>116.82</v>
      </c>
      <c r="E206" t="s">
        <v>290</v>
      </c>
      <c r="F206" t="s">
        <v>222</v>
      </c>
      <c r="G206" t="s">
        <v>294</v>
      </c>
      <c r="H206" t="s">
        <v>1123</v>
      </c>
      <c r="I206" t="s">
        <v>1010</v>
      </c>
      <c r="J206" s="22">
        <v>116.82</v>
      </c>
      <c r="K206" s="21">
        <v>116.82</v>
      </c>
      <c r="L206" s="22">
        <v>116.82</v>
      </c>
      <c r="M206" t="s">
        <v>266</v>
      </c>
    </row>
    <row r="207" spans="1:13" x14ac:dyDescent="0.35">
      <c r="A207">
        <v>1</v>
      </c>
      <c r="B207" s="17">
        <v>43910</v>
      </c>
      <c r="C207" t="s">
        <v>168</v>
      </c>
      <c r="D207" s="22">
        <v>6.15</v>
      </c>
      <c r="E207" t="s">
        <v>290</v>
      </c>
      <c r="F207" t="s">
        <v>180</v>
      </c>
      <c r="G207" t="s">
        <v>81</v>
      </c>
      <c r="H207" t="s">
        <v>1123</v>
      </c>
      <c r="I207" t="s">
        <v>1010</v>
      </c>
      <c r="J207" s="22">
        <v>6.15</v>
      </c>
      <c r="K207" s="21">
        <v>6.15</v>
      </c>
      <c r="L207" s="22">
        <v>6.15</v>
      </c>
    </row>
    <row r="208" spans="1:13" x14ac:dyDescent="0.35">
      <c r="A208">
        <v>1</v>
      </c>
      <c r="B208" s="17">
        <v>43910</v>
      </c>
      <c r="C208" t="s">
        <v>168</v>
      </c>
      <c r="D208" s="22">
        <v>376.97</v>
      </c>
      <c r="E208" t="s">
        <v>291</v>
      </c>
      <c r="F208" t="s">
        <v>222</v>
      </c>
      <c r="G208" t="s">
        <v>294</v>
      </c>
      <c r="H208" t="s">
        <v>1123</v>
      </c>
      <c r="I208" t="s">
        <v>1011</v>
      </c>
      <c r="J208" s="22">
        <v>376.97</v>
      </c>
      <c r="K208" s="21">
        <v>376.97</v>
      </c>
      <c r="L208" s="22">
        <v>376.97</v>
      </c>
      <c r="M208" t="s">
        <v>266</v>
      </c>
    </row>
    <row r="209" spans="1:13" x14ac:dyDescent="0.35">
      <c r="A209">
        <v>1</v>
      </c>
      <c r="B209" s="17">
        <v>43910</v>
      </c>
      <c r="C209" t="s">
        <v>168</v>
      </c>
      <c r="D209" s="22">
        <v>19.84</v>
      </c>
      <c r="E209" t="s">
        <v>291</v>
      </c>
      <c r="F209" t="s">
        <v>180</v>
      </c>
      <c r="G209" t="s">
        <v>81</v>
      </c>
      <c r="H209" t="s">
        <v>1123</v>
      </c>
      <c r="I209" t="s">
        <v>1011</v>
      </c>
      <c r="J209" s="22">
        <v>19.84</v>
      </c>
      <c r="K209" s="21">
        <v>19.84</v>
      </c>
      <c r="L209" s="22">
        <v>19.84</v>
      </c>
    </row>
    <row r="210" spans="1:13" x14ac:dyDescent="0.35">
      <c r="A210">
        <v>1</v>
      </c>
      <c r="B210" s="17">
        <v>43910</v>
      </c>
      <c r="C210" t="s">
        <v>168</v>
      </c>
      <c r="D210" s="22">
        <v>1109.1500000000001</v>
      </c>
      <c r="E210" t="s">
        <v>292</v>
      </c>
      <c r="F210" t="s">
        <v>222</v>
      </c>
      <c r="G210" t="s">
        <v>294</v>
      </c>
      <c r="H210" t="s">
        <v>1123</v>
      </c>
      <c r="I210" t="s">
        <v>1012</v>
      </c>
      <c r="J210" s="22">
        <v>1109.1500000000001</v>
      </c>
      <c r="K210" s="21">
        <v>1109.1500000000001</v>
      </c>
      <c r="L210" s="22">
        <v>1109.1500000000001</v>
      </c>
      <c r="M210" t="s">
        <v>266</v>
      </c>
    </row>
    <row r="211" spans="1:13" x14ac:dyDescent="0.35">
      <c r="A211">
        <v>1</v>
      </c>
      <c r="B211" s="17">
        <v>43910</v>
      </c>
      <c r="C211" t="s">
        <v>168</v>
      </c>
      <c r="D211" s="22">
        <v>58.38</v>
      </c>
      <c r="E211" t="s">
        <v>292</v>
      </c>
      <c r="F211" t="s">
        <v>180</v>
      </c>
      <c r="G211" t="s">
        <v>81</v>
      </c>
      <c r="H211" t="s">
        <v>1123</v>
      </c>
      <c r="I211" t="s">
        <v>1012</v>
      </c>
      <c r="J211" s="22">
        <v>58.38</v>
      </c>
      <c r="K211" s="21">
        <v>58.38</v>
      </c>
      <c r="L211" s="22">
        <v>58.38</v>
      </c>
    </row>
    <row r="212" spans="1:13" x14ac:dyDescent="0.35">
      <c r="A212">
        <v>1</v>
      </c>
      <c r="B212" s="17">
        <v>43910</v>
      </c>
      <c r="C212" t="s">
        <v>34</v>
      </c>
      <c r="D212" s="22">
        <v>1461.55</v>
      </c>
      <c r="E212" t="s">
        <v>357</v>
      </c>
      <c r="F212" t="s">
        <v>222</v>
      </c>
      <c r="G212" t="s">
        <v>294</v>
      </c>
      <c r="H212" t="s">
        <v>1123</v>
      </c>
      <c r="I212" t="s">
        <v>1013</v>
      </c>
      <c r="J212" s="22">
        <v>-1461.55</v>
      </c>
      <c r="K212" s="21">
        <v>1461.55</v>
      </c>
      <c r="L212" s="22">
        <v>-1461.55</v>
      </c>
      <c r="M212" t="s">
        <v>266</v>
      </c>
    </row>
    <row r="213" spans="1:13" x14ac:dyDescent="0.35">
      <c r="A213">
        <v>1</v>
      </c>
      <c r="B213" s="17">
        <v>43910</v>
      </c>
      <c r="C213" t="s">
        <v>34</v>
      </c>
      <c r="D213" s="22">
        <v>76.92</v>
      </c>
      <c r="E213" t="s">
        <v>357</v>
      </c>
      <c r="F213" t="s">
        <v>180</v>
      </c>
      <c r="G213" t="s">
        <v>81</v>
      </c>
      <c r="H213" t="s">
        <v>1123</v>
      </c>
      <c r="I213" t="s">
        <v>1013</v>
      </c>
      <c r="J213" s="22">
        <v>-76.92</v>
      </c>
      <c r="K213" s="21">
        <v>76.92</v>
      </c>
      <c r="L213" s="22">
        <v>-76.92</v>
      </c>
    </row>
    <row r="214" spans="1:13" x14ac:dyDescent="0.35">
      <c r="A214">
        <v>1</v>
      </c>
      <c r="B214" s="17">
        <v>43910</v>
      </c>
      <c r="C214" t="s">
        <v>168</v>
      </c>
      <c r="D214" s="22">
        <v>376.97</v>
      </c>
      <c r="E214" t="s">
        <v>292</v>
      </c>
      <c r="F214" t="s">
        <v>222</v>
      </c>
      <c r="G214" t="s">
        <v>294</v>
      </c>
      <c r="H214" t="s">
        <v>1123</v>
      </c>
      <c r="I214" t="s">
        <v>1014</v>
      </c>
      <c r="J214" s="22">
        <v>376.97</v>
      </c>
      <c r="K214" s="21">
        <v>376.97</v>
      </c>
      <c r="L214" s="22">
        <v>376.97</v>
      </c>
      <c r="M214" t="s">
        <v>266</v>
      </c>
    </row>
    <row r="215" spans="1:13" x14ac:dyDescent="0.35">
      <c r="A215">
        <v>1</v>
      </c>
      <c r="B215" s="17">
        <v>43910</v>
      </c>
      <c r="C215" t="s">
        <v>168</v>
      </c>
      <c r="D215" s="22">
        <v>19.84</v>
      </c>
      <c r="E215" t="s">
        <v>292</v>
      </c>
      <c r="F215" t="s">
        <v>180</v>
      </c>
      <c r="G215" t="s">
        <v>81</v>
      </c>
      <c r="H215" t="s">
        <v>1123</v>
      </c>
      <c r="I215" t="s">
        <v>1014</v>
      </c>
      <c r="J215" s="22">
        <v>19.84</v>
      </c>
      <c r="K215" s="21">
        <v>19.84</v>
      </c>
      <c r="L215" s="22">
        <v>19.84</v>
      </c>
    </row>
    <row r="216" spans="1:13" x14ac:dyDescent="0.35">
      <c r="A216">
        <v>1</v>
      </c>
      <c r="B216" s="17">
        <v>43910</v>
      </c>
      <c r="C216" t="s">
        <v>34</v>
      </c>
      <c r="D216" s="22">
        <v>376.97</v>
      </c>
      <c r="E216" t="s">
        <v>291</v>
      </c>
      <c r="F216" t="s">
        <v>222</v>
      </c>
      <c r="G216" t="s">
        <v>294</v>
      </c>
      <c r="H216" t="s">
        <v>1123</v>
      </c>
      <c r="I216" t="s">
        <v>1015</v>
      </c>
      <c r="J216" s="22">
        <v>-376.97</v>
      </c>
      <c r="K216" s="21">
        <v>376.97</v>
      </c>
      <c r="L216" s="22">
        <v>-376.97</v>
      </c>
      <c r="M216" t="s">
        <v>266</v>
      </c>
    </row>
    <row r="217" spans="1:13" x14ac:dyDescent="0.35">
      <c r="A217">
        <v>1</v>
      </c>
      <c r="B217" s="17">
        <v>43910</v>
      </c>
      <c r="C217" t="s">
        <v>34</v>
      </c>
      <c r="D217" s="22">
        <v>19.84</v>
      </c>
      <c r="E217" t="s">
        <v>291</v>
      </c>
      <c r="F217" t="s">
        <v>180</v>
      </c>
      <c r="G217" t="s">
        <v>81</v>
      </c>
      <c r="H217" t="s">
        <v>1123</v>
      </c>
      <c r="I217" t="s">
        <v>1015</v>
      </c>
      <c r="J217" s="22">
        <v>-19.84</v>
      </c>
      <c r="K217" s="21">
        <v>19.84</v>
      </c>
      <c r="L217" s="22">
        <v>-19.84</v>
      </c>
    </row>
    <row r="218" spans="1:13" x14ac:dyDescent="0.35">
      <c r="A218">
        <v>1</v>
      </c>
      <c r="B218" s="17">
        <v>43910</v>
      </c>
      <c r="C218" t="s">
        <v>34</v>
      </c>
      <c r="D218" s="22">
        <v>95.56</v>
      </c>
      <c r="E218" t="s">
        <v>289</v>
      </c>
      <c r="F218" t="s">
        <v>222</v>
      </c>
      <c r="G218" t="s">
        <v>294</v>
      </c>
      <c r="H218" t="s">
        <v>1124</v>
      </c>
      <c r="I218" t="s">
        <v>1016</v>
      </c>
      <c r="J218" s="22">
        <v>-95.56</v>
      </c>
      <c r="K218" s="21">
        <v>95.56</v>
      </c>
      <c r="L218" s="22">
        <v>-95.56</v>
      </c>
      <c r="M218" t="s">
        <v>266</v>
      </c>
    </row>
    <row r="219" spans="1:13" x14ac:dyDescent="0.35">
      <c r="A219">
        <v>1</v>
      </c>
      <c r="B219" s="17">
        <v>43910</v>
      </c>
      <c r="C219" t="s">
        <v>168</v>
      </c>
      <c r="D219" s="22">
        <v>98.62</v>
      </c>
      <c r="E219" t="s">
        <v>290</v>
      </c>
      <c r="F219" t="s">
        <v>222</v>
      </c>
      <c r="G219" t="s">
        <v>294</v>
      </c>
      <c r="H219" t="s">
        <v>1124</v>
      </c>
      <c r="I219" t="s">
        <v>1017</v>
      </c>
      <c r="J219" s="22">
        <v>98.62</v>
      </c>
      <c r="K219" s="21">
        <v>98.62</v>
      </c>
      <c r="L219" s="22">
        <v>98.62</v>
      </c>
      <c r="M219" t="s">
        <v>266</v>
      </c>
    </row>
    <row r="220" spans="1:13" x14ac:dyDescent="0.35">
      <c r="A220">
        <v>1</v>
      </c>
      <c r="B220" s="17">
        <v>43910</v>
      </c>
      <c r="C220" t="s">
        <v>168</v>
      </c>
      <c r="D220" s="22">
        <v>286.69</v>
      </c>
      <c r="E220" t="s">
        <v>291</v>
      </c>
      <c r="F220" t="s">
        <v>222</v>
      </c>
      <c r="G220" t="s">
        <v>294</v>
      </c>
      <c r="H220" t="s">
        <v>1124</v>
      </c>
      <c r="I220" t="s">
        <v>1018</v>
      </c>
      <c r="J220" s="22">
        <v>286.69</v>
      </c>
      <c r="K220" s="21">
        <v>286.69</v>
      </c>
      <c r="L220" s="22">
        <v>286.69</v>
      </c>
      <c r="M220" t="s">
        <v>266</v>
      </c>
    </row>
    <row r="221" spans="1:13" x14ac:dyDescent="0.35">
      <c r="A221">
        <v>1</v>
      </c>
      <c r="B221" s="17">
        <v>43910</v>
      </c>
      <c r="C221" t="s">
        <v>168</v>
      </c>
      <c r="D221" s="22">
        <v>699.26</v>
      </c>
      <c r="E221" t="s">
        <v>292</v>
      </c>
      <c r="F221" t="s">
        <v>222</v>
      </c>
      <c r="G221" t="s">
        <v>294</v>
      </c>
      <c r="H221" t="s">
        <v>1124</v>
      </c>
      <c r="I221" t="s">
        <v>1019</v>
      </c>
      <c r="J221" s="22">
        <v>699.26</v>
      </c>
      <c r="K221" s="21">
        <v>699.26</v>
      </c>
      <c r="L221" s="22">
        <v>699.26</v>
      </c>
      <c r="M221" t="s">
        <v>266</v>
      </c>
    </row>
    <row r="222" spans="1:13" x14ac:dyDescent="0.35">
      <c r="A222">
        <v>1</v>
      </c>
      <c r="B222" s="17">
        <v>43910</v>
      </c>
      <c r="C222" t="s">
        <v>34</v>
      </c>
      <c r="D222" s="22">
        <v>989.01</v>
      </c>
      <c r="E222" t="s">
        <v>356</v>
      </c>
      <c r="F222" t="s">
        <v>222</v>
      </c>
      <c r="G222" t="s">
        <v>294</v>
      </c>
      <c r="H222" t="s">
        <v>1124</v>
      </c>
      <c r="I222" t="s">
        <v>1020</v>
      </c>
      <c r="J222" s="22">
        <v>-989.01</v>
      </c>
      <c r="K222" s="21">
        <v>989.01</v>
      </c>
      <c r="L222" s="22">
        <v>-989.01</v>
      </c>
      <c r="M222" t="s">
        <v>266</v>
      </c>
    </row>
    <row r="223" spans="1:13" x14ac:dyDescent="0.35">
      <c r="A223">
        <v>1</v>
      </c>
      <c r="B223" s="17">
        <v>43910</v>
      </c>
      <c r="C223" t="s">
        <v>168</v>
      </c>
      <c r="D223" s="22">
        <v>286.69</v>
      </c>
      <c r="E223" t="s">
        <v>292</v>
      </c>
      <c r="F223" t="s">
        <v>222</v>
      </c>
      <c r="G223" t="s">
        <v>294</v>
      </c>
      <c r="H223" t="s">
        <v>1124</v>
      </c>
      <c r="I223" t="s">
        <v>1021</v>
      </c>
      <c r="J223" s="22">
        <v>286.69</v>
      </c>
      <c r="K223" s="21">
        <v>286.69</v>
      </c>
      <c r="L223" s="22">
        <v>286.69</v>
      </c>
      <c r="M223" t="s">
        <v>266</v>
      </c>
    </row>
    <row r="224" spans="1:13" x14ac:dyDescent="0.35">
      <c r="A224">
        <v>1</v>
      </c>
      <c r="B224" s="17">
        <v>43910</v>
      </c>
      <c r="C224" t="s">
        <v>34</v>
      </c>
      <c r="D224" s="22">
        <v>286.69</v>
      </c>
      <c r="E224" t="s">
        <v>291</v>
      </c>
      <c r="F224" t="s">
        <v>222</v>
      </c>
      <c r="G224" t="s">
        <v>294</v>
      </c>
      <c r="H224" t="s">
        <v>1124</v>
      </c>
      <c r="I224" t="s">
        <v>1022</v>
      </c>
      <c r="J224" s="22">
        <v>-286.69</v>
      </c>
      <c r="K224" s="21">
        <v>286.69</v>
      </c>
      <c r="L224" s="22">
        <v>-286.69</v>
      </c>
      <c r="M224" t="s">
        <v>266</v>
      </c>
    </row>
    <row r="225" spans="1:13" x14ac:dyDescent="0.35">
      <c r="A225">
        <v>1</v>
      </c>
      <c r="B225" s="17">
        <v>43910</v>
      </c>
      <c r="C225" t="s">
        <v>34</v>
      </c>
      <c r="D225" s="22">
        <v>60.27</v>
      </c>
      <c r="E225" t="s">
        <v>289</v>
      </c>
      <c r="F225" t="s">
        <v>179</v>
      </c>
      <c r="G225" t="s">
        <v>213</v>
      </c>
      <c r="H225" t="s">
        <v>1125</v>
      </c>
      <c r="I225" t="s">
        <v>1023</v>
      </c>
      <c r="J225" s="22">
        <v>-60.27</v>
      </c>
      <c r="K225" s="21">
        <v>60.27</v>
      </c>
      <c r="L225" s="22">
        <v>-60.27</v>
      </c>
      <c r="M225" t="s">
        <v>266</v>
      </c>
    </row>
    <row r="226" spans="1:13" x14ac:dyDescent="0.35">
      <c r="A226">
        <v>1</v>
      </c>
      <c r="B226" s="17">
        <v>43910</v>
      </c>
      <c r="C226" t="s">
        <v>168</v>
      </c>
      <c r="D226" s="22">
        <v>125.83</v>
      </c>
      <c r="E226" t="s">
        <v>291</v>
      </c>
      <c r="F226" t="s">
        <v>179</v>
      </c>
      <c r="G226" t="s">
        <v>213</v>
      </c>
      <c r="H226" t="s">
        <v>1125</v>
      </c>
      <c r="I226" t="s">
        <v>1024</v>
      </c>
      <c r="J226" s="22">
        <v>125.83</v>
      </c>
      <c r="K226" s="21">
        <v>125.83</v>
      </c>
      <c r="L226" s="22">
        <v>125.83</v>
      </c>
      <c r="M226" t="s">
        <v>266</v>
      </c>
    </row>
    <row r="227" spans="1:13" x14ac:dyDescent="0.35">
      <c r="A227">
        <v>1</v>
      </c>
      <c r="B227" s="17">
        <v>43910</v>
      </c>
      <c r="C227" t="s">
        <v>168</v>
      </c>
      <c r="D227" s="22">
        <v>511.24</v>
      </c>
      <c r="E227" t="s">
        <v>292</v>
      </c>
      <c r="F227" t="s">
        <v>179</v>
      </c>
      <c r="G227" t="s">
        <v>213</v>
      </c>
      <c r="H227" t="s">
        <v>1125</v>
      </c>
      <c r="I227" t="s">
        <v>1025</v>
      </c>
      <c r="J227" s="22">
        <v>511.24</v>
      </c>
      <c r="K227" s="21">
        <v>511.24</v>
      </c>
      <c r="L227" s="22">
        <v>511.24</v>
      </c>
      <c r="M227" t="s">
        <v>266</v>
      </c>
    </row>
    <row r="228" spans="1:13" x14ac:dyDescent="0.35">
      <c r="A228">
        <v>1</v>
      </c>
      <c r="B228" s="17">
        <v>43910</v>
      </c>
      <c r="C228" t="s">
        <v>34</v>
      </c>
      <c r="D228" s="22">
        <v>576.79999999999995</v>
      </c>
      <c r="E228" t="s">
        <v>356</v>
      </c>
      <c r="F228" t="s">
        <v>179</v>
      </c>
      <c r="G228" t="s">
        <v>213</v>
      </c>
      <c r="H228" t="s">
        <v>1125</v>
      </c>
      <c r="I228" t="s">
        <v>1026</v>
      </c>
      <c r="J228" s="22">
        <v>-576.79999999999995</v>
      </c>
      <c r="K228" s="21">
        <v>576.79999999999995</v>
      </c>
      <c r="L228" s="22">
        <v>-576.79999999999995</v>
      </c>
      <c r="M228" t="s">
        <v>266</v>
      </c>
    </row>
    <row r="229" spans="1:13" x14ac:dyDescent="0.35">
      <c r="A229">
        <v>1</v>
      </c>
      <c r="B229" s="17">
        <v>43910</v>
      </c>
      <c r="C229" t="s">
        <v>168</v>
      </c>
      <c r="D229" s="22">
        <v>125.83</v>
      </c>
      <c r="E229" t="s">
        <v>292</v>
      </c>
      <c r="F229" t="s">
        <v>179</v>
      </c>
      <c r="G229" t="s">
        <v>213</v>
      </c>
      <c r="H229" t="s">
        <v>1125</v>
      </c>
      <c r="I229" t="s">
        <v>1027</v>
      </c>
      <c r="J229" s="22">
        <v>125.83</v>
      </c>
      <c r="K229" s="21">
        <v>125.83</v>
      </c>
      <c r="L229" s="22">
        <v>125.83</v>
      </c>
      <c r="M229" t="s">
        <v>266</v>
      </c>
    </row>
    <row r="230" spans="1:13" x14ac:dyDescent="0.35">
      <c r="A230">
        <v>1</v>
      </c>
      <c r="B230" s="17">
        <v>43910</v>
      </c>
      <c r="C230" t="s">
        <v>34</v>
      </c>
      <c r="D230" s="22">
        <v>125.83</v>
      </c>
      <c r="E230" t="s">
        <v>291</v>
      </c>
      <c r="F230" t="s">
        <v>179</v>
      </c>
      <c r="G230" t="s">
        <v>213</v>
      </c>
      <c r="H230" t="s">
        <v>1125</v>
      </c>
      <c r="I230" t="s">
        <v>1028</v>
      </c>
      <c r="J230" s="22">
        <v>-125.83</v>
      </c>
      <c r="K230" s="21">
        <v>125.83</v>
      </c>
      <c r="L230" s="22">
        <v>-125.83</v>
      </c>
      <c r="M230" t="s">
        <v>266</v>
      </c>
    </row>
    <row r="231" spans="1:13" x14ac:dyDescent="0.35">
      <c r="A231">
        <v>1</v>
      </c>
      <c r="B231" s="17">
        <v>43910</v>
      </c>
      <c r="C231" t="s">
        <v>34</v>
      </c>
      <c r="D231" s="22">
        <v>253.7</v>
      </c>
      <c r="E231" t="s">
        <v>289</v>
      </c>
      <c r="F231" t="s">
        <v>222</v>
      </c>
      <c r="G231" t="s">
        <v>294</v>
      </c>
      <c r="H231" t="s">
        <v>1126</v>
      </c>
      <c r="I231" t="s">
        <v>1029</v>
      </c>
      <c r="J231" s="22">
        <v>-253.7</v>
      </c>
      <c r="K231" s="21">
        <v>253.7</v>
      </c>
      <c r="L231" s="22">
        <v>-253.7</v>
      </c>
      <c r="M231" t="s">
        <v>266</v>
      </c>
    </row>
    <row r="232" spans="1:13" x14ac:dyDescent="0.35">
      <c r="A232">
        <v>1</v>
      </c>
      <c r="B232" s="17">
        <v>43910</v>
      </c>
      <c r="C232" t="s">
        <v>168</v>
      </c>
      <c r="D232" s="22">
        <v>95.42</v>
      </c>
      <c r="E232" t="s">
        <v>290</v>
      </c>
      <c r="F232" t="s">
        <v>222</v>
      </c>
      <c r="G232" t="s">
        <v>294</v>
      </c>
      <c r="H232" t="s">
        <v>1126</v>
      </c>
      <c r="I232" t="s">
        <v>1030</v>
      </c>
      <c r="J232" s="22">
        <v>95.42</v>
      </c>
      <c r="K232" s="21">
        <v>95.42</v>
      </c>
      <c r="L232" s="22">
        <v>95.42</v>
      </c>
      <c r="M232" t="s">
        <v>266</v>
      </c>
    </row>
    <row r="233" spans="1:13" x14ac:dyDescent="0.35">
      <c r="A233">
        <v>1</v>
      </c>
      <c r="B233" s="17">
        <v>43910</v>
      </c>
      <c r="C233" t="s">
        <v>168</v>
      </c>
      <c r="D233" s="22">
        <v>839.23</v>
      </c>
      <c r="E233" t="s">
        <v>291</v>
      </c>
      <c r="F233" t="s">
        <v>222</v>
      </c>
      <c r="G233" t="s">
        <v>294</v>
      </c>
      <c r="H233" t="s">
        <v>1126</v>
      </c>
      <c r="I233" t="s">
        <v>1031</v>
      </c>
      <c r="J233" s="22">
        <v>839.23</v>
      </c>
      <c r="K233" s="21">
        <v>839.23</v>
      </c>
      <c r="L233" s="22">
        <v>839.23</v>
      </c>
      <c r="M233" t="s">
        <v>266</v>
      </c>
    </row>
    <row r="234" spans="1:13" x14ac:dyDescent="0.35">
      <c r="A234">
        <v>1</v>
      </c>
      <c r="B234" s="17">
        <v>43910</v>
      </c>
      <c r="C234" t="s">
        <v>168</v>
      </c>
      <c r="D234" s="22">
        <v>1819.05</v>
      </c>
      <c r="E234" t="s">
        <v>292</v>
      </c>
      <c r="F234" t="s">
        <v>222</v>
      </c>
      <c r="G234" t="s">
        <v>294</v>
      </c>
      <c r="H234" t="s">
        <v>1126</v>
      </c>
      <c r="I234" t="s">
        <v>1032</v>
      </c>
      <c r="J234" s="22">
        <v>1819.05</v>
      </c>
      <c r="K234" s="21">
        <v>1819.05</v>
      </c>
      <c r="L234" s="22">
        <v>1819.05</v>
      </c>
      <c r="M234" t="s">
        <v>266</v>
      </c>
    </row>
    <row r="235" spans="1:13" x14ac:dyDescent="0.35">
      <c r="A235">
        <v>1</v>
      </c>
      <c r="B235" s="17">
        <v>43910</v>
      </c>
      <c r="C235" t="s">
        <v>34</v>
      </c>
      <c r="D235" s="22">
        <v>2500</v>
      </c>
      <c r="E235" t="s">
        <v>346</v>
      </c>
      <c r="F235" t="s">
        <v>222</v>
      </c>
      <c r="G235" t="s">
        <v>294</v>
      </c>
      <c r="H235" t="s">
        <v>1126</v>
      </c>
      <c r="I235" t="s">
        <v>1033</v>
      </c>
      <c r="J235" s="22">
        <v>-2500</v>
      </c>
      <c r="K235" s="21">
        <v>2500</v>
      </c>
      <c r="L235" s="22">
        <v>-2500</v>
      </c>
      <c r="M235" t="s">
        <v>266</v>
      </c>
    </row>
    <row r="236" spans="1:13" x14ac:dyDescent="0.35">
      <c r="A236">
        <v>1</v>
      </c>
      <c r="B236" s="17">
        <v>43910</v>
      </c>
      <c r="C236" t="s">
        <v>168</v>
      </c>
      <c r="D236" s="22">
        <v>839.23</v>
      </c>
      <c r="E236" t="s">
        <v>292</v>
      </c>
      <c r="F236" t="s">
        <v>222</v>
      </c>
      <c r="G236" t="s">
        <v>294</v>
      </c>
      <c r="H236" t="s">
        <v>1126</v>
      </c>
      <c r="I236" t="s">
        <v>1034</v>
      </c>
      <c r="J236" s="22">
        <v>839.23</v>
      </c>
      <c r="K236" s="21">
        <v>839.23</v>
      </c>
      <c r="L236" s="22">
        <v>839.23</v>
      </c>
      <c r="M236" t="s">
        <v>266</v>
      </c>
    </row>
    <row r="237" spans="1:13" x14ac:dyDescent="0.35">
      <c r="A237">
        <v>1</v>
      </c>
      <c r="B237" s="17">
        <v>43910</v>
      </c>
      <c r="C237" t="s">
        <v>34</v>
      </c>
      <c r="D237" s="22">
        <v>839.23</v>
      </c>
      <c r="E237" t="s">
        <v>291</v>
      </c>
      <c r="F237" t="s">
        <v>222</v>
      </c>
      <c r="G237" t="s">
        <v>294</v>
      </c>
      <c r="H237" t="s">
        <v>1126</v>
      </c>
      <c r="I237" t="s">
        <v>1035</v>
      </c>
      <c r="J237" s="22">
        <v>-839.23</v>
      </c>
      <c r="K237" s="21">
        <v>839.23</v>
      </c>
      <c r="L237" s="22">
        <v>-839.23</v>
      </c>
      <c r="M237" t="s">
        <v>266</v>
      </c>
    </row>
    <row r="238" spans="1:13" x14ac:dyDescent="0.35">
      <c r="A238">
        <v>1</v>
      </c>
      <c r="B238" s="17">
        <v>43910</v>
      </c>
      <c r="C238" t="s">
        <v>34</v>
      </c>
      <c r="D238" s="22">
        <v>160.77000000000001</v>
      </c>
      <c r="E238" t="s">
        <v>289</v>
      </c>
      <c r="F238" t="s">
        <v>222</v>
      </c>
      <c r="G238" t="s">
        <v>294</v>
      </c>
      <c r="H238" t="s">
        <v>1127</v>
      </c>
      <c r="I238" t="s">
        <v>1036</v>
      </c>
      <c r="J238" s="22">
        <v>-160.77000000000001</v>
      </c>
      <c r="K238" s="21">
        <v>160.77000000000001</v>
      </c>
      <c r="L238" s="22">
        <v>-160.77000000000001</v>
      </c>
      <c r="M238" t="s">
        <v>266</v>
      </c>
    </row>
    <row r="239" spans="1:13" x14ac:dyDescent="0.35">
      <c r="A239">
        <v>1</v>
      </c>
      <c r="B239" s="17">
        <v>43910</v>
      </c>
      <c r="C239" t="s">
        <v>168</v>
      </c>
      <c r="D239" s="22">
        <v>318.08999999999997</v>
      </c>
      <c r="E239" t="s">
        <v>291</v>
      </c>
      <c r="F239" t="s">
        <v>222</v>
      </c>
      <c r="G239" t="s">
        <v>294</v>
      </c>
      <c r="H239" t="s">
        <v>1127</v>
      </c>
      <c r="I239" t="s">
        <v>1037</v>
      </c>
      <c r="J239" s="22">
        <v>318.08999999999997</v>
      </c>
      <c r="K239" s="21">
        <v>318.08999999999997</v>
      </c>
      <c r="L239" s="22">
        <v>318.08999999999997</v>
      </c>
      <c r="M239" t="s">
        <v>266</v>
      </c>
    </row>
    <row r="240" spans="1:13" x14ac:dyDescent="0.35">
      <c r="A240">
        <v>1</v>
      </c>
      <c r="B240" s="17">
        <v>43910</v>
      </c>
      <c r="C240" t="s">
        <v>168</v>
      </c>
      <c r="D240" s="22">
        <v>1381.14</v>
      </c>
      <c r="E240" t="s">
        <v>292</v>
      </c>
      <c r="F240" t="s">
        <v>222</v>
      </c>
      <c r="G240" t="s">
        <v>294</v>
      </c>
      <c r="H240" t="s">
        <v>1127</v>
      </c>
      <c r="I240" t="s">
        <v>1038</v>
      </c>
      <c r="J240" s="22">
        <v>1381.14</v>
      </c>
      <c r="K240" s="21">
        <v>1381.14</v>
      </c>
      <c r="L240" s="22">
        <v>1381.14</v>
      </c>
      <c r="M240" t="s">
        <v>266</v>
      </c>
    </row>
    <row r="241" spans="1:13" x14ac:dyDescent="0.35">
      <c r="A241">
        <v>1</v>
      </c>
      <c r="B241" s="17">
        <v>43910</v>
      </c>
      <c r="C241" t="s">
        <v>34</v>
      </c>
      <c r="D241" s="22">
        <v>1538.46</v>
      </c>
      <c r="E241" t="s">
        <v>356</v>
      </c>
      <c r="F241" t="s">
        <v>222</v>
      </c>
      <c r="G241" t="s">
        <v>294</v>
      </c>
      <c r="H241" t="s">
        <v>1127</v>
      </c>
      <c r="I241" t="s">
        <v>1039</v>
      </c>
      <c r="J241" s="22">
        <v>-1538.46</v>
      </c>
      <c r="K241" s="21">
        <v>1538.46</v>
      </c>
      <c r="L241" s="22">
        <v>-1538.46</v>
      </c>
      <c r="M241" t="s">
        <v>266</v>
      </c>
    </row>
    <row r="242" spans="1:13" x14ac:dyDescent="0.35">
      <c r="A242">
        <v>1</v>
      </c>
      <c r="B242" s="17">
        <v>43910</v>
      </c>
      <c r="C242" t="s">
        <v>168</v>
      </c>
      <c r="D242" s="22">
        <v>318.08999999999997</v>
      </c>
      <c r="E242" t="s">
        <v>292</v>
      </c>
      <c r="F242" t="s">
        <v>222</v>
      </c>
      <c r="G242" t="s">
        <v>294</v>
      </c>
      <c r="H242" t="s">
        <v>1127</v>
      </c>
      <c r="I242" t="s">
        <v>1040</v>
      </c>
      <c r="J242" s="22">
        <v>318.08999999999997</v>
      </c>
      <c r="K242" s="21">
        <v>318.08999999999997</v>
      </c>
      <c r="L242" s="22">
        <v>318.08999999999997</v>
      </c>
      <c r="M242" t="s">
        <v>266</v>
      </c>
    </row>
    <row r="243" spans="1:13" x14ac:dyDescent="0.35">
      <c r="A243">
        <v>1</v>
      </c>
      <c r="B243" s="17">
        <v>43910</v>
      </c>
      <c r="C243" t="s">
        <v>34</v>
      </c>
      <c r="D243" s="22">
        <v>318.08999999999997</v>
      </c>
      <c r="E243" t="s">
        <v>291</v>
      </c>
      <c r="F243" t="s">
        <v>222</v>
      </c>
      <c r="G243" t="s">
        <v>294</v>
      </c>
      <c r="H243" t="s">
        <v>1127</v>
      </c>
      <c r="I243" t="s">
        <v>1041</v>
      </c>
      <c r="J243" s="22">
        <v>-318.08999999999997</v>
      </c>
      <c r="K243" s="21">
        <v>318.08999999999997</v>
      </c>
      <c r="L243" s="22">
        <v>-318.08999999999997</v>
      </c>
      <c r="M243" t="s">
        <v>266</v>
      </c>
    </row>
    <row r="244" spans="1:13" x14ac:dyDescent="0.35">
      <c r="A244">
        <v>1</v>
      </c>
      <c r="B244" s="17">
        <v>43910</v>
      </c>
      <c r="C244" t="s">
        <v>34</v>
      </c>
      <c r="D244" s="22">
        <v>32.159999999999997</v>
      </c>
      <c r="E244" t="s">
        <v>289</v>
      </c>
      <c r="F244" t="s">
        <v>222</v>
      </c>
      <c r="G244" t="s">
        <v>294</v>
      </c>
      <c r="H244" t="s">
        <v>1128</v>
      </c>
      <c r="I244" t="s">
        <v>1042</v>
      </c>
      <c r="J244" s="22">
        <v>-32.159999999999997</v>
      </c>
      <c r="K244" s="21">
        <v>32.159999999999997</v>
      </c>
      <c r="L244" s="22">
        <v>-32.159999999999997</v>
      </c>
      <c r="M244" t="s">
        <v>266</v>
      </c>
    </row>
    <row r="245" spans="1:13" x14ac:dyDescent="0.35">
      <c r="A245">
        <v>1</v>
      </c>
      <c r="B245" s="17">
        <v>43910</v>
      </c>
      <c r="C245" t="s">
        <v>34</v>
      </c>
      <c r="D245" s="22">
        <v>38.590000000000003</v>
      </c>
      <c r="E245" t="s">
        <v>289</v>
      </c>
      <c r="F245" t="s">
        <v>224</v>
      </c>
      <c r="G245" t="s">
        <v>295</v>
      </c>
      <c r="H245" t="s">
        <v>1128</v>
      </c>
      <c r="I245" t="s">
        <v>1042</v>
      </c>
      <c r="J245" s="22">
        <v>-38.590000000000003</v>
      </c>
      <c r="K245" s="21">
        <v>38.590000000000003</v>
      </c>
      <c r="L245" s="22">
        <v>-38.590000000000003</v>
      </c>
    </row>
    <row r="246" spans="1:13" x14ac:dyDescent="0.35">
      <c r="A246">
        <v>1</v>
      </c>
      <c r="B246" s="17">
        <v>43910</v>
      </c>
      <c r="C246" t="s">
        <v>34</v>
      </c>
      <c r="D246" s="22">
        <v>8.0399999999999991</v>
      </c>
      <c r="E246" t="s">
        <v>289</v>
      </c>
      <c r="F246" t="s">
        <v>227</v>
      </c>
      <c r="G246" t="s">
        <v>297</v>
      </c>
      <c r="H246" t="s">
        <v>1128</v>
      </c>
      <c r="I246" t="s">
        <v>1042</v>
      </c>
      <c r="J246" s="22">
        <v>-8.0399999999999991</v>
      </c>
      <c r="K246" s="21">
        <v>8.0399999999999991</v>
      </c>
      <c r="L246" s="22">
        <v>-8.0399999999999991</v>
      </c>
    </row>
    <row r="247" spans="1:13" x14ac:dyDescent="0.35">
      <c r="A247">
        <v>1</v>
      </c>
      <c r="B247" s="17">
        <v>43910</v>
      </c>
      <c r="C247" t="s">
        <v>34</v>
      </c>
      <c r="D247" s="22">
        <v>6.43</v>
      </c>
      <c r="E247" t="s">
        <v>289</v>
      </c>
      <c r="F247" t="s">
        <v>228</v>
      </c>
      <c r="G247" t="s">
        <v>298</v>
      </c>
      <c r="H247" t="s">
        <v>1128</v>
      </c>
      <c r="I247" t="s">
        <v>1042</v>
      </c>
      <c r="J247" s="22">
        <v>-6.43</v>
      </c>
      <c r="K247" s="21">
        <v>6.43</v>
      </c>
      <c r="L247" s="22">
        <v>-6.43</v>
      </c>
    </row>
    <row r="248" spans="1:13" x14ac:dyDescent="0.35">
      <c r="A248">
        <v>1</v>
      </c>
      <c r="B248" s="17">
        <v>43910</v>
      </c>
      <c r="C248" t="s">
        <v>34</v>
      </c>
      <c r="D248" s="22">
        <v>3.22</v>
      </c>
      <c r="E248" t="s">
        <v>289</v>
      </c>
      <c r="F248" t="s">
        <v>229</v>
      </c>
      <c r="G248" t="s">
        <v>294</v>
      </c>
      <c r="H248" t="s">
        <v>1128</v>
      </c>
      <c r="I248" t="s">
        <v>1042</v>
      </c>
      <c r="J248" s="22">
        <v>-3.22</v>
      </c>
      <c r="K248" s="21">
        <v>3.22</v>
      </c>
      <c r="L248" s="22">
        <v>-3.22</v>
      </c>
    </row>
    <row r="249" spans="1:13" x14ac:dyDescent="0.35">
      <c r="A249">
        <v>1</v>
      </c>
      <c r="B249" s="17">
        <v>43910</v>
      </c>
      <c r="C249" t="s">
        <v>34</v>
      </c>
      <c r="D249" s="22">
        <v>9.65</v>
      </c>
      <c r="E249" t="s">
        <v>289</v>
      </c>
      <c r="F249" t="s">
        <v>230</v>
      </c>
      <c r="G249" t="s">
        <v>299</v>
      </c>
      <c r="H249" t="s">
        <v>1128</v>
      </c>
      <c r="I249" t="s">
        <v>1042</v>
      </c>
      <c r="J249" s="22">
        <v>-9.65</v>
      </c>
      <c r="K249" s="21">
        <v>9.65</v>
      </c>
      <c r="L249" s="22">
        <v>-9.65</v>
      </c>
    </row>
    <row r="250" spans="1:13" x14ac:dyDescent="0.35">
      <c r="A250">
        <v>1</v>
      </c>
      <c r="B250" s="17">
        <v>43910</v>
      </c>
      <c r="C250" t="s">
        <v>34</v>
      </c>
      <c r="D250" s="22">
        <v>62.69</v>
      </c>
      <c r="E250" t="s">
        <v>289</v>
      </c>
      <c r="F250" t="s">
        <v>231</v>
      </c>
      <c r="G250" t="s">
        <v>217</v>
      </c>
      <c r="H250" t="s">
        <v>1128</v>
      </c>
      <c r="I250" t="s">
        <v>1042</v>
      </c>
      <c r="J250" s="22">
        <v>-62.69</v>
      </c>
      <c r="K250" s="21">
        <v>62.69</v>
      </c>
      <c r="L250" s="22">
        <v>-62.69</v>
      </c>
    </row>
    <row r="251" spans="1:13" x14ac:dyDescent="0.35">
      <c r="A251">
        <v>1</v>
      </c>
      <c r="B251" s="17">
        <v>43910</v>
      </c>
      <c r="C251" t="s">
        <v>168</v>
      </c>
      <c r="D251" s="22">
        <v>86.38</v>
      </c>
      <c r="E251" t="s">
        <v>291</v>
      </c>
      <c r="F251" t="s">
        <v>222</v>
      </c>
      <c r="G251" t="s">
        <v>294</v>
      </c>
      <c r="H251" t="s">
        <v>1128</v>
      </c>
      <c r="I251" t="s">
        <v>1129</v>
      </c>
      <c r="J251" s="22">
        <v>86.38</v>
      </c>
      <c r="K251" s="21">
        <v>86.38</v>
      </c>
      <c r="L251" s="22">
        <v>86.38</v>
      </c>
      <c r="M251" t="s">
        <v>266</v>
      </c>
    </row>
    <row r="252" spans="1:13" x14ac:dyDescent="0.35">
      <c r="A252">
        <v>1</v>
      </c>
      <c r="B252" s="17">
        <v>43910</v>
      </c>
      <c r="C252" t="s">
        <v>168</v>
      </c>
      <c r="D252" s="22">
        <v>103.65</v>
      </c>
      <c r="E252" t="s">
        <v>291</v>
      </c>
      <c r="F252" t="s">
        <v>224</v>
      </c>
      <c r="G252" t="s">
        <v>295</v>
      </c>
      <c r="H252" t="s">
        <v>1128</v>
      </c>
      <c r="I252" t="s">
        <v>1129</v>
      </c>
      <c r="J252" s="22">
        <v>103.65</v>
      </c>
      <c r="K252" s="21">
        <v>103.65</v>
      </c>
      <c r="L252" s="22">
        <v>103.65</v>
      </c>
    </row>
    <row r="253" spans="1:13" x14ac:dyDescent="0.35">
      <c r="A253">
        <v>1</v>
      </c>
      <c r="B253" s="17">
        <v>43910</v>
      </c>
      <c r="C253" t="s">
        <v>168</v>
      </c>
      <c r="D253" s="22">
        <v>21.59</v>
      </c>
      <c r="E253" t="s">
        <v>291</v>
      </c>
      <c r="F253" t="s">
        <v>227</v>
      </c>
      <c r="G253" t="s">
        <v>297</v>
      </c>
      <c r="H253" t="s">
        <v>1128</v>
      </c>
      <c r="I253" t="s">
        <v>1129</v>
      </c>
      <c r="J253" s="22">
        <v>21.59</v>
      </c>
      <c r="K253" s="21">
        <v>21.59</v>
      </c>
      <c r="L253" s="22">
        <v>21.59</v>
      </c>
    </row>
    <row r="254" spans="1:13" x14ac:dyDescent="0.35">
      <c r="A254">
        <v>1</v>
      </c>
      <c r="B254" s="17">
        <v>43910</v>
      </c>
      <c r="C254" t="s">
        <v>168</v>
      </c>
      <c r="D254" s="22">
        <v>17.28</v>
      </c>
      <c r="E254" t="s">
        <v>291</v>
      </c>
      <c r="F254" t="s">
        <v>228</v>
      </c>
      <c r="G254" t="s">
        <v>298</v>
      </c>
      <c r="H254" t="s">
        <v>1128</v>
      </c>
      <c r="I254" t="s">
        <v>1129</v>
      </c>
      <c r="J254" s="22">
        <v>17.28</v>
      </c>
      <c r="K254" s="21">
        <v>17.28</v>
      </c>
      <c r="L254" s="22">
        <v>17.28</v>
      </c>
    </row>
    <row r="255" spans="1:13" x14ac:dyDescent="0.35">
      <c r="A255">
        <v>1</v>
      </c>
      <c r="B255" s="17">
        <v>43910</v>
      </c>
      <c r="C255" t="s">
        <v>168</v>
      </c>
      <c r="D255" s="22">
        <v>8.64</v>
      </c>
      <c r="E255" t="s">
        <v>291</v>
      </c>
      <c r="F255" t="s">
        <v>229</v>
      </c>
      <c r="G255" t="s">
        <v>294</v>
      </c>
      <c r="H255" t="s">
        <v>1128</v>
      </c>
      <c r="I255" t="s">
        <v>1129</v>
      </c>
      <c r="J255" s="22">
        <v>8.64</v>
      </c>
      <c r="K255" s="21">
        <v>8.64</v>
      </c>
      <c r="L255" s="22">
        <v>8.64</v>
      </c>
    </row>
    <row r="256" spans="1:13" x14ac:dyDescent="0.35">
      <c r="A256">
        <v>1</v>
      </c>
      <c r="B256" s="17">
        <v>43910</v>
      </c>
      <c r="C256" t="s">
        <v>168</v>
      </c>
      <c r="D256" s="22">
        <v>25.91</v>
      </c>
      <c r="E256" t="s">
        <v>291</v>
      </c>
      <c r="F256" t="s">
        <v>230</v>
      </c>
      <c r="G256" t="s">
        <v>299</v>
      </c>
      <c r="H256" t="s">
        <v>1128</v>
      </c>
      <c r="I256" t="s">
        <v>1129</v>
      </c>
      <c r="J256" s="22">
        <v>25.91</v>
      </c>
      <c r="K256" s="21">
        <v>25.91</v>
      </c>
      <c r="L256" s="22">
        <v>25.91</v>
      </c>
    </row>
    <row r="257" spans="1:13" x14ac:dyDescent="0.35">
      <c r="A257">
        <v>1</v>
      </c>
      <c r="B257" s="17">
        <v>43910</v>
      </c>
      <c r="C257" t="s">
        <v>168</v>
      </c>
      <c r="D257" s="22">
        <v>168.44</v>
      </c>
      <c r="E257" t="s">
        <v>291</v>
      </c>
      <c r="F257" t="s">
        <v>231</v>
      </c>
      <c r="G257" t="s">
        <v>217</v>
      </c>
      <c r="H257" t="s">
        <v>1128</v>
      </c>
      <c r="I257" t="s">
        <v>1129</v>
      </c>
      <c r="J257" s="22">
        <v>168.44</v>
      </c>
      <c r="K257" s="21">
        <v>168.44</v>
      </c>
      <c r="L257" s="22">
        <v>168.44</v>
      </c>
    </row>
    <row r="258" spans="1:13" x14ac:dyDescent="0.35">
      <c r="A258">
        <v>1</v>
      </c>
      <c r="B258" s="17">
        <v>43910</v>
      </c>
      <c r="C258" t="s">
        <v>168</v>
      </c>
      <c r="D258" s="22">
        <v>253.47</v>
      </c>
      <c r="E258" t="s">
        <v>292</v>
      </c>
      <c r="F258" t="s">
        <v>222</v>
      </c>
      <c r="G258" t="s">
        <v>294</v>
      </c>
      <c r="H258" t="s">
        <v>1128</v>
      </c>
      <c r="I258" t="s">
        <v>1130</v>
      </c>
      <c r="J258" s="22">
        <v>253.47</v>
      </c>
      <c r="K258" s="21">
        <v>253.47</v>
      </c>
      <c r="L258" s="22">
        <v>253.47</v>
      </c>
      <c r="M258" t="s">
        <v>266</v>
      </c>
    </row>
    <row r="259" spans="1:13" x14ac:dyDescent="0.35">
      <c r="A259">
        <v>1</v>
      </c>
      <c r="B259" s="17">
        <v>43910</v>
      </c>
      <c r="C259" t="s">
        <v>168</v>
      </c>
      <c r="D259" s="22">
        <v>304.16000000000003</v>
      </c>
      <c r="E259" t="s">
        <v>292</v>
      </c>
      <c r="F259" t="s">
        <v>224</v>
      </c>
      <c r="G259" t="s">
        <v>295</v>
      </c>
      <c r="H259" t="s">
        <v>1128</v>
      </c>
      <c r="I259" t="s">
        <v>1130</v>
      </c>
      <c r="J259" s="22">
        <v>304.16000000000003</v>
      </c>
      <c r="K259" s="21">
        <v>304.16000000000003</v>
      </c>
      <c r="L259" s="22">
        <v>304.16000000000003</v>
      </c>
    </row>
    <row r="260" spans="1:13" x14ac:dyDescent="0.35">
      <c r="A260">
        <v>1</v>
      </c>
      <c r="B260" s="17">
        <v>43910</v>
      </c>
      <c r="C260" t="s">
        <v>168</v>
      </c>
      <c r="D260" s="22">
        <v>63.37</v>
      </c>
      <c r="E260" t="s">
        <v>292</v>
      </c>
      <c r="F260" t="s">
        <v>227</v>
      </c>
      <c r="G260" t="s">
        <v>297</v>
      </c>
      <c r="H260" t="s">
        <v>1128</v>
      </c>
      <c r="I260" t="s">
        <v>1130</v>
      </c>
      <c r="J260" s="22">
        <v>63.37</v>
      </c>
      <c r="K260" s="21">
        <v>63.37</v>
      </c>
      <c r="L260" s="22">
        <v>63.37</v>
      </c>
    </row>
    <row r="261" spans="1:13" x14ac:dyDescent="0.35">
      <c r="A261">
        <v>1</v>
      </c>
      <c r="B261" s="17">
        <v>43910</v>
      </c>
      <c r="C261" t="s">
        <v>168</v>
      </c>
      <c r="D261" s="22">
        <v>50.69</v>
      </c>
      <c r="E261" t="s">
        <v>292</v>
      </c>
      <c r="F261" t="s">
        <v>228</v>
      </c>
      <c r="G261" t="s">
        <v>298</v>
      </c>
      <c r="H261" t="s">
        <v>1128</v>
      </c>
      <c r="I261" t="s">
        <v>1130</v>
      </c>
      <c r="J261" s="22">
        <v>50.69</v>
      </c>
      <c r="K261" s="21">
        <v>50.69</v>
      </c>
      <c r="L261" s="22">
        <v>50.69</v>
      </c>
    </row>
    <row r="262" spans="1:13" x14ac:dyDescent="0.35">
      <c r="A262">
        <v>1</v>
      </c>
      <c r="B262" s="17">
        <v>43910</v>
      </c>
      <c r="C262" t="s">
        <v>168</v>
      </c>
      <c r="D262" s="22">
        <v>25.35</v>
      </c>
      <c r="E262" t="s">
        <v>292</v>
      </c>
      <c r="F262" t="s">
        <v>229</v>
      </c>
      <c r="G262" t="s">
        <v>294</v>
      </c>
      <c r="H262" t="s">
        <v>1128</v>
      </c>
      <c r="I262" t="s">
        <v>1130</v>
      </c>
      <c r="J262" s="22">
        <v>25.35</v>
      </c>
      <c r="K262" s="21">
        <v>25.35</v>
      </c>
      <c r="L262" s="22">
        <v>25.35</v>
      </c>
    </row>
    <row r="263" spans="1:13" x14ac:dyDescent="0.35">
      <c r="A263">
        <v>1</v>
      </c>
      <c r="B263" s="17">
        <v>43910</v>
      </c>
      <c r="C263" t="s">
        <v>168</v>
      </c>
      <c r="D263" s="22">
        <v>76.040000000000006</v>
      </c>
      <c r="E263" t="s">
        <v>292</v>
      </c>
      <c r="F263" t="s">
        <v>230</v>
      </c>
      <c r="G263" t="s">
        <v>299</v>
      </c>
      <c r="H263" t="s">
        <v>1128</v>
      </c>
      <c r="I263" t="s">
        <v>1130</v>
      </c>
      <c r="J263" s="22">
        <v>76.040000000000006</v>
      </c>
      <c r="K263" s="21">
        <v>76.040000000000006</v>
      </c>
      <c r="L263" s="22">
        <v>76.040000000000006</v>
      </c>
    </row>
    <row r="264" spans="1:13" x14ac:dyDescent="0.35">
      <c r="A264">
        <v>1</v>
      </c>
      <c r="B264" s="17">
        <v>43910</v>
      </c>
      <c r="C264" t="s">
        <v>168</v>
      </c>
      <c r="D264" s="22">
        <v>494.27</v>
      </c>
      <c r="E264" t="s">
        <v>292</v>
      </c>
      <c r="F264" t="s">
        <v>231</v>
      </c>
      <c r="G264" t="s">
        <v>217</v>
      </c>
      <c r="H264" t="s">
        <v>1128</v>
      </c>
      <c r="I264" t="s">
        <v>1130</v>
      </c>
      <c r="J264" s="22">
        <v>494.27</v>
      </c>
      <c r="K264" s="21">
        <v>494.27</v>
      </c>
      <c r="L264" s="22">
        <v>494.27</v>
      </c>
    </row>
    <row r="265" spans="1:13" x14ac:dyDescent="0.35">
      <c r="A265">
        <v>1</v>
      </c>
      <c r="B265" s="17">
        <v>43910</v>
      </c>
      <c r="C265" t="s">
        <v>34</v>
      </c>
      <c r="D265" s="22">
        <v>307.69</v>
      </c>
      <c r="E265" t="s">
        <v>344</v>
      </c>
      <c r="F265" t="s">
        <v>222</v>
      </c>
      <c r="G265" t="s">
        <v>294</v>
      </c>
      <c r="H265" t="s">
        <v>1128</v>
      </c>
      <c r="I265" t="s">
        <v>1131</v>
      </c>
      <c r="J265" s="22">
        <v>-307.69</v>
      </c>
      <c r="K265" s="21">
        <v>307.69</v>
      </c>
      <c r="L265" s="22">
        <v>-307.69</v>
      </c>
      <c r="M265" t="s">
        <v>266</v>
      </c>
    </row>
    <row r="266" spans="1:13" x14ac:dyDescent="0.35">
      <c r="A266">
        <v>1</v>
      </c>
      <c r="B266" s="17">
        <v>43910</v>
      </c>
      <c r="C266" t="s">
        <v>34</v>
      </c>
      <c r="D266" s="22">
        <v>369.23</v>
      </c>
      <c r="E266" t="s">
        <v>344</v>
      </c>
      <c r="F266" t="s">
        <v>224</v>
      </c>
      <c r="G266" t="s">
        <v>295</v>
      </c>
      <c r="H266" t="s">
        <v>1128</v>
      </c>
      <c r="I266" t="s">
        <v>1131</v>
      </c>
      <c r="J266" s="22">
        <v>-369.23</v>
      </c>
      <c r="K266" s="21">
        <v>369.23</v>
      </c>
      <c r="L266" s="22">
        <v>-369.23</v>
      </c>
    </row>
    <row r="267" spans="1:13" x14ac:dyDescent="0.35">
      <c r="A267">
        <v>1</v>
      </c>
      <c r="B267" s="17">
        <v>43910</v>
      </c>
      <c r="C267" t="s">
        <v>34</v>
      </c>
      <c r="D267" s="22">
        <v>76.92</v>
      </c>
      <c r="E267" t="s">
        <v>344</v>
      </c>
      <c r="F267" t="s">
        <v>227</v>
      </c>
      <c r="G267" t="s">
        <v>297</v>
      </c>
      <c r="H267" t="s">
        <v>1128</v>
      </c>
      <c r="I267" t="s">
        <v>1131</v>
      </c>
      <c r="J267" s="22">
        <v>-76.92</v>
      </c>
      <c r="K267" s="21">
        <v>76.92</v>
      </c>
      <c r="L267" s="22">
        <v>-76.92</v>
      </c>
    </row>
    <row r="268" spans="1:13" x14ac:dyDescent="0.35">
      <c r="A268">
        <v>1</v>
      </c>
      <c r="B268" s="17">
        <v>43910</v>
      </c>
      <c r="C268" t="s">
        <v>34</v>
      </c>
      <c r="D268" s="22">
        <v>61.54</v>
      </c>
      <c r="E268" t="s">
        <v>344</v>
      </c>
      <c r="F268" t="s">
        <v>228</v>
      </c>
      <c r="G268" t="s">
        <v>298</v>
      </c>
      <c r="H268" t="s">
        <v>1128</v>
      </c>
      <c r="I268" t="s">
        <v>1131</v>
      </c>
      <c r="J268" s="22">
        <v>-61.54</v>
      </c>
      <c r="K268" s="21">
        <v>61.54</v>
      </c>
      <c r="L268" s="22">
        <v>-61.54</v>
      </c>
    </row>
    <row r="269" spans="1:13" x14ac:dyDescent="0.35">
      <c r="A269">
        <v>1</v>
      </c>
      <c r="B269" s="17">
        <v>43910</v>
      </c>
      <c r="C269" t="s">
        <v>34</v>
      </c>
      <c r="D269" s="22">
        <v>30.77</v>
      </c>
      <c r="E269" t="s">
        <v>344</v>
      </c>
      <c r="F269" t="s">
        <v>229</v>
      </c>
      <c r="G269" t="s">
        <v>294</v>
      </c>
      <c r="H269" t="s">
        <v>1128</v>
      </c>
      <c r="I269" t="s">
        <v>1131</v>
      </c>
      <c r="J269" s="22">
        <v>-30.77</v>
      </c>
      <c r="K269" s="21">
        <v>30.77</v>
      </c>
      <c r="L269" s="22">
        <v>-30.77</v>
      </c>
    </row>
    <row r="270" spans="1:13" x14ac:dyDescent="0.35">
      <c r="A270">
        <v>1</v>
      </c>
      <c r="B270" s="17">
        <v>43910</v>
      </c>
      <c r="C270" t="s">
        <v>34</v>
      </c>
      <c r="D270" s="22">
        <v>92.31</v>
      </c>
      <c r="E270" t="s">
        <v>344</v>
      </c>
      <c r="F270" t="s">
        <v>230</v>
      </c>
      <c r="G270" t="s">
        <v>299</v>
      </c>
      <c r="H270" t="s">
        <v>1128</v>
      </c>
      <c r="I270" t="s">
        <v>1131</v>
      </c>
      <c r="J270" s="22">
        <v>-92.31</v>
      </c>
      <c r="K270" s="21">
        <v>92.31</v>
      </c>
      <c r="L270" s="22">
        <v>-92.31</v>
      </c>
    </row>
    <row r="271" spans="1:13" x14ac:dyDescent="0.35">
      <c r="A271">
        <v>1</v>
      </c>
      <c r="B271" s="17">
        <v>43910</v>
      </c>
      <c r="C271" t="s">
        <v>34</v>
      </c>
      <c r="D271" s="22">
        <v>600</v>
      </c>
      <c r="E271" t="s">
        <v>344</v>
      </c>
      <c r="F271" t="s">
        <v>231</v>
      </c>
      <c r="G271" t="s">
        <v>217</v>
      </c>
      <c r="H271" t="s">
        <v>1128</v>
      </c>
      <c r="I271" t="s">
        <v>1131</v>
      </c>
      <c r="J271" s="22">
        <v>-600</v>
      </c>
      <c r="K271" s="21">
        <v>600</v>
      </c>
      <c r="L271" s="22">
        <v>-600</v>
      </c>
    </row>
    <row r="272" spans="1:13" x14ac:dyDescent="0.35">
      <c r="A272">
        <v>1</v>
      </c>
      <c r="B272" s="17">
        <v>43910</v>
      </c>
      <c r="C272" t="s">
        <v>168</v>
      </c>
      <c r="D272" s="22">
        <v>86.38</v>
      </c>
      <c r="E272" t="s">
        <v>292</v>
      </c>
      <c r="F272" t="s">
        <v>222</v>
      </c>
      <c r="G272" t="s">
        <v>294</v>
      </c>
      <c r="H272" t="s">
        <v>1128</v>
      </c>
      <c r="I272" t="s">
        <v>1132</v>
      </c>
      <c r="J272" s="22">
        <v>86.38</v>
      </c>
      <c r="K272" s="21">
        <v>86.38</v>
      </c>
      <c r="L272" s="22">
        <v>86.38</v>
      </c>
      <c r="M272" t="s">
        <v>266</v>
      </c>
    </row>
    <row r="273" spans="1:13" x14ac:dyDescent="0.35">
      <c r="A273">
        <v>1</v>
      </c>
      <c r="B273" s="17">
        <v>43910</v>
      </c>
      <c r="C273" t="s">
        <v>168</v>
      </c>
      <c r="D273" s="22">
        <v>103.65</v>
      </c>
      <c r="E273" t="s">
        <v>292</v>
      </c>
      <c r="F273" t="s">
        <v>224</v>
      </c>
      <c r="G273" t="s">
        <v>295</v>
      </c>
      <c r="H273" t="s">
        <v>1128</v>
      </c>
      <c r="I273" t="s">
        <v>1132</v>
      </c>
      <c r="J273" s="22">
        <v>103.65</v>
      </c>
      <c r="K273" s="21">
        <v>103.65</v>
      </c>
      <c r="L273" s="22">
        <v>103.65</v>
      </c>
    </row>
    <row r="274" spans="1:13" x14ac:dyDescent="0.35">
      <c r="A274">
        <v>1</v>
      </c>
      <c r="B274" s="17">
        <v>43910</v>
      </c>
      <c r="C274" t="s">
        <v>168</v>
      </c>
      <c r="D274" s="22">
        <v>21.59</v>
      </c>
      <c r="E274" t="s">
        <v>292</v>
      </c>
      <c r="F274" t="s">
        <v>227</v>
      </c>
      <c r="G274" t="s">
        <v>297</v>
      </c>
      <c r="H274" t="s">
        <v>1128</v>
      </c>
      <c r="I274" t="s">
        <v>1132</v>
      </c>
      <c r="J274" s="22">
        <v>21.59</v>
      </c>
      <c r="K274" s="21">
        <v>21.59</v>
      </c>
      <c r="L274" s="22">
        <v>21.59</v>
      </c>
    </row>
    <row r="275" spans="1:13" x14ac:dyDescent="0.35">
      <c r="A275">
        <v>1</v>
      </c>
      <c r="B275" s="17">
        <v>43910</v>
      </c>
      <c r="C275" t="s">
        <v>168</v>
      </c>
      <c r="D275" s="22">
        <v>17.28</v>
      </c>
      <c r="E275" t="s">
        <v>292</v>
      </c>
      <c r="F275" t="s">
        <v>228</v>
      </c>
      <c r="G275" t="s">
        <v>298</v>
      </c>
      <c r="H275" t="s">
        <v>1128</v>
      </c>
      <c r="I275" t="s">
        <v>1132</v>
      </c>
      <c r="J275" s="22">
        <v>17.28</v>
      </c>
      <c r="K275" s="21">
        <v>17.28</v>
      </c>
      <c r="L275" s="22">
        <v>17.28</v>
      </c>
    </row>
    <row r="276" spans="1:13" x14ac:dyDescent="0.35">
      <c r="A276">
        <v>1</v>
      </c>
      <c r="B276" s="17">
        <v>43910</v>
      </c>
      <c r="C276" t="s">
        <v>168</v>
      </c>
      <c r="D276" s="22">
        <v>8.64</v>
      </c>
      <c r="E276" t="s">
        <v>292</v>
      </c>
      <c r="F276" t="s">
        <v>229</v>
      </c>
      <c r="G276" t="s">
        <v>294</v>
      </c>
      <c r="H276" t="s">
        <v>1128</v>
      </c>
      <c r="I276" t="s">
        <v>1132</v>
      </c>
      <c r="J276" s="22">
        <v>8.64</v>
      </c>
      <c r="K276" s="21">
        <v>8.64</v>
      </c>
      <c r="L276" s="22">
        <v>8.64</v>
      </c>
    </row>
    <row r="277" spans="1:13" x14ac:dyDescent="0.35">
      <c r="A277">
        <v>1</v>
      </c>
      <c r="B277" s="17">
        <v>43910</v>
      </c>
      <c r="C277" t="s">
        <v>168</v>
      </c>
      <c r="D277" s="22">
        <v>25.91</v>
      </c>
      <c r="E277" t="s">
        <v>292</v>
      </c>
      <c r="F277" t="s">
        <v>230</v>
      </c>
      <c r="G277" t="s">
        <v>299</v>
      </c>
      <c r="H277" t="s">
        <v>1128</v>
      </c>
      <c r="I277" t="s">
        <v>1132</v>
      </c>
      <c r="J277" s="22">
        <v>25.91</v>
      </c>
      <c r="K277" s="21">
        <v>25.91</v>
      </c>
      <c r="L277" s="22">
        <v>25.91</v>
      </c>
    </row>
    <row r="278" spans="1:13" x14ac:dyDescent="0.35">
      <c r="A278">
        <v>1</v>
      </c>
      <c r="B278" s="17">
        <v>43910</v>
      </c>
      <c r="C278" t="s">
        <v>168</v>
      </c>
      <c r="D278" s="22">
        <v>168.44</v>
      </c>
      <c r="E278" t="s">
        <v>292</v>
      </c>
      <c r="F278" t="s">
        <v>231</v>
      </c>
      <c r="G278" t="s">
        <v>217</v>
      </c>
      <c r="H278" t="s">
        <v>1128</v>
      </c>
      <c r="I278" t="s">
        <v>1132</v>
      </c>
      <c r="J278" s="22">
        <v>168.44</v>
      </c>
      <c r="K278" s="21">
        <v>168.44</v>
      </c>
      <c r="L278" s="22">
        <v>168.44</v>
      </c>
    </row>
    <row r="279" spans="1:13" x14ac:dyDescent="0.35">
      <c r="A279">
        <v>1</v>
      </c>
      <c r="B279" s="17">
        <v>43910</v>
      </c>
      <c r="C279" t="s">
        <v>34</v>
      </c>
      <c r="D279" s="22">
        <v>86.38</v>
      </c>
      <c r="E279" t="s">
        <v>291</v>
      </c>
      <c r="F279" t="s">
        <v>222</v>
      </c>
      <c r="G279" t="s">
        <v>294</v>
      </c>
      <c r="H279" t="s">
        <v>1128</v>
      </c>
      <c r="I279" t="s">
        <v>1133</v>
      </c>
      <c r="J279" s="22">
        <v>-86.38</v>
      </c>
      <c r="K279" s="21">
        <v>86.38</v>
      </c>
      <c r="L279" s="22">
        <v>-86.38</v>
      </c>
      <c r="M279" t="s">
        <v>266</v>
      </c>
    </row>
    <row r="280" spans="1:13" x14ac:dyDescent="0.35">
      <c r="A280">
        <v>1</v>
      </c>
      <c r="B280" s="17">
        <v>43910</v>
      </c>
      <c r="C280" t="s">
        <v>34</v>
      </c>
      <c r="D280" s="22">
        <v>103.65</v>
      </c>
      <c r="E280" t="s">
        <v>291</v>
      </c>
      <c r="F280" t="s">
        <v>224</v>
      </c>
      <c r="G280" t="s">
        <v>295</v>
      </c>
      <c r="H280" t="s">
        <v>1128</v>
      </c>
      <c r="I280" t="s">
        <v>1133</v>
      </c>
      <c r="J280" s="22">
        <v>-103.65</v>
      </c>
      <c r="K280" s="21">
        <v>103.65</v>
      </c>
      <c r="L280" s="22">
        <v>-103.65</v>
      </c>
    </row>
    <row r="281" spans="1:13" x14ac:dyDescent="0.35">
      <c r="A281">
        <v>1</v>
      </c>
      <c r="B281" s="17">
        <v>43910</v>
      </c>
      <c r="C281" t="s">
        <v>34</v>
      </c>
      <c r="D281" s="22">
        <v>21.59</v>
      </c>
      <c r="E281" t="s">
        <v>291</v>
      </c>
      <c r="F281" t="s">
        <v>227</v>
      </c>
      <c r="G281" t="s">
        <v>297</v>
      </c>
      <c r="H281" t="s">
        <v>1128</v>
      </c>
      <c r="I281" t="s">
        <v>1133</v>
      </c>
      <c r="J281" s="22">
        <v>-21.59</v>
      </c>
      <c r="K281" s="21">
        <v>21.59</v>
      </c>
      <c r="L281" s="22">
        <v>-21.59</v>
      </c>
    </row>
    <row r="282" spans="1:13" x14ac:dyDescent="0.35">
      <c r="A282">
        <v>1</v>
      </c>
      <c r="B282" s="17">
        <v>43910</v>
      </c>
      <c r="C282" t="s">
        <v>34</v>
      </c>
      <c r="D282" s="22">
        <v>17.28</v>
      </c>
      <c r="E282" t="s">
        <v>291</v>
      </c>
      <c r="F282" t="s">
        <v>228</v>
      </c>
      <c r="G282" t="s">
        <v>298</v>
      </c>
      <c r="H282" t="s">
        <v>1128</v>
      </c>
      <c r="I282" t="s">
        <v>1133</v>
      </c>
      <c r="J282" s="22">
        <v>-17.28</v>
      </c>
      <c r="K282" s="21">
        <v>17.28</v>
      </c>
      <c r="L282" s="22">
        <v>-17.28</v>
      </c>
    </row>
    <row r="283" spans="1:13" x14ac:dyDescent="0.35">
      <c r="A283">
        <v>1</v>
      </c>
      <c r="B283" s="17">
        <v>43910</v>
      </c>
      <c r="C283" t="s">
        <v>34</v>
      </c>
      <c r="D283" s="22">
        <v>8.64</v>
      </c>
      <c r="E283" t="s">
        <v>291</v>
      </c>
      <c r="F283" t="s">
        <v>229</v>
      </c>
      <c r="G283" t="s">
        <v>294</v>
      </c>
      <c r="H283" t="s">
        <v>1128</v>
      </c>
      <c r="I283" t="s">
        <v>1133</v>
      </c>
      <c r="J283" s="22">
        <v>-8.64</v>
      </c>
      <c r="K283" s="21">
        <v>8.64</v>
      </c>
      <c r="L283" s="22">
        <v>-8.64</v>
      </c>
    </row>
    <row r="284" spans="1:13" x14ac:dyDescent="0.35">
      <c r="A284">
        <v>1</v>
      </c>
      <c r="B284" s="17">
        <v>43910</v>
      </c>
      <c r="C284" t="s">
        <v>34</v>
      </c>
      <c r="D284" s="22">
        <v>25.91</v>
      </c>
      <c r="E284" t="s">
        <v>291</v>
      </c>
      <c r="F284" t="s">
        <v>230</v>
      </c>
      <c r="G284" t="s">
        <v>299</v>
      </c>
      <c r="H284" t="s">
        <v>1128</v>
      </c>
      <c r="I284" t="s">
        <v>1133</v>
      </c>
      <c r="J284" s="22">
        <v>-25.91</v>
      </c>
      <c r="K284" s="21">
        <v>25.91</v>
      </c>
      <c r="L284" s="22">
        <v>-25.91</v>
      </c>
    </row>
    <row r="285" spans="1:13" x14ac:dyDescent="0.35">
      <c r="A285">
        <v>1</v>
      </c>
      <c r="B285" s="17">
        <v>43910</v>
      </c>
      <c r="C285" t="s">
        <v>34</v>
      </c>
      <c r="D285" s="22">
        <v>168.44</v>
      </c>
      <c r="E285" t="s">
        <v>291</v>
      </c>
      <c r="F285" t="s">
        <v>231</v>
      </c>
      <c r="G285" t="s">
        <v>217</v>
      </c>
      <c r="H285" t="s">
        <v>1128</v>
      </c>
      <c r="I285" t="s">
        <v>1133</v>
      </c>
      <c r="J285" s="22">
        <v>-168.44</v>
      </c>
      <c r="K285" s="21">
        <v>168.44</v>
      </c>
      <c r="L285" s="22">
        <v>-168.44</v>
      </c>
    </row>
    <row r="286" spans="1:13" x14ac:dyDescent="0.35">
      <c r="A286">
        <v>1</v>
      </c>
      <c r="B286" s="17">
        <v>43910</v>
      </c>
      <c r="C286" t="s">
        <v>34</v>
      </c>
      <c r="D286" s="22">
        <v>108.76</v>
      </c>
      <c r="E286" t="s">
        <v>289</v>
      </c>
      <c r="F286" t="s">
        <v>223</v>
      </c>
      <c r="G286" t="s">
        <v>215</v>
      </c>
      <c r="H286" t="s">
        <v>1134</v>
      </c>
      <c r="I286" t="s">
        <v>1135</v>
      </c>
      <c r="J286" s="22">
        <v>-108.76</v>
      </c>
      <c r="K286" s="21">
        <v>108.76</v>
      </c>
      <c r="L286" s="22">
        <v>-108.76</v>
      </c>
      <c r="M286" t="s">
        <v>266</v>
      </c>
    </row>
    <row r="287" spans="1:13" x14ac:dyDescent="0.35">
      <c r="A287">
        <v>1</v>
      </c>
      <c r="B287" s="17">
        <v>43910</v>
      </c>
      <c r="C287" t="s">
        <v>34</v>
      </c>
      <c r="D287" s="22">
        <v>220.82</v>
      </c>
      <c r="E287" t="s">
        <v>289</v>
      </c>
      <c r="F287" t="s">
        <v>224</v>
      </c>
      <c r="G287" t="s">
        <v>295</v>
      </c>
      <c r="H287" t="s">
        <v>1134</v>
      </c>
      <c r="I287" t="s">
        <v>1135</v>
      </c>
      <c r="J287" s="22">
        <v>-220.82</v>
      </c>
      <c r="K287" s="21">
        <v>220.82</v>
      </c>
      <c r="L287" s="22">
        <v>-220.82</v>
      </c>
    </row>
    <row r="288" spans="1:13" x14ac:dyDescent="0.35">
      <c r="A288">
        <v>1</v>
      </c>
      <c r="B288" s="17">
        <v>43910</v>
      </c>
      <c r="C288" t="s">
        <v>168</v>
      </c>
      <c r="D288" s="22">
        <v>165</v>
      </c>
      <c r="E288" t="s">
        <v>290</v>
      </c>
      <c r="F288" t="s">
        <v>223</v>
      </c>
      <c r="G288" t="s">
        <v>215</v>
      </c>
      <c r="H288" t="s">
        <v>1134</v>
      </c>
      <c r="I288" t="s">
        <v>1136</v>
      </c>
      <c r="J288" s="22">
        <v>165</v>
      </c>
      <c r="K288" s="21">
        <v>165</v>
      </c>
      <c r="L288" s="22">
        <v>165</v>
      </c>
      <c r="M288" t="s">
        <v>266</v>
      </c>
    </row>
    <row r="289" spans="1:13" x14ac:dyDescent="0.35">
      <c r="A289">
        <v>1</v>
      </c>
      <c r="B289" s="17">
        <v>43910</v>
      </c>
      <c r="C289" t="s">
        <v>168</v>
      </c>
      <c r="D289" s="22">
        <v>335</v>
      </c>
      <c r="E289" t="s">
        <v>290</v>
      </c>
      <c r="F289" t="s">
        <v>224</v>
      </c>
      <c r="G289" t="s">
        <v>295</v>
      </c>
      <c r="H289" t="s">
        <v>1134</v>
      </c>
      <c r="I289" t="s">
        <v>1136</v>
      </c>
      <c r="J289" s="22">
        <v>335</v>
      </c>
      <c r="K289" s="21">
        <v>335</v>
      </c>
      <c r="L289" s="22">
        <v>335</v>
      </c>
    </row>
    <row r="290" spans="1:13" x14ac:dyDescent="0.35">
      <c r="A290">
        <v>1</v>
      </c>
      <c r="B290" s="17">
        <v>43910</v>
      </c>
      <c r="C290" t="s">
        <v>168</v>
      </c>
      <c r="D290" s="22">
        <v>292.20999999999998</v>
      </c>
      <c r="E290" t="s">
        <v>291</v>
      </c>
      <c r="F290" t="s">
        <v>223</v>
      </c>
      <c r="G290" t="s">
        <v>215</v>
      </c>
      <c r="H290" t="s">
        <v>1134</v>
      </c>
      <c r="I290" t="s">
        <v>1137</v>
      </c>
      <c r="J290" s="22">
        <v>292.20999999999998</v>
      </c>
      <c r="K290" s="21">
        <v>292.20999999999998</v>
      </c>
      <c r="L290" s="22">
        <v>292.20999999999998</v>
      </c>
      <c r="M290" t="s">
        <v>266</v>
      </c>
    </row>
    <row r="291" spans="1:13" x14ac:dyDescent="0.35">
      <c r="A291">
        <v>1</v>
      </c>
      <c r="B291" s="17">
        <v>43910</v>
      </c>
      <c r="C291" t="s">
        <v>168</v>
      </c>
      <c r="D291" s="22">
        <v>593.28</v>
      </c>
      <c r="E291" t="s">
        <v>291</v>
      </c>
      <c r="F291" t="s">
        <v>224</v>
      </c>
      <c r="G291" t="s">
        <v>295</v>
      </c>
      <c r="H291" t="s">
        <v>1134</v>
      </c>
      <c r="I291" t="s">
        <v>1137</v>
      </c>
      <c r="J291" s="22">
        <v>593.28</v>
      </c>
      <c r="K291" s="21">
        <v>593.28</v>
      </c>
      <c r="L291" s="22">
        <v>593.28</v>
      </c>
    </row>
    <row r="292" spans="1:13" x14ac:dyDescent="0.35">
      <c r="A292">
        <v>1</v>
      </c>
      <c r="B292" s="17">
        <v>43910</v>
      </c>
      <c r="C292" t="s">
        <v>168</v>
      </c>
      <c r="D292" s="22">
        <v>692.32</v>
      </c>
      <c r="E292" t="s">
        <v>292</v>
      </c>
      <c r="F292" t="s">
        <v>223</v>
      </c>
      <c r="G292" t="s">
        <v>215</v>
      </c>
      <c r="H292" t="s">
        <v>1134</v>
      </c>
      <c r="I292" t="s">
        <v>1138</v>
      </c>
      <c r="J292" s="22">
        <v>692.32</v>
      </c>
      <c r="K292" s="21">
        <v>692.32</v>
      </c>
      <c r="L292" s="22">
        <v>692.32</v>
      </c>
      <c r="M292" t="s">
        <v>266</v>
      </c>
    </row>
    <row r="293" spans="1:13" x14ac:dyDescent="0.35">
      <c r="A293">
        <v>1</v>
      </c>
      <c r="B293" s="17">
        <v>43910</v>
      </c>
      <c r="C293" t="s">
        <v>168</v>
      </c>
      <c r="D293" s="22">
        <v>1405.62</v>
      </c>
      <c r="E293" t="s">
        <v>292</v>
      </c>
      <c r="F293" t="s">
        <v>224</v>
      </c>
      <c r="G293" t="s">
        <v>295</v>
      </c>
      <c r="H293" t="s">
        <v>1134</v>
      </c>
      <c r="I293" t="s">
        <v>1138</v>
      </c>
      <c r="J293" s="22">
        <v>1405.62</v>
      </c>
      <c r="K293" s="21">
        <v>1405.62</v>
      </c>
      <c r="L293" s="22">
        <v>1405.62</v>
      </c>
    </row>
    <row r="294" spans="1:13" x14ac:dyDescent="0.35">
      <c r="A294">
        <v>1</v>
      </c>
      <c r="B294" s="17">
        <v>43910</v>
      </c>
      <c r="C294" t="s">
        <v>34</v>
      </c>
      <c r="D294" s="22">
        <v>1040.77</v>
      </c>
      <c r="E294" t="s">
        <v>338</v>
      </c>
      <c r="F294" t="s">
        <v>223</v>
      </c>
      <c r="G294" t="s">
        <v>215</v>
      </c>
      <c r="H294" t="s">
        <v>1134</v>
      </c>
      <c r="I294" t="s">
        <v>1139</v>
      </c>
      <c r="J294" s="22">
        <v>-1040.77</v>
      </c>
      <c r="K294" s="21">
        <v>1040.77</v>
      </c>
      <c r="L294" s="22">
        <v>-1040.77</v>
      </c>
      <c r="M294" t="s">
        <v>266</v>
      </c>
    </row>
    <row r="295" spans="1:13" x14ac:dyDescent="0.35">
      <c r="A295">
        <v>1</v>
      </c>
      <c r="B295" s="17">
        <v>43910</v>
      </c>
      <c r="C295" t="s">
        <v>34</v>
      </c>
      <c r="D295" s="22">
        <v>2113.08</v>
      </c>
      <c r="E295" t="s">
        <v>338</v>
      </c>
      <c r="F295" t="s">
        <v>224</v>
      </c>
      <c r="G295" t="s">
        <v>295</v>
      </c>
      <c r="H295" t="s">
        <v>1134</v>
      </c>
      <c r="I295" t="s">
        <v>1139</v>
      </c>
      <c r="J295" s="22">
        <v>-2113.08</v>
      </c>
      <c r="K295" s="21">
        <v>2113.08</v>
      </c>
      <c r="L295" s="22">
        <v>-2113.08</v>
      </c>
    </row>
    <row r="296" spans="1:13" x14ac:dyDescent="0.35">
      <c r="A296">
        <v>1</v>
      </c>
      <c r="B296" s="17">
        <v>43910</v>
      </c>
      <c r="C296" t="s">
        <v>168</v>
      </c>
      <c r="D296" s="22">
        <v>292.20999999999998</v>
      </c>
      <c r="E296" t="s">
        <v>292</v>
      </c>
      <c r="F296" t="s">
        <v>223</v>
      </c>
      <c r="G296" t="s">
        <v>215</v>
      </c>
      <c r="H296" t="s">
        <v>1134</v>
      </c>
      <c r="I296" t="s">
        <v>1140</v>
      </c>
      <c r="J296" s="22">
        <v>292.20999999999998</v>
      </c>
      <c r="K296" s="21">
        <v>292.20999999999998</v>
      </c>
      <c r="L296" s="22">
        <v>292.20999999999998</v>
      </c>
      <c r="M296" t="s">
        <v>266</v>
      </c>
    </row>
    <row r="297" spans="1:13" x14ac:dyDescent="0.35">
      <c r="A297">
        <v>1</v>
      </c>
      <c r="B297" s="17">
        <v>43910</v>
      </c>
      <c r="C297" t="s">
        <v>168</v>
      </c>
      <c r="D297" s="22">
        <v>593.28</v>
      </c>
      <c r="E297" t="s">
        <v>292</v>
      </c>
      <c r="F297" t="s">
        <v>224</v>
      </c>
      <c r="G297" t="s">
        <v>295</v>
      </c>
      <c r="H297" t="s">
        <v>1134</v>
      </c>
      <c r="I297" t="s">
        <v>1140</v>
      </c>
      <c r="J297" s="22">
        <v>593.28</v>
      </c>
      <c r="K297" s="21">
        <v>593.28</v>
      </c>
      <c r="L297" s="22">
        <v>593.28</v>
      </c>
    </row>
    <row r="298" spans="1:13" x14ac:dyDescent="0.35">
      <c r="A298">
        <v>1</v>
      </c>
      <c r="B298" s="17">
        <v>43910</v>
      </c>
      <c r="C298" t="s">
        <v>34</v>
      </c>
      <c r="D298" s="22">
        <v>292.20999999999998</v>
      </c>
      <c r="E298" t="s">
        <v>291</v>
      </c>
      <c r="F298" t="s">
        <v>223</v>
      </c>
      <c r="G298" t="s">
        <v>215</v>
      </c>
      <c r="H298" t="s">
        <v>1134</v>
      </c>
      <c r="I298" t="s">
        <v>1141</v>
      </c>
      <c r="J298" s="22">
        <v>-292.20999999999998</v>
      </c>
      <c r="K298" s="21">
        <v>292.20999999999998</v>
      </c>
      <c r="L298" s="22">
        <v>-292.20999999999998</v>
      </c>
      <c r="M298" t="s">
        <v>266</v>
      </c>
    </row>
    <row r="299" spans="1:13" x14ac:dyDescent="0.35">
      <c r="A299">
        <v>1</v>
      </c>
      <c r="B299" s="17">
        <v>43910</v>
      </c>
      <c r="C299" t="s">
        <v>34</v>
      </c>
      <c r="D299" s="22">
        <v>593.28</v>
      </c>
      <c r="E299" t="s">
        <v>291</v>
      </c>
      <c r="F299" t="s">
        <v>224</v>
      </c>
      <c r="G299" t="s">
        <v>295</v>
      </c>
      <c r="H299" t="s">
        <v>1134</v>
      </c>
      <c r="I299" t="s">
        <v>1141</v>
      </c>
      <c r="J299" s="22">
        <v>-593.28</v>
      </c>
      <c r="K299" s="21">
        <v>593.28</v>
      </c>
      <c r="L299" s="22">
        <v>-593.28</v>
      </c>
    </row>
    <row r="300" spans="1:13" x14ac:dyDescent="0.35">
      <c r="A300">
        <v>1</v>
      </c>
      <c r="B300" s="17">
        <v>43910</v>
      </c>
      <c r="C300" t="s">
        <v>34</v>
      </c>
      <c r="D300" s="22">
        <v>154.32</v>
      </c>
      <c r="E300" t="s">
        <v>289</v>
      </c>
      <c r="F300" t="s">
        <v>225</v>
      </c>
      <c r="G300" t="s">
        <v>216</v>
      </c>
      <c r="H300" t="s">
        <v>1142</v>
      </c>
      <c r="I300" t="s">
        <v>1143</v>
      </c>
      <c r="J300" s="22">
        <v>-154.32</v>
      </c>
      <c r="K300" s="21">
        <v>154.32</v>
      </c>
      <c r="L300" s="22">
        <v>-154.32</v>
      </c>
      <c r="M300" t="s">
        <v>266</v>
      </c>
    </row>
    <row r="301" spans="1:13" x14ac:dyDescent="0.35">
      <c r="A301">
        <v>1</v>
      </c>
      <c r="B301" s="17">
        <v>43910</v>
      </c>
      <c r="C301" t="s">
        <v>168</v>
      </c>
      <c r="D301" s="22">
        <v>57.7</v>
      </c>
      <c r="E301" t="s">
        <v>290</v>
      </c>
      <c r="F301" t="s">
        <v>225</v>
      </c>
      <c r="G301" t="s">
        <v>216</v>
      </c>
      <c r="H301" t="s">
        <v>1142</v>
      </c>
      <c r="I301" t="s">
        <v>1144</v>
      </c>
      <c r="J301" s="22">
        <v>57.7</v>
      </c>
      <c r="K301" s="21">
        <v>57.7</v>
      </c>
      <c r="L301" s="22">
        <v>57.7</v>
      </c>
      <c r="M301" t="s">
        <v>266</v>
      </c>
    </row>
    <row r="302" spans="1:13" x14ac:dyDescent="0.35">
      <c r="A302">
        <v>1</v>
      </c>
      <c r="B302" s="17">
        <v>43910</v>
      </c>
      <c r="C302" t="s">
        <v>168</v>
      </c>
      <c r="D302" s="22">
        <v>456.06</v>
      </c>
      <c r="E302" t="s">
        <v>291</v>
      </c>
      <c r="F302" t="s">
        <v>225</v>
      </c>
      <c r="G302" t="s">
        <v>216</v>
      </c>
      <c r="H302" t="s">
        <v>1142</v>
      </c>
      <c r="I302" t="s">
        <v>1145</v>
      </c>
      <c r="J302" s="22">
        <v>456.06</v>
      </c>
      <c r="K302" s="21">
        <v>456.06</v>
      </c>
      <c r="L302" s="22">
        <v>456.06</v>
      </c>
      <c r="M302" t="s">
        <v>266</v>
      </c>
    </row>
    <row r="303" spans="1:13" x14ac:dyDescent="0.35">
      <c r="A303">
        <v>1</v>
      </c>
      <c r="B303" s="17">
        <v>43910</v>
      </c>
      <c r="C303" t="s">
        <v>168</v>
      </c>
      <c r="D303" s="22">
        <v>1179.02</v>
      </c>
      <c r="E303" t="s">
        <v>292</v>
      </c>
      <c r="F303" t="s">
        <v>225</v>
      </c>
      <c r="G303" t="s">
        <v>216</v>
      </c>
      <c r="H303" t="s">
        <v>1142</v>
      </c>
      <c r="I303" t="s">
        <v>1146</v>
      </c>
      <c r="J303" s="22">
        <v>1179.02</v>
      </c>
      <c r="K303" s="21">
        <v>1179.02</v>
      </c>
      <c r="L303" s="22">
        <v>1179.02</v>
      </c>
      <c r="M303" t="s">
        <v>266</v>
      </c>
    </row>
    <row r="304" spans="1:13" x14ac:dyDescent="0.35">
      <c r="A304">
        <v>1</v>
      </c>
      <c r="B304" s="17">
        <v>43910</v>
      </c>
      <c r="C304" t="s">
        <v>34</v>
      </c>
      <c r="D304" s="22">
        <v>1538.46</v>
      </c>
      <c r="E304" t="s">
        <v>340</v>
      </c>
      <c r="F304" t="s">
        <v>225</v>
      </c>
      <c r="G304" t="s">
        <v>216</v>
      </c>
      <c r="H304" t="s">
        <v>1142</v>
      </c>
      <c r="I304" t="s">
        <v>1147</v>
      </c>
      <c r="J304" s="22">
        <v>-1538.46</v>
      </c>
      <c r="K304" s="21">
        <v>1538.46</v>
      </c>
      <c r="L304" s="22">
        <v>-1538.46</v>
      </c>
      <c r="M304" t="s">
        <v>266</v>
      </c>
    </row>
    <row r="305" spans="1:13" x14ac:dyDescent="0.35">
      <c r="A305">
        <v>1</v>
      </c>
      <c r="B305" s="17">
        <v>43910</v>
      </c>
      <c r="C305" t="s">
        <v>168</v>
      </c>
      <c r="D305" s="22">
        <v>456.06</v>
      </c>
      <c r="E305" t="s">
        <v>292</v>
      </c>
      <c r="F305" t="s">
        <v>225</v>
      </c>
      <c r="G305" t="s">
        <v>216</v>
      </c>
      <c r="H305" t="s">
        <v>1142</v>
      </c>
      <c r="I305" t="s">
        <v>1148</v>
      </c>
      <c r="J305" s="22">
        <v>456.06</v>
      </c>
      <c r="K305" s="21">
        <v>456.06</v>
      </c>
      <c r="L305" s="22">
        <v>456.06</v>
      </c>
      <c r="M305" t="s">
        <v>266</v>
      </c>
    </row>
    <row r="306" spans="1:13" x14ac:dyDescent="0.35">
      <c r="A306">
        <v>1</v>
      </c>
      <c r="B306" s="17">
        <v>43910</v>
      </c>
      <c r="C306" t="s">
        <v>34</v>
      </c>
      <c r="D306" s="22">
        <v>456.06</v>
      </c>
      <c r="E306" t="s">
        <v>291</v>
      </c>
      <c r="F306" t="s">
        <v>225</v>
      </c>
      <c r="G306" t="s">
        <v>216</v>
      </c>
      <c r="H306" t="s">
        <v>1142</v>
      </c>
      <c r="I306" t="s">
        <v>1149</v>
      </c>
      <c r="J306" s="22">
        <v>-456.06</v>
      </c>
      <c r="K306" s="21">
        <v>456.06</v>
      </c>
      <c r="L306" s="22">
        <v>-456.06</v>
      </c>
      <c r="M306" t="s">
        <v>266</v>
      </c>
    </row>
    <row r="307" spans="1:13" x14ac:dyDescent="0.35">
      <c r="A307">
        <v>1</v>
      </c>
      <c r="B307" s="17">
        <v>43910</v>
      </c>
      <c r="C307" t="s">
        <v>34</v>
      </c>
      <c r="D307" s="22">
        <v>215.26</v>
      </c>
      <c r="E307" t="s">
        <v>289</v>
      </c>
      <c r="F307" t="s">
        <v>223</v>
      </c>
      <c r="G307" t="s">
        <v>215</v>
      </c>
      <c r="H307" t="s">
        <v>1150</v>
      </c>
      <c r="I307" t="s">
        <v>1151</v>
      </c>
      <c r="J307" s="22">
        <v>-215.26</v>
      </c>
      <c r="K307" s="21">
        <v>215.26</v>
      </c>
      <c r="L307" s="22">
        <v>-215.26</v>
      </c>
      <c r="M307" t="s">
        <v>266</v>
      </c>
    </row>
    <row r="308" spans="1:13" x14ac:dyDescent="0.35">
      <c r="A308">
        <v>1</v>
      </c>
      <c r="B308" s="17">
        <v>43910</v>
      </c>
      <c r="C308" t="s">
        <v>168</v>
      </c>
      <c r="D308" s="22">
        <v>72.680000000000007</v>
      </c>
      <c r="E308" t="s">
        <v>290</v>
      </c>
      <c r="F308" t="s">
        <v>223</v>
      </c>
      <c r="G308" t="s">
        <v>215</v>
      </c>
      <c r="H308" t="s">
        <v>1150</v>
      </c>
      <c r="I308" t="s">
        <v>1152</v>
      </c>
      <c r="J308" s="22">
        <v>72.680000000000007</v>
      </c>
      <c r="K308" s="21">
        <v>72.680000000000007</v>
      </c>
      <c r="L308" s="22">
        <v>72.680000000000007</v>
      </c>
      <c r="M308" t="s">
        <v>266</v>
      </c>
    </row>
    <row r="309" spans="1:13" x14ac:dyDescent="0.35">
      <c r="A309">
        <v>1</v>
      </c>
      <c r="B309" s="17">
        <v>43910</v>
      </c>
      <c r="C309" t="s">
        <v>168</v>
      </c>
      <c r="D309" s="22">
        <v>603.98</v>
      </c>
      <c r="E309" t="s">
        <v>291</v>
      </c>
      <c r="F309" t="s">
        <v>223</v>
      </c>
      <c r="G309" t="s">
        <v>215</v>
      </c>
      <c r="H309" t="s">
        <v>1150</v>
      </c>
      <c r="I309" t="s">
        <v>1153</v>
      </c>
      <c r="J309" s="22">
        <v>603.98</v>
      </c>
      <c r="K309" s="21">
        <v>603.98</v>
      </c>
      <c r="L309" s="22">
        <v>603.98</v>
      </c>
      <c r="M309" t="s">
        <v>266</v>
      </c>
    </row>
    <row r="310" spans="1:13" x14ac:dyDescent="0.35">
      <c r="A310">
        <v>1</v>
      </c>
      <c r="B310" s="17">
        <v>43910</v>
      </c>
      <c r="C310" t="s">
        <v>168</v>
      </c>
      <c r="D310" s="22">
        <v>1653.99</v>
      </c>
      <c r="E310" t="s">
        <v>292</v>
      </c>
      <c r="F310" t="s">
        <v>223</v>
      </c>
      <c r="G310" t="s">
        <v>215</v>
      </c>
      <c r="H310" t="s">
        <v>1150</v>
      </c>
      <c r="I310" t="s">
        <v>1154</v>
      </c>
      <c r="J310" s="22">
        <v>1653.99</v>
      </c>
      <c r="K310" s="21">
        <v>1653.99</v>
      </c>
      <c r="L310" s="22">
        <v>1653.99</v>
      </c>
      <c r="M310" t="s">
        <v>266</v>
      </c>
    </row>
    <row r="311" spans="1:13" x14ac:dyDescent="0.35">
      <c r="A311">
        <v>1</v>
      </c>
      <c r="B311" s="17">
        <v>43910</v>
      </c>
      <c r="C311" t="s">
        <v>34</v>
      </c>
      <c r="D311" s="22">
        <v>2115.39</v>
      </c>
      <c r="E311" t="s">
        <v>339</v>
      </c>
      <c r="F311" t="s">
        <v>223</v>
      </c>
      <c r="G311" t="s">
        <v>215</v>
      </c>
      <c r="H311" t="s">
        <v>1150</v>
      </c>
      <c r="I311" t="s">
        <v>1155</v>
      </c>
      <c r="J311" s="22">
        <v>-2115.39</v>
      </c>
      <c r="K311" s="21">
        <v>2115.39</v>
      </c>
      <c r="L311" s="22">
        <v>-2115.39</v>
      </c>
      <c r="M311" t="s">
        <v>266</v>
      </c>
    </row>
    <row r="312" spans="1:13" x14ac:dyDescent="0.35">
      <c r="A312">
        <v>1</v>
      </c>
      <c r="B312" s="17">
        <v>43910</v>
      </c>
      <c r="C312" t="s">
        <v>168</v>
      </c>
      <c r="D312" s="22">
        <v>603.98</v>
      </c>
      <c r="E312" t="s">
        <v>292</v>
      </c>
      <c r="F312" t="s">
        <v>223</v>
      </c>
      <c r="G312" t="s">
        <v>215</v>
      </c>
      <c r="H312" t="s">
        <v>1150</v>
      </c>
      <c r="I312" t="s">
        <v>1156</v>
      </c>
      <c r="J312" s="22">
        <v>603.98</v>
      </c>
      <c r="K312" s="21">
        <v>603.98</v>
      </c>
      <c r="L312" s="22">
        <v>603.98</v>
      </c>
      <c r="M312" t="s">
        <v>266</v>
      </c>
    </row>
    <row r="313" spans="1:13" x14ac:dyDescent="0.35">
      <c r="A313">
        <v>1</v>
      </c>
      <c r="B313" s="17">
        <v>43910</v>
      </c>
      <c r="C313" t="s">
        <v>34</v>
      </c>
      <c r="D313" s="22">
        <v>603.98</v>
      </c>
      <c r="E313" t="s">
        <v>291</v>
      </c>
      <c r="F313" t="s">
        <v>223</v>
      </c>
      <c r="G313" t="s">
        <v>215</v>
      </c>
      <c r="H313" t="s">
        <v>1150</v>
      </c>
      <c r="I313" t="s">
        <v>1157</v>
      </c>
      <c r="J313" s="22">
        <v>-603.98</v>
      </c>
      <c r="K313" s="21">
        <v>603.98</v>
      </c>
      <c r="L313" s="22">
        <v>-603.98</v>
      </c>
      <c r="M313" t="s">
        <v>266</v>
      </c>
    </row>
    <row r="314" spans="1:13" x14ac:dyDescent="0.35">
      <c r="A314">
        <v>1</v>
      </c>
      <c r="B314" s="17">
        <v>43910</v>
      </c>
      <c r="C314" t="s">
        <v>34</v>
      </c>
      <c r="D314" s="22">
        <v>106.59</v>
      </c>
      <c r="E314" t="s">
        <v>289</v>
      </c>
      <c r="F314" t="s">
        <v>225</v>
      </c>
      <c r="G314" t="s">
        <v>216</v>
      </c>
      <c r="H314" t="s">
        <v>1158</v>
      </c>
      <c r="I314" t="s">
        <v>1159</v>
      </c>
      <c r="J314" s="22">
        <v>-106.59</v>
      </c>
      <c r="K314" s="21">
        <v>106.59</v>
      </c>
      <c r="L314" s="22">
        <v>-106.59</v>
      </c>
      <c r="M314" t="s">
        <v>266</v>
      </c>
    </row>
    <row r="315" spans="1:13" x14ac:dyDescent="0.35">
      <c r="A315">
        <v>1</v>
      </c>
      <c r="B315" s="17">
        <v>43910</v>
      </c>
      <c r="C315" t="s">
        <v>168</v>
      </c>
      <c r="D315" s="22">
        <v>212.48</v>
      </c>
      <c r="E315" t="s">
        <v>291</v>
      </c>
      <c r="F315" t="s">
        <v>225</v>
      </c>
      <c r="G315" t="s">
        <v>216</v>
      </c>
      <c r="H315" t="s">
        <v>1158</v>
      </c>
      <c r="I315" t="s">
        <v>1160</v>
      </c>
      <c r="J315" s="22">
        <v>212.48</v>
      </c>
      <c r="K315" s="21">
        <v>212.48</v>
      </c>
      <c r="L315" s="22">
        <v>212.48</v>
      </c>
      <c r="M315" t="s">
        <v>266</v>
      </c>
    </row>
    <row r="316" spans="1:13" x14ac:dyDescent="0.35">
      <c r="A316">
        <v>1</v>
      </c>
      <c r="B316" s="17">
        <v>43910</v>
      </c>
      <c r="C316" t="s">
        <v>168</v>
      </c>
      <c r="D316" s="22">
        <v>914.11</v>
      </c>
      <c r="E316" t="s">
        <v>292</v>
      </c>
      <c r="F316" t="s">
        <v>225</v>
      </c>
      <c r="G316" t="s">
        <v>216</v>
      </c>
      <c r="H316" t="s">
        <v>1158</v>
      </c>
      <c r="I316" t="s">
        <v>1161</v>
      </c>
      <c r="J316" s="22">
        <v>914.11</v>
      </c>
      <c r="K316" s="21">
        <v>914.11</v>
      </c>
      <c r="L316" s="22">
        <v>914.11</v>
      </c>
      <c r="M316" t="s">
        <v>266</v>
      </c>
    </row>
    <row r="317" spans="1:13" x14ac:dyDescent="0.35">
      <c r="A317">
        <v>1</v>
      </c>
      <c r="B317" s="17">
        <v>43910</v>
      </c>
      <c r="C317" t="s">
        <v>34</v>
      </c>
      <c r="D317" s="22">
        <v>1020</v>
      </c>
      <c r="E317" t="s">
        <v>351</v>
      </c>
      <c r="F317" t="s">
        <v>225</v>
      </c>
      <c r="G317" t="s">
        <v>216</v>
      </c>
      <c r="H317" t="s">
        <v>1158</v>
      </c>
      <c r="I317" t="s">
        <v>1162</v>
      </c>
      <c r="J317" s="22">
        <v>-1020</v>
      </c>
      <c r="K317" s="21">
        <v>1020</v>
      </c>
      <c r="L317" s="22">
        <v>-1020</v>
      </c>
      <c r="M317" t="s">
        <v>266</v>
      </c>
    </row>
    <row r="318" spans="1:13" x14ac:dyDescent="0.35">
      <c r="A318">
        <v>1</v>
      </c>
      <c r="B318" s="17">
        <v>43910</v>
      </c>
      <c r="C318" t="s">
        <v>168</v>
      </c>
      <c r="D318" s="22">
        <v>212.48</v>
      </c>
      <c r="E318" t="s">
        <v>292</v>
      </c>
      <c r="F318" t="s">
        <v>225</v>
      </c>
      <c r="G318" t="s">
        <v>216</v>
      </c>
      <c r="H318" t="s">
        <v>1158</v>
      </c>
      <c r="I318" t="s">
        <v>1163</v>
      </c>
      <c r="J318" s="22">
        <v>212.48</v>
      </c>
      <c r="K318" s="21">
        <v>212.48</v>
      </c>
      <c r="L318" s="22">
        <v>212.48</v>
      </c>
      <c r="M318" t="s">
        <v>266</v>
      </c>
    </row>
    <row r="319" spans="1:13" x14ac:dyDescent="0.35">
      <c r="A319">
        <v>1</v>
      </c>
      <c r="B319" s="17">
        <v>43910</v>
      </c>
      <c r="C319" t="s">
        <v>34</v>
      </c>
      <c r="D319" s="22">
        <v>212.48</v>
      </c>
      <c r="E319" t="s">
        <v>291</v>
      </c>
      <c r="F319" t="s">
        <v>225</v>
      </c>
      <c r="G319" t="s">
        <v>216</v>
      </c>
      <c r="H319" t="s">
        <v>1158</v>
      </c>
      <c r="I319" t="s">
        <v>1164</v>
      </c>
      <c r="J319" s="22">
        <v>-212.48</v>
      </c>
      <c r="K319" s="21">
        <v>212.48</v>
      </c>
      <c r="L319" s="22">
        <v>-212.48</v>
      </c>
      <c r="M319" t="s">
        <v>266</v>
      </c>
    </row>
    <row r="320" spans="1:13" x14ac:dyDescent="0.35">
      <c r="A320">
        <v>1</v>
      </c>
      <c r="B320" s="17">
        <v>43910</v>
      </c>
      <c r="C320" t="s">
        <v>34</v>
      </c>
      <c r="D320" s="22">
        <v>63.37</v>
      </c>
      <c r="E320" t="s">
        <v>289</v>
      </c>
      <c r="F320" t="s">
        <v>226</v>
      </c>
      <c r="G320" t="s">
        <v>296</v>
      </c>
      <c r="H320" t="s">
        <v>1165</v>
      </c>
      <c r="I320" t="s">
        <v>1166</v>
      </c>
      <c r="J320" s="22">
        <v>-63.37</v>
      </c>
      <c r="K320" s="21">
        <v>63.37</v>
      </c>
      <c r="L320" s="22">
        <v>-63.37</v>
      </c>
      <c r="M320" t="s">
        <v>266</v>
      </c>
    </row>
    <row r="321" spans="1:13" x14ac:dyDescent="0.35">
      <c r="A321">
        <v>1</v>
      </c>
      <c r="B321" s="17">
        <v>43910</v>
      </c>
      <c r="C321" t="s">
        <v>34</v>
      </c>
      <c r="D321" s="22">
        <v>45.62</v>
      </c>
      <c r="E321" t="s">
        <v>289</v>
      </c>
      <c r="F321" t="s">
        <v>303</v>
      </c>
      <c r="G321" t="s">
        <v>297</v>
      </c>
      <c r="H321" t="s">
        <v>1165</v>
      </c>
      <c r="I321" t="s">
        <v>1166</v>
      </c>
      <c r="J321" s="22">
        <v>-45.62</v>
      </c>
      <c r="K321" s="21">
        <v>45.62</v>
      </c>
      <c r="L321" s="22">
        <v>-45.62</v>
      </c>
    </row>
    <row r="322" spans="1:13" x14ac:dyDescent="0.35">
      <c r="A322">
        <v>1</v>
      </c>
      <c r="B322" s="17">
        <v>43910</v>
      </c>
      <c r="C322" t="s">
        <v>34</v>
      </c>
      <c r="D322" s="22">
        <v>17.739999999999998</v>
      </c>
      <c r="E322" t="s">
        <v>289</v>
      </c>
      <c r="F322" t="s">
        <v>227</v>
      </c>
      <c r="G322" t="s">
        <v>297</v>
      </c>
      <c r="H322" t="s">
        <v>1165</v>
      </c>
      <c r="I322" t="s">
        <v>1166</v>
      </c>
      <c r="J322" s="22">
        <v>-17.739999999999998</v>
      </c>
      <c r="K322" s="21">
        <v>17.739999999999998</v>
      </c>
      <c r="L322" s="22">
        <v>-17.739999999999998</v>
      </c>
    </row>
    <row r="323" spans="1:13" x14ac:dyDescent="0.35">
      <c r="A323">
        <v>1</v>
      </c>
      <c r="B323" s="17">
        <v>43910</v>
      </c>
      <c r="C323" t="s">
        <v>34</v>
      </c>
      <c r="D323" s="22">
        <v>63.36</v>
      </c>
      <c r="E323" t="s">
        <v>289</v>
      </c>
      <c r="F323" t="s">
        <v>228</v>
      </c>
      <c r="G323" t="s">
        <v>298</v>
      </c>
      <c r="H323" t="s">
        <v>1165</v>
      </c>
      <c r="I323" t="s">
        <v>1166</v>
      </c>
      <c r="J323" s="22">
        <v>-63.36</v>
      </c>
      <c r="K323" s="21">
        <v>63.36</v>
      </c>
      <c r="L323" s="22">
        <v>-63.36</v>
      </c>
    </row>
    <row r="324" spans="1:13" x14ac:dyDescent="0.35">
      <c r="A324">
        <v>1</v>
      </c>
      <c r="B324" s="17">
        <v>43910</v>
      </c>
      <c r="C324" t="s">
        <v>34</v>
      </c>
      <c r="D324" s="22">
        <v>63.36</v>
      </c>
      <c r="E324" t="s">
        <v>289</v>
      </c>
      <c r="F324" t="s">
        <v>229</v>
      </c>
      <c r="G324" t="s">
        <v>294</v>
      </c>
      <c r="H324" t="s">
        <v>1165</v>
      </c>
      <c r="I324" t="s">
        <v>1166</v>
      </c>
      <c r="J324" s="22">
        <v>-63.36</v>
      </c>
      <c r="K324" s="21">
        <v>63.36</v>
      </c>
      <c r="L324" s="22">
        <v>-63.36</v>
      </c>
    </row>
    <row r="325" spans="1:13" x14ac:dyDescent="0.35">
      <c r="A325">
        <v>1</v>
      </c>
      <c r="B325" s="17">
        <v>43910</v>
      </c>
      <c r="C325" t="s">
        <v>168</v>
      </c>
      <c r="D325" s="22">
        <v>24.65</v>
      </c>
      <c r="E325" t="s">
        <v>290</v>
      </c>
      <c r="F325" t="s">
        <v>226</v>
      </c>
      <c r="G325" t="s">
        <v>296</v>
      </c>
      <c r="H325" t="s">
        <v>1165</v>
      </c>
      <c r="I325" t="s">
        <v>1167</v>
      </c>
      <c r="J325" s="22">
        <v>24.65</v>
      </c>
      <c r="K325" s="21">
        <v>24.65</v>
      </c>
      <c r="L325" s="22">
        <v>24.65</v>
      </c>
      <c r="M325" t="s">
        <v>266</v>
      </c>
    </row>
    <row r="326" spans="1:13" x14ac:dyDescent="0.35">
      <c r="A326">
        <v>1</v>
      </c>
      <c r="B326" s="17">
        <v>43910</v>
      </c>
      <c r="C326" t="s">
        <v>168</v>
      </c>
      <c r="D326" s="22">
        <v>17.75</v>
      </c>
      <c r="E326" t="s">
        <v>290</v>
      </c>
      <c r="F326" t="s">
        <v>303</v>
      </c>
      <c r="G326" t="s">
        <v>297</v>
      </c>
      <c r="H326" t="s">
        <v>1165</v>
      </c>
      <c r="I326" t="s">
        <v>1167</v>
      </c>
      <c r="J326" s="22">
        <v>17.75</v>
      </c>
      <c r="K326" s="21">
        <v>17.75</v>
      </c>
      <c r="L326" s="22">
        <v>17.75</v>
      </c>
    </row>
    <row r="327" spans="1:13" x14ac:dyDescent="0.35">
      <c r="A327">
        <v>1</v>
      </c>
      <c r="B327" s="17">
        <v>43910</v>
      </c>
      <c r="C327" t="s">
        <v>168</v>
      </c>
      <c r="D327" s="22">
        <v>6.9</v>
      </c>
      <c r="E327" t="s">
        <v>290</v>
      </c>
      <c r="F327" t="s">
        <v>227</v>
      </c>
      <c r="G327" t="s">
        <v>297</v>
      </c>
      <c r="H327" t="s">
        <v>1165</v>
      </c>
      <c r="I327" t="s">
        <v>1167</v>
      </c>
      <c r="J327" s="22">
        <v>6.9</v>
      </c>
      <c r="K327" s="21">
        <v>6.9</v>
      </c>
      <c r="L327" s="22">
        <v>6.9</v>
      </c>
    </row>
    <row r="328" spans="1:13" x14ac:dyDescent="0.35">
      <c r="A328">
        <v>1</v>
      </c>
      <c r="B328" s="17">
        <v>43910</v>
      </c>
      <c r="C328" t="s">
        <v>168</v>
      </c>
      <c r="D328" s="22">
        <v>24.66</v>
      </c>
      <c r="E328" t="s">
        <v>290</v>
      </c>
      <c r="F328" t="s">
        <v>228</v>
      </c>
      <c r="G328" t="s">
        <v>298</v>
      </c>
      <c r="H328" t="s">
        <v>1165</v>
      </c>
      <c r="I328" t="s">
        <v>1167</v>
      </c>
      <c r="J328" s="22">
        <v>24.66</v>
      </c>
      <c r="K328" s="21">
        <v>24.66</v>
      </c>
      <c r="L328" s="22">
        <v>24.66</v>
      </c>
    </row>
    <row r="329" spans="1:13" x14ac:dyDescent="0.35">
      <c r="A329">
        <v>1</v>
      </c>
      <c r="B329" s="17">
        <v>43910</v>
      </c>
      <c r="C329" t="s">
        <v>168</v>
      </c>
      <c r="D329" s="22">
        <v>24.66</v>
      </c>
      <c r="E329" t="s">
        <v>290</v>
      </c>
      <c r="F329" t="s">
        <v>229</v>
      </c>
      <c r="G329" t="s">
        <v>294</v>
      </c>
      <c r="H329" t="s">
        <v>1165</v>
      </c>
      <c r="I329" t="s">
        <v>1167</v>
      </c>
      <c r="J329" s="22">
        <v>24.66</v>
      </c>
      <c r="K329" s="21">
        <v>24.66</v>
      </c>
      <c r="L329" s="22">
        <v>24.66</v>
      </c>
    </row>
    <row r="330" spans="1:13" x14ac:dyDescent="0.35">
      <c r="A330">
        <v>1</v>
      </c>
      <c r="B330" s="17">
        <v>43910</v>
      </c>
      <c r="C330" t="s">
        <v>168</v>
      </c>
      <c r="D330" s="22">
        <v>196.4</v>
      </c>
      <c r="E330" t="s">
        <v>291</v>
      </c>
      <c r="F330" t="s">
        <v>226</v>
      </c>
      <c r="G330" t="s">
        <v>296</v>
      </c>
      <c r="H330" t="s">
        <v>1165</v>
      </c>
      <c r="I330" t="s">
        <v>1168</v>
      </c>
      <c r="J330" s="22">
        <v>196.4</v>
      </c>
      <c r="K330" s="21">
        <v>196.4</v>
      </c>
      <c r="L330" s="22">
        <v>196.4</v>
      </c>
      <c r="M330" t="s">
        <v>266</v>
      </c>
    </row>
    <row r="331" spans="1:13" x14ac:dyDescent="0.35">
      <c r="A331">
        <v>1</v>
      </c>
      <c r="B331" s="17">
        <v>43910</v>
      </c>
      <c r="C331" t="s">
        <v>168</v>
      </c>
      <c r="D331" s="22">
        <v>141.4</v>
      </c>
      <c r="E331" t="s">
        <v>291</v>
      </c>
      <c r="F331" t="s">
        <v>303</v>
      </c>
      <c r="G331" t="s">
        <v>297</v>
      </c>
      <c r="H331" t="s">
        <v>1165</v>
      </c>
      <c r="I331" t="s">
        <v>1168</v>
      </c>
      <c r="J331" s="22">
        <v>141.4</v>
      </c>
      <c r="K331" s="21">
        <v>141.4</v>
      </c>
      <c r="L331" s="22">
        <v>141.4</v>
      </c>
    </row>
    <row r="332" spans="1:13" x14ac:dyDescent="0.35">
      <c r="A332">
        <v>1</v>
      </c>
      <c r="B332" s="17">
        <v>43910</v>
      </c>
      <c r="C332" t="s">
        <v>168</v>
      </c>
      <c r="D332" s="22">
        <v>54.99</v>
      </c>
      <c r="E332" t="s">
        <v>291</v>
      </c>
      <c r="F332" t="s">
        <v>227</v>
      </c>
      <c r="G332" t="s">
        <v>297</v>
      </c>
      <c r="H332" t="s">
        <v>1165</v>
      </c>
      <c r="I332" t="s">
        <v>1168</v>
      </c>
      <c r="J332" s="22">
        <v>54.99</v>
      </c>
      <c r="K332" s="21">
        <v>54.99</v>
      </c>
      <c r="L332" s="22">
        <v>54.99</v>
      </c>
    </row>
    <row r="333" spans="1:13" x14ac:dyDescent="0.35">
      <c r="A333">
        <v>1</v>
      </c>
      <c r="B333" s="17">
        <v>43910</v>
      </c>
      <c r="C333" t="s">
        <v>168</v>
      </c>
      <c r="D333" s="22">
        <v>196.39</v>
      </c>
      <c r="E333" t="s">
        <v>291</v>
      </c>
      <c r="F333" t="s">
        <v>228</v>
      </c>
      <c r="G333" t="s">
        <v>298</v>
      </c>
      <c r="H333" t="s">
        <v>1165</v>
      </c>
      <c r="I333" t="s">
        <v>1168</v>
      </c>
      <c r="J333" s="22">
        <v>196.39</v>
      </c>
      <c r="K333" s="21">
        <v>196.39</v>
      </c>
      <c r="L333" s="22">
        <v>196.39</v>
      </c>
    </row>
    <row r="334" spans="1:13" x14ac:dyDescent="0.35">
      <c r="A334">
        <v>1</v>
      </c>
      <c r="B334" s="17">
        <v>43910</v>
      </c>
      <c r="C334" t="s">
        <v>168</v>
      </c>
      <c r="D334" s="22">
        <v>196.39</v>
      </c>
      <c r="E334" t="s">
        <v>291</v>
      </c>
      <c r="F334" t="s">
        <v>229</v>
      </c>
      <c r="G334" t="s">
        <v>294</v>
      </c>
      <c r="H334" t="s">
        <v>1165</v>
      </c>
      <c r="I334" t="s">
        <v>1168</v>
      </c>
      <c r="J334" s="22">
        <v>196.39</v>
      </c>
      <c r="K334" s="21">
        <v>196.39</v>
      </c>
      <c r="L334" s="22">
        <v>196.39</v>
      </c>
    </row>
    <row r="335" spans="1:13" x14ac:dyDescent="0.35">
      <c r="A335">
        <v>1</v>
      </c>
      <c r="B335" s="17">
        <v>43910</v>
      </c>
      <c r="C335" t="s">
        <v>168</v>
      </c>
      <c r="D335" s="22">
        <v>467.3</v>
      </c>
      <c r="E335" t="s">
        <v>292</v>
      </c>
      <c r="F335" t="s">
        <v>226</v>
      </c>
      <c r="G335" t="s">
        <v>296</v>
      </c>
      <c r="H335" t="s">
        <v>1165</v>
      </c>
      <c r="I335" t="s">
        <v>1169</v>
      </c>
      <c r="J335" s="22">
        <v>467.3</v>
      </c>
      <c r="K335" s="21">
        <v>467.3</v>
      </c>
      <c r="L335" s="22">
        <v>467.3</v>
      </c>
      <c r="M335" t="s">
        <v>266</v>
      </c>
    </row>
    <row r="336" spans="1:13" x14ac:dyDescent="0.35">
      <c r="A336">
        <v>1</v>
      </c>
      <c r="B336" s="17">
        <v>43910</v>
      </c>
      <c r="C336" t="s">
        <v>168</v>
      </c>
      <c r="D336" s="22">
        <v>336.47</v>
      </c>
      <c r="E336" t="s">
        <v>292</v>
      </c>
      <c r="F336" t="s">
        <v>303</v>
      </c>
      <c r="G336" t="s">
        <v>297</v>
      </c>
      <c r="H336" t="s">
        <v>1165</v>
      </c>
      <c r="I336" t="s">
        <v>1169</v>
      </c>
      <c r="J336" s="22">
        <v>336.47</v>
      </c>
      <c r="K336" s="21">
        <v>336.47</v>
      </c>
      <c r="L336" s="22">
        <v>336.47</v>
      </c>
    </row>
    <row r="337" spans="1:13" x14ac:dyDescent="0.35">
      <c r="A337">
        <v>1</v>
      </c>
      <c r="B337" s="17">
        <v>43910</v>
      </c>
      <c r="C337" t="s">
        <v>168</v>
      </c>
      <c r="D337" s="22">
        <v>130.85</v>
      </c>
      <c r="E337" t="s">
        <v>292</v>
      </c>
      <c r="F337" t="s">
        <v>227</v>
      </c>
      <c r="G337" t="s">
        <v>297</v>
      </c>
      <c r="H337" t="s">
        <v>1165</v>
      </c>
      <c r="I337" t="s">
        <v>1169</v>
      </c>
      <c r="J337" s="22">
        <v>130.85</v>
      </c>
      <c r="K337" s="21">
        <v>130.85</v>
      </c>
      <c r="L337" s="22">
        <v>130.85</v>
      </c>
    </row>
    <row r="338" spans="1:13" x14ac:dyDescent="0.35">
      <c r="A338">
        <v>1</v>
      </c>
      <c r="B338" s="17">
        <v>43910</v>
      </c>
      <c r="C338" t="s">
        <v>168</v>
      </c>
      <c r="D338" s="22">
        <v>467.32</v>
      </c>
      <c r="E338" t="s">
        <v>292</v>
      </c>
      <c r="F338" t="s">
        <v>228</v>
      </c>
      <c r="G338" t="s">
        <v>298</v>
      </c>
      <c r="H338" t="s">
        <v>1165</v>
      </c>
      <c r="I338" t="s">
        <v>1169</v>
      </c>
      <c r="J338" s="22">
        <v>467.32</v>
      </c>
      <c r="K338" s="21">
        <v>467.32</v>
      </c>
      <c r="L338" s="22">
        <v>467.32</v>
      </c>
    </row>
    <row r="339" spans="1:13" x14ac:dyDescent="0.35">
      <c r="A339">
        <v>1</v>
      </c>
      <c r="B339" s="17">
        <v>43910</v>
      </c>
      <c r="C339" t="s">
        <v>168</v>
      </c>
      <c r="D339" s="22">
        <v>467.32</v>
      </c>
      <c r="E339" t="s">
        <v>292</v>
      </c>
      <c r="F339" t="s">
        <v>229</v>
      </c>
      <c r="G339" t="s">
        <v>294</v>
      </c>
      <c r="H339" t="s">
        <v>1165</v>
      </c>
      <c r="I339" t="s">
        <v>1169</v>
      </c>
      <c r="J339" s="22">
        <v>467.32</v>
      </c>
      <c r="K339" s="21">
        <v>467.32</v>
      </c>
      <c r="L339" s="22">
        <v>467.32</v>
      </c>
    </row>
    <row r="340" spans="1:13" x14ac:dyDescent="0.35">
      <c r="A340">
        <v>1</v>
      </c>
      <c r="B340" s="17">
        <v>43910</v>
      </c>
      <c r="C340" t="s">
        <v>34</v>
      </c>
      <c r="D340" s="22">
        <v>625</v>
      </c>
      <c r="E340" t="s">
        <v>352</v>
      </c>
      <c r="F340" t="s">
        <v>226</v>
      </c>
      <c r="G340" t="s">
        <v>296</v>
      </c>
      <c r="H340" t="s">
        <v>1165</v>
      </c>
      <c r="I340" t="s">
        <v>1170</v>
      </c>
      <c r="J340" s="22">
        <v>-625</v>
      </c>
      <c r="K340" s="21">
        <v>625</v>
      </c>
      <c r="L340" s="22">
        <v>-625</v>
      </c>
      <c r="M340" t="s">
        <v>266</v>
      </c>
    </row>
    <row r="341" spans="1:13" x14ac:dyDescent="0.35">
      <c r="A341">
        <v>1</v>
      </c>
      <c r="B341" s="17">
        <v>43910</v>
      </c>
      <c r="C341" t="s">
        <v>34</v>
      </c>
      <c r="D341" s="22">
        <v>450</v>
      </c>
      <c r="E341" t="s">
        <v>352</v>
      </c>
      <c r="F341" t="s">
        <v>303</v>
      </c>
      <c r="G341" t="s">
        <v>297</v>
      </c>
      <c r="H341" t="s">
        <v>1165</v>
      </c>
      <c r="I341" t="s">
        <v>1170</v>
      </c>
      <c r="J341" s="22">
        <v>-450</v>
      </c>
      <c r="K341" s="21">
        <v>450</v>
      </c>
      <c r="L341" s="22">
        <v>-450</v>
      </c>
    </row>
    <row r="342" spans="1:13" x14ac:dyDescent="0.35">
      <c r="A342">
        <v>1</v>
      </c>
      <c r="B342" s="17">
        <v>43910</v>
      </c>
      <c r="C342" t="s">
        <v>34</v>
      </c>
      <c r="D342" s="22">
        <v>175</v>
      </c>
      <c r="E342" t="s">
        <v>352</v>
      </c>
      <c r="F342" t="s">
        <v>227</v>
      </c>
      <c r="G342" t="s">
        <v>297</v>
      </c>
      <c r="H342" t="s">
        <v>1165</v>
      </c>
      <c r="I342" t="s">
        <v>1170</v>
      </c>
      <c r="J342" s="22">
        <v>-175</v>
      </c>
      <c r="K342" s="21">
        <v>175</v>
      </c>
      <c r="L342" s="22">
        <v>-175</v>
      </c>
    </row>
    <row r="343" spans="1:13" x14ac:dyDescent="0.35">
      <c r="A343">
        <v>1</v>
      </c>
      <c r="B343" s="17">
        <v>43910</v>
      </c>
      <c r="C343" t="s">
        <v>34</v>
      </c>
      <c r="D343" s="22">
        <v>625</v>
      </c>
      <c r="E343" t="s">
        <v>352</v>
      </c>
      <c r="F343" t="s">
        <v>228</v>
      </c>
      <c r="G343" t="s">
        <v>298</v>
      </c>
      <c r="H343" t="s">
        <v>1165</v>
      </c>
      <c r="I343" t="s">
        <v>1170</v>
      </c>
      <c r="J343" s="22">
        <v>-625</v>
      </c>
      <c r="K343" s="21">
        <v>625</v>
      </c>
      <c r="L343" s="22">
        <v>-625</v>
      </c>
    </row>
    <row r="344" spans="1:13" x14ac:dyDescent="0.35">
      <c r="A344">
        <v>1</v>
      </c>
      <c r="B344" s="17">
        <v>43910</v>
      </c>
      <c r="C344" t="s">
        <v>34</v>
      </c>
      <c r="D344" s="22">
        <v>625</v>
      </c>
      <c r="E344" t="s">
        <v>352</v>
      </c>
      <c r="F344" t="s">
        <v>229</v>
      </c>
      <c r="G344" t="s">
        <v>294</v>
      </c>
      <c r="H344" t="s">
        <v>1165</v>
      </c>
      <c r="I344" t="s">
        <v>1170</v>
      </c>
      <c r="J344" s="22">
        <v>-625</v>
      </c>
      <c r="K344" s="21">
        <v>625</v>
      </c>
      <c r="L344" s="22">
        <v>-625</v>
      </c>
    </row>
    <row r="345" spans="1:13" x14ac:dyDescent="0.35">
      <c r="A345">
        <v>1</v>
      </c>
      <c r="B345" s="17">
        <v>43910</v>
      </c>
      <c r="C345" t="s">
        <v>168</v>
      </c>
      <c r="D345" s="22">
        <v>196.4</v>
      </c>
      <c r="E345" t="s">
        <v>292</v>
      </c>
      <c r="F345" t="s">
        <v>226</v>
      </c>
      <c r="G345" t="s">
        <v>296</v>
      </c>
      <c r="H345" t="s">
        <v>1165</v>
      </c>
      <c r="I345" t="s">
        <v>1171</v>
      </c>
      <c r="J345" s="22">
        <v>196.4</v>
      </c>
      <c r="K345" s="21">
        <v>196.4</v>
      </c>
      <c r="L345" s="22">
        <v>196.4</v>
      </c>
      <c r="M345" t="s">
        <v>266</v>
      </c>
    </row>
    <row r="346" spans="1:13" x14ac:dyDescent="0.35">
      <c r="A346">
        <v>1</v>
      </c>
      <c r="B346" s="17">
        <v>43910</v>
      </c>
      <c r="C346" t="s">
        <v>168</v>
      </c>
      <c r="D346" s="22">
        <v>141.4</v>
      </c>
      <c r="E346" t="s">
        <v>292</v>
      </c>
      <c r="F346" t="s">
        <v>303</v>
      </c>
      <c r="G346" t="s">
        <v>297</v>
      </c>
      <c r="H346" t="s">
        <v>1165</v>
      </c>
      <c r="I346" t="s">
        <v>1171</v>
      </c>
      <c r="J346" s="22">
        <v>141.4</v>
      </c>
      <c r="K346" s="21">
        <v>141.4</v>
      </c>
      <c r="L346" s="22">
        <v>141.4</v>
      </c>
    </row>
    <row r="347" spans="1:13" x14ac:dyDescent="0.35">
      <c r="A347">
        <v>1</v>
      </c>
      <c r="B347" s="17">
        <v>43910</v>
      </c>
      <c r="C347" t="s">
        <v>168</v>
      </c>
      <c r="D347" s="22">
        <v>54.99</v>
      </c>
      <c r="E347" t="s">
        <v>292</v>
      </c>
      <c r="F347" t="s">
        <v>227</v>
      </c>
      <c r="G347" t="s">
        <v>297</v>
      </c>
      <c r="H347" t="s">
        <v>1165</v>
      </c>
      <c r="I347" t="s">
        <v>1171</v>
      </c>
      <c r="J347" s="22">
        <v>54.99</v>
      </c>
      <c r="K347" s="21">
        <v>54.99</v>
      </c>
      <c r="L347" s="22">
        <v>54.99</v>
      </c>
    </row>
    <row r="348" spans="1:13" x14ac:dyDescent="0.35">
      <c r="A348">
        <v>1</v>
      </c>
      <c r="B348" s="17">
        <v>43910</v>
      </c>
      <c r="C348" t="s">
        <v>168</v>
      </c>
      <c r="D348" s="22">
        <v>196.39</v>
      </c>
      <c r="E348" t="s">
        <v>292</v>
      </c>
      <c r="F348" t="s">
        <v>228</v>
      </c>
      <c r="G348" t="s">
        <v>298</v>
      </c>
      <c r="H348" t="s">
        <v>1165</v>
      </c>
      <c r="I348" t="s">
        <v>1171</v>
      </c>
      <c r="J348" s="22">
        <v>196.39</v>
      </c>
      <c r="K348" s="21">
        <v>196.39</v>
      </c>
      <c r="L348" s="22">
        <v>196.39</v>
      </c>
    </row>
    <row r="349" spans="1:13" x14ac:dyDescent="0.35">
      <c r="A349">
        <v>1</v>
      </c>
      <c r="B349" s="17">
        <v>43910</v>
      </c>
      <c r="C349" t="s">
        <v>168</v>
      </c>
      <c r="D349" s="22">
        <v>196.39</v>
      </c>
      <c r="E349" t="s">
        <v>292</v>
      </c>
      <c r="F349" t="s">
        <v>229</v>
      </c>
      <c r="G349" t="s">
        <v>294</v>
      </c>
      <c r="H349" t="s">
        <v>1165</v>
      </c>
      <c r="I349" t="s">
        <v>1171</v>
      </c>
      <c r="J349" s="22">
        <v>196.39</v>
      </c>
      <c r="K349" s="21">
        <v>196.39</v>
      </c>
      <c r="L349" s="22">
        <v>196.39</v>
      </c>
    </row>
    <row r="350" spans="1:13" x14ac:dyDescent="0.35">
      <c r="A350">
        <v>1</v>
      </c>
      <c r="B350" s="17">
        <v>43910</v>
      </c>
      <c r="C350" t="s">
        <v>34</v>
      </c>
      <c r="D350" s="22">
        <v>196.4</v>
      </c>
      <c r="E350" t="s">
        <v>291</v>
      </c>
      <c r="F350" t="s">
        <v>226</v>
      </c>
      <c r="G350" t="s">
        <v>296</v>
      </c>
      <c r="H350" t="s">
        <v>1165</v>
      </c>
      <c r="I350" t="s">
        <v>1172</v>
      </c>
      <c r="J350" s="22">
        <v>-196.4</v>
      </c>
      <c r="K350" s="21">
        <v>196.4</v>
      </c>
      <c r="L350" s="22">
        <v>-196.4</v>
      </c>
      <c r="M350" t="s">
        <v>266</v>
      </c>
    </row>
    <row r="351" spans="1:13" x14ac:dyDescent="0.35">
      <c r="A351">
        <v>1</v>
      </c>
      <c r="B351" s="17">
        <v>43910</v>
      </c>
      <c r="C351" t="s">
        <v>34</v>
      </c>
      <c r="D351" s="22">
        <v>141.4</v>
      </c>
      <c r="E351" t="s">
        <v>291</v>
      </c>
      <c r="F351" t="s">
        <v>303</v>
      </c>
      <c r="G351" t="s">
        <v>297</v>
      </c>
      <c r="H351" t="s">
        <v>1165</v>
      </c>
      <c r="I351" t="s">
        <v>1172</v>
      </c>
      <c r="J351" s="22">
        <v>-141.4</v>
      </c>
      <c r="K351" s="21">
        <v>141.4</v>
      </c>
      <c r="L351" s="22">
        <v>-141.4</v>
      </c>
    </row>
    <row r="352" spans="1:13" x14ac:dyDescent="0.35">
      <c r="A352">
        <v>1</v>
      </c>
      <c r="B352" s="17">
        <v>43910</v>
      </c>
      <c r="C352" t="s">
        <v>34</v>
      </c>
      <c r="D352" s="22">
        <v>54.99</v>
      </c>
      <c r="E352" t="s">
        <v>291</v>
      </c>
      <c r="F352" t="s">
        <v>227</v>
      </c>
      <c r="G352" t="s">
        <v>297</v>
      </c>
      <c r="H352" t="s">
        <v>1165</v>
      </c>
      <c r="I352" t="s">
        <v>1172</v>
      </c>
      <c r="J352" s="22">
        <v>-54.99</v>
      </c>
      <c r="K352" s="21">
        <v>54.99</v>
      </c>
      <c r="L352" s="22">
        <v>-54.99</v>
      </c>
    </row>
    <row r="353" spans="1:13" x14ac:dyDescent="0.35">
      <c r="A353">
        <v>1</v>
      </c>
      <c r="B353" s="17">
        <v>43910</v>
      </c>
      <c r="C353" t="s">
        <v>34</v>
      </c>
      <c r="D353" s="22">
        <v>196.39</v>
      </c>
      <c r="E353" t="s">
        <v>291</v>
      </c>
      <c r="F353" t="s">
        <v>228</v>
      </c>
      <c r="G353" t="s">
        <v>298</v>
      </c>
      <c r="H353" t="s">
        <v>1165</v>
      </c>
      <c r="I353" t="s">
        <v>1172</v>
      </c>
      <c r="J353" s="22">
        <v>-196.39</v>
      </c>
      <c r="K353" s="21">
        <v>196.39</v>
      </c>
      <c r="L353" s="22">
        <v>-196.39</v>
      </c>
    </row>
    <row r="354" spans="1:13" x14ac:dyDescent="0.35">
      <c r="A354">
        <v>1</v>
      </c>
      <c r="B354" s="17">
        <v>43910</v>
      </c>
      <c r="C354" t="s">
        <v>34</v>
      </c>
      <c r="D354" s="22">
        <v>196.39</v>
      </c>
      <c r="E354" t="s">
        <v>291</v>
      </c>
      <c r="F354" t="s">
        <v>229</v>
      </c>
      <c r="G354" t="s">
        <v>294</v>
      </c>
      <c r="H354" t="s">
        <v>1165</v>
      </c>
      <c r="I354" t="s">
        <v>1172</v>
      </c>
      <c r="J354" s="22">
        <v>-196.39</v>
      </c>
      <c r="K354" s="21">
        <v>196.39</v>
      </c>
      <c r="L354" s="22">
        <v>-196.39</v>
      </c>
    </row>
    <row r="355" spans="1:13" x14ac:dyDescent="0.35">
      <c r="A355">
        <v>1</v>
      </c>
      <c r="B355" s="17">
        <v>43910</v>
      </c>
      <c r="C355" t="s">
        <v>34</v>
      </c>
      <c r="D355" s="22">
        <v>27.21</v>
      </c>
      <c r="E355" t="s">
        <v>289</v>
      </c>
      <c r="F355" t="s">
        <v>226</v>
      </c>
      <c r="G355" t="s">
        <v>296</v>
      </c>
      <c r="H355" t="s">
        <v>1173</v>
      </c>
      <c r="I355" t="s">
        <v>1174</v>
      </c>
      <c r="J355" s="22">
        <v>-27.21</v>
      </c>
      <c r="K355" s="21">
        <v>27.21</v>
      </c>
      <c r="L355" s="22">
        <v>-27.21</v>
      </c>
      <c r="M355" t="s">
        <v>266</v>
      </c>
    </row>
    <row r="356" spans="1:13" x14ac:dyDescent="0.35">
      <c r="A356">
        <v>1</v>
      </c>
      <c r="B356" s="17">
        <v>43910</v>
      </c>
      <c r="C356" t="s">
        <v>34</v>
      </c>
      <c r="D356" s="22">
        <v>134.25</v>
      </c>
      <c r="E356" t="s">
        <v>289</v>
      </c>
      <c r="F356" t="s">
        <v>227</v>
      </c>
      <c r="G356" t="s">
        <v>297</v>
      </c>
      <c r="H356" t="s">
        <v>1173</v>
      </c>
      <c r="I356" t="s">
        <v>1174</v>
      </c>
      <c r="J356" s="22">
        <v>-134.25</v>
      </c>
      <c r="K356" s="21">
        <v>134.25</v>
      </c>
      <c r="L356" s="22">
        <v>-134.25</v>
      </c>
    </row>
    <row r="357" spans="1:13" x14ac:dyDescent="0.35">
      <c r="A357">
        <v>1</v>
      </c>
      <c r="B357" s="17">
        <v>43910</v>
      </c>
      <c r="C357" t="s">
        <v>34</v>
      </c>
      <c r="D357" s="22">
        <v>19.96</v>
      </c>
      <c r="E357" t="s">
        <v>289</v>
      </c>
      <c r="F357" t="s">
        <v>228</v>
      </c>
      <c r="G357" t="s">
        <v>298</v>
      </c>
      <c r="H357" t="s">
        <v>1173</v>
      </c>
      <c r="I357" t="s">
        <v>1174</v>
      </c>
      <c r="J357" s="22">
        <v>-19.96</v>
      </c>
      <c r="K357" s="21">
        <v>19.96</v>
      </c>
      <c r="L357" s="22">
        <v>-19.96</v>
      </c>
    </row>
    <row r="358" spans="1:13" x14ac:dyDescent="0.35">
      <c r="A358">
        <v>1</v>
      </c>
      <c r="B358" s="17">
        <v>43910</v>
      </c>
      <c r="C358" t="s">
        <v>168</v>
      </c>
      <c r="D358" s="22">
        <v>9.5299999999999994</v>
      </c>
      <c r="E358" t="s">
        <v>290</v>
      </c>
      <c r="F358" t="s">
        <v>226</v>
      </c>
      <c r="G358" t="s">
        <v>296</v>
      </c>
      <c r="H358" t="s">
        <v>1173</v>
      </c>
      <c r="I358" t="s">
        <v>1175</v>
      </c>
      <c r="J358" s="22">
        <v>9.5299999999999994</v>
      </c>
      <c r="K358" s="21">
        <v>9.5299999999999994</v>
      </c>
      <c r="L358" s="22">
        <v>9.5299999999999994</v>
      </c>
      <c r="M358" t="s">
        <v>266</v>
      </c>
    </row>
    <row r="359" spans="1:13" x14ac:dyDescent="0.35">
      <c r="A359">
        <v>1</v>
      </c>
      <c r="B359" s="17">
        <v>43910</v>
      </c>
      <c r="C359" t="s">
        <v>168</v>
      </c>
      <c r="D359" s="22">
        <v>47.03</v>
      </c>
      <c r="E359" t="s">
        <v>290</v>
      </c>
      <c r="F359" t="s">
        <v>227</v>
      </c>
      <c r="G359" t="s">
        <v>297</v>
      </c>
      <c r="H359" t="s">
        <v>1173</v>
      </c>
      <c r="I359" t="s">
        <v>1175</v>
      </c>
      <c r="J359" s="22">
        <v>47.03</v>
      </c>
      <c r="K359" s="21">
        <v>47.03</v>
      </c>
      <c r="L359" s="22">
        <v>47.03</v>
      </c>
    </row>
    <row r="360" spans="1:13" x14ac:dyDescent="0.35">
      <c r="A360">
        <v>1</v>
      </c>
      <c r="B360" s="17">
        <v>43910</v>
      </c>
      <c r="C360" t="s">
        <v>168</v>
      </c>
      <c r="D360" s="22">
        <v>6.99</v>
      </c>
      <c r="E360" t="s">
        <v>290</v>
      </c>
      <c r="F360" t="s">
        <v>228</v>
      </c>
      <c r="G360" t="s">
        <v>298</v>
      </c>
      <c r="H360" t="s">
        <v>1173</v>
      </c>
      <c r="I360" t="s">
        <v>1175</v>
      </c>
      <c r="J360" s="22">
        <v>6.99</v>
      </c>
      <c r="K360" s="21">
        <v>6.99</v>
      </c>
      <c r="L360" s="22">
        <v>6.99</v>
      </c>
    </row>
    <row r="361" spans="1:13" x14ac:dyDescent="0.35">
      <c r="A361">
        <v>1</v>
      </c>
      <c r="B361" s="17">
        <v>43910</v>
      </c>
      <c r="C361" t="s">
        <v>168</v>
      </c>
      <c r="D361" s="22">
        <v>66.599999999999994</v>
      </c>
      <c r="E361" t="s">
        <v>291</v>
      </c>
      <c r="F361" t="s">
        <v>226</v>
      </c>
      <c r="G361" t="s">
        <v>296</v>
      </c>
      <c r="H361" t="s">
        <v>1173</v>
      </c>
      <c r="I361" t="s">
        <v>1176</v>
      </c>
      <c r="J361" s="22">
        <v>66.599999999999994</v>
      </c>
      <c r="K361" s="21">
        <v>66.599999999999994</v>
      </c>
      <c r="L361" s="22">
        <v>66.599999999999994</v>
      </c>
      <c r="M361" t="s">
        <v>266</v>
      </c>
    </row>
    <row r="362" spans="1:13" x14ac:dyDescent="0.35">
      <c r="A362">
        <v>1</v>
      </c>
      <c r="B362" s="17">
        <v>43910</v>
      </c>
      <c r="C362" t="s">
        <v>168</v>
      </c>
      <c r="D362" s="22">
        <v>328.59</v>
      </c>
      <c r="E362" t="s">
        <v>291</v>
      </c>
      <c r="F362" t="s">
        <v>227</v>
      </c>
      <c r="G362" t="s">
        <v>297</v>
      </c>
      <c r="H362" t="s">
        <v>1173</v>
      </c>
      <c r="I362" t="s">
        <v>1176</v>
      </c>
      <c r="J362" s="22">
        <v>328.59</v>
      </c>
      <c r="K362" s="21">
        <v>328.59</v>
      </c>
      <c r="L362" s="22">
        <v>328.59</v>
      </c>
    </row>
    <row r="363" spans="1:13" x14ac:dyDescent="0.35">
      <c r="A363">
        <v>1</v>
      </c>
      <c r="B363" s="17">
        <v>43910</v>
      </c>
      <c r="C363" t="s">
        <v>168</v>
      </c>
      <c r="D363" s="22">
        <v>48.84</v>
      </c>
      <c r="E363" t="s">
        <v>291</v>
      </c>
      <c r="F363" t="s">
        <v>228</v>
      </c>
      <c r="G363" t="s">
        <v>298</v>
      </c>
      <c r="H363" t="s">
        <v>1173</v>
      </c>
      <c r="I363" t="s">
        <v>1176</v>
      </c>
      <c r="J363" s="22">
        <v>48.84</v>
      </c>
      <c r="K363" s="21">
        <v>48.84</v>
      </c>
      <c r="L363" s="22">
        <v>48.84</v>
      </c>
    </row>
    <row r="364" spans="1:13" x14ac:dyDescent="0.35">
      <c r="A364">
        <v>1</v>
      </c>
      <c r="B364" s="17">
        <v>43910</v>
      </c>
      <c r="C364" t="s">
        <v>168</v>
      </c>
      <c r="D364" s="22">
        <v>219.34</v>
      </c>
      <c r="E364" t="s">
        <v>292</v>
      </c>
      <c r="F364" t="s">
        <v>226</v>
      </c>
      <c r="G364" t="s">
        <v>296</v>
      </c>
      <c r="H364" t="s">
        <v>1173</v>
      </c>
      <c r="I364" t="s">
        <v>1177</v>
      </c>
      <c r="J364" s="22">
        <v>219.34</v>
      </c>
      <c r="K364" s="21">
        <v>219.34</v>
      </c>
      <c r="L364" s="22">
        <v>219.34</v>
      </c>
      <c r="M364" t="s">
        <v>266</v>
      </c>
    </row>
    <row r="365" spans="1:13" x14ac:dyDescent="0.35">
      <c r="A365">
        <v>1</v>
      </c>
      <c r="B365" s="17">
        <v>43910</v>
      </c>
      <c r="C365" t="s">
        <v>168</v>
      </c>
      <c r="D365" s="22">
        <v>1082.1099999999999</v>
      </c>
      <c r="E365" t="s">
        <v>292</v>
      </c>
      <c r="F365" t="s">
        <v>227</v>
      </c>
      <c r="G365" t="s">
        <v>297</v>
      </c>
      <c r="H365" t="s">
        <v>1173</v>
      </c>
      <c r="I365" t="s">
        <v>1177</v>
      </c>
      <c r="J365" s="22">
        <v>1082.1099999999999</v>
      </c>
      <c r="K365" s="21">
        <v>1082.1099999999999</v>
      </c>
      <c r="L365" s="22">
        <v>1082.1099999999999</v>
      </c>
    </row>
    <row r="366" spans="1:13" x14ac:dyDescent="0.35">
      <c r="A366">
        <v>1</v>
      </c>
      <c r="B366" s="17">
        <v>43910</v>
      </c>
      <c r="C366" t="s">
        <v>168</v>
      </c>
      <c r="D366" s="22">
        <v>160.85</v>
      </c>
      <c r="E366" t="s">
        <v>292</v>
      </c>
      <c r="F366" t="s">
        <v>228</v>
      </c>
      <c r="G366" t="s">
        <v>298</v>
      </c>
      <c r="H366" t="s">
        <v>1173</v>
      </c>
      <c r="I366" t="s">
        <v>1177</v>
      </c>
      <c r="J366" s="22">
        <v>160.85</v>
      </c>
      <c r="K366" s="21">
        <v>160.85</v>
      </c>
      <c r="L366" s="22">
        <v>160.85</v>
      </c>
    </row>
    <row r="367" spans="1:13" x14ac:dyDescent="0.35">
      <c r="A367">
        <v>1</v>
      </c>
      <c r="B367" s="17">
        <v>43910</v>
      </c>
      <c r="C367" t="s">
        <v>34</v>
      </c>
      <c r="D367" s="22">
        <v>268.27</v>
      </c>
      <c r="E367" t="s">
        <v>352</v>
      </c>
      <c r="F367" t="s">
        <v>226</v>
      </c>
      <c r="G367" t="s">
        <v>296</v>
      </c>
      <c r="H367" t="s">
        <v>1173</v>
      </c>
      <c r="I367" t="s">
        <v>1178</v>
      </c>
      <c r="J367" s="22">
        <v>-268.27</v>
      </c>
      <c r="K367" s="21">
        <v>268.27</v>
      </c>
      <c r="L367" s="22">
        <v>-268.27</v>
      </c>
      <c r="M367" t="s">
        <v>266</v>
      </c>
    </row>
    <row r="368" spans="1:13" x14ac:dyDescent="0.35">
      <c r="A368">
        <v>1</v>
      </c>
      <c r="B368" s="17">
        <v>43910</v>
      </c>
      <c r="C368" t="s">
        <v>34</v>
      </c>
      <c r="D368" s="22">
        <v>1323.46</v>
      </c>
      <c r="E368" t="s">
        <v>352</v>
      </c>
      <c r="F368" t="s">
        <v>227</v>
      </c>
      <c r="G368" t="s">
        <v>297</v>
      </c>
      <c r="H368" t="s">
        <v>1173</v>
      </c>
      <c r="I368" t="s">
        <v>1178</v>
      </c>
      <c r="J368" s="22">
        <v>-1323.46</v>
      </c>
      <c r="K368" s="21">
        <v>1323.46</v>
      </c>
      <c r="L368" s="22">
        <v>-1323.46</v>
      </c>
    </row>
    <row r="369" spans="1:13" x14ac:dyDescent="0.35">
      <c r="A369">
        <v>1</v>
      </c>
      <c r="B369" s="17">
        <v>43910</v>
      </c>
      <c r="C369" t="s">
        <v>34</v>
      </c>
      <c r="D369" s="22">
        <v>196.73</v>
      </c>
      <c r="E369" t="s">
        <v>352</v>
      </c>
      <c r="F369" t="s">
        <v>228</v>
      </c>
      <c r="G369" t="s">
        <v>298</v>
      </c>
      <c r="H369" t="s">
        <v>1173</v>
      </c>
      <c r="I369" t="s">
        <v>1178</v>
      </c>
      <c r="J369" s="22">
        <v>-196.73</v>
      </c>
      <c r="K369" s="21">
        <v>196.73</v>
      </c>
      <c r="L369" s="22">
        <v>-196.73</v>
      </c>
    </row>
    <row r="370" spans="1:13" x14ac:dyDescent="0.35">
      <c r="A370">
        <v>1</v>
      </c>
      <c r="B370" s="17">
        <v>43910</v>
      </c>
      <c r="C370" t="s">
        <v>168</v>
      </c>
      <c r="D370" s="22">
        <v>66.599999999999994</v>
      </c>
      <c r="E370" t="s">
        <v>292</v>
      </c>
      <c r="F370" t="s">
        <v>226</v>
      </c>
      <c r="G370" t="s">
        <v>296</v>
      </c>
      <c r="H370" t="s">
        <v>1173</v>
      </c>
      <c r="I370" t="s">
        <v>1179</v>
      </c>
      <c r="J370" s="22">
        <v>66.599999999999994</v>
      </c>
      <c r="K370" s="21">
        <v>66.599999999999994</v>
      </c>
      <c r="L370" s="22">
        <v>66.599999999999994</v>
      </c>
      <c r="M370" t="s">
        <v>266</v>
      </c>
    </row>
    <row r="371" spans="1:13" x14ac:dyDescent="0.35">
      <c r="A371">
        <v>1</v>
      </c>
      <c r="B371" s="17">
        <v>43910</v>
      </c>
      <c r="C371" t="s">
        <v>168</v>
      </c>
      <c r="D371" s="22">
        <v>328.59</v>
      </c>
      <c r="E371" t="s">
        <v>292</v>
      </c>
      <c r="F371" t="s">
        <v>227</v>
      </c>
      <c r="G371" t="s">
        <v>297</v>
      </c>
      <c r="H371" t="s">
        <v>1173</v>
      </c>
      <c r="I371" t="s">
        <v>1179</v>
      </c>
      <c r="J371" s="22">
        <v>328.59</v>
      </c>
      <c r="K371" s="21">
        <v>328.59</v>
      </c>
      <c r="L371" s="22">
        <v>328.59</v>
      </c>
    </row>
    <row r="372" spans="1:13" x14ac:dyDescent="0.35">
      <c r="A372">
        <v>1</v>
      </c>
      <c r="B372" s="17">
        <v>43910</v>
      </c>
      <c r="C372" t="s">
        <v>168</v>
      </c>
      <c r="D372" s="22">
        <v>48.84</v>
      </c>
      <c r="E372" t="s">
        <v>292</v>
      </c>
      <c r="F372" t="s">
        <v>228</v>
      </c>
      <c r="G372" t="s">
        <v>298</v>
      </c>
      <c r="H372" t="s">
        <v>1173</v>
      </c>
      <c r="I372" t="s">
        <v>1179</v>
      </c>
      <c r="J372" s="22">
        <v>48.84</v>
      </c>
      <c r="K372" s="21">
        <v>48.84</v>
      </c>
      <c r="L372" s="22">
        <v>48.84</v>
      </c>
    </row>
    <row r="373" spans="1:13" x14ac:dyDescent="0.35">
      <c r="A373">
        <v>1</v>
      </c>
      <c r="B373" s="17">
        <v>43910</v>
      </c>
      <c r="C373" t="s">
        <v>34</v>
      </c>
      <c r="D373" s="22">
        <v>66.599999999999994</v>
      </c>
      <c r="E373" t="s">
        <v>291</v>
      </c>
      <c r="F373" t="s">
        <v>226</v>
      </c>
      <c r="G373" t="s">
        <v>296</v>
      </c>
      <c r="H373" t="s">
        <v>1173</v>
      </c>
      <c r="I373" t="s">
        <v>1180</v>
      </c>
      <c r="J373" s="22">
        <v>-66.599999999999994</v>
      </c>
      <c r="K373" s="21">
        <v>66.599999999999994</v>
      </c>
      <c r="L373" s="22">
        <v>-66.599999999999994</v>
      </c>
      <c r="M373" t="s">
        <v>266</v>
      </c>
    </row>
    <row r="374" spans="1:13" x14ac:dyDescent="0.35">
      <c r="A374">
        <v>1</v>
      </c>
      <c r="B374" s="17">
        <v>43910</v>
      </c>
      <c r="C374" t="s">
        <v>34</v>
      </c>
      <c r="D374" s="22">
        <v>328.59</v>
      </c>
      <c r="E374" t="s">
        <v>291</v>
      </c>
      <c r="F374" t="s">
        <v>227</v>
      </c>
      <c r="G374" t="s">
        <v>297</v>
      </c>
      <c r="H374" t="s">
        <v>1173</v>
      </c>
      <c r="I374" t="s">
        <v>1180</v>
      </c>
      <c r="J374" s="22">
        <v>-328.59</v>
      </c>
      <c r="K374" s="21">
        <v>328.59</v>
      </c>
      <c r="L374" s="22">
        <v>-328.59</v>
      </c>
    </row>
    <row r="375" spans="1:13" x14ac:dyDescent="0.35">
      <c r="A375">
        <v>1</v>
      </c>
      <c r="B375" s="17">
        <v>43910</v>
      </c>
      <c r="C375" t="s">
        <v>34</v>
      </c>
      <c r="D375" s="22">
        <v>48.84</v>
      </c>
      <c r="E375" t="s">
        <v>291</v>
      </c>
      <c r="F375" t="s">
        <v>228</v>
      </c>
      <c r="G375" t="s">
        <v>298</v>
      </c>
      <c r="H375" t="s">
        <v>1173</v>
      </c>
      <c r="I375" t="s">
        <v>1180</v>
      </c>
      <c r="J375" s="22">
        <v>-48.84</v>
      </c>
      <c r="K375" s="21">
        <v>48.84</v>
      </c>
      <c r="L375" s="22">
        <v>-48.84</v>
      </c>
    </row>
    <row r="376" spans="1:13" x14ac:dyDescent="0.35">
      <c r="A376">
        <v>1</v>
      </c>
      <c r="B376" s="17">
        <v>43910</v>
      </c>
      <c r="C376" t="s">
        <v>34</v>
      </c>
      <c r="D376" s="22">
        <v>543.33000000000004</v>
      </c>
      <c r="E376" t="s">
        <v>289</v>
      </c>
      <c r="F376" t="s">
        <v>235</v>
      </c>
      <c r="G376" t="s">
        <v>302</v>
      </c>
      <c r="H376" t="s">
        <v>1181</v>
      </c>
      <c r="I376" t="s">
        <v>1182</v>
      </c>
      <c r="J376" s="22">
        <v>-543.33000000000004</v>
      </c>
      <c r="K376" s="21">
        <v>543.33000000000004</v>
      </c>
      <c r="L376" s="22">
        <v>-543.33000000000004</v>
      </c>
      <c r="M376" t="s">
        <v>266</v>
      </c>
    </row>
    <row r="377" spans="1:13" x14ac:dyDescent="0.35">
      <c r="A377">
        <v>1</v>
      </c>
      <c r="B377" s="17">
        <v>43910</v>
      </c>
      <c r="C377" t="s">
        <v>34</v>
      </c>
      <c r="D377" s="22">
        <v>60.37</v>
      </c>
      <c r="E377" t="s">
        <v>289</v>
      </c>
      <c r="F377" t="s">
        <v>236</v>
      </c>
      <c r="G377" t="s">
        <v>81</v>
      </c>
      <c r="H377" t="s">
        <v>1181</v>
      </c>
      <c r="I377" t="s">
        <v>1182</v>
      </c>
      <c r="J377" s="22">
        <v>-60.37</v>
      </c>
      <c r="K377" s="21">
        <v>60.37</v>
      </c>
      <c r="L377" s="22">
        <v>-60.37</v>
      </c>
    </row>
    <row r="378" spans="1:13" x14ac:dyDescent="0.35">
      <c r="A378">
        <v>1</v>
      </c>
      <c r="B378" s="17">
        <v>43910</v>
      </c>
      <c r="C378" t="s">
        <v>168</v>
      </c>
      <c r="D378" s="22">
        <v>380.77</v>
      </c>
      <c r="E378" t="s">
        <v>290</v>
      </c>
      <c r="F378" t="s">
        <v>235</v>
      </c>
      <c r="G378" t="s">
        <v>302</v>
      </c>
      <c r="H378" t="s">
        <v>1181</v>
      </c>
      <c r="I378" t="s">
        <v>1183</v>
      </c>
      <c r="J378" s="22">
        <v>380.77</v>
      </c>
      <c r="K378" s="21">
        <v>380.77</v>
      </c>
      <c r="L378" s="22">
        <v>380.77</v>
      </c>
      <c r="M378" t="s">
        <v>266</v>
      </c>
    </row>
    <row r="379" spans="1:13" x14ac:dyDescent="0.35">
      <c r="A379">
        <v>1</v>
      </c>
      <c r="B379" s="17">
        <v>43910</v>
      </c>
      <c r="C379" t="s">
        <v>168</v>
      </c>
      <c r="D379" s="22">
        <v>42.31</v>
      </c>
      <c r="E379" t="s">
        <v>290</v>
      </c>
      <c r="F379" t="s">
        <v>236</v>
      </c>
      <c r="G379" t="s">
        <v>81</v>
      </c>
      <c r="H379" t="s">
        <v>1181</v>
      </c>
      <c r="I379" t="s">
        <v>1183</v>
      </c>
      <c r="J379" s="22">
        <v>42.31</v>
      </c>
      <c r="K379" s="21">
        <v>42.31</v>
      </c>
      <c r="L379" s="22">
        <v>42.31</v>
      </c>
    </row>
    <row r="380" spans="1:13" x14ac:dyDescent="0.35">
      <c r="A380">
        <v>1</v>
      </c>
      <c r="B380" s="17">
        <v>43910</v>
      </c>
      <c r="C380" t="s">
        <v>168</v>
      </c>
      <c r="D380" s="22">
        <v>1905.12</v>
      </c>
      <c r="E380" t="s">
        <v>291</v>
      </c>
      <c r="F380" t="s">
        <v>235</v>
      </c>
      <c r="G380" t="s">
        <v>302</v>
      </c>
      <c r="H380" t="s">
        <v>1181</v>
      </c>
      <c r="I380" t="s">
        <v>1184</v>
      </c>
      <c r="J380" s="22">
        <v>1905.12</v>
      </c>
      <c r="K380" s="21">
        <v>1905.12</v>
      </c>
      <c r="L380" s="22">
        <v>1905.12</v>
      </c>
      <c r="M380" t="s">
        <v>266</v>
      </c>
    </row>
    <row r="381" spans="1:13" x14ac:dyDescent="0.35">
      <c r="A381">
        <v>1</v>
      </c>
      <c r="B381" s="17">
        <v>43910</v>
      </c>
      <c r="C381" t="s">
        <v>168</v>
      </c>
      <c r="D381" s="22">
        <v>211.68</v>
      </c>
      <c r="E381" t="s">
        <v>291</v>
      </c>
      <c r="F381" t="s">
        <v>236</v>
      </c>
      <c r="G381" t="s">
        <v>81</v>
      </c>
      <c r="H381" t="s">
        <v>1181</v>
      </c>
      <c r="I381" t="s">
        <v>1184</v>
      </c>
      <c r="J381" s="22">
        <v>211.68</v>
      </c>
      <c r="K381" s="21">
        <v>211.68</v>
      </c>
      <c r="L381" s="22">
        <v>211.68</v>
      </c>
    </row>
    <row r="382" spans="1:13" x14ac:dyDescent="0.35">
      <c r="A382">
        <v>1</v>
      </c>
      <c r="B382" s="17">
        <v>43910</v>
      </c>
      <c r="C382" t="s">
        <v>168</v>
      </c>
      <c r="D382" s="22">
        <v>3622.82</v>
      </c>
      <c r="E382" t="s">
        <v>292</v>
      </c>
      <c r="F382" t="s">
        <v>235</v>
      </c>
      <c r="G382" t="s">
        <v>302</v>
      </c>
      <c r="H382" t="s">
        <v>1181</v>
      </c>
      <c r="I382" t="s">
        <v>1185</v>
      </c>
      <c r="J382" s="22">
        <v>3622.82</v>
      </c>
      <c r="K382" s="21">
        <v>3622.82</v>
      </c>
      <c r="L382" s="22">
        <v>3622.82</v>
      </c>
      <c r="M382" t="s">
        <v>266</v>
      </c>
    </row>
    <row r="383" spans="1:13" x14ac:dyDescent="0.35">
      <c r="A383">
        <v>1</v>
      </c>
      <c r="B383" s="17">
        <v>43910</v>
      </c>
      <c r="C383" t="s">
        <v>168</v>
      </c>
      <c r="D383" s="22">
        <v>402.54</v>
      </c>
      <c r="E383" t="s">
        <v>292</v>
      </c>
      <c r="F383" t="s">
        <v>236</v>
      </c>
      <c r="G383" t="s">
        <v>81</v>
      </c>
      <c r="H383" t="s">
        <v>1181</v>
      </c>
      <c r="I383" t="s">
        <v>1185</v>
      </c>
      <c r="J383" s="22">
        <v>402.54</v>
      </c>
      <c r="K383" s="21">
        <v>402.54</v>
      </c>
      <c r="L383" s="22">
        <v>402.54</v>
      </c>
    </row>
    <row r="384" spans="1:13" x14ac:dyDescent="0.35">
      <c r="A384">
        <v>1</v>
      </c>
      <c r="B384" s="17">
        <v>43910</v>
      </c>
      <c r="C384" t="s">
        <v>34</v>
      </c>
      <c r="D384" s="22">
        <v>5365.39</v>
      </c>
      <c r="E384" t="s">
        <v>342</v>
      </c>
      <c r="F384" t="s">
        <v>235</v>
      </c>
      <c r="G384" t="s">
        <v>302</v>
      </c>
      <c r="H384" t="s">
        <v>1181</v>
      </c>
      <c r="I384" t="s">
        <v>1186</v>
      </c>
      <c r="J384" s="22">
        <v>-5365.39</v>
      </c>
      <c r="K384" s="21">
        <v>5365.39</v>
      </c>
      <c r="L384" s="22">
        <v>-5365.39</v>
      </c>
      <c r="M384" t="s">
        <v>266</v>
      </c>
    </row>
    <row r="385" spans="1:13" x14ac:dyDescent="0.35">
      <c r="A385">
        <v>1</v>
      </c>
      <c r="B385" s="17">
        <v>43910</v>
      </c>
      <c r="C385" t="s">
        <v>34</v>
      </c>
      <c r="D385" s="22">
        <v>596.15</v>
      </c>
      <c r="E385" t="s">
        <v>342</v>
      </c>
      <c r="F385" t="s">
        <v>236</v>
      </c>
      <c r="G385" t="s">
        <v>81</v>
      </c>
      <c r="H385" t="s">
        <v>1181</v>
      </c>
      <c r="I385" t="s">
        <v>1186</v>
      </c>
      <c r="J385" s="22">
        <v>-596.15</v>
      </c>
      <c r="K385" s="21">
        <v>596.15</v>
      </c>
      <c r="L385" s="22">
        <v>-596.15</v>
      </c>
    </row>
    <row r="386" spans="1:13" x14ac:dyDescent="0.35">
      <c r="A386">
        <v>1</v>
      </c>
      <c r="B386" s="17">
        <v>43910</v>
      </c>
      <c r="C386" t="s">
        <v>168</v>
      </c>
      <c r="D386" s="22">
        <v>1905.12</v>
      </c>
      <c r="E386" t="s">
        <v>292</v>
      </c>
      <c r="F386" t="s">
        <v>235</v>
      </c>
      <c r="G386" t="s">
        <v>302</v>
      </c>
      <c r="H386" t="s">
        <v>1181</v>
      </c>
      <c r="I386" t="s">
        <v>1187</v>
      </c>
      <c r="J386" s="22">
        <v>1905.12</v>
      </c>
      <c r="K386" s="21">
        <v>1905.12</v>
      </c>
      <c r="L386" s="22">
        <v>1905.12</v>
      </c>
      <c r="M386" t="s">
        <v>266</v>
      </c>
    </row>
    <row r="387" spans="1:13" x14ac:dyDescent="0.35">
      <c r="A387">
        <v>1</v>
      </c>
      <c r="B387" s="17">
        <v>43910</v>
      </c>
      <c r="C387" t="s">
        <v>168</v>
      </c>
      <c r="D387" s="22">
        <v>211.68</v>
      </c>
      <c r="E387" t="s">
        <v>292</v>
      </c>
      <c r="F387" t="s">
        <v>236</v>
      </c>
      <c r="G387" t="s">
        <v>81</v>
      </c>
      <c r="H387" t="s">
        <v>1181</v>
      </c>
      <c r="I387" t="s">
        <v>1187</v>
      </c>
      <c r="J387" s="22">
        <v>211.68</v>
      </c>
      <c r="K387" s="21">
        <v>211.68</v>
      </c>
      <c r="L387" s="22">
        <v>211.68</v>
      </c>
    </row>
    <row r="388" spans="1:13" x14ac:dyDescent="0.35">
      <c r="A388">
        <v>1</v>
      </c>
      <c r="B388" s="17">
        <v>43910</v>
      </c>
      <c r="C388" t="s">
        <v>34</v>
      </c>
      <c r="D388" s="22">
        <v>1905.12</v>
      </c>
      <c r="E388" t="s">
        <v>291</v>
      </c>
      <c r="F388" t="s">
        <v>235</v>
      </c>
      <c r="G388" t="s">
        <v>302</v>
      </c>
      <c r="H388" t="s">
        <v>1181</v>
      </c>
      <c r="I388" t="s">
        <v>1188</v>
      </c>
      <c r="J388" s="22">
        <v>-1905.12</v>
      </c>
      <c r="K388" s="21">
        <v>1905.12</v>
      </c>
      <c r="L388" s="22">
        <v>-1905.12</v>
      </c>
      <c r="M388" t="s">
        <v>266</v>
      </c>
    </row>
    <row r="389" spans="1:13" x14ac:dyDescent="0.35">
      <c r="A389">
        <v>1</v>
      </c>
      <c r="B389" s="17">
        <v>43910</v>
      </c>
      <c r="C389" t="s">
        <v>34</v>
      </c>
      <c r="D389" s="22">
        <v>211.68</v>
      </c>
      <c r="E389" t="s">
        <v>291</v>
      </c>
      <c r="F389" t="s">
        <v>236</v>
      </c>
      <c r="G389" t="s">
        <v>81</v>
      </c>
      <c r="H389" t="s">
        <v>1181</v>
      </c>
      <c r="I389" t="s">
        <v>1188</v>
      </c>
      <c r="J389" s="22">
        <v>-211.68</v>
      </c>
      <c r="K389" s="21">
        <v>211.68</v>
      </c>
      <c r="L389" s="22">
        <v>-211.68</v>
      </c>
    </row>
    <row r="390" spans="1:13" x14ac:dyDescent="0.35">
      <c r="A390">
        <v>1</v>
      </c>
      <c r="B390" s="17">
        <v>43910</v>
      </c>
      <c r="C390" t="s">
        <v>34</v>
      </c>
      <c r="D390" s="22">
        <v>7.72</v>
      </c>
      <c r="E390" t="s">
        <v>289</v>
      </c>
      <c r="F390" t="s">
        <v>237</v>
      </c>
      <c r="G390" t="s">
        <v>300</v>
      </c>
      <c r="H390" t="s">
        <v>1120</v>
      </c>
      <c r="I390" t="s">
        <v>1189</v>
      </c>
      <c r="J390" s="22">
        <v>-7.72</v>
      </c>
      <c r="K390" s="21">
        <v>7.72</v>
      </c>
      <c r="L390" s="22">
        <v>-7.72</v>
      </c>
      <c r="M390" t="s">
        <v>266</v>
      </c>
    </row>
    <row r="391" spans="1:13" x14ac:dyDescent="0.35">
      <c r="A391">
        <v>1</v>
      </c>
      <c r="B391" s="17">
        <v>43910</v>
      </c>
      <c r="C391" t="s">
        <v>34</v>
      </c>
      <c r="D391" s="22">
        <v>34.72</v>
      </c>
      <c r="E391" t="s">
        <v>289</v>
      </c>
      <c r="F391" t="s">
        <v>233</v>
      </c>
      <c r="G391" t="s">
        <v>301</v>
      </c>
      <c r="H391" t="s">
        <v>1120</v>
      </c>
      <c r="I391" t="s">
        <v>1189</v>
      </c>
      <c r="J391" s="22">
        <v>-34.72</v>
      </c>
      <c r="K391" s="21">
        <v>34.72</v>
      </c>
      <c r="L391" s="22">
        <v>-34.72</v>
      </c>
    </row>
    <row r="392" spans="1:13" x14ac:dyDescent="0.35">
      <c r="A392">
        <v>1</v>
      </c>
      <c r="B392" s="17">
        <v>43910</v>
      </c>
      <c r="C392" t="s">
        <v>34</v>
      </c>
      <c r="D392" s="22">
        <v>343.38</v>
      </c>
      <c r="E392" t="s">
        <v>289</v>
      </c>
      <c r="F392" t="s">
        <v>180</v>
      </c>
      <c r="G392" t="s">
        <v>81</v>
      </c>
      <c r="H392" t="s">
        <v>1120</v>
      </c>
      <c r="I392" t="s">
        <v>1189</v>
      </c>
      <c r="J392" s="22">
        <v>-343.38</v>
      </c>
      <c r="K392" s="21">
        <v>343.38</v>
      </c>
      <c r="L392" s="22">
        <v>-343.38</v>
      </c>
    </row>
    <row r="393" spans="1:13" x14ac:dyDescent="0.35">
      <c r="A393">
        <v>1</v>
      </c>
      <c r="B393" s="17">
        <v>43910</v>
      </c>
      <c r="C393" t="s">
        <v>168</v>
      </c>
      <c r="D393" s="22">
        <v>5.58</v>
      </c>
      <c r="E393" t="s">
        <v>290</v>
      </c>
      <c r="F393" t="s">
        <v>237</v>
      </c>
      <c r="G393" t="s">
        <v>300</v>
      </c>
      <c r="H393" t="s">
        <v>1120</v>
      </c>
      <c r="I393" t="s">
        <v>1190</v>
      </c>
      <c r="J393" s="22">
        <v>5.58</v>
      </c>
      <c r="K393" s="21">
        <v>5.58</v>
      </c>
      <c r="L393" s="22">
        <v>5.58</v>
      </c>
      <c r="M393" t="s">
        <v>266</v>
      </c>
    </row>
    <row r="394" spans="1:13" x14ac:dyDescent="0.35">
      <c r="A394">
        <v>1</v>
      </c>
      <c r="B394" s="17">
        <v>43910</v>
      </c>
      <c r="C394" t="s">
        <v>168</v>
      </c>
      <c r="D394" s="22">
        <v>25.12</v>
      </c>
      <c r="E394" t="s">
        <v>290</v>
      </c>
      <c r="F394" t="s">
        <v>233</v>
      </c>
      <c r="G394" t="s">
        <v>301</v>
      </c>
      <c r="H394" t="s">
        <v>1120</v>
      </c>
      <c r="I394" t="s">
        <v>1190</v>
      </c>
      <c r="J394" s="22">
        <v>25.12</v>
      </c>
      <c r="K394" s="21">
        <v>25.12</v>
      </c>
      <c r="L394" s="22">
        <v>25.12</v>
      </c>
    </row>
    <row r="395" spans="1:13" x14ac:dyDescent="0.35">
      <c r="A395">
        <v>1</v>
      </c>
      <c r="B395" s="17">
        <v>43910</v>
      </c>
      <c r="C395" t="s">
        <v>168</v>
      </c>
      <c r="D395" s="22">
        <v>248.45</v>
      </c>
      <c r="E395" t="s">
        <v>290</v>
      </c>
      <c r="F395" t="s">
        <v>180</v>
      </c>
      <c r="G395" t="s">
        <v>81</v>
      </c>
      <c r="H395" t="s">
        <v>1120</v>
      </c>
      <c r="I395" t="s">
        <v>1190</v>
      </c>
      <c r="J395" s="22">
        <v>248.45</v>
      </c>
      <c r="K395" s="21">
        <v>248.45</v>
      </c>
      <c r="L395" s="22">
        <v>248.45</v>
      </c>
    </row>
    <row r="396" spans="1:13" x14ac:dyDescent="0.35">
      <c r="A396">
        <v>1</v>
      </c>
      <c r="B396" s="17">
        <v>43910</v>
      </c>
      <c r="C396" t="s">
        <v>168</v>
      </c>
      <c r="D396" s="22">
        <v>26.27</v>
      </c>
      <c r="E396" t="s">
        <v>291</v>
      </c>
      <c r="F396" t="s">
        <v>237</v>
      </c>
      <c r="G396" t="s">
        <v>300</v>
      </c>
      <c r="H396" t="s">
        <v>1120</v>
      </c>
      <c r="I396" t="s">
        <v>1191</v>
      </c>
      <c r="J396" s="22">
        <v>26.27</v>
      </c>
      <c r="K396" s="21">
        <v>26.27</v>
      </c>
      <c r="L396" s="22">
        <v>26.27</v>
      </c>
      <c r="M396" t="s">
        <v>266</v>
      </c>
    </row>
    <row r="397" spans="1:13" x14ac:dyDescent="0.35">
      <c r="A397">
        <v>1</v>
      </c>
      <c r="B397" s="17">
        <v>43910</v>
      </c>
      <c r="C397" t="s">
        <v>168</v>
      </c>
      <c r="D397" s="22">
        <v>118.21</v>
      </c>
      <c r="E397" t="s">
        <v>291</v>
      </c>
      <c r="F397" t="s">
        <v>233</v>
      </c>
      <c r="G397" t="s">
        <v>301</v>
      </c>
      <c r="H397" t="s">
        <v>1120</v>
      </c>
      <c r="I397" t="s">
        <v>1191</v>
      </c>
      <c r="J397" s="22">
        <v>118.21</v>
      </c>
      <c r="K397" s="21">
        <v>118.21</v>
      </c>
      <c r="L397" s="22">
        <v>118.21</v>
      </c>
    </row>
    <row r="398" spans="1:13" x14ac:dyDescent="0.35">
      <c r="A398">
        <v>1</v>
      </c>
      <c r="B398" s="17">
        <v>43910</v>
      </c>
      <c r="C398" t="s">
        <v>168</v>
      </c>
      <c r="D398" s="22">
        <v>1168.92</v>
      </c>
      <c r="E398" t="s">
        <v>291</v>
      </c>
      <c r="F398" t="s">
        <v>180</v>
      </c>
      <c r="G398" t="s">
        <v>81</v>
      </c>
      <c r="H398" t="s">
        <v>1120</v>
      </c>
      <c r="I398" t="s">
        <v>1191</v>
      </c>
      <c r="J398" s="22">
        <v>1168.92</v>
      </c>
      <c r="K398" s="21">
        <v>1168.92</v>
      </c>
      <c r="L398" s="22">
        <v>1168.92</v>
      </c>
    </row>
    <row r="399" spans="1:13" x14ac:dyDescent="0.35">
      <c r="A399">
        <v>1</v>
      </c>
      <c r="B399" s="17">
        <v>43910</v>
      </c>
      <c r="C399" t="s">
        <v>168</v>
      </c>
      <c r="D399" s="22">
        <v>52.02</v>
      </c>
      <c r="E399" t="s">
        <v>292</v>
      </c>
      <c r="F399" t="s">
        <v>237</v>
      </c>
      <c r="G399" t="s">
        <v>300</v>
      </c>
      <c r="H399" t="s">
        <v>1120</v>
      </c>
      <c r="I399" t="s">
        <v>1192</v>
      </c>
      <c r="J399" s="22">
        <v>52.02</v>
      </c>
      <c r="K399" s="21">
        <v>52.02</v>
      </c>
      <c r="L399" s="22">
        <v>52.02</v>
      </c>
      <c r="M399" t="s">
        <v>266</v>
      </c>
    </row>
    <row r="400" spans="1:13" x14ac:dyDescent="0.35">
      <c r="A400">
        <v>1</v>
      </c>
      <c r="B400" s="17">
        <v>43910</v>
      </c>
      <c r="C400" t="s">
        <v>168</v>
      </c>
      <c r="D400" s="22">
        <v>234.09</v>
      </c>
      <c r="E400" t="s">
        <v>292</v>
      </c>
      <c r="F400" t="s">
        <v>233</v>
      </c>
      <c r="G400" t="s">
        <v>301</v>
      </c>
      <c r="H400" t="s">
        <v>1120</v>
      </c>
      <c r="I400" t="s">
        <v>1192</v>
      </c>
      <c r="J400" s="22">
        <v>234.09</v>
      </c>
      <c r="K400" s="21">
        <v>234.09</v>
      </c>
      <c r="L400" s="22">
        <v>234.09</v>
      </c>
    </row>
    <row r="401" spans="1:13" x14ac:dyDescent="0.35">
      <c r="A401">
        <v>1</v>
      </c>
      <c r="B401" s="17">
        <v>43910</v>
      </c>
      <c r="C401" t="s">
        <v>168</v>
      </c>
      <c r="D401" s="22">
        <v>2314.85</v>
      </c>
      <c r="E401" t="s">
        <v>292</v>
      </c>
      <c r="F401" t="s">
        <v>180</v>
      </c>
      <c r="G401" t="s">
        <v>81</v>
      </c>
      <c r="H401" t="s">
        <v>1120</v>
      </c>
      <c r="I401" t="s">
        <v>1192</v>
      </c>
      <c r="J401" s="22">
        <v>2314.85</v>
      </c>
      <c r="K401" s="21">
        <v>2314.85</v>
      </c>
      <c r="L401" s="22">
        <v>2314.85</v>
      </c>
    </row>
    <row r="402" spans="1:13" x14ac:dyDescent="0.35">
      <c r="A402">
        <v>1</v>
      </c>
      <c r="B402" s="17">
        <v>43910</v>
      </c>
      <c r="C402" t="s">
        <v>34</v>
      </c>
      <c r="D402" s="22">
        <v>76.150000000000006</v>
      </c>
      <c r="E402" t="s">
        <v>93</v>
      </c>
      <c r="F402" t="s">
        <v>237</v>
      </c>
      <c r="G402" t="s">
        <v>300</v>
      </c>
      <c r="H402" t="s">
        <v>1120</v>
      </c>
      <c r="I402" t="s">
        <v>1193</v>
      </c>
      <c r="J402" s="22">
        <v>-76.150000000000006</v>
      </c>
      <c r="K402" s="21">
        <v>76.150000000000006</v>
      </c>
      <c r="L402" s="22">
        <v>-76.150000000000006</v>
      </c>
      <c r="M402" t="s">
        <v>266</v>
      </c>
    </row>
    <row r="403" spans="1:13" x14ac:dyDescent="0.35">
      <c r="A403">
        <v>1</v>
      </c>
      <c r="B403" s="17">
        <v>43910</v>
      </c>
      <c r="C403" t="s">
        <v>34</v>
      </c>
      <c r="D403" s="22">
        <v>342.69</v>
      </c>
      <c r="E403" t="s">
        <v>93</v>
      </c>
      <c r="F403" t="s">
        <v>233</v>
      </c>
      <c r="G403" t="s">
        <v>301</v>
      </c>
      <c r="H403" t="s">
        <v>1120</v>
      </c>
      <c r="I403" t="s">
        <v>1193</v>
      </c>
      <c r="J403" s="22">
        <v>-342.69</v>
      </c>
      <c r="K403" s="21">
        <v>342.69</v>
      </c>
      <c r="L403" s="22">
        <v>-342.69</v>
      </c>
    </row>
    <row r="404" spans="1:13" x14ac:dyDescent="0.35">
      <c r="A404">
        <v>1</v>
      </c>
      <c r="B404" s="17">
        <v>43910</v>
      </c>
      <c r="C404" t="s">
        <v>34</v>
      </c>
      <c r="D404" s="22">
        <v>3388.85</v>
      </c>
      <c r="E404" t="s">
        <v>93</v>
      </c>
      <c r="F404" t="s">
        <v>180</v>
      </c>
      <c r="G404" t="s">
        <v>81</v>
      </c>
      <c r="H404" t="s">
        <v>1120</v>
      </c>
      <c r="I404" t="s">
        <v>1193</v>
      </c>
      <c r="J404" s="22">
        <v>-3388.85</v>
      </c>
      <c r="K404" s="21">
        <v>3388.85</v>
      </c>
      <c r="L404" s="22">
        <v>-3388.85</v>
      </c>
    </row>
    <row r="405" spans="1:13" x14ac:dyDescent="0.35">
      <c r="A405">
        <v>1</v>
      </c>
      <c r="B405" s="17">
        <v>43910</v>
      </c>
      <c r="C405" t="s">
        <v>168</v>
      </c>
      <c r="D405" s="22">
        <v>26.27</v>
      </c>
      <c r="E405" t="s">
        <v>292</v>
      </c>
      <c r="F405" t="s">
        <v>237</v>
      </c>
      <c r="G405" t="s">
        <v>300</v>
      </c>
      <c r="H405" t="s">
        <v>1120</v>
      </c>
      <c r="I405" t="s">
        <v>1194</v>
      </c>
      <c r="J405" s="22">
        <v>26.27</v>
      </c>
      <c r="K405" s="21">
        <v>26.27</v>
      </c>
      <c r="L405" s="22">
        <v>26.27</v>
      </c>
      <c r="M405" t="s">
        <v>266</v>
      </c>
    </row>
    <row r="406" spans="1:13" x14ac:dyDescent="0.35">
      <c r="A406">
        <v>1</v>
      </c>
      <c r="B406" s="17">
        <v>43910</v>
      </c>
      <c r="C406" t="s">
        <v>168</v>
      </c>
      <c r="D406" s="22">
        <v>118.21</v>
      </c>
      <c r="E406" t="s">
        <v>292</v>
      </c>
      <c r="F406" t="s">
        <v>233</v>
      </c>
      <c r="G406" t="s">
        <v>301</v>
      </c>
      <c r="H406" t="s">
        <v>1120</v>
      </c>
      <c r="I406" t="s">
        <v>1194</v>
      </c>
      <c r="J406" s="22">
        <v>118.21</v>
      </c>
      <c r="K406" s="21">
        <v>118.21</v>
      </c>
      <c r="L406" s="22">
        <v>118.21</v>
      </c>
    </row>
    <row r="407" spans="1:13" x14ac:dyDescent="0.35">
      <c r="A407">
        <v>1</v>
      </c>
      <c r="B407" s="17">
        <v>43910</v>
      </c>
      <c r="C407" t="s">
        <v>168</v>
      </c>
      <c r="D407" s="22">
        <v>1168.92</v>
      </c>
      <c r="E407" t="s">
        <v>292</v>
      </c>
      <c r="F407" t="s">
        <v>180</v>
      </c>
      <c r="G407" t="s">
        <v>81</v>
      </c>
      <c r="H407" t="s">
        <v>1120</v>
      </c>
      <c r="I407" t="s">
        <v>1194</v>
      </c>
      <c r="J407" s="22">
        <v>1168.92</v>
      </c>
      <c r="K407" s="21">
        <v>1168.92</v>
      </c>
      <c r="L407" s="22">
        <v>1168.92</v>
      </c>
    </row>
    <row r="408" spans="1:13" x14ac:dyDescent="0.35">
      <c r="A408">
        <v>1</v>
      </c>
      <c r="B408" s="17">
        <v>43910</v>
      </c>
      <c r="C408" t="s">
        <v>34</v>
      </c>
      <c r="D408" s="22">
        <v>26.27</v>
      </c>
      <c r="E408" t="s">
        <v>291</v>
      </c>
      <c r="F408" t="s">
        <v>237</v>
      </c>
      <c r="G408" t="s">
        <v>300</v>
      </c>
      <c r="H408" t="s">
        <v>1120</v>
      </c>
      <c r="I408" t="s">
        <v>1195</v>
      </c>
      <c r="J408" s="22">
        <v>-26.27</v>
      </c>
      <c r="K408" s="21">
        <v>26.27</v>
      </c>
      <c r="L408" s="22">
        <v>-26.27</v>
      </c>
      <c r="M408" t="s">
        <v>266</v>
      </c>
    </row>
    <row r="409" spans="1:13" x14ac:dyDescent="0.35">
      <c r="A409">
        <v>1</v>
      </c>
      <c r="B409" s="17">
        <v>43910</v>
      </c>
      <c r="C409" t="s">
        <v>34</v>
      </c>
      <c r="D409" s="22">
        <v>118.21</v>
      </c>
      <c r="E409" t="s">
        <v>291</v>
      </c>
      <c r="F409" t="s">
        <v>233</v>
      </c>
      <c r="G409" t="s">
        <v>301</v>
      </c>
      <c r="H409" t="s">
        <v>1120</v>
      </c>
      <c r="I409" t="s">
        <v>1195</v>
      </c>
      <c r="J409" s="22">
        <v>-118.21</v>
      </c>
      <c r="K409" s="21">
        <v>118.21</v>
      </c>
      <c r="L409" s="22">
        <v>-118.21</v>
      </c>
    </row>
    <row r="410" spans="1:13" x14ac:dyDescent="0.35">
      <c r="A410">
        <v>1</v>
      </c>
      <c r="B410" s="17">
        <v>43910</v>
      </c>
      <c r="C410" t="s">
        <v>34</v>
      </c>
      <c r="D410" s="22">
        <v>1168.92</v>
      </c>
      <c r="E410" t="s">
        <v>291</v>
      </c>
      <c r="F410" t="s">
        <v>180</v>
      </c>
      <c r="G410" t="s">
        <v>81</v>
      </c>
      <c r="H410" t="s">
        <v>1120</v>
      </c>
      <c r="I410" t="s">
        <v>1195</v>
      </c>
      <c r="J410" s="22">
        <v>-1168.92</v>
      </c>
      <c r="K410" s="21">
        <v>1168.92</v>
      </c>
      <c r="L410" s="22">
        <v>-1168.92</v>
      </c>
    </row>
    <row r="411" spans="1:13" x14ac:dyDescent="0.35">
      <c r="A411">
        <v>1</v>
      </c>
      <c r="B411" s="17">
        <v>43910</v>
      </c>
      <c r="C411" t="s">
        <v>34</v>
      </c>
      <c r="D411" s="22">
        <v>70.709999999999994</v>
      </c>
      <c r="E411" t="s">
        <v>289</v>
      </c>
      <c r="F411" t="s">
        <v>222</v>
      </c>
      <c r="G411" t="s">
        <v>294</v>
      </c>
      <c r="H411" t="s">
        <v>1128</v>
      </c>
      <c r="I411" t="s">
        <v>1196</v>
      </c>
      <c r="J411" s="22">
        <v>-70.709999999999994</v>
      </c>
      <c r="K411" s="21">
        <v>70.709999999999994</v>
      </c>
      <c r="L411" s="22">
        <v>-70.709999999999994</v>
      </c>
      <c r="M411" t="s">
        <v>266</v>
      </c>
    </row>
    <row r="412" spans="1:13" x14ac:dyDescent="0.35">
      <c r="A412">
        <v>1</v>
      </c>
      <c r="B412" s="17">
        <v>43910</v>
      </c>
      <c r="C412" t="s">
        <v>34</v>
      </c>
      <c r="D412" s="22">
        <v>84.86</v>
      </c>
      <c r="E412" t="s">
        <v>289</v>
      </c>
      <c r="F412" t="s">
        <v>224</v>
      </c>
      <c r="G412" t="s">
        <v>295</v>
      </c>
      <c r="H412" t="s">
        <v>1128</v>
      </c>
      <c r="I412" t="s">
        <v>1196</v>
      </c>
      <c r="J412" s="22">
        <v>-84.86</v>
      </c>
      <c r="K412" s="21">
        <v>84.86</v>
      </c>
      <c r="L412" s="22">
        <v>-84.86</v>
      </c>
    </row>
    <row r="413" spans="1:13" x14ac:dyDescent="0.35">
      <c r="A413">
        <v>1</v>
      </c>
      <c r="B413" s="17">
        <v>43910</v>
      </c>
      <c r="C413" t="s">
        <v>34</v>
      </c>
      <c r="D413" s="22">
        <v>17.68</v>
      </c>
      <c r="E413" t="s">
        <v>289</v>
      </c>
      <c r="F413" t="s">
        <v>227</v>
      </c>
      <c r="G413" t="s">
        <v>297</v>
      </c>
      <c r="H413" t="s">
        <v>1128</v>
      </c>
      <c r="I413" t="s">
        <v>1196</v>
      </c>
      <c r="J413" s="22">
        <v>-17.68</v>
      </c>
      <c r="K413" s="21">
        <v>17.68</v>
      </c>
      <c r="L413" s="22">
        <v>-17.68</v>
      </c>
    </row>
    <row r="414" spans="1:13" x14ac:dyDescent="0.35">
      <c r="A414">
        <v>1</v>
      </c>
      <c r="B414" s="17">
        <v>43910</v>
      </c>
      <c r="C414" t="s">
        <v>34</v>
      </c>
      <c r="D414" s="22">
        <v>14.14</v>
      </c>
      <c r="E414" t="s">
        <v>289</v>
      </c>
      <c r="F414" t="s">
        <v>228</v>
      </c>
      <c r="G414" t="s">
        <v>298</v>
      </c>
      <c r="H414" t="s">
        <v>1128</v>
      </c>
      <c r="I414" t="s">
        <v>1196</v>
      </c>
      <c r="J414" s="22">
        <v>-14.14</v>
      </c>
      <c r="K414" s="21">
        <v>14.14</v>
      </c>
      <c r="L414" s="22">
        <v>-14.14</v>
      </c>
    </row>
    <row r="415" spans="1:13" x14ac:dyDescent="0.35">
      <c r="A415">
        <v>1</v>
      </c>
      <c r="B415" s="17">
        <v>43910</v>
      </c>
      <c r="C415" t="s">
        <v>34</v>
      </c>
      <c r="D415" s="22">
        <v>7.07</v>
      </c>
      <c r="E415" t="s">
        <v>289</v>
      </c>
      <c r="F415" t="s">
        <v>229</v>
      </c>
      <c r="G415" t="s">
        <v>294</v>
      </c>
      <c r="H415" t="s">
        <v>1128</v>
      </c>
      <c r="I415" t="s">
        <v>1196</v>
      </c>
      <c r="J415" s="22">
        <v>-7.07</v>
      </c>
      <c r="K415" s="21">
        <v>7.07</v>
      </c>
      <c r="L415" s="22">
        <v>-7.07</v>
      </c>
    </row>
    <row r="416" spans="1:13" x14ac:dyDescent="0.35">
      <c r="A416">
        <v>1</v>
      </c>
      <c r="B416" s="17">
        <v>43910</v>
      </c>
      <c r="C416" t="s">
        <v>34</v>
      </c>
      <c r="D416" s="22">
        <v>21.21</v>
      </c>
      <c r="E416" t="s">
        <v>289</v>
      </c>
      <c r="F416" t="s">
        <v>230</v>
      </c>
      <c r="G416" t="s">
        <v>299</v>
      </c>
      <c r="H416" t="s">
        <v>1128</v>
      </c>
      <c r="I416" t="s">
        <v>1196</v>
      </c>
      <c r="J416" s="22">
        <v>-21.21</v>
      </c>
      <c r="K416" s="21">
        <v>21.21</v>
      </c>
      <c r="L416" s="22">
        <v>-21.21</v>
      </c>
    </row>
    <row r="417" spans="1:13" x14ac:dyDescent="0.35">
      <c r="A417">
        <v>1</v>
      </c>
      <c r="B417" s="17">
        <v>43910</v>
      </c>
      <c r="C417" t="s">
        <v>34</v>
      </c>
      <c r="D417" s="22">
        <v>137.9</v>
      </c>
      <c r="E417" t="s">
        <v>289</v>
      </c>
      <c r="F417" t="s">
        <v>231</v>
      </c>
      <c r="G417" t="s">
        <v>217</v>
      </c>
      <c r="H417" t="s">
        <v>1128</v>
      </c>
      <c r="I417" t="s">
        <v>1196</v>
      </c>
      <c r="J417" s="22">
        <v>-137.9</v>
      </c>
      <c r="K417" s="21">
        <v>137.9</v>
      </c>
      <c r="L417" s="22">
        <v>-137.9</v>
      </c>
    </row>
    <row r="418" spans="1:13" x14ac:dyDescent="0.35">
      <c r="A418">
        <v>1</v>
      </c>
      <c r="B418" s="17">
        <v>43910</v>
      </c>
      <c r="C418" t="s">
        <v>168</v>
      </c>
      <c r="D418" s="22">
        <v>99.72</v>
      </c>
      <c r="E418" t="s">
        <v>290</v>
      </c>
      <c r="F418" t="s">
        <v>222</v>
      </c>
      <c r="G418" t="s">
        <v>294</v>
      </c>
      <c r="H418" t="s">
        <v>1128</v>
      </c>
      <c r="I418" t="s">
        <v>1197</v>
      </c>
      <c r="J418" s="22">
        <v>99.72</v>
      </c>
      <c r="K418" s="21">
        <v>99.72</v>
      </c>
      <c r="L418" s="22">
        <v>99.72</v>
      </c>
      <c r="M418" t="s">
        <v>266</v>
      </c>
    </row>
    <row r="419" spans="1:13" x14ac:dyDescent="0.35">
      <c r="A419">
        <v>1</v>
      </c>
      <c r="B419" s="17">
        <v>43910</v>
      </c>
      <c r="C419" t="s">
        <v>168</v>
      </c>
      <c r="D419" s="22">
        <v>119.67</v>
      </c>
      <c r="E419" t="s">
        <v>290</v>
      </c>
      <c r="F419" t="s">
        <v>224</v>
      </c>
      <c r="G419" t="s">
        <v>295</v>
      </c>
      <c r="H419" t="s">
        <v>1128</v>
      </c>
      <c r="I419" t="s">
        <v>1197</v>
      </c>
      <c r="J419" s="22">
        <v>119.67</v>
      </c>
      <c r="K419" s="21">
        <v>119.67</v>
      </c>
      <c r="L419" s="22">
        <v>119.67</v>
      </c>
    </row>
    <row r="420" spans="1:13" x14ac:dyDescent="0.35">
      <c r="A420">
        <v>1</v>
      </c>
      <c r="B420" s="17">
        <v>43910</v>
      </c>
      <c r="C420" t="s">
        <v>168</v>
      </c>
      <c r="D420" s="22">
        <v>24.93</v>
      </c>
      <c r="E420" t="s">
        <v>290</v>
      </c>
      <c r="F420" t="s">
        <v>227</v>
      </c>
      <c r="G420" t="s">
        <v>297</v>
      </c>
      <c r="H420" t="s">
        <v>1128</v>
      </c>
      <c r="I420" t="s">
        <v>1197</v>
      </c>
      <c r="J420" s="22">
        <v>24.93</v>
      </c>
      <c r="K420" s="21">
        <v>24.93</v>
      </c>
      <c r="L420" s="22">
        <v>24.93</v>
      </c>
    </row>
    <row r="421" spans="1:13" x14ac:dyDescent="0.35">
      <c r="A421">
        <v>1</v>
      </c>
      <c r="B421" s="17">
        <v>43910</v>
      </c>
      <c r="C421" t="s">
        <v>168</v>
      </c>
      <c r="D421" s="22">
        <v>19.940000000000001</v>
      </c>
      <c r="E421" t="s">
        <v>290</v>
      </c>
      <c r="F421" t="s">
        <v>228</v>
      </c>
      <c r="G421" t="s">
        <v>298</v>
      </c>
      <c r="H421" t="s">
        <v>1128</v>
      </c>
      <c r="I421" t="s">
        <v>1197</v>
      </c>
      <c r="J421" s="22">
        <v>19.940000000000001</v>
      </c>
      <c r="K421" s="21">
        <v>19.940000000000001</v>
      </c>
      <c r="L421" s="22">
        <v>19.940000000000001</v>
      </c>
    </row>
    <row r="422" spans="1:13" x14ac:dyDescent="0.35">
      <c r="A422">
        <v>1</v>
      </c>
      <c r="B422" s="17">
        <v>43910</v>
      </c>
      <c r="C422" t="s">
        <v>168</v>
      </c>
      <c r="D422" s="22">
        <v>9.9700000000000006</v>
      </c>
      <c r="E422" t="s">
        <v>290</v>
      </c>
      <c r="F422" t="s">
        <v>229</v>
      </c>
      <c r="G422" t="s">
        <v>294</v>
      </c>
      <c r="H422" t="s">
        <v>1128</v>
      </c>
      <c r="I422" t="s">
        <v>1197</v>
      </c>
      <c r="J422" s="22">
        <v>9.9700000000000006</v>
      </c>
      <c r="K422" s="21">
        <v>9.9700000000000006</v>
      </c>
      <c r="L422" s="22">
        <v>9.9700000000000006</v>
      </c>
    </row>
    <row r="423" spans="1:13" x14ac:dyDescent="0.35">
      <c r="A423">
        <v>1</v>
      </c>
      <c r="B423" s="17">
        <v>43910</v>
      </c>
      <c r="C423" t="s">
        <v>168</v>
      </c>
      <c r="D423" s="22">
        <v>29.92</v>
      </c>
      <c r="E423" t="s">
        <v>290</v>
      </c>
      <c r="F423" t="s">
        <v>230</v>
      </c>
      <c r="G423" t="s">
        <v>299</v>
      </c>
      <c r="H423" t="s">
        <v>1128</v>
      </c>
      <c r="I423" t="s">
        <v>1197</v>
      </c>
      <c r="J423" s="22">
        <v>29.92</v>
      </c>
      <c r="K423" s="21">
        <v>29.92</v>
      </c>
      <c r="L423" s="22">
        <v>29.92</v>
      </c>
    </row>
    <row r="424" spans="1:13" x14ac:dyDescent="0.35">
      <c r="A424">
        <v>1</v>
      </c>
      <c r="B424" s="17">
        <v>43910</v>
      </c>
      <c r="C424" t="s">
        <v>168</v>
      </c>
      <c r="D424" s="22">
        <v>194.47</v>
      </c>
      <c r="E424" t="s">
        <v>290</v>
      </c>
      <c r="F424" t="s">
        <v>231</v>
      </c>
      <c r="G424" t="s">
        <v>217</v>
      </c>
      <c r="H424" t="s">
        <v>1128</v>
      </c>
      <c r="I424" t="s">
        <v>1197</v>
      </c>
      <c r="J424" s="22">
        <v>194.47</v>
      </c>
      <c r="K424" s="21">
        <v>194.47</v>
      </c>
      <c r="L424" s="22">
        <v>194.47</v>
      </c>
    </row>
    <row r="425" spans="1:13" x14ac:dyDescent="0.35">
      <c r="A425">
        <v>1</v>
      </c>
      <c r="B425" s="17">
        <v>43910</v>
      </c>
      <c r="C425" t="s">
        <v>168</v>
      </c>
      <c r="D425" s="22">
        <v>240.79</v>
      </c>
      <c r="E425" t="s">
        <v>291</v>
      </c>
      <c r="F425" t="s">
        <v>222</v>
      </c>
      <c r="G425" t="s">
        <v>294</v>
      </c>
      <c r="H425" t="s">
        <v>1128</v>
      </c>
      <c r="I425" t="s">
        <v>1198</v>
      </c>
      <c r="J425" s="22">
        <v>240.79</v>
      </c>
      <c r="K425" s="21">
        <v>240.79</v>
      </c>
      <c r="L425" s="22">
        <v>240.79</v>
      </c>
      <c r="M425" t="s">
        <v>266</v>
      </c>
    </row>
    <row r="426" spans="1:13" x14ac:dyDescent="0.35">
      <c r="A426">
        <v>1</v>
      </c>
      <c r="B426" s="17">
        <v>43910</v>
      </c>
      <c r="C426" t="s">
        <v>168</v>
      </c>
      <c r="D426" s="22">
        <v>288.95</v>
      </c>
      <c r="E426" t="s">
        <v>291</v>
      </c>
      <c r="F426" t="s">
        <v>224</v>
      </c>
      <c r="G426" t="s">
        <v>295</v>
      </c>
      <c r="H426" t="s">
        <v>1128</v>
      </c>
      <c r="I426" t="s">
        <v>1198</v>
      </c>
      <c r="J426" s="22">
        <v>288.95</v>
      </c>
      <c r="K426" s="21">
        <v>288.95</v>
      </c>
      <c r="L426" s="22">
        <v>288.95</v>
      </c>
    </row>
    <row r="427" spans="1:13" x14ac:dyDescent="0.35">
      <c r="A427">
        <v>1</v>
      </c>
      <c r="B427" s="17">
        <v>43910</v>
      </c>
      <c r="C427" t="s">
        <v>168</v>
      </c>
      <c r="D427" s="22">
        <v>60.2</v>
      </c>
      <c r="E427" t="s">
        <v>291</v>
      </c>
      <c r="F427" t="s">
        <v>227</v>
      </c>
      <c r="G427" t="s">
        <v>297</v>
      </c>
      <c r="H427" t="s">
        <v>1128</v>
      </c>
      <c r="I427" t="s">
        <v>1198</v>
      </c>
      <c r="J427" s="22">
        <v>60.2</v>
      </c>
      <c r="K427" s="21">
        <v>60.2</v>
      </c>
      <c r="L427" s="22">
        <v>60.2</v>
      </c>
    </row>
    <row r="428" spans="1:13" x14ac:dyDescent="0.35">
      <c r="A428">
        <v>1</v>
      </c>
      <c r="B428" s="17">
        <v>43910</v>
      </c>
      <c r="C428" t="s">
        <v>168</v>
      </c>
      <c r="D428" s="22">
        <v>48.16</v>
      </c>
      <c r="E428" t="s">
        <v>291</v>
      </c>
      <c r="F428" t="s">
        <v>228</v>
      </c>
      <c r="G428" t="s">
        <v>298</v>
      </c>
      <c r="H428" t="s">
        <v>1128</v>
      </c>
      <c r="I428" t="s">
        <v>1198</v>
      </c>
      <c r="J428" s="22">
        <v>48.16</v>
      </c>
      <c r="K428" s="21">
        <v>48.16</v>
      </c>
      <c r="L428" s="22">
        <v>48.16</v>
      </c>
    </row>
    <row r="429" spans="1:13" x14ac:dyDescent="0.35">
      <c r="A429">
        <v>1</v>
      </c>
      <c r="B429" s="17">
        <v>43910</v>
      </c>
      <c r="C429" t="s">
        <v>168</v>
      </c>
      <c r="D429" s="22">
        <v>24.08</v>
      </c>
      <c r="E429" t="s">
        <v>291</v>
      </c>
      <c r="F429" t="s">
        <v>229</v>
      </c>
      <c r="G429" t="s">
        <v>294</v>
      </c>
      <c r="H429" t="s">
        <v>1128</v>
      </c>
      <c r="I429" t="s">
        <v>1198</v>
      </c>
      <c r="J429" s="22">
        <v>24.08</v>
      </c>
      <c r="K429" s="21">
        <v>24.08</v>
      </c>
      <c r="L429" s="22">
        <v>24.08</v>
      </c>
    </row>
    <row r="430" spans="1:13" x14ac:dyDescent="0.35">
      <c r="A430">
        <v>1</v>
      </c>
      <c r="B430" s="17">
        <v>43910</v>
      </c>
      <c r="C430" t="s">
        <v>168</v>
      </c>
      <c r="D430" s="22">
        <v>72.239999999999995</v>
      </c>
      <c r="E430" t="s">
        <v>291</v>
      </c>
      <c r="F430" t="s">
        <v>230</v>
      </c>
      <c r="G430" t="s">
        <v>299</v>
      </c>
      <c r="H430" t="s">
        <v>1128</v>
      </c>
      <c r="I430" t="s">
        <v>1198</v>
      </c>
      <c r="J430" s="22">
        <v>72.239999999999995</v>
      </c>
      <c r="K430" s="21">
        <v>72.239999999999995</v>
      </c>
      <c r="L430" s="22">
        <v>72.239999999999995</v>
      </c>
    </row>
    <row r="431" spans="1:13" x14ac:dyDescent="0.35">
      <c r="A431">
        <v>1</v>
      </c>
      <c r="B431" s="17">
        <v>43910</v>
      </c>
      <c r="C431" t="s">
        <v>168</v>
      </c>
      <c r="D431" s="22">
        <v>469.52</v>
      </c>
      <c r="E431" t="s">
        <v>291</v>
      </c>
      <c r="F431" t="s">
        <v>231</v>
      </c>
      <c r="G431" t="s">
        <v>217</v>
      </c>
      <c r="H431" t="s">
        <v>1128</v>
      </c>
      <c r="I431" t="s">
        <v>1198</v>
      </c>
      <c r="J431" s="22">
        <v>469.52</v>
      </c>
      <c r="K431" s="21">
        <v>469.52</v>
      </c>
      <c r="L431" s="22">
        <v>469.52</v>
      </c>
    </row>
    <row r="432" spans="1:13" x14ac:dyDescent="0.35">
      <c r="A432">
        <v>1</v>
      </c>
      <c r="B432" s="17">
        <v>43910</v>
      </c>
      <c r="C432" t="s">
        <v>168</v>
      </c>
      <c r="D432" s="22">
        <v>422.51</v>
      </c>
      <c r="E432" t="s">
        <v>292</v>
      </c>
      <c r="F432" t="s">
        <v>222</v>
      </c>
      <c r="G432" t="s">
        <v>294</v>
      </c>
      <c r="H432" t="s">
        <v>1128</v>
      </c>
      <c r="I432" t="s">
        <v>1199</v>
      </c>
      <c r="J432" s="22">
        <v>422.51</v>
      </c>
      <c r="K432" s="21">
        <v>422.51</v>
      </c>
      <c r="L432" s="22">
        <v>422.51</v>
      </c>
      <c r="M432" t="s">
        <v>266</v>
      </c>
    </row>
    <row r="433" spans="1:13" x14ac:dyDescent="0.35">
      <c r="A433">
        <v>1</v>
      </c>
      <c r="B433" s="17">
        <v>43910</v>
      </c>
      <c r="C433" t="s">
        <v>168</v>
      </c>
      <c r="D433" s="22">
        <v>507.01</v>
      </c>
      <c r="E433" t="s">
        <v>292</v>
      </c>
      <c r="F433" t="s">
        <v>224</v>
      </c>
      <c r="G433" t="s">
        <v>295</v>
      </c>
      <c r="H433" t="s">
        <v>1128</v>
      </c>
      <c r="I433" t="s">
        <v>1199</v>
      </c>
      <c r="J433" s="22">
        <v>507.01</v>
      </c>
      <c r="K433" s="21">
        <v>507.01</v>
      </c>
      <c r="L433" s="22">
        <v>507.01</v>
      </c>
    </row>
    <row r="434" spans="1:13" x14ac:dyDescent="0.35">
      <c r="A434">
        <v>1</v>
      </c>
      <c r="B434" s="17">
        <v>43910</v>
      </c>
      <c r="C434" t="s">
        <v>168</v>
      </c>
      <c r="D434" s="22">
        <v>105.63</v>
      </c>
      <c r="E434" t="s">
        <v>292</v>
      </c>
      <c r="F434" t="s">
        <v>227</v>
      </c>
      <c r="G434" t="s">
        <v>297</v>
      </c>
      <c r="H434" t="s">
        <v>1128</v>
      </c>
      <c r="I434" t="s">
        <v>1199</v>
      </c>
      <c r="J434" s="22">
        <v>105.63</v>
      </c>
      <c r="K434" s="21">
        <v>105.63</v>
      </c>
      <c r="L434" s="22">
        <v>105.63</v>
      </c>
    </row>
    <row r="435" spans="1:13" x14ac:dyDescent="0.35">
      <c r="A435">
        <v>1</v>
      </c>
      <c r="B435" s="17">
        <v>43910</v>
      </c>
      <c r="C435" t="s">
        <v>168</v>
      </c>
      <c r="D435" s="22">
        <v>84.5</v>
      </c>
      <c r="E435" t="s">
        <v>292</v>
      </c>
      <c r="F435" t="s">
        <v>228</v>
      </c>
      <c r="G435" t="s">
        <v>298</v>
      </c>
      <c r="H435" t="s">
        <v>1128</v>
      </c>
      <c r="I435" t="s">
        <v>1199</v>
      </c>
      <c r="J435" s="22">
        <v>84.5</v>
      </c>
      <c r="K435" s="21">
        <v>84.5</v>
      </c>
      <c r="L435" s="22">
        <v>84.5</v>
      </c>
    </row>
    <row r="436" spans="1:13" x14ac:dyDescent="0.35">
      <c r="A436">
        <v>1</v>
      </c>
      <c r="B436" s="17">
        <v>43910</v>
      </c>
      <c r="C436" t="s">
        <v>168</v>
      </c>
      <c r="D436" s="22">
        <v>42.25</v>
      </c>
      <c r="E436" t="s">
        <v>292</v>
      </c>
      <c r="F436" t="s">
        <v>229</v>
      </c>
      <c r="G436" t="s">
        <v>294</v>
      </c>
      <c r="H436" t="s">
        <v>1128</v>
      </c>
      <c r="I436" t="s">
        <v>1199</v>
      </c>
      <c r="J436" s="22">
        <v>42.25</v>
      </c>
      <c r="K436" s="21">
        <v>42.25</v>
      </c>
      <c r="L436" s="22">
        <v>42.25</v>
      </c>
    </row>
    <row r="437" spans="1:13" x14ac:dyDescent="0.35">
      <c r="A437">
        <v>1</v>
      </c>
      <c r="B437" s="17">
        <v>43910</v>
      </c>
      <c r="C437" t="s">
        <v>168</v>
      </c>
      <c r="D437" s="22">
        <v>126.75</v>
      </c>
      <c r="E437" t="s">
        <v>292</v>
      </c>
      <c r="F437" t="s">
        <v>230</v>
      </c>
      <c r="G437" t="s">
        <v>299</v>
      </c>
      <c r="H437" t="s">
        <v>1128</v>
      </c>
      <c r="I437" t="s">
        <v>1199</v>
      </c>
      <c r="J437" s="22">
        <v>126.75</v>
      </c>
      <c r="K437" s="21">
        <v>126.75</v>
      </c>
      <c r="L437" s="22">
        <v>126.75</v>
      </c>
    </row>
    <row r="438" spans="1:13" x14ac:dyDescent="0.35">
      <c r="A438">
        <v>1</v>
      </c>
      <c r="B438" s="17">
        <v>43910</v>
      </c>
      <c r="C438" t="s">
        <v>168</v>
      </c>
      <c r="D438" s="22">
        <v>823.9</v>
      </c>
      <c r="E438" t="s">
        <v>292</v>
      </c>
      <c r="F438" t="s">
        <v>231</v>
      </c>
      <c r="G438" t="s">
        <v>217</v>
      </c>
      <c r="H438" t="s">
        <v>1128</v>
      </c>
      <c r="I438" t="s">
        <v>1199</v>
      </c>
      <c r="J438" s="22">
        <v>823.9</v>
      </c>
      <c r="K438" s="21">
        <v>823.9</v>
      </c>
      <c r="L438" s="22">
        <v>823.9</v>
      </c>
    </row>
    <row r="439" spans="1:13" x14ac:dyDescent="0.35">
      <c r="A439">
        <v>1</v>
      </c>
      <c r="B439" s="17">
        <v>43910</v>
      </c>
      <c r="C439" t="s">
        <v>34</v>
      </c>
      <c r="D439" s="22">
        <v>692.31</v>
      </c>
      <c r="E439" t="s">
        <v>344</v>
      </c>
      <c r="F439" t="s">
        <v>222</v>
      </c>
      <c r="G439" t="s">
        <v>294</v>
      </c>
      <c r="H439" t="s">
        <v>1128</v>
      </c>
      <c r="I439" t="s">
        <v>1200</v>
      </c>
      <c r="J439" s="22">
        <v>-692.31</v>
      </c>
      <c r="K439" s="21">
        <v>692.31</v>
      </c>
      <c r="L439" s="22">
        <v>-692.31</v>
      </c>
      <c r="M439" t="s">
        <v>266</v>
      </c>
    </row>
    <row r="440" spans="1:13" x14ac:dyDescent="0.35">
      <c r="A440">
        <v>1</v>
      </c>
      <c r="B440" s="17">
        <v>43910</v>
      </c>
      <c r="C440" t="s">
        <v>34</v>
      </c>
      <c r="D440" s="22">
        <v>830.77</v>
      </c>
      <c r="E440" t="s">
        <v>344</v>
      </c>
      <c r="F440" t="s">
        <v>224</v>
      </c>
      <c r="G440" t="s">
        <v>295</v>
      </c>
      <c r="H440" t="s">
        <v>1128</v>
      </c>
      <c r="I440" t="s">
        <v>1200</v>
      </c>
      <c r="J440" s="22">
        <v>-830.77</v>
      </c>
      <c r="K440" s="21">
        <v>830.77</v>
      </c>
      <c r="L440" s="22">
        <v>-830.77</v>
      </c>
    </row>
    <row r="441" spans="1:13" x14ac:dyDescent="0.35">
      <c r="A441">
        <v>1</v>
      </c>
      <c r="B441" s="17">
        <v>43910</v>
      </c>
      <c r="C441" t="s">
        <v>34</v>
      </c>
      <c r="D441" s="22">
        <v>173.08</v>
      </c>
      <c r="E441" t="s">
        <v>344</v>
      </c>
      <c r="F441" t="s">
        <v>227</v>
      </c>
      <c r="G441" t="s">
        <v>297</v>
      </c>
      <c r="H441" t="s">
        <v>1128</v>
      </c>
      <c r="I441" t="s">
        <v>1200</v>
      </c>
      <c r="J441" s="22">
        <v>-173.08</v>
      </c>
      <c r="K441" s="21">
        <v>173.08</v>
      </c>
      <c r="L441" s="22">
        <v>-173.08</v>
      </c>
    </row>
    <row r="442" spans="1:13" x14ac:dyDescent="0.35">
      <c r="A442">
        <v>1</v>
      </c>
      <c r="B442" s="17">
        <v>43910</v>
      </c>
      <c r="C442" t="s">
        <v>34</v>
      </c>
      <c r="D442" s="22">
        <v>138.46</v>
      </c>
      <c r="E442" t="s">
        <v>344</v>
      </c>
      <c r="F442" t="s">
        <v>228</v>
      </c>
      <c r="G442" t="s">
        <v>298</v>
      </c>
      <c r="H442" t="s">
        <v>1128</v>
      </c>
      <c r="I442" t="s">
        <v>1200</v>
      </c>
      <c r="J442" s="22">
        <v>-138.46</v>
      </c>
      <c r="K442" s="21">
        <v>138.46</v>
      </c>
      <c r="L442" s="22">
        <v>-138.46</v>
      </c>
    </row>
    <row r="443" spans="1:13" x14ac:dyDescent="0.35">
      <c r="A443">
        <v>1</v>
      </c>
      <c r="B443" s="17">
        <v>43910</v>
      </c>
      <c r="C443" t="s">
        <v>34</v>
      </c>
      <c r="D443" s="22">
        <v>69.23</v>
      </c>
      <c r="E443" t="s">
        <v>344</v>
      </c>
      <c r="F443" t="s">
        <v>229</v>
      </c>
      <c r="G443" t="s">
        <v>294</v>
      </c>
      <c r="H443" t="s">
        <v>1128</v>
      </c>
      <c r="I443" t="s">
        <v>1200</v>
      </c>
      <c r="J443" s="22">
        <v>-69.23</v>
      </c>
      <c r="K443" s="21">
        <v>69.23</v>
      </c>
      <c r="L443" s="22">
        <v>-69.23</v>
      </c>
    </row>
    <row r="444" spans="1:13" x14ac:dyDescent="0.35">
      <c r="A444">
        <v>1</v>
      </c>
      <c r="B444" s="17">
        <v>43910</v>
      </c>
      <c r="C444" t="s">
        <v>34</v>
      </c>
      <c r="D444" s="22">
        <v>207.69</v>
      </c>
      <c r="E444" t="s">
        <v>344</v>
      </c>
      <c r="F444" t="s">
        <v>230</v>
      </c>
      <c r="G444" t="s">
        <v>299</v>
      </c>
      <c r="H444" t="s">
        <v>1128</v>
      </c>
      <c r="I444" t="s">
        <v>1200</v>
      </c>
      <c r="J444" s="22">
        <v>-207.69</v>
      </c>
      <c r="K444" s="21">
        <v>207.69</v>
      </c>
      <c r="L444" s="22">
        <v>-207.69</v>
      </c>
    </row>
    <row r="445" spans="1:13" x14ac:dyDescent="0.35">
      <c r="A445">
        <v>1</v>
      </c>
      <c r="B445" s="17">
        <v>43910</v>
      </c>
      <c r="C445" t="s">
        <v>34</v>
      </c>
      <c r="D445" s="22">
        <v>1350</v>
      </c>
      <c r="E445" t="s">
        <v>344</v>
      </c>
      <c r="F445" t="s">
        <v>231</v>
      </c>
      <c r="G445" t="s">
        <v>217</v>
      </c>
      <c r="H445" t="s">
        <v>1128</v>
      </c>
      <c r="I445" t="s">
        <v>1200</v>
      </c>
      <c r="J445" s="22">
        <v>-1350</v>
      </c>
      <c r="K445" s="21">
        <v>1350</v>
      </c>
      <c r="L445" s="22">
        <v>-1350</v>
      </c>
    </row>
    <row r="446" spans="1:13" x14ac:dyDescent="0.35">
      <c r="A446">
        <v>1</v>
      </c>
      <c r="B446" s="17">
        <v>43910</v>
      </c>
      <c r="C446" t="s">
        <v>168</v>
      </c>
      <c r="D446" s="22">
        <v>240.79</v>
      </c>
      <c r="E446" t="s">
        <v>292</v>
      </c>
      <c r="F446" t="s">
        <v>222</v>
      </c>
      <c r="G446" t="s">
        <v>294</v>
      </c>
      <c r="H446" t="s">
        <v>1128</v>
      </c>
      <c r="I446" t="s">
        <v>1201</v>
      </c>
      <c r="J446" s="22">
        <v>240.79</v>
      </c>
      <c r="K446" s="21">
        <v>240.79</v>
      </c>
      <c r="L446" s="22">
        <v>240.79</v>
      </c>
      <c r="M446" t="s">
        <v>266</v>
      </c>
    </row>
    <row r="447" spans="1:13" x14ac:dyDescent="0.35">
      <c r="A447">
        <v>1</v>
      </c>
      <c r="B447" s="17">
        <v>43910</v>
      </c>
      <c r="C447" t="s">
        <v>168</v>
      </c>
      <c r="D447" s="22">
        <v>288.95</v>
      </c>
      <c r="E447" t="s">
        <v>292</v>
      </c>
      <c r="F447" t="s">
        <v>224</v>
      </c>
      <c r="G447" t="s">
        <v>295</v>
      </c>
      <c r="H447" t="s">
        <v>1128</v>
      </c>
      <c r="I447" t="s">
        <v>1201</v>
      </c>
      <c r="J447" s="22">
        <v>288.95</v>
      </c>
      <c r="K447" s="21">
        <v>288.95</v>
      </c>
      <c r="L447" s="22">
        <v>288.95</v>
      </c>
    </row>
    <row r="448" spans="1:13" x14ac:dyDescent="0.35">
      <c r="A448">
        <v>1</v>
      </c>
      <c r="B448" s="17">
        <v>43910</v>
      </c>
      <c r="C448" t="s">
        <v>168</v>
      </c>
      <c r="D448" s="22">
        <v>60.2</v>
      </c>
      <c r="E448" t="s">
        <v>292</v>
      </c>
      <c r="F448" t="s">
        <v>227</v>
      </c>
      <c r="G448" t="s">
        <v>297</v>
      </c>
      <c r="H448" t="s">
        <v>1128</v>
      </c>
      <c r="I448" t="s">
        <v>1201</v>
      </c>
      <c r="J448" s="22">
        <v>60.2</v>
      </c>
      <c r="K448" s="21">
        <v>60.2</v>
      </c>
      <c r="L448" s="22">
        <v>60.2</v>
      </c>
    </row>
    <row r="449" spans="1:13" x14ac:dyDescent="0.35">
      <c r="A449">
        <v>1</v>
      </c>
      <c r="B449" s="17">
        <v>43910</v>
      </c>
      <c r="C449" t="s">
        <v>168</v>
      </c>
      <c r="D449" s="22">
        <v>48.16</v>
      </c>
      <c r="E449" t="s">
        <v>292</v>
      </c>
      <c r="F449" t="s">
        <v>228</v>
      </c>
      <c r="G449" t="s">
        <v>298</v>
      </c>
      <c r="H449" t="s">
        <v>1128</v>
      </c>
      <c r="I449" t="s">
        <v>1201</v>
      </c>
      <c r="J449" s="22">
        <v>48.16</v>
      </c>
      <c r="K449" s="21">
        <v>48.16</v>
      </c>
      <c r="L449" s="22">
        <v>48.16</v>
      </c>
    </row>
    <row r="450" spans="1:13" x14ac:dyDescent="0.35">
      <c r="A450">
        <v>1</v>
      </c>
      <c r="B450" s="17">
        <v>43910</v>
      </c>
      <c r="C450" t="s">
        <v>168</v>
      </c>
      <c r="D450" s="22">
        <v>24.08</v>
      </c>
      <c r="E450" t="s">
        <v>292</v>
      </c>
      <c r="F450" t="s">
        <v>229</v>
      </c>
      <c r="G450" t="s">
        <v>294</v>
      </c>
      <c r="H450" t="s">
        <v>1128</v>
      </c>
      <c r="I450" t="s">
        <v>1201</v>
      </c>
      <c r="J450" s="22">
        <v>24.08</v>
      </c>
      <c r="K450" s="21">
        <v>24.08</v>
      </c>
      <c r="L450" s="22">
        <v>24.08</v>
      </c>
    </row>
    <row r="451" spans="1:13" x14ac:dyDescent="0.35">
      <c r="A451">
        <v>1</v>
      </c>
      <c r="B451" s="17">
        <v>43910</v>
      </c>
      <c r="C451" t="s">
        <v>168</v>
      </c>
      <c r="D451" s="22">
        <v>72.239999999999995</v>
      </c>
      <c r="E451" t="s">
        <v>292</v>
      </c>
      <c r="F451" t="s">
        <v>230</v>
      </c>
      <c r="G451" t="s">
        <v>299</v>
      </c>
      <c r="H451" t="s">
        <v>1128</v>
      </c>
      <c r="I451" t="s">
        <v>1201</v>
      </c>
      <c r="J451" s="22">
        <v>72.239999999999995</v>
      </c>
      <c r="K451" s="21">
        <v>72.239999999999995</v>
      </c>
      <c r="L451" s="22">
        <v>72.239999999999995</v>
      </c>
    </row>
    <row r="452" spans="1:13" x14ac:dyDescent="0.35">
      <c r="A452">
        <v>1</v>
      </c>
      <c r="B452" s="17">
        <v>43910</v>
      </c>
      <c r="C452" t="s">
        <v>168</v>
      </c>
      <c r="D452" s="22">
        <v>469.52</v>
      </c>
      <c r="E452" t="s">
        <v>292</v>
      </c>
      <c r="F452" t="s">
        <v>231</v>
      </c>
      <c r="G452" t="s">
        <v>217</v>
      </c>
      <c r="H452" t="s">
        <v>1128</v>
      </c>
      <c r="I452" t="s">
        <v>1201</v>
      </c>
      <c r="J452" s="22">
        <v>469.52</v>
      </c>
      <c r="K452" s="21">
        <v>469.52</v>
      </c>
      <c r="L452" s="22">
        <v>469.52</v>
      </c>
    </row>
    <row r="453" spans="1:13" x14ac:dyDescent="0.35">
      <c r="A453">
        <v>1</v>
      </c>
      <c r="B453" s="17">
        <v>43910</v>
      </c>
      <c r="C453" t="s">
        <v>34</v>
      </c>
      <c r="D453" s="22">
        <v>240.79</v>
      </c>
      <c r="E453" t="s">
        <v>291</v>
      </c>
      <c r="F453" t="s">
        <v>222</v>
      </c>
      <c r="G453" t="s">
        <v>294</v>
      </c>
      <c r="H453" t="s">
        <v>1128</v>
      </c>
      <c r="I453" t="s">
        <v>1202</v>
      </c>
      <c r="J453" s="22">
        <v>-240.79</v>
      </c>
      <c r="K453" s="21">
        <v>240.79</v>
      </c>
      <c r="L453" s="22">
        <v>-240.79</v>
      </c>
      <c r="M453" t="s">
        <v>266</v>
      </c>
    </row>
    <row r="454" spans="1:13" x14ac:dyDescent="0.35">
      <c r="A454">
        <v>1</v>
      </c>
      <c r="B454" s="17">
        <v>43910</v>
      </c>
      <c r="C454" t="s">
        <v>34</v>
      </c>
      <c r="D454" s="22">
        <v>288.95</v>
      </c>
      <c r="E454" t="s">
        <v>291</v>
      </c>
      <c r="F454" t="s">
        <v>224</v>
      </c>
      <c r="G454" t="s">
        <v>295</v>
      </c>
      <c r="H454" t="s">
        <v>1128</v>
      </c>
      <c r="I454" t="s">
        <v>1202</v>
      </c>
      <c r="J454" s="22">
        <v>-288.95</v>
      </c>
      <c r="K454" s="21">
        <v>288.95</v>
      </c>
      <c r="L454" s="22">
        <v>-288.95</v>
      </c>
    </row>
    <row r="455" spans="1:13" x14ac:dyDescent="0.35">
      <c r="A455">
        <v>1</v>
      </c>
      <c r="B455" s="17">
        <v>43910</v>
      </c>
      <c r="C455" t="s">
        <v>34</v>
      </c>
      <c r="D455" s="22">
        <v>60.2</v>
      </c>
      <c r="E455" t="s">
        <v>291</v>
      </c>
      <c r="F455" t="s">
        <v>227</v>
      </c>
      <c r="G455" t="s">
        <v>297</v>
      </c>
      <c r="H455" t="s">
        <v>1128</v>
      </c>
      <c r="I455" t="s">
        <v>1202</v>
      </c>
      <c r="J455" s="22">
        <v>-60.2</v>
      </c>
      <c r="K455" s="21">
        <v>60.2</v>
      </c>
      <c r="L455" s="22">
        <v>-60.2</v>
      </c>
    </row>
    <row r="456" spans="1:13" x14ac:dyDescent="0.35">
      <c r="A456">
        <v>1</v>
      </c>
      <c r="B456" s="17">
        <v>43910</v>
      </c>
      <c r="C456" t="s">
        <v>34</v>
      </c>
      <c r="D456" s="22">
        <v>48.16</v>
      </c>
      <c r="E456" t="s">
        <v>291</v>
      </c>
      <c r="F456" t="s">
        <v>228</v>
      </c>
      <c r="G456" t="s">
        <v>298</v>
      </c>
      <c r="H456" t="s">
        <v>1128</v>
      </c>
      <c r="I456" t="s">
        <v>1202</v>
      </c>
      <c r="J456" s="22">
        <v>-48.16</v>
      </c>
      <c r="K456" s="21">
        <v>48.16</v>
      </c>
      <c r="L456" s="22">
        <v>-48.16</v>
      </c>
    </row>
    <row r="457" spans="1:13" x14ac:dyDescent="0.35">
      <c r="A457">
        <v>1</v>
      </c>
      <c r="B457" s="17">
        <v>43910</v>
      </c>
      <c r="C457" t="s">
        <v>34</v>
      </c>
      <c r="D457" s="22">
        <v>24.08</v>
      </c>
      <c r="E457" t="s">
        <v>291</v>
      </c>
      <c r="F457" t="s">
        <v>229</v>
      </c>
      <c r="G457" t="s">
        <v>294</v>
      </c>
      <c r="H457" t="s">
        <v>1128</v>
      </c>
      <c r="I457" t="s">
        <v>1202</v>
      </c>
      <c r="J457" s="22">
        <v>-24.08</v>
      </c>
      <c r="K457" s="21">
        <v>24.08</v>
      </c>
      <c r="L457" s="22">
        <v>-24.08</v>
      </c>
    </row>
    <row r="458" spans="1:13" x14ac:dyDescent="0.35">
      <c r="A458">
        <v>1</v>
      </c>
      <c r="B458" s="17">
        <v>43910</v>
      </c>
      <c r="C458" t="s">
        <v>34</v>
      </c>
      <c r="D458" s="22">
        <v>72.239999999999995</v>
      </c>
      <c r="E458" t="s">
        <v>291</v>
      </c>
      <c r="F458" t="s">
        <v>230</v>
      </c>
      <c r="G458" t="s">
        <v>299</v>
      </c>
      <c r="H458" t="s">
        <v>1128</v>
      </c>
      <c r="I458" t="s">
        <v>1202</v>
      </c>
      <c r="J458" s="22">
        <v>-72.239999999999995</v>
      </c>
      <c r="K458" s="21">
        <v>72.239999999999995</v>
      </c>
      <c r="L458" s="22">
        <v>-72.239999999999995</v>
      </c>
    </row>
    <row r="459" spans="1:13" x14ac:dyDescent="0.35">
      <c r="A459">
        <v>1</v>
      </c>
      <c r="B459" s="17">
        <v>43910</v>
      </c>
      <c r="C459" t="s">
        <v>34</v>
      </c>
      <c r="D459" s="22">
        <v>469.52</v>
      </c>
      <c r="E459" t="s">
        <v>291</v>
      </c>
      <c r="F459" t="s">
        <v>231</v>
      </c>
      <c r="G459" t="s">
        <v>217</v>
      </c>
      <c r="H459" t="s">
        <v>1128</v>
      </c>
      <c r="I459" t="s">
        <v>1202</v>
      </c>
      <c r="J459" s="22">
        <v>-469.52</v>
      </c>
      <c r="K459" s="21">
        <v>469.52</v>
      </c>
      <c r="L459" s="22">
        <v>-469.52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462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243</v>
      </c>
      <c r="B1" t="s">
        <v>244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</row>
    <row r="2" spans="1:10" x14ac:dyDescent="0.35">
      <c r="A2" t="s">
        <v>253</v>
      </c>
      <c r="B2" t="s">
        <v>254</v>
      </c>
      <c r="C2" t="s">
        <v>245</v>
      </c>
      <c r="D2" t="s">
        <v>246</v>
      </c>
      <c r="E2" t="s">
        <v>247</v>
      </c>
      <c r="F2" t="s">
        <v>248</v>
      </c>
      <c r="G2" t="s">
        <v>249</v>
      </c>
      <c r="H2" t="s">
        <v>250</v>
      </c>
      <c r="I2" t="s">
        <v>251</v>
      </c>
      <c r="J2" t="s">
        <v>252</v>
      </c>
    </row>
    <row r="3" spans="1:10" x14ac:dyDescent="0.35">
      <c r="A3" t="s">
        <v>255</v>
      </c>
    </row>
    <row r="4" spans="1:10" x14ac:dyDescent="0.35">
      <c r="A4" t="s">
        <v>256</v>
      </c>
      <c r="C4" t="s">
        <v>257</v>
      </c>
      <c r="D4">
        <v>43910</v>
      </c>
      <c r="F4" t="s">
        <v>289</v>
      </c>
      <c r="G4" t="s">
        <v>1049</v>
      </c>
      <c r="H4">
        <v>90.551999999999992</v>
      </c>
      <c r="I4" t="s">
        <v>179</v>
      </c>
    </row>
    <row r="5" spans="1:10" x14ac:dyDescent="0.35">
      <c r="A5" t="s">
        <v>259</v>
      </c>
      <c r="C5" t="s">
        <v>257</v>
      </c>
      <c r="D5">
        <v>43910</v>
      </c>
      <c r="F5" t="s">
        <v>289</v>
      </c>
      <c r="G5" t="s">
        <v>1049</v>
      </c>
      <c r="H5">
        <v>27.047999999999998</v>
      </c>
      <c r="I5" t="s">
        <v>220</v>
      </c>
    </row>
    <row r="6" spans="1:10" x14ac:dyDescent="0.35">
      <c r="A6" t="s">
        <v>259</v>
      </c>
      <c r="C6" t="s">
        <v>257</v>
      </c>
      <c r="D6">
        <v>43910</v>
      </c>
      <c r="F6" t="s">
        <v>290</v>
      </c>
      <c r="G6" t="s">
        <v>1049</v>
      </c>
      <c r="H6">
        <v>38.5</v>
      </c>
      <c r="I6" t="s">
        <v>179</v>
      </c>
    </row>
    <row r="7" spans="1:10" x14ac:dyDescent="0.35">
      <c r="A7" t="s">
        <v>259</v>
      </c>
      <c r="C7" t="s">
        <v>257</v>
      </c>
      <c r="D7">
        <v>43910</v>
      </c>
      <c r="F7" t="s">
        <v>290</v>
      </c>
      <c r="G7" t="s">
        <v>1049</v>
      </c>
      <c r="H7">
        <v>11.5</v>
      </c>
      <c r="I7" t="s">
        <v>220</v>
      </c>
    </row>
    <row r="8" spans="1:10" x14ac:dyDescent="0.35">
      <c r="A8" t="s">
        <v>259</v>
      </c>
      <c r="C8" t="s">
        <v>257</v>
      </c>
      <c r="D8">
        <v>43910</v>
      </c>
      <c r="F8" t="s">
        <v>291</v>
      </c>
      <c r="G8" t="s">
        <v>1049</v>
      </c>
      <c r="H8">
        <v>226.58019999999999</v>
      </c>
      <c r="I8" t="s">
        <v>179</v>
      </c>
    </row>
    <row r="9" spans="1:10" x14ac:dyDescent="0.35">
      <c r="A9" t="s">
        <v>259</v>
      </c>
      <c r="C9" t="s">
        <v>257</v>
      </c>
      <c r="D9">
        <v>43910</v>
      </c>
      <c r="F9" t="s">
        <v>291</v>
      </c>
      <c r="G9" t="s">
        <v>1049</v>
      </c>
      <c r="H9">
        <v>67.6798</v>
      </c>
      <c r="I9" t="s">
        <v>220</v>
      </c>
    </row>
    <row r="10" spans="1:10" x14ac:dyDescent="0.35">
      <c r="A10" t="s">
        <v>259</v>
      </c>
      <c r="C10" t="s">
        <v>257</v>
      </c>
      <c r="D10">
        <v>43910</v>
      </c>
      <c r="F10" t="s">
        <v>292</v>
      </c>
      <c r="G10" t="s">
        <v>1049</v>
      </c>
      <c r="H10">
        <v>691.91430000000003</v>
      </c>
      <c r="I10" t="s">
        <v>179</v>
      </c>
    </row>
    <row r="11" spans="1:10" x14ac:dyDescent="0.35">
      <c r="A11" t="s">
        <v>259</v>
      </c>
      <c r="C11" t="s">
        <v>257</v>
      </c>
      <c r="D11">
        <v>43910</v>
      </c>
      <c r="F11" t="s">
        <v>292</v>
      </c>
      <c r="G11" t="s">
        <v>1049</v>
      </c>
      <c r="H11">
        <v>206.67570000000001</v>
      </c>
      <c r="I11" t="s">
        <v>220</v>
      </c>
    </row>
    <row r="12" spans="1:10" x14ac:dyDescent="0.35">
      <c r="A12" t="s">
        <v>259</v>
      </c>
      <c r="C12" t="s">
        <v>257</v>
      </c>
      <c r="D12">
        <v>43910</v>
      </c>
      <c r="F12" t="s">
        <v>350</v>
      </c>
      <c r="G12" t="s">
        <v>1049</v>
      </c>
      <c r="H12">
        <v>866.4425</v>
      </c>
      <c r="I12" t="s">
        <v>179</v>
      </c>
    </row>
    <row r="13" spans="1:10" x14ac:dyDescent="0.35">
      <c r="A13" t="s">
        <v>259</v>
      </c>
      <c r="C13" t="s">
        <v>257</v>
      </c>
      <c r="D13">
        <v>43910</v>
      </c>
      <c r="F13" t="s">
        <v>350</v>
      </c>
      <c r="G13" t="s">
        <v>1049</v>
      </c>
      <c r="H13">
        <v>258.8075</v>
      </c>
      <c r="I13" t="s">
        <v>220</v>
      </c>
    </row>
    <row r="14" spans="1:10" x14ac:dyDescent="0.35">
      <c r="A14" t="s">
        <v>259</v>
      </c>
      <c r="C14" t="s">
        <v>257</v>
      </c>
      <c r="D14">
        <v>43910</v>
      </c>
      <c r="F14" t="s">
        <v>292</v>
      </c>
      <c r="G14" t="s">
        <v>1049</v>
      </c>
      <c r="H14">
        <v>226.58019999999999</v>
      </c>
      <c r="I14" t="s">
        <v>179</v>
      </c>
    </row>
    <row r="15" spans="1:10" x14ac:dyDescent="0.35">
      <c r="A15" t="s">
        <v>259</v>
      </c>
      <c r="C15" t="s">
        <v>257</v>
      </c>
      <c r="D15">
        <v>43910</v>
      </c>
      <c r="F15" t="s">
        <v>292</v>
      </c>
      <c r="G15" t="s">
        <v>1049</v>
      </c>
      <c r="H15">
        <v>67.6798</v>
      </c>
      <c r="I15" t="s">
        <v>220</v>
      </c>
    </row>
    <row r="16" spans="1:10" x14ac:dyDescent="0.35">
      <c r="A16" t="s">
        <v>259</v>
      </c>
      <c r="C16" t="s">
        <v>257</v>
      </c>
      <c r="D16">
        <v>43910</v>
      </c>
      <c r="F16" t="s">
        <v>291</v>
      </c>
      <c r="G16" t="s">
        <v>1049</v>
      </c>
      <c r="H16">
        <v>226.58019999999999</v>
      </c>
      <c r="I16" t="s">
        <v>179</v>
      </c>
    </row>
    <row r="17" spans="1:9" x14ac:dyDescent="0.35">
      <c r="A17" t="s">
        <v>259</v>
      </c>
      <c r="C17" t="s">
        <v>257</v>
      </c>
      <c r="D17">
        <v>43910</v>
      </c>
      <c r="F17" t="s">
        <v>291</v>
      </c>
      <c r="G17" t="s">
        <v>1049</v>
      </c>
      <c r="H17">
        <v>67.6798</v>
      </c>
      <c r="I17" t="s">
        <v>220</v>
      </c>
    </row>
    <row r="18" spans="1:9" x14ac:dyDescent="0.35">
      <c r="A18" t="s">
        <v>259</v>
      </c>
      <c r="C18" t="s">
        <v>257</v>
      </c>
      <c r="D18">
        <v>43910</v>
      </c>
      <c r="F18" t="s">
        <v>289</v>
      </c>
      <c r="G18" t="s">
        <v>1050</v>
      </c>
      <c r="H18">
        <v>126.77</v>
      </c>
      <c r="I18" t="s">
        <v>221</v>
      </c>
    </row>
    <row r="19" spans="1:9" x14ac:dyDescent="0.35">
      <c r="A19" t="s">
        <v>259</v>
      </c>
      <c r="C19" t="s">
        <v>257</v>
      </c>
      <c r="D19">
        <v>43910</v>
      </c>
      <c r="F19" t="s">
        <v>290</v>
      </c>
      <c r="G19" t="s">
        <v>1050</v>
      </c>
      <c r="H19">
        <v>156.93</v>
      </c>
      <c r="I19" t="s">
        <v>221</v>
      </c>
    </row>
    <row r="20" spans="1:9" x14ac:dyDescent="0.35">
      <c r="A20" t="s">
        <v>259</v>
      </c>
      <c r="C20" t="s">
        <v>257</v>
      </c>
      <c r="D20">
        <v>43910</v>
      </c>
      <c r="F20" t="s">
        <v>291</v>
      </c>
      <c r="G20" t="s">
        <v>1050</v>
      </c>
      <c r="H20">
        <v>262.97000000000003</v>
      </c>
      <c r="I20" t="s">
        <v>221</v>
      </c>
    </row>
    <row r="21" spans="1:9" x14ac:dyDescent="0.35">
      <c r="A21" t="s">
        <v>259</v>
      </c>
      <c r="C21" t="s">
        <v>257</v>
      </c>
      <c r="D21">
        <v>43910</v>
      </c>
      <c r="F21" t="s">
        <v>292</v>
      </c>
      <c r="G21" t="s">
        <v>1050</v>
      </c>
      <c r="H21">
        <v>986.39</v>
      </c>
      <c r="I21" t="s">
        <v>221</v>
      </c>
    </row>
    <row r="22" spans="1:9" x14ac:dyDescent="0.35">
      <c r="A22" t="s">
        <v>259</v>
      </c>
      <c r="C22" t="s">
        <v>257</v>
      </c>
      <c r="D22">
        <v>43910</v>
      </c>
      <c r="F22" t="s">
        <v>67</v>
      </c>
      <c r="G22" t="s">
        <v>1050</v>
      </c>
      <c r="H22">
        <v>1279.52</v>
      </c>
      <c r="I22" t="s">
        <v>221</v>
      </c>
    </row>
    <row r="23" spans="1:9" x14ac:dyDescent="0.35">
      <c r="A23" t="s">
        <v>259</v>
      </c>
      <c r="C23" t="s">
        <v>257</v>
      </c>
      <c r="D23">
        <v>43910</v>
      </c>
      <c r="F23" t="s">
        <v>292</v>
      </c>
      <c r="G23" t="s">
        <v>1050</v>
      </c>
      <c r="H23">
        <v>262.97000000000003</v>
      </c>
      <c r="I23" t="s">
        <v>221</v>
      </c>
    </row>
    <row r="24" spans="1:9" x14ac:dyDescent="0.35">
      <c r="A24" t="s">
        <v>259</v>
      </c>
      <c r="C24" t="s">
        <v>257</v>
      </c>
      <c r="D24">
        <v>43910</v>
      </c>
      <c r="F24" t="s">
        <v>291</v>
      </c>
      <c r="G24" t="s">
        <v>1050</v>
      </c>
      <c r="H24">
        <v>262.97000000000003</v>
      </c>
      <c r="I24" t="s">
        <v>221</v>
      </c>
    </row>
    <row r="25" spans="1:9" x14ac:dyDescent="0.35">
      <c r="A25" t="s">
        <v>259</v>
      </c>
      <c r="C25" t="s">
        <v>257</v>
      </c>
      <c r="D25">
        <v>43910</v>
      </c>
      <c r="F25" t="s">
        <v>289</v>
      </c>
      <c r="G25" t="s">
        <v>1051</v>
      </c>
      <c r="H25">
        <v>213.23</v>
      </c>
      <c r="I25" t="s">
        <v>304</v>
      </c>
    </row>
    <row r="26" spans="1:9" x14ac:dyDescent="0.35">
      <c r="A26" t="s">
        <v>259</v>
      </c>
      <c r="C26" t="s">
        <v>257</v>
      </c>
      <c r="D26">
        <v>43910</v>
      </c>
      <c r="F26" t="s">
        <v>291</v>
      </c>
      <c r="G26" t="s">
        <v>1051</v>
      </c>
      <c r="H26">
        <v>526.1</v>
      </c>
      <c r="I26" t="s">
        <v>304</v>
      </c>
    </row>
    <row r="27" spans="1:9" x14ac:dyDescent="0.35">
      <c r="A27" t="s">
        <v>259</v>
      </c>
      <c r="C27" t="s">
        <v>257</v>
      </c>
      <c r="D27">
        <v>43910</v>
      </c>
      <c r="F27" t="s">
        <v>292</v>
      </c>
      <c r="G27" t="s">
        <v>1051</v>
      </c>
      <c r="H27">
        <v>1727.54</v>
      </c>
      <c r="I27" t="s">
        <v>304</v>
      </c>
    </row>
    <row r="28" spans="1:9" x14ac:dyDescent="0.35">
      <c r="A28" t="s">
        <v>259</v>
      </c>
      <c r="C28" t="s">
        <v>257</v>
      </c>
      <c r="D28">
        <v>43910</v>
      </c>
      <c r="F28" t="s">
        <v>67</v>
      </c>
      <c r="G28" t="s">
        <v>1051</v>
      </c>
      <c r="H28">
        <v>2040.41</v>
      </c>
      <c r="I28" t="s">
        <v>304</v>
      </c>
    </row>
    <row r="29" spans="1:9" x14ac:dyDescent="0.35">
      <c r="A29" t="s">
        <v>259</v>
      </c>
      <c r="C29" t="s">
        <v>257</v>
      </c>
      <c r="D29">
        <v>43910</v>
      </c>
      <c r="F29" t="s">
        <v>292</v>
      </c>
      <c r="G29" t="s">
        <v>1051</v>
      </c>
      <c r="H29">
        <v>526.1</v>
      </c>
      <c r="I29" t="s">
        <v>304</v>
      </c>
    </row>
    <row r="30" spans="1:9" x14ac:dyDescent="0.35">
      <c r="A30" t="s">
        <v>259</v>
      </c>
      <c r="C30" t="s">
        <v>257</v>
      </c>
      <c r="D30">
        <v>43910</v>
      </c>
      <c r="F30" t="s">
        <v>291</v>
      </c>
      <c r="G30" t="s">
        <v>1051</v>
      </c>
      <c r="H30">
        <v>526.1</v>
      </c>
      <c r="I30" t="s">
        <v>304</v>
      </c>
    </row>
    <row r="31" spans="1:9" x14ac:dyDescent="0.35">
      <c r="A31" t="s">
        <v>259</v>
      </c>
      <c r="C31" t="s">
        <v>257</v>
      </c>
      <c r="D31">
        <v>43910</v>
      </c>
      <c r="F31" t="s">
        <v>292</v>
      </c>
      <c r="G31" t="s">
        <v>1052</v>
      </c>
      <c r="H31">
        <v>73.8</v>
      </c>
      <c r="I31" t="s">
        <v>179</v>
      </c>
    </row>
    <row r="32" spans="1:9" x14ac:dyDescent="0.35">
      <c r="A32" t="s">
        <v>259</v>
      </c>
      <c r="C32" t="s">
        <v>257</v>
      </c>
      <c r="D32">
        <v>43910</v>
      </c>
      <c r="F32" t="s">
        <v>292</v>
      </c>
      <c r="G32" t="s">
        <v>1052</v>
      </c>
      <c r="H32">
        <v>16.2</v>
      </c>
      <c r="I32" t="s">
        <v>220</v>
      </c>
    </row>
    <row r="33" spans="1:9" x14ac:dyDescent="0.35">
      <c r="A33" t="s">
        <v>259</v>
      </c>
      <c r="C33" t="s">
        <v>257</v>
      </c>
      <c r="D33">
        <v>43910</v>
      </c>
      <c r="F33" t="s">
        <v>348</v>
      </c>
      <c r="G33" t="s">
        <v>1052</v>
      </c>
      <c r="H33">
        <v>73.8</v>
      </c>
      <c r="I33" t="s">
        <v>179</v>
      </c>
    </row>
    <row r="34" spans="1:9" x14ac:dyDescent="0.35">
      <c r="A34" t="s">
        <v>259</v>
      </c>
      <c r="C34" t="s">
        <v>257</v>
      </c>
      <c r="D34">
        <v>43910</v>
      </c>
      <c r="F34" t="s">
        <v>348</v>
      </c>
      <c r="G34" t="s">
        <v>1052</v>
      </c>
      <c r="H34">
        <v>16.2</v>
      </c>
      <c r="I34" t="s">
        <v>220</v>
      </c>
    </row>
    <row r="35" spans="1:9" x14ac:dyDescent="0.35">
      <c r="A35" t="s">
        <v>259</v>
      </c>
      <c r="C35" t="s">
        <v>257</v>
      </c>
      <c r="D35">
        <v>43910</v>
      </c>
      <c r="F35" t="s">
        <v>289</v>
      </c>
      <c r="G35" t="s">
        <v>1055</v>
      </c>
      <c r="H35">
        <v>122.59</v>
      </c>
      <c r="I35" t="s">
        <v>179</v>
      </c>
    </row>
    <row r="36" spans="1:9" x14ac:dyDescent="0.35">
      <c r="A36" t="s">
        <v>259</v>
      </c>
      <c r="C36" t="s">
        <v>257</v>
      </c>
      <c r="D36">
        <v>43910</v>
      </c>
      <c r="F36" t="s">
        <v>290</v>
      </c>
      <c r="G36" t="s">
        <v>1055</v>
      </c>
      <c r="H36">
        <v>101.21</v>
      </c>
      <c r="I36" t="s">
        <v>179</v>
      </c>
    </row>
    <row r="37" spans="1:9" x14ac:dyDescent="0.35">
      <c r="A37" t="s">
        <v>259</v>
      </c>
      <c r="C37" t="s">
        <v>257</v>
      </c>
      <c r="D37">
        <v>43910</v>
      </c>
      <c r="F37" t="s">
        <v>291</v>
      </c>
      <c r="G37" t="s">
        <v>1055</v>
      </c>
      <c r="H37">
        <v>298.69</v>
      </c>
      <c r="I37" t="s">
        <v>179</v>
      </c>
    </row>
    <row r="38" spans="1:9" x14ac:dyDescent="0.35">
      <c r="A38" t="s">
        <v>259</v>
      </c>
      <c r="C38" t="s">
        <v>257</v>
      </c>
      <c r="D38">
        <v>43910</v>
      </c>
      <c r="F38" t="s">
        <v>292</v>
      </c>
      <c r="G38" t="s">
        <v>1055</v>
      </c>
      <c r="H38">
        <v>970.42</v>
      </c>
      <c r="I38" t="s">
        <v>179</v>
      </c>
    </row>
    <row r="39" spans="1:9" x14ac:dyDescent="0.35">
      <c r="A39" t="s">
        <v>259</v>
      </c>
      <c r="C39" t="s">
        <v>257</v>
      </c>
      <c r="D39">
        <v>43910</v>
      </c>
      <c r="F39" t="s">
        <v>354</v>
      </c>
      <c r="G39" t="s">
        <v>1055</v>
      </c>
      <c r="H39">
        <v>1247.73</v>
      </c>
      <c r="I39" t="s">
        <v>179</v>
      </c>
    </row>
    <row r="40" spans="1:9" x14ac:dyDescent="0.35">
      <c r="A40" t="s">
        <v>259</v>
      </c>
      <c r="C40" t="s">
        <v>257</v>
      </c>
      <c r="D40">
        <v>43910</v>
      </c>
      <c r="F40" t="s">
        <v>292</v>
      </c>
      <c r="G40" t="s">
        <v>1055</v>
      </c>
      <c r="H40">
        <v>298.69</v>
      </c>
      <c r="I40" t="s">
        <v>179</v>
      </c>
    </row>
    <row r="41" spans="1:9" x14ac:dyDescent="0.35">
      <c r="A41" t="s">
        <v>259</v>
      </c>
      <c r="C41" t="s">
        <v>257</v>
      </c>
      <c r="D41">
        <v>43910</v>
      </c>
      <c r="F41" t="s">
        <v>291</v>
      </c>
      <c r="G41" t="s">
        <v>1055</v>
      </c>
      <c r="H41">
        <v>298.69</v>
      </c>
      <c r="I41" t="s">
        <v>179</v>
      </c>
    </row>
    <row r="42" spans="1:9" x14ac:dyDescent="0.35">
      <c r="A42" t="s">
        <v>259</v>
      </c>
      <c r="C42" t="s">
        <v>257</v>
      </c>
      <c r="D42">
        <v>43910</v>
      </c>
      <c r="F42" t="s">
        <v>289</v>
      </c>
      <c r="G42" t="s">
        <v>1063</v>
      </c>
      <c r="H42">
        <v>65.8</v>
      </c>
      <c r="I42" t="s">
        <v>915</v>
      </c>
    </row>
    <row r="43" spans="1:9" x14ac:dyDescent="0.35">
      <c r="A43" t="s">
        <v>259</v>
      </c>
      <c r="C43" t="s">
        <v>257</v>
      </c>
      <c r="D43">
        <v>43910</v>
      </c>
      <c r="F43" t="s">
        <v>291</v>
      </c>
      <c r="G43" t="s">
        <v>1063</v>
      </c>
      <c r="H43">
        <v>178.18</v>
      </c>
      <c r="I43" t="s">
        <v>915</v>
      </c>
    </row>
    <row r="44" spans="1:9" x14ac:dyDescent="0.35">
      <c r="A44" t="s">
        <v>259</v>
      </c>
      <c r="C44" t="s">
        <v>257</v>
      </c>
      <c r="D44">
        <v>43910</v>
      </c>
      <c r="F44" t="s">
        <v>292</v>
      </c>
      <c r="G44" t="s">
        <v>1063</v>
      </c>
      <c r="H44">
        <v>517.37</v>
      </c>
      <c r="I44" t="s">
        <v>915</v>
      </c>
    </row>
    <row r="45" spans="1:9" x14ac:dyDescent="0.35">
      <c r="A45" t="s">
        <v>259</v>
      </c>
      <c r="C45" t="s">
        <v>257</v>
      </c>
      <c r="D45">
        <v>43910</v>
      </c>
      <c r="F45" t="s">
        <v>353</v>
      </c>
      <c r="G45" t="s">
        <v>1063</v>
      </c>
      <c r="H45">
        <v>629.75</v>
      </c>
      <c r="I45" t="s">
        <v>915</v>
      </c>
    </row>
    <row r="46" spans="1:9" x14ac:dyDescent="0.35">
      <c r="A46" t="s">
        <v>259</v>
      </c>
      <c r="C46" t="s">
        <v>257</v>
      </c>
      <c r="D46">
        <v>43910</v>
      </c>
      <c r="F46" t="s">
        <v>292</v>
      </c>
      <c r="G46" t="s">
        <v>1063</v>
      </c>
      <c r="H46">
        <v>178.18</v>
      </c>
      <c r="I46" t="s">
        <v>915</v>
      </c>
    </row>
    <row r="47" spans="1:9" x14ac:dyDescent="0.35">
      <c r="A47" t="s">
        <v>259</v>
      </c>
      <c r="C47" t="s">
        <v>257</v>
      </c>
      <c r="D47">
        <v>43910</v>
      </c>
      <c r="F47" t="s">
        <v>291</v>
      </c>
      <c r="G47" t="s">
        <v>1063</v>
      </c>
      <c r="H47">
        <v>178.18</v>
      </c>
      <c r="I47" t="s">
        <v>915</v>
      </c>
    </row>
    <row r="48" spans="1:9" x14ac:dyDescent="0.35">
      <c r="A48" t="s">
        <v>259</v>
      </c>
      <c r="C48" t="s">
        <v>257</v>
      </c>
      <c r="D48">
        <v>43910</v>
      </c>
      <c r="F48" t="s">
        <v>289</v>
      </c>
      <c r="G48" t="s">
        <v>1070</v>
      </c>
      <c r="H48">
        <v>24.0274</v>
      </c>
      <c r="I48" t="s">
        <v>179</v>
      </c>
    </row>
    <row r="49" spans="1:9" x14ac:dyDescent="0.35">
      <c r="A49" t="s">
        <v>259</v>
      </c>
      <c r="C49" t="s">
        <v>257</v>
      </c>
      <c r="D49">
        <v>43910</v>
      </c>
      <c r="F49" t="s">
        <v>289</v>
      </c>
      <c r="G49" t="s">
        <v>1070</v>
      </c>
      <c r="H49">
        <v>39.202599999999997</v>
      </c>
      <c r="I49" t="s">
        <v>220</v>
      </c>
    </row>
    <row r="50" spans="1:9" x14ac:dyDescent="0.35">
      <c r="A50" t="s">
        <v>259</v>
      </c>
      <c r="C50" t="s">
        <v>257</v>
      </c>
      <c r="D50">
        <v>43910</v>
      </c>
      <c r="F50" t="s">
        <v>291</v>
      </c>
      <c r="G50" t="s">
        <v>1070</v>
      </c>
      <c r="H50">
        <v>57.573799999999999</v>
      </c>
      <c r="I50" t="s">
        <v>179</v>
      </c>
    </row>
    <row r="51" spans="1:9" x14ac:dyDescent="0.35">
      <c r="A51" t="s">
        <v>259</v>
      </c>
      <c r="C51" t="s">
        <v>257</v>
      </c>
      <c r="D51">
        <v>43910</v>
      </c>
      <c r="F51" t="s">
        <v>291</v>
      </c>
      <c r="G51" t="s">
        <v>1070</v>
      </c>
      <c r="H51">
        <v>93.936199999999999</v>
      </c>
      <c r="I51" t="s">
        <v>220</v>
      </c>
    </row>
    <row r="52" spans="1:9" x14ac:dyDescent="0.35">
      <c r="A52" t="s">
        <v>259</v>
      </c>
      <c r="C52" t="s">
        <v>257</v>
      </c>
      <c r="D52">
        <v>43910</v>
      </c>
      <c r="F52" t="s">
        <v>292</v>
      </c>
      <c r="G52" t="s">
        <v>1070</v>
      </c>
      <c r="H52">
        <v>196.3536</v>
      </c>
      <c r="I52" t="s">
        <v>179</v>
      </c>
    </row>
    <row r="53" spans="1:9" x14ac:dyDescent="0.35">
      <c r="A53" t="s">
        <v>259</v>
      </c>
      <c r="C53" t="s">
        <v>257</v>
      </c>
      <c r="D53">
        <v>43910</v>
      </c>
      <c r="F53" t="s">
        <v>292</v>
      </c>
      <c r="G53" t="s">
        <v>1070</v>
      </c>
      <c r="H53">
        <v>320.3664</v>
      </c>
      <c r="I53" t="s">
        <v>220</v>
      </c>
    </row>
    <row r="54" spans="1:9" x14ac:dyDescent="0.35">
      <c r="A54" t="s">
        <v>259</v>
      </c>
      <c r="C54" t="s">
        <v>257</v>
      </c>
      <c r="D54">
        <v>43910</v>
      </c>
      <c r="F54" t="s">
        <v>349</v>
      </c>
      <c r="G54" t="s">
        <v>1070</v>
      </c>
      <c r="H54">
        <v>229.9</v>
      </c>
      <c r="I54" t="s">
        <v>179</v>
      </c>
    </row>
    <row r="55" spans="1:9" x14ac:dyDescent="0.35">
      <c r="A55" t="s">
        <v>259</v>
      </c>
      <c r="C55" t="s">
        <v>257</v>
      </c>
      <c r="D55">
        <v>43910</v>
      </c>
      <c r="F55" t="s">
        <v>349</v>
      </c>
      <c r="G55" t="s">
        <v>1070</v>
      </c>
      <c r="H55">
        <v>375.1</v>
      </c>
      <c r="I55" t="s">
        <v>220</v>
      </c>
    </row>
    <row r="56" spans="1:9" x14ac:dyDescent="0.35">
      <c r="A56" t="s">
        <v>259</v>
      </c>
      <c r="C56" t="s">
        <v>257</v>
      </c>
      <c r="D56">
        <v>43910</v>
      </c>
      <c r="F56" t="s">
        <v>292</v>
      </c>
      <c r="G56" t="s">
        <v>1070</v>
      </c>
      <c r="H56">
        <v>57.573799999999999</v>
      </c>
      <c r="I56" t="s">
        <v>179</v>
      </c>
    </row>
    <row r="57" spans="1:9" x14ac:dyDescent="0.35">
      <c r="A57" t="s">
        <v>259</v>
      </c>
      <c r="C57" t="s">
        <v>257</v>
      </c>
      <c r="D57">
        <v>43910</v>
      </c>
      <c r="F57" t="s">
        <v>292</v>
      </c>
      <c r="G57" t="s">
        <v>1070</v>
      </c>
      <c r="H57">
        <v>93.936199999999999</v>
      </c>
      <c r="I57" t="s">
        <v>220</v>
      </c>
    </row>
    <row r="58" spans="1:9" x14ac:dyDescent="0.35">
      <c r="A58" t="s">
        <v>259</v>
      </c>
      <c r="C58" t="s">
        <v>257</v>
      </c>
      <c r="D58">
        <v>43910</v>
      </c>
      <c r="F58" t="s">
        <v>291</v>
      </c>
      <c r="G58" t="s">
        <v>1070</v>
      </c>
      <c r="H58">
        <v>57.573799999999999</v>
      </c>
      <c r="I58" t="s">
        <v>179</v>
      </c>
    </row>
    <row r="59" spans="1:9" x14ac:dyDescent="0.35">
      <c r="A59" t="s">
        <v>259</v>
      </c>
      <c r="C59" t="s">
        <v>257</v>
      </c>
      <c r="D59">
        <v>43910</v>
      </c>
      <c r="F59" t="s">
        <v>291</v>
      </c>
      <c r="G59" t="s">
        <v>1070</v>
      </c>
      <c r="H59">
        <v>93.936199999999999</v>
      </c>
      <c r="I59" t="s">
        <v>220</v>
      </c>
    </row>
    <row r="60" spans="1:9" x14ac:dyDescent="0.35">
      <c r="A60" t="s">
        <v>259</v>
      </c>
      <c r="C60" t="s">
        <v>257</v>
      </c>
      <c r="D60">
        <v>43910</v>
      </c>
      <c r="F60" t="s">
        <v>289</v>
      </c>
      <c r="G60" t="s">
        <v>1077</v>
      </c>
      <c r="H60">
        <v>194.06880000000001</v>
      </c>
      <c r="I60" t="s">
        <v>179</v>
      </c>
    </row>
    <row r="61" spans="1:9" x14ac:dyDescent="0.35">
      <c r="A61" t="s">
        <v>259</v>
      </c>
      <c r="C61" t="s">
        <v>257</v>
      </c>
      <c r="D61">
        <v>43910</v>
      </c>
      <c r="F61" t="s">
        <v>289</v>
      </c>
      <c r="G61" t="s">
        <v>1077</v>
      </c>
      <c r="H61">
        <v>75.47120000000001</v>
      </c>
      <c r="I61" t="s">
        <v>220</v>
      </c>
    </row>
    <row r="62" spans="1:9" x14ac:dyDescent="0.35">
      <c r="A62" t="s">
        <v>259</v>
      </c>
      <c r="C62" t="s">
        <v>257</v>
      </c>
      <c r="D62">
        <v>43910</v>
      </c>
      <c r="F62" t="s">
        <v>290</v>
      </c>
      <c r="G62" t="s">
        <v>1077</v>
      </c>
      <c r="H62">
        <v>203.83920000000001</v>
      </c>
      <c r="I62" t="s">
        <v>179</v>
      </c>
    </row>
    <row r="63" spans="1:9" x14ac:dyDescent="0.35">
      <c r="A63" t="s">
        <v>259</v>
      </c>
      <c r="C63" t="s">
        <v>257</v>
      </c>
      <c r="D63">
        <v>43910</v>
      </c>
      <c r="F63" t="s">
        <v>290</v>
      </c>
      <c r="G63" t="s">
        <v>1077</v>
      </c>
      <c r="H63">
        <v>79.270800000000008</v>
      </c>
      <c r="I63" t="s">
        <v>220</v>
      </c>
    </row>
    <row r="64" spans="1:9" x14ac:dyDescent="0.35">
      <c r="A64" t="s">
        <v>259</v>
      </c>
      <c r="C64" t="s">
        <v>257</v>
      </c>
      <c r="D64">
        <v>43910</v>
      </c>
      <c r="F64" t="s">
        <v>291</v>
      </c>
      <c r="G64" t="s">
        <v>1077</v>
      </c>
      <c r="H64">
        <v>632.88720000000001</v>
      </c>
      <c r="I64" t="s">
        <v>179</v>
      </c>
    </row>
    <row r="65" spans="1:9" x14ac:dyDescent="0.35">
      <c r="A65" t="s">
        <v>259</v>
      </c>
      <c r="C65" t="s">
        <v>257</v>
      </c>
      <c r="D65">
        <v>43910</v>
      </c>
      <c r="F65" t="s">
        <v>291</v>
      </c>
      <c r="G65" t="s">
        <v>1077</v>
      </c>
      <c r="H65">
        <v>246.12280000000001</v>
      </c>
      <c r="I65" t="s">
        <v>220</v>
      </c>
    </row>
    <row r="66" spans="1:9" x14ac:dyDescent="0.35">
      <c r="A66" t="s">
        <v>259</v>
      </c>
      <c r="C66" t="s">
        <v>257</v>
      </c>
      <c r="D66">
        <v>43910</v>
      </c>
      <c r="F66" t="s">
        <v>292</v>
      </c>
      <c r="G66" t="s">
        <v>1077</v>
      </c>
      <c r="H66">
        <v>1295.8055999999999</v>
      </c>
      <c r="I66" t="s">
        <v>179</v>
      </c>
    </row>
    <row r="67" spans="1:9" x14ac:dyDescent="0.35">
      <c r="A67" t="s">
        <v>259</v>
      </c>
      <c r="C67" t="s">
        <v>257</v>
      </c>
      <c r="D67">
        <v>43910</v>
      </c>
      <c r="F67" t="s">
        <v>292</v>
      </c>
      <c r="G67" t="s">
        <v>1077</v>
      </c>
      <c r="H67">
        <v>503.92440000000005</v>
      </c>
      <c r="I67" t="s">
        <v>220</v>
      </c>
    </row>
    <row r="68" spans="1:9" x14ac:dyDescent="0.35">
      <c r="A68" t="s">
        <v>259</v>
      </c>
      <c r="C68" t="s">
        <v>257</v>
      </c>
      <c r="D68">
        <v>43910</v>
      </c>
      <c r="F68" t="s">
        <v>346</v>
      </c>
      <c r="G68" t="s">
        <v>1077</v>
      </c>
      <c r="H68">
        <v>1938.4631999999999</v>
      </c>
      <c r="I68" t="s">
        <v>179</v>
      </c>
    </row>
    <row r="69" spans="1:9" x14ac:dyDescent="0.35">
      <c r="A69" t="s">
        <v>259</v>
      </c>
      <c r="C69" t="s">
        <v>257</v>
      </c>
      <c r="D69">
        <v>43910</v>
      </c>
      <c r="F69" t="s">
        <v>346</v>
      </c>
      <c r="G69" t="s">
        <v>1077</v>
      </c>
      <c r="H69">
        <v>753.84680000000003</v>
      </c>
      <c r="I69" t="s">
        <v>220</v>
      </c>
    </row>
    <row r="70" spans="1:9" x14ac:dyDescent="0.35">
      <c r="A70" t="s">
        <v>259</v>
      </c>
      <c r="C70" t="s">
        <v>257</v>
      </c>
      <c r="D70">
        <v>43910</v>
      </c>
      <c r="F70" t="s">
        <v>292</v>
      </c>
      <c r="G70" t="s">
        <v>1077</v>
      </c>
      <c r="H70">
        <v>632.88720000000001</v>
      </c>
      <c r="I70" t="s">
        <v>179</v>
      </c>
    </row>
    <row r="71" spans="1:9" x14ac:dyDescent="0.35">
      <c r="A71" t="s">
        <v>259</v>
      </c>
      <c r="C71" t="s">
        <v>257</v>
      </c>
      <c r="D71">
        <v>43910</v>
      </c>
      <c r="F71" t="s">
        <v>292</v>
      </c>
      <c r="G71" t="s">
        <v>1077</v>
      </c>
      <c r="H71">
        <v>246.12280000000001</v>
      </c>
      <c r="I71" t="s">
        <v>220</v>
      </c>
    </row>
    <row r="72" spans="1:9" x14ac:dyDescent="0.35">
      <c r="A72" t="s">
        <v>259</v>
      </c>
      <c r="C72" t="s">
        <v>257</v>
      </c>
      <c r="D72">
        <v>43910</v>
      </c>
      <c r="F72" t="s">
        <v>291</v>
      </c>
      <c r="G72" t="s">
        <v>1077</v>
      </c>
      <c r="H72">
        <v>632.88720000000001</v>
      </c>
      <c r="I72" t="s">
        <v>179</v>
      </c>
    </row>
    <row r="73" spans="1:9" x14ac:dyDescent="0.35">
      <c r="A73" t="s">
        <v>259</v>
      </c>
      <c r="C73" t="s">
        <v>257</v>
      </c>
      <c r="D73">
        <v>43910</v>
      </c>
      <c r="F73" t="s">
        <v>291</v>
      </c>
      <c r="G73" t="s">
        <v>1077</v>
      </c>
      <c r="H73">
        <v>246.12280000000001</v>
      </c>
      <c r="I73" t="s">
        <v>220</v>
      </c>
    </row>
    <row r="74" spans="1:9" x14ac:dyDescent="0.35">
      <c r="A74" t="s">
        <v>259</v>
      </c>
      <c r="C74" t="s">
        <v>257</v>
      </c>
      <c r="D74">
        <v>43910</v>
      </c>
      <c r="F74" t="s">
        <v>289</v>
      </c>
      <c r="G74" t="s">
        <v>1085</v>
      </c>
      <c r="H74">
        <v>272.77999999999997</v>
      </c>
      <c r="I74" t="s">
        <v>179</v>
      </c>
    </row>
    <row r="75" spans="1:9" x14ac:dyDescent="0.35">
      <c r="A75" t="s">
        <v>259</v>
      </c>
      <c r="C75" t="s">
        <v>257</v>
      </c>
      <c r="D75">
        <v>43910</v>
      </c>
      <c r="F75" t="s">
        <v>290</v>
      </c>
      <c r="G75" t="s">
        <v>1085</v>
      </c>
      <c r="H75">
        <v>97.13</v>
      </c>
      <c r="I75" t="s">
        <v>179</v>
      </c>
    </row>
    <row r="76" spans="1:9" x14ac:dyDescent="0.35">
      <c r="A76" t="s">
        <v>259</v>
      </c>
      <c r="C76" t="s">
        <v>257</v>
      </c>
      <c r="D76">
        <v>43910</v>
      </c>
      <c r="F76" t="s">
        <v>291</v>
      </c>
      <c r="G76" t="s">
        <v>1085</v>
      </c>
      <c r="H76">
        <v>869.18</v>
      </c>
      <c r="I76" t="s">
        <v>179</v>
      </c>
    </row>
    <row r="77" spans="1:9" x14ac:dyDescent="0.35">
      <c r="A77" t="s">
        <v>259</v>
      </c>
      <c r="C77" t="s">
        <v>257</v>
      </c>
      <c r="D77">
        <v>43910</v>
      </c>
      <c r="F77" t="s">
        <v>292</v>
      </c>
      <c r="G77" t="s">
        <v>1085</v>
      </c>
      <c r="H77">
        <v>1991.35</v>
      </c>
      <c r="I77" t="s">
        <v>179</v>
      </c>
    </row>
    <row r="78" spans="1:9" x14ac:dyDescent="0.35">
      <c r="A78" t="s">
        <v>259</v>
      </c>
      <c r="C78" t="s">
        <v>257</v>
      </c>
      <c r="D78">
        <v>43910</v>
      </c>
      <c r="F78" t="s">
        <v>67</v>
      </c>
      <c r="G78" t="s">
        <v>1085</v>
      </c>
      <c r="H78">
        <v>2684.88</v>
      </c>
      <c r="I78" t="s">
        <v>179</v>
      </c>
    </row>
    <row r="79" spans="1:9" x14ac:dyDescent="0.35">
      <c r="A79" t="s">
        <v>259</v>
      </c>
      <c r="C79" t="s">
        <v>257</v>
      </c>
      <c r="D79">
        <v>43910</v>
      </c>
      <c r="F79" t="s">
        <v>292</v>
      </c>
      <c r="G79" t="s">
        <v>1085</v>
      </c>
      <c r="H79">
        <v>869.18</v>
      </c>
      <c r="I79" t="s">
        <v>179</v>
      </c>
    </row>
    <row r="80" spans="1:9" x14ac:dyDescent="0.35">
      <c r="A80" t="s">
        <v>259</v>
      </c>
      <c r="C80" t="s">
        <v>257</v>
      </c>
      <c r="D80">
        <v>43910</v>
      </c>
      <c r="F80" t="s">
        <v>291</v>
      </c>
      <c r="G80" t="s">
        <v>1085</v>
      </c>
      <c r="H80">
        <v>869.18</v>
      </c>
      <c r="I80" t="s">
        <v>179</v>
      </c>
    </row>
    <row r="81" spans="1:9" x14ac:dyDescent="0.35">
      <c r="A81" t="s">
        <v>259</v>
      </c>
      <c r="C81" t="s">
        <v>257</v>
      </c>
      <c r="D81">
        <v>43910</v>
      </c>
      <c r="F81" t="s">
        <v>289</v>
      </c>
      <c r="G81" t="s">
        <v>1093</v>
      </c>
      <c r="H81">
        <v>25.813400000000001</v>
      </c>
      <c r="I81" t="s">
        <v>179</v>
      </c>
    </row>
    <row r="82" spans="1:9" x14ac:dyDescent="0.35">
      <c r="A82" t="s">
        <v>259</v>
      </c>
      <c r="C82" t="s">
        <v>257</v>
      </c>
      <c r="D82">
        <v>43910</v>
      </c>
      <c r="F82" t="s">
        <v>289</v>
      </c>
      <c r="G82" t="s">
        <v>1093</v>
      </c>
      <c r="H82">
        <v>42.116600000000005</v>
      </c>
      <c r="I82" t="s">
        <v>220</v>
      </c>
    </row>
    <row r="83" spans="1:9" x14ac:dyDescent="0.35">
      <c r="A83" t="s">
        <v>259</v>
      </c>
      <c r="C83" t="s">
        <v>257</v>
      </c>
      <c r="D83">
        <v>43910</v>
      </c>
      <c r="F83" t="s">
        <v>291</v>
      </c>
      <c r="G83" t="s">
        <v>1093</v>
      </c>
      <c r="H83">
        <v>62.749400000000001</v>
      </c>
      <c r="I83" t="s">
        <v>179</v>
      </c>
    </row>
    <row r="84" spans="1:9" x14ac:dyDescent="0.35">
      <c r="A84" t="s">
        <v>259</v>
      </c>
      <c r="C84" t="s">
        <v>257</v>
      </c>
      <c r="D84">
        <v>43910</v>
      </c>
      <c r="F84" t="s">
        <v>291</v>
      </c>
      <c r="G84" t="s">
        <v>1093</v>
      </c>
      <c r="H84">
        <v>102.3806</v>
      </c>
      <c r="I84" t="s">
        <v>220</v>
      </c>
    </row>
    <row r="85" spans="1:9" x14ac:dyDescent="0.35">
      <c r="A85" t="s">
        <v>259</v>
      </c>
      <c r="C85" t="s">
        <v>257</v>
      </c>
      <c r="D85">
        <v>43910</v>
      </c>
      <c r="F85" t="s">
        <v>292</v>
      </c>
      <c r="G85" t="s">
        <v>1093</v>
      </c>
      <c r="H85">
        <v>210.06399999999999</v>
      </c>
      <c r="I85" t="s">
        <v>179</v>
      </c>
    </row>
    <row r="86" spans="1:9" x14ac:dyDescent="0.35">
      <c r="A86" t="s">
        <v>259</v>
      </c>
      <c r="C86" t="s">
        <v>257</v>
      </c>
      <c r="D86">
        <v>43910</v>
      </c>
      <c r="F86" t="s">
        <v>292</v>
      </c>
      <c r="G86" t="s">
        <v>1093</v>
      </c>
      <c r="H86">
        <v>342.73599999999999</v>
      </c>
      <c r="I86" t="s">
        <v>220</v>
      </c>
    </row>
    <row r="87" spans="1:9" x14ac:dyDescent="0.35">
      <c r="A87" t="s">
        <v>259</v>
      </c>
      <c r="C87" t="s">
        <v>257</v>
      </c>
      <c r="D87">
        <v>43910</v>
      </c>
      <c r="F87" t="s">
        <v>165</v>
      </c>
      <c r="G87" t="s">
        <v>1093</v>
      </c>
      <c r="H87">
        <v>247</v>
      </c>
      <c r="I87" t="s">
        <v>179</v>
      </c>
    </row>
    <row r="88" spans="1:9" x14ac:dyDescent="0.35">
      <c r="A88" t="s">
        <v>259</v>
      </c>
      <c r="C88" t="s">
        <v>257</v>
      </c>
      <c r="D88">
        <v>43910</v>
      </c>
      <c r="F88" t="s">
        <v>165</v>
      </c>
      <c r="G88" t="s">
        <v>1093</v>
      </c>
      <c r="H88">
        <v>403</v>
      </c>
      <c r="I88" t="s">
        <v>220</v>
      </c>
    </row>
    <row r="89" spans="1:9" x14ac:dyDescent="0.35">
      <c r="A89" t="s">
        <v>259</v>
      </c>
      <c r="C89" t="s">
        <v>257</v>
      </c>
      <c r="D89">
        <v>43910</v>
      </c>
      <c r="F89" t="s">
        <v>292</v>
      </c>
      <c r="G89" t="s">
        <v>1093</v>
      </c>
      <c r="H89">
        <v>62.749400000000001</v>
      </c>
      <c r="I89" t="s">
        <v>179</v>
      </c>
    </row>
    <row r="90" spans="1:9" x14ac:dyDescent="0.35">
      <c r="A90" t="s">
        <v>259</v>
      </c>
      <c r="C90" t="s">
        <v>257</v>
      </c>
      <c r="D90">
        <v>43910</v>
      </c>
      <c r="F90" t="s">
        <v>292</v>
      </c>
      <c r="G90" t="s">
        <v>1093</v>
      </c>
      <c r="H90">
        <v>102.3806</v>
      </c>
      <c r="I90" t="s">
        <v>220</v>
      </c>
    </row>
    <row r="91" spans="1:9" x14ac:dyDescent="0.35">
      <c r="A91" t="s">
        <v>259</v>
      </c>
      <c r="C91" t="s">
        <v>257</v>
      </c>
      <c r="D91">
        <v>43910</v>
      </c>
      <c r="F91" t="s">
        <v>291</v>
      </c>
      <c r="G91" t="s">
        <v>1093</v>
      </c>
      <c r="H91">
        <v>62.749400000000001</v>
      </c>
      <c r="I91" t="s">
        <v>179</v>
      </c>
    </row>
    <row r="92" spans="1:9" x14ac:dyDescent="0.35">
      <c r="A92" t="s">
        <v>259</v>
      </c>
      <c r="C92" t="s">
        <v>257</v>
      </c>
      <c r="D92">
        <v>43910</v>
      </c>
      <c r="F92" t="s">
        <v>291</v>
      </c>
      <c r="G92" t="s">
        <v>1093</v>
      </c>
      <c r="H92">
        <v>102.3806</v>
      </c>
      <c r="I92" t="s">
        <v>220</v>
      </c>
    </row>
    <row r="93" spans="1:9" x14ac:dyDescent="0.35">
      <c r="A93" t="s">
        <v>259</v>
      </c>
      <c r="C93" t="s">
        <v>257</v>
      </c>
      <c r="D93">
        <v>43910</v>
      </c>
      <c r="F93" t="s">
        <v>289</v>
      </c>
      <c r="G93" t="s">
        <v>1100</v>
      </c>
      <c r="H93">
        <v>226.3</v>
      </c>
      <c r="I93" t="s">
        <v>179</v>
      </c>
    </row>
    <row r="94" spans="1:9" x14ac:dyDescent="0.35">
      <c r="A94" t="s">
        <v>259</v>
      </c>
      <c r="C94" t="s">
        <v>257</v>
      </c>
      <c r="D94">
        <v>43910</v>
      </c>
      <c r="F94" t="s">
        <v>291</v>
      </c>
      <c r="G94" t="s">
        <v>1100</v>
      </c>
      <c r="H94">
        <v>621.59</v>
      </c>
      <c r="I94" t="s">
        <v>179</v>
      </c>
    </row>
    <row r="95" spans="1:9" x14ac:dyDescent="0.35">
      <c r="A95" t="s">
        <v>259</v>
      </c>
      <c r="C95" t="s">
        <v>257</v>
      </c>
      <c r="D95">
        <v>43910</v>
      </c>
      <c r="F95" t="s">
        <v>292</v>
      </c>
      <c r="G95" t="s">
        <v>1100</v>
      </c>
      <c r="H95">
        <v>1770.26</v>
      </c>
      <c r="I95" t="s">
        <v>179</v>
      </c>
    </row>
    <row r="96" spans="1:9" x14ac:dyDescent="0.35">
      <c r="A96" t="s">
        <v>259</v>
      </c>
      <c r="C96" t="s">
        <v>257</v>
      </c>
      <c r="D96">
        <v>43910</v>
      </c>
      <c r="F96" t="s">
        <v>67</v>
      </c>
      <c r="G96" t="s">
        <v>1100</v>
      </c>
      <c r="H96">
        <v>2165.5500000000002</v>
      </c>
      <c r="I96" t="s">
        <v>179</v>
      </c>
    </row>
    <row r="97" spans="1:9" x14ac:dyDescent="0.35">
      <c r="A97" t="s">
        <v>259</v>
      </c>
      <c r="C97" t="s">
        <v>257</v>
      </c>
      <c r="D97">
        <v>43910</v>
      </c>
      <c r="F97" t="s">
        <v>292</v>
      </c>
      <c r="G97" t="s">
        <v>1100</v>
      </c>
      <c r="H97">
        <v>621.59</v>
      </c>
      <c r="I97" t="s">
        <v>179</v>
      </c>
    </row>
    <row r="98" spans="1:9" x14ac:dyDescent="0.35">
      <c r="A98" t="s">
        <v>259</v>
      </c>
      <c r="C98" t="s">
        <v>257</v>
      </c>
      <c r="D98">
        <v>43910</v>
      </c>
      <c r="F98" t="s">
        <v>291</v>
      </c>
      <c r="G98" t="s">
        <v>1100</v>
      </c>
      <c r="H98">
        <v>621.59</v>
      </c>
      <c r="I98" t="s">
        <v>179</v>
      </c>
    </row>
    <row r="99" spans="1:9" x14ac:dyDescent="0.35">
      <c r="A99" t="s">
        <v>259</v>
      </c>
      <c r="C99" t="s">
        <v>257</v>
      </c>
      <c r="D99">
        <v>43910</v>
      </c>
      <c r="F99" t="s">
        <v>289</v>
      </c>
      <c r="G99" t="s">
        <v>1107</v>
      </c>
      <c r="H99">
        <v>155.69</v>
      </c>
      <c r="I99" t="s">
        <v>179</v>
      </c>
    </row>
    <row r="100" spans="1:9" x14ac:dyDescent="0.35">
      <c r="A100" t="s">
        <v>259</v>
      </c>
      <c r="C100" t="s">
        <v>257</v>
      </c>
      <c r="D100">
        <v>43910</v>
      </c>
      <c r="F100" t="s">
        <v>290</v>
      </c>
      <c r="G100" t="s">
        <v>1107</v>
      </c>
      <c r="H100">
        <v>183.16</v>
      </c>
      <c r="I100" t="s">
        <v>179</v>
      </c>
    </row>
    <row r="101" spans="1:9" x14ac:dyDescent="0.35">
      <c r="A101" t="s">
        <v>259</v>
      </c>
      <c r="C101" t="s">
        <v>257</v>
      </c>
      <c r="D101">
        <v>43910</v>
      </c>
      <c r="F101" t="s">
        <v>291</v>
      </c>
      <c r="G101" t="s">
        <v>1107</v>
      </c>
      <c r="H101">
        <v>384.17</v>
      </c>
      <c r="I101" t="s">
        <v>179</v>
      </c>
    </row>
    <row r="102" spans="1:9" x14ac:dyDescent="0.35">
      <c r="A102" t="s">
        <v>259</v>
      </c>
      <c r="C102" t="s">
        <v>257</v>
      </c>
      <c r="D102">
        <v>43910</v>
      </c>
      <c r="F102" t="s">
        <v>292</v>
      </c>
      <c r="G102" t="s">
        <v>1107</v>
      </c>
      <c r="H102">
        <v>1180.23</v>
      </c>
      <c r="I102" t="s">
        <v>179</v>
      </c>
    </row>
    <row r="103" spans="1:9" x14ac:dyDescent="0.35">
      <c r="A103" t="s">
        <v>259</v>
      </c>
      <c r="C103" t="s">
        <v>257</v>
      </c>
      <c r="D103">
        <v>43910</v>
      </c>
      <c r="F103" t="s">
        <v>354</v>
      </c>
      <c r="G103" t="s">
        <v>1107</v>
      </c>
      <c r="H103">
        <v>1591.87</v>
      </c>
      <c r="I103" t="s">
        <v>179</v>
      </c>
    </row>
    <row r="104" spans="1:9" x14ac:dyDescent="0.35">
      <c r="A104" t="s">
        <v>259</v>
      </c>
      <c r="C104" t="s">
        <v>257</v>
      </c>
      <c r="D104">
        <v>43910</v>
      </c>
      <c r="F104" t="s">
        <v>292</v>
      </c>
      <c r="G104" t="s">
        <v>1107</v>
      </c>
      <c r="H104">
        <v>384.17</v>
      </c>
      <c r="I104" t="s">
        <v>179</v>
      </c>
    </row>
    <row r="105" spans="1:9" x14ac:dyDescent="0.35">
      <c r="A105" t="s">
        <v>259</v>
      </c>
      <c r="C105" t="s">
        <v>257</v>
      </c>
      <c r="D105">
        <v>43910</v>
      </c>
      <c r="F105" t="s">
        <v>291</v>
      </c>
      <c r="G105" t="s">
        <v>1107</v>
      </c>
      <c r="H105">
        <v>384.17</v>
      </c>
      <c r="I105" t="s">
        <v>179</v>
      </c>
    </row>
    <row r="106" spans="1:9" x14ac:dyDescent="0.35">
      <c r="A106" t="s">
        <v>259</v>
      </c>
      <c r="C106" t="s">
        <v>257</v>
      </c>
      <c r="D106">
        <v>43910</v>
      </c>
      <c r="F106" t="s">
        <v>290</v>
      </c>
      <c r="G106" t="s">
        <v>1055</v>
      </c>
      <c r="H106">
        <v>0.81</v>
      </c>
      <c r="I106" t="s">
        <v>179</v>
      </c>
    </row>
    <row r="107" spans="1:9" x14ac:dyDescent="0.35">
      <c r="A107" t="s">
        <v>259</v>
      </c>
      <c r="C107" t="s">
        <v>257</v>
      </c>
      <c r="D107">
        <v>43910</v>
      </c>
      <c r="F107" t="s">
        <v>292</v>
      </c>
      <c r="G107" t="s">
        <v>1055</v>
      </c>
      <c r="H107">
        <v>9.19</v>
      </c>
      <c r="I107" t="s">
        <v>179</v>
      </c>
    </row>
    <row r="108" spans="1:9" x14ac:dyDescent="0.35">
      <c r="A108" t="s">
        <v>259</v>
      </c>
      <c r="C108" t="s">
        <v>257</v>
      </c>
      <c r="D108">
        <v>43910</v>
      </c>
      <c r="F108" t="s">
        <v>354</v>
      </c>
      <c r="G108" t="s">
        <v>1055</v>
      </c>
      <c r="H108">
        <v>10</v>
      </c>
      <c r="I108" t="s">
        <v>179</v>
      </c>
    </row>
    <row r="109" spans="1:9" x14ac:dyDescent="0.35">
      <c r="A109" t="s">
        <v>259</v>
      </c>
      <c r="C109" t="s">
        <v>257</v>
      </c>
      <c r="D109">
        <v>43910</v>
      </c>
      <c r="F109" t="s">
        <v>289</v>
      </c>
      <c r="G109" t="s">
        <v>1118</v>
      </c>
      <c r="H109">
        <v>81.91</v>
      </c>
      <c r="I109" t="s">
        <v>915</v>
      </c>
    </row>
    <row r="110" spans="1:9" x14ac:dyDescent="0.35">
      <c r="A110" t="s">
        <v>259</v>
      </c>
      <c r="C110" t="s">
        <v>257</v>
      </c>
      <c r="D110">
        <v>43910</v>
      </c>
      <c r="F110" t="s">
        <v>291</v>
      </c>
      <c r="G110" t="s">
        <v>1118</v>
      </c>
      <c r="H110">
        <v>188.52</v>
      </c>
      <c r="I110" t="s">
        <v>915</v>
      </c>
    </row>
    <row r="111" spans="1:9" x14ac:dyDescent="0.35">
      <c r="A111" t="s">
        <v>259</v>
      </c>
      <c r="C111" t="s">
        <v>257</v>
      </c>
      <c r="D111">
        <v>43910</v>
      </c>
      <c r="F111" t="s">
        <v>292</v>
      </c>
      <c r="G111" t="s">
        <v>1118</v>
      </c>
      <c r="H111">
        <v>677.14</v>
      </c>
      <c r="I111" t="s">
        <v>915</v>
      </c>
    </row>
    <row r="112" spans="1:9" x14ac:dyDescent="0.35">
      <c r="A112" t="s">
        <v>259</v>
      </c>
      <c r="C112" t="s">
        <v>257</v>
      </c>
      <c r="D112">
        <v>43910</v>
      </c>
      <c r="F112" t="s">
        <v>353</v>
      </c>
      <c r="G112" t="s">
        <v>1118</v>
      </c>
      <c r="H112">
        <v>783.75</v>
      </c>
      <c r="I112" t="s">
        <v>915</v>
      </c>
    </row>
    <row r="113" spans="1:9" x14ac:dyDescent="0.35">
      <c r="A113" t="s">
        <v>259</v>
      </c>
      <c r="C113" t="s">
        <v>257</v>
      </c>
      <c r="D113">
        <v>43910</v>
      </c>
      <c r="F113" t="s">
        <v>292</v>
      </c>
      <c r="G113" t="s">
        <v>1118</v>
      </c>
      <c r="H113">
        <v>188.52</v>
      </c>
      <c r="I113" t="s">
        <v>915</v>
      </c>
    </row>
    <row r="114" spans="1:9" x14ac:dyDescent="0.35">
      <c r="A114" t="s">
        <v>259</v>
      </c>
      <c r="C114" t="s">
        <v>257</v>
      </c>
      <c r="D114">
        <v>43910</v>
      </c>
      <c r="F114" t="s">
        <v>291</v>
      </c>
      <c r="G114" t="s">
        <v>1118</v>
      </c>
      <c r="H114">
        <v>188.52</v>
      </c>
      <c r="I114" t="s">
        <v>915</v>
      </c>
    </row>
    <row r="115" spans="1:9" x14ac:dyDescent="0.35">
      <c r="A115" t="s">
        <v>259</v>
      </c>
      <c r="C115" t="s">
        <v>257</v>
      </c>
      <c r="D115">
        <v>43910</v>
      </c>
      <c r="F115" t="s">
        <v>289</v>
      </c>
      <c r="G115" t="s">
        <v>1055</v>
      </c>
      <c r="H115">
        <v>8.84</v>
      </c>
      <c r="I115" t="s">
        <v>179</v>
      </c>
    </row>
    <row r="116" spans="1:9" x14ac:dyDescent="0.35">
      <c r="A116" t="s">
        <v>259</v>
      </c>
      <c r="C116" t="s">
        <v>257</v>
      </c>
      <c r="D116">
        <v>43910</v>
      </c>
      <c r="F116" t="s">
        <v>290</v>
      </c>
      <c r="G116" t="s">
        <v>1055</v>
      </c>
      <c r="H116">
        <v>7.3</v>
      </c>
      <c r="I116" t="s">
        <v>179</v>
      </c>
    </row>
    <row r="117" spans="1:9" x14ac:dyDescent="0.35">
      <c r="A117" t="s">
        <v>259</v>
      </c>
      <c r="C117" t="s">
        <v>257</v>
      </c>
      <c r="D117">
        <v>43910</v>
      </c>
      <c r="F117" t="s">
        <v>291</v>
      </c>
      <c r="G117" t="s">
        <v>1055</v>
      </c>
      <c r="H117">
        <v>21.53</v>
      </c>
      <c r="I117" t="s">
        <v>179</v>
      </c>
    </row>
    <row r="118" spans="1:9" x14ac:dyDescent="0.35">
      <c r="A118" t="s">
        <v>259</v>
      </c>
      <c r="C118" t="s">
        <v>257</v>
      </c>
      <c r="D118">
        <v>43910</v>
      </c>
      <c r="F118" t="s">
        <v>292</v>
      </c>
      <c r="G118" t="s">
        <v>1055</v>
      </c>
      <c r="H118">
        <v>70.010000000000005</v>
      </c>
      <c r="I118" t="s">
        <v>179</v>
      </c>
    </row>
    <row r="119" spans="1:9" x14ac:dyDescent="0.35">
      <c r="A119" t="s">
        <v>259</v>
      </c>
      <c r="C119" t="s">
        <v>257</v>
      </c>
      <c r="D119">
        <v>43910</v>
      </c>
      <c r="F119" t="s">
        <v>354</v>
      </c>
      <c r="G119" t="s">
        <v>1055</v>
      </c>
      <c r="H119">
        <v>90</v>
      </c>
      <c r="I119" t="s">
        <v>179</v>
      </c>
    </row>
    <row r="120" spans="1:9" x14ac:dyDescent="0.35">
      <c r="A120" t="s">
        <v>259</v>
      </c>
      <c r="C120" t="s">
        <v>257</v>
      </c>
      <c r="D120">
        <v>43910</v>
      </c>
      <c r="F120" t="s">
        <v>292</v>
      </c>
      <c r="G120" t="s">
        <v>1055</v>
      </c>
      <c r="H120">
        <v>21.53</v>
      </c>
      <c r="I120" t="s">
        <v>179</v>
      </c>
    </row>
    <row r="121" spans="1:9" x14ac:dyDescent="0.35">
      <c r="A121" t="s">
        <v>259</v>
      </c>
      <c r="C121" t="s">
        <v>257</v>
      </c>
      <c r="D121">
        <v>43910</v>
      </c>
      <c r="F121" t="s">
        <v>291</v>
      </c>
      <c r="G121" t="s">
        <v>1055</v>
      </c>
      <c r="H121">
        <v>21.53</v>
      </c>
      <c r="I121" t="s">
        <v>179</v>
      </c>
    </row>
    <row r="122" spans="1:9" x14ac:dyDescent="0.35">
      <c r="A122" t="s">
        <v>259</v>
      </c>
      <c r="C122" t="s">
        <v>257</v>
      </c>
      <c r="D122">
        <v>43910</v>
      </c>
      <c r="F122" t="s">
        <v>289</v>
      </c>
      <c r="G122" t="s">
        <v>1119</v>
      </c>
      <c r="H122">
        <v>92.53</v>
      </c>
      <c r="I122" t="s">
        <v>221</v>
      </c>
    </row>
    <row r="123" spans="1:9" x14ac:dyDescent="0.35">
      <c r="A123" t="s">
        <v>259</v>
      </c>
      <c r="C123" t="s">
        <v>257</v>
      </c>
      <c r="D123">
        <v>43910</v>
      </c>
      <c r="F123" t="s">
        <v>290</v>
      </c>
      <c r="G123" t="s">
        <v>1119</v>
      </c>
      <c r="H123">
        <v>123.62</v>
      </c>
      <c r="I123" t="s">
        <v>221</v>
      </c>
    </row>
    <row r="124" spans="1:9" x14ac:dyDescent="0.35">
      <c r="A124" t="s">
        <v>259</v>
      </c>
      <c r="C124" t="s">
        <v>257</v>
      </c>
      <c r="D124">
        <v>43910</v>
      </c>
      <c r="F124" t="s">
        <v>291</v>
      </c>
      <c r="G124" t="s">
        <v>1119</v>
      </c>
      <c r="H124">
        <v>200.34</v>
      </c>
      <c r="I124" t="s">
        <v>221</v>
      </c>
    </row>
    <row r="125" spans="1:9" x14ac:dyDescent="0.35">
      <c r="A125" t="s">
        <v>259</v>
      </c>
      <c r="C125" t="s">
        <v>257</v>
      </c>
      <c r="D125">
        <v>43910</v>
      </c>
      <c r="F125" t="s">
        <v>292</v>
      </c>
      <c r="G125" t="s">
        <v>1119</v>
      </c>
      <c r="H125">
        <v>728.57</v>
      </c>
      <c r="I125" t="s">
        <v>221</v>
      </c>
    </row>
    <row r="126" spans="1:9" x14ac:dyDescent="0.35">
      <c r="A126" t="s">
        <v>259</v>
      </c>
      <c r="C126" t="s">
        <v>257</v>
      </c>
      <c r="D126">
        <v>43910</v>
      </c>
      <c r="F126" t="s">
        <v>67</v>
      </c>
      <c r="G126" t="s">
        <v>1119</v>
      </c>
      <c r="H126">
        <v>960</v>
      </c>
      <c r="I126" t="s">
        <v>221</v>
      </c>
    </row>
    <row r="127" spans="1:9" x14ac:dyDescent="0.35">
      <c r="A127" t="s">
        <v>259</v>
      </c>
      <c r="C127" t="s">
        <v>257</v>
      </c>
      <c r="D127">
        <v>43910</v>
      </c>
      <c r="F127" t="s">
        <v>292</v>
      </c>
      <c r="G127" t="s">
        <v>1119</v>
      </c>
      <c r="H127">
        <v>200.34</v>
      </c>
      <c r="I127" t="s">
        <v>221</v>
      </c>
    </row>
    <row r="128" spans="1:9" x14ac:dyDescent="0.35">
      <c r="A128" t="s">
        <v>259</v>
      </c>
      <c r="C128" t="s">
        <v>257</v>
      </c>
      <c r="D128">
        <v>43910</v>
      </c>
      <c r="F128" t="s">
        <v>291</v>
      </c>
      <c r="G128" t="s">
        <v>1119</v>
      </c>
      <c r="H128">
        <v>200.34</v>
      </c>
      <c r="I128" t="s">
        <v>221</v>
      </c>
    </row>
    <row r="129" spans="1:9" x14ac:dyDescent="0.35">
      <c r="A129" t="s">
        <v>259</v>
      </c>
      <c r="C129" t="s">
        <v>257</v>
      </c>
      <c r="D129">
        <v>43910</v>
      </c>
      <c r="F129" t="s">
        <v>289</v>
      </c>
      <c r="G129" t="s">
        <v>1120</v>
      </c>
      <c r="H129">
        <v>0.85739999999999994</v>
      </c>
      <c r="I129" t="s">
        <v>237</v>
      </c>
    </row>
    <row r="130" spans="1:9" x14ac:dyDescent="0.35">
      <c r="A130" t="s">
        <v>259</v>
      </c>
      <c r="C130" t="s">
        <v>257</v>
      </c>
      <c r="D130">
        <v>43910</v>
      </c>
      <c r="F130" t="s">
        <v>289</v>
      </c>
      <c r="G130" t="s">
        <v>1120</v>
      </c>
      <c r="H130">
        <v>3.8582999999999998</v>
      </c>
      <c r="I130" t="s">
        <v>233</v>
      </c>
    </row>
    <row r="131" spans="1:9" x14ac:dyDescent="0.35">
      <c r="A131" t="s">
        <v>259</v>
      </c>
      <c r="C131" t="s">
        <v>257</v>
      </c>
      <c r="D131">
        <v>43910</v>
      </c>
      <c r="F131" t="s">
        <v>289</v>
      </c>
      <c r="G131" t="s">
        <v>1120</v>
      </c>
      <c r="H131">
        <v>38.154299999999999</v>
      </c>
      <c r="I131" t="s">
        <v>180</v>
      </c>
    </row>
    <row r="132" spans="1:9" x14ac:dyDescent="0.35">
      <c r="A132" t="s">
        <v>259</v>
      </c>
      <c r="C132" t="s">
        <v>257</v>
      </c>
      <c r="D132">
        <v>43910</v>
      </c>
      <c r="F132" t="s">
        <v>290</v>
      </c>
      <c r="G132" t="s">
        <v>1120</v>
      </c>
      <c r="H132">
        <v>0.62020000000000008</v>
      </c>
      <c r="I132" t="s">
        <v>237</v>
      </c>
    </row>
    <row r="133" spans="1:9" x14ac:dyDescent="0.35">
      <c r="A133" t="s">
        <v>259</v>
      </c>
      <c r="C133" t="s">
        <v>257</v>
      </c>
      <c r="D133">
        <v>43910</v>
      </c>
      <c r="F133" t="s">
        <v>290</v>
      </c>
      <c r="G133" t="s">
        <v>1120</v>
      </c>
      <c r="H133">
        <v>2.7909000000000002</v>
      </c>
      <c r="I133" t="s">
        <v>233</v>
      </c>
    </row>
    <row r="134" spans="1:9" x14ac:dyDescent="0.35">
      <c r="A134" t="s">
        <v>259</v>
      </c>
      <c r="C134" t="s">
        <v>257</v>
      </c>
      <c r="D134">
        <v>43910</v>
      </c>
      <c r="F134" t="s">
        <v>290</v>
      </c>
      <c r="G134" t="s">
        <v>1120</v>
      </c>
      <c r="H134">
        <v>27.5989</v>
      </c>
      <c r="I134" t="s">
        <v>180</v>
      </c>
    </row>
    <row r="135" spans="1:9" x14ac:dyDescent="0.35">
      <c r="A135" t="s">
        <v>259</v>
      </c>
      <c r="C135" t="s">
        <v>257</v>
      </c>
      <c r="D135">
        <v>43910</v>
      </c>
      <c r="F135" t="s">
        <v>291</v>
      </c>
      <c r="G135" t="s">
        <v>1120</v>
      </c>
      <c r="H135">
        <v>2.9186000000000001</v>
      </c>
      <c r="I135" t="s">
        <v>237</v>
      </c>
    </row>
    <row r="136" spans="1:9" x14ac:dyDescent="0.35">
      <c r="A136" t="s">
        <v>259</v>
      </c>
      <c r="C136" t="s">
        <v>257</v>
      </c>
      <c r="D136">
        <v>43910</v>
      </c>
      <c r="F136" t="s">
        <v>291</v>
      </c>
      <c r="G136" t="s">
        <v>1120</v>
      </c>
      <c r="H136">
        <v>13.133699999999999</v>
      </c>
      <c r="I136" t="s">
        <v>233</v>
      </c>
    </row>
    <row r="137" spans="1:9" x14ac:dyDescent="0.35">
      <c r="A137" t="s">
        <v>259</v>
      </c>
      <c r="C137" t="s">
        <v>257</v>
      </c>
      <c r="D137">
        <v>43910</v>
      </c>
      <c r="F137" t="s">
        <v>291</v>
      </c>
      <c r="G137" t="s">
        <v>1120</v>
      </c>
      <c r="H137">
        <v>129.8777</v>
      </c>
      <c r="I137" t="s">
        <v>180</v>
      </c>
    </row>
    <row r="138" spans="1:9" x14ac:dyDescent="0.35">
      <c r="A138" t="s">
        <v>259</v>
      </c>
      <c r="C138" t="s">
        <v>257</v>
      </c>
      <c r="D138">
        <v>43910</v>
      </c>
      <c r="F138" t="s">
        <v>292</v>
      </c>
      <c r="G138" t="s">
        <v>1120</v>
      </c>
      <c r="H138">
        <v>5.7801999999999998</v>
      </c>
      <c r="I138" t="s">
        <v>237</v>
      </c>
    </row>
    <row r="139" spans="1:9" x14ac:dyDescent="0.35">
      <c r="A139" t="s">
        <v>259</v>
      </c>
      <c r="C139" t="s">
        <v>257</v>
      </c>
      <c r="D139">
        <v>43910</v>
      </c>
      <c r="F139" t="s">
        <v>292</v>
      </c>
      <c r="G139" t="s">
        <v>1120</v>
      </c>
      <c r="H139">
        <v>26.010899999999999</v>
      </c>
      <c r="I139" t="s">
        <v>233</v>
      </c>
    </row>
    <row r="140" spans="1:9" x14ac:dyDescent="0.35">
      <c r="A140" t="s">
        <v>259</v>
      </c>
      <c r="C140" t="s">
        <v>257</v>
      </c>
      <c r="D140">
        <v>43910</v>
      </c>
      <c r="F140" t="s">
        <v>292</v>
      </c>
      <c r="G140" t="s">
        <v>1120</v>
      </c>
      <c r="H140">
        <v>257.21890000000002</v>
      </c>
      <c r="I140" t="s">
        <v>180</v>
      </c>
    </row>
    <row r="141" spans="1:9" x14ac:dyDescent="0.35">
      <c r="A141" t="s">
        <v>259</v>
      </c>
      <c r="C141" t="s">
        <v>257</v>
      </c>
      <c r="D141">
        <v>43910</v>
      </c>
      <c r="F141" t="s">
        <v>93</v>
      </c>
      <c r="G141" t="s">
        <v>1120</v>
      </c>
      <c r="H141">
        <v>8.4616000000000007</v>
      </c>
      <c r="I141" t="s">
        <v>237</v>
      </c>
    </row>
    <row r="142" spans="1:9" x14ac:dyDescent="0.35">
      <c r="A142" t="s">
        <v>259</v>
      </c>
      <c r="C142" t="s">
        <v>257</v>
      </c>
      <c r="D142">
        <v>43910</v>
      </c>
      <c r="F142" t="s">
        <v>93</v>
      </c>
      <c r="G142" t="s">
        <v>1120</v>
      </c>
      <c r="H142">
        <v>38.077199999999998</v>
      </c>
      <c r="I142" t="s">
        <v>233</v>
      </c>
    </row>
    <row r="143" spans="1:9" x14ac:dyDescent="0.35">
      <c r="A143" t="s">
        <v>259</v>
      </c>
      <c r="C143" t="s">
        <v>257</v>
      </c>
      <c r="D143">
        <v>43910</v>
      </c>
      <c r="F143" t="s">
        <v>93</v>
      </c>
      <c r="G143" t="s">
        <v>1120</v>
      </c>
      <c r="H143">
        <v>376.5412</v>
      </c>
      <c r="I143" t="s">
        <v>180</v>
      </c>
    </row>
    <row r="144" spans="1:9" x14ac:dyDescent="0.35">
      <c r="A144" t="s">
        <v>259</v>
      </c>
      <c r="C144" t="s">
        <v>257</v>
      </c>
      <c r="D144">
        <v>43910</v>
      </c>
      <c r="F144" t="s">
        <v>292</v>
      </c>
      <c r="G144" t="s">
        <v>1120</v>
      </c>
      <c r="H144">
        <v>2.9186000000000001</v>
      </c>
      <c r="I144" t="s">
        <v>237</v>
      </c>
    </row>
    <row r="145" spans="1:9" x14ac:dyDescent="0.35">
      <c r="A145" t="s">
        <v>259</v>
      </c>
      <c r="C145" t="s">
        <v>257</v>
      </c>
      <c r="D145">
        <v>43910</v>
      </c>
      <c r="F145" t="s">
        <v>292</v>
      </c>
      <c r="G145" t="s">
        <v>1120</v>
      </c>
      <c r="H145">
        <v>13.133699999999999</v>
      </c>
      <c r="I145" t="s">
        <v>233</v>
      </c>
    </row>
    <row r="146" spans="1:9" x14ac:dyDescent="0.35">
      <c r="A146" t="s">
        <v>259</v>
      </c>
      <c r="C146" t="s">
        <v>257</v>
      </c>
      <c r="D146">
        <v>43910</v>
      </c>
      <c r="F146" t="s">
        <v>292</v>
      </c>
      <c r="G146" t="s">
        <v>1120</v>
      </c>
      <c r="H146">
        <v>129.8777</v>
      </c>
      <c r="I146" t="s">
        <v>180</v>
      </c>
    </row>
    <row r="147" spans="1:9" x14ac:dyDescent="0.35">
      <c r="A147" t="s">
        <v>259</v>
      </c>
      <c r="C147" t="s">
        <v>257</v>
      </c>
      <c r="D147">
        <v>43910</v>
      </c>
      <c r="F147" t="s">
        <v>291</v>
      </c>
      <c r="G147" t="s">
        <v>1120</v>
      </c>
      <c r="H147">
        <v>2.9186000000000001</v>
      </c>
      <c r="I147" t="s">
        <v>237</v>
      </c>
    </row>
    <row r="148" spans="1:9" x14ac:dyDescent="0.35">
      <c r="A148" t="s">
        <v>259</v>
      </c>
      <c r="C148" t="s">
        <v>257</v>
      </c>
      <c r="D148">
        <v>43910</v>
      </c>
      <c r="F148" t="s">
        <v>291</v>
      </c>
      <c r="G148" t="s">
        <v>1120</v>
      </c>
      <c r="H148">
        <v>13.133699999999999</v>
      </c>
      <c r="I148" t="s">
        <v>233</v>
      </c>
    </row>
    <row r="149" spans="1:9" x14ac:dyDescent="0.35">
      <c r="A149" t="s">
        <v>259</v>
      </c>
      <c r="C149" t="s">
        <v>257</v>
      </c>
      <c r="D149">
        <v>43910</v>
      </c>
      <c r="F149" t="s">
        <v>291</v>
      </c>
      <c r="G149" t="s">
        <v>1120</v>
      </c>
      <c r="H149">
        <v>129.8777</v>
      </c>
      <c r="I149" t="s">
        <v>180</v>
      </c>
    </row>
    <row r="150" spans="1:9" x14ac:dyDescent="0.35">
      <c r="A150" t="s">
        <v>259</v>
      </c>
      <c r="C150" t="s">
        <v>257</v>
      </c>
      <c r="D150">
        <v>43910</v>
      </c>
      <c r="F150" t="s">
        <v>289</v>
      </c>
      <c r="G150" t="s">
        <v>1121</v>
      </c>
      <c r="H150">
        <v>22.526100000000003</v>
      </c>
      <c r="I150" t="s">
        <v>237</v>
      </c>
    </row>
    <row r="151" spans="1:9" x14ac:dyDescent="0.35">
      <c r="A151" t="s">
        <v>259</v>
      </c>
      <c r="C151" t="s">
        <v>257</v>
      </c>
      <c r="D151">
        <v>43910</v>
      </c>
      <c r="F151" t="s">
        <v>289</v>
      </c>
      <c r="G151" t="s">
        <v>1121</v>
      </c>
      <c r="H151">
        <v>24.194700000000001</v>
      </c>
      <c r="I151" t="s">
        <v>233</v>
      </c>
    </row>
    <row r="152" spans="1:9" x14ac:dyDescent="0.35">
      <c r="A152" t="s">
        <v>259</v>
      </c>
      <c r="C152" t="s">
        <v>257</v>
      </c>
      <c r="D152">
        <v>43910</v>
      </c>
      <c r="F152" t="s">
        <v>289</v>
      </c>
      <c r="G152" t="s">
        <v>1121</v>
      </c>
      <c r="H152">
        <v>36.709200000000003</v>
      </c>
      <c r="I152" t="s">
        <v>234</v>
      </c>
    </row>
    <row r="153" spans="1:9" x14ac:dyDescent="0.35">
      <c r="A153" t="s">
        <v>259</v>
      </c>
      <c r="C153" t="s">
        <v>257</v>
      </c>
      <c r="D153">
        <v>43910</v>
      </c>
      <c r="F153" t="s">
        <v>290</v>
      </c>
      <c r="G153" t="s">
        <v>1121</v>
      </c>
      <c r="H153">
        <v>6.4422000000000006</v>
      </c>
      <c r="I153" t="s">
        <v>237</v>
      </c>
    </row>
    <row r="154" spans="1:9" x14ac:dyDescent="0.35">
      <c r="A154" t="s">
        <v>259</v>
      </c>
      <c r="C154" t="s">
        <v>257</v>
      </c>
      <c r="D154">
        <v>43910</v>
      </c>
      <c r="F154" t="s">
        <v>290</v>
      </c>
      <c r="G154" t="s">
        <v>1121</v>
      </c>
      <c r="H154">
        <v>6.9193999999999996</v>
      </c>
      <c r="I154" t="s">
        <v>233</v>
      </c>
    </row>
    <row r="155" spans="1:9" x14ac:dyDescent="0.35">
      <c r="A155" t="s">
        <v>259</v>
      </c>
      <c r="C155" t="s">
        <v>257</v>
      </c>
      <c r="D155">
        <v>43910</v>
      </c>
      <c r="F155" t="s">
        <v>290</v>
      </c>
      <c r="G155" t="s">
        <v>1121</v>
      </c>
      <c r="H155">
        <v>10.4984</v>
      </c>
      <c r="I155" t="s">
        <v>234</v>
      </c>
    </row>
    <row r="156" spans="1:9" x14ac:dyDescent="0.35">
      <c r="A156" t="s">
        <v>259</v>
      </c>
      <c r="C156" t="s">
        <v>257</v>
      </c>
      <c r="D156">
        <v>43910</v>
      </c>
      <c r="F156" t="s">
        <v>291</v>
      </c>
      <c r="G156" t="s">
        <v>1121</v>
      </c>
      <c r="H156">
        <v>78.443100000000001</v>
      </c>
      <c r="I156" t="s">
        <v>237</v>
      </c>
    </row>
    <row r="157" spans="1:9" x14ac:dyDescent="0.35">
      <c r="A157" t="s">
        <v>259</v>
      </c>
      <c r="C157" t="s">
        <v>257</v>
      </c>
      <c r="D157">
        <v>43910</v>
      </c>
      <c r="F157" t="s">
        <v>291</v>
      </c>
      <c r="G157" t="s">
        <v>1121</v>
      </c>
      <c r="H157">
        <v>84.253699999999981</v>
      </c>
      <c r="I157" t="s">
        <v>233</v>
      </c>
    </row>
    <row r="158" spans="1:9" x14ac:dyDescent="0.35">
      <c r="A158" t="s">
        <v>259</v>
      </c>
      <c r="C158" t="s">
        <v>257</v>
      </c>
      <c r="D158">
        <v>43910</v>
      </c>
      <c r="F158" t="s">
        <v>291</v>
      </c>
      <c r="G158" t="s">
        <v>1121</v>
      </c>
      <c r="H158">
        <v>127.83319999999999</v>
      </c>
      <c r="I158" t="s">
        <v>234</v>
      </c>
    </row>
    <row r="159" spans="1:9" x14ac:dyDescent="0.35">
      <c r="A159" t="s">
        <v>259</v>
      </c>
      <c r="C159" t="s">
        <v>257</v>
      </c>
      <c r="D159">
        <v>43910</v>
      </c>
      <c r="F159" t="s">
        <v>292</v>
      </c>
      <c r="G159" t="s">
        <v>1121</v>
      </c>
      <c r="H159">
        <v>158.29830000000001</v>
      </c>
      <c r="I159" t="s">
        <v>237</v>
      </c>
    </row>
    <row r="160" spans="1:9" x14ac:dyDescent="0.35">
      <c r="A160" t="s">
        <v>259</v>
      </c>
      <c r="C160" t="s">
        <v>257</v>
      </c>
      <c r="D160">
        <v>43910</v>
      </c>
      <c r="F160" t="s">
        <v>292</v>
      </c>
      <c r="G160" t="s">
        <v>1121</v>
      </c>
      <c r="H160">
        <v>170.02409999999998</v>
      </c>
      <c r="I160" t="s">
        <v>233</v>
      </c>
    </row>
    <row r="161" spans="1:9" x14ac:dyDescent="0.35">
      <c r="A161" t="s">
        <v>259</v>
      </c>
      <c r="C161" t="s">
        <v>257</v>
      </c>
      <c r="D161">
        <v>43910</v>
      </c>
      <c r="F161" t="s">
        <v>292</v>
      </c>
      <c r="G161" t="s">
        <v>1121</v>
      </c>
      <c r="H161">
        <v>257.9676</v>
      </c>
      <c r="I161" t="s">
        <v>234</v>
      </c>
    </row>
    <row r="162" spans="1:9" x14ac:dyDescent="0.35">
      <c r="A162" t="s">
        <v>259</v>
      </c>
      <c r="C162" t="s">
        <v>257</v>
      </c>
      <c r="D162">
        <v>43910</v>
      </c>
      <c r="F162" t="s">
        <v>343</v>
      </c>
      <c r="G162" t="s">
        <v>1121</v>
      </c>
      <c r="H162">
        <v>220.65750000000003</v>
      </c>
      <c r="I162" t="s">
        <v>237</v>
      </c>
    </row>
    <row r="163" spans="1:9" x14ac:dyDescent="0.35">
      <c r="A163" t="s">
        <v>259</v>
      </c>
      <c r="C163" t="s">
        <v>257</v>
      </c>
      <c r="D163">
        <v>43910</v>
      </c>
      <c r="F163" t="s">
        <v>343</v>
      </c>
      <c r="G163" t="s">
        <v>1121</v>
      </c>
      <c r="H163">
        <v>237.0025</v>
      </c>
      <c r="I163" t="s">
        <v>233</v>
      </c>
    </row>
    <row r="164" spans="1:9" x14ac:dyDescent="0.35">
      <c r="A164" t="s">
        <v>259</v>
      </c>
      <c r="C164" t="s">
        <v>257</v>
      </c>
      <c r="D164">
        <v>43910</v>
      </c>
      <c r="F164" t="s">
        <v>343</v>
      </c>
      <c r="G164" t="s">
        <v>1121</v>
      </c>
      <c r="H164">
        <v>359.59</v>
      </c>
      <c r="I164" t="s">
        <v>234</v>
      </c>
    </row>
    <row r="165" spans="1:9" x14ac:dyDescent="0.35">
      <c r="A165" t="s">
        <v>259</v>
      </c>
      <c r="C165" t="s">
        <v>257</v>
      </c>
      <c r="D165">
        <v>43910</v>
      </c>
      <c r="F165" t="s">
        <v>292</v>
      </c>
      <c r="G165" t="s">
        <v>1121</v>
      </c>
      <c r="H165">
        <v>78.443100000000001</v>
      </c>
      <c r="I165" t="s">
        <v>237</v>
      </c>
    </row>
    <row r="166" spans="1:9" x14ac:dyDescent="0.35">
      <c r="A166" t="s">
        <v>259</v>
      </c>
      <c r="C166" t="s">
        <v>257</v>
      </c>
      <c r="D166">
        <v>43910</v>
      </c>
      <c r="F166" t="s">
        <v>292</v>
      </c>
      <c r="G166" t="s">
        <v>1121</v>
      </c>
      <c r="H166">
        <v>84.253699999999981</v>
      </c>
      <c r="I166" t="s">
        <v>233</v>
      </c>
    </row>
    <row r="167" spans="1:9" x14ac:dyDescent="0.35">
      <c r="A167" t="s">
        <v>259</v>
      </c>
      <c r="C167" t="s">
        <v>257</v>
      </c>
      <c r="D167">
        <v>43910</v>
      </c>
      <c r="F167" t="s">
        <v>292</v>
      </c>
      <c r="G167" t="s">
        <v>1121</v>
      </c>
      <c r="H167">
        <v>127.83319999999999</v>
      </c>
      <c r="I167" t="s">
        <v>234</v>
      </c>
    </row>
    <row r="168" spans="1:9" x14ac:dyDescent="0.35">
      <c r="A168" t="s">
        <v>259</v>
      </c>
      <c r="C168" t="s">
        <v>257</v>
      </c>
      <c r="D168">
        <v>43910</v>
      </c>
      <c r="F168" t="s">
        <v>291</v>
      </c>
      <c r="G168" t="s">
        <v>1121</v>
      </c>
      <c r="H168">
        <v>78.443100000000001</v>
      </c>
      <c r="I168" t="s">
        <v>237</v>
      </c>
    </row>
    <row r="169" spans="1:9" x14ac:dyDescent="0.35">
      <c r="A169" t="s">
        <v>259</v>
      </c>
      <c r="C169" t="s">
        <v>257</v>
      </c>
      <c r="D169">
        <v>43910</v>
      </c>
      <c r="F169" t="s">
        <v>291</v>
      </c>
      <c r="G169" t="s">
        <v>1121</v>
      </c>
      <c r="H169">
        <v>84.253699999999981</v>
      </c>
      <c r="I169" t="s">
        <v>233</v>
      </c>
    </row>
    <row r="170" spans="1:9" x14ac:dyDescent="0.35">
      <c r="A170" t="s">
        <v>259</v>
      </c>
      <c r="C170" t="s">
        <v>257</v>
      </c>
      <c r="D170">
        <v>43910</v>
      </c>
      <c r="F170" t="s">
        <v>291</v>
      </c>
      <c r="G170" t="s">
        <v>1121</v>
      </c>
      <c r="H170">
        <v>127.83319999999999</v>
      </c>
      <c r="I170" t="s">
        <v>234</v>
      </c>
    </row>
    <row r="171" spans="1:9" x14ac:dyDescent="0.35">
      <c r="A171" t="s">
        <v>259</v>
      </c>
      <c r="C171" t="s">
        <v>257</v>
      </c>
      <c r="D171">
        <v>43910</v>
      </c>
      <c r="F171" t="s">
        <v>289</v>
      </c>
      <c r="G171" t="s">
        <v>1122</v>
      </c>
      <c r="H171">
        <v>64.67</v>
      </c>
      <c r="I171" t="s">
        <v>234</v>
      </c>
    </row>
    <row r="172" spans="1:9" x14ac:dyDescent="0.35">
      <c r="A172" t="s">
        <v>259</v>
      </c>
      <c r="C172" t="s">
        <v>257</v>
      </c>
      <c r="D172">
        <v>43910</v>
      </c>
      <c r="F172" t="s">
        <v>290</v>
      </c>
      <c r="G172" t="s">
        <v>1122</v>
      </c>
      <c r="H172">
        <v>39.53</v>
      </c>
      <c r="I172" t="s">
        <v>234</v>
      </c>
    </row>
    <row r="173" spans="1:9" x14ac:dyDescent="0.35">
      <c r="A173" t="s">
        <v>259</v>
      </c>
      <c r="C173" t="s">
        <v>257</v>
      </c>
      <c r="D173">
        <v>43910</v>
      </c>
      <c r="F173" t="s">
        <v>291</v>
      </c>
      <c r="G173" t="s">
        <v>1122</v>
      </c>
      <c r="H173">
        <v>200.08</v>
      </c>
      <c r="I173" t="s">
        <v>234</v>
      </c>
    </row>
    <row r="174" spans="1:9" x14ac:dyDescent="0.35">
      <c r="A174" t="s">
        <v>259</v>
      </c>
      <c r="C174" t="s">
        <v>257</v>
      </c>
      <c r="D174">
        <v>43910</v>
      </c>
      <c r="F174" t="s">
        <v>292</v>
      </c>
      <c r="G174" t="s">
        <v>1122</v>
      </c>
      <c r="H174">
        <v>474.1</v>
      </c>
      <c r="I174" t="s">
        <v>234</v>
      </c>
    </row>
    <row r="175" spans="1:9" x14ac:dyDescent="0.35">
      <c r="A175" t="s">
        <v>259</v>
      </c>
      <c r="C175" t="s">
        <v>257</v>
      </c>
      <c r="D175">
        <v>43910</v>
      </c>
      <c r="F175" t="s">
        <v>347</v>
      </c>
      <c r="G175" t="s">
        <v>1122</v>
      </c>
      <c r="H175">
        <v>649.04</v>
      </c>
      <c r="I175" t="s">
        <v>234</v>
      </c>
    </row>
    <row r="176" spans="1:9" x14ac:dyDescent="0.35">
      <c r="A176" t="s">
        <v>259</v>
      </c>
      <c r="C176" t="s">
        <v>257</v>
      </c>
      <c r="D176">
        <v>43910</v>
      </c>
      <c r="F176" t="s">
        <v>292</v>
      </c>
      <c r="G176" t="s">
        <v>1122</v>
      </c>
      <c r="H176">
        <v>200.08</v>
      </c>
      <c r="I176" t="s">
        <v>234</v>
      </c>
    </row>
    <row r="177" spans="1:9" x14ac:dyDescent="0.35">
      <c r="A177" t="s">
        <v>259</v>
      </c>
      <c r="C177" t="s">
        <v>257</v>
      </c>
      <c r="D177">
        <v>43910</v>
      </c>
      <c r="F177" t="s">
        <v>291</v>
      </c>
      <c r="G177" t="s">
        <v>1122</v>
      </c>
      <c r="H177">
        <v>200.08</v>
      </c>
      <c r="I177" t="s">
        <v>234</v>
      </c>
    </row>
    <row r="178" spans="1:9" x14ac:dyDescent="0.35">
      <c r="A178" t="s">
        <v>259</v>
      </c>
      <c r="C178" t="s">
        <v>257</v>
      </c>
      <c r="D178">
        <v>43910</v>
      </c>
      <c r="F178" t="s">
        <v>289</v>
      </c>
      <c r="G178" t="s">
        <v>1122</v>
      </c>
      <c r="H178">
        <v>79.08</v>
      </c>
      <c r="I178" t="s">
        <v>234</v>
      </c>
    </row>
    <row r="179" spans="1:9" x14ac:dyDescent="0.35">
      <c r="A179" t="s">
        <v>259</v>
      </c>
      <c r="C179" t="s">
        <v>257</v>
      </c>
      <c r="D179">
        <v>43910</v>
      </c>
      <c r="F179" t="s">
        <v>290</v>
      </c>
      <c r="G179" t="s">
        <v>1122</v>
      </c>
      <c r="H179">
        <v>48.33</v>
      </c>
      <c r="I179" t="s">
        <v>234</v>
      </c>
    </row>
    <row r="180" spans="1:9" x14ac:dyDescent="0.35">
      <c r="A180" t="s">
        <v>259</v>
      </c>
      <c r="C180" t="s">
        <v>257</v>
      </c>
      <c r="D180">
        <v>43910</v>
      </c>
      <c r="F180" t="s">
        <v>291</v>
      </c>
      <c r="G180" t="s">
        <v>1122</v>
      </c>
      <c r="H180">
        <v>244.57</v>
      </c>
      <c r="I180" t="s">
        <v>234</v>
      </c>
    </row>
    <row r="181" spans="1:9" x14ac:dyDescent="0.35">
      <c r="A181" t="s">
        <v>259</v>
      </c>
      <c r="C181" t="s">
        <v>257</v>
      </c>
      <c r="D181">
        <v>43910</v>
      </c>
      <c r="F181" t="s">
        <v>292</v>
      </c>
      <c r="G181" t="s">
        <v>1122</v>
      </c>
      <c r="H181">
        <v>579.45000000000005</v>
      </c>
      <c r="I181" t="s">
        <v>234</v>
      </c>
    </row>
    <row r="182" spans="1:9" x14ac:dyDescent="0.35">
      <c r="A182" t="s">
        <v>259</v>
      </c>
      <c r="C182" t="s">
        <v>257</v>
      </c>
      <c r="D182">
        <v>43910</v>
      </c>
      <c r="F182" t="s">
        <v>347</v>
      </c>
      <c r="G182" t="s">
        <v>1122</v>
      </c>
      <c r="H182">
        <v>793.27</v>
      </c>
      <c r="I182" t="s">
        <v>234</v>
      </c>
    </row>
    <row r="183" spans="1:9" x14ac:dyDescent="0.35">
      <c r="A183" t="s">
        <v>259</v>
      </c>
      <c r="C183" t="s">
        <v>257</v>
      </c>
      <c r="D183">
        <v>43910</v>
      </c>
      <c r="F183" t="s">
        <v>292</v>
      </c>
      <c r="G183" t="s">
        <v>1122</v>
      </c>
      <c r="H183">
        <v>244.57</v>
      </c>
      <c r="I183" t="s">
        <v>234</v>
      </c>
    </row>
    <row r="184" spans="1:9" x14ac:dyDescent="0.35">
      <c r="A184" t="s">
        <v>259</v>
      </c>
      <c r="C184" t="s">
        <v>257</v>
      </c>
      <c r="D184">
        <v>43910</v>
      </c>
      <c r="F184" t="s">
        <v>291</v>
      </c>
      <c r="G184" t="s">
        <v>1122</v>
      </c>
      <c r="H184">
        <v>244.57</v>
      </c>
      <c r="I184" t="s">
        <v>234</v>
      </c>
    </row>
    <row r="185" spans="1:9" x14ac:dyDescent="0.35">
      <c r="A185" t="s">
        <v>259</v>
      </c>
      <c r="C185" t="s">
        <v>257</v>
      </c>
      <c r="D185">
        <v>43910</v>
      </c>
      <c r="F185" t="s">
        <v>289</v>
      </c>
      <c r="G185" t="s">
        <v>1121</v>
      </c>
      <c r="H185">
        <v>67.572900000000004</v>
      </c>
      <c r="I185" t="s">
        <v>237</v>
      </c>
    </row>
    <row r="186" spans="1:9" x14ac:dyDescent="0.35">
      <c r="A186" t="s">
        <v>259</v>
      </c>
      <c r="C186" t="s">
        <v>257</v>
      </c>
      <c r="D186">
        <v>43910</v>
      </c>
      <c r="F186" t="s">
        <v>289</v>
      </c>
      <c r="G186" t="s">
        <v>1121</v>
      </c>
      <c r="H186">
        <v>72.578299999999999</v>
      </c>
      <c r="I186" t="s">
        <v>233</v>
      </c>
    </row>
    <row r="187" spans="1:9" x14ac:dyDescent="0.35">
      <c r="A187" t="s">
        <v>259</v>
      </c>
      <c r="C187" t="s">
        <v>257</v>
      </c>
      <c r="D187">
        <v>43910</v>
      </c>
      <c r="F187" t="s">
        <v>289</v>
      </c>
      <c r="G187" t="s">
        <v>1121</v>
      </c>
      <c r="H187">
        <v>110.11880000000001</v>
      </c>
      <c r="I187" t="s">
        <v>234</v>
      </c>
    </row>
    <row r="188" spans="1:9" x14ac:dyDescent="0.35">
      <c r="A188" t="s">
        <v>259</v>
      </c>
      <c r="C188" t="s">
        <v>257</v>
      </c>
      <c r="D188">
        <v>43910</v>
      </c>
      <c r="F188" t="s">
        <v>290</v>
      </c>
      <c r="G188" t="s">
        <v>1121</v>
      </c>
      <c r="H188">
        <v>19.321200000000001</v>
      </c>
      <c r="I188" t="s">
        <v>237</v>
      </c>
    </row>
    <row r="189" spans="1:9" x14ac:dyDescent="0.35">
      <c r="A189" t="s">
        <v>259</v>
      </c>
      <c r="C189" t="s">
        <v>257</v>
      </c>
      <c r="D189">
        <v>43910</v>
      </c>
      <c r="F189" t="s">
        <v>290</v>
      </c>
      <c r="G189" t="s">
        <v>1121</v>
      </c>
      <c r="H189">
        <v>20.752399999999998</v>
      </c>
      <c r="I189" t="s">
        <v>233</v>
      </c>
    </row>
    <row r="190" spans="1:9" x14ac:dyDescent="0.35">
      <c r="A190" t="s">
        <v>259</v>
      </c>
      <c r="C190" t="s">
        <v>257</v>
      </c>
      <c r="D190">
        <v>43910</v>
      </c>
      <c r="F190" t="s">
        <v>290</v>
      </c>
      <c r="G190" t="s">
        <v>1121</v>
      </c>
      <c r="H190">
        <v>31.4864</v>
      </c>
      <c r="I190" t="s">
        <v>234</v>
      </c>
    </row>
    <row r="191" spans="1:9" x14ac:dyDescent="0.35">
      <c r="A191" t="s">
        <v>259</v>
      </c>
      <c r="C191" t="s">
        <v>257</v>
      </c>
      <c r="D191">
        <v>43910</v>
      </c>
      <c r="F191" t="s">
        <v>291</v>
      </c>
      <c r="G191" t="s">
        <v>1121</v>
      </c>
      <c r="H191">
        <v>235.31310000000002</v>
      </c>
      <c r="I191" t="s">
        <v>237</v>
      </c>
    </row>
    <row r="192" spans="1:9" x14ac:dyDescent="0.35">
      <c r="A192" t="s">
        <v>259</v>
      </c>
      <c r="C192" t="s">
        <v>257</v>
      </c>
      <c r="D192">
        <v>43910</v>
      </c>
      <c r="F192" t="s">
        <v>291</v>
      </c>
      <c r="G192" t="s">
        <v>1121</v>
      </c>
      <c r="H192">
        <v>252.74369999999996</v>
      </c>
      <c r="I192" t="s">
        <v>233</v>
      </c>
    </row>
    <row r="193" spans="1:9" x14ac:dyDescent="0.35">
      <c r="A193" t="s">
        <v>259</v>
      </c>
      <c r="C193" t="s">
        <v>257</v>
      </c>
      <c r="D193">
        <v>43910</v>
      </c>
      <c r="F193" t="s">
        <v>291</v>
      </c>
      <c r="G193" t="s">
        <v>1121</v>
      </c>
      <c r="H193">
        <v>383.47319999999996</v>
      </c>
      <c r="I193" t="s">
        <v>234</v>
      </c>
    </row>
    <row r="194" spans="1:9" x14ac:dyDescent="0.35">
      <c r="A194" t="s">
        <v>259</v>
      </c>
      <c r="C194" t="s">
        <v>257</v>
      </c>
      <c r="D194">
        <v>43910</v>
      </c>
      <c r="F194" t="s">
        <v>292</v>
      </c>
      <c r="G194" t="s">
        <v>1121</v>
      </c>
      <c r="H194">
        <v>474.91110000000003</v>
      </c>
      <c r="I194" t="s">
        <v>237</v>
      </c>
    </row>
    <row r="195" spans="1:9" x14ac:dyDescent="0.35">
      <c r="A195" t="s">
        <v>259</v>
      </c>
      <c r="C195" t="s">
        <v>257</v>
      </c>
      <c r="D195">
        <v>43910</v>
      </c>
      <c r="F195" t="s">
        <v>292</v>
      </c>
      <c r="G195" t="s">
        <v>1121</v>
      </c>
      <c r="H195">
        <v>510.08969999999999</v>
      </c>
      <c r="I195" t="s">
        <v>233</v>
      </c>
    </row>
    <row r="196" spans="1:9" x14ac:dyDescent="0.35">
      <c r="A196" t="s">
        <v>259</v>
      </c>
      <c r="C196" t="s">
        <v>257</v>
      </c>
      <c r="D196">
        <v>43910</v>
      </c>
      <c r="F196" t="s">
        <v>292</v>
      </c>
      <c r="G196" t="s">
        <v>1121</v>
      </c>
      <c r="H196">
        <v>773.92920000000004</v>
      </c>
      <c r="I196" t="s">
        <v>234</v>
      </c>
    </row>
    <row r="197" spans="1:9" x14ac:dyDescent="0.35">
      <c r="A197" t="s">
        <v>259</v>
      </c>
      <c r="C197" t="s">
        <v>257</v>
      </c>
      <c r="D197">
        <v>43910</v>
      </c>
      <c r="F197" t="s">
        <v>343</v>
      </c>
      <c r="G197" t="s">
        <v>1121</v>
      </c>
      <c r="H197">
        <v>661.97250000000008</v>
      </c>
      <c r="I197" t="s">
        <v>237</v>
      </c>
    </row>
    <row r="198" spans="1:9" x14ac:dyDescent="0.35">
      <c r="A198" t="s">
        <v>259</v>
      </c>
      <c r="C198" t="s">
        <v>257</v>
      </c>
      <c r="D198">
        <v>43910</v>
      </c>
      <c r="F198" t="s">
        <v>343</v>
      </c>
      <c r="G198" t="s">
        <v>1121</v>
      </c>
      <c r="H198">
        <v>711.00749999999994</v>
      </c>
      <c r="I198" t="s">
        <v>233</v>
      </c>
    </row>
    <row r="199" spans="1:9" x14ac:dyDescent="0.35">
      <c r="A199" t="s">
        <v>259</v>
      </c>
      <c r="C199" t="s">
        <v>257</v>
      </c>
      <c r="D199">
        <v>43910</v>
      </c>
      <c r="F199" t="s">
        <v>343</v>
      </c>
      <c r="G199" t="s">
        <v>1121</v>
      </c>
      <c r="H199">
        <v>1078.77</v>
      </c>
      <c r="I199" t="s">
        <v>234</v>
      </c>
    </row>
    <row r="200" spans="1:9" x14ac:dyDescent="0.35">
      <c r="A200" t="s">
        <v>259</v>
      </c>
      <c r="C200" t="s">
        <v>257</v>
      </c>
      <c r="D200">
        <v>43910</v>
      </c>
      <c r="F200" t="s">
        <v>292</v>
      </c>
      <c r="G200" t="s">
        <v>1121</v>
      </c>
      <c r="H200">
        <v>235.31310000000002</v>
      </c>
      <c r="I200" t="s">
        <v>237</v>
      </c>
    </row>
    <row r="201" spans="1:9" x14ac:dyDescent="0.35">
      <c r="A201" t="s">
        <v>259</v>
      </c>
      <c r="C201" t="s">
        <v>257</v>
      </c>
      <c r="D201">
        <v>43910</v>
      </c>
      <c r="F201" t="s">
        <v>292</v>
      </c>
      <c r="G201" t="s">
        <v>1121</v>
      </c>
      <c r="H201">
        <v>252.74369999999996</v>
      </c>
      <c r="I201" t="s">
        <v>233</v>
      </c>
    </row>
    <row r="202" spans="1:9" x14ac:dyDescent="0.35">
      <c r="A202" t="s">
        <v>259</v>
      </c>
      <c r="C202" t="s">
        <v>257</v>
      </c>
      <c r="D202">
        <v>43910</v>
      </c>
      <c r="F202" t="s">
        <v>292</v>
      </c>
      <c r="G202" t="s">
        <v>1121</v>
      </c>
      <c r="H202">
        <v>383.47319999999996</v>
      </c>
      <c r="I202" t="s">
        <v>234</v>
      </c>
    </row>
    <row r="203" spans="1:9" x14ac:dyDescent="0.35">
      <c r="A203" t="s">
        <v>259</v>
      </c>
      <c r="C203" t="s">
        <v>257</v>
      </c>
      <c r="D203">
        <v>43910</v>
      </c>
      <c r="F203" t="s">
        <v>291</v>
      </c>
      <c r="G203" t="s">
        <v>1121</v>
      </c>
      <c r="H203">
        <v>235.31310000000002</v>
      </c>
      <c r="I203" t="s">
        <v>237</v>
      </c>
    </row>
    <row r="204" spans="1:9" x14ac:dyDescent="0.35">
      <c r="A204" t="s">
        <v>259</v>
      </c>
      <c r="C204" t="s">
        <v>257</v>
      </c>
      <c r="D204">
        <v>43910</v>
      </c>
      <c r="F204" t="s">
        <v>291</v>
      </c>
      <c r="G204" t="s">
        <v>1121</v>
      </c>
      <c r="H204">
        <v>252.74369999999996</v>
      </c>
      <c r="I204" t="s">
        <v>233</v>
      </c>
    </row>
    <row r="205" spans="1:9" x14ac:dyDescent="0.35">
      <c r="A205" t="s">
        <v>259</v>
      </c>
      <c r="C205" t="s">
        <v>257</v>
      </c>
      <c r="D205">
        <v>43910</v>
      </c>
      <c r="F205" t="s">
        <v>291</v>
      </c>
      <c r="G205" t="s">
        <v>1121</v>
      </c>
      <c r="H205">
        <v>383.47319999999996</v>
      </c>
      <c r="I205" t="s">
        <v>234</v>
      </c>
    </row>
    <row r="206" spans="1:9" x14ac:dyDescent="0.35">
      <c r="A206" t="s">
        <v>259</v>
      </c>
      <c r="C206" t="s">
        <v>257</v>
      </c>
      <c r="D206">
        <v>43910</v>
      </c>
      <c r="F206" t="s">
        <v>289</v>
      </c>
      <c r="G206" t="s">
        <v>1123</v>
      </c>
      <c r="H206">
        <v>141.398</v>
      </c>
      <c r="I206" t="s">
        <v>222</v>
      </c>
    </row>
    <row r="207" spans="1:9" x14ac:dyDescent="0.35">
      <c r="A207" t="s">
        <v>259</v>
      </c>
      <c r="C207" t="s">
        <v>257</v>
      </c>
      <c r="D207">
        <v>43910</v>
      </c>
      <c r="F207" t="s">
        <v>289</v>
      </c>
      <c r="G207" t="s">
        <v>1123</v>
      </c>
      <c r="H207">
        <v>7.4420000000000002</v>
      </c>
      <c r="I207" t="s">
        <v>180</v>
      </c>
    </row>
    <row r="208" spans="1:9" x14ac:dyDescent="0.35">
      <c r="A208" t="s">
        <v>259</v>
      </c>
      <c r="C208" t="s">
        <v>257</v>
      </c>
      <c r="D208">
        <v>43910</v>
      </c>
      <c r="F208" t="s">
        <v>290</v>
      </c>
      <c r="G208" t="s">
        <v>1123</v>
      </c>
      <c r="H208">
        <v>116.8215</v>
      </c>
      <c r="I208" t="s">
        <v>222</v>
      </c>
    </row>
    <row r="209" spans="1:9" x14ac:dyDescent="0.35">
      <c r="A209" t="s">
        <v>259</v>
      </c>
      <c r="C209" t="s">
        <v>257</v>
      </c>
      <c r="D209">
        <v>43910</v>
      </c>
      <c r="F209" t="s">
        <v>290</v>
      </c>
      <c r="G209" t="s">
        <v>1123</v>
      </c>
      <c r="H209">
        <v>6.1485000000000003</v>
      </c>
      <c r="I209" t="s">
        <v>180</v>
      </c>
    </row>
    <row r="210" spans="1:9" x14ac:dyDescent="0.35">
      <c r="A210" t="s">
        <v>259</v>
      </c>
      <c r="C210" t="s">
        <v>257</v>
      </c>
      <c r="D210">
        <v>43910</v>
      </c>
      <c r="F210" t="s">
        <v>291</v>
      </c>
      <c r="G210" t="s">
        <v>1123</v>
      </c>
      <c r="H210">
        <v>376.96949999999998</v>
      </c>
      <c r="I210" t="s">
        <v>222</v>
      </c>
    </row>
    <row r="211" spans="1:9" x14ac:dyDescent="0.35">
      <c r="A211" t="s">
        <v>259</v>
      </c>
      <c r="C211" t="s">
        <v>257</v>
      </c>
      <c r="D211">
        <v>43910</v>
      </c>
      <c r="F211" t="s">
        <v>291</v>
      </c>
      <c r="G211" t="s">
        <v>1123</v>
      </c>
      <c r="H211">
        <v>19.840500000000002</v>
      </c>
      <c r="I211" t="s">
        <v>180</v>
      </c>
    </row>
    <row r="212" spans="1:9" x14ac:dyDescent="0.35">
      <c r="A212" t="s">
        <v>259</v>
      </c>
      <c r="C212" t="s">
        <v>257</v>
      </c>
      <c r="D212">
        <v>43910</v>
      </c>
      <c r="F212" t="s">
        <v>292</v>
      </c>
      <c r="G212" t="s">
        <v>1123</v>
      </c>
      <c r="H212">
        <v>1109.1534999999999</v>
      </c>
      <c r="I212" t="s">
        <v>222</v>
      </c>
    </row>
    <row r="213" spans="1:9" x14ac:dyDescent="0.35">
      <c r="A213" t="s">
        <v>259</v>
      </c>
      <c r="C213" t="s">
        <v>257</v>
      </c>
      <c r="D213">
        <v>43910</v>
      </c>
      <c r="F213" t="s">
        <v>292</v>
      </c>
      <c r="G213" t="s">
        <v>1123</v>
      </c>
      <c r="H213">
        <v>58.3765</v>
      </c>
      <c r="I213" t="s">
        <v>180</v>
      </c>
    </row>
    <row r="214" spans="1:9" x14ac:dyDescent="0.35">
      <c r="A214" t="s">
        <v>259</v>
      </c>
      <c r="C214" t="s">
        <v>257</v>
      </c>
      <c r="D214">
        <v>43910</v>
      </c>
      <c r="F214" t="s">
        <v>357</v>
      </c>
      <c r="G214" t="s">
        <v>1123</v>
      </c>
      <c r="H214">
        <v>1461.5464999999999</v>
      </c>
      <c r="I214" t="s">
        <v>222</v>
      </c>
    </row>
    <row r="215" spans="1:9" x14ac:dyDescent="0.35">
      <c r="A215" t="s">
        <v>259</v>
      </c>
      <c r="C215" t="s">
        <v>257</v>
      </c>
      <c r="D215">
        <v>43910</v>
      </c>
      <c r="F215" t="s">
        <v>357</v>
      </c>
      <c r="G215" t="s">
        <v>1123</v>
      </c>
      <c r="H215">
        <v>76.923500000000004</v>
      </c>
      <c r="I215" t="s">
        <v>180</v>
      </c>
    </row>
    <row r="216" spans="1:9" x14ac:dyDescent="0.35">
      <c r="A216" t="s">
        <v>259</v>
      </c>
      <c r="C216" t="s">
        <v>257</v>
      </c>
      <c r="D216">
        <v>43910</v>
      </c>
      <c r="F216" t="s">
        <v>292</v>
      </c>
      <c r="G216" t="s">
        <v>1123</v>
      </c>
      <c r="H216">
        <v>376.96949999999998</v>
      </c>
      <c r="I216" t="s">
        <v>222</v>
      </c>
    </row>
    <row r="217" spans="1:9" x14ac:dyDescent="0.35">
      <c r="A217" t="s">
        <v>259</v>
      </c>
      <c r="C217" t="s">
        <v>257</v>
      </c>
      <c r="D217">
        <v>43910</v>
      </c>
      <c r="F217" t="s">
        <v>292</v>
      </c>
      <c r="G217" t="s">
        <v>1123</v>
      </c>
      <c r="H217">
        <v>19.840500000000002</v>
      </c>
      <c r="I217" t="s">
        <v>180</v>
      </c>
    </row>
    <row r="218" spans="1:9" x14ac:dyDescent="0.35">
      <c r="A218" t="s">
        <v>259</v>
      </c>
      <c r="C218" t="s">
        <v>257</v>
      </c>
      <c r="D218">
        <v>43910</v>
      </c>
      <c r="F218" t="s">
        <v>291</v>
      </c>
      <c r="G218" t="s">
        <v>1123</v>
      </c>
      <c r="H218">
        <v>376.96949999999998</v>
      </c>
      <c r="I218" t="s">
        <v>222</v>
      </c>
    </row>
    <row r="219" spans="1:9" x14ac:dyDescent="0.35">
      <c r="A219" t="s">
        <v>259</v>
      </c>
      <c r="C219" t="s">
        <v>257</v>
      </c>
      <c r="D219">
        <v>43910</v>
      </c>
      <c r="F219" t="s">
        <v>291</v>
      </c>
      <c r="G219" t="s">
        <v>1123</v>
      </c>
      <c r="H219">
        <v>19.840500000000002</v>
      </c>
      <c r="I219" t="s">
        <v>180</v>
      </c>
    </row>
    <row r="220" spans="1:9" x14ac:dyDescent="0.35">
      <c r="A220" t="s">
        <v>259</v>
      </c>
      <c r="C220" t="s">
        <v>257</v>
      </c>
      <c r="D220">
        <v>43910</v>
      </c>
      <c r="F220" t="s">
        <v>289</v>
      </c>
      <c r="G220" t="s">
        <v>1124</v>
      </c>
      <c r="H220">
        <v>95.56</v>
      </c>
      <c r="I220" t="s">
        <v>222</v>
      </c>
    </row>
    <row r="221" spans="1:9" x14ac:dyDescent="0.35">
      <c r="A221" t="s">
        <v>259</v>
      </c>
      <c r="C221" t="s">
        <v>257</v>
      </c>
      <c r="D221">
        <v>43910</v>
      </c>
      <c r="F221" t="s">
        <v>290</v>
      </c>
      <c r="G221" t="s">
        <v>1124</v>
      </c>
      <c r="H221">
        <v>98.62</v>
      </c>
      <c r="I221" t="s">
        <v>222</v>
      </c>
    </row>
    <row r="222" spans="1:9" x14ac:dyDescent="0.35">
      <c r="A222" t="s">
        <v>259</v>
      </c>
      <c r="C222" t="s">
        <v>257</v>
      </c>
      <c r="D222">
        <v>43910</v>
      </c>
      <c r="F222" t="s">
        <v>291</v>
      </c>
      <c r="G222" t="s">
        <v>1124</v>
      </c>
      <c r="H222">
        <v>286.69</v>
      </c>
      <c r="I222" t="s">
        <v>222</v>
      </c>
    </row>
    <row r="223" spans="1:9" x14ac:dyDescent="0.35">
      <c r="A223" t="s">
        <v>259</v>
      </c>
      <c r="C223" t="s">
        <v>257</v>
      </c>
      <c r="D223">
        <v>43910</v>
      </c>
      <c r="F223" t="s">
        <v>292</v>
      </c>
      <c r="G223" t="s">
        <v>1124</v>
      </c>
      <c r="H223">
        <v>699.26</v>
      </c>
      <c r="I223" t="s">
        <v>222</v>
      </c>
    </row>
    <row r="224" spans="1:9" x14ac:dyDescent="0.35">
      <c r="A224" t="s">
        <v>259</v>
      </c>
      <c r="C224" t="s">
        <v>257</v>
      </c>
      <c r="D224">
        <v>43910</v>
      </c>
      <c r="F224" t="s">
        <v>356</v>
      </c>
      <c r="G224" t="s">
        <v>1124</v>
      </c>
      <c r="H224">
        <v>989.01</v>
      </c>
      <c r="I224" t="s">
        <v>222</v>
      </c>
    </row>
    <row r="225" spans="1:9" x14ac:dyDescent="0.35">
      <c r="A225" t="s">
        <v>259</v>
      </c>
      <c r="C225" t="s">
        <v>257</v>
      </c>
      <c r="D225">
        <v>43910</v>
      </c>
      <c r="F225" t="s">
        <v>292</v>
      </c>
      <c r="G225" t="s">
        <v>1124</v>
      </c>
      <c r="H225">
        <v>286.69</v>
      </c>
      <c r="I225" t="s">
        <v>222</v>
      </c>
    </row>
    <row r="226" spans="1:9" x14ac:dyDescent="0.35">
      <c r="A226" t="s">
        <v>259</v>
      </c>
      <c r="C226" t="s">
        <v>257</v>
      </c>
      <c r="D226">
        <v>43910</v>
      </c>
      <c r="F226" t="s">
        <v>291</v>
      </c>
      <c r="G226" t="s">
        <v>1124</v>
      </c>
      <c r="H226">
        <v>286.69</v>
      </c>
      <c r="I226" t="s">
        <v>222</v>
      </c>
    </row>
    <row r="227" spans="1:9" x14ac:dyDescent="0.35">
      <c r="A227" t="s">
        <v>259</v>
      </c>
      <c r="C227" t="s">
        <v>257</v>
      </c>
      <c r="D227">
        <v>43910</v>
      </c>
      <c r="F227" t="s">
        <v>289</v>
      </c>
      <c r="G227" t="s">
        <v>1125</v>
      </c>
      <c r="H227">
        <v>60.27</v>
      </c>
      <c r="I227" t="s">
        <v>179</v>
      </c>
    </row>
    <row r="228" spans="1:9" x14ac:dyDescent="0.35">
      <c r="A228" t="s">
        <v>259</v>
      </c>
      <c r="C228" t="s">
        <v>257</v>
      </c>
      <c r="D228">
        <v>43910</v>
      </c>
      <c r="F228" t="s">
        <v>291</v>
      </c>
      <c r="G228" t="s">
        <v>1125</v>
      </c>
      <c r="H228">
        <v>125.83</v>
      </c>
      <c r="I228" t="s">
        <v>179</v>
      </c>
    </row>
    <row r="229" spans="1:9" x14ac:dyDescent="0.35">
      <c r="A229" t="s">
        <v>259</v>
      </c>
      <c r="C229" t="s">
        <v>257</v>
      </c>
      <c r="D229">
        <v>43910</v>
      </c>
      <c r="F229" t="s">
        <v>292</v>
      </c>
      <c r="G229" t="s">
        <v>1125</v>
      </c>
      <c r="H229">
        <v>511.24</v>
      </c>
      <c r="I229" t="s">
        <v>179</v>
      </c>
    </row>
    <row r="230" spans="1:9" x14ac:dyDescent="0.35">
      <c r="A230" t="s">
        <v>259</v>
      </c>
      <c r="C230" t="s">
        <v>257</v>
      </c>
      <c r="D230">
        <v>43910</v>
      </c>
      <c r="F230" t="s">
        <v>356</v>
      </c>
      <c r="G230" t="s">
        <v>1125</v>
      </c>
      <c r="H230">
        <v>576.79999999999995</v>
      </c>
      <c r="I230" t="s">
        <v>179</v>
      </c>
    </row>
    <row r="231" spans="1:9" x14ac:dyDescent="0.35">
      <c r="A231" t="s">
        <v>259</v>
      </c>
      <c r="C231" t="s">
        <v>257</v>
      </c>
      <c r="D231">
        <v>43910</v>
      </c>
      <c r="F231" t="s">
        <v>292</v>
      </c>
      <c r="G231" t="s">
        <v>1125</v>
      </c>
      <c r="H231">
        <v>125.83</v>
      </c>
      <c r="I231" t="s">
        <v>179</v>
      </c>
    </row>
    <row r="232" spans="1:9" x14ac:dyDescent="0.35">
      <c r="A232" t="s">
        <v>259</v>
      </c>
      <c r="C232" t="s">
        <v>257</v>
      </c>
      <c r="D232">
        <v>43910</v>
      </c>
      <c r="F232" t="s">
        <v>291</v>
      </c>
      <c r="G232" t="s">
        <v>1125</v>
      </c>
      <c r="H232">
        <v>125.83</v>
      </c>
      <c r="I232" t="s">
        <v>179</v>
      </c>
    </row>
    <row r="233" spans="1:9" x14ac:dyDescent="0.35">
      <c r="A233" t="s">
        <v>259</v>
      </c>
      <c r="C233" t="s">
        <v>257</v>
      </c>
      <c r="D233">
        <v>43910</v>
      </c>
      <c r="F233" t="s">
        <v>289</v>
      </c>
      <c r="G233" t="s">
        <v>1126</v>
      </c>
      <c r="H233">
        <v>253.7</v>
      </c>
      <c r="I233" t="s">
        <v>222</v>
      </c>
    </row>
    <row r="234" spans="1:9" x14ac:dyDescent="0.35">
      <c r="A234" t="s">
        <v>259</v>
      </c>
      <c r="C234" t="s">
        <v>257</v>
      </c>
      <c r="D234">
        <v>43910</v>
      </c>
      <c r="F234" t="s">
        <v>290</v>
      </c>
      <c r="G234" t="s">
        <v>1126</v>
      </c>
      <c r="H234">
        <v>95.42</v>
      </c>
      <c r="I234" t="s">
        <v>222</v>
      </c>
    </row>
    <row r="235" spans="1:9" x14ac:dyDescent="0.35">
      <c r="A235" t="s">
        <v>259</v>
      </c>
      <c r="C235" t="s">
        <v>257</v>
      </c>
      <c r="D235">
        <v>43910</v>
      </c>
      <c r="F235" t="s">
        <v>291</v>
      </c>
      <c r="G235" t="s">
        <v>1126</v>
      </c>
      <c r="H235">
        <v>839.23</v>
      </c>
      <c r="I235" t="s">
        <v>222</v>
      </c>
    </row>
    <row r="236" spans="1:9" x14ac:dyDescent="0.35">
      <c r="A236" t="s">
        <v>259</v>
      </c>
      <c r="C236" t="s">
        <v>257</v>
      </c>
      <c r="D236">
        <v>43910</v>
      </c>
      <c r="F236" t="s">
        <v>292</v>
      </c>
      <c r="G236" t="s">
        <v>1126</v>
      </c>
      <c r="H236">
        <v>1819.05</v>
      </c>
      <c r="I236" t="s">
        <v>222</v>
      </c>
    </row>
    <row r="237" spans="1:9" x14ac:dyDescent="0.35">
      <c r="A237" t="s">
        <v>259</v>
      </c>
      <c r="C237" t="s">
        <v>257</v>
      </c>
      <c r="D237">
        <v>43910</v>
      </c>
      <c r="F237" t="s">
        <v>346</v>
      </c>
      <c r="G237" t="s">
        <v>1126</v>
      </c>
      <c r="H237">
        <v>2500</v>
      </c>
      <c r="I237" t="s">
        <v>222</v>
      </c>
    </row>
    <row r="238" spans="1:9" x14ac:dyDescent="0.35">
      <c r="A238" t="s">
        <v>259</v>
      </c>
      <c r="C238" t="s">
        <v>257</v>
      </c>
      <c r="D238">
        <v>43910</v>
      </c>
      <c r="F238" t="s">
        <v>292</v>
      </c>
      <c r="G238" t="s">
        <v>1126</v>
      </c>
      <c r="H238">
        <v>839.23</v>
      </c>
      <c r="I238" t="s">
        <v>222</v>
      </c>
    </row>
    <row r="239" spans="1:9" x14ac:dyDescent="0.35">
      <c r="A239" t="s">
        <v>259</v>
      </c>
      <c r="C239" t="s">
        <v>257</v>
      </c>
      <c r="D239">
        <v>43910</v>
      </c>
      <c r="F239" t="s">
        <v>291</v>
      </c>
      <c r="G239" t="s">
        <v>1126</v>
      </c>
      <c r="H239">
        <v>839.23</v>
      </c>
      <c r="I239" t="s">
        <v>222</v>
      </c>
    </row>
    <row r="240" spans="1:9" x14ac:dyDescent="0.35">
      <c r="A240" t="s">
        <v>259</v>
      </c>
      <c r="C240" t="s">
        <v>257</v>
      </c>
      <c r="D240">
        <v>43910</v>
      </c>
      <c r="F240" t="s">
        <v>289</v>
      </c>
      <c r="G240" t="s">
        <v>1127</v>
      </c>
      <c r="H240">
        <v>160.77000000000001</v>
      </c>
      <c r="I240" t="s">
        <v>222</v>
      </c>
    </row>
    <row r="241" spans="1:9" x14ac:dyDescent="0.35">
      <c r="A241" t="s">
        <v>259</v>
      </c>
      <c r="C241" t="s">
        <v>257</v>
      </c>
      <c r="D241">
        <v>43910</v>
      </c>
      <c r="F241" t="s">
        <v>291</v>
      </c>
      <c r="G241" t="s">
        <v>1127</v>
      </c>
      <c r="H241">
        <v>318.08999999999997</v>
      </c>
      <c r="I241" t="s">
        <v>222</v>
      </c>
    </row>
    <row r="242" spans="1:9" x14ac:dyDescent="0.35">
      <c r="A242" t="s">
        <v>259</v>
      </c>
      <c r="C242" t="s">
        <v>257</v>
      </c>
      <c r="D242">
        <v>43910</v>
      </c>
      <c r="F242" t="s">
        <v>292</v>
      </c>
      <c r="G242" t="s">
        <v>1127</v>
      </c>
      <c r="H242">
        <v>1381.14</v>
      </c>
      <c r="I242" t="s">
        <v>222</v>
      </c>
    </row>
    <row r="243" spans="1:9" x14ac:dyDescent="0.35">
      <c r="A243" t="s">
        <v>259</v>
      </c>
      <c r="C243" t="s">
        <v>257</v>
      </c>
      <c r="D243">
        <v>43910</v>
      </c>
      <c r="F243" t="s">
        <v>356</v>
      </c>
      <c r="G243" t="s">
        <v>1127</v>
      </c>
      <c r="H243">
        <v>1538.46</v>
      </c>
      <c r="I243" t="s">
        <v>222</v>
      </c>
    </row>
    <row r="244" spans="1:9" x14ac:dyDescent="0.35">
      <c r="A244" t="s">
        <v>259</v>
      </c>
      <c r="C244" t="s">
        <v>257</v>
      </c>
      <c r="D244">
        <v>43910</v>
      </c>
      <c r="F244" t="s">
        <v>292</v>
      </c>
      <c r="G244" t="s">
        <v>1127</v>
      </c>
      <c r="H244">
        <v>318.08999999999997</v>
      </c>
      <c r="I244" t="s">
        <v>222</v>
      </c>
    </row>
    <row r="245" spans="1:9" x14ac:dyDescent="0.35">
      <c r="A245" t="s">
        <v>259</v>
      </c>
      <c r="C245" t="s">
        <v>257</v>
      </c>
      <c r="D245">
        <v>43910</v>
      </c>
      <c r="F245" t="s">
        <v>291</v>
      </c>
      <c r="G245" t="s">
        <v>1127</v>
      </c>
      <c r="H245">
        <v>318.08999999999997</v>
      </c>
      <c r="I245" t="s">
        <v>222</v>
      </c>
    </row>
    <row r="246" spans="1:9" x14ac:dyDescent="0.35">
      <c r="A246" t="s">
        <v>259</v>
      </c>
      <c r="C246" t="s">
        <v>257</v>
      </c>
      <c r="D246">
        <v>43910</v>
      </c>
      <c r="F246" t="s">
        <v>289</v>
      </c>
      <c r="G246" t="s">
        <v>1128</v>
      </c>
      <c r="H246">
        <v>32.155999999999999</v>
      </c>
      <c r="I246" t="s">
        <v>222</v>
      </c>
    </row>
    <row r="247" spans="1:9" x14ac:dyDescent="0.35">
      <c r="A247" t="s">
        <v>259</v>
      </c>
      <c r="C247" t="s">
        <v>257</v>
      </c>
      <c r="D247">
        <v>43910</v>
      </c>
      <c r="F247" t="s">
        <v>289</v>
      </c>
      <c r="G247" t="s">
        <v>1128</v>
      </c>
      <c r="H247">
        <v>38.587199999999996</v>
      </c>
      <c r="I247" t="s">
        <v>224</v>
      </c>
    </row>
    <row r="248" spans="1:9" x14ac:dyDescent="0.35">
      <c r="A248" t="s">
        <v>259</v>
      </c>
      <c r="C248" t="s">
        <v>257</v>
      </c>
      <c r="D248">
        <v>43910</v>
      </c>
      <c r="F248" t="s">
        <v>289</v>
      </c>
      <c r="G248" t="s">
        <v>1128</v>
      </c>
      <c r="H248">
        <v>8.0389999999999997</v>
      </c>
      <c r="I248" t="s">
        <v>227</v>
      </c>
    </row>
    <row r="249" spans="1:9" x14ac:dyDescent="0.35">
      <c r="A249" t="s">
        <v>259</v>
      </c>
      <c r="C249" t="s">
        <v>257</v>
      </c>
      <c r="D249">
        <v>43910</v>
      </c>
      <c r="F249" t="s">
        <v>289</v>
      </c>
      <c r="G249" t="s">
        <v>1128</v>
      </c>
      <c r="H249">
        <v>6.4312000000000005</v>
      </c>
      <c r="I249" t="s">
        <v>228</v>
      </c>
    </row>
    <row r="250" spans="1:9" x14ac:dyDescent="0.35">
      <c r="A250" t="s">
        <v>259</v>
      </c>
      <c r="C250" t="s">
        <v>257</v>
      </c>
      <c r="D250">
        <v>43910</v>
      </c>
      <c r="F250" t="s">
        <v>289</v>
      </c>
      <c r="G250" t="s">
        <v>1128</v>
      </c>
      <c r="H250">
        <v>3.2156000000000002</v>
      </c>
      <c r="I250" t="s">
        <v>229</v>
      </c>
    </row>
    <row r="251" spans="1:9" x14ac:dyDescent="0.35">
      <c r="A251" t="s">
        <v>259</v>
      </c>
      <c r="C251" t="s">
        <v>257</v>
      </c>
      <c r="D251">
        <v>43910</v>
      </c>
      <c r="F251" t="s">
        <v>289</v>
      </c>
      <c r="G251" t="s">
        <v>1128</v>
      </c>
      <c r="H251">
        <v>9.6467999999999989</v>
      </c>
      <c r="I251" t="s">
        <v>230</v>
      </c>
    </row>
    <row r="252" spans="1:9" x14ac:dyDescent="0.35">
      <c r="A252" t="s">
        <v>259</v>
      </c>
      <c r="C252" t="s">
        <v>257</v>
      </c>
      <c r="D252">
        <v>43910</v>
      </c>
      <c r="F252" t="s">
        <v>289</v>
      </c>
      <c r="G252" t="s">
        <v>1128</v>
      </c>
      <c r="H252">
        <v>62.7042</v>
      </c>
      <c r="I252" t="s">
        <v>231</v>
      </c>
    </row>
    <row r="253" spans="1:9" x14ac:dyDescent="0.35">
      <c r="A253" t="s">
        <v>259</v>
      </c>
      <c r="C253" t="s">
        <v>257</v>
      </c>
      <c r="D253">
        <v>43910</v>
      </c>
      <c r="F253" t="s">
        <v>291</v>
      </c>
      <c r="G253" t="s">
        <v>1128</v>
      </c>
      <c r="H253">
        <v>86.378</v>
      </c>
      <c r="I253" t="s">
        <v>222</v>
      </c>
    </row>
    <row r="254" spans="1:9" x14ac:dyDescent="0.35">
      <c r="A254" t="s">
        <v>259</v>
      </c>
      <c r="C254" t="s">
        <v>257</v>
      </c>
      <c r="D254">
        <v>43910</v>
      </c>
      <c r="F254" t="s">
        <v>291</v>
      </c>
      <c r="G254" t="s">
        <v>1128</v>
      </c>
      <c r="H254">
        <v>103.6536</v>
      </c>
      <c r="I254" t="s">
        <v>224</v>
      </c>
    </row>
    <row r="255" spans="1:9" x14ac:dyDescent="0.35">
      <c r="A255" t="s">
        <v>259</v>
      </c>
      <c r="C255" t="s">
        <v>257</v>
      </c>
      <c r="D255">
        <v>43910</v>
      </c>
      <c r="F255" t="s">
        <v>291</v>
      </c>
      <c r="G255" t="s">
        <v>1128</v>
      </c>
      <c r="H255">
        <v>21.5945</v>
      </c>
      <c r="I255" t="s">
        <v>227</v>
      </c>
    </row>
    <row r="256" spans="1:9" x14ac:dyDescent="0.35">
      <c r="A256" t="s">
        <v>259</v>
      </c>
      <c r="C256" t="s">
        <v>257</v>
      </c>
      <c r="D256">
        <v>43910</v>
      </c>
      <c r="F256" t="s">
        <v>291</v>
      </c>
      <c r="G256" t="s">
        <v>1128</v>
      </c>
      <c r="H256">
        <v>17.275600000000001</v>
      </c>
      <c r="I256" t="s">
        <v>228</v>
      </c>
    </row>
    <row r="257" spans="1:9" x14ac:dyDescent="0.35">
      <c r="A257" t="s">
        <v>259</v>
      </c>
      <c r="C257" t="s">
        <v>257</v>
      </c>
      <c r="D257">
        <v>43910</v>
      </c>
      <c r="F257" t="s">
        <v>291</v>
      </c>
      <c r="G257" t="s">
        <v>1128</v>
      </c>
      <c r="H257">
        <v>8.6378000000000004</v>
      </c>
      <c r="I257" t="s">
        <v>229</v>
      </c>
    </row>
    <row r="258" spans="1:9" x14ac:dyDescent="0.35">
      <c r="A258" t="s">
        <v>259</v>
      </c>
      <c r="C258" t="s">
        <v>257</v>
      </c>
      <c r="D258">
        <v>43910</v>
      </c>
      <c r="F258" t="s">
        <v>291</v>
      </c>
      <c r="G258" t="s">
        <v>1128</v>
      </c>
      <c r="H258">
        <v>25.913399999999999</v>
      </c>
      <c r="I258" t="s">
        <v>230</v>
      </c>
    </row>
    <row r="259" spans="1:9" x14ac:dyDescent="0.35">
      <c r="A259" t="s">
        <v>259</v>
      </c>
      <c r="C259" t="s">
        <v>257</v>
      </c>
      <c r="D259">
        <v>43910</v>
      </c>
      <c r="F259" t="s">
        <v>291</v>
      </c>
      <c r="G259" t="s">
        <v>1128</v>
      </c>
      <c r="H259">
        <v>168.43709999999999</v>
      </c>
      <c r="I259" t="s">
        <v>231</v>
      </c>
    </row>
    <row r="260" spans="1:9" x14ac:dyDescent="0.35">
      <c r="A260" t="s">
        <v>259</v>
      </c>
      <c r="C260" t="s">
        <v>257</v>
      </c>
      <c r="D260">
        <v>43910</v>
      </c>
      <c r="F260" t="s">
        <v>292</v>
      </c>
      <c r="G260" t="s">
        <v>1128</v>
      </c>
      <c r="H260">
        <v>253.47</v>
      </c>
      <c r="I260" t="s">
        <v>222</v>
      </c>
    </row>
    <row r="261" spans="1:9" x14ac:dyDescent="0.35">
      <c r="A261" t="s">
        <v>259</v>
      </c>
      <c r="C261" t="s">
        <v>257</v>
      </c>
      <c r="D261">
        <v>43910</v>
      </c>
      <c r="F261" t="s">
        <v>292</v>
      </c>
      <c r="G261" t="s">
        <v>1128</v>
      </c>
      <c r="H261">
        <v>304.16399999999999</v>
      </c>
      <c r="I261" t="s">
        <v>224</v>
      </c>
    </row>
    <row r="262" spans="1:9" x14ac:dyDescent="0.35">
      <c r="A262" t="s">
        <v>259</v>
      </c>
      <c r="C262" t="s">
        <v>257</v>
      </c>
      <c r="D262">
        <v>43910</v>
      </c>
      <c r="F262" t="s">
        <v>292</v>
      </c>
      <c r="G262" t="s">
        <v>1128</v>
      </c>
      <c r="H262">
        <v>63.3675</v>
      </c>
      <c r="I262" t="s">
        <v>227</v>
      </c>
    </row>
    <row r="263" spans="1:9" x14ac:dyDescent="0.35">
      <c r="A263" t="s">
        <v>259</v>
      </c>
      <c r="C263" t="s">
        <v>257</v>
      </c>
      <c r="D263">
        <v>43910</v>
      </c>
      <c r="F263" t="s">
        <v>292</v>
      </c>
      <c r="G263" t="s">
        <v>1128</v>
      </c>
      <c r="H263">
        <v>50.693999999999996</v>
      </c>
      <c r="I263" t="s">
        <v>228</v>
      </c>
    </row>
    <row r="264" spans="1:9" x14ac:dyDescent="0.35">
      <c r="A264" t="s">
        <v>259</v>
      </c>
      <c r="C264" t="s">
        <v>257</v>
      </c>
      <c r="D264">
        <v>43910</v>
      </c>
      <c r="F264" t="s">
        <v>292</v>
      </c>
      <c r="G264" t="s">
        <v>1128</v>
      </c>
      <c r="H264">
        <v>25.346999999999998</v>
      </c>
      <c r="I264" t="s">
        <v>229</v>
      </c>
    </row>
    <row r="265" spans="1:9" x14ac:dyDescent="0.35">
      <c r="A265" t="s">
        <v>259</v>
      </c>
      <c r="C265" t="s">
        <v>257</v>
      </c>
      <c r="D265">
        <v>43910</v>
      </c>
      <c r="F265" t="s">
        <v>292</v>
      </c>
      <c r="G265" t="s">
        <v>1128</v>
      </c>
      <c r="H265">
        <v>76.040999999999997</v>
      </c>
      <c r="I265" t="s">
        <v>230</v>
      </c>
    </row>
    <row r="266" spans="1:9" x14ac:dyDescent="0.35">
      <c r="A266" t="s">
        <v>259</v>
      </c>
      <c r="C266" t="s">
        <v>257</v>
      </c>
      <c r="D266">
        <v>43910</v>
      </c>
      <c r="F266" t="s">
        <v>292</v>
      </c>
      <c r="G266" t="s">
        <v>1128</v>
      </c>
      <c r="H266">
        <v>494.26650000000001</v>
      </c>
      <c r="I266" t="s">
        <v>231</v>
      </c>
    </row>
    <row r="267" spans="1:9" x14ac:dyDescent="0.35">
      <c r="A267" t="s">
        <v>259</v>
      </c>
      <c r="C267" t="s">
        <v>257</v>
      </c>
      <c r="D267">
        <v>43910</v>
      </c>
      <c r="F267" t="s">
        <v>344</v>
      </c>
      <c r="G267" t="s">
        <v>1128</v>
      </c>
      <c r="H267">
        <v>307.69200000000001</v>
      </c>
      <c r="I267" t="s">
        <v>222</v>
      </c>
    </row>
    <row r="268" spans="1:9" x14ac:dyDescent="0.35">
      <c r="A268" t="s">
        <v>259</v>
      </c>
      <c r="C268" t="s">
        <v>257</v>
      </c>
      <c r="D268">
        <v>43910</v>
      </c>
      <c r="F268" t="s">
        <v>344</v>
      </c>
      <c r="G268" t="s">
        <v>1128</v>
      </c>
      <c r="H268">
        <v>369.23039999999997</v>
      </c>
      <c r="I268" t="s">
        <v>224</v>
      </c>
    </row>
    <row r="269" spans="1:9" x14ac:dyDescent="0.35">
      <c r="A269" t="s">
        <v>259</v>
      </c>
      <c r="C269" t="s">
        <v>257</v>
      </c>
      <c r="D269">
        <v>43910</v>
      </c>
      <c r="F269" t="s">
        <v>344</v>
      </c>
      <c r="G269" t="s">
        <v>1128</v>
      </c>
      <c r="H269">
        <v>76.923000000000002</v>
      </c>
      <c r="I269" t="s">
        <v>227</v>
      </c>
    </row>
    <row r="270" spans="1:9" x14ac:dyDescent="0.35">
      <c r="A270" t="s">
        <v>259</v>
      </c>
      <c r="C270" t="s">
        <v>257</v>
      </c>
      <c r="D270">
        <v>43910</v>
      </c>
      <c r="F270" t="s">
        <v>344</v>
      </c>
      <c r="G270" t="s">
        <v>1128</v>
      </c>
      <c r="H270">
        <v>61.538400000000003</v>
      </c>
      <c r="I270" t="s">
        <v>228</v>
      </c>
    </row>
    <row r="271" spans="1:9" x14ac:dyDescent="0.35">
      <c r="A271" t="s">
        <v>259</v>
      </c>
      <c r="C271" t="s">
        <v>257</v>
      </c>
      <c r="D271">
        <v>43910</v>
      </c>
      <c r="F271" t="s">
        <v>344</v>
      </c>
      <c r="G271" t="s">
        <v>1128</v>
      </c>
      <c r="H271">
        <v>30.769200000000001</v>
      </c>
      <c r="I271" t="s">
        <v>229</v>
      </c>
    </row>
    <row r="272" spans="1:9" x14ac:dyDescent="0.35">
      <c r="A272" t="s">
        <v>259</v>
      </c>
      <c r="C272" t="s">
        <v>257</v>
      </c>
      <c r="D272">
        <v>43910</v>
      </c>
      <c r="F272" t="s">
        <v>344</v>
      </c>
      <c r="G272" t="s">
        <v>1128</v>
      </c>
      <c r="H272">
        <v>92.307599999999994</v>
      </c>
      <c r="I272" t="s">
        <v>230</v>
      </c>
    </row>
    <row r="273" spans="1:9" x14ac:dyDescent="0.35">
      <c r="A273" t="s">
        <v>259</v>
      </c>
      <c r="C273" t="s">
        <v>257</v>
      </c>
      <c r="D273">
        <v>43910</v>
      </c>
      <c r="F273" t="s">
        <v>344</v>
      </c>
      <c r="G273" t="s">
        <v>1128</v>
      </c>
      <c r="H273">
        <v>599.99940000000004</v>
      </c>
      <c r="I273" t="s">
        <v>231</v>
      </c>
    </row>
    <row r="274" spans="1:9" x14ac:dyDescent="0.35">
      <c r="A274" t="s">
        <v>259</v>
      </c>
      <c r="C274" t="s">
        <v>257</v>
      </c>
      <c r="D274">
        <v>43910</v>
      </c>
      <c r="F274" t="s">
        <v>292</v>
      </c>
      <c r="G274" t="s">
        <v>1128</v>
      </c>
      <c r="H274">
        <v>86.378</v>
      </c>
      <c r="I274" t="s">
        <v>222</v>
      </c>
    </row>
    <row r="275" spans="1:9" x14ac:dyDescent="0.35">
      <c r="A275" t="s">
        <v>259</v>
      </c>
      <c r="C275" t="s">
        <v>257</v>
      </c>
      <c r="D275">
        <v>43910</v>
      </c>
      <c r="F275" t="s">
        <v>292</v>
      </c>
      <c r="G275" t="s">
        <v>1128</v>
      </c>
      <c r="H275">
        <v>103.6536</v>
      </c>
      <c r="I275" t="s">
        <v>224</v>
      </c>
    </row>
    <row r="276" spans="1:9" x14ac:dyDescent="0.35">
      <c r="A276" t="s">
        <v>259</v>
      </c>
      <c r="C276" t="s">
        <v>257</v>
      </c>
      <c r="D276">
        <v>43910</v>
      </c>
      <c r="F276" t="s">
        <v>292</v>
      </c>
      <c r="G276" t="s">
        <v>1128</v>
      </c>
      <c r="H276">
        <v>21.5945</v>
      </c>
      <c r="I276" t="s">
        <v>227</v>
      </c>
    </row>
    <row r="277" spans="1:9" x14ac:dyDescent="0.35">
      <c r="A277" t="s">
        <v>259</v>
      </c>
      <c r="C277" t="s">
        <v>257</v>
      </c>
      <c r="D277">
        <v>43910</v>
      </c>
      <c r="F277" t="s">
        <v>292</v>
      </c>
      <c r="G277" t="s">
        <v>1128</v>
      </c>
      <c r="H277">
        <v>17.275600000000001</v>
      </c>
      <c r="I277" t="s">
        <v>228</v>
      </c>
    </row>
    <row r="278" spans="1:9" x14ac:dyDescent="0.35">
      <c r="A278" t="s">
        <v>259</v>
      </c>
      <c r="C278" t="s">
        <v>257</v>
      </c>
      <c r="D278">
        <v>43910</v>
      </c>
      <c r="F278" t="s">
        <v>292</v>
      </c>
      <c r="G278" t="s">
        <v>1128</v>
      </c>
      <c r="H278">
        <v>8.6378000000000004</v>
      </c>
      <c r="I278" t="s">
        <v>229</v>
      </c>
    </row>
    <row r="279" spans="1:9" x14ac:dyDescent="0.35">
      <c r="A279" t="s">
        <v>259</v>
      </c>
      <c r="C279" t="s">
        <v>257</v>
      </c>
      <c r="D279">
        <v>43910</v>
      </c>
      <c r="F279" t="s">
        <v>292</v>
      </c>
      <c r="G279" t="s">
        <v>1128</v>
      </c>
      <c r="H279">
        <v>25.913399999999999</v>
      </c>
      <c r="I279" t="s">
        <v>230</v>
      </c>
    </row>
    <row r="280" spans="1:9" x14ac:dyDescent="0.35">
      <c r="A280" t="s">
        <v>259</v>
      </c>
      <c r="C280" t="s">
        <v>257</v>
      </c>
      <c r="D280">
        <v>43910</v>
      </c>
      <c r="F280" t="s">
        <v>292</v>
      </c>
      <c r="G280" t="s">
        <v>1128</v>
      </c>
      <c r="H280">
        <v>168.43709999999999</v>
      </c>
      <c r="I280" t="s">
        <v>231</v>
      </c>
    </row>
    <row r="281" spans="1:9" x14ac:dyDescent="0.35">
      <c r="A281" t="s">
        <v>259</v>
      </c>
      <c r="C281" t="s">
        <v>257</v>
      </c>
      <c r="D281">
        <v>43910</v>
      </c>
      <c r="F281" t="s">
        <v>291</v>
      </c>
      <c r="G281" t="s">
        <v>1128</v>
      </c>
      <c r="H281">
        <v>86.378</v>
      </c>
      <c r="I281" t="s">
        <v>222</v>
      </c>
    </row>
    <row r="282" spans="1:9" x14ac:dyDescent="0.35">
      <c r="A282" t="s">
        <v>259</v>
      </c>
      <c r="C282" t="s">
        <v>257</v>
      </c>
      <c r="D282">
        <v>43910</v>
      </c>
      <c r="F282" t="s">
        <v>291</v>
      </c>
      <c r="G282" t="s">
        <v>1128</v>
      </c>
      <c r="H282">
        <v>103.6536</v>
      </c>
      <c r="I282" t="s">
        <v>224</v>
      </c>
    </row>
    <row r="283" spans="1:9" x14ac:dyDescent="0.35">
      <c r="A283" t="s">
        <v>259</v>
      </c>
      <c r="C283" t="s">
        <v>257</v>
      </c>
      <c r="D283">
        <v>43910</v>
      </c>
      <c r="F283" t="s">
        <v>291</v>
      </c>
      <c r="G283" t="s">
        <v>1128</v>
      </c>
      <c r="H283">
        <v>21.5945</v>
      </c>
      <c r="I283" t="s">
        <v>227</v>
      </c>
    </row>
    <row r="284" spans="1:9" x14ac:dyDescent="0.35">
      <c r="A284" t="s">
        <v>259</v>
      </c>
      <c r="C284" t="s">
        <v>257</v>
      </c>
      <c r="D284">
        <v>43910</v>
      </c>
      <c r="F284" t="s">
        <v>291</v>
      </c>
      <c r="G284" t="s">
        <v>1128</v>
      </c>
      <c r="H284">
        <v>17.275600000000001</v>
      </c>
      <c r="I284" t="s">
        <v>228</v>
      </c>
    </row>
    <row r="285" spans="1:9" x14ac:dyDescent="0.35">
      <c r="A285" t="s">
        <v>259</v>
      </c>
      <c r="C285" t="s">
        <v>257</v>
      </c>
      <c r="D285">
        <v>43910</v>
      </c>
      <c r="F285" t="s">
        <v>291</v>
      </c>
      <c r="G285" t="s">
        <v>1128</v>
      </c>
      <c r="H285">
        <v>8.6378000000000004</v>
      </c>
      <c r="I285" t="s">
        <v>229</v>
      </c>
    </row>
    <row r="286" spans="1:9" x14ac:dyDescent="0.35">
      <c r="A286" t="s">
        <v>259</v>
      </c>
      <c r="C286" t="s">
        <v>257</v>
      </c>
      <c r="D286">
        <v>43910</v>
      </c>
      <c r="F286" t="s">
        <v>291</v>
      </c>
      <c r="G286" t="s">
        <v>1128</v>
      </c>
      <c r="H286">
        <v>25.913399999999999</v>
      </c>
      <c r="I286" t="s">
        <v>230</v>
      </c>
    </row>
    <row r="287" spans="1:9" x14ac:dyDescent="0.35">
      <c r="A287" t="s">
        <v>259</v>
      </c>
      <c r="C287" t="s">
        <v>257</v>
      </c>
      <c r="D287">
        <v>43910</v>
      </c>
      <c r="F287" t="s">
        <v>291</v>
      </c>
      <c r="G287" t="s">
        <v>1128</v>
      </c>
      <c r="H287">
        <v>168.43709999999999</v>
      </c>
      <c r="I287" t="s">
        <v>231</v>
      </c>
    </row>
    <row r="288" spans="1:9" x14ac:dyDescent="0.35">
      <c r="A288" t="s">
        <v>259</v>
      </c>
      <c r="C288" t="s">
        <v>257</v>
      </c>
      <c r="D288">
        <v>43910</v>
      </c>
      <c r="F288" t="s">
        <v>289</v>
      </c>
      <c r="G288" t="s">
        <v>1134</v>
      </c>
      <c r="H288">
        <v>108.76139999999999</v>
      </c>
      <c r="I288" t="s">
        <v>223</v>
      </c>
    </row>
    <row r="289" spans="1:9" x14ac:dyDescent="0.35">
      <c r="A289" t="s">
        <v>259</v>
      </c>
      <c r="C289" t="s">
        <v>257</v>
      </c>
      <c r="D289">
        <v>43910</v>
      </c>
      <c r="F289" t="s">
        <v>289</v>
      </c>
      <c r="G289" t="s">
        <v>1134</v>
      </c>
      <c r="H289">
        <v>220.8186</v>
      </c>
      <c r="I289" t="s">
        <v>224</v>
      </c>
    </row>
    <row r="290" spans="1:9" x14ac:dyDescent="0.35">
      <c r="A290" t="s">
        <v>259</v>
      </c>
      <c r="C290" t="s">
        <v>257</v>
      </c>
      <c r="D290">
        <v>43910</v>
      </c>
      <c r="F290" t="s">
        <v>290</v>
      </c>
      <c r="G290" t="s">
        <v>1134</v>
      </c>
      <c r="H290">
        <v>165</v>
      </c>
      <c r="I290" t="s">
        <v>223</v>
      </c>
    </row>
    <row r="291" spans="1:9" x14ac:dyDescent="0.35">
      <c r="A291" t="s">
        <v>259</v>
      </c>
      <c r="C291" t="s">
        <v>257</v>
      </c>
      <c r="D291">
        <v>43910</v>
      </c>
      <c r="F291" t="s">
        <v>290</v>
      </c>
      <c r="G291" t="s">
        <v>1134</v>
      </c>
      <c r="H291">
        <v>335</v>
      </c>
      <c r="I291" t="s">
        <v>224</v>
      </c>
    </row>
    <row r="292" spans="1:9" x14ac:dyDescent="0.35">
      <c r="A292" t="s">
        <v>259</v>
      </c>
      <c r="C292" t="s">
        <v>257</v>
      </c>
      <c r="D292">
        <v>43910</v>
      </c>
      <c r="F292" t="s">
        <v>291</v>
      </c>
      <c r="G292" t="s">
        <v>1134</v>
      </c>
      <c r="H292">
        <v>292.21170000000001</v>
      </c>
      <c r="I292" t="s">
        <v>223</v>
      </c>
    </row>
    <row r="293" spans="1:9" x14ac:dyDescent="0.35">
      <c r="A293" t="s">
        <v>259</v>
      </c>
      <c r="C293" t="s">
        <v>257</v>
      </c>
      <c r="D293">
        <v>43910</v>
      </c>
      <c r="F293" t="s">
        <v>291</v>
      </c>
      <c r="G293" t="s">
        <v>1134</v>
      </c>
      <c r="H293">
        <v>593.27830000000006</v>
      </c>
      <c r="I293" t="s">
        <v>224</v>
      </c>
    </row>
    <row r="294" spans="1:9" x14ac:dyDescent="0.35">
      <c r="A294" t="s">
        <v>259</v>
      </c>
      <c r="C294" t="s">
        <v>257</v>
      </c>
      <c r="D294">
        <v>43910</v>
      </c>
      <c r="F294" t="s">
        <v>292</v>
      </c>
      <c r="G294" t="s">
        <v>1134</v>
      </c>
      <c r="H294">
        <v>692.3202</v>
      </c>
      <c r="I294" t="s">
        <v>223</v>
      </c>
    </row>
    <row r="295" spans="1:9" x14ac:dyDescent="0.35">
      <c r="A295" t="s">
        <v>259</v>
      </c>
      <c r="C295" t="s">
        <v>257</v>
      </c>
      <c r="D295">
        <v>43910</v>
      </c>
      <c r="F295" t="s">
        <v>292</v>
      </c>
      <c r="G295" t="s">
        <v>1134</v>
      </c>
      <c r="H295">
        <v>1405.6198000000002</v>
      </c>
      <c r="I295" t="s">
        <v>224</v>
      </c>
    </row>
    <row r="296" spans="1:9" x14ac:dyDescent="0.35">
      <c r="A296" t="s">
        <v>259</v>
      </c>
      <c r="C296" t="s">
        <v>257</v>
      </c>
      <c r="D296">
        <v>43910</v>
      </c>
      <c r="F296" t="s">
        <v>338</v>
      </c>
      <c r="G296" t="s">
        <v>1134</v>
      </c>
      <c r="H296">
        <v>1040.7705000000001</v>
      </c>
      <c r="I296" t="s">
        <v>223</v>
      </c>
    </row>
    <row r="297" spans="1:9" x14ac:dyDescent="0.35">
      <c r="A297" t="s">
        <v>259</v>
      </c>
      <c r="C297" t="s">
        <v>257</v>
      </c>
      <c r="D297">
        <v>43910</v>
      </c>
      <c r="F297" t="s">
        <v>338</v>
      </c>
      <c r="G297" t="s">
        <v>1134</v>
      </c>
      <c r="H297">
        <v>2113.0795000000003</v>
      </c>
      <c r="I297" t="s">
        <v>224</v>
      </c>
    </row>
    <row r="298" spans="1:9" x14ac:dyDescent="0.35">
      <c r="A298" t="s">
        <v>259</v>
      </c>
      <c r="C298" t="s">
        <v>257</v>
      </c>
      <c r="D298">
        <v>43910</v>
      </c>
      <c r="F298" t="s">
        <v>292</v>
      </c>
      <c r="G298" t="s">
        <v>1134</v>
      </c>
      <c r="H298">
        <v>292.21170000000001</v>
      </c>
      <c r="I298" t="s">
        <v>223</v>
      </c>
    </row>
    <row r="299" spans="1:9" x14ac:dyDescent="0.35">
      <c r="A299" t="s">
        <v>259</v>
      </c>
      <c r="C299" t="s">
        <v>257</v>
      </c>
      <c r="D299">
        <v>43910</v>
      </c>
      <c r="F299" t="s">
        <v>292</v>
      </c>
      <c r="G299" t="s">
        <v>1134</v>
      </c>
      <c r="H299">
        <v>593.27830000000006</v>
      </c>
      <c r="I299" t="s">
        <v>224</v>
      </c>
    </row>
    <row r="300" spans="1:9" x14ac:dyDescent="0.35">
      <c r="A300" t="s">
        <v>259</v>
      </c>
      <c r="C300" t="s">
        <v>257</v>
      </c>
      <c r="D300">
        <v>43910</v>
      </c>
      <c r="F300" t="s">
        <v>291</v>
      </c>
      <c r="G300" t="s">
        <v>1134</v>
      </c>
      <c r="H300">
        <v>292.21170000000001</v>
      </c>
      <c r="I300" t="s">
        <v>223</v>
      </c>
    </row>
    <row r="301" spans="1:9" x14ac:dyDescent="0.35">
      <c r="A301" t="s">
        <v>259</v>
      </c>
      <c r="C301" t="s">
        <v>257</v>
      </c>
      <c r="D301">
        <v>43910</v>
      </c>
      <c r="F301" t="s">
        <v>291</v>
      </c>
      <c r="G301" t="s">
        <v>1134</v>
      </c>
      <c r="H301">
        <v>593.27830000000006</v>
      </c>
      <c r="I301" t="s">
        <v>224</v>
      </c>
    </row>
    <row r="302" spans="1:9" x14ac:dyDescent="0.35">
      <c r="A302" t="s">
        <v>259</v>
      </c>
      <c r="C302" t="s">
        <v>257</v>
      </c>
      <c r="D302">
        <v>43910</v>
      </c>
      <c r="F302" t="s">
        <v>289</v>
      </c>
      <c r="G302" t="s">
        <v>1142</v>
      </c>
      <c r="H302">
        <v>154.32</v>
      </c>
      <c r="I302" t="s">
        <v>225</v>
      </c>
    </row>
    <row r="303" spans="1:9" x14ac:dyDescent="0.35">
      <c r="A303" t="s">
        <v>259</v>
      </c>
      <c r="C303" t="s">
        <v>257</v>
      </c>
      <c r="D303">
        <v>43910</v>
      </c>
      <c r="F303" t="s">
        <v>290</v>
      </c>
      <c r="G303" t="s">
        <v>1142</v>
      </c>
      <c r="H303">
        <v>57.7</v>
      </c>
      <c r="I303" t="s">
        <v>225</v>
      </c>
    </row>
    <row r="304" spans="1:9" x14ac:dyDescent="0.35">
      <c r="A304" t="s">
        <v>259</v>
      </c>
      <c r="C304" t="s">
        <v>257</v>
      </c>
      <c r="D304">
        <v>43910</v>
      </c>
      <c r="F304" t="s">
        <v>291</v>
      </c>
      <c r="G304" t="s">
        <v>1142</v>
      </c>
      <c r="H304">
        <v>456.06</v>
      </c>
      <c r="I304" t="s">
        <v>225</v>
      </c>
    </row>
    <row r="305" spans="1:9" x14ac:dyDescent="0.35">
      <c r="A305" t="s">
        <v>259</v>
      </c>
      <c r="C305" t="s">
        <v>257</v>
      </c>
      <c r="D305">
        <v>43910</v>
      </c>
      <c r="F305" t="s">
        <v>292</v>
      </c>
      <c r="G305" t="s">
        <v>1142</v>
      </c>
      <c r="H305">
        <v>1179.02</v>
      </c>
      <c r="I305" t="s">
        <v>225</v>
      </c>
    </row>
    <row r="306" spans="1:9" x14ac:dyDescent="0.35">
      <c r="A306" t="s">
        <v>259</v>
      </c>
      <c r="C306" t="s">
        <v>257</v>
      </c>
      <c r="D306">
        <v>43910</v>
      </c>
      <c r="F306" t="s">
        <v>340</v>
      </c>
      <c r="G306" t="s">
        <v>1142</v>
      </c>
      <c r="H306">
        <v>1538.46</v>
      </c>
      <c r="I306" t="s">
        <v>225</v>
      </c>
    </row>
    <row r="307" spans="1:9" x14ac:dyDescent="0.35">
      <c r="A307" t="s">
        <v>259</v>
      </c>
      <c r="C307" t="s">
        <v>257</v>
      </c>
      <c r="D307">
        <v>43910</v>
      </c>
      <c r="F307" t="s">
        <v>292</v>
      </c>
      <c r="G307" t="s">
        <v>1142</v>
      </c>
      <c r="H307">
        <v>456.06</v>
      </c>
      <c r="I307" t="s">
        <v>225</v>
      </c>
    </row>
    <row r="308" spans="1:9" x14ac:dyDescent="0.35">
      <c r="A308" t="s">
        <v>259</v>
      </c>
      <c r="C308" t="s">
        <v>257</v>
      </c>
      <c r="D308">
        <v>43910</v>
      </c>
      <c r="F308" t="s">
        <v>291</v>
      </c>
      <c r="G308" t="s">
        <v>1142</v>
      </c>
      <c r="H308">
        <v>456.06</v>
      </c>
      <c r="I308" t="s">
        <v>225</v>
      </c>
    </row>
    <row r="309" spans="1:9" x14ac:dyDescent="0.35">
      <c r="A309" t="s">
        <v>259</v>
      </c>
      <c r="C309" t="s">
        <v>257</v>
      </c>
      <c r="D309">
        <v>43910</v>
      </c>
      <c r="F309" t="s">
        <v>289</v>
      </c>
      <c r="G309" t="s">
        <v>1150</v>
      </c>
      <c r="H309">
        <v>215.26</v>
      </c>
      <c r="I309" t="s">
        <v>223</v>
      </c>
    </row>
    <row r="310" spans="1:9" x14ac:dyDescent="0.35">
      <c r="A310" t="s">
        <v>259</v>
      </c>
      <c r="C310" t="s">
        <v>257</v>
      </c>
      <c r="D310">
        <v>43910</v>
      </c>
      <c r="F310" t="s">
        <v>290</v>
      </c>
      <c r="G310" t="s">
        <v>1150</v>
      </c>
      <c r="H310">
        <v>72.680000000000007</v>
      </c>
      <c r="I310" t="s">
        <v>223</v>
      </c>
    </row>
    <row r="311" spans="1:9" x14ac:dyDescent="0.35">
      <c r="A311" t="s">
        <v>259</v>
      </c>
      <c r="C311" t="s">
        <v>257</v>
      </c>
      <c r="D311">
        <v>43910</v>
      </c>
      <c r="F311" t="s">
        <v>291</v>
      </c>
      <c r="G311" t="s">
        <v>1150</v>
      </c>
      <c r="H311">
        <v>603.98</v>
      </c>
      <c r="I311" t="s">
        <v>223</v>
      </c>
    </row>
    <row r="312" spans="1:9" x14ac:dyDescent="0.35">
      <c r="A312" t="s">
        <v>259</v>
      </c>
      <c r="C312" t="s">
        <v>257</v>
      </c>
      <c r="D312">
        <v>43910</v>
      </c>
      <c r="F312" t="s">
        <v>292</v>
      </c>
      <c r="G312" t="s">
        <v>1150</v>
      </c>
      <c r="H312">
        <v>1653.99</v>
      </c>
      <c r="I312" t="s">
        <v>223</v>
      </c>
    </row>
    <row r="313" spans="1:9" x14ac:dyDescent="0.35">
      <c r="A313" t="s">
        <v>259</v>
      </c>
      <c r="C313" t="s">
        <v>257</v>
      </c>
      <c r="D313">
        <v>43910</v>
      </c>
      <c r="F313" t="s">
        <v>339</v>
      </c>
      <c r="G313" t="s">
        <v>1150</v>
      </c>
      <c r="H313">
        <v>2115.39</v>
      </c>
      <c r="I313" t="s">
        <v>223</v>
      </c>
    </row>
    <row r="314" spans="1:9" x14ac:dyDescent="0.35">
      <c r="A314" t="s">
        <v>259</v>
      </c>
      <c r="C314" t="s">
        <v>257</v>
      </c>
      <c r="D314">
        <v>43910</v>
      </c>
      <c r="F314" t="s">
        <v>292</v>
      </c>
      <c r="G314" t="s">
        <v>1150</v>
      </c>
      <c r="H314">
        <v>603.98</v>
      </c>
      <c r="I314" t="s">
        <v>223</v>
      </c>
    </row>
    <row r="315" spans="1:9" x14ac:dyDescent="0.35">
      <c r="A315" t="s">
        <v>259</v>
      </c>
      <c r="C315" t="s">
        <v>257</v>
      </c>
      <c r="D315">
        <v>43910</v>
      </c>
      <c r="F315" t="s">
        <v>291</v>
      </c>
      <c r="G315" t="s">
        <v>1150</v>
      </c>
      <c r="H315">
        <v>603.98</v>
      </c>
      <c r="I315" t="s">
        <v>223</v>
      </c>
    </row>
    <row r="316" spans="1:9" x14ac:dyDescent="0.35">
      <c r="A316" t="s">
        <v>259</v>
      </c>
      <c r="C316" t="s">
        <v>257</v>
      </c>
      <c r="D316">
        <v>43910</v>
      </c>
      <c r="F316" t="s">
        <v>289</v>
      </c>
      <c r="G316" t="s">
        <v>1158</v>
      </c>
      <c r="H316">
        <v>106.59</v>
      </c>
      <c r="I316" t="s">
        <v>225</v>
      </c>
    </row>
    <row r="317" spans="1:9" x14ac:dyDescent="0.35">
      <c r="A317" t="s">
        <v>259</v>
      </c>
      <c r="C317" t="s">
        <v>257</v>
      </c>
      <c r="D317">
        <v>43910</v>
      </c>
      <c r="F317" t="s">
        <v>291</v>
      </c>
      <c r="G317" t="s">
        <v>1158</v>
      </c>
      <c r="H317">
        <v>212.48</v>
      </c>
      <c r="I317" t="s">
        <v>225</v>
      </c>
    </row>
    <row r="318" spans="1:9" x14ac:dyDescent="0.35">
      <c r="A318" t="s">
        <v>259</v>
      </c>
      <c r="C318" t="s">
        <v>257</v>
      </c>
      <c r="D318">
        <v>43910</v>
      </c>
      <c r="F318" t="s">
        <v>292</v>
      </c>
      <c r="G318" t="s">
        <v>1158</v>
      </c>
      <c r="H318">
        <v>914.11</v>
      </c>
      <c r="I318" t="s">
        <v>225</v>
      </c>
    </row>
    <row r="319" spans="1:9" x14ac:dyDescent="0.35">
      <c r="A319" t="s">
        <v>259</v>
      </c>
      <c r="C319" t="s">
        <v>257</v>
      </c>
      <c r="D319">
        <v>43910</v>
      </c>
      <c r="F319" t="s">
        <v>351</v>
      </c>
      <c r="G319" t="s">
        <v>1158</v>
      </c>
      <c r="H319">
        <v>1020</v>
      </c>
      <c r="I319" t="s">
        <v>225</v>
      </c>
    </row>
    <row r="320" spans="1:9" x14ac:dyDescent="0.35">
      <c r="A320" t="s">
        <v>259</v>
      </c>
      <c r="C320" t="s">
        <v>257</v>
      </c>
      <c r="D320">
        <v>43910</v>
      </c>
      <c r="F320" t="s">
        <v>292</v>
      </c>
      <c r="G320" t="s">
        <v>1158</v>
      </c>
      <c r="H320">
        <v>212.48</v>
      </c>
      <c r="I320" t="s">
        <v>225</v>
      </c>
    </row>
    <row r="321" spans="1:9" x14ac:dyDescent="0.35">
      <c r="A321" t="s">
        <v>259</v>
      </c>
      <c r="C321" t="s">
        <v>257</v>
      </c>
      <c r="D321">
        <v>43910</v>
      </c>
      <c r="F321" t="s">
        <v>291</v>
      </c>
      <c r="G321" t="s">
        <v>1158</v>
      </c>
      <c r="H321">
        <v>212.48</v>
      </c>
      <c r="I321" t="s">
        <v>225</v>
      </c>
    </row>
    <row r="322" spans="1:9" x14ac:dyDescent="0.35">
      <c r="A322" t="s">
        <v>259</v>
      </c>
      <c r="C322" t="s">
        <v>257</v>
      </c>
      <c r="D322">
        <v>43910</v>
      </c>
      <c r="F322" t="s">
        <v>289</v>
      </c>
      <c r="G322" t="s">
        <v>1165</v>
      </c>
      <c r="H322">
        <v>63.362499999999997</v>
      </c>
      <c r="I322" t="s">
        <v>226</v>
      </c>
    </row>
    <row r="323" spans="1:9" x14ac:dyDescent="0.35">
      <c r="A323" t="s">
        <v>259</v>
      </c>
      <c r="C323" t="s">
        <v>257</v>
      </c>
      <c r="D323">
        <v>43910</v>
      </c>
      <c r="F323" t="s">
        <v>289</v>
      </c>
      <c r="G323" t="s">
        <v>1165</v>
      </c>
      <c r="H323">
        <v>45.620999999999995</v>
      </c>
      <c r="I323" t="s">
        <v>303</v>
      </c>
    </row>
    <row r="324" spans="1:9" x14ac:dyDescent="0.35">
      <c r="A324" t="s">
        <v>259</v>
      </c>
      <c r="C324" t="s">
        <v>257</v>
      </c>
      <c r="D324">
        <v>43910</v>
      </c>
      <c r="F324" t="s">
        <v>289</v>
      </c>
      <c r="G324" t="s">
        <v>1165</v>
      </c>
      <c r="H324">
        <v>17.741500000000002</v>
      </c>
      <c r="I324" t="s">
        <v>227</v>
      </c>
    </row>
    <row r="325" spans="1:9" x14ac:dyDescent="0.35">
      <c r="A325" t="s">
        <v>259</v>
      </c>
      <c r="C325" t="s">
        <v>257</v>
      </c>
      <c r="D325">
        <v>43910</v>
      </c>
      <c r="F325" t="s">
        <v>289</v>
      </c>
      <c r="G325" t="s">
        <v>1165</v>
      </c>
      <c r="H325">
        <v>63.362499999999997</v>
      </c>
      <c r="I325" t="s">
        <v>228</v>
      </c>
    </row>
    <row r="326" spans="1:9" x14ac:dyDescent="0.35">
      <c r="A326" t="s">
        <v>259</v>
      </c>
      <c r="C326" t="s">
        <v>257</v>
      </c>
      <c r="D326">
        <v>43910</v>
      </c>
      <c r="F326" t="s">
        <v>289</v>
      </c>
      <c r="G326" t="s">
        <v>1165</v>
      </c>
      <c r="H326">
        <v>63.362499999999997</v>
      </c>
      <c r="I326" t="s">
        <v>229</v>
      </c>
    </row>
    <row r="327" spans="1:9" x14ac:dyDescent="0.35">
      <c r="A327" t="s">
        <v>259</v>
      </c>
      <c r="C327" t="s">
        <v>257</v>
      </c>
      <c r="D327">
        <v>43910</v>
      </c>
      <c r="F327" t="s">
        <v>290</v>
      </c>
      <c r="G327" t="s">
        <v>1165</v>
      </c>
      <c r="H327">
        <v>24.655000000000001</v>
      </c>
      <c r="I327" t="s">
        <v>226</v>
      </c>
    </row>
    <row r="328" spans="1:9" x14ac:dyDescent="0.35">
      <c r="A328" t="s">
        <v>259</v>
      </c>
      <c r="C328" t="s">
        <v>257</v>
      </c>
      <c r="D328">
        <v>43910</v>
      </c>
      <c r="F328" t="s">
        <v>290</v>
      </c>
      <c r="G328" t="s">
        <v>1165</v>
      </c>
      <c r="H328">
        <v>17.7516</v>
      </c>
      <c r="I328" t="s">
        <v>303</v>
      </c>
    </row>
    <row r="329" spans="1:9" x14ac:dyDescent="0.35">
      <c r="A329" t="s">
        <v>259</v>
      </c>
      <c r="C329" t="s">
        <v>257</v>
      </c>
      <c r="D329">
        <v>43910</v>
      </c>
      <c r="F329" t="s">
        <v>290</v>
      </c>
      <c r="G329" t="s">
        <v>1165</v>
      </c>
      <c r="H329">
        <v>6.9034000000000013</v>
      </c>
      <c r="I329" t="s">
        <v>227</v>
      </c>
    </row>
    <row r="330" spans="1:9" x14ac:dyDescent="0.35">
      <c r="A330" t="s">
        <v>259</v>
      </c>
      <c r="C330" t="s">
        <v>257</v>
      </c>
      <c r="D330">
        <v>43910</v>
      </c>
      <c r="F330" t="s">
        <v>290</v>
      </c>
      <c r="G330" t="s">
        <v>1165</v>
      </c>
      <c r="H330">
        <v>24.655000000000001</v>
      </c>
      <c r="I330" t="s">
        <v>228</v>
      </c>
    </row>
    <row r="331" spans="1:9" x14ac:dyDescent="0.35">
      <c r="A331" t="s">
        <v>259</v>
      </c>
      <c r="C331" t="s">
        <v>257</v>
      </c>
      <c r="D331">
        <v>43910</v>
      </c>
      <c r="F331" t="s">
        <v>290</v>
      </c>
      <c r="G331" t="s">
        <v>1165</v>
      </c>
      <c r="H331">
        <v>24.655000000000001</v>
      </c>
      <c r="I331" t="s">
        <v>229</v>
      </c>
    </row>
    <row r="332" spans="1:9" x14ac:dyDescent="0.35">
      <c r="A332" t="s">
        <v>259</v>
      </c>
      <c r="C332" t="s">
        <v>257</v>
      </c>
      <c r="D332">
        <v>43910</v>
      </c>
      <c r="F332" t="s">
        <v>291</v>
      </c>
      <c r="G332" t="s">
        <v>1165</v>
      </c>
      <c r="H332">
        <v>196.39250000000001</v>
      </c>
      <c r="I332" t="s">
        <v>226</v>
      </c>
    </row>
    <row r="333" spans="1:9" x14ac:dyDescent="0.35">
      <c r="A333" t="s">
        <v>259</v>
      </c>
      <c r="C333" t="s">
        <v>257</v>
      </c>
      <c r="D333">
        <v>43910</v>
      </c>
      <c r="F333" t="s">
        <v>291</v>
      </c>
      <c r="G333" t="s">
        <v>1165</v>
      </c>
      <c r="H333">
        <v>141.40260000000001</v>
      </c>
      <c r="I333" t="s">
        <v>303</v>
      </c>
    </row>
    <row r="334" spans="1:9" x14ac:dyDescent="0.35">
      <c r="A334" t="s">
        <v>259</v>
      </c>
      <c r="C334" t="s">
        <v>257</v>
      </c>
      <c r="D334">
        <v>43910</v>
      </c>
      <c r="F334" t="s">
        <v>291</v>
      </c>
      <c r="G334" t="s">
        <v>1165</v>
      </c>
      <c r="H334">
        <v>54.989900000000006</v>
      </c>
      <c r="I334" t="s">
        <v>227</v>
      </c>
    </row>
    <row r="335" spans="1:9" x14ac:dyDescent="0.35">
      <c r="A335" t="s">
        <v>259</v>
      </c>
      <c r="C335" t="s">
        <v>257</v>
      </c>
      <c r="D335">
        <v>43910</v>
      </c>
      <c r="F335" t="s">
        <v>291</v>
      </c>
      <c r="G335" t="s">
        <v>1165</v>
      </c>
      <c r="H335">
        <v>196.39250000000001</v>
      </c>
      <c r="I335" t="s">
        <v>228</v>
      </c>
    </row>
    <row r="336" spans="1:9" x14ac:dyDescent="0.35">
      <c r="A336" t="s">
        <v>259</v>
      </c>
      <c r="C336" t="s">
        <v>257</v>
      </c>
      <c r="D336">
        <v>43910</v>
      </c>
      <c r="F336" t="s">
        <v>291</v>
      </c>
      <c r="G336" t="s">
        <v>1165</v>
      </c>
      <c r="H336">
        <v>196.39250000000001</v>
      </c>
      <c r="I336" t="s">
        <v>229</v>
      </c>
    </row>
    <row r="337" spans="1:9" x14ac:dyDescent="0.35">
      <c r="A337" t="s">
        <v>259</v>
      </c>
      <c r="C337" t="s">
        <v>257</v>
      </c>
      <c r="D337">
        <v>43910</v>
      </c>
      <c r="F337" t="s">
        <v>292</v>
      </c>
      <c r="G337" t="s">
        <v>1165</v>
      </c>
      <c r="H337">
        <v>467.315</v>
      </c>
      <c r="I337" t="s">
        <v>226</v>
      </c>
    </row>
    <row r="338" spans="1:9" x14ac:dyDescent="0.35">
      <c r="A338" t="s">
        <v>259</v>
      </c>
      <c r="C338" t="s">
        <v>257</v>
      </c>
      <c r="D338">
        <v>43910</v>
      </c>
      <c r="F338" t="s">
        <v>292</v>
      </c>
      <c r="G338" t="s">
        <v>1165</v>
      </c>
      <c r="H338">
        <v>336.46679999999998</v>
      </c>
      <c r="I338" t="s">
        <v>303</v>
      </c>
    </row>
    <row r="339" spans="1:9" x14ac:dyDescent="0.35">
      <c r="A339" t="s">
        <v>259</v>
      </c>
      <c r="C339" t="s">
        <v>257</v>
      </c>
      <c r="D339">
        <v>43910</v>
      </c>
      <c r="F339" t="s">
        <v>292</v>
      </c>
      <c r="G339" t="s">
        <v>1165</v>
      </c>
      <c r="H339">
        <v>130.84820000000002</v>
      </c>
      <c r="I339" t="s">
        <v>227</v>
      </c>
    </row>
    <row r="340" spans="1:9" x14ac:dyDescent="0.35">
      <c r="A340" t="s">
        <v>259</v>
      </c>
      <c r="C340" t="s">
        <v>257</v>
      </c>
      <c r="D340">
        <v>43910</v>
      </c>
      <c r="F340" t="s">
        <v>292</v>
      </c>
      <c r="G340" t="s">
        <v>1165</v>
      </c>
      <c r="H340">
        <v>467.315</v>
      </c>
      <c r="I340" t="s">
        <v>228</v>
      </c>
    </row>
    <row r="341" spans="1:9" x14ac:dyDescent="0.35">
      <c r="A341" t="s">
        <v>259</v>
      </c>
      <c r="C341" t="s">
        <v>257</v>
      </c>
      <c r="D341">
        <v>43910</v>
      </c>
      <c r="F341" t="s">
        <v>292</v>
      </c>
      <c r="G341" t="s">
        <v>1165</v>
      </c>
      <c r="H341">
        <v>467.315</v>
      </c>
      <c r="I341" t="s">
        <v>229</v>
      </c>
    </row>
    <row r="342" spans="1:9" x14ac:dyDescent="0.35">
      <c r="A342" t="s">
        <v>259</v>
      </c>
      <c r="C342" t="s">
        <v>257</v>
      </c>
      <c r="D342">
        <v>43910</v>
      </c>
      <c r="F342" t="s">
        <v>352</v>
      </c>
      <c r="G342" t="s">
        <v>1165</v>
      </c>
      <c r="H342">
        <v>625</v>
      </c>
      <c r="I342" t="s">
        <v>226</v>
      </c>
    </row>
    <row r="343" spans="1:9" x14ac:dyDescent="0.35">
      <c r="A343" t="s">
        <v>259</v>
      </c>
      <c r="C343" t="s">
        <v>257</v>
      </c>
      <c r="D343">
        <v>43910</v>
      </c>
      <c r="F343" t="s">
        <v>352</v>
      </c>
      <c r="G343" t="s">
        <v>1165</v>
      </c>
      <c r="H343">
        <v>450</v>
      </c>
      <c r="I343" t="s">
        <v>303</v>
      </c>
    </row>
    <row r="344" spans="1:9" x14ac:dyDescent="0.35">
      <c r="A344" t="s">
        <v>259</v>
      </c>
      <c r="C344" t="s">
        <v>257</v>
      </c>
      <c r="D344">
        <v>43910</v>
      </c>
      <c r="F344" t="s">
        <v>352</v>
      </c>
      <c r="G344" t="s">
        <v>1165</v>
      </c>
      <c r="H344">
        <v>175.00000000000003</v>
      </c>
      <c r="I344" t="s">
        <v>227</v>
      </c>
    </row>
    <row r="345" spans="1:9" x14ac:dyDescent="0.35">
      <c r="A345" t="s">
        <v>259</v>
      </c>
      <c r="C345" t="s">
        <v>257</v>
      </c>
      <c r="D345">
        <v>43910</v>
      </c>
      <c r="F345" t="s">
        <v>352</v>
      </c>
      <c r="G345" t="s">
        <v>1165</v>
      </c>
      <c r="H345">
        <v>625</v>
      </c>
      <c r="I345" t="s">
        <v>228</v>
      </c>
    </row>
    <row r="346" spans="1:9" x14ac:dyDescent="0.35">
      <c r="A346" t="s">
        <v>259</v>
      </c>
      <c r="C346" t="s">
        <v>257</v>
      </c>
      <c r="D346">
        <v>43910</v>
      </c>
      <c r="F346" t="s">
        <v>352</v>
      </c>
      <c r="G346" t="s">
        <v>1165</v>
      </c>
      <c r="H346">
        <v>625</v>
      </c>
      <c r="I346" t="s">
        <v>229</v>
      </c>
    </row>
    <row r="347" spans="1:9" x14ac:dyDescent="0.35">
      <c r="A347" t="s">
        <v>259</v>
      </c>
      <c r="C347" t="s">
        <v>257</v>
      </c>
      <c r="D347">
        <v>43910</v>
      </c>
      <c r="F347" t="s">
        <v>292</v>
      </c>
      <c r="G347" t="s">
        <v>1165</v>
      </c>
      <c r="H347">
        <v>196.39250000000001</v>
      </c>
      <c r="I347" t="s">
        <v>226</v>
      </c>
    </row>
    <row r="348" spans="1:9" x14ac:dyDescent="0.35">
      <c r="A348" t="s">
        <v>259</v>
      </c>
      <c r="C348" t="s">
        <v>257</v>
      </c>
      <c r="D348">
        <v>43910</v>
      </c>
      <c r="F348" t="s">
        <v>292</v>
      </c>
      <c r="G348" t="s">
        <v>1165</v>
      </c>
      <c r="H348">
        <v>141.40260000000001</v>
      </c>
      <c r="I348" t="s">
        <v>303</v>
      </c>
    </row>
    <row r="349" spans="1:9" x14ac:dyDescent="0.35">
      <c r="A349" t="s">
        <v>259</v>
      </c>
      <c r="C349" t="s">
        <v>257</v>
      </c>
      <c r="D349">
        <v>43910</v>
      </c>
      <c r="F349" t="s">
        <v>292</v>
      </c>
      <c r="G349" t="s">
        <v>1165</v>
      </c>
      <c r="H349">
        <v>54.989900000000006</v>
      </c>
      <c r="I349" t="s">
        <v>227</v>
      </c>
    </row>
    <row r="350" spans="1:9" x14ac:dyDescent="0.35">
      <c r="A350" t="s">
        <v>259</v>
      </c>
      <c r="C350" t="s">
        <v>257</v>
      </c>
      <c r="D350">
        <v>43910</v>
      </c>
      <c r="F350" t="s">
        <v>292</v>
      </c>
      <c r="G350" t="s">
        <v>1165</v>
      </c>
      <c r="H350">
        <v>196.39250000000001</v>
      </c>
      <c r="I350" t="s">
        <v>228</v>
      </c>
    </row>
    <row r="351" spans="1:9" x14ac:dyDescent="0.35">
      <c r="A351" t="s">
        <v>259</v>
      </c>
      <c r="C351" t="s">
        <v>257</v>
      </c>
      <c r="D351">
        <v>43910</v>
      </c>
      <c r="F351" t="s">
        <v>292</v>
      </c>
      <c r="G351" t="s">
        <v>1165</v>
      </c>
      <c r="H351">
        <v>196.39250000000001</v>
      </c>
      <c r="I351" t="s">
        <v>229</v>
      </c>
    </row>
    <row r="352" spans="1:9" x14ac:dyDescent="0.35">
      <c r="A352" t="s">
        <v>259</v>
      </c>
      <c r="C352" t="s">
        <v>257</v>
      </c>
      <c r="D352">
        <v>43910</v>
      </c>
      <c r="F352" t="s">
        <v>291</v>
      </c>
      <c r="G352" t="s">
        <v>1165</v>
      </c>
      <c r="H352">
        <v>196.39250000000001</v>
      </c>
      <c r="I352" t="s">
        <v>226</v>
      </c>
    </row>
    <row r="353" spans="1:9" x14ac:dyDescent="0.35">
      <c r="A353" t="s">
        <v>259</v>
      </c>
      <c r="C353" t="s">
        <v>257</v>
      </c>
      <c r="D353">
        <v>43910</v>
      </c>
      <c r="F353" t="s">
        <v>291</v>
      </c>
      <c r="G353" t="s">
        <v>1165</v>
      </c>
      <c r="H353">
        <v>141.40260000000001</v>
      </c>
      <c r="I353" t="s">
        <v>303</v>
      </c>
    </row>
    <row r="354" spans="1:9" x14ac:dyDescent="0.35">
      <c r="A354" t="s">
        <v>259</v>
      </c>
      <c r="C354" t="s">
        <v>257</v>
      </c>
      <c r="D354">
        <v>43910</v>
      </c>
      <c r="F354" t="s">
        <v>291</v>
      </c>
      <c r="G354" t="s">
        <v>1165</v>
      </c>
      <c r="H354">
        <v>54.989900000000006</v>
      </c>
      <c r="I354" t="s">
        <v>227</v>
      </c>
    </row>
    <row r="355" spans="1:9" x14ac:dyDescent="0.35">
      <c r="A355" t="s">
        <v>259</v>
      </c>
      <c r="C355" t="s">
        <v>257</v>
      </c>
      <c r="D355">
        <v>43910</v>
      </c>
      <c r="F355" t="s">
        <v>291</v>
      </c>
      <c r="G355" t="s">
        <v>1165</v>
      </c>
      <c r="H355">
        <v>196.39250000000001</v>
      </c>
      <c r="I355" t="s">
        <v>228</v>
      </c>
    </row>
    <row r="356" spans="1:9" x14ac:dyDescent="0.35">
      <c r="A356" t="s">
        <v>259</v>
      </c>
      <c r="C356" t="s">
        <v>257</v>
      </c>
      <c r="D356">
        <v>43910</v>
      </c>
      <c r="F356" t="s">
        <v>291</v>
      </c>
      <c r="G356" t="s">
        <v>1165</v>
      </c>
      <c r="H356">
        <v>196.39250000000001</v>
      </c>
      <c r="I356" t="s">
        <v>229</v>
      </c>
    </row>
    <row r="357" spans="1:9" x14ac:dyDescent="0.35">
      <c r="A357" t="s">
        <v>259</v>
      </c>
      <c r="C357" t="s">
        <v>257</v>
      </c>
      <c r="D357">
        <v>43910</v>
      </c>
      <c r="F357" t="s">
        <v>289</v>
      </c>
      <c r="G357" t="s">
        <v>1173</v>
      </c>
      <c r="H357">
        <v>27.212999999999997</v>
      </c>
      <c r="I357" t="s">
        <v>226</v>
      </c>
    </row>
    <row r="358" spans="1:9" x14ac:dyDescent="0.35">
      <c r="A358" t="s">
        <v>259</v>
      </c>
      <c r="C358" t="s">
        <v>257</v>
      </c>
      <c r="D358">
        <v>43910</v>
      </c>
      <c r="F358" t="s">
        <v>289</v>
      </c>
      <c r="G358" t="s">
        <v>1173</v>
      </c>
      <c r="H358">
        <v>134.2508</v>
      </c>
      <c r="I358" t="s">
        <v>227</v>
      </c>
    </row>
    <row r="359" spans="1:9" x14ac:dyDescent="0.35">
      <c r="A359" t="s">
        <v>259</v>
      </c>
      <c r="C359" t="s">
        <v>257</v>
      </c>
      <c r="D359">
        <v>43910</v>
      </c>
      <c r="F359" t="s">
        <v>289</v>
      </c>
      <c r="G359" t="s">
        <v>1173</v>
      </c>
      <c r="H359">
        <v>19.956199999999999</v>
      </c>
      <c r="I359" t="s">
        <v>228</v>
      </c>
    </row>
    <row r="360" spans="1:9" x14ac:dyDescent="0.35">
      <c r="A360" t="s">
        <v>259</v>
      </c>
      <c r="C360" t="s">
        <v>257</v>
      </c>
      <c r="D360">
        <v>43910</v>
      </c>
      <c r="F360" t="s">
        <v>290</v>
      </c>
      <c r="G360" t="s">
        <v>1173</v>
      </c>
      <c r="H360">
        <v>9.5324999999999989</v>
      </c>
      <c r="I360" t="s">
        <v>226</v>
      </c>
    </row>
    <row r="361" spans="1:9" x14ac:dyDescent="0.35">
      <c r="A361" t="s">
        <v>259</v>
      </c>
      <c r="C361" t="s">
        <v>257</v>
      </c>
      <c r="D361">
        <v>43910</v>
      </c>
      <c r="F361" t="s">
        <v>290</v>
      </c>
      <c r="G361" t="s">
        <v>1173</v>
      </c>
      <c r="H361">
        <v>47.026999999999994</v>
      </c>
      <c r="I361" t="s">
        <v>227</v>
      </c>
    </row>
    <row r="362" spans="1:9" x14ac:dyDescent="0.35">
      <c r="A362" t="s">
        <v>259</v>
      </c>
      <c r="C362" t="s">
        <v>257</v>
      </c>
      <c r="D362">
        <v>43910</v>
      </c>
      <c r="F362" t="s">
        <v>290</v>
      </c>
      <c r="G362" t="s">
        <v>1173</v>
      </c>
      <c r="H362">
        <v>6.9904999999999999</v>
      </c>
      <c r="I362" t="s">
        <v>228</v>
      </c>
    </row>
    <row r="363" spans="1:9" x14ac:dyDescent="0.35">
      <c r="A363" t="s">
        <v>259</v>
      </c>
      <c r="C363" t="s">
        <v>257</v>
      </c>
      <c r="D363">
        <v>43910</v>
      </c>
      <c r="F363" t="s">
        <v>291</v>
      </c>
      <c r="G363" t="s">
        <v>1173</v>
      </c>
      <c r="H363">
        <v>66.604499999999987</v>
      </c>
      <c r="I363" t="s">
        <v>226</v>
      </c>
    </row>
    <row r="364" spans="1:9" x14ac:dyDescent="0.35">
      <c r="A364" t="s">
        <v>259</v>
      </c>
      <c r="C364" t="s">
        <v>257</v>
      </c>
      <c r="D364">
        <v>43910</v>
      </c>
      <c r="F364" t="s">
        <v>291</v>
      </c>
      <c r="G364" t="s">
        <v>1173</v>
      </c>
      <c r="H364">
        <v>328.5822</v>
      </c>
      <c r="I364" t="s">
        <v>227</v>
      </c>
    </row>
    <row r="365" spans="1:9" x14ac:dyDescent="0.35">
      <c r="A365" t="s">
        <v>259</v>
      </c>
      <c r="C365" t="s">
        <v>257</v>
      </c>
      <c r="D365">
        <v>43910</v>
      </c>
      <c r="F365" t="s">
        <v>291</v>
      </c>
      <c r="G365" t="s">
        <v>1173</v>
      </c>
      <c r="H365">
        <v>48.843299999999999</v>
      </c>
      <c r="I365" t="s">
        <v>228</v>
      </c>
    </row>
    <row r="366" spans="1:9" x14ac:dyDescent="0.35">
      <c r="A366" t="s">
        <v>259</v>
      </c>
      <c r="C366" t="s">
        <v>257</v>
      </c>
      <c r="D366">
        <v>43910</v>
      </c>
      <c r="F366" t="s">
        <v>292</v>
      </c>
      <c r="G366" t="s">
        <v>1173</v>
      </c>
      <c r="H366">
        <v>219.345</v>
      </c>
      <c r="I366" t="s">
        <v>226</v>
      </c>
    </row>
    <row r="367" spans="1:9" x14ac:dyDescent="0.35">
      <c r="A367" t="s">
        <v>259</v>
      </c>
      <c r="C367" t="s">
        <v>257</v>
      </c>
      <c r="D367">
        <v>43910</v>
      </c>
      <c r="F367" t="s">
        <v>292</v>
      </c>
      <c r="G367" t="s">
        <v>1173</v>
      </c>
      <c r="H367">
        <v>1082.1019999999999</v>
      </c>
      <c r="I367" t="s">
        <v>227</v>
      </c>
    </row>
    <row r="368" spans="1:9" x14ac:dyDescent="0.35">
      <c r="A368" t="s">
        <v>259</v>
      </c>
      <c r="C368" t="s">
        <v>257</v>
      </c>
      <c r="D368">
        <v>43910</v>
      </c>
      <c r="F368" t="s">
        <v>292</v>
      </c>
      <c r="G368" t="s">
        <v>1173</v>
      </c>
      <c r="H368">
        <v>160.85300000000001</v>
      </c>
      <c r="I368" t="s">
        <v>228</v>
      </c>
    </row>
    <row r="369" spans="1:9" x14ac:dyDescent="0.35">
      <c r="A369" t="s">
        <v>259</v>
      </c>
      <c r="C369" t="s">
        <v>257</v>
      </c>
      <c r="D369">
        <v>43910</v>
      </c>
      <c r="F369" t="s">
        <v>352</v>
      </c>
      <c r="G369" t="s">
        <v>1173</v>
      </c>
      <c r="H369">
        <v>268.26900000000001</v>
      </c>
      <c r="I369" t="s">
        <v>226</v>
      </c>
    </row>
    <row r="370" spans="1:9" x14ac:dyDescent="0.35">
      <c r="A370" t="s">
        <v>259</v>
      </c>
      <c r="C370" t="s">
        <v>257</v>
      </c>
      <c r="D370">
        <v>43910</v>
      </c>
      <c r="F370" t="s">
        <v>352</v>
      </c>
      <c r="G370" t="s">
        <v>1173</v>
      </c>
      <c r="H370">
        <v>1323.4603999999999</v>
      </c>
      <c r="I370" t="s">
        <v>227</v>
      </c>
    </row>
    <row r="371" spans="1:9" x14ac:dyDescent="0.35">
      <c r="A371" t="s">
        <v>259</v>
      </c>
      <c r="C371" t="s">
        <v>257</v>
      </c>
      <c r="D371">
        <v>43910</v>
      </c>
      <c r="F371" t="s">
        <v>352</v>
      </c>
      <c r="G371" t="s">
        <v>1173</v>
      </c>
      <c r="H371">
        <v>196.73060000000001</v>
      </c>
      <c r="I371" t="s">
        <v>228</v>
      </c>
    </row>
    <row r="372" spans="1:9" x14ac:dyDescent="0.35">
      <c r="A372" t="s">
        <v>259</v>
      </c>
      <c r="C372" t="s">
        <v>257</v>
      </c>
      <c r="D372">
        <v>43910</v>
      </c>
      <c r="F372" t="s">
        <v>292</v>
      </c>
      <c r="G372" t="s">
        <v>1173</v>
      </c>
      <c r="H372">
        <v>66.604499999999987</v>
      </c>
      <c r="I372" t="s">
        <v>226</v>
      </c>
    </row>
    <row r="373" spans="1:9" x14ac:dyDescent="0.35">
      <c r="A373" t="s">
        <v>259</v>
      </c>
      <c r="C373" t="s">
        <v>257</v>
      </c>
      <c r="D373">
        <v>43910</v>
      </c>
      <c r="F373" t="s">
        <v>292</v>
      </c>
      <c r="G373" t="s">
        <v>1173</v>
      </c>
      <c r="H373">
        <v>328.5822</v>
      </c>
      <c r="I373" t="s">
        <v>227</v>
      </c>
    </row>
    <row r="374" spans="1:9" x14ac:dyDescent="0.35">
      <c r="A374" t="s">
        <v>259</v>
      </c>
      <c r="C374" t="s">
        <v>257</v>
      </c>
      <c r="D374">
        <v>43910</v>
      </c>
      <c r="F374" t="s">
        <v>292</v>
      </c>
      <c r="G374" t="s">
        <v>1173</v>
      </c>
      <c r="H374">
        <v>48.843299999999999</v>
      </c>
      <c r="I374" t="s">
        <v>228</v>
      </c>
    </row>
    <row r="375" spans="1:9" x14ac:dyDescent="0.35">
      <c r="A375" t="s">
        <v>259</v>
      </c>
      <c r="C375" t="s">
        <v>257</v>
      </c>
      <c r="D375">
        <v>43910</v>
      </c>
      <c r="F375" t="s">
        <v>291</v>
      </c>
      <c r="G375" t="s">
        <v>1173</v>
      </c>
      <c r="H375">
        <v>66.604499999999987</v>
      </c>
      <c r="I375" t="s">
        <v>226</v>
      </c>
    </row>
    <row r="376" spans="1:9" x14ac:dyDescent="0.35">
      <c r="A376" t="s">
        <v>259</v>
      </c>
      <c r="C376" t="s">
        <v>257</v>
      </c>
      <c r="D376">
        <v>43910</v>
      </c>
      <c r="F376" t="s">
        <v>291</v>
      </c>
      <c r="G376" t="s">
        <v>1173</v>
      </c>
      <c r="H376">
        <v>328.5822</v>
      </c>
      <c r="I376" t="s">
        <v>227</v>
      </c>
    </row>
    <row r="377" spans="1:9" x14ac:dyDescent="0.35">
      <c r="A377" t="s">
        <v>259</v>
      </c>
      <c r="C377" t="s">
        <v>257</v>
      </c>
      <c r="D377">
        <v>43910</v>
      </c>
      <c r="F377" t="s">
        <v>291</v>
      </c>
      <c r="G377" t="s">
        <v>1173</v>
      </c>
      <c r="H377">
        <v>48.843299999999999</v>
      </c>
      <c r="I377" t="s">
        <v>228</v>
      </c>
    </row>
    <row r="378" spans="1:9" x14ac:dyDescent="0.35">
      <c r="A378" t="s">
        <v>259</v>
      </c>
      <c r="C378" t="s">
        <v>257</v>
      </c>
      <c r="D378">
        <v>43910</v>
      </c>
      <c r="F378" t="s">
        <v>289</v>
      </c>
      <c r="G378" t="s">
        <v>1181</v>
      </c>
      <c r="H378">
        <v>543.33000000000004</v>
      </c>
      <c r="I378" t="s">
        <v>235</v>
      </c>
    </row>
    <row r="379" spans="1:9" x14ac:dyDescent="0.35">
      <c r="A379" t="s">
        <v>259</v>
      </c>
      <c r="C379" t="s">
        <v>257</v>
      </c>
      <c r="D379">
        <v>43910</v>
      </c>
      <c r="F379" t="s">
        <v>289</v>
      </c>
      <c r="G379" t="s">
        <v>1181</v>
      </c>
      <c r="H379">
        <v>60.370000000000005</v>
      </c>
      <c r="I379" t="s">
        <v>236</v>
      </c>
    </row>
    <row r="380" spans="1:9" x14ac:dyDescent="0.35">
      <c r="A380" t="s">
        <v>259</v>
      </c>
      <c r="C380" t="s">
        <v>257</v>
      </c>
      <c r="D380">
        <v>43910</v>
      </c>
      <c r="F380" t="s">
        <v>290</v>
      </c>
      <c r="G380" t="s">
        <v>1181</v>
      </c>
      <c r="H380">
        <v>380.77199999999999</v>
      </c>
      <c r="I380" t="s">
        <v>235</v>
      </c>
    </row>
    <row r="381" spans="1:9" x14ac:dyDescent="0.35">
      <c r="A381" t="s">
        <v>259</v>
      </c>
      <c r="C381" t="s">
        <v>257</v>
      </c>
      <c r="D381">
        <v>43910</v>
      </c>
      <c r="F381" t="s">
        <v>290</v>
      </c>
      <c r="G381" t="s">
        <v>1181</v>
      </c>
      <c r="H381">
        <v>42.308</v>
      </c>
      <c r="I381" t="s">
        <v>236</v>
      </c>
    </row>
    <row r="382" spans="1:9" x14ac:dyDescent="0.35">
      <c r="A382" t="s">
        <v>259</v>
      </c>
      <c r="C382" t="s">
        <v>257</v>
      </c>
      <c r="D382">
        <v>43910</v>
      </c>
      <c r="F382" t="s">
        <v>291</v>
      </c>
      <c r="G382" t="s">
        <v>1181</v>
      </c>
      <c r="H382">
        <v>1905.1200000000001</v>
      </c>
      <c r="I382" t="s">
        <v>235</v>
      </c>
    </row>
    <row r="383" spans="1:9" x14ac:dyDescent="0.35">
      <c r="A383" t="s">
        <v>259</v>
      </c>
      <c r="C383" t="s">
        <v>257</v>
      </c>
      <c r="D383">
        <v>43910</v>
      </c>
      <c r="F383" t="s">
        <v>291</v>
      </c>
      <c r="G383" t="s">
        <v>1181</v>
      </c>
      <c r="H383">
        <v>211.68000000000004</v>
      </c>
      <c r="I383" t="s">
        <v>236</v>
      </c>
    </row>
    <row r="384" spans="1:9" x14ac:dyDescent="0.35">
      <c r="A384" t="s">
        <v>259</v>
      </c>
      <c r="C384" t="s">
        <v>257</v>
      </c>
      <c r="D384">
        <v>43910</v>
      </c>
      <c r="F384" t="s">
        <v>292</v>
      </c>
      <c r="G384" t="s">
        <v>1181</v>
      </c>
      <c r="H384">
        <v>3622.8240000000001</v>
      </c>
      <c r="I384" t="s">
        <v>235</v>
      </c>
    </row>
    <row r="385" spans="1:9" x14ac:dyDescent="0.35">
      <c r="A385" t="s">
        <v>259</v>
      </c>
      <c r="C385" t="s">
        <v>257</v>
      </c>
      <c r="D385">
        <v>43910</v>
      </c>
      <c r="F385" t="s">
        <v>292</v>
      </c>
      <c r="G385" t="s">
        <v>1181</v>
      </c>
      <c r="H385">
        <v>402.53600000000006</v>
      </c>
      <c r="I385" t="s">
        <v>236</v>
      </c>
    </row>
    <row r="386" spans="1:9" x14ac:dyDescent="0.35">
      <c r="A386" t="s">
        <v>259</v>
      </c>
      <c r="C386" t="s">
        <v>257</v>
      </c>
      <c r="D386">
        <v>43910</v>
      </c>
      <c r="F386" t="s">
        <v>342</v>
      </c>
      <c r="G386" t="s">
        <v>1181</v>
      </c>
      <c r="H386">
        <v>5365.3860000000004</v>
      </c>
      <c r="I386" t="s">
        <v>235</v>
      </c>
    </row>
    <row r="387" spans="1:9" x14ac:dyDescent="0.35">
      <c r="A387" t="s">
        <v>259</v>
      </c>
      <c r="C387" t="s">
        <v>257</v>
      </c>
      <c r="D387">
        <v>43910</v>
      </c>
      <c r="F387" t="s">
        <v>342</v>
      </c>
      <c r="G387" t="s">
        <v>1181</v>
      </c>
      <c r="H387">
        <v>596.154</v>
      </c>
      <c r="I387" t="s">
        <v>236</v>
      </c>
    </row>
    <row r="388" spans="1:9" x14ac:dyDescent="0.35">
      <c r="A388" t="s">
        <v>259</v>
      </c>
      <c r="C388" t="s">
        <v>257</v>
      </c>
      <c r="D388">
        <v>43910</v>
      </c>
      <c r="F388" t="s">
        <v>292</v>
      </c>
      <c r="G388" t="s">
        <v>1181</v>
      </c>
      <c r="H388">
        <v>1905.1200000000001</v>
      </c>
      <c r="I388" t="s">
        <v>235</v>
      </c>
    </row>
    <row r="389" spans="1:9" x14ac:dyDescent="0.35">
      <c r="A389" t="s">
        <v>259</v>
      </c>
      <c r="C389" t="s">
        <v>257</v>
      </c>
      <c r="D389">
        <v>43910</v>
      </c>
      <c r="F389" t="s">
        <v>292</v>
      </c>
      <c r="G389" t="s">
        <v>1181</v>
      </c>
      <c r="H389">
        <v>211.68000000000004</v>
      </c>
      <c r="I389" t="s">
        <v>236</v>
      </c>
    </row>
    <row r="390" spans="1:9" x14ac:dyDescent="0.35">
      <c r="A390" t="s">
        <v>259</v>
      </c>
      <c r="C390" t="s">
        <v>257</v>
      </c>
      <c r="D390">
        <v>43910</v>
      </c>
      <c r="F390" t="s">
        <v>291</v>
      </c>
      <c r="G390" t="s">
        <v>1181</v>
      </c>
      <c r="H390">
        <v>1905.1200000000001</v>
      </c>
      <c r="I390" t="s">
        <v>235</v>
      </c>
    </row>
    <row r="391" spans="1:9" x14ac:dyDescent="0.35">
      <c r="A391" t="s">
        <v>259</v>
      </c>
      <c r="C391" t="s">
        <v>257</v>
      </c>
      <c r="D391">
        <v>43910</v>
      </c>
      <c r="F391" t="s">
        <v>291</v>
      </c>
      <c r="G391" t="s">
        <v>1181</v>
      </c>
      <c r="H391">
        <v>211.68000000000004</v>
      </c>
      <c r="I391" t="s">
        <v>236</v>
      </c>
    </row>
    <row r="392" spans="1:9" x14ac:dyDescent="0.35">
      <c r="A392" t="s">
        <v>259</v>
      </c>
      <c r="C392" t="s">
        <v>257</v>
      </c>
      <c r="D392">
        <v>43910</v>
      </c>
      <c r="F392" t="s">
        <v>289</v>
      </c>
      <c r="G392" t="s">
        <v>1120</v>
      </c>
      <c r="H392">
        <v>7.7164000000000001</v>
      </c>
      <c r="I392" t="s">
        <v>237</v>
      </c>
    </row>
    <row r="393" spans="1:9" x14ac:dyDescent="0.35">
      <c r="A393" t="s">
        <v>259</v>
      </c>
      <c r="C393" t="s">
        <v>257</v>
      </c>
      <c r="D393">
        <v>43910</v>
      </c>
      <c r="F393" t="s">
        <v>289</v>
      </c>
      <c r="G393" t="s">
        <v>1120</v>
      </c>
      <c r="H393">
        <v>34.723799999999997</v>
      </c>
      <c r="I393" t="s">
        <v>233</v>
      </c>
    </row>
    <row r="394" spans="1:9" x14ac:dyDescent="0.35">
      <c r="A394" t="s">
        <v>259</v>
      </c>
      <c r="C394" t="s">
        <v>257</v>
      </c>
      <c r="D394">
        <v>43910</v>
      </c>
      <c r="F394" t="s">
        <v>289</v>
      </c>
      <c r="G394" t="s">
        <v>1120</v>
      </c>
      <c r="H394">
        <v>343.37979999999999</v>
      </c>
      <c r="I394" t="s">
        <v>180</v>
      </c>
    </row>
    <row r="395" spans="1:9" x14ac:dyDescent="0.35">
      <c r="A395" t="s">
        <v>259</v>
      </c>
      <c r="C395" t="s">
        <v>257</v>
      </c>
      <c r="D395">
        <v>43910</v>
      </c>
      <c r="F395" t="s">
        <v>290</v>
      </c>
      <c r="G395" t="s">
        <v>1120</v>
      </c>
      <c r="H395">
        <v>5.5829999999999993</v>
      </c>
      <c r="I395" t="s">
        <v>237</v>
      </c>
    </row>
    <row r="396" spans="1:9" x14ac:dyDescent="0.35">
      <c r="A396" t="s">
        <v>259</v>
      </c>
      <c r="C396" t="s">
        <v>257</v>
      </c>
      <c r="D396">
        <v>43910</v>
      </c>
      <c r="F396" t="s">
        <v>290</v>
      </c>
      <c r="G396" t="s">
        <v>1120</v>
      </c>
      <c r="H396">
        <v>25.123499999999996</v>
      </c>
      <c r="I396" t="s">
        <v>233</v>
      </c>
    </row>
    <row r="397" spans="1:9" x14ac:dyDescent="0.35">
      <c r="A397" t="s">
        <v>259</v>
      </c>
      <c r="C397" t="s">
        <v>257</v>
      </c>
      <c r="D397">
        <v>43910</v>
      </c>
      <c r="F397" t="s">
        <v>290</v>
      </c>
      <c r="G397" t="s">
        <v>1120</v>
      </c>
      <c r="H397">
        <v>248.44349999999997</v>
      </c>
      <c r="I397" t="s">
        <v>180</v>
      </c>
    </row>
    <row r="398" spans="1:9" x14ac:dyDescent="0.35">
      <c r="A398" t="s">
        <v>259</v>
      </c>
      <c r="C398" t="s">
        <v>257</v>
      </c>
      <c r="D398">
        <v>43910</v>
      </c>
      <c r="F398" t="s">
        <v>291</v>
      </c>
      <c r="G398" t="s">
        <v>1120</v>
      </c>
      <c r="H398">
        <v>26.268000000000001</v>
      </c>
      <c r="I398" t="s">
        <v>237</v>
      </c>
    </row>
    <row r="399" spans="1:9" x14ac:dyDescent="0.35">
      <c r="A399" t="s">
        <v>259</v>
      </c>
      <c r="C399" t="s">
        <v>257</v>
      </c>
      <c r="D399">
        <v>43910</v>
      </c>
      <c r="F399" t="s">
        <v>291</v>
      </c>
      <c r="G399" t="s">
        <v>1120</v>
      </c>
      <c r="H399">
        <v>118.206</v>
      </c>
      <c r="I399" t="s">
        <v>233</v>
      </c>
    </row>
    <row r="400" spans="1:9" x14ac:dyDescent="0.35">
      <c r="A400" t="s">
        <v>259</v>
      </c>
      <c r="C400" t="s">
        <v>257</v>
      </c>
      <c r="D400">
        <v>43910</v>
      </c>
      <c r="F400" t="s">
        <v>291</v>
      </c>
      <c r="G400" t="s">
        <v>1120</v>
      </c>
      <c r="H400">
        <v>1168.9260000000002</v>
      </c>
      <c r="I400" t="s">
        <v>180</v>
      </c>
    </row>
    <row r="401" spans="1:9" x14ac:dyDescent="0.35">
      <c r="A401" t="s">
        <v>259</v>
      </c>
      <c r="C401" t="s">
        <v>257</v>
      </c>
      <c r="D401">
        <v>43910</v>
      </c>
      <c r="F401" t="s">
        <v>292</v>
      </c>
      <c r="G401" t="s">
        <v>1120</v>
      </c>
      <c r="H401">
        <v>52.019200000000005</v>
      </c>
      <c r="I401" t="s">
        <v>237</v>
      </c>
    </row>
    <row r="402" spans="1:9" x14ac:dyDescent="0.35">
      <c r="A402" t="s">
        <v>259</v>
      </c>
      <c r="C402" t="s">
        <v>257</v>
      </c>
      <c r="D402">
        <v>43910</v>
      </c>
      <c r="F402" t="s">
        <v>292</v>
      </c>
      <c r="G402" t="s">
        <v>1120</v>
      </c>
      <c r="H402">
        <v>234.0864</v>
      </c>
      <c r="I402" t="s">
        <v>233</v>
      </c>
    </row>
    <row r="403" spans="1:9" x14ac:dyDescent="0.35">
      <c r="A403" t="s">
        <v>259</v>
      </c>
      <c r="C403" t="s">
        <v>257</v>
      </c>
      <c r="D403">
        <v>43910</v>
      </c>
      <c r="F403" t="s">
        <v>292</v>
      </c>
      <c r="G403" t="s">
        <v>1120</v>
      </c>
      <c r="H403">
        <v>2314.8544000000002</v>
      </c>
      <c r="I403" t="s">
        <v>180</v>
      </c>
    </row>
    <row r="404" spans="1:9" x14ac:dyDescent="0.35">
      <c r="A404" t="s">
        <v>259</v>
      </c>
      <c r="C404" t="s">
        <v>257</v>
      </c>
      <c r="D404">
        <v>43910</v>
      </c>
      <c r="F404" t="s">
        <v>93</v>
      </c>
      <c r="G404" t="s">
        <v>1120</v>
      </c>
      <c r="H404">
        <v>76.153800000000004</v>
      </c>
      <c r="I404" t="s">
        <v>237</v>
      </c>
    </row>
    <row r="405" spans="1:9" x14ac:dyDescent="0.35">
      <c r="A405" t="s">
        <v>259</v>
      </c>
      <c r="C405" t="s">
        <v>257</v>
      </c>
      <c r="D405">
        <v>43910</v>
      </c>
      <c r="F405" t="s">
        <v>93</v>
      </c>
      <c r="G405" t="s">
        <v>1120</v>
      </c>
      <c r="H405">
        <v>342.69209999999998</v>
      </c>
      <c r="I405" t="s">
        <v>233</v>
      </c>
    </row>
    <row r="406" spans="1:9" x14ac:dyDescent="0.35">
      <c r="A406" t="s">
        <v>259</v>
      </c>
      <c r="C406" t="s">
        <v>257</v>
      </c>
      <c r="D406">
        <v>43910</v>
      </c>
      <c r="F406" t="s">
        <v>93</v>
      </c>
      <c r="G406" t="s">
        <v>1120</v>
      </c>
      <c r="H406">
        <v>3388.8441000000003</v>
      </c>
      <c r="I406" t="s">
        <v>180</v>
      </c>
    </row>
    <row r="407" spans="1:9" x14ac:dyDescent="0.35">
      <c r="A407" t="s">
        <v>259</v>
      </c>
      <c r="C407" t="s">
        <v>257</v>
      </c>
      <c r="D407">
        <v>43910</v>
      </c>
      <c r="F407" t="s">
        <v>292</v>
      </c>
      <c r="G407" t="s">
        <v>1120</v>
      </c>
      <c r="H407">
        <v>26.268000000000001</v>
      </c>
      <c r="I407" t="s">
        <v>237</v>
      </c>
    </row>
    <row r="408" spans="1:9" x14ac:dyDescent="0.35">
      <c r="A408" t="s">
        <v>259</v>
      </c>
      <c r="C408" t="s">
        <v>257</v>
      </c>
      <c r="D408">
        <v>43910</v>
      </c>
      <c r="F408" t="s">
        <v>292</v>
      </c>
      <c r="G408" t="s">
        <v>1120</v>
      </c>
      <c r="H408">
        <v>118.206</v>
      </c>
      <c r="I408" t="s">
        <v>233</v>
      </c>
    </row>
    <row r="409" spans="1:9" x14ac:dyDescent="0.35">
      <c r="A409" t="s">
        <v>259</v>
      </c>
      <c r="C409" t="s">
        <v>257</v>
      </c>
      <c r="D409">
        <v>43910</v>
      </c>
      <c r="F409" t="s">
        <v>292</v>
      </c>
      <c r="G409" t="s">
        <v>1120</v>
      </c>
      <c r="H409">
        <v>1168.9260000000002</v>
      </c>
      <c r="I409" t="s">
        <v>180</v>
      </c>
    </row>
    <row r="410" spans="1:9" x14ac:dyDescent="0.35">
      <c r="A410" t="s">
        <v>259</v>
      </c>
      <c r="C410" t="s">
        <v>257</v>
      </c>
      <c r="D410">
        <v>43910</v>
      </c>
      <c r="F410" t="s">
        <v>291</v>
      </c>
      <c r="G410" t="s">
        <v>1120</v>
      </c>
      <c r="H410">
        <v>26.268000000000001</v>
      </c>
      <c r="I410" t="s">
        <v>237</v>
      </c>
    </row>
    <row r="411" spans="1:9" x14ac:dyDescent="0.35">
      <c r="A411" t="s">
        <v>259</v>
      </c>
      <c r="C411" t="s">
        <v>257</v>
      </c>
      <c r="D411">
        <v>43910</v>
      </c>
      <c r="F411" t="s">
        <v>291</v>
      </c>
      <c r="G411" t="s">
        <v>1120</v>
      </c>
      <c r="H411">
        <v>118.206</v>
      </c>
      <c r="I411" t="s">
        <v>233</v>
      </c>
    </row>
    <row r="412" spans="1:9" x14ac:dyDescent="0.35">
      <c r="A412" t="s">
        <v>259</v>
      </c>
      <c r="C412" t="s">
        <v>257</v>
      </c>
      <c r="D412">
        <v>43910</v>
      </c>
      <c r="F412" t="s">
        <v>291</v>
      </c>
      <c r="G412" t="s">
        <v>1120</v>
      </c>
      <c r="H412">
        <v>1168.9260000000002</v>
      </c>
      <c r="I412" t="s">
        <v>180</v>
      </c>
    </row>
    <row r="413" spans="1:9" x14ac:dyDescent="0.35">
      <c r="A413" t="s">
        <v>259</v>
      </c>
      <c r="C413" t="s">
        <v>257</v>
      </c>
      <c r="D413">
        <v>43910</v>
      </c>
      <c r="F413" t="s">
        <v>289</v>
      </c>
      <c r="G413" t="s">
        <v>1128</v>
      </c>
      <c r="H413">
        <v>70.713999999999999</v>
      </c>
      <c r="I413" t="s">
        <v>222</v>
      </c>
    </row>
    <row r="414" spans="1:9" x14ac:dyDescent="0.35">
      <c r="A414" t="s">
        <v>259</v>
      </c>
      <c r="C414" t="s">
        <v>257</v>
      </c>
      <c r="D414">
        <v>43910</v>
      </c>
      <c r="F414" t="s">
        <v>289</v>
      </c>
      <c r="G414" t="s">
        <v>1128</v>
      </c>
      <c r="H414">
        <v>84.856799999999993</v>
      </c>
      <c r="I414" t="s">
        <v>224</v>
      </c>
    </row>
    <row r="415" spans="1:9" x14ac:dyDescent="0.35">
      <c r="A415" t="s">
        <v>259</v>
      </c>
      <c r="C415" t="s">
        <v>257</v>
      </c>
      <c r="D415">
        <v>43910</v>
      </c>
      <c r="F415" t="s">
        <v>289</v>
      </c>
      <c r="G415" t="s">
        <v>1128</v>
      </c>
      <c r="H415">
        <v>17.6785</v>
      </c>
      <c r="I415" t="s">
        <v>227</v>
      </c>
    </row>
    <row r="416" spans="1:9" x14ac:dyDescent="0.35">
      <c r="A416" t="s">
        <v>259</v>
      </c>
      <c r="C416" t="s">
        <v>257</v>
      </c>
      <c r="D416">
        <v>43910</v>
      </c>
      <c r="F416" t="s">
        <v>289</v>
      </c>
      <c r="G416" t="s">
        <v>1128</v>
      </c>
      <c r="H416">
        <v>14.142799999999999</v>
      </c>
      <c r="I416" t="s">
        <v>228</v>
      </c>
    </row>
    <row r="417" spans="1:9" x14ac:dyDescent="0.35">
      <c r="A417" t="s">
        <v>259</v>
      </c>
      <c r="C417" t="s">
        <v>257</v>
      </c>
      <c r="D417">
        <v>43910</v>
      </c>
      <c r="F417" t="s">
        <v>289</v>
      </c>
      <c r="G417" t="s">
        <v>1128</v>
      </c>
      <c r="H417">
        <v>7.0713999999999997</v>
      </c>
      <c r="I417" t="s">
        <v>229</v>
      </c>
    </row>
    <row r="418" spans="1:9" x14ac:dyDescent="0.35">
      <c r="A418" t="s">
        <v>259</v>
      </c>
      <c r="C418" t="s">
        <v>257</v>
      </c>
      <c r="D418">
        <v>43910</v>
      </c>
      <c r="F418" t="s">
        <v>289</v>
      </c>
      <c r="G418" t="s">
        <v>1128</v>
      </c>
      <c r="H418">
        <v>21.214199999999998</v>
      </c>
      <c r="I418" t="s">
        <v>230</v>
      </c>
    </row>
    <row r="419" spans="1:9" x14ac:dyDescent="0.35">
      <c r="A419" t="s">
        <v>259</v>
      </c>
      <c r="C419" t="s">
        <v>257</v>
      </c>
      <c r="D419">
        <v>43910</v>
      </c>
      <c r="F419" t="s">
        <v>289</v>
      </c>
      <c r="G419" t="s">
        <v>1128</v>
      </c>
      <c r="H419">
        <v>137.89230000000001</v>
      </c>
      <c r="I419" t="s">
        <v>231</v>
      </c>
    </row>
    <row r="420" spans="1:9" x14ac:dyDescent="0.35">
      <c r="A420" t="s">
        <v>259</v>
      </c>
      <c r="C420" t="s">
        <v>257</v>
      </c>
      <c r="D420">
        <v>43910</v>
      </c>
      <c r="F420" t="s">
        <v>290</v>
      </c>
      <c r="G420" t="s">
        <v>1128</v>
      </c>
      <c r="H420">
        <v>99.724000000000004</v>
      </c>
      <c r="I420" t="s">
        <v>222</v>
      </c>
    </row>
    <row r="421" spans="1:9" x14ac:dyDescent="0.35">
      <c r="A421" t="s">
        <v>259</v>
      </c>
      <c r="C421" t="s">
        <v>257</v>
      </c>
      <c r="D421">
        <v>43910</v>
      </c>
      <c r="F421" t="s">
        <v>290</v>
      </c>
      <c r="G421" t="s">
        <v>1128</v>
      </c>
      <c r="H421">
        <v>119.66879999999999</v>
      </c>
      <c r="I421" t="s">
        <v>224</v>
      </c>
    </row>
    <row r="422" spans="1:9" x14ac:dyDescent="0.35">
      <c r="A422" t="s">
        <v>259</v>
      </c>
      <c r="C422" t="s">
        <v>257</v>
      </c>
      <c r="D422">
        <v>43910</v>
      </c>
      <c r="F422" t="s">
        <v>290</v>
      </c>
      <c r="G422" t="s">
        <v>1128</v>
      </c>
      <c r="H422">
        <v>24.931000000000001</v>
      </c>
      <c r="I422" t="s">
        <v>227</v>
      </c>
    </row>
    <row r="423" spans="1:9" x14ac:dyDescent="0.35">
      <c r="A423" t="s">
        <v>259</v>
      </c>
      <c r="C423" t="s">
        <v>257</v>
      </c>
      <c r="D423">
        <v>43910</v>
      </c>
      <c r="F423" t="s">
        <v>290</v>
      </c>
      <c r="G423" t="s">
        <v>1128</v>
      </c>
      <c r="H423">
        <v>19.944800000000001</v>
      </c>
      <c r="I423" t="s">
        <v>228</v>
      </c>
    </row>
    <row r="424" spans="1:9" x14ac:dyDescent="0.35">
      <c r="A424" t="s">
        <v>259</v>
      </c>
      <c r="C424" t="s">
        <v>257</v>
      </c>
      <c r="D424">
        <v>43910</v>
      </c>
      <c r="F424" t="s">
        <v>290</v>
      </c>
      <c r="G424" t="s">
        <v>1128</v>
      </c>
      <c r="H424">
        <v>9.9724000000000004</v>
      </c>
      <c r="I424" t="s">
        <v>229</v>
      </c>
    </row>
    <row r="425" spans="1:9" x14ac:dyDescent="0.35">
      <c r="A425" t="s">
        <v>259</v>
      </c>
      <c r="C425" t="s">
        <v>257</v>
      </c>
      <c r="D425">
        <v>43910</v>
      </c>
      <c r="F425" t="s">
        <v>290</v>
      </c>
      <c r="G425" t="s">
        <v>1128</v>
      </c>
      <c r="H425">
        <v>29.917199999999998</v>
      </c>
      <c r="I425" t="s">
        <v>230</v>
      </c>
    </row>
    <row r="426" spans="1:9" x14ac:dyDescent="0.35">
      <c r="A426" t="s">
        <v>259</v>
      </c>
      <c r="C426" t="s">
        <v>257</v>
      </c>
      <c r="D426">
        <v>43910</v>
      </c>
      <c r="F426" t="s">
        <v>290</v>
      </c>
      <c r="G426" t="s">
        <v>1128</v>
      </c>
      <c r="H426">
        <v>194.46180000000001</v>
      </c>
      <c r="I426" t="s">
        <v>231</v>
      </c>
    </row>
    <row r="427" spans="1:9" x14ac:dyDescent="0.35">
      <c r="A427" t="s">
        <v>259</v>
      </c>
      <c r="C427" t="s">
        <v>257</v>
      </c>
      <c r="D427">
        <v>43910</v>
      </c>
      <c r="F427" t="s">
        <v>291</v>
      </c>
      <c r="G427" t="s">
        <v>1128</v>
      </c>
      <c r="H427">
        <v>240.78800000000001</v>
      </c>
      <c r="I427" t="s">
        <v>222</v>
      </c>
    </row>
    <row r="428" spans="1:9" x14ac:dyDescent="0.35">
      <c r="A428" t="s">
        <v>259</v>
      </c>
      <c r="C428" t="s">
        <v>257</v>
      </c>
      <c r="D428">
        <v>43910</v>
      </c>
      <c r="F428" t="s">
        <v>291</v>
      </c>
      <c r="G428" t="s">
        <v>1128</v>
      </c>
      <c r="H428">
        <v>288.94560000000001</v>
      </c>
      <c r="I428" t="s">
        <v>224</v>
      </c>
    </row>
    <row r="429" spans="1:9" x14ac:dyDescent="0.35">
      <c r="A429" t="s">
        <v>259</v>
      </c>
      <c r="C429" t="s">
        <v>257</v>
      </c>
      <c r="D429">
        <v>43910</v>
      </c>
      <c r="F429" t="s">
        <v>291</v>
      </c>
      <c r="G429" t="s">
        <v>1128</v>
      </c>
      <c r="H429">
        <v>60.197000000000003</v>
      </c>
      <c r="I429" t="s">
        <v>227</v>
      </c>
    </row>
    <row r="430" spans="1:9" x14ac:dyDescent="0.35">
      <c r="A430" t="s">
        <v>259</v>
      </c>
      <c r="C430" t="s">
        <v>257</v>
      </c>
      <c r="D430">
        <v>43910</v>
      </c>
      <c r="F430" t="s">
        <v>291</v>
      </c>
      <c r="G430" t="s">
        <v>1128</v>
      </c>
      <c r="H430">
        <v>48.157600000000002</v>
      </c>
      <c r="I430" t="s">
        <v>228</v>
      </c>
    </row>
    <row r="431" spans="1:9" x14ac:dyDescent="0.35">
      <c r="A431" t="s">
        <v>259</v>
      </c>
      <c r="C431" t="s">
        <v>257</v>
      </c>
      <c r="D431">
        <v>43910</v>
      </c>
      <c r="F431" t="s">
        <v>291</v>
      </c>
      <c r="G431" t="s">
        <v>1128</v>
      </c>
      <c r="H431">
        <v>24.078800000000001</v>
      </c>
      <c r="I431" t="s">
        <v>229</v>
      </c>
    </row>
    <row r="432" spans="1:9" x14ac:dyDescent="0.35">
      <c r="A432" t="s">
        <v>259</v>
      </c>
      <c r="C432" t="s">
        <v>257</v>
      </c>
      <c r="D432">
        <v>43910</v>
      </c>
      <c r="F432" t="s">
        <v>291</v>
      </c>
      <c r="G432" t="s">
        <v>1128</v>
      </c>
      <c r="H432">
        <v>72.236400000000003</v>
      </c>
      <c r="I432" t="s">
        <v>230</v>
      </c>
    </row>
    <row r="433" spans="1:9" x14ac:dyDescent="0.35">
      <c r="A433" t="s">
        <v>259</v>
      </c>
      <c r="C433" t="s">
        <v>257</v>
      </c>
      <c r="D433">
        <v>43910</v>
      </c>
      <c r="F433" t="s">
        <v>291</v>
      </c>
      <c r="G433" t="s">
        <v>1128</v>
      </c>
      <c r="H433">
        <v>469.53660000000002</v>
      </c>
      <c r="I433" t="s">
        <v>231</v>
      </c>
    </row>
    <row r="434" spans="1:9" x14ac:dyDescent="0.35">
      <c r="A434" t="s">
        <v>259</v>
      </c>
      <c r="C434" t="s">
        <v>257</v>
      </c>
      <c r="D434">
        <v>43910</v>
      </c>
      <c r="F434" t="s">
        <v>292</v>
      </c>
      <c r="G434" t="s">
        <v>1128</v>
      </c>
      <c r="H434">
        <v>422.51000000000005</v>
      </c>
      <c r="I434" t="s">
        <v>222</v>
      </c>
    </row>
    <row r="435" spans="1:9" x14ac:dyDescent="0.35">
      <c r="A435" t="s">
        <v>259</v>
      </c>
      <c r="C435" t="s">
        <v>257</v>
      </c>
      <c r="D435">
        <v>43910</v>
      </c>
      <c r="F435" t="s">
        <v>292</v>
      </c>
      <c r="G435" t="s">
        <v>1128</v>
      </c>
      <c r="H435">
        <v>507.012</v>
      </c>
      <c r="I435" t="s">
        <v>224</v>
      </c>
    </row>
    <row r="436" spans="1:9" x14ac:dyDescent="0.35">
      <c r="A436" t="s">
        <v>259</v>
      </c>
      <c r="C436" t="s">
        <v>257</v>
      </c>
      <c r="D436">
        <v>43910</v>
      </c>
      <c r="F436" t="s">
        <v>292</v>
      </c>
      <c r="G436" t="s">
        <v>1128</v>
      </c>
      <c r="H436">
        <v>105.62750000000001</v>
      </c>
      <c r="I436" t="s">
        <v>227</v>
      </c>
    </row>
    <row r="437" spans="1:9" x14ac:dyDescent="0.35">
      <c r="A437" t="s">
        <v>259</v>
      </c>
      <c r="C437" t="s">
        <v>257</v>
      </c>
      <c r="D437">
        <v>43910</v>
      </c>
      <c r="F437" t="s">
        <v>292</v>
      </c>
      <c r="G437" t="s">
        <v>1128</v>
      </c>
      <c r="H437">
        <v>84.50200000000001</v>
      </c>
      <c r="I437" t="s">
        <v>228</v>
      </c>
    </row>
    <row r="438" spans="1:9" x14ac:dyDescent="0.35">
      <c r="A438" t="s">
        <v>259</v>
      </c>
      <c r="C438" t="s">
        <v>257</v>
      </c>
      <c r="D438">
        <v>43910</v>
      </c>
      <c r="F438" t="s">
        <v>292</v>
      </c>
      <c r="G438" t="s">
        <v>1128</v>
      </c>
      <c r="H438">
        <v>42.251000000000005</v>
      </c>
      <c r="I438" t="s">
        <v>229</v>
      </c>
    </row>
    <row r="439" spans="1:9" x14ac:dyDescent="0.35">
      <c r="A439" t="s">
        <v>259</v>
      </c>
      <c r="C439" t="s">
        <v>257</v>
      </c>
      <c r="D439">
        <v>43910</v>
      </c>
      <c r="F439" t="s">
        <v>292</v>
      </c>
      <c r="G439" t="s">
        <v>1128</v>
      </c>
      <c r="H439">
        <v>126.753</v>
      </c>
      <c r="I439" t="s">
        <v>230</v>
      </c>
    </row>
    <row r="440" spans="1:9" x14ac:dyDescent="0.35">
      <c r="A440" t="s">
        <v>259</v>
      </c>
      <c r="C440" t="s">
        <v>257</v>
      </c>
      <c r="D440">
        <v>43910</v>
      </c>
      <c r="F440" t="s">
        <v>292</v>
      </c>
      <c r="G440" t="s">
        <v>1128</v>
      </c>
      <c r="H440">
        <v>823.89450000000011</v>
      </c>
      <c r="I440" t="s">
        <v>231</v>
      </c>
    </row>
    <row r="441" spans="1:9" x14ac:dyDescent="0.35">
      <c r="A441" t="s">
        <v>259</v>
      </c>
      <c r="C441" t="s">
        <v>257</v>
      </c>
      <c r="D441">
        <v>43910</v>
      </c>
      <c r="F441" t="s">
        <v>344</v>
      </c>
      <c r="G441" t="s">
        <v>1128</v>
      </c>
      <c r="H441">
        <v>692.30799999999999</v>
      </c>
      <c r="I441" t="s">
        <v>222</v>
      </c>
    </row>
    <row r="442" spans="1:9" x14ac:dyDescent="0.35">
      <c r="A442" t="s">
        <v>259</v>
      </c>
      <c r="C442" t="s">
        <v>257</v>
      </c>
      <c r="D442">
        <v>43910</v>
      </c>
      <c r="F442" t="s">
        <v>344</v>
      </c>
      <c r="G442" t="s">
        <v>1128</v>
      </c>
      <c r="H442">
        <v>830.76959999999997</v>
      </c>
      <c r="I442" t="s">
        <v>224</v>
      </c>
    </row>
    <row r="443" spans="1:9" x14ac:dyDescent="0.35">
      <c r="A443" t="s">
        <v>259</v>
      </c>
      <c r="C443" t="s">
        <v>257</v>
      </c>
      <c r="D443">
        <v>43910</v>
      </c>
      <c r="F443" t="s">
        <v>344</v>
      </c>
      <c r="G443" t="s">
        <v>1128</v>
      </c>
      <c r="H443">
        <v>173.077</v>
      </c>
      <c r="I443" t="s">
        <v>227</v>
      </c>
    </row>
    <row r="444" spans="1:9" x14ac:dyDescent="0.35">
      <c r="A444" t="s">
        <v>259</v>
      </c>
      <c r="C444" t="s">
        <v>257</v>
      </c>
      <c r="D444">
        <v>43910</v>
      </c>
      <c r="F444" t="s">
        <v>344</v>
      </c>
      <c r="G444" t="s">
        <v>1128</v>
      </c>
      <c r="H444">
        <v>138.4616</v>
      </c>
      <c r="I444" t="s">
        <v>228</v>
      </c>
    </row>
    <row r="445" spans="1:9" x14ac:dyDescent="0.35">
      <c r="A445" t="s">
        <v>259</v>
      </c>
      <c r="C445" t="s">
        <v>257</v>
      </c>
      <c r="D445">
        <v>43910</v>
      </c>
      <c r="F445" t="s">
        <v>344</v>
      </c>
      <c r="G445" t="s">
        <v>1128</v>
      </c>
      <c r="H445">
        <v>69.230800000000002</v>
      </c>
      <c r="I445" t="s">
        <v>229</v>
      </c>
    </row>
    <row r="446" spans="1:9" x14ac:dyDescent="0.35">
      <c r="A446" t="s">
        <v>259</v>
      </c>
      <c r="C446" t="s">
        <v>257</v>
      </c>
      <c r="D446">
        <v>43910</v>
      </c>
      <c r="F446" t="s">
        <v>344</v>
      </c>
      <c r="G446" t="s">
        <v>1128</v>
      </c>
      <c r="H446">
        <v>207.69239999999999</v>
      </c>
      <c r="I446" t="s">
        <v>230</v>
      </c>
    </row>
    <row r="447" spans="1:9" x14ac:dyDescent="0.35">
      <c r="A447" t="s">
        <v>259</v>
      </c>
      <c r="C447" t="s">
        <v>257</v>
      </c>
      <c r="D447">
        <v>43910</v>
      </c>
      <c r="F447" t="s">
        <v>344</v>
      </c>
      <c r="G447" t="s">
        <v>1128</v>
      </c>
      <c r="H447">
        <v>1350.0006000000001</v>
      </c>
      <c r="I447" t="s">
        <v>231</v>
      </c>
    </row>
    <row r="448" spans="1:9" x14ac:dyDescent="0.35">
      <c r="A448" t="s">
        <v>259</v>
      </c>
      <c r="C448" t="s">
        <v>257</v>
      </c>
      <c r="D448">
        <v>43910</v>
      </c>
      <c r="F448" t="s">
        <v>292</v>
      </c>
      <c r="G448" t="s">
        <v>1128</v>
      </c>
      <c r="H448">
        <v>240.78800000000001</v>
      </c>
      <c r="I448" t="s">
        <v>222</v>
      </c>
    </row>
    <row r="449" spans="1:9" x14ac:dyDescent="0.35">
      <c r="A449" t="s">
        <v>259</v>
      </c>
      <c r="C449" t="s">
        <v>257</v>
      </c>
      <c r="D449">
        <v>43910</v>
      </c>
      <c r="F449" t="s">
        <v>292</v>
      </c>
      <c r="G449" t="s">
        <v>1128</v>
      </c>
      <c r="H449">
        <v>288.94560000000001</v>
      </c>
      <c r="I449" t="s">
        <v>224</v>
      </c>
    </row>
    <row r="450" spans="1:9" x14ac:dyDescent="0.35">
      <c r="A450" t="s">
        <v>259</v>
      </c>
      <c r="C450" t="s">
        <v>257</v>
      </c>
      <c r="D450">
        <v>43910</v>
      </c>
      <c r="F450" t="s">
        <v>292</v>
      </c>
      <c r="G450" t="s">
        <v>1128</v>
      </c>
      <c r="H450">
        <v>60.197000000000003</v>
      </c>
      <c r="I450" t="s">
        <v>227</v>
      </c>
    </row>
    <row r="451" spans="1:9" x14ac:dyDescent="0.35">
      <c r="A451" t="s">
        <v>259</v>
      </c>
      <c r="C451" t="s">
        <v>257</v>
      </c>
      <c r="D451">
        <v>43910</v>
      </c>
      <c r="F451" t="s">
        <v>292</v>
      </c>
      <c r="G451" t="s">
        <v>1128</v>
      </c>
      <c r="H451">
        <v>48.157600000000002</v>
      </c>
      <c r="I451" t="s">
        <v>228</v>
      </c>
    </row>
    <row r="452" spans="1:9" x14ac:dyDescent="0.35">
      <c r="A452" t="s">
        <v>259</v>
      </c>
      <c r="C452" t="s">
        <v>257</v>
      </c>
      <c r="D452">
        <v>43910</v>
      </c>
      <c r="F452" t="s">
        <v>292</v>
      </c>
      <c r="G452" t="s">
        <v>1128</v>
      </c>
      <c r="H452">
        <v>24.078800000000001</v>
      </c>
      <c r="I452" t="s">
        <v>229</v>
      </c>
    </row>
    <row r="453" spans="1:9" x14ac:dyDescent="0.35">
      <c r="A453" t="s">
        <v>259</v>
      </c>
      <c r="C453" t="s">
        <v>257</v>
      </c>
      <c r="D453">
        <v>43910</v>
      </c>
      <c r="F453" t="s">
        <v>292</v>
      </c>
      <c r="G453" t="s">
        <v>1128</v>
      </c>
      <c r="H453">
        <v>72.236400000000003</v>
      </c>
      <c r="I453" t="s">
        <v>230</v>
      </c>
    </row>
    <row r="454" spans="1:9" x14ac:dyDescent="0.35">
      <c r="A454" t="s">
        <v>259</v>
      </c>
      <c r="C454" t="s">
        <v>257</v>
      </c>
      <c r="D454">
        <v>43910</v>
      </c>
      <c r="F454" t="s">
        <v>292</v>
      </c>
      <c r="G454" t="s">
        <v>1128</v>
      </c>
      <c r="H454">
        <v>469.53660000000002</v>
      </c>
      <c r="I454" t="s">
        <v>231</v>
      </c>
    </row>
    <row r="455" spans="1:9" x14ac:dyDescent="0.35">
      <c r="A455" t="s">
        <v>259</v>
      </c>
      <c r="C455" t="s">
        <v>257</v>
      </c>
      <c r="D455">
        <v>43910</v>
      </c>
      <c r="F455" t="s">
        <v>291</v>
      </c>
      <c r="G455" t="s">
        <v>1128</v>
      </c>
      <c r="H455">
        <v>240.78800000000001</v>
      </c>
      <c r="I455" t="s">
        <v>222</v>
      </c>
    </row>
    <row r="456" spans="1:9" x14ac:dyDescent="0.35">
      <c r="A456" t="s">
        <v>259</v>
      </c>
      <c r="C456" t="s">
        <v>257</v>
      </c>
      <c r="D456">
        <v>43910</v>
      </c>
      <c r="F456" t="s">
        <v>291</v>
      </c>
      <c r="G456" t="s">
        <v>1128</v>
      </c>
      <c r="H456">
        <v>288.94560000000001</v>
      </c>
      <c r="I456" t="s">
        <v>224</v>
      </c>
    </row>
    <row r="457" spans="1:9" x14ac:dyDescent="0.35">
      <c r="A457" t="s">
        <v>259</v>
      </c>
      <c r="C457" t="s">
        <v>257</v>
      </c>
      <c r="D457">
        <v>43910</v>
      </c>
      <c r="F457" t="s">
        <v>291</v>
      </c>
      <c r="G457" t="s">
        <v>1128</v>
      </c>
      <c r="H457">
        <v>60.197000000000003</v>
      </c>
      <c r="I457" t="s">
        <v>227</v>
      </c>
    </row>
    <row r="458" spans="1:9" x14ac:dyDescent="0.35">
      <c r="A458" t="s">
        <v>259</v>
      </c>
      <c r="C458" t="s">
        <v>257</v>
      </c>
      <c r="D458">
        <v>43910</v>
      </c>
      <c r="F458" t="s">
        <v>291</v>
      </c>
      <c r="G458" t="s">
        <v>1128</v>
      </c>
      <c r="H458">
        <v>48.157600000000002</v>
      </c>
      <c r="I458" t="s">
        <v>228</v>
      </c>
    </row>
    <row r="459" spans="1:9" x14ac:dyDescent="0.35">
      <c r="A459" t="s">
        <v>259</v>
      </c>
      <c r="C459" t="s">
        <v>257</v>
      </c>
      <c r="D459">
        <v>43910</v>
      </c>
      <c r="F459" t="s">
        <v>291</v>
      </c>
      <c r="G459" t="s">
        <v>1128</v>
      </c>
      <c r="H459">
        <v>24.078800000000001</v>
      </c>
      <c r="I459" t="s">
        <v>229</v>
      </c>
    </row>
    <row r="460" spans="1:9" x14ac:dyDescent="0.35">
      <c r="A460" t="s">
        <v>259</v>
      </c>
      <c r="C460" t="s">
        <v>257</v>
      </c>
      <c r="D460">
        <v>43910</v>
      </c>
      <c r="F460" t="s">
        <v>291</v>
      </c>
      <c r="G460" t="s">
        <v>1128</v>
      </c>
      <c r="H460">
        <v>72.236400000000003</v>
      </c>
      <c r="I460" t="s">
        <v>230</v>
      </c>
    </row>
    <row r="461" spans="1:9" x14ac:dyDescent="0.35">
      <c r="A461" t="s">
        <v>259</v>
      </c>
      <c r="C461" t="s">
        <v>257</v>
      </c>
      <c r="D461">
        <v>43910</v>
      </c>
      <c r="F461" t="s">
        <v>291</v>
      </c>
      <c r="G461" t="s">
        <v>1128</v>
      </c>
      <c r="H461">
        <v>469.53660000000002</v>
      </c>
      <c r="I461" t="s">
        <v>231</v>
      </c>
    </row>
    <row r="462" spans="1:9" x14ac:dyDescent="0.35">
      <c r="A462" t="s">
        <v>260</v>
      </c>
    </row>
  </sheetData>
  <sortState ref="A2:J402">
    <sortCondition ref="G2:G4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st"/>
  <dimension ref="A1:C6"/>
  <sheetViews>
    <sheetView workbookViewId="0">
      <selection activeCell="C3" sqref="A3:C6"/>
    </sheetView>
  </sheetViews>
  <sheetFormatPr defaultRowHeight="14.5" x14ac:dyDescent="0.35"/>
  <sheetData>
    <row r="1" spans="1:3" x14ac:dyDescent="0.35">
      <c r="A1" t="s">
        <v>267</v>
      </c>
      <c r="B1">
        <v>500</v>
      </c>
    </row>
    <row r="3" spans="1:3" x14ac:dyDescent="0.35">
      <c r="A3">
        <v>0</v>
      </c>
      <c r="B3">
        <v>166.66666666666666</v>
      </c>
      <c r="C3">
        <v>166.66</v>
      </c>
    </row>
    <row r="4" spans="1:3" x14ac:dyDescent="0.35">
      <c r="A4">
        <v>1</v>
      </c>
      <c r="B4">
        <v>166.66666666666666</v>
      </c>
      <c r="C4">
        <v>166.67</v>
      </c>
    </row>
    <row r="5" spans="1:3" x14ac:dyDescent="0.35">
      <c r="A5">
        <v>2</v>
      </c>
      <c r="B5">
        <v>166.66666666666666</v>
      </c>
      <c r="C5">
        <v>166.67</v>
      </c>
    </row>
    <row r="6" spans="1:3" x14ac:dyDescent="0.35">
      <c r="A6">
        <v>3</v>
      </c>
      <c r="B6">
        <v>0</v>
      </c>
      <c r="C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M19"/>
  <sheetViews>
    <sheetView workbookViewId="0">
      <selection activeCell="A19" sqref="A19:XFD19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3" x14ac:dyDescent="0.35">
      <c r="A1" s="9" t="s">
        <v>192</v>
      </c>
      <c r="B1" s="9" t="s">
        <v>193</v>
      </c>
      <c r="C1" s="10" t="s">
        <v>185</v>
      </c>
      <c r="D1" s="10" t="s">
        <v>186</v>
      </c>
      <c r="E1" s="10" t="s">
        <v>190</v>
      </c>
      <c r="F1" s="10" t="s">
        <v>187</v>
      </c>
      <c r="G1" s="10" t="s">
        <v>17</v>
      </c>
      <c r="H1" s="10" t="s">
        <v>188</v>
      </c>
      <c r="I1" s="10" t="s">
        <v>30</v>
      </c>
      <c r="J1" s="10" t="s">
        <v>189</v>
      </c>
    </row>
    <row r="3" spans="1:13" x14ac:dyDescent="0.35">
      <c r="A3" s="10" t="s">
        <v>202</v>
      </c>
      <c r="B3" s="10" t="s">
        <v>203</v>
      </c>
      <c r="C3" s="10" t="s">
        <v>204</v>
      </c>
      <c r="D3" s="10" t="s">
        <v>17</v>
      </c>
      <c r="E3" s="10" t="s">
        <v>16</v>
      </c>
      <c r="F3" s="10" t="s">
        <v>189</v>
      </c>
      <c r="G3" s="10" t="s">
        <v>30</v>
      </c>
      <c r="H3" s="10" t="s">
        <v>187</v>
      </c>
      <c r="I3" s="10" t="s">
        <v>265</v>
      </c>
      <c r="J3" s="10" t="s">
        <v>268</v>
      </c>
      <c r="K3" s="10" t="s">
        <v>269</v>
      </c>
      <c r="L3" s="10" t="s">
        <v>287</v>
      </c>
      <c r="M3" s="10" t="s">
        <v>288</v>
      </c>
    </row>
    <row r="5" spans="1:13" x14ac:dyDescent="0.35">
      <c r="A5" t="s">
        <v>243</v>
      </c>
      <c r="B5" t="s">
        <v>244</v>
      </c>
      <c r="C5" t="s">
        <v>245</v>
      </c>
      <c r="D5" t="s">
        <v>246</v>
      </c>
      <c r="E5" t="s">
        <v>247</v>
      </c>
      <c r="F5" t="s">
        <v>248</v>
      </c>
      <c r="G5" t="s">
        <v>249</v>
      </c>
      <c r="H5" t="s">
        <v>250</v>
      </c>
      <c r="I5" t="s">
        <v>251</v>
      </c>
      <c r="J5" t="s">
        <v>252</v>
      </c>
    </row>
    <row r="6" spans="1:13" x14ac:dyDescent="0.35">
      <c r="A6" t="s">
        <v>253</v>
      </c>
      <c r="B6" t="s">
        <v>254</v>
      </c>
      <c r="C6" t="s">
        <v>245</v>
      </c>
      <c r="D6" t="s">
        <v>246</v>
      </c>
      <c r="E6" t="s">
        <v>247</v>
      </c>
      <c r="F6" t="s">
        <v>248</v>
      </c>
      <c r="G6" t="s">
        <v>249</v>
      </c>
      <c r="H6" t="s">
        <v>250</v>
      </c>
      <c r="I6" t="s">
        <v>251</v>
      </c>
      <c r="J6" t="s">
        <v>252</v>
      </c>
    </row>
    <row r="7" spans="1:13" x14ac:dyDescent="0.35">
      <c r="A7" t="s">
        <v>255</v>
      </c>
    </row>
    <row r="8" spans="1:13" x14ac:dyDescent="0.35">
      <c r="A8" t="s">
        <v>256</v>
      </c>
      <c r="C8" t="s">
        <v>257</v>
      </c>
      <c r="D8" s="17">
        <v>43905</v>
      </c>
      <c r="F8">
        <v>7251</v>
      </c>
      <c r="G8" t="s">
        <v>258</v>
      </c>
      <c r="H8">
        <v>117.04</v>
      </c>
      <c r="I8" t="s">
        <v>179</v>
      </c>
    </row>
    <row r="9" spans="1:13" x14ac:dyDescent="0.35">
      <c r="A9" t="s">
        <v>259</v>
      </c>
      <c r="C9" t="s">
        <v>257</v>
      </c>
      <c r="D9" s="17">
        <v>43905</v>
      </c>
      <c r="F9">
        <v>2260</v>
      </c>
      <c r="G9" t="s">
        <v>258</v>
      </c>
      <c r="H9">
        <v>-50</v>
      </c>
      <c r="I9" t="s">
        <v>179</v>
      </c>
    </row>
    <row r="10" spans="1:13" x14ac:dyDescent="0.35">
      <c r="A10" t="s">
        <v>259</v>
      </c>
      <c r="C10" t="s">
        <v>257</v>
      </c>
      <c r="D10" s="17">
        <v>43905</v>
      </c>
      <c r="F10">
        <v>2241</v>
      </c>
      <c r="G10" t="s">
        <v>258</v>
      </c>
      <c r="H10">
        <v>-293.45999999999998</v>
      </c>
      <c r="I10" t="s">
        <v>179</v>
      </c>
    </row>
    <row r="11" spans="1:13" x14ac:dyDescent="0.35">
      <c r="A11" t="s">
        <v>259</v>
      </c>
      <c r="C11" t="s">
        <v>257</v>
      </c>
      <c r="D11" s="17">
        <v>43905</v>
      </c>
      <c r="F11">
        <v>1010</v>
      </c>
      <c r="G11" t="s">
        <v>258</v>
      </c>
      <c r="H11">
        <v>-893.58</v>
      </c>
      <c r="I11" t="s">
        <v>179</v>
      </c>
    </row>
    <row r="12" spans="1:13" x14ac:dyDescent="0.35">
      <c r="A12" t="s">
        <v>259</v>
      </c>
      <c r="C12" t="s">
        <v>257</v>
      </c>
      <c r="D12" s="17">
        <v>43905</v>
      </c>
      <c r="F12">
        <v>7220</v>
      </c>
      <c r="G12" t="s">
        <v>258</v>
      </c>
      <c r="H12">
        <v>1120</v>
      </c>
      <c r="I12" t="s">
        <v>179</v>
      </c>
    </row>
    <row r="13" spans="1:13" x14ac:dyDescent="0.35">
      <c r="A13" t="s">
        <v>259</v>
      </c>
      <c r="C13" t="s">
        <v>257</v>
      </c>
      <c r="D13" s="17">
        <v>43905</v>
      </c>
      <c r="F13">
        <v>2241</v>
      </c>
      <c r="G13" t="s">
        <v>258</v>
      </c>
      <c r="H13">
        <v>293.45999999999998</v>
      </c>
      <c r="I13" t="s">
        <v>179</v>
      </c>
    </row>
    <row r="14" spans="1:13" x14ac:dyDescent="0.35">
      <c r="A14" t="s">
        <v>259</v>
      </c>
      <c r="C14" t="s">
        <v>257</v>
      </c>
      <c r="D14" s="17">
        <v>43905</v>
      </c>
      <c r="F14">
        <v>1010</v>
      </c>
      <c r="G14" t="s">
        <v>258</v>
      </c>
      <c r="H14">
        <v>-293.45999999999998</v>
      </c>
      <c r="I14" t="s">
        <v>179</v>
      </c>
    </row>
    <row r="15" spans="1:13" x14ac:dyDescent="0.35">
      <c r="A15" t="s">
        <v>260</v>
      </c>
    </row>
    <row r="18" spans="1:10" x14ac:dyDescent="0.35">
      <c r="A18" s="24"/>
      <c r="B18" s="24"/>
      <c r="C18" s="26" t="s">
        <v>272</v>
      </c>
      <c r="D18" s="24" t="s">
        <v>31</v>
      </c>
      <c r="E18" s="24" t="s">
        <v>166</v>
      </c>
      <c r="F18" s="24" t="s">
        <v>166</v>
      </c>
      <c r="G18" s="24" t="s">
        <v>170</v>
      </c>
      <c r="H18" s="24" t="s">
        <v>172</v>
      </c>
      <c r="I18" s="24" t="s">
        <v>174</v>
      </c>
      <c r="J18" s="24" t="s">
        <v>174</v>
      </c>
    </row>
    <row r="19" spans="1:10" x14ac:dyDescent="0.35">
      <c r="A19" s="24" t="s">
        <v>270</v>
      </c>
      <c r="B19" s="23" t="s">
        <v>23</v>
      </c>
      <c r="C19" s="25" t="s">
        <v>273</v>
      </c>
      <c r="D19" s="24" t="s">
        <v>6</v>
      </c>
      <c r="E19" s="24" t="s">
        <v>7</v>
      </c>
      <c r="F19" s="24" t="s">
        <v>8</v>
      </c>
      <c r="G19" s="24" t="s">
        <v>9</v>
      </c>
      <c r="H19" s="24" t="s">
        <v>10</v>
      </c>
      <c r="I19" s="24" t="s">
        <v>9</v>
      </c>
      <c r="J19" s="24" t="s">
        <v>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24"/>
  <sheetViews>
    <sheetView topLeftCell="AG1" workbookViewId="0">
      <selection activeCell="E2" sqref="E2:AW2"/>
    </sheetView>
  </sheetViews>
  <sheetFormatPr defaultRowHeight="14.5" x14ac:dyDescent="0.35"/>
  <sheetData>
    <row r="1" spans="1:49" x14ac:dyDescent="0.35">
      <c r="A1" t="s">
        <v>16</v>
      </c>
      <c r="B1" t="s">
        <v>177</v>
      </c>
      <c r="E1" s="34">
        <v>7225</v>
      </c>
      <c r="F1" s="34"/>
      <c r="G1" s="34">
        <v>7226</v>
      </c>
      <c r="H1" s="34"/>
      <c r="I1" s="34">
        <v>7227</v>
      </c>
      <c r="J1" s="34"/>
      <c r="K1" s="34">
        <v>7228</v>
      </c>
      <c r="L1" s="34"/>
      <c r="M1" s="34" t="s">
        <v>155</v>
      </c>
      <c r="N1" s="34"/>
      <c r="O1" s="34" t="s">
        <v>61</v>
      </c>
      <c r="P1" s="34"/>
      <c r="Q1" s="34" t="s">
        <v>130</v>
      </c>
      <c r="R1" s="34"/>
      <c r="S1" s="34" t="s">
        <v>92</v>
      </c>
      <c r="T1" s="34"/>
      <c r="U1" s="34" t="s">
        <v>328</v>
      </c>
      <c r="V1" s="34"/>
      <c r="W1" s="34" t="s">
        <v>329</v>
      </c>
      <c r="X1" s="34"/>
      <c r="Y1" s="34" t="s">
        <v>164</v>
      </c>
      <c r="Z1" s="34"/>
      <c r="AA1" s="34" t="s">
        <v>330</v>
      </c>
      <c r="AB1" s="34"/>
      <c r="AC1" s="34" t="s">
        <v>331</v>
      </c>
      <c r="AD1" s="34"/>
      <c r="AE1" s="34" t="s">
        <v>332</v>
      </c>
      <c r="AF1" s="34"/>
      <c r="AG1" s="34" t="s">
        <v>333</v>
      </c>
      <c r="AH1" s="34"/>
      <c r="AI1" s="34" t="s">
        <v>66</v>
      </c>
      <c r="AJ1" s="34"/>
      <c r="AK1" s="34" t="s">
        <v>106</v>
      </c>
      <c r="AL1" s="34"/>
      <c r="AM1" s="34" t="s">
        <v>320</v>
      </c>
      <c r="AN1" s="34"/>
      <c r="AO1" s="34" t="s">
        <v>334</v>
      </c>
      <c r="AP1" s="34"/>
      <c r="AQ1" s="34" t="s">
        <v>335</v>
      </c>
      <c r="AR1" s="34"/>
      <c r="AS1" s="34" t="s">
        <v>51</v>
      </c>
      <c r="AT1" s="34"/>
      <c r="AU1" s="34" t="s">
        <v>336</v>
      </c>
      <c r="AV1" s="34"/>
      <c r="AW1" t="s">
        <v>337</v>
      </c>
    </row>
    <row r="2" spans="1:49" x14ac:dyDescent="0.35">
      <c r="A2" s="34">
        <v>7225</v>
      </c>
      <c r="B2" t="e">
        <f>VLOOKUP(A2,#REF!,3,FALSE)</f>
        <v>#REF!</v>
      </c>
      <c r="E2" t="s">
        <v>338</v>
      </c>
      <c r="G2" t="s">
        <v>339</v>
      </c>
      <c r="I2" t="s">
        <v>340</v>
      </c>
      <c r="K2" t="s">
        <v>341</v>
      </c>
      <c r="M2" t="s">
        <v>342</v>
      </c>
      <c r="O2" t="s">
        <v>343</v>
      </c>
      <c r="Q2" t="s">
        <v>344</v>
      </c>
      <c r="S2" t="s">
        <v>93</v>
      </c>
      <c r="U2" t="s">
        <v>345</v>
      </c>
      <c r="W2" t="s">
        <v>346</v>
      </c>
      <c r="Y2" t="s">
        <v>165</v>
      </c>
      <c r="AA2" t="s">
        <v>347</v>
      </c>
      <c r="AC2" t="s">
        <v>348</v>
      </c>
      <c r="AE2" t="s">
        <v>349</v>
      </c>
      <c r="AG2" t="s">
        <v>350</v>
      </c>
      <c r="AI2" t="s">
        <v>67</v>
      </c>
      <c r="AK2" t="s">
        <v>351</v>
      </c>
      <c r="AM2" t="s">
        <v>352</v>
      </c>
      <c r="AO2" t="s">
        <v>353</v>
      </c>
      <c r="AQ2" t="s">
        <v>354</v>
      </c>
      <c r="AS2" t="s">
        <v>355</v>
      </c>
      <c r="AU2" t="s">
        <v>356</v>
      </c>
      <c r="AW2" t="s">
        <v>357</v>
      </c>
    </row>
    <row r="3" spans="1:49" x14ac:dyDescent="0.35">
      <c r="A3" s="34">
        <v>7226</v>
      </c>
      <c r="B3" t="e">
        <f>VLOOKUP(A3,#REF!,3,FALSE)</f>
        <v>#REF!</v>
      </c>
    </row>
    <row r="4" spans="1:49" x14ac:dyDescent="0.35">
      <c r="A4" s="34">
        <v>7227</v>
      </c>
      <c r="B4" t="e">
        <f>VLOOKUP(A4,#REF!,3,FALSE)</f>
        <v>#REF!</v>
      </c>
    </row>
    <row r="5" spans="1:49" x14ac:dyDescent="0.35">
      <c r="A5" s="34">
        <v>7228</v>
      </c>
      <c r="B5" t="e">
        <f>VLOOKUP(A5,#REF!,3,FALSE)</f>
        <v>#REF!</v>
      </c>
    </row>
    <row r="6" spans="1:49" x14ac:dyDescent="0.35">
      <c r="A6" s="34" t="s">
        <v>155</v>
      </c>
      <c r="B6" t="e">
        <f>VLOOKUP(A6,#REF!,3,FALSE)</f>
        <v>#REF!</v>
      </c>
    </row>
    <row r="7" spans="1:49" x14ac:dyDescent="0.35">
      <c r="A7" s="34" t="s">
        <v>61</v>
      </c>
      <c r="B7" t="e">
        <f>VLOOKUP(A7,#REF!,3,FALSE)</f>
        <v>#REF!</v>
      </c>
    </row>
    <row r="8" spans="1:49" x14ac:dyDescent="0.35">
      <c r="A8" s="34" t="s">
        <v>130</v>
      </c>
      <c r="B8" t="e">
        <f>VLOOKUP(A8,#REF!,3,FALSE)</f>
        <v>#REF!</v>
      </c>
    </row>
    <row r="9" spans="1:49" x14ac:dyDescent="0.35">
      <c r="A9" s="34" t="s">
        <v>92</v>
      </c>
      <c r="B9" t="e">
        <f>VLOOKUP(A9,#REF!,3,FALSE)</f>
        <v>#REF!</v>
      </c>
    </row>
    <row r="10" spans="1:49" x14ac:dyDescent="0.35">
      <c r="A10" s="34" t="s">
        <v>328</v>
      </c>
      <c r="B10" t="e">
        <f>VLOOKUP(A10,#REF!,3,FALSE)</f>
        <v>#REF!</v>
      </c>
    </row>
    <row r="11" spans="1:49" x14ac:dyDescent="0.35">
      <c r="A11" s="34" t="s">
        <v>329</v>
      </c>
      <c r="B11" t="e">
        <f>VLOOKUP(A11,#REF!,3,FALSE)</f>
        <v>#REF!</v>
      </c>
    </row>
    <row r="12" spans="1:49" x14ac:dyDescent="0.35">
      <c r="A12" s="34" t="s">
        <v>164</v>
      </c>
      <c r="B12" t="e">
        <f>VLOOKUP(A12,#REF!,3,FALSE)</f>
        <v>#REF!</v>
      </c>
    </row>
    <row r="13" spans="1:49" x14ac:dyDescent="0.35">
      <c r="A13" s="34" t="s">
        <v>330</v>
      </c>
      <c r="B13" t="e">
        <f>VLOOKUP(A13,#REF!,3,FALSE)</f>
        <v>#REF!</v>
      </c>
    </row>
    <row r="14" spans="1:49" x14ac:dyDescent="0.35">
      <c r="A14" s="34" t="s">
        <v>331</v>
      </c>
      <c r="B14" t="e">
        <f>VLOOKUP(A14,#REF!,3,FALSE)</f>
        <v>#REF!</v>
      </c>
    </row>
    <row r="15" spans="1:49" x14ac:dyDescent="0.35">
      <c r="A15" s="34" t="s">
        <v>332</v>
      </c>
      <c r="B15" t="e">
        <f>VLOOKUP(A15,#REF!,3,FALSE)</f>
        <v>#REF!</v>
      </c>
    </row>
    <row r="16" spans="1:49" x14ac:dyDescent="0.35">
      <c r="A16" s="34" t="s">
        <v>333</v>
      </c>
      <c r="B16" t="e">
        <f>VLOOKUP(A16,#REF!,3,FALSE)</f>
        <v>#REF!</v>
      </c>
    </row>
    <row r="17" spans="1:2" x14ac:dyDescent="0.35">
      <c r="A17" s="34" t="s">
        <v>66</v>
      </c>
      <c r="B17" t="e">
        <f>VLOOKUP(A17,#REF!,3,FALSE)</f>
        <v>#REF!</v>
      </c>
    </row>
    <row r="18" spans="1:2" x14ac:dyDescent="0.35">
      <c r="A18" s="34" t="s">
        <v>106</v>
      </c>
      <c r="B18" t="e">
        <f>VLOOKUP(A18,#REF!,3,FALSE)</f>
        <v>#REF!</v>
      </c>
    </row>
    <row r="19" spans="1:2" x14ac:dyDescent="0.35">
      <c r="A19" s="34" t="s">
        <v>320</v>
      </c>
      <c r="B19" t="e">
        <f>VLOOKUP(A19,#REF!,3,FALSE)</f>
        <v>#REF!</v>
      </c>
    </row>
    <row r="20" spans="1:2" x14ac:dyDescent="0.35">
      <c r="A20" s="34" t="s">
        <v>334</v>
      </c>
      <c r="B20" t="e">
        <f>VLOOKUP(A20,#REF!,3,FALSE)</f>
        <v>#REF!</v>
      </c>
    </row>
    <row r="21" spans="1:2" x14ac:dyDescent="0.35">
      <c r="A21" s="34" t="s">
        <v>335</v>
      </c>
      <c r="B21" t="e">
        <f>VLOOKUP(A21,#REF!,3,FALSE)</f>
        <v>#REF!</v>
      </c>
    </row>
    <row r="22" spans="1:2" x14ac:dyDescent="0.35">
      <c r="A22" s="34" t="s">
        <v>51</v>
      </c>
      <c r="B22" t="e">
        <f>VLOOKUP(A22,#REF!,3,FALSE)</f>
        <v>#REF!</v>
      </c>
    </row>
    <row r="23" spans="1:2" x14ac:dyDescent="0.35">
      <c r="A23" s="34" t="s">
        <v>336</v>
      </c>
      <c r="B23" t="e">
        <f>VLOOKUP(A23,#REF!,3,FALSE)</f>
        <v>#REF!</v>
      </c>
    </row>
    <row r="24" spans="1:2" x14ac:dyDescent="0.35">
      <c r="A24" t="s">
        <v>337</v>
      </c>
      <c r="B24" t="e">
        <f>VLOOKUP(A24,#REF!,3,FALSE)</f>
        <v>#REF!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22"/>
  <sheetViews>
    <sheetView workbookViewId="0">
      <selection activeCell="A15" sqref="A15"/>
    </sheetView>
  </sheetViews>
  <sheetFormatPr defaultRowHeight="14.5" x14ac:dyDescent="0.35"/>
  <cols>
    <col min="1" max="1" width="86.08984375" style="20" bestFit="1" customWidth="1"/>
    <col min="2" max="2" width="14.90625" style="20" bestFit="1" customWidth="1"/>
    <col min="3" max="3" width="3.81640625" style="20" bestFit="1" customWidth="1"/>
    <col min="4" max="4" width="86.08984375" style="20" bestFit="1" customWidth="1"/>
    <col min="5" max="16384" width="8.7265625" style="20"/>
  </cols>
  <sheetData>
    <row r="1" spans="1:4" x14ac:dyDescent="0.35">
      <c r="A1" s="20" t="s">
        <v>177</v>
      </c>
      <c r="B1" s="20" t="s">
        <v>358</v>
      </c>
      <c r="C1" s="20" t="s">
        <v>202</v>
      </c>
      <c r="D1" s="20" t="s">
        <v>177</v>
      </c>
    </row>
    <row r="2" spans="1:4" x14ac:dyDescent="0.35">
      <c r="A2" s="20" t="s">
        <v>197</v>
      </c>
      <c r="B2" s="20">
        <v>1000</v>
      </c>
      <c r="C2" s="20">
        <v>47</v>
      </c>
      <c r="D2" s="20" t="s">
        <v>197</v>
      </c>
    </row>
    <row r="3" spans="1:4" x14ac:dyDescent="0.35">
      <c r="A3" s="20" t="s">
        <v>359</v>
      </c>
      <c r="B3" s="20">
        <v>1001</v>
      </c>
      <c r="C3" s="20">
        <v>611</v>
      </c>
      <c r="D3" s="20" t="s">
        <v>359</v>
      </c>
    </row>
    <row r="4" spans="1:4" x14ac:dyDescent="0.35">
      <c r="A4" s="20" t="s">
        <v>360</v>
      </c>
      <c r="B4" s="20">
        <v>1005</v>
      </c>
      <c r="C4" s="20">
        <v>605</v>
      </c>
      <c r="D4" s="20" t="s">
        <v>360</v>
      </c>
    </row>
    <row r="5" spans="1:4" x14ac:dyDescent="0.35">
      <c r="A5" s="20" t="s">
        <v>292</v>
      </c>
      <c r="B5" s="20">
        <v>1010</v>
      </c>
      <c r="C5" s="20">
        <v>48</v>
      </c>
      <c r="D5" s="20" t="s">
        <v>292</v>
      </c>
    </row>
    <row r="6" spans="1:4" x14ac:dyDescent="0.35">
      <c r="A6" s="20" t="s">
        <v>361</v>
      </c>
      <c r="B6" s="20">
        <v>1012</v>
      </c>
      <c r="C6" s="20">
        <v>727</v>
      </c>
      <c r="D6" s="20" t="s">
        <v>361</v>
      </c>
    </row>
    <row r="7" spans="1:4" x14ac:dyDescent="0.35">
      <c r="A7" s="20" t="s">
        <v>362</v>
      </c>
      <c r="B7" s="20">
        <v>1014</v>
      </c>
      <c r="C7" s="20">
        <v>728</v>
      </c>
      <c r="D7" s="20" t="s">
        <v>362</v>
      </c>
    </row>
    <row r="8" spans="1:4" x14ac:dyDescent="0.35">
      <c r="A8" s="20" t="s">
        <v>363</v>
      </c>
      <c r="B8" s="20">
        <v>1015</v>
      </c>
      <c r="C8" s="20">
        <v>369</v>
      </c>
      <c r="D8" s="20" t="s">
        <v>363</v>
      </c>
    </row>
    <row r="9" spans="1:4" x14ac:dyDescent="0.35">
      <c r="A9" s="20" t="s">
        <v>364</v>
      </c>
      <c r="B9" s="20">
        <v>1016</v>
      </c>
      <c r="C9" s="20">
        <v>777</v>
      </c>
      <c r="D9" s="20" t="s">
        <v>364</v>
      </c>
    </row>
    <row r="10" spans="1:4" x14ac:dyDescent="0.35">
      <c r="A10" s="20" t="s">
        <v>365</v>
      </c>
      <c r="B10" s="20">
        <v>1017</v>
      </c>
      <c r="C10" s="20">
        <v>778</v>
      </c>
      <c r="D10" s="20" t="s">
        <v>365</v>
      </c>
    </row>
    <row r="11" spans="1:4" x14ac:dyDescent="0.35">
      <c r="A11" s="20" t="s">
        <v>366</v>
      </c>
      <c r="B11" s="20">
        <v>1021</v>
      </c>
      <c r="C11" s="20">
        <v>804</v>
      </c>
      <c r="D11" s="20" t="s">
        <v>366</v>
      </c>
    </row>
    <row r="12" spans="1:4" x14ac:dyDescent="0.35">
      <c r="A12" s="20" t="s">
        <v>367</v>
      </c>
      <c r="B12" s="20">
        <v>1025</v>
      </c>
      <c r="C12" s="20">
        <v>373</v>
      </c>
      <c r="D12" s="20" t="s">
        <v>367</v>
      </c>
    </row>
    <row r="13" spans="1:4" x14ac:dyDescent="0.35">
      <c r="A13" s="20" t="s">
        <v>368</v>
      </c>
      <c r="B13" s="20">
        <v>1030</v>
      </c>
      <c r="C13" s="20">
        <v>50</v>
      </c>
      <c r="D13" s="20" t="s">
        <v>368</v>
      </c>
    </row>
    <row r="14" spans="1:4" x14ac:dyDescent="0.35">
      <c r="A14" s="20" t="s">
        <v>369</v>
      </c>
      <c r="B14" s="20">
        <v>1035</v>
      </c>
      <c r="C14" s="20">
        <v>404</v>
      </c>
      <c r="D14" s="20" t="s">
        <v>369</v>
      </c>
    </row>
    <row r="15" spans="1:4" x14ac:dyDescent="0.35">
      <c r="A15" s="20" t="s">
        <v>370</v>
      </c>
      <c r="B15" s="20">
        <v>1040</v>
      </c>
      <c r="C15" s="20">
        <v>148</v>
      </c>
      <c r="D15" s="20" t="s">
        <v>370</v>
      </c>
    </row>
    <row r="16" spans="1:4" x14ac:dyDescent="0.35">
      <c r="A16" s="20" t="s">
        <v>371</v>
      </c>
      <c r="B16" s="20">
        <v>1045</v>
      </c>
      <c r="C16" s="20">
        <v>405</v>
      </c>
      <c r="D16" s="20" t="s">
        <v>371</v>
      </c>
    </row>
    <row r="17" spans="1:4" x14ac:dyDescent="0.35">
      <c r="A17" s="20" t="s">
        <v>372</v>
      </c>
      <c r="B17" s="20">
        <v>1050</v>
      </c>
      <c r="C17" s="20">
        <v>156</v>
      </c>
      <c r="D17" s="20" t="s">
        <v>372</v>
      </c>
    </row>
    <row r="18" spans="1:4" x14ac:dyDescent="0.35">
      <c r="A18" s="20" t="s">
        <v>373</v>
      </c>
      <c r="B18" s="20">
        <v>1070</v>
      </c>
      <c r="C18" s="20">
        <v>167</v>
      </c>
      <c r="D18" s="20" t="s">
        <v>373</v>
      </c>
    </row>
    <row r="19" spans="1:4" x14ac:dyDescent="0.35">
      <c r="A19" s="20" t="s">
        <v>374</v>
      </c>
      <c r="B19" s="20">
        <v>1071</v>
      </c>
      <c r="C19" s="20">
        <v>807</v>
      </c>
      <c r="D19" s="20" t="s">
        <v>374</v>
      </c>
    </row>
    <row r="20" spans="1:4" x14ac:dyDescent="0.35">
      <c r="A20" s="20" t="s">
        <v>375</v>
      </c>
      <c r="B20" s="20">
        <v>1072</v>
      </c>
      <c r="C20" s="20">
        <v>808</v>
      </c>
      <c r="D20" s="20" t="s">
        <v>375</v>
      </c>
    </row>
    <row r="21" spans="1:4" x14ac:dyDescent="0.35">
      <c r="A21" s="20" t="s">
        <v>376</v>
      </c>
      <c r="B21" s="20">
        <v>1085</v>
      </c>
      <c r="C21" s="20">
        <v>740</v>
      </c>
      <c r="D21" s="20" t="s">
        <v>376</v>
      </c>
    </row>
    <row r="22" spans="1:4" x14ac:dyDescent="0.35">
      <c r="A22" s="20" t="s">
        <v>377</v>
      </c>
      <c r="B22" s="20">
        <v>1086</v>
      </c>
      <c r="C22" s="20">
        <v>776</v>
      </c>
      <c r="D22" s="20" t="s">
        <v>377</v>
      </c>
    </row>
    <row r="23" spans="1:4" x14ac:dyDescent="0.35">
      <c r="A23" s="20" t="s">
        <v>378</v>
      </c>
      <c r="B23" s="20">
        <v>1087</v>
      </c>
      <c r="C23" s="20">
        <v>779</v>
      </c>
      <c r="D23" s="20" t="s">
        <v>378</v>
      </c>
    </row>
    <row r="24" spans="1:4" x14ac:dyDescent="0.35">
      <c r="A24" s="20" t="s">
        <v>379</v>
      </c>
      <c r="B24" s="20">
        <v>1090</v>
      </c>
      <c r="C24" s="20">
        <v>52</v>
      </c>
      <c r="D24" s="20" t="s">
        <v>379</v>
      </c>
    </row>
    <row r="25" spans="1:4" x14ac:dyDescent="0.35">
      <c r="A25" s="20" t="s">
        <v>380</v>
      </c>
      <c r="B25" s="20">
        <v>1091</v>
      </c>
      <c r="C25" s="20">
        <v>475</v>
      </c>
      <c r="D25" s="20" t="s">
        <v>380</v>
      </c>
    </row>
    <row r="26" spans="1:4" x14ac:dyDescent="0.35">
      <c r="A26" s="20" t="s">
        <v>381</v>
      </c>
      <c r="B26" s="20">
        <v>1092</v>
      </c>
      <c r="C26" s="20">
        <v>476</v>
      </c>
      <c r="D26" s="20" t="s">
        <v>381</v>
      </c>
    </row>
    <row r="27" spans="1:4" x14ac:dyDescent="0.35">
      <c r="A27" s="20" t="s">
        <v>382</v>
      </c>
      <c r="B27" s="20">
        <v>1093</v>
      </c>
      <c r="C27" s="20">
        <v>622</v>
      </c>
      <c r="D27" s="20" t="s">
        <v>382</v>
      </c>
    </row>
    <row r="28" spans="1:4" x14ac:dyDescent="0.35">
      <c r="A28" s="20" t="s">
        <v>383</v>
      </c>
      <c r="B28" s="20">
        <v>1100</v>
      </c>
      <c r="C28" s="20">
        <v>53</v>
      </c>
      <c r="D28" s="20" t="s">
        <v>383</v>
      </c>
    </row>
    <row r="29" spans="1:4" x14ac:dyDescent="0.35">
      <c r="A29" s="20" t="s">
        <v>384</v>
      </c>
      <c r="B29" s="20">
        <v>1101</v>
      </c>
      <c r="C29" s="20">
        <v>547</v>
      </c>
      <c r="D29" s="20" t="s">
        <v>384</v>
      </c>
    </row>
    <row r="30" spans="1:4" x14ac:dyDescent="0.35">
      <c r="A30" s="20" t="s">
        <v>385</v>
      </c>
      <c r="B30" s="20">
        <v>1400</v>
      </c>
      <c r="C30" s="20">
        <v>241</v>
      </c>
      <c r="D30" s="20" t="s">
        <v>385</v>
      </c>
    </row>
    <row r="31" spans="1:4" x14ac:dyDescent="0.35">
      <c r="A31" s="20" t="s">
        <v>386</v>
      </c>
      <c r="B31" s="20">
        <v>1410</v>
      </c>
      <c r="C31" s="20">
        <v>54</v>
      </c>
      <c r="D31" s="20" t="s">
        <v>386</v>
      </c>
    </row>
    <row r="32" spans="1:4" x14ac:dyDescent="0.35">
      <c r="A32" s="20" t="s">
        <v>387</v>
      </c>
      <c r="B32" s="20">
        <v>1420</v>
      </c>
      <c r="C32" s="20">
        <v>66</v>
      </c>
      <c r="D32" s="20" t="s">
        <v>387</v>
      </c>
    </row>
    <row r="33" spans="1:4" x14ac:dyDescent="0.35">
      <c r="A33" s="20" t="s">
        <v>388</v>
      </c>
      <c r="B33" s="20">
        <v>1421</v>
      </c>
      <c r="C33" s="20">
        <v>445</v>
      </c>
      <c r="D33" s="20" t="s">
        <v>388</v>
      </c>
    </row>
    <row r="34" spans="1:4" x14ac:dyDescent="0.35">
      <c r="A34" s="20" t="s">
        <v>389</v>
      </c>
      <c r="B34" s="20">
        <v>1422</v>
      </c>
      <c r="C34" s="20">
        <v>439</v>
      </c>
      <c r="D34" s="20" t="s">
        <v>389</v>
      </c>
    </row>
    <row r="35" spans="1:4" x14ac:dyDescent="0.35">
      <c r="A35" s="20" t="s">
        <v>390</v>
      </c>
      <c r="B35" s="20">
        <v>1430</v>
      </c>
      <c r="C35" s="20">
        <v>242</v>
      </c>
      <c r="D35" s="20" t="s">
        <v>390</v>
      </c>
    </row>
    <row r="36" spans="1:4" x14ac:dyDescent="0.35">
      <c r="A36" s="20" t="s">
        <v>391</v>
      </c>
      <c r="B36" s="20">
        <v>1440</v>
      </c>
      <c r="C36" s="20">
        <v>401</v>
      </c>
      <c r="D36" s="20" t="s">
        <v>391</v>
      </c>
    </row>
    <row r="37" spans="1:4" x14ac:dyDescent="0.35">
      <c r="A37" s="20" t="s">
        <v>392</v>
      </c>
      <c r="B37" s="20">
        <v>1445</v>
      </c>
      <c r="C37" s="20">
        <v>714</v>
      </c>
      <c r="D37" s="20" t="s">
        <v>392</v>
      </c>
    </row>
    <row r="38" spans="1:4" x14ac:dyDescent="0.35">
      <c r="A38" s="20" t="s">
        <v>393</v>
      </c>
      <c r="B38" s="20">
        <v>1446</v>
      </c>
      <c r="C38" s="20">
        <v>745</v>
      </c>
      <c r="D38" s="20" t="s">
        <v>393</v>
      </c>
    </row>
    <row r="39" spans="1:4" x14ac:dyDescent="0.35">
      <c r="A39" s="20" t="s">
        <v>394</v>
      </c>
      <c r="B39" s="20">
        <v>1447</v>
      </c>
      <c r="C39" s="20">
        <v>746</v>
      </c>
      <c r="D39" s="20" t="s">
        <v>394</v>
      </c>
    </row>
    <row r="40" spans="1:4" x14ac:dyDescent="0.35">
      <c r="A40" s="20" t="s">
        <v>395</v>
      </c>
      <c r="B40" s="20">
        <v>1450</v>
      </c>
      <c r="C40" s="20">
        <v>453</v>
      </c>
      <c r="D40" s="20" t="s">
        <v>395</v>
      </c>
    </row>
    <row r="41" spans="1:4" x14ac:dyDescent="0.35">
      <c r="A41" s="20" t="s">
        <v>396</v>
      </c>
      <c r="B41" s="20">
        <v>1450.1</v>
      </c>
      <c r="C41" s="20">
        <v>742</v>
      </c>
      <c r="D41" s="20" t="s">
        <v>396</v>
      </c>
    </row>
    <row r="42" spans="1:4" x14ac:dyDescent="0.35">
      <c r="A42" s="20" t="s">
        <v>397</v>
      </c>
      <c r="B42" s="20">
        <v>1451</v>
      </c>
      <c r="C42" s="20">
        <v>500</v>
      </c>
      <c r="D42" s="20" t="s">
        <v>397</v>
      </c>
    </row>
    <row r="43" spans="1:4" x14ac:dyDescent="0.35">
      <c r="A43" s="20" t="s">
        <v>398</v>
      </c>
      <c r="B43" s="20">
        <v>1451.1</v>
      </c>
      <c r="C43" s="20">
        <v>580</v>
      </c>
      <c r="D43" s="20" t="s">
        <v>398</v>
      </c>
    </row>
    <row r="44" spans="1:4" x14ac:dyDescent="0.35">
      <c r="A44" s="20" t="s">
        <v>399</v>
      </c>
      <c r="B44" s="20">
        <v>1452</v>
      </c>
      <c r="C44" s="20">
        <v>533</v>
      </c>
      <c r="D44" s="20" t="s">
        <v>399</v>
      </c>
    </row>
    <row r="45" spans="1:4" x14ac:dyDescent="0.35">
      <c r="A45" s="20" t="s">
        <v>400</v>
      </c>
      <c r="B45" s="20">
        <v>1452.1</v>
      </c>
      <c r="C45" s="20">
        <v>546</v>
      </c>
      <c r="D45" s="20" t="s">
        <v>400</v>
      </c>
    </row>
    <row r="46" spans="1:4" x14ac:dyDescent="0.35">
      <c r="A46" s="20" t="s">
        <v>401</v>
      </c>
      <c r="B46" s="20">
        <v>1452.2</v>
      </c>
      <c r="C46" s="20">
        <v>781</v>
      </c>
      <c r="D46" s="20" t="s">
        <v>401</v>
      </c>
    </row>
    <row r="47" spans="1:4" x14ac:dyDescent="0.35">
      <c r="A47" s="20" t="s">
        <v>402</v>
      </c>
      <c r="B47" s="20">
        <v>1452.3</v>
      </c>
      <c r="C47" s="20">
        <v>782</v>
      </c>
      <c r="D47" s="20" t="s">
        <v>402</v>
      </c>
    </row>
    <row r="48" spans="1:4" x14ac:dyDescent="0.35">
      <c r="A48" s="20" t="s">
        <v>403</v>
      </c>
      <c r="B48" s="20">
        <v>1453</v>
      </c>
      <c r="C48" s="20">
        <v>534</v>
      </c>
      <c r="D48" s="20" t="s">
        <v>403</v>
      </c>
    </row>
    <row r="49" spans="1:4" x14ac:dyDescent="0.35">
      <c r="A49" s="20" t="s">
        <v>404</v>
      </c>
      <c r="B49" s="20">
        <v>1454</v>
      </c>
      <c r="C49" s="20">
        <v>535</v>
      </c>
      <c r="D49" s="20" t="s">
        <v>404</v>
      </c>
    </row>
    <row r="50" spans="1:4" x14ac:dyDescent="0.35">
      <c r="A50" s="20" t="s">
        <v>405</v>
      </c>
      <c r="B50" s="20">
        <v>1454.1</v>
      </c>
      <c r="C50" s="20">
        <v>572</v>
      </c>
      <c r="D50" s="20" t="s">
        <v>405</v>
      </c>
    </row>
    <row r="51" spans="1:4" x14ac:dyDescent="0.35">
      <c r="A51" s="20" t="s">
        <v>406</v>
      </c>
      <c r="B51" s="20">
        <v>1454.2</v>
      </c>
      <c r="C51" s="20">
        <v>743</v>
      </c>
      <c r="D51" s="20" t="s">
        <v>406</v>
      </c>
    </row>
    <row r="52" spans="1:4" x14ac:dyDescent="0.35">
      <c r="A52" s="20" t="s">
        <v>407</v>
      </c>
      <c r="B52" s="20">
        <v>1455</v>
      </c>
      <c r="C52" s="20">
        <v>536</v>
      </c>
      <c r="D52" s="20" t="s">
        <v>407</v>
      </c>
    </row>
    <row r="53" spans="1:4" x14ac:dyDescent="0.35">
      <c r="A53" s="20" t="s">
        <v>408</v>
      </c>
      <c r="B53" s="20">
        <v>1456</v>
      </c>
      <c r="C53" s="20">
        <v>537</v>
      </c>
      <c r="D53" s="20" t="s">
        <v>408</v>
      </c>
    </row>
    <row r="54" spans="1:4" x14ac:dyDescent="0.35">
      <c r="A54" s="20" t="s">
        <v>409</v>
      </c>
      <c r="B54" s="20">
        <v>1457</v>
      </c>
      <c r="C54" s="20">
        <v>538</v>
      </c>
      <c r="D54" s="20" t="s">
        <v>409</v>
      </c>
    </row>
    <row r="55" spans="1:4" x14ac:dyDescent="0.35">
      <c r="A55" s="20" t="s">
        <v>410</v>
      </c>
      <c r="B55" s="20">
        <v>1457.1</v>
      </c>
      <c r="C55" s="20">
        <v>720</v>
      </c>
      <c r="D55" s="20" t="s">
        <v>410</v>
      </c>
    </row>
    <row r="56" spans="1:4" x14ac:dyDescent="0.35">
      <c r="A56" s="20" t="s">
        <v>411</v>
      </c>
      <c r="B56" s="20">
        <v>1458</v>
      </c>
      <c r="C56" s="20">
        <v>541</v>
      </c>
      <c r="D56" s="20" t="s">
        <v>411</v>
      </c>
    </row>
    <row r="57" spans="1:4" x14ac:dyDescent="0.35">
      <c r="A57" s="20" t="s">
        <v>412</v>
      </c>
      <c r="B57" s="20">
        <v>1458.2</v>
      </c>
      <c r="C57" s="20">
        <v>716</v>
      </c>
      <c r="D57" s="20" t="s">
        <v>412</v>
      </c>
    </row>
    <row r="58" spans="1:4" x14ac:dyDescent="0.35">
      <c r="A58" s="20" t="s">
        <v>413</v>
      </c>
      <c r="B58" s="20">
        <v>1460</v>
      </c>
      <c r="C58" s="20">
        <v>540</v>
      </c>
      <c r="D58" s="20" t="s">
        <v>413</v>
      </c>
    </row>
    <row r="59" spans="1:4" x14ac:dyDescent="0.35">
      <c r="A59" s="20" t="s">
        <v>414</v>
      </c>
      <c r="B59" s="20">
        <v>1461</v>
      </c>
      <c r="C59" s="20">
        <v>542</v>
      </c>
      <c r="D59" s="20" t="s">
        <v>414</v>
      </c>
    </row>
    <row r="60" spans="1:4" x14ac:dyDescent="0.35">
      <c r="A60" s="20" t="s">
        <v>415</v>
      </c>
      <c r="B60" s="20">
        <v>1462</v>
      </c>
      <c r="C60" s="20">
        <v>543</v>
      </c>
      <c r="D60" s="20" t="s">
        <v>415</v>
      </c>
    </row>
    <row r="61" spans="1:4" x14ac:dyDescent="0.35">
      <c r="A61" s="20" t="s">
        <v>416</v>
      </c>
      <c r="B61" s="20">
        <v>1463</v>
      </c>
      <c r="C61" s="20">
        <v>544</v>
      </c>
      <c r="D61" s="20" t="s">
        <v>416</v>
      </c>
    </row>
    <row r="62" spans="1:4" x14ac:dyDescent="0.35">
      <c r="A62" s="20" t="s">
        <v>417</v>
      </c>
      <c r="B62" s="20">
        <v>1463.1</v>
      </c>
      <c r="C62" s="20">
        <v>574</v>
      </c>
      <c r="D62" s="20" t="s">
        <v>417</v>
      </c>
    </row>
    <row r="63" spans="1:4" x14ac:dyDescent="0.35">
      <c r="A63" s="20" t="s">
        <v>418</v>
      </c>
      <c r="B63" s="20">
        <v>1463.2</v>
      </c>
      <c r="C63" s="20">
        <v>576</v>
      </c>
      <c r="D63" s="20" t="s">
        <v>418</v>
      </c>
    </row>
    <row r="64" spans="1:4" x14ac:dyDescent="0.35">
      <c r="A64" s="20" t="s">
        <v>419</v>
      </c>
      <c r="B64" s="20">
        <v>1463.3</v>
      </c>
      <c r="C64" s="20">
        <v>581</v>
      </c>
      <c r="D64" s="20" t="s">
        <v>419</v>
      </c>
    </row>
    <row r="65" spans="1:4" x14ac:dyDescent="0.35">
      <c r="A65" s="20" t="s">
        <v>420</v>
      </c>
      <c r="B65" s="20">
        <v>1463.4</v>
      </c>
      <c r="C65" s="20">
        <v>723</v>
      </c>
      <c r="D65" s="20" t="s">
        <v>420</v>
      </c>
    </row>
    <row r="66" spans="1:4" x14ac:dyDescent="0.35">
      <c r="A66" s="20" t="s">
        <v>421</v>
      </c>
      <c r="B66" s="20">
        <v>1464</v>
      </c>
      <c r="C66" s="20">
        <v>545</v>
      </c>
      <c r="D66" s="20" t="s">
        <v>421</v>
      </c>
    </row>
    <row r="67" spans="1:4" x14ac:dyDescent="0.35">
      <c r="A67" s="20" t="s">
        <v>422</v>
      </c>
      <c r="B67" s="20">
        <v>1465</v>
      </c>
      <c r="C67" s="20">
        <v>551</v>
      </c>
      <c r="D67" s="20" t="s">
        <v>422</v>
      </c>
    </row>
    <row r="68" spans="1:4" x14ac:dyDescent="0.35">
      <c r="A68" s="20" t="s">
        <v>423</v>
      </c>
      <c r="B68" s="20">
        <v>1465.1</v>
      </c>
      <c r="C68" s="20">
        <v>792</v>
      </c>
      <c r="D68" s="20" t="s">
        <v>423</v>
      </c>
    </row>
    <row r="69" spans="1:4" x14ac:dyDescent="0.35">
      <c r="A69" s="20" t="s">
        <v>424</v>
      </c>
      <c r="B69" s="20">
        <v>1465.2</v>
      </c>
      <c r="C69" s="20">
        <v>796</v>
      </c>
      <c r="D69" s="20" t="s">
        <v>424</v>
      </c>
    </row>
    <row r="70" spans="1:4" x14ac:dyDescent="0.35">
      <c r="A70" s="20" t="s">
        <v>425</v>
      </c>
      <c r="B70" s="20">
        <v>1465.3</v>
      </c>
      <c r="C70" s="20">
        <v>797</v>
      </c>
      <c r="D70" s="20" t="s">
        <v>425</v>
      </c>
    </row>
    <row r="71" spans="1:4" x14ac:dyDescent="0.35">
      <c r="A71" s="20" t="s">
        <v>426</v>
      </c>
      <c r="B71" s="20">
        <v>1467</v>
      </c>
      <c r="C71" s="20">
        <v>548</v>
      </c>
      <c r="D71" s="20" t="s">
        <v>426</v>
      </c>
    </row>
    <row r="72" spans="1:4" x14ac:dyDescent="0.35">
      <c r="A72" s="20" t="s">
        <v>427</v>
      </c>
      <c r="B72" s="20">
        <v>1468</v>
      </c>
      <c r="C72" s="20">
        <v>549</v>
      </c>
      <c r="D72" s="20" t="s">
        <v>427</v>
      </c>
    </row>
    <row r="73" spans="1:4" x14ac:dyDescent="0.35">
      <c r="A73" s="20" t="s">
        <v>428</v>
      </c>
      <c r="B73" s="20">
        <v>1469</v>
      </c>
      <c r="C73" s="20">
        <v>550</v>
      </c>
      <c r="D73" s="20" t="s">
        <v>428</v>
      </c>
    </row>
    <row r="74" spans="1:4" x14ac:dyDescent="0.35">
      <c r="A74" s="20" t="s">
        <v>429</v>
      </c>
      <c r="B74" s="20">
        <v>1470</v>
      </c>
      <c r="C74" s="20">
        <v>561</v>
      </c>
      <c r="D74" s="20" t="s">
        <v>429</v>
      </c>
    </row>
    <row r="75" spans="1:4" x14ac:dyDescent="0.35">
      <c r="A75" s="20" t="s">
        <v>430</v>
      </c>
      <c r="B75" s="20">
        <v>1471</v>
      </c>
      <c r="C75" s="20">
        <v>552</v>
      </c>
      <c r="D75" s="20" t="s">
        <v>430</v>
      </c>
    </row>
    <row r="76" spans="1:4" x14ac:dyDescent="0.35">
      <c r="A76" s="20" t="s">
        <v>431</v>
      </c>
      <c r="B76" s="20">
        <v>1472</v>
      </c>
      <c r="C76" s="20">
        <v>751</v>
      </c>
      <c r="D76" s="20" t="s">
        <v>431</v>
      </c>
    </row>
    <row r="77" spans="1:4" x14ac:dyDescent="0.35">
      <c r="A77" s="20" t="s">
        <v>432</v>
      </c>
      <c r="B77" s="20">
        <v>1473</v>
      </c>
      <c r="C77" s="20">
        <v>563</v>
      </c>
      <c r="D77" s="20" t="s">
        <v>432</v>
      </c>
    </row>
    <row r="78" spans="1:4" x14ac:dyDescent="0.35">
      <c r="A78" s="20" t="s">
        <v>433</v>
      </c>
      <c r="B78" s="20">
        <v>1474</v>
      </c>
      <c r="C78" s="20">
        <v>564</v>
      </c>
      <c r="D78" s="20" t="s">
        <v>433</v>
      </c>
    </row>
    <row r="79" spans="1:4" x14ac:dyDescent="0.35">
      <c r="A79" s="20" t="s">
        <v>434</v>
      </c>
      <c r="B79" s="20">
        <v>1475</v>
      </c>
      <c r="C79" s="20">
        <v>565</v>
      </c>
      <c r="D79" s="20" t="s">
        <v>434</v>
      </c>
    </row>
    <row r="80" spans="1:4" x14ac:dyDescent="0.35">
      <c r="A80" s="20" t="s">
        <v>435</v>
      </c>
      <c r="B80" s="20">
        <v>1476</v>
      </c>
      <c r="C80" s="20">
        <v>566</v>
      </c>
      <c r="D80" s="20" t="s">
        <v>435</v>
      </c>
    </row>
    <row r="81" spans="1:4" x14ac:dyDescent="0.35">
      <c r="A81" s="20" t="s">
        <v>436</v>
      </c>
      <c r="B81" s="20">
        <v>1477</v>
      </c>
      <c r="C81" s="20">
        <v>567</v>
      </c>
      <c r="D81" s="20" t="s">
        <v>436</v>
      </c>
    </row>
    <row r="82" spans="1:4" x14ac:dyDescent="0.35">
      <c r="A82" s="20" t="s">
        <v>437</v>
      </c>
      <c r="B82" s="20">
        <v>1478</v>
      </c>
      <c r="C82" s="20">
        <v>591</v>
      </c>
      <c r="D82" s="20" t="s">
        <v>437</v>
      </c>
    </row>
    <row r="83" spans="1:4" x14ac:dyDescent="0.35">
      <c r="A83" s="20" t="s">
        <v>438</v>
      </c>
      <c r="B83" s="20">
        <v>1479</v>
      </c>
      <c r="C83" s="20">
        <v>752</v>
      </c>
      <c r="D83" s="20" t="s">
        <v>438</v>
      </c>
    </row>
    <row r="84" spans="1:4" x14ac:dyDescent="0.35">
      <c r="A84" s="20" t="s">
        <v>439</v>
      </c>
      <c r="B84" s="20">
        <v>1479.1</v>
      </c>
      <c r="C84" s="20">
        <v>770</v>
      </c>
      <c r="D84" s="20" t="s">
        <v>439</v>
      </c>
    </row>
    <row r="85" spans="1:4" x14ac:dyDescent="0.35">
      <c r="A85" s="20" t="s">
        <v>440</v>
      </c>
      <c r="B85" s="20">
        <v>1480</v>
      </c>
      <c r="C85" s="20">
        <v>753</v>
      </c>
      <c r="D85" s="20" t="s">
        <v>440</v>
      </c>
    </row>
    <row r="86" spans="1:4" x14ac:dyDescent="0.35">
      <c r="A86" s="20" t="s">
        <v>441</v>
      </c>
      <c r="B86" s="20">
        <v>1481</v>
      </c>
      <c r="C86" s="20">
        <v>754</v>
      </c>
      <c r="D86" s="20" t="s">
        <v>441</v>
      </c>
    </row>
    <row r="87" spans="1:4" x14ac:dyDescent="0.35">
      <c r="A87" s="20" t="s">
        <v>442</v>
      </c>
      <c r="B87" s="20">
        <v>1482</v>
      </c>
      <c r="C87" s="20">
        <v>755</v>
      </c>
      <c r="D87" s="20" t="s">
        <v>442</v>
      </c>
    </row>
    <row r="88" spans="1:4" x14ac:dyDescent="0.35">
      <c r="A88" s="20" t="s">
        <v>443</v>
      </c>
      <c r="B88" s="20">
        <v>1499</v>
      </c>
      <c r="C88" s="20">
        <v>98</v>
      </c>
      <c r="D88" s="20" t="s">
        <v>443</v>
      </c>
    </row>
    <row r="89" spans="1:4" x14ac:dyDescent="0.35">
      <c r="A89" s="20" t="s">
        <v>444</v>
      </c>
      <c r="B89" s="20">
        <v>1600</v>
      </c>
      <c r="C89" s="20">
        <v>4</v>
      </c>
      <c r="D89" s="20" t="s">
        <v>444</v>
      </c>
    </row>
    <row r="90" spans="1:4" x14ac:dyDescent="0.35">
      <c r="A90" s="20" t="s">
        <v>445</v>
      </c>
      <c r="B90" s="20">
        <v>1610</v>
      </c>
      <c r="C90" s="20">
        <v>55</v>
      </c>
      <c r="D90" s="20" t="s">
        <v>445</v>
      </c>
    </row>
    <row r="91" spans="1:4" x14ac:dyDescent="0.35">
      <c r="A91" s="20" t="s">
        <v>446</v>
      </c>
      <c r="B91" s="20">
        <v>1620</v>
      </c>
      <c r="C91" s="20">
        <v>56</v>
      </c>
      <c r="D91" s="20" t="s">
        <v>446</v>
      </c>
    </row>
    <row r="92" spans="1:4" x14ac:dyDescent="0.35">
      <c r="A92" s="20" t="s">
        <v>447</v>
      </c>
      <c r="B92" s="20">
        <v>1630</v>
      </c>
      <c r="C92" s="20">
        <v>58</v>
      </c>
      <c r="D92" s="20" t="s">
        <v>447</v>
      </c>
    </row>
    <row r="93" spans="1:4" x14ac:dyDescent="0.35">
      <c r="A93" s="20" t="s">
        <v>448</v>
      </c>
      <c r="B93" s="20">
        <v>1640</v>
      </c>
      <c r="C93" s="20">
        <v>168</v>
      </c>
      <c r="D93" s="20" t="s">
        <v>448</v>
      </c>
    </row>
    <row r="94" spans="1:4" x14ac:dyDescent="0.35">
      <c r="A94" s="20" t="s">
        <v>449</v>
      </c>
      <c r="B94" s="20">
        <v>1650</v>
      </c>
      <c r="C94" s="20">
        <v>62</v>
      </c>
      <c r="D94" s="20" t="s">
        <v>449</v>
      </c>
    </row>
    <row r="95" spans="1:4" x14ac:dyDescent="0.35">
      <c r="A95" s="20" t="s">
        <v>450</v>
      </c>
      <c r="B95" s="20">
        <v>1660</v>
      </c>
      <c r="C95" s="20">
        <v>112</v>
      </c>
      <c r="D95" s="20" t="s">
        <v>450</v>
      </c>
    </row>
    <row r="96" spans="1:4" x14ac:dyDescent="0.35">
      <c r="A96" s="20" t="s">
        <v>451</v>
      </c>
      <c r="B96" s="20">
        <v>1670</v>
      </c>
      <c r="C96" s="20">
        <v>191</v>
      </c>
      <c r="D96" s="20" t="s">
        <v>451</v>
      </c>
    </row>
    <row r="97" spans="1:4" x14ac:dyDescent="0.35">
      <c r="A97" s="20" t="s">
        <v>452</v>
      </c>
      <c r="B97" s="20">
        <v>1700</v>
      </c>
      <c r="C97" s="20">
        <v>243</v>
      </c>
      <c r="D97" s="20" t="s">
        <v>452</v>
      </c>
    </row>
    <row r="98" spans="1:4" x14ac:dyDescent="0.35">
      <c r="A98" s="20" t="s">
        <v>453</v>
      </c>
      <c r="B98" s="20">
        <v>1720</v>
      </c>
      <c r="C98" s="20">
        <v>57</v>
      </c>
      <c r="D98" s="20" t="s">
        <v>453</v>
      </c>
    </row>
    <row r="99" spans="1:4" x14ac:dyDescent="0.35">
      <c r="A99" s="20" t="s">
        <v>454</v>
      </c>
      <c r="B99" s="20">
        <v>1730</v>
      </c>
      <c r="C99" s="20">
        <v>59</v>
      </c>
      <c r="D99" s="20" t="s">
        <v>454</v>
      </c>
    </row>
    <row r="100" spans="1:4" x14ac:dyDescent="0.35">
      <c r="A100" s="20" t="s">
        <v>455</v>
      </c>
      <c r="B100" s="20">
        <v>1740</v>
      </c>
      <c r="C100" s="20">
        <v>169</v>
      </c>
      <c r="D100" s="20" t="s">
        <v>455</v>
      </c>
    </row>
    <row r="101" spans="1:4" x14ac:dyDescent="0.35">
      <c r="A101" s="20" t="s">
        <v>456</v>
      </c>
      <c r="B101" s="20">
        <v>1750</v>
      </c>
      <c r="C101" s="20">
        <v>63</v>
      </c>
      <c r="D101" s="20" t="s">
        <v>456</v>
      </c>
    </row>
    <row r="102" spans="1:4" x14ac:dyDescent="0.35">
      <c r="A102" s="20" t="s">
        <v>457</v>
      </c>
      <c r="B102" s="20">
        <v>1760</v>
      </c>
      <c r="C102" s="20">
        <v>113</v>
      </c>
      <c r="D102" s="20" t="s">
        <v>457</v>
      </c>
    </row>
    <row r="103" spans="1:4" x14ac:dyDescent="0.35">
      <c r="A103" s="20" t="s">
        <v>458</v>
      </c>
      <c r="B103" s="20">
        <v>2000</v>
      </c>
      <c r="C103" s="20">
        <v>67</v>
      </c>
      <c r="D103" s="20" t="s">
        <v>458</v>
      </c>
    </row>
    <row r="104" spans="1:4" x14ac:dyDescent="0.35">
      <c r="A104" s="20" t="s">
        <v>459</v>
      </c>
      <c r="B104" s="20">
        <v>2100</v>
      </c>
      <c r="C104" s="20">
        <v>769</v>
      </c>
      <c r="D104" s="20" t="s">
        <v>459</v>
      </c>
    </row>
    <row r="105" spans="1:4" x14ac:dyDescent="0.35">
      <c r="A105" s="20" t="s">
        <v>460</v>
      </c>
      <c r="B105" s="20">
        <v>2105</v>
      </c>
      <c r="C105" s="20">
        <v>244</v>
      </c>
      <c r="D105" s="20" t="s">
        <v>460</v>
      </c>
    </row>
    <row r="106" spans="1:4" x14ac:dyDescent="0.35">
      <c r="A106" s="20" t="s">
        <v>461</v>
      </c>
      <c r="B106" s="20">
        <v>2150</v>
      </c>
      <c r="C106" s="20">
        <v>245</v>
      </c>
      <c r="D106" s="20" t="s">
        <v>461</v>
      </c>
    </row>
    <row r="107" spans="1:4" x14ac:dyDescent="0.35">
      <c r="A107" s="20" t="s">
        <v>462</v>
      </c>
      <c r="B107" s="20">
        <v>2150.1</v>
      </c>
      <c r="C107" s="20">
        <v>726</v>
      </c>
      <c r="D107" s="20" t="s">
        <v>462</v>
      </c>
    </row>
    <row r="108" spans="1:4" x14ac:dyDescent="0.35">
      <c r="A108" s="20" t="s">
        <v>463</v>
      </c>
      <c r="B108" s="20">
        <v>2152</v>
      </c>
      <c r="C108" s="20">
        <v>789</v>
      </c>
      <c r="D108" s="20" t="s">
        <v>463</v>
      </c>
    </row>
    <row r="109" spans="1:4" x14ac:dyDescent="0.35">
      <c r="A109" s="20" t="s">
        <v>464</v>
      </c>
      <c r="B109" s="20">
        <v>2156</v>
      </c>
      <c r="C109" s="20">
        <v>625</v>
      </c>
      <c r="D109" s="20" t="s">
        <v>464</v>
      </c>
    </row>
    <row r="110" spans="1:4" x14ac:dyDescent="0.35">
      <c r="A110" s="20" t="s">
        <v>465</v>
      </c>
      <c r="B110" s="20">
        <v>2157</v>
      </c>
      <c r="C110" s="20">
        <v>626</v>
      </c>
      <c r="D110" s="20" t="s">
        <v>465</v>
      </c>
    </row>
    <row r="111" spans="1:4" x14ac:dyDescent="0.35">
      <c r="A111" s="20" t="s">
        <v>466</v>
      </c>
      <c r="B111" s="20">
        <v>2160</v>
      </c>
      <c r="C111" s="20">
        <v>624</v>
      </c>
      <c r="D111" s="20" t="s">
        <v>466</v>
      </c>
    </row>
    <row r="112" spans="1:4" x14ac:dyDescent="0.35">
      <c r="A112" s="20" t="s">
        <v>467</v>
      </c>
      <c r="B112" s="20">
        <v>2161</v>
      </c>
      <c r="C112" s="20">
        <v>377</v>
      </c>
      <c r="D112" s="20" t="s">
        <v>467</v>
      </c>
    </row>
    <row r="113" spans="1:4" x14ac:dyDescent="0.35">
      <c r="A113" s="20" t="s">
        <v>468</v>
      </c>
      <c r="B113" s="20">
        <v>2162</v>
      </c>
      <c r="C113" s="20">
        <v>733</v>
      </c>
      <c r="D113" s="20" t="s">
        <v>468</v>
      </c>
    </row>
    <row r="114" spans="1:4" x14ac:dyDescent="0.35">
      <c r="A114" s="20" t="s">
        <v>469</v>
      </c>
      <c r="B114" s="20">
        <v>2163</v>
      </c>
      <c r="C114" s="20">
        <v>734</v>
      </c>
      <c r="D114" s="20" t="s">
        <v>469</v>
      </c>
    </row>
    <row r="115" spans="1:4" x14ac:dyDescent="0.35">
      <c r="A115" s="20" t="s">
        <v>470</v>
      </c>
      <c r="B115" s="20">
        <v>2164</v>
      </c>
      <c r="C115" s="20">
        <v>737</v>
      </c>
      <c r="D115" s="20" t="s">
        <v>470</v>
      </c>
    </row>
    <row r="116" spans="1:4" x14ac:dyDescent="0.35">
      <c r="A116" s="20" t="s">
        <v>471</v>
      </c>
      <c r="B116" s="20">
        <v>2165</v>
      </c>
      <c r="C116" s="20">
        <v>8</v>
      </c>
      <c r="D116" s="20" t="s">
        <v>471</v>
      </c>
    </row>
    <row r="117" spans="1:4" x14ac:dyDescent="0.35">
      <c r="A117" s="20" t="s">
        <v>472</v>
      </c>
      <c r="B117" s="20">
        <v>2167</v>
      </c>
      <c r="C117" s="20">
        <v>749</v>
      </c>
      <c r="D117" s="20" t="s">
        <v>472</v>
      </c>
    </row>
    <row r="118" spans="1:4" x14ac:dyDescent="0.35">
      <c r="A118" s="20" t="s">
        <v>473</v>
      </c>
      <c r="B118" s="20">
        <v>2200</v>
      </c>
      <c r="C118" s="20">
        <v>246</v>
      </c>
      <c r="D118" s="20" t="s">
        <v>473</v>
      </c>
    </row>
    <row r="119" spans="1:4" x14ac:dyDescent="0.35">
      <c r="A119" s="20" t="s">
        <v>474</v>
      </c>
      <c r="B119" s="20">
        <v>2201</v>
      </c>
      <c r="C119" s="20">
        <v>529</v>
      </c>
      <c r="D119" s="20" t="s">
        <v>474</v>
      </c>
    </row>
    <row r="120" spans="1:4" x14ac:dyDescent="0.35">
      <c r="A120" s="20" t="s">
        <v>475</v>
      </c>
      <c r="B120" s="20">
        <v>2210</v>
      </c>
      <c r="C120" s="20">
        <v>76</v>
      </c>
      <c r="D120" s="20" t="s">
        <v>475</v>
      </c>
    </row>
    <row r="121" spans="1:4" x14ac:dyDescent="0.35">
      <c r="A121" s="20" t="s">
        <v>476</v>
      </c>
      <c r="B121" s="20">
        <v>2220</v>
      </c>
      <c r="C121" s="20">
        <v>102</v>
      </c>
      <c r="D121" s="20" t="s">
        <v>476</v>
      </c>
    </row>
    <row r="122" spans="1:4" x14ac:dyDescent="0.35">
      <c r="A122" s="20" t="s">
        <v>477</v>
      </c>
      <c r="B122" s="20">
        <v>2222</v>
      </c>
      <c r="C122" s="20">
        <v>415</v>
      </c>
      <c r="D122" s="20" t="s">
        <v>477</v>
      </c>
    </row>
    <row r="123" spans="1:4" x14ac:dyDescent="0.35">
      <c r="A123" s="20" t="s">
        <v>478</v>
      </c>
      <c r="B123" s="20">
        <v>2230</v>
      </c>
      <c r="C123" s="20">
        <v>247</v>
      </c>
      <c r="D123" s="20" t="s">
        <v>478</v>
      </c>
    </row>
    <row r="124" spans="1:4" x14ac:dyDescent="0.35">
      <c r="A124" s="20" t="s">
        <v>479</v>
      </c>
      <c r="B124" s="20">
        <v>2240</v>
      </c>
      <c r="C124" s="20">
        <v>93</v>
      </c>
      <c r="D124" s="20" t="s">
        <v>479</v>
      </c>
    </row>
    <row r="125" spans="1:4" x14ac:dyDescent="0.35">
      <c r="A125" s="20" t="s">
        <v>291</v>
      </c>
      <c r="B125" s="20">
        <v>2241</v>
      </c>
      <c r="C125" s="20">
        <v>493</v>
      </c>
      <c r="D125" s="20" t="s">
        <v>291</v>
      </c>
    </row>
    <row r="126" spans="1:4" x14ac:dyDescent="0.35">
      <c r="A126" s="20" t="s">
        <v>480</v>
      </c>
      <c r="B126" s="20">
        <v>2242</v>
      </c>
      <c r="C126" s="20">
        <v>494</v>
      </c>
      <c r="D126" s="20" t="s">
        <v>480</v>
      </c>
    </row>
    <row r="127" spans="1:4" x14ac:dyDescent="0.35">
      <c r="A127" s="20" t="s">
        <v>481</v>
      </c>
      <c r="B127" s="20">
        <v>2243</v>
      </c>
      <c r="C127" s="20">
        <v>498</v>
      </c>
      <c r="D127" s="20" t="s">
        <v>481</v>
      </c>
    </row>
    <row r="128" spans="1:4" x14ac:dyDescent="0.35">
      <c r="A128" s="20" t="s">
        <v>482</v>
      </c>
      <c r="B128" s="20">
        <v>2244</v>
      </c>
      <c r="C128" s="20">
        <v>499</v>
      </c>
      <c r="D128" s="20" t="s">
        <v>482</v>
      </c>
    </row>
    <row r="129" spans="1:4" x14ac:dyDescent="0.35">
      <c r="A129" s="20" t="s">
        <v>483</v>
      </c>
      <c r="B129" s="20">
        <v>2250</v>
      </c>
      <c r="C129" s="20">
        <v>77</v>
      </c>
      <c r="D129" s="20" t="s">
        <v>483</v>
      </c>
    </row>
    <row r="130" spans="1:4" x14ac:dyDescent="0.35">
      <c r="A130" s="20" t="s">
        <v>290</v>
      </c>
      <c r="B130" s="20">
        <v>2260</v>
      </c>
      <c r="C130" s="20">
        <v>210</v>
      </c>
      <c r="D130" s="20" t="s">
        <v>290</v>
      </c>
    </row>
    <row r="131" spans="1:4" x14ac:dyDescent="0.35">
      <c r="A131" s="20" t="s">
        <v>484</v>
      </c>
      <c r="B131" s="20">
        <v>2261</v>
      </c>
      <c r="C131" s="20">
        <v>617</v>
      </c>
      <c r="D131" s="20" t="s">
        <v>484</v>
      </c>
    </row>
    <row r="132" spans="1:4" x14ac:dyDescent="0.35">
      <c r="A132" s="20" t="s">
        <v>485</v>
      </c>
      <c r="B132" s="20">
        <v>2270</v>
      </c>
      <c r="C132" s="20">
        <v>73</v>
      </c>
      <c r="D132" s="20" t="s">
        <v>485</v>
      </c>
    </row>
    <row r="133" spans="1:4" x14ac:dyDescent="0.35">
      <c r="A133" s="20" t="s">
        <v>486</v>
      </c>
      <c r="B133" s="20">
        <v>2300</v>
      </c>
      <c r="C133" s="20">
        <v>79</v>
      </c>
      <c r="D133" s="20" t="s">
        <v>486</v>
      </c>
    </row>
    <row r="134" spans="1:4" x14ac:dyDescent="0.35">
      <c r="A134" s="20" t="s">
        <v>487</v>
      </c>
      <c r="B134" s="20">
        <v>2301</v>
      </c>
      <c r="C134" s="20">
        <v>458</v>
      </c>
      <c r="D134" s="20" t="s">
        <v>487</v>
      </c>
    </row>
    <row r="135" spans="1:4" x14ac:dyDescent="0.35">
      <c r="A135" s="20" t="s">
        <v>488</v>
      </c>
      <c r="B135" s="20">
        <v>2302</v>
      </c>
      <c r="C135" s="20">
        <v>459</v>
      </c>
      <c r="D135" s="20" t="s">
        <v>488</v>
      </c>
    </row>
    <row r="136" spans="1:4" x14ac:dyDescent="0.35">
      <c r="A136" s="20" t="s">
        <v>489</v>
      </c>
      <c r="B136" s="20">
        <v>2302.1</v>
      </c>
      <c r="C136" s="20">
        <v>492</v>
      </c>
      <c r="D136" s="20" t="s">
        <v>489</v>
      </c>
    </row>
    <row r="137" spans="1:4" x14ac:dyDescent="0.35">
      <c r="A137" s="20" t="s">
        <v>490</v>
      </c>
      <c r="B137" s="20">
        <v>2302.1999999999998</v>
      </c>
      <c r="C137" s="20">
        <v>569</v>
      </c>
      <c r="D137" s="20" t="s">
        <v>490</v>
      </c>
    </row>
    <row r="138" spans="1:4" x14ac:dyDescent="0.35">
      <c r="A138" s="20" t="s">
        <v>491</v>
      </c>
      <c r="B138" s="20">
        <v>2303</v>
      </c>
      <c r="C138" s="20">
        <v>465</v>
      </c>
      <c r="D138" s="20" t="s">
        <v>491</v>
      </c>
    </row>
    <row r="139" spans="1:4" x14ac:dyDescent="0.35">
      <c r="A139" s="20" t="s">
        <v>492</v>
      </c>
      <c r="B139" s="20">
        <v>2303.1</v>
      </c>
      <c r="C139" s="20">
        <v>805</v>
      </c>
      <c r="D139" s="20" t="s">
        <v>492</v>
      </c>
    </row>
    <row r="140" spans="1:4" x14ac:dyDescent="0.35">
      <c r="A140" s="20" t="s">
        <v>493</v>
      </c>
      <c r="B140" s="20">
        <v>2304</v>
      </c>
      <c r="C140" s="20">
        <v>467</v>
      </c>
      <c r="D140" s="20" t="s">
        <v>493</v>
      </c>
    </row>
    <row r="141" spans="1:4" x14ac:dyDescent="0.35">
      <c r="A141" s="20" t="s">
        <v>494</v>
      </c>
      <c r="B141" s="20">
        <v>2304.1</v>
      </c>
      <c r="C141" s="20">
        <v>514</v>
      </c>
      <c r="D141" s="20" t="s">
        <v>494</v>
      </c>
    </row>
    <row r="142" spans="1:4" x14ac:dyDescent="0.35">
      <c r="A142" s="20" t="s">
        <v>495</v>
      </c>
      <c r="B142" s="20">
        <v>2305</v>
      </c>
      <c r="C142" s="20">
        <v>732</v>
      </c>
      <c r="D142" s="20" t="s">
        <v>495</v>
      </c>
    </row>
    <row r="143" spans="1:4" x14ac:dyDescent="0.35">
      <c r="A143" s="20" t="s">
        <v>496</v>
      </c>
      <c r="B143" s="20">
        <v>2306</v>
      </c>
      <c r="C143" s="20">
        <v>772</v>
      </c>
      <c r="D143" s="20" t="s">
        <v>496</v>
      </c>
    </row>
    <row r="144" spans="1:4" x14ac:dyDescent="0.35">
      <c r="A144" s="20" t="s">
        <v>497</v>
      </c>
      <c r="B144" s="20">
        <v>2307</v>
      </c>
      <c r="C144" s="20">
        <v>786</v>
      </c>
      <c r="D144" s="20" t="s">
        <v>497</v>
      </c>
    </row>
    <row r="145" spans="1:4" x14ac:dyDescent="0.35">
      <c r="A145" s="20" t="s">
        <v>498</v>
      </c>
      <c r="B145" s="20">
        <v>2307.1</v>
      </c>
      <c r="C145" s="20">
        <v>787</v>
      </c>
      <c r="D145" s="20" t="s">
        <v>498</v>
      </c>
    </row>
    <row r="146" spans="1:4" x14ac:dyDescent="0.35">
      <c r="A146" s="20" t="s">
        <v>499</v>
      </c>
      <c r="B146" s="20">
        <v>2307.1999999999998</v>
      </c>
      <c r="C146" s="20">
        <v>788</v>
      </c>
      <c r="D146" s="20" t="s">
        <v>499</v>
      </c>
    </row>
    <row r="147" spans="1:4" x14ac:dyDescent="0.35">
      <c r="A147" s="20" t="s">
        <v>500</v>
      </c>
      <c r="B147" s="20">
        <v>2307.3000000000002</v>
      </c>
      <c r="C147" s="20">
        <v>790</v>
      </c>
      <c r="D147" s="20" t="s">
        <v>500</v>
      </c>
    </row>
    <row r="148" spans="1:4" x14ac:dyDescent="0.35">
      <c r="A148" s="20" t="s">
        <v>501</v>
      </c>
      <c r="B148" s="20">
        <v>2307.4</v>
      </c>
      <c r="C148" s="20">
        <v>791</v>
      </c>
      <c r="D148" s="20" t="s">
        <v>501</v>
      </c>
    </row>
    <row r="149" spans="1:4" x14ac:dyDescent="0.35">
      <c r="A149" s="20" t="s">
        <v>502</v>
      </c>
      <c r="B149" s="20">
        <v>2400</v>
      </c>
      <c r="C149" s="20">
        <v>248</v>
      </c>
      <c r="D149" s="20" t="s">
        <v>502</v>
      </c>
    </row>
    <row r="150" spans="1:4" x14ac:dyDescent="0.35">
      <c r="A150" s="20" t="s">
        <v>503</v>
      </c>
      <c r="B150" s="20">
        <v>2410</v>
      </c>
      <c r="C150" s="20">
        <v>192</v>
      </c>
      <c r="D150" s="20" t="s">
        <v>503</v>
      </c>
    </row>
    <row r="151" spans="1:4" x14ac:dyDescent="0.35">
      <c r="A151" s="20" t="s">
        <v>504</v>
      </c>
      <c r="B151" s="20">
        <v>2428</v>
      </c>
      <c r="C151" s="20">
        <v>750</v>
      </c>
      <c r="D151" s="20" t="s">
        <v>504</v>
      </c>
    </row>
    <row r="152" spans="1:4" x14ac:dyDescent="0.35">
      <c r="A152" s="20" t="s">
        <v>505</v>
      </c>
      <c r="B152" s="20">
        <v>2429</v>
      </c>
      <c r="C152" s="20">
        <v>739</v>
      </c>
      <c r="D152" s="20" t="s">
        <v>505</v>
      </c>
    </row>
    <row r="153" spans="1:4" x14ac:dyDescent="0.35">
      <c r="A153" s="20" t="s">
        <v>506</v>
      </c>
      <c r="B153" s="20">
        <v>2430</v>
      </c>
      <c r="C153" s="20">
        <v>214</v>
      </c>
      <c r="D153" s="20" t="s">
        <v>506</v>
      </c>
    </row>
    <row r="154" spans="1:4" x14ac:dyDescent="0.35">
      <c r="A154" s="20" t="s">
        <v>507</v>
      </c>
      <c r="B154" s="20">
        <v>2431</v>
      </c>
      <c r="C154" s="20">
        <v>735</v>
      </c>
      <c r="D154" s="20" t="s">
        <v>507</v>
      </c>
    </row>
    <row r="155" spans="1:4" x14ac:dyDescent="0.35">
      <c r="A155" s="20" t="s">
        <v>508</v>
      </c>
      <c r="B155" s="20">
        <v>2432</v>
      </c>
      <c r="C155" s="20">
        <v>736</v>
      </c>
      <c r="D155" s="20" t="s">
        <v>508</v>
      </c>
    </row>
    <row r="156" spans="1:4" x14ac:dyDescent="0.35">
      <c r="A156" s="20" t="s">
        <v>509</v>
      </c>
      <c r="B156" s="20">
        <v>3000</v>
      </c>
      <c r="C156" s="20">
        <v>3</v>
      </c>
      <c r="D156" s="20" t="s">
        <v>509</v>
      </c>
    </row>
    <row r="157" spans="1:4" x14ac:dyDescent="0.35">
      <c r="A157" s="20" t="s">
        <v>510</v>
      </c>
      <c r="B157" s="20">
        <v>3100</v>
      </c>
      <c r="C157" s="20">
        <v>44</v>
      </c>
      <c r="D157" s="20" t="s">
        <v>510</v>
      </c>
    </row>
    <row r="158" spans="1:4" x14ac:dyDescent="0.35">
      <c r="A158" s="20" t="s">
        <v>511</v>
      </c>
      <c r="B158" s="20">
        <v>3110</v>
      </c>
      <c r="C158" s="20">
        <v>249</v>
      </c>
      <c r="D158" s="20" t="s">
        <v>511</v>
      </c>
    </row>
    <row r="159" spans="1:4" x14ac:dyDescent="0.35">
      <c r="A159" s="20" t="s">
        <v>512</v>
      </c>
      <c r="B159" s="20">
        <v>3120</v>
      </c>
      <c r="C159" s="20">
        <v>250</v>
      </c>
      <c r="D159" s="20" t="s">
        <v>512</v>
      </c>
    </row>
    <row r="160" spans="1:4" x14ac:dyDescent="0.35">
      <c r="A160" s="20" t="s">
        <v>513</v>
      </c>
      <c r="B160" s="20">
        <v>3200</v>
      </c>
      <c r="C160" s="20">
        <v>45</v>
      </c>
      <c r="D160" s="20" t="s">
        <v>513</v>
      </c>
    </row>
    <row r="161" spans="1:4" x14ac:dyDescent="0.35">
      <c r="A161" s="20" t="s">
        <v>514</v>
      </c>
      <c r="B161" s="20">
        <v>4000</v>
      </c>
      <c r="C161" s="20">
        <v>9</v>
      </c>
      <c r="D161" s="20" t="s">
        <v>514</v>
      </c>
    </row>
    <row r="162" spans="1:4" x14ac:dyDescent="0.35">
      <c r="A162" s="20" t="s">
        <v>515</v>
      </c>
      <c r="B162" s="20">
        <v>4010</v>
      </c>
      <c r="C162" s="20">
        <v>12</v>
      </c>
      <c r="D162" s="20" t="s">
        <v>515</v>
      </c>
    </row>
    <row r="163" spans="1:4" x14ac:dyDescent="0.35">
      <c r="A163" s="20" t="s">
        <v>516</v>
      </c>
      <c r="B163" s="20">
        <v>4011</v>
      </c>
      <c r="C163" s="20">
        <v>464</v>
      </c>
      <c r="D163" s="20" t="s">
        <v>516</v>
      </c>
    </row>
    <row r="164" spans="1:4" x14ac:dyDescent="0.35">
      <c r="A164" s="20" t="s">
        <v>517</v>
      </c>
      <c r="B164" s="20">
        <v>4012</v>
      </c>
      <c r="C164" s="20">
        <v>601</v>
      </c>
      <c r="D164" s="20" t="s">
        <v>517</v>
      </c>
    </row>
    <row r="165" spans="1:4" x14ac:dyDescent="0.35">
      <c r="A165" s="20" t="s">
        <v>518</v>
      </c>
      <c r="B165" s="20">
        <v>4013</v>
      </c>
      <c r="C165" s="20">
        <v>713</v>
      </c>
      <c r="D165" s="20" t="s">
        <v>518</v>
      </c>
    </row>
    <row r="166" spans="1:4" x14ac:dyDescent="0.35">
      <c r="A166" s="20" t="s">
        <v>491</v>
      </c>
      <c r="B166" s="20">
        <v>4014</v>
      </c>
      <c r="C166" s="20">
        <v>466</v>
      </c>
      <c r="D166" s="20" t="s">
        <v>491</v>
      </c>
    </row>
    <row r="167" spans="1:4" x14ac:dyDescent="0.35">
      <c r="A167" s="20" t="s">
        <v>519</v>
      </c>
      <c r="B167" s="20">
        <v>4015</v>
      </c>
      <c r="C167" s="20">
        <v>251</v>
      </c>
      <c r="D167" s="20" t="s">
        <v>519</v>
      </c>
    </row>
    <row r="168" spans="1:4" x14ac:dyDescent="0.35">
      <c r="A168" s="20" t="s">
        <v>520</v>
      </c>
      <c r="B168" s="20">
        <v>4016</v>
      </c>
      <c r="C168" s="20">
        <v>460</v>
      </c>
      <c r="D168" s="20" t="s">
        <v>520</v>
      </c>
    </row>
    <row r="169" spans="1:4" x14ac:dyDescent="0.35">
      <c r="A169" s="20" t="s">
        <v>521</v>
      </c>
      <c r="B169" s="20">
        <v>4017</v>
      </c>
      <c r="C169" s="20">
        <v>462</v>
      </c>
      <c r="D169" s="20" t="s">
        <v>521</v>
      </c>
    </row>
    <row r="170" spans="1:4" x14ac:dyDescent="0.35">
      <c r="A170" s="20" t="s">
        <v>522</v>
      </c>
      <c r="B170" s="20">
        <v>4018</v>
      </c>
      <c r="C170" s="20">
        <v>461</v>
      </c>
      <c r="D170" s="20" t="s">
        <v>522</v>
      </c>
    </row>
    <row r="171" spans="1:4" x14ac:dyDescent="0.35">
      <c r="A171" s="20" t="s">
        <v>523</v>
      </c>
      <c r="B171" s="20">
        <v>4018.1</v>
      </c>
      <c r="C171" s="20">
        <v>632</v>
      </c>
      <c r="D171" s="20" t="s">
        <v>523</v>
      </c>
    </row>
    <row r="172" spans="1:4" x14ac:dyDescent="0.35">
      <c r="A172" s="20" t="s">
        <v>524</v>
      </c>
      <c r="B172" s="20">
        <v>4018.2</v>
      </c>
      <c r="C172" s="20">
        <v>784</v>
      </c>
      <c r="D172" s="20" t="s">
        <v>524</v>
      </c>
    </row>
    <row r="173" spans="1:4" x14ac:dyDescent="0.35">
      <c r="A173" s="20" t="s">
        <v>525</v>
      </c>
      <c r="B173" s="20">
        <v>4019</v>
      </c>
      <c r="C173" s="20">
        <v>463</v>
      </c>
      <c r="D173" s="20" t="s">
        <v>525</v>
      </c>
    </row>
    <row r="174" spans="1:4" x14ac:dyDescent="0.35">
      <c r="A174" s="20" t="s">
        <v>526</v>
      </c>
      <c r="B174" s="20">
        <v>4020</v>
      </c>
      <c r="C174" s="20">
        <v>10</v>
      </c>
      <c r="D174" s="20" t="s">
        <v>526</v>
      </c>
    </row>
    <row r="175" spans="1:4" x14ac:dyDescent="0.35">
      <c r="A175" s="20" t="s">
        <v>527</v>
      </c>
      <c r="B175" s="20">
        <v>4021</v>
      </c>
      <c r="C175" s="20">
        <v>471</v>
      </c>
      <c r="D175" s="20" t="s">
        <v>527</v>
      </c>
    </row>
    <row r="176" spans="1:4" x14ac:dyDescent="0.35">
      <c r="A176" s="20" t="s">
        <v>528</v>
      </c>
      <c r="B176" s="20">
        <v>4022</v>
      </c>
      <c r="C176" s="20">
        <v>472</v>
      </c>
      <c r="D176" s="20" t="s">
        <v>528</v>
      </c>
    </row>
    <row r="177" spans="1:4" x14ac:dyDescent="0.35">
      <c r="A177" s="20" t="s">
        <v>529</v>
      </c>
      <c r="B177" s="20">
        <v>4023</v>
      </c>
      <c r="C177" s="20">
        <v>477</v>
      </c>
      <c r="D177" s="20" t="s">
        <v>529</v>
      </c>
    </row>
    <row r="178" spans="1:4" x14ac:dyDescent="0.35">
      <c r="A178" s="20" t="s">
        <v>530</v>
      </c>
      <c r="B178" s="20">
        <v>4024</v>
      </c>
      <c r="C178" s="20">
        <v>478</v>
      </c>
      <c r="D178" s="20" t="s">
        <v>530</v>
      </c>
    </row>
    <row r="179" spans="1:4" x14ac:dyDescent="0.35">
      <c r="A179" s="20" t="s">
        <v>531</v>
      </c>
      <c r="B179" s="20">
        <v>4025</v>
      </c>
      <c r="C179" s="20">
        <v>628</v>
      </c>
      <c r="D179" s="20" t="s">
        <v>531</v>
      </c>
    </row>
    <row r="180" spans="1:4" x14ac:dyDescent="0.35">
      <c r="A180" s="20" t="s">
        <v>532</v>
      </c>
      <c r="B180" s="20">
        <v>4026</v>
      </c>
      <c r="C180" s="20">
        <v>761</v>
      </c>
      <c r="D180" s="20" t="s">
        <v>532</v>
      </c>
    </row>
    <row r="181" spans="1:4" x14ac:dyDescent="0.35">
      <c r="A181" s="20" t="s">
        <v>533</v>
      </c>
      <c r="B181" s="20">
        <v>4027</v>
      </c>
      <c r="C181" s="20">
        <v>762</v>
      </c>
      <c r="D181" s="20" t="s">
        <v>533</v>
      </c>
    </row>
    <row r="182" spans="1:4" x14ac:dyDescent="0.35">
      <c r="A182" s="20" t="s">
        <v>534</v>
      </c>
      <c r="B182" s="20">
        <v>4027.1</v>
      </c>
      <c r="C182" s="20">
        <v>780</v>
      </c>
      <c r="D182" s="20" t="s">
        <v>534</v>
      </c>
    </row>
    <row r="183" spans="1:4" x14ac:dyDescent="0.35">
      <c r="A183" s="20" t="s">
        <v>535</v>
      </c>
      <c r="B183" s="20">
        <v>4028</v>
      </c>
      <c r="C183" s="20">
        <v>763</v>
      </c>
      <c r="D183" s="20" t="s">
        <v>535</v>
      </c>
    </row>
    <row r="184" spans="1:4" x14ac:dyDescent="0.35">
      <c r="A184" s="20" t="s">
        <v>536</v>
      </c>
      <c r="B184" s="20">
        <v>4029</v>
      </c>
      <c r="C184" s="20">
        <v>773</v>
      </c>
      <c r="D184" s="20" t="s">
        <v>536</v>
      </c>
    </row>
    <row r="185" spans="1:4" x14ac:dyDescent="0.35">
      <c r="A185" s="20" t="s">
        <v>537</v>
      </c>
      <c r="B185" s="20">
        <v>4070</v>
      </c>
      <c r="C185" s="20">
        <v>252</v>
      </c>
      <c r="D185" s="20" t="s">
        <v>537</v>
      </c>
    </row>
    <row r="186" spans="1:4" x14ac:dyDescent="0.35">
      <c r="A186" s="20" t="s">
        <v>538</v>
      </c>
      <c r="B186" s="20">
        <v>4071</v>
      </c>
      <c r="C186" s="20">
        <v>473</v>
      </c>
      <c r="D186" s="20" t="s">
        <v>538</v>
      </c>
    </row>
    <row r="187" spans="1:4" x14ac:dyDescent="0.35">
      <c r="A187" s="20" t="s">
        <v>539</v>
      </c>
      <c r="B187" s="20">
        <v>4072</v>
      </c>
      <c r="C187" s="20">
        <v>474</v>
      </c>
      <c r="D187" s="20" t="s">
        <v>539</v>
      </c>
    </row>
    <row r="188" spans="1:4" x14ac:dyDescent="0.35">
      <c r="A188" s="20" t="s">
        <v>540</v>
      </c>
      <c r="B188" s="20">
        <v>4073</v>
      </c>
      <c r="C188" s="20">
        <v>764</v>
      </c>
      <c r="D188" s="20" t="s">
        <v>540</v>
      </c>
    </row>
    <row r="189" spans="1:4" x14ac:dyDescent="0.35">
      <c r="A189" s="20" t="s">
        <v>541</v>
      </c>
      <c r="B189" s="20">
        <v>4074</v>
      </c>
      <c r="C189" s="20">
        <v>771</v>
      </c>
      <c r="D189" s="20" t="s">
        <v>541</v>
      </c>
    </row>
    <row r="190" spans="1:4" x14ac:dyDescent="0.35">
      <c r="A190" s="20" t="s">
        <v>542</v>
      </c>
      <c r="B190" s="20">
        <v>4100</v>
      </c>
      <c r="C190" s="20">
        <v>11</v>
      </c>
      <c r="D190" s="20" t="s">
        <v>542</v>
      </c>
    </row>
    <row r="191" spans="1:4" x14ac:dyDescent="0.35">
      <c r="A191" s="20" t="s">
        <v>543</v>
      </c>
      <c r="B191" s="20">
        <v>4110</v>
      </c>
      <c r="C191" s="20">
        <v>253</v>
      </c>
      <c r="D191" s="20" t="s">
        <v>543</v>
      </c>
    </row>
    <row r="192" spans="1:4" x14ac:dyDescent="0.35">
      <c r="A192" s="20" t="s">
        <v>544</v>
      </c>
      <c r="B192" s="20">
        <v>4120</v>
      </c>
      <c r="C192" s="20">
        <v>254</v>
      </c>
      <c r="D192" s="20" t="s">
        <v>544</v>
      </c>
    </row>
    <row r="193" spans="1:4" x14ac:dyDescent="0.35">
      <c r="A193" s="20" t="s">
        <v>545</v>
      </c>
      <c r="B193" s="20">
        <v>4130</v>
      </c>
      <c r="C193" s="20">
        <v>255</v>
      </c>
      <c r="D193" s="20" t="s">
        <v>545</v>
      </c>
    </row>
    <row r="194" spans="1:4" x14ac:dyDescent="0.35">
      <c r="A194" s="20" t="s">
        <v>546</v>
      </c>
      <c r="B194" s="20">
        <v>4140</v>
      </c>
      <c r="C194" s="20">
        <v>256</v>
      </c>
      <c r="D194" s="20" t="s">
        <v>546</v>
      </c>
    </row>
    <row r="195" spans="1:4" x14ac:dyDescent="0.35">
      <c r="A195" s="20" t="s">
        <v>547</v>
      </c>
      <c r="B195" s="20">
        <v>4200</v>
      </c>
      <c r="C195" s="20">
        <v>257</v>
      </c>
      <c r="D195" s="20" t="s">
        <v>547</v>
      </c>
    </row>
    <row r="196" spans="1:4" x14ac:dyDescent="0.35">
      <c r="A196" s="20" t="s">
        <v>548</v>
      </c>
      <c r="B196" s="20">
        <v>4210</v>
      </c>
      <c r="C196" s="20">
        <v>140</v>
      </c>
      <c r="D196" s="20" t="s">
        <v>548</v>
      </c>
    </row>
    <row r="197" spans="1:4" x14ac:dyDescent="0.35">
      <c r="A197" s="20" t="s">
        <v>549</v>
      </c>
      <c r="B197" s="20">
        <v>4230</v>
      </c>
      <c r="C197" s="20">
        <v>258</v>
      </c>
      <c r="D197" s="20" t="s">
        <v>549</v>
      </c>
    </row>
    <row r="198" spans="1:4" x14ac:dyDescent="0.35">
      <c r="A198" s="20" t="s">
        <v>550</v>
      </c>
      <c r="B198" s="20">
        <v>4250</v>
      </c>
      <c r="C198" s="20">
        <v>259</v>
      </c>
      <c r="D198" s="20" t="s">
        <v>550</v>
      </c>
    </row>
    <row r="199" spans="1:4" x14ac:dyDescent="0.35">
      <c r="A199" s="20" t="s">
        <v>551</v>
      </c>
      <c r="B199" s="20">
        <v>4500</v>
      </c>
      <c r="C199" s="20">
        <v>260</v>
      </c>
      <c r="D199" s="20" t="s">
        <v>551</v>
      </c>
    </row>
    <row r="200" spans="1:4" x14ac:dyDescent="0.35">
      <c r="A200" s="20" t="s">
        <v>552</v>
      </c>
      <c r="B200" s="20">
        <v>4520</v>
      </c>
      <c r="C200" s="20">
        <v>261</v>
      </c>
      <c r="D200" s="20" t="s">
        <v>552</v>
      </c>
    </row>
    <row r="201" spans="1:4" x14ac:dyDescent="0.35">
      <c r="A201" s="20" t="s">
        <v>553</v>
      </c>
      <c r="B201" s="20">
        <v>4521</v>
      </c>
      <c r="C201" s="20">
        <v>416</v>
      </c>
      <c r="D201" s="20" t="s">
        <v>553</v>
      </c>
    </row>
    <row r="202" spans="1:4" x14ac:dyDescent="0.35">
      <c r="A202" s="20" t="s">
        <v>554</v>
      </c>
      <c r="B202" s="20">
        <v>4521.1000000000004</v>
      </c>
      <c r="C202" s="20">
        <v>517</v>
      </c>
      <c r="D202" s="20" t="s">
        <v>554</v>
      </c>
    </row>
    <row r="203" spans="1:4" x14ac:dyDescent="0.35">
      <c r="A203" s="20" t="s">
        <v>555</v>
      </c>
      <c r="B203" s="20">
        <v>4521.2</v>
      </c>
      <c r="C203" s="20">
        <v>583</v>
      </c>
      <c r="D203" s="20" t="s">
        <v>555</v>
      </c>
    </row>
    <row r="204" spans="1:4" x14ac:dyDescent="0.35">
      <c r="A204" s="20" t="s">
        <v>556</v>
      </c>
      <c r="B204" s="20">
        <v>4521.3</v>
      </c>
      <c r="C204" s="20">
        <v>775</v>
      </c>
      <c r="D204" s="20" t="s">
        <v>556</v>
      </c>
    </row>
    <row r="205" spans="1:4" x14ac:dyDescent="0.35">
      <c r="A205" s="20" t="s">
        <v>557</v>
      </c>
      <c r="B205" s="20">
        <v>4522</v>
      </c>
      <c r="C205" s="20">
        <v>417</v>
      </c>
      <c r="D205" s="20" t="s">
        <v>557</v>
      </c>
    </row>
    <row r="206" spans="1:4" x14ac:dyDescent="0.35">
      <c r="A206" s="20" t="s">
        <v>558</v>
      </c>
      <c r="B206" s="20">
        <v>4523</v>
      </c>
      <c r="C206" s="20">
        <v>452</v>
      </c>
      <c r="D206" s="20" t="s">
        <v>558</v>
      </c>
    </row>
    <row r="207" spans="1:4" x14ac:dyDescent="0.35">
      <c r="A207" s="20" t="s">
        <v>559</v>
      </c>
      <c r="B207" s="20">
        <v>4523.2</v>
      </c>
      <c r="C207" s="20">
        <v>721</v>
      </c>
      <c r="D207" s="20" t="s">
        <v>559</v>
      </c>
    </row>
    <row r="208" spans="1:4" x14ac:dyDescent="0.35">
      <c r="A208" s="20" t="s">
        <v>560</v>
      </c>
      <c r="B208" s="20">
        <v>4525</v>
      </c>
      <c r="C208" s="20">
        <v>515</v>
      </c>
      <c r="D208" s="20" t="s">
        <v>560</v>
      </c>
    </row>
    <row r="209" spans="1:4" x14ac:dyDescent="0.35">
      <c r="A209" s="20" t="s">
        <v>561</v>
      </c>
      <c r="B209" s="20">
        <v>4526</v>
      </c>
      <c r="C209" s="20">
        <v>516</v>
      </c>
      <c r="D209" s="20" t="s">
        <v>561</v>
      </c>
    </row>
    <row r="210" spans="1:4" x14ac:dyDescent="0.35">
      <c r="A210" s="20" t="s">
        <v>562</v>
      </c>
      <c r="B210" s="20">
        <v>4526.1000000000004</v>
      </c>
      <c r="C210" s="20">
        <v>585</v>
      </c>
      <c r="D210" s="20" t="s">
        <v>562</v>
      </c>
    </row>
    <row r="211" spans="1:4" x14ac:dyDescent="0.35">
      <c r="A211" s="20" t="s">
        <v>563</v>
      </c>
      <c r="B211" s="20">
        <v>4530</v>
      </c>
      <c r="C211" s="20">
        <v>262</v>
      </c>
      <c r="D211" s="20" t="s">
        <v>563</v>
      </c>
    </row>
    <row r="212" spans="1:4" x14ac:dyDescent="0.35">
      <c r="A212" s="20" t="s">
        <v>564</v>
      </c>
      <c r="B212" s="20">
        <v>4531</v>
      </c>
      <c r="C212" s="20">
        <v>418</v>
      </c>
      <c r="D212" s="20" t="s">
        <v>564</v>
      </c>
    </row>
    <row r="213" spans="1:4" x14ac:dyDescent="0.35">
      <c r="A213" s="20" t="s">
        <v>565</v>
      </c>
      <c r="B213" s="20">
        <v>4531.1000000000004</v>
      </c>
      <c r="C213" s="20">
        <v>571</v>
      </c>
      <c r="D213" s="20" t="s">
        <v>565</v>
      </c>
    </row>
    <row r="214" spans="1:4" x14ac:dyDescent="0.35">
      <c r="A214" s="20" t="s">
        <v>424</v>
      </c>
      <c r="B214" s="20">
        <v>4532</v>
      </c>
      <c r="C214" s="20">
        <v>419</v>
      </c>
      <c r="D214" s="20" t="s">
        <v>424</v>
      </c>
    </row>
    <row r="215" spans="1:4" x14ac:dyDescent="0.35">
      <c r="A215" s="20" t="s">
        <v>566</v>
      </c>
      <c r="B215" s="20">
        <v>4532.1000000000004</v>
      </c>
      <c r="C215" s="20">
        <v>575</v>
      </c>
      <c r="D215" s="20" t="s">
        <v>566</v>
      </c>
    </row>
    <row r="216" spans="1:4" x14ac:dyDescent="0.35">
      <c r="A216" s="20" t="s">
        <v>567</v>
      </c>
      <c r="B216" s="20">
        <v>4532.2</v>
      </c>
      <c r="C216" s="20">
        <v>577</v>
      </c>
      <c r="D216" s="20" t="s">
        <v>567</v>
      </c>
    </row>
    <row r="217" spans="1:4" x14ac:dyDescent="0.35">
      <c r="A217" s="20" t="s">
        <v>568</v>
      </c>
      <c r="B217" s="20">
        <v>4532.3</v>
      </c>
      <c r="C217" s="20">
        <v>582</v>
      </c>
      <c r="D217" s="20" t="s">
        <v>568</v>
      </c>
    </row>
    <row r="218" spans="1:4" x14ac:dyDescent="0.35">
      <c r="A218" s="20" t="s">
        <v>569</v>
      </c>
      <c r="B218" s="20">
        <v>4532.3999999999996</v>
      </c>
      <c r="C218" s="20">
        <v>621</v>
      </c>
      <c r="D218" s="20" t="s">
        <v>569</v>
      </c>
    </row>
    <row r="219" spans="1:4" x14ac:dyDescent="0.35">
      <c r="A219" s="20" t="s">
        <v>570</v>
      </c>
      <c r="B219" s="20">
        <v>4533</v>
      </c>
      <c r="C219" s="20">
        <v>420</v>
      </c>
      <c r="D219" s="20" t="s">
        <v>570</v>
      </c>
    </row>
    <row r="220" spans="1:4" x14ac:dyDescent="0.35">
      <c r="A220" s="20" t="s">
        <v>571</v>
      </c>
      <c r="B220" s="20">
        <v>4534</v>
      </c>
      <c r="C220" s="20">
        <v>421</v>
      </c>
      <c r="D220" s="20" t="s">
        <v>571</v>
      </c>
    </row>
    <row r="221" spans="1:4" x14ac:dyDescent="0.35">
      <c r="A221" s="20" t="s">
        <v>572</v>
      </c>
      <c r="B221" s="20">
        <v>4534.1000000000004</v>
      </c>
      <c r="C221" s="20">
        <v>631</v>
      </c>
      <c r="D221" s="20" t="s">
        <v>572</v>
      </c>
    </row>
    <row r="222" spans="1:4" x14ac:dyDescent="0.35">
      <c r="A222" s="20" t="s">
        <v>573</v>
      </c>
      <c r="B222" s="20">
        <v>4534.2</v>
      </c>
      <c r="C222" s="20">
        <v>738</v>
      </c>
      <c r="D222" s="20" t="s">
        <v>573</v>
      </c>
    </row>
    <row r="223" spans="1:4" x14ac:dyDescent="0.35">
      <c r="A223" s="20" t="s">
        <v>574</v>
      </c>
      <c r="B223" s="20">
        <v>4535</v>
      </c>
      <c r="C223" s="20">
        <v>422</v>
      </c>
      <c r="D223" s="20" t="s">
        <v>574</v>
      </c>
    </row>
    <row r="224" spans="1:4" x14ac:dyDescent="0.35">
      <c r="A224" s="20" t="s">
        <v>575</v>
      </c>
      <c r="B224" s="20">
        <v>4535.1000000000004</v>
      </c>
      <c r="C224" s="20">
        <v>578</v>
      </c>
      <c r="D224" s="20" t="s">
        <v>575</v>
      </c>
    </row>
    <row r="225" spans="1:4" x14ac:dyDescent="0.35">
      <c r="A225" s="20" t="s">
        <v>406</v>
      </c>
      <c r="B225" s="20">
        <v>4535.2</v>
      </c>
      <c r="C225" s="20">
        <v>744</v>
      </c>
      <c r="D225" s="20" t="s">
        <v>406</v>
      </c>
    </row>
    <row r="226" spans="1:4" x14ac:dyDescent="0.35">
      <c r="A226" s="20" t="s">
        <v>576</v>
      </c>
      <c r="B226" s="20">
        <v>4536</v>
      </c>
      <c r="C226" s="20">
        <v>518</v>
      </c>
      <c r="D226" s="20" t="s">
        <v>576</v>
      </c>
    </row>
    <row r="227" spans="1:4" x14ac:dyDescent="0.35">
      <c r="A227" s="20" t="s">
        <v>577</v>
      </c>
      <c r="B227" s="20">
        <v>4536.1000000000004</v>
      </c>
      <c r="C227" s="20">
        <v>519</v>
      </c>
      <c r="D227" s="20" t="s">
        <v>577</v>
      </c>
    </row>
    <row r="228" spans="1:4" x14ac:dyDescent="0.35">
      <c r="A228" s="20" t="s">
        <v>578</v>
      </c>
      <c r="B228" s="20">
        <v>4536.2</v>
      </c>
      <c r="C228" s="20">
        <v>527</v>
      </c>
      <c r="D228" s="20" t="s">
        <v>578</v>
      </c>
    </row>
    <row r="229" spans="1:4" x14ac:dyDescent="0.35">
      <c r="A229" s="20" t="s">
        <v>579</v>
      </c>
      <c r="B229" s="20">
        <v>4536.3</v>
      </c>
      <c r="C229" s="20">
        <v>528</v>
      </c>
      <c r="D229" s="20" t="s">
        <v>579</v>
      </c>
    </row>
    <row r="230" spans="1:4" x14ac:dyDescent="0.35">
      <c r="A230" s="20" t="s">
        <v>580</v>
      </c>
      <c r="B230" s="20">
        <v>4536.3999999999996</v>
      </c>
      <c r="C230" s="20">
        <v>532</v>
      </c>
      <c r="D230" s="20" t="s">
        <v>580</v>
      </c>
    </row>
    <row r="231" spans="1:4" x14ac:dyDescent="0.35">
      <c r="A231" s="20" t="s">
        <v>581</v>
      </c>
      <c r="B231" s="20">
        <v>4536.5</v>
      </c>
      <c r="C231" s="20">
        <v>579</v>
      </c>
      <c r="D231" s="20" t="s">
        <v>581</v>
      </c>
    </row>
    <row r="232" spans="1:4" x14ac:dyDescent="0.35">
      <c r="A232" s="20" t="s">
        <v>582</v>
      </c>
      <c r="B232" s="20">
        <v>4537</v>
      </c>
      <c r="C232" s="20">
        <v>520</v>
      </c>
      <c r="D232" s="20" t="s">
        <v>582</v>
      </c>
    </row>
    <row r="233" spans="1:4" x14ac:dyDescent="0.35">
      <c r="A233" s="20" t="s">
        <v>583</v>
      </c>
      <c r="B233" s="20">
        <v>4537.1000000000004</v>
      </c>
      <c r="C233" s="20">
        <v>783</v>
      </c>
      <c r="D233" s="20" t="s">
        <v>583</v>
      </c>
    </row>
    <row r="234" spans="1:4" x14ac:dyDescent="0.35">
      <c r="A234" s="20" t="s">
        <v>584</v>
      </c>
      <c r="B234" s="20">
        <v>4538</v>
      </c>
      <c r="C234" s="20">
        <v>521</v>
      </c>
      <c r="D234" s="20" t="s">
        <v>584</v>
      </c>
    </row>
    <row r="235" spans="1:4" x14ac:dyDescent="0.35">
      <c r="A235" s="20" t="s">
        <v>585</v>
      </c>
      <c r="B235" s="20">
        <v>4539</v>
      </c>
      <c r="C235" s="20">
        <v>522</v>
      </c>
      <c r="D235" s="20" t="s">
        <v>585</v>
      </c>
    </row>
    <row r="236" spans="1:4" x14ac:dyDescent="0.35">
      <c r="A236" s="20" t="s">
        <v>586</v>
      </c>
      <c r="B236" s="20">
        <v>4539.1000000000004</v>
      </c>
      <c r="C236" s="20">
        <v>793</v>
      </c>
      <c r="D236" s="20" t="s">
        <v>586</v>
      </c>
    </row>
    <row r="237" spans="1:4" x14ac:dyDescent="0.35">
      <c r="A237" s="20" t="s">
        <v>587</v>
      </c>
      <c r="B237" s="20">
        <v>4539.2</v>
      </c>
      <c r="C237" s="20">
        <v>794</v>
      </c>
      <c r="D237" s="20" t="s">
        <v>587</v>
      </c>
    </row>
    <row r="238" spans="1:4" x14ac:dyDescent="0.35">
      <c r="A238" s="20" t="s">
        <v>588</v>
      </c>
      <c r="B238" s="20">
        <v>4539.3</v>
      </c>
      <c r="C238" s="20">
        <v>795</v>
      </c>
      <c r="D238" s="20" t="s">
        <v>588</v>
      </c>
    </row>
    <row r="239" spans="1:4" x14ac:dyDescent="0.35">
      <c r="A239" s="20" t="s">
        <v>589</v>
      </c>
      <c r="B239" s="20">
        <v>4540</v>
      </c>
      <c r="C239" s="20">
        <v>263</v>
      </c>
      <c r="D239" s="20" t="s">
        <v>589</v>
      </c>
    </row>
    <row r="240" spans="1:4" x14ac:dyDescent="0.35">
      <c r="A240" s="20" t="s">
        <v>590</v>
      </c>
      <c r="B240" s="20">
        <v>4541</v>
      </c>
      <c r="C240" s="20">
        <v>523</v>
      </c>
      <c r="D240" s="20" t="s">
        <v>590</v>
      </c>
    </row>
    <row r="241" spans="1:4" x14ac:dyDescent="0.35">
      <c r="A241" s="20" t="s">
        <v>585</v>
      </c>
      <c r="B241" s="20">
        <v>4542</v>
      </c>
      <c r="C241" s="20">
        <v>524</v>
      </c>
      <c r="D241" s="20" t="s">
        <v>585</v>
      </c>
    </row>
    <row r="242" spans="1:4" x14ac:dyDescent="0.35">
      <c r="A242" s="20" t="s">
        <v>591</v>
      </c>
      <c r="B242" s="20">
        <v>4543</v>
      </c>
      <c r="C242" s="20">
        <v>525</v>
      </c>
      <c r="D242" s="20" t="s">
        <v>591</v>
      </c>
    </row>
    <row r="243" spans="1:4" x14ac:dyDescent="0.35">
      <c r="A243" s="20" t="s">
        <v>592</v>
      </c>
      <c r="B243" s="20">
        <v>4544</v>
      </c>
      <c r="C243" s="20">
        <v>731</v>
      </c>
      <c r="D243" s="20" t="s">
        <v>592</v>
      </c>
    </row>
    <row r="244" spans="1:4" x14ac:dyDescent="0.35">
      <c r="A244" s="20" t="s">
        <v>593</v>
      </c>
      <c r="B244" s="20">
        <v>4545</v>
      </c>
      <c r="C244" s="20">
        <v>757</v>
      </c>
      <c r="D244" s="20" t="s">
        <v>593</v>
      </c>
    </row>
    <row r="245" spans="1:4" x14ac:dyDescent="0.35">
      <c r="A245" s="20" t="s">
        <v>594</v>
      </c>
      <c r="B245" s="20">
        <v>4546</v>
      </c>
      <c r="C245" s="20">
        <v>799</v>
      </c>
      <c r="D245" s="20" t="s">
        <v>594</v>
      </c>
    </row>
    <row r="246" spans="1:4" x14ac:dyDescent="0.35">
      <c r="A246" s="20" t="s">
        <v>595</v>
      </c>
      <c r="B246" s="20">
        <v>5000</v>
      </c>
      <c r="C246" s="20">
        <v>264</v>
      </c>
      <c r="D246" s="20" t="s">
        <v>595</v>
      </c>
    </row>
    <row r="247" spans="1:4" x14ac:dyDescent="0.35">
      <c r="A247" s="20" t="s">
        <v>596</v>
      </c>
      <c r="B247" s="20">
        <v>5015</v>
      </c>
      <c r="C247" s="20">
        <v>613</v>
      </c>
      <c r="D247" s="20" t="s">
        <v>596</v>
      </c>
    </row>
    <row r="248" spans="1:4" x14ac:dyDescent="0.35">
      <c r="A248" s="20" t="s">
        <v>597</v>
      </c>
      <c r="B248" s="20">
        <v>5020</v>
      </c>
      <c r="C248" s="20">
        <v>265</v>
      </c>
      <c r="D248" s="20" t="s">
        <v>597</v>
      </c>
    </row>
    <row r="249" spans="1:4" x14ac:dyDescent="0.35">
      <c r="A249" s="20" t="s">
        <v>598</v>
      </c>
      <c r="B249" s="20">
        <v>5030</v>
      </c>
      <c r="C249" s="20">
        <v>266</v>
      </c>
      <c r="D249" s="20" t="s">
        <v>598</v>
      </c>
    </row>
    <row r="250" spans="1:4" x14ac:dyDescent="0.35">
      <c r="A250" s="20" t="s">
        <v>599</v>
      </c>
      <c r="B250" s="20">
        <v>5040</v>
      </c>
      <c r="C250" s="20">
        <v>267</v>
      </c>
      <c r="D250" s="20" t="s">
        <v>599</v>
      </c>
    </row>
    <row r="251" spans="1:4" x14ac:dyDescent="0.35">
      <c r="A251" s="20" t="s">
        <v>600</v>
      </c>
      <c r="B251" s="20">
        <v>5050</v>
      </c>
      <c r="C251" s="20">
        <v>399</v>
      </c>
      <c r="D251" s="20" t="s">
        <v>600</v>
      </c>
    </row>
    <row r="252" spans="1:4" x14ac:dyDescent="0.35">
      <c r="A252" s="20" t="s">
        <v>601</v>
      </c>
      <c r="B252" s="20">
        <v>5051</v>
      </c>
      <c r="C252" s="20">
        <v>615</v>
      </c>
      <c r="D252" s="20" t="s">
        <v>601</v>
      </c>
    </row>
    <row r="253" spans="1:4" x14ac:dyDescent="0.35">
      <c r="A253" s="20" t="s">
        <v>602</v>
      </c>
      <c r="B253" s="20">
        <v>5052</v>
      </c>
      <c r="C253" s="20">
        <v>616</v>
      </c>
      <c r="D253" s="20" t="s">
        <v>602</v>
      </c>
    </row>
    <row r="254" spans="1:4" x14ac:dyDescent="0.35">
      <c r="A254" s="20" t="s">
        <v>603</v>
      </c>
      <c r="B254" s="20">
        <v>5053</v>
      </c>
      <c r="C254" s="20">
        <v>711</v>
      </c>
      <c r="D254" s="20" t="s">
        <v>603</v>
      </c>
    </row>
    <row r="255" spans="1:4" x14ac:dyDescent="0.35">
      <c r="A255" s="20" t="s">
        <v>604</v>
      </c>
      <c r="B255" s="20">
        <v>5054</v>
      </c>
      <c r="C255" s="20">
        <v>712</v>
      </c>
      <c r="D255" s="20" t="s">
        <v>604</v>
      </c>
    </row>
    <row r="256" spans="1:4" x14ac:dyDescent="0.35">
      <c r="A256" s="20" t="s">
        <v>605</v>
      </c>
      <c r="B256" s="20">
        <v>5100</v>
      </c>
      <c r="C256" s="20">
        <v>268</v>
      </c>
      <c r="D256" s="20" t="s">
        <v>605</v>
      </c>
    </row>
    <row r="257" spans="1:4" x14ac:dyDescent="0.35">
      <c r="A257" s="20" t="s">
        <v>606</v>
      </c>
      <c r="B257" s="20">
        <v>5110</v>
      </c>
      <c r="C257" s="20">
        <v>18</v>
      </c>
      <c r="D257" s="20" t="s">
        <v>606</v>
      </c>
    </row>
    <row r="258" spans="1:4" x14ac:dyDescent="0.35">
      <c r="A258" s="20" t="s">
        <v>607</v>
      </c>
      <c r="B258" s="20">
        <v>5120</v>
      </c>
      <c r="C258" s="20">
        <v>208</v>
      </c>
      <c r="D258" s="20" t="s">
        <v>607</v>
      </c>
    </row>
    <row r="259" spans="1:4" x14ac:dyDescent="0.35">
      <c r="A259" s="20" t="s">
        <v>608</v>
      </c>
      <c r="B259" s="20">
        <v>5121</v>
      </c>
      <c r="C259" s="20">
        <v>592</v>
      </c>
      <c r="D259" s="20" t="s">
        <v>608</v>
      </c>
    </row>
    <row r="260" spans="1:4" x14ac:dyDescent="0.35">
      <c r="A260" s="20" t="s">
        <v>609</v>
      </c>
      <c r="B260" s="20">
        <v>5122</v>
      </c>
      <c r="C260" s="20">
        <v>560</v>
      </c>
      <c r="D260" s="20" t="s">
        <v>609</v>
      </c>
    </row>
    <row r="261" spans="1:4" x14ac:dyDescent="0.35">
      <c r="A261" s="20" t="s">
        <v>610</v>
      </c>
      <c r="B261" s="20">
        <v>5123</v>
      </c>
      <c r="C261" s="20">
        <v>610</v>
      </c>
      <c r="D261" s="20" t="s">
        <v>610</v>
      </c>
    </row>
    <row r="262" spans="1:4" x14ac:dyDescent="0.35">
      <c r="A262" s="20" t="s">
        <v>611</v>
      </c>
      <c r="B262" s="20">
        <v>5130</v>
      </c>
      <c r="C262" s="20">
        <v>269</v>
      </c>
      <c r="D262" s="20" t="s">
        <v>611</v>
      </c>
    </row>
    <row r="263" spans="1:4" x14ac:dyDescent="0.35">
      <c r="A263" s="20" t="s">
        <v>612</v>
      </c>
      <c r="B263" s="20">
        <v>5131</v>
      </c>
      <c r="C263" s="20">
        <v>488</v>
      </c>
      <c r="D263" s="20" t="s">
        <v>612</v>
      </c>
    </row>
    <row r="264" spans="1:4" x14ac:dyDescent="0.35">
      <c r="A264" s="20" t="s">
        <v>613</v>
      </c>
      <c r="B264" s="20">
        <v>5132</v>
      </c>
      <c r="C264" s="20">
        <v>491</v>
      </c>
      <c r="D264" s="20" t="s">
        <v>613</v>
      </c>
    </row>
    <row r="265" spans="1:4" x14ac:dyDescent="0.35">
      <c r="A265" s="20" t="s">
        <v>614</v>
      </c>
      <c r="B265" s="20">
        <v>5190</v>
      </c>
      <c r="C265" s="20">
        <v>270</v>
      </c>
      <c r="D265" s="20" t="s">
        <v>614</v>
      </c>
    </row>
    <row r="266" spans="1:4" x14ac:dyDescent="0.35">
      <c r="A266" s="20" t="s">
        <v>615</v>
      </c>
      <c r="B266" s="20">
        <v>5191</v>
      </c>
      <c r="C266" s="20">
        <v>490</v>
      </c>
      <c r="D266" s="20" t="s">
        <v>615</v>
      </c>
    </row>
    <row r="267" spans="1:4" x14ac:dyDescent="0.35">
      <c r="A267" s="20" t="s">
        <v>616</v>
      </c>
      <c r="B267" s="20">
        <v>5300</v>
      </c>
      <c r="C267" s="20">
        <v>271</v>
      </c>
      <c r="D267" s="20" t="s">
        <v>616</v>
      </c>
    </row>
    <row r="268" spans="1:4" x14ac:dyDescent="0.35">
      <c r="A268" s="20" t="s">
        <v>617</v>
      </c>
      <c r="B268" s="20">
        <v>5310</v>
      </c>
      <c r="C268" s="20">
        <v>272</v>
      </c>
      <c r="D268" s="20" t="s">
        <v>617</v>
      </c>
    </row>
    <row r="269" spans="1:4" x14ac:dyDescent="0.35">
      <c r="A269" s="20" t="s">
        <v>618</v>
      </c>
      <c r="B269" s="20">
        <v>5400</v>
      </c>
      <c r="C269" s="20">
        <v>273</v>
      </c>
      <c r="D269" s="20" t="s">
        <v>618</v>
      </c>
    </row>
    <row r="270" spans="1:4" x14ac:dyDescent="0.35">
      <c r="A270" s="20" t="s">
        <v>619</v>
      </c>
      <c r="B270" s="20">
        <v>5410</v>
      </c>
      <c r="C270" s="20">
        <v>228</v>
      </c>
      <c r="D270" s="20" t="s">
        <v>619</v>
      </c>
    </row>
    <row r="271" spans="1:4" x14ac:dyDescent="0.35">
      <c r="A271" s="20" t="s">
        <v>620</v>
      </c>
      <c r="B271" s="20">
        <v>5412</v>
      </c>
      <c r="C271" s="20">
        <v>774</v>
      </c>
      <c r="D271" s="20" t="s">
        <v>620</v>
      </c>
    </row>
    <row r="272" spans="1:4" x14ac:dyDescent="0.35">
      <c r="A272" s="20" t="s">
        <v>621</v>
      </c>
      <c r="B272" s="20">
        <v>5490</v>
      </c>
      <c r="C272" s="20">
        <v>99</v>
      </c>
      <c r="D272" s="20" t="s">
        <v>621</v>
      </c>
    </row>
    <row r="273" spans="1:4" x14ac:dyDescent="0.35">
      <c r="A273" s="20" t="s">
        <v>622</v>
      </c>
      <c r="B273" s="20">
        <v>5491</v>
      </c>
      <c r="C273" s="20">
        <v>586</v>
      </c>
      <c r="D273" s="20" t="s">
        <v>622</v>
      </c>
    </row>
    <row r="274" spans="1:4" x14ac:dyDescent="0.35">
      <c r="A274" s="20" t="s">
        <v>623</v>
      </c>
      <c r="B274" s="20">
        <v>5492</v>
      </c>
      <c r="C274" s="20">
        <v>559</v>
      </c>
      <c r="D274" s="20" t="s">
        <v>623</v>
      </c>
    </row>
    <row r="275" spans="1:4" x14ac:dyDescent="0.35">
      <c r="A275" s="20" t="s">
        <v>624</v>
      </c>
      <c r="B275" s="20">
        <v>5493</v>
      </c>
      <c r="C275" s="20">
        <v>730</v>
      </c>
      <c r="D275" s="20" t="s">
        <v>624</v>
      </c>
    </row>
    <row r="276" spans="1:4" x14ac:dyDescent="0.35">
      <c r="A276" s="20" t="s">
        <v>625</v>
      </c>
      <c r="B276" s="20">
        <v>5800</v>
      </c>
      <c r="C276" s="20">
        <v>118</v>
      </c>
      <c r="D276" s="20" t="s">
        <v>625</v>
      </c>
    </row>
    <row r="277" spans="1:4" x14ac:dyDescent="0.35">
      <c r="A277" s="20" t="s">
        <v>626</v>
      </c>
      <c r="B277" s="20">
        <v>5810</v>
      </c>
      <c r="C277" s="20">
        <v>274</v>
      </c>
      <c r="D277" s="20" t="s">
        <v>626</v>
      </c>
    </row>
    <row r="278" spans="1:4" x14ac:dyDescent="0.35">
      <c r="A278" s="20" t="s">
        <v>627</v>
      </c>
      <c r="B278" s="20">
        <v>5811</v>
      </c>
      <c r="C278" s="20">
        <v>505</v>
      </c>
      <c r="D278" s="20" t="s">
        <v>627</v>
      </c>
    </row>
    <row r="279" spans="1:4" x14ac:dyDescent="0.35">
      <c r="A279" s="20" t="s">
        <v>628</v>
      </c>
      <c r="B279" s="20">
        <v>5812</v>
      </c>
      <c r="C279" s="20">
        <v>506</v>
      </c>
      <c r="D279" s="20" t="s">
        <v>628</v>
      </c>
    </row>
    <row r="280" spans="1:4" x14ac:dyDescent="0.35">
      <c r="A280" s="20" t="s">
        <v>629</v>
      </c>
      <c r="B280" s="20">
        <v>5813</v>
      </c>
      <c r="C280" s="20">
        <v>507</v>
      </c>
      <c r="D280" s="20" t="s">
        <v>629</v>
      </c>
    </row>
    <row r="281" spans="1:4" x14ac:dyDescent="0.35">
      <c r="A281" s="20" t="s">
        <v>630</v>
      </c>
      <c r="B281" s="20">
        <v>5820</v>
      </c>
      <c r="C281" s="20">
        <v>275</v>
      </c>
      <c r="D281" s="20" t="s">
        <v>630</v>
      </c>
    </row>
    <row r="282" spans="1:4" x14ac:dyDescent="0.35">
      <c r="A282" s="20" t="s">
        <v>631</v>
      </c>
      <c r="B282" s="20">
        <v>5821</v>
      </c>
      <c r="C282" s="20">
        <v>501</v>
      </c>
      <c r="D282" s="20" t="s">
        <v>631</v>
      </c>
    </row>
    <row r="283" spans="1:4" x14ac:dyDescent="0.35">
      <c r="A283" s="20" t="s">
        <v>632</v>
      </c>
      <c r="B283" s="20">
        <v>5822</v>
      </c>
      <c r="C283" s="20">
        <v>502</v>
      </c>
      <c r="D283" s="20" t="s">
        <v>632</v>
      </c>
    </row>
    <row r="284" spans="1:4" x14ac:dyDescent="0.35">
      <c r="A284" s="20" t="s">
        <v>633</v>
      </c>
      <c r="B284" s="20">
        <v>5823</v>
      </c>
      <c r="C284" s="20">
        <v>503</v>
      </c>
      <c r="D284" s="20" t="s">
        <v>633</v>
      </c>
    </row>
    <row r="285" spans="1:4" x14ac:dyDescent="0.35">
      <c r="A285" s="20" t="s">
        <v>634</v>
      </c>
      <c r="B285" s="20">
        <v>5824</v>
      </c>
      <c r="C285" s="20">
        <v>504</v>
      </c>
      <c r="D285" s="20" t="s">
        <v>634</v>
      </c>
    </row>
    <row r="286" spans="1:4" x14ac:dyDescent="0.35">
      <c r="A286" s="20" t="s">
        <v>635</v>
      </c>
      <c r="B286" s="20">
        <v>5825</v>
      </c>
      <c r="C286" s="20">
        <v>573</v>
      </c>
      <c r="D286" s="20" t="s">
        <v>635</v>
      </c>
    </row>
    <row r="287" spans="1:4" x14ac:dyDescent="0.35">
      <c r="A287" s="20" t="s">
        <v>636</v>
      </c>
      <c r="B287" s="20">
        <v>5830</v>
      </c>
      <c r="C287" s="20">
        <v>276</v>
      </c>
      <c r="D287" s="20" t="s">
        <v>636</v>
      </c>
    </row>
    <row r="288" spans="1:4" x14ac:dyDescent="0.35">
      <c r="A288" s="20" t="s">
        <v>637</v>
      </c>
      <c r="B288" s="20">
        <v>6000</v>
      </c>
      <c r="C288" s="20">
        <v>336</v>
      </c>
      <c r="D288" s="20" t="s">
        <v>637</v>
      </c>
    </row>
    <row r="289" spans="1:4" x14ac:dyDescent="0.35">
      <c r="A289" s="20" t="s">
        <v>638</v>
      </c>
      <c r="B289" s="20">
        <v>7000</v>
      </c>
      <c r="C289" s="20">
        <v>374</v>
      </c>
      <c r="D289" s="20" t="s">
        <v>638</v>
      </c>
    </row>
    <row r="290" spans="1:4" x14ac:dyDescent="0.35">
      <c r="A290" s="20" t="s">
        <v>639</v>
      </c>
      <c r="B290" s="20">
        <v>7010</v>
      </c>
      <c r="C290" s="20">
        <v>375</v>
      </c>
      <c r="D290" s="20" t="s">
        <v>639</v>
      </c>
    </row>
    <row r="291" spans="1:4" x14ac:dyDescent="0.35">
      <c r="A291" s="20" t="s">
        <v>640</v>
      </c>
      <c r="B291" s="20">
        <v>7020</v>
      </c>
      <c r="C291" s="20">
        <v>376</v>
      </c>
      <c r="D291" s="20" t="s">
        <v>640</v>
      </c>
    </row>
    <row r="292" spans="1:4" x14ac:dyDescent="0.35">
      <c r="A292" s="20" t="s">
        <v>641</v>
      </c>
      <c r="B292" s="20">
        <v>7100</v>
      </c>
      <c r="C292" s="20">
        <v>347</v>
      </c>
      <c r="D292" s="20" t="s">
        <v>641</v>
      </c>
    </row>
    <row r="293" spans="1:4" x14ac:dyDescent="0.35">
      <c r="A293" s="20" t="s">
        <v>642</v>
      </c>
      <c r="B293" s="20">
        <v>7110</v>
      </c>
      <c r="C293" s="20">
        <v>348</v>
      </c>
      <c r="D293" s="20" t="s">
        <v>642</v>
      </c>
    </row>
    <row r="294" spans="1:4" x14ac:dyDescent="0.35">
      <c r="A294" s="20" t="s">
        <v>643</v>
      </c>
      <c r="B294" s="20">
        <v>7112</v>
      </c>
      <c r="C294" s="20">
        <v>530</v>
      </c>
      <c r="D294" s="20" t="s">
        <v>643</v>
      </c>
    </row>
    <row r="295" spans="1:4" x14ac:dyDescent="0.35">
      <c r="A295" s="20" t="s">
        <v>644</v>
      </c>
      <c r="B295" s="20">
        <v>7112.1</v>
      </c>
      <c r="C295" s="20">
        <v>614</v>
      </c>
      <c r="D295" s="20" t="s">
        <v>644</v>
      </c>
    </row>
    <row r="296" spans="1:4" x14ac:dyDescent="0.35">
      <c r="A296" s="20" t="s">
        <v>196</v>
      </c>
      <c r="B296" s="20">
        <v>7120</v>
      </c>
      <c r="C296" s="20">
        <v>349</v>
      </c>
      <c r="D296" s="20" t="s">
        <v>196</v>
      </c>
    </row>
    <row r="297" spans="1:4" x14ac:dyDescent="0.35">
      <c r="A297" s="20" t="s">
        <v>645</v>
      </c>
      <c r="B297" s="20">
        <v>7121</v>
      </c>
      <c r="C297" s="20">
        <v>604</v>
      </c>
      <c r="D297" s="20" t="s">
        <v>645</v>
      </c>
    </row>
    <row r="298" spans="1:4" x14ac:dyDescent="0.35">
      <c r="A298" s="20" t="s">
        <v>646</v>
      </c>
      <c r="B298" s="20">
        <v>7125</v>
      </c>
      <c r="C298" s="20">
        <v>431</v>
      </c>
      <c r="D298" s="20" t="s">
        <v>646</v>
      </c>
    </row>
    <row r="299" spans="1:4" x14ac:dyDescent="0.35">
      <c r="A299" s="20" t="s">
        <v>647</v>
      </c>
      <c r="B299" s="20">
        <v>7130</v>
      </c>
      <c r="C299" s="20">
        <v>350</v>
      </c>
      <c r="D299" s="20" t="s">
        <v>647</v>
      </c>
    </row>
    <row r="300" spans="1:4" x14ac:dyDescent="0.35">
      <c r="A300" s="20" t="s">
        <v>648</v>
      </c>
      <c r="B300" s="20">
        <v>7131</v>
      </c>
      <c r="C300" s="20">
        <v>584</v>
      </c>
      <c r="D300" s="20" t="s">
        <v>648</v>
      </c>
    </row>
    <row r="301" spans="1:4" x14ac:dyDescent="0.35">
      <c r="A301" s="20" t="s">
        <v>649</v>
      </c>
      <c r="B301" s="20">
        <v>7132</v>
      </c>
      <c r="C301" s="20">
        <v>489</v>
      </c>
      <c r="D301" s="20" t="s">
        <v>649</v>
      </c>
    </row>
    <row r="302" spans="1:4" x14ac:dyDescent="0.35">
      <c r="A302" s="20" t="s">
        <v>650</v>
      </c>
      <c r="B302" s="20">
        <v>7200</v>
      </c>
      <c r="C302" s="20">
        <v>141</v>
      </c>
      <c r="D302" s="20" t="s">
        <v>650</v>
      </c>
    </row>
    <row r="303" spans="1:4" x14ac:dyDescent="0.35">
      <c r="A303" s="20" t="s">
        <v>293</v>
      </c>
      <c r="B303" s="20">
        <v>7220</v>
      </c>
      <c r="C303" s="20">
        <v>234</v>
      </c>
      <c r="D303" s="20" t="s">
        <v>293</v>
      </c>
    </row>
    <row r="304" spans="1:4" x14ac:dyDescent="0.35">
      <c r="A304" s="20" t="s">
        <v>651</v>
      </c>
      <c r="B304" s="20">
        <v>7221</v>
      </c>
      <c r="C304" s="20">
        <v>277</v>
      </c>
      <c r="D304" s="20" t="s">
        <v>651</v>
      </c>
    </row>
    <row r="305" spans="1:4" x14ac:dyDescent="0.35">
      <c r="A305" s="20" t="s">
        <v>190</v>
      </c>
      <c r="B305" s="20">
        <v>7222</v>
      </c>
      <c r="C305" s="20">
        <v>283</v>
      </c>
      <c r="D305" s="20" t="s">
        <v>190</v>
      </c>
    </row>
    <row r="306" spans="1:4" x14ac:dyDescent="0.35">
      <c r="A306" s="20" t="s">
        <v>652</v>
      </c>
      <c r="B306" s="20">
        <v>7223</v>
      </c>
      <c r="C306" s="20">
        <v>292</v>
      </c>
      <c r="D306" s="20" t="s">
        <v>652</v>
      </c>
    </row>
    <row r="307" spans="1:4" x14ac:dyDescent="0.35">
      <c r="A307" s="20" t="s">
        <v>338</v>
      </c>
      <c r="B307" s="20">
        <v>7225</v>
      </c>
      <c r="C307" s="20">
        <v>765</v>
      </c>
      <c r="D307" s="20" t="s">
        <v>338</v>
      </c>
    </row>
    <row r="308" spans="1:4" x14ac:dyDescent="0.35">
      <c r="A308" s="20" t="s">
        <v>339</v>
      </c>
      <c r="B308" s="20">
        <v>7226</v>
      </c>
      <c r="C308" s="20">
        <v>766</v>
      </c>
      <c r="D308" s="20" t="s">
        <v>339</v>
      </c>
    </row>
    <row r="309" spans="1:4" x14ac:dyDescent="0.35">
      <c r="A309" s="20" t="s">
        <v>340</v>
      </c>
      <c r="B309" s="20">
        <v>7227</v>
      </c>
      <c r="C309" s="20">
        <v>767</v>
      </c>
      <c r="D309" s="20" t="s">
        <v>340</v>
      </c>
    </row>
    <row r="310" spans="1:4" x14ac:dyDescent="0.35">
      <c r="A310" s="20" t="s">
        <v>341</v>
      </c>
      <c r="B310" s="20">
        <v>7228</v>
      </c>
      <c r="C310" s="20">
        <v>768</v>
      </c>
      <c r="D310" s="20" t="s">
        <v>341</v>
      </c>
    </row>
    <row r="311" spans="1:4" x14ac:dyDescent="0.35">
      <c r="A311" s="20" t="s">
        <v>653</v>
      </c>
      <c r="B311" s="20">
        <v>7230</v>
      </c>
      <c r="C311" s="20">
        <v>196</v>
      </c>
      <c r="D311" s="20" t="s">
        <v>653</v>
      </c>
    </row>
    <row r="312" spans="1:4" x14ac:dyDescent="0.35">
      <c r="A312" s="20" t="s">
        <v>654</v>
      </c>
      <c r="B312" s="20">
        <v>7240</v>
      </c>
      <c r="C312" s="20">
        <v>142</v>
      </c>
      <c r="D312" s="20" t="s">
        <v>654</v>
      </c>
    </row>
    <row r="313" spans="1:4" x14ac:dyDescent="0.35">
      <c r="A313" s="20" t="s">
        <v>655</v>
      </c>
      <c r="B313" s="20">
        <v>7241</v>
      </c>
      <c r="C313" s="20">
        <v>413</v>
      </c>
      <c r="D313" s="20" t="s">
        <v>655</v>
      </c>
    </row>
    <row r="314" spans="1:4" x14ac:dyDescent="0.35">
      <c r="A314" s="20" t="s">
        <v>656</v>
      </c>
      <c r="B314" s="20">
        <v>7241.1</v>
      </c>
      <c r="C314" s="20">
        <v>570</v>
      </c>
      <c r="D314" s="20" t="s">
        <v>656</v>
      </c>
    </row>
    <row r="315" spans="1:4" x14ac:dyDescent="0.35">
      <c r="A315" s="20" t="s">
        <v>657</v>
      </c>
      <c r="B315" s="20">
        <v>7241.2</v>
      </c>
      <c r="C315" s="20">
        <v>719</v>
      </c>
      <c r="D315" s="20" t="s">
        <v>657</v>
      </c>
    </row>
    <row r="316" spans="1:4" x14ac:dyDescent="0.35">
      <c r="A316" s="20" t="s">
        <v>658</v>
      </c>
      <c r="B316" s="20">
        <v>7242</v>
      </c>
      <c r="C316" s="20">
        <v>412</v>
      </c>
      <c r="D316" s="20" t="s">
        <v>658</v>
      </c>
    </row>
    <row r="317" spans="1:4" x14ac:dyDescent="0.35">
      <c r="A317" s="20" t="s">
        <v>659</v>
      </c>
      <c r="B317" s="20">
        <v>7243</v>
      </c>
      <c r="C317" s="20">
        <v>414</v>
      </c>
      <c r="D317" s="20" t="s">
        <v>659</v>
      </c>
    </row>
    <row r="318" spans="1:4" x14ac:dyDescent="0.35">
      <c r="A318" s="20" t="s">
        <v>660</v>
      </c>
      <c r="B318" s="20">
        <v>7244</v>
      </c>
      <c r="C318" s="20">
        <v>424</v>
      </c>
      <c r="D318" s="20" t="s">
        <v>660</v>
      </c>
    </row>
    <row r="319" spans="1:4" x14ac:dyDescent="0.35">
      <c r="A319" s="20" t="s">
        <v>661</v>
      </c>
      <c r="B319" s="20">
        <v>7245</v>
      </c>
      <c r="C319" s="20">
        <v>406</v>
      </c>
      <c r="D319" s="20" t="s">
        <v>661</v>
      </c>
    </row>
    <row r="320" spans="1:4" x14ac:dyDescent="0.35">
      <c r="A320" s="20" t="s">
        <v>662</v>
      </c>
      <c r="B320" s="20">
        <v>7246</v>
      </c>
      <c r="C320" s="20">
        <v>425</v>
      </c>
      <c r="D320" s="20" t="s">
        <v>662</v>
      </c>
    </row>
    <row r="321" spans="1:4" x14ac:dyDescent="0.35">
      <c r="A321" s="20" t="s">
        <v>663</v>
      </c>
      <c r="B321" s="20">
        <v>7247</v>
      </c>
      <c r="C321" s="20">
        <v>457</v>
      </c>
      <c r="D321" s="20" t="s">
        <v>663</v>
      </c>
    </row>
    <row r="322" spans="1:4" x14ac:dyDescent="0.35">
      <c r="A322" s="20" t="s">
        <v>664</v>
      </c>
      <c r="B322" s="20">
        <v>7248</v>
      </c>
      <c r="C322" s="20">
        <v>593</v>
      </c>
      <c r="D322" s="20" t="s">
        <v>664</v>
      </c>
    </row>
    <row r="323" spans="1:4" x14ac:dyDescent="0.35">
      <c r="A323" s="20" t="s">
        <v>665</v>
      </c>
      <c r="B323" s="20">
        <v>7250</v>
      </c>
      <c r="C323" s="20">
        <v>230</v>
      </c>
      <c r="D323" s="20" t="s">
        <v>665</v>
      </c>
    </row>
    <row r="324" spans="1:4" x14ac:dyDescent="0.35">
      <c r="A324" s="20" t="s">
        <v>289</v>
      </c>
      <c r="B324" s="20">
        <v>7251</v>
      </c>
      <c r="C324" s="20">
        <v>313</v>
      </c>
      <c r="D324" s="20" t="s">
        <v>289</v>
      </c>
    </row>
    <row r="325" spans="1:4" x14ac:dyDescent="0.35">
      <c r="A325" s="20" t="s">
        <v>666</v>
      </c>
      <c r="B325" s="20">
        <v>7252</v>
      </c>
      <c r="C325" s="20">
        <v>314</v>
      </c>
      <c r="D325" s="20" t="s">
        <v>666</v>
      </c>
    </row>
    <row r="326" spans="1:4" x14ac:dyDescent="0.35">
      <c r="A326" s="20" t="s">
        <v>667</v>
      </c>
      <c r="B326" s="20">
        <v>7253</v>
      </c>
      <c r="C326" s="20">
        <v>315</v>
      </c>
      <c r="D326" s="20" t="s">
        <v>667</v>
      </c>
    </row>
    <row r="327" spans="1:4" x14ac:dyDescent="0.35">
      <c r="A327" s="20" t="s">
        <v>668</v>
      </c>
      <c r="B327" s="20">
        <v>7254</v>
      </c>
      <c r="C327" s="20">
        <v>316</v>
      </c>
      <c r="D327" s="20" t="s">
        <v>668</v>
      </c>
    </row>
    <row r="328" spans="1:4" x14ac:dyDescent="0.35">
      <c r="A328" s="20" t="s">
        <v>669</v>
      </c>
      <c r="B328" s="20">
        <v>7260</v>
      </c>
      <c r="C328" s="20">
        <v>96</v>
      </c>
      <c r="D328" s="20" t="s">
        <v>669</v>
      </c>
    </row>
    <row r="329" spans="1:4" x14ac:dyDescent="0.35">
      <c r="A329" s="20" t="s">
        <v>670</v>
      </c>
      <c r="B329" s="20">
        <v>7260.1</v>
      </c>
      <c r="C329" s="20">
        <v>629</v>
      </c>
      <c r="D329" s="20" t="s">
        <v>670</v>
      </c>
    </row>
    <row r="330" spans="1:4" x14ac:dyDescent="0.35">
      <c r="A330" s="20" t="s">
        <v>671</v>
      </c>
      <c r="B330" s="20">
        <v>7270</v>
      </c>
      <c r="C330" s="20">
        <v>317</v>
      </c>
      <c r="D330" s="20" t="s">
        <v>671</v>
      </c>
    </row>
    <row r="331" spans="1:4" x14ac:dyDescent="0.35">
      <c r="A331" s="20" t="s">
        <v>672</v>
      </c>
      <c r="B331" s="20">
        <v>7500</v>
      </c>
      <c r="C331" s="20">
        <v>21</v>
      </c>
      <c r="D331" s="20" t="s">
        <v>672</v>
      </c>
    </row>
    <row r="332" spans="1:4" x14ac:dyDescent="0.35">
      <c r="A332" s="20" t="s">
        <v>673</v>
      </c>
      <c r="B332" s="20">
        <v>7510</v>
      </c>
      <c r="C332" s="20">
        <v>318</v>
      </c>
      <c r="D332" s="20" t="s">
        <v>673</v>
      </c>
    </row>
    <row r="333" spans="1:4" x14ac:dyDescent="0.35">
      <c r="A333" s="20" t="s">
        <v>674</v>
      </c>
      <c r="B333" s="20">
        <v>7515</v>
      </c>
      <c r="C333" s="20">
        <v>450</v>
      </c>
      <c r="D333" s="20" t="s">
        <v>674</v>
      </c>
    </row>
    <row r="334" spans="1:4" x14ac:dyDescent="0.35">
      <c r="A334" s="20" t="s">
        <v>675</v>
      </c>
      <c r="B334" s="20">
        <v>7515.5</v>
      </c>
      <c r="C334" s="20">
        <v>589</v>
      </c>
      <c r="D334" s="20" t="s">
        <v>675</v>
      </c>
    </row>
    <row r="335" spans="1:4" x14ac:dyDescent="0.35">
      <c r="A335" s="20" t="s">
        <v>676</v>
      </c>
      <c r="B335" s="20">
        <v>7520</v>
      </c>
      <c r="C335" s="20">
        <v>22</v>
      </c>
      <c r="D335" s="20" t="s">
        <v>676</v>
      </c>
    </row>
    <row r="336" spans="1:4" x14ac:dyDescent="0.35">
      <c r="A336" s="20" t="s">
        <v>677</v>
      </c>
      <c r="B336" s="20">
        <v>7521</v>
      </c>
      <c r="C336" s="20">
        <v>510</v>
      </c>
      <c r="D336" s="20" t="s">
        <v>677</v>
      </c>
    </row>
    <row r="337" spans="1:4" x14ac:dyDescent="0.35">
      <c r="A337" s="20" t="s">
        <v>678</v>
      </c>
      <c r="B337" s="20">
        <v>7522</v>
      </c>
      <c r="C337" s="20">
        <v>590</v>
      </c>
      <c r="D337" s="20" t="s">
        <v>678</v>
      </c>
    </row>
    <row r="338" spans="1:4" x14ac:dyDescent="0.35">
      <c r="A338" s="20" t="s">
        <v>679</v>
      </c>
      <c r="B338" s="20">
        <v>7530</v>
      </c>
      <c r="C338" s="20">
        <v>23</v>
      </c>
      <c r="D338" s="20" t="s">
        <v>679</v>
      </c>
    </row>
    <row r="339" spans="1:4" x14ac:dyDescent="0.35">
      <c r="A339" s="20" t="s">
        <v>680</v>
      </c>
      <c r="B339" s="20">
        <v>7540</v>
      </c>
      <c r="C339" s="20">
        <v>121</v>
      </c>
      <c r="D339" s="20" t="s">
        <v>680</v>
      </c>
    </row>
    <row r="340" spans="1:4" x14ac:dyDescent="0.35">
      <c r="A340" s="20" t="s">
        <v>681</v>
      </c>
      <c r="B340" s="20">
        <v>7550</v>
      </c>
      <c r="C340" s="20">
        <v>223</v>
      </c>
      <c r="D340" s="20" t="s">
        <v>681</v>
      </c>
    </row>
    <row r="341" spans="1:4" x14ac:dyDescent="0.35">
      <c r="A341" s="20" t="s">
        <v>682</v>
      </c>
      <c r="B341" s="20">
        <v>7560</v>
      </c>
      <c r="C341" s="20">
        <v>24</v>
      </c>
      <c r="D341" s="20" t="s">
        <v>682</v>
      </c>
    </row>
    <row r="342" spans="1:4" x14ac:dyDescent="0.35">
      <c r="A342" s="20" t="s">
        <v>683</v>
      </c>
      <c r="B342" s="20">
        <v>7570</v>
      </c>
      <c r="C342" s="20">
        <v>319</v>
      </c>
      <c r="D342" s="20" t="s">
        <v>683</v>
      </c>
    </row>
    <row r="343" spans="1:4" x14ac:dyDescent="0.35">
      <c r="A343" s="20" t="s">
        <v>543</v>
      </c>
      <c r="B343" s="20">
        <v>7580</v>
      </c>
      <c r="C343" s="20">
        <v>320</v>
      </c>
      <c r="D343" s="20" t="s">
        <v>543</v>
      </c>
    </row>
    <row r="344" spans="1:4" x14ac:dyDescent="0.35">
      <c r="A344" s="20" t="s">
        <v>684</v>
      </c>
      <c r="B344" s="20">
        <v>7590</v>
      </c>
      <c r="C344" s="20">
        <v>509</v>
      </c>
      <c r="D344" s="20" t="s">
        <v>684</v>
      </c>
    </row>
    <row r="345" spans="1:4" x14ac:dyDescent="0.35">
      <c r="A345" s="20" t="s">
        <v>685</v>
      </c>
      <c r="B345" s="20">
        <v>8000</v>
      </c>
      <c r="C345" s="20">
        <v>358</v>
      </c>
      <c r="D345" s="20" t="s">
        <v>685</v>
      </c>
    </row>
    <row r="346" spans="1:4" x14ac:dyDescent="0.35">
      <c r="A346" s="20" t="s">
        <v>686</v>
      </c>
      <c r="B346" s="20">
        <v>8100</v>
      </c>
      <c r="C346" s="20">
        <v>321</v>
      </c>
      <c r="D346" s="20" t="s">
        <v>686</v>
      </c>
    </row>
    <row r="347" spans="1:4" x14ac:dyDescent="0.35">
      <c r="A347" s="20" t="s">
        <v>687</v>
      </c>
      <c r="B347" s="20">
        <v>8108</v>
      </c>
      <c r="C347" s="20">
        <v>599</v>
      </c>
      <c r="D347" s="20" t="s">
        <v>687</v>
      </c>
    </row>
    <row r="348" spans="1:4" x14ac:dyDescent="0.35">
      <c r="A348" s="20" t="s">
        <v>688</v>
      </c>
      <c r="B348" s="20">
        <v>8110</v>
      </c>
      <c r="C348" s="20">
        <v>35</v>
      </c>
      <c r="D348" s="20" t="s">
        <v>688</v>
      </c>
    </row>
    <row r="349" spans="1:4" x14ac:dyDescent="0.35">
      <c r="A349" s="20" t="s">
        <v>689</v>
      </c>
      <c r="B349" s="20">
        <v>8112</v>
      </c>
      <c r="C349" s="20">
        <v>441</v>
      </c>
      <c r="D349" s="20" t="s">
        <v>689</v>
      </c>
    </row>
    <row r="350" spans="1:4" x14ac:dyDescent="0.35">
      <c r="A350" s="20" t="s">
        <v>690</v>
      </c>
      <c r="B350" s="20">
        <v>8115</v>
      </c>
      <c r="C350" s="20">
        <v>411</v>
      </c>
      <c r="D350" s="20" t="s">
        <v>690</v>
      </c>
    </row>
    <row r="351" spans="1:4" x14ac:dyDescent="0.35">
      <c r="A351" s="20" t="s">
        <v>691</v>
      </c>
      <c r="B351" s="20">
        <v>8120</v>
      </c>
      <c r="C351" s="20">
        <v>154</v>
      </c>
      <c r="D351" s="20" t="s">
        <v>691</v>
      </c>
    </row>
    <row r="352" spans="1:4" x14ac:dyDescent="0.35">
      <c r="A352" s="20" t="s">
        <v>692</v>
      </c>
      <c r="B352" s="20">
        <v>8130</v>
      </c>
      <c r="C352" s="20">
        <v>36</v>
      </c>
      <c r="D352" s="20" t="s">
        <v>692</v>
      </c>
    </row>
    <row r="353" spans="1:4" x14ac:dyDescent="0.35">
      <c r="A353" s="20" t="s">
        <v>693</v>
      </c>
      <c r="B353" s="20">
        <v>8131</v>
      </c>
      <c r="C353" s="20">
        <v>447</v>
      </c>
      <c r="D353" s="20" t="s">
        <v>693</v>
      </c>
    </row>
    <row r="354" spans="1:4" x14ac:dyDescent="0.35">
      <c r="A354" s="20" t="s">
        <v>694</v>
      </c>
      <c r="B354" s="20">
        <v>8132</v>
      </c>
      <c r="C354" s="20">
        <v>432</v>
      </c>
      <c r="D354" s="20" t="s">
        <v>694</v>
      </c>
    </row>
    <row r="355" spans="1:4" x14ac:dyDescent="0.35">
      <c r="A355" s="20" t="s">
        <v>695</v>
      </c>
      <c r="B355" s="20">
        <v>8132.1</v>
      </c>
      <c r="C355" s="20">
        <v>630</v>
      </c>
      <c r="D355" s="20" t="s">
        <v>695</v>
      </c>
    </row>
    <row r="356" spans="1:4" x14ac:dyDescent="0.35">
      <c r="A356" s="20" t="s">
        <v>696</v>
      </c>
      <c r="B356" s="20">
        <v>8133</v>
      </c>
      <c r="C356" s="20">
        <v>448</v>
      </c>
      <c r="D356" s="20" t="s">
        <v>696</v>
      </c>
    </row>
    <row r="357" spans="1:4" x14ac:dyDescent="0.35">
      <c r="A357" s="20" t="s">
        <v>697</v>
      </c>
      <c r="B357" s="20">
        <v>8134</v>
      </c>
      <c r="C357" s="20">
        <v>449</v>
      </c>
      <c r="D357" s="20" t="s">
        <v>697</v>
      </c>
    </row>
    <row r="358" spans="1:4" x14ac:dyDescent="0.35">
      <c r="A358" s="20" t="s">
        <v>698</v>
      </c>
      <c r="B358" s="20">
        <v>8135</v>
      </c>
      <c r="C358" s="20">
        <v>444</v>
      </c>
      <c r="D358" s="20" t="s">
        <v>698</v>
      </c>
    </row>
    <row r="359" spans="1:4" x14ac:dyDescent="0.35">
      <c r="A359" s="20" t="s">
        <v>699</v>
      </c>
      <c r="B359" s="20">
        <v>8135.5</v>
      </c>
      <c r="C359" s="20">
        <v>588</v>
      </c>
      <c r="D359" s="20" t="s">
        <v>699</v>
      </c>
    </row>
    <row r="360" spans="1:4" x14ac:dyDescent="0.35">
      <c r="A360" s="20" t="s">
        <v>700</v>
      </c>
      <c r="B360" s="20">
        <v>8140</v>
      </c>
      <c r="C360" s="20">
        <v>87</v>
      </c>
      <c r="D360" s="20" t="s">
        <v>700</v>
      </c>
    </row>
    <row r="361" spans="1:4" x14ac:dyDescent="0.35">
      <c r="A361" s="20" t="s">
        <v>701</v>
      </c>
      <c r="B361" s="20">
        <v>8141</v>
      </c>
      <c r="C361" s="20">
        <v>513</v>
      </c>
      <c r="D361" s="20" t="s">
        <v>701</v>
      </c>
    </row>
    <row r="362" spans="1:4" x14ac:dyDescent="0.35">
      <c r="A362" s="20" t="s">
        <v>702</v>
      </c>
      <c r="B362" s="20">
        <v>8160</v>
      </c>
      <c r="C362" s="20">
        <v>322</v>
      </c>
      <c r="D362" s="20" t="s">
        <v>702</v>
      </c>
    </row>
    <row r="363" spans="1:4" x14ac:dyDescent="0.35">
      <c r="A363" s="20" t="s">
        <v>703</v>
      </c>
      <c r="B363" s="20">
        <v>8161</v>
      </c>
      <c r="C363" s="20">
        <v>511</v>
      </c>
      <c r="D363" s="20" t="s">
        <v>703</v>
      </c>
    </row>
    <row r="364" spans="1:4" x14ac:dyDescent="0.35">
      <c r="A364" s="20" t="s">
        <v>704</v>
      </c>
      <c r="B364" s="20">
        <v>8170</v>
      </c>
      <c r="C364" s="20">
        <v>34</v>
      </c>
      <c r="D364" s="20" t="s">
        <v>704</v>
      </c>
    </row>
    <row r="365" spans="1:4" x14ac:dyDescent="0.35">
      <c r="A365" s="20" t="s">
        <v>705</v>
      </c>
      <c r="B365" s="20">
        <v>8180</v>
      </c>
      <c r="C365" s="20">
        <v>323</v>
      </c>
      <c r="D365" s="20" t="s">
        <v>705</v>
      </c>
    </row>
    <row r="366" spans="1:4" x14ac:dyDescent="0.35">
      <c r="A366" s="20" t="s">
        <v>706</v>
      </c>
      <c r="B366" s="20">
        <v>8190</v>
      </c>
      <c r="C366" s="20">
        <v>324</v>
      </c>
      <c r="D366" s="20" t="s">
        <v>706</v>
      </c>
    </row>
    <row r="367" spans="1:4" x14ac:dyDescent="0.35">
      <c r="A367" s="20" t="s">
        <v>707</v>
      </c>
      <c r="B367" s="20">
        <v>8191</v>
      </c>
      <c r="C367" s="20">
        <v>747</v>
      </c>
      <c r="D367" s="20" t="s">
        <v>707</v>
      </c>
    </row>
    <row r="368" spans="1:4" x14ac:dyDescent="0.35">
      <c r="A368" s="20" t="s">
        <v>708</v>
      </c>
      <c r="B368" s="20">
        <v>8199</v>
      </c>
      <c r="C368" s="20">
        <v>364</v>
      </c>
      <c r="D368" s="20" t="s">
        <v>708</v>
      </c>
    </row>
    <row r="369" spans="1:4" x14ac:dyDescent="0.35">
      <c r="A369" s="20" t="s">
        <v>709</v>
      </c>
      <c r="B369" s="20">
        <v>8200</v>
      </c>
      <c r="C369" s="20">
        <v>25</v>
      </c>
      <c r="D369" s="20" t="s">
        <v>709</v>
      </c>
    </row>
    <row r="370" spans="1:4" x14ac:dyDescent="0.35">
      <c r="A370" s="20" t="s">
        <v>710</v>
      </c>
      <c r="B370" s="20">
        <v>8205</v>
      </c>
      <c r="C370" s="20">
        <v>30</v>
      </c>
      <c r="D370" s="20" t="s">
        <v>710</v>
      </c>
    </row>
    <row r="371" spans="1:4" x14ac:dyDescent="0.35">
      <c r="A371" s="20" t="s">
        <v>711</v>
      </c>
      <c r="B371" s="20">
        <v>8210</v>
      </c>
      <c r="C371" s="20">
        <v>84</v>
      </c>
      <c r="D371" s="20" t="s">
        <v>711</v>
      </c>
    </row>
    <row r="372" spans="1:4" x14ac:dyDescent="0.35">
      <c r="A372" s="20" t="s">
        <v>712</v>
      </c>
      <c r="B372" s="20">
        <v>8210.1</v>
      </c>
      <c r="C372" s="20">
        <v>556</v>
      </c>
      <c r="D372" s="20" t="s">
        <v>712</v>
      </c>
    </row>
    <row r="373" spans="1:4" x14ac:dyDescent="0.35">
      <c r="A373" s="20" t="s">
        <v>713</v>
      </c>
      <c r="B373" s="20">
        <v>8210.2000000000007</v>
      </c>
      <c r="C373" s="20">
        <v>557</v>
      </c>
      <c r="D373" s="20" t="s">
        <v>713</v>
      </c>
    </row>
    <row r="374" spans="1:4" x14ac:dyDescent="0.35">
      <c r="A374" s="20" t="s">
        <v>714</v>
      </c>
      <c r="B374" s="20">
        <v>8210.2999999999993</v>
      </c>
      <c r="C374" s="20">
        <v>558</v>
      </c>
      <c r="D374" s="20" t="s">
        <v>714</v>
      </c>
    </row>
    <row r="375" spans="1:4" x14ac:dyDescent="0.35">
      <c r="A375" s="20" t="s">
        <v>715</v>
      </c>
      <c r="B375" s="20">
        <v>8210.5</v>
      </c>
      <c r="C375" s="20">
        <v>443</v>
      </c>
      <c r="D375" s="20" t="s">
        <v>715</v>
      </c>
    </row>
    <row r="376" spans="1:4" x14ac:dyDescent="0.35">
      <c r="A376" s="20" t="s">
        <v>716</v>
      </c>
      <c r="B376" s="20">
        <v>8211</v>
      </c>
      <c r="C376" s="20">
        <v>430</v>
      </c>
      <c r="D376" s="20" t="s">
        <v>716</v>
      </c>
    </row>
    <row r="377" spans="1:4" x14ac:dyDescent="0.35">
      <c r="A377" s="20" t="s">
        <v>717</v>
      </c>
      <c r="B377" s="20">
        <v>8211.1</v>
      </c>
      <c r="C377" s="20">
        <v>553</v>
      </c>
      <c r="D377" s="20" t="s">
        <v>717</v>
      </c>
    </row>
    <row r="378" spans="1:4" x14ac:dyDescent="0.35">
      <c r="A378" s="20" t="s">
        <v>718</v>
      </c>
      <c r="B378" s="20">
        <v>8211.2000000000007</v>
      </c>
      <c r="C378" s="20">
        <v>554</v>
      </c>
      <c r="D378" s="20" t="s">
        <v>718</v>
      </c>
    </row>
    <row r="379" spans="1:4" x14ac:dyDescent="0.35">
      <c r="A379" s="20" t="s">
        <v>719</v>
      </c>
      <c r="B379" s="20">
        <v>8211.2999999999993</v>
      </c>
      <c r="C379" s="20">
        <v>555</v>
      </c>
      <c r="D379" s="20" t="s">
        <v>719</v>
      </c>
    </row>
    <row r="380" spans="1:4" x14ac:dyDescent="0.35">
      <c r="A380" s="20" t="s">
        <v>720</v>
      </c>
      <c r="B380" s="20">
        <v>8211.5</v>
      </c>
      <c r="C380" s="20">
        <v>627</v>
      </c>
      <c r="D380" s="20" t="s">
        <v>720</v>
      </c>
    </row>
    <row r="381" spans="1:4" x14ac:dyDescent="0.35">
      <c r="A381" s="20" t="s">
        <v>721</v>
      </c>
      <c r="B381" s="20">
        <v>8220</v>
      </c>
      <c r="C381" s="20">
        <v>86</v>
      </c>
      <c r="D381" s="20" t="s">
        <v>721</v>
      </c>
    </row>
    <row r="382" spans="1:4" x14ac:dyDescent="0.35">
      <c r="A382" s="20" t="s">
        <v>722</v>
      </c>
      <c r="B382" s="20">
        <v>8221</v>
      </c>
      <c r="C382" s="20">
        <v>426</v>
      </c>
      <c r="D382" s="20" t="s">
        <v>722</v>
      </c>
    </row>
    <row r="383" spans="1:4" x14ac:dyDescent="0.35">
      <c r="A383" s="20" t="s">
        <v>723</v>
      </c>
      <c r="B383" s="20">
        <v>8222</v>
      </c>
      <c r="C383" s="20">
        <v>427</v>
      </c>
      <c r="D383" s="20" t="s">
        <v>723</v>
      </c>
    </row>
    <row r="384" spans="1:4" x14ac:dyDescent="0.35">
      <c r="A384" s="20" t="s">
        <v>450</v>
      </c>
      <c r="B384" s="20">
        <v>8223</v>
      </c>
      <c r="C384" s="20">
        <v>531</v>
      </c>
      <c r="D384" s="20" t="s">
        <v>450</v>
      </c>
    </row>
    <row r="385" spans="1:4" x14ac:dyDescent="0.35">
      <c r="A385" s="20" t="s">
        <v>724</v>
      </c>
      <c r="B385" s="20">
        <v>8224</v>
      </c>
      <c r="C385" s="20">
        <v>429</v>
      </c>
      <c r="D385" s="20" t="s">
        <v>724</v>
      </c>
    </row>
    <row r="386" spans="1:4" x14ac:dyDescent="0.35">
      <c r="A386" s="20" t="s">
        <v>725</v>
      </c>
      <c r="B386" s="20">
        <v>8227</v>
      </c>
      <c r="C386" s="20">
        <v>428</v>
      </c>
      <c r="D386" s="20" t="s">
        <v>725</v>
      </c>
    </row>
    <row r="387" spans="1:4" x14ac:dyDescent="0.35">
      <c r="A387" s="20" t="s">
        <v>726</v>
      </c>
      <c r="B387" s="20">
        <v>8228</v>
      </c>
      <c r="C387" s="20">
        <v>438</v>
      </c>
      <c r="D387" s="20" t="s">
        <v>726</v>
      </c>
    </row>
    <row r="388" spans="1:4" x14ac:dyDescent="0.35">
      <c r="A388" s="20" t="s">
        <v>727</v>
      </c>
      <c r="B388" s="20">
        <v>8229</v>
      </c>
      <c r="C388" s="20">
        <v>508</v>
      </c>
      <c r="D388" s="20" t="s">
        <v>727</v>
      </c>
    </row>
    <row r="389" spans="1:4" x14ac:dyDescent="0.35">
      <c r="A389" s="20" t="s">
        <v>728</v>
      </c>
      <c r="B389" s="20">
        <v>8229.1</v>
      </c>
      <c r="C389" s="20">
        <v>440</v>
      </c>
      <c r="D389" s="20" t="s">
        <v>728</v>
      </c>
    </row>
    <row r="390" spans="1:4" x14ac:dyDescent="0.35">
      <c r="A390" s="20" t="s">
        <v>729</v>
      </c>
      <c r="B390" s="20">
        <v>8230</v>
      </c>
      <c r="C390" s="20">
        <v>85</v>
      </c>
      <c r="D390" s="20" t="s">
        <v>729</v>
      </c>
    </row>
    <row r="391" spans="1:4" x14ac:dyDescent="0.35">
      <c r="A391" s="20" t="s">
        <v>730</v>
      </c>
      <c r="B391" s="20">
        <v>8231</v>
      </c>
      <c r="C391" s="20">
        <v>436</v>
      </c>
      <c r="D391" s="20" t="s">
        <v>730</v>
      </c>
    </row>
    <row r="392" spans="1:4" x14ac:dyDescent="0.35">
      <c r="A392" s="20" t="s">
        <v>731</v>
      </c>
      <c r="B392" s="20">
        <v>8233</v>
      </c>
      <c r="C392" s="20">
        <v>437</v>
      </c>
      <c r="D392" s="20" t="s">
        <v>731</v>
      </c>
    </row>
    <row r="393" spans="1:4" x14ac:dyDescent="0.35">
      <c r="A393" s="20" t="s">
        <v>732</v>
      </c>
      <c r="B393" s="20">
        <v>8235</v>
      </c>
      <c r="C393" s="20">
        <v>446</v>
      </c>
      <c r="D393" s="20" t="s">
        <v>732</v>
      </c>
    </row>
    <row r="394" spans="1:4" x14ac:dyDescent="0.35">
      <c r="A394" s="20" t="s">
        <v>733</v>
      </c>
      <c r="B394" s="20">
        <v>8236</v>
      </c>
      <c r="C394" s="20">
        <v>455</v>
      </c>
      <c r="D394" s="20" t="s">
        <v>733</v>
      </c>
    </row>
    <row r="395" spans="1:4" x14ac:dyDescent="0.35">
      <c r="A395" s="20" t="s">
        <v>734</v>
      </c>
      <c r="B395" s="20">
        <v>8239</v>
      </c>
      <c r="C395" s="20">
        <v>512</v>
      </c>
      <c r="D395" s="20" t="s">
        <v>734</v>
      </c>
    </row>
    <row r="396" spans="1:4" x14ac:dyDescent="0.35">
      <c r="A396" s="20" t="s">
        <v>735</v>
      </c>
      <c r="B396" s="20">
        <v>8240</v>
      </c>
      <c r="C396" s="20">
        <v>83</v>
      </c>
      <c r="D396" s="20" t="s">
        <v>735</v>
      </c>
    </row>
    <row r="397" spans="1:4" x14ac:dyDescent="0.35">
      <c r="A397" s="20" t="s">
        <v>736</v>
      </c>
      <c r="B397" s="20">
        <v>8250</v>
      </c>
      <c r="C397" s="20">
        <v>28</v>
      </c>
      <c r="D397" s="20" t="s">
        <v>736</v>
      </c>
    </row>
    <row r="398" spans="1:4" x14ac:dyDescent="0.35">
      <c r="A398" s="20" t="s">
        <v>737</v>
      </c>
      <c r="B398" s="20">
        <v>8250.1</v>
      </c>
      <c r="C398" s="20">
        <v>803</v>
      </c>
      <c r="D398" s="20" t="s">
        <v>737</v>
      </c>
    </row>
    <row r="399" spans="1:4" x14ac:dyDescent="0.35">
      <c r="A399" s="20" t="s">
        <v>738</v>
      </c>
      <c r="B399" s="20">
        <v>8260</v>
      </c>
      <c r="C399" s="20">
        <v>29</v>
      </c>
      <c r="D399" s="20" t="s">
        <v>738</v>
      </c>
    </row>
    <row r="400" spans="1:4" x14ac:dyDescent="0.35">
      <c r="A400" s="20" t="s">
        <v>739</v>
      </c>
      <c r="B400" s="20">
        <v>8261</v>
      </c>
      <c r="C400" s="20">
        <v>398</v>
      </c>
      <c r="D400" s="20" t="s">
        <v>739</v>
      </c>
    </row>
    <row r="401" spans="1:4" x14ac:dyDescent="0.35">
      <c r="A401" s="20" t="s">
        <v>740</v>
      </c>
      <c r="B401" s="20">
        <v>8262</v>
      </c>
      <c r="C401" s="20">
        <v>433</v>
      </c>
      <c r="D401" s="20" t="s">
        <v>740</v>
      </c>
    </row>
    <row r="402" spans="1:4" x14ac:dyDescent="0.35">
      <c r="A402" s="20" t="s">
        <v>741</v>
      </c>
      <c r="B402" s="20">
        <v>8263</v>
      </c>
      <c r="C402" s="20">
        <v>434</v>
      </c>
      <c r="D402" s="20" t="s">
        <v>741</v>
      </c>
    </row>
    <row r="403" spans="1:4" x14ac:dyDescent="0.35">
      <c r="A403" s="20" t="s">
        <v>742</v>
      </c>
      <c r="B403" s="20">
        <v>8264</v>
      </c>
      <c r="C403" s="20">
        <v>435</v>
      </c>
      <c r="D403" s="20" t="s">
        <v>742</v>
      </c>
    </row>
    <row r="404" spans="1:4" x14ac:dyDescent="0.35">
      <c r="A404" s="20" t="s">
        <v>743</v>
      </c>
      <c r="B404" s="20">
        <v>8265</v>
      </c>
      <c r="C404" s="20">
        <v>454</v>
      </c>
      <c r="D404" s="20" t="s">
        <v>743</v>
      </c>
    </row>
    <row r="405" spans="1:4" x14ac:dyDescent="0.35">
      <c r="A405" s="20" t="s">
        <v>744</v>
      </c>
      <c r="B405" s="20">
        <v>8266</v>
      </c>
      <c r="C405" s="20">
        <v>587</v>
      </c>
      <c r="D405" s="20" t="s">
        <v>744</v>
      </c>
    </row>
    <row r="406" spans="1:4" x14ac:dyDescent="0.35">
      <c r="A406" s="20" t="s">
        <v>745</v>
      </c>
      <c r="B406" s="20">
        <v>8270</v>
      </c>
      <c r="C406" s="20">
        <v>161</v>
      </c>
      <c r="D406" s="20" t="s">
        <v>745</v>
      </c>
    </row>
    <row r="407" spans="1:4" x14ac:dyDescent="0.35">
      <c r="A407" s="20" t="s">
        <v>746</v>
      </c>
      <c r="B407" s="20">
        <v>8271</v>
      </c>
      <c r="C407" s="20">
        <v>394</v>
      </c>
      <c r="D407" s="20" t="s">
        <v>746</v>
      </c>
    </row>
    <row r="408" spans="1:4" x14ac:dyDescent="0.35">
      <c r="A408" s="20" t="s">
        <v>747</v>
      </c>
      <c r="B408" s="20">
        <v>8280</v>
      </c>
      <c r="C408" s="20">
        <v>26</v>
      </c>
      <c r="D408" s="20" t="s">
        <v>747</v>
      </c>
    </row>
    <row r="409" spans="1:4" x14ac:dyDescent="0.35">
      <c r="A409" s="20" t="s">
        <v>748</v>
      </c>
      <c r="B409" s="20">
        <v>8290</v>
      </c>
      <c r="C409" s="20">
        <v>27</v>
      </c>
      <c r="D409" s="20" t="s">
        <v>748</v>
      </c>
    </row>
    <row r="410" spans="1:4" x14ac:dyDescent="0.35">
      <c r="A410" s="20" t="s">
        <v>749</v>
      </c>
      <c r="B410" s="20">
        <v>8295</v>
      </c>
      <c r="C410" s="20">
        <v>379</v>
      </c>
      <c r="D410" s="20" t="s">
        <v>749</v>
      </c>
    </row>
    <row r="411" spans="1:4" x14ac:dyDescent="0.35">
      <c r="A411" s="20" t="s">
        <v>750</v>
      </c>
      <c r="B411" s="20">
        <v>8299</v>
      </c>
      <c r="C411" s="20">
        <v>365</v>
      </c>
      <c r="D411" s="20" t="s">
        <v>750</v>
      </c>
    </row>
    <row r="412" spans="1:4" x14ac:dyDescent="0.35">
      <c r="A412" s="20" t="s">
        <v>751</v>
      </c>
      <c r="B412" s="20">
        <v>8300</v>
      </c>
      <c r="C412" s="20">
        <v>39</v>
      </c>
      <c r="D412" s="20" t="s">
        <v>751</v>
      </c>
    </row>
    <row r="413" spans="1:4" x14ac:dyDescent="0.35">
      <c r="A413" s="20" t="s">
        <v>752</v>
      </c>
      <c r="B413" s="20">
        <v>8310</v>
      </c>
      <c r="C413" s="20">
        <v>41</v>
      </c>
      <c r="D413" s="20" t="s">
        <v>752</v>
      </c>
    </row>
    <row r="414" spans="1:4" x14ac:dyDescent="0.35">
      <c r="A414" s="20" t="s">
        <v>753</v>
      </c>
      <c r="B414" s="20">
        <v>8311</v>
      </c>
      <c r="C414" s="20">
        <v>366</v>
      </c>
      <c r="D414" s="20" t="s">
        <v>753</v>
      </c>
    </row>
    <row r="415" spans="1:4" x14ac:dyDescent="0.35">
      <c r="A415" s="20" t="s">
        <v>754</v>
      </c>
      <c r="B415" s="20">
        <v>8312</v>
      </c>
      <c r="C415" s="20">
        <v>384</v>
      </c>
      <c r="D415" s="20" t="s">
        <v>754</v>
      </c>
    </row>
    <row r="416" spans="1:4" x14ac:dyDescent="0.35">
      <c r="A416" s="20" t="s">
        <v>755</v>
      </c>
      <c r="B416" s="20">
        <v>8320</v>
      </c>
      <c r="C416" s="20">
        <v>108</v>
      </c>
      <c r="D416" s="20" t="s">
        <v>755</v>
      </c>
    </row>
    <row r="417" spans="1:4" x14ac:dyDescent="0.35">
      <c r="A417" s="20" t="s">
        <v>756</v>
      </c>
      <c r="B417" s="20">
        <v>8330</v>
      </c>
      <c r="C417" s="20">
        <v>325</v>
      </c>
      <c r="D417" s="20" t="s">
        <v>756</v>
      </c>
    </row>
    <row r="418" spans="1:4" x14ac:dyDescent="0.35">
      <c r="A418" s="20" t="s">
        <v>757</v>
      </c>
      <c r="B418" s="20">
        <v>8340</v>
      </c>
      <c r="C418" s="20">
        <v>326</v>
      </c>
      <c r="D418" s="20" t="s">
        <v>757</v>
      </c>
    </row>
    <row r="419" spans="1:4" x14ac:dyDescent="0.35">
      <c r="A419" s="20" t="s">
        <v>758</v>
      </c>
      <c r="B419" s="20">
        <v>8350</v>
      </c>
      <c r="C419" s="20">
        <v>40</v>
      </c>
      <c r="D419" s="20" t="s">
        <v>758</v>
      </c>
    </row>
    <row r="420" spans="1:4" x14ac:dyDescent="0.35">
      <c r="A420" s="20" t="s">
        <v>759</v>
      </c>
      <c r="B420" s="20">
        <v>8360</v>
      </c>
      <c r="C420" s="20">
        <v>362</v>
      </c>
      <c r="D420" s="20" t="s">
        <v>759</v>
      </c>
    </row>
    <row r="421" spans="1:4" x14ac:dyDescent="0.35">
      <c r="A421" s="20" t="s">
        <v>760</v>
      </c>
      <c r="B421" s="20">
        <v>8370</v>
      </c>
      <c r="C421" s="20">
        <v>363</v>
      </c>
      <c r="D421" s="20" t="s">
        <v>760</v>
      </c>
    </row>
    <row r="422" spans="1:4" x14ac:dyDescent="0.35">
      <c r="A422" s="20" t="s">
        <v>761</v>
      </c>
      <c r="B422" s="20">
        <v>8400</v>
      </c>
      <c r="C422" s="20">
        <v>327</v>
      </c>
      <c r="D422" s="20" t="s">
        <v>761</v>
      </c>
    </row>
    <row r="423" spans="1:4" x14ac:dyDescent="0.35">
      <c r="A423" s="20" t="s">
        <v>762</v>
      </c>
      <c r="B423" s="20">
        <v>8405</v>
      </c>
      <c r="C423" s="20">
        <v>32</v>
      </c>
      <c r="D423" s="20" t="s">
        <v>762</v>
      </c>
    </row>
    <row r="424" spans="1:4" x14ac:dyDescent="0.35">
      <c r="A424" s="20" t="s">
        <v>763</v>
      </c>
      <c r="B424" s="20">
        <v>8406</v>
      </c>
      <c r="C424" s="20">
        <v>600</v>
      </c>
      <c r="D424" s="20" t="s">
        <v>763</v>
      </c>
    </row>
    <row r="425" spans="1:4" x14ac:dyDescent="0.35">
      <c r="A425" s="20" t="s">
        <v>764</v>
      </c>
      <c r="B425" s="20">
        <v>8410</v>
      </c>
      <c r="C425" s="20">
        <v>80</v>
      </c>
      <c r="D425" s="20" t="s">
        <v>764</v>
      </c>
    </row>
    <row r="426" spans="1:4" x14ac:dyDescent="0.35">
      <c r="A426" s="20" t="s">
        <v>765</v>
      </c>
      <c r="B426" s="20">
        <v>8415</v>
      </c>
      <c r="C426" s="20">
        <v>217</v>
      </c>
      <c r="D426" s="20" t="s">
        <v>765</v>
      </c>
    </row>
    <row r="427" spans="1:4" x14ac:dyDescent="0.35">
      <c r="A427" s="20" t="s">
        <v>766</v>
      </c>
      <c r="B427" s="20">
        <v>8420</v>
      </c>
      <c r="C427" s="20">
        <v>218</v>
      </c>
      <c r="D427" s="20" t="s">
        <v>766</v>
      </c>
    </row>
    <row r="428" spans="1:4" x14ac:dyDescent="0.35">
      <c r="A428" s="20" t="s">
        <v>767</v>
      </c>
      <c r="B428" s="20">
        <v>8425</v>
      </c>
      <c r="C428" s="20">
        <v>219</v>
      </c>
      <c r="D428" s="20" t="s">
        <v>767</v>
      </c>
    </row>
    <row r="429" spans="1:4" x14ac:dyDescent="0.35">
      <c r="A429" s="20" t="s">
        <v>768</v>
      </c>
      <c r="B429" s="20">
        <v>8430</v>
      </c>
      <c r="C429" s="20">
        <v>220</v>
      </c>
      <c r="D429" s="20" t="s">
        <v>768</v>
      </c>
    </row>
    <row r="430" spans="1:4" x14ac:dyDescent="0.35">
      <c r="A430" s="20" t="s">
        <v>769</v>
      </c>
      <c r="B430" s="20">
        <v>8435</v>
      </c>
      <c r="C430" s="20">
        <v>221</v>
      </c>
      <c r="D430" s="20" t="s">
        <v>769</v>
      </c>
    </row>
    <row r="431" spans="1:4" x14ac:dyDescent="0.35">
      <c r="A431" s="20" t="s">
        <v>770</v>
      </c>
      <c r="B431" s="20">
        <v>8440</v>
      </c>
      <c r="C431" s="20">
        <v>222</v>
      </c>
      <c r="D431" s="20" t="s">
        <v>770</v>
      </c>
    </row>
    <row r="432" spans="1:4" x14ac:dyDescent="0.35">
      <c r="A432" s="20" t="s">
        <v>771</v>
      </c>
      <c r="B432" s="20">
        <v>8445</v>
      </c>
      <c r="C432" s="20">
        <v>163</v>
      </c>
      <c r="D432" s="20" t="s">
        <v>771</v>
      </c>
    </row>
    <row r="433" spans="1:4" x14ac:dyDescent="0.35">
      <c r="A433" s="20" t="s">
        <v>772</v>
      </c>
      <c r="B433" s="20">
        <v>8450</v>
      </c>
      <c r="C433" s="20">
        <v>226</v>
      </c>
      <c r="D433" s="20" t="s">
        <v>772</v>
      </c>
    </row>
    <row r="434" spans="1:4" x14ac:dyDescent="0.35">
      <c r="A434" s="20" t="s">
        <v>773</v>
      </c>
      <c r="B434" s="20">
        <v>8451</v>
      </c>
      <c r="C434" s="20">
        <v>395</v>
      </c>
      <c r="D434" s="20" t="s">
        <v>773</v>
      </c>
    </row>
    <row r="435" spans="1:4" x14ac:dyDescent="0.35">
      <c r="A435" s="20" t="s">
        <v>774</v>
      </c>
      <c r="B435" s="20">
        <v>8452</v>
      </c>
      <c r="C435" s="20">
        <v>396</v>
      </c>
      <c r="D435" s="20" t="s">
        <v>774</v>
      </c>
    </row>
    <row r="436" spans="1:4" x14ac:dyDescent="0.35">
      <c r="A436" s="20" t="s">
        <v>775</v>
      </c>
      <c r="B436" s="20">
        <v>8453</v>
      </c>
      <c r="C436" s="20">
        <v>397</v>
      </c>
      <c r="D436" s="20" t="s">
        <v>775</v>
      </c>
    </row>
    <row r="437" spans="1:4" x14ac:dyDescent="0.35">
      <c r="A437" s="20" t="s">
        <v>776</v>
      </c>
      <c r="B437" s="20">
        <v>8455</v>
      </c>
      <c r="C437" s="20">
        <v>215</v>
      </c>
      <c r="D437" s="20" t="s">
        <v>776</v>
      </c>
    </row>
    <row r="438" spans="1:4" x14ac:dyDescent="0.35">
      <c r="A438" s="20" t="s">
        <v>777</v>
      </c>
      <c r="B438" s="20">
        <v>8460</v>
      </c>
      <c r="C438" s="20">
        <v>147</v>
      </c>
      <c r="D438" s="20" t="s">
        <v>777</v>
      </c>
    </row>
    <row r="439" spans="1:4" x14ac:dyDescent="0.35">
      <c r="A439" s="20" t="s">
        <v>778</v>
      </c>
      <c r="B439" s="20">
        <v>8462</v>
      </c>
      <c r="C439" s="20">
        <v>748</v>
      </c>
      <c r="D439" s="20" t="s">
        <v>778</v>
      </c>
    </row>
    <row r="440" spans="1:4" x14ac:dyDescent="0.35">
      <c r="A440" s="20" t="s">
        <v>779</v>
      </c>
      <c r="B440" s="20">
        <v>8470</v>
      </c>
      <c r="C440" s="20">
        <v>328</v>
      </c>
      <c r="D440" s="20" t="s">
        <v>779</v>
      </c>
    </row>
    <row r="441" spans="1:4" x14ac:dyDescent="0.35">
      <c r="A441" s="20" t="s">
        <v>780</v>
      </c>
      <c r="B441" s="20">
        <v>8480</v>
      </c>
      <c r="C441" s="20">
        <v>368</v>
      </c>
      <c r="D441" s="20" t="s">
        <v>780</v>
      </c>
    </row>
    <row r="442" spans="1:4" x14ac:dyDescent="0.35">
      <c r="A442" s="20" t="s">
        <v>781</v>
      </c>
      <c r="B442" s="20">
        <v>8490</v>
      </c>
      <c r="C442" s="20">
        <v>372</v>
      </c>
      <c r="D442" s="20" t="s">
        <v>781</v>
      </c>
    </row>
    <row r="443" spans="1:4" x14ac:dyDescent="0.35">
      <c r="A443" s="20" t="s">
        <v>782</v>
      </c>
      <c r="B443" s="20">
        <v>8495</v>
      </c>
      <c r="C443" s="20">
        <v>378</v>
      </c>
      <c r="D443" s="20" t="s">
        <v>782</v>
      </c>
    </row>
    <row r="444" spans="1:4" x14ac:dyDescent="0.35">
      <c r="A444" s="20" t="s">
        <v>783</v>
      </c>
      <c r="B444" s="20">
        <v>8500</v>
      </c>
      <c r="C444" s="20">
        <v>329</v>
      </c>
      <c r="D444" s="20" t="s">
        <v>783</v>
      </c>
    </row>
    <row r="445" spans="1:4" x14ac:dyDescent="0.35">
      <c r="A445" s="20" t="s">
        <v>784</v>
      </c>
      <c r="B445" s="20">
        <v>8510</v>
      </c>
      <c r="C445" s="20">
        <v>330</v>
      </c>
      <c r="D445" s="20" t="s">
        <v>784</v>
      </c>
    </row>
    <row r="446" spans="1:4" x14ac:dyDescent="0.35">
      <c r="A446" s="20" t="s">
        <v>785</v>
      </c>
      <c r="B446" s="20">
        <v>8520</v>
      </c>
      <c r="C446" s="20">
        <v>37</v>
      </c>
      <c r="D446" s="20" t="s">
        <v>785</v>
      </c>
    </row>
    <row r="447" spans="1:4" x14ac:dyDescent="0.35">
      <c r="A447" s="20" t="s">
        <v>625</v>
      </c>
      <c r="B447" s="20">
        <v>8525</v>
      </c>
      <c r="C447" s="20">
        <v>423</v>
      </c>
      <c r="D447" s="20" t="s">
        <v>625</v>
      </c>
    </row>
    <row r="448" spans="1:4" x14ac:dyDescent="0.35">
      <c r="A448" s="20" t="s">
        <v>786</v>
      </c>
      <c r="B448" s="20">
        <v>8530</v>
      </c>
      <c r="C448" s="20">
        <v>89</v>
      </c>
      <c r="D448" s="20" t="s">
        <v>786</v>
      </c>
    </row>
    <row r="449" spans="1:4" x14ac:dyDescent="0.35">
      <c r="A449" s="20" t="s">
        <v>787</v>
      </c>
      <c r="B449" s="20">
        <v>8540</v>
      </c>
      <c r="C449" s="20">
        <v>103</v>
      </c>
      <c r="D449" s="20" t="s">
        <v>787</v>
      </c>
    </row>
    <row r="450" spans="1:4" x14ac:dyDescent="0.35">
      <c r="A450" s="20" t="s">
        <v>788</v>
      </c>
      <c r="B450" s="20">
        <v>8550</v>
      </c>
      <c r="C450" s="20">
        <v>88</v>
      </c>
      <c r="D450" s="20" t="s">
        <v>788</v>
      </c>
    </row>
    <row r="451" spans="1:4" x14ac:dyDescent="0.35">
      <c r="A451" s="20" t="s">
        <v>789</v>
      </c>
      <c r="B451" s="20">
        <v>8560</v>
      </c>
      <c r="C451" s="20">
        <v>331</v>
      </c>
      <c r="D451" s="20" t="s">
        <v>789</v>
      </c>
    </row>
    <row r="452" spans="1:4" x14ac:dyDescent="0.35">
      <c r="A452" s="20" t="s">
        <v>790</v>
      </c>
      <c r="B452" s="20">
        <v>8565</v>
      </c>
      <c r="C452" s="20">
        <v>722</v>
      </c>
      <c r="D452" s="20" t="s">
        <v>790</v>
      </c>
    </row>
    <row r="453" spans="1:4" x14ac:dyDescent="0.35">
      <c r="A453" s="20" t="s">
        <v>791</v>
      </c>
      <c r="B453" s="20">
        <v>8570</v>
      </c>
      <c r="C453" s="20">
        <v>90</v>
      </c>
      <c r="D453" s="20" t="s">
        <v>791</v>
      </c>
    </row>
    <row r="454" spans="1:4" x14ac:dyDescent="0.35">
      <c r="A454" s="20" t="s">
        <v>792</v>
      </c>
      <c r="B454" s="20">
        <v>8575</v>
      </c>
      <c r="C454" s="20">
        <v>402</v>
      </c>
      <c r="D454" s="20" t="s">
        <v>792</v>
      </c>
    </row>
    <row r="455" spans="1:4" x14ac:dyDescent="0.35">
      <c r="A455" s="20" t="s">
        <v>793</v>
      </c>
      <c r="B455" s="20">
        <v>8580</v>
      </c>
      <c r="C455" s="20">
        <v>91</v>
      </c>
      <c r="D455" s="20" t="s">
        <v>793</v>
      </c>
    </row>
    <row r="456" spans="1:4" x14ac:dyDescent="0.35">
      <c r="A456" s="20" t="s">
        <v>794</v>
      </c>
      <c r="B456" s="20">
        <v>8585</v>
      </c>
      <c r="C456" s="20">
        <v>184</v>
      </c>
      <c r="D456" s="20" t="s">
        <v>794</v>
      </c>
    </row>
    <row r="457" spans="1:4" x14ac:dyDescent="0.35">
      <c r="A457" s="20" t="s">
        <v>783</v>
      </c>
      <c r="B457" s="20">
        <v>8590</v>
      </c>
      <c r="C457" s="20">
        <v>92</v>
      </c>
      <c r="D457" s="20" t="s">
        <v>783</v>
      </c>
    </row>
    <row r="458" spans="1:4" x14ac:dyDescent="0.35">
      <c r="A458" s="20" t="s">
        <v>795</v>
      </c>
      <c r="B458" s="20">
        <v>8595</v>
      </c>
      <c r="C458" s="20">
        <v>400</v>
      </c>
      <c r="D458" s="20" t="s">
        <v>795</v>
      </c>
    </row>
    <row r="459" spans="1:4" x14ac:dyDescent="0.35">
      <c r="A459" s="20" t="s">
        <v>796</v>
      </c>
      <c r="B459" s="20">
        <v>8599</v>
      </c>
      <c r="C459" s="20">
        <v>568</v>
      </c>
      <c r="D459" s="20" t="s">
        <v>796</v>
      </c>
    </row>
    <row r="460" spans="1:4" x14ac:dyDescent="0.35">
      <c r="A460" s="20" t="s">
        <v>797</v>
      </c>
      <c r="B460" s="20">
        <v>8600</v>
      </c>
      <c r="C460" s="20">
        <v>385</v>
      </c>
      <c r="D460" s="20" t="s">
        <v>797</v>
      </c>
    </row>
    <row r="461" spans="1:4" x14ac:dyDescent="0.35">
      <c r="A461" s="20" t="s">
        <v>798</v>
      </c>
      <c r="B461" s="20">
        <v>8601</v>
      </c>
      <c r="C461" s="20">
        <v>387</v>
      </c>
      <c r="D461" s="20" t="s">
        <v>798</v>
      </c>
    </row>
    <row r="462" spans="1:4" x14ac:dyDescent="0.35">
      <c r="A462" s="20" t="s">
        <v>799</v>
      </c>
      <c r="B462" s="20">
        <v>8602</v>
      </c>
      <c r="C462" s="20">
        <v>386</v>
      </c>
      <c r="D462" s="20" t="s">
        <v>799</v>
      </c>
    </row>
    <row r="463" spans="1:4" x14ac:dyDescent="0.35">
      <c r="A463" s="20" t="s">
        <v>800</v>
      </c>
      <c r="B463" s="20">
        <v>8603</v>
      </c>
      <c r="C463" s="20">
        <v>388</v>
      </c>
      <c r="D463" s="20" t="s">
        <v>800</v>
      </c>
    </row>
    <row r="464" spans="1:4" x14ac:dyDescent="0.35">
      <c r="A464" s="20" t="s">
        <v>801</v>
      </c>
      <c r="B464" s="20">
        <v>8604</v>
      </c>
      <c r="C464" s="20">
        <v>389</v>
      </c>
      <c r="D464" s="20" t="s">
        <v>801</v>
      </c>
    </row>
    <row r="465" spans="1:4" x14ac:dyDescent="0.35">
      <c r="A465" s="20" t="s">
        <v>802</v>
      </c>
      <c r="B465" s="20">
        <v>8605</v>
      </c>
      <c r="C465" s="20">
        <v>390</v>
      </c>
      <c r="D465" s="20" t="s">
        <v>802</v>
      </c>
    </row>
    <row r="466" spans="1:4" x14ac:dyDescent="0.35">
      <c r="A466" s="20" t="s">
        <v>743</v>
      </c>
      <c r="B466" s="20">
        <v>8606</v>
      </c>
      <c r="C466" s="20">
        <v>391</v>
      </c>
      <c r="D466" s="20" t="s">
        <v>743</v>
      </c>
    </row>
    <row r="467" spans="1:4" x14ac:dyDescent="0.35">
      <c r="A467" s="20" t="s">
        <v>738</v>
      </c>
      <c r="B467" s="20">
        <v>8606.1</v>
      </c>
      <c r="C467" s="20">
        <v>633</v>
      </c>
      <c r="D467" s="20" t="s">
        <v>738</v>
      </c>
    </row>
    <row r="468" spans="1:4" x14ac:dyDescent="0.35">
      <c r="A468" s="20" t="s">
        <v>803</v>
      </c>
      <c r="B468" s="20">
        <v>8606.2000000000007</v>
      </c>
      <c r="C468" s="20">
        <v>634</v>
      </c>
      <c r="D468" s="20" t="s">
        <v>803</v>
      </c>
    </row>
    <row r="469" spans="1:4" x14ac:dyDescent="0.35">
      <c r="A469" s="20" t="s">
        <v>711</v>
      </c>
      <c r="B469" s="20">
        <v>8606.2999999999993</v>
      </c>
      <c r="C469" s="20">
        <v>635</v>
      </c>
      <c r="D469" s="20" t="s">
        <v>711</v>
      </c>
    </row>
    <row r="470" spans="1:4" x14ac:dyDescent="0.35">
      <c r="A470" s="20" t="s">
        <v>804</v>
      </c>
      <c r="B470" s="20">
        <v>8606.4</v>
      </c>
      <c r="C470" s="20">
        <v>636</v>
      </c>
      <c r="D470" s="20" t="s">
        <v>804</v>
      </c>
    </row>
    <row r="471" spans="1:4" x14ac:dyDescent="0.35">
      <c r="A471" s="20" t="s">
        <v>805</v>
      </c>
      <c r="B471" s="20">
        <v>8606.5</v>
      </c>
      <c r="C471" s="20">
        <v>718</v>
      </c>
      <c r="D471" s="20" t="s">
        <v>805</v>
      </c>
    </row>
    <row r="472" spans="1:4" x14ac:dyDescent="0.35">
      <c r="A472" s="20" t="s">
        <v>716</v>
      </c>
      <c r="B472" s="20">
        <v>8606.6</v>
      </c>
      <c r="C472" s="20">
        <v>717</v>
      </c>
      <c r="D472" s="20" t="s">
        <v>716</v>
      </c>
    </row>
    <row r="473" spans="1:4" x14ac:dyDescent="0.35">
      <c r="A473" s="20" t="s">
        <v>806</v>
      </c>
      <c r="B473" s="20">
        <v>8606.9</v>
      </c>
      <c r="C473" s="20">
        <v>729</v>
      </c>
      <c r="D473" s="20" t="s">
        <v>806</v>
      </c>
    </row>
    <row r="474" spans="1:4" x14ac:dyDescent="0.35">
      <c r="A474" s="20" t="s">
        <v>807</v>
      </c>
      <c r="B474" s="20">
        <v>8607</v>
      </c>
      <c r="C474" s="20">
        <v>392</v>
      </c>
      <c r="D474" s="20" t="s">
        <v>807</v>
      </c>
    </row>
    <row r="475" spans="1:4" x14ac:dyDescent="0.35">
      <c r="A475" s="20" t="s">
        <v>808</v>
      </c>
      <c r="B475" s="20">
        <v>8608</v>
      </c>
      <c r="C475" s="20">
        <v>393</v>
      </c>
      <c r="D475" s="20" t="s">
        <v>808</v>
      </c>
    </row>
    <row r="476" spans="1:4" x14ac:dyDescent="0.35">
      <c r="A476" s="20" t="s">
        <v>768</v>
      </c>
      <c r="B476" s="20">
        <v>8609</v>
      </c>
      <c r="C476" s="20">
        <v>637</v>
      </c>
      <c r="D476" s="20" t="s">
        <v>768</v>
      </c>
    </row>
    <row r="477" spans="1:4" x14ac:dyDescent="0.35">
      <c r="A477" s="20" t="s">
        <v>809</v>
      </c>
      <c r="B477" s="20">
        <v>8610</v>
      </c>
      <c r="C477" s="20">
        <v>756</v>
      </c>
      <c r="D477" s="20" t="s">
        <v>809</v>
      </c>
    </row>
    <row r="478" spans="1:4" x14ac:dyDescent="0.35">
      <c r="A478" s="20" t="s">
        <v>810</v>
      </c>
      <c r="B478" s="20">
        <v>8611</v>
      </c>
      <c r="C478" s="20">
        <v>409</v>
      </c>
      <c r="D478" s="20" t="s">
        <v>810</v>
      </c>
    </row>
    <row r="479" spans="1:4" x14ac:dyDescent="0.35">
      <c r="A479" s="20" t="s">
        <v>811</v>
      </c>
      <c r="B479" s="20">
        <v>8612</v>
      </c>
      <c r="C479" s="20">
        <v>410</v>
      </c>
      <c r="D479" s="20" t="s">
        <v>811</v>
      </c>
    </row>
    <row r="480" spans="1:4" x14ac:dyDescent="0.35">
      <c r="A480" s="20" t="s">
        <v>812</v>
      </c>
      <c r="B480" s="20">
        <v>8612.1</v>
      </c>
      <c r="C480" s="20">
        <v>806</v>
      </c>
      <c r="D480" s="20" t="s">
        <v>812</v>
      </c>
    </row>
    <row r="481" spans="1:4" x14ac:dyDescent="0.35">
      <c r="A481" s="20" t="s">
        <v>813</v>
      </c>
      <c r="B481" s="20">
        <v>8700</v>
      </c>
      <c r="C481" s="20">
        <v>487</v>
      </c>
      <c r="D481" s="20" t="s">
        <v>813</v>
      </c>
    </row>
    <row r="482" spans="1:4" x14ac:dyDescent="0.35">
      <c r="A482" s="20" t="s">
        <v>814</v>
      </c>
      <c r="B482" s="20">
        <v>8800</v>
      </c>
      <c r="C482" s="20">
        <v>495</v>
      </c>
      <c r="D482" s="20" t="s">
        <v>814</v>
      </c>
    </row>
    <row r="483" spans="1:4" x14ac:dyDescent="0.35">
      <c r="A483" s="20" t="s">
        <v>815</v>
      </c>
      <c r="B483" s="20">
        <v>8850</v>
      </c>
      <c r="C483" s="20">
        <v>496</v>
      </c>
      <c r="D483" s="20" t="s">
        <v>815</v>
      </c>
    </row>
    <row r="484" spans="1:4" x14ac:dyDescent="0.35">
      <c r="A484" s="20" t="s">
        <v>816</v>
      </c>
      <c r="B484" s="20">
        <v>8900</v>
      </c>
      <c r="C484" s="20">
        <v>351</v>
      </c>
      <c r="D484" s="20" t="s">
        <v>816</v>
      </c>
    </row>
    <row r="485" spans="1:4" x14ac:dyDescent="0.35">
      <c r="A485" s="20" t="s">
        <v>817</v>
      </c>
      <c r="B485" s="20">
        <v>24000</v>
      </c>
      <c r="C485" s="20">
        <v>46</v>
      </c>
      <c r="D485" s="20" t="s">
        <v>817</v>
      </c>
    </row>
    <row r="486" spans="1:4" x14ac:dyDescent="0.35">
      <c r="A486" s="20" t="s">
        <v>818</v>
      </c>
      <c r="B486" s="20">
        <v>32000</v>
      </c>
      <c r="C486" s="20">
        <v>43</v>
      </c>
      <c r="D486" s="20" t="s">
        <v>818</v>
      </c>
    </row>
    <row r="487" spans="1:4" x14ac:dyDescent="0.35">
      <c r="A487" s="20" t="s">
        <v>819</v>
      </c>
      <c r="B487" s="20">
        <v>66900</v>
      </c>
      <c r="C487" s="20">
        <v>117</v>
      </c>
      <c r="D487" s="20" t="s">
        <v>819</v>
      </c>
    </row>
    <row r="488" spans="1:4" x14ac:dyDescent="0.35">
      <c r="A488" s="20" t="s">
        <v>820</v>
      </c>
      <c r="B488" s="20" t="s">
        <v>821</v>
      </c>
      <c r="C488" s="20">
        <v>469</v>
      </c>
      <c r="D488" s="20" t="s">
        <v>820</v>
      </c>
    </row>
    <row r="489" spans="1:4" x14ac:dyDescent="0.35">
      <c r="A489" s="20" t="s">
        <v>822</v>
      </c>
      <c r="B489" s="20" t="s">
        <v>823</v>
      </c>
      <c r="C489" s="20">
        <v>526</v>
      </c>
      <c r="D489" s="20" t="s">
        <v>822</v>
      </c>
    </row>
    <row r="490" spans="1:4" x14ac:dyDescent="0.35">
      <c r="A490" s="20" t="s">
        <v>493</v>
      </c>
      <c r="B490" s="20" t="s">
        <v>824</v>
      </c>
      <c r="C490" s="20">
        <v>802</v>
      </c>
      <c r="D490" s="20" t="s">
        <v>493</v>
      </c>
    </row>
    <row r="491" spans="1:4" x14ac:dyDescent="0.35">
      <c r="A491" s="20" t="s">
        <v>825</v>
      </c>
      <c r="B491" s="20" t="s">
        <v>826</v>
      </c>
      <c r="C491" s="20">
        <v>801</v>
      </c>
      <c r="D491" s="20" t="s">
        <v>825</v>
      </c>
    </row>
    <row r="492" spans="1:4" x14ac:dyDescent="0.35">
      <c r="A492" s="20" t="s">
        <v>827</v>
      </c>
      <c r="B492" s="20" t="s">
        <v>828</v>
      </c>
      <c r="C492" s="20">
        <v>468</v>
      </c>
      <c r="D492" s="20" t="s">
        <v>827</v>
      </c>
    </row>
    <row r="493" spans="1:4" x14ac:dyDescent="0.35">
      <c r="A493" s="20" t="s">
        <v>829</v>
      </c>
      <c r="B493" s="20" t="s">
        <v>830</v>
      </c>
      <c r="C493" s="20">
        <v>602</v>
      </c>
      <c r="D493" s="20" t="s">
        <v>829</v>
      </c>
    </row>
    <row r="494" spans="1:4" x14ac:dyDescent="0.35">
      <c r="A494" s="20" t="s">
        <v>831</v>
      </c>
      <c r="B494" s="20" t="s">
        <v>832</v>
      </c>
      <c r="C494" s="20">
        <v>603</v>
      </c>
      <c r="D494" s="20" t="s">
        <v>831</v>
      </c>
    </row>
    <row r="495" spans="1:4" x14ac:dyDescent="0.35">
      <c r="A495" s="20" t="s">
        <v>833</v>
      </c>
      <c r="B495" s="20" t="s">
        <v>834</v>
      </c>
      <c r="C495" s="20">
        <v>620</v>
      </c>
      <c r="D495" s="20" t="s">
        <v>833</v>
      </c>
    </row>
    <row r="496" spans="1:4" x14ac:dyDescent="0.35">
      <c r="A496" s="20" t="s">
        <v>342</v>
      </c>
      <c r="B496" s="20" t="s">
        <v>155</v>
      </c>
      <c r="C496" s="20">
        <v>278</v>
      </c>
      <c r="D496" s="20" t="s">
        <v>342</v>
      </c>
    </row>
    <row r="497" spans="1:4" x14ac:dyDescent="0.35">
      <c r="A497" s="20" t="s">
        <v>343</v>
      </c>
      <c r="B497" s="20" t="s">
        <v>61</v>
      </c>
      <c r="C497" s="20">
        <v>279</v>
      </c>
      <c r="D497" s="20" t="s">
        <v>343</v>
      </c>
    </row>
    <row r="498" spans="1:4" x14ac:dyDescent="0.35">
      <c r="A498" s="20" t="s">
        <v>344</v>
      </c>
      <c r="B498" s="20" t="s">
        <v>130</v>
      </c>
      <c r="C498" s="20">
        <v>280</v>
      </c>
      <c r="D498" s="20" t="s">
        <v>344</v>
      </c>
    </row>
    <row r="499" spans="1:4" x14ac:dyDescent="0.35">
      <c r="A499" s="20" t="s">
        <v>835</v>
      </c>
      <c r="B499" s="20" t="s">
        <v>836</v>
      </c>
      <c r="C499" s="20">
        <v>281</v>
      </c>
      <c r="D499" s="20" t="s">
        <v>835</v>
      </c>
    </row>
    <row r="500" spans="1:4" x14ac:dyDescent="0.35">
      <c r="A500" s="20" t="s">
        <v>93</v>
      </c>
      <c r="B500" s="20" t="s">
        <v>92</v>
      </c>
      <c r="C500" s="20">
        <v>342</v>
      </c>
      <c r="D500" s="20" t="s">
        <v>93</v>
      </c>
    </row>
    <row r="501" spans="1:4" x14ac:dyDescent="0.35">
      <c r="A501" s="20" t="s">
        <v>345</v>
      </c>
      <c r="B501" s="20" t="s">
        <v>328</v>
      </c>
      <c r="C501" s="20">
        <v>343</v>
      </c>
      <c r="D501" s="20" t="s">
        <v>345</v>
      </c>
    </row>
    <row r="502" spans="1:4" x14ac:dyDescent="0.35">
      <c r="A502" s="20" t="s">
        <v>346</v>
      </c>
      <c r="B502" s="20" t="s">
        <v>329</v>
      </c>
      <c r="C502" s="20">
        <v>800</v>
      </c>
      <c r="D502" s="20" t="s">
        <v>346</v>
      </c>
    </row>
    <row r="503" spans="1:4" x14ac:dyDescent="0.35">
      <c r="A503" s="20" t="s">
        <v>115</v>
      </c>
      <c r="B503" s="20" t="s">
        <v>114</v>
      </c>
      <c r="C503" s="20">
        <v>285</v>
      </c>
      <c r="D503" s="20" t="s">
        <v>115</v>
      </c>
    </row>
    <row r="504" spans="1:4" x14ac:dyDescent="0.35">
      <c r="A504" s="20" t="s">
        <v>165</v>
      </c>
      <c r="B504" s="20" t="s">
        <v>164</v>
      </c>
      <c r="C504" s="20">
        <v>286</v>
      </c>
      <c r="D504" s="20" t="s">
        <v>165</v>
      </c>
    </row>
    <row r="505" spans="1:4" x14ac:dyDescent="0.35">
      <c r="A505" s="20" t="s">
        <v>347</v>
      </c>
      <c r="B505" s="20" t="s">
        <v>330</v>
      </c>
      <c r="C505" s="20">
        <v>345</v>
      </c>
      <c r="D505" s="20" t="s">
        <v>347</v>
      </c>
    </row>
    <row r="506" spans="1:4" x14ac:dyDescent="0.35">
      <c r="A506" s="20" t="s">
        <v>348</v>
      </c>
      <c r="B506" s="20" t="s">
        <v>331</v>
      </c>
      <c r="C506" s="20">
        <v>288</v>
      </c>
      <c r="D506" s="20" t="s">
        <v>348</v>
      </c>
    </row>
    <row r="507" spans="1:4" x14ac:dyDescent="0.35">
      <c r="A507" s="20" t="s">
        <v>349</v>
      </c>
      <c r="B507" s="20" t="s">
        <v>332</v>
      </c>
      <c r="C507" s="20">
        <v>289</v>
      </c>
      <c r="D507" s="20" t="s">
        <v>349</v>
      </c>
    </row>
    <row r="508" spans="1:4" x14ac:dyDescent="0.35">
      <c r="A508" s="20" t="s">
        <v>350</v>
      </c>
      <c r="B508" s="20" t="s">
        <v>333</v>
      </c>
      <c r="C508" s="20">
        <v>290</v>
      </c>
      <c r="D508" s="20" t="s">
        <v>350</v>
      </c>
    </row>
    <row r="509" spans="1:4" x14ac:dyDescent="0.35">
      <c r="A509" s="20" t="s">
        <v>67</v>
      </c>
      <c r="B509" s="20" t="s">
        <v>66</v>
      </c>
      <c r="C509" s="20">
        <v>291</v>
      </c>
      <c r="D509" s="20" t="s">
        <v>67</v>
      </c>
    </row>
    <row r="510" spans="1:4" x14ac:dyDescent="0.35">
      <c r="A510" s="20" t="s">
        <v>837</v>
      </c>
      <c r="B510" s="20" t="s">
        <v>838</v>
      </c>
      <c r="C510" s="20">
        <v>339</v>
      </c>
      <c r="D510" s="20" t="s">
        <v>837</v>
      </c>
    </row>
    <row r="511" spans="1:4" x14ac:dyDescent="0.35">
      <c r="A511" s="20" t="s">
        <v>351</v>
      </c>
      <c r="B511" s="20" t="s">
        <v>106</v>
      </c>
      <c r="C511" s="20">
        <v>282</v>
      </c>
      <c r="D511" s="20" t="s">
        <v>351</v>
      </c>
    </row>
    <row r="512" spans="1:4" x14ac:dyDescent="0.35">
      <c r="A512" s="20" t="s">
        <v>839</v>
      </c>
      <c r="B512" s="20" t="s">
        <v>840</v>
      </c>
      <c r="C512" s="20">
        <v>608</v>
      </c>
      <c r="D512" s="20" t="s">
        <v>839</v>
      </c>
    </row>
    <row r="513" spans="1:4" x14ac:dyDescent="0.35">
      <c r="A513" s="20" t="s">
        <v>352</v>
      </c>
      <c r="B513" s="20" t="s">
        <v>320</v>
      </c>
      <c r="C513" s="20">
        <v>340</v>
      </c>
      <c r="D513" s="20" t="s">
        <v>352</v>
      </c>
    </row>
    <row r="514" spans="1:4" x14ac:dyDescent="0.35">
      <c r="A514" s="20" t="s">
        <v>841</v>
      </c>
      <c r="B514" s="20" t="s">
        <v>842</v>
      </c>
      <c r="C514" s="20">
        <v>341</v>
      </c>
      <c r="D514" s="20" t="s">
        <v>841</v>
      </c>
    </row>
    <row r="515" spans="1:4" x14ac:dyDescent="0.35">
      <c r="A515" s="20" t="s">
        <v>843</v>
      </c>
      <c r="B515" s="20" t="s">
        <v>844</v>
      </c>
      <c r="C515" s="20">
        <v>346</v>
      </c>
      <c r="D515" s="20" t="s">
        <v>843</v>
      </c>
    </row>
    <row r="516" spans="1:4" x14ac:dyDescent="0.35">
      <c r="A516" s="20" t="s">
        <v>353</v>
      </c>
      <c r="B516" s="20" t="s">
        <v>334</v>
      </c>
      <c r="C516" s="20">
        <v>287</v>
      </c>
      <c r="D516" s="20" t="s">
        <v>353</v>
      </c>
    </row>
    <row r="517" spans="1:4" x14ac:dyDescent="0.35">
      <c r="A517" s="20" t="s">
        <v>845</v>
      </c>
      <c r="B517" s="20" t="s">
        <v>138</v>
      </c>
      <c r="C517" s="20">
        <v>360</v>
      </c>
      <c r="D517" s="20" t="s">
        <v>845</v>
      </c>
    </row>
    <row r="518" spans="1:4" x14ac:dyDescent="0.35">
      <c r="A518" s="20" t="s">
        <v>846</v>
      </c>
      <c r="B518" s="20" t="s">
        <v>847</v>
      </c>
      <c r="C518" s="20">
        <v>361</v>
      </c>
      <c r="D518" s="20" t="s">
        <v>846</v>
      </c>
    </row>
    <row r="519" spans="1:4" x14ac:dyDescent="0.35">
      <c r="A519" s="20" t="s">
        <v>848</v>
      </c>
      <c r="B519" s="20" t="s">
        <v>849</v>
      </c>
      <c r="C519" s="20">
        <v>367</v>
      </c>
      <c r="D519" s="20" t="s">
        <v>848</v>
      </c>
    </row>
    <row r="520" spans="1:4" x14ac:dyDescent="0.35">
      <c r="A520" s="20" t="s">
        <v>850</v>
      </c>
      <c r="B520" s="20" t="s">
        <v>851</v>
      </c>
      <c r="C520" s="20">
        <v>370</v>
      </c>
      <c r="D520" s="20" t="s">
        <v>850</v>
      </c>
    </row>
    <row r="521" spans="1:4" x14ac:dyDescent="0.35">
      <c r="A521" s="20" t="s">
        <v>852</v>
      </c>
      <c r="B521" s="20" t="s">
        <v>853</v>
      </c>
      <c r="C521" s="20">
        <v>371</v>
      </c>
      <c r="D521" s="20" t="s">
        <v>852</v>
      </c>
    </row>
    <row r="522" spans="1:4" x14ac:dyDescent="0.35">
      <c r="A522" s="20" t="s">
        <v>354</v>
      </c>
      <c r="B522" s="20" t="s">
        <v>335</v>
      </c>
      <c r="C522" s="20">
        <v>707</v>
      </c>
      <c r="D522" s="20" t="s">
        <v>354</v>
      </c>
    </row>
    <row r="523" spans="1:4" x14ac:dyDescent="0.35">
      <c r="A523" s="20" t="s">
        <v>854</v>
      </c>
      <c r="B523" s="20" t="s">
        <v>855</v>
      </c>
      <c r="C523" s="20">
        <v>380</v>
      </c>
      <c r="D523" s="20" t="s">
        <v>854</v>
      </c>
    </row>
    <row r="524" spans="1:4" x14ac:dyDescent="0.35">
      <c r="A524" s="20" t="s">
        <v>856</v>
      </c>
      <c r="B524" s="20" t="s">
        <v>857</v>
      </c>
      <c r="C524" s="20">
        <v>381</v>
      </c>
      <c r="D524" s="20" t="s">
        <v>856</v>
      </c>
    </row>
    <row r="525" spans="1:4" x14ac:dyDescent="0.35">
      <c r="A525" s="20" t="s">
        <v>858</v>
      </c>
      <c r="B525" s="20" t="s">
        <v>859</v>
      </c>
      <c r="C525" s="20">
        <v>382</v>
      </c>
      <c r="D525" s="20" t="s">
        <v>858</v>
      </c>
    </row>
    <row r="526" spans="1:4" x14ac:dyDescent="0.35">
      <c r="A526" s="20" t="s">
        <v>860</v>
      </c>
      <c r="B526" s="20" t="s">
        <v>56</v>
      </c>
      <c r="C526" s="20">
        <v>293</v>
      </c>
      <c r="D526" s="20" t="s">
        <v>860</v>
      </c>
    </row>
    <row r="527" spans="1:4" x14ac:dyDescent="0.35">
      <c r="A527" s="20" t="s">
        <v>861</v>
      </c>
      <c r="B527" s="20" t="s">
        <v>46</v>
      </c>
      <c r="C527" s="20">
        <v>294</v>
      </c>
      <c r="D527" s="20" t="s">
        <v>861</v>
      </c>
    </row>
    <row r="528" spans="1:4" x14ac:dyDescent="0.35">
      <c r="A528" s="20" t="s">
        <v>355</v>
      </c>
      <c r="B528" s="20" t="s">
        <v>51</v>
      </c>
      <c r="C528" s="20">
        <v>338</v>
      </c>
      <c r="D528" s="20" t="s">
        <v>355</v>
      </c>
    </row>
    <row r="529" spans="1:4" x14ac:dyDescent="0.35">
      <c r="A529" s="20" t="s">
        <v>862</v>
      </c>
      <c r="B529" s="20" t="s">
        <v>863</v>
      </c>
      <c r="C529" s="20">
        <v>344</v>
      </c>
      <c r="D529" s="20" t="s">
        <v>862</v>
      </c>
    </row>
    <row r="530" spans="1:4" x14ac:dyDescent="0.35">
      <c r="A530" s="20" t="s">
        <v>864</v>
      </c>
      <c r="B530" s="20" t="s">
        <v>865</v>
      </c>
      <c r="C530" s="20">
        <v>609</v>
      </c>
      <c r="D530" s="20" t="s">
        <v>864</v>
      </c>
    </row>
    <row r="531" spans="1:4" x14ac:dyDescent="0.35">
      <c r="A531" s="20" t="s">
        <v>356</v>
      </c>
      <c r="B531" s="20" t="s">
        <v>336</v>
      </c>
      <c r="C531" s="20">
        <v>595</v>
      </c>
      <c r="D531" s="20" t="s">
        <v>356</v>
      </c>
    </row>
    <row r="532" spans="1:4" x14ac:dyDescent="0.35">
      <c r="A532" s="20" t="s">
        <v>866</v>
      </c>
      <c r="B532" s="20" t="s">
        <v>867</v>
      </c>
      <c r="C532" s="20">
        <v>596</v>
      </c>
      <c r="D532" s="20" t="s">
        <v>866</v>
      </c>
    </row>
    <row r="533" spans="1:4" x14ac:dyDescent="0.35">
      <c r="A533" s="20" t="s">
        <v>357</v>
      </c>
      <c r="B533" s="20" t="s">
        <v>337</v>
      </c>
      <c r="C533" s="20">
        <v>597</v>
      </c>
      <c r="D533" s="20" t="s">
        <v>357</v>
      </c>
    </row>
    <row r="534" spans="1:4" x14ac:dyDescent="0.35">
      <c r="A534" s="20" t="s">
        <v>868</v>
      </c>
      <c r="B534" s="20" t="s">
        <v>869</v>
      </c>
      <c r="C534" s="20">
        <v>598</v>
      </c>
      <c r="D534" s="20" t="s">
        <v>868</v>
      </c>
    </row>
    <row r="535" spans="1:4" x14ac:dyDescent="0.35">
      <c r="A535" s="20" t="s">
        <v>870</v>
      </c>
      <c r="B535" s="20" t="s">
        <v>871</v>
      </c>
      <c r="C535" s="20">
        <v>809</v>
      </c>
      <c r="D535" s="20" t="s">
        <v>870</v>
      </c>
    </row>
    <row r="536" spans="1:4" x14ac:dyDescent="0.35">
      <c r="A536" s="20" t="s">
        <v>872</v>
      </c>
      <c r="B536" s="20" t="s">
        <v>873</v>
      </c>
      <c r="C536" s="20">
        <v>482</v>
      </c>
      <c r="D536" s="20" t="s">
        <v>872</v>
      </c>
    </row>
    <row r="537" spans="1:4" x14ac:dyDescent="0.35">
      <c r="A537" s="20" t="s">
        <v>874</v>
      </c>
      <c r="B537" s="20" t="s">
        <v>875</v>
      </c>
      <c r="C537" s="20">
        <v>619</v>
      </c>
      <c r="D537" s="20" t="s">
        <v>874</v>
      </c>
    </row>
    <row r="538" spans="1:4" x14ac:dyDescent="0.35">
      <c r="A538" s="20">
        <v>1463.4</v>
      </c>
      <c r="C538" s="20">
        <v>724</v>
      </c>
      <c r="D538" s="20">
        <v>1463.4</v>
      </c>
    </row>
    <row r="539" spans="1:4" x14ac:dyDescent="0.35">
      <c r="A539" s="20">
        <v>7510</v>
      </c>
      <c r="C539" s="20">
        <v>694</v>
      </c>
      <c r="D539" s="20">
        <v>7510</v>
      </c>
    </row>
    <row r="540" spans="1:4" x14ac:dyDescent="0.35">
      <c r="A540" s="20">
        <v>7515</v>
      </c>
      <c r="C540" s="20">
        <v>692</v>
      </c>
      <c r="D540" s="20">
        <v>7515</v>
      </c>
    </row>
    <row r="541" spans="1:4" x14ac:dyDescent="0.35">
      <c r="A541" s="20">
        <v>8108</v>
      </c>
      <c r="C541" s="20">
        <v>688</v>
      </c>
      <c r="D541" s="20">
        <v>8108</v>
      </c>
    </row>
    <row r="542" spans="1:4" x14ac:dyDescent="0.35">
      <c r="A542" s="20">
        <v>8110</v>
      </c>
      <c r="C542" s="20">
        <v>689</v>
      </c>
      <c r="D542" s="20">
        <v>8110</v>
      </c>
    </row>
    <row r="543" spans="1:4" x14ac:dyDescent="0.35">
      <c r="A543" s="20">
        <v>8115</v>
      </c>
      <c r="C543" s="20">
        <v>698</v>
      </c>
      <c r="D543" s="20">
        <v>8115</v>
      </c>
    </row>
    <row r="544" spans="1:4" x14ac:dyDescent="0.35">
      <c r="A544" s="20">
        <v>8133</v>
      </c>
      <c r="C544" s="20">
        <v>687</v>
      </c>
      <c r="D544" s="20">
        <v>8133</v>
      </c>
    </row>
    <row r="545" spans="1:4" x14ac:dyDescent="0.35">
      <c r="A545" s="20">
        <v>8160</v>
      </c>
      <c r="C545" s="20">
        <v>690</v>
      </c>
      <c r="D545" s="20">
        <v>8160</v>
      </c>
    </row>
    <row r="546" spans="1:4" x14ac:dyDescent="0.35">
      <c r="A546" s="20">
        <v>8170</v>
      </c>
      <c r="C546" s="20">
        <v>691</v>
      </c>
      <c r="D546" s="20">
        <v>8170</v>
      </c>
    </row>
    <row r="547" spans="1:4" x14ac:dyDescent="0.35">
      <c r="A547" s="20">
        <v>8180</v>
      </c>
      <c r="C547" s="20">
        <v>686</v>
      </c>
      <c r="D547" s="20">
        <v>8180</v>
      </c>
    </row>
    <row r="548" spans="1:4" x14ac:dyDescent="0.35">
      <c r="A548" s="20">
        <v>8190</v>
      </c>
      <c r="C548" s="20">
        <v>683</v>
      </c>
      <c r="D548" s="20">
        <v>8190</v>
      </c>
    </row>
    <row r="549" spans="1:4" x14ac:dyDescent="0.35">
      <c r="A549" s="20">
        <v>8231</v>
      </c>
      <c r="C549" s="20">
        <v>701</v>
      </c>
      <c r="D549" s="20">
        <v>8231</v>
      </c>
    </row>
    <row r="550" spans="1:4" x14ac:dyDescent="0.35">
      <c r="A550" s="20">
        <v>8240</v>
      </c>
      <c r="C550" s="20">
        <v>705</v>
      </c>
      <c r="D550" s="20">
        <v>8240</v>
      </c>
    </row>
    <row r="551" spans="1:4" x14ac:dyDescent="0.35">
      <c r="A551" s="20">
        <v>8312</v>
      </c>
      <c r="C551" s="20">
        <v>695</v>
      </c>
      <c r="D551" s="20">
        <v>8312</v>
      </c>
    </row>
    <row r="552" spans="1:4" x14ac:dyDescent="0.35">
      <c r="A552" s="20">
        <v>8320</v>
      </c>
      <c r="C552" s="20">
        <v>697</v>
      </c>
      <c r="D552" s="20">
        <v>8320</v>
      </c>
    </row>
    <row r="553" spans="1:4" x14ac:dyDescent="0.35">
      <c r="A553" s="20">
        <v>8350</v>
      </c>
      <c r="C553" s="20">
        <v>696</v>
      </c>
      <c r="D553" s="20">
        <v>8350</v>
      </c>
    </row>
    <row r="554" spans="1:4" x14ac:dyDescent="0.35">
      <c r="A554" s="20">
        <v>8405</v>
      </c>
      <c r="C554" s="20">
        <v>700</v>
      </c>
      <c r="D554" s="20">
        <v>8405</v>
      </c>
    </row>
    <row r="555" spans="1:4" x14ac:dyDescent="0.35">
      <c r="A555" s="20">
        <v>8430</v>
      </c>
      <c r="C555" s="20">
        <v>760</v>
      </c>
      <c r="D555" s="20">
        <v>8430</v>
      </c>
    </row>
    <row r="556" spans="1:4" x14ac:dyDescent="0.35">
      <c r="A556" s="20">
        <v>8445</v>
      </c>
      <c r="C556" s="20">
        <v>699</v>
      </c>
      <c r="D556" s="20">
        <v>8445</v>
      </c>
    </row>
    <row r="557" spans="1:4" x14ac:dyDescent="0.35">
      <c r="A557" s="20">
        <v>8470</v>
      </c>
      <c r="C557" s="20">
        <v>704</v>
      </c>
      <c r="D557" s="20">
        <v>8470</v>
      </c>
    </row>
    <row r="558" spans="1:4" x14ac:dyDescent="0.35">
      <c r="A558" s="20">
        <v>8480</v>
      </c>
      <c r="C558" s="20">
        <v>703</v>
      </c>
      <c r="D558" s="20">
        <v>8480</v>
      </c>
    </row>
    <row r="559" spans="1:4" x14ac:dyDescent="0.35">
      <c r="A559" s="20">
        <v>8525</v>
      </c>
      <c r="C559" s="20">
        <v>693</v>
      </c>
      <c r="D559" s="20">
        <v>8525</v>
      </c>
    </row>
    <row r="560" spans="1:4" x14ac:dyDescent="0.35">
      <c r="A560" s="20">
        <v>8570</v>
      </c>
      <c r="C560" s="20">
        <v>684</v>
      </c>
      <c r="D560" s="20">
        <v>8570</v>
      </c>
    </row>
    <row r="561" spans="1:4" x14ac:dyDescent="0.35">
      <c r="A561" s="20">
        <v>8580</v>
      </c>
      <c r="C561" s="20">
        <v>685</v>
      </c>
      <c r="D561" s="20">
        <v>8580</v>
      </c>
    </row>
    <row r="562" spans="1:4" x14ac:dyDescent="0.35">
      <c r="A562" s="20">
        <v>8590</v>
      </c>
      <c r="C562" s="20">
        <v>706</v>
      </c>
      <c r="D562" s="20">
        <v>8590</v>
      </c>
    </row>
    <row r="563" spans="1:4" x14ac:dyDescent="0.35">
      <c r="A563" s="20">
        <v>8599</v>
      </c>
      <c r="C563" s="20">
        <v>702</v>
      </c>
      <c r="D563" s="20">
        <v>8599</v>
      </c>
    </row>
    <row r="564" spans="1:4" x14ac:dyDescent="0.35">
      <c r="A564" s="20" t="s">
        <v>876</v>
      </c>
      <c r="C564" s="20">
        <v>403</v>
      </c>
      <c r="D564" s="20" t="s">
        <v>876</v>
      </c>
    </row>
    <row r="565" spans="1:4" x14ac:dyDescent="0.35">
      <c r="A565" s="20" t="s">
        <v>877</v>
      </c>
      <c r="C565" s="20">
        <v>759</v>
      </c>
      <c r="D565" s="20" t="s">
        <v>877</v>
      </c>
    </row>
    <row r="566" spans="1:4" x14ac:dyDescent="0.35">
      <c r="A566" s="20" t="s">
        <v>878</v>
      </c>
      <c r="C566" s="20">
        <v>677</v>
      </c>
      <c r="D566" s="20" t="s">
        <v>878</v>
      </c>
    </row>
    <row r="567" spans="1:4" x14ac:dyDescent="0.35">
      <c r="A567" s="20" t="s">
        <v>879</v>
      </c>
      <c r="C567" s="20">
        <v>675</v>
      </c>
      <c r="D567" s="20" t="s">
        <v>879</v>
      </c>
    </row>
    <row r="568" spans="1:4" x14ac:dyDescent="0.35">
      <c r="A568" s="20" t="s">
        <v>880</v>
      </c>
      <c r="C568" s="20">
        <v>653</v>
      </c>
      <c r="D568" s="20" t="s">
        <v>880</v>
      </c>
    </row>
    <row r="569" spans="1:4" x14ac:dyDescent="0.35">
      <c r="A569" s="20" t="s">
        <v>881</v>
      </c>
      <c r="C569" s="20">
        <v>657</v>
      </c>
      <c r="D569" s="20" t="s">
        <v>881</v>
      </c>
    </row>
    <row r="570" spans="1:4" x14ac:dyDescent="0.35">
      <c r="A570" s="20" t="s">
        <v>882</v>
      </c>
      <c r="C570" s="20">
        <v>666</v>
      </c>
      <c r="D570" s="20" t="s">
        <v>882</v>
      </c>
    </row>
    <row r="571" spans="1:4" x14ac:dyDescent="0.35">
      <c r="A571" s="20" t="s">
        <v>883</v>
      </c>
      <c r="C571" s="20">
        <v>668</v>
      </c>
      <c r="D571" s="20" t="s">
        <v>883</v>
      </c>
    </row>
    <row r="572" spans="1:4" x14ac:dyDescent="0.35">
      <c r="A572" s="20" t="s">
        <v>884</v>
      </c>
      <c r="C572" s="20">
        <v>643</v>
      </c>
      <c r="D572" s="20" t="s">
        <v>884</v>
      </c>
    </row>
    <row r="573" spans="1:4" x14ac:dyDescent="0.35">
      <c r="A573" s="20" t="s">
        <v>885</v>
      </c>
      <c r="C573" s="20">
        <v>645</v>
      </c>
      <c r="D573" s="20" t="s">
        <v>885</v>
      </c>
    </row>
    <row r="574" spans="1:4" x14ac:dyDescent="0.35">
      <c r="A574" s="20" t="s">
        <v>886</v>
      </c>
      <c r="C574" s="20">
        <v>641</v>
      </c>
      <c r="D574" s="20" t="s">
        <v>886</v>
      </c>
    </row>
    <row r="575" spans="1:4" x14ac:dyDescent="0.35">
      <c r="A575" s="20" t="s">
        <v>887</v>
      </c>
      <c r="C575" s="20">
        <v>663</v>
      </c>
      <c r="D575" s="20" t="s">
        <v>887</v>
      </c>
    </row>
    <row r="576" spans="1:4" x14ac:dyDescent="0.35">
      <c r="A576" s="20" t="s">
        <v>888</v>
      </c>
      <c r="C576" s="20">
        <v>661</v>
      </c>
      <c r="D576" s="20" t="s">
        <v>888</v>
      </c>
    </row>
    <row r="577" spans="1:4" x14ac:dyDescent="0.35">
      <c r="A577" s="20" t="s">
        <v>889</v>
      </c>
      <c r="C577" s="20">
        <v>639</v>
      </c>
      <c r="D577" s="20" t="s">
        <v>889</v>
      </c>
    </row>
    <row r="578" spans="1:4" x14ac:dyDescent="0.35">
      <c r="A578" s="20" t="s">
        <v>890</v>
      </c>
      <c r="C578" s="20">
        <v>655</v>
      </c>
      <c r="D578" s="20" t="s">
        <v>890</v>
      </c>
    </row>
    <row r="579" spans="1:4" x14ac:dyDescent="0.35">
      <c r="A579" s="20" t="s">
        <v>891</v>
      </c>
      <c r="C579" s="20">
        <v>651</v>
      </c>
      <c r="D579" s="20" t="s">
        <v>891</v>
      </c>
    </row>
    <row r="580" spans="1:4" x14ac:dyDescent="0.35">
      <c r="A580" s="20" t="s">
        <v>892</v>
      </c>
      <c r="C580" s="20">
        <v>649</v>
      </c>
      <c r="D580" s="20" t="s">
        <v>892</v>
      </c>
    </row>
    <row r="581" spans="1:4" x14ac:dyDescent="0.35">
      <c r="A581" s="20" t="s">
        <v>893</v>
      </c>
      <c r="C581" s="20">
        <v>679</v>
      </c>
      <c r="D581" s="20" t="s">
        <v>893</v>
      </c>
    </row>
    <row r="582" spans="1:4" x14ac:dyDescent="0.35">
      <c r="A582" s="20" t="s">
        <v>894</v>
      </c>
      <c r="C582" s="20">
        <v>673</v>
      </c>
      <c r="D582" s="20" t="s">
        <v>894</v>
      </c>
    </row>
    <row r="583" spans="1:4" x14ac:dyDescent="0.35">
      <c r="A583" s="20" t="s">
        <v>895</v>
      </c>
      <c r="C583" s="20">
        <v>647</v>
      </c>
      <c r="D583" s="20" t="s">
        <v>895</v>
      </c>
    </row>
    <row r="584" spans="1:4" x14ac:dyDescent="0.35">
      <c r="A584" s="20" t="s">
        <v>896</v>
      </c>
      <c r="C584" s="20">
        <v>659</v>
      </c>
      <c r="D584" s="20" t="s">
        <v>896</v>
      </c>
    </row>
    <row r="585" spans="1:4" x14ac:dyDescent="0.35">
      <c r="A585" s="20" t="s">
        <v>897</v>
      </c>
      <c r="C585" s="20">
        <v>671</v>
      </c>
      <c r="D585" s="20" t="s">
        <v>897</v>
      </c>
    </row>
    <row r="586" spans="1:4" x14ac:dyDescent="0.35">
      <c r="A586" s="20" t="s">
        <v>898</v>
      </c>
      <c r="C586" s="20">
        <v>665</v>
      </c>
      <c r="D586" s="20" t="s">
        <v>898</v>
      </c>
    </row>
    <row r="587" spans="1:4" x14ac:dyDescent="0.35">
      <c r="A587" s="20" t="s">
        <v>791</v>
      </c>
      <c r="C587" s="20">
        <v>660</v>
      </c>
      <c r="D587" s="20" t="s">
        <v>791</v>
      </c>
    </row>
    <row r="588" spans="1:4" x14ac:dyDescent="0.35">
      <c r="A588" s="20" t="s">
        <v>780</v>
      </c>
      <c r="C588" s="20">
        <v>674</v>
      </c>
      <c r="D588" s="20" t="s">
        <v>780</v>
      </c>
    </row>
    <row r="589" spans="1:4" x14ac:dyDescent="0.35">
      <c r="A589" s="20" t="s">
        <v>899</v>
      </c>
      <c r="C589" s="20">
        <v>798</v>
      </c>
      <c r="D589" s="20" t="s">
        <v>899</v>
      </c>
    </row>
    <row r="590" spans="1:4" x14ac:dyDescent="0.35">
      <c r="A590" s="20" t="s">
        <v>900</v>
      </c>
      <c r="C590" s="20">
        <v>470</v>
      </c>
      <c r="D590" s="20" t="s">
        <v>900</v>
      </c>
    </row>
    <row r="591" spans="1:4" x14ac:dyDescent="0.35">
      <c r="A591" s="20" t="s">
        <v>705</v>
      </c>
      <c r="C591" s="20">
        <v>642</v>
      </c>
      <c r="D591" s="20" t="s">
        <v>705</v>
      </c>
    </row>
    <row r="592" spans="1:4" x14ac:dyDescent="0.35">
      <c r="A592" s="20" t="s">
        <v>762</v>
      </c>
      <c r="C592" s="20">
        <v>650</v>
      </c>
      <c r="D592" s="20" t="s">
        <v>762</v>
      </c>
    </row>
    <row r="593" spans="1:4" x14ac:dyDescent="0.35">
      <c r="A593" s="20" t="s">
        <v>702</v>
      </c>
      <c r="C593" s="20">
        <v>644</v>
      </c>
      <c r="D593" s="20" t="s">
        <v>702</v>
      </c>
    </row>
    <row r="594" spans="1:4" x14ac:dyDescent="0.35">
      <c r="A594" s="20" t="s">
        <v>758</v>
      </c>
      <c r="C594" s="20">
        <v>652</v>
      </c>
      <c r="D594" s="20" t="s">
        <v>758</v>
      </c>
    </row>
    <row r="595" spans="1:4" x14ac:dyDescent="0.35">
      <c r="A595" s="20" t="s">
        <v>901</v>
      </c>
      <c r="D595" s="20" t="s">
        <v>901</v>
      </c>
    </row>
    <row r="596" spans="1:4" x14ac:dyDescent="0.35">
      <c r="A596" s="20" t="s">
        <v>779</v>
      </c>
      <c r="C596" s="20">
        <v>680</v>
      </c>
      <c r="D596" s="20" t="s">
        <v>779</v>
      </c>
    </row>
    <row r="597" spans="1:4" x14ac:dyDescent="0.35">
      <c r="A597" s="20" t="s">
        <v>673</v>
      </c>
      <c r="C597" s="20">
        <v>678</v>
      </c>
      <c r="D597" s="20" t="s">
        <v>673</v>
      </c>
    </row>
    <row r="598" spans="1:4" x14ac:dyDescent="0.35">
      <c r="A598" s="20" t="s">
        <v>690</v>
      </c>
      <c r="C598" s="20">
        <v>667</v>
      </c>
      <c r="D598" s="20" t="s">
        <v>690</v>
      </c>
    </row>
    <row r="599" spans="1:4" x14ac:dyDescent="0.35">
      <c r="A599" s="20" t="s">
        <v>706</v>
      </c>
      <c r="C599" s="20">
        <v>664</v>
      </c>
      <c r="D599" s="20" t="s">
        <v>706</v>
      </c>
    </row>
    <row r="600" spans="1:4" x14ac:dyDescent="0.35">
      <c r="A600" s="20" t="s">
        <v>902</v>
      </c>
      <c r="C600" s="20">
        <v>354</v>
      </c>
      <c r="D600" s="20" t="s">
        <v>902</v>
      </c>
    </row>
    <row r="601" spans="1:4" x14ac:dyDescent="0.35">
      <c r="A601" s="20" t="s">
        <v>674</v>
      </c>
      <c r="C601" s="20">
        <v>676</v>
      </c>
      <c r="D601" s="20" t="s">
        <v>674</v>
      </c>
    </row>
    <row r="602" spans="1:4" x14ac:dyDescent="0.35">
      <c r="A602" s="20" t="s">
        <v>793</v>
      </c>
      <c r="C602" s="20">
        <v>672</v>
      </c>
      <c r="D602" s="20" t="s">
        <v>793</v>
      </c>
    </row>
    <row r="603" spans="1:4" x14ac:dyDescent="0.35">
      <c r="A603" s="20" t="s">
        <v>735</v>
      </c>
      <c r="C603" s="20">
        <v>662</v>
      </c>
      <c r="D603" s="20" t="s">
        <v>735</v>
      </c>
    </row>
    <row r="604" spans="1:4" x14ac:dyDescent="0.35">
      <c r="A604" s="20" t="s">
        <v>903</v>
      </c>
      <c r="C604" s="20">
        <v>240</v>
      </c>
      <c r="D604" s="20" t="s">
        <v>903</v>
      </c>
    </row>
    <row r="605" spans="1:4" x14ac:dyDescent="0.35">
      <c r="A605" s="20" t="s">
        <v>755</v>
      </c>
      <c r="C605" s="20">
        <v>656</v>
      </c>
      <c r="D605" s="20" t="s">
        <v>755</v>
      </c>
    </row>
    <row r="606" spans="1:4" x14ac:dyDescent="0.35">
      <c r="A606" s="20" t="s">
        <v>904</v>
      </c>
      <c r="C606" s="20">
        <v>337</v>
      </c>
      <c r="D606" s="20" t="s">
        <v>904</v>
      </c>
    </row>
    <row r="607" spans="1:4" x14ac:dyDescent="0.35">
      <c r="A607" s="20" t="s">
        <v>704</v>
      </c>
      <c r="C607" s="20">
        <v>646</v>
      </c>
      <c r="D607" s="20" t="s">
        <v>704</v>
      </c>
    </row>
    <row r="608" spans="1:4" x14ac:dyDescent="0.35">
      <c r="A608" s="20" t="s">
        <v>687</v>
      </c>
      <c r="C608" s="20">
        <v>654</v>
      </c>
      <c r="D608" s="20" t="s">
        <v>687</v>
      </c>
    </row>
    <row r="609" spans="1:4" x14ac:dyDescent="0.35">
      <c r="A609" s="20" t="s">
        <v>905</v>
      </c>
      <c r="C609" s="20">
        <v>352</v>
      </c>
      <c r="D609" s="20" t="s">
        <v>905</v>
      </c>
    </row>
    <row r="610" spans="1:4" x14ac:dyDescent="0.35">
      <c r="A610" s="20" t="s">
        <v>906</v>
      </c>
      <c r="C610" s="20">
        <v>383</v>
      </c>
      <c r="D610" s="20" t="s">
        <v>906</v>
      </c>
    </row>
    <row r="611" spans="1:4" x14ac:dyDescent="0.35">
      <c r="A611" s="20" t="s">
        <v>907</v>
      </c>
      <c r="C611" s="20">
        <v>353</v>
      </c>
      <c r="D611" s="20" t="s">
        <v>907</v>
      </c>
    </row>
    <row r="612" spans="1:4" x14ac:dyDescent="0.35">
      <c r="A612" s="20" t="s">
        <v>908</v>
      </c>
      <c r="C612" s="20">
        <v>237</v>
      </c>
      <c r="D612" s="20" t="s">
        <v>908</v>
      </c>
    </row>
    <row r="613" spans="1:4" x14ac:dyDescent="0.35">
      <c r="A613" s="20" t="s">
        <v>625</v>
      </c>
      <c r="C613" s="20">
        <v>648</v>
      </c>
      <c r="D613" s="20" t="s">
        <v>625</v>
      </c>
    </row>
    <row r="614" spans="1:4" x14ac:dyDescent="0.35">
      <c r="A614" s="20" t="s">
        <v>688</v>
      </c>
      <c r="C614" s="20">
        <v>658</v>
      </c>
      <c r="D614" s="20" t="s">
        <v>688</v>
      </c>
    </row>
    <row r="615" spans="1:4" x14ac:dyDescent="0.35">
      <c r="A615" s="20" t="s">
        <v>692</v>
      </c>
      <c r="C615" s="20">
        <v>669</v>
      </c>
      <c r="D615" s="20" t="s">
        <v>692</v>
      </c>
    </row>
    <row r="616" spans="1:4" x14ac:dyDescent="0.35">
      <c r="A616" s="20" t="s">
        <v>754</v>
      </c>
      <c r="C616" s="20">
        <v>640</v>
      </c>
      <c r="D616" s="20" t="s">
        <v>754</v>
      </c>
    </row>
    <row r="617" spans="1:4" x14ac:dyDescent="0.35">
      <c r="A617" s="20" t="s">
        <v>909</v>
      </c>
      <c r="C617" s="20">
        <v>238</v>
      </c>
      <c r="D617" s="20" t="s">
        <v>909</v>
      </c>
    </row>
    <row r="618" spans="1:4" x14ac:dyDescent="0.35">
      <c r="A618" s="20" t="s">
        <v>910</v>
      </c>
      <c r="C618" s="20">
        <v>239</v>
      </c>
      <c r="D618" s="20" t="s">
        <v>910</v>
      </c>
    </row>
    <row r="619" spans="1:4" x14ac:dyDescent="0.35">
      <c r="A619" s="20" t="s">
        <v>911</v>
      </c>
      <c r="C619" s="20">
        <v>332</v>
      </c>
      <c r="D619" s="20" t="s">
        <v>911</v>
      </c>
    </row>
    <row r="620" spans="1:4" x14ac:dyDescent="0.35">
      <c r="A620" s="20" t="s">
        <v>912</v>
      </c>
      <c r="C620" s="20">
        <v>334</v>
      </c>
      <c r="D620" s="20" t="s">
        <v>912</v>
      </c>
    </row>
    <row r="621" spans="1:4" x14ac:dyDescent="0.35">
      <c r="A621" s="20" t="s">
        <v>913</v>
      </c>
      <c r="C621" s="20">
        <v>333</v>
      </c>
      <c r="D621" s="20" t="s">
        <v>913</v>
      </c>
    </row>
    <row r="622" spans="1:4" x14ac:dyDescent="0.35">
      <c r="A622" s="20" t="s">
        <v>696</v>
      </c>
      <c r="C622" s="20">
        <v>670</v>
      </c>
      <c r="D622" s="20" t="s">
        <v>696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Payroll</vt:lpstr>
      <vt:lpstr>PR by Empl</vt:lpstr>
      <vt:lpstr>Allocation</vt:lpstr>
      <vt:lpstr>Allocated Payroll</vt:lpstr>
      <vt:lpstr>Upload Data</vt:lpstr>
      <vt:lpstr>UploadGuru</vt:lpstr>
      <vt:lpstr>Test</vt:lpstr>
      <vt:lpstr>Config</vt:lpstr>
      <vt:lpstr>Account Groups</vt:lpstr>
      <vt:lpstr>QB Accounts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2020-03-29T15:43:24Z</dcterms:modified>
</cp:coreProperties>
</file>