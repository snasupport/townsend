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League\Payroll Allocation\"/>
    </mc:Choice>
  </mc:AlternateContent>
  <bookViews>
    <workbookView xWindow="0" yWindow="0" windowWidth="19200" windowHeight="7450" tabRatio="665" activeTab="5"/>
  </bookViews>
  <sheets>
    <sheet name="Main" sheetId="1" r:id="rId1"/>
    <sheet name="Payroll" sheetId="2" r:id="rId2"/>
    <sheet name="PR by Empl" sheetId="11" r:id="rId3"/>
    <sheet name="Allocation" sheetId="3" r:id="rId4"/>
    <sheet name="Allocated Payroll" sheetId="4" r:id="rId5"/>
    <sheet name="Upload Data" sheetId="5" r:id="rId6"/>
    <sheet name="UploadGuru" sheetId="8" r:id="rId7"/>
    <sheet name="Test" sheetId="10" r:id="rId8"/>
    <sheet name="Config" sheetId="6" r:id="rId9"/>
  </sheets>
  <functionGroups builtInGroupCount="18"/>
  <definedNames>
    <definedName name="_xlnm._FilterDatabase" localSheetId="1" hidden="1">Payroll!$A$1:$T$1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3" i="4" l="1"/>
  <c r="E42" i="4"/>
  <c r="E40" i="4"/>
  <c r="E39" i="4"/>
  <c r="E38" i="4"/>
  <c r="E37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F43" i="3"/>
  <c r="E43" i="3"/>
  <c r="F42" i="3"/>
  <c r="E42" i="3"/>
  <c r="F41" i="3"/>
  <c r="F40" i="3"/>
  <c r="E40" i="3"/>
  <c r="F39" i="3"/>
  <c r="E39" i="3"/>
  <c r="F38" i="3"/>
  <c r="E38" i="3"/>
  <c r="F37" i="3"/>
  <c r="E37" i="3"/>
  <c r="F36" i="3"/>
  <c r="F35" i="3"/>
  <c r="E35" i="3"/>
  <c r="F34" i="3"/>
  <c r="E34" i="3"/>
  <c r="F33" i="3"/>
  <c r="E33" i="3"/>
  <c r="F32" i="3"/>
  <c r="E32" i="3"/>
  <c r="F31" i="3"/>
  <c r="E31" i="3"/>
  <c r="F30" i="3"/>
  <c r="E30" i="3"/>
  <c r="F29" i="3"/>
  <c r="E29" i="3"/>
  <c r="F28" i="3"/>
  <c r="E28" i="3"/>
  <c r="F27" i="3"/>
  <c r="E27" i="3"/>
  <c r="F26" i="3"/>
  <c r="E26" i="3"/>
  <c r="F25" i="3"/>
  <c r="E25" i="3"/>
  <c r="F24" i="3"/>
  <c r="E24" i="3"/>
  <c r="F23" i="3"/>
  <c r="E23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E3" i="3" s="1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E3" i="4" l="1"/>
</calcChain>
</file>

<file path=xl/sharedStrings.xml><?xml version="1.0" encoding="utf-8"?>
<sst xmlns="http://schemas.openxmlformats.org/spreadsheetml/2006/main" count="9089" uniqueCount="578">
  <si>
    <t>P. Schmitt</t>
  </si>
  <si>
    <t>Allocation File Path</t>
  </si>
  <si>
    <t>Worksheet Name</t>
  </si>
  <si>
    <t>Version 1</t>
  </si>
  <si>
    <t>ULEC Payroll Allocation Processor</t>
  </si>
  <si>
    <t>Payroll File Path</t>
  </si>
  <si>
    <t xml:space="preserve">Employer Expenses </t>
  </si>
  <si>
    <t xml:space="preserve">Deductions </t>
  </si>
  <si>
    <t xml:space="preserve">Payroll Taxes </t>
  </si>
  <si>
    <t xml:space="preserve">Cash </t>
  </si>
  <si>
    <t xml:space="preserve">Salaries </t>
  </si>
  <si>
    <t>Include in Payroll</t>
  </si>
  <si>
    <t>Sheet0</t>
  </si>
  <si>
    <t>Reference</t>
  </si>
  <si>
    <t>Account Code</t>
  </si>
  <si>
    <t>Account Description</t>
  </si>
  <si>
    <t>Account</t>
  </si>
  <si>
    <t>Amount</t>
  </si>
  <si>
    <t>Debit/Credit</t>
  </si>
  <si>
    <t>Department Code</t>
  </si>
  <si>
    <t>Department Description</t>
  </si>
  <si>
    <t>Department GL Segment</t>
  </si>
  <si>
    <t>Employee Code</t>
  </si>
  <si>
    <t>Employee Name</t>
  </si>
  <si>
    <t>Employee GL Segment</t>
  </si>
  <si>
    <t>Position Code</t>
  </si>
  <si>
    <t>Position Description</t>
  </si>
  <si>
    <t>Position GL Segment</t>
  </si>
  <si>
    <t>Check Number</t>
  </si>
  <si>
    <t>Check Type</t>
  </si>
  <si>
    <t>Donor</t>
  </si>
  <si>
    <t>Employer Expense</t>
  </si>
  <si>
    <t/>
  </si>
  <si>
    <t>001A002</t>
  </si>
  <si>
    <t>Debit</t>
  </si>
  <si>
    <t>A002</t>
  </si>
  <si>
    <t>ANDREWS, CORA</t>
  </si>
  <si>
    <t>7260</t>
  </si>
  <si>
    <t>001A017</t>
  </si>
  <si>
    <t>A017</t>
  </si>
  <si>
    <t>GREEN, YOLANDA</t>
  </si>
  <si>
    <t>111</t>
  </si>
  <si>
    <t>Abbott</t>
  </si>
  <si>
    <t>Newark Public Schools</t>
  </si>
  <si>
    <t>111A009</t>
  </si>
  <si>
    <t>A009</t>
  </si>
  <si>
    <t>BRYANT, RONI</t>
  </si>
  <si>
    <t>7223b</t>
  </si>
  <si>
    <t xml:space="preserve">Teacher Assistant </t>
  </si>
  <si>
    <t>111A01B</t>
  </si>
  <si>
    <t>A01B</t>
  </si>
  <si>
    <t>WOODRIDGE, ROSALIND</t>
  </si>
  <si>
    <t>7223c</t>
  </si>
  <si>
    <t xml:space="preserve">Floater </t>
  </si>
  <si>
    <t>111A04N</t>
  </si>
  <si>
    <t>A04N</t>
  </si>
  <si>
    <t>TYLER, PATRICIA</t>
  </si>
  <si>
    <t>7223a</t>
  </si>
  <si>
    <t xml:space="preserve">Food Worker Assistant </t>
  </si>
  <si>
    <t>111A05S</t>
  </si>
  <si>
    <t>A05S</t>
  </si>
  <si>
    <t>DANCE-WILSON, HEATHER</t>
  </si>
  <si>
    <t>7221b</t>
  </si>
  <si>
    <t xml:space="preserve">Program Director </t>
  </si>
  <si>
    <t>111A05V</t>
  </si>
  <si>
    <t>A05V</t>
  </si>
  <si>
    <t>SIMMONS, BERTRILLA RENEE</t>
  </si>
  <si>
    <t>7222h</t>
  </si>
  <si>
    <t>Teacher</t>
  </si>
  <si>
    <t>111A06F</t>
  </si>
  <si>
    <t>A06F</t>
  </si>
  <si>
    <t>JANVIER, JHONNY</t>
  </si>
  <si>
    <t>111A06Q</t>
  </si>
  <si>
    <t>A06Q</t>
  </si>
  <si>
    <t>LOFTIN, NIQUITA</t>
  </si>
  <si>
    <t>111A06R</t>
  </si>
  <si>
    <t>A06R</t>
  </si>
  <si>
    <t>HOLLINS, QUINTELLA D</t>
  </si>
  <si>
    <t>111A147</t>
  </si>
  <si>
    <t>A147</t>
  </si>
  <si>
    <t>STEWART, ROBIN D</t>
  </si>
  <si>
    <t>111B</t>
  </si>
  <si>
    <t>Abbott Wrap</t>
  </si>
  <si>
    <t>A03A</t>
  </si>
  <si>
    <t>BROWN, DENYSE</t>
  </si>
  <si>
    <t>Private Pay</t>
  </si>
  <si>
    <t>112A04E</t>
  </si>
  <si>
    <t>112</t>
  </si>
  <si>
    <t>EHS</t>
  </si>
  <si>
    <t>A04E</t>
  </si>
  <si>
    <t>FITZPATRICK, CYNTHIA ELAINE</t>
  </si>
  <si>
    <t>222A05U</t>
  </si>
  <si>
    <t>222</t>
  </si>
  <si>
    <t>DCF Coding</t>
  </si>
  <si>
    <t>A05U</t>
  </si>
  <si>
    <t>WARD, RICHARD G</t>
  </si>
  <si>
    <t>7221e</t>
  </si>
  <si>
    <t>Director of Finance</t>
  </si>
  <si>
    <t>222A167</t>
  </si>
  <si>
    <t>A167</t>
  </si>
  <si>
    <t>SHARIF, DARRIN S</t>
  </si>
  <si>
    <t>223A012</t>
  </si>
  <si>
    <t>123</t>
  </si>
  <si>
    <t>OICA</t>
  </si>
  <si>
    <t>223</t>
  </si>
  <si>
    <t>A012</t>
  </si>
  <si>
    <t>COOPER, CASSANDRA</t>
  </si>
  <si>
    <t>7222a</t>
  </si>
  <si>
    <t>Case Manager</t>
  </si>
  <si>
    <t>368A06P</t>
  </si>
  <si>
    <t>368</t>
  </si>
  <si>
    <t>Neigh Revita</t>
  </si>
  <si>
    <t>A06P</t>
  </si>
  <si>
    <t>MCDANIEL, CURTIS J</t>
  </si>
  <si>
    <t>7222j</t>
  </si>
  <si>
    <t xml:space="preserve">Program Coordinator </t>
  </si>
  <si>
    <t>368A167</t>
  </si>
  <si>
    <t>451A04I</t>
  </si>
  <si>
    <t>151</t>
  </si>
  <si>
    <t>USJP</t>
  </si>
  <si>
    <t>451</t>
  </si>
  <si>
    <t>A04I</t>
  </si>
  <si>
    <t>CERNA, IRENE</t>
  </si>
  <si>
    <t>7222b</t>
  </si>
  <si>
    <t>Clerical</t>
  </si>
  <si>
    <t>451A04T</t>
  </si>
  <si>
    <t>A04T</t>
  </si>
  <si>
    <t>JOHNSON, ARMANDA</t>
  </si>
  <si>
    <t>451A05X</t>
  </si>
  <si>
    <t>A05X</t>
  </si>
  <si>
    <t>MORRIS, GWENDOLYN J</t>
  </si>
  <si>
    <t>451A06N</t>
  </si>
  <si>
    <t>A06N</t>
  </si>
  <si>
    <t>LEAKE, RAHMEL</t>
  </si>
  <si>
    <t>467A016</t>
  </si>
  <si>
    <t>167</t>
  </si>
  <si>
    <t>WorkForce UA</t>
  </si>
  <si>
    <t>467</t>
  </si>
  <si>
    <t>A016</t>
  </si>
  <si>
    <t>FRAZIER, ALICE</t>
  </si>
  <si>
    <t>7221c</t>
  </si>
  <si>
    <t xml:space="preserve">Director of Operations </t>
  </si>
  <si>
    <t>467A06K</t>
  </si>
  <si>
    <t>A06K</t>
  </si>
  <si>
    <t>WILLIAMS, KYNEISHA</t>
  </si>
  <si>
    <t>467A06M</t>
  </si>
  <si>
    <t>A06M</t>
  </si>
  <si>
    <t>HOWARD, THERESA M</t>
  </si>
  <si>
    <t>7222p</t>
  </si>
  <si>
    <t xml:space="preserve">Senior Case Manager </t>
  </si>
  <si>
    <t>467A06O</t>
  </si>
  <si>
    <t>A06O</t>
  </si>
  <si>
    <t>LOVE, CHARLES F</t>
  </si>
  <si>
    <t>502A06J</t>
  </si>
  <si>
    <t>552</t>
  </si>
  <si>
    <t>ESG Housing</t>
  </si>
  <si>
    <t>502</t>
  </si>
  <si>
    <t>A06J</t>
  </si>
  <si>
    <t>LINDSEY, VICTORIA A</t>
  </si>
  <si>
    <t>560</t>
  </si>
  <si>
    <t>160</t>
  </si>
  <si>
    <t>FOC Housing</t>
  </si>
  <si>
    <t>A01J</t>
  </si>
  <si>
    <t>HIGGINS, ROSA M.</t>
  </si>
  <si>
    <t>610A015</t>
  </si>
  <si>
    <t>610</t>
  </si>
  <si>
    <t>CEO</t>
  </si>
  <si>
    <t>A015</t>
  </si>
  <si>
    <t>FRASER, VIVIAN COX</t>
  </si>
  <si>
    <t>7221a</t>
  </si>
  <si>
    <t xml:space="preserve">Executive Director </t>
  </si>
  <si>
    <t>620A05U</t>
  </si>
  <si>
    <t>620</t>
  </si>
  <si>
    <t>CFO</t>
  </si>
  <si>
    <t>630</t>
  </si>
  <si>
    <t>COO</t>
  </si>
  <si>
    <t>A01P</t>
  </si>
  <si>
    <t>SERMON, PATRICIA</t>
  </si>
  <si>
    <t>650A06G</t>
  </si>
  <si>
    <t>650</t>
  </si>
  <si>
    <t>CAO</t>
  </si>
  <si>
    <t>A06G</t>
  </si>
  <si>
    <t>BENNETT, PATRICIA A</t>
  </si>
  <si>
    <t>7222c</t>
  </si>
  <si>
    <t>Custodian</t>
  </si>
  <si>
    <t>Employer Liability</t>
  </si>
  <si>
    <t>2220</t>
  </si>
  <si>
    <t>Credit</t>
  </si>
  <si>
    <t>2261</t>
  </si>
  <si>
    <t>A03B</t>
  </si>
  <si>
    <t>MCMILLIAN, DAPHNE L.</t>
  </si>
  <si>
    <t>Net Pay</t>
  </si>
  <si>
    <t>1010</t>
  </si>
  <si>
    <t>Salary Expense</t>
  </si>
  <si>
    <t>7220</t>
  </si>
  <si>
    <t>Tax Liability</t>
  </si>
  <si>
    <t>Jan 2020</t>
  </si>
  <si>
    <t>ULEC Payroll Allocation</t>
  </si>
  <si>
    <t>Payroll Id</t>
  </si>
  <si>
    <t>Name</t>
  </si>
  <si>
    <t>Comment</t>
  </si>
  <si>
    <t>111 Abbott</t>
  </si>
  <si>
    <t>620 CFO</t>
  </si>
  <si>
    <t>EHS/ Toddlers</t>
  </si>
  <si>
    <t>Admin</t>
  </si>
  <si>
    <t>Workforce</t>
  </si>
  <si>
    <t>FOC</t>
  </si>
  <si>
    <t>MARTINEZ, Joanna</t>
  </si>
  <si>
    <t>MCMILLIAN, Daphne L.</t>
  </si>
  <si>
    <t>RAMBARAN, Sharaini J.</t>
  </si>
  <si>
    <t>FOC, Housing, OICA, COO</t>
  </si>
  <si>
    <t>Admin, Coding, WF</t>
  </si>
  <si>
    <t>NRTC, Housing, PARS, ESG</t>
  </si>
  <si>
    <t>United Airlines</t>
  </si>
  <si>
    <t>Neigh Revit</t>
  </si>
  <si>
    <t>PACE</t>
  </si>
  <si>
    <t>Mitchell, Felicia</t>
  </si>
  <si>
    <t>No</t>
  </si>
  <si>
    <t>Date</t>
  </si>
  <si>
    <t>Description</t>
  </si>
  <si>
    <t>Memo</t>
  </si>
  <si>
    <t>Class</t>
  </si>
  <si>
    <t>Staff</t>
  </si>
  <si>
    <t>C:\Users\Peter\Documents\Associates\Projects\Townsend\UrbanLeague\Payroll Allocation\Payroll Allocation.xlsx</t>
  </si>
  <si>
    <t>C:\Users\Peter\Documents\Associates\Projects\Townsend\UrbanLeague\Payroll Allocation\New Report 10.08.2019 (2).xlsx</t>
  </si>
  <si>
    <t>Account In</t>
  </si>
  <si>
    <t>Account Out</t>
  </si>
  <si>
    <t>7324 Expense</t>
  </si>
  <si>
    <t>6574 Management</t>
  </si>
  <si>
    <t>3423 Depression</t>
  </si>
  <si>
    <t>8792 payroll</t>
  </si>
  <si>
    <t>Employer Expenses</t>
  </si>
  <si>
    <t>Deductions</t>
  </si>
  <si>
    <t>Payroll Taxes</t>
  </si>
  <si>
    <t>Cash</t>
  </si>
  <si>
    <t>Salaries</t>
  </si>
  <si>
    <t>Account Debit</t>
  </si>
  <si>
    <t>Account Credit</t>
  </si>
  <si>
    <t>Account Group</t>
  </si>
  <si>
    <t>Id</t>
  </si>
  <si>
    <t>Transaction Date</t>
  </si>
  <si>
    <t>Type (Credit/Debit)</t>
  </si>
  <si>
    <t>Payroll Date</t>
  </si>
  <si>
    <t>4. Enter the payroll date in cell E16</t>
  </si>
  <si>
    <t>5. Review result in sheets "Expenses" (red rows could not be matched) and  "Allocation Expenses"</t>
  </si>
  <si>
    <t>8. Upload allocated expenses from sheet "Upload Data"</t>
  </si>
  <si>
    <t>9. Review uploaded data in QuickBooks</t>
  </si>
  <si>
    <t>==&gt; Account Groups</t>
  </si>
  <si>
    <t xml:space="preserve">1. Select allocation template file and sheet in cell G7,8 if different </t>
  </si>
  <si>
    <t xml:space="preserve">2. Select payroll file and sheet in cell G11, G12 if different </t>
  </si>
  <si>
    <t>Newark Public Schools (Abbott)</t>
  </si>
  <si>
    <t>Payroll (columns 1 and 3)</t>
  </si>
  <si>
    <t>United Airlines, Inc.</t>
  </si>
  <si>
    <t>State of NJ -PACE</t>
  </si>
  <si>
    <t>LISC-HUD FOC</t>
  </si>
  <si>
    <t>Wells Fargo Regional Foundation</t>
  </si>
  <si>
    <t>Proof \ Class</t>
  </si>
  <si>
    <t>111A Abbott Other</t>
  </si>
  <si>
    <t>111B Abbott Fees</t>
  </si>
  <si>
    <t>112.1 Toddlers</t>
  </si>
  <si>
    <t>451 USJP Program</t>
  </si>
  <si>
    <t>467 WorkForceUA</t>
  </si>
  <si>
    <t>454 Pru - Workforce</t>
  </si>
  <si>
    <t>452 PACE</t>
  </si>
  <si>
    <t>502 ESG Housing Asst Program</t>
  </si>
  <si>
    <t>341 NRTC 2020</t>
  </si>
  <si>
    <t>525 CDBG - Housing</t>
  </si>
  <si>
    <t>515 NUL HUD PARS</t>
  </si>
  <si>
    <t>560 Capital 1 SaveUp</t>
  </si>
  <si>
    <t>562 LISC FOC 2020</t>
  </si>
  <si>
    <t>563 Pru - FOC</t>
  </si>
  <si>
    <t>220 Coding</t>
  </si>
  <si>
    <t>368 WF Neigh Revit</t>
  </si>
  <si>
    <t>610 CEO</t>
  </si>
  <si>
    <t>700 Fundraising</t>
  </si>
  <si>
    <t>339 ULEC Opport Corp</t>
  </si>
  <si>
    <t>Count</t>
  </si>
  <si>
    <t>Abbott, Admin</t>
  </si>
  <si>
    <t>???</t>
  </si>
  <si>
    <t>Bishop-Shakoor, Ayesha</t>
  </si>
  <si>
    <t>Wrap</t>
  </si>
  <si>
    <t>Guerra, Karime</t>
  </si>
  <si>
    <t>Housing</t>
  </si>
  <si>
    <t>Robbins, Leonard</t>
  </si>
  <si>
    <t>Opportunity Corp</t>
  </si>
  <si>
    <t>United Airlines, PACE June 30</t>
  </si>
  <si>
    <t>!TRNS</t>
  </si>
  <si>
    <t>TRNSID</t>
  </si>
  <si>
    <t>TRNSTYPE</t>
  </si>
  <si>
    <t>DATE</t>
  </si>
  <si>
    <t>CUSTOMER</t>
  </si>
  <si>
    <t>ACCNT</t>
  </si>
  <si>
    <t>MEMO</t>
  </si>
  <si>
    <t>AMOUNT</t>
  </si>
  <si>
    <t>CLASS</t>
  </si>
  <si>
    <t>NAME</t>
  </si>
  <si>
    <t>!SPL</t>
  </si>
  <si>
    <t>SPLID</t>
  </si>
  <si>
    <t>!ENDTRNS</t>
  </si>
  <si>
    <t>TRNS</t>
  </si>
  <si>
    <t>GENERAL JOURNAL</t>
  </si>
  <si>
    <t>Disability Alloc</t>
  </si>
  <si>
    <t>SPL</t>
  </si>
  <si>
    <t>ENDTRNS</t>
  </si>
  <si>
    <t>334F FOC</t>
  </si>
  <si>
    <t>111A06U</t>
  </si>
  <si>
    <t>502A06T</t>
  </si>
  <si>
    <t>620A03Z</t>
  </si>
  <si>
    <t>Abbott Payroll 6/1/2020</t>
  </si>
  <si>
    <t>ANDREWS, CORA Payroll 6/1/2020</t>
  </si>
  <si>
    <t>BENNETT, PATRICIA A Payroll 6/1/2020</t>
  </si>
  <si>
    <t>BROWN, DENYSE Payroll 6/1/2020</t>
  </si>
  <si>
    <t>BRYANT, RONI Payroll 6/1/2020</t>
  </si>
  <si>
    <t>CERNA, IRENE Payroll 6/1/2020</t>
  </si>
  <si>
    <t>COOPER, CASSANDRA Payroll 6/1/2020</t>
  </si>
  <si>
    <t>DANCE-WILSON, HEATHER Payroll 6/1/2020</t>
  </si>
  <si>
    <t>FITZPATRICK, CYNTHIA ELAINE Payroll 6/1/2020</t>
  </si>
  <si>
    <t>FRASER, VIVIAN COX Payroll 6/1/2020</t>
  </si>
  <si>
    <t>FRAZIER, ALICE Payroll 6/1/2020</t>
  </si>
  <si>
    <t>GREEN, YOLANDA Payroll 6/1/2020</t>
  </si>
  <si>
    <t>HIGGINS, ROSA M. Payroll 6/1/2020</t>
  </si>
  <si>
    <t>HOLLINS, QUINTELLA D Payroll 6/1/2020</t>
  </si>
  <si>
    <t>HOWARD, THERESA M Payroll 6/1/2020</t>
  </si>
  <si>
    <t>JANVIER, JHONNY Payroll 6/1/2020</t>
  </si>
  <si>
    <t>LEAKE, RAHMEL Payroll 6/1/2020</t>
  </si>
  <si>
    <t>LINDSEY, VICTORIA A Payroll 6/1/2020</t>
  </si>
  <si>
    <t>LOFTIN, NIQUITA Payroll 6/1/2020</t>
  </si>
  <si>
    <t>LOVE, CHARLES F Payroll 6/1/2020</t>
  </si>
  <si>
    <t>MCDANIEL, CURTIS J Payroll 6/1/2020</t>
  </si>
  <si>
    <t>MORRIS, GWENDOLYN J Payroll 6/1/2020</t>
  </si>
  <si>
    <t>SERMON, PATRICIA Payroll 6/1/2020</t>
  </si>
  <si>
    <t>SHARIF, DARRIN S Payroll 6/1/2020</t>
  </si>
  <si>
    <t>SIMMONS, BERTRILLA RENEE Payroll 6/1/2020</t>
  </si>
  <si>
    <t>STEWART, ROBIN D Payroll 6/1/2020</t>
  </si>
  <si>
    <t>TYLER, PATRICIA Payroll 6/1/2020</t>
  </si>
  <si>
    <t>WARD, RICHARD G Payroll 6/1/2020</t>
  </si>
  <si>
    <t>WILLIAMS, KYNEISHA Payroll 6/1/2020</t>
  </si>
  <si>
    <t>WOODRIDGE, ROSALIND Payroll 6/1/2020</t>
  </si>
  <si>
    <t>Employer Liability, Payroll Taxes  Payroll Row: 81</t>
  </si>
  <si>
    <t>Net Pay, Cash  Payroll Row: 82</t>
  </si>
  <si>
    <t>Salary Expense, Salaries  Payroll Row: 83</t>
  </si>
  <si>
    <t>Tax Liability, Cash  Payroll Row: 84</t>
  </si>
  <si>
    <t>Tax Liability, Payroll Taxes  Payroll Row: 85</t>
  </si>
  <si>
    <t>Employer Expense, Employer Expenses  Payroll Row: 86</t>
  </si>
  <si>
    <t>Employer Liability, Deductions  Payroll Row: 88</t>
  </si>
  <si>
    <t>Employer Liability, Payroll Taxes  Payroll Row: 89</t>
  </si>
  <si>
    <t>Net Pay, Cash  Payroll Row: 90</t>
  </si>
  <si>
    <t>Salary Expense, Salaries  Payroll Row: 91</t>
  </si>
  <si>
    <t>Tax Liability, Cash  Payroll Row: 92</t>
  </si>
  <si>
    <t>Tax Liability, Payroll Taxes  Payroll Row: 93</t>
  </si>
  <si>
    <t>Employer Expense, Employer Expenses  Payroll Row: 94</t>
  </si>
  <si>
    <t>Employer Liability, Payroll Taxes  Payroll Row: 96</t>
  </si>
  <si>
    <t>Net Pay, Cash  Payroll Row: 97</t>
  </si>
  <si>
    <t>Salary Expense, Salaries  Payroll Row: 98</t>
  </si>
  <si>
    <t>Tax Liability, Cash  Payroll Row: 99</t>
  </si>
  <si>
    <t>Tax Liability, Payroll Taxes  Payroll Row: 100</t>
  </si>
  <si>
    <t>Employer Expense, Employer Expenses  Payroll Row: 101</t>
  </si>
  <si>
    <t>Employer Liability, Payroll Taxes  Payroll Row: 202</t>
  </si>
  <si>
    <t>Net Pay, Cash  Payroll Row: 203</t>
  </si>
  <si>
    <t>Salary Expense, Salaries  Payroll Row: 204</t>
  </si>
  <si>
    <t>Tax Liability, Cash  Payroll Row: 205</t>
  </si>
  <si>
    <t>Tax Liability, Payroll Taxes  Payroll Row: 206</t>
  </si>
  <si>
    <t>Employer Expense, Employer Expenses  Payroll Row: 207</t>
  </si>
  <si>
    <t>Employer Liability, Deductions  Payroll Row: 209</t>
  </si>
  <si>
    <t>Employer Liability, Payroll Taxes  Payroll Row: 210</t>
  </si>
  <si>
    <t>Net Pay, Cash  Payroll Row: 211</t>
  </si>
  <si>
    <t>Salary Expense, Salaries  Payroll Row: 212</t>
  </si>
  <si>
    <t>Tax Liability, Cash  Payroll Row: 213</t>
  </si>
  <si>
    <t>Tax Liability, Payroll Taxes  Payroll Row: 214</t>
  </si>
  <si>
    <t>Employer Expense, Employer Expenses  Payroll Row: 215</t>
  </si>
  <si>
    <t>Employer Liability, Payroll Taxes  Payroll Row: 217</t>
  </si>
  <si>
    <t>Net Pay, Cash  Payroll Row: 218</t>
  </si>
  <si>
    <t>Salary Expense, Salaries  Payroll Row: 219</t>
  </si>
  <si>
    <t>Tax Liability, Cash  Payroll Row: 220</t>
  </si>
  <si>
    <t>Tax Liability, Payroll Taxes  Payroll Row: 221</t>
  </si>
  <si>
    <t>Employer Expense, Employer Expenses  Payroll Row: 222</t>
  </si>
  <si>
    <t>Employer Liability, Deductions  Payroll Row: 224</t>
  </si>
  <si>
    <t>Employer Liability, Payroll Taxes  Payroll Row: 225</t>
  </si>
  <si>
    <t>Net Pay, Cash  Payroll Row: 226</t>
  </si>
  <si>
    <t>Salary Expense, Salaries  Payroll Row: 227</t>
  </si>
  <si>
    <t>Tax Liability, Cash  Payroll Row: 228</t>
  </si>
  <si>
    <t>Tax Liability, Payroll Taxes  Payroll Row: 229</t>
  </si>
  <si>
    <t>Employer Expense, Employer Expenses  Payroll Row: 238</t>
  </si>
  <si>
    <t>Employer Liability, Deductions  Payroll Row: 240</t>
  </si>
  <si>
    <t>Employer Liability, Payroll Taxes  Payroll Row: 241</t>
  </si>
  <si>
    <t>Net Pay, Cash  Payroll Row: 242</t>
  </si>
  <si>
    <t>Salary Expense, Salaries  Payroll Row: 243</t>
  </si>
  <si>
    <t>Tax Liability, Cash  Payroll Row: 244</t>
  </si>
  <si>
    <t>Tax Liability, Payroll Taxes  Payroll Row: 245</t>
  </si>
  <si>
    <t>Employer Expense, Employer Expenses  Payroll Row: 246</t>
  </si>
  <si>
    <t>Employer Liability, Payroll Taxes  Payroll Row: 248</t>
  </si>
  <si>
    <t>Net Pay, Cash  Payroll Row: 249</t>
  </si>
  <si>
    <t>Salary Expense, Salaries  Payroll Row: 250</t>
  </si>
  <si>
    <t>Tax Liability, Cash  Payroll Row: 251</t>
  </si>
  <si>
    <t>Tax Liability, Payroll Taxes  Payroll Row: 252</t>
  </si>
  <si>
    <t>Debug</t>
  </si>
  <si>
    <t>New payroll record</t>
  </si>
  <si>
    <t>total</t>
  </si>
  <si>
    <t>Rounded</t>
  </si>
  <si>
    <t>Rounded w sign</t>
  </si>
  <si>
    <t>PR Account</t>
  </si>
  <si>
    <t>Employer Expense, Employer Expenses  Payroll Row: 2</t>
  </si>
  <si>
    <t>Employer Expense, Employer Expenses  Payroll Row: 230</t>
  </si>
  <si>
    <t>Employer Liability, Deductions  Payroll Row: 232</t>
  </si>
  <si>
    <t>Employer Liability, Payroll Taxes  Payroll Row: 233</t>
  </si>
  <si>
    <t>Net Pay, Cash  Payroll Row: 234</t>
  </si>
  <si>
    <t>Salary Expense, Salaries  Payroll Row: 235</t>
  </si>
  <si>
    <t>Tax Liability, Cash  Payroll Row: 236</t>
  </si>
  <si>
    <t>Tax Liability, Payroll Taxes  Payroll Row: 237</t>
  </si>
  <si>
    <t xml:space="preserve"> ==&gt; reference</t>
  </si>
  <si>
    <t>==&gt; Account Description</t>
  </si>
  <si>
    <t>Version 5</t>
  </si>
  <si>
    <t>Employer Liability, Deductions  Payroll Row: 4</t>
  </si>
  <si>
    <t>Employer Liability, Payroll Taxes  Payroll Row: 5</t>
  </si>
  <si>
    <t>Net Pay, Cash  Payroll Row: 6</t>
  </si>
  <si>
    <t>Salary Expense, Salaries  Payroll Row: 7</t>
  </si>
  <si>
    <t>Tax Liability, Cash  Payroll Row: 8</t>
  </si>
  <si>
    <t>Tax Liability, Payroll Taxes  Payroll Row: 9</t>
  </si>
  <si>
    <t>Employer Expense, Employer Expenses  Payroll Row: 10</t>
  </si>
  <si>
    <t>Employer Liability, Deductions  Payroll Row: 12</t>
  </si>
  <si>
    <t>Employer Liability, Payroll Taxes  Payroll Row: 13</t>
  </si>
  <si>
    <t>Net Pay, Cash  Payroll Row: 14</t>
  </si>
  <si>
    <t>Salary Expense, Salaries  Payroll Row: 15</t>
  </si>
  <si>
    <t>Tax Liability, Cash  Payroll Row: 16</t>
  </si>
  <si>
    <t>Tax Liability, Payroll Taxes  Payroll Row: 17</t>
  </si>
  <si>
    <t>Employer Expense, Employer Expenses  Payroll Row: 18</t>
  </si>
  <si>
    <t>Employer Liability, Deductions  Payroll Row: 20</t>
  </si>
  <si>
    <t>Employer Liability, Payroll Taxes  Payroll Row: 21</t>
  </si>
  <si>
    <t>Net Pay, Cash  Payroll Row: 22</t>
  </si>
  <si>
    <t>Salary Expense, Salaries  Payroll Row: 23</t>
  </si>
  <si>
    <t>Tax Liability, Cash  Payroll Row: 24</t>
  </si>
  <si>
    <t>Tax Liability, Payroll Taxes  Payroll Row: 25</t>
  </si>
  <si>
    <t>Employer Expense, Employer Expenses  Payroll Row: 26</t>
  </si>
  <si>
    <t>Employer Liability, Deductions  Payroll Row: 28</t>
  </si>
  <si>
    <t>Employer Liability, Payroll Taxes  Payroll Row: 29</t>
  </si>
  <si>
    <t>Net Pay, Cash  Payroll Row: 30</t>
  </si>
  <si>
    <t>Salary Expense, Salaries  Payroll Row: 31</t>
  </si>
  <si>
    <t>Tax Liability, Cash  Payroll Row: 32</t>
  </si>
  <si>
    <t>Tax Liability, Payroll Taxes  Payroll Row: 33</t>
  </si>
  <si>
    <t>Employer Expense, Employer Expenses  Payroll Row: 34</t>
  </si>
  <si>
    <t>Employer Liability, Payroll Taxes  Payroll Row: 36</t>
  </si>
  <si>
    <t>Net Pay, Cash  Payroll Row: 37</t>
  </si>
  <si>
    <t>Salary Expense, Salaries  Payroll Row: 38</t>
  </si>
  <si>
    <t>Tax Liability, Cash  Payroll Row: 39</t>
  </si>
  <si>
    <t>Tax Liability, Payroll Taxes  Payroll Row: 40</t>
  </si>
  <si>
    <t>Employer Expense, Employer Expenses  Payroll Row: 41</t>
  </si>
  <si>
    <t>Employer Liability, Payroll Taxes  Payroll Row: 43</t>
  </si>
  <si>
    <t>Net Pay, Cash  Payroll Row: 44</t>
  </si>
  <si>
    <t>Salary Expense, Salaries  Payroll Row: 45</t>
  </si>
  <si>
    <t>Tax Liability, Cash  Payroll Row: 46</t>
  </si>
  <si>
    <t>Tax Liability, Payroll Taxes  Payroll Row: 47</t>
  </si>
  <si>
    <t>Employer Expense, Employer Expenses  Payroll Row: 48</t>
  </si>
  <si>
    <t>Employer Liability, Deductions  Payroll Row: 50</t>
  </si>
  <si>
    <t>Employer Liability, Payroll Taxes  Payroll Row: 51</t>
  </si>
  <si>
    <t>Net Pay, Cash  Payroll Row: 52</t>
  </si>
  <si>
    <t>Salary Expense, Salaries  Payroll Row: 53</t>
  </si>
  <si>
    <t>Tax Liability, Cash  Payroll Row: 54</t>
  </si>
  <si>
    <t>Tax Liability, Payroll Taxes  Payroll Row: 55</t>
  </si>
  <si>
    <t>Employer Expense, Employer Expenses  Payroll Row: 56</t>
  </si>
  <si>
    <t>Employer Liability, Deductions  Payroll Row: 58</t>
  </si>
  <si>
    <t>Employer Liability, Payroll Taxes  Payroll Row: 59</t>
  </si>
  <si>
    <t>Net Pay, Cash  Payroll Row: 60</t>
  </si>
  <si>
    <t>Salary Expense, Salaries  Payroll Row: 61</t>
  </si>
  <si>
    <t>Tax Liability, Cash  Payroll Row: 62</t>
  </si>
  <si>
    <t>Tax Liability, Payroll Taxes  Payroll Row: 63</t>
  </si>
  <si>
    <t>Employer Expense, Employer Expenses  Payroll Row: 64</t>
  </si>
  <si>
    <t>Employer Liability, Deductions  Payroll Row: 66</t>
  </si>
  <si>
    <t>Employer Liability, Payroll Taxes  Payroll Row: 67</t>
  </si>
  <si>
    <t>Net Pay, Cash  Payroll Row: 68</t>
  </si>
  <si>
    <t>Salary Expense, Salaries  Payroll Row: 69</t>
  </si>
  <si>
    <t>Tax Liability, Cash  Payroll Row: 70</t>
  </si>
  <si>
    <t>Tax Liability, Payroll Taxes  Payroll Row: 71</t>
  </si>
  <si>
    <t>Employer Expense, Employer Expenses  Payroll Row: 72</t>
  </si>
  <si>
    <t>Employer Liability, Payroll Taxes  Payroll Row: 74</t>
  </si>
  <si>
    <t>Net Pay, Cash  Payroll Row: 75</t>
  </si>
  <si>
    <t>Salary Expense, Salaries  Payroll Row: 76</t>
  </si>
  <si>
    <t>Tax Liability, Cash  Payroll Row: 77</t>
  </si>
  <si>
    <t>Tax Liability, Payroll Taxes  Payroll Row: 78</t>
  </si>
  <si>
    <t>Employer Expense, Employer Expenses  Payroll Row: 79</t>
  </si>
  <si>
    <t>Employer Liability, Deductions  Payroll Row: 103</t>
  </si>
  <si>
    <t>Employer Liability, Payroll Taxes  Payroll Row: 104</t>
  </si>
  <si>
    <t>Net Pay, Cash  Payroll Row: 105</t>
  </si>
  <si>
    <t>Salary Expense, Salaries  Payroll Row: 106</t>
  </si>
  <si>
    <t>Tax Liability, Cash  Payroll Row: 107</t>
  </si>
  <si>
    <t>Tax Liability, Payroll Taxes  Payroll Row: 108</t>
  </si>
  <si>
    <t>Employer Expense, Employer Expenses  Payroll Row: 109</t>
  </si>
  <si>
    <t>Employer Liability, Deductions  Payroll Row: 111</t>
  </si>
  <si>
    <t>Employer Liability, Payroll Taxes  Payroll Row: 112</t>
  </si>
  <si>
    <t>Net Pay, Cash  Payroll Row: 113</t>
  </si>
  <si>
    <t>Salary Expense, Salaries  Payroll Row: 114</t>
  </si>
  <si>
    <t>Tax Liability, Cash  Payroll Row: 115</t>
  </si>
  <si>
    <t>Tax Liability, Payroll Taxes  Payroll Row: 116</t>
  </si>
  <si>
    <t>Employer Expense, Employer Expenses  Payroll Row: 117</t>
  </si>
  <si>
    <t>Employer Liability, Deductions  Payroll Row: 119</t>
  </si>
  <si>
    <t>Employer Liability, Payroll Taxes  Payroll Row: 120</t>
  </si>
  <si>
    <t>Net Pay, Cash  Payroll Row: 121</t>
  </si>
  <si>
    <t>Salary Expense, Salaries  Payroll Row: 122</t>
  </si>
  <si>
    <t>Tax Liability, Cash  Payroll Row: 123</t>
  </si>
  <si>
    <t>Tax Liability, Payroll Taxes  Payroll Row: 124</t>
  </si>
  <si>
    <t>Employer Expense, Employer Expenses  Payroll Row: 125</t>
  </si>
  <si>
    <t>Employer Liability, Payroll Taxes  Payroll Row: 127</t>
  </si>
  <si>
    <t>Net Pay, Cash  Payroll Row: 128</t>
  </si>
  <si>
    <t>Salary Expense, Salaries  Payroll Row: 129</t>
  </si>
  <si>
    <t>Tax Liability, Cash  Payroll Row: 130</t>
  </si>
  <si>
    <t>Tax Liability, Payroll Taxes  Payroll Row: 131</t>
  </si>
  <si>
    <t>Employer Expense, Employer Expenses  Payroll Row: 132</t>
  </si>
  <si>
    <t>Employer Liability, Payroll Taxes  Payroll Row: 134</t>
  </si>
  <si>
    <t>Net Pay, Cash  Payroll Row: 135</t>
  </si>
  <si>
    <t>Salary Expense, Salaries  Payroll Row: 136</t>
  </si>
  <si>
    <t>Tax Liability, Cash  Payroll Row: 137</t>
  </si>
  <si>
    <t>Tax Liability, Payroll Taxes  Payroll Row: 138</t>
  </si>
  <si>
    <t>Employer Expense, Employer Expenses  Payroll Row: 139</t>
  </si>
  <si>
    <t>Employer Liability, Deductions  Payroll Row: 141</t>
  </si>
  <si>
    <t>Employer Liability, Payroll Taxes  Payroll Row: 142</t>
  </si>
  <si>
    <t>Net Pay, Cash  Payroll Row: 143</t>
  </si>
  <si>
    <t>Salary Expense, Salaries  Payroll Row: 144</t>
  </si>
  <si>
    <t>Tax Liability, Cash  Payroll Row: 145</t>
  </si>
  <si>
    <t>Tax Liability, Payroll Taxes  Payroll Row: 146</t>
  </si>
  <si>
    <t>Employer Expense, Employer Expenses  Payroll Row: 147</t>
  </si>
  <si>
    <t>Employer Liability, Deductions  Payroll Row: 149</t>
  </si>
  <si>
    <t>Employer Liability, Payroll Taxes  Payroll Row: 150</t>
  </si>
  <si>
    <t>Net Pay, Cash  Payroll Row: 151</t>
  </si>
  <si>
    <t>Salary Expense, Salaries  Payroll Row: 152</t>
  </si>
  <si>
    <t>Tax Liability, Cash  Payroll Row: 153</t>
  </si>
  <si>
    <t>Tax Liability, Payroll Taxes  Payroll Row: 154</t>
  </si>
  <si>
    <t>Employer Expense, Employer Expenses  Payroll Row: 162</t>
  </si>
  <si>
    <t>Employer Liability, Deductions  Payroll Row: 164</t>
  </si>
  <si>
    <t>Employer Liability, Payroll Taxes  Payroll Row: 165</t>
  </si>
  <si>
    <t>Net Pay, Cash  Payroll Row: 166</t>
  </si>
  <si>
    <t>Salary Expense, Salaries  Payroll Row: 167</t>
  </si>
  <si>
    <t>Tax Liability, Cash  Payroll Row: 168</t>
  </si>
  <si>
    <t>Tax Liability, Payroll Taxes  Payroll Row: 169</t>
  </si>
  <si>
    <t>Employer Expense, Employer Expenses  Payroll Row: 170</t>
  </si>
  <si>
    <t>Employer Liability, Payroll Taxes  Payroll Row: 172</t>
  </si>
  <si>
    <t>Net Pay, Cash  Payroll Row: 173</t>
  </si>
  <si>
    <t>Salary Expense, Salaries  Payroll Row: 174</t>
  </si>
  <si>
    <t>Tax Liability, Cash  Payroll Row: 175</t>
  </si>
  <si>
    <t>Tax Liability, Payroll Taxes  Payroll Row: 176</t>
  </si>
  <si>
    <t>Employer Expense, Employer Expenses  Payroll Row: 177</t>
  </si>
  <si>
    <t>Employer Liability, Deductions  Payroll Row: 179</t>
  </si>
  <si>
    <t>Employer Liability, Payroll Taxes  Payroll Row: 180</t>
  </si>
  <si>
    <t>Net Pay, Cash  Payroll Row: 181</t>
  </si>
  <si>
    <t>Salary Expense, Salaries  Payroll Row: 182</t>
  </si>
  <si>
    <t>Tax Liability, Cash  Payroll Row: 183</t>
  </si>
  <si>
    <t>Tax Liability, Payroll Taxes  Payroll Row: 184</t>
  </si>
  <si>
    <t>Employer Expense, Employer Expenses  Payroll Row: 185</t>
  </si>
  <si>
    <t>Employer Liability, Deductions  Payroll Row: 187</t>
  </si>
  <si>
    <t>Employer Liability, Payroll Taxes  Payroll Row: 188</t>
  </si>
  <si>
    <t>Net Pay, Cash  Payroll Row: 189</t>
  </si>
  <si>
    <t>Salary Expense, Salaries  Payroll Row: 190</t>
  </si>
  <si>
    <t>Tax Liability, Cash  Payroll Row: 191</t>
  </si>
  <si>
    <t>Tax Liability, Payroll Taxes  Payroll Row: 192</t>
  </si>
  <si>
    <t>Employer Expense, Employer Expenses  Payroll Row: 193</t>
  </si>
  <si>
    <t>Employer Liability, Payroll Taxes  Payroll Row: 195</t>
  </si>
  <si>
    <t>Net Pay, Cash  Payroll Row: 196</t>
  </si>
  <si>
    <t>Salary Expense, Salaries  Payroll Row: 197</t>
  </si>
  <si>
    <t>Tax Liability, Cash  Payroll Row: 198</t>
  </si>
  <si>
    <t>Tax Liability, Payroll Taxes  Payroll Row: 199</t>
  </si>
  <si>
    <t>Employer Expense, Employer Expenses  Payroll Row: 200</t>
  </si>
  <si>
    <t>Final Check</t>
  </si>
  <si>
    <t>HelperCol</t>
  </si>
  <si>
    <t>Social Security</t>
  </si>
  <si>
    <t>Accrued Aflac</t>
  </si>
  <si>
    <t>Fica Tax payable</t>
  </si>
  <si>
    <t>BOA Operating Acct 3973</t>
  </si>
  <si>
    <t>Salaries &amp; Wages</t>
  </si>
  <si>
    <t>CITI / NUL/PNC</t>
  </si>
  <si>
    <t>The Prudential Foundation</t>
  </si>
  <si>
    <t>City of Newark-Home</t>
  </si>
  <si>
    <t>State of NJ NRTC - 2018</t>
  </si>
  <si>
    <t>City of Irvington CDBG</t>
  </si>
  <si>
    <t>Capital One 1</t>
  </si>
  <si>
    <t>State of NJ NRTC - 2019</t>
  </si>
  <si>
    <t>DCA- Coding Program</t>
  </si>
  <si>
    <t>Victoria Hernandez</t>
  </si>
  <si>
    <t>334 NRTC 2018 Grant</t>
  </si>
  <si>
    <t>600 Admin</t>
  </si>
  <si>
    <t>ULEC Opport Corp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</si>
</sst>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8"/>
      <color indexed="8"/>
      <name val="Arial"/>
      <family val="2"/>
    </font>
    <font>
      <sz val="10"/>
      <color rgb="FF333333"/>
      <name val="Arial"/>
      <family val="2"/>
    </font>
    <font>
      <sz val="10"/>
      <color theme="1"/>
      <name val="Calibri"/>
      <family val="2"/>
      <scheme val="minor"/>
    </font>
    <font>
      <sz val="7"/>
      <color rgb="FF33333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9" fillId="0" borderId="0"/>
  </cellStyleXfs>
  <cellXfs count="102">
    <xf numFmtId="0" fontId="0" fillId="0" borderId="0" xfId="0"/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3" borderId="0" xfId="0" applyFont="1" applyFill="1"/>
    <xf numFmtId="0" fontId="3" fillId="3" borderId="0" xfId="0" applyFont="1" applyFill="1"/>
    <xf numFmtId="14" fontId="0" fillId="3" borderId="0" xfId="0" applyNumberFormat="1" applyFont="1" applyFill="1"/>
    <xf numFmtId="0" fontId="0" fillId="4" borderId="0" xfId="0" applyFont="1" applyFill="1"/>
    <xf numFmtId="0" fontId="0" fillId="4" borderId="0" xfId="0" applyFill="1"/>
    <xf numFmtId="0" fontId="1" fillId="2" borderId="0" xfId="0" applyFont="1" applyFill="1"/>
    <xf numFmtId="0" fontId="6" fillId="0" borderId="0" xfId="0" applyFont="1" applyAlignment="1">
      <alignment horizontal="center"/>
    </xf>
    <xf numFmtId="0" fontId="0" fillId="0" borderId="0" xfId="0" applyFont="1"/>
    <xf numFmtId="0" fontId="0" fillId="5" borderId="0" xfId="0" applyFont="1" applyFill="1"/>
    <xf numFmtId="0" fontId="7" fillId="0" borderId="0" xfId="0" applyFont="1"/>
    <xf numFmtId="0" fontId="0" fillId="6" borderId="0" xfId="0" applyFont="1" applyFill="1"/>
    <xf numFmtId="17" fontId="0" fillId="3" borderId="5" xfId="0" quotePrefix="1" applyNumberFormat="1" applyFont="1" applyFill="1" applyBorder="1"/>
    <xf numFmtId="0" fontId="10" fillId="7" borderId="0" xfId="3" applyFont="1" applyFill="1" applyAlignment="1"/>
    <xf numFmtId="0" fontId="0" fillId="7" borderId="0" xfId="0" applyFill="1"/>
    <xf numFmtId="0" fontId="0" fillId="0" borderId="0" xfId="0" applyFill="1"/>
    <xf numFmtId="0" fontId="1" fillId="12" borderId="0" xfId="0" applyFont="1" applyFill="1"/>
    <xf numFmtId="0" fontId="0" fillId="9" borderId="0" xfId="0" applyFont="1" applyFill="1"/>
    <xf numFmtId="0" fontId="5" fillId="9" borderId="0" xfId="0" applyFont="1" applyFill="1"/>
    <xf numFmtId="0" fontId="0" fillId="7" borderId="0" xfId="0" applyFont="1" applyFill="1"/>
    <xf numFmtId="0" fontId="5" fillId="7" borderId="0" xfId="0" applyFont="1" applyFill="1"/>
    <xf numFmtId="43" fontId="0" fillId="0" borderId="0" xfId="1" applyFont="1"/>
    <xf numFmtId="14" fontId="0" fillId="0" borderId="0" xfId="0" applyNumberFormat="1"/>
    <xf numFmtId="16" fontId="0" fillId="4" borderId="10" xfId="0" quotePrefix="1" applyNumberFormat="1" applyFont="1" applyFill="1" applyBorder="1"/>
    <xf numFmtId="0" fontId="0" fillId="4" borderId="8" xfId="0" applyFont="1" applyFill="1" applyBorder="1"/>
    <xf numFmtId="0" fontId="0" fillId="4" borderId="9" xfId="0" applyFont="1" applyFill="1" applyBorder="1"/>
    <xf numFmtId="0" fontId="0" fillId="7" borderId="0" xfId="0" quotePrefix="1" applyFont="1" applyFill="1"/>
    <xf numFmtId="0" fontId="0" fillId="7" borderId="0" xfId="0" applyFont="1" applyFill="1" applyBorder="1" applyAlignment="1">
      <alignment horizontal="left" vertical="top"/>
    </xf>
    <xf numFmtId="17" fontId="0" fillId="7" borderId="0" xfId="0" applyNumberFormat="1" applyFont="1" applyFill="1" applyBorder="1" applyAlignment="1">
      <alignment horizontal="left" vertical="top"/>
    </xf>
    <xf numFmtId="164" fontId="0" fillId="7" borderId="7" xfId="0" applyNumberFormat="1" applyFont="1" applyFill="1" applyBorder="1" applyAlignment="1">
      <alignment horizontal="left" vertical="top"/>
    </xf>
    <xf numFmtId="165" fontId="0" fillId="7" borderId="0" xfId="0" applyNumberFormat="1" applyFont="1" applyFill="1" applyBorder="1" applyAlignment="1">
      <alignment horizontal="left" vertical="top"/>
    </xf>
    <xf numFmtId="165" fontId="0" fillId="0" borderId="0" xfId="1" applyNumberFormat="1" applyFont="1" applyAlignment="1">
      <alignment vertical="top"/>
    </xf>
    <xf numFmtId="0" fontId="0" fillId="0" borderId="0" xfId="0" applyFont="1" applyAlignment="1">
      <alignment vertical="top"/>
    </xf>
    <xf numFmtId="1" fontId="0" fillId="7" borderId="11" xfId="1" applyNumberFormat="1" applyFont="1" applyFill="1" applyBorder="1" applyAlignment="1">
      <alignment horizontal="left" vertical="top"/>
    </xf>
    <xf numFmtId="43" fontId="8" fillId="7" borderId="11" xfId="1" applyFont="1" applyFill="1" applyBorder="1" applyAlignment="1">
      <alignment horizontal="left" vertical="top"/>
    </xf>
    <xf numFmtId="165" fontId="8" fillId="7" borderId="11" xfId="1" applyNumberFormat="1" applyFont="1" applyFill="1" applyBorder="1" applyAlignment="1">
      <alignment horizontal="left" vertical="top"/>
    </xf>
    <xf numFmtId="164" fontId="8" fillId="7" borderId="12" xfId="1" applyNumberFormat="1" applyFont="1" applyFill="1" applyBorder="1" applyAlignment="1">
      <alignment horizontal="left" vertical="top"/>
    </xf>
    <xf numFmtId="165" fontId="8" fillId="7" borderId="12" xfId="1" applyNumberFormat="1" applyFont="1" applyFill="1" applyBorder="1" applyAlignment="1">
      <alignment horizontal="left" vertical="top"/>
    </xf>
    <xf numFmtId="1" fontId="0" fillId="7" borderId="8" xfId="1" applyNumberFormat="1" applyFont="1" applyFill="1" applyBorder="1" applyAlignment="1">
      <alignment horizontal="left" vertical="top"/>
    </xf>
    <xf numFmtId="43" fontId="8" fillId="7" borderId="8" xfId="1" applyFont="1" applyFill="1" applyBorder="1" applyAlignment="1">
      <alignment horizontal="left" vertical="top"/>
    </xf>
    <xf numFmtId="165" fontId="8" fillId="7" borderId="8" xfId="1" applyNumberFormat="1" applyFont="1" applyFill="1" applyBorder="1" applyAlignment="1">
      <alignment horizontal="left" vertical="top"/>
    </xf>
    <xf numFmtId="165" fontId="8" fillId="8" borderId="8" xfId="1" applyNumberFormat="1" applyFont="1" applyFill="1" applyBorder="1" applyAlignment="1">
      <alignment horizontal="left" vertical="top"/>
    </xf>
    <xf numFmtId="1" fontId="8" fillId="8" borderId="9" xfId="1" applyNumberFormat="1" applyFont="1" applyFill="1" applyBorder="1" applyAlignment="1">
      <alignment horizontal="left" vertical="top"/>
    </xf>
    <xf numFmtId="43" fontId="0" fillId="13" borderId="8" xfId="1" applyFont="1" applyFill="1" applyBorder="1" applyAlignment="1">
      <alignment vertical="top"/>
    </xf>
    <xf numFmtId="0" fontId="0" fillId="0" borderId="8" xfId="0" applyFont="1" applyBorder="1" applyAlignment="1">
      <alignment vertical="top"/>
    </xf>
    <xf numFmtId="165" fontId="8" fillId="0" borderId="0" xfId="1" applyNumberFormat="1" applyFont="1" applyFill="1" applyAlignment="1">
      <alignment horizontal="left"/>
    </xf>
    <xf numFmtId="10" fontId="0" fillId="0" borderId="7" xfId="1" applyNumberFormat="1" applyFont="1" applyFill="1" applyBorder="1" applyAlignment="1">
      <alignment horizontal="left" vertical="top"/>
    </xf>
    <xf numFmtId="165" fontId="0" fillId="0" borderId="0" xfId="1" applyNumberFormat="1" applyFont="1" applyFill="1" applyBorder="1" applyAlignment="1">
      <alignment horizontal="left" vertical="top"/>
    </xf>
    <xf numFmtId="43" fontId="0" fillId="0" borderId="0" xfId="0" applyNumberFormat="1" applyFont="1"/>
    <xf numFmtId="1" fontId="0" fillId="10" borderId="0" xfId="1" applyNumberFormat="1" applyFont="1" applyFill="1"/>
    <xf numFmtId="165" fontId="8" fillId="10" borderId="0" xfId="1" applyNumberFormat="1" applyFont="1" applyFill="1" applyAlignment="1">
      <alignment horizontal="left"/>
    </xf>
    <xf numFmtId="43" fontId="0" fillId="4" borderId="0" xfId="1" applyFont="1" applyFill="1"/>
    <xf numFmtId="43" fontId="0" fillId="11" borderId="0" xfId="1" applyFont="1" applyFill="1"/>
    <xf numFmtId="43" fontId="0" fillId="5" borderId="0" xfId="1" applyFont="1" applyFill="1"/>
    <xf numFmtId="43" fontId="0" fillId="14" borderId="0" xfId="1" applyFont="1" applyFill="1"/>
    <xf numFmtId="43" fontId="0" fillId="9" borderId="0" xfId="1" applyFont="1" applyFill="1"/>
    <xf numFmtId="165" fontId="8" fillId="10" borderId="0" xfId="1" applyNumberFormat="1" applyFont="1" applyFill="1" applyBorder="1" applyAlignment="1">
      <alignment horizontal="left"/>
    </xf>
    <xf numFmtId="165" fontId="8" fillId="0" borderId="0" xfId="1" applyNumberFormat="1" applyFont="1" applyFill="1" applyBorder="1" applyAlignment="1">
      <alignment horizontal="left"/>
    </xf>
    <xf numFmtId="43" fontId="0" fillId="15" borderId="0" xfId="1" applyFont="1" applyFill="1"/>
    <xf numFmtId="43" fontId="0" fillId="0" borderId="0" xfId="1" applyFont="1" applyFill="1"/>
    <xf numFmtId="0" fontId="0" fillId="16" borderId="0" xfId="0" applyFont="1" applyFill="1"/>
    <xf numFmtId="165" fontId="8" fillId="16" borderId="0" xfId="1" applyNumberFormat="1" applyFont="1" applyFill="1" applyBorder="1" applyAlignment="1">
      <alignment horizontal="left"/>
    </xf>
    <xf numFmtId="165" fontId="8" fillId="16" borderId="0" xfId="1" applyNumberFormat="1" applyFont="1" applyFill="1" applyAlignment="1">
      <alignment horizontal="left"/>
    </xf>
    <xf numFmtId="43" fontId="0" fillId="3" borderId="0" xfId="1" applyFont="1" applyFill="1"/>
    <xf numFmtId="1" fontId="0" fillId="0" borderId="0" xfId="1" applyNumberFormat="1" applyFont="1"/>
    <xf numFmtId="165" fontId="0" fillId="0" borderId="0" xfId="1" applyNumberFormat="1" applyFont="1"/>
    <xf numFmtId="165" fontId="0" fillId="0" borderId="0" xfId="1" applyNumberFormat="1" applyFont="1" applyFill="1"/>
    <xf numFmtId="2" fontId="0" fillId="0" borderId="7" xfId="1" applyNumberFormat="1" applyFont="1" applyFill="1" applyBorder="1" applyAlignment="1">
      <alignment horizontal="left" vertical="top"/>
    </xf>
    <xf numFmtId="2" fontId="0" fillId="0" borderId="0" xfId="1" applyNumberFormat="1" applyFont="1" applyFill="1" applyBorder="1" applyAlignment="1">
      <alignment horizontal="left" vertical="top"/>
    </xf>
    <xf numFmtId="2" fontId="0" fillId="0" borderId="0" xfId="1" applyNumberFormat="1" applyFont="1"/>
    <xf numFmtId="2" fontId="0" fillId="0" borderId="0" xfId="0" applyNumberFormat="1" applyFont="1"/>
    <xf numFmtId="2" fontId="0" fillId="4" borderId="0" xfId="1" applyNumberFormat="1" applyFont="1" applyFill="1"/>
    <xf numFmtId="2" fontId="0" fillId="11" borderId="0" xfId="1" applyNumberFormat="1" applyFont="1" applyFill="1"/>
    <xf numFmtId="2" fontId="0" fillId="5" borderId="0" xfId="1" applyNumberFormat="1" applyFont="1" applyFill="1"/>
    <xf numFmtId="2" fontId="0" fillId="14" borderId="0" xfId="1" applyNumberFormat="1" applyFont="1" applyFill="1"/>
    <xf numFmtId="2" fontId="0" fillId="9" borderId="0" xfId="1" applyNumberFormat="1" applyFont="1" applyFill="1"/>
    <xf numFmtId="2" fontId="0" fillId="15" borderId="0" xfId="1" applyNumberFormat="1" applyFont="1" applyFill="1"/>
    <xf numFmtId="2" fontId="0" fillId="0" borderId="0" xfId="1" applyNumberFormat="1" applyFont="1" applyFill="1"/>
    <xf numFmtId="2" fontId="0" fillId="3" borderId="0" xfId="1" applyNumberFormat="1" applyFont="1" applyFill="1"/>
    <xf numFmtId="0" fontId="0" fillId="0" borderId="0" xfId="0" quotePrefix="1" applyFont="1"/>
    <xf numFmtId="0" fontId="0" fillId="0" borderId="0" xfId="0" applyFont="1" applyFill="1"/>
    <xf numFmtId="1" fontId="0" fillId="10" borderId="0" xfId="1" quotePrefix="1" applyNumberFormat="1" applyFont="1" applyFill="1"/>
    <xf numFmtId="0" fontId="0" fillId="0" borderId="0" xfId="0" applyAlignment="1">
      <alignment horizontal="left"/>
    </xf>
    <xf numFmtId="7" fontId="0" fillId="0" borderId="0" xfId="0" applyNumberFormat="1"/>
    <xf numFmtId="2" fontId="0" fillId="7" borderId="0" xfId="0" applyNumberFormat="1" applyFill="1"/>
    <xf numFmtId="2" fontId="0" fillId="0" borderId="0" xfId="0" applyNumberFormat="1"/>
    <xf numFmtId="0" fontId="6" fillId="7" borderId="0" xfId="0" applyFont="1" applyFill="1" applyAlignment="1">
      <alignment horizontal="left"/>
    </xf>
    <xf numFmtId="0" fontId="5" fillId="7" borderId="0" xfId="0" applyFont="1" applyFill="1" applyAlignment="1">
      <alignment horizontal="left"/>
    </xf>
    <xf numFmtId="0" fontId="6" fillId="7" borderId="0" xfId="0" quotePrefix="1" applyFont="1" applyFill="1" applyAlignment="1">
      <alignment horizontal="left"/>
    </xf>
    <xf numFmtId="0" fontId="5" fillId="7" borderId="0" xfId="0" quotePrefix="1" applyFont="1" applyFill="1" applyAlignment="1">
      <alignment horizontal="left"/>
    </xf>
    <xf numFmtId="2" fontId="5" fillId="7" borderId="0" xfId="0" quotePrefix="1" applyNumberFormat="1" applyFont="1" applyFill="1" applyAlignment="1">
      <alignment horizontal="left"/>
    </xf>
    <xf numFmtId="2" fontId="6" fillId="7" borderId="0" xfId="0" quotePrefix="1" applyNumberFormat="1" applyFont="1" applyFill="1" applyAlignment="1">
      <alignment horizontal="left"/>
    </xf>
    <xf numFmtId="2" fontId="0" fillId="0" borderId="0" xfId="0" applyNumberFormat="1" applyAlignment="1">
      <alignment horizontal="left"/>
    </xf>
    <xf numFmtId="0" fontId="11" fillId="0" borderId="0" xfId="0" applyFont="1" applyAlignment="1"/>
    <xf numFmtId="165" fontId="12" fillId="0" borderId="0" xfId="1" applyNumberFormat="1" applyFont="1" applyAlignment="1">
      <alignment vertical="top" wrapText="1"/>
    </xf>
    <xf numFmtId="0" fontId="13" fillId="0" borderId="0" xfId="0" applyFont="1"/>
  </cellXfs>
  <cellStyles count="4">
    <cellStyle name="Comma" xfId="1" builtinId="3"/>
    <cellStyle name="Comma 5" xfId="2"/>
    <cellStyle name="Normal" xfId="0" builtinId="0"/>
    <cellStyle name="Normal 5" xfId="3"/>
  </cellStyles>
  <dxfs count="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16</xdr:row>
          <xdr:rowOff>82550</xdr:rowOff>
        </xdr:from>
        <xdr:to>
          <xdr:col>3</xdr:col>
          <xdr:colOff>520700</xdr:colOff>
          <xdr:row>18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Upload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4</xdr:row>
          <xdr:rowOff>171450</xdr:rowOff>
        </xdr:from>
        <xdr:to>
          <xdr:col>3</xdr:col>
          <xdr:colOff>539750</xdr:colOff>
          <xdr:row>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Allocation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10</xdr:row>
          <xdr:rowOff>0</xdr:rowOff>
        </xdr:from>
        <xdr:to>
          <xdr:col>3</xdr:col>
          <xdr:colOff>527050</xdr:colOff>
          <xdr:row>11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Payroll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1689100</xdr:colOff>
          <xdr:row>14</xdr:row>
          <xdr:rowOff>69850</xdr:rowOff>
        </xdr:from>
        <xdr:to>
          <xdr:col>9</xdr:col>
          <xdr:colOff>914400</xdr:colOff>
          <xdr:row>16</xdr:row>
          <xdr:rowOff>107950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Allocation Rounder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S42"/>
  <sheetViews>
    <sheetView workbookViewId="0">
      <selection activeCell="C39" sqref="C39"/>
    </sheetView>
  </sheetViews>
  <sheetFormatPr defaultRowHeight="14.5" x14ac:dyDescent="0.35"/>
  <cols>
    <col min="2" max="2" width="21.453125" customWidth="1"/>
    <col min="7" max="7" width="22.90625" customWidth="1"/>
    <col min="8" max="8" width="27.7265625" customWidth="1"/>
    <col min="9" max="9" width="34.08984375" bestFit="1" customWidth="1"/>
    <col min="10" max="10" width="14.7265625" bestFit="1" customWidth="1"/>
    <col min="11" max="11" width="34.08984375" bestFit="1" customWidth="1"/>
    <col min="12" max="12" width="14.7265625" bestFit="1" customWidth="1"/>
    <col min="13" max="13" width="34.08984375" bestFit="1" customWidth="1"/>
    <col min="14" max="14" width="14.7265625" bestFit="1" customWidth="1"/>
  </cols>
  <sheetData>
    <row r="1" spans="1:19" x14ac:dyDescent="0.35">
      <c r="A1" s="7"/>
      <c r="B1" s="7"/>
      <c r="C1" s="7"/>
      <c r="D1" s="7"/>
      <c r="E1" s="7"/>
      <c r="F1" s="7"/>
      <c r="G1" s="7"/>
      <c r="H1" s="7" t="s">
        <v>0</v>
      </c>
      <c r="I1" s="9">
        <v>43888</v>
      </c>
      <c r="J1" s="7"/>
      <c r="K1" s="7"/>
      <c r="L1" s="7"/>
      <c r="M1" s="7" t="s">
        <v>0</v>
      </c>
      <c r="N1" s="7"/>
      <c r="O1" s="7"/>
      <c r="P1" s="7"/>
      <c r="Q1" s="7"/>
      <c r="R1" s="7"/>
      <c r="S1" s="7"/>
    </row>
    <row r="2" spans="1:19" ht="26" x14ac:dyDescent="0.6">
      <c r="A2" s="7"/>
      <c r="B2" s="8" t="s">
        <v>4</v>
      </c>
      <c r="C2" s="8"/>
      <c r="D2" s="8"/>
      <c r="E2" s="7"/>
      <c r="F2" s="7"/>
      <c r="G2" s="9"/>
      <c r="H2" s="7" t="s">
        <v>411</v>
      </c>
      <c r="I2" s="7"/>
      <c r="J2" s="7"/>
      <c r="K2" s="7"/>
      <c r="L2" s="7"/>
      <c r="M2" s="9">
        <v>43856</v>
      </c>
      <c r="N2" s="7"/>
      <c r="O2" s="7"/>
      <c r="P2" s="7"/>
      <c r="Q2" s="7"/>
      <c r="R2" s="7"/>
      <c r="S2" s="7"/>
    </row>
    <row r="3" spans="1:19" x14ac:dyDescent="0.3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 t="s">
        <v>3</v>
      </c>
      <c r="N3" s="7"/>
      <c r="O3" s="7"/>
      <c r="P3" s="7"/>
      <c r="Q3" s="7"/>
      <c r="R3" s="7"/>
      <c r="S3" s="7"/>
    </row>
    <row r="4" spans="1:19" x14ac:dyDescent="0.35">
      <c r="A4" s="7"/>
      <c r="B4" s="7" t="s">
        <v>248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</row>
    <row r="5" spans="1:19" ht="15" thickBot="1" x14ac:dyDescent="0.4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x14ac:dyDescent="0.35">
      <c r="A6" s="7"/>
      <c r="B6" s="7"/>
      <c r="C6" s="7"/>
      <c r="D6" s="7"/>
      <c r="E6" s="1" t="s">
        <v>1</v>
      </c>
      <c r="F6" s="2"/>
      <c r="G6" s="2" t="s">
        <v>223</v>
      </c>
      <c r="H6" s="2"/>
      <c r="I6" s="2"/>
      <c r="J6" s="2"/>
      <c r="K6" s="2"/>
      <c r="L6" s="2"/>
      <c r="M6" s="2"/>
      <c r="N6" s="2"/>
      <c r="O6" s="2"/>
      <c r="P6" s="2"/>
      <c r="Q6" s="2"/>
      <c r="R6" s="3"/>
      <c r="S6" s="7"/>
    </row>
    <row r="7" spans="1:19" ht="15" thickBot="1" x14ac:dyDescent="0.4">
      <c r="A7" s="7"/>
      <c r="B7" s="7"/>
      <c r="C7" s="7"/>
      <c r="D7" s="7"/>
      <c r="E7" s="4" t="s">
        <v>2</v>
      </c>
      <c r="F7" s="5"/>
      <c r="G7" s="18" t="s">
        <v>196</v>
      </c>
      <c r="H7" s="5"/>
      <c r="I7" s="5"/>
      <c r="J7" s="5"/>
      <c r="K7" s="5"/>
      <c r="L7" s="5"/>
      <c r="M7" s="5"/>
      <c r="N7" s="5"/>
      <c r="O7" s="5"/>
      <c r="P7" s="5"/>
      <c r="Q7" s="5"/>
      <c r="R7" s="6"/>
      <c r="S7" s="7"/>
    </row>
    <row r="8" spans="1:19" x14ac:dyDescent="0.3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1:19" x14ac:dyDescent="0.35">
      <c r="A9" s="7"/>
      <c r="B9" s="7" t="s">
        <v>249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</row>
    <row r="10" spans="1:19" ht="15" thickBot="1" x14ac:dyDescent="0.4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19" x14ac:dyDescent="0.35">
      <c r="A11" s="7"/>
      <c r="B11" s="7"/>
      <c r="C11" s="7"/>
      <c r="D11" s="7"/>
      <c r="E11" s="1" t="s">
        <v>5</v>
      </c>
      <c r="F11" s="2"/>
      <c r="G11" s="2" t="s">
        <v>224</v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3"/>
      <c r="S11" s="7"/>
    </row>
    <row r="12" spans="1:19" ht="15" thickBot="1" x14ac:dyDescent="0.4">
      <c r="A12" s="7"/>
      <c r="B12" s="7"/>
      <c r="C12" s="7"/>
      <c r="D12" s="7"/>
      <c r="E12" s="4" t="s">
        <v>2</v>
      </c>
      <c r="F12" s="5"/>
      <c r="G12" s="5" t="s">
        <v>12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7"/>
    </row>
    <row r="13" spans="1:19" x14ac:dyDescent="0.3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</row>
    <row r="14" spans="1:19" x14ac:dyDescent="0.35">
      <c r="A14" s="7"/>
      <c r="B14" s="7" t="s">
        <v>243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</row>
    <row r="15" spans="1:19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</row>
    <row r="16" spans="1:19" x14ac:dyDescent="0.35">
      <c r="A16" s="7"/>
      <c r="B16" s="10" t="s">
        <v>242</v>
      </c>
      <c r="C16" s="10"/>
      <c r="D16" s="10"/>
      <c r="E16" s="29">
        <v>43983</v>
      </c>
      <c r="F16" s="30"/>
      <c r="G16" s="30"/>
      <c r="H16" s="31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</row>
    <row r="17" spans="1:19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</row>
    <row r="18" spans="1:19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</row>
    <row r="19" spans="1:19" x14ac:dyDescent="0.3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</row>
    <row r="20" spans="1:19" x14ac:dyDescent="0.35">
      <c r="A20" s="7"/>
      <c r="B20" s="7" t="s">
        <v>244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</row>
    <row r="21" spans="1:19" x14ac:dyDescent="0.35">
      <c r="A21" s="7"/>
      <c r="B21" s="7" t="s">
        <v>245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</row>
    <row r="22" spans="1:19" x14ac:dyDescent="0.35">
      <c r="A22" s="7"/>
      <c r="B22" s="7" t="s">
        <v>246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</row>
    <row r="23" spans="1:19" x14ac:dyDescent="0.3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</row>
    <row r="24" spans="1:19" x14ac:dyDescent="0.35">
      <c r="B24" s="23" t="s">
        <v>251</v>
      </c>
      <c r="C24" s="23"/>
      <c r="D24" s="23"/>
      <c r="E24" s="32" t="s">
        <v>247</v>
      </c>
      <c r="F24" s="25"/>
      <c r="G24" s="12" t="s">
        <v>222</v>
      </c>
      <c r="H24" s="12"/>
      <c r="I24" s="22" t="s">
        <v>166</v>
      </c>
      <c r="J24" s="22"/>
      <c r="K24" s="12" t="s">
        <v>204</v>
      </c>
      <c r="L24" s="12"/>
      <c r="M24" s="22" t="s">
        <v>173</v>
      </c>
      <c r="N24" s="22"/>
    </row>
    <row r="25" spans="1:19" x14ac:dyDescent="0.35">
      <c r="B25" s="24" t="s">
        <v>13</v>
      </c>
      <c r="C25" s="24" t="s">
        <v>15</v>
      </c>
      <c r="D25" s="24"/>
      <c r="E25" s="26" t="s">
        <v>11</v>
      </c>
      <c r="F25" s="26"/>
      <c r="G25" s="12" t="s">
        <v>236</v>
      </c>
      <c r="H25" s="12" t="s">
        <v>237</v>
      </c>
      <c r="I25" s="22" t="s">
        <v>236</v>
      </c>
      <c r="J25" s="22" t="s">
        <v>237</v>
      </c>
      <c r="K25" s="12" t="s">
        <v>236</v>
      </c>
      <c r="L25" s="12" t="s">
        <v>237</v>
      </c>
      <c r="M25" s="22" t="s">
        <v>236</v>
      </c>
      <c r="N25" s="22" t="s">
        <v>237</v>
      </c>
    </row>
    <row r="26" spans="1:19" x14ac:dyDescent="0.35">
      <c r="B26" s="10" t="s">
        <v>31</v>
      </c>
      <c r="C26" s="10" t="s">
        <v>231</v>
      </c>
      <c r="D26" s="11"/>
      <c r="E26" s="11" t="s">
        <v>34</v>
      </c>
      <c r="F26" s="11"/>
      <c r="G26" t="s">
        <v>561</v>
      </c>
      <c r="I26" t="s">
        <v>227</v>
      </c>
      <c r="K26" t="s">
        <v>228</v>
      </c>
      <c r="M26" t="s">
        <v>228</v>
      </c>
    </row>
    <row r="27" spans="1:19" x14ac:dyDescent="0.35">
      <c r="B27" s="10" t="s">
        <v>185</v>
      </c>
      <c r="C27" s="10" t="s">
        <v>232</v>
      </c>
      <c r="D27" s="11"/>
      <c r="E27" s="11" t="s">
        <v>187</v>
      </c>
      <c r="F27" s="11"/>
      <c r="H27" t="s">
        <v>562</v>
      </c>
      <c r="J27" t="s">
        <v>229</v>
      </c>
      <c r="L27" t="s">
        <v>229</v>
      </c>
      <c r="N27" t="s">
        <v>229</v>
      </c>
    </row>
    <row r="28" spans="1:19" x14ac:dyDescent="0.35">
      <c r="B28" s="10" t="s">
        <v>185</v>
      </c>
      <c r="C28" s="10" t="s">
        <v>233</v>
      </c>
      <c r="D28" s="11"/>
      <c r="E28" s="11" t="s">
        <v>187</v>
      </c>
      <c r="F28" s="11"/>
      <c r="H28" t="s">
        <v>563</v>
      </c>
    </row>
    <row r="29" spans="1:19" x14ac:dyDescent="0.35">
      <c r="B29" s="10" t="s">
        <v>191</v>
      </c>
      <c r="C29" s="10" t="s">
        <v>234</v>
      </c>
      <c r="D29" s="11"/>
      <c r="E29" s="11" t="s">
        <v>187</v>
      </c>
      <c r="F29" s="11"/>
      <c r="H29" t="s">
        <v>564</v>
      </c>
    </row>
    <row r="30" spans="1:19" x14ac:dyDescent="0.35">
      <c r="B30" s="10" t="s">
        <v>193</v>
      </c>
      <c r="C30" s="10" t="s">
        <v>235</v>
      </c>
      <c r="D30" s="11"/>
      <c r="E30" s="11" t="s">
        <v>34</v>
      </c>
      <c r="F30" s="11"/>
      <c r="G30" t="s">
        <v>565</v>
      </c>
      <c r="J30" t="s">
        <v>230</v>
      </c>
      <c r="L30" t="s">
        <v>230</v>
      </c>
      <c r="N30" t="s">
        <v>230</v>
      </c>
    </row>
    <row r="31" spans="1:19" x14ac:dyDescent="0.35">
      <c r="B31" s="10" t="s">
        <v>195</v>
      </c>
      <c r="C31" s="10" t="s">
        <v>233</v>
      </c>
      <c r="D31" s="11"/>
      <c r="E31" s="11" t="s">
        <v>34</v>
      </c>
      <c r="F31" s="11"/>
      <c r="G31" t="s">
        <v>563</v>
      </c>
    </row>
    <row r="32" spans="1:19" s="21" customFormat="1" x14ac:dyDescent="0.35">
      <c r="B32" s="10" t="s">
        <v>195</v>
      </c>
      <c r="C32" s="10" t="s">
        <v>9</v>
      </c>
      <c r="D32" s="11"/>
      <c r="E32" s="11" t="s">
        <v>187</v>
      </c>
      <c r="F32" s="11"/>
      <c r="G32"/>
      <c r="H32" t="s">
        <v>564</v>
      </c>
    </row>
    <row r="35" spans="2:6" x14ac:dyDescent="0.35">
      <c r="C35" s="86"/>
      <c r="D35" s="86"/>
      <c r="E35" s="21"/>
      <c r="F35" s="21"/>
    </row>
    <row r="36" spans="2:6" x14ac:dyDescent="0.35">
      <c r="C36" s="86"/>
      <c r="D36" s="86"/>
      <c r="E36" s="21"/>
      <c r="F36" s="21"/>
    </row>
    <row r="37" spans="2:6" x14ac:dyDescent="0.35">
      <c r="C37" s="86"/>
      <c r="D37" s="86"/>
      <c r="E37" s="21"/>
      <c r="F37" s="21"/>
    </row>
    <row r="38" spans="2:6" x14ac:dyDescent="0.35">
      <c r="C38" s="86"/>
      <c r="D38" s="86"/>
      <c r="E38" s="21"/>
      <c r="F38" s="21"/>
    </row>
    <row r="39" spans="2:6" x14ac:dyDescent="0.35">
      <c r="C39" s="86"/>
      <c r="D39" s="86"/>
      <c r="E39" s="21"/>
      <c r="F39" s="21"/>
    </row>
    <row r="40" spans="2:6" x14ac:dyDescent="0.35">
      <c r="C40" s="86"/>
      <c r="D40" s="86"/>
      <c r="E40" s="21"/>
      <c r="F40" s="21"/>
    </row>
    <row r="41" spans="2:6" x14ac:dyDescent="0.35">
      <c r="B41" s="86"/>
      <c r="C41" s="86"/>
      <c r="D41" s="86"/>
      <c r="E41" s="21"/>
      <c r="F41" s="21"/>
    </row>
    <row r="42" spans="2:6" x14ac:dyDescent="0.35">
      <c r="B42" s="86"/>
      <c r="C42" s="86"/>
      <c r="D42" s="86"/>
      <c r="E42" s="21"/>
      <c r="F42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Report">
                <anchor moveWithCells="1" sizeWithCells="1">
                  <from>
                    <xdr:col>0</xdr:col>
                    <xdr:colOff>584200</xdr:colOff>
                    <xdr:row>16</xdr:row>
                    <xdr:rowOff>82550</xdr:rowOff>
                  </from>
                  <to>
                    <xdr:col>3</xdr:col>
                    <xdr:colOff>520700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AllocFile_Click">
                <anchor moveWithCells="1" sizeWithCells="1">
                  <from>
                    <xdr:col>0</xdr:col>
                    <xdr:colOff>603250</xdr:colOff>
                    <xdr:row>4</xdr:row>
                    <xdr:rowOff>171450</xdr:rowOff>
                  </from>
                  <to>
                    <xdr:col>3</xdr:col>
                    <xdr:colOff>539750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Payroll_Click">
                <anchor moveWithCells="1" sizeWithCells="1">
                  <from>
                    <xdr:col>0</xdr:col>
                    <xdr:colOff>590550</xdr:colOff>
                    <xdr:row>10</xdr:row>
                    <xdr:rowOff>0</xdr:rowOff>
                  </from>
                  <to>
                    <xdr:col>3</xdr:col>
                    <xdr:colOff>527050</xdr:colOff>
                    <xdr:row>11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estRounder">
                <anchor moveWithCells="1" sizeWithCells="1">
                  <from>
                    <xdr:col>8</xdr:col>
                    <xdr:colOff>1689100</xdr:colOff>
                    <xdr:row>14</xdr:row>
                    <xdr:rowOff>69850</xdr:rowOff>
                  </from>
                  <to>
                    <xdr:col>9</xdr:col>
                    <xdr:colOff>914400</xdr:colOff>
                    <xdr:row>16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T252"/>
  <sheetViews>
    <sheetView topLeftCell="O1" workbookViewId="0">
      <selection activeCell="T3" sqref="T3:T252"/>
    </sheetView>
  </sheetViews>
  <sheetFormatPr defaultRowHeight="14.5" x14ac:dyDescent="0.35"/>
  <cols>
    <col min="1" max="1" width="25.1796875" style="14" customWidth="1"/>
    <col min="2" max="2" width="25.453125" style="14" customWidth="1"/>
    <col min="3" max="3" width="33.1796875" style="14" customWidth="1"/>
    <col min="4" max="9" width="14.26953125" style="14" customWidth="1"/>
    <col min="10" max="10" width="17.7265625" style="14" customWidth="1"/>
    <col min="11" max="11" width="25.453125" style="14" customWidth="1"/>
    <col min="12" max="13" width="14.26953125" style="14" customWidth="1"/>
    <col min="14" max="14" width="19.453125" style="14" customWidth="1"/>
    <col min="15" max="17" width="14.26953125" style="14" customWidth="1"/>
    <col min="18" max="18" width="8.7265625" style="14"/>
    <col min="19" max="19" width="26.1796875" style="14" customWidth="1"/>
    <col min="20" max="16384" width="8.7265625" style="14"/>
  </cols>
  <sheetData>
    <row r="1" spans="1:20" x14ac:dyDescent="0.35">
      <c r="A1" s="13" t="s">
        <v>13</v>
      </c>
      <c r="B1" s="13" t="s">
        <v>14</v>
      </c>
      <c r="C1" s="13" t="s">
        <v>15</v>
      </c>
      <c r="D1" s="13" t="s">
        <v>16</v>
      </c>
      <c r="E1" s="13" t="s">
        <v>17</v>
      </c>
      <c r="F1" s="13" t="s">
        <v>18</v>
      </c>
      <c r="G1" s="13" t="s">
        <v>19</v>
      </c>
      <c r="H1" s="13" t="s">
        <v>20</v>
      </c>
      <c r="I1" s="13" t="s">
        <v>21</v>
      </c>
      <c r="J1" s="13" t="s">
        <v>22</v>
      </c>
      <c r="K1" s="13" t="s">
        <v>23</v>
      </c>
      <c r="L1" s="13" t="s">
        <v>24</v>
      </c>
      <c r="M1" s="13" t="s">
        <v>25</v>
      </c>
      <c r="N1" s="13" t="s">
        <v>26</v>
      </c>
      <c r="O1" s="13" t="s">
        <v>27</v>
      </c>
      <c r="P1" s="13" t="s">
        <v>28</v>
      </c>
      <c r="Q1" s="13" t="s">
        <v>29</v>
      </c>
      <c r="S1" s="13" t="s">
        <v>30</v>
      </c>
    </row>
    <row r="2" spans="1:20" x14ac:dyDescent="0.35">
      <c r="A2" s="14" t="s">
        <v>31</v>
      </c>
      <c r="B2" s="14" t="s">
        <v>32</v>
      </c>
      <c r="C2" s="14" t="s">
        <v>6</v>
      </c>
      <c r="D2" s="14" t="s">
        <v>33</v>
      </c>
      <c r="E2" s="14">
        <v>117.04</v>
      </c>
      <c r="F2" s="14" t="s">
        <v>34</v>
      </c>
      <c r="G2" s="14" t="s">
        <v>32</v>
      </c>
      <c r="H2" s="14" t="s">
        <v>32</v>
      </c>
      <c r="I2" s="14" t="s">
        <v>32</v>
      </c>
      <c r="J2" s="14" t="s">
        <v>35</v>
      </c>
      <c r="K2" s="14" t="s">
        <v>36</v>
      </c>
      <c r="L2" s="14" t="s">
        <v>35</v>
      </c>
      <c r="M2" s="14" t="s">
        <v>32</v>
      </c>
      <c r="N2" s="14" t="s">
        <v>32</v>
      </c>
      <c r="O2" s="14" t="s">
        <v>32</v>
      </c>
      <c r="P2" s="14" t="s">
        <v>32</v>
      </c>
      <c r="T2" s="14">
        <f>MATCH(D2,Allocation!A:A,0)</f>
        <v>5</v>
      </c>
    </row>
    <row r="3" spans="1:20" x14ac:dyDescent="0.35">
      <c r="A3" s="14" t="s">
        <v>31</v>
      </c>
      <c r="B3" s="14" t="s">
        <v>37</v>
      </c>
      <c r="C3" s="14" t="s">
        <v>6</v>
      </c>
      <c r="D3" s="14" t="s">
        <v>33</v>
      </c>
      <c r="E3" s="14">
        <v>0</v>
      </c>
      <c r="F3" s="14" t="s">
        <v>34</v>
      </c>
      <c r="G3" s="14" t="s">
        <v>32</v>
      </c>
      <c r="H3" s="14" t="s">
        <v>32</v>
      </c>
      <c r="I3" s="14" t="s">
        <v>32</v>
      </c>
      <c r="J3" s="14" t="s">
        <v>35</v>
      </c>
      <c r="K3" s="14" t="s">
        <v>36</v>
      </c>
      <c r="L3" s="14" t="s">
        <v>35</v>
      </c>
      <c r="M3" s="14" t="s">
        <v>32</v>
      </c>
      <c r="N3" s="14" t="s">
        <v>32</v>
      </c>
      <c r="O3" s="14" t="s">
        <v>32</v>
      </c>
      <c r="P3" s="14" t="s">
        <v>32</v>
      </c>
      <c r="T3" s="14">
        <f>MATCH(D3,Allocation!A:A,0)</f>
        <v>5</v>
      </c>
    </row>
    <row r="4" spans="1:20" x14ac:dyDescent="0.35">
      <c r="A4" s="14" t="s">
        <v>185</v>
      </c>
      <c r="B4" s="14" t="s">
        <v>186</v>
      </c>
      <c r="C4" s="14" t="s">
        <v>7</v>
      </c>
      <c r="D4" s="14" t="s">
        <v>33</v>
      </c>
      <c r="E4" s="14">
        <v>-50</v>
      </c>
      <c r="F4" s="14" t="s">
        <v>187</v>
      </c>
      <c r="G4" s="14" t="s">
        <v>32</v>
      </c>
      <c r="H4" s="14" t="s">
        <v>32</v>
      </c>
      <c r="I4" s="14" t="s">
        <v>32</v>
      </c>
      <c r="J4" s="14" t="s">
        <v>35</v>
      </c>
      <c r="K4" s="14" t="s">
        <v>36</v>
      </c>
      <c r="L4" s="14" t="s">
        <v>35</v>
      </c>
      <c r="M4" s="14" t="s">
        <v>32</v>
      </c>
      <c r="N4" s="14" t="s">
        <v>32</v>
      </c>
      <c r="O4" s="14" t="s">
        <v>32</v>
      </c>
      <c r="P4" s="14" t="s">
        <v>32</v>
      </c>
      <c r="T4" s="14">
        <f>MATCH(D4,Allocation!A:A,0)</f>
        <v>5</v>
      </c>
    </row>
    <row r="5" spans="1:20" x14ac:dyDescent="0.35">
      <c r="A5" s="14" t="s">
        <v>185</v>
      </c>
      <c r="B5" s="14" t="s">
        <v>32</v>
      </c>
      <c r="C5" s="14" t="s">
        <v>8</v>
      </c>
      <c r="D5" s="14" t="s">
        <v>33</v>
      </c>
      <c r="E5" s="14">
        <v>-293.45999999999998</v>
      </c>
      <c r="F5" s="14" t="s">
        <v>187</v>
      </c>
      <c r="G5" s="14" t="s">
        <v>32</v>
      </c>
      <c r="H5" s="14" t="s">
        <v>32</v>
      </c>
      <c r="I5" s="14" t="s">
        <v>32</v>
      </c>
      <c r="J5" s="14" t="s">
        <v>35</v>
      </c>
      <c r="K5" s="14" t="s">
        <v>36</v>
      </c>
      <c r="L5" s="14" t="s">
        <v>35</v>
      </c>
      <c r="M5" s="14" t="s">
        <v>32</v>
      </c>
      <c r="N5" s="14" t="s">
        <v>32</v>
      </c>
      <c r="O5" s="14" t="s">
        <v>32</v>
      </c>
      <c r="P5" s="14" t="s">
        <v>32</v>
      </c>
      <c r="T5" s="14">
        <f>MATCH(D5,Allocation!A:A,0)</f>
        <v>5</v>
      </c>
    </row>
    <row r="6" spans="1:20" x14ac:dyDescent="0.35">
      <c r="A6" s="14" t="s">
        <v>191</v>
      </c>
      <c r="B6" s="14" t="s">
        <v>192</v>
      </c>
      <c r="C6" s="14" t="s">
        <v>9</v>
      </c>
      <c r="D6" s="14" t="s">
        <v>33</v>
      </c>
      <c r="E6" s="14">
        <v>-893.58</v>
      </c>
      <c r="F6" s="14" t="s">
        <v>187</v>
      </c>
      <c r="G6" s="14" t="s">
        <v>32</v>
      </c>
      <c r="H6" s="14" t="s">
        <v>32</v>
      </c>
      <c r="I6" s="14" t="s">
        <v>32</v>
      </c>
      <c r="J6" s="14" t="s">
        <v>35</v>
      </c>
      <c r="K6" s="14" t="s">
        <v>36</v>
      </c>
      <c r="L6" s="14" t="s">
        <v>35</v>
      </c>
      <c r="M6" s="14" t="s">
        <v>32</v>
      </c>
      <c r="N6" s="14" t="s">
        <v>32</v>
      </c>
      <c r="O6" s="14" t="s">
        <v>32</v>
      </c>
      <c r="P6" s="14" t="s">
        <v>32</v>
      </c>
      <c r="T6" s="14">
        <f>MATCH(D6,Allocation!A:A,0)</f>
        <v>5</v>
      </c>
    </row>
    <row r="7" spans="1:20" x14ac:dyDescent="0.35">
      <c r="A7" s="14" t="s">
        <v>193</v>
      </c>
      <c r="B7" s="14" t="s">
        <v>194</v>
      </c>
      <c r="C7" s="14" t="s">
        <v>10</v>
      </c>
      <c r="D7" s="14" t="s">
        <v>33</v>
      </c>
      <c r="E7" s="14">
        <v>1120</v>
      </c>
      <c r="F7" s="14" t="s">
        <v>34</v>
      </c>
      <c r="G7" s="14" t="s">
        <v>32</v>
      </c>
      <c r="H7" s="14" t="s">
        <v>32</v>
      </c>
      <c r="I7" s="14" t="s">
        <v>32</v>
      </c>
      <c r="J7" s="14" t="s">
        <v>35</v>
      </c>
      <c r="K7" s="14" t="s">
        <v>36</v>
      </c>
      <c r="L7" s="14" t="s">
        <v>35</v>
      </c>
      <c r="M7" s="14" t="s">
        <v>32</v>
      </c>
      <c r="N7" s="14" t="s">
        <v>32</v>
      </c>
      <c r="O7" s="14" t="s">
        <v>32</v>
      </c>
      <c r="P7" s="14" t="s">
        <v>32</v>
      </c>
      <c r="T7" s="14">
        <f>MATCH(D7,Allocation!A:A,0)</f>
        <v>5</v>
      </c>
    </row>
    <row r="8" spans="1:20" x14ac:dyDescent="0.35">
      <c r="A8" s="14" t="s">
        <v>195</v>
      </c>
      <c r="B8" s="14" t="s">
        <v>192</v>
      </c>
      <c r="C8" s="14" t="s">
        <v>9</v>
      </c>
      <c r="D8" s="14" t="s">
        <v>33</v>
      </c>
      <c r="E8" s="14">
        <v>-293.45999999999998</v>
      </c>
      <c r="F8" s="14" t="s">
        <v>187</v>
      </c>
      <c r="G8" s="14" t="s">
        <v>32</v>
      </c>
      <c r="H8" s="14" t="s">
        <v>32</v>
      </c>
      <c r="I8" s="14" t="s">
        <v>32</v>
      </c>
      <c r="J8" s="14" t="s">
        <v>35</v>
      </c>
      <c r="K8" s="14" t="s">
        <v>36</v>
      </c>
      <c r="L8" s="14" t="s">
        <v>35</v>
      </c>
      <c r="M8" s="14" t="s">
        <v>32</v>
      </c>
      <c r="N8" s="14" t="s">
        <v>32</v>
      </c>
      <c r="O8" s="14" t="s">
        <v>32</v>
      </c>
      <c r="P8" s="14" t="s">
        <v>32</v>
      </c>
      <c r="T8" s="14">
        <f>MATCH(D8,Allocation!A:A,0)</f>
        <v>5</v>
      </c>
    </row>
    <row r="9" spans="1:20" x14ac:dyDescent="0.35">
      <c r="A9" s="14" t="s">
        <v>195</v>
      </c>
      <c r="B9" s="14" t="s">
        <v>32</v>
      </c>
      <c r="C9" s="14" t="s">
        <v>8</v>
      </c>
      <c r="D9" s="14" t="s">
        <v>33</v>
      </c>
      <c r="E9" s="14">
        <v>293.45999999999998</v>
      </c>
      <c r="F9" s="14" t="s">
        <v>34</v>
      </c>
      <c r="G9" s="14" t="s">
        <v>32</v>
      </c>
      <c r="H9" s="14" t="s">
        <v>32</v>
      </c>
      <c r="I9" s="14" t="s">
        <v>32</v>
      </c>
      <c r="J9" s="14" t="s">
        <v>35</v>
      </c>
      <c r="K9" s="14" t="s">
        <v>36</v>
      </c>
      <c r="L9" s="14" t="s">
        <v>35</v>
      </c>
      <c r="M9" s="14" t="s">
        <v>32</v>
      </c>
      <c r="N9" s="14" t="s">
        <v>32</v>
      </c>
      <c r="O9" s="14" t="s">
        <v>32</v>
      </c>
      <c r="P9" s="14" t="s">
        <v>32</v>
      </c>
      <c r="T9" s="14">
        <f>MATCH(D9,Allocation!A:A,0)</f>
        <v>5</v>
      </c>
    </row>
    <row r="10" spans="1:20" x14ac:dyDescent="0.35">
      <c r="A10" s="14" t="s">
        <v>31</v>
      </c>
      <c r="B10" s="14" t="s">
        <v>32</v>
      </c>
      <c r="C10" s="14" t="s">
        <v>6</v>
      </c>
      <c r="D10" s="14" t="s">
        <v>38</v>
      </c>
      <c r="E10" s="14">
        <v>126.85</v>
      </c>
      <c r="F10" s="14" t="s">
        <v>34</v>
      </c>
      <c r="G10" s="14" t="s">
        <v>32</v>
      </c>
      <c r="H10" s="14" t="s">
        <v>32</v>
      </c>
      <c r="I10" s="14" t="s">
        <v>32</v>
      </c>
      <c r="J10" s="14" t="s">
        <v>39</v>
      </c>
      <c r="K10" s="14" t="s">
        <v>40</v>
      </c>
      <c r="L10" s="14" t="s">
        <v>39</v>
      </c>
      <c r="M10" s="14" t="s">
        <v>32</v>
      </c>
      <c r="N10" s="14" t="s">
        <v>32</v>
      </c>
      <c r="O10" s="14" t="s">
        <v>32</v>
      </c>
      <c r="P10" s="14" t="s">
        <v>32</v>
      </c>
      <c r="T10" s="14">
        <f>MATCH(D10,Allocation!A:A,0)</f>
        <v>16</v>
      </c>
    </row>
    <row r="11" spans="1:20" x14ac:dyDescent="0.35">
      <c r="A11" s="14" t="s">
        <v>31</v>
      </c>
      <c r="B11" s="14" t="s">
        <v>37</v>
      </c>
      <c r="C11" s="14" t="s">
        <v>6</v>
      </c>
      <c r="D11" s="14" t="s">
        <v>38</v>
      </c>
      <c r="E11" s="14">
        <v>0</v>
      </c>
      <c r="F11" s="14" t="s">
        <v>34</v>
      </c>
      <c r="G11" s="14" t="s">
        <v>32</v>
      </c>
      <c r="H11" s="14" t="s">
        <v>32</v>
      </c>
      <c r="I11" s="14" t="s">
        <v>32</v>
      </c>
      <c r="J11" s="14" t="s">
        <v>39</v>
      </c>
      <c r="K11" s="14" t="s">
        <v>40</v>
      </c>
      <c r="L11" s="14" t="s">
        <v>39</v>
      </c>
      <c r="M11" s="14" t="s">
        <v>32</v>
      </c>
      <c r="N11" s="14" t="s">
        <v>32</v>
      </c>
      <c r="O11" s="14" t="s">
        <v>32</v>
      </c>
      <c r="P11" s="14" t="s">
        <v>32</v>
      </c>
      <c r="T11" s="14">
        <f>MATCH(D11,Allocation!A:A,0)</f>
        <v>16</v>
      </c>
    </row>
    <row r="12" spans="1:20" x14ac:dyDescent="0.35">
      <c r="A12" s="14" t="s">
        <v>185</v>
      </c>
      <c r="B12" s="14" t="s">
        <v>32</v>
      </c>
      <c r="C12" s="14" t="s">
        <v>7</v>
      </c>
      <c r="D12" s="14" t="s">
        <v>38</v>
      </c>
      <c r="E12" s="14">
        <v>-158.47</v>
      </c>
      <c r="F12" s="14" t="s">
        <v>187</v>
      </c>
      <c r="G12" s="14" t="s">
        <v>32</v>
      </c>
      <c r="H12" s="14" t="s">
        <v>32</v>
      </c>
      <c r="I12" s="14" t="s">
        <v>32</v>
      </c>
      <c r="J12" s="14" t="s">
        <v>39</v>
      </c>
      <c r="K12" s="14" t="s">
        <v>40</v>
      </c>
      <c r="L12" s="14" t="s">
        <v>39</v>
      </c>
      <c r="M12" s="14" t="s">
        <v>32</v>
      </c>
      <c r="N12" s="14" t="s">
        <v>32</v>
      </c>
      <c r="O12" s="14" t="s">
        <v>32</v>
      </c>
      <c r="P12" s="14" t="s">
        <v>32</v>
      </c>
      <c r="T12" s="14">
        <f>MATCH(D12,Allocation!A:A,0)</f>
        <v>16</v>
      </c>
    </row>
    <row r="13" spans="1:20" x14ac:dyDescent="0.35">
      <c r="A13" s="14" t="s">
        <v>185</v>
      </c>
      <c r="B13" s="14" t="s">
        <v>32</v>
      </c>
      <c r="C13" s="14" t="s">
        <v>8</v>
      </c>
      <c r="D13" s="14" t="s">
        <v>38</v>
      </c>
      <c r="E13" s="14">
        <v>-264.94</v>
      </c>
      <c r="F13" s="14" t="s">
        <v>187</v>
      </c>
      <c r="G13" s="14" t="s">
        <v>32</v>
      </c>
      <c r="H13" s="14" t="s">
        <v>32</v>
      </c>
      <c r="I13" s="14" t="s">
        <v>32</v>
      </c>
      <c r="J13" s="14" t="s">
        <v>39</v>
      </c>
      <c r="K13" s="14" t="s">
        <v>40</v>
      </c>
      <c r="L13" s="14" t="s">
        <v>39</v>
      </c>
      <c r="M13" s="14" t="s">
        <v>32</v>
      </c>
      <c r="N13" s="14" t="s">
        <v>32</v>
      </c>
      <c r="O13" s="14" t="s">
        <v>32</v>
      </c>
      <c r="P13" s="14" t="s">
        <v>32</v>
      </c>
      <c r="T13" s="14">
        <f>MATCH(D13,Allocation!A:A,0)</f>
        <v>16</v>
      </c>
    </row>
    <row r="14" spans="1:20" x14ac:dyDescent="0.35">
      <c r="A14" s="14" t="s">
        <v>191</v>
      </c>
      <c r="B14" s="14" t="s">
        <v>192</v>
      </c>
      <c r="C14" s="14" t="s">
        <v>9</v>
      </c>
      <c r="D14" s="14" t="s">
        <v>38</v>
      </c>
      <c r="E14" s="14">
        <v>-984.88</v>
      </c>
      <c r="F14" s="14" t="s">
        <v>187</v>
      </c>
      <c r="G14" s="14" t="s">
        <v>32</v>
      </c>
      <c r="H14" s="14" t="s">
        <v>32</v>
      </c>
      <c r="I14" s="14" t="s">
        <v>32</v>
      </c>
      <c r="J14" s="14" t="s">
        <v>39</v>
      </c>
      <c r="K14" s="14" t="s">
        <v>40</v>
      </c>
      <c r="L14" s="14" t="s">
        <v>39</v>
      </c>
      <c r="M14" s="14" t="s">
        <v>32</v>
      </c>
      <c r="N14" s="14" t="s">
        <v>32</v>
      </c>
      <c r="O14" s="14" t="s">
        <v>32</v>
      </c>
      <c r="P14" s="14" t="s">
        <v>32</v>
      </c>
      <c r="T14" s="14">
        <f>MATCH(D14,Allocation!A:A,0)</f>
        <v>16</v>
      </c>
    </row>
    <row r="15" spans="1:20" x14ac:dyDescent="0.35">
      <c r="A15" s="14" t="s">
        <v>193</v>
      </c>
      <c r="B15" s="14" t="s">
        <v>194</v>
      </c>
      <c r="C15" s="14" t="s">
        <v>10</v>
      </c>
      <c r="D15" s="14" t="s">
        <v>38</v>
      </c>
      <c r="E15" s="14">
        <v>1281.44</v>
      </c>
      <c r="F15" s="14" t="s">
        <v>34</v>
      </c>
      <c r="G15" s="14" t="s">
        <v>32</v>
      </c>
      <c r="H15" s="14" t="s">
        <v>32</v>
      </c>
      <c r="I15" s="14" t="s">
        <v>32</v>
      </c>
      <c r="J15" s="14" t="s">
        <v>39</v>
      </c>
      <c r="K15" s="14" t="s">
        <v>40</v>
      </c>
      <c r="L15" s="14" t="s">
        <v>39</v>
      </c>
      <c r="M15" s="14" t="s">
        <v>32</v>
      </c>
      <c r="N15" s="14" t="s">
        <v>32</v>
      </c>
      <c r="O15" s="14" t="s">
        <v>32</v>
      </c>
      <c r="P15" s="14" t="s">
        <v>32</v>
      </c>
      <c r="T15" s="14">
        <f>MATCH(D15,Allocation!A:A,0)</f>
        <v>16</v>
      </c>
    </row>
    <row r="16" spans="1:20" x14ac:dyDescent="0.35">
      <c r="A16" s="14" t="s">
        <v>195</v>
      </c>
      <c r="B16" s="14" t="s">
        <v>192</v>
      </c>
      <c r="C16" s="14" t="s">
        <v>9</v>
      </c>
      <c r="D16" s="14" t="s">
        <v>38</v>
      </c>
      <c r="E16" s="14">
        <v>-264.94</v>
      </c>
      <c r="F16" s="14" t="s">
        <v>187</v>
      </c>
      <c r="G16" s="14" t="s">
        <v>32</v>
      </c>
      <c r="H16" s="14" t="s">
        <v>32</v>
      </c>
      <c r="I16" s="14" t="s">
        <v>32</v>
      </c>
      <c r="J16" s="14" t="s">
        <v>39</v>
      </c>
      <c r="K16" s="14" t="s">
        <v>40</v>
      </c>
      <c r="L16" s="14" t="s">
        <v>39</v>
      </c>
      <c r="M16" s="14" t="s">
        <v>32</v>
      </c>
      <c r="N16" s="14" t="s">
        <v>32</v>
      </c>
      <c r="O16" s="14" t="s">
        <v>32</v>
      </c>
      <c r="P16" s="14" t="s">
        <v>32</v>
      </c>
      <c r="T16" s="14">
        <f>MATCH(D16,Allocation!A:A,0)</f>
        <v>16</v>
      </c>
    </row>
    <row r="17" spans="1:20" x14ac:dyDescent="0.35">
      <c r="A17" s="14" t="s">
        <v>195</v>
      </c>
      <c r="B17" s="14" t="s">
        <v>32</v>
      </c>
      <c r="C17" s="14" t="s">
        <v>8</v>
      </c>
      <c r="D17" s="14" t="s">
        <v>38</v>
      </c>
      <c r="E17" s="14">
        <v>264.94</v>
      </c>
      <c r="F17" s="14" t="s">
        <v>34</v>
      </c>
      <c r="G17" s="14" t="s">
        <v>32</v>
      </c>
      <c r="H17" s="14" t="s">
        <v>32</v>
      </c>
      <c r="I17" s="14" t="s">
        <v>32</v>
      </c>
      <c r="J17" s="14" t="s">
        <v>39</v>
      </c>
      <c r="K17" s="14" t="s">
        <v>40</v>
      </c>
      <c r="L17" s="14" t="s">
        <v>39</v>
      </c>
      <c r="M17" s="14" t="s">
        <v>32</v>
      </c>
      <c r="N17" s="14" t="s">
        <v>32</v>
      </c>
      <c r="O17" s="14" t="s">
        <v>32</v>
      </c>
      <c r="P17" s="14" t="s">
        <v>32</v>
      </c>
      <c r="T17" s="14">
        <f>MATCH(D17,Allocation!A:A,0)</f>
        <v>16</v>
      </c>
    </row>
    <row r="18" spans="1:20" x14ac:dyDescent="0.35">
      <c r="A18" s="14" t="s">
        <v>31</v>
      </c>
      <c r="B18" s="14" t="s">
        <v>32</v>
      </c>
      <c r="C18" s="14" t="s">
        <v>6</v>
      </c>
      <c r="D18" s="14" t="s">
        <v>41</v>
      </c>
      <c r="E18" s="14">
        <v>214.11</v>
      </c>
      <c r="F18" s="14" t="s">
        <v>34</v>
      </c>
      <c r="G18" s="14" t="s">
        <v>41</v>
      </c>
      <c r="H18" s="15" t="s">
        <v>42</v>
      </c>
      <c r="I18" s="15" t="s">
        <v>41</v>
      </c>
      <c r="J18" s="14" t="s">
        <v>32</v>
      </c>
      <c r="K18" s="14" t="s">
        <v>32</v>
      </c>
      <c r="L18" s="14" t="s">
        <v>32</v>
      </c>
      <c r="M18" s="14" t="s">
        <v>32</v>
      </c>
      <c r="N18" s="14" t="s">
        <v>32</v>
      </c>
      <c r="O18" s="14" t="s">
        <v>32</v>
      </c>
      <c r="P18" s="14" t="s">
        <v>32</v>
      </c>
      <c r="S18" s="14" t="s">
        <v>43</v>
      </c>
      <c r="T18" s="14">
        <f>MATCH(D18,Allocation!A:A,0)</f>
        <v>4</v>
      </c>
    </row>
    <row r="19" spans="1:20" x14ac:dyDescent="0.35">
      <c r="A19" s="14" t="s">
        <v>31</v>
      </c>
      <c r="B19" s="14" t="s">
        <v>37</v>
      </c>
      <c r="C19" s="14" t="s">
        <v>6</v>
      </c>
      <c r="D19" s="14" t="s">
        <v>41</v>
      </c>
      <c r="E19" s="14">
        <v>0</v>
      </c>
      <c r="F19" s="14" t="s">
        <v>34</v>
      </c>
      <c r="G19" s="14" t="s">
        <v>41</v>
      </c>
      <c r="H19" s="15" t="s">
        <v>42</v>
      </c>
      <c r="I19" s="15" t="s">
        <v>41</v>
      </c>
      <c r="J19" s="14" t="s">
        <v>32</v>
      </c>
      <c r="K19" s="14" t="s">
        <v>32</v>
      </c>
      <c r="L19" s="14" t="s">
        <v>32</v>
      </c>
      <c r="M19" s="14" t="s">
        <v>32</v>
      </c>
      <c r="N19" s="14" t="s">
        <v>32</v>
      </c>
      <c r="O19" s="14" t="s">
        <v>32</v>
      </c>
      <c r="P19" s="14" t="s">
        <v>32</v>
      </c>
      <c r="T19" s="14">
        <f>MATCH(D19,Allocation!A:A,0)</f>
        <v>4</v>
      </c>
    </row>
    <row r="20" spans="1:20" x14ac:dyDescent="0.35">
      <c r="A20" s="14" t="s">
        <v>185</v>
      </c>
      <c r="B20" s="14" t="s">
        <v>188</v>
      </c>
      <c r="C20" s="14" t="s">
        <v>7</v>
      </c>
      <c r="D20" s="14" t="s">
        <v>41</v>
      </c>
      <c r="E20" s="14">
        <v>-101.8</v>
      </c>
      <c r="F20" s="14" t="s">
        <v>187</v>
      </c>
      <c r="G20" s="14" t="s">
        <v>41</v>
      </c>
      <c r="H20" s="14" t="s">
        <v>42</v>
      </c>
      <c r="I20" s="14" t="s">
        <v>41</v>
      </c>
      <c r="J20" s="14" t="s">
        <v>189</v>
      </c>
      <c r="K20" s="14" t="s">
        <v>190</v>
      </c>
      <c r="L20" s="14" t="s">
        <v>32</v>
      </c>
      <c r="M20" s="14" t="s">
        <v>32</v>
      </c>
      <c r="N20" s="14" t="s">
        <v>32</v>
      </c>
      <c r="O20" s="14" t="s">
        <v>32</v>
      </c>
      <c r="P20" s="14" t="s">
        <v>32</v>
      </c>
      <c r="T20" s="14">
        <f>MATCH(D20,Allocation!A:A,0)</f>
        <v>4</v>
      </c>
    </row>
    <row r="21" spans="1:20" x14ac:dyDescent="0.35">
      <c r="A21" s="14" t="s">
        <v>185</v>
      </c>
      <c r="B21" s="14" t="s">
        <v>32</v>
      </c>
      <c r="C21" s="14" t="s">
        <v>8</v>
      </c>
      <c r="D21" s="14" t="s">
        <v>41</v>
      </c>
      <c r="E21" s="14">
        <v>-570.16</v>
      </c>
      <c r="F21" s="14" t="s">
        <v>187</v>
      </c>
      <c r="G21" s="14" t="s">
        <v>41</v>
      </c>
      <c r="H21" s="14" t="s">
        <v>42</v>
      </c>
      <c r="I21" s="14" t="s">
        <v>41</v>
      </c>
      <c r="J21" s="14" t="s">
        <v>32</v>
      </c>
      <c r="K21" s="14" t="s">
        <v>32</v>
      </c>
      <c r="L21" s="14" t="s">
        <v>32</v>
      </c>
      <c r="M21" s="14" t="s">
        <v>32</v>
      </c>
      <c r="N21" s="14" t="s">
        <v>32</v>
      </c>
      <c r="O21" s="14" t="s">
        <v>32</v>
      </c>
      <c r="P21" s="14" t="s">
        <v>32</v>
      </c>
      <c r="T21" s="14">
        <f>MATCH(D21,Allocation!A:A,0)</f>
        <v>4</v>
      </c>
    </row>
    <row r="22" spans="1:20" x14ac:dyDescent="0.35">
      <c r="A22" s="14" t="s">
        <v>191</v>
      </c>
      <c r="B22" s="14" t="s">
        <v>192</v>
      </c>
      <c r="C22" s="14" t="s">
        <v>9</v>
      </c>
      <c r="D22" s="14" t="s">
        <v>41</v>
      </c>
      <c r="E22" s="14">
        <v>-1765.59</v>
      </c>
      <c r="F22" s="14" t="s">
        <v>187</v>
      </c>
      <c r="G22" s="14" t="s">
        <v>41</v>
      </c>
      <c r="H22" s="14" t="s">
        <v>42</v>
      </c>
      <c r="I22" s="14" t="s">
        <v>41</v>
      </c>
      <c r="J22" s="14" t="s">
        <v>32</v>
      </c>
      <c r="K22" s="14" t="s">
        <v>32</v>
      </c>
      <c r="L22" s="14" t="s">
        <v>32</v>
      </c>
      <c r="M22" s="14" t="s">
        <v>32</v>
      </c>
      <c r="N22" s="14" t="s">
        <v>32</v>
      </c>
      <c r="O22" s="14" t="s">
        <v>32</v>
      </c>
      <c r="P22" s="14" t="s">
        <v>32</v>
      </c>
      <c r="T22" s="14">
        <f>MATCH(D22,Allocation!A:A,0)</f>
        <v>4</v>
      </c>
    </row>
    <row r="23" spans="1:20" x14ac:dyDescent="0.35">
      <c r="A23" s="14" t="s">
        <v>193</v>
      </c>
      <c r="B23" s="14" t="s">
        <v>194</v>
      </c>
      <c r="C23" s="14" t="s">
        <v>10</v>
      </c>
      <c r="D23" s="14" t="s">
        <v>41</v>
      </c>
      <c r="E23" s="14">
        <v>2223.44</v>
      </c>
      <c r="F23" s="14" t="s">
        <v>34</v>
      </c>
      <c r="G23" s="14" t="s">
        <v>41</v>
      </c>
      <c r="H23" s="14" t="s">
        <v>42</v>
      </c>
      <c r="I23" s="14" t="s">
        <v>41</v>
      </c>
      <c r="J23" s="14" t="s">
        <v>32</v>
      </c>
      <c r="K23" s="14" t="s">
        <v>32</v>
      </c>
      <c r="L23" s="14" t="s">
        <v>32</v>
      </c>
      <c r="M23" s="14" t="s">
        <v>32</v>
      </c>
      <c r="N23" s="14" t="s">
        <v>32</v>
      </c>
      <c r="O23" s="14" t="s">
        <v>32</v>
      </c>
      <c r="P23" s="14" t="s">
        <v>32</v>
      </c>
      <c r="T23" s="14">
        <f>MATCH(D23,Allocation!A:A,0)</f>
        <v>4</v>
      </c>
    </row>
    <row r="24" spans="1:20" x14ac:dyDescent="0.35">
      <c r="A24" s="14" t="s">
        <v>195</v>
      </c>
      <c r="B24" s="14" t="s">
        <v>192</v>
      </c>
      <c r="C24" s="14" t="s">
        <v>9</v>
      </c>
      <c r="D24" s="14" t="s">
        <v>41</v>
      </c>
      <c r="E24" s="14">
        <v>-570.16</v>
      </c>
      <c r="F24" s="14" t="s">
        <v>187</v>
      </c>
      <c r="G24" s="14" t="s">
        <v>41</v>
      </c>
      <c r="H24" s="14" t="s">
        <v>42</v>
      </c>
      <c r="I24" s="14" t="s">
        <v>41</v>
      </c>
      <c r="J24" s="14" t="s">
        <v>32</v>
      </c>
      <c r="K24" s="14" t="s">
        <v>32</v>
      </c>
      <c r="L24" s="14" t="s">
        <v>32</v>
      </c>
      <c r="M24" s="14" t="s">
        <v>32</v>
      </c>
      <c r="N24" s="14" t="s">
        <v>32</v>
      </c>
      <c r="O24" s="14" t="s">
        <v>32</v>
      </c>
      <c r="P24" s="14" t="s">
        <v>32</v>
      </c>
      <c r="T24" s="14">
        <f>MATCH(D24,Allocation!A:A,0)</f>
        <v>4</v>
      </c>
    </row>
    <row r="25" spans="1:20" x14ac:dyDescent="0.35">
      <c r="A25" s="14" t="s">
        <v>195</v>
      </c>
      <c r="B25" s="14" t="s">
        <v>32</v>
      </c>
      <c r="C25" s="14" t="s">
        <v>8</v>
      </c>
      <c r="D25" s="14" t="s">
        <v>41</v>
      </c>
      <c r="E25" s="14">
        <v>570.16</v>
      </c>
      <c r="F25" s="14" t="s">
        <v>34</v>
      </c>
      <c r="G25" s="14" t="s">
        <v>41</v>
      </c>
      <c r="H25" s="14" t="s">
        <v>42</v>
      </c>
      <c r="I25" s="14" t="s">
        <v>41</v>
      </c>
      <c r="J25" s="14" t="s">
        <v>32</v>
      </c>
      <c r="K25" s="14" t="s">
        <v>32</v>
      </c>
      <c r="L25" s="14" t="s">
        <v>32</v>
      </c>
      <c r="M25" s="14" t="s">
        <v>32</v>
      </c>
      <c r="N25" s="14" t="s">
        <v>32</v>
      </c>
      <c r="O25" s="14" t="s">
        <v>32</v>
      </c>
      <c r="P25" s="14" t="s">
        <v>32</v>
      </c>
      <c r="T25" s="14">
        <f>MATCH(D25,Allocation!A:A,0)</f>
        <v>4</v>
      </c>
    </row>
    <row r="26" spans="1:20" x14ac:dyDescent="0.35">
      <c r="A26" s="14" t="s">
        <v>31</v>
      </c>
      <c r="B26" s="14" t="s">
        <v>32</v>
      </c>
      <c r="C26" s="14" t="s">
        <v>6</v>
      </c>
      <c r="D26" s="14" t="s">
        <v>44</v>
      </c>
      <c r="E26" s="14">
        <v>135.53</v>
      </c>
      <c r="F26" s="14" t="s">
        <v>34</v>
      </c>
      <c r="G26" s="14" t="s">
        <v>41</v>
      </c>
      <c r="H26" s="15" t="s">
        <v>42</v>
      </c>
      <c r="I26" s="15" t="s">
        <v>41</v>
      </c>
      <c r="J26" s="16" t="s">
        <v>45</v>
      </c>
      <c r="K26" s="14" t="s">
        <v>46</v>
      </c>
      <c r="L26" s="14" t="s">
        <v>45</v>
      </c>
      <c r="M26" s="14" t="s">
        <v>47</v>
      </c>
      <c r="N26" s="17" t="s">
        <v>48</v>
      </c>
      <c r="O26" s="17" t="s">
        <v>47</v>
      </c>
      <c r="P26" s="14" t="s">
        <v>32</v>
      </c>
      <c r="T26" s="14">
        <f>MATCH(D26,Allocation!A:A,0)</f>
        <v>9</v>
      </c>
    </row>
    <row r="27" spans="1:20" x14ac:dyDescent="0.35">
      <c r="A27" s="14" t="s">
        <v>31</v>
      </c>
      <c r="B27" s="14" t="s">
        <v>37</v>
      </c>
      <c r="C27" s="14" t="s">
        <v>6</v>
      </c>
      <c r="D27" s="14" t="s">
        <v>44</v>
      </c>
      <c r="E27" s="14">
        <v>0</v>
      </c>
      <c r="F27" s="14" t="s">
        <v>34</v>
      </c>
      <c r="G27" s="14" t="s">
        <v>41</v>
      </c>
      <c r="H27" s="15" t="s">
        <v>42</v>
      </c>
      <c r="I27" s="15" t="s">
        <v>41</v>
      </c>
      <c r="J27" s="16" t="s">
        <v>45</v>
      </c>
      <c r="K27" s="14" t="s">
        <v>46</v>
      </c>
      <c r="L27" s="14" t="s">
        <v>45</v>
      </c>
      <c r="M27" s="14" t="s">
        <v>47</v>
      </c>
      <c r="N27" s="17" t="s">
        <v>48</v>
      </c>
      <c r="O27" s="17" t="s">
        <v>47</v>
      </c>
      <c r="P27" s="14" t="s">
        <v>32</v>
      </c>
      <c r="T27" s="14">
        <f>MATCH(D27,Allocation!A:A,0)</f>
        <v>9</v>
      </c>
    </row>
    <row r="28" spans="1:20" x14ac:dyDescent="0.35">
      <c r="A28" s="14" t="s">
        <v>185</v>
      </c>
      <c r="B28" s="14" t="s">
        <v>188</v>
      </c>
      <c r="C28" s="14" t="s">
        <v>7</v>
      </c>
      <c r="D28" s="14" t="s">
        <v>44</v>
      </c>
      <c r="E28" s="14">
        <v>-95.91</v>
      </c>
      <c r="F28" s="14" t="s">
        <v>187</v>
      </c>
      <c r="G28" s="14" t="s">
        <v>41</v>
      </c>
      <c r="H28" s="14" t="s">
        <v>42</v>
      </c>
      <c r="I28" s="14" t="s">
        <v>41</v>
      </c>
      <c r="J28" s="14" t="s">
        <v>45</v>
      </c>
      <c r="K28" s="14" t="s">
        <v>46</v>
      </c>
      <c r="L28" s="14" t="s">
        <v>45</v>
      </c>
      <c r="M28" s="14" t="s">
        <v>47</v>
      </c>
      <c r="N28" s="14" t="s">
        <v>48</v>
      </c>
      <c r="O28" s="14" t="s">
        <v>47</v>
      </c>
      <c r="P28" s="14" t="s">
        <v>32</v>
      </c>
      <c r="T28" s="14">
        <f>MATCH(D28,Allocation!A:A,0)</f>
        <v>9</v>
      </c>
    </row>
    <row r="29" spans="1:20" x14ac:dyDescent="0.35">
      <c r="A29" s="14" t="s">
        <v>185</v>
      </c>
      <c r="B29" s="14" t="s">
        <v>32</v>
      </c>
      <c r="C29" s="14" t="s">
        <v>8</v>
      </c>
      <c r="D29" s="14" t="s">
        <v>44</v>
      </c>
      <c r="E29" s="14">
        <v>-335.3</v>
      </c>
      <c r="F29" s="14" t="s">
        <v>187</v>
      </c>
      <c r="G29" s="14" t="s">
        <v>41</v>
      </c>
      <c r="H29" s="14" t="s">
        <v>42</v>
      </c>
      <c r="I29" s="14" t="s">
        <v>41</v>
      </c>
      <c r="J29" s="14" t="s">
        <v>45</v>
      </c>
      <c r="K29" s="14" t="s">
        <v>46</v>
      </c>
      <c r="L29" s="14" t="s">
        <v>45</v>
      </c>
      <c r="M29" s="14" t="s">
        <v>47</v>
      </c>
      <c r="N29" s="14" t="s">
        <v>48</v>
      </c>
      <c r="O29" s="14" t="s">
        <v>47</v>
      </c>
      <c r="P29" s="14" t="s">
        <v>32</v>
      </c>
      <c r="T29" s="14">
        <f>MATCH(D29,Allocation!A:A,0)</f>
        <v>9</v>
      </c>
    </row>
    <row r="30" spans="1:20" x14ac:dyDescent="0.35">
      <c r="A30" s="14" t="s">
        <v>191</v>
      </c>
      <c r="B30" s="14" t="s">
        <v>192</v>
      </c>
      <c r="C30" s="14" t="s">
        <v>9</v>
      </c>
      <c r="D30" s="14" t="s">
        <v>44</v>
      </c>
      <c r="E30" s="14">
        <v>-1071.55</v>
      </c>
      <c r="F30" s="14" t="s">
        <v>187</v>
      </c>
      <c r="G30" s="14" t="s">
        <v>41</v>
      </c>
      <c r="H30" s="14" t="s">
        <v>42</v>
      </c>
      <c r="I30" s="14" t="s">
        <v>41</v>
      </c>
      <c r="J30" s="14" t="s">
        <v>45</v>
      </c>
      <c r="K30" s="14" t="s">
        <v>46</v>
      </c>
      <c r="L30" s="14" t="s">
        <v>45</v>
      </c>
      <c r="M30" s="14" t="s">
        <v>47</v>
      </c>
      <c r="N30" s="14" t="s">
        <v>48</v>
      </c>
      <c r="O30" s="14" t="s">
        <v>47</v>
      </c>
      <c r="P30" s="14" t="s">
        <v>32</v>
      </c>
      <c r="T30" s="14">
        <f>MATCH(D30,Allocation!A:A,0)</f>
        <v>9</v>
      </c>
    </row>
    <row r="31" spans="1:20" x14ac:dyDescent="0.35">
      <c r="A31" s="14" t="s">
        <v>193</v>
      </c>
      <c r="B31" s="14" t="s">
        <v>194</v>
      </c>
      <c r="C31" s="14" t="s">
        <v>10</v>
      </c>
      <c r="D31" s="14" t="s">
        <v>44</v>
      </c>
      <c r="E31" s="14">
        <v>1367.23</v>
      </c>
      <c r="F31" s="14" t="s">
        <v>34</v>
      </c>
      <c r="G31" s="14" t="s">
        <v>41</v>
      </c>
      <c r="H31" s="14" t="s">
        <v>42</v>
      </c>
      <c r="I31" s="14" t="s">
        <v>41</v>
      </c>
      <c r="J31" s="14" t="s">
        <v>45</v>
      </c>
      <c r="K31" s="14" t="s">
        <v>46</v>
      </c>
      <c r="L31" s="14" t="s">
        <v>45</v>
      </c>
      <c r="M31" s="14" t="s">
        <v>47</v>
      </c>
      <c r="N31" s="14" t="s">
        <v>48</v>
      </c>
      <c r="O31" s="14" t="s">
        <v>47</v>
      </c>
      <c r="P31" s="14" t="s">
        <v>32</v>
      </c>
      <c r="T31" s="14">
        <f>MATCH(D31,Allocation!A:A,0)</f>
        <v>9</v>
      </c>
    </row>
    <row r="32" spans="1:20" x14ac:dyDescent="0.35">
      <c r="A32" s="14" t="s">
        <v>195</v>
      </c>
      <c r="B32" s="14" t="s">
        <v>192</v>
      </c>
      <c r="C32" s="14" t="s">
        <v>9</v>
      </c>
      <c r="D32" s="14" t="s">
        <v>44</v>
      </c>
      <c r="E32" s="14">
        <v>-335.3</v>
      </c>
      <c r="F32" s="14" t="s">
        <v>187</v>
      </c>
      <c r="G32" s="14" t="s">
        <v>41</v>
      </c>
      <c r="H32" s="14" t="s">
        <v>42</v>
      </c>
      <c r="I32" s="14" t="s">
        <v>41</v>
      </c>
      <c r="J32" s="14" t="s">
        <v>45</v>
      </c>
      <c r="K32" s="14" t="s">
        <v>46</v>
      </c>
      <c r="L32" s="14" t="s">
        <v>45</v>
      </c>
      <c r="M32" s="14" t="s">
        <v>47</v>
      </c>
      <c r="N32" s="14" t="s">
        <v>48</v>
      </c>
      <c r="O32" s="14" t="s">
        <v>47</v>
      </c>
      <c r="P32" s="14" t="s">
        <v>32</v>
      </c>
      <c r="T32" s="14">
        <f>MATCH(D32,Allocation!A:A,0)</f>
        <v>9</v>
      </c>
    </row>
    <row r="33" spans="1:20" x14ac:dyDescent="0.35">
      <c r="A33" s="14" t="s">
        <v>195</v>
      </c>
      <c r="B33" s="14" t="s">
        <v>32</v>
      </c>
      <c r="C33" s="14" t="s">
        <v>8</v>
      </c>
      <c r="D33" s="14" t="s">
        <v>44</v>
      </c>
      <c r="E33" s="14">
        <v>335.3</v>
      </c>
      <c r="F33" s="14" t="s">
        <v>34</v>
      </c>
      <c r="G33" s="14" t="s">
        <v>41</v>
      </c>
      <c r="H33" s="14" t="s">
        <v>42</v>
      </c>
      <c r="I33" s="14" t="s">
        <v>41</v>
      </c>
      <c r="J33" s="14" t="s">
        <v>45</v>
      </c>
      <c r="K33" s="14" t="s">
        <v>46</v>
      </c>
      <c r="L33" s="14" t="s">
        <v>45</v>
      </c>
      <c r="M33" s="14" t="s">
        <v>47</v>
      </c>
      <c r="N33" s="14" t="s">
        <v>48</v>
      </c>
      <c r="O33" s="14" t="s">
        <v>47</v>
      </c>
      <c r="P33" s="14" t="s">
        <v>32</v>
      </c>
      <c r="T33" s="14">
        <f>MATCH(D33,Allocation!A:A,0)</f>
        <v>9</v>
      </c>
    </row>
    <row r="34" spans="1:20" x14ac:dyDescent="0.35">
      <c r="A34" s="14" t="s">
        <v>31</v>
      </c>
      <c r="B34" s="14" t="s">
        <v>32</v>
      </c>
      <c r="C34" s="14" t="s">
        <v>6</v>
      </c>
      <c r="D34" s="14" t="s">
        <v>49</v>
      </c>
      <c r="E34" s="14">
        <v>61.13</v>
      </c>
      <c r="F34" s="14" t="s">
        <v>34</v>
      </c>
      <c r="G34" s="14" t="s">
        <v>41</v>
      </c>
      <c r="H34" s="15" t="s">
        <v>42</v>
      </c>
      <c r="I34" s="15" t="s">
        <v>41</v>
      </c>
      <c r="J34" s="16" t="s">
        <v>50</v>
      </c>
      <c r="K34" s="14" t="s">
        <v>51</v>
      </c>
      <c r="L34" s="14" t="s">
        <v>50</v>
      </c>
      <c r="M34" s="14" t="s">
        <v>52</v>
      </c>
      <c r="N34" s="17" t="s">
        <v>53</v>
      </c>
      <c r="O34" s="17" t="s">
        <v>52</v>
      </c>
      <c r="P34" s="14" t="s">
        <v>32</v>
      </c>
      <c r="T34" s="14">
        <f>MATCH(D34,Allocation!A:A,0)</f>
        <v>43</v>
      </c>
    </row>
    <row r="35" spans="1:20" x14ac:dyDescent="0.35">
      <c r="A35" s="14" t="s">
        <v>31</v>
      </c>
      <c r="B35" s="14" t="s">
        <v>37</v>
      </c>
      <c r="C35" s="14" t="s">
        <v>6</v>
      </c>
      <c r="D35" s="14" t="s">
        <v>49</v>
      </c>
      <c r="E35" s="14">
        <v>0</v>
      </c>
      <c r="F35" s="14" t="s">
        <v>34</v>
      </c>
      <c r="G35" s="14" t="s">
        <v>41</v>
      </c>
      <c r="H35" s="15" t="s">
        <v>42</v>
      </c>
      <c r="I35" s="15" t="s">
        <v>41</v>
      </c>
      <c r="J35" s="16" t="s">
        <v>50</v>
      </c>
      <c r="K35" s="14" t="s">
        <v>51</v>
      </c>
      <c r="L35" s="14" t="s">
        <v>50</v>
      </c>
      <c r="M35" s="14" t="s">
        <v>52</v>
      </c>
      <c r="N35" s="17" t="s">
        <v>53</v>
      </c>
      <c r="O35" s="17" t="s">
        <v>52</v>
      </c>
      <c r="P35" s="14" t="s">
        <v>32</v>
      </c>
      <c r="T35" s="14">
        <f>MATCH(D35,Allocation!A:A,0)</f>
        <v>43</v>
      </c>
    </row>
    <row r="36" spans="1:20" x14ac:dyDescent="0.35">
      <c r="A36" s="14" t="s">
        <v>185</v>
      </c>
      <c r="B36" s="14" t="s">
        <v>32</v>
      </c>
      <c r="C36" s="14" t="s">
        <v>8</v>
      </c>
      <c r="D36" s="14" t="s">
        <v>49</v>
      </c>
      <c r="E36" s="14">
        <v>-163.80000000000001</v>
      </c>
      <c r="F36" s="14" t="s">
        <v>187</v>
      </c>
      <c r="G36" s="14" t="s">
        <v>41</v>
      </c>
      <c r="H36" s="14" t="s">
        <v>42</v>
      </c>
      <c r="I36" s="14" t="s">
        <v>41</v>
      </c>
      <c r="J36" s="14" t="s">
        <v>50</v>
      </c>
      <c r="K36" s="14" t="s">
        <v>51</v>
      </c>
      <c r="L36" s="14" t="s">
        <v>50</v>
      </c>
      <c r="M36" s="14" t="s">
        <v>52</v>
      </c>
      <c r="N36" s="14" t="s">
        <v>53</v>
      </c>
      <c r="O36" s="14" t="s">
        <v>52</v>
      </c>
      <c r="P36" s="14" t="s">
        <v>32</v>
      </c>
      <c r="T36" s="14">
        <f>MATCH(D36,Allocation!A:A,0)</f>
        <v>43</v>
      </c>
    </row>
    <row r="37" spans="1:20" x14ac:dyDescent="0.35">
      <c r="A37" s="14" t="s">
        <v>191</v>
      </c>
      <c r="B37" s="14" t="s">
        <v>192</v>
      </c>
      <c r="C37" s="14" t="s">
        <v>9</v>
      </c>
      <c r="D37" s="14" t="s">
        <v>49</v>
      </c>
      <c r="E37" s="14">
        <v>-482.33</v>
      </c>
      <c r="F37" s="14" t="s">
        <v>187</v>
      </c>
      <c r="G37" s="14" t="s">
        <v>41</v>
      </c>
      <c r="H37" s="14" t="s">
        <v>42</v>
      </c>
      <c r="I37" s="14" t="s">
        <v>41</v>
      </c>
      <c r="J37" s="14" t="s">
        <v>50</v>
      </c>
      <c r="K37" s="14" t="s">
        <v>51</v>
      </c>
      <c r="L37" s="14" t="s">
        <v>50</v>
      </c>
      <c r="M37" s="14" t="s">
        <v>52</v>
      </c>
      <c r="N37" s="14" t="s">
        <v>53</v>
      </c>
      <c r="O37" s="14" t="s">
        <v>52</v>
      </c>
      <c r="P37" s="14" t="s">
        <v>32</v>
      </c>
      <c r="T37" s="14">
        <f>MATCH(D37,Allocation!A:A,0)</f>
        <v>43</v>
      </c>
    </row>
    <row r="38" spans="1:20" x14ac:dyDescent="0.35">
      <c r="A38" s="14" t="s">
        <v>193</v>
      </c>
      <c r="B38" s="14" t="s">
        <v>194</v>
      </c>
      <c r="C38" s="14" t="s">
        <v>10</v>
      </c>
      <c r="D38" s="14" t="s">
        <v>49</v>
      </c>
      <c r="E38" s="14">
        <v>585</v>
      </c>
      <c r="F38" s="14" t="s">
        <v>34</v>
      </c>
      <c r="G38" s="14" t="s">
        <v>41</v>
      </c>
      <c r="H38" s="14" t="s">
        <v>42</v>
      </c>
      <c r="I38" s="14" t="s">
        <v>41</v>
      </c>
      <c r="J38" s="14" t="s">
        <v>50</v>
      </c>
      <c r="K38" s="14" t="s">
        <v>51</v>
      </c>
      <c r="L38" s="14" t="s">
        <v>50</v>
      </c>
      <c r="M38" s="14" t="s">
        <v>52</v>
      </c>
      <c r="N38" s="14" t="s">
        <v>53</v>
      </c>
      <c r="O38" s="14" t="s">
        <v>52</v>
      </c>
      <c r="P38" s="14" t="s">
        <v>32</v>
      </c>
      <c r="T38" s="14">
        <f>MATCH(D38,Allocation!A:A,0)</f>
        <v>43</v>
      </c>
    </row>
    <row r="39" spans="1:20" x14ac:dyDescent="0.35">
      <c r="A39" s="14" t="s">
        <v>195</v>
      </c>
      <c r="B39" s="14" t="s">
        <v>192</v>
      </c>
      <c r="C39" s="14" t="s">
        <v>9</v>
      </c>
      <c r="D39" s="14" t="s">
        <v>49</v>
      </c>
      <c r="E39" s="14">
        <v>-163.80000000000001</v>
      </c>
      <c r="F39" s="14" t="s">
        <v>187</v>
      </c>
      <c r="G39" s="14" t="s">
        <v>41</v>
      </c>
      <c r="H39" s="14" t="s">
        <v>42</v>
      </c>
      <c r="I39" s="14" t="s">
        <v>41</v>
      </c>
      <c r="J39" s="14" t="s">
        <v>50</v>
      </c>
      <c r="K39" s="14" t="s">
        <v>51</v>
      </c>
      <c r="L39" s="14" t="s">
        <v>50</v>
      </c>
      <c r="M39" s="14" t="s">
        <v>52</v>
      </c>
      <c r="N39" s="14" t="s">
        <v>53</v>
      </c>
      <c r="O39" s="14" t="s">
        <v>52</v>
      </c>
      <c r="P39" s="14" t="s">
        <v>32</v>
      </c>
      <c r="T39" s="14">
        <f>MATCH(D39,Allocation!A:A,0)</f>
        <v>43</v>
      </c>
    </row>
    <row r="40" spans="1:20" x14ac:dyDescent="0.35">
      <c r="A40" s="14" t="s">
        <v>195</v>
      </c>
      <c r="B40" s="14" t="s">
        <v>32</v>
      </c>
      <c r="C40" s="14" t="s">
        <v>8</v>
      </c>
      <c r="D40" s="14" t="s">
        <v>49</v>
      </c>
      <c r="E40" s="14">
        <v>163.80000000000001</v>
      </c>
      <c r="F40" s="14" t="s">
        <v>34</v>
      </c>
      <c r="G40" s="14" t="s">
        <v>41</v>
      </c>
      <c r="H40" s="14" t="s">
        <v>42</v>
      </c>
      <c r="I40" s="14" t="s">
        <v>41</v>
      </c>
      <c r="J40" s="14" t="s">
        <v>50</v>
      </c>
      <c r="K40" s="14" t="s">
        <v>51</v>
      </c>
      <c r="L40" s="14" t="s">
        <v>50</v>
      </c>
      <c r="M40" s="14" t="s">
        <v>52</v>
      </c>
      <c r="N40" s="14" t="s">
        <v>53</v>
      </c>
      <c r="O40" s="14" t="s">
        <v>52</v>
      </c>
      <c r="P40" s="14" t="s">
        <v>32</v>
      </c>
      <c r="T40" s="14">
        <f>MATCH(D40,Allocation!A:A,0)</f>
        <v>43</v>
      </c>
    </row>
    <row r="41" spans="1:20" x14ac:dyDescent="0.35">
      <c r="A41" s="14" t="s">
        <v>31</v>
      </c>
      <c r="B41" s="14" t="s">
        <v>32</v>
      </c>
      <c r="C41" s="14" t="s">
        <v>6</v>
      </c>
      <c r="D41" s="14" t="s">
        <v>54</v>
      </c>
      <c r="E41" s="14">
        <v>59.43</v>
      </c>
      <c r="F41" s="14" t="s">
        <v>34</v>
      </c>
      <c r="G41" s="14" t="s">
        <v>41</v>
      </c>
      <c r="H41" s="15" t="s">
        <v>42</v>
      </c>
      <c r="I41" s="15" t="s">
        <v>41</v>
      </c>
      <c r="J41" s="16" t="s">
        <v>55</v>
      </c>
      <c r="K41" s="14" t="s">
        <v>56</v>
      </c>
      <c r="L41" s="14" t="s">
        <v>55</v>
      </c>
      <c r="M41" s="14" t="s">
        <v>57</v>
      </c>
      <c r="N41" s="17" t="s">
        <v>58</v>
      </c>
      <c r="O41" s="17" t="s">
        <v>57</v>
      </c>
      <c r="P41" s="14" t="s">
        <v>32</v>
      </c>
      <c r="T41" s="14">
        <f>MATCH(D41,Allocation!A:A,0)</f>
        <v>39</v>
      </c>
    </row>
    <row r="42" spans="1:20" x14ac:dyDescent="0.35">
      <c r="A42" s="14" t="s">
        <v>31</v>
      </c>
      <c r="B42" s="14" t="s">
        <v>37</v>
      </c>
      <c r="C42" s="14" t="s">
        <v>6</v>
      </c>
      <c r="D42" s="14" t="s">
        <v>54</v>
      </c>
      <c r="E42" s="14">
        <v>0</v>
      </c>
      <c r="F42" s="14" t="s">
        <v>34</v>
      </c>
      <c r="G42" s="14" t="s">
        <v>41</v>
      </c>
      <c r="H42" s="15" t="s">
        <v>42</v>
      </c>
      <c r="I42" s="15" t="s">
        <v>41</v>
      </c>
      <c r="J42" s="16" t="s">
        <v>55</v>
      </c>
      <c r="K42" s="14" t="s">
        <v>56</v>
      </c>
      <c r="L42" s="14" t="s">
        <v>55</v>
      </c>
      <c r="M42" s="14" t="s">
        <v>57</v>
      </c>
      <c r="N42" s="17" t="s">
        <v>58</v>
      </c>
      <c r="O42" s="17" t="s">
        <v>57</v>
      </c>
      <c r="P42" s="14" t="s">
        <v>32</v>
      </c>
      <c r="T42" s="14">
        <f>MATCH(D42,Allocation!A:A,0)</f>
        <v>39</v>
      </c>
    </row>
    <row r="43" spans="1:20" x14ac:dyDescent="0.35">
      <c r="A43" s="14" t="s">
        <v>185</v>
      </c>
      <c r="B43" s="14" t="s">
        <v>32</v>
      </c>
      <c r="C43" s="14" t="s">
        <v>8</v>
      </c>
      <c r="D43" s="14" t="s">
        <v>54</v>
      </c>
      <c r="E43" s="14">
        <v>-140.83000000000001</v>
      </c>
      <c r="F43" s="14" t="s">
        <v>187</v>
      </c>
      <c r="G43" s="14" t="s">
        <v>41</v>
      </c>
      <c r="H43" s="14" t="s">
        <v>42</v>
      </c>
      <c r="I43" s="14" t="s">
        <v>41</v>
      </c>
      <c r="J43" s="14" t="s">
        <v>55</v>
      </c>
      <c r="K43" s="14" t="s">
        <v>56</v>
      </c>
      <c r="L43" s="14" t="s">
        <v>55</v>
      </c>
      <c r="M43" s="14" t="s">
        <v>57</v>
      </c>
      <c r="N43" s="14" t="s">
        <v>58</v>
      </c>
      <c r="O43" s="14" t="s">
        <v>57</v>
      </c>
      <c r="P43" s="14" t="s">
        <v>32</v>
      </c>
      <c r="T43" s="14">
        <f>MATCH(D43,Allocation!A:A,0)</f>
        <v>39</v>
      </c>
    </row>
    <row r="44" spans="1:20" x14ac:dyDescent="0.35">
      <c r="A44" s="14" t="s">
        <v>191</v>
      </c>
      <c r="B44" s="14" t="s">
        <v>192</v>
      </c>
      <c r="C44" s="14" t="s">
        <v>9</v>
      </c>
      <c r="D44" s="14" t="s">
        <v>54</v>
      </c>
      <c r="E44" s="14">
        <v>-487.3</v>
      </c>
      <c r="F44" s="14" t="s">
        <v>187</v>
      </c>
      <c r="G44" s="14" t="s">
        <v>41</v>
      </c>
      <c r="H44" s="14" t="s">
        <v>42</v>
      </c>
      <c r="I44" s="14" t="s">
        <v>41</v>
      </c>
      <c r="J44" s="14" t="s">
        <v>55</v>
      </c>
      <c r="K44" s="14" t="s">
        <v>56</v>
      </c>
      <c r="L44" s="14" t="s">
        <v>55</v>
      </c>
      <c r="M44" s="14" t="s">
        <v>57</v>
      </c>
      <c r="N44" s="14" t="s">
        <v>58</v>
      </c>
      <c r="O44" s="14" t="s">
        <v>57</v>
      </c>
      <c r="P44" s="14" t="s">
        <v>32</v>
      </c>
      <c r="T44" s="14">
        <f>MATCH(D44,Allocation!A:A,0)</f>
        <v>39</v>
      </c>
    </row>
    <row r="45" spans="1:20" x14ac:dyDescent="0.35">
      <c r="A45" s="14" t="s">
        <v>193</v>
      </c>
      <c r="B45" s="14" t="s">
        <v>194</v>
      </c>
      <c r="C45" s="14" t="s">
        <v>10</v>
      </c>
      <c r="D45" s="14" t="s">
        <v>54</v>
      </c>
      <c r="E45" s="14">
        <v>568.70000000000005</v>
      </c>
      <c r="F45" s="14" t="s">
        <v>34</v>
      </c>
      <c r="G45" s="14" t="s">
        <v>41</v>
      </c>
      <c r="H45" s="14" t="s">
        <v>42</v>
      </c>
      <c r="I45" s="14" t="s">
        <v>41</v>
      </c>
      <c r="J45" s="14" t="s">
        <v>55</v>
      </c>
      <c r="K45" s="14" t="s">
        <v>56</v>
      </c>
      <c r="L45" s="14" t="s">
        <v>55</v>
      </c>
      <c r="M45" s="14" t="s">
        <v>57</v>
      </c>
      <c r="N45" s="14" t="s">
        <v>58</v>
      </c>
      <c r="O45" s="14" t="s">
        <v>57</v>
      </c>
      <c r="P45" s="14" t="s">
        <v>32</v>
      </c>
      <c r="T45" s="14">
        <f>MATCH(D45,Allocation!A:A,0)</f>
        <v>39</v>
      </c>
    </row>
    <row r="46" spans="1:20" x14ac:dyDescent="0.35">
      <c r="A46" s="14" t="s">
        <v>195</v>
      </c>
      <c r="B46" s="14" t="s">
        <v>192</v>
      </c>
      <c r="C46" s="14" t="s">
        <v>9</v>
      </c>
      <c r="D46" s="14" t="s">
        <v>54</v>
      </c>
      <c r="E46" s="14">
        <v>-140.83000000000001</v>
      </c>
      <c r="F46" s="14" t="s">
        <v>187</v>
      </c>
      <c r="G46" s="14" t="s">
        <v>41</v>
      </c>
      <c r="H46" s="14" t="s">
        <v>42</v>
      </c>
      <c r="I46" s="14" t="s">
        <v>41</v>
      </c>
      <c r="J46" s="14" t="s">
        <v>55</v>
      </c>
      <c r="K46" s="14" t="s">
        <v>56</v>
      </c>
      <c r="L46" s="14" t="s">
        <v>55</v>
      </c>
      <c r="M46" s="14" t="s">
        <v>57</v>
      </c>
      <c r="N46" s="14" t="s">
        <v>58</v>
      </c>
      <c r="O46" s="14" t="s">
        <v>57</v>
      </c>
      <c r="P46" s="14" t="s">
        <v>32</v>
      </c>
      <c r="T46" s="14">
        <f>MATCH(D46,Allocation!A:A,0)</f>
        <v>39</v>
      </c>
    </row>
    <row r="47" spans="1:20" x14ac:dyDescent="0.35">
      <c r="A47" s="14" t="s">
        <v>195</v>
      </c>
      <c r="B47" s="14" t="s">
        <v>32</v>
      </c>
      <c r="C47" s="14" t="s">
        <v>8</v>
      </c>
      <c r="D47" s="14" t="s">
        <v>54</v>
      </c>
      <c r="E47" s="14">
        <v>140.83000000000001</v>
      </c>
      <c r="F47" s="14" t="s">
        <v>34</v>
      </c>
      <c r="G47" s="14" t="s">
        <v>41</v>
      </c>
      <c r="H47" s="14" t="s">
        <v>42</v>
      </c>
      <c r="I47" s="14" t="s">
        <v>41</v>
      </c>
      <c r="J47" s="14" t="s">
        <v>55</v>
      </c>
      <c r="K47" s="14" t="s">
        <v>56</v>
      </c>
      <c r="L47" s="14" t="s">
        <v>55</v>
      </c>
      <c r="M47" s="14" t="s">
        <v>57</v>
      </c>
      <c r="N47" s="14" t="s">
        <v>58</v>
      </c>
      <c r="O47" s="14" t="s">
        <v>57</v>
      </c>
      <c r="P47" s="14" t="s">
        <v>32</v>
      </c>
      <c r="T47" s="14">
        <f>MATCH(D47,Allocation!A:A,0)</f>
        <v>39</v>
      </c>
    </row>
    <row r="48" spans="1:20" x14ac:dyDescent="0.35">
      <c r="A48" s="14" t="s">
        <v>31</v>
      </c>
      <c r="B48" s="14" t="s">
        <v>32</v>
      </c>
      <c r="C48" s="14" t="s">
        <v>6</v>
      </c>
      <c r="D48" s="14" t="s">
        <v>59</v>
      </c>
      <c r="E48" s="14">
        <v>193.92</v>
      </c>
      <c r="F48" s="14" t="s">
        <v>34</v>
      </c>
      <c r="G48" s="14" t="s">
        <v>41</v>
      </c>
      <c r="H48" s="15" t="s">
        <v>42</v>
      </c>
      <c r="I48" s="15" t="s">
        <v>41</v>
      </c>
      <c r="J48" s="16" t="s">
        <v>60</v>
      </c>
      <c r="K48" s="14" t="s">
        <v>61</v>
      </c>
      <c r="L48" s="14" t="s">
        <v>60</v>
      </c>
      <c r="M48" s="14" t="s">
        <v>62</v>
      </c>
      <c r="N48" s="17" t="s">
        <v>63</v>
      </c>
      <c r="O48" s="17" t="s">
        <v>62</v>
      </c>
      <c r="P48" s="14" t="s">
        <v>32</v>
      </c>
      <c r="T48" s="14">
        <f>MATCH(D48,Allocation!A:A,0)</f>
        <v>12</v>
      </c>
    </row>
    <row r="49" spans="1:20" x14ac:dyDescent="0.35">
      <c r="A49" s="14" t="s">
        <v>31</v>
      </c>
      <c r="B49" s="14" t="s">
        <v>37</v>
      </c>
      <c r="C49" s="14" t="s">
        <v>6</v>
      </c>
      <c r="D49" s="14" t="s">
        <v>59</v>
      </c>
      <c r="E49" s="14">
        <v>0</v>
      </c>
      <c r="F49" s="14" t="s">
        <v>34</v>
      </c>
      <c r="G49" s="14" t="s">
        <v>41</v>
      </c>
      <c r="H49" s="15" t="s">
        <v>42</v>
      </c>
      <c r="I49" s="15" t="s">
        <v>41</v>
      </c>
      <c r="J49" s="16" t="s">
        <v>60</v>
      </c>
      <c r="K49" s="14" t="s">
        <v>61</v>
      </c>
      <c r="L49" s="14" t="s">
        <v>60</v>
      </c>
      <c r="M49" s="14" t="s">
        <v>62</v>
      </c>
      <c r="N49" s="17" t="s">
        <v>63</v>
      </c>
      <c r="O49" s="17" t="s">
        <v>62</v>
      </c>
      <c r="P49" s="14" t="s">
        <v>32</v>
      </c>
      <c r="T49" s="14">
        <f>MATCH(D49,Allocation!A:A,0)</f>
        <v>12</v>
      </c>
    </row>
    <row r="50" spans="1:20" x14ac:dyDescent="0.35">
      <c r="A50" s="14" t="s">
        <v>185</v>
      </c>
      <c r="B50" s="14" t="s">
        <v>32</v>
      </c>
      <c r="C50" s="14" t="s">
        <v>7</v>
      </c>
      <c r="D50" s="14" t="s">
        <v>59</v>
      </c>
      <c r="E50" s="14">
        <v>-285.61</v>
      </c>
      <c r="F50" s="14" t="s">
        <v>187</v>
      </c>
      <c r="G50" s="14" t="s">
        <v>41</v>
      </c>
      <c r="H50" s="14" t="s">
        <v>42</v>
      </c>
      <c r="I50" s="14" t="s">
        <v>41</v>
      </c>
      <c r="J50" s="14" t="s">
        <v>60</v>
      </c>
      <c r="K50" s="14" t="s">
        <v>61</v>
      </c>
      <c r="L50" s="14" t="s">
        <v>60</v>
      </c>
      <c r="M50" s="14" t="s">
        <v>62</v>
      </c>
      <c r="N50" s="14" t="s">
        <v>63</v>
      </c>
      <c r="O50" s="14" t="s">
        <v>62</v>
      </c>
      <c r="P50" s="14" t="s">
        <v>32</v>
      </c>
      <c r="T50" s="14">
        <f>MATCH(D50,Allocation!A:A,0)</f>
        <v>12</v>
      </c>
    </row>
    <row r="51" spans="1:20" x14ac:dyDescent="0.35">
      <c r="A51" s="14" t="s">
        <v>185</v>
      </c>
      <c r="B51" s="14" t="s">
        <v>32</v>
      </c>
      <c r="C51" s="14" t="s">
        <v>8</v>
      </c>
      <c r="D51" s="14" t="s">
        <v>59</v>
      </c>
      <c r="E51" s="14">
        <v>-787.57</v>
      </c>
      <c r="F51" s="14" t="s">
        <v>187</v>
      </c>
      <c r="G51" s="14" t="s">
        <v>41</v>
      </c>
      <c r="H51" s="14" t="s">
        <v>42</v>
      </c>
      <c r="I51" s="14" t="s">
        <v>41</v>
      </c>
      <c r="J51" s="14" t="s">
        <v>60</v>
      </c>
      <c r="K51" s="14" t="s">
        <v>61</v>
      </c>
      <c r="L51" s="14" t="s">
        <v>60</v>
      </c>
      <c r="M51" s="14" t="s">
        <v>62</v>
      </c>
      <c r="N51" s="14" t="s">
        <v>63</v>
      </c>
      <c r="O51" s="14" t="s">
        <v>62</v>
      </c>
      <c r="P51" s="14" t="s">
        <v>32</v>
      </c>
      <c r="T51" s="14">
        <f>MATCH(D51,Allocation!A:A,0)</f>
        <v>12</v>
      </c>
    </row>
    <row r="52" spans="1:20" x14ac:dyDescent="0.35">
      <c r="A52" s="14" t="s">
        <v>191</v>
      </c>
      <c r="B52" s="14" t="s">
        <v>192</v>
      </c>
      <c r="C52" s="14" t="s">
        <v>9</v>
      </c>
      <c r="D52" s="14" t="s">
        <v>59</v>
      </c>
      <c r="E52" s="14">
        <v>-1813.05</v>
      </c>
      <c r="F52" s="14" t="s">
        <v>187</v>
      </c>
      <c r="G52" s="14" t="s">
        <v>41</v>
      </c>
      <c r="H52" s="14" t="s">
        <v>42</v>
      </c>
      <c r="I52" s="14" t="s">
        <v>41</v>
      </c>
      <c r="J52" s="14" t="s">
        <v>60</v>
      </c>
      <c r="K52" s="14" t="s">
        <v>61</v>
      </c>
      <c r="L52" s="14" t="s">
        <v>60</v>
      </c>
      <c r="M52" s="14" t="s">
        <v>62</v>
      </c>
      <c r="N52" s="14" t="s">
        <v>63</v>
      </c>
      <c r="O52" s="14" t="s">
        <v>62</v>
      </c>
      <c r="P52" s="14" t="s">
        <v>32</v>
      </c>
      <c r="T52" s="14">
        <f>MATCH(D52,Allocation!A:A,0)</f>
        <v>12</v>
      </c>
    </row>
    <row r="53" spans="1:20" x14ac:dyDescent="0.35">
      <c r="A53" s="14" t="s">
        <v>193</v>
      </c>
      <c r="B53" s="14" t="s">
        <v>194</v>
      </c>
      <c r="C53" s="14" t="s">
        <v>10</v>
      </c>
      <c r="D53" s="14" t="s">
        <v>59</v>
      </c>
      <c r="E53" s="14">
        <v>2692.31</v>
      </c>
      <c r="F53" s="14" t="s">
        <v>34</v>
      </c>
      <c r="G53" s="14" t="s">
        <v>41</v>
      </c>
      <c r="H53" s="14" t="s">
        <v>42</v>
      </c>
      <c r="I53" s="14" t="s">
        <v>41</v>
      </c>
      <c r="J53" s="14" t="s">
        <v>60</v>
      </c>
      <c r="K53" s="14" t="s">
        <v>61</v>
      </c>
      <c r="L53" s="14" t="s">
        <v>60</v>
      </c>
      <c r="M53" s="14" t="s">
        <v>62</v>
      </c>
      <c r="N53" s="14" t="s">
        <v>63</v>
      </c>
      <c r="O53" s="14" t="s">
        <v>62</v>
      </c>
      <c r="P53" s="14" t="s">
        <v>32</v>
      </c>
      <c r="T53" s="14">
        <f>MATCH(D53,Allocation!A:A,0)</f>
        <v>12</v>
      </c>
    </row>
    <row r="54" spans="1:20" x14ac:dyDescent="0.35">
      <c r="A54" s="14" t="s">
        <v>195</v>
      </c>
      <c r="B54" s="14" t="s">
        <v>192</v>
      </c>
      <c r="C54" s="14" t="s">
        <v>9</v>
      </c>
      <c r="D54" s="14" t="s">
        <v>59</v>
      </c>
      <c r="E54" s="14">
        <v>-787.57</v>
      </c>
      <c r="F54" s="14" t="s">
        <v>187</v>
      </c>
      <c r="G54" s="14" t="s">
        <v>41</v>
      </c>
      <c r="H54" s="14" t="s">
        <v>42</v>
      </c>
      <c r="I54" s="14" t="s">
        <v>41</v>
      </c>
      <c r="J54" s="14" t="s">
        <v>60</v>
      </c>
      <c r="K54" s="14" t="s">
        <v>61</v>
      </c>
      <c r="L54" s="14" t="s">
        <v>60</v>
      </c>
      <c r="M54" s="14" t="s">
        <v>62</v>
      </c>
      <c r="N54" s="14" t="s">
        <v>63</v>
      </c>
      <c r="O54" s="14" t="s">
        <v>62</v>
      </c>
      <c r="P54" s="14" t="s">
        <v>32</v>
      </c>
      <c r="T54" s="14">
        <f>MATCH(D54,Allocation!A:A,0)</f>
        <v>12</v>
      </c>
    </row>
    <row r="55" spans="1:20" x14ac:dyDescent="0.35">
      <c r="A55" s="14" t="s">
        <v>195</v>
      </c>
      <c r="B55" s="14" t="s">
        <v>32</v>
      </c>
      <c r="C55" s="14" t="s">
        <v>8</v>
      </c>
      <c r="D55" s="14" t="s">
        <v>59</v>
      </c>
      <c r="E55" s="14">
        <v>787.57</v>
      </c>
      <c r="F55" s="14" t="s">
        <v>34</v>
      </c>
      <c r="G55" s="14" t="s">
        <v>41</v>
      </c>
      <c r="H55" s="14" t="s">
        <v>42</v>
      </c>
      <c r="I55" s="14" t="s">
        <v>41</v>
      </c>
      <c r="J55" s="14" t="s">
        <v>60</v>
      </c>
      <c r="K55" s="14" t="s">
        <v>61</v>
      </c>
      <c r="L55" s="14" t="s">
        <v>60</v>
      </c>
      <c r="M55" s="14" t="s">
        <v>62</v>
      </c>
      <c r="N55" s="14" t="s">
        <v>63</v>
      </c>
      <c r="O55" s="14" t="s">
        <v>62</v>
      </c>
      <c r="P55" s="14" t="s">
        <v>32</v>
      </c>
      <c r="T55" s="14">
        <f>MATCH(D55,Allocation!A:A,0)</f>
        <v>12</v>
      </c>
    </row>
    <row r="56" spans="1:20" x14ac:dyDescent="0.35">
      <c r="A56" s="14" t="s">
        <v>31</v>
      </c>
      <c r="B56" s="14" t="s">
        <v>32</v>
      </c>
      <c r="C56" s="14" t="s">
        <v>6</v>
      </c>
      <c r="D56" s="14" t="s">
        <v>64</v>
      </c>
      <c r="E56" s="14">
        <v>198.53</v>
      </c>
      <c r="F56" s="14" t="s">
        <v>34</v>
      </c>
      <c r="G56" s="14" t="s">
        <v>41</v>
      </c>
      <c r="H56" s="15" t="s">
        <v>42</v>
      </c>
      <c r="I56" s="15" t="s">
        <v>41</v>
      </c>
      <c r="J56" s="16" t="s">
        <v>65</v>
      </c>
      <c r="K56" s="14" t="s">
        <v>66</v>
      </c>
      <c r="L56" s="14" t="s">
        <v>65</v>
      </c>
      <c r="M56" s="14" t="s">
        <v>67</v>
      </c>
      <c r="N56" s="17" t="s">
        <v>68</v>
      </c>
      <c r="O56" s="17" t="s">
        <v>67</v>
      </c>
      <c r="P56" s="14" t="s">
        <v>32</v>
      </c>
      <c r="T56" s="14">
        <f>MATCH(D56,Allocation!A:A,0)</f>
        <v>37</v>
      </c>
    </row>
    <row r="57" spans="1:20" x14ac:dyDescent="0.35">
      <c r="A57" s="14" t="s">
        <v>31</v>
      </c>
      <c r="B57" s="14" t="s">
        <v>37</v>
      </c>
      <c r="C57" s="14" t="s">
        <v>6</v>
      </c>
      <c r="D57" s="14" t="s">
        <v>64</v>
      </c>
      <c r="E57" s="14">
        <v>0</v>
      </c>
      <c r="F57" s="14" t="s">
        <v>34</v>
      </c>
      <c r="G57" s="14" t="s">
        <v>41</v>
      </c>
      <c r="H57" s="15" t="s">
        <v>42</v>
      </c>
      <c r="I57" s="15" t="s">
        <v>41</v>
      </c>
      <c r="J57" s="16" t="s">
        <v>65</v>
      </c>
      <c r="K57" s="14" t="s">
        <v>66</v>
      </c>
      <c r="L57" s="14" t="s">
        <v>65</v>
      </c>
      <c r="M57" s="14" t="s">
        <v>67</v>
      </c>
      <c r="N57" s="17" t="s">
        <v>68</v>
      </c>
      <c r="O57" s="17" t="s">
        <v>67</v>
      </c>
      <c r="P57" s="14" t="s">
        <v>32</v>
      </c>
      <c r="T57" s="14">
        <f>MATCH(D57,Allocation!A:A,0)</f>
        <v>37</v>
      </c>
    </row>
    <row r="58" spans="1:20" x14ac:dyDescent="0.35">
      <c r="A58" s="14" t="s">
        <v>185</v>
      </c>
      <c r="B58" s="14" t="s">
        <v>188</v>
      </c>
      <c r="C58" s="14" t="s">
        <v>7</v>
      </c>
      <c r="D58" s="14" t="s">
        <v>64</v>
      </c>
      <c r="E58" s="14">
        <v>-85.26</v>
      </c>
      <c r="F58" s="14" t="s">
        <v>187</v>
      </c>
      <c r="G58" s="14" t="s">
        <v>41</v>
      </c>
      <c r="H58" s="14" t="s">
        <v>42</v>
      </c>
      <c r="I58" s="14" t="s">
        <v>41</v>
      </c>
      <c r="J58" s="14" t="s">
        <v>65</v>
      </c>
      <c r="K58" s="14" t="s">
        <v>66</v>
      </c>
      <c r="L58" s="14" t="s">
        <v>65</v>
      </c>
      <c r="M58" s="14" t="s">
        <v>67</v>
      </c>
      <c r="N58" s="14" t="s">
        <v>68</v>
      </c>
      <c r="O58" s="14" t="s">
        <v>67</v>
      </c>
      <c r="P58" s="14" t="s">
        <v>32</v>
      </c>
      <c r="T58" s="14">
        <f>MATCH(D58,Allocation!A:A,0)</f>
        <v>37</v>
      </c>
    </row>
    <row r="59" spans="1:20" x14ac:dyDescent="0.35">
      <c r="A59" s="14" t="s">
        <v>185</v>
      </c>
      <c r="B59" s="14" t="s">
        <v>32</v>
      </c>
      <c r="C59" s="14" t="s">
        <v>8</v>
      </c>
      <c r="D59" s="14" t="s">
        <v>64</v>
      </c>
      <c r="E59" s="14">
        <v>-839.16</v>
      </c>
      <c r="F59" s="14" t="s">
        <v>187</v>
      </c>
      <c r="G59" s="14" t="s">
        <v>41</v>
      </c>
      <c r="H59" s="14" t="s">
        <v>42</v>
      </c>
      <c r="I59" s="14" t="s">
        <v>41</v>
      </c>
      <c r="J59" s="14" t="s">
        <v>65</v>
      </c>
      <c r="K59" s="14" t="s">
        <v>66</v>
      </c>
      <c r="L59" s="14" t="s">
        <v>65</v>
      </c>
      <c r="M59" s="14" t="s">
        <v>67</v>
      </c>
      <c r="N59" s="14" t="s">
        <v>68</v>
      </c>
      <c r="O59" s="14" t="s">
        <v>67</v>
      </c>
      <c r="P59" s="14" t="s">
        <v>32</v>
      </c>
      <c r="T59" s="14">
        <f>MATCH(D59,Allocation!A:A,0)</f>
        <v>37</v>
      </c>
    </row>
    <row r="60" spans="1:20" x14ac:dyDescent="0.35">
      <c r="A60" s="14" t="s">
        <v>191</v>
      </c>
      <c r="B60" s="14" t="s">
        <v>192</v>
      </c>
      <c r="C60" s="14" t="s">
        <v>9</v>
      </c>
      <c r="D60" s="14" t="s">
        <v>64</v>
      </c>
      <c r="E60" s="14">
        <v>-1958.16</v>
      </c>
      <c r="F60" s="14" t="s">
        <v>187</v>
      </c>
      <c r="G60" s="14" t="s">
        <v>41</v>
      </c>
      <c r="H60" s="14" t="s">
        <v>42</v>
      </c>
      <c r="I60" s="14" t="s">
        <v>41</v>
      </c>
      <c r="J60" s="14" t="s">
        <v>65</v>
      </c>
      <c r="K60" s="14" t="s">
        <v>66</v>
      </c>
      <c r="L60" s="14" t="s">
        <v>65</v>
      </c>
      <c r="M60" s="14" t="s">
        <v>67</v>
      </c>
      <c r="N60" s="14" t="s">
        <v>68</v>
      </c>
      <c r="O60" s="14" t="s">
        <v>67</v>
      </c>
      <c r="P60" s="14" t="s">
        <v>32</v>
      </c>
      <c r="T60" s="14">
        <f>MATCH(D60,Allocation!A:A,0)</f>
        <v>37</v>
      </c>
    </row>
    <row r="61" spans="1:20" x14ac:dyDescent="0.35">
      <c r="A61" s="14" t="s">
        <v>193</v>
      </c>
      <c r="B61" s="14" t="s">
        <v>194</v>
      </c>
      <c r="C61" s="14" t="s">
        <v>10</v>
      </c>
      <c r="D61" s="14" t="s">
        <v>64</v>
      </c>
      <c r="E61" s="14">
        <v>2684.05</v>
      </c>
      <c r="F61" s="14" t="s">
        <v>34</v>
      </c>
      <c r="G61" s="14" t="s">
        <v>41</v>
      </c>
      <c r="H61" s="14" t="s">
        <v>42</v>
      </c>
      <c r="I61" s="14" t="s">
        <v>41</v>
      </c>
      <c r="J61" s="14" t="s">
        <v>65</v>
      </c>
      <c r="K61" s="14" t="s">
        <v>66</v>
      </c>
      <c r="L61" s="14" t="s">
        <v>65</v>
      </c>
      <c r="M61" s="14" t="s">
        <v>67</v>
      </c>
      <c r="N61" s="14" t="s">
        <v>68</v>
      </c>
      <c r="O61" s="14" t="s">
        <v>67</v>
      </c>
      <c r="P61" s="14" t="s">
        <v>32</v>
      </c>
      <c r="T61" s="14">
        <f>MATCH(D61,Allocation!A:A,0)</f>
        <v>37</v>
      </c>
    </row>
    <row r="62" spans="1:20" x14ac:dyDescent="0.35">
      <c r="A62" s="14" t="s">
        <v>195</v>
      </c>
      <c r="B62" s="14" t="s">
        <v>192</v>
      </c>
      <c r="C62" s="14" t="s">
        <v>9</v>
      </c>
      <c r="D62" s="14" t="s">
        <v>64</v>
      </c>
      <c r="E62" s="14">
        <v>-839.16</v>
      </c>
      <c r="F62" s="14" t="s">
        <v>187</v>
      </c>
      <c r="G62" s="14" t="s">
        <v>41</v>
      </c>
      <c r="H62" s="14" t="s">
        <v>42</v>
      </c>
      <c r="I62" s="14" t="s">
        <v>41</v>
      </c>
      <c r="J62" s="14" t="s">
        <v>65</v>
      </c>
      <c r="K62" s="14" t="s">
        <v>66</v>
      </c>
      <c r="L62" s="14" t="s">
        <v>65</v>
      </c>
      <c r="M62" s="14" t="s">
        <v>67</v>
      </c>
      <c r="N62" s="14" t="s">
        <v>68</v>
      </c>
      <c r="O62" s="14" t="s">
        <v>67</v>
      </c>
      <c r="P62" s="14" t="s">
        <v>32</v>
      </c>
      <c r="T62" s="14">
        <f>MATCH(D62,Allocation!A:A,0)</f>
        <v>37</v>
      </c>
    </row>
    <row r="63" spans="1:20" x14ac:dyDescent="0.35">
      <c r="A63" s="14" t="s">
        <v>195</v>
      </c>
      <c r="B63" s="14" t="s">
        <v>32</v>
      </c>
      <c r="C63" s="14" t="s">
        <v>8</v>
      </c>
      <c r="D63" s="14" t="s">
        <v>64</v>
      </c>
      <c r="E63" s="14">
        <v>839.16</v>
      </c>
      <c r="F63" s="14" t="s">
        <v>34</v>
      </c>
      <c r="G63" s="14" t="s">
        <v>41</v>
      </c>
      <c r="H63" s="14" t="s">
        <v>42</v>
      </c>
      <c r="I63" s="14" t="s">
        <v>41</v>
      </c>
      <c r="J63" s="14" t="s">
        <v>65</v>
      </c>
      <c r="K63" s="14" t="s">
        <v>66</v>
      </c>
      <c r="L63" s="14" t="s">
        <v>65</v>
      </c>
      <c r="M63" s="14" t="s">
        <v>67</v>
      </c>
      <c r="N63" s="14" t="s">
        <v>68</v>
      </c>
      <c r="O63" s="14" t="s">
        <v>67</v>
      </c>
      <c r="P63" s="14" t="s">
        <v>32</v>
      </c>
      <c r="T63" s="14">
        <f>MATCH(D63,Allocation!A:A,0)</f>
        <v>37</v>
      </c>
    </row>
    <row r="64" spans="1:20" x14ac:dyDescent="0.35">
      <c r="A64" s="14" t="s">
        <v>31</v>
      </c>
      <c r="B64" s="14" t="s">
        <v>32</v>
      </c>
      <c r="C64" s="14" t="s">
        <v>6</v>
      </c>
      <c r="D64" s="14" t="s">
        <v>69</v>
      </c>
      <c r="E64" s="14">
        <v>241.87</v>
      </c>
      <c r="F64" s="14" t="s">
        <v>34</v>
      </c>
      <c r="G64" s="14" t="s">
        <v>41</v>
      </c>
      <c r="H64" s="15" t="s">
        <v>42</v>
      </c>
      <c r="I64" s="15" t="s">
        <v>41</v>
      </c>
      <c r="J64" s="16" t="s">
        <v>70</v>
      </c>
      <c r="K64" s="14" t="s">
        <v>71</v>
      </c>
      <c r="L64" s="14" t="s">
        <v>70</v>
      </c>
      <c r="M64" s="14" t="s">
        <v>67</v>
      </c>
      <c r="N64" s="17" t="s">
        <v>68</v>
      </c>
      <c r="O64" s="17" t="s">
        <v>67</v>
      </c>
      <c r="P64" s="14" t="s">
        <v>32</v>
      </c>
      <c r="T64" s="14">
        <f>MATCH(D64,Allocation!A:A,0)</f>
        <v>21</v>
      </c>
    </row>
    <row r="65" spans="1:20" x14ac:dyDescent="0.35">
      <c r="A65" s="14" t="s">
        <v>31</v>
      </c>
      <c r="B65" s="14" t="s">
        <v>37</v>
      </c>
      <c r="C65" s="14" t="s">
        <v>6</v>
      </c>
      <c r="D65" s="14" t="s">
        <v>69</v>
      </c>
      <c r="E65" s="14">
        <v>0</v>
      </c>
      <c r="F65" s="14" t="s">
        <v>34</v>
      </c>
      <c r="G65" s="14" t="s">
        <v>41</v>
      </c>
      <c r="H65" s="15" t="s">
        <v>42</v>
      </c>
      <c r="I65" s="15" t="s">
        <v>41</v>
      </c>
      <c r="J65" s="16" t="s">
        <v>70</v>
      </c>
      <c r="K65" s="14" t="s">
        <v>71</v>
      </c>
      <c r="L65" s="14" t="s">
        <v>70</v>
      </c>
      <c r="M65" s="14" t="s">
        <v>67</v>
      </c>
      <c r="N65" s="17" t="s">
        <v>68</v>
      </c>
      <c r="O65" s="17" t="s">
        <v>67</v>
      </c>
      <c r="P65" s="14" t="s">
        <v>32</v>
      </c>
      <c r="T65" s="14">
        <f>MATCH(D65,Allocation!A:A,0)</f>
        <v>21</v>
      </c>
    </row>
    <row r="66" spans="1:20" x14ac:dyDescent="0.35">
      <c r="A66" s="14" t="s">
        <v>185</v>
      </c>
      <c r="B66" s="14" t="s">
        <v>188</v>
      </c>
      <c r="C66" s="14" t="s">
        <v>7</v>
      </c>
      <c r="D66" s="14" t="s">
        <v>69</v>
      </c>
      <c r="E66" s="14">
        <v>-60.3</v>
      </c>
      <c r="F66" s="14" t="s">
        <v>187</v>
      </c>
      <c r="G66" s="14" t="s">
        <v>41</v>
      </c>
      <c r="H66" s="14" t="s">
        <v>42</v>
      </c>
      <c r="I66" s="14" t="s">
        <v>41</v>
      </c>
      <c r="J66" s="14" t="s">
        <v>70</v>
      </c>
      <c r="K66" s="14" t="s">
        <v>71</v>
      </c>
      <c r="L66" s="14" t="s">
        <v>70</v>
      </c>
      <c r="M66" s="14" t="s">
        <v>67</v>
      </c>
      <c r="N66" s="14" t="s">
        <v>68</v>
      </c>
      <c r="O66" s="14" t="s">
        <v>67</v>
      </c>
      <c r="P66" s="14" t="s">
        <v>32</v>
      </c>
      <c r="T66" s="14">
        <f>MATCH(D66,Allocation!A:A,0)</f>
        <v>21</v>
      </c>
    </row>
    <row r="67" spans="1:20" x14ac:dyDescent="0.35">
      <c r="A67" s="14" t="s">
        <v>185</v>
      </c>
      <c r="B67" s="14" t="s">
        <v>32</v>
      </c>
      <c r="C67" s="14" t="s">
        <v>8</v>
      </c>
      <c r="D67" s="14" t="s">
        <v>69</v>
      </c>
      <c r="E67" s="14">
        <v>-790.42</v>
      </c>
      <c r="F67" s="14" t="s">
        <v>187</v>
      </c>
      <c r="G67" s="14" t="s">
        <v>41</v>
      </c>
      <c r="H67" s="14" t="s">
        <v>42</v>
      </c>
      <c r="I67" s="14" t="s">
        <v>41</v>
      </c>
      <c r="J67" s="14" t="s">
        <v>70</v>
      </c>
      <c r="K67" s="14" t="s">
        <v>71</v>
      </c>
      <c r="L67" s="14" t="s">
        <v>70</v>
      </c>
      <c r="M67" s="14" t="s">
        <v>67</v>
      </c>
      <c r="N67" s="14" t="s">
        <v>68</v>
      </c>
      <c r="O67" s="14" t="s">
        <v>67</v>
      </c>
      <c r="P67" s="14" t="s">
        <v>32</v>
      </c>
      <c r="T67" s="14">
        <f>MATCH(D67,Allocation!A:A,0)</f>
        <v>21</v>
      </c>
    </row>
    <row r="68" spans="1:20" x14ac:dyDescent="0.35">
      <c r="A68" s="14" t="s">
        <v>191</v>
      </c>
      <c r="B68" s="14" t="s">
        <v>192</v>
      </c>
      <c r="C68" s="14" t="s">
        <v>9</v>
      </c>
      <c r="D68" s="14" t="s">
        <v>69</v>
      </c>
      <c r="E68" s="14">
        <v>-1752.31</v>
      </c>
      <c r="F68" s="14" t="s">
        <v>187</v>
      </c>
      <c r="G68" s="14" t="s">
        <v>41</v>
      </c>
      <c r="H68" s="14" t="s">
        <v>42</v>
      </c>
      <c r="I68" s="14" t="s">
        <v>41</v>
      </c>
      <c r="J68" s="14" t="s">
        <v>70</v>
      </c>
      <c r="K68" s="14" t="s">
        <v>71</v>
      </c>
      <c r="L68" s="14" t="s">
        <v>70</v>
      </c>
      <c r="M68" s="14" t="s">
        <v>67</v>
      </c>
      <c r="N68" s="14" t="s">
        <v>68</v>
      </c>
      <c r="O68" s="14" t="s">
        <v>67</v>
      </c>
      <c r="P68" s="14" t="s">
        <v>32</v>
      </c>
      <c r="T68" s="14">
        <f>MATCH(D68,Allocation!A:A,0)</f>
        <v>21</v>
      </c>
    </row>
    <row r="69" spans="1:20" x14ac:dyDescent="0.35">
      <c r="A69" s="14" t="s">
        <v>193</v>
      </c>
      <c r="B69" s="14" t="s">
        <v>194</v>
      </c>
      <c r="C69" s="14" t="s">
        <v>10</v>
      </c>
      <c r="D69" s="14" t="s">
        <v>69</v>
      </c>
      <c r="E69" s="14">
        <v>2361.16</v>
      </c>
      <c r="F69" s="14" t="s">
        <v>34</v>
      </c>
      <c r="G69" s="14" t="s">
        <v>41</v>
      </c>
      <c r="H69" s="14" t="s">
        <v>42</v>
      </c>
      <c r="I69" s="14" t="s">
        <v>41</v>
      </c>
      <c r="J69" s="14" t="s">
        <v>70</v>
      </c>
      <c r="K69" s="14" t="s">
        <v>71</v>
      </c>
      <c r="L69" s="14" t="s">
        <v>70</v>
      </c>
      <c r="M69" s="14" t="s">
        <v>67</v>
      </c>
      <c r="N69" s="14" t="s">
        <v>68</v>
      </c>
      <c r="O69" s="14" t="s">
        <v>67</v>
      </c>
      <c r="P69" s="14" t="s">
        <v>32</v>
      </c>
      <c r="T69" s="14">
        <f>MATCH(D69,Allocation!A:A,0)</f>
        <v>21</v>
      </c>
    </row>
    <row r="70" spans="1:20" x14ac:dyDescent="0.35">
      <c r="A70" s="14" t="s">
        <v>195</v>
      </c>
      <c r="B70" s="14" t="s">
        <v>192</v>
      </c>
      <c r="C70" s="14" t="s">
        <v>9</v>
      </c>
      <c r="D70" s="14" t="s">
        <v>69</v>
      </c>
      <c r="E70" s="14">
        <v>-790.42</v>
      </c>
      <c r="F70" s="14" t="s">
        <v>187</v>
      </c>
      <c r="G70" s="14" t="s">
        <v>41</v>
      </c>
      <c r="H70" s="14" t="s">
        <v>42</v>
      </c>
      <c r="I70" s="14" t="s">
        <v>41</v>
      </c>
      <c r="J70" s="14" t="s">
        <v>70</v>
      </c>
      <c r="K70" s="14" t="s">
        <v>71</v>
      </c>
      <c r="L70" s="14" t="s">
        <v>70</v>
      </c>
      <c r="M70" s="14" t="s">
        <v>67</v>
      </c>
      <c r="N70" s="14" t="s">
        <v>68</v>
      </c>
      <c r="O70" s="14" t="s">
        <v>67</v>
      </c>
      <c r="P70" s="14" t="s">
        <v>32</v>
      </c>
      <c r="T70" s="14">
        <f>MATCH(D70,Allocation!A:A,0)</f>
        <v>21</v>
      </c>
    </row>
    <row r="71" spans="1:20" x14ac:dyDescent="0.35">
      <c r="A71" s="14" t="s">
        <v>195</v>
      </c>
      <c r="B71" s="14" t="s">
        <v>32</v>
      </c>
      <c r="C71" s="14" t="s">
        <v>8</v>
      </c>
      <c r="D71" s="14" t="s">
        <v>69</v>
      </c>
      <c r="E71" s="14">
        <v>790.42</v>
      </c>
      <c r="F71" s="14" t="s">
        <v>34</v>
      </c>
      <c r="G71" s="14" t="s">
        <v>41</v>
      </c>
      <c r="H71" s="14" t="s">
        <v>42</v>
      </c>
      <c r="I71" s="14" t="s">
        <v>41</v>
      </c>
      <c r="J71" s="14" t="s">
        <v>70</v>
      </c>
      <c r="K71" s="14" t="s">
        <v>71</v>
      </c>
      <c r="L71" s="14" t="s">
        <v>70</v>
      </c>
      <c r="M71" s="14" t="s">
        <v>67</v>
      </c>
      <c r="N71" s="14" t="s">
        <v>68</v>
      </c>
      <c r="O71" s="14" t="s">
        <v>67</v>
      </c>
      <c r="P71" s="14" t="s">
        <v>32</v>
      </c>
      <c r="T71" s="14">
        <f>MATCH(D71,Allocation!A:A,0)</f>
        <v>21</v>
      </c>
    </row>
    <row r="72" spans="1:20" x14ac:dyDescent="0.35">
      <c r="A72" s="14" t="s">
        <v>31</v>
      </c>
      <c r="B72" s="14" t="s">
        <v>32</v>
      </c>
      <c r="C72" s="14" t="s">
        <v>6</v>
      </c>
      <c r="D72" s="14" t="s">
        <v>72</v>
      </c>
      <c r="E72" s="14">
        <v>91.74</v>
      </c>
      <c r="F72" s="14" t="s">
        <v>34</v>
      </c>
      <c r="G72" s="14" t="s">
        <v>41</v>
      </c>
      <c r="H72" s="15" t="s">
        <v>42</v>
      </c>
      <c r="I72" s="15" t="s">
        <v>41</v>
      </c>
      <c r="J72" s="16" t="s">
        <v>73</v>
      </c>
      <c r="K72" s="14" t="s">
        <v>74</v>
      </c>
      <c r="L72" s="14" t="s">
        <v>73</v>
      </c>
      <c r="M72" s="14" t="s">
        <v>47</v>
      </c>
      <c r="N72" s="17" t="s">
        <v>48</v>
      </c>
      <c r="O72" s="17" t="s">
        <v>47</v>
      </c>
      <c r="P72" s="14" t="s">
        <v>32</v>
      </c>
      <c r="T72" s="14">
        <f>MATCH(D72,Allocation!A:A,0)</f>
        <v>25</v>
      </c>
    </row>
    <row r="73" spans="1:20" x14ac:dyDescent="0.35">
      <c r="A73" s="14" t="s">
        <v>31</v>
      </c>
      <c r="B73" s="14" t="s">
        <v>37</v>
      </c>
      <c r="C73" s="14" t="s">
        <v>6</v>
      </c>
      <c r="D73" s="14" t="s">
        <v>72</v>
      </c>
      <c r="E73" s="14">
        <v>0</v>
      </c>
      <c r="F73" s="14" t="s">
        <v>34</v>
      </c>
      <c r="G73" s="14" t="s">
        <v>41</v>
      </c>
      <c r="H73" s="15" t="s">
        <v>42</v>
      </c>
      <c r="I73" s="15" t="s">
        <v>41</v>
      </c>
      <c r="J73" s="16" t="s">
        <v>73</v>
      </c>
      <c r="K73" s="14" t="s">
        <v>74</v>
      </c>
      <c r="L73" s="14" t="s">
        <v>73</v>
      </c>
      <c r="M73" s="14" t="s">
        <v>47</v>
      </c>
      <c r="N73" s="17" t="s">
        <v>48</v>
      </c>
      <c r="O73" s="17" t="s">
        <v>47</v>
      </c>
      <c r="P73" s="14" t="s">
        <v>32</v>
      </c>
      <c r="T73" s="14">
        <f>MATCH(D73,Allocation!A:A,0)</f>
        <v>25</v>
      </c>
    </row>
    <row r="74" spans="1:20" x14ac:dyDescent="0.35">
      <c r="A74" s="14" t="s">
        <v>185</v>
      </c>
      <c r="B74" s="14" t="s">
        <v>32</v>
      </c>
      <c r="C74" s="14" t="s">
        <v>8</v>
      </c>
      <c r="D74" s="14" t="s">
        <v>72</v>
      </c>
      <c r="E74" s="14">
        <v>-200.97</v>
      </c>
      <c r="F74" s="14" t="s">
        <v>187</v>
      </c>
      <c r="G74" s="14" t="s">
        <v>41</v>
      </c>
      <c r="H74" s="14" t="s">
        <v>42</v>
      </c>
      <c r="I74" s="14" t="s">
        <v>41</v>
      </c>
      <c r="J74" s="14" t="s">
        <v>73</v>
      </c>
      <c r="K74" s="14" t="s">
        <v>74</v>
      </c>
      <c r="L74" s="14" t="s">
        <v>73</v>
      </c>
      <c r="M74" s="14" t="s">
        <v>47</v>
      </c>
      <c r="N74" s="14" t="s">
        <v>48</v>
      </c>
      <c r="O74" s="14" t="s">
        <v>47</v>
      </c>
      <c r="P74" s="14" t="s">
        <v>32</v>
      </c>
      <c r="T74" s="14">
        <f>MATCH(D74,Allocation!A:A,0)</f>
        <v>25</v>
      </c>
    </row>
    <row r="75" spans="1:20" x14ac:dyDescent="0.35">
      <c r="A75" s="14" t="s">
        <v>191</v>
      </c>
      <c r="B75" s="14" t="s">
        <v>192</v>
      </c>
      <c r="C75" s="14" t="s">
        <v>9</v>
      </c>
      <c r="D75" s="14" t="s">
        <v>72</v>
      </c>
      <c r="E75" s="14">
        <v>-768.6</v>
      </c>
      <c r="F75" s="14" t="s">
        <v>187</v>
      </c>
      <c r="G75" s="14" t="s">
        <v>41</v>
      </c>
      <c r="H75" s="14" t="s">
        <v>42</v>
      </c>
      <c r="I75" s="14" t="s">
        <v>41</v>
      </c>
      <c r="J75" s="14" t="s">
        <v>73</v>
      </c>
      <c r="K75" s="14" t="s">
        <v>74</v>
      </c>
      <c r="L75" s="14" t="s">
        <v>73</v>
      </c>
      <c r="M75" s="14" t="s">
        <v>47</v>
      </c>
      <c r="N75" s="14" t="s">
        <v>48</v>
      </c>
      <c r="O75" s="14" t="s">
        <v>47</v>
      </c>
      <c r="P75" s="14" t="s">
        <v>32</v>
      </c>
      <c r="T75" s="14">
        <f>MATCH(D75,Allocation!A:A,0)</f>
        <v>25</v>
      </c>
    </row>
    <row r="76" spans="1:20" x14ac:dyDescent="0.35">
      <c r="A76" s="14" t="s">
        <v>193</v>
      </c>
      <c r="B76" s="14" t="s">
        <v>194</v>
      </c>
      <c r="C76" s="14" t="s">
        <v>10</v>
      </c>
      <c r="D76" s="14" t="s">
        <v>72</v>
      </c>
      <c r="E76" s="14">
        <v>877.83</v>
      </c>
      <c r="F76" s="14" t="s">
        <v>34</v>
      </c>
      <c r="G76" s="14" t="s">
        <v>41</v>
      </c>
      <c r="H76" s="14" t="s">
        <v>42</v>
      </c>
      <c r="I76" s="14" t="s">
        <v>41</v>
      </c>
      <c r="J76" s="14" t="s">
        <v>73</v>
      </c>
      <c r="K76" s="14" t="s">
        <v>74</v>
      </c>
      <c r="L76" s="14" t="s">
        <v>73</v>
      </c>
      <c r="M76" s="14" t="s">
        <v>47</v>
      </c>
      <c r="N76" s="14" t="s">
        <v>48</v>
      </c>
      <c r="O76" s="14" t="s">
        <v>47</v>
      </c>
      <c r="P76" s="14" t="s">
        <v>32</v>
      </c>
      <c r="T76" s="14">
        <f>MATCH(D76,Allocation!A:A,0)</f>
        <v>25</v>
      </c>
    </row>
    <row r="77" spans="1:20" x14ac:dyDescent="0.35">
      <c r="A77" s="14" t="s">
        <v>195</v>
      </c>
      <c r="B77" s="14" t="s">
        <v>192</v>
      </c>
      <c r="C77" s="14" t="s">
        <v>9</v>
      </c>
      <c r="D77" s="14" t="s">
        <v>72</v>
      </c>
      <c r="E77" s="14">
        <v>-200.97</v>
      </c>
      <c r="F77" s="14" t="s">
        <v>187</v>
      </c>
      <c r="G77" s="14" t="s">
        <v>41</v>
      </c>
      <c r="H77" s="14" t="s">
        <v>42</v>
      </c>
      <c r="I77" s="14" t="s">
        <v>41</v>
      </c>
      <c r="J77" s="14" t="s">
        <v>73</v>
      </c>
      <c r="K77" s="14" t="s">
        <v>74</v>
      </c>
      <c r="L77" s="14" t="s">
        <v>73</v>
      </c>
      <c r="M77" s="14" t="s">
        <v>47</v>
      </c>
      <c r="N77" s="14" t="s">
        <v>48</v>
      </c>
      <c r="O77" s="14" t="s">
        <v>47</v>
      </c>
      <c r="P77" s="14" t="s">
        <v>32</v>
      </c>
      <c r="T77" s="14">
        <f>MATCH(D77,Allocation!A:A,0)</f>
        <v>25</v>
      </c>
    </row>
    <row r="78" spans="1:20" x14ac:dyDescent="0.35">
      <c r="A78" s="14" t="s">
        <v>195</v>
      </c>
      <c r="B78" s="14" t="s">
        <v>32</v>
      </c>
      <c r="C78" s="14" t="s">
        <v>8</v>
      </c>
      <c r="D78" s="14" t="s">
        <v>72</v>
      </c>
      <c r="E78" s="14">
        <v>200.97</v>
      </c>
      <c r="F78" s="14" t="s">
        <v>34</v>
      </c>
      <c r="G78" s="14" t="s">
        <v>41</v>
      </c>
      <c r="H78" s="14" t="s">
        <v>42</v>
      </c>
      <c r="I78" s="14" t="s">
        <v>41</v>
      </c>
      <c r="J78" s="14" t="s">
        <v>73</v>
      </c>
      <c r="K78" s="14" t="s">
        <v>74</v>
      </c>
      <c r="L78" s="14" t="s">
        <v>73</v>
      </c>
      <c r="M78" s="14" t="s">
        <v>47</v>
      </c>
      <c r="N78" s="14" t="s">
        <v>48</v>
      </c>
      <c r="O78" s="14" t="s">
        <v>47</v>
      </c>
      <c r="P78" s="14" t="s">
        <v>32</v>
      </c>
      <c r="T78" s="14">
        <f>MATCH(D78,Allocation!A:A,0)</f>
        <v>25</v>
      </c>
    </row>
    <row r="79" spans="1:20" x14ac:dyDescent="0.35">
      <c r="A79" s="14" t="s">
        <v>31</v>
      </c>
      <c r="B79" s="14" t="s">
        <v>32</v>
      </c>
      <c r="C79" s="14" t="s">
        <v>6</v>
      </c>
      <c r="D79" s="14" t="s">
        <v>75</v>
      </c>
      <c r="E79" s="14">
        <v>238.17</v>
      </c>
      <c r="F79" s="14" t="s">
        <v>34</v>
      </c>
      <c r="G79" s="14" t="s">
        <v>41</v>
      </c>
      <c r="H79" s="15" t="s">
        <v>42</v>
      </c>
      <c r="I79" s="15" t="s">
        <v>41</v>
      </c>
      <c r="J79" s="16" t="s">
        <v>76</v>
      </c>
      <c r="K79" s="14" t="s">
        <v>77</v>
      </c>
      <c r="L79" s="14" t="s">
        <v>76</v>
      </c>
      <c r="M79" s="14" t="s">
        <v>67</v>
      </c>
      <c r="N79" s="17" t="s">
        <v>68</v>
      </c>
      <c r="O79" s="17" t="s">
        <v>67</v>
      </c>
      <c r="P79" s="14" t="s">
        <v>32</v>
      </c>
      <c r="T79" s="14">
        <f>MATCH(D79,Allocation!A:A,0)</f>
        <v>19</v>
      </c>
    </row>
    <row r="80" spans="1:20" x14ac:dyDescent="0.35">
      <c r="A80" s="14" t="s">
        <v>31</v>
      </c>
      <c r="B80" s="14" t="s">
        <v>37</v>
      </c>
      <c r="C80" s="14" t="s">
        <v>6</v>
      </c>
      <c r="D80" s="14" t="s">
        <v>75</v>
      </c>
      <c r="E80" s="14">
        <v>0</v>
      </c>
      <c r="F80" s="14" t="s">
        <v>34</v>
      </c>
      <c r="G80" s="14" t="s">
        <v>41</v>
      </c>
      <c r="H80" s="15" t="s">
        <v>42</v>
      </c>
      <c r="I80" s="15" t="s">
        <v>41</v>
      </c>
      <c r="J80" s="16" t="s">
        <v>76</v>
      </c>
      <c r="K80" s="14" t="s">
        <v>77</v>
      </c>
      <c r="L80" s="14" t="s">
        <v>76</v>
      </c>
      <c r="M80" s="14" t="s">
        <v>67</v>
      </c>
      <c r="N80" s="17" t="s">
        <v>68</v>
      </c>
      <c r="O80" s="17" t="s">
        <v>67</v>
      </c>
      <c r="P80" s="14" t="s">
        <v>32</v>
      </c>
      <c r="T80" s="14">
        <f>MATCH(D80,Allocation!A:A,0)</f>
        <v>19</v>
      </c>
    </row>
    <row r="81" spans="1:20" x14ac:dyDescent="0.35">
      <c r="A81" s="14" t="s">
        <v>185</v>
      </c>
      <c r="B81" s="14" t="s">
        <v>32</v>
      </c>
      <c r="C81" s="14" t="s">
        <v>8</v>
      </c>
      <c r="D81" s="14" t="s">
        <v>75</v>
      </c>
      <c r="E81" s="14">
        <v>-813.65</v>
      </c>
      <c r="F81" s="14" t="s">
        <v>187</v>
      </c>
      <c r="G81" s="14" t="s">
        <v>41</v>
      </c>
      <c r="H81" s="14" t="s">
        <v>42</v>
      </c>
      <c r="I81" s="14" t="s">
        <v>41</v>
      </c>
      <c r="J81" s="14" t="s">
        <v>76</v>
      </c>
      <c r="K81" s="14" t="s">
        <v>77</v>
      </c>
      <c r="L81" s="14" t="s">
        <v>76</v>
      </c>
      <c r="M81" s="14" t="s">
        <v>67</v>
      </c>
      <c r="N81" s="14" t="s">
        <v>68</v>
      </c>
      <c r="O81" s="14" t="s">
        <v>67</v>
      </c>
      <c r="P81" s="14" t="s">
        <v>32</v>
      </c>
      <c r="T81" s="14">
        <f>MATCH(D81,Allocation!A:A,0)</f>
        <v>19</v>
      </c>
    </row>
    <row r="82" spans="1:20" x14ac:dyDescent="0.35">
      <c r="A82" s="14" t="s">
        <v>191</v>
      </c>
      <c r="B82" s="14" t="s">
        <v>192</v>
      </c>
      <c r="C82" s="14" t="s">
        <v>9</v>
      </c>
      <c r="D82" s="14" t="s">
        <v>75</v>
      </c>
      <c r="E82" s="14">
        <v>-1703.73</v>
      </c>
      <c r="F82" s="14" t="s">
        <v>187</v>
      </c>
      <c r="G82" s="14" t="s">
        <v>41</v>
      </c>
      <c r="H82" s="14" t="s">
        <v>42</v>
      </c>
      <c r="I82" s="14" t="s">
        <v>41</v>
      </c>
      <c r="J82" s="14" t="s">
        <v>76</v>
      </c>
      <c r="K82" s="14" t="s">
        <v>77</v>
      </c>
      <c r="L82" s="14" t="s">
        <v>76</v>
      </c>
      <c r="M82" s="14" t="s">
        <v>67</v>
      </c>
      <c r="N82" s="14" t="s">
        <v>68</v>
      </c>
      <c r="O82" s="14" t="s">
        <v>67</v>
      </c>
      <c r="P82" s="14" t="s">
        <v>32</v>
      </c>
      <c r="T82" s="14">
        <f>MATCH(D82,Allocation!A:A,0)</f>
        <v>19</v>
      </c>
    </row>
    <row r="83" spans="1:20" x14ac:dyDescent="0.35">
      <c r="A83" s="14" t="s">
        <v>193</v>
      </c>
      <c r="B83" s="14" t="s">
        <v>194</v>
      </c>
      <c r="C83" s="14" t="s">
        <v>10</v>
      </c>
      <c r="D83" s="14" t="s">
        <v>75</v>
      </c>
      <c r="E83" s="14">
        <v>2279.21</v>
      </c>
      <c r="F83" s="14" t="s">
        <v>34</v>
      </c>
      <c r="G83" s="14" t="s">
        <v>41</v>
      </c>
      <c r="H83" s="14" t="s">
        <v>42</v>
      </c>
      <c r="I83" s="14" t="s">
        <v>41</v>
      </c>
      <c r="J83" s="14" t="s">
        <v>76</v>
      </c>
      <c r="K83" s="14" t="s">
        <v>77</v>
      </c>
      <c r="L83" s="14" t="s">
        <v>76</v>
      </c>
      <c r="M83" s="14" t="s">
        <v>67</v>
      </c>
      <c r="N83" s="14" t="s">
        <v>68</v>
      </c>
      <c r="O83" s="14" t="s">
        <v>67</v>
      </c>
      <c r="P83" s="14" t="s">
        <v>32</v>
      </c>
      <c r="T83" s="14">
        <f>MATCH(D83,Allocation!A:A,0)</f>
        <v>19</v>
      </c>
    </row>
    <row r="84" spans="1:20" x14ac:dyDescent="0.35">
      <c r="A84" s="14" t="s">
        <v>195</v>
      </c>
      <c r="B84" s="14" t="s">
        <v>192</v>
      </c>
      <c r="C84" s="14" t="s">
        <v>9</v>
      </c>
      <c r="D84" s="14" t="s">
        <v>75</v>
      </c>
      <c r="E84" s="14">
        <v>-813.65</v>
      </c>
      <c r="F84" s="14" t="s">
        <v>187</v>
      </c>
      <c r="G84" s="14" t="s">
        <v>41</v>
      </c>
      <c r="H84" s="14" t="s">
        <v>42</v>
      </c>
      <c r="I84" s="14" t="s">
        <v>41</v>
      </c>
      <c r="J84" s="14" t="s">
        <v>76</v>
      </c>
      <c r="K84" s="14" t="s">
        <v>77</v>
      </c>
      <c r="L84" s="14" t="s">
        <v>76</v>
      </c>
      <c r="M84" s="14" t="s">
        <v>67</v>
      </c>
      <c r="N84" s="14" t="s">
        <v>68</v>
      </c>
      <c r="O84" s="14" t="s">
        <v>67</v>
      </c>
      <c r="P84" s="14" t="s">
        <v>32</v>
      </c>
      <c r="T84" s="14">
        <f>MATCH(D84,Allocation!A:A,0)</f>
        <v>19</v>
      </c>
    </row>
    <row r="85" spans="1:20" x14ac:dyDescent="0.35">
      <c r="A85" s="14" t="s">
        <v>195</v>
      </c>
      <c r="B85" s="14" t="s">
        <v>32</v>
      </c>
      <c r="C85" s="14" t="s">
        <v>8</v>
      </c>
      <c r="D85" s="14" t="s">
        <v>75</v>
      </c>
      <c r="E85" s="14">
        <v>813.65</v>
      </c>
      <c r="F85" s="14" t="s">
        <v>34</v>
      </c>
      <c r="G85" s="14" t="s">
        <v>41</v>
      </c>
      <c r="H85" s="14" t="s">
        <v>42</v>
      </c>
      <c r="I85" s="14" t="s">
        <v>41</v>
      </c>
      <c r="J85" s="14" t="s">
        <v>76</v>
      </c>
      <c r="K85" s="14" t="s">
        <v>77</v>
      </c>
      <c r="L85" s="14" t="s">
        <v>76</v>
      </c>
      <c r="M85" s="14" t="s">
        <v>67</v>
      </c>
      <c r="N85" s="14" t="s">
        <v>68</v>
      </c>
      <c r="O85" s="14" t="s">
        <v>67</v>
      </c>
      <c r="P85" s="14" t="s">
        <v>32</v>
      </c>
      <c r="T85" s="14">
        <f>MATCH(D85,Allocation!A:A,0)</f>
        <v>19</v>
      </c>
    </row>
    <row r="86" spans="1:20" x14ac:dyDescent="0.35">
      <c r="A86" s="14" t="s">
        <v>31</v>
      </c>
      <c r="B86" s="14" t="s">
        <v>32</v>
      </c>
      <c r="C86" s="14" t="s">
        <v>6</v>
      </c>
      <c r="D86" s="14" t="s">
        <v>78</v>
      </c>
      <c r="E86" s="14">
        <v>154.77000000000001</v>
      </c>
      <c r="F86" s="14" t="s">
        <v>34</v>
      </c>
      <c r="G86" s="14" t="s">
        <v>41</v>
      </c>
      <c r="H86" s="15" t="s">
        <v>42</v>
      </c>
      <c r="I86" s="15" t="s">
        <v>41</v>
      </c>
      <c r="J86" s="16" t="s">
        <v>79</v>
      </c>
      <c r="K86" s="14" t="s">
        <v>80</v>
      </c>
      <c r="L86" s="14" t="s">
        <v>79</v>
      </c>
      <c r="M86" s="14" t="s">
        <v>47</v>
      </c>
      <c r="N86" s="17" t="s">
        <v>48</v>
      </c>
      <c r="O86" s="17" t="s">
        <v>47</v>
      </c>
      <c r="P86" s="14" t="s">
        <v>32</v>
      </c>
      <c r="T86" s="14">
        <f>MATCH(D86,Allocation!A:A,0)</f>
        <v>38</v>
      </c>
    </row>
    <row r="87" spans="1:20" x14ac:dyDescent="0.35">
      <c r="A87" s="14" t="s">
        <v>31</v>
      </c>
      <c r="B87" s="14" t="s">
        <v>37</v>
      </c>
      <c r="C87" s="14" t="s">
        <v>6</v>
      </c>
      <c r="D87" s="14" t="s">
        <v>78</v>
      </c>
      <c r="E87" s="14">
        <v>0</v>
      </c>
      <c r="F87" s="14" t="s">
        <v>34</v>
      </c>
      <c r="G87" s="14" t="s">
        <v>41</v>
      </c>
      <c r="H87" s="15" t="s">
        <v>42</v>
      </c>
      <c r="I87" s="15" t="s">
        <v>41</v>
      </c>
      <c r="J87" s="16" t="s">
        <v>79</v>
      </c>
      <c r="K87" s="14" t="s">
        <v>80</v>
      </c>
      <c r="L87" s="14" t="s">
        <v>79</v>
      </c>
      <c r="M87" s="14" t="s">
        <v>47</v>
      </c>
      <c r="N87" s="17" t="s">
        <v>48</v>
      </c>
      <c r="O87" s="17" t="s">
        <v>47</v>
      </c>
      <c r="P87" s="14" t="s">
        <v>32</v>
      </c>
      <c r="T87" s="14">
        <f>MATCH(D87,Allocation!A:A,0)</f>
        <v>38</v>
      </c>
    </row>
    <row r="88" spans="1:20" x14ac:dyDescent="0.35">
      <c r="A88" s="14" t="s">
        <v>185</v>
      </c>
      <c r="B88" s="14" t="s">
        <v>32</v>
      </c>
      <c r="C88" s="14" t="s">
        <v>7</v>
      </c>
      <c r="D88" s="14" t="s">
        <v>78</v>
      </c>
      <c r="E88" s="14">
        <v>-170.24</v>
      </c>
      <c r="F88" s="14" t="s">
        <v>187</v>
      </c>
      <c r="G88" s="14" t="s">
        <v>41</v>
      </c>
      <c r="H88" s="14" t="s">
        <v>42</v>
      </c>
      <c r="I88" s="14" t="s">
        <v>41</v>
      </c>
      <c r="J88" s="14" t="s">
        <v>79</v>
      </c>
      <c r="K88" s="14" t="s">
        <v>80</v>
      </c>
      <c r="L88" s="14" t="s">
        <v>79</v>
      </c>
      <c r="M88" s="14" t="s">
        <v>47</v>
      </c>
      <c r="N88" s="14" t="s">
        <v>48</v>
      </c>
      <c r="O88" s="14" t="s">
        <v>47</v>
      </c>
      <c r="P88" s="14" t="s">
        <v>32</v>
      </c>
      <c r="T88" s="14">
        <f>MATCH(D88,Allocation!A:A,0)</f>
        <v>38</v>
      </c>
    </row>
    <row r="89" spans="1:20" x14ac:dyDescent="0.35">
      <c r="A89" s="14" t="s">
        <v>185</v>
      </c>
      <c r="B89" s="14" t="s">
        <v>32</v>
      </c>
      <c r="C89" s="14" t="s">
        <v>8</v>
      </c>
      <c r="D89" s="14" t="s">
        <v>78</v>
      </c>
      <c r="E89" s="14">
        <v>-433.43</v>
      </c>
      <c r="F89" s="14" t="s">
        <v>187</v>
      </c>
      <c r="G89" s="14" t="s">
        <v>41</v>
      </c>
      <c r="H89" s="14" t="s">
        <v>42</v>
      </c>
      <c r="I89" s="14" t="s">
        <v>41</v>
      </c>
      <c r="J89" s="14" t="s">
        <v>79</v>
      </c>
      <c r="K89" s="14" t="s">
        <v>80</v>
      </c>
      <c r="L89" s="14" t="s">
        <v>79</v>
      </c>
      <c r="M89" s="14" t="s">
        <v>47</v>
      </c>
      <c r="N89" s="14" t="s">
        <v>48</v>
      </c>
      <c r="O89" s="14" t="s">
        <v>47</v>
      </c>
      <c r="P89" s="14" t="s">
        <v>32</v>
      </c>
      <c r="T89" s="14">
        <f>MATCH(D89,Allocation!A:A,0)</f>
        <v>38</v>
      </c>
    </row>
    <row r="90" spans="1:20" x14ac:dyDescent="0.35">
      <c r="A90" s="14" t="s">
        <v>191</v>
      </c>
      <c r="B90" s="14" t="s">
        <v>192</v>
      </c>
      <c r="C90" s="14" t="s">
        <v>9</v>
      </c>
      <c r="D90" s="14" t="s">
        <v>78</v>
      </c>
      <c r="E90" s="14">
        <v>-1124.02</v>
      </c>
      <c r="F90" s="14" t="s">
        <v>187</v>
      </c>
      <c r="G90" s="14" t="s">
        <v>41</v>
      </c>
      <c r="H90" s="14" t="s">
        <v>42</v>
      </c>
      <c r="I90" s="14" t="s">
        <v>41</v>
      </c>
      <c r="J90" s="14" t="s">
        <v>79</v>
      </c>
      <c r="K90" s="14" t="s">
        <v>80</v>
      </c>
      <c r="L90" s="14" t="s">
        <v>79</v>
      </c>
      <c r="M90" s="14" t="s">
        <v>47</v>
      </c>
      <c r="N90" s="14" t="s">
        <v>48</v>
      </c>
      <c r="O90" s="14" t="s">
        <v>47</v>
      </c>
      <c r="P90" s="14" t="s">
        <v>32</v>
      </c>
      <c r="T90" s="14">
        <f>MATCH(D90,Allocation!A:A,0)</f>
        <v>38</v>
      </c>
    </row>
    <row r="91" spans="1:20" x14ac:dyDescent="0.35">
      <c r="A91" s="14" t="s">
        <v>193</v>
      </c>
      <c r="B91" s="14" t="s">
        <v>194</v>
      </c>
      <c r="C91" s="14" t="s">
        <v>10</v>
      </c>
      <c r="D91" s="14" t="s">
        <v>78</v>
      </c>
      <c r="E91" s="14">
        <v>1572.92</v>
      </c>
      <c r="F91" s="14" t="s">
        <v>34</v>
      </c>
      <c r="G91" s="14" t="s">
        <v>41</v>
      </c>
      <c r="H91" s="14" t="s">
        <v>42</v>
      </c>
      <c r="I91" s="14" t="s">
        <v>41</v>
      </c>
      <c r="J91" s="14" t="s">
        <v>79</v>
      </c>
      <c r="K91" s="14" t="s">
        <v>80</v>
      </c>
      <c r="L91" s="14" t="s">
        <v>79</v>
      </c>
      <c r="M91" s="14" t="s">
        <v>47</v>
      </c>
      <c r="N91" s="14" t="s">
        <v>48</v>
      </c>
      <c r="O91" s="14" t="s">
        <v>47</v>
      </c>
      <c r="P91" s="14" t="s">
        <v>32</v>
      </c>
      <c r="T91" s="14">
        <f>MATCH(D91,Allocation!A:A,0)</f>
        <v>38</v>
      </c>
    </row>
    <row r="92" spans="1:20" x14ac:dyDescent="0.35">
      <c r="A92" s="14" t="s">
        <v>195</v>
      </c>
      <c r="B92" s="14" t="s">
        <v>192</v>
      </c>
      <c r="C92" s="14" t="s">
        <v>9</v>
      </c>
      <c r="D92" s="14" t="s">
        <v>78</v>
      </c>
      <c r="E92" s="14">
        <v>-433.43</v>
      </c>
      <c r="F92" s="14" t="s">
        <v>187</v>
      </c>
      <c r="G92" s="14" t="s">
        <v>41</v>
      </c>
      <c r="H92" s="14" t="s">
        <v>42</v>
      </c>
      <c r="I92" s="14" t="s">
        <v>41</v>
      </c>
      <c r="J92" s="14" t="s">
        <v>79</v>
      </c>
      <c r="K92" s="14" t="s">
        <v>80</v>
      </c>
      <c r="L92" s="14" t="s">
        <v>79</v>
      </c>
      <c r="M92" s="14" t="s">
        <v>47</v>
      </c>
      <c r="N92" s="14" t="s">
        <v>48</v>
      </c>
      <c r="O92" s="14" t="s">
        <v>47</v>
      </c>
      <c r="P92" s="14" t="s">
        <v>32</v>
      </c>
      <c r="T92" s="14">
        <f>MATCH(D92,Allocation!A:A,0)</f>
        <v>38</v>
      </c>
    </row>
    <row r="93" spans="1:20" x14ac:dyDescent="0.35">
      <c r="A93" s="14" t="s">
        <v>195</v>
      </c>
      <c r="B93" s="14" t="s">
        <v>32</v>
      </c>
      <c r="C93" s="14" t="s">
        <v>8</v>
      </c>
      <c r="D93" s="14" t="s">
        <v>78</v>
      </c>
      <c r="E93" s="14">
        <v>433.43</v>
      </c>
      <c r="F93" s="14" t="s">
        <v>34</v>
      </c>
      <c r="G93" s="14" t="s">
        <v>41</v>
      </c>
      <c r="H93" s="14" t="s">
        <v>42</v>
      </c>
      <c r="I93" s="14" t="s">
        <v>41</v>
      </c>
      <c r="J93" s="14" t="s">
        <v>79</v>
      </c>
      <c r="K93" s="14" t="s">
        <v>80</v>
      </c>
      <c r="L93" s="14" t="s">
        <v>79</v>
      </c>
      <c r="M93" s="14" t="s">
        <v>47</v>
      </c>
      <c r="N93" s="14" t="s">
        <v>48</v>
      </c>
      <c r="O93" s="14" t="s">
        <v>47</v>
      </c>
      <c r="P93" s="14" t="s">
        <v>32</v>
      </c>
      <c r="T93" s="14">
        <f>MATCH(D93,Allocation!A:A,0)</f>
        <v>38</v>
      </c>
    </row>
    <row r="94" spans="1:20" x14ac:dyDescent="0.35">
      <c r="A94" s="14" t="s">
        <v>31</v>
      </c>
      <c r="B94" s="14" t="s">
        <v>32</v>
      </c>
      <c r="C94" s="14" t="s">
        <v>6</v>
      </c>
      <c r="D94" s="14" t="s">
        <v>81</v>
      </c>
      <c r="E94" s="14">
        <v>51.73</v>
      </c>
      <c r="F94" s="14" t="s">
        <v>34</v>
      </c>
      <c r="G94" s="14" t="s">
        <v>81</v>
      </c>
      <c r="H94" s="14" t="s">
        <v>82</v>
      </c>
      <c r="I94" s="14" t="s">
        <v>81</v>
      </c>
      <c r="J94" s="14" t="s">
        <v>83</v>
      </c>
      <c r="K94" s="14" t="s">
        <v>84</v>
      </c>
      <c r="L94" s="14" t="s">
        <v>32</v>
      </c>
      <c r="M94" s="14" t="s">
        <v>32</v>
      </c>
      <c r="N94" s="14" t="s">
        <v>32</v>
      </c>
      <c r="O94" s="14" t="s">
        <v>32</v>
      </c>
      <c r="P94" s="14" t="s">
        <v>32</v>
      </c>
      <c r="S94" s="14" t="s">
        <v>85</v>
      </c>
      <c r="T94" s="14">
        <f>MATCH(D94,Allocation!A:A,0)</f>
        <v>8</v>
      </c>
    </row>
    <row r="95" spans="1:20" x14ac:dyDescent="0.35">
      <c r="A95" s="14" t="s">
        <v>31</v>
      </c>
      <c r="B95" s="14" t="s">
        <v>37</v>
      </c>
      <c r="C95" s="14" t="s">
        <v>6</v>
      </c>
      <c r="D95" s="14" t="s">
        <v>81</v>
      </c>
      <c r="E95" s="14">
        <v>0</v>
      </c>
      <c r="F95" s="14" t="s">
        <v>34</v>
      </c>
      <c r="G95" s="14" t="s">
        <v>81</v>
      </c>
      <c r="H95" s="14" t="s">
        <v>82</v>
      </c>
      <c r="I95" s="14" t="s">
        <v>81</v>
      </c>
      <c r="J95" s="14" t="s">
        <v>83</v>
      </c>
      <c r="K95" s="14" t="s">
        <v>84</v>
      </c>
      <c r="L95" s="14" t="s">
        <v>32</v>
      </c>
      <c r="M95" s="14" t="s">
        <v>32</v>
      </c>
      <c r="N95" s="14" t="s">
        <v>32</v>
      </c>
      <c r="O95" s="14" t="s">
        <v>32</v>
      </c>
      <c r="P95" s="14" t="s">
        <v>32</v>
      </c>
      <c r="T95" s="14">
        <f>MATCH(D95,Allocation!A:A,0)</f>
        <v>8</v>
      </c>
    </row>
    <row r="96" spans="1:20" x14ac:dyDescent="0.35">
      <c r="A96" s="14" t="s">
        <v>185</v>
      </c>
      <c r="B96" s="14" t="s">
        <v>32</v>
      </c>
      <c r="C96" s="14" t="s">
        <v>8</v>
      </c>
      <c r="D96" s="14" t="s">
        <v>81</v>
      </c>
      <c r="E96" s="14">
        <v>-101.79</v>
      </c>
      <c r="F96" s="14" t="s">
        <v>187</v>
      </c>
      <c r="G96" s="14" t="s">
        <v>81</v>
      </c>
      <c r="H96" s="14" t="s">
        <v>82</v>
      </c>
      <c r="I96" s="14" t="s">
        <v>81</v>
      </c>
      <c r="J96" s="14" t="s">
        <v>83</v>
      </c>
      <c r="K96" s="14" t="s">
        <v>84</v>
      </c>
      <c r="L96" s="14" t="s">
        <v>32</v>
      </c>
      <c r="M96" s="14" t="s">
        <v>32</v>
      </c>
      <c r="N96" s="14" t="s">
        <v>32</v>
      </c>
      <c r="O96" s="14" t="s">
        <v>32</v>
      </c>
      <c r="P96" s="14" t="s">
        <v>32</v>
      </c>
      <c r="T96" s="14">
        <f>MATCH(D96,Allocation!A:A,0)</f>
        <v>8</v>
      </c>
    </row>
    <row r="97" spans="1:20" x14ac:dyDescent="0.35">
      <c r="A97" s="14" t="s">
        <v>191</v>
      </c>
      <c r="B97" s="14" t="s">
        <v>192</v>
      </c>
      <c r="C97" s="14" t="s">
        <v>9</v>
      </c>
      <c r="D97" s="14" t="s">
        <v>81</v>
      </c>
      <c r="E97" s="14">
        <v>-444.94</v>
      </c>
      <c r="F97" s="14" t="s">
        <v>187</v>
      </c>
      <c r="G97" s="14" t="s">
        <v>81</v>
      </c>
      <c r="H97" s="14" t="s">
        <v>82</v>
      </c>
      <c r="I97" s="14" t="s">
        <v>81</v>
      </c>
      <c r="J97" s="14" t="s">
        <v>83</v>
      </c>
      <c r="K97" s="14" t="s">
        <v>84</v>
      </c>
      <c r="L97" s="14" t="s">
        <v>32</v>
      </c>
      <c r="M97" s="14" t="s">
        <v>32</v>
      </c>
      <c r="N97" s="14" t="s">
        <v>32</v>
      </c>
      <c r="O97" s="14" t="s">
        <v>32</v>
      </c>
      <c r="P97" s="14" t="s">
        <v>32</v>
      </c>
      <c r="T97" s="14">
        <f>MATCH(D97,Allocation!A:A,0)</f>
        <v>8</v>
      </c>
    </row>
    <row r="98" spans="1:20" x14ac:dyDescent="0.35">
      <c r="A98" s="14" t="s">
        <v>193</v>
      </c>
      <c r="B98" s="14" t="s">
        <v>194</v>
      </c>
      <c r="C98" s="14" t="s">
        <v>10</v>
      </c>
      <c r="D98" s="14" t="s">
        <v>81</v>
      </c>
      <c r="E98" s="14">
        <v>495</v>
      </c>
      <c r="F98" s="14" t="s">
        <v>34</v>
      </c>
      <c r="G98" s="14" t="s">
        <v>81</v>
      </c>
      <c r="H98" s="14" t="s">
        <v>82</v>
      </c>
      <c r="I98" s="14" t="s">
        <v>81</v>
      </c>
      <c r="J98" s="14" t="s">
        <v>83</v>
      </c>
      <c r="K98" s="14" t="s">
        <v>84</v>
      </c>
      <c r="L98" s="14" t="s">
        <v>32</v>
      </c>
      <c r="M98" s="14" t="s">
        <v>32</v>
      </c>
      <c r="N98" s="14" t="s">
        <v>32</v>
      </c>
      <c r="O98" s="14" t="s">
        <v>32</v>
      </c>
      <c r="P98" s="14" t="s">
        <v>32</v>
      </c>
      <c r="T98" s="14">
        <f>MATCH(D98,Allocation!A:A,0)</f>
        <v>8</v>
      </c>
    </row>
    <row r="99" spans="1:20" x14ac:dyDescent="0.35">
      <c r="A99" s="14" t="s">
        <v>195</v>
      </c>
      <c r="B99" s="14" t="s">
        <v>192</v>
      </c>
      <c r="C99" s="14" t="s">
        <v>9</v>
      </c>
      <c r="D99" s="14" t="s">
        <v>81</v>
      </c>
      <c r="E99" s="14">
        <v>-101.79</v>
      </c>
      <c r="F99" s="14" t="s">
        <v>187</v>
      </c>
      <c r="G99" s="14" t="s">
        <v>81</v>
      </c>
      <c r="H99" s="14" t="s">
        <v>82</v>
      </c>
      <c r="I99" s="14" t="s">
        <v>81</v>
      </c>
      <c r="J99" s="14" t="s">
        <v>83</v>
      </c>
      <c r="K99" s="14" t="s">
        <v>84</v>
      </c>
      <c r="L99" s="14" t="s">
        <v>32</v>
      </c>
      <c r="M99" s="14" t="s">
        <v>32</v>
      </c>
      <c r="N99" s="14" t="s">
        <v>32</v>
      </c>
      <c r="O99" s="14" t="s">
        <v>32</v>
      </c>
      <c r="P99" s="14" t="s">
        <v>32</v>
      </c>
      <c r="T99" s="14">
        <f>MATCH(D99,Allocation!A:A,0)</f>
        <v>8</v>
      </c>
    </row>
    <row r="100" spans="1:20" x14ac:dyDescent="0.35">
      <c r="A100" s="14" t="s">
        <v>195</v>
      </c>
      <c r="B100" s="14" t="s">
        <v>32</v>
      </c>
      <c r="C100" s="14" t="s">
        <v>8</v>
      </c>
      <c r="D100" s="14" t="s">
        <v>81</v>
      </c>
      <c r="E100" s="14">
        <v>101.79</v>
      </c>
      <c r="F100" s="14" t="s">
        <v>34</v>
      </c>
      <c r="G100" s="14" t="s">
        <v>81</v>
      </c>
      <c r="H100" s="14" t="s">
        <v>82</v>
      </c>
      <c r="I100" s="14" t="s">
        <v>81</v>
      </c>
      <c r="J100" s="14" t="s">
        <v>83</v>
      </c>
      <c r="K100" s="14" t="s">
        <v>84</v>
      </c>
      <c r="L100" s="14" t="s">
        <v>32</v>
      </c>
      <c r="M100" s="14" t="s">
        <v>32</v>
      </c>
      <c r="N100" s="14" t="s">
        <v>32</v>
      </c>
      <c r="O100" s="14" t="s">
        <v>32</v>
      </c>
      <c r="P100" s="14" t="s">
        <v>32</v>
      </c>
      <c r="T100" s="14">
        <f>MATCH(D100,Allocation!A:A,0)</f>
        <v>8</v>
      </c>
    </row>
    <row r="101" spans="1:20" x14ac:dyDescent="0.35">
      <c r="A101" s="14" t="s">
        <v>31</v>
      </c>
      <c r="B101" s="14" t="s">
        <v>32</v>
      </c>
      <c r="C101" s="14" t="s">
        <v>6</v>
      </c>
      <c r="D101" s="14" t="s">
        <v>86</v>
      </c>
      <c r="E101" s="14">
        <v>92.71</v>
      </c>
      <c r="F101" s="14" t="s">
        <v>34</v>
      </c>
      <c r="G101" s="14" t="s">
        <v>87</v>
      </c>
      <c r="H101" s="14" t="s">
        <v>88</v>
      </c>
      <c r="I101" s="14" t="s">
        <v>87</v>
      </c>
      <c r="J101" s="14" t="s">
        <v>89</v>
      </c>
      <c r="K101" s="14" t="s">
        <v>90</v>
      </c>
      <c r="L101" s="14" t="s">
        <v>89</v>
      </c>
      <c r="M101" s="14" t="s">
        <v>67</v>
      </c>
      <c r="N101" s="14" t="s">
        <v>68</v>
      </c>
      <c r="O101" s="14" t="s">
        <v>67</v>
      </c>
      <c r="P101" s="14" t="s">
        <v>32</v>
      </c>
      <c r="S101" s="14" t="s">
        <v>85</v>
      </c>
      <c r="T101" s="14">
        <f>MATCH(D101,Allocation!A:A,0)</f>
        <v>13</v>
      </c>
    </row>
    <row r="102" spans="1:20" x14ac:dyDescent="0.35">
      <c r="A102" s="14" t="s">
        <v>31</v>
      </c>
      <c r="B102" s="14" t="s">
        <v>37</v>
      </c>
      <c r="C102" s="14" t="s">
        <v>6</v>
      </c>
      <c r="D102" s="14" t="s">
        <v>86</v>
      </c>
      <c r="E102" s="14">
        <v>0</v>
      </c>
      <c r="F102" s="14" t="s">
        <v>34</v>
      </c>
      <c r="G102" s="14" t="s">
        <v>87</v>
      </c>
      <c r="H102" s="14" t="s">
        <v>88</v>
      </c>
      <c r="I102" s="14" t="s">
        <v>87</v>
      </c>
      <c r="J102" s="14" t="s">
        <v>89</v>
      </c>
      <c r="K102" s="14" t="s">
        <v>90</v>
      </c>
      <c r="L102" s="14" t="s">
        <v>89</v>
      </c>
      <c r="M102" s="14" t="s">
        <v>67</v>
      </c>
      <c r="N102" s="14" t="s">
        <v>68</v>
      </c>
      <c r="O102" s="14" t="s">
        <v>67</v>
      </c>
      <c r="P102" s="14" t="s">
        <v>32</v>
      </c>
      <c r="T102" s="14">
        <f>MATCH(D102,Allocation!A:A,0)</f>
        <v>13</v>
      </c>
    </row>
    <row r="103" spans="1:20" x14ac:dyDescent="0.35">
      <c r="A103" s="14" t="s">
        <v>185</v>
      </c>
      <c r="B103" s="14" t="s">
        <v>32</v>
      </c>
      <c r="C103" s="14" t="s">
        <v>7</v>
      </c>
      <c r="D103" s="14" t="s">
        <v>86</v>
      </c>
      <c r="E103" s="14">
        <v>-124.91</v>
      </c>
      <c r="F103" s="14" t="s">
        <v>187</v>
      </c>
      <c r="G103" s="14" t="s">
        <v>87</v>
      </c>
      <c r="H103" s="14" t="s">
        <v>88</v>
      </c>
      <c r="I103" s="14" t="s">
        <v>87</v>
      </c>
      <c r="J103" s="14" t="s">
        <v>89</v>
      </c>
      <c r="K103" s="14" t="s">
        <v>90</v>
      </c>
      <c r="L103" s="14" t="s">
        <v>89</v>
      </c>
      <c r="M103" s="14" t="s">
        <v>67</v>
      </c>
      <c r="N103" s="14" t="s">
        <v>68</v>
      </c>
      <c r="O103" s="14" t="s">
        <v>67</v>
      </c>
      <c r="P103" s="14" t="s">
        <v>32</v>
      </c>
      <c r="T103" s="14">
        <f>MATCH(D103,Allocation!A:A,0)</f>
        <v>13</v>
      </c>
    </row>
    <row r="104" spans="1:20" x14ac:dyDescent="0.35">
      <c r="A104" s="14" t="s">
        <v>185</v>
      </c>
      <c r="B104" s="14" t="s">
        <v>32</v>
      </c>
      <c r="C104" s="14" t="s">
        <v>8</v>
      </c>
      <c r="D104" s="14" t="s">
        <v>86</v>
      </c>
      <c r="E104" s="14">
        <v>-179.6</v>
      </c>
      <c r="F104" s="14" t="s">
        <v>187</v>
      </c>
      <c r="G104" s="14" t="s">
        <v>87</v>
      </c>
      <c r="H104" s="14" t="s">
        <v>88</v>
      </c>
      <c r="I104" s="14" t="s">
        <v>87</v>
      </c>
      <c r="J104" s="14" t="s">
        <v>89</v>
      </c>
      <c r="K104" s="14" t="s">
        <v>90</v>
      </c>
      <c r="L104" s="14" t="s">
        <v>89</v>
      </c>
      <c r="M104" s="14" t="s">
        <v>67</v>
      </c>
      <c r="N104" s="14" t="s">
        <v>68</v>
      </c>
      <c r="O104" s="14" t="s">
        <v>67</v>
      </c>
      <c r="P104" s="14" t="s">
        <v>32</v>
      </c>
      <c r="T104" s="14">
        <f>MATCH(D104,Allocation!A:A,0)</f>
        <v>13</v>
      </c>
    </row>
    <row r="105" spans="1:20" x14ac:dyDescent="0.35">
      <c r="A105" s="14" t="s">
        <v>191</v>
      </c>
      <c r="B105" s="14" t="s">
        <v>192</v>
      </c>
      <c r="C105" s="14" t="s">
        <v>9</v>
      </c>
      <c r="D105" s="14" t="s">
        <v>86</v>
      </c>
      <c r="E105" s="14">
        <v>-751.08</v>
      </c>
      <c r="F105" s="14" t="s">
        <v>187</v>
      </c>
      <c r="G105" s="14" t="s">
        <v>87</v>
      </c>
      <c r="H105" s="14" t="s">
        <v>88</v>
      </c>
      <c r="I105" s="14" t="s">
        <v>87</v>
      </c>
      <c r="J105" s="14" t="s">
        <v>89</v>
      </c>
      <c r="K105" s="14" t="s">
        <v>90</v>
      </c>
      <c r="L105" s="14" t="s">
        <v>89</v>
      </c>
      <c r="M105" s="14" t="s">
        <v>67</v>
      </c>
      <c r="N105" s="14" t="s">
        <v>68</v>
      </c>
      <c r="O105" s="14" t="s">
        <v>67</v>
      </c>
      <c r="P105" s="14" t="s">
        <v>32</v>
      </c>
      <c r="T105" s="14">
        <f>MATCH(D105,Allocation!A:A,0)</f>
        <v>13</v>
      </c>
    </row>
    <row r="106" spans="1:20" x14ac:dyDescent="0.35">
      <c r="A106" s="14" t="s">
        <v>193</v>
      </c>
      <c r="B106" s="14" t="s">
        <v>194</v>
      </c>
      <c r="C106" s="14" t="s">
        <v>10</v>
      </c>
      <c r="D106" s="14" t="s">
        <v>86</v>
      </c>
      <c r="E106" s="14">
        <v>962.88</v>
      </c>
      <c r="F106" s="14" t="s">
        <v>34</v>
      </c>
      <c r="G106" s="14" t="s">
        <v>87</v>
      </c>
      <c r="H106" s="14" t="s">
        <v>88</v>
      </c>
      <c r="I106" s="14" t="s">
        <v>87</v>
      </c>
      <c r="J106" s="14" t="s">
        <v>89</v>
      </c>
      <c r="K106" s="14" t="s">
        <v>90</v>
      </c>
      <c r="L106" s="14" t="s">
        <v>89</v>
      </c>
      <c r="M106" s="14" t="s">
        <v>67</v>
      </c>
      <c r="N106" s="14" t="s">
        <v>68</v>
      </c>
      <c r="O106" s="14" t="s">
        <v>67</v>
      </c>
      <c r="P106" s="14" t="s">
        <v>32</v>
      </c>
      <c r="T106" s="14">
        <f>MATCH(D106,Allocation!A:A,0)</f>
        <v>13</v>
      </c>
    </row>
    <row r="107" spans="1:20" x14ac:dyDescent="0.35">
      <c r="A107" s="14" t="s">
        <v>195</v>
      </c>
      <c r="B107" s="14" t="s">
        <v>192</v>
      </c>
      <c r="C107" s="14" t="s">
        <v>9</v>
      </c>
      <c r="D107" s="14" t="s">
        <v>86</v>
      </c>
      <c r="E107" s="14">
        <v>-179.6</v>
      </c>
      <c r="F107" s="14" t="s">
        <v>187</v>
      </c>
      <c r="G107" s="14" t="s">
        <v>87</v>
      </c>
      <c r="H107" s="14" t="s">
        <v>88</v>
      </c>
      <c r="I107" s="14" t="s">
        <v>87</v>
      </c>
      <c r="J107" s="14" t="s">
        <v>89</v>
      </c>
      <c r="K107" s="14" t="s">
        <v>90</v>
      </c>
      <c r="L107" s="14" t="s">
        <v>89</v>
      </c>
      <c r="M107" s="14" t="s">
        <v>67</v>
      </c>
      <c r="N107" s="14" t="s">
        <v>68</v>
      </c>
      <c r="O107" s="14" t="s">
        <v>67</v>
      </c>
      <c r="P107" s="14" t="s">
        <v>32</v>
      </c>
      <c r="T107" s="14">
        <f>MATCH(D107,Allocation!A:A,0)</f>
        <v>13</v>
      </c>
    </row>
    <row r="108" spans="1:20" x14ac:dyDescent="0.35">
      <c r="A108" s="14" t="s">
        <v>195</v>
      </c>
      <c r="B108" s="14" t="s">
        <v>32</v>
      </c>
      <c r="C108" s="14" t="s">
        <v>8</v>
      </c>
      <c r="D108" s="14" t="s">
        <v>86</v>
      </c>
      <c r="E108" s="14">
        <v>179.6</v>
      </c>
      <c r="F108" s="14" t="s">
        <v>34</v>
      </c>
      <c r="G108" s="14" t="s">
        <v>87</v>
      </c>
      <c r="H108" s="14" t="s">
        <v>88</v>
      </c>
      <c r="I108" s="14" t="s">
        <v>87</v>
      </c>
      <c r="J108" s="14" t="s">
        <v>89</v>
      </c>
      <c r="K108" s="14" t="s">
        <v>90</v>
      </c>
      <c r="L108" s="14" t="s">
        <v>89</v>
      </c>
      <c r="M108" s="14" t="s">
        <v>67</v>
      </c>
      <c r="N108" s="14" t="s">
        <v>68</v>
      </c>
      <c r="O108" s="14" t="s">
        <v>67</v>
      </c>
      <c r="P108" s="14" t="s">
        <v>32</v>
      </c>
      <c r="T108" s="14">
        <f>MATCH(D108,Allocation!A:A,0)</f>
        <v>13</v>
      </c>
    </row>
    <row r="109" spans="1:20" x14ac:dyDescent="0.35">
      <c r="A109" s="14" t="s">
        <v>31</v>
      </c>
      <c r="B109" s="14" t="s">
        <v>32</v>
      </c>
      <c r="C109" s="14" t="s">
        <v>6</v>
      </c>
      <c r="D109" s="14" t="s">
        <v>91</v>
      </c>
      <c r="E109" s="14">
        <v>31.55</v>
      </c>
      <c r="F109" s="14" t="s">
        <v>34</v>
      </c>
      <c r="G109" s="14" t="s">
        <v>92</v>
      </c>
      <c r="H109" s="14" t="s">
        <v>93</v>
      </c>
      <c r="I109" s="14" t="s">
        <v>92</v>
      </c>
      <c r="J109" s="14" t="s">
        <v>94</v>
      </c>
      <c r="K109" s="14" t="s">
        <v>95</v>
      </c>
      <c r="L109" s="14" t="s">
        <v>94</v>
      </c>
      <c r="M109" s="14" t="s">
        <v>96</v>
      </c>
      <c r="N109" s="14" t="s">
        <v>97</v>
      </c>
      <c r="O109" s="14" t="s">
        <v>96</v>
      </c>
      <c r="P109" s="14" t="s">
        <v>32</v>
      </c>
      <c r="T109" s="14">
        <f>MATCH(D109,Allocation!A:A,0)</f>
        <v>40</v>
      </c>
    </row>
    <row r="110" spans="1:20" x14ac:dyDescent="0.35">
      <c r="A110" s="14" t="s">
        <v>31</v>
      </c>
      <c r="B110" s="14" t="s">
        <v>37</v>
      </c>
      <c r="C110" s="14" t="s">
        <v>6</v>
      </c>
      <c r="D110" s="14" t="s">
        <v>91</v>
      </c>
      <c r="E110" s="14">
        <v>0</v>
      </c>
      <c r="F110" s="14" t="s">
        <v>34</v>
      </c>
      <c r="G110" s="14" t="s">
        <v>92</v>
      </c>
      <c r="H110" s="14" t="s">
        <v>93</v>
      </c>
      <c r="I110" s="14" t="s">
        <v>92</v>
      </c>
      <c r="J110" s="14" t="s">
        <v>94</v>
      </c>
      <c r="K110" s="14" t="s">
        <v>95</v>
      </c>
      <c r="L110" s="14" t="s">
        <v>94</v>
      </c>
      <c r="M110" s="14" t="s">
        <v>96</v>
      </c>
      <c r="N110" s="14" t="s">
        <v>97</v>
      </c>
      <c r="O110" s="14" t="s">
        <v>96</v>
      </c>
      <c r="P110" s="14" t="s">
        <v>32</v>
      </c>
      <c r="T110" s="14">
        <f>MATCH(D110,Allocation!A:A,0)</f>
        <v>40</v>
      </c>
    </row>
    <row r="111" spans="1:20" x14ac:dyDescent="0.35">
      <c r="A111" s="14" t="s">
        <v>185</v>
      </c>
      <c r="B111" s="14" t="s">
        <v>32</v>
      </c>
      <c r="C111" s="14" t="s">
        <v>7</v>
      </c>
      <c r="D111" s="14" t="s">
        <v>91</v>
      </c>
      <c r="E111" s="14">
        <v>-31.48</v>
      </c>
      <c r="F111" s="14" t="s">
        <v>187</v>
      </c>
      <c r="G111" s="14" t="s">
        <v>92</v>
      </c>
      <c r="H111" s="14" t="s">
        <v>93</v>
      </c>
      <c r="I111" s="14" t="s">
        <v>92</v>
      </c>
      <c r="J111" s="14" t="s">
        <v>94</v>
      </c>
      <c r="K111" s="14" t="s">
        <v>95</v>
      </c>
      <c r="L111" s="14" t="s">
        <v>94</v>
      </c>
      <c r="M111" s="14" t="s">
        <v>96</v>
      </c>
      <c r="N111" s="14" t="s">
        <v>97</v>
      </c>
      <c r="O111" s="14" t="s">
        <v>96</v>
      </c>
      <c r="P111" s="14" t="s">
        <v>32</v>
      </c>
      <c r="T111" s="14">
        <f>MATCH(D111,Allocation!A:A,0)</f>
        <v>40</v>
      </c>
    </row>
    <row r="112" spans="1:20" x14ac:dyDescent="0.35">
      <c r="A112" s="14" t="s">
        <v>185</v>
      </c>
      <c r="B112" s="14" t="s">
        <v>32</v>
      </c>
      <c r="C112" s="14" t="s">
        <v>8</v>
      </c>
      <c r="D112" s="14" t="s">
        <v>91</v>
      </c>
      <c r="E112" s="14">
        <v>-120.14</v>
      </c>
      <c r="F112" s="14" t="s">
        <v>187</v>
      </c>
      <c r="G112" s="14" t="s">
        <v>92</v>
      </c>
      <c r="H112" s="14" t="s">
        <v>93</v>
      </c>
      <c r="I112" s="14" t="s">
        <v>92</v>
      </c>
      <c r="J112" s="14" t="s">
        <v>94</v>
      </c>
      <c r="K112" s="14" t="s">
        <v>95</v>
      </c>
      <c r="L112" s="14" t="s">
        <v>94</v>
      </c>
      <c r="M112" s="14" t="s">
        <v>96</v>
      </c>
      <c r="N112" s="14" t="s">
        <v>97</v>
      </c>
      <c r="O112" s="14" t="s">
        <v>96</v>
      </c>
      <c r="P112" s="14" t="s">
        <v>32</v>
      </c>
      <c r="T112" s="14">
        <f>MATCH(D112,Allocation!A:A,0)</f>
        <v>40</v>
      </c>
    </row>
    <row r="113" spans="1:20" x14ac:dyDescent="0.35">
      <c r="A113" s="14" t="s">
        <v>191</v>
      </c>
      <c r="B113" s="14" t="s">
        <v>192</v>
      </c>
      <c r="C113" s="14" t="s">
        <v>9</v>
      </c>
      <c r="D113" s="14" t="s">
        <v>91</v>
      </c>
      <c r="E113" s="14">
        <v>-303</v>
      </c>
      <c r="F113" s="14" t="s">
        <v>187</v>
      </c>
      <c r="G113" s="14" t="s">
        <v>92</v>
      </c>
      <c r="H113" s="14" t="s">
        <v>93</v>
      </c>
      <c r="I113" s="14" t="s">
        <v>92</v>
      </c>
      <c r="J113" s="14" t="s">
        <v>94</v>
      </c>
      <c r="K113" s="14" t="s">
        <v>95</v>
      </c>
      <c r="L113" s="14" t="s">
        <v>94</v>
      </c>
      <c r="M113" s="14" t="s">
        <v>96</v>
      </c>
      <c r="N113" s="14" t="s">
        <v>97</v>
      </c>
      <c r="O113" s="14" t="s">
        <v>96</v>
      </c>
      <c r="P113" s="14" t="s">
        <v>32</v>
      </c>
      <c r="T113" s="14">
        <f>MATCH(D113,Allocation!A:A,0)</f>
        <v>40</v>
      </c>
    </row>
    <row r="114" spans="1:20" x14ac:dyDescent="0.35">
      <c r="A114" s="14" t="s">
        <v>193</v>
      </c>
      <c r="B114" s="14" t="s">
        <v>194</v>
      </c>
      <c r="C114" s="14" t="s">
        <v>10</v>
      </c>
      <c r="D114" s="14" t="s">
        <v>91</v>
      </c>
      <c r="E114" s="14">
        <v>423.07</v>
      </c>
      <c r="F114" s="14" t="s">
        <v>34</v>
      </c>
      <c r="G114" s="14" t="s">
        <v>92</v>
      </c>
      <c r="H114" s="14" t="s">
        <v>93</v>
      </c>
      <c r="I114" s="14" t="s">
        <v>92</v>
      </c>
      <c r="J114" s="14" t="s">
        <v>94</v>
      </c>
      <c r="K114" s="14" t="s">
        <v>95</v>
      </c>
      <c r="L114" s="14" t="s">
        <v>94</v>
      </c>
      <c r="M114" s="14" t="s">
        <v>96</v>
      </c>
      <c r="N114" s="14" t="s">
        <v>97</v>
      </c>
      <c r="O114" s="14" t="s">
        <v>96</v>
      </c>
      <c r="P114" s="14" t="s">
        <v>32</v>
      </c>
      <c r="T114" s="14">
        <f>MATCH(D114,Allocation!A:A,0)</f>
        <v>40</v>
      </c>
    </row>
    <row r="115" spans="1:20" x14ac:dyDescent="0.35">
      <c r="A115" s="14" t="s">
        <v>195</v>
      </c>
      <c r="B115" s="14" t="s">
        <v>192</v>
      </c>
      <c r="C115" s="14" t="s">
        <v>9</v>
      </c>
      <c r="D115" s="14" t="s">
        <v>91</v>
      </c>
      <c r="E115" s="14">
        <v>-120.14</v>
      </c>
      <c r="F115" s="14" t="s">
        <v>187</v>
      </c>
      <c r="G115" s="14" t="s">
        <v>92</v>
      </c>
      <c r="H115" s="14" t="s">
        <v>93</v>
      </c>
      <c r="I115" s="14" t="s">
        <v>92</v>
      </c>
      <c r="J115" s="14" t="s">
        <v>94</v>
      </c>
      <c r="K115" s="14" t="s">
        <v>95</v>
      </c>
      <c r="L115" s="14" t="s">
        <v>94</v>
      </c>
      <c r="M115" s="14" t="s">
        <v>96</v>
      </c>
      <c r="N115" s="14" t="s">
        <v>97</v>
      </c>
      <c r="O115" s="14" t="s">
        <v>96</v>
      </c>
      <c r="P115" s="14" t="s">
        <v>32</v>
      </c>
      <c r="T115" s="14">
        <f>MATCH(D115,Allocation!A:A,0)</f>
        <v>40</v>
      </c>
    </row>
    <row r="116" spans="1:20" x14ac:dyDescent="0.35">
      <c r="A116" s="14" t="s">
        <v>195</v>
      </c>
      <c r="B116" s="14" t="s">
        <v>32</v>
      </c>
      <c r="C116" s="14" t="s">
        <v>8</v>
      </c>
      <c r="D116" s="14" t="s">
        <v>91</v>
      </c>
      <c r="E116" s="14">
        <v>120.14</v>
      </c>
      <c r="F116" s="14" t="s">
        <v>34</v>
      </c>
      <c r="G116" s="14" t="s">
        <v>92</v>
      </c>
      <c r="H116" s="14" t="s">
        <v>93</v>
      </c>
      <c r="I116" s="14" t="s">
        <v>92</v>
      </c>
      <c r="J116" s="14" t="s">
        <v>94</v>
      </c>
      <c r="K116" s="14" t="s">
        <v>95</v>
      </c>
      <c r="L116" s="14" t="s">
        <v>94</v>
      </c>
      <c r="M116" s="14" t="s">
        <v>96</v>
      </c>
      <c r="N116" s="14" t="s">
        <v>97</v>
      </c>
      <c r="O116" s="14" t="s">
        <v>96</v>
      </c>
      <c r="P116" s="14" t="s">
        <v>32</v>
      </c>
      <c r="T116" s="14">
        <f>MATCH(D116,Allocation!A:A,0)</f>
        <v>40</v>
      </c>
    </row>
    <row r="117" spans="1:20" x14ac:dyDescent="0.35">
      <c r="A117" s="14" t="s">
        <v>31</v>
      </c>
      <c r="B117" s="14" t="s">
        <v>32</v>
      </c>
      <c r="C117" s="14" t="s">
        <v>6</v>
      </c>
      <c r="D117" s="14" t="s">
        <v>98</v>
      </c>
      <c r="E117" s="14">
        <v>72.72</v>
      </c>
      <c r="F117" s="14" t="s">
        <v>34</v>
      </c>
      <c r="G117" s="14" t="s">
        <v>92</v>
      </c>
      <c r="H117" s="14" t="s">
        <v>93</v>
      </c>
      <c r="I117" s="14" t="s">
        <v>92</v>
      </c>
      <c r="J117" s="14" t="s">
        <v>99</v>
      </c>
      <c r="K117" s="14" t="s">
        <v>100</v>
      </c>
      <c r="L117" s="14" t="s">
        <v>99</v>
      </c>
      <c r="M117" s="14" t="s">
        <v>62</v>
      </c>
      <c r="N117" s="14" t="s">
        <v>63</v>
      </c>
      <c r="O117" s="14" t="s">
        <v>62</v>
      </c>
      <c r="P117" s="14" t="s">
        <v>32</v>
      </c>
      <c r="T117" s="14">
        <f>MATCH(D117,Allocation!A:A,0)</f>
        <v>35</v>
      </c>
    </row>
    <row r="118" spans="1:20" x14ac:dyDescent="0.35">
      <c r="A118" s="14" t="s">
        <v>31</v>
      </c>
      <c r="B118" s="14" t="s">
        <v>37</v>
      </c>
      <c r="C118" s="14" t="s">
        <v>6</v>
      </c>
      <c r="D118" s="14" t="s">
        <v>98</v>
      </c>
      <c r="E118" s="14">
        <v>0</v>
      </c>
      <c r="F118" s="14" t="s">
        <v>34</v>
      </c>
      <c r="G118" s="14" t="s">
        <v>92</v>
      </c>
      <c r="H118" s="14" t="s">
        <v>93</v>
      </c>
      <c r="I118" s="14" t="s">
        <v>92</v>
      </c>
      <c r="J118" s="14" t="s">
        <v>99</v>
      </c>
      <c r="K118" s="14" t="s">
        <v>100</v>
      </c>
      <c r="L118" s="14" t="s">
        <v>99</v>
      </c>
      <c r="M118" s="14" t="s">
        <v>62</v>
      </c>
      <c r="N118" s="14" t="s">
        <v>63</v>
      </c>
      <c r="O118" s="14" t="s">
        <v>62</v>
      </c>
      <c r="P118" s="14" t="s">
        <v>32</v>
      </c>
      <c r="T118" s="14">
        <f>MATCH(D118,Allocation!A:A,0)</f>
        <v>35</v>
      </c>
    </row>
    <row r="119" spans="1:20" x14ac:dyDescent="0.35">
      <c r="A119" s="14" t="s">
        <v>185</v>
      </c>
      <c r="B119" s="14" t="s">
        <v>188</v>
      </c>
      <c r="C119" s="14" t="s">
        <v>7</v>
      </c>
      <c r="D119" s="14" t="s">
        <v>98</v>
      </c>
      <c r="E119" s="14">
        <v>-29.1</v>
      </c>
      <c r="F119" s="14" t="s">
        <v>187</v>
      </c>
      <c r="G119" s="14" t="s">
        <v>92</v>
      </c>
      <c r="H119" s="14" t="s">
        <v>93</v>
      </c>
      <c r="I119" s="14" t="s">
        <v>92</v>
      </c>
      <c r="J119" s="14" t="s">
        <v>99</v>
      </c>
      <c r="K119" s="14" t="s">
        <v>100</v>
      </c>
      <c r="L119" s="14" t="s">
        <v>99</v>
      </c>
      <c r="M119" s="14" t="s">
        <v>62</v>
      </c>
      <c r="N119" s="14" t="s">
        <v>63</v>
      </c>
      <c r="O119" s="14" t="s">
        <v>62</v>
      </c>
      <c r="P119" s="14" t="s">
        <v>32</v>
      </c>
      <c r="T119" s="14">
        <f>MATCH(D119,Allocation!A:A,0)</f>
        <v>35</v>
      </c>
    </row>
    <row r="120" spans="1:20" x14ac:dyDescent="0.35">
      <c r="A120" s="14" t="s">
        <v>185</v>
      </c>
      <c r="B120" s="14" t="s">
        <v>32</v>
      </c>
      <c r="C120" s="14" t="s">
        <v>8</v>
      </c>
      <c r="D120" s="14" t="s">
        <v>98</v>
      </c>
      <c r="E120" s="14">
        <v>-316.07</v>
      </c>
      <c r="F120" s="14" t="s">
        <v>187</v>
      </c>
      <c r="G120" s="14" t="s">
        <v>92</v>
      </c>
      <c r="H120" s="14" t="s">
        <v>93</v>
      </c>
      <c r="I120" s="14" t="s">
        <v>92</v>
      </c>
      <c r="J120" s="14" t="s">
        <v>99</v>
      </c>
      <c r="K120" s="14" t="s">
        <v>100</v>
      </c>
      <c r="L120" s="14" t="s">
        <v>99</v>
      </c>
      <c r="M120" s="14" t="s">
        <v>62</v>
      </c>
      <c r="N120" s="14" t="s">
        <v>63</v>
      </c>
      <c r="O120" s="14" t="s">
        <v>62</v>
      </c>
      <c r="P120" s="14" t="s">
        <v>32</v>
      </c>
      <c r="T120" s="14">
        <f>MATCH(D120,Allocation!A:A,0)</f>
        <v>35</v>
      </c>
    </row>
    <row r="121" spans="1:20" x14ac:dyDescent="0.35">
      <c r="A121" s="14" t="s">
        <v>191</v>
      </c>
      <c r="B121" s="14" t="s">
        <v>192</v>
      </c>
      <c r="C121" s="14" t="s">
        <v>9</v>
      </c>
      <c r="D121" s="14" t="s">
        <v>98</v>
      </c>
      <c r="E121" s="14">
        <v>-708.25</v>
      </c>
      <c r="F121" s="14" t="s">
        <v>187</v>
      </c>
      <c r="G121" s="14" t="s">
        <v>92</v>
      </c>
      <c r="H121" s="14" t="s">
        <v>93</v>
      </c>
      <c r="I121" s="14" t="s">
        <v>92</v>
      </c>
      <c r="J121" s="14" t="s">
        <v>99</v>
      </c>
      <c r="K121" s="14" t="s">
        <v>100</v>
      </c>
      <c r="L121" s="14" t="s">
        <v>99</v>
      </c>
      <c r="M121" s="14" t="s">
        <v>62</v>
      </c>
      <c r="N121" s="14" t="s">
        <v>63</v>
      </c>
      <c r="O121" s="14" t="s">
        <v>62</v>
      </c>
      <c r="P121" s="14" t="s">
        <v>32</v>
      </c>
      <c r="T121" s="14">
        <f>MATCH(D121,Allocation!A:A,0)</f>
        <v>35</v>
      </c>
    </row>
    <row r="122" spans="1:20" x14ac:dyDescent="0.35">
      <c r="A122" s="14" t="s">
        <v>193</v>
      </c>
      <c r="B122" s="14" t="s">
        <v>194</v>
      </c>
      <c r="C122" s="14" t="s">
        <v>10</v>
      </c>
      <c r="D122" s="14" t="s">
        <v>98</v>
      </c>
      <c r="E122" s="14">
        <v>980.7</v>
      </c>
      <c r="F122" s="14" t="s">
        <v>34</v>
      </c>
      <c r="G122" s="14" t="s">
        <v>92</v>
      </c>
      <c r="H122" s="14" t="s">
        <v>93</v>
      </c>
      <c r="I122" s="14" t="s">
        <v>92</v>
      </c>
      <c r="J122" s="14" t="s">
        <v>99</v>
      </c>
      <c r="K122" s="14" t="s">
        <v>100</v>
      </c>
      <c r="L122" s="14" t="s">
        <v>99</v>
      </c>
      <c r="M122" s="14" t="s">
        <v>62</v>
      </c>
      <c r="N122" s="14" t="s">
        <v>63</v>
      </c>
      <c r="O122" s="14" t="s">
        <v>62</v>
      </c>
      <c r="P122" s="14" t="s">
        <v>32</v>
      </c>
      <c r="T122" s="14">
        <f>MATCH(D122,Allocation!A:A,0)</f>
        <v>35</v>
      </c>
    </row>
    <row r="123" spans="1:20" x14ac:dyDescent="0.35">
      <c r="A123" s="14" t="s">
        <v>195</v>
      </c>
      <c r="B123" s="14" t="s">
        <v>192</v>
      </c>
      <c r="C123" s="14" t="s">
        <v>9</v>
      </c>
      <c r="D123" s="14" t="s">
        <v>98</v>
      </c>
      <c r="E123" s="14">
        <v>-316.07</v>
      </c>
      <c r="F123" s="14" t="s">
        <v>187</v>
      </c>
      <c r="G123" s="14" t="s">
        <v>92</v>
      </c>
      <c r="H123" s="14" t="s">
        <v>93</v>
      </c>
      <c r="I123" s="14" t="s">
        <v>92</v>
      </c>
      <c r="J123" s="14" t="s">
        <v>99</v>
      </c>
      <c r="K123" s="14" t="s">
        <v>100</v>
      </c>
      <c r="L123" s="14" t="s">
        <v>99</v>
      </c>
      <c r="M123" s="14" t="s">
        <v>62</v>
      </c>
      <c r="N123" s="14" t="s">
        <v>63</v>
      </c>
      <c r="O123" s="14" t="s">
        <v>62</v>
      </c>
      <c r="P123" s="14" t="s">
        <v>32</v>
      </c>
      <c r="T123" s="14">
        <f>MATCH(D123,Allocation!A:A,0)</f>
        <v>35</v>
      </c>
    </row>
    <row r="124" spans="1:20" x14ac:dyDescent="0.35">
      <c r="A124" s="14" t="s">
        <v>195</v>
      </c>
      <c r="B124" s="14" t="s">
        <v>32</v>
      </c>
      <c r="C124" s="14" t="s">
        <v>8</v>
      </c>
      <c r="D124" s="14" t="s">
        <v>98</v>
      </c>
      <c r="E124" s="14">
        <v>316.07</v>
      </c>
      <c r="F124" s="14" t="s">
        <v>34</v>
      </c>
      <c r="G124" s="14" t="s">
        <v>92</v>
      </c>
      <c r="H124" s="14" t="s">
        <v>93</v>
      </c>
      <c r="I124" s="14" t="s">
        <v>92</v>
      </c>
      <c r="J124" s="14" t="s">
        <v>99</v>
      </c>
      <c r="K124" s="14" t="s">
        <v>100</v>
      </c>
      <c r="L124" s="14" t="s">
        <v>99</v>
      </c>
      <c r="M124" s="14" t="s">
        <v>62</v>
      </c>
      <c r="N124" s="14" t="s">
        <v>63</v>
      </c>
      <c r="O124" s="14" t="s">
        <v>62</v>
      </c>
      <c r="P124" s="14" t="s">
        <v>32</v>
      </c>
      <c r="T124" s="14">
        <f>MATCH(D124,Allocation!A:A,0)</f>
        <v>35</v>
      </c>
    </row>
    <row r="125" spans="1:20" x14ac:dyDescent="0.35">
      <c r="A125" s="14" t="s">
        <v>31</v>
      </c>
      <c r="B125" s="14" t="s">
        <v>32</v>
      </c>
      <c r="C125" s="14" t="s">
        <v>6</v>
      </c>
      <c r="D125" s="14" t="s">
        <v>101</v>
      </c>
      <c r="E125" s="14">
        <v>89.57</v>
      </c>
      <c r="F125" s="14" t="s">
        <v>34</v>
      </c>
      <c r="G125" s="14" t="s">
        <v>102</v>
      </c>
      <c r="H125" s="14" t="s">
        <v>103</v>
      </c>
      <c r="I125" s="14" t="s">
        <v>104</v>
      </c>
      <c r="J125" s="14" t="s">
        <v>105</v>
      </c>
      <c r="K125" s="14" t="s">
        <v>106</v>
      </c>
      <c r="L125" s="14" t="s">
        <v>105</v>
      </c>
      <c r="M125" s="14" t="s">
        <v>107</v>
      </c>
      <c r="N125" s="14" t="s">
        <v>108</v>
      </c>
      <c r="O125" s="14" t="s">
        <v>107</v>
      </c>
      <c r="P125" s="14" t="s">
        <v>32</v>
      </c>
      <c r="T125" s="14">
        <f>MATCH(D125,Allocation!A:A,0)</f>
        <v>11</v>
      </c>
    </row>
    <row r="126" spans="1:20" x14ac:dyDescent="0.35">
      <c r="A126" s="14" t="s">
        <v>31</v>
      </c>
      <c r="B126" s="14" t="s">
        <v>37</v>
      </c>
      <c r="C126" s="14" t="s">
        <v>6</v>
      </c>
      <c r="D126" s="14" t="s">
        <v>101</v>
      </c>
      <c r="E126" s="14">
        <v>0</v>
      </c>
      <c r="F126" s="14" t="s">
        <v>34</v>
      </c>
      <c r="G126" s="14" t="s">
        <v>102</v>
      </c>
      <c r="H126" s="14" t="s">
        <v>103</v>
      </c>
      <c r="I126" s="14" t="s">
        <v>104</v>
      </c>
      <c r="J126" s="14" t="s">
        <v>105</v>
      </c>
      <c r="K126" s="14" t="s">
        <v>106</v>
      </c>
      <c r="L126" s="14" t="s">
        <v>105</v>
      </c>
      <c r="M126" s="14" t="s">
        <v>107</v>
      </c>
      <c r="N126" s="14" t="s">
        <v>108</v>
      </c>
      <c r="O126" s="14" t="s">
        <v>107</v>
      </c>
      <c r="P126" s="14" t="s">
        <v>32</v>
      </c>
      <c r="T126" s="14">
        <f>MATCH(D126,Allocation!A:A,0)</f>
        <v>11</v>
      </c>
    </row>
    <row r="127" spans="1:20" x14ac:dyDescent="0.35">
      <c r="A127" s="14" t="s">
        <v>185</v>
      </c>
      <c r="B127" s="14" t="s">
        <v>32</v>
      </c>
      <c r="C127" s="14" t="s">
        <v>8</v>
      </c>
      <c r="D127" s="14" t="s">
        <v>101</v>
      </c>
      <c r="E127" s="14">
        <v>-198.41</v>
      </c>
      <c r="F127" s="14" t="s">
        <v>187</v>
      </c>
      <c r="G127" s="14" t="s">
        <v>102</v>
      </c>
      <c r="H127" s="14" t="s">
        <v>103</v>
      </c>
      <c r="I127" s="14" t="s">
        <v>104</v>
      </c>
      <c r="J127" s="14" t="s">
        <v>105</v>
      </c>
      <c r="K127" s="14" t="s">
        <v>106</v>
      </c>
      <c r="L127" s="14" t="s">
        <v>105</v>
      </c>
      <c r="M127" s="14" t="s">
        <v>107</v>
      </c>
      <c r="N127" s="14" t="s">
        <v>108</v>
      </c>
      <c r="O127" s="14" t="s">
        <v>107</v>
      </c>
      <c r="P127" s="14" t="s">
        <v>32</v>
      </c>
      <c r="T127" s="14">
        <f>MATCH(D127,Allocation!A:A,0)</f>
        <v>11</v>
      </c>
    </row>
    <row r="128" spans="1:20" x14ac:dyDescent="0.35">
      <c r="A128" s="14" t="s">
        <v>191</v>
      </c>
      <c r="B128" s="14" t="s">
        <v>192</v>
      </c>
      <c r="C128" s="14" t="s">
        <v>9</v>
      </c>
      <c r="D128" s="14" t="s">
        <v>101</v>
      </c>
      <c r="E128" s="14">
        <v>-748.36</v>
      </c>
      <c r="F128" s="14" t="s">
        <v>187</v>
      </c>
      <c r="G128" s="14" t="s">
        <v>102</v>
      </c>
      <c r="H128" s="14" t="s">
        <v>103</v>
      </c>
      <c r="I128" s="14" t="s">
        <v>104</v>
      </c>
      <c r="J128" s="14" t="s">
        <v>105</v>
      </c>
      <c r="K128" s="14" t="s">
        <v>106</v>
      </c>
      <c r="L128" s="14" t="s">
        <v>105</v>
      </c>
      <c r="M128" s="14" t="s">
        <v>107</v>
      </c>
      <c r="N128" s="14" t="s">
        <v>108</v>
      </c>
      <c r="O128" s="14" t="s">
        <v>107</v>
      </c>
      <c r="P128" s="14" t="s">
        <v>32</v>
      </c>
      <c r="T128" s="14">
        <f>MATCH(D128,Allocation!A:A,0)</f>
        <v>11</v>
      </c>
    </row>
    <row r="129" spans="1:20" x14ac:dyDescent="0.35">
      <c r="A129" s="14" t="s">
        <v>193</v>
      </c>
      <c r="B129" s="14" t="s">
        <v>194</v>
      </c>
      <c r="C129" s="14" t="s">
        <v>10</v>
      </c>
      <c r="D129" s="14" t="s">
        <v>101</v>
      </c>
      <c r="E129" s="14">
        <v>857.2</v>
      </c>
      <c r="F129" s="14" t="s">
        <v>34</v>
      </c>
      <c r="G129" s="14" t="s">
        <v>102</v>
      </c>
      <c r="H129" s="14" t="s">
        <v>103</v>
      </c>
      <c r="I129" s="14" t="s">
        <v>104</v>
      </c>
      <c r="J129" s="14" t="s">
        <v>105</v>
      </c>
      <c r="K129" s="14" t="s">
        <v>106</v>
      </c>
      <c r="L129" s="14" t="s">
        <v>105</v>
      </c>
      <c r="M129" s="14" t="s">
        <v>107</v>
      </c>
      <c r="N129" s="14" t="s">
        <v>108</v>
      </c>
      <c r="O129" s="14" t="s">
        <v>107</v>
      </c>
      <c r="P129" s="14" t="s">
        <v>32</v>
      </c>
      <c r="T129" s="14">
        <f>MATCH(D129,Allocation!A:A,0)</f>
        <v>11</v>
      </c>
    </row>
    <row r="130" spans="1:20" x14ac:dyDescent="0.35">
      <c r="A130" s="14" t="s">
        <v>195</v>
      </c>
      <c r="B130" s="14" t="s">
        <v>192</v>
      </c>
      <c r="C130" s="14" t="s">
        <v>9</v>
      </c>
      <c r="D130" s="14" t="s">
        <v>101</v>
      </c>
      <c r="E130" s="14">
        <v>-198.41</v>
      </c>
      <c r="F130" s="14" t="s">
        <v>187</v>
      </c>
      <c r="G130" s="14" t="s">
        <v>102</v>
      </c>
      <c r="H130" s="14" t="s">
        <v>103</v>
      </c>
      <c r="I130" s="14" t="s">
        <v>104</v>
      </c>
      <c r="J130" s="14" t="s">
        <v>105</v>
      </c>
      <c r="K130" s="14" t="s">
        <v>106</v>
      </c>
      <c r="L130" s="14" t="s">
        <v>105</v>
      </c>
      <c r="M130" s="14" t="s">
        <v>107</v>
      </c>
      <c r="N130" s="14" t="s">
        <v>108</v>
      </c>
      <c r="O130" s="14" t="s">
        <v>107</v>
      </c>
      <c r="P130" s="14" t="s">
        <v>32</v>
      </c>
      <c r="T130" s="14">
        <f>MATCH(D130,Allocation!A:A,0)</f>
        <v>11</v>
      </c>
    </row>
    <row r="131" spans="1:20" x14ac:dyDescent="0.35">
      <c r="A131" s="14" t="s">
        <v>195</v>
      </c>
      <c r="B131" s="14" t="s">
        <v>32</v>
      </c>
      <c r="C131" s="14" t="s">
        <v>8</v>
      </c>
      <c r="D131" s="14" t="s">
        <v>101</v>
      </c>
      <c r="E131" s="14">
        <v>198.41</v>
      </c>
      <c r="F131" s="14" t="s">
        <v>34</v>
      </c>
      <c r="G131" s="14" t="s">
        <v>102</v>
      </c>
      <c r="H131" s="14" t="s">
        <v>103</v>
      </c>
      <c r="I131" s="14" t="s">
        <v>104</v>
      </c>
      <c r="J131" s="14" t="s">
        <v>105</v>
      </c>
      <c r="K131" s="14" t="s">
        <v>106</v>
      </c>
      <c r="L131" s="14" t="s">
        <v>105</v>
      </c>
      <c r="M131" s="14" t="s">
        <v>107</v>
      </c>
      <c r="N131" s="14" t="s">
        <v>108</v>
      </c>
      <c r="O131" s="14" t="s">
        <v>107</v>
      </c>
      <c r="P131" s="14" t="s">
        <v>32</v>
      </c>
      <c r="T131" s="14">
        <f>MATCH(D131,Allocation!A:A,0)</f>
        <v>11</v>
      </c>
    </row>
    <row r="132" spans="1:20" x14ac:dyDescent="0.35">
      <c r="A132" s="14" t="s">
        <v>31</v>
      </c>
      <c r="B132" s="14" t="s">
        <v>32</v>
      </c>
      <c r="C132" s="14" t="s">
        <v>6</v>
      </c>
      <c r="D132" s="14" t="s">
        <v>109</v>
      </c>
      <c r="E132" s="14">
        <v>150.71</v>
      </c>
      <c r="F132" s="14" t="s">
        <v>34</v>
      </c>
      <c r="G132" s="14" t="s">
        <v>110</v>
      </c>
      <c r="H132" s="14" t="s">
        <v>111</v>
      </c>
      <c r="I132" s="14" t="s">
        <v>110</v>
      </c>
      <c r="J132" s="14" t="s">
        <v>112</v>
      </c>
      <c r="K132" s="14" t="s">
        <v>113</v>
      </c>
      <c r="L132" s="14" t="s">
        <v>112</v>
      </c>
      <c r="M132" s="14" t="s">
        <v>114</v>
      </c>
      <c r="N132" s="14" t="s">
        <v>115</v>
      </c>
      <c r="O132" s="14" t="s">
        <v>114</v>
      </c>
      <c r="P132" s="14" t="s">
        <v>32</v>
      </c>
      <c r="T132" s="14">
        <f>MATCH(D132,Allocation!A:A,0)</f>
        <v>28</v>
      </c>
    </row>
    <row r="133" spans="1:20" x14ac:dyDescent="0.35">
      <c r="A133" s="14" t="s">
        <v>31</v>
      </c>
      <c r="B133" s="14" t="s">
        <v>37</v>
      </c>
      <c r="C133" s="14" t="s">
        <v>6</v>
      </c>
      <c r="D133" s="14" t="s">
        <v>109</v>
      </c>
      <c r="E133" s="14">
        <v>0</v>
      </c>
      <c r="F133" s="14" t="s">
        <v>34</v>
      </c>
      <c r="G133" s="14" t="s">
        <v>110</v>
      </c>
      <c r="H133" s="14" t="s">
        <v>111</v>
      </c>
      <c r="I133" s="14" t="s">
        <v>110</v>
      </c>
      <c r="J133" s="14" t="s">
        <v>112</v>
      </c>
      <c r="K133" s="14" t="s">
        <v>113</v>
      </c>
      <c r="L133" s="14" t="s">
        <v>112</v>
      </c>
      <c r="M133" s="14" t="s">
        <v>114</v>
      </c>
      <c r="N133" s="14" t="s">
        <v>115</v>
      </c>
      <c r="O133" s="14" t="s">
        <v>114</v>
      </c>
      <c r="P133" s="14" t="s">
        <v>32</v>
      </c>
      <c r="T133" s="14">
        <f>MATCH(D133,Allocation!A:A,0)</f>
        <v>28</v>
      </c>
    </row>
    <row r="134" spans="1:20" x14ac:dyDescent="0.35">
      <c r="A134" s="14" t="s">
        <v>185</v>
      </c>
      <c r="B134" s="14" t="s">
        <v>32</v>
      </c>
      <c r="C134" s="14" t="s">
        <v>8</v>
      </c>
      <c r="D134" s="14" t="s">
        <v>109</v>
      </c>
      <c r="E134" s="14">
        <v>-403.91</v>
      </c>
      <c r="F134" s="14" t="s">
        <v>187</v>
      </c>
      <c r="G134" s="14" t="s">
        <v>110</v>
      </c>
      <c r="H134" s="14" t="s">
        <v>111</v>
      </c>
      <c r="I134" s="14" t="s">
        <v>110</v>
      </c>
      <c r="J134" s="14" t="s">
        <v>112</v>
      </c>
      <c r="K134" s="14" t="s">
        <v>113</v>
      </c>
      <c r="L134" s="14" t="s">
        <v>112</v>
      </c>
      <c r="M134" s="14" t="s">
        <v>114</v>
      </c>
      <c r="N134" s="14" t="s">
        <v>115</v>
      </c>
      <c r="O134" s="14" t="s">
        <v>114</v>
      </c>
      <c r="P134" s="14" t="s">
        <v>32</v>
      </c>
      <c r="T134" s="14">
        <f>MATCH(D134,Allocation!A:A,0)</f>
        <v>28</v>
      </c>
    </row>
    <row r="135" spans="1:20" x14ac:dyDescent="0.35">
      <c r="A135" s="14" t="s">
        <v>191</v>
      </c>
      <c r="B135" s="14" t="s">
        <v>192</v>
      </c>
      <c r="C135" s="14" t="s">
        <v>9</v>
      </c>
      <c r="D135" s="14" t="s">
        <v>109</v>
      </c>
      <c r="E135" s="14">
        <v>-1189.1099999999999</v>
      </c>
      <c r="F135" s="14" t="s">
        <v>187</v>
      </c>
      <c r="G135" s="14" t="s">
        <v>110</v>
      </c>
      <c r="H135" s="14" t="s">
        <v>111</v>
      </c>
      <c r="I135" s="14" t="s">
        <v>110</v>
      </c>
      <c r="J135" s="14" t="s">
        <v>112</v>
      </c>
      <c r="K135" s="14" t="s">
        <v>113</v>
      </c>
      <c r="L135" s="14" t="s">
        <v>112</v>
      </c>
      <c r="M135" s="14" t="s">
        <v>114</v>
      </c>
      <c r="N135" s="14" t="s">
        <v>115</v>
      </c>
      <c r="O135" s="14" t="s">
        <v>114</v>
      </c>
      <c r="P135" s="14" t="s">
        <v>32</v>
      </c>
      <c r="T135" s="14">
        <f>MATCH(D135,Allocation!A:A,0)</f>
        <v>28</v>
      </c>
    </row>
    <row r="136" spans="1:20" x14ac:dyDescent="0.35">
      <c r="A136" s="14" t="s">
        <v>193</v>
      </c>
      <c r="B136" s="14" t="s">
        <v>194</v>
      </c>
      <c r="C136" s="14" t="s">
        <v>10</v>
      </c>
      <c r="D136" s="14" t="s">
        <v>109</v>
      </c>
      <c r="E136" s="14">
        <v>1442.31</v>
      </c>
      <c r="F136" s="14" t="s">
        <v>34</v>
      </c>
      <c r="G136" s="14" t="s">
        <v>110</v>
      </c>
      <c r="H136" s="14" t="s">
        <v>111</v>
      </c>
      <c r="I136" s="14" t="s">
        <v>110</v>
      </c>
      <c r="J136" s="14" t="s">
        <v>112</v>
      </c>
      <c r="K136" s="14" t="s">
        <v>113</v>
      </c>
      <c r="L136" s="14" t="s">
        <v>112</v>
      </c>
      <c r="M136" s="14" t="s">
        <v>114</v>
      </c>
      <c r="N136" s="14" t="s">
        <v>115</v>
      </c>
      <c r="O136" s="14" t="s">
        <v>114</v>
      </c>
      <c r="P136" s="14" t="s">
        <v>32</v>
      </c>
      <c r="T136" s="14">
        <f>MATCH(D136,Allocation!A:A,0)</f>
        <v>28</v>
      </c>
    </row>
    <row r="137" spans="1:20" x14ac:dyDescent="0.35">
      <c r="A137" s="14" t="s">
        <v>195</v>
      </c>
      <c r="B137" s="14" t="s">
        <v>192</v>
      </c>
      <c r="C137" s="14" t="s">
        <v>9</v>
      </c>
      <c r="D137" s="14" t="s">
        <v>109</v>
      </c>
      <c r="E137" s="14">
        <v>-403.91</v>
      </c>
      <c r="F137" s="14" t="s">
        <v>187</v>
      </c>
      <c r="G137" s="14" t="s">
        <v>110</v>
      </c>
      <c r="H137" s="14" t="s">
        <v>111</v>
      </c>
      <c r="I137" s="14" t="s">
        <v>110</v>
      </c>
      <c r="J137" s="14" t="s">
        <v>112</v>
      </c>
      <c r="K137" s="14" t="s">
        <v>113</v>
      </c>
      <c r="L137" s="14" t="s">
        <v>112</v>
      </c>
      <c r="M137" s="14" t="s">
        <v>114</v>
      </c>
      <c r="N137" s="14" t="s">
        <v>115</v>
      </c>
      <c r="O137" s="14" t="s">
        <v>114</v>
      </c>
      <c r="P137" s="14" t="s">
        <v>32</v>
      </c>
      <c r="T137" s="14">
        <f>MATCH(D137,Allocation!A:A,0)</f>
        <v>28</v>
      </c>
    </row>
    <row r="138" spans="1:20" x14ac:dyDescent="0.35">
      <c r="A138" s="14" t="s">
        <v>195</v>
      </c>
      <c r="B138" s="14" t="s">
        <v>32</v>
      </c>
      <c r="C138" s="14" t="s">
        <v>8</v>
      </c>
      <c r="D138" s="14" t="s">
        <v>109</v>
      </c>
      <c r="E138" s="14">
        <v>403.91</v>
      </c>
      <c r="F138" s="14" t="s">
        <v>34</v>
      </c>
      <c r="G138" s="14" t="s">
        <v>110</v>
      </c>
      <c r="H138" s="14" t="s">
        <v>111</v>
      </c>
      <c r="I138" s="14" t="s">
        <v>110</v>
      </c>
      <c r="J138" s="14" t="s">
        <v>112</v>
      </c>
      <c r="K138" s="14" t="s">
        <v>113</v>
      </c>
      <c r="L138" s="14" t="s">
        <v>112</v>
      </c>
      <c r="M138" s="14" t="s">
        <v>114</v>
      </c>
      <c r="N138" s="14" t="s">
        <v>115</v>
      </c>
      <c r="O138" s="14" t="s">
        <v>114</v>
      </c>
      <c r="P138" s="14" t="s">
        <v>32</v>
      </c>
      <c r="T138" s="14">
        <f>MATCH(D138,Allocation!A:A,0)</f>
        <v>28</v>
      </c>
    </row>
    <row r="139" spans="1:20" x14ac:dyDescent="0.35">
      <c r="A139" s="14" t="s">
        <v>31</v>
      </c>
      <c r="B139" s="14" t="s">
        <v>32</v>
      </c>
      <c r="C139" s="14" t="s">
        <v>6</v>
      </c>
      <c r="D139" s="14" t="s">
        <v>116</v>
      </c>
      <c r="E139" s="14">
        <v>169.67</v>
      </c>
      <c r="F139" s="14" t="s">
        <v>34</v>
      </c>
      <c r="G139" s="14" t="s">
        <v>110</v>
      </c>
      <c r="H139" s="14" t="s">
        <v>111</v>
      </c>
      <c r="I139" s="14" t="s">
        <v>110</v>
      </c>
      <c r="J139" s="14" t="s">
        <v>99</v>
      </c>
      <c r="K139" s="14" t="s">
        <v>100</v>
      </c>
      <c r="L139" s="14" t="s">
        <v>99</v>
      </c>
      <c r="M139" s="14" t="s">
        <v>62</v>
      </c>
      <c r="N139" s="14" t="s">
        <v>63</v>
      </c>
      <c r="O139" s="14" t="s">
        <v>62</v>
      </c>
      <c r="P139" s="14" t="s">
        <v>32</v>
      </c>
      <c r="T139" s="14">
        <f>MATCH(D139,Allocation!A:A,0)</f>
        <v>36</v>
      </c>
    </row>
    <row r="140" spans="1:20" x14ac:dyDescent="0.35">
      <c r="A140" s="14" t="s">
        <v>31</v>
      </c>
      <c r="B140" s="14" t="s">
        <v>37</v>
      </c>
      <c r="C140" s="14" t="s">
        <v>6</v>
      </c>
      <c r="D140" s="14" t="s">
        <v>116</v>
      </c>
      <c r="E140" s="14">
        <v>0</v>
      </c>
      <c r="F140" s="14" t="s">
        <v>34</v>
      </c>
      <c r="G140" s="14" t="s">
        <v>110</v>
      </c>
      <c r="H140" s="14" t="s">
        <v>111</v>
      </c>
      <c r="I140" s="14" t="s">
        <v>110</v>
      </c>
      <c r="J140" s="14" t="s">
        <v>99</v>
      </c>
      <c r="K140" s="14" t="s">
        <v>100</v>
      </c>
      <c r="L140" s="14" t="s">
        <v>99</v>
      </c>
      <c r="M140" s="14" t="s">
        <v>62</v>
      </c>
      <c r="N140" s="14" t="s">
        <v>63</v>
      </c>
      <c r="O140" s="14" t="s">
        <v>62</v>
      </c>
      <c r="P140" s="14" t="s">
        <v>32</v>
      </c>
      <c r="T140" s="14">
        <f>MATCH(D140,Allocation!A:A,0)</f>
        <v>36</v>
      </c>
    </row>
    <row r="141" spans="1:20" x14ac:dyDescent="0.35">
      <c r="A141" s="14" t="s">
        <v>185</v>
      </c>
      <c r="B141" s="14" t="s">
        <v>188</v>
      </c>
      <c r="C141" s="14" t="s">
        <v>7</v>
      </c>
      <c r="D141" s="14" t="s">
        <v>116</v>
      </c>
      <c r="E141" s="14">
        <v>-67.91</v>
      </c>
      <c r="F141" s="14" t="s">
        <v>187</v>
      </c>
      <c r="G141" s="14" t="s">
        <v>110</v>
      </c>
      <c r="H141" s="14" t="s">
        <v>111</v>
      </c>
      <c r="I141" s="14" t="s">
        <v>110</v>
      </c>
      <c r="J141" s="14" t="s">
        <v>99</v>
      </c>
      <c r="K141" s="14" t="s">
        <v>100</v>
      </c>
      <c r="L141" s="14" t="s">
        <v>99</v>
      </c>
      <c r="M141" s="14" t="s">
        <v>62</v>
      </c>
      <c r="N141" s="14" t="s">
        <v>63</v>
      </c>
      <c r="O141" s="14" t="s">
        <v>62</v>
      </c>
      <c r="P141" s="14" t="s">
        <v>32</v>
      </c>
      <c r="T141" s="14">
        <f>MATCH(D141,Allocation!A:A,0)</f>
        <v>36</v>
      </c>
    </row>
    <row r="142" spans="1:20" x14ac:dyDescent="0.35">
      <c r="A142" s="14" t="s">
        <v>185</v>
      </c>
      <c r="B142" s="14" t="s">
        <v>32</v>
      </c>
      <c r="C142" s="14" t="s">
        <v>8</v>
      </c>
      <c r="D142" s="14" t="s">
        <v>116</v>
      </c>
      <c r="E142" s="14">
        <v>-737.47</v>
      </c>
      <c r="F142" s="14" t="s">
        <v>187</v>
      </c>
      <c r="G142" s="14" t="s">
        <v>110</v>
      </c>
      <c r="H142" s="14" t="s">
        <v>111</v>
      </c>
      <c r="I142" s="14" t="s">
        <v>110</v>
      </c>
      <c r="J142" s="14" t="s">
        <v>99</v>
      </c>
      <c r="K142" s="14" t="s">
        <v>100</v>
      </c>
      <c r="L142" s="14" t="s">
        <v>99</v>
      </c>
      <c r="M142" s="14" t="s">
        <v>62</v>
      </c>
      <c r="N142" s="14" t="s">
        <v>63</v>
      </c>
      <c r="O142" s="14" t="s">
        <v>62</v>
      </c>
      <c r="P142" s="14" t="s">
        <v>32</v>
      </c>
      <c r="T142" s="14">
        <f>MATCH(D142,Allocation!A:A,0)</f>
        <v>36</v>
      </c>
    </row>
    <row r="143" spans="1:20" x14ac:dyDescent="0.35">
      <c r="A143" s="14" t="s">
        <v>191</v>
      </c>
      <c r="B143" s="14" t="s">
        <v>192</v>
      </c>
      <c r="C143" s="14" t="s">
        <v>9</v>
      </c>
      <c r="D143" s="14" t="s">
        <v>116</v>
      </c>
      <c r="E143" s="14">
        <v>-1652.59</v>
      </c>
      <c r="F143" s="14" t="s">
        <v>187</v>
      </c>
      <c r="G143" s="14" t="s">
        <v>110</v>
      </c>
      <c r="H143" s="14" t="s">
        <v>111</v>
      </c>
      <c r="I143" s="14" t="s">
        <v>110</v>
      </c>
      <c r="J143" s="14" t="s">
        <v>99</v>
      </c>
      <c r="K143" s="14" t="s">
        <v>100</v>
      </c>
      <c r="L143" s="14" t="s">
        <v>99</v>
      </c>
      <c r="M143" s="14" t="s">
        <v>62</v>
      </c>
      <c r="N143" s="14" t="s">
        <v>63</v>
      </c>
      <c r="O143" s="14" t="s">
        <v>62</v>
      </c>
      <c r="P143" s="14" t="s">
        <v>32</v>
      </c>
      <c r="T143" s="14">
        <f>MATCH(D143,Allocation!A:A,0)</f>
        <v>36</v>
      </c>
    </row>
    <row r="144" spans="1:20" x14ac:dyDescent="0.35">
      <c r="A144" s="14" t="s">
        <v>193</v>
      </c>
      <c r="B144" s="14" t="s">
        <v>194</v>
      </c>
      <c r="C144" s="14" t="s">
        <v>10</v>
      </c>
      <c r="D144" s="14" t="s">
        <v>116</v>
      </c>
      <c r="E144" s="14">
        <v>2288.3000000000002</v>
      </c>
      <c r="F144" s="14" t="s">
        <v>34</v>
      </c>
      <c r="G144" s="14" t="s">
        <v>110</v>
      </c>
      <c r="H144" s="14" t="s">
        <v>111</v>
      </c>
      <c r="I144" s="14" t="s">
        <v>110</v>
      </c>
      <c r="J144" s="14" t="s">
        <v>99</v>
      </c>
      <c r="K144" s="14" t="s">
        <v>100</v>
      </c>
      <c r="L144" s="14" t="s">
        <v>99</v>
      </c>
      <c r="M144" s="14" t="s">
        <v>62</v>
      </c>
      <c r="N144" s="14" t="s">
        <v>63</v>
      </c>
      <c r="O144" s="14" t="s">
        <v>62</v>
      </c>
      <c r="P144" s="14" t="s">
        <v>32</v>
      </c>
      <c r="T144" s="14">
        <f>MATCH(D144,Allocation!A:A,0)</f>
        <v>36</v>
      </c>
    </row>
    <row r="145" spans="1:20" x14ac:dyDescent="0.35">
      <c r="A145" s="14" t="s">
        <v>195</v>
      </c>
      <c r="B145" s="14" t="s">
        <v>192</v>
      </c>
      <c r="C145" s="14" t="s">
        <v>9</v>
      </c>
      <c r="D145" s="14" t="s">
        <v>116</v>
      </c>
      <c r="E145" s="14">
        <v>-737.47</v>
      </c>
      <c r="F145" s="14" t="s">
        <v>187</v>
      </c>
      <c r="G145" s="14" t="s">
        <v>110</v>
      </c>
      <c r="H145" s="14" t="s">
        <v>111</v>
      </c>
      <c r="I145" s="14" t="s">
        <v>110</v>
      </c>
      <c r="J145" s="14" t="s">
        <v>99</v>
      </c>
      <c r="K145" s="14" t="s">
        <v>100</v>
      </c>
      <c r="L145" s="14" t="s">
        <v>99</v>
      </c>
      <c r="M145" s="14" t="s">
        <v>62</v>
      </c>
      <c r="N145" s="14" t="s">
        <v>63</v>
      </c>
      <c r="O145" s="14" t="s">
        <v>62</v>
      </c>
      <c r="P145" s="14" t="s">
        <v>32</v>
      </c>
      <c r="T145" s="14">
        <f>MATCH(D145,Allocation!A:A,0)</f>
        <v>36</v>
      </c>
    </row>
    <row r="146" spans="1:20" x14ac:dyDescent="0.35">
      <c r="A146" s="14" t="s">
        <v>195</v>
      </c>
      <c r="B146" s="14" t="s">
        <v>32</v>
      </c>
      <c r="C146" s="14" t="s">
        <v>8</v>
      </c>
      <c r="D146" s="14" t="s">
        <v>116</v>
      </c>
      <c r="E146" s="14">
        <v>737.47</v>
      </c>
      <c r="F146" s="14" t="s">
        <v>34</v>
      </c>
      <c r="G146" s="14" t="s">
        <v>110</v>
      </c>
      <c r="H146" s="14" t="s">
        <v>111</v>
      </c>
      <c r="I146" s="14" t="s">
        <v>110</v>
      </c>
      <c r="J146" s="14" t="s">
        <v>99</v>
      </c>
      <c r="K146" s="14" t="s">
        <v>100</v>
      </c>
      <c r="L146" s="14" t="s">
        <v>99</v>
      </c>
      <c r="M146" s="14" t="s">
        <v>62</v>
      </c>
      <c r="N146" s="14" t="s">
        <v>63</v>
      </c>
      <c r="O146" s="14" t="s">
        <v>62</v>
      </c>
      <c r="P146" s="14" t="s">
        <v>32</v>
      </c>
      <c r="T146" s="14">
        <f>MATCH(D146,Allocation!A:A,0)</f>
        <v>36</v>
      </c>
    </row>
    <row r="147" spans="1:20" x14ac:dyDescent="0.35">
      <c r="A147" s="14" t="s">
        <v>31</v>
      </c>
      <c r="B147" s="14" t="s">
        <v>32</v>
      </c>
      <c r="C147" s="14" t="s">
        <v>6</v>
      </c>
      <c r="D147" s="14" t="s">
        <v>117</v>
      </c>
      <c r="E147" s="14">
        <v>112.68</v>
      </c>
      <c r="F147" s="14" t="s">
        <v>34</v>
      </c>
      <c r="G147" s="14" t="s">
        <v>118</v>
      </c>
      <c r="H147" s="14" t="s">
        <v>119</v>
      </c>
      <c r="I147" s="14" t="s">
        <v>120</v>
      </c>
      <c r="J147" s="14" t="s">
        <v>121</v>
      </c>
      <c r="K147" s="14" t="s">
        <v>122</v>
      </c>
      <c r="L147" s="14" t="s">
        <v>121</v>
      </c>
      <c r="M147" s="14" t="s">
        <v>123</v>
      </c>
      <c r="N147" s="14" t="s">
        <v>124</v>
      </c>
      <c r="O147" s="14" t="s">
        <v>123</v>
      </c>
      <c r="P147" s="14" t="s">
        <v>32</v>
      </c>
      <c r="T147" s="14">
        <f>MATCH(D147,Allocation!A:A,0)</f>
        <v>10</v>
      </c>
    </row>
    <row r="148" spans="1:20" x14ac:dyDescent="0.35">
      <c r="A148" s="14" t="s">
        <v>31</v>
      </c>
      <c r="B148" s="14" t="s">
        <v>37</v>
      </c>
      <c r="C148" s="14" t="s">
        <v>6</v>
      </c>
      <c r="D148" s="14" t="s">
        <v>117</v>
      </c>
      <c r="E148" s="14">
        <v>0</v>
      </c>
      <c r="F148" s="14" t="s">
        <v>34</v>
      </c>
      <c r="G148" s="14" t="s">
        <v>118</v>
      </c>
      <c r="H148" s="14" t="s">
        <v>119</v>
      </c>
      <c r="I148" s="14" t="s">
        <v>120</v>
      </c>
      <c r="J148" s="14" t="s">
        <v>121</v>
      </c>
      <c r="K148" s="14" t="s">
        <v>122</v>
      </c>
      <c r="L148" s="14" t="s">
        <v>121</v>
      </c>
      <c r="M148" s="14" t="s">
        <v>123</v>
      </c>
      <c r="N148" s="14" t="s">
        <v>124</v>
      </c>
      <c r="O148" s="14" t="s">
        <v>123</v>
      </c>
      <c r="P148" s="14" t="s">
        <v>32</v>
      </c>
      <c r="T148" s="14">
        <f>MATCH(D148,Allocation!A:A,0)</f>
        <v>10</v>
      </c>
    </row>
    <row r="149" spans="1:20" x14ac:dyDescent="0.35">
      <c r="A149" s="14" t="s">
        <v>185</v>
      </c>
      <c r="B149" s="14" t="s">
        <v>188</v>
      </c>
      <c r="C149" s="14" t="s">
        <v>7</v>
      </c>
      <c r="D149" s="14" t="s">
        <v>117</v>
      </c>
      <c r="E149" s="14">
        <v>-103.26</v>
      </c>
      <c r="F149" s="14" t="s">
        <v>187</v>
      </c>
      <c r="G149" s="14" t="s">
        <v>118</v>
      </c>
      <c r="H149" s="14" t="s">
        <v>119</v>
      </c>
      <c r="I149" s="14" t="s">
        <v>120</v>
      </c>
      <c r="J149" s="14" t="s">
        <v>121</v>
      </c>
      <c r="K149" s="14" t="s">
        <v>122</v>
      </c>
      <c r="L149" s="14" t="s">
        <v>121</v>
      </c>
      <c r="M149" s="14" t="s">
        <v>123</v>
      </c>
      <c r="N149" s="14" t="s">
        <v>124</v>
      </c>
      <c r="O149" s="14" t="s">
        <v>123</v>
      </c>
      <c r="P149" s="14" t="s">
        <v>32</v>
      </c>
      <c r="T149" s="14">
        <f>MATCH(D149,Allocation!A:A,0)</f>
        <v>10</v>
      </c>
    </row>
    <row r="150" spans="1:20" x14ac:dyDescent="0.35">
      <c r="A150" s="14" t="s">
        <v>185</v>
      </c>
      <c r="B150" s="14" t="s">
        <v>32</v>
      </c>
      <c r="C150" s="14" t="s">
        <v>8</v>
      </c>
      <c r="D150" s="14" t="s">
        <v>117</v>
      </c>
      <c r="E150" s="14">
        <v>-320.99</v>
      </c>
      <c r="F150" s="14" t="s">
        <v>187</v>
      </c>
      <c r="G150" s="14" t="s">
        <v>118</v>
      </c>
      <c r="H150" s="14" t="s">
        <v>119</v>
      </c>
      <c r="I150" s="14" t="s">
        <v>120</v>
      </c>
      <c r="J150" s="14" t="s">
        <v>121</v>
      </c>
      <c r="K150" s="14" t="s">
        <v>122</v>
      </c>
      <c r="L150" s="14" t="s">
        <v>121</v>
      </c>
      <c r="M150" s="14" t="s">
        <v>123</v>
      </c>
      <c r="N150" s="14" t="s">
        <v>124</v>
      </c>
      <c r="O150" s="14" t="s">
        <v>123</v>
      </c>
      <c r="P150" s="14" t="s">
        <v>32</v>
      </c>
      <c r="T150" s="14">
        <f>MATCH(D150,Allocation!A:A,0)</f>
        <v>10</v>
      </c>
    </row>
    <row r="151" spans="1:20" x14ac:dyDescent="0.35">
      <c r="A151" s="14" t="s">
        <v>191</v>
      </c>
      <c r="B151" s="14" t="s">
        <v>192</v>
      </c>
      <c r="C151" s="14" t="s">
        <v>9</v>
      </c>
      <c r="D151" s="14" t="s">
        <v>117</v>
      </c>
      <c r="E151" s="14">
        <v>-842.28</v>
      </c>
      <c r="F151" s="14" t="s">
        <v>187</v>
      </c>
      <c r="G151" s="14" t="s">
        <v>118</v>
      </c>
      <c r="H151" s="14" t="s">
        <v>119</v>
      </c>
      <c r="I151" s="14" t="s">
        <v>120</v>
      </c>
      <c r="J151" s="14" t="s">
        <v>121</v>
      </c>
      <c r="K151" s="14" t="s">
        <v>122</v>
      </c>
      <c r="L151" s="14" t="s">
        <v>121</v>
      </c>
      <c r="M151" s="14" t="s">
        <v>123</v>
      </c>
      <c r="N151" s="14" t="s">
        <v>124</v>
      </c>
      <c r="O151" s="14" t="s">
        <v>123</v>
      </c>
      <c r="P151" s="14" t="s">
        <v>32</v>
      </c>
      <c r="T151" s="14">
        <f>MATCH(D151,Allocation!A:A,0)</f>
        <v>10</v>
      </c>
    </row>
    <row r="152" spans="1:20" x14ac:dyDescent="0.35">
      <c r="A152" s="14" t="s">
        <v>193</v>
      </c>
      <c r="B152" s="14" t="s">
        <v>194</v>
      </c>
      <c r="C152" s="14" t="s">
        <v>10</v>
      </c>
      <c r="D152" s="14" t="s">
        <v>117</v>
      </c>
      <c r="E152" s="14">
        <v>1153.8499999999999</v>
      </c>
      <c r="F152" s="14" t="s">
        <v>34</v>
      </c>
      <c r="G152" s="14" t="s">
        <v>118</v>
      </c>
      <c r="H152" s="14" t="s">
        <v>119</v>
      </c>
      <c r="I152" s="14" t="s">
        <v>120</v>
      </c>
      <c r="J152" s="14" t="s">
        <v>121</v>
      </c>
      <c r="K152" s="14" t="s">
        <v>122</v>
      </c>
      <c r="L152" s="14" t="s">
        <v>121</v>
      </c>
      <c r="M152" s="14" t="s">
        <v>123</v>
      </c>
      <c r="N152" s="14" t="s">
        <v>124</v>
      </c>
      <c r="O152" s="14" t="s">
        <v>123</v>
      </c>
      <c r="P152" s="14" t="s">
        <v>32</v>
      </c>
      <c r="T152" s="14">
        <f>MATCH(D152,Allocation!A:A,0)</f>
        <v>10</v>
      </c>
    </row>
    <row r="153" spans="1:20" x14ac:dyDescent="0.35">
      <c r="A153" s="14" t="s">
        <v>195</v>
      </c>
      <c r="B153" s="14" t="s">
        <v>192</v>
      </c>
      <c r="C153" s="14" t="s">
        <v>9</v>
      </c>
      <c r="D153" s="14" t="s">
        <v>117</v>
      </c>
      <c r="E153" s="14">
        <v>-320.99</v>
      </c>
      <c r="F153" s="14" t="s">
        <v>187</v>
      </c>
      <c r="G153" s="14" t="s">
        <v>118</v>
      </c>
      <c r="H153" s="14" t="s">
        <v>119</v>
      </c>
      <c r="I153" s="14" t="s">
        <v>120</v>
      </c>
      <c r="J153" s="14" t="s">
        <v>121</v>
      </c>
      <c r="K153" s="14" t="s">
        <v>122</v>
      </c>
      <c r="L153" s="14" t="s">
        <v>121</v>
      </c>
      <c r="M153" s="14" t="s">
        <v>123</v>
      </c>
      <c r="N153" s="14" t="s">
        <v>124</v>
      </c>
      <c r="O153" s="14" t="s">
        <v>123</v>
      </c>
      <c r="P153" s="14" t="s">
        <v>32</v>
      </c>
      <c r="T153" s="14">
        <f>MATCH(D153,Allocation!A:A,0)</f>
        <v>10</v>
      </c>
    </row>
    <row r="154" spans="1:20" x14ac:dyDescent="0.35">
      <c r="A154" s="14" t="s">
        <v>195</v>
      </c>
      <c r="B154" s="14" t="s">
        <v>32</v>
      </c>
      <c r="C154" s="14" t="s">
        <v>8</v>
      </c>
      <c r="D154" s="14" t="s">
        <v>117</v>
      </c>
      <c r="E154" s="14">
        <v>320.99</v>
      </c>
      <c r="F154" s="14" t="s">
        <v>34</v>
      </c>
      <c r="G154" s="14" t="s">
        <v>118</v>
      </c>
      <c r="H154" s="14" t="s">
        <v>119</v>
      </c>
      <c r="I154" s="14" t="s">
        <v>120</v>
      </c>
      <c r="J154" s="14" t="s">
        <v>121</v>
      </c>
      <c r="K154" s="14" t="s">
        <v>122</v>
      </c>
      <c r="L154" s="14" t="s">
        <v>121</v>
      </c>
      <c r="M154" s="14" t="s">
        <v>123</v>
      </c>
      <c r="N154" s="14" t="s">
        <v>124</v>
      </c>
      <c r="O154" s="14" t="s">
        <v>123</v>
      </c>
      <c r="P154" s="14" t="s">
        <v>32</v>
      </c>
      <c r="T154" s="14">
        <f>MATCH(D154,Allocation!A:A,0)</f>
        <v>10</v>
      </c>
    </row>
    <row r="155" spans="1:20" x14ac:dyDescent="0.35">
      <c r="A155" s="14" t="s">
        <v>31</v>
      </c>
      <c r="B155" s="14" t="s">
        <v>32</v>
      </c>
      <c r="C155" s="14" t="s">
        <v>6</v>
      </c>
      <c r="D155" s="14" t="s">
        <v>125</v>
      </c>
      <c r="E155" s="14">
        <v>90.42</v>
      </c>
      <c r="F155" s="14" t="s">
        <v>34</v>
      </c>
      <c r="G155" s="14" t="s">
        <v>120</v>
      </c>
      <c r="H155" s="14" t="s">
        <v>119</v>
      </c>
      <c r="I155" s="14" t="s">
        <v>120</v>
      </c>
      <c r="J155" s="14" t="s">
        <v>126</v>
      </c>
      <c r="K155" s="14" t="s">
        <v>127</v>
      </c>
      <c r="L155" s="14" t="s">
        <v>126</v>
      </c>
      <c r="M155" s="14" t="s">
        <v>123</v>
      </c>
      <c r="N155" s="14" t="s">
        <v>124</v>
      </c>
      <c r="O155" s="14" t="s">
        <v>123</v>
      </c>
      <c r="P155" s="14" t="s">
        <v>32</v>
      </c>
      <c r="T155" s="14">
        <f>MATCH(D155,Allocation!A:A,0)</f>
        <v>22</v>
      </c>
    </row>
    <row r="156" spans="1:20" x14ac:dyDescent="0.35">
      <c r="A156" s="14" t="s">
        <v>31</v>
      </c>
      <c r="B156" s="14" t="s">
        <v>37</v>
      </c>
      <c r="C156" s="14" t="s">
        <v>6</v>
      </c>
      <c r="D156" s="14" t="s">
        <v>125</v>
      </c>
      <c r="E156" s="14">
        <v>0</v>
      </c>
      <c r="F156" s="14" t="s">
        <v>34</v>
      </c>
      <c r="G156" s="14" t="s">
        <v>120</v>
      </c>
      <c r="H156" s="14" t="s">
        <v>119</v>
      </c>
      <c r="I156" s="14" t="s">
        <v>120</v>
      </c>
      <c r="J156" s="14" t="s">
        <v>126</v>
      </c>
      <c r="K156" s="14" t="s">
        <v>127</v>
      </c>
      <c r="L156" s="14" t="s">
        <v>126</v>
      </c>
      <c r="M156" s="14" t="s">
        <v>123</v>
      </c>
      <c r="N156" s="14" t="s">
        <v>124</v>
      </c>
      <c r="O156" s="14" t="s">
        <v>123</v>
      </c>
      <c r="P156" s="14" t="s">
        <v>32</v>
      </c>
      <c r="T156" s="14">
        <f>MATCH(D156,Allocation!A:A,0)</f>
        <v>22</v>
      </c>
    </row>
    <row r="157" spans="1:20" x14ac:dyDescent="0.35">
      <c r="A157" s="14" t="s">
        <v>185</v>
      </c>
      <c r="B157" s="14" t="s">
        <v>32</v>
      </c>
      <c r="C157" s="14" t="s">
        <v>8</v>
      </c>
      <c r="D157" s="14" t="s">
        <v>125</v>
      </c>
      <c r="E157" s="14">
        <v>-214.42</v>
      </c>
      <c r="F157" s="14" t="s">
        <v>187</v>
      </c>
      <c r="G157" s="14" t="s">
        <v>120</v>
      </c>
      <c r="H157" s="14" t="s">
        <v>119</v>
      </c>
      <c r="I157" s="14" t="s">
        <v>120</v>
      </c>
      <c r="J157" s="14" t="s">
        <v>126</v>
      </c>
      <c r="K157" s="14" t="s">
        <v>127</v>
      </c>
      <c r="L157" s="14" t="s">
        <v>126</v>
      </c>
      <c r="M157" s="14" t="s">
        <v>123</v>
      </c>
      <c r="N157" s="14" t="s">
        <v>124</v>
      </c>
      <c r="O157" s="14" t="s">
        <v>123</v>
      </c>
      <c r="P157" s="14" t="s">
        <v>32</v>
      </c>
      <c r="T157" s="14">
        <f>MATCH(D157,Allocation!A:A,0)</f>
        <v>22</v>
      </c>
    </row>
    <row r="158" spans="1:20" x14ac:dyDescent="0.35">
      <c r="A158" s="14" t="s">
        <v>191</v>
      </c>
      <c r="B158" s="14" t="s">
        <v>192</v>
      </c>
      <c r="C158" s="14" t="s">
        <v>9</v>
      </c>
      <c r="D158" s="14" t="s">
        <v>125</v>
      </c>
      <c r="E158" s="14">
        <v>-741.2</v>
      </c>
      <c r="F158" s="14" t="s">
        <v>187</v>
      </c>
      <c r="G158" s="14" t="s">
        <v>120</v>
      </c>
      <c r="H158" s="14" t="s">
        <v>119</v>
      </c>
      <c r="I158" s="14" t="s">
        <v>120</v>
      </c>
      <c r="J158" s="14" t="s">
        <v>126</v>
      </c>
      <c r="K158" s="14" t="s">
        <v>127</v>
      </c>
      <c r="L158" s="14" t="s">
        <v>126</v>
      </c>
      <c r="M158" s="14" t="s">
        <v>123</v>
      </c>
      <c r="N158" s="14" t="s">
        <v>124</v>
      </c>
      <c r="O158" s="14" t="s">
        <v>123</v>
      </c>
      <c r="P158" s="14" t="s">
        <v>32</v>
      </c>
      <c r="T158" s="14">
        <f>MATCH(D158,Allocation!A:A,0)</f>
        <v>22</v>
      </c>
    </row>
    <row r="159" spans="1:20" x14ac:dyDescent="0.35">
      <c r="A159" s="14" t="s">
        <v>193</v>
      </c>
      <c r="B159" s="14" t="s">
        <v>194</v>
      </c>
      <c r="C159" s="14" t="s">
        <v>10</v>
      </c>
      <c r="D159" s="14" t="s">
        <v>125</v>
      </c>
      <c r="E159" s="14">
        <v>865.2</v>
      </c>
      <c r="F159" s="14" t="s">
        <v>34</v>
      </c>
      <c r="G159" s="14" t="s">
        <v>120</v>
      </c>
      <c r="H159" s="14" t="s">
        <v>119</v>
      </c>
      <c r="I159" s="14" t="s">
        <v>120</v>
      </c>
      <c r="J159" s="14" t="s">
        <v>126</v>
      </c>
      <c r="K159" s="14" t="s">
        <v>127</v>
      </c>
      <c r="L159" s="14" t="s">
        <v>126</v>
      </c>
      <c r="M159" s="14" t="s">
        <v>123</v>
      </c>
      <c r="N159" s="14" t="s">
        <v>124</v>
      </c>
      <c r="O159" s="14" t="s">
        <v>123</v>
      </c>
      <c r="P159" s="14" t="s">
        <v>32</v>
      </c>
      <c r="T159" s="14">
        <f>MATCH(D159,Allocation!A:A,0)</f>
        <v>22</v>
      </c>
    </row>
    <row r="160" spans="1:20" x14ac:dyDescent="0.35">
      <c r="A160" s="14" t="s">
        <v>195</v>
      </c>
      <c r="B160" s="14" t="s">
        <v>192</v>
      </c>
      <c r="C160" s="14" t="s">
        <v>9</v>
      </c>
      <c r="D160" s="14" t="s">
        <v>125</v>
      </c>
      <c r="E160" s="14">
        <v>-214.42</v>
      </c>
      <c r="F160" s="14" t="s">
        <v>187</v>
      </c>
      <c r="G160" s="14" t="s">
        <v>120</v>
      </c>
      <c r="H160" s="14" t="s">
        <v>119</v>
      </c>
      <c r="I160" s="14" t="s">
        <v>120</v>
      </c>
      <c r="J160" s="14" t="s">
        <v>126</v>
      </c>
      <c r="K160" s="14" t="s">
        <v>127</v>
      </c>
      <c r="L160" s="14" t="s">
        <v>126</v>
      </c>
      <c r="M160" s="14" t="s">
        <v>123</v>
      </c>
      <c r="N160" s="14" t="s">
        <v>124</v>
      </c>
      <c r="O160" s="14" t="s">
        <v>123</v>
      </c>
      <c r="P160" s="14" t="s">
        <v>32</v>
      </c>
      <c r="T160" s="14">
        <f>MATCH(D160,Allocation!A:A,0)</f>
        <v>22</v>
      </c>
    </row>
    <row r="161" spans="1:20" x14ac:dyDescent="0.35">
      <c r="A161" s="14" t="s">
        <v>195</v>
      </c>
      <c r="B161" s="14" t="s">
        <v>32</v>
      </c>
      <c r="C161" s="14" t="s">
        <v>8</v>
      </c>
      <c r="D161" s="14" t="s">
        <v>125</v>
      </c>
      <c r="E161" s="14">
        <v>214.42</v>
      </c>
      <c r="F161" s="14" t="s">
        <v>34</v>
      </c>
      <c r="G161" s="14" t="s">
        <v>120</v>
      </c>
      <c r="H161" s="14" t="s">
        <v>119</v>
      </c>
      <c r="I161" s="14" t="s">
        <v>120</v>
      </c>
      <c r="J161" s="14" t="s">
        <v>126</v>
      </c>
      <c r="K161" s="14" t="s">
        <v>127</v>
      </c>
      <c r="L161" s="14" t="s">
        <v>126</v>
      </c>
      <c r="M161" s="14" t="s">
        <v>123</v>
      </c>
      <c r="N161" s="14" t="s">
        <v>124</v>
      </c>
      <c r="O161" s="14" t="s">
        <v>123</v>
      </c>
      <c r="P161" s="14" t="s">
        <v>32</v>
      </c>
      <c r="T161" s="14">
        <f>MATCH(D161,Allocation!A:A,0)</f>
        <v>22</v>
      </c>
    </row>
    <row r="162" spans="1:20" x14ac:dyDescent="0.35">
      <c r="A162" s="14" t="s">
        <v>31</v>
      </c>
      <c r="B162" s="14" t="s">
        <v>32</v>
      </c>
      <c r="C162" s="14" t="s">
        <v>6</v>
      </c>
      <c r="D162" s="14" t="s">
        <v>128</v>
      </c>
      <c r="E162" s="14">
        <v>183.56</v>
      </c>
      <c r="F162" s="14" t="s">
        <v>34</v>
      </c>
      <c r="G162" s="14" t="s">
        <v>118</v>
      </c>
      <c r="H162" s="14" t="s">
        <v>119</v>
      </c>
      <c r="I162" s="14" t="s">
        <v>120</v>
      </c>
      <c r="J162" s="14" t="s">
        <v>129</v>
      </c>
      <c r="K162" s="14" t="s">
        <v>130</v>
      </c>
      <c r="L162" s="14" t="s">
        <v>129</v>
      </c>
      <c r="M162" s="14" t="s">
        <v>123</v>
      </c>
      <c r="N162" s="14" t="s">
        <v>124</v>
      </c>
      <c r="O162" s="14" t="s">
        <v>123</v>
      </c>
      <c r="P162" s="14" t="s">
        <v>32</v>
      </c>
      <c r="T162" s="14">
        <f>MATCH(D162,Allocation!A:A,0)</f>
        <v>31</v>
      </c>
    </row>
    <row r="163" spans="1:20" x14ac:dyDescent="0.35">
      <c r="A163" s="14" t="s">
        <v>31</v>
      </c>
      <c r="B163" s="14" t="s">
        <v>37</v>
      </c>
      <c r="C163" s="14" t="s">
        <v>6</v>
      </c>
      <c r="D163" s="14" t="s">
        <v>128</v>
      </c>
      <c r="E163" s="14">
        <v>0</v>
      </c>
      <c r="F163" s="14" t="s">
        <v>34</v>
      </c>
      <c r="G163" s="14" t="s">
        <v>118</v>
      </c>
      <c r="H163" s="14" t="s">
        <v>119</v>
      </c>
      <c r="I163" s="14" t="s">
        <v>120</v>
      </c>
      <c r="J163" s="14" t="s">
        <v>129</v>
      </c>
      <c r="K163" s="14" t="s">
        <v>130</v>
      </c>
      <c r="L163" s="14" t="s">
        <v>129</v>
      </c>
      <c r="M163" s="14" t="s">
        <v>123</v>
      </c>
      <c r="N163" s="14" t="s">
        <v>124</v>
      </c>
      <c r="O163" s="14" t="s">
        <v>123</v>
      </c>
      <c r="P163" s="14" t="s">
        <v>32</v>
      </c>
      <c r="T163" s="14">
        <f>MATCH(D163,Allocation!A:A,0)</f>
        <v>31</v>
      </c>
    </row>
    <row r="164" spans="1:20" x14ac:dyDescent="0.35">
      <c r="A164" s="14" t="s">
        <v>185</v>
      </c>
      <c r="B164" s="14" t="s">
        <v>188</v>
      </c>
      <c r="C164" s="14" t="s">
        <v>7</v>
      </c>
      <c r="D164" s="14" t="s">
        <v>128</v>
      </c>
      <c r="E164" s="14">
        <v>-97.01</v>
      </c>
      <c r="F164" s="14" t="s">
        <v>187</v>
      </c>
      <c r="G164" s="14" t="s">
        <v>118</v>
      </c>
      <c r="H164" s="14" t="s">
        <v>119</v>
      </c>
      <c r="I164" s="14" t="s">
        <v>120</v>
      </c>
      <c r="J164" s="14" t="s">
        <v>129</v>
      </c>
      <c r="K164" s="14" t="s">
        <v>130</v>
      </c>
      <c r="L164" s="14" t="s">
        <v>129</v>
      </c>
      <c r="M164" s="14" t="s">
        <v>123</v>
      </c>
      <c r="N164" s="14" t="s">
        <v>124</v>
      </c>
      <c r="O164" s="14" t="s">
        <v>123</v>
      </c>
      <c r="P164" s="14" t="s">
        <v>32</v>
      </c>
      <c r="T164" s="14">
        <f>MATCH(D164,Allocation!A:A,0)</f>
        <v>31</v>
      </c>
    </row>
    <row r="165" spans="1:20" x14ac:dyDescent="0.35">
      <c r="A165" s="14" t="s">
        <v>185</v>
      </c>
      <c r="B165" s="14" t="s">
        <v>32</v>
      </c>
      <c r="C165" s="14" t="s">
        <v>8</v>
      </c>
      <c r="D165" s="14" t="s">
        <v>128</v>
      </c>
      <c r="E165" s="14">
        <v>-754.91</v>
      </c>
      <c r="F165" s="14" t="s">
        <v>187</v>
      </c>
      <c r="G165" s="14" t="s">
        <v>118</v>
      </c>
      <c r="H165" s="14" t="s">
        <v>119</v>
      </c>
      <c r="I165" s="14" t="s">
        <v>120</v>
      </c>
      <c r="J165" s="14" t="s">
        <v>129</v>
      </c>
      <c r="K165" s="14" t="s">
        <v>130</v>
      </c>
      <c r="L165" s="14" t="s">
        <v>129</v>
      </c>
      <c r="M165" s="14" t="s">
        <v>123</v>
      </c>
      <c r="N165" s="14" t="s">
        <v>124</v>
      </c>
      <c r="O165" s="14" t="s">
        <v>123</v>
      </c>
      <c r="P165" s="14" t="s">
        <v>32</v>
      </c>
      <c r="T165" s="14">
        <f>MATCH(D165,Allocation!A:A,0)</f>
        <v>31</v>
      </c>
    </row>
    <row r="166" spans="1:20" x14ac:dyDescent="0.35">
      <c r="A166" s="14" t="s">
        <v>191</v>
      </c>
      <c r="B166" s="14" t="s">
        <v>192</v>
      </c>
      <c r="C166" s="14" t="s">
        <v>9</v>
      </c>
      <c r="D166" s="14" t="s">
        <v>128</v>
      </c>
      <c r="E166" s="14">
        <v>-1831.64</v>
      </c>
      <c r="F166" s="14" t="s">
        <v>187</v>
      </c>
      <c r="G166" s="14" t="s">
        <v>118</v>
      </c>
      <c r="H166" s="14" t="s">
        <v>119</v>
      </c>
      <c r="I166" s="14" t="s">
        <v>120</v>
      </c>
      <c r="J166" s="14" t="s">
        <v>129</v>
      </c>
      <c r="K166" s="14" t="s">
        <v>130</v>
      </c>
      <c r="L166" s="14" t="s">
        <v>129</v>
      </c>
      <c r="M166" s="14" t="s">
        <v>123</v>
      </c>
      <c r="N166" s="14" t="s">
        <v>124</v>
      </c>
      <c r="O166" s="14" t="s">
        <v>123</v>
      </c>
      <c r="P166" s="14" t="s">
        <v>32</v>
      </c>
      <c r="T166" s="14">
        <f>MATCH(D166,Allocation!A:A,0)</f>
        <v>31</v>
      </c>
    </row>
    <row r="167" spans="1:20" x14ac:dyDescent="0.35">
      <c r="A167" s="14" t="s">
        <v>193</v>
      </c>
      <c r="B167" s="14" t="s">
        <v>194</v>
      </c>
      <c r="C167" s="14" t="s">
        <v>10</v>
      </c>
      <c r="D167" s="14" t="s">
        <v>128</v>
      </c>
      <c r="E167" s="14">
        <v>2500</v>
      </c>
      <c r="F167" s="14" t="s">
        <v>34</v>
      </c>
      <c r="G167" s="14" t="s">
        <v>118</v>
      </c>
      <c r="H167" s="14" t="s">
        <v>119</v>
      </c>
      <c r="I167" s="14" t="s">
        <v>120</v>
      </c>
      <c r="J167" s="14" t="s">
        <v>129</v>
      </c>
      <c r="K167" s="14" t="s">
        <v>130</v>
      </c>
      <c r="L167" s="14" t="s">
        <v>129</v>
      </c>
      <c r="M167" s="14" t="s">
        <v>123</v>
      </c>
      <c r="N167" s="14" t="s">
        <v>124</v>
      </c>
      <c r="O167" s="14" t="s">
        <v>123</v>
      </c>
      <c r="P167" s="14" t="s">
        <v>32</v>
      </c>
      <c r="T167" s="14">
        <f>MATCH(D167,Allocation!A:A,0)</f>
        <v>31</v>
      </c>
    </row>
    <row r="168" spans="1:20" x14ac:dyDescent="0.35">
      <c r="A168" s="14" t="s">
        <v>195</v>
      </c>
      <c r="B168" s="14" t="s">
        <v>192</v>
      </c>
      <c r="C168" s="14" t="s">
        <v>9</v>
      </c>
      <c r="D168" s="14" t="s">
        <v>128</v>
      </c>
      <c r="E168" s="14">
        <v>-754.91</v>
      </c>
      <c r="F168" s="14" t="s">
        <v>187</v>
      </c>
      <c r="G168" s="14" t="s">
        <v>118</v>
      </c>
      <c r="H168" s="14" t="s">
        <v>119</v>
      </c>
      <c r="I168" s="14" t="s">
        <v>120</v>
      </c>
      <c r="J168" s="14" t="s">
        <v>129</v>
      </c>
      <c r="K168" s="14" t="s">
        <v>130</v>
      </c>
      <c r="L168" s="14" t="s">
        <v>129</v>
      </c>
      <c r="M168" s="14" t="s">
        <v>123</v>
      </c>
      <c r="N168" s="14" t="s">
        <v>124</v>
      </c>
      <c r="O168" s="14" t="s">
        <v>123</v>
      </c>
      <c r="P168" s="14" t="s">
        <v>32</v>
      </c>
      <c r="T168" s="14">
        <f>MATCH(D168,Allocation!A:A,0)</f>
        <v>31</v>
      </c>
    </row>
    <row r="169" spans="1:20" x14ac:dyDescent="0.35">
      <c r="A169" s="14" t="s">
        <v>195</v>
      </c>
      <c r="B169" s="14" t="s">
        <v>32</v>
      </c>
      <c r="C169" s="14" t="s">
        <v>8</v>
      </c>
      <c r="D169" s="14" t="s">
        <v>128</v>
      </c>
      <c r="E169" s="14">
        <v>754.91</v>
      </c>
      <c r="F169" s="14" t="s">
        <v>34</v>
      </c>
      <c r="G169" s="14" t="s">
        <v>118</v>
      </c>
      <c r="H169" s="14" t="s">
        <v>119</v>
      </c>
      <c r="I169" s="14" t="s">
        <v>120</v>
      </c>
      <c r="J169" s="14" t="s">
        <v>129</v>
      </c>
      <c r="K169" s="14" t="s">
        <v>130</v>
      </c>
      <c r="L169" s="14" t="s">
        <v>129</v>
      </c>
      <c r="M169" s="14" t="s">
        <v>123</v>
      </c>
      <c r="N169" s="14" t="s">
        <v>124</v>
      </c>
      <c r="O169" s="14" t="s">
        <v>123</v>
      </c>
      <c r="P169" s="14" t="s">
        <v>32</v>
      </c>
      <c r="T169" s="14">
        <f>MATCH(D169,Allocation!A:A,0)</f>
        <v>31</v>
      </c>
    </row>
    <row r="170" spans="1:20" x14ac:dyDescent="0.35">
      <c r="A170" s="14" t="s">
        <v>31</v>
      </c>
      <c r="B170" s="14" t="s">
        <v>32</v>
      </c>
      <c r="C170" s="14" t="s">
        <v>6</v>
      </c>
      <c r="D170" s="14" t="s">
        <v>131</v>
      </c>
      <c r="E170" s="14">
        <v>160.76</v>
      </c>
      <c r="F170" s="14" t="s">
        <v>34</v>
      </c>
      <c r="G170" s="14" t="s">
        <v>120</v>
      </c>
      <c r="H170" s="14" t="s">
        <v>119</v>
      </c>
      <c r="I170" s="14" t="s">
        <v>120</v>
      </c>
      <c r="J170" s="14" t="s">
        <v>132</v>
      </c>
      <c r="K170" s="14" t="s">
        <v>133</v>
      </c>
      <c r="L170" s="14" t="s">
        <v>132</v>
      </c>
      <c r="M170" s="14" t="s">
        <v>114</v>
      </c>
      <c r="N170" s="14" t="s">
        <v>115</v>
      </c>
      <c r="O170" s="14" t="s">
        <v>114</v>
      </c>
      <c r="P170" s="14" t="s">
        <v>32</v>
      </c>
      <c r="T170" s="14">
        <f>MATCH(D170,Allocation!A:A,0)</f>
        <v>23</v>
      </c>
    </row>
    <row r="171" spans="1:20" x14ac:dyDescent="0.35">
      <c r="A171" s="14" t="s">
        <v>31</v>
      </c>
      <c r="B171" s="14" t="s">
        <v>37</v>
      </c>
      <c r="C171" s="14" t="s">
        <v>6</v>
      </c>
      <c r="D171" s="14" t="s">
        <v>131</v>
      </c>
      <c r="E171" s="14">
        <v>0</v>
      </c>
      <c r="F171" s="14" t="s">
        <v>34</v>
      </c>
      <c r="G171" s="14" t="s">
        <v>120</v>
      </c>
      <c r="H171" s="14" t="s">
        <v>119</v>
      </c>
      <c r="I171" s="14" t="s">
        <v>120</v>
      </c>
      <c r="J171" s="14" t="s">
        <v>132</v>
      </c>
      <c r="K171" s="14" t="s">
        <v>133</v>
      </c>
      <c r="L171" s="14" t="s">
        <v>132</v>
      </c>
      <c r="M171" s="14" t="s">
        <v>114</v>
      </c>
      <c r="N171" s="14" t="s">
        <v>115</v>
      </c>
      <c r="O171" s="14" t="s">
        <v>114</v>
      </c>
      <c r="P171" s="14" t="s">
        <v>32</v>
      </c>
      <c r="T171" s="14">
        <f>MATCH(D171,Allocation!A:A,0)</f>
        <v>23</v>
      </c>
    </row>
    <row r="172" spans="1:20" x14ac:dyDescent="0.35">
      <c r="A172" s="14" t="s">
        <v>185</v>
      </c>
      <c r="B172" s="14" t="s">
        <v>32</v>
      </c>
      <c r="C172" s="14" t="s">
        <v>8</v>
      </c>
      <c r="D172" s="14" t="s">
        <v>131</v>
      </c>
      <c r="E172" s="14">
        <v>-458.15</v>
      </c>
      <c r="F172" s="14" t="s">
        <v>187</v>
      </c>
      <c r="G172" s="14" t="s">
        <v>120</v>
      </c>
      <c r="H172" s="14" t="s">
        <v>119</v>
      </c>
      <c r="I172" s="14" t="s">
        <v>120</v>
      </c>
      <c r="J172" s="14" t="s">
        <v>132</v>
      </c>
      <c r="K172" s="14" t="s">
        <v>133</v>
      </c>
      <c r="L172" s="14" t="s">
        <v>132</v>
      </c>
      <c r="M172" s="14" t="s">
        <v>114</v>
      </c>
      <c r="N172" s="14" t="s">
        <v>115</v>
      </c>
      <c r="O172" s="14" t="s">
        <v>114</v>
      </c>
      <c r="P172" s="14" t="s">
        <v>32</v>
      </c>
      <c r="T172" s="14">
        <f>MATCH(D172,Allocation!A:A,0)</f>
        <v>23</v>
      </c>
    </row>
    <row r="173" spans="1:20" x14ac:dyDescent="0.35">
      <c r="A173" s="14" t="s">
        <v>191</v>
      </c>
      <c r="B173" s="14" t="s">
        <v>192</v>
      </c>
      <c r="C173" s="14" t="s">
        <v>9</v>
      </c>
      <c r="D173" s="14" t="s">
        <v>131</v>
      </c>
      <c r="E173" s="14">
        <v>-1241.08</v>
      </c>
      <c r="F173" s="14" t="s">
        <v>187</v>
      </c>
      <c r="G173" s="14" t="s">
        <v>120</v>
      </c>
      <c r="H173" s="14" t="s">
        <v>119</v>
      </c>
      <c r="I173" s="14" t="s">
        <v>120</v>
      </c>
      <c r="J173" s="14" t="s">
        <v>132</v>
      </c>
      <c r="K173" s="14" t="s">
        <v>133</v>
      </c>
      <c r="L173" s="14" t="s">
        <v>132</v>
      </c>
      <c r="M173" s="14" t="s">
        <v>114</v>
      </c>
      <c r="N173" s="14" t="s">
        <v>115</v>
      </c>
      <c r="O173" s="14" t="s">
        <v>114</v>
      </c>
      <c r="P173" s="14" t="s">
        <v>32</v>
      </c>
      <c r="T173" s="14">
        <f>MATCH(D173,Allocation!A:A,0)</f>
        <v>23</v>
      </c>
    </row>
    <row r="174" spans="1:20" x14ac:dyDescent="0.35">
      <c r="A174" s="14" t="s">
        <v>193</v>
      </c>
      <c r="B174" s="14" t="s">
        <v>194</v>
      </c>
      <c r="C174" s="14" t="s">
        <v>10</v>
      </c>
      <c r="D174" s="14" t="s">
        <v>131</v>
      </c>
      <c r="E174" s="14">
        <v>1538.47</v>
      </c>
      <c r="F174" s="14" t="s">
        <v>34</v>
      </c>
      <c r="G174" s="14" t="s">
        <v>120</v>
      </c>
      <c r="H174" s="14" t="s">
        <v>119</v>
      </c>
      <c r="I174" s="14" t="s">
        <v>120</v>
      </c>
      <c r="J174" s="14" t="s">
        <v>132</v>
      </c>
      <c r="K174" s="14" t="s">
        <v>133</v>
      </c>
      <c r="L174" s="14" t="s">
        <v>132</v>
      </c>
      <c r="M174" s="14" t="s">
        <v>114</v>
      </c>
      <c r="N174" s="14" t="s">
        <v>115</v>
      </c>
      <c r="O174" s="14" t="s">
        <v>114</v>
      </c>
      <c r="P174" s="14" t="s">
        <v>32</v>
      </c>
      <c r="T174" s="14">
        <f>MATCH(D174,Allocation!A:A,0)</f>
        <v>23</v>
      </c>
    </row>
    <row r="175" spans="1:20" x14ac:dyDescent="0.35">
      <c r="A175" s="14" t="s">
        <v>195</v>
      </c>
      <c r="B175" s="14" t="s">
        <v>192</v>
      </c>
      <c r="C175" s="14" t="s">
        <v>9</v>
      </c>
      <c r="D175" s="14" t="s">
        <v>131</v>
      </c>
      <c r="E175" s="14">
        <v>-458.15</v>
      </c>
      <c r="F175" s="14" t="s">
        <v>187</v>
      </c>
      <c r="G175" s="14" t="s">
        <v>120</v>
      </c>
      <c r="H175" s="14" t="s">
        <v>119</v>
      </c>
      <c r="I175" s="14" t="s">
        <v>120</v>
      </c>
      <c r="J175" s="14" t="s">
        <v>132</v>
      </c>
      <c r="K175" s="14" t="s">
        <v>133</v>
      </c>
      <c r="L175" s="14" t="s">
        <v>132</v>
      </c>
      <c r="M175" s="14" t="s">
        <v>114</v>
      </c>
      <c r="N175" s="14" t="s">
        <v>115</v>
      </c>
      <c r="O175" s="14" t="s">
        <v>114</v>
      </c>
      <c r="P175" s="14" t="s">
        <v>32</v>
      </c>
      <c r="T175" s="14">
        <f>MATCH(D175,Allocation!A:A,0)</f>
        <v>23</v>
      </c>
    </row>
    <row r="176" spans="1:20" x14ac:dyDescent="0.35">
      <c r="A176" s="14" t="s">
        <v>195</v>
      </c>
      <c r="B176" s="14" t="s">
        <v>32</v>
      </c>
      <c r="C176" s="14" t="s">
        <v>8</v>
      </c>
      <c r="D176" s="14" t="s">
        <v>131</v>
      </c>
      <c r="E176" s="14">
        <v>458.15</v>
      </c>
      <c r="F176" s="14" t="s">
        <v>34</v>
      </c>
      <c r="G176" s="14" t="s">
        <v>120</v>
      </c>
      <c r="H176" s="14" t="s">
        <v>119</v>
      </c>
      <c r="I176" s="14" t="s">
        <v>120</v>
      </c>
      <c r="J176" s="14" t="s">
        <v>132</v>
      </c>
      <c r="K176" s="14" t="s">
        <v>133</v>
      </c>
      <c r="L176" s="14" t="s">
        <v>132</v>
      </c>
      <c r="M176" s="14" t="s">
        <v>114</v>
      </c>
      <c r="N176" s="14" t="s">
        <v>115</v>
      </c>
      <c r="O176" s="14" t="s">
        <v>114</v>
      </c>
      <c r="P176" s="14" t="s">
        <v>32</v>
      </c>
      <c r="T176" s="14">
        <f>MATCH(D176,Allocation!A:A,0)</f>
        <v>23</v>
      </c>
    </row>
    <row r="177" spans="1:20" x14ac:dyDescent="0.35">
      <c r="A177" s="14" t="s">
        <v>31</v>
      </c>
      <c r="B177" s="14" t="s">
        <v>32</v>
      </c>
      <c r="C177" s="14" t="s">
        <v>6</v>
      </c>
      <c r="D177" s="14" t="s">
        <v>134</v>
      </c>
      <c r="E177" s="14">
        <v>241.26</v>
      </c>
      <c r="F177" s="14" t="s">
        <v>34</v>
      </c>
      <c r="G177" s="14" t="s">
        <v>135</v>
      </c>
      <c r="H177" s="14" t="s">
        <v>136</v>
      </c>
      <c r="I177" s="14" t="s">
        <v>137</v>
      </c>
      <c r="J177" s="14" t="s">
        <v>138</v>
      </c>
      <c r="K177" s="14" t="s">
        <v>139</v>
      </c>
      <c r="L177" s="14" t="s">
        <v>138</v>
      </c>
      <c r="M177" s="14" t="s">
        <v>140</v>
      </c>
      <c r="N177" s="14" t="s">
        <v>141</v>
      </c>
      <c r="O177" s="14" t="s">
        <v>140</v>
      </c>
      <c r="P177" s="14" t="s">
        <v>32</v>
      </c>
      <c r="T177" s="14">
        <f>MATCH(D177,Allocation!A:A,0)</f>
        <v>15</v>
      </c>
    </row>
    <row r="178" spans="1:20" x14ac:dyDescent="0.35">
      <c r="A178" s="14" t="s">
        <v>31</v>
      </c>
      <c r="B178" s="14" t="s">
        <v>37</v>
      </c>
      <c r="C178" s="14" t="s">
        <v>6</v>
      </c>
      <c r="D178" s="14" t="s">
        <v>134</v>
      </c>
      <c r="E178" s="14">
        <v>0</v>
      </c>
      <c r="F178" s="14" t="s">
        <v>34</v>
      </c>
      <c r="G178" s="14" t="s">
        <v>135</v>
      </c>
      <c r="H178" s="14" t="s">
        <v>136</v>
      </c>
      <c r="I178" s="14" t="s">
        <v>137</v>
      </c>
      <c r="J178" s="14" t="s">
        <v>138</v>
      </c>
      <c r="K178" s="14" t="s">
        <v>139</v>
      </c>
      <c r="L178" s="14" t="s">
        <v>138</v>
      </c>
      <c r="M178" s="14" t="s">
        <v>140</v>
      </c>
      <c r="N178" s="14" t="s">
        <v>141</v>
      </c>
      <c r="O178" s="14" t="s">
        <v>140</v>
      </c>
      <c r="P178" s="14" t="s">
        <v>32</v>
      </c>
      <c r="T178" s="14">
        <f>MATCH(D178,Allocation!A:A,0)</f>
        <v>15</v>
      </c>
    </row>
    <row r="179" spans="1:20" x14ac:dyDescent="0.35">
      <c r="A179" s="14" t="s">
        <v>185</v>
      </c>
      <c r="B179" s="14" t="s">
        <v>186</v>
      </c>
      <c r="C179" s="14" t="s">
        <v>7</v>
      </c>
      <c r="D179" s="14" t="s">
        <v>134</v>
      </c>
      <c r="E179" s="14">
        <v>-500</v>
      </c>
      <c r="F179" s="14" t="s">
        <v>187</v>
      </c>
      <c r="G179" s="14" t="s">
        <v>135</v>
      </c>
      <c r="H179" s="14" t="s">
        <v>136</v>
      </c>
      <c r="I179" s="14" t="s">
        <v>137</v>
      </c>
      <c r="J179" s="14" t="s">
        <v>138</v>
      </c>
      <c r="K179" s="14" t="s">
        <v>139</v>
      </c>
      <c r="L179" s="14" t="s">
        <v>138</v>
      </c>
      <c r="M179" s="14" t="s">
        <v>140</v>
      </c>
      <c r="N179" s="14" t="s">
        <v>141</v>
      </c>
      <c r="O179" s="14" t="s">
        <v>140</v>
      </c>
      <c r="P179" s="14" t="s">
        <v>32</v>
      </c>
      <c r="T179" s="14">
        <f>MATCH(D179,Allocation!A:A,0)</f>
        <v>15</v>
      </c>
    </row>
    <row r="180" spans="1:20" x14ac:dyDescent="0.35">
      <c r="A180" s="14" t="s">
        <v>185</v>
      </c>
      <c r="B180" s="14" t="s">
        <v>32</v>
      </c>
      <c r="C180" s="14" t="s">
        <v>8</v>
      </c>
      <c r="D180" s="14" t="s">
        <v>134</v>
      </c>
      <c r="E180" s="14">
        <v>-1006.46</v>
      </c>
      <c r="F180" s="14" t="s">
        <v>187</v>
      </c>
      <c r="G180" s="14" t="s">
        <v>135</v>
      </c>
      <c r="H180" s="14" t="s">
        <v>136</v>
      </c>
      <c r="I180" s="14" t="s">
        <v>137</v>
      </c>
      <c r="J180" s="14" t="s">
        <v>138</v>
      </c>
      <c r="K180" s="14" t="s">
        <v>139</v>
      </c>
      <c r="L180" s="14" t="s">
        <v>138</v>
      </c>
      <c r="M180" s="14" t="s">
        <v>140</v>
      </c>
      <c r="N180" s="14" t="s">
        <v>141</v>
      </c>
      <c r="O180" s="14" t="s">
        <v>140</v>
      </c>
      <c r="P180" s="14" t="s">
        <v>32</v>
      </c>
      <c r="T180" s="14">
        <f>MATCH(D180,Allocation!A:A,0)</f>
        <v>15</v>
      </c>
    </row>
    <row r="181" spans="1:20" x14ac:dyDescent="0.35">
      <c r="A181" s="14" t="s">
        <v>191</v>
      </c>
      <c r="B181" s="14" t="s">
        <v>192</v>
      </c>
      <c r="C181" s="14" t="s">
        <v>9</v>
      </c>
      <c r="D181" s="14" t="s">
        <v>134</v>
      </c>
      <c r="E181" s="14">
        <v>-1888.65</v>
      </c>
      <c r="F181" s="14" t="s">
        <v>187</v>
      </c>
      <c r="G181" s="14" t="s">
        <v>135</v>
      </c>
      <c r="H181" s="14" t="s">
        <v>136</v>
      </c>
      <c r="I181" s="14" t="s">
        <v>137</v>
      </c>
      <c r="J181" s="14" t="s">
        <v>138</v>
      </c>
      <c r="K181" s="14" t="s">
        <v>139</v>
      </c>
      <c r="L181" s="14" t="s">
        <v>138</v>
      </c>
      <c r="M181" s="14" t="s">
        <v>140</v>
      </c>
      <c r="N181" s="14" t="s">
        <v>141</v>
      </c>
      <c r="O181" s="14" t="s">
        <v>140</v>
      </c>
      <c r="P181" s="14" t="s">
        <v>32</v>
      </c>
      <c r="T181" s="14">
        <f>MATCH(D181,Allocation!A:A,0)</f>
        <v>15</v>
      </c>
    </row>
    <row r="182" spans="1:20" x14ac:dyDescent="0.35">
      <c r="A182" s="14" t="s">
        <v>193</v>
      </c>
      <c r="B182" s="14" t="s">
        <v>194</v>
      </c>
      <c r="C182" s="14" t="s">
        <v>10</v>
      </c>
      <c r="D182" s="14" t="s">
        <v>134</v>
      </c>
      <c r="E182" s="14">
        <v>3153.85</v>
      </c>
      <c r="F182" s="14" t="s">
        <v>34</v>
      </c>
      <c r="G182" s="14" t="s">
        <v>135</v>
      </c>
      <c r="H182" s="14" t="s">
        <v>136</v>
      </c>
      <c r="I182" s="14" t="s">
        <v>137</v>
      </c>
      <c r="J182" s="14" t="s">
        <v>138</v>
      </c>
      <c r="K182" s="14" t="s">
        <v>139</v>
      </c>
      <c r="L182" s="14" t="s">
        <v>138</v>
      </c>
      <c r="M182" s="14" t="s">
        <v>140</v>
      </c>
      <c r="N182" s="14" t="s">
        <v>141</v>
      </c>
      <c r="O182" s="14" t="s">
        <v>140</v>
      </c>
      <c r="P182" s="14" t="s">
        <v>32</v>
      </c>
      <c r="T182" s="14">
        <f>MATCH(D182,Allocation!A:A,0)</f>
        <v>15</v>
      </c>
    </row>
    <row r="183" spans="1:20" x14ac:dyDescent="0.35">
      <c r="A183" s="14" t="s">
        <v>195</v>
      </c>
      <c r="B183" s="14" t="s">
        <v>192</v>
      </c>
      <c r="C183" s="14" t="s">
        <v>9</v>
      </c>
      <c r="D183" s="14" t="s">
        <v>134</v>
      </c>
      <c r="E183" s="14">
        <v>-1006.46</v>
      </c>
      <c r="F183" s="14" t="s">
        <v>187</v>
      </c>
      <c r="G183" s="14" t="s">
        <v>135</v>
      </c>
      <c r="H183" s="14" t="s">
        <v>136</v>
      </c>
      <c r="I183" s="14" t="s">
        <v>137</v>
      </c>
      <c r="J183" s="14" t="s">
        <v>138</v>
      </c>
      <c r="K183" s="14" t="s">
        <v>139</v>
      </c>
      <c r="L183" s="14" t="s">
        <v>138</v>
      </c>
      <c r="M183" s="14" t="s">
        <v>140</v>
      </c>
      <c r="N183" s="14" t="s">
        <v>141</v>
      </c>
      <c r="O183" s="14" t="s">
        <v>140</v>
      </c>
      <c r="P183" s="14" t="s">
        <v>32</v>
      </c>
      <c r="T183" s="14">
        <f>MATCH(D183,Allocation!A:A,0)</f>
        <v>15</v>
      </c>
    </row>
    <row r="184" spans="1:20" x14ac:dyDescent="0.35">
      <c r="A184" s="14" t="s">
        <v>195</v>
      </c>
      <c r="B184" s="14" t="s">
        <v>32</v>
      </c>
      <c r="C184" s="14" t="s">
        <v>8</v>
      </c>
      <c r="D184" s="14" t="s">
        <v>134</v>
      </c>
      <c r="E184" s="14">
        <v>1006.46</v>
      </c>
      <c r="F184" s="14" t="s">
        <v>34</v>
      </c>
      <c r="G184" s="14" t="s">
        <v>135</v>
      </c>
      <c r="H184" s="14" t="s">
        <v>136</v>
      </c>
      <c r="I184" s="14" t="s">
        <v>137</v>
      </c>
      <c r="J184" s="14" t="s">
        <v>138</v>
      </c>
      <c r="K184" s="14" t="s">
        <v>139</v>
      </c>
      <c r="L184" s="14" t="s">
        <v>138</v>
      </c>
      <c r="M184" s="14" t="s">
        <v>140</v>
      </c>
      <c r="N184" s="14" t="s">
        <v>141</v>
      </c>
      <c r="O184" s="14" t="s">
        <v>140</v>
      </c>
      <c r="P184" s="14" t="s">
        <v>32</v>
      </c>
      <c r="T184" s="14">
        <f>MATCH(D184,Allocation!A:A,0)</f>
        <v>15</v>
      </c>
    </row>
    <row r="185" spans="1:20" x14ac:dyDescent="0.35">
      <c r="A185" s="14" t="s">
        <v>31</v>
      </c>
      <c r="B185" s="14" t="s">
        <v>32</v>
      </c>
      <c r="C185" s="14" t="s">
        <v>6</v>
      </c>
      <c r="D185" s="14" t="s">
        <v>142</v>
      </c>
      <c r="E185" s="14">
        <v>136.13999999999999</v>
      </c>
      <c r="F185" s="14" t="s">
        <v>34</v>
      </c>
      <c r="G185" s="14" t="s">
        <v>137</v>
      </c>
      <c r="H185" s="14" t="s">
        <v>136</v>
      </c>
      <c r="I185" s="14" t="s">
        <v>137</v>
      </c>
      <c r="J185" s="14" t="s">
        <v>143</v>
      </c>
      <c r="K185" s="14" t="s">
        <v>144</v>
      </c>
      <c r="L185" s="14" t="s">
        <v>143</v>
      </c>
      <c r="M185" s="14" t="s">
        <v>107</v>
      </c>
      <c r="N185" s="14" t="s">
        <v>108</v>
      </c>
      <c r="O185" s="14" t="s">
        <v>107</v>
      </c>
      <c r="P185" s="14" t="s">
        <v>32</v>
      </c>
      <c r="T185" s="14">
        <f>MATCH(D185,Allocation!A:A,0)</f>
        <v>42</v>
      </c>
    </row>
    <row r="186" spans="1:20" x14ac:dyDescent="0.35">
      <c r="A186" s="14" t="s">
        <v>31</v>
      </c>
      <c r="B186" s="14" t="s">
        <v>37</v>
      </c>
      <c r="C186" s="14" t="s">
        <v>6</v>
      </c>
      <c r="D186" s="14" t="s">
        <v>142</v>
      </c>
      <c r="E186" s="14">
        <v>0</v>
      </c>
      <c r="F186" s="14" t="s">
        <v>34</v>
      </c>
      <c r="G186" s="14" t="s">
        <v>137</v>
      </c>
      <c r="H186" s="14" t="s">
        <v>136</v>
      </c>
      <c r="I186" s="14" t="s">
        <v>137</v>
      </c>
      <c r="J186" s="14" t="s">
        <v>143</v>
      </c>
      <c r="K186" s="14" t="s">
        <v>144</v>
      </c>
      <c r="L186" s="14" t="s">
        <v>143</v>
      </c>
      <c r="M186" s="14" t="s">
        <v>107</v>
      </c>
      <c r="N186" s="14" t="s">
        <v>108</v>
      </c>
      <c r="O186" s="14" t="s">
        <v>107</v>
      </c>
      <c r="P186" s="14" t="s">
        <v>32</v>
      </c>
      <c r="T186" s="14">
        <f>MATCH(D186,Allocation!A:A,0)</f>
        <v>42</v>
      </c>
    </row>
    <row r="187" spans="1:20" x14ac:dyDescent="0.35">
      <c r="A187" s="14" t="s">
        <v>185</v>
      </c>
      <c r="B187" s="14" t="s">
        <v>188</v>
      </c>
      <c r="C187" s="14" t="s">
        <v>7</v>
      </c>
      <c r="D187" s="14" t="s">
        <v>142</v>
      </c>
      <c r="E187" s="14">
        <v>-55.85</v>
      </c>
      <c r="F187" s="14" t="s">
        <v>187</v>
      </c>
      <c r="G187" s="14" t="s">
        <v>137</v>
      </c>
      <c r="H187" s="14" t="s">
        <v>136</v>
      </c>
      <c r="I187" s="14" t="s">
        <v>137</v>
      </c>
      <c r="J187" s="14" t="s">
        <v>143</v>
      </c>
      <c r="K187" s="14" t="s">
        <v>144</v>
      </c>
      <c r="L187" s="14" t="s">
        <v>143</v>
      </c>
      <c r="M187" s="14" t="s">
        <v>107</v>
      </c>
      <c r="N187" s="14" t="s">
        <v>108</v>
      </c>
      <c r="O187" s="14" t="s">
        <v>107</v>
      </c>
      <c r="P187" s="14" t="s">
        <v>32</v>
      </c>
      <c r="T187" s="14">
        <f>MATCH(D187,Allocation!A:A,0)</f>
        <v>42</v>
      </c>
    </row>
    <row r="188" spans="1:20" x14ac:dyDescent="0.35">
      <c r="A188" s="14" t="s">
        <v>185</v>
      </c>
      <c r="B188" s="14" t="s">
        <v>32</v>
      </c>
      <c r="C188" s="14" t="s">
        <v>8</v>
      </c>
      <c r="D188" s="14" t="s">
        <v>142</v>
      </c>
      <c r="E188" s="14">
        <v>-396.18</v>
      </c>
      <c r="F188" s="14" t="s">
        <v>187</v>
      </c>
      <c r="G188" s="14" t="s">
        <v>137</v>
      </c>
      <c r="H188" s="14" t="s">
        <v>136</v>
      </c>
      <c r="I188" s="14" t="s">
        <v>137</v>
      </c>
      <c r="J188" s="14" t="s">
        <v>143</v>
      </c>
      <c r="K188" s="14" t="s">
        <v>144</v>
      </c>
      <c r="L188" s="14" t="s">
        <v>143</v>
      </c>
      <c r="M188" s="14" t="s">
        <v>107</v>
      </c>
      <c r="N188" s="14" t="s">
        <v>108</v>
      </c>
      <c r="O188" s="14" t="s">
        <v>107</v>
      </c>
      <c r="P188" s="14" t="s">
        <v>32</v>
      </c>
      <c r="T188" s="14">
        <f>MATCH(D188,Allocation!A:A,0)</f>
        <v>42</v>
      </c>
    </row>
    <row r="189" spans="1:20" x14ac:dyDescent="0.35">
      <c r="A189" s="14" t="s">
        <v>191</v>
      </c>
      <c r="B189" s="14" t="s">
        <v>192</v>
      </c>
      <c r="C189" s="14" t="s">
        <v>9</v>
      </c>
      <c r="D189" s="14" t="s">
        <v>142</v>
      </c>
      <c r="E189" s="14">
        <v>-1030.27</v>
      </c>
      <c r="F189" s="14" t="s">
        <v>187</v>
      </c>
      <c r="G189" s="14" t="s">
        <v>137</v>
      </c>
      <c r="H189" s="14" t="s">
        <v>136</v>
      </c>
      <c r="I189" s="14" t="s">
        <v>137</v>
      </c>
      <c r="J189" s="14" t="s">
        <v>143</v>
      </c>
      <c r="K189" s="14" t="s">
        <v>144</v>
      </c>
      <c r="L189" s="14" t="s">
        <v>143</v>
      </c>
      <c r="M189" s="14" t="s">
        <v>107</v>
      </c>
      <c r="N189" s="14" t="s">
        <v>108</v>
      </c>
      <c r="O189" s="14" t="s">
        <v>107</v>
      </c>
      <c r="P189" s="14" t="s">
        <v>32</v>
      </c>
      <c r="T189" s="14">
        <f>MATCH(D189,Allocation!A:A,0)</f>
        <v>42</v>
      </c>
    </row>
    <row r="190" spans="1:20" x14ac:dyDescent="0.35">
      <c r="A190" s="14" t="s">
        <v>193</v>
      </c>
      <c r="B190" s="14" t="s">
        <v>194</v>
      </c>
      <c r="C190" s="14" t="s">
        <v>10</v>
      </c>
      <c r="D190" s="14" t="s">
        <v>142</v>
      </c>
      <c r="E190" s="14">
        <v>1346.16</v>
      </c>
      <c r="F190" s="14" t="s">
        <v>34</v>
      </c>
      <c r="G190" s="14" t="s">
        <v>137</v>
      </c>
      <c r="H190" s="14" t="s">
        <v>136</v>
      </c>
      <c r="I190" s="14" t="s">
        <v>137</v>
      </c>
      <c r="J190" s="14" t="s">
        <v>143</v>
      </c>
      <c r="K190" s="14" t="s">
        <v>144</v>
      </c>
      <c r="L190" s="14" t="s">
        <v>143</v>
      </c>
      <c r="M190" s="14" t="s">
        <v>107</v>
      </c>
      <c r="N190" s="14" t="s">
        <v>108</v>
      </c>
      <c r="O190" s="14" t="s">
        <v>107</v>
      </c>
      <c r="P190" s="14" t="s">
        <v>32</v>
      </c>
      <c r="T190" s="14">
        <f>MATCH(D190,Allocation!A:A,0)</f>
        <v>42</v>
      </c>
    </row>
    <row r="191" spans="1:20" x14ac:dyDescent="0.35">
      <c r="A191" s="14" t="s">
        <v>195</v>
      </c>
      <c r="B191" s="14" t="s">
        <v>192</v>
      </c>
      <c r="C191" s="14" t="s">
        <v>9</v>
      </c>
      <c r="D191" s="14" t="s">
        <v>142</v>
      </c>
      <c r="E191" s="14">
        <v>-396.18</v>
      </c>
      <c r="F191" s="14" t="s">
        <v>187</v>
      </c>
      <c r="G191" s="14" t="s">
        <v>137</v>
      </c>
      <c r="H191" s="14" t="s">
        <v>136</v>
      </c>
      <c r="I191" s="14" t="s">
        <v>137</v>
      </c>
      <c r="J191" s="14" t="s">
        <v>143</v>
      </c>
      <c r="K191" s="14" t="s">
        <v>144</v>
      </c>
      <c r="L191" s="14" t="s">
        <v>143</v>
      </c>
      <c r="M191" s="14" t="s">
        <v>107</v>
      </c>
      <c r="N191" s="14" t="s">
        <v>108</v>
      </c>
      <c r="O191" s="14" t="s">
        <v>107</v>
      </c>
      <c r="P191" s="14" t="s">
        <v>32</v>
      </c>
      <c r="T191" s="14">
        <f>MATCH(D191,Allocation!A:A,0)</f>
        <v>42</v>
      </c>
    </row>
    <row r="192" spans="1:20" x14ac:dyDescent="0.35">
      <c r="A192" s="14" t="s">
        <v>195</v>
      </c>
      <c r="B192" s="14" t="s">
        <v>32</v>
      </c>
      <c r="C192" s="14" t="s">
        <v>8</v>
      </c>
      <c r="D192" s="14" t="s">
        <v>142</v>
      </c>
      <c r="E192" s="14">
        <v>396.18</v>
      </c>
      <c r="F192" s="14" t="s">
        <v>34</v>
      </c>
      <c r="G192" s="14" t="s">
        <v>137</v>
      </c>
      <c r="H192" s="14" t="s">
        <v>136</v>
      </c>
      <c r="I192" s="14" t="s">
        <v>137</v>
      </c>
      <c r="J192" s="14" t="s">
        <v>143</v>
      </c>
      <c r="K192" s="14" t="s">
        <v>144</v>
      </c>
      <c r="L192" s="14" t="s">
        <v>143</v>
      </c>
      <c r="M192" s="14" t="s">
        <v>107</v>
      </c>
      <c r="N192" s="14" t="s">
        <v>108</v>
      </c>
      <c r="O192" s="14" t="s">
        <v>107</v>
      </c>
      <c r="P192" s="14" t="s">
        <v>32</v>
      </c>
      <c r="T192" s="14">
        <f>MATCH(D192,Allocation!A:A,0)</f>
        <v>42</v>
      </c>
    </row>
    <row r="193" spans="1:20" x14ac:dyDescent="0.35">
      <c r="A193" s="14" t="s">
        <v>31</v>
      </c>
      <c r="B193" s="14" t="s">
        <v>32</v>
      </c>
      <c r="C193" s="14" t="s">
        <v>6</v>
      </c>
      <c r="D193" s="14" t="s">
        <v>145</v>
      </c>
      <c r="E193" s="14">
        <v>221.05</v>
      </c>
      <c r="F193" s="14" t="s">
        <v>34</v>
      </c>
      <c r="G193" s="14" t="s">
        <v>137</v>
      </c>
      <c r="H193" s="14" t="s">
        <v>136</v>
      </c>
      <c r="I193" s="14" t="s">
        <v>137</v>
      </c>
      <c r="J193" s="14" t="s">
        <v>146</v>
      </c>
      <c r="K193" s="14" t="s">
        <v>147</v>
      </c>
      <c r="L193" s="14" t="s">
        <v>146</v>
      </c>
      <c r="M193" s="14" t="s">
        <v>148</v>
      </c>
      <c r="N193" s="14" t="s">
        <v>149</v>
      </c>
      <c r="O193" s="14" t="s">
        <v>148</v>
      </c>
      <c r="P193" s="14" t="s">
        <v>32</v>
      </c>
      <c r="T193" s="14">
        <f>MATCH(D193,Allocation!A:A,0)</f>
        <v>20</v>
      </c>
    </row>
    <row r="194" spans="1:20" x14ac:dyDescent="0.35">
      <c r="A194" s="14" t="s">
        <v>31</v>
      </c>
      <c r="B194" s="14" t="s">
        <v>37</v>
      </c>
      <c r="C194" s="14" t="s">
        <v>6</v>
      </c>
      <c r="D194" s="14" t="s">
        <v>145</v>
      </c>
      <c r="E194" s="14">
        <v>0</v>
      </c>
      <c r="F194" s="14" t="s">
        <v>34</v>
      </c>
      <c r="G194" s="14" t="s">
        <v>137</v>
      </c>
      <c r="H194" s="14" t="s">
        <v>136</v>
      </c>
      <c r="I194" s="14" t="s">
        <v>137</v>
      </c>
      <c r="J194" s="14" t="s">
        <v>146</v>
      </c>
      <c r="K194" s="14" t="s">
        <v>147</v>
      </c>
      <c r="L194" s="14" t="s">
        <v>146</v>
      </c>
      <c r="M194" s="14" t="s">
        <v>148</v>
      </c>
      <c r="N194" s="14" t="s">
        <v>149</v>
      </c>
      <c r="O194" s="14" t="s">
        <v>148</v>
      </c>
      <c r="P194" s="14" t="s">
        <v>32</v>
      </c>
      <c r="T194" s="14">
        <f>MATCH(D194,Allocation!A:A,0)</f>
        <v>20</v>
      </c>
    </row>
    <row r="195" spans="1:20" x14ac:dyDescent="0.35">
      <c r="A195" s="14" t="s">
        <v>185</v>
      </c>
      <c r="B195" s="14" t="s">
        <v>32</v>
      </c>
      <c r="C195" s="14" t="s">
        <v>8</v>
      </c>
      <c r="D195" s="14" t="s">
        <v>145</v>
      </c>
      <c r="E195" s="14">
        <v>-635.55999999999995</v>
      </c>
      <c r="F195" s="14" t="s">
        <v>187</v>
      </c>
      <c r="G195" s="14" t="s">
        <v>137</v>
      </c>
      <c r="H195" s="14" t="s">
        <v>136</v>
      </c>
      <c r="I195" s="14" t="s">
        <v>137</v>
      </c>
      <c r="J195" s="14" t="s">
        <v>146</v>
      </c>
      <c r="K195" s="14" t="s">
        <v>147</v>
      </c>
      <c r="L195" s="14" t="s">
        <v>146</v>
      </c>
      <c r="M195" s="14" t="s">
        <v>148</v>
      </c>
      <c r="N195" s="14" t="s">
        <v>149</v>
      </c>
      <c r="O195" s="14" t="s">
        <v>148</v>
      </c>
      <c r="P195" s="14" t="s">
        <v>32</v>
      </c>
      <c r="T195" s="14">
        <f>MATCH(D195,Allocation!A:A,0)</f>
        <v>20</v>
      </c>
    </row>
    <row r="196" spans="1:20" x14ac:dyDescent="0.35">
      <c r="A196" s="14" t="s">
        <v>191</v>
      </c>
      <c r="B196" s="14" t="s">
        <v>192</v>
      </c>
      <c r="C196" s="14" t="s">
        <v>9</v>
      </c>
      <c r="D196" s="14" t="s">
        <v>145</v>
      </c>
      <c r="E196" s="14">
        <v>-1700.88</v>
      </c>
      <c r="F196" s="14" t="s">
        <v>187</v>
      </c>
      <c r="G196" s="14" t="s">
        <v>137</v>
      </c>
      <c r="H196" s="14" t="s">
        <v>136</v>
      </c>
      <c r="I196" s="14" t="s">
        <v>137</v>
      </c>
      <c r="J196" s="14" t="s">
        <v>146</v>
      </c>
      <c r="K196" s="14" t="s">
        <v>147</v>
      </c>
      <c r="L196" s="14" t="s">
        <v>146</v>
      </c>
      <c r="M196" s="14" t="s">
        <v>148</v>
      </c>
      <c r="N196" s="14" t="s">
        <v>149</v>
      </c>
      <c r="O196" s="14" t="s">
        <v>148</v>
      </c>
      <c r="P196" s="14" t="s">
        <v>32</v>
      </c>
      <c r="T196" s="14">
        <f>MATCH(D196,Allocation!A:A,0)</f>
        <v>20</v>
      </c>
    </row>
    <row r="197" spans="1:20" x14ac:dyDescent="0.35">
      <c r="A197" s="14" t="s">
        <v>193</v>
      </c>
      <c r="B197" s="14" t="s">
        <v>194</v>
      </c>
      <c r="C197" s="14" t="s">
        <v>10</v>
      </c>
      <c r="D197" s="14" t="s">
        <v>145</v>
      </c>
      <c r="E197" s="14">
        <v>2115.39</v>
      </c>
      <c r="F197" s="14" t="s">
        <v>34</v>
      </c>
      <c r="G197" s="14" t="s">
        <v>137</v>
      </c>
      <c r="H197" s="14" t="s">
        <v>136</v>
      </c>
      <c r="I197" s="14" t="s">
        <v>137</v>
      </c>
      <c r="J197" s="14" t="s">
        <v>146</v>
      </c>
      <c r="K197" s="14" t="s">
        <v>147</v>
      </c>
      <c r="L197" s="14" t="s">
        <v>146</v>
      </c>
      <c r="M197" s="14" t="s">
        <v>148</v>
      </c>
      <c r="N197" s="14" t="s">
        <v>149</v>
      </c>
      <c r="O197" s="14" t="s">
        <v>148</v>
      </c>
      <c r="P197" s="14" t="s">
        <v>32</v>
      </c>
      <c r="T197" s="14">
        <f>MATCH(D197,Allocation!A:A,0)</f>
        <v>20</v>
      </c>
    </row>
    <row r="198" spans="1:20" x14ac:dyDescent="0.35">
      <c r="A198" s="14" t="s">
        <v>195</v>
      </c>
      <c r="B198" s="14" t="s">
        <v>192</v>
      </c>
      <c r="C198" s="14" t="s">
        <v>9</v>
      </c>
      <c r="D198" s="14" t="s">
        <v>145</v>
      </c>
      <c r="E198" s="14">
        <v>-635.55999999999995</v>
      </c>
      <c r="F198" s="14" t="s">
        <v>187</v>
      </c>
      <c r="G198" s="14" t="s">
        <v>137</v>
      </c>
      <c r="H198" s="14" t="s">
        <v>136</v>
      </c>
      <c r="I198" s="14" t="s">
        <v>137</v>
      </c>
      <c r="J198" s="14" t="s">
        <v>146</v>
      </c>
      <c r="K198" s="14" t="s">
        <v>147</v>
      </c>
      <c r="L198" s="14" t="s">
        <v>146</v>
      </c>
      <c r="M198" s="14" t="s">
        <v>148</v>
      </c>
      <c r="N198" s="14" t="s">
        <v>149</v>
      </c>
      <c r="O198" s="14" t="s">
        <v>148</v>
      </c>
      <c r="P198" s="14" t="s">
        <v>32</v>
      </c>
      <c r="T198" s="14">
        <f>MATCH(D198,Allocation!A:A,0)</f>
        <v>20</v>
      </c>
    </row>
    <row r="199" spans="1:20" x14ac:dyDescent="0.35">
      <c r="A199" s="14" t="s">
        <v>195</v>
      </c>
      <c r="B199" s="14" t="s">
        <v>32</v>
      </c>
      <c r="C199" s="14" t="s">
        <v>8</v>
      </c>
      <c r="D199" s="14" t="s">
        <v>145</v>
      </c>
      <c r="E199" s="14">
        <v>635.55999999999995</v>
      </c>
      <c r="F199" s="14" t="s">
        <v>34</v>
      </c>
      <c r="G199" s="14" t="s">
        <v>137</v>
      </c>
      <c r="H199" s="14" t="s">
        <v>136</v>
      </c>
      <c r="I199" s="14" t="s">
        <v>137</v>
      </c>
      <c r="J199" s="14" t="s">
        <v>146</v>
      </c>
      <c r="K199" s="14" t="s">
        <v>147</v>
      </c>
      <c r="L199" s="14" t="s">
        <v>146</v>
      </c>
      <c r="M199" s="14" t="s">
        <v>148</v>
      </c>
      <c r="N199" s="14" t="s">
        <v>149</v>
      </c>
      <c r="O199" s="14" t="s">
        <v>148</v>
      </c>
      <c r="P199" s="14" t="s">
        <v>32</v>
      </c>
      <c r="T199" s="14">
        <f>MATCH(D199,Allocation!A:A,0)</f>
        <v>20</v>
      </c>
    </row>
    <row r="200" spans="1:20" x14ac:dyDescent="0.35">
      <c r="A200" s="14" t="s">
        <v>31</v>
      </c>
      <c r="B200" s="14" t="s">
        <v>32</v>
      </c>
      <c r="C200" s="14" t="s">
        <v>6</v>
      </c>
      <c r="D200" s="14" t="s">
        <v>150</v>
      </c>
      <c r="E200" s="14">
        <v>119.13</v>
      </c>
      <c r="F200" s="14" t="s">
        <v>34</v>
      </c>
      <c r="G200" s="14" t="s">
        <v>137</v>
      </c>
      <c r="H200" s="14" t="s">
        <v>136</v>
      </c>
      <c r="I200" s="14" t="s">
        <v>137</v>
      </c>
      <c r="J200" s="14" t="s">
        <v>151</v>
      </c>
      <c r="K200" s="14" t="s">
        <v>152</v>
      </c>
      <c r="L200" s="14" t="s">
        <v>151</v>
      </c>
      <c r="M200" s="14" t="s">
        <v>114</v>
      </c>
      <c r="N200" s="14" t="s">
        <v>115</v>
      </c>
      <c r="O200" s="14" t="s">
        <v>114</v>
      </c>
      <c r="P200" s="14" t="s">
        <v>32</v>
      </c>
      <c r="T200" s="14">
        <f>MATCH(D200,Allocation!A:A,0)</f>
        <v>26</v>
      </c>
    </row>
    <row r="201" spans="1:20" x14ac:dyDescent="0.35">
      <c r="A201" s="14" t="s">
        <v>31</v>
      </c>
      <c r="B201" s="14" t="s">
        <v>37</v>
      </c>
      <c r="C201" s="14" t="s">
        <v>6</v>
      </c>
      <c r="D201" s="14" t="s">
        <v>150</v>
      </c>
      <c r="E201" s="14">
        <v>0</v>
      </c>
      <c r="F201" s="14" t="s">
        <v>34</v>
      </c>
      <c r="G201" s="14" t="s">
        <v>137</v>
      </c>
      <c r="H201" s="14" t="s">
        <v>136</v>
      </c>
      <c r="I201" s="14" t="s">
        <v>137</v>
      </c>
      <c r="J201" s="14" t="s">
        <v>151</v>
      </c>
      <c r="K201" s="14" t="s">
        <v>152</v>
      </c>
      <c r="L201" s="14" t="s">
        <v>151</v>
      </c>
      <c r="M201" s="14" t="s">
        <v>114</v>
      </c>
      <c r="N201" s="14" t="s">
        <v>115</v>
      </c>
      <c r="O201" s="14" t="s">
        <v>114</v>
      </c>
      <c r="P201" s="14" t="s">
        <v>32</v>
      </c>
      <c r="T201" s="14">
        <f>MATCH(D201,Allocation!A:A,0)</f>
        <v>26</v>
      </c>
    </row>
    <row r="202" spans="1:20" x14ac:dyDescent="0.35">
      <c r="A202" s="14" t="s">
        <v>185</v>
      </c>
      <c r="B202" s="14" t="s">
        <v>32</v>
      </c>
      <c r="C202" s="14" t="s">
        <v>8</v>
      </c>
      <c r="D202" s="14" t="s">
        <v>150</v>
      </c>
      <c r="E202" s="14">
        <v>-250.84</v>
      </c>
      <c r="F202" s="14" t="s">
        <v>187</v>
      </c>
      <c r="G202" s="14" t="s">
        <v>137</v>
      </c>
      <c r="H202" s="14" t="s">
        <v>136</v>
      </c>
      <c r="I202" s="14" t="s">
        <v>137</v>
      </c>
      <c r="J202" s="14" t="s">
        <v>151</v>
      </c>
      <c r="K202" s="14" t="s">
        <v>152</v>
      </c>
      <c r="L202" s="14" t="s">
        <v>151</v>
      </c>
      <c r="M202" s="14" t="s">
        <v>114</v>
      </c>
      <c r="N202" s="14" t="s">
        <v>115</v>
      </c>
      <c r="O202" s="14" t="s">
        <v>114</v>
      </c>
      <c r="P202" s="14" t="s">
        <v>32</v>
      </c>
      <c r="T202" s="14">
        <f>MATCH(D202,Allocation!A:A,0)</f>
        <v>26</v>
      </c>
    </row>
    <row r="203" spans="1:20" x14ac:dyDescent="0.35">
      <c r="A203" s="14" t="s">
        <v>191</v>
      </c>
      <c r="B203" s="14" t="s">
        <v>192</v>
      </c>
      <c r="C203" s="14" t="s">
        <v>9</v>
      </c>
      <c r="D203" s="14" t="s">
        <v>150</v>
      </c>
      <c r="E203" s="14">
        <v>-1008.29</v>
      </c>
      <c r="F203" s="14" t="s">
        <v>187</v>
      </c>
      <c r="G203" s="14" t="s">
        <v>137</v>
      </c>
      <c r="H203" s="14" t="s">
        <v>136</v>
      </c>
      <c r="I203" s="14" t="s">
        <v>137</v>
      </c>
      <c r="J203" s="14" t="s">
        <v>151</v>
      </c>
      <c r="K203" s="14" t="s">
        <v>152</v>
      </c>
      <c r="L203" s="14" t="s">
        <v>151</v>
      </c>
      <c r="M203" s="14" t="s">
        <v>114</v>
      </c>
      <c r="N203" s="14" t="s">
        <v>115</v>
      </c>
      <c r="O203" s="14" t="s">
        <v>114</v>
      </c>
      <c r="P203" s="14" t="s">
        <v>32</v>
      </c>
      <c r="T203" s="14">
        <f>MATCH(D203,Allocation!A:A,0)</f>
        <v>26</v>
      </c>
    </row>
    <row r="204" spans="1:20" x14ac:dyDescent="0.35">
      <c r="A204" s="14" t="s">
        <v>193</v>
      </c>
      <c r="B204" s="14" t="s">
        <v>194</v>
      </c>
      <c r="C204" s="14" t="s">
        <v>10</v>
      </c>
      <c r="D204" s="14" t="s">
        <v>150</v>
      </c>
      <c r="E204" s="14">
        <v>1140</v>
      </c>
      <c r="F204" s="14" t="s">
        <v>34</v>
      </c>
      <c r="G204" s="14" t="s">
        <v>137</v>
      </c>
      <c r="H204" s="14" t="s">
        <v>136</v>
      </c>
      <c r="I204" s="14" t="s">
        <v>137</v>
      </c>
      <c r="J204" s="14" t="s">
        <v>151</v>
      </c>
      <c r="K204" s="14" t="s">
        <v>152</v>
      </c>
      <c r="L204" s="14" t="s">
        <v>151</v>
      </c>
      <c r="M204" s="14" t="s">
        <v>114</v>
      </c>
      <c r="N204" s="14" t="s">
        <v>115</v>
      </c>
      <c r="O204" s="14" t="s">
        <v>114</v>
      </c>
      <c r="P204" s="14" t="s">
        <v>32</v>
      </c>
      <c r="T204" s="14">
        <f>MATCH(D204,Allocation!A:A,0)</f>
        <v>26</v>
      </c>
    </row>
    <row r="205" spans="1:20" x14ac:dyDescent="0.35">
      <c r="A205" s="14" t="s">
        <v>195</v>
      </c>
      <c r="B205" s="14" t="s">
        <v>192</v>
      </c>
      <c r="C205" s="14" t="s">
        <v>9</v>
      </c>
      <c r="D205" s="14" t="s">
        <v>150</v>
      </c>
      <c r="E205" s="14">
        <v>-250.84</v>
      </c>
      <c r="F205" s="14" t="s">
        <v>187</v>
      </c>
      <c r="G205" s="14" t="s">
        <v>137</v>
      </c>
      <c r="H205" s="14" t="s">
        <v>136</v>
      </c>
      <c r="I205" s="14" t="s">
        <v>137</v>
      </c>
      <c r="J205" s="14" t="s">
        <v>151</v>
      </c>
      <c r="K205" s="14" t="s">
        <v>152</v>
      </c>
      <c r="L205" s="14" t="s">
        <v>151</v>
      </c>
      <c r="M205" s="14" t="s">
        <v>114</v>
      </c>
      <c r="N205" s="14" t="s">
        <v>115</v>
      </c>
      <c r="O205" s="14" t="s">
        <v>114</v>
      </c>
      <c r="P205" s="14" t="s">
        <v>32</v>
      </c>
      <c r="T205" s="14">
        <f>MATCH(D205,Allocation!A:A,0)</f>
        <v>26</v>
      </c>
    </row>
    <row r="206" spans="1:20" x14ac:dyDescent="0.35">
      <c r="A206" s="14" t="s">
        <v>195</v>
      </c>
      <c r="B206" s="14" t="s">
        <v>32</v>
      </c>
      <c r="C206" s="14" t="s">
        <v>8</v>
      </c>
      <c r="D206" s="14" t="s">
        <v>150</v>
      </c>
      <c r="E206" s="14">
        <v>250.84</v>
      </c>
      <c r="F206" s="14" t="s">
        <v>34</v>
      </c>
      <c r="G206" s="14" t="s">
        <v>137</v>
      </c>
      <c r="H206" s="14" t="s">
        <v>136</v>
      </c>
      <c r="I206" s="14" t="s">
        <v>137</v>
      </c>
      <c r="J206" s="14" t="s">
        <v>151</v>
      </c>
      <c r="K206" s="14" t="s">
        <v>152</v>
      </c>
      <c r="L206" s="14" t="s">
        <v>151</v>
      </c>
      <c r="M206" s="14" t="s">
        <v>114</v>
      </c>
      <c r="N206" s="14" t="s">
        <v>115</v>
      </c>
      <c r="O206" s="14" t="s">
        <v>114</v>
      </c>
      <c r="P206" s="14" t="s">
        <v>32</v>
      </c>
      <c r="T206" s="14">
        <f>MATCH(D206,Allocation!A:A,0)</f>
        <v>26</v>
      </c>
    </row>
    <row r="207" spans="1:20" x14ac:dyDescent="0.35">
      <c r="A207" s="14" t="s">
        <v>31</v>
      </c>
      <c r="B207" s="14" t="s">
        <v>32</v>
      </c>
      <c r="C207" s="14" t="s">
        <v>6</v>
      </c>
      <c r="D207" s="14" t="s">
        <v>153</v>
      </c>
      <c r="E207" s="14">
        <v>252.87</v>
      </c>
      <c r="F207" s="14" t="s">
        <v>34</v>
      </c>
      <c r="G207" s="14" t="s">
        <v>154</v>
      </c>
      <c r="H207" s="14" t="s">
        <v>155</v>
      </c>
      <c r="I207" s="14" t="s">
        <v>156</v>
      </c>
      <c r="J207" s="14" t="s">
        <v>157</v>
      </c>
      <c r="K207" s="14" t="s">
        <v>158</v>
      </c>
      <c r="L207" s="14" t="s">
        <v>157</v>
      </c>
      <c r="M207" s="14" t="s">
        <v>62</v>
      </c>
      <c r="N207" s="14" t="s">
        <v>63</v>
      </c>
      <c r="O207" s="14" t="s">
        <v>62</v>
      </c>
      <c r="P207" s="14" t="s">
        <v>32</v>
      </c>
      <c r="T207" s="14">
        <f>MATCH(D207,Allocation!A:A,0)</f>
        <v>24</v>
      </c>
    </row>
    <row r="208" spans="1:20" x14ac:dyDescent="0.35">
      <c r="A208" s="14" t="s">
        <v>31</v>
      </c>
      <c r="B208" s="14" t="s">
        <v>37</v>
      </c>
      <c r="C208" s="14" t="s">
        <v>6</v>
      </c>
      <c r="D208" s="14" t="s">
        <v>153</v>
      </c>
      <c r="E208" s="14">
        <v>0</v>
      </c>
      <c r="F208" s="14" t="s">
        <v>34</v>
      </c>
      <c r="G208" s="14" t="s">
        <v>154</v>
      </c>
      <c r="H208" s="14" t="s">
        <v>155</v>
      </c>
      <c r="I208" s="14" t="s">
        <v>156</v>
      </c>
      <c r="J208" s="14" t="s">
        <v>157</v>
      </c>
      <c r="K208" s="14" t="s">
        <v>158</v>
      </c>
      <c r="L208" s="14" t="s">
        <v>157</v>
      </c>
      <c r="M208" s="14" t="s">
        <v>62</v>
      </c>
      <c r="N208" s="14" t="s">
        <v>63</v>
      </c>
      <c r="O208" s="14" t="s">
        <v>62</v>
      </c>
      <c r="P208" s="14" t="s">
        <v>32</v>
      </c>
      <c r="T208" s="14">
        <f>MATCH(D208,Allocation!A:A,0)</f>
        <v>24</v>
      </c>
    </row>
    <row r="209" spans="1:20" x14ac:dyDescent="0.35">
      <c r="A209" s="14" t="s">
        <v>185</v>
      </c>
      <c r="B209" s="14" t="s">
        <v>188</v>
      </c>
      <c r="C209" s="14" t="s">
        <v>7</v>
      </c>
      <c r="D209" s="14" t="s">
        <v>153</v>
      </c>
      <c r="E209" s="14">
        <v>-105.9</v>
      </c>
      <c r="F209" s="14" t="s">
        <v>187</v>
      </c>
      <c r="G209" s="14" t="s">
        <v>154</v>
      </c>
      <c r="H209" s="14" t="s">
        <v>155</v>
      </c>
      <c r="I209" s="14" t="s">
        <v>156</v>
      </c>
      <c r="J209" s="14" t="s">
        <v>157</v>
      </c>
      <c r="K209" s="14" t="s">
        <v>158</v>
      </c>
      <c r="L209" s="14" t="s">
        <v>157</v>
      </c>
      <c r="M209" s="14" t="s">
        <v>62</v>
      </c>
      <c r="N209" s="14" t="s">
        <v>63</v>
      </c>
      <c r="O209" s="14" t="s">
        <v>62</v>
      </c>
      <c r="P209" s="14" t="s">
        <v>32</v>
      </c>
      <c r="T209" s="14">
        <f>MATCH(D209,Allocation!A:A,0)</f>
        <v>24</v>
      </c>
    </row>
    <row r="210" spans="1:20" x14ac:dyDescent="0.35">
      <c r="A210" s="14" t="s">
        <v>185</v>
      </c>
      <c r="B210" s="14" t="s">
        <v>32</v>
      </c>
      <c r="C210" s="14" t="s">
        <v>8</v>
      </c>
      <c r="D210" s="14" t="s">
        <v>153</v>
      </c>
      <c r="E210" s="14">
        <v>-787.69</v>
      </c>
      <c r="F210" s="14" t="s">
        <v>187</v>
      </c>
      <c r="G210" s="14" t="s">
        <v>154</v>
      </c>
      <c r="H210" s="14" t="s">
        <v>155</v>
      </c>
      <c r="I210" s="14" t="s">
        <v>156</v>
      </c>
      <c r="J210" s="14" t="s">
        <v>157</v>
      </c>
      <c r="K210" s="14" t="s">
        <v>158</v>
      </c>
      <c r="L210" s="14" t="s">
        <v>157</v>
      </c>
      <c r="M210" s="14" t="s">
        <v>62</v>
      </c>
      <c r="N210" s="14" t="s">
        <v>63</v>
      </c>
      <c r="O210" s="14" t="s">
        <v>62</v>
      </c>
      <c r="P210" s="14" t="s">
        <v>32</v>
      </c>
      <c r="T210" s="14">
        <f>MATCH(D210,Allocation!A:A,0)</f>
        <v>24</v>
      </c>
    </row>
    <row r="211" spans="1:20" x14ac:dyDescent="0.35">
      <c r="A211" s="14" t="s">
        <v>191</v>
      </c>
      <c r="B211" s="14" t="s">
        <v>192</v>
      </c>
      <c r="C211" s="14" t="s">
        <v>9</v>
      </c>
      <c r="D211" s="14" t="s">
        <v>153</v>
      </c>
      <c r="E211" s="14">
        <v>-1859.28</v>
      </c>
      <c r="F211" s="14" t="s">
        <v>187</v>
      </c>
      <c r="G211" s="14" t="s">
        <v>154</v>
      </c>
      <c r="H211" s="14" t="s">
        <v>155</v>
      </c>
      <c r="I211" s="14" t="s">
        <v>156</v>
      </c>
      <c r="J211" s="14" t="s">
        <v>157</v>
      </c>
      <c r="K211" s="14" t="s">
        <v>158</v>
      </c>
      <c r="L211" s="14" t="s">
        <v>157</v>
      </c>
      <c r="M211" s="14" t="s">
        <v>62</v>
      </c>
      <c r="N211" s="14" t="s">
        <v>63</v>
      </c>
      <c r="O211" s="14" t="s">
        <v>62</v>
      </c>
      <c r="P211" s="14" t="s">
        <v>32</v>
      </c>
      <c r="T211" s="14">
        <f>MATCH(D211,Allocation!A:A,0)</f>
        <v>24</v>
      </c>
    </row>
    <row r="212" spans="1:20" x14ac:dyDescent="0.35">
      <c r="A212" s="14" t="s">
        <v>193</v>
      </c>
      <c r="B212" s="14" t="s">
        <v>194</v>
      </c>
      <c r="C212" s="14" t="s">
        <v>10</v>
      </c>
      <c r="D212" s="14" t="s">
        <v>153</v>
      </c>
      <c r="E212" s="14">
        <v>2500</v>
      </c>
      <c r="F212" s="14" t="s">
        <v>34</v>
      </c>
      <c r="G212" s="14" t="s">
        <v>154</v>
      </c>
      <c r="H212" s="14" t="s">
        <v>155</v>
      </c>
      <c r="I212" s="14" t="s">
        <v>156</v>
      </c>
      <c r="J212" s="14" t="s">
        <v>157</v>
      </c>
      <c r="K212" s="14" t="s">
        <v>158</v>
      </c>
      <c r="L212" s="14" t="s">
        <v>157</v>
      </c>
      <c r="M212" s="14" t="s">
        <v>62</v>
      </c>
      <c r="N212" s="14" t="s">
        <v>63</v>
      </c>
      <c r="O212" s="14" t="s">
        <v>62</v>
      </c>
      <c r="P212" s="14" t="s">
        <v>32</v>
      </c>
      <c r="T212" s="14">
        <f>MATCH(D212,Allocation!A:A,0)</f>
        <v>24</v>
      </c>
    </row>
    <row r="213" spans="1:20" x14ac:dyDescent="0.35">
      <c r="A213" s="14" t="s">
        <v>195</v>
      </c>
      <c r="B213" s="14" t="s">
        <v>192</v>
      </c>
      <c r="C213" s="14" t="s">
        <v>9</v>
      </c>
      <c r="D213" s="14" t="s">
        <v>153</v>
      </c>
      <c r="E213" s="14">
        <v>-787.69</v>
      </c>
      <c r="F213" s="14" t="s">
        <v>187</v>
      </c>
      <c r="G213" s="14" t="s">
        <v>154</v>
      </c>
      <c r="H213" s="14" t="s">
        <v>155</v>
      </c>
      <c r="I213" s="14" t="s">
        <v>156</v>
      </c>
      <c r="J213" s="14" t="s">
        <v>157</v>
      </c>
      <c r="K213" s="14" t="s">
        <v>158</v>
      </c>
      <c r="L213" s="14" t="s">
        <v>157</v>
      </c>
      <c r="M213" s="14" t="s">
        <v>62</v>
      </c>
      <c r="N213" s="14" t="s">
        <v>63</v>
      </c>
      <c r="O213" s="14" t="s">
        <v>62</v>
      </c>
      <c r="P213" s="14" t="s">
        <v>32</v>
      </c>
      <c r="T213" s="14">
        <f>MATCH(D213,Allocation!A:A,0)</f>
        <v>24</v>
      </c>
    </row>
    <row r="214" spans="1:20" x14ac:dyDescent="0.35">
      <c r="A214" s="14" t="s">
        <v>195</v>
      </c>
      <c r="B214" s="14" t="s">
        <v>32</v>
      </c>
      <c r="C214" s="14" t="s">
        <v>8</v>
      </c>
      <c r="D214" s="14" t="s">
        <v>153</v>
      </c>
      <c r="E214" s="14">
        <v>787.69</v>
      </c>
      <c r="F214" s="14" t="s">
        <v>34</v>
      </c>
      <c r="G214" s="14" t="s">
        <v>154</v>
      </c>
      <c r="H214" s="14" t="s">
        <v>155</v>
      </c>
      <c r="I214" s="14" t="s">
        <v>156</v>
      </c>
      <c r="J214" s="14" t="s">
        <v>157</v>
      </c>
      <c r="K214" s="14" t="s">
        <v>158</v>
      </c>
      <c r="L214" s="14" t="s">
        <v>157</v>
      </c>
      <c r="M214" s="14" t="s">
        <v>62</v>
      </c>
      <c r="N214" s="14" t="s">
        <v>63</v>
      </c>
      <c r="O214" s="14" t="s">
        <v>62</v>
      </c>
      <c r="P214" s="14" t="s">
        <v>32</v>
      </c>
      <c r="T214" s="14">
        <f>MATCH(D214,Allocation!A:A,0)</f>
        <v>24</v>
      </c>
    </row>
    <row r="215" spans="1:20" x14ac:dyDescent="0.35">
      <c r="A215" s="14" t="s">
        <v>31</v>
      </c>
      <c r="B215" s="14" t="s">
        <v>32</v>
      </c>
      <c r="C215" s="14" t="s">
        <v>6</v>
      </c>
      <c r="D215" s="14" t="s">
        <v>159</v>
      </c>
      <c r="E215" s="14">
        <v>160.76</v>
      </c>
      <c r="F215" s="14" t="s">
        <v>34</v>
      </c>
      <c r="G215" s="14" t="s">
        <v>160</v>
      </c>
      <c r="H215" s="14" t="s">
        <v>161</v>
      </c>
      <c r="I215" s="14" t="s">
        <v>159</v>
      </c>
      <c r="J215" s="14" t="s">
        <v>162</v>
      </c>
      <c r="K215" s="14" t="s">
        <v>163</v>
      </c>
      <c r="L215" s="14" t="s">
        <v>32</v>
      </c>
      <c r="M215" s="14" t="s">
        <v>107</v>
      </c>
      <c r="N215" s="14" t="s">
        <v>108</v>
      </c>
      <c r="O215" s="14" t="s">
        <v>107</v>
      </c>
      <c r="P215" s="14" t="s">
        <v>32</v>
      </c>
      <c r="T215" s="14">
        <f>MATCH(D215,Allocation!A:A,0)</f>
        <v>18</v>
      </c>
    </row>
    <row r="216" spans="1:20" x14ac:dyDescent="0.35">
      <c r="A216" s="14" t="s">
        <v>31</v>
      </c>
      <c r="B216" s="14" t="s">
        <v>37</v>
      </c>
      <c r="C216" s="14" t="s">
        <v>6</v>
      </c>
      <c r="D216" s="14" t="s">
        <v>159</v>
      </c>
      <c r="E216" s="14">
        <v>0</v>
      </c>
      <c r="F216" s="14" t="s">
        <v>34</v>
      </c>
      <c r="G216" s="14" t="s">
        <v>160</v>
      </c>
      <c r="H216" s="14" t="s">
        <v>161</v>
      </c>
      <c r="I216" s="14" t="s">
        <v>159</v>
      </c>
      <c r="J216" s="14" t="s">
        <v>162</v>
      </c>
      <c r="K216" s="14" t="s">
        <v>163</v>
      </c>
      <c r="L216" s="14" t="s">
        <v>32</v>
      </c>
      <c r="M216" s="14" t="s">
        <v>107</v>
      </c>
      <c r="N216" s="14" t="s">
        <v>108</v>
      </c>
      <c r="O216" s="14" t="s">
        <v>107</v>
      </c>
      <c r="P216" s="14" t="s">
        <v>32</v>
      </c>
      <c r="T216" s="14">
        <f>MATCH(D216,Allocation!A:A,0)</f>
        <v>18</v>
      </c>
    </row>
    <row r="217" spans="1:20" x14ac:dyDescent="0.35">
      <c r="A217" s="14" t="s">
        <v>185</v>
      </c>
      <c r="B217" s="14" t="s">
        <v>32</v>
      </c>
      <c r="C217" s="14" t="s">
        <v>8</v>
      </c>
      <c r="D217" s="14" t="s">
        <v>159</v>
      </c>
      <c r="E217" s="14">
        <v>-308.06</v>
      </c>
      <c r="F217" s="14" t="s">
        <v>187</v>
      </c>
      <c r="G217" s="14" t="s">
        <v>160</v>
      </c>
      <c r="H217" s="14" t="s">
        <v>161</v>
      </c>
      <c r="I217" s="14" t="s">
        <v>159</v>
      </c>
      <c r="J217" s="14" t="s">
        <v>162</v>
      </c>
      <c r="K217" s="14" t="s">
        <v>163</v>
      </c>
      <c r="L217" s="14" t="s">
        <v>32</v>
      </c>
      <c r="M217" s="14" t="s">
        <v>107</v>
      </c>
      <c r="N217" s="14" t="s">
        <v>108</v>
      </c>
      <c r="O217" s="14" t="s">
        <v>107</v>
      </c>
      <c r="P217" s="14" t="s">
        <v>32</v>
      </c>
      <c r="T217" s="14">
        <f>MATCH(D217,Allocation!A:A,0)</f>
        <v>18</v>
      </c>
    </row>
    <row r="218" spans="1:20" x14ac:dyDescent="0.35">
      <c r="A218" s="14" t="s">
        <v>191</v>
      </c>
      <c r="B218" s="14" t="s">
        <v>192</v>
      </c>
      <c r="C218" s="14" t="s">
        <v>9</v>
      </c>
      <c r="D218" s="14" t="s">
        <v>159</v>
      </c>
      <c r="E218" s="14">
        <v>-1391.16</v>
      </c>
      <c r="F218" s="14" t="s">
        <v>187</v>
      </c>
      <c r="G218" s="14" t="s">
        <v>160</v>
      </c>
      <c r="H218" s="14" t="s">
        <v>161</v>
      </c>
      <c r="I218" s="14" t="s">
        <v>159</v>
      </c>
      <c r="J218" s="14" t="s">
        <v>162</v>
      </c>
      <c r="K218" s="14" t="s">
        <v>163</v>
      </c>
      <c r="L218" s="14" t="s">
        <v>32</v>
      </c>
      <c r="M218" s="14" t="s">
        <v>107</v>
      </c>
      <c r="N218" s="14" t="s">
        <v>108</v>
      </c>
      <c r="O218" s="14" t="s">
        <v>107</v>
      </c>
      <c r="P218" s="14" t="s">
        <v>32</v>
      </c>
      <c r="T218" s="14">
        <f>MATCH(D218,Allocation!A:A,0)</f>
        <v>18</v>
      </c>
    </row>
    <row r="219" spans="1:20" x14ac:dyDescent="0.35">
      <c r="A219" s="14" t="s">
        <v>193</v>
      </c>
      <c r="B219" s="14" t="s">
        <v>194</v>
      </c>
      <c r="C219" s="14" t="s">
        <v>10</v>
      </c>
      <c r="D219" s="14" t="s">
        <v>159</v>
      </c>
      <c r="E219" s="14">
        <v>1538.46</v>
      </c>
      <c r="F219" s="14" t="s">
        <v>34</v>
      </c>
      <c r="G219" s="14" t="s">
        <v>160</v>
      </c>
      <c r="H219" s="14" t="s">
        <v>161</v>
      </c>
      <c r="I219" s="14" t="s">
        <v>159</v>
      </c>
      <c r="J219" s="14" t="s">
        <v>162</v>
      </c>
      <c r="K219" s="14" t="s">
        <v>163</v>
      </c>
      <c r="L219" s="14" t="s">
        <v>32</v>
      </c>
      <c r="M219" s="14" t="s">
        <v>107</v>
      </c>
      <c r="N219" s="14" t="s">
        <v>108</v>
      </c>
      <c r="O219" s="14" t="s">
        <v>107</v>
      </c>
      <c r="P219" s="14" t="s">
        <v>32</v>
      </c>
      <c r="T219" s="14">
        <f>MATCH(D219,Allocation!A:A,0)</f>
        <v>18</v>
      </c>
    </row>
    <row r="220" spans="1:20" x14ac:dyDescent="0.35">
      <c r="A220" s="14" t="s">
        <v>195</v>
      </c>
      <c r="B220" s="14" t="s">
        <v>192</v>
      </c>
      <c r="C220" s="14" t="s">
        <v>9</v>
      </c>
      <c r="D220" s="14" t="s">
        <v>159</v>
      </c>
      <c r="E220" s="14">
        <v>-308.06</v>
      </c>
      <c r="F220" s="14" t="s">
        <v>187</v>
      </c>
      <c r="G220" s="14" t="s">
        <v>160</v>
      </c>
      <c r="H220" s="14" t="s">
        <v>161</v>
      </c>
      <c r="I220" s="14" t="s">
        <v>159</v>
      </c>
      <c r="J220" s="14" t="s">
        <v>162</v>
      </c>
      <c r="K220" s="14" t="s">
        <v>163</v>
      </c>
      <c r="L220" s="14" t="s">
        <v>32</v>
      </c>
      <c r="M220" s="14" t="s">
        <v>107</v>
      </c>
      <c r="N220" s="14" t="s">
        <v>108</v>
      </c>
      <c r="O220" s="14" t="s">
        <v>107</v>
      </c>
      <c r="P220" s="14" t="s">
        <v>32</v>
      </c>
      <c r="T220" s="14">
        <f>MATCH(D220,Allocation!A:A,0)</f>
        <v>18</v>
      </c>
    </row>
    <row r="221" spans="1:20" x14ac:dyDescent="0.35">
      <c r="A221" s="14" t="s">
        <v>195</v>
      </c>
      <c r="B221" s="14" t="s">
        <v>32</v>
      </c>
      <c r="C221" s="14" t="s">
        <v>8</v>
      </c>
      <c r="D221" s="14" t="s">
        <v>159</v>
      </c>
      <c r="E221" s="14">
        <v>308.06</v>
      </c>
      <c r="F221" s="14" t="s">
        <v>34</v>
      </c>
      <c r="G221" s="14" t="s">
        <v>160</v>
      </c>
      <c r="H221" s="14" t="s">
        <v>161</v>
      </c>
      <c r="I221" s="14" t="s">
        <v>159</v>
      </c>
      <c r="J221" s="14" t="s">
        <v>162</v>
      </c>
      <c r="K221" s="14" t="s">
        <v>163</v>
      </c>
      <c r="L221" s="14" t="s">
        <v>32</v>
      </c>
      <c r="M221" s="14" t="s">
        <v>107</v>
      </c>
      <c r="N221" s="14" t="s">
        <v>108</v>
      </c>
      <c r="O221" s="14" t="s">
        <v>107</v>
      </c>
      <c r="P221" s="14" t="s">
        <v>32</v>
      </c>
      <c r="T221" s="14">
        <f>MATCH(D221,Allocation!A:A,0)</f>
        <v>18</v>
      </c>
    </row>
    <row r="222" spans="1:20" x14ac:dyDescent="0.35">
      <c r="A222" s="14" t="s">
        <v>31</v>
      </c>
      <c r="B222" s="14" t="s">
        <v>32</v>
      </c>
      <c r="C222" s="14" t="s">
        <v>6</v>
      </c>
      <c r="D222" s="14" t="s">
        <v>164</v>
      </c>
      <c r="E222" s="14">
        <v>450.53</v>
      </c>
      <c r="F222" s="14" t="s">
        <v>34</v>
      </c>
      <c r="G222" s="14" t="s">
        <v>165</v>
      </c>
      <c r="H222" s="14" t="s">
        <v>166</v>
      </c>
      <c r="I222" s="14" t="s">
        <v>165</v>
      </c>
      <c r="J222" s="14" t="s">
        <v>167</v>
      </c>
      <c r="K222" s="14" t="s">
        <v>168</v>
      </c>
      <c r="L222" s="14" t="s">
        <v>167</v>
      </c>
      <c r="M222" s="14" t="s">
        <v>169</v>
      </c>
      <c r="N222" s="14" t="s">
        <v>170</v>
      </c>
      <c r="O222" s="14" t="s">
        <v>169</v>
      </c>
      <c r="P222" s="14" t="s">
        <v>32</v>
      </c>
      <c r="T222" s="14">
        <f>MATCH(D222,Allocation!A:A,0)</f>
        <v>14</v>
      </c>
    </row>
    <row r="223" spans="1:20" x14ac:dyDescent="0.35">
      <c r="A223" s="14" t="s">
        <v>31</v>
      </c>
      <c r="B223" s="14" t="s">
        <v>37</v>
      </c>
      <c r="C223" s="14" t="s">
        <v>6</v>
      </c>
      <c r="D223" s="14" t="s">
        <v>164</v>
      </c>
      <c r="E223" s="14">
        <v>0</v>
      </c>
      <c r="F223" s="14" t="s">
        <v>34</v>
      </c>
      <c r="G223" s="14" t="s">
        <v>165</v>
      </c>
      <c r="H223" s="14" t="s">
        <v>166</v>
      </c>
      <c r="I223" s="14" t="s">
        <v>165</v>
      </c>
      <c r="J223" s="14" t="s">
        <v>167</v>
      </c>
      <c r="K223" s="14" t="s">
        <v>168</v>
      </c>
      <c r="L223" s="14" t="s">
        <v>167</v>
      </c>
      <c r="M223" s="14" t="s">
        <v>169</v>
      </c>
      <c r="N223" s="14" t="s">
        <v>170</v>
      </c>
      <c r="O223" s="14" t="s">
        <v>169</v>
      </c>
      <c r="P223" s="14" t="s">
        <v>32</v>
      </c>
      <c r="T223" s="14">
        <f>MATCH(D223,Allocation!A:A,0)</f>
        <v>14</v>
      </c>
    </row>
    <row r="224" spans="1:20" x14ac:dyDescent="0.35">
      <c r="A224" s="14" t="s">
        <v>185</v>
      </c>
      <c r="B224" s="14" t="s">
        <v>186</v>
      </c>
      <c r="C224" s="14" t="s">
        <v>7</v>
      </c>
      <c r="D224" s="14" t="s">
        <v>164</v>
      </c>
      <c r="E224" s="14">
        <v>-423.08</v>
      </c>
      <c r="F224" s="14" t="s">
        <v>187</v>
      </c>
      <c r="G224" s="14" t="s">
        <v>165</v>
      </c>
      <c r="H224" s="14" t="s">
        <v>166</v>
      </c>
      <c r="I224" s="14" t="s">
        <v>165</v>
      </c>
      <c r="J224" s="14" t="s">
        <v>167</v>
      </c>
      <c r="K224" s="14" t="s">
        <v>168</v>
      </c>
      <c r="L224" s="14" t="s">
        <v>167</v>
      </c>
      <c r="M224" s="14" t="s">
        <v>169</v>
      </c>
      <c r="N224" s="14" t="s">
        <v>170</v>
      </c>
      <c r="O224" s="14" t="s">
        <v>169</v>
      </c>
      <c r="P224" s="14" t="s">
        <v>32</v>
      </c>
      <c r="T224" s="14">
        <f>MATCH(D224,Allocation!A:A,0)</f>
        <v>14</v>
      </c>
    </row>
    <row r="225" spans="1:20" x14ac:dyDescent="0.35">
      <c r="A225" s="14" t="s">
        <v>185</v>
      </c>
      <c r="B225" s="14" t="s">
        <v>32</v>
      </c>
      <c r="C225" s="14" t="s">
        <v>8</v>
      </c>
      <c r="D225" s="14" t="s">
        <v>164</v>
      </c>
      <c r="E225" s="14">
        <v>-1919.83</v>
      </c>
      <c r="F225" s="14" t="s">
        <v>187</v>
      </c>
      <c r="G225" s="14" t="s">
        <v>165</v>
      </c>
      <c r="H225" s="14" t="s">
        <v>166</v>
      </c>
      <c r="I225" s="14" t="s">
        <v>165</v>
      </c>
      <c r="J225" s="14" t="s">
        <v>167</v>
      </c>
      <c r="K225" s="14" t="s">
        <v>168</v>
      </c>
      <c r="L225" s="14" t="s">
        <v>167</v>
      </c>
      <c r="M225" s="14" t="s">
        <v>169</v>
      </c>
      <c r="N225" s="14" t="s">
        <v>170</v>
      </c>
      <c r="O225" s="14" t="s">
        <v>169</v>
      </c>
      <c r="P225" s="14" t="s">
        <v>32</v>
      </c>
      <c r="T225" s="14">
        <f>MATCH(D225,Allocation!A:A,0)</f>
        <v>14</v>
      </c>
    </row>
    <row r="226" spans="1:20" x14ac:dyDescent="0.35">
      <c r="A226" s="14" t="s">
        <v>191</v>
      </c>
      <c r="B226" s="14" t="s">
        <v>192</v>
      </c>
      <c r="C226" s="14" t="s">
        <v>9</v>
      </c>
      <c r="D226" s="14" t="s">
        <v>164</v>
      </c>
      <c r="E226" s="14">
        <v>-4069.16</v>
      </c>
      <c r="F226" s="14" t="s">
        <v>187</v>
      </c>
      <c r="G226" s="14" t="s">
        <v>165</v>
      </c>
      <c r="H226" s="14" t="s">
        <v>166</v>
      </c>
      <c r="I226" s="14" t="s">
        <v>165</v>
      </c>
      <c r="J226" s="14" t="s">
        <v>167</v>
      </c>
      <c r="K226" s="14" t="s">
        <v>168</v>
      </c>
      <c r="L226" s="14" t="s">
        <v>167</v>
      </c>
      <c r="M226" s="14" t="s">
        <v>169</v>
      </c>
      <c r="N226" s="14" t="s">
        <v>170</v>
      </c>
      <c r="O226" s="14" t="s">
        <v>169</v>
      </c>
      <c r="P226" s="14" t="s">
        <v>32</v>
      </c>
      <c r="T226" s="14">
        <f>MATCH(D226,Allocation!A:A,0)</f>
        <v>14</v>
      </c>
    </row>
    <row r="227" spans="1:20" x14ac:dyDescent="0.35">
      <c r="A227" s="14" t="s">
        <v>193</v>
      </c>
      <c r="B227" s="14" t="s">
        <v>194</v>
      </c>
      <c r="C227" s="14" t="s">
        <v>10</v>
      </c>
      <c r="D227" s="14" t="s">
        <v>164</v>
      </c>
      <c r="E227" s="14">
        <v>5961.54</v>
      </c>
      <c r="F227" s="14" t="s">
        <v>34</v>
      </c>
      <c r="G227" s="14" t="s">
        <v>165</v>
      </c>
      <c r="H227" s="14" t="s">
        <v>166</v>
      </c>
      <c r="I227" s="14" t="s">
        <v>165</v>
      </c>
      <c r="J227" s="14" t="s">
        <v>167</v>
      </c>
      <c r="K227" s="14" t="s">
        <v>168</v>
      </c>
      <c r="L227" s="14" t="s">
        <v>167</v>
      </c>
      <c r="M227" s="14" t="s">
        <v>169</v>
      </c>
      <c r="N227" s="14" t="s">
        <v>170</v>
      </c>
      <c r="O227" s="14" t="s">
        <v>169</v>
      </c>
      <c r="P227" s="14" t="s">
        <v>32</v>
      </c>
      <c r="T227" s="14">
        <f>MATCH(D227,Allocation!A:A,0)</f>
        <v>14</v>
      </c>
    </row>
    <row r="228" spans="1:20" x14ac:dyDescent="0.35">
      <c r="A228" s="14" t="s">
        <v>195</v>
      </c>
      <c r="B228" s="14" t="s">
        <v>192</v>
      </c>
      <c r="C228" s="14" t="s">
        <v>9</v>
      </c>
      <c r="D228" s="14" t="s">
        <v>164</v>
      </c>
      <c r="E228" s="14">
        <v>-1919.83</v>
      </c>
      <c r="F228" s="14" t="s">
        <v>187</v>
      </c>
      <c r="G228" s="14" t="s">
        <v>165</v>
      </c>
      <c r="H228" s="14" t="s">
        <v>166</v>
      </c>
      <c r="I228" s="14" t="s">
        <v>165</v>
      </c>
      <c r="J228" s="14" t="s">
        <v>167</v>
      </c>
      <c r="K228" s="14" t="s">
        <v>168</v>
      </c>
      <c r="L228" s="14" t="s">
        <v>167</v>
      </c>
      <c r="M228" s="14" t="s">
        <v>169</v>
      </c>
      <c r="N228" s="14" t="s">
        <v>170</v>
      </c>
      <c r="O228" s="14" t="s">
        <v>169</v>
      </c>
      <c r="P228" s="14" t="s">
        <v>32</v>
      </c>
      <c r="T228" s="14">
        <f>MATCH(D228,Allocation!A:A,0)</f>
        <v>14</v>
      </c>
    </row>
    <row r="229" spans="1:20" x14ac:dyDescent="0.35">
      <c r="A229" s="14" t="s">
        <v>195</v>
      </c>
      <c r="B229" s="14" t="s">
        <v>32</v>
      </c>
      <c r="C229" s="14" t="s">
        <v>8</v>
      </c>
      <c r="D229" s="14" t="s">
        <v>164</v>
      </c>
      <c r="E229" s="14">
        <v>1919.83</v>
      </c>
      <c r="F229" s="14" t="s">
        <v>34</v>
      </c>
      <c r="G229" s="14" t="s">
        <v>165</v>
      </c>
      <c r="H229" s="14" t="s">
        <v>166</v>
      </c>
      <c r="I229" s="14" t="s">
        <v>165</v>
      </c>
      <c r="J229" s="14" t="s">
        <v>167</v>
      </c>
      <c r="K229" s="14" t="s">
        <v>168</v>
      </c>
      <c r="L229" s="14" t="s">
        <v>167</v>
      </c>
      <c r="M229" s="14" t="s">
        <v>169</v>
      </c>
      <c r="N229" s="14" t="s">
        <v>170</v>
      </c>
      <c r="O229" s="14" t="s">
        <v>169</v>
      </c>
      <c r="P229" s="14" t="s">
        <v>32</v>
      </c>
      <c r="T229" s="14">
        <f>MATCH(D229,Allocation!A:A,0)</f>
        <v>14</v>
      </c>
    </row>
    <row r="230" spans="1:20" x14ac:dyDescent="0.35">
      <c r="A230" s="14" t="s">
        <v>31</v>
      </c>
      <c r="B230" s="14" t="s">
        <v>32</v>
      </c>
      <c r="C230" s="14" t="s">
        <v>6</v>
      </c>
      <c r="D230" s="14" t="s">
        <v>171</v>
      </c>
      <c r="E230" s="14">
        <v>283.93</v>
      </c>
      <c r="F230" s="14" t="s">
        <v>34</v>
      </c>
      <c r="G230" s="14" t="s">
        <v>172</v>
      </c>
      <c r="H230" s="14" t="s">
        <v>173</v>
      </c>
      <c r="I230" s="14" t="s">
        <v>172</v>
      </c>
      <c r="J230" s="14" t="s">
        <v>94</v>
      </c>
      <c r="K230" s="14" t="s">
        <v>95</v>
      </c>
      <c r="L230" s="14" t="s">
        <v>94</v>
      </c>
      <c r="M230" s="14" t="s">
        <v>96</v>
      </c>
      <c r="N230" s="14" t="s">
        <v>97</v>
      </c>
      <c r="O230" s="14" t="s">
        <v>96</v>
      </c>
      <c r="P230" s="14" t="s">
        <v>32</v>
      </c>
      <c r="T230" s="14">
        <f>MATCH(D230,Allocation!A:A,0)</f>
        <v>41</v>
      </c>
    </row>
    <row r="231" spans="1:20" x14ac:dyDescent="0.35">
      <c r="A231" s="14" t="s">
        <v>31</v>
      </c>
      <c r="B231" s="14" t="s">
        <v>37</v>
      </c>
      <c r="C231" s="14" t="s">
        <v>6</v>
      </c>
      <c r="D231" s="14" t="s">
        <v>171</v>
      </c>
      <c r="E231" s="14">
        <v>0</v>
      </c>
      <c r="F231" s="14" t="s">
        <v>34</v>
      </c>
      <c r="G231" s="14" t="s">
        <v>172</v>
      </c>
      <c r="H231" s="14" t="s">
        <v>173</v>
      </c>
      <c r="I231" s="14" t="s">
        <v>172</v>
      </c>
      <c r="J231" s="14" t="s">
        <v>94</v>
      </c>
      <c r="K231" s="14" t="s">
        <v>95</v>
      </c>
      <c r="L231" s="14" t="s">
        <v>94</v>
      </c>
      <c r="M231" s="14" t="s">
        <v>96</v>
      </c>
      <c r="N231" s="14" t="s">
        <v>97</v>
      </c>
      <c r="O231" s="14" t="s">
        <v>96</v>
      </c>
      <c r="P231" s="14" t="s">
        <v>32</v>
      </c>
      <c r="T231" s="14">
        <f>MATCH(D231,Allocation!A:A,0)</f>
        <v>41</v>
      </c>
    </row>
    <row r="232" spans="1:20" x14ac:dyDescent="0.35">
      <c r="A232" s="14" t="s">
        <v>185</v>
      </c>
      <c r="B232" s="14" t="s">
        <v>32</v>
      </c>
      <c r="C232" s="14" t="s">
        <v>7</v>
      </c>
      <c r="D232" s="14" t="s">
        <v>171</v>
      </c>
      <c r="E232" s="14">
        <v>-283.32</v>
      </c>
      <c r="F232" s="14" t="s">
        <v>187</v>
      </c>
      <c r="G232" s="14" t="s">
        <v>172</v>
      </c>
      <c r="H232" s="14" t="s">
        <v>173</v>
      </c>
      <c r="I232" s="14" t="s">
        <v>172</v>
      </c>
      <c r="J232" s="14" t="s">
        <v>94</v>
      </c>
      <c r="K232" s="14" t="s">
        <v>95</v>
      </c>
      <c r="L232" s="14" t="s">
        <v>94</v>
      </c>
      <c r="M232" s="14" t="s">
        <v>96</v>
      </c>
      <c r="N232" s="14" t="s">
        <v>97</v>
      </c>
      <c r="O232" s="14" t="s">
        <v>96</v>
      </c>
      <c r="P232" s="14" t="s">
        <v>32</v>
      </c>
      <c r="T232" s="14">
        <f>MATCH(D232,Allocation!A:A,0)</f>
        <v>41</v>
      </c>
    </row>
    <row r="233" spans="1:20" x14ac:dyDescent="0.35">
      <c r="A233" s="14" t="s">
        <v>185</v>
      </c>
      <c r="B233" s="14" t="s">
        <v>32</v>
      </c>
      <c r="C233" s="14" t="s">
        <v>8</v>
      </c>
      <c r="D233" s="14" t="s">
        <v>171</v>
      </c>
      <c r="E233" s="14">
        <v>-1081.2</v>
      </c>
      <c r="F233" s="14" t="s">
        <v>187</v>
      </c>
      <c r="G233" s="14" t="s">
        <v>172</v>
      </c>
      <c r="H233" s="14" t="s">
        <v>173</v>
      </c>
      <c r="I233" s="14" t="s">
        <v>172</v>
      </c>
      <c r="J233" s="14" t="s">
        <v>94</v>
      </c>
      <c r="K233" s="14" t="s">
        <v>95</v>
      </c>
      <c r="L233" s="14" t="s">
        <v>94</v>
      </c>
      <c r="M233" s="14" t="s">
        <v>96</v>
      </c>
      <c r="N233" s="14" t="s">
        <v>97</v>
      </c>
      <c r="O233" s="14" t="s">
        <v>96</v>
      </c>
      <c r="P233" s="14" t="s">
        <v>32</v>
      </c>
      <c r="T233" s="14">
        <f>MATCH(D233,Allocation!A:A,0)</f>
        <v>41</v>
      </c>
    </row>
    <row r="234" spans="1:20" x14ac:dyDescent="0.35">
      <c r="A234" s="14" t="s">
        <v>191</v>
      </c>
      <c r="B234" s="14" t="s">
        <v>192</v>
      </c>
      <c r="C234" s="14" t="s">
        <v>9</v>
      </c>
      <c r="D234" s="14" t="s">
        <v>171</v>
      </c>
      <c r="E234" s="14">
        <v>-2727.11</v>
      </c>
      <c r="F234" s="14" t="s">
        <v>187</v>
      </c>
      <c r="G234" s="14" t="s">
        <v>172</v>
      </c>
      <c r="H234" s="14" t="s">
        <v>173</v>
      </c>
      <c r="I234" s="14" t="s">
        <v>172</v>
      </c>
      <c r="J234" s="14" t="s">
        <v>94</v>
      </c>
      <c r="K234" s="14" t="s">
        <v>95</v>
      </c>
      <c r="L234" s="14" t="s">
        <v>94</v>
      </c>
      <c r="M234" s="14" t="s">
        <v>96</v>
      </c>
      <c r="N234" s="14" t="s">
        <v>97</v>
      </c>
      <c r="O234" s="14" t="s">
        <v>96</v>
      </c>
      <c r="P234" s="14" t="s">
        <v>32</v>
      </c>
      <c r="T234" s="14">
        <f>MATCH(D234,Allocation!A:A,0)</f>
        <v>41</v>
      </c>
    </row>
    <row r="235" spans="1:20" x14ac:dyDescent="0.35">
      <c r="A235" s="14" t="s">
        <v>193</v>
      </c>
      <c r="B235" s="14" t="s">
        <v>194</v>
      </c>
      <c r="C235" s="14" t="s">
        <v>10</v>
      </c>
      <c r="D235" s="14" t="s">
        <v>171</v>
      </c>
      <c r="E235" s="14">
        <v>3807.7</v>
      </c>
      <c r="F235" s="14" t="s">
        <v>34</v>
      </c>
      <c r="G235" s="14" t="s">
        <v>172</v>
      </c>
      <c r="H235" s="14" t="s">
        <v>173</v>
      </c>
      <c r="I235" s="14" t="s">
        <v>172</v>
      </c>
      <c r="J235" s="14" t="s">
        <v>94</v>
      </c>
      <c r="K235" s="14" t="s">
        <v>95</v>
      </c>
      <c r="L235" s="14" t="s">
        <v>94</v>
      </c>
      <c r="M235" s="14" t="s">
        <v>96</v>
      </c>
      <c r="N235" s="14" t="s">
        <v>97</v>
      </c>
      <c r="O235" s="14" t="s">
        <v>96</v>
      </c>
      <c r="P235" s="14" t="s">
        <v>32</v>
      </c>
      <c r="T235" s="14">
        <f>MATCH(D235,Allocation!A:A,0)</f>
        <v>41</v>
      </c>
    </row>
    <row r="236" spans="1:20" x14ac:dyDescent="0.35">
      <c r="A236" s="14" t="s">
        <v>195</v>
      </c>
      <c r="B236" s="14" t="s">
        <v>192</v>
      </c>
      <c r="C236" s="14" t="s">
        <v>9</v>
      </c>
      <c r="D236" s="14" t="s">
        <v>171</v>
      </c>
      <c r="E236" s="14">
        <v>-1081.2</v>
      </c>
      <c r="F236" s="14" t="s">
        <v>187</v>
      </c>
      <c r="G236" s="14" t="s">
        <v>172</v>
      </c>
      <c r="H236" s="14" t="s">
        <v>173</v>
      </c>
      <c r="I236" s="14" t="s">
        <v>172</v>
      </c>
      <c r="J236" s="14" t="s">
        <v>94</v>
      </c>
      <c r="K236" s="14" t="s">
        <v>95</v>
      </c>
      <c r="L236" s="14" t="s">
        <v>94</v>
      </c>
      <c r="M236" s="14" t="s">
        <v>96</v>
      </c>
      <c r="N236" s="14" t="s">
        <v>97</v>
      </c>
      <c r="O236" s="14" t="s">
        <v>96</v>
      </c>
      <c r="P236" s="14" t="s">
        <v>32</v>
      </c>
      <c r="T236" s="14">
        <f>MATCH(D236,Allocation!A:A,0)</f>
        <v>41</v>
      </c>
    </row>
    <row r="237" spans="1:20" x14ac:dyDescent="0.35">
      <c r="A237" s="14" t="s">
        <v>195</v>
      </c>
      <c r="B237" s="14" t="s">
        <v>32</v>
      </c>
      <c r="C237" s="14" t="s">
        <v>8</v>
      </c>
      <c r="D237" s="14" t="s">
        <v>171</v>
      </c>
      <c r="E237" s="14">
        <v>1081.2</v>
      </c>
      <c r="F237" s="14" t="s">
        <v>34</v>
      </c>
      <c r="G237" s="14" t="s">
        <v>172</v>
      </c>
      <c r="H237" s="14" t="s">
        <v>173</v>
      </c>
      <c r="I237" s="14" t="s">
        <v>172</v>
      </c>
      <c r="J237" s="14" t="s">
        <v>94</v>
      </c>
      <c r="K237" s="14" t="s">
        <v>95</v>
      </c>
      <c r="L237" s="14" t="s">
        <v>94</v>
      </c>
      <c r="M237" s="14" t="s">
        <v>96</v>
      </c>
      <c r="N237" s="14" t="s">
        <v>97</v>
      </c>
      <c r="O237" s="14" t="s">
        <v>96</v>
      </c>
      <c r="P237" s="14" t="s">
        <v>32</v>
      </c>
      <c r="T237" s="14">
        <f>MATCH(D237,Allocation!A:A,0)</f>
        <v>41</v>
      </c>
    </row>
    <row r="238" spans="1:20" x14ac:dyDescent="0.35">
      <c r="A238" s="14" t="s">
        <v>31</v>
      </c>
      <c r="B238" s="14" t="s">
        <v>32</v>
      </c>
      <c r="C238" s="14" t="s">
        <v>6</v>
      </c>
      <c r="D238" s="14" t="s">
        <v>174</v>
      </c>
      <c r="E238" s="14">
        <v>233.11</v>
      </c>
      <c r="F238" s="14" t="s">
        <v>34</v>
      </c>
      <c r="G238" s="14" t="s">
        <v>174</v>
      </c>
      <c r="H238" s="14" t="s">
        <v>175</v>
      </c>
      <c r="I238" s="14" t="s">
        <v>174</v>
      </c>
      <c r="J238" s="14" t="s">
        <v>176</v>
      </c>
      <c r="K238" s="14" t="s">
        <v>177</v>
      </c>
      <c r="L238" s="14" t="s">
        <v>32</v>
      </c>
      <c r="M238" s="14" t="s">
        <v>140</v>
      </c>
      <c r="N238" s="14" t="s">
        <v>141</v>
      </c>
      <c r="O238" s="14" t="s">
        <v>140</v>
      </c>
      <c r="P238" s="14" t="s">
        <v>32</v>
      </c>
      <c r="T238" s="14">
        <f>MATCH(D238,Allocation!A:A,0)</f>
        <v>34</v>
      </c>
    </row>
    <row r="239" spans="1:20" x14ac:dyDescent="0.35">
      <c r="A239" s="14" t="s">
        <v>31</v>
      </c>
      <c r="B239" s="14" t="s">
        <v>37</v>
      </c>
      <c r="C239" s="14" t="s">
        <v>6</v>
      </c>
      <c r="D239" s="14" t="s">
        <v>174</v>
      </c>
      <c r="E239" s="14">
        <v>0</v>
      </c>
      <c r="F239" s="14" t="s">
        <v>34</v>
      </c>
      <c r="G239" s="14" t="s">
        <v>174</v>
      </c>
      <c r="H239" s="14" t="s">
        <v>175</v>
      </c>
      <c r="I239" s="14" t="s">
        <v>174</v>
      </c>
      <c r="J239" s="14" t="s">
        <v>176</v>
      </c>
      <c r="K239" s="14" t="s">
        <v>177</v>
      </c>
      <c r="L239" s="14" t="s">
        <v>32</v>
      </c>
      <c r="M239" s="14" t="s">
        <v>140</v>
      </c>
      <c r="N239" s="14" t="s">
        <v>141</v>
      </c>
      <c r="O239" s="14" t="s">
        <v>140</v>
      </c>
      <c r="P239" s="14" t="s">
        <v>32</v>
      </c>
      <c r="T239" s="14">
        <f>MATCH(D239,Allocation!A:A,0)</f>
        <v>34</v>
      </c>
    </row>
    <row r="240" spans="1:20" x14ac:dyDescent="0.35">
      <c r="A240" s="14" t="s">
        <v>185</v>
      </c>
      <c r="B240" s="14" t="s">
        <v>32</v>
      </c>
      <c r="C240" s="14" t="s">
        <v>7</v>
      </c>
      <c r="D240" s="14" t="s">
        <v>174</v>
      </c>
      <c r="E240" s="14">
        <v>-503.26</v>
      </c>
      <c r="F240" s="14" t="s">
        <v>187</v>
      </c>
      <c r="G240" s="14" t="s">
        <v>174</v>
      </c>
      <c r="H240" s="14" t="s">
        <v>175</v>
      </c>
      <c r="I240" s="14" t="s">
        <v>174</v>
      </c>
      <c r="J240" s="14" t="s">
        <v>176</v>
      </c>
      <c r="K240" s="14" t="s">
        <v>177</v>
      </c>
      <c r="L240" s="14" t="s">
        <v>32</v>
      </c>
      <c r="M240" s="14" t="s">
        <v>140</v>
      </c>
      <c r="N240" s="14" t="s">
        <v>141</v>
      </c>
      <c r="O240" s="14" t="s">
        <v>140</v>
      </c>
      <c r="P240" s="14" t="s">
        <v>32</v>
      </c>
      <c r="T240" s="14">
        <f>MATCH(D240,Allocation!A:A,0)</f>
        <v>34</v>
      </c>
    </row>
    <row r="241" spans="1:20" x14ac:dyDescent="0.35">
      <c r="A241" s="14" t="s">
        <v>185</v>
      </c>
      <c r="B241" s="14" t="s">
        <v>32</v>
      </c>
      <c r="C241" s="14" t="s">
        <v>8</v>
      </c>
      <c r="D241" s="14" t="s">
        <v>174</v>
      </c>
      <c r="E241" s="14">
        <v>-950.45</v>
      </c>
      <c r="F241" s="14" t="s">
        <v>187</v>
      </c>
      <c r="G241" s="14" t="s">
        <v>174</v>
      </c>
      <c r="H241" s="14" t="s">
        <v>175</v>
      </c>
      <c r="I241" s="14" t="s">
        <v>174</v>
      </c>
      <c r="J241" s="14" t="s">
        <v>176</v>
      </c>
      <c r="K241" s="14" t="s">
        <v>177</v>
      </c>
      <c r="L241" s="14" t="s">
        <v>32</v>
      </c>
      <c r="M241" s="14" t="s">
        <v>140</v>
      </c>
      <c r="N241" s="14" t="s">
        <v>141</v>
      </c>
      <c r="O241" s="14" t="s">
        <v>140</v>
      </c>
      <c r="P241" s="14" t="s">
        <v>32</v>
      </c>
      <c r="T241" s="14">
        <f>MATCH(D241,Allocation!A:A,0)</f>
        <v>34</v>
      </c>
    </row>
    <row r="242" spans="1:20" x14ac:dyDescent="0.35">
      <c r="A242" s="14" t="s">
        <v>191</v>
      </c>
      <c r="B242" s="14" t="s">
        <v>192</v>
      </c>
      <c r="C242" s="14" t="s">
        <v>9</v>
      </c>
      <c r="D242" s="14" t="s">
        <v>174</v>
      </c>
      <c r="E242" s="14">
        <v>-1933.25</v>
      </c>
      <c r="F242" s="14" t="s">
        <v>187</v>
      </c>
      <c r="G242" s="14" t="s">
        <v>174</v>
      </c>
      <c r="H242" s="14" t="s">
        <v>175</v>
      </c>
      <c r="I242" s="14" t="s">
        <v>174</v>
      </c>
      <c r="J242" s="14" t="s">
        <v>176</v>
      </c>
      <c r="K242" s="14" t="s">
        <v>177</v>
      </c>
      <c r="L242" s="14" t="s">
        <v>32</v>
      </c>
      <c r="M242" s="14" t="s">
        <v>140</v>
      </c>
      <c r="N242" s="14" t="s">
        <v>141</v>
      </c>
      <c r="O242" s="14" t="s">
        <v>140</v>
      </c>
      <c r="P242" s="14" t="s">
        <v>32</v>
      </c>
      <c r="T242" s="14">
        <f>MATCH(D242,Allocation!A:A,0)</f>
        <v>34</v>
      </c>
    </row>
    <row r="243" spans="1:20" x14ac:dyDescent="0.35">
      <c r="A243" s="14" t="s">
        <v>193</v>
      </c>
      <c r="B243" s="14" t="s">
        <v>194</v>
      </c>
      <c r="C243" s="14" t="s">
        <v>10</v>
      </c>
      <c r="D243" s="14" t="s">
        <v>174</v>
      </c>
      <c r="E243" s="14">
        <v>3153.85</v>
      </c>
      <c r="F243" s="14" t="s">
        <v>34</v>
      </c>
      <c r="G243" s="14" t="s">
        <v>174</v>
      </c>
      <c r="H243" s="14" t="s">
        <v>175</v>
      </c>
      <c r="I243" s="14" t="s">
        <v>174</v>
      </c>
      <c r="J243" s="14" t="s">
        <v>176</v>
      </c>
      <c r="K243" s="14" t="s">
        <v>177</v>
      </c>
      <c r="L243" s="14" t="s">
        <v>32</v>
      </c>
      <c r="M243" s="14" t="s">
        <v>140</v>
      </c>
      <c r="N243" s="14" t="s">
        <v>141</v>
      </c>
      <c r="O243" s="14" t="s">
        <v>140</v>
      </c>
      <c r="P243" s="14" t="s">
        <v>32</v>
      </c>
      <c r="T243" s="14">
        <f>MATCH(D243,Allocation!A:A,0)</f>
        <v>34</v>
      </c>
    </row>
    <row r="244" spans="1:20" x14ac:dyDescent="0.35">
      <c r="A244" s="14" t="s">
        <v>195</v>
      </c>
      <c r="B244" s="14" t="s">
        <v>192</v>
      </c>
      <c r="C244" s="14" t="s">
        <v>9</v>
      </c>
      <c r="D244" s="14" t="s">
        <v>174</v>
      </c>
      <c r="E244" s="14">
        <v>-950.45</v>
      </c>
      <c r="F244" s="14" t="s">
        <v>187</v>
      </c>
      <c r="G244" s="14" t="s">
        <v>174</v>
      </c>
      <c r="H244" s="14" t="s">
        <v>175</v>
      </c>
      <c r="I244" s="14" t="s">
        <v>174</v>
      </c>
      <c r="J244" s="14" t="s">
        <v>176</v>
      </c>
      <c r="K244" s="14" t="s">
        <v>177</v>
      </c>
      <c r="L244" s="14" t="s">
        <v>32</v>
      </c>
      <c r="M244" s="14" t="s">
        <v>140</v>
      </c>
      <c r="N244" s="14" t="s">
        <v>141</v>
      </c>
      <c r="O244" s="14" t="s">
        <v>140</v>
      </c>
      <c r="P244" s="14" t="s">
        <v>32</v>
      </c>
      <c r="T244" s="14">
        <f>MATCH(D244,Allocation!A:A,0)</f>
        <v>34</v>
      </c>
    </row>
    <row r="245" spans="1:20" x14ac:dyDescent="0.35">
      <c r="A245" s="14" t="s">
        <v>195</v>
      </c>
      <c r="B245" s="14" t="s">
        <v>32</v>
      </c>
      <c r="C245" s="14" t="s">
        <v>8</v>
      </c>
      <c r="D245" s="14" t="s">
        <v>174</v>
      </c>
      <c r="E245" s="14">
        <v>950.45</v>
      </c>
      <c r="F245" s="14" t="s">
        <v>34</v>
      </c>
      <c r="G245" s="14" t="s">
        <v>174</v>
      </c>
      <c r="H245" s="14" t="s">
        <v>175</v>
      </c>
      <c r="I245" s="14" t="s">
        <v>174</v>
      </c>
      <c r="J245" s="14" t="s">
        <v>176</v>
      </c>
      <c r="K245" s="14" t="s">
        <v>177</v>
      </c>
      <c r="L245" s="14" t="s">
        <v>32</v>
      </c>
      <c r="M245" s="14" t="s">
        <v>140</v>
      </c>
      <c r="N245" s="14" t="s">
        <v>141</v>
      </c>
      <c r="O245" s="14" t="s">
        <v>140</v>
      </c>
      <c r="P245" s="14" t="s">
        <v>32</v>
      </c>
      <c r="T245" s="14">
        <f>MATCH(D245,Allocation!A:A,0)</f>
        <v>34</v>
      </c>
    </row>
    <row r="246" spans="1:20" x14ac:dyDescent="0.35">
      <c r="A246" s="14" t="s">
        <v>31</v>
      </c>
      <c r="B246" s="14" t="s">
        <v>32</v>
      </c>
      <c r="C246" s="14" t="s">
        <v>6</v>
      </c>
      <c r="D246" s="14" t="s">
        <v>178</v>
      </c>
      <c r="E246" s="14">
        <v>67.930000000000007</v>
      </c>
      <c r="F246" s="14" t="s">
        <v>34</v>
      </c>
      <c r="G246" s="14" t="s">
        <v>179</v>
      </c>
      <c r="H246" s="14" t="s">
        <v>180</v>
      </c>
      <c r="I246" s="14" t="s">
        <v>179</v>
      </c>
      <c r="J246" s="14" t="s">
        <v>181</v>
      </c>
      <c r="K246" s="14" t="s">
        <v>182</v>
      </c>
      <c r="L246" s="14" t="s">
        <v>181</v>
      </c>
      <c r="M246" s="14" t="s">
        <v>183</v>
      </c>
      <c r="N246" s="14" t="s">
        <v>184</v>
      </c>
      <c r="O246" s="14" t="s">
        <v>183</v>
      </c>
      <c r="P246" s="14" t="s">
        <v>32</v>
      </c>
      <c r="T246" s="14">
        <f>MATCH(D246,Allocation!A:A,0)</f>
        <v>6</v>
      </c>
    </row>
    <row r="247" spans="1:20" x14ac:dyDescent="0.35">
      <c r="A247" s="14" t="s">
        <v>31</v>
      </c>
      <c r="B247" s="14" t="s">
        <v>37</v>
      </c>
      <c r="C247" s="14" t="s">
        <v>6</v>
      </c>
      <c r="D247" s="14" t="s">
        <v>178</v>
      </c>
      <c r="E247" s="14">
        <v>0</v>
      </c>
      <c r="F247" s="14" t="s">
        <v>34</v>
      </c>
      <c r="G247" s="14" t="s">
        <v>179</v>
      </c>
      <c r="H247" s="14" t="s">
        <v>180</v>
      </c>
      <c r="I247" s="14" t="s">
        <v>179</v>
      </c>
      <c r="J247" s="14" t="s">
        <v>181</v>
      </c>
      <c r="K247" s="14" t="s">
        <v>182</v>
      </c>
      <c r="L247" s="14" t="s">
        <v>181</v>
      </c>
      <c r="M247" s="14" t="s">
        <v>183</v>
      </c>
      <c r="N247" s="14" t="s">
        <v>184</v>
      </c>
      <c r="O247" s="14" t="s">
        <v>183</v>
      </c>
      <c r="P247" s="14" t="s">
        <v>32</v>
      </c>
      <c r="T247" s="14">
        <f>MATCH(D247,Allocation!A:A,0)</f>
        <v>6</v>
      </c>
    </row>
    <row r="248" spans="1:20" x14ac:dyDescent="0.35">
      <c r="A248" s="14" t="s">
        <v>185</v>
      </c>
      <c r="B248" s="14" t="s">
        <v>32</v>
      </c>
      <c r="C248" s="14" t="s">
        <v>8</v>
      </c>
      <c r="D248" s="14" t="s">
        <v>178</v>
      </c>
      <c r="E248" s="14">
        <v>-165.45</v>
      </c>
      <c r="F248" s="14" t="s">
        <v>187</v>
      </c>
      <c r="G248" s="14" t="s">
        <v>179</v>
      </c>
      <c r="H248" s="14" t="s">
        <v>180</v>
      </c>
      <c r="I248" s="14" t="s">
        <v>179</v>
      </c>
      <c r="J248" s="14" t="s">
        <v>181</v>
      </c>
      <c r="K248" s="14" t="s">
        <v>182</v>
      </c>
      <c r="L248" s="14" t="s">
        <v>181</v>
      </c>
      <c r="M248" s="14" t="s">
        <v>183</v>
      </c>
      <c r="N248" s="14" t="s">
        <v>184</v>
      </c>
      <c r="O248" s="14" t="s">
        <v>183</v>
      </c>
      <c r="P248" s="14" t="s">
        <v>32</v>
      </c>
      <c r="T248" s="14">
        <f>MATCH(D248,Allocation!A:A,0)</f>
        <v>6</v>
      </c>
    </row>
    <row r="249" spans="1:20" x14ac:dyDescent="0.35">
      <c r="A249" s="14" t="s">
        <v>191</v>
      </c>
      <c r="B249" s="14" t="s">
        <v>192</v>
      </c>
      <c r="C249" s="14" t="s">
        <v>9</v>
      </c>
      <c r="D249" s="14" t="s">
        <v>178</v>
      </c>
      <c r="E249" s="14">
        <v>-552.48</v>
      </c>
      <c r="F249" s="14" t="s">
        <v>187</v>
      </c>
      <c r="G249" s="14" t="s">
        <v>179</v>
      </c>
      <c r="H249" s="14" t="s">
        <v>180</v>
      </c>
      <c r="I249" s="14" t="s">
        <v>179</v>
      </c>
      <c r="J249" s="14" t="s">
        <v>181</v>
      </c>
      <c r="K249" s="14" t="s">
        <v>182</v>
      </c>
      <c r="L249" s="14" t="s">
        <v>181</v>
      </c>
      <c r="M249" s="14" t="s">
        <v>183</v>
      </c>
      <c r="N249" s="14" t="s">
        <v>184</v>
      </c>
      <c r="O249" s="14" t="s">
        <v>183</v>
      </c>
      <c r="P249" s="14" t="s">
        <v>32</v>
      </c>
      <c r="T249" s="14">
        <f>MATCH(D249,Allocation!A:A,0)</f>
        <v>6</v>
      </c>
    </row>
    <row r="250" spans="1:20" x14ac:dyDescent="0.35">
      <c r="A250" s="14" t="s">
        <v>193</v>
      </c>
      <c r="B250" s="14" t="s">
        <v>194</v>
      </c>
      <c r="C250" s="14" t="s">
        <v>10</v>
      </c>
      <c r="D250" s="14" t="s">
        <v>178</v>
      </c>
      <c r="E250" s="14">
        <v>650</v>
      </c>
      <c r="F250" s="14" t="s">
        <v>34</v>
      </c>
      <c r="G250" s="14" t="s">
        <v>179</v>
      </c>
      <c r="H250" s="14" t="s">
        <v>180</v>
      </c>
      <c r="I250" s="14" t="s">
        <v>179</v>
      </c>
      <c r="J250" s="14" t="s">
        <v>181</v>
      </c>
      <c r="K250" s="14" t="s">
        <v>182</v>
      </c>
      <c r="L250" s="14" t="s">
        <v>181</v>
      </c>
      <c r="M250" s="14" t="s">
        <v>183</v>
      </c>
      <c r="N250" s="14" t="s">
        <v>184</v>
      </c>
      <c r="O250" s="14" t="s">
        <v>183</v>
      </c>
      <c r="P250" s="14" t="s">
        <v>32</v>
      </c>
      <c r="T250" s="14">
        <f>MATCH(D250,Allocation!A:A,0)</f>
        <v>6</v>
      </c>
    </row>
    <row r="251" spans="1:20" x14ac:dyDescent="0.35">
      <c r="A251" s="14" t="s">
        <v>195</v>
      </c>
      <c r="B251" s="14" t="s">
        <v>192</v>
      </c>
      <c r="C251" s="14" t="s">
        <v>9</v>
      </c>
      <c r="D251" s="14" t="s">
        <v>178</v>
      </c>
      <c r="E251" s="14">
        <v>-165.45</v>
      </c>
      <c r="F251" s="14" t="s">
        <v>187</v>
      </c>
      <c r="G251" s="14" t="s">
        <v>179</v>
      </c>
      <c r="H251" s="14" t="s">
        <v>180</v>
      </c>
      <c r="I251" s="14" t="s">
        <v>179</v>
      </c>
      <c r="J251" s="14" t="s">
        <v>181</v>
      </c>
      <c r="K251" s="14" t="s">
        <v>182</v>
      </c>
      <c r="L251" s="14" t="s">
        <v>181</v>
      </c>
      <c r="M251" s="14" t="s">
        <v>183</v>
      </c>
      <c r="N251" s="14" t="s">
        <v>184</v>
      </c>
      <c r="O251" s="14" t="s">
        <v>183</v>
      </c>
      <c r="P251" s="14" t="s">
        <v>32</v>
      </c>
      <c r="T251" s="14">
        <f>MATCH(D251,Allocation!A:A,0)</f>
        <v>6</v>
      </c>
    </row>
    <row r="252" spans="1:20" x14ac:dyDescent="0.35">
      <c r="A252" s="14" t="s">
        <v>195</v>
      </c>
      <c r="B252" s="14" t="s">
        <v>32</v>
      </c>
      <c r="C252" s="14" t="s">
        <v>8</v>
      </c>
      <c r="D252" s="14" t="s">
        <v>178</v>
      </c>
      <c r="E252" s="14">
        <v>165.45</v>
      </c>
      <c r="F252" s="14" t="s">
        <v>34</v>
      </c>
      <c r="G252" s="14" t="s">
        <v>179</v>
      </c>
      <c r="H252" s="14" t="s">
        <v>180</v>
      </c>
      <c r="I252" s="14" t="s">
        <v>179</v>
      </c>
      <c r="J252" s="14" t="s">
        <v>181</v>
      </c>
      <c r="K252" s="14" t="s">
        <v>182</v>
      </c>
      <c r="L252" s="14" t="s">
        <v>181</v>
      </c>
      <c r="M252" s="14" t="s">
        <v>183</v>
      </c>
      <c r="N252" s="14" t="s">
        <v>184</v>
      </c>
      <c r="O252" s="14" t="s">
        <v>183</v>
      </c>
      <c r="P252" s="14" t="s">
        <v>32</v>
      </c>
      <c r="T252" s="14">
        <f>MATCH(D252,Allocation!A:A,0)</f>
        <v>6</v>
      </c>
    </row>
  </sheetData>
  <autoFilter ref="A1:T1"/>
  <sortState ref="A2:T252">
    <sortCondition ref="D2:D252"/>
    <sortCondition ref="A2:A252"/>
    <sortCondition ref="C2:C25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REmpl"/>
  <dimension ref="A1:J35"/>
  <sheetViews>
    <sheetView workbookViewId="0"/>
  </sheetViews>
  <sheetFormatPr defaultRowHeight="14.5" x14ac:dyDescent="0.35"/>
  <cols>
    <col min="1" max="1" width="10.26953125" style="88" bestFit="1" customWidth="1"/>
    <col min="2" max="2" width="26" style="88" bestFit="1" customWidth="1"/>
    <col min="3" max="3" width="21.36328125" style="98" bestFit="1" customWidth="1"/>
    <col min="4" max="4" width="17.54296875" style="88" bestFit="1" customWidth="1"/>
    <col min="5" max="6" width="15.6328125" style="88" bestFit="1" customWidth="1"/>
    <col min="7" max="7" width="8.453125" style="88" bestFit="1" customWidth="1"/>
    <col min="8" max="8" width="13.26953125" style="88" bestFit="1" customWidth="1"/>
    <col min="9" max="9" width="10.54296875" style="88" bestFit="1" customWidth="1"/>
    <col min="10" max="10" width="12.1796875" style="88" bestFit="1" customWidth="1"/>
    <col min="11" max="16384" width="8.7265625" style="88"/>
  </cols>
  <sheetData>
    <row r="1" spans="1:10" customFormat="1" x14ac:dyDescent="0.35">
      <c r="A1" s="93"/>
      <c r="B1" s="93"/>
      <c r="C1" s="96" t="s">
        <v>409</v>
      </c>
      <c r="D1" s="93" t="s">
        <v>31</v>
      </c>
      <c r="E1" s="93" t="s">
        <v>185</v>
      </c>
      <c r="F1" s="93" t="s">
        <v>185</v>
      </c>
      <c r="G1" s="93" t="s">
        <v>191</v>
      </c>
      <c r="H1" s="93" t="s">
        <v>193</v>
      </c>
      <c r="I1" s="93" t="s">
        <v>195</v>
      </c>
      <c r="J1" s="93" t="s">
        <v>195</v>
      </c>
    </row>
    <row r="2" spans="1:10" customFormat="1" x14ac:dyDescent="0.35">
      <c r="A2" s="93" t="s">
        <v>400</v>
      </c>
      <c r="B2" s="92" t="s">
        <v>23</v>
      </c>
      <c r="C2" s="97" t="s">
        <v>410</v>
      </c>
      <c r="D2" s="93" t="s">
        <v>6</v>
      </c>
      <c r="E2" s="93" t="s">
        <v>7</v>
      </c>
      <c r="F2" s="93" t="s">
        <v>8</v>
      </c>
      <c r="G2" s="93" t="s">
        <v>9</v>
      </c>
      <c r="H2" s="93" t="s">
        <v>10</v>
      </c>
      <c r="I2" s="93" t="s">
        <v>9</v>
      </c>
      <c r="J2" s="93" t="s">
        <v>8</v>
      </c>
    </row>
    <row r="3" spans="1:10" x14ac:dyDescent="0.35">
      <c r="A3" s="88" t="s">
        <v>33</v>
      </c>
      <c r="B3" s="88" t="s">
        <v>36</v>
      </c>
      <c r="C3" s="98">
        <v>0</v>
      </c>
      <c r="D3" s="88">
        <v>117.04</v>
      </c>
      <c r="E3" s="88">
        <v>-50</v>
      </c>
      <c r="F3" s="88">
        <v>-293.45999999999998</v>
      </c>
      <c r="G3" s="88">
        <v>-893.58</v>
      </c>
      <c r="H3" s="88">
        <v>1120</v>
      </c>
      <c r="I3" s="88">
        <v>-293.45999999999998</v>
      </c>
      <c r="J3" s="88">
        <v>293.45999999999998</v>
      </c>
    </row>
    <row r="4" spans="1:10" x14ac:dyDescent="0.35">
      <c r="A4" s="88" t="s">
        <v>38</v>
      </c>
      <c r="B4" s="88" t="s">
        <v>40</v>
      </c>
      <c r="C4" s="98">
        <v>0</v>
      </c>
      <c r="D4" s="88">
        <v>126.85</v>
      </c>
      <c r="E4" s="88">
        <v>-158.47</v>
      </c>
      <c r="F4" s="88">
        <v>-264.94</v>
      </c>
      <c r="G4" s="88">
        <v>-984.88</v>
      </c>
      <c r="H4" s="88">
        <v>1281.44</v>
      </c>
      <c r="I4" s="88">
        <v>-264.94</v>
      </c>
      <c r="J4" s="88">
        <v>264.94</v>
      </c>
    </row>
    <row r="5" spans="1:10" x14ac:dyDescent="0.35">
      <c r="A5" s="88" t="s">
        <v>41</v>
      </c>
      <c r="B5" s="88" t="s">
        <v>32</v>
      </c>
      <c r="C5" s="98">
        <v>0</v>
      </c>
      <c r="D5" s="88">
        <v>214.11</v>
      </c>
      <c r="E5" s="88">
        <v>-101.8</v>
      </c>
      <c r="F5" s="88">
        <v>-570.16</v>
      </c>
      <c r="G5" s="88">
        <v>-1765.59</v>
      </c>
      <c r="H5" s="88">
        <v>2223.44</v>
      </c>
      <c r="I5" s="88">
        <v>-570.16</v>
      </c>
      <c r="J5" s="88">
        <v>570.16</v>
      </c>
    </row>
    <row r="6" spans="1:10" x14ac:dyDescent="0.35">
      <c r="A6" s="88" t="s">
        <v>44</v>
      </c>
      <c r="B6" s="88" t="s">
        <v>46</v>
      </c>
      <c r="C6" s="98">
        <v>0</v>
      </c>
      <c r="D6" s="88">
        <v>135.53</v>
      </c>
      <c r="E6" s="88">
        <v>-95.91</v>
      </c>
      <c r="F6" s="88">
        <v>-335.3</v>
      </c>
      <c r="G6" s="88">
        <v>-1071.55</v>
      </c>
      <c r="H6" s="88">
        <v>1367.23</v>
      </c>
      <c r="I6" s="88">
        <v>-335.3</v>
      </c>
      <c r="J6" s="88">
        <v>335.3</v>
      </c>
    </row>
    <row r="7" spans="1:10" x14ac:dyDescent="0.35">
      <c r="A7" s="88" t="s">
        <v>49</v>
      </c>
      <c r="B7" s="88" t="s">
        <v>51</v>
      </c>
      <c r="C7" s="98">
        <v>0</v>
      </c>
      <c r="D7" s="88">
        <v>61.13</v>
      </c>
      <c r="F7" s="88">
        <v>-163.80000000000001</v>
      </c>
      <c r="G7" s="88">
        <v>-482.33</v>
      </c>
      <c r="H7" s="88">
        <v>585</v>
      </c>
      <c r="I7" s="88">
        <v>-163.80000000000001</v>
      </c>
      <c r="J7" s="88">
        <v>163.80000000000001</v>
      </c>
    </row>
    <row r="8" spans="1:10" x14ac:dyDescent="0.35">
      <c r="A8" s="88" t="s">
        <v>54</v>
      </c>
      <c r="B8" s="88" t="s">
        <v>56</v>
      </c>
      <c r="C8" s="98">
        <v>0</v>
      </c>
      <c r="D8" s="88">
        <v>59.43</v>
      </c>
      <c r="F8" s="88">
        <v>-140.83000000000001</v>
      </c>
      <c r="G8" s="88">
        <v>-487.3</v>
      </c>
      <c r="H8" s="88">
        <v>568.70000000000005</v>
      </c>
      <c r="I8" s="88">
        <v>-140.83000000000001</v>
      </c>
      <c r="J8" s="88">
        <v>140.83000000000001</v>
      </c>
    </row>
    <row r="9" spans="1:10" x14ac:dyDescent="0.35">
      <c r="A9" s="88" t="s">
        <v>59</v>
      </c>
      <c r="B9" s="88" t="s">
        <v>61</v>
      </c>
      <c r="C9" s="98">
        <v>0</v>
      </c>
      <c r="D9" s="88">
        <v>193.92</v>
      </c>
      <c r="E9" s="88">
        <v>-285.61</v>
      </c>
      <c r="F9" s="88">
        <v>-787.57</v>
      </c>
      <c r="G9" s="88">
        <v>-1813.05</v>
      </c>
      <c r="H9" s="88">
        <v>2692.31</v>
      </c>
      <c r="I9" s="88">
        <v>-787.57</v>
      </c>
      <c r="J9" s="88">
        <v>787.57</v>
      </c>
    </row>
    <row r="10" spans="1:10" x14ac:dyDescent="0.35">
      <c r="A10" s="88" t="s">
        <v>64</v>
      </c>
      <c r="B10" s="88" t="s">
        <v>66</v>
      </c>
      <c r="C10" s="98">
        <v>0</v>
      </c>
      <c r="D10" s="88">
        <v>198.53</v>
      </c>
      <c r="E10" s="88">
        <v>-85.26</v>
      </c>
      <c r="F10" s="88">
        <v>-839.16</v>
      </c>
      <c r="G10" s="88">
        <v>-1958.16</v>
      </c>
      <c r="H10" s="88">
        <v>2684.05</v>
      </c>
      <c r="I10" s="88">
        <v>-839.16</v>
      </c>
      <c r="J10" s="88">
        <v>839.16</v>
      </c>
    </row>
    <row r="11" spans="1:10" x14ac:dyDescent="0.35">
      <c r="A11" s="88" t="s">
        <v>69</v>
      </c>
      <c r="B11" s="88" t="s">
        <v>71</v>
      </c>
      <c r="C11" s="98">
        <v>0</v>
      </c>
      <c r="D11" s="88">
        <v>241.87</v>
      </c>
      <c r="E11" s="88">
        <v>-60.3</v>
      </c>
      <c r="F11" s="88">
        <v>-790.42</v>
      </c>
      <c r="G11" s="88">
        <v>-1752.31</v>
      </c>
      <c r="H11" s="88">
        <v>2361.16</v>
      </c>
      <c r="I11" s="88">
        <v>-790.42</v>
      </c>
      <c r="J11" s="88">
        <v>790.42</v>
      </c>
    </row>
    <row r="12" spans="1:10" x14ac:dyDescent="0.35">
      <c r="A12" s="88" t="s">
        <v>72</v>
      </c>
      <c r="B12" s="88" t="s">
        <v>74</v>
      </c>
      <c r="C12" s="98">
        <v>0</v>
      </c>
      <c r="D12" s="88">
        <v>91.74</v>
      </c>
      <c r="F12" s="88">
        <v>-200.97</v>
      </c>
      <c r="G12" s="88">
        <v>-768.6</v>
      </c>
      <c r="H12" s="88">
        <v>877.83</v>
      </c>
      <c r="I12" s="88">
        <v>-200.97</v>
      </c>
      <c r="J12" s="88">
        <v>200.97</v>
      </c>
    </row>
    <row r="13" spans="1:10" x14ac:dyDescent="0.35">
      <c r="A13" s="88" t="s">
        <v>75</v>
      </c>
      <c r="B13" s="88" t="s">
        <v>77</v>
      </c>
      <c r="C13" s="98">
        <v>0</v>
      </c>
      <c r="D13" s="88">
        <v>238.17</v>
      </c>
      <c r="F13" s="88">
        <v>-813.65</v>
      </c>
      <c r="G13" s="88">
        <v>-1703.73</v>
      </c>
      <c r="H13" s="88">
        <v>2279.21</v>
      </c>
      <c r="I13" s="88">
        <v>-813.65</v>
      </c>
      <c r="J13" s="88">
        <v>813.65</v>
      </c>
    </row>
    <row r="14" spans="1:10" x14ac:dyDescent="0.35">
      <c r="A14" s="88" t="s">
        <v>78</v>
      </c>
      <c r="B14" s="88" t="s">
        <v>80</v>
      </c>
      <c r="C14" s="98">
        <v>0</v>
      </c>
      <c r="D14" s="88">
        <v>154.77000000000001</v>
      </c>
      <c r="E14" s="88">
        <v>-170.24</v>
      </c>
      <c r="F14" s="88">
        <v>-433.43</v>
      </c>
      <c r="G14" s="88">
        <v>-1124.02</v>
      </c>
      <c r="H14" s="88">
        <v>1572.92</v>
      </c>
      <c r="I14" s="88">
        <v>-433.43</v>
      </c>
      <c r="J14" s="88">
        <v>433.43</v>
      </c>
    </row>
    <row r="15" spans="1:10" x14ac:dyDescent="0.35">
      <c r="A15" s="88" t="s">
        <v>81</v>
      </c>
      <c r="B15" s="88" t="s">
        <v>84</v>
      </c>
      <c r="C15" s="98">
        <v>0</v>
      </c>
      <c r="D15" s="88">
        <v>51.73</v>
      </c>
      <c r="F15" s="88">
        <v>-101.79</v>
      </c>
      <c r="G15" s="88">
        <v>-444.94</v>
      </c>
      <c r="H15" s="88">
        <v>495</v>
      </c>
      <c r="I15" s="88">
        <v>-101.79</v>
      </c>
      <c r="J15" s="88">
        <v>101.79</v>
      </c>
    </row>
    <row r="16" spans="1:10" x14ac:dyDescent="0.35">
      <c r="A16" s="88" t="s">
        <v>86</v>
      </c>
      <c r="B16" s="88" t="s">
        <v>90</v>
      </c>
      <c r="C16" s="98">
        <v>-1.1368683772161603E-13</v>
      </c>
      <c r="D16" s="88">
        <v>92.71</v>
      </c>
      <c r="E16" s="88">
        <v>-124.91</v>
      </c>
      <c r="F16" s="88">
        <v>-179.6</v>
      </c>
      <c r="G16" s="88">
        <v>-751.08</v>
      </c>
      <c r="H16" s="88">
        <v>962.88</v>
      </c>
      <c r="I16" s="88">
        <v>-179.6</v>
      </c>
      <c r="J16" s="88">
        <v>179.6</v>
      </c>
    </row>
    <row r="17" spans="1:10" x14ac:dyDescent="0.35">
      <c r="A17" s="88" t="s">
        <v>91</v>
      </c>
      <c r="B17" s="88" t="s">
        <v>95</v>
      </c>
      <c r="C17" s="98">
        <v>0</v>
      </c>
      <c r="D17" s="88">
        <v>31.55</v>
      </c>
      <c r="E17" s="88">
        <v>-31.48</v>
      </c>
      <c r="F17" s="88">
        <v>-120.14</v>
      </c>
      <c r="G17" s="88">
        <v>-303</v>
      </c>
      <c r="H17" s="88">
        <v>423.07</v>
      </c>
      <c r="I17" s="88">
        <v>-120.14</v>
      </c>
      <c r="J17" s="88">
        <v>120.14</v>
      </c>
    </row>
    <row r="18" spans="1:10" x14ac:dyDescent="0.35">
      <c r="A18" s="88" t="s">
        <v>98</v>
      </c>
      <c r="B18" s="88" t="s">
        <v>100</v>
      </c>
      <c r="C18" s="98">
        <v>0</v>
      </c>
      <c r="D18" s="88">
        <v>72.72</v>
      </c>
      <c r="E18" s="88">
        <v>-29.1</v>
      </c>
      <c r="F18" s="88">
        <v>-316.07</v>
      </c>
      <c r="G18" s="88">
        <v>-708.25</v>
      </c>
      <c r="H18" s="88">
        <v>980.7</v>
      </c>
      <c r="I18" s="88">
        <v>-316.07</v>
      </c>
      <c r="J18" s="88">
        <v>316.07</v>
      </c>
    </row>
    <row r="19" spans="1:10" x14ac:dyDescent="0.35">
      <c r="A19" s="88" t="s">
        <v>101</v>
      </c>
      <c r="B19" s="88" t="s">
        <v>106</v>
      </c>
      <c r="C19" s="98">
        <v>0</v>
      </c>
      <c r="D19" s="88">
        <v>89.57</v>
      </c>
      <c r="F19" s="88">
        <v>-198.41</v>
      </c>
      <c r="G19" s="88">
        <v>-748.36</v>
      </c>
      <c r="H19" s="88">
        <v>857.2</v>
      </c>
      <c r="I19" s="88">
        <v>-198.41</v>
      </c>
      <c r="J19" s="88">
        <v>198.41</v>
      </c>
    </row>
    <row r="20" spans="1:10" x14ac:dyDescent="0.35">
      <c r="A20" s="88" t="s">
        <v>109</v>
      </c>
      <c r="B20" s="88" t="s">
        <v>113</v>
      </c>
      <c r="C20" s="98">
        <v>0</v>
      </c>
      <c r="D20" s="88">
        <v>150.71</v>
      </c>
      <c r="F20" s="88">
        <v>-403.91</v>
      </c>
      <c r="G20" s="88">
        <v>-1189.1099999999999</v>
      </c>
      <c r="H20" s="88">
        <v>1442.31</v>
      </c>
      <c r="I20" s="88">
        <v>-403.91</v>
      </c>
      <c r="J20" s="88">
        <v>403.91</v>
      </c>
    </row>
    <row r="21" spans="1:10" x14ac:dyDescent="0.35">
      <c r="A21" s="88" t="s">
        <v>116</v>
      </c>
      <c r="B21" s="88" t="s">
        <v>100</v>
      </c>
      <c r="C21" s="98">
        <v>0</v>
      </c>
      <c r="D21" s="88">
        <v>169.67</v>
      </c>
      <c r="E21" s="88">
        <v>-67.91</v>
      </c>
      <c r="F21" s="88">
        <v>-737.47</v>
      </c>
      <c r="G21" s="88">
        <v>-1652.59</v>
      </c>
      <c r="H21" s="88">
        <v>2288.3000000000002</v>
      </c>
      <c r="I21" s="88">
        <v>-737.47</v>
      </c>
      <c r="J21" s="88">
        <v>737.47</v>
      </c>
    </row>
    <row r="22" spans="1:10" x14ac:dyDescent="0.35">
      <c r="A22" s="88" t="s">
        <v>117</v>
      </c>
      <c r="B22" s="88" t="s">
        <v>122</v>
      </c>
      <c r="C22" s="98">
        <v>0</v>
      </c>
      <c r="D22" s="88">
        <v>112.68</v>
      </c>
      <c r="E22" s="88">
        <v>-103.26</v>
      </c>
      <c r="F22" s="88">
        <v>-320.99</v>
      </c>
      <c r="G22" s="88">
        <v>-842.28</v>
      </c>
      <c r="H22" s="88">
        <v>1153.8499999999999</v>
      </c>
      <c r="I22" s="88">
        <v>-320.99</v>
      </c>
      <c r="J22" s="88">
        <v>320.99</v>
      </c>
    </row>
    <row r="23" spans="1:10" x14ac:dyDescent="0.35">
      <c r="A23" s="88" t="s">
        <v>125</v>
      </c>
      <c r="B23" s="88" t="s">
        <v>127</v>
      </c>
      <c r="C23" s="98">
        <v>0</v>
      </c>
      <c r="D23" s="88">
        <v>90.42</v>
      </c>
      <c r="F23" s="88">
        <v>-214.42</v>
      </c>
      <c r="G23" s="88">
        <v>-741.2</v>
      </c>
      <c r="H23" s="88">
        <v>865.2</v>
      </c>
      <c r="I23" s="88">
        <v>-214.42</v>
      </c>
      <c r="J23" s="88">
        <v>214.42</v>
      </c>
    </row>
    <row r="24" spans="1:10" x14ac:dyDescent="0.35">
      <c r="A24" s="88" t="s">
        <v>128</v>
      </c>
      <c r="B24" s="88" t="s">
        <v>130</v>
      </c>
      <c r="C24" s="98">
        <v>0</v>
      </c>
      <c r="D24" s="88">
        <v>183.56</v>
      </c>
      <c r="E24" s="88">
        <v>-97.01</v>
      </c>
      <c r="F24" s="88">
        <v>-754.91</v>
      </c>
      <c r="G24" s="88">
        <v>-1831.64</v>
      </c>
      <c r="H24" s="88">
        <v>2500</v>
      </c>
      <c r="I24" s="88">
        <v>-754.91</v>
      </c>
      <c r="J24" s="88">
        <v>754.91</v>
      </c>
    </row>
    <row r="25" spans="1:10" x14ac:dyDescent="0.35">
      <c r="A25" s="88" t="s">
        <v>131</v>
      </c>
      <c r="B25" s="88" t="s">
        <v>133</v>
      </c>
      <c r="C25" s="98">
        <v>2.2737367544323206E-13</v>
      </c>
      <c r="D25" s="88">
        <v>160.76</v>
      </c>
      <c r="F25" s="88">
        <v>-458.15</v>
      </c>
      <c r="G25" s="88">
        <v>-1241.08</v>
      </c>
      <c r="H25" s="88">
        <v>1538.47</v>
      </c>
      <c r="I25" s="88">
        <v>-458.15</v>
      </c>
      <c r="J25" s="88">
        <v>458.15</v>
      </c>
    </row>
    <row r="26" spans="1:10" x14ac:dyDescent="0.35">
      <c r="A26" s="88" t="s">
        <v>134</v>
      </c>
      <c r="B26" s="88" t="s">
        <v>139</v>
      </c>
      <c r="C26" s="98">
        <v>-4.5474735088646412E-13</v>
      </c>
      <c r="D26" s="88">
        <v>241.26</v>
      </c>
      <c r="E26" s="88">
        <v>-500</v>
      </c>
      <c r="F26" s="88">
        <v>-1006.46</v>
      </c>
      <c r="G26" s="88">
        <v>-1888.65</v>
      </c>
      <c r="H26" s="88">
        <v>3153.85</v>
      </c>
      <c r="I26" s="88">
        <v>-1006.46</v>
      </c>
      <c r="J26" s="88">
        <v>1006.46</v>
      </c>
    </row>
    <row r="27" spans="1:10" x14ac:dyDescent="0.35">
      <c r="A27" s="88" t="s">
        <v>142</v>
      </c>
      <c r="B27" s="88" t="s">
        <v>144</v>
      </c>
      <c r="C27" s="98">
        <v>2.2737367544323206E-13</v>
      </c>
      <c r="D27" s="88">
        <v>136.13999999999999</v>
      </c>
      <c r="E27" s="88">
        <v>-55.85</v>
      </c>
      <c r="F27" s="88">
        <v>-396.18</v>
      </c>
      <c r="G27" s="88">
        <v>-1030.27</v>
      </c>
      <c r="H27" s="88">
        <v>1346.16</v>
      </c>
      <c r="I27" s="88">
        <v>-396.18</v>
      </c>
      <c r="J27" s="88">
        <v>396.18</v>
      </c>
    </row>
    <row r="28" spans="1:10" x14ac:dyDescent="0.35">
      <c r="A28" s="88" t="s">
        <v>145</v>
      </c>
      <c r="B28" s="88" t="s">
        <v>147</v>
      </c>
      <c r="C28" s="98">
        <v>0</v>
      </c>
      <c r="D28" s="88">
        <v>221.05</v>
      </c>
      <c r="F28" s="88">
        <v>-635.55999999999995</v>
      </c>
      <c r="G28" s="88">
        <v>-1700.88</v>
      </c>
      <c r="H28" s="88">
        <v>2115.39</v>
      </c>
      <c r="I28" s="88">
        <v>-635.55999999999995</v>
      </c>
      <c r="J28" s="88">
        <v>635.55999999999995</v>
      </c>
    </row>
    <row r="29" spans="1:10" x14ac:dyDescent="0.35">
      <c r="A29" s="88" t="s">
        <v>150</v>
      </c>
      <c r="B29" s="88" t="s">
        <v>152</v>
      </c>
      <c r="C29" s="98">
        <v>0</v>
      </c>
      <c r="D29" s="88">
        <v>119.13</v>
      </c>
      <c r="F29" s="88">
        <v>-250.84</v>
      </c>
      <c r="G29" s="88">
        <v>-1008.29</v>
      </c>
      <c r="H29" s="88">
        <v>1140</v>
      </c>
      <c r="I29" s="88">
        <v>-250.84</v>
      </c>
      <c r="J29" s="88">
        <v>250.84</v>
      </c>
    </row>
    <row r="30" spans="1:10" x14ac:dyDescent="0.35">
      <c r="A30" s="88" t="s">
        <v>153</v>
      </c>
      <c r="B30" s="88" t="s">
        <v>158</v>
      </c>
      <c r="C30" s="98">
        <v>0</v>
      </c>
      <c r="D30" s="88">
        <v>252.87</v>
      </c>
      <c r="E30" s="88">
        <v>-105.9</v>
      </c>
      <c r="F30" s="88">
        <v>-787.69</v>
      </c>
      <c r="G30" s="88">
        <v>-1859.28</v>
      </c>
      <c r="H30" s="88">
        <v>2500</v>
      </c>
      <c r="I30" s="88">
        <v>-787.69</v>
      </c>
      <c r="J30" s="88">
        <v>787.69</v>
      </c>
    </row>
    <row r="31" spans="1:10" x14ac:dyDescent="0.35">
      <c r="A31" s="88" t="s">
        <v>159</v>
      </c>
      <c r="B31" s="88" t="s">
        <v>163</v>
      </c>
      <c r="C31" s="98">
        <v>0</v>
      </c>
      <c r="D31" s="88">
        <v>160.76</v>
      </c>
      <c r="F31" s="88">
        <v>-308.06</v>
      </c>
      <c r="G31" s="88">
        <v>-1391.16</v>
      </c>
      <c r="H31" s="88">
        <v>1538.46</v>
      </c>
      <c r="I31" s="88">
        <v>-308.06</v>
      </c>
      <c r="J31" s="88">
        <v>308.06</v>
      </c>
    </row>
    <row r="32" spans="1:10" x14ac:dyDescent="0.35">
      <c r="A32" s="88" t="s">
        <v>164</v>
      </c>
      <c r="B32" s="88" t="s">
        <v>168</v>
      </c>
      <c r="C32" s="98">
        <v>0</v>
      </c>
      <c r="D32" s="88">
        <v>450.53</v>
      </c>
      <c r="E32" s="88">
        <v>-423.08</v>
      </c>
      <c r="F32" s="88">
        <v>-1919.83</v>
      </c>
      <c r="G32" s="88">
        <v>-4069.16</v>
      </c>
      <c r="H32" s="88">
        <v>5961.54</v>
      </c>
      <c r="I32" s="88">
        <v>-1919.83</v>
      </c>
      <c r="J32" s="88">
        <v>1919.83</v>
      </c>
    </row>
    <row r="33" spans="1:10" x14ac:dyDescent="0.35">
      <c r="A33" s="88" t="s">
        <v>171</v>
      </c>
      <c r="B33" s="88" t="s">
        <v>95</v>
      </c>
      <c r="C33" s="98">
        <v>-4.5474735088646412E-13</v>
      </c>
      <c r="D33" s="88">
        <v>283.93</v>
      </c>
      <c r="E33" s="88">
        <v>-283.32</v>
      </c>
      <c r="F33" s="88">
        <v>-1081.2</v>
      </c>
      <c r="G33" s="88">
        <v>-2727.11</v>
      </c>
      <c r="H33" s="88">
        <v>3807.7</v>
      </c>
      <c r="I33" s="88">
        <v>-1081.2</v>
      </c>
      <c r="J33" s="88">
        <v>1081.2</v>
      </c>
    </row>
    <row r="34" spans="1:10" x14ac:dyDescent="0.35">
      <c r="A34" s="88" t="s">
        <v>174</v>
      </c>
      <c r="B34" s="88" t="s">
        <v>177</v>
      </c>
      <c r="C34" s="98">
        <v>0</v>
      </c>
      <c r="D34" s="88">
        <v>233.11</v>
      </c>
      <c r="E34" s="88">
        <v>-503.26</v>
      </c>
      <c r="F34" s="88">
        <v>-950.45</v>
      </c>
      <c r="G34" s="88">
        <v>-1933.25</v>
      </c>
      <c r="H34" s="88">
        <v>3153.85</v>
      </c>
      <c r="I34" s="88">
        <v>-950.45</v>
      </c>
      <c r="J34" s="88">
        <v>950.45</v>
      </c>
    </row>
    <row r="35" spans="1:10" x14ac:dyDescent="0.35">
      <c r="A35" s="88" t="s">
        <v>178</v>
      </c>
      <c r="B35" s="88" t="s">
        <v>182</v>
      </c>
      <c r="C35" s="98">
        <v>0</v>
      </c>
      <c r="D35" s="88">
        <v>67.930000000000007</v>
      </c>
      <c r="F35" s="88">
        <v>-165.45</v>
      </c>
      <c r="G35" s="88">
        <v>-552.48</v>
      </c>
      <c r="H35" s="88">
        <v>650</v>
      </c>
      <c r="I35" s="88">
        <v>-165.45</v>
      </c>
      <c r="J35" s="88">
        <v>165.45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"/>
  <dimension ref="A1:AH43"/>
  <sheetViews>
    <sheetView workbookViewId="0">
      <selection sqref="A1:XFD1048576"/>
    </sheetView>
  </sheetViews>
  <sheetFormatPr defaultRowHeight="14.5" x14ac:dyDescent="0.35"/>
  <cols>
    <col min="1" max="1" width="8.54296875" style="70" bestFit="1" customWidth="1"/>
    <col min="2" max="2" width="23.54296875" style="65" customWidth="1"/>
    <col min="3" max="3" width="26.54296875" style="65" bestFit="1" customWidth="1"/>
    <col min="4" max="4" width="15.36328125" style="71" customWidth="1"/>
    <col min="5" max="5" width="13.08984375" style="72" customWidth="1"/>
    <col min="6" max="6" width="7.6328125" style="72" customWidth="1"/>
    <col min="7" max="31" width="13" style="14" customWidth="1"/>
    <col min="32" max="32" width="11.81640625" style="14" customWidth="1"/>
    <col min="33" max="16384" width="8.7265625" style="14"/>
  </cols>
  <sheetData>
    <row r="1" spans="1:34" s="38" customFormat="1" x14ac:dyDescent="0.25">
      <c r="A1" s="33"/>
      <c r="B1" s="33" t="s">
        <v>197</v>
      </c>
      <c r="C1" s="34">
        <v>43831</v>
      </c>
      <c r="D1" s="34"/>
      <c r="E1" s="35" t="s">
        <v>30</v>
      </c>
      <c r="F1" s="36"/>
      <c r="G1" s="99" t="s">
        <v>250</v>
      </c>
      <c r="H1" s="99" t="s">
        <v>85</v>
      </c>
      <c r="I1" s="99" t="s">
        <v>85</v>
      </c>
      <c r="J1" s="99" t="s">
        <v>85</v>
      </c>
      <c r="K1" s="99" t="s">
        <v>566</v>
      </c>
      <c r="L1" s="99" t="s">
        <v>252</v>
      </c>
      <c r="M1" s="99" t="s">
        <v>567</v>
      </c>
      <c r="N1" s="99" t="s">
        <v>253</v>
      </c>
      <c r="O1" s="99" t="s">
        <v>568</v>
      </c>
      <c r="P1" s="99" t="s">
        <v>569</v>
      </c>
      <c r="Q1" s="99" t="s">
        <v>569</v>
      </c>
      <c r="R1" s="99" t="s">
        <v>570</v>
      </c>
      <c r="S1" s="99" t="s">
        <v>566</v>
      </c>
      <c r="T1" s="99" t="s">
        <v>571</v>
      </c>
      <c r="U1" s="99" t="s">
        <v>254</v>
      </c>
      <c r="V1" s="99" t="s">
        <v>567</v>
      </c>
      <c r="W1" s="99" t="s">
        <v>569</v>
      </c>
      <c r="X1" s="99" t="s">
        <v>572</v>
      </c>
      <c r="Y1" s="99" t="s">
        <v>573</v>
      </c>
      <c r="Z1" s="99" t="s">
        <v>255</v>
      </c>
      <c r="AA1" s="99" t="s">
        <v>574</v>
      </c>
      <c r="AB1" s="99" t="s">
        <v>85</v>
      </c>
      <c r="AC1" s="99" t="s">
        <v>85</v>
      </c>
      <c r="AD1" s="99" t="s">
        <v>85</v>
      </c>
      <c r="AE1" s="100"/>
      <c r="AF1" s="37"/>
      <c r="AG1" s="37"/>
      <c r="AH1" s="37"/>
    </row>
    <row r="2" spans="1:34" s="38" customFormat="1" ht="18.75" customHeight="1" x14ac:dyDescent="0.25">
      <c r="A2" s="39"/>
      <c r="B2" s="40"/>
      <c r="C2" s="41"/>
      <c r="D2" s="41"/>
      <c r="E2" s="42" t="s">
        <v>256</v>
      </c>
      <c r="F2" s="43"/>
      <c r="G2" s="99" t="s">
        <v>201</v>
      </c>
      <c r="H2" s="99" t="s">
        <v>257</v>
      </c>
      <c r="I2" s="99" t="s">
        <v>258</v>
      </c>
      <c r="J2" s="99" t="s">
        <v>259</v>
      </c>
      <c r="K2" s="99" t="s">
        <v>260</v>
      </c>
      <c r="L2" s="99" t="s">
        <v>261</v>
      </c>
      <c r="M2" s="99" t="s">
        <v>262</v>
      </c>
      <c r="N2" s="99" t="s">
        <v>263</v>
      </c>
      <c r="O2" s="99" t="s">
        <v>264</v>
      </c>
      <c r="P2" s="99" t="s">
        <v>575</v>
      </c>
      <c r="Q2" s="99" t="s">
        <v>265</v>
      </c>
      <c r="R2" s="99" t="s">
        <v>266</v>
      </c>
      <c r="S2" s="99" t="s">
        <v>267</v>
      </c>
      <c r="T2" s="99" t="s">
        <v>268</v>
      </c>
      <c r="U2" s="99" t="s">
        <v>269</v>
      </c>
      <c r="V2" s="99" t="s">
        <v>270</v>
      </c>
      <c r="W2" s="99" t="s">
        <v>304</v>
      </c>
      <c r="X2" s="99" t="s">
        <v>275</v>
      </c>
      <c r="Y2" s="99" t="s">
        <v>271</v>
      </c>
      <c r="Z2" s="99" t="s">
        <v>272</v>
      </c>
      <c r="AA2" s="99" t="s">
        <v>273</v>
      </c>
      <c r="AB2" s="99" t="s">
        <v>202</v>
      </c>
      <c r="AC2" s="99" t="s">
        <v>274</v>
      </c>
      <c r="AD2" s="99" t="s">
        <v>275</v>
      </c>
      <c r="AE2" s="99" t="s">
        <v>576</v>
      </c>
    </row>
    <row r="3" spans="1:34" s="50" customFormat="1" x14ac:dyDescent="0.35">
      <c r="A3" s="44" t="s">
        <v>198</v>
      </c>
      <c r="B3" s="45" t="s">
        <v>199</v>
      </c>
      <c r="C3" s="46" t="s">
        <v>200</v>
      </c>
      <c r="D3" s="47" t="s">
        <v>238</v>
      </c>
      <c r="E3" s="48">
        <f>SUM(E4:E121)</f>
        <v>37</v>
      </c>
      <c r="F3" s="47" t="s">
        <v>276</v>
      </c>
      <c r="G3" s="49">
        <f t="shared" ref="G3:AD3" si="0">SUM(G4:G43)</f>
        <v>12.719999999999999</v>
      </c>
      <c r="H3" s="49">
        <f t="shared" si="0"/>
        <v>0.28000000000000003</v>
      </c>
      <c r="I3" s="49">
        <f t="shared" si="0"/>
        <v>2</v>
      </c>
      <c r="J3" s="49">
        <f t="shared" si="0"/>
        <v>2</v>
      </c>
      <c r="K3" s="49">
        <f t="shared" si="0"/>
        <v>5.15</v>
      </c>
      <c r="L3" s="49">
        <f t="shared" si="0"/>
        <v>1.33</v>
      </c>
      <c r="M3" s="49">
        <f t="shared" si="0"/>
        <v>0.91</v>
      </c>
      <c r="N3" s="49">
        <f t="shared" si="0"/>
        <v>2</v>
      </c>
      <c r="O3" s="49">
        <f t="shared" si="0"/>
        <v>0.4</v>
      </c>
      <c r="P3" s="49">
        <f t="shared" si="0"/>
        <v>0.18</v>
      </c>
      <c r="Q3" s="49">
        <f t="shared" si="0"/>
        <v>0.8600000000000001</v>
      </c>
      <c r="R3" s="49">
        <f t="shared" si="0"/>
        <v>0.39999999999999997</v>
      </c>
      <c r="S3" s="49">
        <f t="shared" si="0"/>
        <v>0.27</v>
      </c>
      <c r="T3" s="49">
        <f t="shared" si="0"/>
        <v>0.16</v>
      </c>
      <c r="U3" s="49">
        <f t="shared" si="0"/>
        <v>0.84000000000000008</v>
      </c>
      <c r="V3" s="49">
        <f t="shared" si="0"/>
        <v>1.18</v>
      </c>
      <c r="W3" s="49">
        <f t="shared" si="0"/>
        <v>0.27</v>
      </c>
      <c r="X3" s="49">
        <f t="shared" si="0"/>
        <v>0.58000000000000007</v>
      </c>
      <c r="Y3" s="49">
        <f t="shared" si="0"/>
        <v>0.7599999999999999</v>
      </c>
      <c r="Z3" s="49">
        <f t="shared" si="0"/>
        <v>1.88</v>
      </c>
      <c r="AA3" s="49">
        <f t="shared" si="0"/>
        <v>0.9</v>
      </c>
      <c r="AB3" s="49">
        <f t="shared" si="0"/>
        <v>1.83</v>
      </c>
      <c r="AC3" s="49">
        <f t="shared" si="0"/>
        <v>0.1</v>
      </c>
      <c r="AD3" s="49">
        <f t="shared" si="0"/>
        <v>1</v>
      </c>
      <c r="AE3" s="49">
        <f>SUM(AE4:AE43)</f>
        <v>1</v>
      </c>
    </row>
    <row r="4" spans="1:34" x14ac:dyDescent="0.35">
      <c r="A4" s="85" t="s">
        <v>41</v>
      </c>
      <c r="B4" s="14" t="s">
        <v>42</v>
      </c>
      <c r="C4" s="14" t="s">
        <v>42</v>
      </c>
      <c r="D4" s="51" t="s">
        <v>222</v>
      </c>
      <c r="E4" s="52">
        <f t="shared" ref="E4:E43" si="1">SUM(G4:BM4)</f>
        <v>1</v>
      </c>
      <c r="F4" s="53">
        <f>COUNTIF(G4:AE4,"&gt;0")</f>
        <v>1</v>
      </c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>
        <v>1</v>
      </c>
      <c r="AF4" s="54"/>
    </row>
    <row r="5" spans="1:34" x14ac:dyDescent="0.35">
      <c r="A5" s="14" t="s">
        <v>33</v>
      </c>
      <c r="B5" s="14" t="s">
        <v>36</v>
      </c>
      <c r="C5" s="51" t="s">
        <v>42</v>
      </c>
      <c r="D5" s="51" t="s">
        <v>222</v>
      </c>
      <c r="E5" s="52">
        <f>SUM(G5:BM5)</f>
        <v>1</v>
      </c>
      <c r="F5" s="53">
        <f>COUNTIF(G5:AE5,"&gt;0")</f>
        <v>1</v>
      </c>
      <c r="G5" s="27">
        <v>1</v>
      </c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54"/>
    </row>
    <row r="6" spans="1:34" x14ac:dyDescent="0.35">
      <c r="A6" s="14" t="s">
        <v>178</v>
      </c>
      <c r="B6" s="14" t="s">
        <v>182</v>
      </c>
      <c r="C6" s="51" t="s">
        <v>277</v>
      </c>
      <c r="D6" s="51" t="s">
        <v>222</v>
      </c>
      <c r="E6" s="52">
        <f t="shared" si="1"/>
        <v>1</v>
      </c>
      <c r="F6" s="53">
        <f t="shared" ref="F6:F43" si="2">COUNTIF(G6:AE6,"&gt;0")</f>
        <v>1</v>
      </c>
      <c r="G6" s="27">
        <v>1</v>
      </c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54"/>
    </row>
    <row r="7" spans="1:34" x14ac:dyDescent="0.35">
      <c r="A7" s="55" t="s">
        <v>305</v>
      </c>
      <c r="B7" s="56" t="s">
        <v>279</v>
      </c>
      <c r="C7" s="56" t="s">
        <v>277</v>
      </c>
      <c r="D7" s="56" t="s">
        <v>222</v>
      </c>
      <c r="E7" s="52">
        <f t="shared" si="1"/>
        <v>1</v>
      </c>
      <c r="F7" s="53">
        <f t="shared" si="2"/>
        <v>1</v>
      </c>
      <c r="G7" s="27">
        <v>1</v>
      </c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54"/>
    </row>
    <row r="8" spans="1:34" x14ac:dyDescent="0.35">
      <c r="A8" s="14" t="s">
        <v>81</v>
      </c>
      <c r="B8" s="14" t="s">
        <v>84</v>
      </c>
      <c r="C8" s="51" t="s">
        <v>280</v>
      </c>
      <c r="D8" s="51" t="s">
        <v>222</v>
      </c>
      <c r="E8" s="52">
        <f t="shared" si="1"/>
        <v>1</v>
      </c>
      <c r="F8" s="53">
        <f t="shared" si="2"/>
        <v>1</v>
      </c>
      <c r="G8" s="27"/>
      <c r="H8" s="27"/>
      <c r="I8" s="27">
        <v>1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54"/>
    </row>
    <row r="9" spans="1:34" x14ac:dyDescent="0.35">
      <c r="A9" s="14" t="s">
        <v>44</v>
      </c>
      <c r="B9" s="14" t="s">
        <v>46</v>
      </c>
      <c r="C9" s="51" t="s">
        <v>42</v>
      </c>
      <c r="D9" s="51" t="s">
        <v>222</v>
      </c>
      <c r="E9" s="52">
        <f t="shared" si="1"/>
        <v>1</v>
      </c>
      <c r="F9" s="53">
        <f t="shared" si="2"/>
        <v>1</v>
      </c>
      <c r="G9" s="27">
        <v>1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54"/>
    </row>
    <row r="10" spans="1:34" x14ac:dyDescent="0.35">
      <c r="A10" s="14" t="s">
        <v>117</v>
      </c>
      <c r="B10" s="14" t="s">
        <v>122</v>
      </c>
      <c r="C10" s="51" t="s">
        <v>119</v>
      </c>
      <c r="D10" s="51" t="s">
        <v>222</v>
      </c>
      <c r="E10" s="52">
        <f t="shared" si="1"/>
        <v>1</v>
      </c>
      <c r="F10" s="53">
        <f t="shared" si="2"/>
        <v>1</v>
      </c>
      <c r="G10" s="27"/>
      <c r="H10" s="27"/>
      <c r="I10" s="27"/>
      <c r="J10" s="27"/>
      <c r="K10" s="27">
        <v>1</v>
      </c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54"/>
    </row>
    <row r="11" spans="1:34" x14ac:dyDescent="0.35">
      <c r="A11" s="14" t="s">
        <v>101</v>
      </c>
      <c r="B11" s="14" t="s">
        <v>106</v>
      </c>
      <c r="C11" s="51" t="s">
        <v>206</v>
      </c>
      <c r="D11" s="51" t="s">
        <v>222</v>
      </c>
      <c r="E11" s="52">
        <f t="shared" si="1"/>
        <v>1</v>
      </c>
      <c r="F11" s="53">
        <f t="shared" si="2"/>
        <v>1</v>
      </c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>
        <v>1</v>
      </c>
      <c r="W11" s="27"/>
      <c r="X11" s="27"/>
      <c r="Y11" s="27"/>
      <c r="Z11" s="27"/>
      <c r="AA11" s="27"/>
      <c r="AB11" s="27"/>
      <c r="AC11" s="27"/>
      <c r="AD11" s="27"/>
      <c r="AE11" s="27"/>
      <c r="AF11" s="54"/>
    </row>
    <row r="12" spans="1:34" x14ac:dyDescent="0.35">
      <c r="A12" s="14" t="s">
        <v>59</v>
      </c>
      <c r="B12" s="14" t="s">
        <v>61</v>
      </c>
      <c r="C12" s="51" t="s">
        <v>42</v>
      </c>
      <c r="D12" s="51" t="s">
        <v>222</v>
      </c>
      <c r="E12" s="52">
        <f t="shared" si="1"/>
        <v>1</v>
      </c>
      <c r="F12" s="53">
        <f t="shared" si="2"/>
        <v>2</v>
      </c>
      <c r="G12" s="27">
        <v>0.72</v>
      </c>
      <c r="H12" s="27">
        <v>0.28000000000000003</v>
      </c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54"/>
    </row>
    <row r="13" spans="1:34" x14ac:dyDescent="0.35">
      <c r="A13" s="14" t="s">
        <v>86</v>
      </c>
      <c r="B13" s="14" t="s">
        <v>90</v>
      </c>
      <c r="C13" s="51" t="s">
        <v>203</v>
      </c>
      <c r="D13" s="51" t="s">
        <v>222</v>
      </c>
      <c r="E13" s="52">
        <f t="shared" si="1"/>
        <v>1</v>
      </c>
      <c r="F13" s="53">
        <f t="shared" si="2"/>
        <v>1</v>
      </c>
      <c r="G13" s="27"/>
      <c r="H13" s="27"/>
      <c r="I13" s="27"/>
      <c r="J13" s="27">
        <v>1</v>
      </c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54"/>
    </row>
    <row r="14" spans="1:34" x14ac:dyDescent="0.35">
      <c r="A14" s="14" t="s">
        <v>164</v>
      </c>
      <c r="B14" s="14" t="s">
        <v>168</v>
      </c>
      <c r="C14" s="51" t="s">
        <v>204</v>
      </c>
      <c r="D14" s="51" t="s">
        <v>222</v>
      </c>
      <c r="E14" s="52">
        <f t="shared" si="1"/>
        <v>1</v>
      </c>
      <c r="F14" s="53">
        <f t="shared" si="2"/>
        <v>2</v>
      </c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>
        <v>0.9</v>
      </c>
      <c r="AB14" s="27"/>
      <c r="AC14" s="27">
        <v>0.1</v>
      </c>
      <c r="AD14" s="27"/>
      <c r="AE14" s="27"/>
      <c r="AF14" s="54"/>
    </row>
    <row r="15" spans="1:34" x14ac:dyDescent="0.35">
      <c r="A15" s="14" t="s">
        <v>134</v>
      </c>
      <c r="B15" s="14" t="s">
        <v>139</v>
      </c>
      <c r="C15" s="51" t="s">
        <v>205</v>
      </c>
      <c r="D15" s="51" t="s">
        <v>222</v>
      </c>
      <c r="E15" s="52">
        <f t="shared" si="1"/>
        <v>1</v>
      </c>
      <c r="F15" s="53">
        <f t="shared" si="2"/>
        <v>2</v>
      </c>
      <c r="G15" s="27"/>
      <c r="H15" s="27"/>
      <c r="I15" s="27"/>
      <c r="J15" s="27"/>
      <c r="K15" s="27"/>
      <c r="L15" s="27">
        <v>0.33</v>
      </c>
      <c r="M15" s="27">
        <v>0.67</v>
      </c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54"/>
    </row>
    <row r="16" spans="1:34" x14ac:dyDescent="0.35">
      <c r="A16" s="14" t="s">
        <v>38</v>
      </c>
      <c r="B16" s="14" t="s">
        <v>40</v>
      </c>
      <c r="C16" s="51" t="s">
        <v>203</v>
      </c>
      <c r="D16" s="51" t="s">
        <v>222</v>
      </c>
      <c r="E16" s="52">
        <f t="shared" si="1"/>
        <v>1</v>
      </c>
      <c r="F16" s="53">
        <f t="shared" si="2"/>
        <v>1</v>
      </c>
      <c r="G16" s="27"/>
      <c r="H16" s="27"/>
      <c r="I16" s="27"/>
      <c r="J16" s="27">
        <v>1</v>
      </c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54"/>
    </row>
    <row r="17" spans="1:32" x14ac:dyDescent="0.35">
      <c r="A17" s="55" t="s">
        <v>306</v>
      </c>
      <c r="B17" s="56" t="s">
        <v>281</v>
      </c>
      <c r="C17" s="56" t="s">
        <v>282</v>
      </c>
      <c r="D17" s="56" t="s">
        <v>222</v>
      </c>
      <c r="E17" s="52">
        <f t="shared" si="1"/>
        <v>1</v>
      </c>
      <c r="F17" s="53">
        <f t="shared" si="2"/>
        <v>3</v>
      </c>
      <c r="G17" s="27"/>
      <c r="H17" s="27"/>
      <c r="I17" s="27"/>
      <c r="J17" s="27"/>
      <c r="K17" s="27"/>
      <c r="L17" s="27"/>
      <c r="M17" s="27"/>
      <c r="N17" s="27"/>
      <c r="O17" s="57">
        <v>0.15</v>
      </c>
      <c r="P17" s="57"/>
      <c r="Q17" s="57">
        <v>0.74</v>
      </c>
      <c r="R17" s="57">
        <v>0.11</v>
      </c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54"/>
    </row>
    <row r="18" spans="1:32" x14ac:dyDescent="0.35">
      <c r="A18" s="14" t="s">
        <v>159</v>
      </c>
      <c r="B18" s="14" t="s">
        <v>163</v>
      </c>
      <c r="C18" s="51" t="s">
        <v>206</v>
      </c>
      <c r="D18" s="51" t="s">
        <v>222</v>
      </c>
      <c r="E18" s="52">
        <f t="shared" si="1"/>
        <v>1</v>
      </c>
      <c r="F18" s="53">
        <f t="shared" si="2"/>
        <v>4</v>
      </c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58">
        <v>0.1</v>
      </c>
      <c r="U18" s="58">
        <v>0.45</v>
      </c>
      <c r="V18" s="58">
        <v>0.18</v>
      </c>
      <c r="W18" s="58">
        <v>0.27</v>
      </c>
      <c r="X18" s="27"/>
      <c r="Y18" s="27"/>
      <c r="Z18" s="27"/>
      <c r="AA18" s="27"/>
      <c r="AB18" s="27"/>
      <c r="AC18" s="27"/>
      <c r="AD18" s="27"/>
      <c r="AE18" s="27"/>
      <c r="AF18" s="54"/>
    </row>
    <row r="19" spans="1:32" x14ac:dyDescent="0.35">
      <c r="A19" s="14" t="s">
        <v>75</v>
      </c>
      <c r="B19" s="14" t="s">
        <v>77</v>
      </c>
      <c r="C19" s="51" t="s">
        <v>42</v>
      </c>
      <c r="D19" s="51" t="s">
        <v>222</v>
      </c>
      <c r="E19" s="52">
        <f t="shared" si="1"/>
        <v>1</v>
      </c>
      <c r="F19" s="53">
        <f t="shared" si="2"/>
        <v>1</v>
      </c>
      <c r="G19" s="27">
        <v>1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54"/>
    </row>
    <row r="20" spans="1:32" x14ac:dyDescent="0.35">
      <c r="A20" s="14" t="s">
        <v>145</v>
      </c>
      <c r="B20" s="14" t="s">
        <v>147</v>
      </c>
      <c r="C20" s="51" t="s">
        <v>213</v>
      </c>
      <c r="D20" s="51" t="s">
        <v>222</v>
      </c>
      <c r="E20" s="52">
        <f t="shared" si="1"/>
        <v>1</v>
      </c>
      <c r="F20" s="53">
        <f t="shared" si="2"/>
        <v>1</v>
      </c>
      <c r="G20" s="27"/>
      <c r="H20" s="27"/>
      <c r="I20" s="27"/>
      <c r="J20" s="27"/>
      <c r="K20" s="27"/>
      <c r="L20" s="27">
        <v>1</v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54"/>
    </row>
    <row r="21" spans="1:32" x14ac:dyDescent="0.35">
      <c r="A21" s="14" t="s">
        <v>69</v>
      </c>
      <c r="B21" s="14" t="s">
        <v>71</v>
      </c>
      <c r="C21" s="51" t="s">
        <v>119</v>
      </c>
      <c r="D21" s="51" t="s">
        <v>222</v>
      </c>
      <c r="E21" s="52">
        <f t="shared" si="1"/>
        <v>1</v>
      </c>
      <c r="F21" s="53">
        <f t="shared" si="2"/>
        <v>1</v>
      </c>
      <c r="G21" s="27"/>
      <c r="H21" s="27"/>
      <c r="I21" s="27"/>
      <c r="J21" s="27"/>
      <c r="K21" s="27">
        <v>1</v>
      </c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54"/>
    </row>
    <row r="22" spans="1:32" x14ac:dyDescent="0.35">
      <c r="A22" s="14" t="s">
        <v>125</v>
      </c>
      <c r="B22" s="14" t="s">
        <v>127</v>
      </c>
      <c r="C22" s="51"/>
      <c r="D22" s="51" t="s">
        <v>222</v>
      </c>
      <c r="E22" s="52"/>
      <c r="F22" s="53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54"/>
    </row>
    <row r="23" spans="1:32" x14ac:dyDescent="0.35">
      <c r="A23" s="14" t="s">
        <v>131</v>
      </c>
      <c r="B23" s="14" t="s">
        <v>133</v>
      </c>
      <c r="C23" s="51" t="s">
        <v>119</v>
      </c>
      <c r="D23" s="51" t="s">
        <v>222</v>
      </c>
      <c r="E23" s="52">
        <f t="shared" si="1"/>
        <v>1</v>
      </c>
      <c r="F23" s="53">
        <f t="shared" si="2"/>
        <v>1</v>
      </c>
      <c r="G23" s="27"/>
      <c r="H23" s="27"/>
      <c r="I23" s="27"/>
      <c r="J23" s="27"/>
      <c r="K23" s="27">
        <v>1</v>
      </c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54"/>
    </row>
    <row r="24" spans="1:32" x14ac:dyDescent="0.35">
      <c r="A24" s="14" t="s">
        <v>153</v>
      </c>
      <c r="B24" s="14" t="s">
        <v>158</v>
      </c>
      <c r="C24" s="51" t="s">
        <v>212</v>
      </c>
      <c r="D24" s="51" t="s">
        <v>222</v>
      </c>
      <c r="E24" s="52">
        <f t="shared" si="1"/>
        <v>1</v>
      </c>
      <c r="F24" s="53">
        <f t="shared" si="2"/>
        <v>5</v>
      </c>
      <c r="G24" s="27"/>
      <c r="H24" s="27"/>
      <c r="I24" s="27"/>
      <c r="J24" s="27"/>
      <c r="K24" s="27"/>
      <c r="L24" s="27"/>
      <c r="M24" s="27"/>
      <c r="N24" s="27"/>
      <c r="O24" s="59">
        <v>0.25</v>
      </c>
      <c r="P24" s="59">
        <v>0.18</v>
      </c>
      <c r="Q24" s="59">
        <v>7.0000000000000007E-2</v>
      </c>
      <c r="R24" s="59">
        <v>0.25</v>
      </c>
      <c r="S24" s="59">
        <v>0.25</v>
      </c>
      <c r="T24" s="59"/>
      <c r="U24" s="59"/>
      <c r="V24" s="59"/>
      <c r="W24" s="59"/>
      <c r="X24" s="27"/>
      <c r="Y24" s="27"/>
      <c r="Z24" s="27"/>
      <c r="AA24" s="27"/>
      <c r="AB24" s="27"/>
      <c r="AC24" s="27"/>
      <c r="AD24" s="27"/>
      <c r="AE24" s="27"/>
      <c r="AF24" s="54"/>
    </row>
    <row r="25" spans="1:32" x14ac:dyDescent="0.35">
      <c r="A25" s="14" t="s">
        <v>72</v>
      </c>
      <c r="B25" s="14" t="s">
        <v>74</v>
      </c>
      <c r="C25" s="51" t="s">
        <v>42</v>
      </c>
      <c r="D25" s="51" t="s">
        <v>222</v>
      </c>
      <c r="E25" s="52">
        <f t="shared" si="1"/>
        <v>1</v>
      </c>
      <c r="F25" s="53">
        <f t="shared" si="2"/>
        <v>1</v>
      </c>
      <c r="G25" s="27">
        <v>1</v>
      </c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54"/>
    </row>
    <row r="26" spans="1:32" x14ac:dyDescent="0.35">
      <c r="A26" s="14" t="s">
        <v>150</v>
      </c>
      <c r="B26" s="14" t="s">
        <v>152</v>
      </c>
      <c r="C26" s="51" t="s">
        <v>215</v>
      </c>
      <c r="D26" s="51" t="s">
        <v>222</v>
      </c>
      <c r="E26" s="52">
        <f t="shared" si="1"/>
        <v>1</v>
      </c>
      <c r="F26" s="53">
        <f t="shared" si="2"/>
        <v>1</v>
      </c>
      <c r="G26" s="27"/>
      <c r="H26" s="27"/>
      <c r="I26" s="27"/>
      <c r="J26" s="27"/>
      <c r="K26" s="27"/>
      <c r="L26" s="27"/>
      <c r="M26" s="27"/>
      <c r="N26" s="27">
        <v>1</v>
      </c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54"/>
    </row>
    <row r="27" spans="1:32" x14ac:dyDescent="0.35">
      <c r="A27" s="55" t="s">
        <v>307</v>
      </c>
      <c r="B27" s="56" t="s">
        <v>207</v>
      </c>
      <c r="C27" s="56" t="s">
        <v>119</v>
      </c>
      <c r="D27" s="56" t="s">
        <v>222</v>
      </c>
      <c r="E27" s="52">
        <f t="shared" si="1"/>
        <v>1</v>
      </c>
      <c r="F27" s="53">
        <f t="shared" si="2"/>
        <v>2</v>
      </c>
      <c r="G27" s="27"/>
      <c r="H27" s="27"/>
      <c r="I27" s="27"/>
      <c r="J27" s="27"/>
      <c r="K27" s="60">
        <v>0.95</v>
      </c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>
        <v>0.05</v>
      </c>
      <c r="AC27" s="60"/>
      <c r="AD27" s="27"/>
      <c r="AE27" s="27"/>
      <c r="AF27" s="54"/>
    </row>
    <row r="28" spans="1:32" x14ac:dyDescent="0.35">
      <c r="A28" s="14" t="s">
        <v>109</v>
      </c>
      <c r="B28" s="14" t="s">
        <v>113</v>
      </c>
      <c r="C28" s="51" t="s">
        <v>214</v>
      </c>
      <c r="D28" s="51" t="s">
        <v>222</v>
      </c>
      <c r="E28" s="52">
        <f t="shared" si="1"/>
        <v>1</v>
      </c>
      <c r="F28" s="53">
        <f t="shared" si="2"/>
        <v>1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61"/>
      <c r="Z28" s="61">
        <v>1</v>
      </c>
      <c r="AA28" s="61"/>
      <c r="AB28" s="61"/>
      <c r="AC28" s="61"/>
      <c r="AD28" s="61"/>
      <c r="AE28" s="61"/>
      <c r="AF28" s="54"/>
    </row>
    <row r="29" spans="1:32" x14ac:dyDescent="0.35">
      <c r="A29" s="87" t="s">
        <v>41</v>
      </c>
      <c r="B29" s="56" t="s">
        <v>208</v>
      </c>
      <c r="C29" s="56" t="s">
        <v>42</v>
      </c>
      <c r="D29" s="56" t="s">
        <v>222</v>
      </c>
      <c r="E29" s="52">
        <f t="shared" si="1"/>
        <v>1</v>
      </c>
      <c r="F29" s="53">
        <f t="shared" si="2"/>
        <v>1</v>
      </c>
      <c r="G29" s="27">
        <v>1</v>
      </c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54"/>
    </row>
    <row r="30" spans="1:32" x14ac:dyDescent="0.35">
      <c r="A30" s="55" t="s">
        <v>278</v>
      </c>
      <c r="B30" s="56" t="s">
        <v>216</v>
      </c>
      <c r="C30" s="56" t="s">
        <v>42</v>
      </c>
      <c r="D30" s="56" t="s">
        <v>222</v>
      </c>
      <c r="E30" s="52">
        <f t="shared" si="1"/>
        <v>1</v>
      </c>
      <c r="F30" s="53">
        <f t="shared" si="2"/>
        <v>1</v>
      </c>
      <c r="G30" s="27">
        <v>1</v>
      </c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54"/>
    </row>
    <row r="31" spans="1:32" x14ac:dyDescent="0.35">
      <c r="A31" s="14" t="s">
        <v>128</v>
      </c>
      <c r="B31" s="14" t="s">
        <v>130</v>
      </c>
      <c r="C31" s="51" t="s">
        <v>119</v>
      </c>
      <c r="D31" s="51" t="s">
        <v>222</v>
      </c>
      <c r="E31" s="52">
        <f t="shared" si="1"/>
        <v>1</v>
      </c>
      <c r="F31" s="53">
        <f t="shared" si="2"/>
        <v>1</v>
      </c>
      <c r="G31" s="27"/>
      <c r="H31" s="27"/>
      <c r="I31" s="27"/>
      <c r="J31" s="27"/>
      <c r="K31" s="27">
        <v>1</v>
      </c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54"/>
    </row>
    <row r="32" spans="1:32" x14ac:dyDescent="0.35">
      <c r="A32" s="55" t="s">
        <v>278</v>
      </c>
      <c r="B32" s="56" t="s">
        <v>209</v>
      </c>
      <c r="C32" s="56" t="s">
        <v>42</v>
      </c>
      <c r="D32" s="56" t="s">
        <v>222</v>
      </c>
      <c r="E32" s="52">
        <f t="shared" si="1"/>
        <v>1</v>
      </c>
      <c r="F32" s="53">
        <f t="shared" si="2"/>
        <v>1</v>
      </c>
      <c r="G32" s="27">
        <v>1</v>
      </c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54"/>
    </row>
    <row r="33" spans="1:32" x14ac:dyDescent="0.35">
      <c r="A33" s="55" t="s">
        <v>278</v>
      </c>
      <c r="B33" s="62" t="s">
        <v>283</v>
      </c>
      <c r="C33" s="62" t="s">
        <v>284</v>
      </c>
      <c r="D33" s="56" t="s">
        <v>222</v>
      </c>
      <c r="E33" s="52">
        <f t="shared" si="1"/>
        <v>1</v>
      </c>
      <c r="F33" s="53">
        <f t="shared" si="2"/>
        <v>1</v>
      </c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>
        <v>1</v>
      </c>
      <c r="AE33" s="27">
        <v>0</v>
      </c>
      <c r="AF33" s="54"/>
    </row>
    <row r="34" spans="1:32" x14ac:dyDescent="0.35">
      <c r="A34" s="14" t="s">
        <v>174</v>
      </c>
      <c r="B34" s="14" t="s">
        <v>177</v>
      </c>
      <c r="C34" s="63" t="s">
        <v>210</v>
      </c>
      <c r="D34" s="51" t="s">
        <v>222</v>
      </c>
      <c r="E34" s="52">
        <f t="shared" si="1"/>
        <v>1</v>
      </c>
      <c r="F34" s="53">
        <f t="shared" si="2"/>
        <v>7</v>
      </c>
      <c r="G34" s="27"/>
      <c r="H34" s="27"/>
      <c r="I34" s="27"/>
      <c r="J34" s="27"/>
      <c r="K34" s="64">
        <v>0.2</v>
      </c>
      <c r="L34" s="64"/>
      <c r="M34" s="64">
        <v>0.24</v>
      </c>
      <c r="N34" s="64"/>
      <c r="O34" s="64">
        <v>0</v>
      </c>
      <c r="P34" s="64"/>
      <c r="Q34" s="64">
        <v>0.05</v>
      </c>
      <c r="R34" s="64">
        <v>0.04</v>
      </c>
      <c r="S34" s="64">
        <v>0.02</v>
      </c>
      <c r="T34" s="64">
        <v>0.06</v>
      </c>
      <c r="U34" s="64">
        <v>0.39</v>
      </c>
      <c r="V34" s="65">
        <v>0</v>
      </c>
      <c r="W34" s="65"/>
      <c r="X34" s="27"/>
      <c r="Y34" s="27"/>
      <c r="Z34" s="27"/>
      <c r="AA34" s="27"/>
      <c r="AB34" s="27"/>
      <c r="AC34" s="27"/>
      <c r="AD34" s="27"/>
      <c r="AE34" s="27"/>
      <c r="AF34" s="54"/>
    </row>
    <row r="35" spans="1:32" x14ac:dyDescent="0.35">
      <c r="A35" s="66" t="s">
        <v>98</v>
      </c>
      <c r="B35" s="66" t="s">
        <v>100</v>
      </c>
      <c r="C35" s="67" t="s">
        <v>211</v>
      </c>
      <c r="D35" s="68" t="s">
        <v>222</v>
      </c>
      <c r="E35" s="52">
        <f t="shared" si="1"/>
        <v>1</v>
      </c>
      <c r="F35" s="53">
        <f t="shared" si="2"/>
        <v>3</v>
      </c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69">
        <v>0.27</v>
      </c>
      <c r="Y35" s="69">
        <v>0.28999999999999998</v>
      </c>
      <c r="Z35" s="69">
        <v>0.44</v>
      </c>
      <c r="AA35" s="27"/>
      <c r="AB35" s="27"/>
      <c r="AC35" s="27"/>
      <c r="AD35" s="27"/>
      <c r="AE35" s="27"/>
      <c r="AF35" s="54"/>
    </row>
    <row r="36" spans="1:32" x14ac:dyDescent="0.35">
      <c r="A36" s="66" t="s">
        <v>116</v>
      </c>
      <c r="B36" s="66" t="s">
        <v>100</v>
      </c>
      <c r="C36" s="67"/>
      <c r="D36" s="51" t="s">
        <v>222</v>
      </c>
      <c r="E36" s="52"/>
      <c r="F36" s="53">
        <f t="shared" si="2"/>
        <v>3</v>
      </c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69">
        <v>0.27</v>
      </c>
      <c r="Y36" s="69">
        <v>0.28999999999999998</v>
      </c>
      <c r="Z36" s="69">
        <v>0.44</v>
      </c>
      <c r="AA36" s="27"/>
      <c r="AB36" s="27"/>
      <c r="AC36" s="27"/>
      <c r="AD36" s="27"/>
      <c r="AE36" s="27"/>
      <c r="AF36" s="54"/>
    </row>
    <row r="37" spans="1:32" x14ac:dyDescent="0.35">
      <c r="A37" s="14" t="s">
        <v>64</v>
      </c>
      <c r="B37" s="14" t="s">
        <v>66</v>
      </c>
      <c r="C37" s="63" t="s">
        <v>42</v>
      </c>
      <c r="D37" s="51" t="s">
        <v>222</v>
      </c>
      <c r="E37" s="52">
        <f t="shared" si="1"/>
        <v>1</v>
      </c>
      <c r="F37" s="53">
        <f t="shared" si="2"/>
        <v>1</v>
      </c>
      <c r="G37" s="27">
        <v>1</v>
      </c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54"/>
    </row>
    <row r="38" spans="1:32" x14ac:dyDescent="0.35">
      <c r="A38" s="14" t="s">
        <v>78</v>
      </c>
      <c r="B38" s="14" t="s">
        <v>80</v>
      </c>
      <c r="C38" s="63" t="s">
        <v>42</v>
      </c>
      <c r="D38" s="51" t="s">
        <v>222</v>
      </c>
      <c r="E38" s="52">
        <f t="shared" si="1"/>
        <v>1</v>
      </c>
      <c r="F38" s="53">
        <f t="shared" si="2"/>
        <v>1</v>
      </c>
      <c r="G38" s="27">
        <v>1</v>
      </c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54"/>
    </row>
    <row r="39" spans="1:32" x14ac:dyDescent="0.35">
      <c r="A39" s="14" t="s">
        <v>54</v>
      </c>
      <c r="B39" s="14" t="s">
        <v>56</v>
      </c>
      <c r="C39" s="63" t="s">
        <v>42</v>
      </c>
      <c r="D39" s="51" t="s">
        <v>222</v>
      </c>
      <c r="E39" s="52">
        <f t="shared" si="1"/>
        <v>1</v>
      </c>
      <c r="F39" s="53">
        <f t="shared" si="2"/>
        <v>1</v>
      </c>
      <c r="G39" s="27">
        <v>1</v>
      </c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54"/>
    </row>
    <row r="40" spans="1:32" x14ac:dyDescent="0.35">
      <c r="A40" s="66" t="s">
        <v>91</v>
      </c>
      <c r="B40" s="66" t="s">
        <v>95</v>
      </c>
      <c r="C40" s="67" t="s">
        <v>204</v>
      </c>
      <c r="D40" s="68" t="s">
        <v>222</v>
      </c>
      <c r="E40" s="52">
        <f t="shared" si="1"/>
        <v>1</v>
      </c>
      <c r="F40" s="53">
        <f t="shared" si="2"/>
        <v>3</v>
      </c>
      <c r="G40" s="27"/>
      <c r="H40" s="27"/>
      <c r="I40" s="27"/>
      <c r="J40" s="27"/>
      <c r="K40" s="60">
        <v>0</v>
      </c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>
        <v>0.02</v>
      </c>
      <c r="Y40" s="60">
        <v>0.09</v>
      </c>
      <c r="Z40" s="60"/>
      <c r="AA40" s="60"/>
      <c r="AB40" s="60">
        <v>0.89</v>
      </c>
      <c r="AC40" s="60"/>
      <c r="AD40" s="27"/>
      <c r="AE40" s="27"/>
      <c r="AF40" s="54"/>
    </row>
    <row r="41" spans="1:32" x14ac:dyDescent="0.35">
      <c r="A41" s="66" t="s">
        <v>171</v>
      </c>
      <c r="B41" s="66" t="s">
        <v>95</v>
      </c>
      <c r="C41" s="67"/>
      <c r="D41" s="51" t="s">
        <v>222</v>
      </c>
      <c r="E41" s="52"/>
      <c r="F41" s="53">
        <f t="shared" si="2"/>
        <v>3</v>
      </c>
      <c r="G41" s="27"/>
      <c r="H41" s="27"/>
      <c r="I41" s="27"/>
      <c r="J41" s="27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>
        <v>0.02</v>
      </c>
      <c r="Y41" s="60">
        <v>0.09</v>
      </c>
      <c r="Z41" s="60"/>
      <c r="AA41" s="60"/>
      <c r="AB41" s="60">
        <v>0.89</v>
      </c>
      <c r="AC41" s="60"/>
      <c r="AD41" s="27"/>
      <c r="AE41" s="27"/>
      <c r="AF41" s="54"/>
    </row>
    <row r="42" spans="1:32" x14ac:dyDescent="0.35">
      <c r="A42" s="14" t="s">
        <v>142</v>
      </c>
      <c r="B42" s="14" t="s">
        <v>144</v>
      </c>
      <c r="C42" s="63" t="s">
        <v>285</v>
      </c>
      <c r="D42" s="51" t="s">
        <v>222</v>
      </c>
      <c r="E42" s="52">
        <f t="shared" si="1"/>
        <v>1</v>
      </c>
      <c r="F42" s="53">
        <f t="shared" si="2"/>
        <v>1</v>
      </c>
      <c r="G42" s="27"/>
      <c r="H42" s="27"/>
      <c r="I42" s="27"/>
      <c r="J42" s="27"/>
      <c r="K42" s="27"/>
      <c r="L42" s="27"/>
      <c r="M42" s="27"/>
      <c r="N42" s="27">
        <v>1</v>
      </c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54"/>
    </row>
    <row r="43" spans="1:32" x14ac:dyDescent="0.35">
      <c r="A43" s="14" t="s">
        <v>49</v>
      </c>
      <c r="B43" s="14" t="s">
        <v>51</v>
      </c>
      <c r="C43" s="51" t="s">
        <v>280</v>
      </c>
      <c r="D43" s="51" t="s">
        <v>222</v>
      </c>
      <c r="E43" s="52">
        <f t="shared" si="1"/>
        <v>1</v>
      </c>
      <c r="F43" s="53">
        <f t="shared" si="2"/>
        <v>1</v>
      </c>
      <c r="G43" s="27"/>
      <c r="H43" s="27"/>
      <c r="I43" s="27">
        <v>1</v>
      </c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54"/>
    </row>
  </sheetData>
  <conditionalFormatting sqref="E5:E43">
    <cfRule type="cellIs" dxfId="7" priority="4" operator="notEqual">
      <formula>1</formula>
    </cfRule>
  </conditionalFormatting>
  <conditionalFormatting sqref="F5:F43">
    <cfRule type="cellIs" dxfId="6" priority="3" operator="greaterThan">
      <formula>1</formula>
    </cfRule>
  </conditionalFormatting>
  <conditionalFormatting sqref="E4">
    <cfRule type="cellIs" dxfId="5" priority="2" operator="notEqual">
      <formula>1</formula>
    </cfRule>
  </conditionalFormatting>
  <conditionalFormatting sqref="F4">
    <cfRule type="cellIs" dxfId="4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llocPayroll"/>
  <dimension ref="A1:BB3000"/>
  <sheetViews>
    <sheetView workbookViewId="0">
      <selection activeCell="E4" sqref="E4"/>
    </sheetView>
  </sheetViews>
  <sheetFormatPr defaultRowHeight="14.5" x14ac:dyDescent="0.35"/>
  <cols>
    <col min="1" max="1" width="8.54296875" style="70" bestFit="1" customWidth="1"/>
    <col min="2" max="2" width="23.54296875" style="65" customWidth="1"/>
    <col min="3" max="3" width="26.54296875" style="65" bestFit="1" customWidth="1"/>
    <col min="4" max="4" width="15.36328125" style="71" customWidth="1"/>
    <col min="5" max="5" width="13.08984375" style="72" customWidth="1"/>
    <col min="6" max="6" width="7.6328125" style="72" customWidth="1"/>
    <col min="7" max="31" width="13" style="14" customWidth="1"/>
    <col min="32" max="32" width="11.81640625" style="14" customWidth="1"/>
    <col min="33" max="16384" width="8.7265625" style="14"/>
  </cols>
  <sheetData>
    <row r="1" spans="1:54" s="38" customFormat="1" x14ac:dyDescent="0.25">
      <c r="A1" s="33"/>
      <c r="B1" s="33" t="s">
        <v>197</v>
      </c>
      <c r="C1" s="34">
        <v>43831</v>
      </c>
      <c r="D1" s="34"/>
      <c r="E1" s="35" t="s">
        <v>30</v>
      </c>
      <c r="F1" s="36"/>
      <c r="G1" s="99" t="s">
        <v>250</v>
      </c>
      <c r="H1" s="99" t="s">
        <v>85</v>
      </c>
      <c r="I1" s="99" t="s">
        <v>85</v>
      </c>
      <c r="J1" s="99" t="s">
        <v>85</v>
      </c>
      <c r="K1" s="99" t="s">
        <v>566</v>
      </c>
      <c r="L1" s="99" t="s">
        <v>252</v>
      </c>
      <c r="M1" s="99" t="s">
        <v>567</v>
      </c>
      <c r="N1" s="99" t="s">
        <v>253</v>
      </c>
      <c r="O1" s="99" t="s">
        <v>568</v>
      </c>
      <c r="P1" s="99" t="s">
        <v>569</v>
      </c>
      <c r="Q1" s="99" t="s">
        <v>569</v>
      </c>
      <c r="R1" s="99" t="s">
        <v>570</v>
      </c>
      <c r="S1" s="99" t="s">
        <v>566</v>
      </c>
      <c r="T1" s="99" t="s">
        <v>571</v>
      </c>
      <c r="U1" s="99" t="s">
        <v>254</v>
      </c>
      <c r="V1" s="99" t="s">
        <v>567</v>
      </c>
      <c r="W1" s="99" t="s">
        <v>569</v>
      </c>
      <c r="X1" s="99" t="s">
        <v>572</v>
      </c>
      <c r="Y1" s="99" t="s">
        <v>573</v>
      </c>
      <c r="Z1" s="99" t="s">
        <v>255</v>
      </c>
      <c r="AA1" s="99" t="s">
        <v>574</v>
      </c>
      <c r="AB1" s="99" t="s">
        <v>85</v>
      </c>
      <c r="AC1" s="99" t="s">
        <v>85</v>
      </c>
      <c r="AD1" s="99" t="s">
        <v>85</v>
      </c>
      <c r="AE1" s="100"/>
      <c r="AF1" s="37"/>
      <c r="AG1" s="37"/>
      <c r="AH1" s="37"/>
    </row>
    <row r="2" spans="1:54" s="38" customFormat="1" ht="18.75" customHeight="1" x14ac:dyDescent="0.25">
      <c r="A2" s="39"/>
      <c r="B2" s="40"/>
      <c r="C2" s="41"/>
      <c r="D2" s="41"/>
      <c r="E2" s="42" t="s">
        <v>256</v>
      </c>
      <c r="F2" s="43"/>
      <c r="G2" s="99" t="s">
        <v>201</v>
      </c>
      <c r="H2" s="99" t="s">
        <v>257</v>
      </c>
      <c r="I2" s="99" t="s">
        <v>258</v>
      </c>
      <c r="J2" s="99" t="s">
        <v>259</v>
      </c>
      <c r="K2" s="99" t="s">
        <v>260</v>
      </c>
      <c r="L2" s="99" t="s">
        <v>261</v>
      </c>
      <c r="M2" s="99" t="s">
        <v>262</v>
      </c>
      <c r="N2" s="99" t="s">
        <v>263</v>
      </c>
      <c r="O2" s="99" t="s">
        <v>264</v>
      </c>
      <c r="P2" s="99" t="s">
        <v>575</v>
      </c>
      <c r="Q2" s="99" t="s">
        <v>265</v>
      </c>
      <c r="R2" s="99" t="s">
        <v>266</v>
      </c>
      <c r="S2" s="99" t="s">
        <v>267</v>
      </c>
      <c r="T2" s="99" t="s">
        <v>268</v>
      </c>
      <c r="U2" s="99" t="s">
        <v>269</v>
      </c>
      <c r="V2" s="99" t="s">
        <v>270</v>
      </c>
      <c r="W2" s="99" t="s">
        <v>304</v>
      </c>
      <c r="X2" s="99" t="s">
        <v>275</v>
      </c>
      <c r="Y2" s="99" t="s">
        <v>271</v>
      </c>
      <c r="Z2" s="99" t="s">
        <v>272</v>
      </c>
      <c r="AA2" s="99" t="s">
        <v>273</v>
      </c>
      <c r="AB2" s="99" t="s">
        <v>202</v>
      </c>
      <c r="AC2" s="99" t="s">
        <v>274</v>
      </c>
      <c r="AD2" s="99" t="s">
        <v>275</v>
      </c>
      <c r="AE2" s="99" t="s">
        <v>576</v>
      </c>
    </row>
    <row r="3" spans="1:54" s="50" customFormat="1" x14ac:dyDescent="0.35">
      <c r="A3" s="44" t="s">
        <v>198</v>
      </c>
      <c r="B3" s="45" t="s">
        <v>199</v>
      </c>
      <c r="C3" s="46" t="s">
        <v>200</v>
      </c>
      <c r="D3" s="47" t="s">
        <v>238</v>
      </c>
      <c r="E3" s="48">
        <f>SUM(E4:E121)</f>
        <v>7.0166095156309893E-13</v>
      </c>
      <c r="F3" s="47" t="s">
        <v>276</v>
      </c>
      <c r="G3" s="49">
        <f t="shared" ref="G3:AD3" si="0">SUM(G4:G43)</f>
        <v>0</v>
      </c>
      <c r="H3" s="49">
        <f t="shared" si="0"/>
        <v>0</v>
      </c>
      <c r="I3" s="49">
        <f t="shared" si="0"/>
        <v>0</v>
      </c>
      <c r="J3" s="49">
        <f t="shared" si="0"/>
        <v>-1.1368683772161603E-13</v>
      </c>
      <c r="K3" s="49">
        <f t="shared" si="0"/>
        <v>1.1368683772161603E-13</v>
      </c>
      <c r="L3" s="49">
        <f t="shared" si="0"/>
        <v>0</v>
      </c>
      <c r="M3" s="49">
        <f t="shared" si="0"/>
        <v>4.5474735088646412E-13</v>
      </c>
      <c r="N3" s="49">
        <f t="shared" si="0"/>
        <v>2.2737367544323206E-13</v>
      </c>
      <c r="O3" s="49">
        <f t="shared" si="0"/>
        <v>0</v>
      </c>
      <c r="P3" s="49">
        <f t="shared" si="0"/>
        <v>0</v>
      </c>
      <c r="Q3" s="49">
        <f t="shared" si="0"/>
        <v>-2.8421709430404007E-14</v>
      </c>
      <c r="R3" s="49">
        <f t="shared" si="0"/>
        <v>0</v>
      </c>
      <c r="S3" s="49">
        <f t="shared" si="0"/>
        <v>0</v>
      </c>
      <c r="T3" s="49">
        <f t="shared" si="0"/>
        <v>0</v>
      </c>
      <c r="U3" s="49">
        <f t="shared" si="0"/>
        <v>0</v>
      </c>
      <c r="V3" s="49">
        <f t="shared" si="0"/>
        <v>0</v>
      </c>
      <c r="W3" s="49">
        <f t="shared" si="0"/>
        <v>-5.6843418860808015E-14</v>
      </c>
      <c r="X3" s="49">
        <f t="shared" si="0"/>
        <v>1.1191048088221578E-13</v>
      </c>
      <c r="Y3" s="49">
        <f t="shared" si="0"/>
        <v>4.9737991503207013E-14</v>
      </c>
      <c r="Z3" s="49">
        <f t="shared" si="0"/>
        <v>1.7053025658242404E-13</v>
      </c>
      <c r="AA3" s="49">
        <f t="shared" si="0"/>
        <v>0</v>
      </c>
      <c r="AB3" s="49">
        <f t="shared" si="0"/>
        <v>0</v>
      </c>
      <c r="AC3" s="49">
        <f t="shared" si="0"/>
        <v>0</v>
      </c>
      <c r="AD3" s="49">
        <f t="shared" si="0"/>
        <v>0</v>
      </c>
      <c r="AE3" s="49">
        <f>SUM(AE4:AE43)</f>
        <v>0</v>
      </c>
    </row>
    <row r="4" spans="1:54" x14ac:dyDescent="0.35">
      <c r="A4" s="85" t="s">
        <v>41</v>
      </c>
      <c r="B4" s="14" t="s">
        <v>42</v>
      </c>
      <c r="C4" s="14" t="s">
        <v>42</v>
      </c>
      <c r="D4" s="51" t="s">
        <v>222</v>
      </c>
      <c r="E4" s="73">
        <f t="shared" ref="E4:E43" si="1">SUM(G4:BM4)</f>
        <v>0</v>
      </c>
      <c r="F4" s="74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>
        <v>0</v>
      </c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76"/>
      <c r="BA4" s="76"/>
      <c r="BB4" s="76"/>
    </row>
    <row r="5" spans="1:54" x14ac:dyDescent="0.35">
      <c r="A5" s="14" t="s">
        <v>33</v>
      </c>
      <c r="B5" s="14" t="s">
        <v>36</v>
      </c>
      <c r="C5" s="51" t="s">
        <v>42</v>
      </c>
      <c r="D5" s="51" t="s">
        <v>222</v>
      </c>
      <c r="E5" s="73">
        <f>SUM(G5:BM5)</f>
        <v>0</v>
      </c>
      <c r="F5" s="74"/>
      <c r="G5" s="75">
        <v>0</v>
      </c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</row>
    <row r="6" spans="1:54" x14ac:dyDescent="0.35">
      <c r="A6" s="14" t="s">
        <v>178</v>
      </c>
      <c r="B6" s="14" t="s">
        <v>182</v>
      </c>
      <c r="C6" s="51" t="s">
        <v>277</v>
      </c>
      <c r="D6" s="51" t="s">
        <v>222</v>
      </c>
      <c r="E6" s="73">
        <f t="shared" si="1"/>
        <v>0</v>
      </c>
      <c r="F6" s="74"/>
      <c r="G6" s="75">
        <v>0</v>
      </c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</row>
    <row r="7" spans="1:54" x14ac:dyDescent="0.35">
      <c r="A7" s="55" t="s">
        <v>305</v>
      </c>
      <c r="B7" s="56" t="s">
        <v>279</v>
      </c>
      <c r="C7" s="56" t="s">
        <v>277</v>
      </c>
      <c r="D7" s="56" t="s">
        <v>222</v>
      </c>
      <c r="E7" s="73">
        <f t="shared" si="1"/>
        <v>0</v>
      </c>
      <c r="F7" s="74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</row>
    <row r="8" spans="1:54" x14ac:dyDescent="0.35">
      <c r="A8" s="14" t="s">
        <v>81</v>
      </c>
      <c r="B8" s="14" t="s">
        <v>84</v>
      </c>
      <c r="C8" s="51" t="s">
        <v>280</v>
      </c>
      <c r="D8" s="51" t="s">
        <v>222</v>
      </c>
      <c r="E8" s="73">
        <f t="shared" si="1"/>
        <v>0</v>
      </c>
      <c r="F8" s="74"/>
      <c r="G8" s="75"/>
      <c r="H8" s="75"/>
      <c r="I8" s="75">
        <v>0</v>
      </c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</row>
    <row r="9" spans="1:54" x14ac:dyDescent="0.35">
      <c r="A9" s="14" t="s">
        <v>44</v>
      </c>
      <c r="B9" s="14" t="s">
        <v>46</v>
      </c>
      <c r="C9" s="51" t="s">
        <v>42</v>
      </c>
      <c r="D9" s="51" t="s">
        <v>222</v>
      </c>
      <c r="E9" s="73">
        <f t="shared" si="1"/>
        <v>0</v>
      </c>
      <c r="F9" s="74"/>
      <c r="G9" s="75">
        <v>0</v>
      </c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</row>
    <row r="10" spans="1:54" x14ac:dyDescent="0.35">
      <c r="A10" s="14" t="s">
        <v>117</v>
      </c>
      <c r="B10" s="14" t="s">
        <v>122</v>
      </c>
      <c r="C10" s="51" t="s">
        <v>119</v>
      </c>
      <c r="D10" s="51" t="s">
        <v>222</v>
      </c>
      <c r="E10" s="73">
        <f t="shared" si="1"/>
        <v>0</v>
      </c>
      <c r="F10" s="74"/>
      <c r="G10" s="75"/>
      <c r="H10" s="75"/>
      <c r="I10" s="75"/>
      <c r="J10" s="75"/>
      <c r="K10" s="75">
        <v>0</v>
      </c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</row>
    <row r="11" spans="1:54" x14ac:dyDescent="0.35">
      <c r="A11" s="14" t="s">
        <v>101</v>
      </c>
      <c r="B11" s="14" t="s">
        <v>106</v>
      </c>
      <c r="C11" s="51" t="s">
        <v>206</v>
      </c>
      <c r="D11" s="51" t="s">
        <v>222</v>
      </c>
      <c r="E11" s="73">
        <f t="shared" si="1"/>
        <v>0</v>
      </c>
      <c r="F11" s="74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>
        <v>0</v>
      </c>
      <c r="W11" s="75"/>
      <c r="X11" s="75"/>
      <c r="Y11" s="75"/>
      <c r="Z11" s="75"/>
      <c r="AA11" s="75"/>
      <c r="AB11" s="75"/>
      <c r="AC11" s="75"/>
      <c r="AD11" s="75"/>
      <c r="AE11" s="75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</row>
    <row r="12" spans="1:54" x14ac:dyDescent="0.35">
      <c r="A12" s="14" t="s">
        <v>59</v>
      </c>
      <c r="B12" s="14" t="s">
        <v>61</v>
      </c>
      <c r="C12" s="51" t="s">
        <v>42</v>
      </c>
      <c r="D12" s="51" t="s">
        <v>222</v>
      </c>
      <c r="E12" s="73">
        <f t="shared" si="1"/>
        <v>0</v>
      </c>
      <c r="F12" s="74"/>
      <c r="G12" s="75">
        <v>0</v>
      </c>
      <c r="H12" s="75">
        <v>0</v>
      </c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</row>
    <row r="13" spans="1:54" x14ac:dyDescent="0.35">
      <c r="A13" s="14" t="s">
        <v>86</v>
      </c>
      <c r="B13" s="14" t="s">
        <v>90</v>
      </c>
      <c r="C13" s="51" t="s">
        <v>203</v>
      </c>
      <c r="D13" s="51" t="s">
        <v>222</v>
      </c>
      <c r="E13" s="73">
        <f t="shared" si="1"/>
        <v>-1.1368683772161603E-13</v>
      </c>
      <c r="F13" s="74"/>
      <c r="G13" s="75"/>
      <c r="H13" s="75"/>
      <c r="I13" s="75"/>
      <c r="J13" s="75">
        <v>-1.1368683772161603E-13</v>
      </c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</row>
    <row r="14" spans="1:54" x14ac:dyDescent="0.35">
      <c r="A14" s="14" t="s">
        <v>164</v>
      </c>
      <c r="B14" s="14" t="s">
        <v>168</v>
      </c>
      <c r="C14" s="51" t="s">
        <v>204</v>
      </c>
      <c r="D14" s="51" t="s">
        <v>222</v>
      </c>
      <c r="E14" s="73">
        <f t="shared" si="1"/>
        <v>0</v>
      </c>
      <c r="F14" s="74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>
        <v>0</v>
      </c>
      <c r="AB14" s="75"/>
      <c r="AC14" s="75">
        <v>0</v>
      </c>
      <c r="AD14" s="75"/>
      <c r="AE14" s="75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</row>
    <row r="15" spans="1:54" x14ac:dyDescent="0.35">
      <c r="A15" s="14" t="s">
        <v>134</v>
      </c>
      <c r="B15" s="14" t="s">
        <v>139</v>
      </c>
      <c r="C15" s="51" t="s">
        <v>205</v>
      </c>
      <c r="D15" s="51" t="s">
        <v>222</v>
      </c>
      <c r="E15" s="73">
        <f t="shared" si="1"/>
        <v>4.5474735088646412E-13</v>
      </c>
      <c r="F15" s="74"/>
      <c r="G15" s="75"/>
      <c r="H15" s="75"/>
      <c r="I15" s="75"/>
      <c r="J15" s="75"/>
      <c r="K15" s="75"/>
      <c r="L15" s="75">
        <v>0</v>
      </c>
      <c r="M15" s="75">
        <v>4.5474735088646412E-13</v>
      </c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</row>
    <row r="16" spans="1:54" x14ac:dyDescent="0.35">
      <c r="A16" s="14" t="s">
        <v>38</v>
      </c>
      <c r="B16" s="14" t="s">
        <v>40</v>
      </c>
      <c r="C16" s="51" t="s">
        <v>203</v>
      </c>
      <c r="D16" s="51" t="s">
        <v>222</v>
      </c>
      <c r="E16" s="73">
        <f t="shared" si="1"/>
        <v>0</v>
      </c>
      <c r="F16" s="74"/>
      <c r="G16" s="75"/>
      <c r="H16" s="75"/>
      <c r="I16" s="75"/>
      <c r="J16" s="75">
        <v>0</v>
      </c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  <c r="AW16" s="76"/>
      <c r="AX16" s="76"/>
      <c r="AY16" s="76"/>
      <c r="AZ16" s="76"/>
      <c r="BA16" s="76"/>
      <c r="BB16" s="76"/>
    </row>
    <row r="17" spans="1:54" x14ac:dyDescent="0.35">
      <c r="A17" s="55" t="s">
        <v>306</v>
      </c>
      <c r="B17" s="56" t="s">
        <v>281</v>
      </c>
      <c r="C17" s="56" t="s">
        <v>282</v>
      </c>
      <c r="D17" s="56" t="s">
        <v>222</v>
      </c>
      <c r="E17" s="73">
        <f t="shared" si="1"/>
        <v>0</v>
      </c>
      <c r="F17" s="74"/>
      <c r="G17" s="75"/>
      <c r="H17" s="75"/>
      <c r="I17" s="75"/>
      <c r="J17" s="75"/>
      <c r="K17" s="75"/>
      <c r="L17" s="75"/>
      <c r="M17" s="75"/>
      <c r="N17" s="75"/>
      <c r="O17" s="77"/>
      <c r="P17" s="77"/>
      <c r="Q17" s="77"/>
      <c r="R17" s="77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  <c r="AX17" s="76"/>
      <c r="AY17" s="76"/>
      <c r="AZ17" s="76"/>
      <c r="BA17" s="76"/>
      <c r="BB17" s="76"/>
    </row>
    <row r="18" spans="1:54" x14ac:dyDescent="0.35">
      <c r="A18" s="14" t="s">
        <v>159</v>
      </c>
      <c r="B18" s="14" t="s">
        <v>163</v>
      </c>
      <c r="C18" s="51" t="s">
        <v>206</v>
      </c>
      <c r="D18" s="51" t="s">
        <v>222</v>
      </c>
      <c r="E18" s="73">
        <f t="shared" si="1"/>
        <v>-5.6843418860808015E-14</v>
      </c>
      <c r="F18" s="74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8">
        <v>0</v>
      </c>
      <c r="U18" s="78">
        <v>0</v>
      </c>
      <c r="V18" s="78">
        <v>0</v>
      </c>
      <c r="W18" s="78">
        <v>-5.6843418860808015E-14</v>
      </c>
      <c r="X18" s="75"/>
      <c r="Y18" s="75"/>
      <c r="Z18" s="75"/>
      <c r="AA18" s="75"/>
      <c r="AB18" s="75"/>
      <c r="AC18" s="75"/>
      <c r="AD18" s="75"/>
      <c r="AE18" s="75"/>
      <c r="AF18" s="76"/>
      <c r="AG18" s="76"/>
      <c r="AH18" s="76"/>
      <c r="AI18" s="76"/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  <c r="AW18" s="76"/>
      <c r="AX18" s="76"/>
      <c r="AY18" s="76"/>
      <c r="AZ18" s="76"/>
      <c r="BA18" s="76"/>
      <c r="BB18" s="76"/>
    </row>
    <row r="19" spans="1:54" x14ac:dyDescent="0.35">
      <c r="A19" s="14" t="s">
        <v>75</v>
      </c>
      <c r="B19" s="14" t="s">
        <v>77</v>
      </c>
      <c r="C19" s="51" t="s">
        <v>42</v>
      </c>
      <c r="D19" s="51" t="s">
        <v>222</v>
      </c>
      <c r="E19" s="73">
        <f t="shared" si="1"/>
        <v>0</v>
      </c>
      <c r="F19" s="74"/>
      <c r="G19" s="75">
        <v>0</v>
      </c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6"/>
      <c r="AG19" s="76"/>
      <c r="AH19" s="76"/>
      <c r="AI19" s="76"/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  <c r="AW19" s="76"/>
      <c r="AX19" s="76"/>
      <c r="AY19" s="76"/>
      <c r="AZ19" s="76"/>
      <c r="BA19" s="76"/>
      <c r="BB19" s="76"/>
    </row>
    <row r="20" spans="1:54" x14ac:dyDescent="0.35">
      <c r="A20" s="14" t="s">
        <v>145</v>
      </c>
      <c r="B20" s="14" t="s">
        <v>147</v>
      </c>
      <c r="C20" s="51" t="s">
        <v>213</v>
      </c>
      <c r="D20" s="51" t="s">
        <v>222</v>
      </c>
      <c r="E20" s="73">
        <f t="shared" si="1"/>
        <v>0</v>
      </c>
      <c r="F20" s="74"/>
      <c r="G20" s="75"/>
      <c r="H20" s="75"/>
      <c r="I20" s="75"/>
      <c r="J20" s="75"/>
      <c r="K20" s="75"/>
      <c r="L20" s="75">
        <v>0</v>
      </c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6"/>
      <c r="AG20" s="76"/>
      <c r="AH20" s="76"/>
      <c r="AI20" s="76"/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Y20" s="76"/>
      <c r="AZ20" s="76"/>
      <c r="BA20" s="76"/>
      <c r="BB20" s="76"/>
    </row>
    <row r="21" spans="1:54" x14ac:dyDescent="0.35">
      <c r="A21" s="14" t="s">
        <v>69</v>
      </c>
      <c r="B21" s="14" t="s">
        <v>71</v>
      </c>
      <c r="C21" s="51" t="s">
        <v>119</v>
      </c>
      <c r="D21" s="51" t="s">
        <v>222</v>
      </c>
      <c r="E21" s="73">
        <f t="shared" si="1"/>
        <v>0</v>
      </c>
      <c r="F21" s="74"/>
      <c r="G21" s="75"/>
      <c r="H21" s="75"/>
      <c r="I21" s="75"/>
      <c r="J21" s="75"/>
      <c r="K21" s="75">
        <v>0</v>
      </c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</row>
    <row r="22" spans="1:54" x14ac:dyDescent="0.35">
      <c r="A22" s="14" t="s">
        <v>125</v>
      </c>
      <c r="B22" s="14" t="s">
        <v>127</v>
      </c>
      <c r="C22" s="51"/>
      <c r="D22" s="51" t="s">
        <v>222</v>
      </c>
      <c r="E22" s="73"/>
      <c r="F22" s="74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6"/>
      <c r="AG22" s="76"/>
      <c r="AH22" s="76"/>
      <c r="AI22" s="76"/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  <c r="AW22" s="76"/>
      <c r="AX22" s="76"/>
      <c r="AY22" s="76"/>
      <c r="AZ22" s="76"/>
      <c r="BA22" s="76"/>
      <c r="BB22" s="76"/>
    </row>
    <row r="23" spans="1:54" x14ac:dyDescent="0.35">
      <c r="A23" s="14" t="s">
        <v>131</v>
      </c>
      <c r="B23" s="14" t="s">
        <v>133</v>
      </c>
      <c r="C23" s="51" t="s">
        <v>119</v>
      </c>
      <c r="D23" s="51" t="s">
        <v>222</v>
      </c>
      <c r="E23" s="73">
        <f t="shared" si="1"/>
        <v>2.2737367544323206E-13</v>
      </c>
      <c r="F23" s="74"/>
      <c r="G23" s="75"/>
      <c r="H23" s="75"/>
      <c r="I23" s="75"/>
      <c r="J23" s="75"/>
      <c r="K23" s="75">
        <v>2.2737367544323206E-13</v>
      </c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</row>
    <row r="24" spans="1:54" x14ac:dyDescent="0.35">
      <c r="A24" s="14" t="s">
        <v>153</v>
      </c>
      <c r="B24" s="14" t="s">
        <v>158</v>
      </c>
      <c r="C24" s="51" t="s">
        <v>212</v>
      </c>
      <c r="D24" s="51" t="s">
        <v>222</v>
      </c>
      <c r="E24" s="73">
        <f t="shared" si="1"/>
        <v>0</v>
      </c>
      <c r="F24" s="74"/>
      <c r="G24" s="75"/>
      <c r="H24" s="75"/>
      <c r="I24" s="75"/>
      <c r="J24" s="75"/>
      <c r="K24" s="75"/>
      <c r="L24" s="75"/>
      <c r="M24" s="75"/>
      <c r="N24" s="75"/>
      <c r="O24" s="79">
        <v>0</v>
      </c>
      <c r="P24" s="79">
        <v>0</v>
      </c>
      <c r="Q24" s="79">
        <v>0</v>
      </c>
      <c r="R24" s="79">
        <v>0</v>
      </c>
      <c r="S24" s="79">
        <v>0</v>
      </c>
      <c r="T24" s="79"/>
      <c r="U24" s="79"/>
      <c r="V24" s="79"/>
      <c r="W24" s="79"/>
      <c r="X24" s="75"/>
      <c r="Y24" s="75"/>
      <c r="Z24" s="75"/>
      <c r="AA24" s="75"/>
      <c r="AB24" s="75"/>
      <c r="AC24" s="75"/>
      <c r="AD24" s="75"/>
      <c r="AE24" s="75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</row>
    <row r="25" spans="1:54" x14ac:dyDescent="0.35">
      <c r="A25" s="14" t="s">
        <v>72</v>
      </c>
      <c r="B25" s="14" t="s">
        <v>74</v>
      </c>
      <c r="C25" s="51" t="s">
        <v>42</v>
      </c>
      <c r="D25" s="51" t="s">
        <v>222</v>
      </c>
      <c r="E25" s="73">
        <f t="shared" si="1"/>
        <v>0</v>
      </c>
      <c r="F25" s="74"/>
      <c r="G25" s="75">
        <v>0</v>
      </c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6"/>
      <c r="AG25" s="76"/>
      <c r="AH25" s="76"/>
      <c r="AI25" s="76"/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  <c r="AW25" s="76"/>
      <c r="AX25" s="76"/>
      <c r="AY25" s="76"/>
      <c r="AZ25" s="76"/>
      <c r="BA25" s="76"/>
      <c r="BB25" s="76"/>
    </row>
    <row r="26" spans="1:54" x14ac:dyDescent="0.35">
      <c r="A26" s="14" t="s">
        <v>150</v>
      </c>
      <c r="B26" s="14" t="s">
        <v>152</v>
      </c>
      <c r="C26" s="51" t="s">
        <v>215</v>
      </c>
      <c r="D26" s="51" t="s">
        <v>222</v>
      </c>
      <c r="E26" s="73">
        <f t="shared" si="1"/>
        <v>0</v>
      </c>
      <c r="F26" s="74"/>
      <c r="G26" s="75"/>
      <c r="H26" s="75"/>
      <c r="I26" s="75"/>
      <c r="J26" s="75"/>
      <c r="K26" s="75"/>
      <c r="L26" s="75"/>
      <c r="M26" s="75"/>
      <c r="N26" s="75">
        <v>0</v>
      </c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6"/>
      <c r="AG26" s="76"/>
      <c r="AH26" s="76"/>
      <c r="AI26" s="76"/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</row>
    <row r="27" spans="1:54" x14ac:dyDescent="0.35">
      <c r="A27" s="55" t="s">
        <v>307</v>
      </c>
      <c r="B27" s="56" t="s">
        <v>207</v>
      </c>
      <c r="C27" s="56" t="s">
        <v>119</v>
      </c>
      <c r="D27" s="56" t="s">
        <v>222</v>
      </c>
      <c r="E27" s="73">
        <f t="shared" si="1"/>
        <v>0</v>
      </c>
      <c r="F27" s="74"/>
      <c r="G27" s="75"/>
      <c r="H27" s="75"/>
      <c r="I27" s="75"/>
      <c r="J27" s="75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75"/>
      <c r="AE27" s="75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</row>
    <row r="28" spans="1:54" x14ac:dyDescent="0.35">
      <c r="A28" s="14" t="s">
        <v>109</v>
      </c>
      <c r="B28" s="14" t="s">
        <v>113</v>
      </c>
      <c r="C28" s="51" t="s">
        <v>214</v>
      </c>
      <c r="D28" s="51" t="s">
        <v>222</v>
      </c>
      <c r="E28" s="73">
        <f t="shared" si="1"/>
        <v>0</v>
      </c>
      <c r="F28" s="74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81"/>
      <c r="Z28" s="81">
        <v>0</v>
      </c>
      <c r="AA28" s="81"/>
      <c r="AB28" s="81"/>
      <c r="AC28" s="81"/>
      <c r="AD28" s="81"/>
      <c r="AE28" s="81"/>
      <c r="AF28" s="76"/>
      <c r="AG28" s="76"/>
      <c r="AH28" s="76"/>
      <c r="AI28" s="76"/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  <c r="AW28" s="76"/>
      <c r="AX28" s="76"/>
      <c r="AY28" s="76"/>
      <c r="AZ28" s="76"/>
      <c r="BA28" s="76"/>
      <c r="BB28" s="76"/>
    </row>
    <row r="29" spans="1:54" x14ac:dyDescent="0.35">
      <c r="A29" s="87" t="s">
        <v>41</v>
      </c>
      <c r="B29" s="56" t="s">
        <v>208</v>
      </c>
      <c r="C29" s="56" t="s">
        <v>42</v>
      </c>
      <c r="D29" s="56" t="s">
        <v>222</v>
      </c>
      <c r="E29" s="73">
        <f t="shared" si="1"/>
        <v>0</v>
      </c>
      <c r="F29" s="74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6"/>
      <c r="AG29" s="76"/>
      <c r="AH29" s="76"/>
      <c r="AI29" s="76"/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  <c r="AW29" s="76"/>
      <c r="AX29" s="76"/>
      <c r="AY29" s="76"/>
      <c r="AZ29" s="76"/>
      <c r="BA29" s="76"/>
      <c r="BB29" s="76"/>
    </row>
    <row r="30" spans="1:54" x14ac:dyDescent="0.35">
      <c r="A30" s="55" t="s">
        <v>278</v>
      </c>
      <c r="B30" s="56" t="s">
        <v>216</v>
      </c>
      <c r="C30" s="56" t="s">
        <v>42</v>
      </c>
      <c r="D30" s="56" t="s">
        <v>222</v>
      </c>
      <c r="E30" s="73">
        <f t="shared" si="1"/>
        <v>0</v>
      </c>
      <c r="F30" s="74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6"/>
      <c r="AG30" s="76"/>
      <c r="AH30" s="76"/>
      <c r="AI30" s="76"/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  <c r="AW30" s="76"/>
      <c r="AX30" s="76"/>
      <c r="AY30" s="76"/>
      <c r="AZ30" s="76"/>
      <c r="BA30" s="76"/>
      <c r="BB30" s="76"/>
    </row>
    <row r="31" spans="1:54" x14ac:dyDescent="0.35">
      <c r="A31" s="14" t="s">
        <v>128</v>
      </c>
      <c r="B31" s="14" t="s">
        <v>130</v>
      </c>
      <c r="C31" s="51" t="s">
        <v>119</v>
      </c>
      <c r="D31" s="51" t="s">
        <v>222</v>
      </c>
      <c r="E31" s="73">
        <f t="shared" si="1"/>
        <v>0</v>
      </c>
      <c r="F31" s="74"/>
      <c r="G31" s="75"/>
      <c r="H31" s="75"/>
      <c r="I31" s="75"/>
      <c r="J31" s="75"/>
      <c r="K31" s="75">
        <v>0</v>
      </c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6"/>
      <c r="AG31" s="76"/>
      <c r="AH31" s="76"/>
      <c r="AI31" s="76"/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  <c r="AW31" s="76"/>
      <c r="AX31" s="76"/>
      <c r="AY31" s="76"/>
      <c r="AZ31" s="76"/>
      <c r="BA31" s="76"/>
      <c r="BB31" s="76"/>
    </row>
    <row r="32" spans="1:54" x14ac:dyDescent="0.35">
      <c r="A32" s="55" t="s">
        <v>278</v>
      </c>
      <c r="B32" s="56" t="s">
        <v>209</v>
      </c>
      <c r="C32" s="56" t="s">
        <v>42</v>
      </c>
      <c r="D32" s="56" t="s">
        <v>222</v>
      </c>
      <c r="E32" s="73">
        <f t="shared" si="1"/>
        <v>0</v>
      </c>
      <c r="F32" s="74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6"/>
      <c r="AG32" s="76"/>
      <c r="AH32" s="76"/>
      <c r="AI32" s="76"/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  <c r="AW32" s="76"/>
      <c r="AX32" s="76"/>
      <c r="AY32" s="76"/>
      <c r="AZ32" s="76"/>
      <c r="BA32" s="76"/>
      <c r="BB32" s="76"/>
    </row>
    <row r="33" spans="1:54" x14ac:dyDescent="0.35">
      <c r="A33" s="55" t="s">
        <v>278</v>
      </c>
      <c r="B33" s="62" t="s">
        <v>283</v>
      </c>
      <c r="C33" s="62" t="s">
        <v>284</v>
      </c>
      <c r="D33" s="56" t="s">
        <v>222</v>
      </c>
      <c r="E33" s="73">
        <f t="shared" si="1"/>
        <v>0</v>
      </c>
      <c r="F33" s="74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</row>
    <row r="34" spans="1:54" x14ac:dyDescent="0.35">
      <c r="A34" s="14" t="s">
        <v>174</v>
      </c>
      <c r="B34" s="14" t="s">
        <v>177</v>
      </c>
      <c r="C34" s="63" t="s">
        <v>210</v>
      </c>
      <c r="D34" s="51" t="s">
        <v>222</v>
      </c>
      <c r="E34" s="73">
        <f t="shared" si="1"/>
        <v>-1.4210854715202004E-13</v>
      </c>
      <c r="F34" s="74"/>
      <c r="G34" s="75"/>
      <c r="H34" s="75"/>
      <c r="I34" s="75"/>
      <c r="J34" s="75"/>
      <c r="K34" s="82">
        <v>-1.1368683772161603E-13</v>
      </c>
      <c r="L34" s="82"/>
      <c r="M34" s="82">
        <v>0</v>
      </c>
      <c r="N34" s="82"/>
      <c r="O34" s="82">
        <v>0</v>
      </c>
      <c r="P34" s="82"/>
      <c r="Q34" s="82">
        <v>-2.8421709430404007E-14</v>
      </c>
      <c r="R34" s="82">
        <v>0</v>
      </c>
      <c r="S34" s="82">
        <v>0</v>
      </c>
      <c r="T34" s="82">
        <v>0</v>
      </c>
      <c r="U34" s="82">
        <v>0</v>
      </c>
      <c r="V34" s="83">
        <v>0</v>
      </c>
      <c r="W34" s="83"/>
      <c r="X34" s="75"/>
      <c r="Y34" s="75"/>
      <c r="Z34" s="75"/>
      <c r="AA34" s="75"/>
      <c r="AB34" s="75"/>
      <c r="AC34" s="75"/>
      <c r="AD34" s="75"/>
      <c r="AE34" s="75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</row>
    <row r="35" spans="1:54" x14ac:dyDescent="0.35">
      <c r="A35" s="66" t="s">
        <v>98</v>
      </c>
      <c r="B35" s="66" t="s">
        <v>100</v>
      </c>
      <c r="C35" s="67" t="s">
        <v>211</v>
      </c>
      <c r="D35" s="68" t="s">
        <v>222</v>
      </c>
      <c r="E35" s="73">
        <f t="shared" si="1"/>
        <v>1.1368683772161603E-13</v>
      </c>
      <c r="F35" s="74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84">
        <v>0</v>
      </c>
      <c r="Y35" s="84">
        <v>5.6843418860808015E-14</v>
      </c>
      <c r="Z35" s="84">
        <v>5.6843418860808015E-14</v>
      </c>
      <c r="AA35" s="75"/>
      <c r="AB35" s="75"/>
      <c r="AC35" s="75"/>
      <c r="AD35" s="75"/>
      <c r="AE35" s="75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</row>
    <row r="36" spans="1:54" x14ac:dyDescent="0.35">
      <c r="A36" s="66" t="s">
        <v>116</v>
      </c>
      <c r="B36" s="66" t="s">
        <v>100</v>
      </c>
      <c r="C36" s="67"/>
      <c r="D36" s="51" t="s">
        <v>222</v>
      </c>
      <c r="E36" s="73"/>
      <c r="F36" s="74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84">
        <v>1.1368683772161603E-13</v>
      </c>
      <c r="Y36" s="84">
        <v>0</v>
      </c>
      <c r="Z36" s="84">
        <v>1.1368683772161603E-13</v>
      </c>
      <c r="AA36" s="75"/>
      <c r="AB36" s="75"/>
      <c r="AC36" s="75"/>
      <c r="AD36" s="75"/>
      <c r="AE36" s="75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</row>
    <row r="37" spans="1:54" x14ac:dyDescent="0.35">
      <c r="A37" s="14" t="s">
        <v>64</v>
      </c>
      <c r="B37" s="14" t="s">
        <v>66</v>
      </c>
      <c r="C37" s="63" t="s">
        <v>42</v>
      </c>
      <c r="D37" s="51" t="s">
        <v>222</v>
      </c>
      <c r="E37" s="73">
        <f t="shared" si="1"/>
        <v>0</v>
      </c>
      <c r="F37" s="74"/>
      <c r="G37" s="75">
        <v>0</v>
      </c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</row>
    <row r="38" spans="1:54" x14ac:dyDescent="0.35">
      <c r="A38" s="14" t="s">
        <v>78</v>
      </c>
      <c r="B38" s="14" t="s">
        <v>80</v>
      </c>
      <c r="C38" s="63" t="s">
        <v>42</v>
      </c>
      <c r="D38" s="51" t="s">
        <v>222</v>
      </c>
      <c r="E38" s="73">
        <f t="shared" si="1"/>
        <v>0</v>
      </c>
      <c r="F38" s="74"/>
      <c r="G38" s="75">
        <v>0</v>
      </c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</row>
    <row r="39" spans="1:54" x14ac:dyDescent="0.35">
      <c r="A39" s="14" t="s">
        <v>54</v>
      </c>
      <c r="B39" s="14" t="s">
        <v>56</v>
      </c>
      <c r="C39" s="63" t="s">
        <v>42</v>
      </c>
      <c r="D39" s="51" t="s">
        <v>222</v>
      </c>
      <c r="E39" s="73">
        <f t="shared" si="1"/>
        <v>0</v>
      </c>
      <c r="F39" s="74"/>
      <c r="G39" s="75">
        <v>0</v>
      </c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</row>
    <row r="40" spans="1:54" x14ac:dyDescent="0.35">
      <c r="A40" s="66" t="s">
        <v>91</v>
      </c>
      <c r="B40" s="66" t="s">
        <v>95</v>
      </c>
      <c r="C40" s="67" t="s">
        <v>204</v>
      </c>
      <c r="D40" s="68" t="s">
        <v>222</v>
      </c>
      <c r="E40" s="73">
        <f t="shared" si="1"/>
        <v>-8.8817841970012523E-15</v>
      </c>
      <c r="F40" s="74"/>
      <c r="G40" s="75"/>
      <c r="H40" s="75"/>
      <c r="I40" s="75"/>
      <c r="J40" s="75"/>
      <c r="K40" s="80">
        <v>0</v>
      </c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>
        <v>-1.7763568394002505E-15</v>
      </c>
      <c r="Y40" s="80">
        <v>-7.1054273576010019E-15</v>
      </c>
      <c r="Z40" s="80"/>
      <c r="AA40" s="80"/>
      <c r="AB40" s="80">
        <v>0</v>
      </c>
      <c r="AC40" s="80"/>
      <c r="AD40" s="75"/>
      <c r="AE40" s="75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  <c r="AW40" s="76"/>
      <c r="AX40" s="76"/>
      <c r="AY40" s="76"/>
      <c r="AZ40" s="76"/>
      <c r="BA40" s="76"/>
      <c r="BB40" s="76"/>
    </row>
    <row r="41" spans="1:54" x14ac:dyDescent="0.35">
      <c r="A41" s="66" t="s">
        <v>171</v>
      </c>
      <c r="B41" s="66" t="s">
        <v>95</v>
      </c>
      <c r="C41" s="67"/>
      <c r="D41" s="51" t="s">
        <v>222</v>
      </c>
      <c r="E41" s="73"/>
      <c r="F41" s="74"/>
      <c r="G41" s="75"/>
      <c r="H41" s="75"/>
      <c r="I41" s="75"/>
      <c r="J41" s="75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>
        <v>0</v>
      </c>
      <c r="Y41" s="80">
        <v>0</v>
      </c>
      <c r="Z41" s="80"/>
      <c r="AA41" s="80"/>
      <c r="AB41" s="80">
        <v>0</v>
      </c>
      <c r="AC41" s="80"/>
      <c r="AD41" s="75"/>
      <c r="AE41" s="75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</row>
    <row r="42" spans="1:54" x14ac:dyDescent="0.35">
      <c r="A42" s="14" t="s">
        <v>142</v>
      </c>
      <c r="B42" s="14" t="s">
        <v>144</v>
      </c>
      <c r="C42" s="63" t="s">
        <v>285</v>
      </c>
      <c r="D42" s="51" t="s">
        <v>222</v>
      </c>
      <c r="E42" s="73">
        <f t="shared" si="1"/>
        <v>2.2737367544323206E-13</v>
      </c>
      <c r="F42" s="74"/>
      <c r="G42" s="75"/>
      <c r="H42" s="75"/>
      <c r="I42" s="75"/>
      <c r="J42" s="75"/>
      <c r="K42" s="75"/>
      <c r="L42" s="75"/>
      <c r="M42" s="75"/>
      <c r="N42" s="75">
        <v>2.2737367544323206E-13</v>
      </c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</row>
    <row r="43" spans="1:54" x14ac:dyDescent="0.35">
      <c r="A43" s="14" t="s">
        <v>49</v>
      </c>
      <c r="B43" s="14" t="s">
        <v>51</v>
      </c>
      <c r="C43" s="51" t="s">
        <v>280</v>
      </c>
      <c r="D43" s="51" t="s">
        <v>222</v>
      </c>
      <c r="E43" s="73">
        <f t="shared" si="1"/>
        <v>0</v>
      </c>
      <c r="F43" s="74"/>
      <c r="G43" s="75"/>
      <c r="H43" s="75"/>
      <c r="I43" s="75">
        <v>0</v>
      </c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6"/>
    </row>
    <row r="44" spans="1:54" x14ac:dyDescent="0.35">
      <c r="E44" s="83"/>
      <c r="F44" s="83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  <c r="AX44" s="76"/>
      <c r="AY44" s="76"/>
      <c r="AZ44" s="76"/>
      <c r="BA44" s="76"/>
      <c r="BB44" s="76"/>
    </row>
    <row r="45" spans="1:54" x14ac:dyDescent="0.35">
      <c r="E45" s="83"/>
      <c r="F45" s="83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6"/>
      <c r="AY45" s="76"/>
      <c r="AZ45" s="76"/>
      <c r="BA45" s="76"/>
      <c r="BB45" s="76"/>
    </row>
    <row r="46" spans="1:54" x14ac:dyDescent="0.35">
      <c r="E46" s="83"/>
      <c r="F46" s="83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</row>
    <row r="47" spans="1:54" x14ac:dyDescent="0.35">
      <c r="E47" s="83"/>
      <c r="F47" s="83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</row>
    <row r="48" spans="1:54" x14ac:dyDescent="0.35">
      <c r="E48" s="83"/>
      <c r="F48" s="83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</row>
    <row r="49" spans="5:54" x14ac:dyDescent="0.35">
      <c r="E49" s="83"/>
      <c r="F49" s="83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</row>
    <row r="50" spans="5:54" x14ac:dyDescent="0.35">
      <c r="E50" s="83"/>
      <c r="F50" s="83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</row>
    <row r="51" spans="5:54" x14ac:dyDescent="0.35">
      <c r="E51" s="83"/>
      <c r="F51" s="83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</row>
    <row r="52" spans="5:54" x14ac:dyDescent="0.35">
      <c r="E52" s="83"/>
      <c r="F52" s="83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</row>
    <row r="53" spans="5:54" x14ac:dyDescent="0.35">
      <c r="E53" s="83"/>
      <c r="F53" s="83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</row>
    <row r="54" spans="5:54" x14ac:dyDescent="0.35">
      <c r="E54" s="83"/>
      <c r="F54" s="83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</row>
    <row r="55" spans="5:54" x14ac:dyDescent="0.35">
      <c r="E55" s="83"/>
      <c r="F55" s="83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</row>
    <row r="56" spans="5:54" x14ac:dyDescent="0.35">
      <c r="E56" s="83"/>
      <c r="F56" s="83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</row>
    <row r="57" spans="5:54" x14ac:dyDescent="0.35">
      <c r="E57" s="83"/>
      <c r="F57" s="83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</row>
    <row r="58" spans="5:54" x14ac:dyDescent="0.35">
      <c r="E58" s="83"/>
      <c r="F58" s="83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</row>
    <row r="59" spans="5:54" x14ac:dyDescent="0.35">
      <c r="E59" s="83"/>
      <c r="F59" s="83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</row>
    <row r="60" spans="5:54" x14ac:dyDescent="0.35">
      <c r="E60" s="83"/>
      <c r="F60" s="83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</row>
    <row r="61" spans="5:54" x14ac:dyDescent="0.35">
      <c r="E61" s="83"/>
      <c r="F61" s="83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</row>
    <row r="62" spans="5:54" x14ac:dyDescent="0.35">
      <c r="E62" s="83"/>
      <c r="F62" s="83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</row>
    <row r="63" spans="5:54" x14ac:dyDescent="0.35">
      <c r="E63" s="83"/>
      <c r="F63" s="83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</row>
    <row r="64" spans="5:54" x14ac:dyDescent="0.35">
      <c r="E64" s="83"/>
      <c r="F64" s="83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</row>
    <row r="65" spans="5:54" x14ac:dyDescent="0.35">
      <c r="E65" s="83"/>
      <c r="F65" s="83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</row>
    <row r="66" spans="5:54" x14ac:dyDescent="0.35">
      <c r="E66" s="83"/>
      <c r="F66" s="83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</row>
    <row r="67" spans="5:54" x14ac:dyDescent="0.35">
      <c r="E67" s="83"/>
      <c r="F67" s="83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</row>
    <row r="68" spans="5:54" x14ac:dyDescent="0.35">
      <c r="E68" s="83"/>
      <c r="F68" s="83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</row>
    <row r="69" spans="5:54" x14ac:dyDescent="0.35">
      <c r="E69" s="83"/>
      <c r="F69" s="83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</row>
    <row r="70" spans="5:54" x14ac:dyDescent="0.35">
      <c r="E70" s="83"/>
      <c r="F70" s="83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</row>
    <row r="71" spans="5:54" x14ac:dyDescent="0.35">
      <c r="E71" s="83"/>
      <c r="F71" s="83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  <c r="AG71" s="76"/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</row>
    <row r="72" spans="5:54" x14ac:dyDescent="0.35">
      <c r="E72" s="83"/>
      <c r="F72" s="83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</row>
    <row r="73" spans="5:54" x14ac:dyDescent="0.35">
      <c r="E73" s="83"/>
      <c r="F73" s="83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</row>
    <row r="74" spans="5:54" x14ac:dyDescent="0.35">
      <c r="E74" s="83"/>
      <c r="F74" s="83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76"/>
      <c r="AG74" s="76"/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</row>
    <row r="75" spans="5:54" x14ac:dyDescent="0.35">
      <c r="E75" s="83"/>
      <c r="F75" s="83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</row>
    <row r="76" spans="5:54" x14ac:dyDescent="0.35">
      <c r="E76" s="83"/>
      <c r="F76" s="83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/>
      <c r="AG76" s="76"/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</row>
    <row r="77" spans="5:54" x14ac:dyDescent="0.35">
      <c r="E77" s="83"/>
      <c r="F77" s="83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</row>
    <row r="78" spans="5:54" x14ac:dyDescent="0.35">
      <c r="E78" s="83"/>
      <c r="F78" s="83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</row>
    <row r="79" spans="5:54" x14ac:dyDescent="0.35">
      <c r="E79" s="83"/>
      <c r="F79" s="83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</row>
    <row r="80" spans="5:54" x14ac:dyDescent="0.35">
      <c r="E80" s="83"/>
      <c r="F80" s="83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</row>
    <row r="81" spans="5:54" x14ac:dyDescent="0.35">
      <c r="E81" s="83"/>
      <c r="F81" s="83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  <c r="AW81" s="76"/>
      <c r="AX81" s="76"/>
      <c r="AY81" s="76"/>
      <c r="AZ81" s="76"/>
      <c r="BA81" s="76"/>
      <c r="BB81" s="76"/>
    </row>
    <row r="82" spans="5:54" x14ac:dyDescent="0.35">
      <c r="E82" s="83"/>
      <c r="F82" s="83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</row>
    <row r="83" spans="5:54" x14ac:dyDescent="0.35">
      <c r="E83" s="83"/>
      <c r="F83" s="83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  <c r="AW83" s="76"/>
      <c r="AX83" s="76"/>
      <c r="AY83" s="76"/>
      <c r="AZ83" s="76"/>
      <c r="BA83" s="76"/>
      <c r="BB83" s="76"/>
    </row>
    <row r="84" spans="5:54" x14ac:dyDescent="0.35">
      <c r="E84" s="83"/>
      <c r="F84" s="83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  <c r="AW84" s="76"/>
      <c r="AX84" s="76"/>
      <c r="AY84" s="76"/>
      <c r="AZ84" s="76"/>
      <c r="BA84" s="76"/>
      <c r="BB84" s="76"/>
    </row>
    <row r="85" spans="5:54" x14ac:dyDescent="0.35">
      <c r="E85" s="83"/>
      <c r="F85" s="83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  <c r="AX85" s="76"/>
      <c r="AY85" s="76"/>
      <c r="AZ85" s="76"/>
      <c r="BA85" s="76"/>
      <c r="BB85" s="76"/>
    </row>
    <row r="86" spans="5:54" x14ac:dyDescent="0.35">
      <c r="E86" s="83"/>
      <c r="F86" s="83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</row>
    <row r="87" spans="5:54" x14ac:dyDescent="0.35">
      <c r="E87" s="83"/>
      <c r="F87" s="83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/>
      <c r="AY87" s="76"/>
      <c r="AZ87" s="76"/>
      <c r="BA87" s="76"/>
      <c r="BB87" s="76"/>
    </row>
    <row r="88" spans="5:54" x14ac:dyDescent="0.35">
      <c r="E88" s="83"/>
      <c r="F88" s="83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6"/>
      <c r="AY88" s="76"/>
      <c r="AZ88" s="76"/>
      <c r="BA88" s="76"/>
      <c r="BB88" s="76"/>
    </row>
    <row r="89" spans="5:54" x14ac:dyDescent="0.35">
      <c r="E89" s="83"/>
      <c r="F89" s="83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</row>
    <row r="90" spans="5:54" x14ac:dyDescent="0.35">
      <c r="E90" s="83"/>
      <c r="F90" s="83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</row>
    <row r="91" spans="5:54" x14ac:dyDescent="0.35">
      <c r="E91" s="83"/>
      <c r="F91" s="83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</row>
    <row r="92" spans="5:54" x14ac:dyDescent="0.35">
      <c r="E92" s="83"/>
      <c r="F92" s="83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76"/>
      <c r="AD92" s="76"/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</row>
    <row r="93" spans="5:54" x14ac:dyDescent="0.35">
      <c r="E93" s="83"/>
      <c r="F93" s="83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</row>
    <row r="94" spans="5:54" x14ac:dyDescent="0.35">
      <c r="E94" s="83"/>
      <c r="F94" s="83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</row>
    <row r="95" spans="5:54" x14ac:dyDescent="0.35">
      <c r="E95" s="83"/>
      <c r="F95" s="83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  <c r="AX95" s="76"/>
      <c r="AY95" s="76"/>
      <c r="AZ95" s="76"/>
      <c r="BA95" s="76"/>
      <c r="BB95" s="76"/>
    </row>
    <row r="96" spans="5:54" x14ac:dyDescent="0.35">
      <c r="E96" s="83"/>
      <c r="F96" s="83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</row>
    <row r="97" spans="5:54" x14ac:dyDescent="0.35">
      <c r="E97" s="83"/>
      <c r="F97" s="83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/>
      <c r="BA97" s="76"/>
      <c r="BB97" s="76"/>
    </row>
    <row r="98" spans="5:54" x14ac:dyDescent="0.35">
      <c r="E98" s="83"/>
      <c r="F98" s="83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</row>
    <row r="99" spans="5:54" x14ac:dyDescent="0.35">
      <c r="E99" s="83"/>
      <c r="F99" s="83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</row>
    <row r="100" spans="5:54" x14ac:dyDescent="0.35">
      <c r="E100" s="83"/>
      <c r="F100" s="83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</row>
    <row r="101" spans="5:54" x14ac:dyDescent="0.35">
      <c r="E101" s="83"/>
      <c r="F101" s="83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</row>
    <row r="102" spans="5:54" x14ac:dyDescent="0.35">
      <c r="E102" s="83"/>
      <c r="F102" s="83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</row>
    <row r="103" spans="5:54" x14ac:dyDescent="0.35">
      <c r="E103" s="83"/>
      <c r="F103" s="83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</row>
    <row r="104" spans="5:54" x14ac:dyDescent="0.35">
      <c r="E104" s="83"/>
      <c r="F104" s="83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/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/>
      <c r="AY104" s="76"/>
      <c r="AZ104" s="76"/>
      <c r="BA104" s="76"/>
      <c r="BB104" s="76"/>
    </row>
    <row r="105" spans="5:54" x14ac:dyDescent="0.35">
      <c r="E105" s="83"/>
      <c r="F105" s="83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  <c r="AX105" s="76"/>
      <c r="AY105" s="76"/>
      <c r="AZ105" s="76"/>
      <c r="BA105" s="76"/>
      <c r="BB105" s="76"/>
    </row>
    <row r="106" spans="5:54" x14ac:dyDescent="0.35">
      <c r="E106" s="83"/>
      <c r="F106" s="83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</row>
    <row r="107" spans="5:54" x14ac:dyDescent="0.35">
      <c r="E107" s="83"/>
      <c r="F107" s="83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6"/>
      <c r="AW107" s="76"/>
      <c r="AX107" s="76"/>
      <c r="AY107" s="76"/>
      <c r="AZ107" s="76"/>
      <c r="BA107" s="76"/>
      <c r="BB107" s="76"/>
    </row>
    <row r="108" spans="5:54" x14ac:dyDescent="0.35">
      <c r="E108" s="83"/>
      <c r="F108" s="83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</row>
    <row r="109" spans="5:54" x14ac:dyDescent="0.35">
      <c r="E109" s="83"/>
      <c r="F109" s="83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  <c r="AX109" s="76"/>
      <c r="AY109" s="76"/>
      <c r="AZ109" s="76"/>
      <c r="BA109" s="76"/>
      <c r="BB109" s="76"/>
    </row>
    <row r="110" spans="5:54" x14ac:dyDescent="0.35">
      <c r="E110" s="83"/>
      <c r="F110" s="83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  <c r="AW110" s="76"/>
      <c r="AX110" s="76"/>
      <c r="AY110" s="76"/>
      <c r="AZ110" s="76"/>
      <c r="BA110" s="76"/>
      <c r="BB110" s="76"/>
    </row>
    <row r="111" spans="5:54" x14ac:dyDescent="0.35">
      <c r="E111" s="83"/>
      <c r="F111" s="83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6"/>
      <c r="AW111" s="76"/>
      <c r="AX111" s="76"/>
      <c r="AY111" s="76"/>
      <c r="AZ111" s="76"/>
      <c r="BA111" s="76"/>
      <c r="BB111" s="76"/>
    </row>
    <row r="112" spans="5:54" x14ac:dyDescent="0.35">
      <c r="E112" s="83"/>
      <c r="F112" s="83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  <c r="AW112" s="76"/>
      <c r="AX112" s="76"/>
      <c r="AY112" s="76"/>
      <c r="AZ112" s="76"/>
      <c r="BA112" s="76"/>
      <c r="BB112" s="76"/>
    </row>
    <row r="113" spans="5:54" x14ac:dyDescent="0.35">
      <c r="E113" s="83"/>
      <c r="F113" s="83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A113" s="76"/>
      <c r="BB113" s="76"/>
    </row>
    <row r="114" spans="5:54" x14ac:dyDescent="0.35">
      <c r="E114" s="83"/>
      <c r="F114" s="83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</row>
    <row r="115" spans="5:54" x14ac:dyDescent="0.35">
      <c r="E115" s="83"/>
      <c r="F115" s="83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</row>
    <row r="116" spans="5:54" x14ac:dyDescent="0.35">
      <c r="E116" s="83"/>
      <c r="F116" s="83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</row>
    <row r="117" spans="5:54" x14ac:dyDescent="0.35">
      <c r="E117" s="83"/>
      <c r="F117" s="83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</row>
    <row r="118" spans="5:54" x14ac:dyDescent="0.35">
      <c r="E118" s="83"/>
      <c r="F118" s="83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</row>
    <row r="119" spans="5:54" x14ac:dyDescent="0.35">
      <c r="E119" s="83"/>
      <c r="F119" s="83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</row>
    <row r="120" spans="5:54" x14ac:dyDescent="0.35">
      <c r="E120" s="83"/>
      <c r="F120" s="83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</row>
    <row r="121" spans="5:54" x14ac:dyDescent="0.35">
      <c r="E121" s="83"/>
      <c r="F121" s="83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</row>
    <row r="122" spans="5:54" x14ac:dyDescent="0.35">
      <c r="E122" s="83"/>
      <c r="F122" s="83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</row>
    <row r="123" spans="5:54" x14ac:dyDescent="0.35">
      <c r="E123" s="83"/>
      <c r="F123" s="83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</row>
    <row r="124" spans="5:54" x14ac:dyDescent="0.35">
      <c r="E124" s="83"/>
      <c r="F124" s="83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</row>
    <row r="125" spans="5:54" x14ac:dyDescent="0.35">
      <c r="E125" s="83"/>
      <c r="F125" s="83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</row>
    <row r="126" spans="5:54" x14ac:dyDescent="0.35">
      <c r="E126" s="83"/>
      <c r="F126" s="83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</row>
    <row r="127" spans="5:54" x14ac:dyDescent="0.35">
      <c r="E127" s="83"/>
      <c r="F127" s="83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</row>
    <row r="128" spans="5:54" x14ac:dyDescent="0.35">
      <c r="E128" s="83"/>
      <c r="F128" s="83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</row>
    <row r="129" spans="5:54" x14ac:dyDescent="0.35">
      <c r="E129" s="83"/>
      <c r="F129" s="83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</row>
    <row r="130" spans="5:54" x14ac:dyDescent="0.35">
      <c r="E130" s="83"/>
      <c r="F130" s="83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/>
    </row>
    <row r="131" spans="5:54" x14ac:dyDescent="0.35">
      <c r="E131" s="83"/>
      <c r="F131" s="83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  <c r="AX131" s="76"/>
      <c r="AY131" s="76"/>
      <c r="AZ131" s="76"/>
      <c r="BA131" s="76"/>
      <c r="BB131" s="76"/>
    </row>
    <row r="132" spans="5:54" x14ac:dyDescent="0.35">
      <c r="E132" s="83"/>
      <c r="F132" s="83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  <c r="AW132" s="76"/>
      <c r="AX132" s="76"/>
      <c r="AY132" s="76"/>
      <c r="AZ132" s="76"/>
      <c r="BA132" s="76"/>
      <c r="BB132" s="76"/>
    </row>
    <row r="133" spans="5:54" x14ac:dyDescent="0.35">
      <c r="E133" s="83"/>
      <c r="F133" s="83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  <c r="AX133" s="76"/>
      <c r="AY133" s="76"/>
      <c r="AZ133" s="76"/>
      <c r="BA133" s="76"/>
      <c r="BB133" s="76"/>
    </row>
    <row r="134" spans="5:54" x14ac:dyDescent="0.35">
      <c r="E134" s="83"/>
      <c r="F134" s="83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</row>
    <row r="135" spans="5:54" x14ac:dyDescent="0.35">
      <c r="E135" s="83"/>
      <c r="F135" s="83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</row>
    <row r="136" spans="5:54" x14ac:dyDescent="0.35">
      <c r="E136" s="83"/>
      <c r="F136" s="83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  <c r="AW136" s="76"/>
      <c r="AX136" s="76"/>
      <c r="AY136" s="76"/>
      <c r="AZ136" s="76"/>
      <c r="BA136" s="76"/>
      <c r="BB136" s="76"/>
    </row>
    <row r="137" spans="5:54" x14ac:dyDescent="0.35">
      <c r="E137" s="83"/>
      <c r="F137" s="83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</row>
    <row r="138" spans="5:54" x14ac:dyDescent="0.35">
      <c r="E138" s="83"/>
      <c r="F138" s="83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</row>
    <row r="139" spans="5:54" x14ac:dyDescent="0.35">
      <c r="E139" s="83"/>
      <c r="F139" s="83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</row>
    <row r="140" spans="5:54" x14ac:dyDescent="0.35">
      <c r="E140" s="83"/>
      <c r="F140" s="83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</row>
    <row r="141" spans="5:54" x14ac:dyDescent="0.35">
      <c r="E141" s="83"/>
      <c r="F141" s="83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</row>
    <row r="142" spans="5:54" x14ac:dyDescent="0.35">
      <c r="E142" s="83"/>
      <c r="F142" s="83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</row>
    <row r="143" spans="5:54" x14ac:dyDescent="0.35">
      <c r="E143" s="83"/>
      <c r="F143" s="83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</row>
    <row r="144" spans="5:54" x14ac:dyDescent="0.35">
      <c r="E144" s="83"/>
      <c r="F144" s="83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</row>
    <row r="145" spans="5:54" x14ac:dyDescent="0.35">
      <c r="E145" s="83"/>
      <c r="F145" s="83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</row>
    <row r="146" spans="5:54" x14ac:dyDescent="0.35">
      <c r="E146" s="83"/>
      <c r="F146" s="83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</row>
    <row r="147" spans="5:54" x14ac:dyDescent="0.35">
      <c r="E147" s="83"/>
      <c r="F147" s="83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</row>
    <row r="148" spans="5:54" x14ac:dyDescent="0.35">
      <c r="E148" s="83"/>
      <c r="F148" s="83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</row>
    <row r="149" spans="5:54" x14ac:dyDescent="0.35">
      <c r="E149" s="83"/>
      <c r="F149" s="83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  <c r="AX149" s="76"/>
      <c r="AY149" s="76"/>
      <c r="AZ149" s="76"/>
      <c r="BA149" s="76"/>
      <c r="BB149" s="76"/>
    </row>
    <row r="150" spans="5:54" x14ac:dyDescent="0.35">
      <c r="E150" s="83"/>
      <c r="F150" s="83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</row>
    <row r="151" spans="5:54" x14ac:dyDescent="0.35">
      <c r="E151" s="83"/>
      <c r="F151" s="83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/>
      <c r="BA151" s="76"/>
      <c r="BB151" s="76"/>
    </row>
    <row r="152" spans="5:54" x14ac:dyDescent="0.35">
      <c r="E152" s="83"/>
      <c r="F152" s="83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6"/>
      <c r="AW152" s="76"/>
      <c r="AX152" s="76"/>
      <c r="AY152" s="76"/>
      <c r="AZ152" s="76"/>
      <c r="BA152" s="76"/>
      <c r="BB152" s="76"/>
    </row>
    <row r="153" spans="5:54" x14ac:dyDescent="0.35">
      <c r="E153" s="83"/>
      <c r="F153" s="83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</row>
    <row r="154" spans="5:54" x14ac:dyDescent="0.35">
      <c r="E154" s="83"/>
      <c r="F154" s="83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/>
      <c r="AW154" s="76"/>
      <c r="AX154" s="76"/>
      <c r="AY154" s="76"/>
      <c r="AZ154" s="76"/>
      <c r="BA154" s="76"/>
      <c r="BB154" s="76"/>
    </row>
    <row r="155" spans="5:54" x14ac:dyDescent="0.35">
      <c r="E155" s="83"/>
      <c r="F155" s="83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</row>
    <row r="156" spans="5:54" x14ac:dyDescent="0.35">
      <c r="E156" s="83"/>
      <c r="F156" s="83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</row>
    <row r="157" spans="5:54" x14ac:dyDescent="0.35">
      <c r="E157" s="83"/>
      <c r="F157" s="83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</row>
    <row r="158" spans="5:54" x14ac:dyDescent="0.35">
      <c r="E158" s="83"/>
      <c r="F158" s="83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</row>
    <row r="159" spans="5:54" x14ac:dyDescent="0.35">
      <c r="E159" s="83"/>
      <c r="F159" s="83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</row>
    <row r="160" spans="5:54" x14ac:dyDescent="0.35">
      <c r="E160" s="83"/>
      <c r="F160" s="83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</row>
    <row r="161" spans="5:54" x14ac:dyDescent="0.35">
      <c r="E161" s="83"/>
      <c r="F161" s="83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</row>
    <row r="162" spans="5:54" x14ac:dyDescent="0.35">
      <c r="E162" s="83"/>
      <c r="F162" s="83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</row>
    <row r="163" spans="5:54" x14ac:dyDescent="0.35">
      <c r="E163" s="83"/>
      <c r="F163" s="83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</row>
    <row r="164" spans="5:54" x14ac:dyDescent="0.35">
      <c r="E164" s="83"/>
      <c r="F164" s="83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/>
    </row>
    <row r="165" spans="5:54" x14ac:dyDescent="0.35">
      <c r="E165" s="83"/>
      <c r="F165" s="83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/>
    </row>
    <row r="166" spans="5:54" x14ac:dyDescent="0.35">
      <c r="E166" s="83"/>
      <c r="F166" s="83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  <c r="AW166" s="76"/>
      <c r="AX166" s="76"/>
      <c r="AY166" s="76"/>
      <c r="AZ166" s="76"/>
      <c r="BA166" s="76"/>
      <c r="BB166" s="76"/>
    </row>
    <row r="167" spans="5:54" x14ac:dyDescent="0.35">
      <c r="E167" s="83"/>
      <c r="F167" s="83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</row>
    <row r="168" spans="5:54" x14ac:dyDescent="0.35">
      <c r="E168" s="83"/>
      <c r="F168" s="83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</row>
    <row r="169" spans="5:54" x14ac:dyDescent="0.35">
      <c r="E169" s="83"/>
      <c r="F169" s="83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</row>
    <row r="170" spans="5:54" x14ac:dyDescent="0.35">
      <c r="E170" s="83"/>
      <c r="F170" s="83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/>
    </row>
    <row r="171" spans="5:54" x14ac:dyDescent="0.35">
      <c r="E171" s="83"/>
      <c r="F171" s="83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/>
      <c r="AW171" s="76"/>
      <c r="AX171" s="76"/>
      <c r="AY171" s="76"/>
      <c r="AZ171" s="76"/>
      <c r="BA171" s="76"/>
      <c r="BB171" s="76"/>
    </row>
    <row r="172" spans="5:54" x14ac:dyDescent="0.35">
      <c r="E172" s="83"/>
      <c r="F172" s="83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6"/>
      <c r="AW172" s="76"/>
      <c r="AX172" s="76"/>
      <c r="AY172" s="76"/>
      <c r="AZ172" s="76"/>
      <c r="BA172" s="76"/>
      <c r="BB172" s="76"/>
    </row>
    <row r="173" spans="5:54" x14ac:dyDescent="0.35">
      <c r="E173" s="83"/>
      <c r="F173" s="83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</row>
    <row r="174" spans="5:54" x14ac:dyDescent="0.35">
      <c r="E174" s="83"/>
      <c r="F174" s="83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</row>
    <row r="175" spans="5:54" x14ac:dyDescent="0.35">
      <c r="E175" s="83"/>
      <c r="F175" s="83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</row>
    <row r="176" spans="5:54" x14ac:dyDescent="0.35">
      <c r="E176" s="83"/>
      <c r="F176" s="83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</row>
    <row r="177" spans="5:54" x14ac:dyDescent="0.35">
      <c r="E177" s="83"/>
      <c r="F177" s="83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</row>
    <row r="178" spans="5:54" x14ac:dyDescent="0.35">
      <c r="E178" s="83"/>
      <c r="F178" s="83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</row>
    <row r="179" spans="5:54" x14ac:dyDescent="0.35">
      <c r="E179" s="83"/>
      <c r="F179" s="83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</row>
    <row r="180" spans="5:54" x14ac:dyDescent="0.35">
      <c r="E180" s="83"/>
      <c r="F180" s="83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</row>
    <row r="181" spans="5:54" x14ac:dyDescent="0.35">
      <c r="E181" s="83"/>
      <c r="F181" s="83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</row>
    <row r="182" spans="5:54" x14ac:dyDescent="0.35">
      <c r="E182" s="83"/>
      <c r="F182" s="83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</row>
    <row r="183" spans="5:54" x14ac:dyDescent="0.35">
      <c r="E183" s="83"/>
      <c r="F183" s="83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  <c r="AX183" s="76"/>
      <c r="AY183" s="76"/>
      <c r="AZ183" s="76"/>
      <c r="BA183" s="76"/>
      <c r="BB183" s="76"/>
    </row>
    <row r="184" spans="5:54" x14ac:dyDescent="0.35">
      <c r="E184" s="83"/>
      <c r="F184" s="83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</row>
    <row r="185" spans="5:54" x14ac:dyDescent="0.35">
      <c r="E185" s="83"/>
      <c r="F185" s="83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</row>
    <row r="186" spans="5:54" x14ac:dyDescent="0.35">
      <c r="E186" s="83"/>
      <c r="F186" s="83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</row>
    <row r="187" spans="5:54" x14ac:dyDescent="0.35">
      <c r="E187" s="83"/>
      <c r="F187" s="83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/>
    </row>
    <row r="188" spans="5:54" x14ac:dyDescent="0.35">
      <c r="E188" s="83"/>
      <c r="F188" s="83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</row>
    <row r="189" spans="5:54" x14ac:dyDescent="0.35">
      <c r="E189" s="83"/>
      <c r="F189" s="83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</row>
    <row r="190" spans="5:54" x14ac:dyDescent="0.35">
      <c r="E190" s="83"/>
      <c r="F190" s="83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/>
      <c r="BA190" s="76"/>
      <c r="BB190" s="76"/>
    </row>
    <row r="191" spans="5:54" x14ac:dyDescent="0.35">
      <c r="E191" s="83"/>
      <c r="F191" s="83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</row>
    <row r="192" spans="5:54" x14ac:dyDescent="0.35">
      <c r="E192" s="83"/>
      <c r="F192" s="83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6"/>
      <c r="AW192" s="76"/>
      <c r="AX192" s="76"/>
      <c r="AY192" s="76"/>
      <c r="AZ192" s="76"/>
      <c r="BA192" s="76"/>
      <c r="BB192" s="76"/>
    </row>
    <row r="193" spans="5:54" x14ac:dyDescent="0.35">
      <c r="E193" s="83"/>
      <c r="F193" s="83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6"/>
      <c r="AW193" s="76"/>
      <c r="AX193" s="76"/>
      <c r="AY193" s="76"/>
      <c r="AZ193" s="76"/>
      <c r="BA193" s="76"/>
      <c r="BB193" s="76"/>
    </row>
    <row r="194" spans="5:54" x14ac:dyDescent="0.35">
      <c r="E194" s="83"/>
      <c r="F194" s="83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6"/>
      <c r="AW194" s="76"/>
      <c r="AX194" s="76"/>
      <c r="AY194" s="76"/>
      <c r="AZ194" s="76"/>
      <c r="BA194" s="76"/>
      <c r="BB194" s="76"/>
    </row>
    <row r="195" spans="5:54" x14ac:dyDescent="0.35">
      <c r="E195" s="83"/>
      <c r="F195" s="83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6"/>
      <c r="AW195" s="76"/>
      <c r="AX195" s="76"/>
      <c r="AY195" s="76"/>
      <c r="AZ195" s="76"/>
      <c r="BA195" s="76"/>
      <c r="BB195" s="76"/>
    </row>
    <row r="196" spans="5:54" x14ac:dyDescent="0.35">
      <c r="E196" s="83"/>
      <c r="F196" s="83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6"/>
      <c r="AW196" s="76"/>
      <c r="AX196" s="76"/>
      <c r="AY196" s="76"/>
      <c r="AZ196" s="76"/>
      <c r="BA196" s="76"/>
      <c r="BB196" s="76"/>
    </row>
    <row r="197" spans="5:54" x14ac:dyDescent="0.35">
      <c r="E197" s="83"/>
      <c r="F197" s="83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6"/>
      <c r="AW197" s="76"/>
      <c r="AX197" s="76"/>
      <c r="AY197" s="76"/>
      <c r="AZ197" s="76"/>
      <c r="BA197" s="76"/>
      <c r="BB197" s="76"/>
    </row>
    <row r="198" spans="5:54" x14ac:dyDescent="0.35">
      <c r="E198" s="83"/>
      <c r="F198" s="83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6"/>
      <c r="AW198" s="76"/>
      <c r="AX198" s="76"/>
      <c r="AY198" s="76"/>
      <c r="AZ198" s="76"/>
      <c r="BA198" s="76"/>
      <c r="BB198" s="76"/>
    </row>
    <row r="199" spans="5:54" x14ac:dyDescent="0.35">
      <c r="E199" s="83"/>
      <c r="F199" s="83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6"/>
      <c r="AW199" s="76"/>
      <c r="AX199" s="76"/>
      <c r="AY199" s="76"/>
      <c r="AZ199" s="76"/>
      <c r="BA199" s="76"/>
      <c r="BB199" s="76"/>
    </row>
    <row r="200" spans="5:54" x14ac:dyDescent="0.35">
      <c r="E200" s="83"/>
      <c r="F200" s="83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6"/>
      <c r="AW200" s="76"/>
      <c r="AX200" s="76"/>
      <c r="AY200" s="76"/>
      <c r="AZ200" s="76"/>
      <c r="BA200" s="76"/>
      <c r="BB200" s="76"/>
    </row>
    <row r="201" spans="5:54" x14ac:dyDescent="0.35">
      <c r="E201" s="83"/>
      <c r="F201" s="83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6"/>
      <c r="AW201" s="76"/>
      <c r="AX201" s="76"/>
      <c r="AY201" s="76"/>
      <c r="AZ201" s="76"/>
      <c r="BA201" s="76"/>
      <c r="BB201" s="76"/>
    </row>
    <row r="202" spans="5:54" x14ac:dyDescent="0.35">
      <c r="E202" s="83"/>
      <c r="F202" s="83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6"/>
      <c r="AW202" s="76"/>
      <c r="AX202" s="76"/>
      <c r="AY202" s="76"/>
      <c r="AZ202" s="76"/>
      <c r="BA202" s="76"/>
      <c r="BB202" s="76"/>
    </row>
    <row r="203" spans="5:54" x14ac:dyDescent="0.35">
      <c r="E203" s="83"/>
      <c r="F203" s="83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6"/>
      <c r="AW203" s="76"/>
      <c r="AX203" s="76"/>
      <c r="AY203" s="76"/>
      <c r="AZ203" s="76"/>
      <c r="BA203" s="76"/>
      <c r="BB203" s="76"/>
    </row>
    <row r="204" spans="5:54" x14ac:dyDescent="0.35">
      <c r="E204" s="83"/>
      <c r="F204" s="83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6"/>
      <c r="AW204" s="76"/>
      <c r="AX204" s="76"/>
      <c r="AY204" s="76"/>
      <c r="AZ204" s="76"/>
      <c r="BA204" s="76"/>
      <c r="BB204" s="76"/>
    </row>
    <row r="205" spans="5:54" x14ac:dyDescent="0.35">
      <c r="E205" s="83"/>
      <c r="F205" s="83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6"/>
      <c r="AW205" s="76"/>
      <c r="AX205" s="76"/>
      <c r="AY205" s="76"/>
      <c r="AZ205" s="76"/>
      <c r="BA205" s="76"/>
      <c r="BB205" s="76"/>
    </row>
    <row r="206" spans="5:54" x14ac:dyDescent="0.35">
      <c r="E206" s="83"/>
      <c r="F206" s="83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6"/>
      <c r="AW206" s="76"/>
      <c r="AX206" s="76"/>
      <c r="AY206" s="76"/>
      <c r="AZ206" s="76"/>
      <c r="BA206" s="76"/>
      <c r="BB206" s="76"/>
    </row>
    <row r="207" spans="5:54" x14ac:dyDescent="0.35">
      <c r="E207" s="83"/>
      <c r="F207" s="83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6"/>
      <c r="AW207" s="76"/>
      <c r="AX207" s="76"/>
      <c r="AY207" s="76"/>
      <c r="AZ207" s="76"/>
      <c r="BA207" s="76"/>
      <c r="BB207" s="76"/>
    </row>
    <row r="208" spans="5:54" x14ac:dyDescent="0.35">
      <c r="E208" s="83"/>
      <c r="F208" s="83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6"/>
      <c r="AW208" s="76"/>
      <c r="AX208" s="76"/>
      <c r="AY208" s="76"/>
      <c r="AZ208" s="76"/>
      <c r="BA208" s="76"/>
      <c r="BB208" s="76"/>
    </row>
    <row r="209" spans="5:54" x14ac:dyDescent="0.35">
      <c r="E209" s="83"/>
      <c r="F209" s="83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6"/>
      <c r="AW209" s="76"/>
      <c r="AX209" s="76"/>
      <c r="AY209" s="76"/>
      <c r="AZ209" s="76"/>
      <c r="BA209" s="76"/>
      <c r="BB209" s="76"/>
    </row>
    <row r="210" spans="5:54" x14ac:dyDescent="0.35">
      <c r="E210" s="83"/>
      <c r="F210" s="83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6"/>
      <c r="AW210" s="76"/>
      <c r="AX210" s="76"/>
      <c r="AY210" s="76"/>
      <c r="AZ210" s="76"/>
      <c r="BA210" s="76"/>
      <c r="BB210" s="76"/>
    </row>
    <row r="211" spans="5:54" x14ac:dyDescent="0.35">
      <c r="E211" s="83"/>
      <c r="F211" s="83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6"/>
      <c r="AW211" s="76"/>
      <c r="AX211" s="76"/>
      <c r="AY211" s="76"/>
      <c r="AZ211" s="76"/>
      <c r="BA211" s="76"/>
      <c r="BB211" s="76"/>
    </row>
    <row r="212" spans="5:54" x14ac:dyDescent="0.35">
      <c r="E212" s="83"/>
      <c r="F212" s="83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6"/>
      <c r="AW212" s="76"/>
      <c r="AX212" s="76"/>
      <c r="AY212" s="76"/>
      <c r="AZ212" s="76"/>
      <c r="BA212" s="76"/>
      <c r="BB212" s="76"/>
    </row>
    <row r="213" spans="5:54" x14ac:dyDescent="0.35">
      <c r="E213" s="83"/>
      <c r="F213" s="83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6"/>
      <c r="AW213" s="76"/>
      <c r="AX213" s="76"/>
      <c r="AY213" s="76"/>
      <c r="AZ213" s="76"/>
      <c r="BA213" s="76"/>
      <c r="BB213" s="76"/>
    </row>
    <row r="214" spans="5:54" x14ac:dyDescent="0.35">
      <c r="E214" s="83"/>
      <c r="F214" s="83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6"/>
      <c r="AW214" s="76"/>
      <c r="AX214" s="76"/>
      <c r="AY214" s="76"/>
      <c r="AZ214" s="76"/>
      <c r="BA214" s="76"/>
      <c r="BB214" s="76"/>
    </row>
    <row r="215" spans="5:54" x14ac:dyDescent="0.35">
      <c r="E215" s="83"/>
      <c r="F215" s="83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6"/>
      <c r="AW215" s="76"/>
      <c r="AX215" s="76"/>
      <c r="AY215" s="76"/>
      <c r="AZ215" s="76"/>
      <c r="BA215" s="76"/>
      <c r="BB215" s="76"/>
    </row>
    <row r="216" spans="5:54" x14ac:dyDescent="0.35">
      <c r="E216" s="83"/>
      <c r="F216" s="83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6"/>
      <c r="AW216" s="76"/>
      <c r="AX216" s="76"/>
      <c r="AY216" s="76"/>
      <c r="AZ216" s="76"/>
      <c r="BA216" s="76"/>
      <c r="BB216" s="76"/>
    </row>
    <row r="217" spans="5:54" x14ac:dyDescent="0.35">
      <c r="E217" s="83"/>
      <c r="F217" s="83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6"/>
      <c r="AW217" s="76"/>
      <c r="AX217" s="76"/>
      <c r="AY217" s="76"/>
      <c r="AZ217" s="76"/>
      <c r="BA217" s="76"/>
      <c r="BB217" s="76"/>
    </row>
    <row r="218" spans="5:54" x14ac:dyDescent="0.35">
      <c r="E218" s="83"/>
      <c r="F218" s="83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6"/>
      <c r="AW218" s="76"/>
      <c r="AX218" s="76"/>
      <c r="AY218" s="76"/>
      <c r="AZ218" s="76"/>
      <c r="BA218" s="76"/>
      <c r="BB218" s="76"/>
    </row>
    <row r="219" spans="5:54" x14ac:dyDescent="0.35">
      <c r="E219" s="83"/>
      <c r="F219" s="83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6"/>
      <c r="AW219" s="76"/>
      <c r="AX219" s="76"/>
      <c r="AY219" s="76"/>
      <c r="AZ219" s="76"/>
      <c r="BA219" s="76"/>
      <c r="BB219" s="76"/>
    </row>
    <row r="220" spans="5:54" x14ac:dyDescent="0.35">
      <c r="E220" s="83"/>
      <c r="F220" s="83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6"/>
      <c r="AW220" s="76"/>
      <c r="AX220" s="76"/>
      <c r="AY220" s="76"/>
      <c r="AZ220" s="76"/>
      <c r="BA220" s="76"/>
      <c r="BB220" s="76"/>
    </row>
    <row r="221" spans="5:54" x14ac:dyDescent="0.35">
      <c r="E221" s="83"/>
      <c r="F221" s="83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6"/>
      <c r="AW221" s="76"/>
      <c r="AX221" s="76"/>
      <c r="AY221" s="76"/>
      <c r="AZ221" s="76"/>
      <c r="BA221" s="76"/>
      <c r="BB221" s="76"/>
    </row>
    <row r="222" spans="5:54" x14ac:dyDescent="0.35">
      <c r="E222" s="83"/>
      <c r="F222" s="83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6"/>
      <c r="AW222" s="76"/>
      <c r="AX222" s="76"/>
      <c r="AY222" s="76"/>
      <c r="AZ222" s="76"/>
      <c r="BA222" s="76"/>
      <c r="BB222" s="76"/>
    </row>
    <row r="223" spans="5:54" x14ac:dyDescent="0.35">
      <c r="E223" s="83"/>
      <c r="F223" s="83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6"/>
      <c r="AW223" s="76"/>
      <c r="AX223" s="76"/>
      <c r="AY223" s="76"/>
      <c r="AZ223" s="76"/>
      <c r="BA223" s="76"/>
      <c r="BB223" s="76"/>
    </row>
    <row r="224" spans="5:54" x14ac:dyDescent="0.35">
      <c r="E224" s="83"/>
      <c r="F224" s="83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6"/>
      <c r="AW224" s="76"/>
      <c r="AX224" s="76"/>
      <c r="AY224" s="76"/>
      <c r="AZ224" s="76"/>
      <c r="BA224" s="76"/>
      <c r="BB224" s="76"/>
    </row>
    <row r="225" spans="5:54" x14ac:dyDescent="0.35">
      <c r="E225" s="83"/>
      <c r="F225" s="83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6"/>
      <c r="AW225" s="76"/>
      <c r="AX225" s="76"/>
      <c r="AY225" s="76"/>
      <c r="AZ225" s="76"/>
      <c r="BA225" s="76"/>
      <c r="BB225" s="76"/>
    </row>
    <row r="226" spans="5:54" x14ac:dyDescent="0.35">
      <c r="E226" s="83"/>
      <c r="F226" s="83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6"/>
      <c r="AW226" s="76"/>
      <c r="AX226" s="76"/>
      <c r="AY226" s="76"/>
      <c r="AZ226" s="76"/>
      <c r="BA226" s="76"/>
      <c r="BB226" s="76"/>
    </row>
    <row r="227" spans="5:54" x14ac:dyDescent="0.35">
      <c r="E227" s="83"/>
      <c r="F227" s="83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6"/>
      <c r="AW227" s="76"/>
      <c r="AX227" s="76"/>
      <c r="AY227" s="76"/>
      <c r="AZ227" s="76"/>
      <c r="BA227" s="76"/>
      <c r="BB227" s="76"/>
    </row>
    <row r="228" spans="5:54" x14ac:dyDescent="0.35">
      <c r="E228" s="83"/>
      <c r="F228" s="83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6"/>
      <c r="AW228" s="76"/>
      <c r="AX228" s="76"/>
      <c r="AY228" s="76"/>
      <c r="AZ228" s="76"/>
      <c r="BA228" s="76"/>
      <c r="BB228" s="76"/>
    </row>
    <row r="229" spans="5:54" x14ac:dyDescent="0.35">
      <c r="E229" s="83"/>
      <c r="F229" s="83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6"/>
      <c r="AW229" s="76"/>
      <c r="AX229" s="76"/>
      <c r="AY229" s="76"/>
      <c r="AZ229" s="76"/>
      <c r="BA229" s="76"/>
      <c r="BB229" s="76"/>
    </row>
    <row r="230" spans="5:54" x14ac:dyDescent="0.35">
      <c r="E230" s="83"/>
      <c r="F230" s="83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6"/>
      <c r="AW230" s="76"/>
      <c r="AX230" s="76"/>
      <c r="AY230" s="76"/>
      <c r="AZ230" s="76"/>
      <c r="BA230" s="76"/>
      <c r="BB230" s="76"/>
    </row>
    <row r="231" spans="5:54" x14ac:dyDescent="0.35">
      <c r="E231" s="83"/>
      <c r="F231" s="83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6"/>
      <c r="AW231" s="76"/>
      <c r="AX231" s="76"/>
      <c r="AY231" s="76"/>
      <c r="AZ231" s="76"/>
      <c r="BA231" s="76"/>
      <c r="BB231" s="76"/>
    </row>
    <row r="232" spans="5:54" x14ac:dyDescent="0.35">
      <c r="E232" s="83"/>
      <c r="F232" s="83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6"/>
      <c r="AW232" s="76"/>
      <c r="AX232" s="76"/>
      <c r="AY232" s="76"/>
      <c r="AZ232" s="76"/>
      <c r="BA232" s="76"/>
      <c r="BB232" s="76"/>
    </row>
    <row r="233" spans="5:54" x14ac:dyDescent="0.35">
      <c r="E233" s="83"/>
      <c r="F233" s="83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6"/>
      <c r="AW233" s="76"/>
      <c r="AX233" s="76"/>
      <c r="AY233" s="76"/>
      <c r="AZ233" s="76"/>
      <c r="BA233" s="76"/>
      <c r="BB233" s="76"/>
    </row>
    <row r="234" spans="5:54" x14ac:dyDescent="0.35">
      <c r="E234" s="83"/>
      <c r="F234" s="83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6"/>
      <c r="AW234" s="76"/>
      <c r="AX234" s="76"/>
      <c r="AY234" s="76"/>
      <c r="AZ234" s="76"/>
      <c r="BA234" s="76"/>
      <c r="BB234" s="76"/>
    </row>
    <row r="235" spans="5:54" x14ac:dyDescent="0.35">
      <c r="E235" s="83"/>
      <c r="F235" s="83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6"/>
      <c r="AW235" s="76"/>
      <c r="AX235" s="76"/>
      <c r="AY235" s="76"/>
      <c r="AZ235" s="76"/>
      <c r="BA235" s="76"/>
      <c r="BB235" s="76"/>
    </row>
    <row r="236" spans="5:54" x14ac:dyDescent="0.35">
      <c r="E236" s="83"/>
      <c r="F236" s="83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6"/>
      <c r="AW236" s="76"/>
      <c r="AX236" s="76"/>
      <c r="AY236" s="76"/>
      <c r="AZ236" s="76"/>
      <c r="BA236" s="76"/>
      <c r="BB236" s="76"/>
    </row>
    <row r="237" spans="5:54" x14ac:dyDescent="0.35">
      <c r="E237" s="83"/>
      <c r="F237" s="83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6"/>
      <c r="AW237" s="76"/>
      <c r="AX237" s="76"/>
      <c r="AY237" s="76"/>
      <c r="AZ237" s="76"/>
      <c r="BA237" s="76"/>
      <c r="BB237" s="76"/>
    </row>
    <row r="238" spans="5:54" x14ac:dyDescent="0.35">
      <c r="E238" s="83"/>
      <c r="F238" s="83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6"/>
      <c r="AW238" s="76"/>
      <c r="AX238" s="76"/>
      <c r="AY238" s="76"/>
      <c r="AZ238" s="76"/>
      <c r="BA238" s="76"/>
      <c r="BB238" s="76"/>
    </row>
    <row r="239" spans="5:54" x14ac:dyDescent="0.35">
      <c r="E239" s="83"/>
      <c r="F239" s="83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6"/>
      <c r="AW239" s="76"/>
      <c r="AX239" s="76"/>
      <c r="AY239" s="76"/>
      <c r="AZ239" s="76"/>
      <c r="BA239" s="76"/>
      <c r="BB239" s="76"/>
    </row>
    <row r="240" spans="5:54" x14ac:dyDescent="0.35">
      <c r="E240" s="83"/>
      <c r="F240" s="83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6"/>
      <c r="AW240" s="76"/>
      <c r="AX240" s="76"/>
      <c r="AY240" s="76"/>
      <c r="AZ240" s="76"/>
      <c r="BA240" s="76"/>
      <c r="BB240" s="76"/>
    </row>
    <row r="241" spans="5:54" x14ac:dyDescent="0.35">
      <c r="E241" s="83"/>
      <c r="F241" s="83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6"/>
      <c r="AW241" s="76"/>
      <c r="AX241" s="76"/>
      <c r="AY241" s="76"/>
      <c r="AZ241" s="76"/>
      <c r="BA241" s="76"/>
      <c r="BB241" s="76"/>
    </row>
    <row r="242" spans="5:54" x14ac:dyDescent="0.35">
      <c r="E242" s="83"/>
      <c r="F242" s="83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6"/>
      <c r="AW242" s="76"/>
      <c r="AX242" s="76"/>
      <c r="AY242" s="76"/>
      <c r="AZ242" s="76"/>
      <c r="BA242" s="76"/>
      <c r="BB242" s="76"/>
    </row>
    <row r="243" spans="5:54" x14ac:dyDescent="0.35">
      <c r="E243" s="83"/>
      <c r="F243" s="83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6"/>
      <c r="AW243" s="76"/>
      <c r="AX243" s="76"/>
      <c r="AY243" s="76"/>
      <c r="AZ243" s="76"/>
      <c r="BA243" s="76"/>
      <c r="BB243" s="76"/>
    </row>
    <row r="244" spans="5:54" x14ac:dyDescent="0.35">
      <c r="E244" s="83"/>
      <c r="F244" s="83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6"/>
      <c r="AW244" s="76"/>
      <c r="AX244" s="76"/>
      <c r="AY244" s="76"/>
      <c r="AZ244" s="76"/>
      <c r="BA244" s="76"/>
      <c r="BB244" s="76"/>
    </row>
    <row r="245" spans="5:54" x14ac:dyDescent="0.35">
      <c r="E245" s="83"/>
      <c r="F245" s="83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6"/>
      <c r="AW245" s="76"/>
      <c r="AX245" s="76"/>
      <c r="AY245" s="76"/>
      <c r="AZ245" s="76"/>
      <c r="BA245" s="76"/>
      <c r="BB245" s="76"/>
    </row>
    <row r="246" spans="5:54" x14ac:dyDescent="0.35">
      <c r="E246" s="83"/>
      <c r="F246" s="83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6"/>
      <c r="AW246" s="76"/>
      <c r="AX246" s="76"/>
      <c r="AY246" s="76"/>
      <c r="AZ246" s="76"/>
      <c r="BA246" s="76"/>
      <c r="BB246" s="76"/>
    </row>
    <row r="247" spans="5:54" x14ac:dyDescent="0.35">
      <c r="E247" s="83"/>
      <c r="F247" s="83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6"/>
      <c r="AW247" s="76"/>
      <c r="AX247" s="76"/>
      <c r="AY247" s="76"/>
      <c r="AZ247" s="76"/>
      <c r="BA247" s="76"/>
      <c r="BB247" s="76"/>
    </row>
    <row r="248" spans="5:54" x14ac:dyDescent="0.35">
      <c r="E248" s="83"/>
      <c r="F248" s="83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6"/>
      <c r="AW248" s="76"/>
      <c r="AX248" s="76"/>
      <c r="AY248" s="76"/>
      <c r="AZ248" s="76"/>
      <c r="BA248" s="76"/>
      <c r="BB248" s="76"/>
    </row>
    <row r="249" spans="5:54" x14ac:dyDescent="0.35">
      <c r="E249" s="83"/>
      <c r="F249" s="83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  <c r="AT249" s="76"/>
      <c r="AU249" s="76"/>
      <c r="AV249" s="76"/>
      <c r="AW249" s="76"/>
      <c r="AX249" s="76"/>
      <c r="AY249" s="76"/>
      <c r="AZ249" s="76"/>
      <c r="BA249" s="76"/>
      <c r="BB249" s="76"/>
    </row>
    <row r="250" spans="5:54" x14ac:dyDescent="0.35">
      <c r="E250" s="83"/>
      <c r="F250" s="83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6"/>
      <c r="AW250" s="76"/>
      <c r="AX250" s="76"/>
      <c r="AY250" s="76"/>
      <c r="AZ250" s="76"/>
      <c r="BA250" s="76"/>
      <c r="BB250" s="76"/>
    </row>
    <row r="251" spans="5:54" x14ac:dyDescent="0.35">
      <c r="E251" s="83"/>
      <c r="F251" s="83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/>
      <c r="AC251" s="76"/>
      <c r="AD251" s="76"/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/>
      <c r="AP251" s="76"/>
      <c r="AQ251" s="76"/>
      <c r="AR251" s="76"/>
      <c r="AS251" s="76"/>
      <c r="AT251" s="76"/>
      <c r="AU251" s="76"/>
      <c r="AV251" s="76"/>
      <c r="AW251" s="76"/>
      <c r="AX251" s="76"/>
      <c r="AY251" s="76"/>
      <c r="AZ251" s="76"/>
      <c r="BA251" s="76"/>
      <c r="BB251" s="76"/>
    </row>
    <row r="252" spans="5:54" x14ac:dyDescent="0.35">
      <c r="E252" s="83"/>
      <c r="F252" s="83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  <c r="AF252" s="76"/>
      <c r="AG252" s="76"/>
      <c r="AH252" s="76"/>
      <c r="AI252" s="76"/>
      <c r="AJ252" s="76"/>
      <c r="AK252" s="76"/>
      <c r="AL252" s="76"/>
      <c r="AM252" s="76"/>
      <c r="AN252" s="76"/>
      <c r="AO252" s="76"/>
      <c r="AP252" s="76"/>
      <c r="AQ252" s="76"/>
      <c r="AR252" s="76"/>
      <c r="AS252" s="76"/>
      <c r="AT252" s="76"/>
      <c r="AU252" s="76"/>
      <c r="AV252" s="76"/>
      <c r="AW252" s="76"/>
      <c r="AX252" s="76"/>
      <c r="AY252" s="76"/>
      <c r="AZ252" s="76"/>
      <c r="BA252" s="76"/>
      <c r="BB252" s="76"/>
    </row>
    <row r="253" spans="5:54" x14ac:dyDescent="0.35">
      <c r="E253" s="83"/>
      <c r="F253" s="83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  <c r="AF253" s="76"/>
      <c r="AG253" s="76"/>
      <c r="AH253" s="76"/>
      <c r="AI253" s="76"/>
      <c r="AJ253" s="76"/>
      <c r="AK253" s="76"/>
      <c r="AL253" s="76"/>
      <c r="AM253" s="76"/>
      <c r="AN253" s="76"/>
      <c r="AO253" s="76"/>
      <c r="AP253" s="76"/>
      <c r="AQ253" s="76"/>
      <c r="AR253" s="76"/>
      <c r="AS253" s="76"/>
      <c r="AT253" s="76"/>
      <c r="AU253" s="76"/>
      <c r="AV253" s="76"/>
      <c r="AW253" s="76"/>
      <c r="AX253" s="76"/>
      <c r="AY253" s="76"/>
      <c r="AZ253" s="76"/>
      <c r="BA253" s="76"/>
      <c r="BB253" s="76"/>
    </row>
    <row r="254" spans="5:54" x14ac:dyDescent="0.35">
      <c r="E254" s="83"/>
      <c r="F254" s="83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/>
      <c r="AC254" s="76"/>
      <c r="AD254" s="76"/>
      <c r="AE254" s="76"/>
      <c r="AF254" s="76"/>
      <c r="AG254" s="76"/>
      <c r="AH254" s="76"/>
      <c r="AI254" s="76"/>
      <c r="AJ254" s="76"/>
      <c r="AK254" s="76"/>
      <c r="AL254" s="76"/>
      <c r="AM254" s="76"/>
      <c r="AN254" s="76"/>
      <c r="AO254" s="76"/>
      <c r="AP254" s="76"/>
      <c r="AQ254" s="76"/>
      <c r="AR254" s="76"/>
      <c r="AS254" s="76"/>
      <c r="AT254" s="76"/>
      <c r="AU254" s="76"/>
      <c r="AV254" s="76"/>
      <c r="AW254" s="76"/>
      <c r="AX254" s="76"/>
      <c r="AY254" s="76"/>
      <c r="AZ254" s="76"/>
      <c r="BA254" s="76"/>
      <c r="BB254" s="76"/>
    </row>
    <row r="255" spans="5:54" x14ac:dyDescent="0.35">
      <c r="E255" s="83"/>
      <c r="F255" s="83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/>
      <c r="AC255" s="76"/>
      <c r="AD255" s="76"/>
      <c r="AE255" s="76"/>
      <c r="AF255" s="76"/>
      <c r="AG255" s="76"/>
      <c r="AH255" s="76"/>
      <c r="AI255" s="76"/>
      <c r="AJ255" s="76"/>
      <c r="AK255" s="76"/>
      <c r="AL255" s="76"/>
      <c r="AM255" s="76"/>
      <c r="AN255" s="76"/>
      <c r="AO255" s="76"/>
      <c r="AP255" s="76"/>
      <c r="AQ255" s="76"/>
      <c r="AR255" s="76"/>
      <c r="AS255" s="76"/>
      <c r="AT255" s="76"/>
      <c r="AU255" s="76"/>
      <c r="AV255" s="76"/>
      <c r="AW255" s="76"/>
      <c r="AX255" s="76"/>
      <c r="AY255" s="76"/>
      <c r="AZ255" s="76"/>
      <c r="BA255" s="76"/>
      <c r="BB255" s="76"/>
    </row>
    <row r="256" spans="5:54" x14ac:dyDescent="0.35">
      <c r="E256" s="83"/>
      <c r="F256" s="83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/>
      <c r="AC256" s="76"/>
      <c r="AD256" s="76"/>
      <c r="AE256" s="76"/>
      <c r="AF256" s="76"/>
      <c r="AG256" s="76"/>
      <c r="AH256" s="76"/>
      <c r="AI256" s="76"/>
      <c r="AJ256" s="76"/>
      <c r="AK256" s="76"/>
      <c r="AL256" s="76"/>
      <c r="AM256" s="76"/>
      <c r="AN256" s="76"/>
      <c r="AO256" s="76"/>
      <c r="AP256" s="76"/>
      <c r="AQ256" s="76"/>
      <c r="AR256" s="76"/>
      <c r="AS256" s="76"/>
      <c r="AT256" s="76"/>
      <c r="AU256" s="76"/>
      <c r="AV256" s="76"/>
      <c r="AW256" s="76"/>
      <c r="AX256" s="76"/>
      <c r="AY256" s="76"/>
      <c r="AZ256" s="76"/>
      <c r="BA256" s="76"/>
      <c r="BB256" s="76"/>
    </row>
    <row r="257" spans="5:54" x14ac:dyDescent="0.35">
      <c r="E257" s="83"/>
      <c r="F257" s="83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/>
      <c r="AC257" s="76"/>
      <c r="AD257" s="76"/>
      <c r="AE257" s="76"/>
      <c r="AF257" s="76"/>
      <c r="AG257" s="76"/>
      <c r="AH257" s="76"/>
      <c r="AI257" s="76"/>
      <c r="AJ257" s="76"/>
      <c r="AK257" s="76"/>
      <c r="AL257" s="76"/>
      <c r="AM257" s="76"/>
      <c r="AN257" s="76"/>
      <c r="AO257" s="76"/>
      <c r="AP257" s="76"/>
      <c r="AQ257" s="76"/>
      <c r="AR257" s="76"/>
      <c r="AS257" s="76"/>
      <c r="AT257" s="76"/>
      <c r="AU257" s="76"/>
      <c r="AV257" s="76"/>
      <c r="AW257" s="76"/>
      <c r="AX257" s="76"/>
      <c r="AY257" s="76"/>
      <c r="AZ257" s="76"/>
      <c r="BA257" s="76"/>
      <c r="BB257" s="76"/>
    </row>
    <row r="258" spans="5:54" x14ac:dyDescent="0.35">
      <c r="E258" s="83"/>
      <c r="F258" s="83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/>
      <c r="AC258" s="76"/>
      <c r="AD258" s="76"/>
      <c r="AE258" s="76"/>
      <c r="AF258" s="76"/>
      <c r="AG258" s="76"/>
      <c r="AH258" s="76"/>
      <c r="AI258" s="76"/>
      <c r="AJ258" s="76"/>
      <c r="AK258" s="76"/>
      <c r="AL258" s="76"/>
      <c r="AM258" s="76"/>
      <c r="AN258" s="76"/>
      <c r="AO258" s="76"/>
      <c r="AP258" s="76"/>
      <c r="AQ258" s="76"/>
      <c r="AR258" s="76"/>
      <c r="AS258" s="76"/>
      <c r="AT258" s="76"/>
      <c r="AU258" s="76"/>
      <c r="AV258" s="76"/>
      <c r="AW258" s="76"/>
      <c r="AX258" s="76"/>
      <c r="AY258" s="76"/>
      <c r="AZ258" s="76"/>
      <c r="BA258" s="76"/>
      <c r="BB258" s="76"/>
    </row>
    <row r="259" spans="5:54" x14ac:dyDescent="0.35">
      <c r="E259" s="83"/>
      <c r="F259" s="83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/>
      <c r="AC259" s="76"/>
      <c r="AD259" s="76"/>
      <c r="AE259" s="76"/>
      <c r="AF259" s="76"/>
      <c r="AG259" s="76"/>
      <c r="AH259" s="76"/>
      <c r="AI259" s="76"/>
      <c r="AJ259" s="76"/>
      <c r="AK259" s="76"/>
      <c r="AL259" s="76"/>
      <c r="AM259" s="76"/>
      <c r="AN259" s="76"/>
      <c r="AO259" s="76"/>
      <c r="AP259" s="76"/>
      <c r="AQ259" s="76"/>
      <c r="AR259" s="76"/>
      <c r="AS259" s="76"/>
      <c r="AT259" s="76"/>
      <c r="AU259" s="76"/>
      <c r="AV259" s="76"/>
      <c r="AW259" s="76"/>
      <c r="AX259" s="76"/>
      <c r="AY259" s="76"/>
      <c r="AZ259" s="76"/>
      <c r="BA259" s="76"/>
      <c r="BB259" s="76"/>
    </row>
    <row r="260" spans="5:54" x14ac:dyDescent="0.35">
      <c r="E260" s="83"/>
      <c r="F260" s="83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76"/>
      <c r="AF260" s="76"/>
      <c r="AG260" s="76"/>
      <c r="AH260" s="76"/>
      <c r="AI260" s="76"/>
      <c r="AJ260" s="76"/>
      <c r="AK260" s="76"/>
      <c r="AL260" s="76"/>
      <c r="AM260" s="76"/>
      <c r="AN260" s="76"/>
      <c r="AO260" s="76"/>
      <c r="AP260" s="76"/>
      <c r="AQ260" s="76"/>
      <c r="AR260" s="76"/>
      <c r="AS260" s="76"/>
      <c r="AT260" s="76"/>
      <c r="AU260" s="76"/>
      <c r="AV260" s="76"/>
      <c r="AW260" s="76"/>
      <c r="AX260" s="76"/>
      <c r="AY260" s="76"/>
      <c r="AZ260" s="76"/>
      <c r="BA260" s="76"/>
      <c r="BB260" s="76"/>
    </row>
    <row r="261" spans="5:54" x14ac:dyDescent="0.35">
      <c r="E261" s="83"/>
      <c r="F261" s="83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/>
      <c r="AC261" s="76"/>
      <c r="AD261" s="76"/>
      <c r="AE261" s="76"/>
      <c r="AF261" s="76"/>
      <c r="AG261" s="76"/>
      <c r="AH261" s="76"/>
      <c r="AI261" s="76"/>
      <c r="AJ261" s="76"/>
      <c r="AK261" s="76"/>
      <c r="AL261" s="76"/>
      <c r="AM261" s="76"/>
      <c r="AN261" s="76"/>
      <c r="AO261" s="76"/>
      <c r="AP261" s="76"/>
      <c r="AQ261" s="76"/>
      <c r="AR261" s="76"/>
      <c r="AS261" s="76"/>
      <c r="AT261" s="76"/>
      <c r="AU261" s="76"/>
      <c r="AV261" s="76"/>
      <c r="AW261" s="76"/>
      <c r="AX261" s="76"/>
      <c r="AY261" s="76"/>
      <c r="AZ261" s="76"/>
      <c r="BA261" s="76"/>
      <c r="BB261" s="76"/>
    </row>
    <row r="262" spans="5:54" x14ac:dyDescent="0.35">
      <c r="E262" s="83"/>
      <c r="F262" s="83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76"/>
      <c r="AF262" s="76"/>
      <c r="AG262" s="76"/>
      <c r="AH262" s="76"/>
      <c r="AI262" s="76"/>
      <c r="AJ262" s="76"/>
      <c r="AK262" s="76"/>
      <c r="AL262" s="76"/>
      <c r="AM262" s="76"/>
      <c r="AN262" s="76"/>
      <c r="AO262" s="76"/>
      <c r="AP262" s="76"/>
      <c r="AQ262" s="76"/>
      <c r="AR262" s="76"/>
      <c r="AS262" s="76"/>
      <c r="AT262" s="76"/>
      <c r="AU262" s="76"/>
      <c r="AV262" s="76"/>
      <c r="AW262" s="76"/>
      <c r="AX262" s="76"/>
      <c r="AY262" s="76"/>
      <c r="AZ262" s="76"/>
      <c r="BA262" s="76"/>
      <c r="BB262" s="76"/>
    </row>
    <row r="263" spans="5:54" x14ac:dyDescent="0.35">
      <c r="E263" s="83"/>
      <c r="F263" s="83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/>
      <c r="AC263" s="76"/>
      <c r="AD263" s="76"/>
      <c r="AE263" s="76"/>
      <c r="AF263" s="76"/>
      <c r="AG263" s="76"/>
      <c r="AH263" s="76"/>
      <c r="AI263" s="76"/>
      <c r="AJ263" s="76"/>
      <c r="AK263" s="76"/>
      <c r="AL263" s="76"/>
      <c r="AM263" s="76"/>
      <c r="AN263" s="76"/>
      <c r="AO263" s="76"/>
      <c r="AP263" s="76"/>
      <c r="AQ263" s="76"/>
      <c r="AR263" s="76"/>
      <c r="AS263" s="76"/>
      <c r="AT263" s="76"/>
      <c r="AU263" s="76"/>
      <c r="AV263" s="76"/>
      <c r="AW263" s="76"/>
      <c r="AX263" s="76"/>
      <c r="AY263" s="76"/>
      <c r="AZ263" s="76"/>
      <c r="BA263" s="76"/>
      <c r="BB263" s="76"/>
    </row>
    <row r="264" spans="5:54" x14ac:dyDescent="0.35">
      <c r="E264" s="83"/>
      <c r="F264" s="83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  <c r="AF264" s="76"/>
      <c r="AG264" s="76"/>
      <c r="AH264" s="76"/>
      <c r="AI264" s="76"/>
      <c r="AJ264" s="76"/>
      <c r="AK264" s="76"/>
      <c r="AL264" s="76"/>
      <c r="AM264" s="76"/>
      <c r="AN264" s="76"/>
      <c r="AO264" s="76"/>
      <c r="AP264" s="76"/>
      <c r="AQ264" s="76"/>
      <c r="AR264" s="76"/>
      <c r="AS264" s="76"/>
      <c r="AT264" s="76"/>
      <c r="AU264" s="76"/>
      <c r="AV264" s="76"/>
      <c r="AW264" s="76"/>
      <c r="AX264" s="76"/>
      <c r="AY264" s="76"/>
      <c r="AZ264" s="76"/>
      <c r="BA264" s="76"/>
      <c r="BB264" s="76"/>
    </row>
    <row r="265" spans="5:54" x14ac:dyDescent="0.35">
      <c r="E265" s="83"/>
      <c r="F265" s="83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  <c r="AF265" s="76"/>
      <c r="AG265" s="76"/>
      <c r="AH265" s="76"/>
      <c r="AI265" s="76"/>
      <c r="AJ265" s="76"/>
      <c r="AK265" s="76"/>
      <c r="AL265" s="76"/>
      <c r="AM265" s="76"/>
      <c r="AN265" s="76"/>
      <c r="AO265" s="76"/>
      <c r="AP265" s="76"/>
      <c r="AQ265" s="76"/>
      <c r="AR265" s="76"/>
      <c r="AS265" s="76"/>
      <c r="AT265" s="76"/>
      <c r="AU265" s="76"/>
      <c r="AV265" s="76"/>
      <c r="AW265" s="76"/>
      <c r="AX265" s="76"/>
      <c r="AY265" s="76"/>
      <c r="AZ265" s="76"/>
      <c r="BA265" s="76"/>
      <c r="BB265" s="76"/>
    </row>
    <row r="266" spans="5:54" x14ac:dyDescent="0.35">
      <c r="E266" s="83"/>
      <c r="F266" s="83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/>
      <c r="AC266" s="76"/>
      <c r="AD266" s="76"/>
      <c r="AE266" s="76"/>
      <c r="AF266" s="76"/>
      <c r="AG266" s="76"/>
      <c r="AH266" s="76"/>
      <c r="AI266" s="76"/>
      <c r="AJ266" s="76"/>
      <c r="AK266" s="76"/>
      <c r="AL266" s="76"/>
      <c r="AM266" s="76"/>
      <c r="AN266" s="76"/>
      <c r="AO266" s="76"/>
      <c r="AP266" s="76"/>
      <c r="AQ266" s="76"/>
      <c r="AR266" s="76"/>
      <c r="AS266" s="76"/>
      <c r="AT266" s="76"/>
      <c r="AU266" s="76"/>
      <c r="AV266" s="76"/>
      <c r="AW266" s="76"/>
      <c r="AX266" s="76"/>
      <c r="AY266" s="76"/>
      <c r="AZ266" s="76"/>
      <c r="BA266" s="76"/>
      <c r="BB266" s="76"/>
    </row>
    <row r="267" spans="5:54" x14ac:dyDescent="0.35">
      <c r="E267" s="83"/>
      <c r="F267" s="83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6"/>
      <c r="AC267" s="76"/>
      <c r="AD267" s="76"/>
      <c r="AE267" s="76"/>
      <c r="AF267" s="76"/>
      <c r="AG267" s="76"/>
      <c r="AH267" s="76"/>
      <c r="AI267" s="76"/>
      <c r="AJ267" s="76"/>
      <c r="AK267" s="76"/>
      <c r="AL267" s="76"/>
      <c r="AM267" s="76"/>
      <c r="AN267" s="76"/>
      <c r="AO267" s="76"/>
      <c r="AP267" s="76"/>
      <c r="AQ267" s="76"/>
      <c r="AR267" s="76"/>
      <c r="AS267" s="76"/>
      <c r="AT267" s="76"/>
      <c r="AU267" s="76"/>
      <c r="AV267" s="76"/>
      <c r="AW267" s="76"/>
      <c r="AX267" s="76"/>
      <c r="AY267" s="76"/>
      <c r="AZ267" s="76"/>
      <c r="BA267" s="76"/>
      <c r="BB267" s="76"/>
    </row>
    <row r="268" spans="5:54" x14ac:dyDescent="0.35">
      <c r="E268" s="83"/>
      <c r="F268" s="83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6"/>
      <c r="AC268" s="76"/>
      <c r="AD268" s="76"/>
      <c r="AE268" s="76"/>
      <c r="AF268" s="76"/>
      <c r="AG268" s="76"/>
      <c r="AH268" s="76"/>
      <c r="AI268" s="76"/>
      <c r="AJ268" s="76"/>
      <c r="AK268" s="76"/>
      <c r="AL268" s="76"/>
      <c r="AM268" s="76"/>
      <c r="AN268" s="76"/>
      <c r="AO268" s="76"/>
      <c r="AP268" s="76"/>
      <c r="AQ268" s="76"/>
      <c r="AR268" s="76"/>
      <c r="AS268" s="76"/>
      <c r="AT268" s="76"/>
      <c r="AU268" s="76"/>
      <c r="AV268" s="76"/>
      <c r="AW268" s="76"/>
      <c r="AX268" s="76"/>
      <c r="AY268" s="76"/>
      <c r="AZ268" s="76"/>
      <c r="BA268" s="76"/>
      <c r="BB268" s="76"/>
    </row>
    <row r="269" spans="5:54" x14ac:dyDescent="0.35">
      <c r="E269" s="83"/>
      <c r="F269" s="83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  <c r="AF269" s="76"/>
      <c r="AG269" s="76"/>
      <c r="AH269" s="76"/>
      <c r="AI269" s="76"/>
      <c r="AJ269" s="76"/>
      <c r="AK269" s="76"/>
      <c r="AL269" s="76"/>
      <c r="AM269" s="76"/>
      <c r="AN269" s="76"/>
      <c r="AO269" s="76"/>
      <c r="AP269" s="76"/>
      <c r="AQ269" s="76"/>
      <c r="AR269" s="76"/>
      <c r="AS269" s="76"/>
      <c r="AT269" s="76"/>
      <c r="AU269" s="76"/>
      <c r="AV269" s="76"/>
      <c r="AW269" s="76"/>
      <c r="AX269" s="76"/>
      <c r="AY269" s="76"/>
      <c r="AZ269" s="76"/>
      <c r="BA269" s="76"/>
      <c r="BB269" s="76"/>
    </row>
    <row r="270" spans="5:54" x14ac:dyDescent="0.35">
      <c r="E270" s="83"/>
      <c r="F270" s="83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6"/>
      <c r="AC270" s="76"/>
      <c r="AD270" s="76"/>
      <c r="AE270" s="76"/>
      <c r="AF270" s="76"/>
      <c r="AG270" s="76"/>
      <c r="AH270" s="76"/>
      <c r="AI270" s="76"/>
      <c r="AJ270" s="76"/>
      <c r="AK270" s="76"/>
      <c r="AL270" s="76"/>
      <c r="AM270" s="76"/>
      <c r="AN270" s="76"/>
      <c r="AO270" s="76"/>
      <c r="AP270" s="76"/>
      <c r="AQ270" s="76"/>
      <c r="AR270" s="76"/>
      <c r="AS270" s="76"/>
      <c r="AT270" s="76"/>
      <c r="AU270" s="76"/>
      <c r="AV270" s="76"/>
      <c r="AW270" s="76"/>
      <c r="AX270" s="76"/>
      <c r="AY270" s="76"/>
      <c r="AZ270" s="76"/>
      <c r="BA270" s="76"/>
      <c r="BB270" s="76"/>
    </row>
    <row r="271" spans="5:54" x14ac:dyDescent="0.35">
      <c r="E271" s="83"/>
      <c r="F271" s="83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6"/>
      <c r="AC271" s="76"/>
      <c r="AD271" s="76"/>
      <c r="AE271" s="76"/>
      <c r="AF271" s="76"/>
      <c r="AG271" s="76"/>
      <c r="AH271" s="76"/>
      <c r="AI271" s="76"/>
      <c r="AJ271" s="76"/>
      <c r="AK271" s="76"/>
      <c r="AL271" s="76"/>
      <c r="AM271" s="76"/>
      <c r="AN271" s="76"/>
      <c r="AO271" s="76"/>
      <c r="AP271" s="76"/>
      <c r="AQ271" s="76"/>
      <c r="AR271" s="76"/>
      <c r="AS271" s="76"/>
      <c r="AT271" s="76"/>
      <c r="AU271" s="76"/>
      <c r="AV271" s="76"/>
      <c r="AW271" s="76"/>
      <c r="AX271" s="76"/>
      <c r="AY271" s="76"/>
      <c r="AZ271" s="76"/>
      <c r="BA271" s="76"/>
      <c r="BB271" s="76"/>
    </row>
    <row r="272" spans="5:54" x14ac:dyDescent="0.35">
      <c r="E272" s="83"/>
      <c r="F272" s="83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6"/>
      <c r="AC272" s="76"/>
      <c r="AD272" s="76"/>
      <c r="AE272" s="76"/>
      <c r="AF272" s="76"/>
      <c r="AG272" s="76"/>
      <c r="AH272" s="76"/>
      <c r="AI272" s="76"/>
      <c r="AJ272" s="76"/>
      <c r="AK272" s="76"/>
      <c r="AL272" s="76"/>
      <c r="AM272" s="76"/>
      <c r="AN272" s="76"/>
      <c r="AO272" s="76"/>
      <c r="AP272" s="76"/>
      <c r="AQ272" s="76"/>
      <c r="AR272" s="76"/>
      <c r="AS272" s="76"/>
      <c r="AT272" s="76"/>
      <c r="AU272" s="76"/>
      <c r="AV272" s="76"/>
      <c r="AW272" s="76"/>
      <c r="AX272" s="76"/>
      <c r="AY272" s="76"/>
      <c r="AZ272" s="76"/>
      <c r="BA272" s="76"/>
      <c r="BB272" s="76"/>
    </row>
    <row r="273" spans="5:54" x14ac:dyDescent="0.35">
      <c r="E273" s="83"/>
      <c r="F273" s="83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76"/>
      <c r="AC273" s="76"/>
      <c r="AD273" s="76"/>
      <c r="AE273" s="76"/>
      <c r="AF273" s="76"/>
      <c r="AG273" s="76"/>
      <c r="AH273" s="76"/>
      <c r="AI273" s="76"/>
      <c r="AJ273" s="76"/>
      <c r="AK273" s="76"/>
      <c r="AL273" s="76"/>
      <c r="AM273" s="76"/>
      <c r="AN273" s="76"/>
      <c r="AO273" s="76"/>
      <c r="AP273" s="76"/>
      <c r="AQ273" s="76"/>
      <c r="AR273" s="76"/>
      <c r="AS273" s="76"/>
      <c r="AT273" s="76"/>
      <c r="AU273" s="76"/>
      <c r="AV273" s="76"/>
      <c r="AW273" s="76"/>
      <c r="AX273" s="76"/>
      <c r="AY273" s="76"/>
      <c r="AZ273" s="76"/>
      <c r="BA273" s="76"/>
      <c r="BB273" s="76"/>
    </row>
    <row r="274" spans="5:54" x14ac:dyDescent="0.35">
      <c r="E274" s="83"/>
      <c r="F274" s="83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6"/>
      <c r="AC274" s="76"/>
      <c r="AD274" s="76"/>
      <c r="AE274" s="76"/>
      <c r="AF274" s="76"/>
      <c r="AG274" s="76"/>
      <c r="AH274" s="76"/>
      <c r="AI274" s="76"/>
      <c r="AJ274" s="76"/>
      <c r="AK274" s="76"/>
      <c r="AL274" s="76"/>
      <c r="AM274" s="76"/>
      <c r="AN274" s="76"/>
      <c r="AO274" s="76"/>
      <c r="AP274" s="76"/>
      <c r="AQ274" s="76"/>
      <c r="AR274" s="76"/>
      <c r="AS274" s="76"/>
      <c r="AT274" s="76"/>
      <c r="AU274" s="76"/>
      <c r="AV274" s="76"/>
      <c r="AW274" s="76"/>
      <c r="AX274" s="76"/>
      <c r="AY274" s="76"/>
      <c r="AZ274" s="76"/>
      <c r="BA274" s="76"/>
      <c r="BB274" s="76"/>
    </row>
    <row r="275" spans="5:54" x14ac:dyDescent="0.35">
      <c r="E275" s="83"/>
      <c r="F275" s="83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  <c r="Z275" s="76"/>
      <c r="AA275" s="76"/>
      <c r="AB275" s="76"/>
      <c r="AC275" s="76"/>
      <c r="AD275" s="76"/>
      <c r="AE275" s="76"/>
      <c r="AF275" s="76"/>
      <c r="AG275" s="76"/>
      <c r="AH275" s="76"/>
      <c r="AI275" s="76"/>
      <c r="AJ275" s="76"/>
      <c r="AK275" s="76"/>
      <c r="AL275" s="76"/>
      <c r="AM275" s="76"/>
      <c r="AN275" s="76"/>
      <c r="AO275" s="76"/>
      <c r="AP275" s="76"/>
      <c r="AQ275" s="76"/>
      <c r="AR275" s="76"/>
      <c r="AS275" s="76"/>
      <c r="AT275" s="76"/>
      <c r="AU275" s="76"/>
      <c r="AV275" s="76"/>
      <c r="AW275" s="76"/>
      <c r="AX275" s="76"/>
      <c r="AY275" s="76"/>
      <c r="AZ275" s="76"/>
      <c r="BA275" s="76"/>
      <c r="BB275" s="76"/>
    </row>
    <row r="276" spans="5:54" x14ac:dyDescent="0.35">
      <c r="E276" s="83"/>
      <c r="F276" s="83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  <c r="Z276" s="76"/>
      <c r="AA276" s="76"/>
      <c r="AB276" s="76"/>
      <c r="AC276" s="76"/>
      <c r="AD276" s="76"/>
      <c r="AE276" s="76"/>
      <c r="AF276" s="76"/>
      <c r="AG276" s="76"/>
      <c r="AH276" s="76"/>
      <c r="AI276" s="76"/>
      <c r="AJ276" s="76"/>
      <c r="AK276" s="76"/>
      <c r="AL276" s="76"/>
      <c r="AM276" s="76"/>
      <c r="AN276" s="76"/>
      <c r="AO276" s="76"/>
      <c r="AP276" s="76"/>
      <c r="AQ276" s="76"/>
      <c r="AR276" s="76"/>
      <c r="AS276" s="76"/>
      <c r="AT276" s="76"/>
      <c r="AU276" s="76"/>
      <c r="AV276" s="76"/>
      <c r="AW276" s="76"/>
      <c r="AX276" s="76"/>
      <c r="AY276" s="76"/>
      <c r="AZ276" s="76"/>
      <c r="BA276" s="76"/>
      <c r="BB276" s="76"/>
    </row>
    <row r="277" spans="5:54" x14ac:dyDescent="0.35">
      <c r="E277" s="83"/>
      <c r="F277" s="83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  <c r="Z277" s="76"/>
      <c r="AA277" s="76"/>
      <c r="AB277" s="76"/>
      <c r="AC277" s="76"/>
      <c r="AD277" s="76"/>
      <c r="AE277" s="76"/>
      <c r="AF277" s="76"/>
      <c r="AG277" s="76"/>
      <c r="AH277" s="76"/>
      <c r="AI277" s="76"/>
      <c r="AJ277" s="76"/>
      <c r="AK277" s="76"/>
      <c r="AL277" s="76"/>
      <c r="AM277" s="76"/>
      <c r="AN277" s="76"/>
      <c r="AO277" s="76"/>
      <c r="AP277" s="76"/>
      <c r="AQ277" s="76"/>
      <c r="AR277" s="76"/>
      <c r="AS277" s="76"/>
      <c r="AT277" s="76"/>
      <c r="AU277" s="76"/>
      <c r="AV277" s="76"/>
      <c r="AW277" s="76"/>
      <c r="AX277" s="76"/>
      <c r="AY277" s="76"/>
      <c r="AZ277" s="76"/>
      <c r="BA277" s="76"/>
      <c r="BB277" s="76"/>
    </row>
    <row r="278" spans="5:54" x14ac:dyDescent="0.35">
      <c r="E278" s="83"/>
      <c r="F278" s="83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6"/>
      <c r="AC278" s="76"/>
      <c r="AD278" s="76"/>
      <c r="AE278" s="76"/>
      <c r="AF278" s="76"/>
      <c r="AG278" s="76"/>
      <c r="AH278" s="76"/>
      <c r="AI278" s="76"/>
      <c r="AJ278" s="76"/>
      <c r="AK278" s="76"/>
      <c r="AL278" s="76"/>
      <c r="AM278" s="76"/>
      <c r="AN278" s="76"/>
      <c r="AO278" s="76"/>
      <c r="AP278" s="76"/>
      <c r="AQ278" s="76"/>
      <c r="AR278" s="76"/>
      <c r="AS278" s="76"/>
      <c r="AT278" s="76"/>
      <c r="AU278" s="76"/>
      <c r="AV278" s="76"/>
      <c r="AW278" s="76"/>
      <c r="AX278" s="76"/>
      <c r="AY278" s="76"/>
      <c r="AZ278" s="76"/>
      <c r="BA278" s="76"/>
      <c r="BB278" s="76"/>
    </row>
    <row r="279" spans="5:54" x14ac:dyDescent="0.35">
      <c r="E279" s="83"/>
      <c r="F279" s="83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6"/>
      <c r="AC279" s="76"/>
      <c r="AD279" s="76"/>
      <c r="AE279" s="76"/>
      <c r="AF279" s="76"/>
      <c r="AG279" s="76"/>
      <c r="AH279" s="76"/>
      <c r="AI279" s="76"/>
      <c r="AJ279" s="76"/>
      <c r="AK279" s="76"/>
      <c r="AL279" s="76"/>
      <c r="AM279" s="76"/>
      <c r="AN279" s="76"/>
      <c r="AO279" s="76"/>
      <c r="AP279" s="76"/>
      <c r="AQ279" s="76"/>
      <c r="AR279" s="76"/>
      <c r="AS279" s="76"/>
      <c r="AT279" s="76"/>
      <c r="AU279" s="76"/>
      <c r="AV279" s="76"/>
      <c r="AW279" s="76"/>
      <c r="AX279" s="76"/>
      <c r="AY279" s="76"/>
      <c r="AZ279" s="76"/>
      <c r="BA279" s="76"/>
      <c r="BB279" s="76"/>
    </row>
    <row r="280" spans="5:54" x14ac:dyDescent="0.35">
      <c r="E280" s="83"/>
      <c r="F280" s="83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  <c r="Z280" s="76"/>
      <c r="AA280" s="76"/>
      <c r="AB280" s="76"/>
      <c r="AC280" s="76"/>
      <c r="AD280" s="76"/>
      <c r="AE280" s="76"/>
      <c r="AF280" s="76"/>
      <c r="AG280" s="76"/>
      <c r="AH280" s="76"/>
      <c r="AI280" s="76"/>
      <c r="AJ280" s="76"/>
      <c r="AK280" s="76"/>
      <c r="AL280" s="76"/>
      <c r="AM280" s="76"/>
      <c r="AN280" s="76"/>
      <c r="AO280" s="76"/>
      <c r="AP280" s="76"/>
      <c r="AQ280" s="76"/>
      <c r="AR280" s="76"/>
      <c r="AS280" s="76"/>
      <c r="AT280" s="76"/>
      <c r="AU280" s="76"/>
      <c r="AV280" s="76"/>
      <c r="AW280" s="76"/>
      <c r="AX280" s="76"/>
      <c r="AY280" s="76"/>
      <c r="AZ280" s="76"/>
      <c r="BA280" s="76"/>
      <c r="BB280" s="76"/>
    </row>
    <row r="281" spans="5:54" x14ac:dyDescent="0.35">
      <c r="E281" s="83"/>
      <c r="F281" s="83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  <c r="Z281" s="76"/>
      <c r="AA281" s="76"/>
      <c r="AB281" s="76"/>
      <c r="AC281" s="76"/>
      <c r="AD281" s="76"/>
      <c r="AE281" s="76"/>
      <c r="AF281" s="76"/>
      <c r="AG281" s="76"/>
      <c r="AH281" s="76"/>
      <c r="AI281" s="76"/>
      <c r="AJ281" s="76"/>
      <c r="AK281" s="76"/>
      <c r="AL281" s="76"/>
      <c r="AM281" s="76"/>
      <c r="AN281" s="76"/>
      <c r="AO281" s="76"/>
      <c r="AP281" s="76"/>
      <c r="AQ281" s="76"/>
      <c r="AR281" s="76"/>
      <c r="AS281" s="76"/>
      <c r="AT281" s="76"/>
      <c r="AU281" s="76"/>
      <c r="AV281" s="76"/>
      <c r="AW281" s="76"/>
      <c r="AX281" s="76"/>
      <c r="AY281" s="76"/>
      <c r="AZ281" s="76"/>
      <c r="BA281" s="76"/>
      <c r="BB281" s="76"/>
    </row>
    <row r="282" spans="5:54" x14ac:dyDescent="0.35">
      <c r="E282" s="83"/>
      <c r="F282" s="83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  <c r="Z282" s="76"/>
      <c r="AA282" s="76"/>
      <c r="AB282" s="76"/>
      <c r="AC282" s="76"/>
      <c r="AD282" s="76"/>
      <c r="AE282" s="76"/>
      <c r="AF282" s="76"/>
      <c r="AG282" s="76"/>
      <c r="AH282" s="76"/>
      <c r="AI282" s="76"/>
      <c r="AJ282" s="76"/>
      <c r="AK282" s="76"/>
      <c r="AL282" s="76"/>
      <c r="AM282" s="76"/>
      <c r="AN282" s="76"/>
      <c r="AO282" s="76"/>
      <c r="AP282" s="76"/>
      <c r="AQ282" s="76"/>
      <c r="AR282" s="76"/>
      <c r="AS282" s="76"/>
      <c r="AT282" s="76"/>
      <c r="AU282" s="76"/>
      <c r="AV282" s="76"/>
      <c r="AW282" s="76"/>
      <c r="AX282" s="76"/>
      <c r="AY282" s="76"/>
      <c r="AZ282" s="76"/>
      <c r="BA282" s="76"/>
      <c r="BB282" s="76"/>
    </row>
    <row r="283" spans="5:54" x14ac:dyDescent="0.35">
      <c r="E283" s="83"/>
      <c r="F283" s="83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  <c r="AA283" s="76"/>
      <c r="AB283" s="76"/>
      <c r="AC283" s="76"/>
      <c r="AD283" s="76"/>
      <c r="AE283" s="76"/>
      <c r="AF283" s="76"/>
      <c r="AG283" s="76"/>
      <c r="AH283" s="76"/>
      <c r="AI283" s="76"/>
      <c r="AJ283" s="76"/>
      <c r="AK283" s="76"/>
      <c r="AL283" s="76"/>
      <c r="AM283" s="76"/>
      <c r="AN283" s="76"/>
      <c r="AO283" s="76"/>
      <c r="AP283" s="76"/>
      <c r="AQ283" s="76"/>
      <c r="AR283" s="76"/>
      <c r="AS283" s="76"/>
      <c r="AT283" s="76"/>
      <c r="AU283" s="76"/>
      <c r="AV283" s="76"/>
      <c r="AW283" s="76"/>
      <c r="AX283" s="76"/>
      <c r="AY283" s="76"/>
      <c r="AZ283" s="76"/>
      <c r="BA283" s="76"/>
      <c r="BB283" s="76"/>
    </row>
    <row r="284" spans="5:54" x14ac:dyDescent="0.35">
      <c r="E284" s="83"/>
      <c r="F284" s="83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  <c r="Z284" s="76"/>
      <c r="AA284" s="76"/>
      <c r="AB284" s="76"/>
      <c r="AC284" s="76"/>
      <c r="AD284" s="76"/>
      <c r="AE284" s="76"/>
      <c r="AF284" s="76"/>
      <c r="AG284" s="76"/>
      <c r="AH284" s="76"/>
      <c r="AI284" s="76"/>
      <c r="AJ284" s="76"/>
      <c r="AK284" s="76"/>
      <c r="AL284" s="76"/>
      <c r="AM284" s="76"/>
      <c r="AN284" s="76"/>
      <c r="AO284" s="76"/>
      <c r="AP284" s="76"/>
      <c r="AQ284" s="76"/>
      <c r="AR284" s="76"/>
      <c r="AS284" s="76"/>
      <c r="AT284" s="76"/>
      <c r="AU284" s="76"/>
      <c r="AV284" s="76"/>
      <c r="AW284" s="76"/>
      <c r="AX284" s="76"/>
      <c r="AY284" s="76"/>
      <c r="AZ284" s="76"/>
      <c r="BA284" s="76"/>
      <c r="BB284" s="76"/>
    </row>
    <row r="285" spans="5:54" x14ac:dyDescent="0.35">
      <c r="E285" s="83"/>
      <c r="F285" s="83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  <c r="Z285" s="76"/>
      <c r="AA285" s="76"/>
      <c r="AB285" s="76"/>
      <c r="AC285" s="76"/>
      <c r="AD285" s="76"/>
      <c r="AE285" s="76"/>
      <c r="AF285" s="76"/>
      <c r="AG285" s="76"/>
      <c r="AH285" s="76"/>
      <c r="AI285" s="76"/>
      <c r="AJ285" s="76"/>
      <c r="AK285" s="76"/>
      <c r="AL285" s="76"/>
      <c r="AM285" s="76"/>
      <c r="AN285" s="76"/>
      <c r="AO285" s="76"/>
      <c r="AP285" s="76"/>
      <c r="AQ285" s="76"/>
      <c r="AR285" s="76"/>
      <c r="AS285" s="76"/>
      <c r="AT285" s="76"/>
      <c r="AU285" s="76"/>
      <c r="AV285" s="76"/>
      <c r="AW285" s="76"/>
      <c r="AX285" s="76"/>
      <c r="AY285" s="76"/>
      <c r="AZ285" s="76"/>
      <c r="BA285" s="76"/>
      <c r="BB285" s="76"/>
    </row>
    <row r="286" spans="5:54" x14ac:dyDescent="0.35">
      <c r="E286" s="83"/>
      <c r="F286" s="83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  <c r="Z286" s="76"/>
      <c r="AA286" s="76"/>
      <c r="AB286" s="76"/>
      <c r="AC286" s="76"/>
      <c r="AD286" s="76"/>
      <c r="AE286" s="76"/>
      <c r="AF286" s="76"/>
      <c r="AG286" s="76"/>
      <c r="AH286" s="76"/>
      <c r="AI286" s="76"/>
      <c r="AJ286" s="76"/>
      <c r="AK286" s="76"/>
      <c r="AL286" s="76"/>
      <c r="AM286" s="76"/>
      <c r="AN286" s="76"/>
      <c r="AO286" s="76"/>
      <c r="AP286" s="76"/>
      <c r="AQ286" s="76"/>
      <c r="AR286" s="76"/>
      <c r="AS286" s="76"/>
      <c r="AT286" s="76"/>
      <c r="AU286" s="76"/>
      <c r="AV286" s="76"/>
      <c r="AW286" s="76"/>
      <c r="AX286" s="76"/>
      <c r="AY286" s="76"/>
      <c r="AZ286" s="76"/>
      <c r="BA286" s="76"/>
      <c r="BB286" s="76"/>
    </row>
    <row r="287" spans="5:54" x14ac:dyDescent="0.35">
      <c r="E287" s="83"/>
      <c r="F287" s="83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  <c r="Z287" s="76"/>
      <c r="AA287" s="76"/>
      <c r="AB287" s="76"/>
      <c r="AC287" s="76"/>
      <c r="AD287" s="76"/>
      <c r="AE287" s="76"/>
      <c r="AF287" s="76"/>
      <c r="AG287" s="76"/>
      <c r="AH287" s="76"/>
      <c r="AI287" s="76"/>
      <c r="AJ287" s="76"/>
      <c r="AK287" s="76"/>
      <c r="AL287" s="76"/>
      <c r="AM287" s="76"/>
      <c r="AN287" s="76"/>
      <c r="AO287" s="76"/>
      <c r="AP287" s="76"/>
      <c r="AQ287" s="76"/>
      <c r="AR287" s="76"/>
      <c r="AS287" s="76"/>
      <c r="AT287" s="76"/>
      <c r="AU287" s="76"/>
      <c r="AV287" s="76"/>
      <c r="AW287" s="76"/>
      <c r="AX287" s="76"/>
      <c r="AY287" s="76"/>
      <c r="AZ287" s="76"/>
      <c r="BA287" s="76"/>
      <c r="BB287" s="76"/>
    </row>
    <row r="288" spans="5:54" x14ac:dyDescent="0.35">
      <c r="E288" s="83"/>
      <c r="F288" s="83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  <c r="Z288" s="76"/>
      <c r="AA288" s="76"/>
      <c r="AB288" s="76"/>
      <c r="AC288" s="76"/>
      <c r="AD288" s="76"/>
      <c r="AE288" s="76"/>
      <c r="AF288" s="76"/>
      <c r="AG288" s="76"/>
      <c r="AH288" s="76"/>
      <c r="AI288" s="76"/>
      <c r="AJ288" s="76"/>
      <c r="AK288" s="76"/>
      <c r="AL288" s="76"/>
      <c r="AM288" s="76"/>
      <c r="AN288" s="76"/>
      <c r="AO288" s="76"/>
      <c r="AP288" s="76"/>
      <c r="AQ288" s="76"/>
      <c r="AR288" s="76"/>
      <c r="AS288" s="76"/>
      <c r="AT288" s="76"/>
      <c r="AU288" s="76"/>
      <c r="AV288" s="76"/>
      <c r="AW288" s="76"/>
      <c r="AX288" s="76"/>
      <c r="AY288" s="76"/>
      <c r="AZ288" s="76"/>
      <c r="BA288" s="76"/>
      <c r="BB288" s="76"/>
    </row>
    <row r="289" spans="5:54" x14ac:dyDescent="0.35">
      <c r="E289" s="83"/>
      <c r="F289" s="83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  <c r="Z289" s="76"/>
      <c r="AA289" s="76"/>
      <c r="AB289" s="76"/>
      <c r="AC289" s="76"/>
      <c r="AD289" s="76"/>
      <c r="AE289" s="76"/>
      <c r="AF289" s="76"/>
      <c r="AG289" s="76"/>
      <c r="AH289" s="76"/>
      <c r="AI289" s="76"/>
      <c r="AJ289" s="76"/>
      <c r="AK289" s="76"/>
      <c r="AL289" s="76"/>
      <c r="AM289" s="76"/>
      <c r="AN289" s="76"/>
      <c r="AO289" s="76"/>
      <c r="AP289" s="76"/>
      <c r="AQ289" s="76"/>
      <c r="AR289" s="76"/>
      <c r="AS289" s="76"/>
      <c r="AT289" s="76"/>
      <c r="AU289" s="76"/>
      <c r="AV289" s="76"/>
      <c r="AW289" s="76"/>
      <c r="AX289" s="76"/>
      <c r="AY289" s="76"/>
      <c r="AZ289" s="76"/>
      <c r="BA289" s="76"/>
      <c r="BB289" s="76"/>
    </row>
    <row r="290" spans="5:54" x14ac:dyDescent="0.35">
      <c r="E290" s="83"/>
      <c r="F290" s="83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6"/>
      <c r="AC290" s="76"/>
      <c r="AD290" s="76"/>
      <c r="AE290" s="76"/>
      <c r="AF290" s="76"/>
      <c r="AG290" s="76"/>
      <c r="AH290" s="76"/>
      <c r="AI290" s="76"/>
      <c r="AJ290" s="76"/>
      <c r="AK290" s="76"/>
      <c r="AL290" s="76"/>
      <c r="AM290" s="76"/>
      <c r="AN290" s="76"/>
      <c r="AO290" s="76"/>
      <c r="AP290" s="76"/>
      <c r="AQ290" s="76"/>
      <c r="AR290" s="76"/>
      <c r="AS290" s="76"/>
      <c r="AT290" s="76"/>
      <c r="AU290" s="76"/>
      <c r="AV290" s="76"/>
      <c r="AW290" s="76"/>
      <c r="AX290" s="76"/>
      <c r="AY290" s="76"/>
      <c r="AZ290" s="76"/>
      <c r="BA290" s="76"/>
      <c r="BB290" s="76"/>
    </row>
    <row r="291" spans="5:54" x14ac:dyDescent="0.35">
      <c r="E291" s="83"/>
      <c r="F291" s="83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6"/>
      <c r="AC291" s="76"/>
      <c r="AD291" s="76"/>
      <c r="AE291" s="76"/>
      <c r="AF291" s="76"/>
      <c r="AG291" s="76"/>
      <c r="AH291" s="76"/>
      <c r="AI291" s="76"/>
      <c r="AJ291" s="76"/>
      <c r="AK291" s="76"/>
      <c r="AL291" s="76"/>
      <c r="AM291" s="76"/>
      <c r="AN291" s="76"/>
      <c r="AO291" s="76"/>
      <c r="AP291" s="76"/>
      <c r="AQ291" s="76"/>
      <c r="AR291" s="76"/>
      <c r="AS291" s="76"/>
      <c r="AT291" s="76"/>
      <c r="AU291" s="76"/>
      <c r="AV291" s="76"/>
      <c r="AW291" s="76"/>
      <c r="AX291" s="76"/>
      <c r="AY291" s="76"/>
      <c r="AZ291" s="76"/>
      <c r="BA291" s="76"/>
      <c r="BB291" s="76"/>
    </row>
    <row r="292" spans="5:54" x14ac:dyDescent="0.35">
      <c r="E292" s="83"/>
      <c r="F292" s="83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  <c r="Z292" s="76"/>
      <c r="AA292" s="76"/>
      <c r="AB292" s="76"/>
      <c r="AC292" s="76"/>
      <c r="AD292" s="76"/>
      <c r="AE292" s="76"/>
      <c r="AF292" s="76"/>
      <c r="AG292" s="76"/>
      <c r="AH292" s="76"/>
      <c r="AI292" s="76"/>
      <c r="AJ292" s="76"/>
      <c r="AK292" s="76"/>
      <c r="AL292" s="76"/>
      <c r="AM292" s="76"/>
      <c r="AN292" s="76"/>
      <c r="AO292" s="76"/>
      <c r="AP292" s="76"/>
      <c r="AQ292" s="76"/>
      <c r="AR292" s="76"/>
      <c r="AS292" s="76"/>
      <c r="AT292" s="76"/>
      <c r="AU292" s="76"/>
      <c r="AV292" s="76"/>
      <c r="AW292" s="76"/>
      <c r="AX292" s="76"/>
      <c r="AY292" s="76"/>
      <c r="AZ292" s="76"/>
      <c r="BA292" s="76"/>
      <c r="BB292" s="76"/>
    </row>
    <row r="293" spans="5:54" x14ac:dyDescent="0.35">
      <c r="E293" s="83"/>
      <c r="F293" s="83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6"/>
      <c r="AC293" s="76"/>
      <c r="AD293" s="76"/>
      <c r="AE293" s="76"/>
      <c r="AF293" s="76"/>
      <c r="AG293" s="76"/>
      <c r="AH293" s="76"/>
      <c r="AI293" s="76"/>
      <c r="AJ293" s="76"/>
      <c r="AK293" s="76"/>
      <c r="AL293" s="76"/>
      <c r="AM293" s="76"/>
      <c r="AN293" s="76"/>
      <c r="AO293" s="76"/>
      <c r="AP293" s="76"/>
      <c r="AQ293" s="76"/>
      <c r="AR293" s="76"/>
      <c r="AS293" s="76"/>
      <c r="AT293" s="76"/>
      <c r="AU293" s="76"/>
      <c r="AV293" s="76"/>
      <c r="AW293" s="76"/>
      <c r="AX293" s="76"/>
      <c r="AY293" s="76"/>
      <c r="AZ293" s="76"/>
      <c r="BA293" s="76"/>
      <c r="BB293" s="76"/>
    </row>
    <row r="294" spans="5:54" x14ac:dyDescent="0.35">
      <c r="E294" s="83"/>
      <c r="F294" s="83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6"/>
      <c r="AC294" s="76"/>
      <c r="AD294" s="76"/>
      <c r="AE294" s="76"/>
      <c r="AF294" s="76"/>
      <c r="AG294" s="76"/>
      <c r="AH294" s="76"/>
      <c r="AI294" s="76"/>
      <c r="AJ294" s="76"/>
      <c r="AK294" s="76"/>
      <c r="AL294" s="76"/>
      <c r="AM294" s="76"/>
      <c r="AN294" s="76"/>
      <c r="AO294" s="76"/>
      <c r="AP294" s="76"/>
      <c r="AQ294" s="76"/>
      <c r="AR294" s="76"/>
      <c r="AS294" s="76"/>
      <c r="AT294" s="76"/>
      <c r="AU294" s="76"/>
      <c r="AV294" s="76"/>
      <c r="AW294" s="76"/>
      <c r="AX294" s="76"/>
      <c r="AY294" s="76"/>
      <c r="AZ294" s="76"/>
      <c r="BA294" s="76"/>
      <c r="BB294" s="76"/>
    </row>
    <row r="295" spans="5:54" x14ac:dyDescent="0.35">
      <c r="E295" s="83"/>
      <c r="F295" s="83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6"/>
      <c r="AC295" s="76"/>
      <c r="AD295" s="76"/>
      <c r="AE295" s="76"/>
      <c r="AF295" s="76"/>
      <c r="AG295" s="76"/>
      <c r="AH295" s="76"/>
      <c r="AI295" s="76"/>
      <c r="AJ295" s="76"/>
      <c r="AK295" s="76"/>
      <c r="AL295" s="76"/>
      <c r="AM295" s="76"/>
      <c r="AN295" s="76"/>
      <c r="AO295" s="76"/>
      <c r="AP295" s="76"/>
      <c r="AQ295" s="76"/>
      <c r="AR295" s="76"/>
      <c r="AS295" s="76"/>
      <c r="AT295" s="76"/>
      <c r="AU295" s="76"/>
      <c r="AV295" s="76"/>
      <c r="AW295" s="76"/>
      <c r="AX295" s="76"/>
      <c r="AY295" s="76"/>
      <c r="AZ295" s="76"/>
      <c r="BA295" s="76"/>
      <c r="BB295" s="76"/>
    </row>
    <row r="296" spans="5:54" x14ac:dyDescent="0.35">
      <c r="E296" s="83"/>
      <c r="F296" s="83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  <c r="Z296" s="76"/>
      <c r="AA296" s="76"/>
      <c r="AB296" s="76"/>
      <c r="AC296" s="76"/>
      <c r="AD296" s="76"/>
      <c r="AE296" s="76"/>
      <c r="AF296" s="76"/>
      <c r="AG296" s="76"/>
      <c r="AH296" s="76"/>
      <c r="AI296" s="76"/>
      <c r="AJ296" s="76"/>
      <c r="AK296" s="76"/>
      <c r="AL296" s="76"/>
      <c r="AM296" s="76"/>
      <c r="AN296" s="76"/>
      <c r="AO296" s="76"/>
      <c r="AP296" s="76"/>
      <c r="AQ296" s="76"/>
      <c r="AR296" s="76"/>
      <c r="AS296" s="76"/>
      <c r="AT296" s="76"/>
      <c r="AU296" s="76"/>
      <c r="AV296" s="76"/>
      <c r="AW296" s="76"/>
      <c r="AX296" s="76"/>
      <c r="AY296" s="76"/>
      <c r="AZ296" s="76"/>
      <c r="BA296" s="76"/>
      <c r="BB296" s="76"/>
    </row>
    <row r="297" spans="5:54" x14ac:dyDescent="0.35">
      <c r="E297" s="83"/>
      <c r="F297" s="83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  <c r="Z297" s="76"/>
      <c r="AA297" s="76"/>
      <c r="AB297" s="76"/>
      <c r="AC297" s="76"/>
      <c r="AD297" s="76"/>
      <c r="AE297" s="76"/>
      <c r="AF297" s="76"/>
      <c r="AG297" s="76"/>
      <c r="AH297" s="76"/>
      <c r="AI297" s="76"/>
      <c r="AJ297" s="76"/>
      <c r="AK297" s="76"/>
      <c r="AL297" s="76"/>
      <c r="AM297" s="76"/>
      <c r="AN297" s="76"/>
      <c r="AO297" s="76"/>
      <c r="AP297" s="76"/>
      <c r="AQ297" s="76"/>
      <c r="AR297" s="76"/>
      <c r="AS297" s="76"/>
      <c r="AT297" s="76"/>
      <c r="AU297" s="76"/>
      <c r="AV297" s="76"/>
      <c r="AW297" s="76"/>
      <c r="AX297" s="76"/>
      <c r="AY297" s="76"/>
      <c r="AZ297" s="76"/>
      <c r="BA297" s="76"/>
      <c r="BB297" s="76"/>
    </row>
    <row r="298" spans="5:54" x14ac:dyDescent="0.35">
      <c r="E298" s="83"/>
      <c r="F298" s="83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  <c r="Z298" s="76"/>
      <c r="AA298" s="76"/>
      <c r="AB298" s="76"/>
      <c r="AC298" s="76"/>
      <c r="AD298" s="76"/>
      <c r="AE298" s="76"/>
      <c r="AF298" s="76"/>
      <c r="AG298" s="76"/>
      <c r="AH298" s="76"/>
      <c r="AI298" s="76"/>
      <c r="AJ298" s="76"/>
      <c r="AK298" s="76"/>
      <c r="AL298" s="76"/>
      <c r="AM298" s="76"/>
      <c r="AN298" s="76"/>
      <c r="AO298" s="76"/>
      <c r="AP298" s="76"/>
      <c r="AQ298" s="76"/>
      <c r="AR298" s="76"/>
      <c r="AS298" s="76"/>
      <c r="AT298" s="76"/>
      <c r="AU298" s="76"/>
      <c r="AV298" s="76"/>
      <c r="AW298" s="76"/>
      <c r="AX298" s="76"/>
      <c r="AY298" s="76"/>
      <c r="AZ298" s="76"/>
      <c r="BA298" s="76"/>
      <c r="BB298" s="76"/>
    </row>
    <row r="299" spans="5:54" x14ac:dyDescent="0.35">
      <c r="E299" s="83"/>
      <c r="F299" s="83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/>
      <c r="AA299" s="76"/>
      <c r="AB299" s="76"/>
      <c r="AC299" s="76"/>
      <c r="AD299" s="76"/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/>
      <c r="AP299" s="76"/>
      <c r="AQ299" s="76"/>
      <c r="AR299" s="76"/>
      <c r="AS299" s="76"/>
      <c r="AT299" s="76"/>
      <c r="AU299" s="76"/>
      <c r="AV299" s="76"/>
      <c r="AW299" s="76"/>
      <c r="AX299" s="76"/>
      <c r="AY299" s="76"/>
      <c r="AZ299" s="76"/>
      <c r="BA299" s="76"/>
      <c r="BB299" s="76"/>
    </row>
    <row r="300" spans="5:54" x14ac:dyDescent="0.35">
      <c r="E300" s="83"/>
      <c r="F300" s="83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  <c r="Z300" s="76"/>
      <c r="AA300" s="76"/>
      <c r="AB300" s="76"/>
      <c r="AC300" s="76"/>
      <c r="AD300" s="76"/>
      <c r="AE300" s="76"/>
      <c r="AF300" s="76"/>
      <c r="AG300" s="76"/>
      <c r="AH300" s="76"/>
      <c r="AI300" s="76"/>
      <c r="AJ300" s="76"/>
      <c r="AK300" s="76"/>
      <c r="AL300" s="76"/>
      <c r="AM300" s="76"/>
      <c r="AN300" s="76"/>
      <c r="AO300" s="76"/>
      <c r="AP300" s="76"/>
      <c r="AQ300" s="76"/>
      <c r="AR300" s="76"/>
      <c r="AS300" s="76"/>
      <c r="AT300" s="76"/>
      <c r="AU300" s="76"/>
      <c r="AV300" s="76"/>
      <c r="AW300" s="76"/>
      <c r="AX300" s="76"/>
      <c r="AY300" s="76"/>
      <c r="AZ300" s="76"/>
      <c r="BA300" s="76"/>
      <c r="BB300" s="76"/>
    </row>
    <row r="301" spans="5:54" x14ac:dyDescent="0.35">
      <c r="E301" s="83"/>
      <c r="F301" s="83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  <c r="Z301" s="76"/>
      <c r="AA301" s="76"/>
      <c r="AB301" s="76"/>
      <c r="AC301" s="76"/>
      <c r="AD301" s="76"/>
      <c r="AE301" s="76"/>
      <c r="AF301" s="76"/>
      <c r="AG301" s="76"/>
      <c r="AH301" s="76"/>
      <c r="AI301" s="76"/>
      <c r="AJ301" s="76"/>
      <c r="AK301" s="76"/>
      <c r="AL301" s="76"/>
      <c r="AM301" s="76"/>
      <c r="AN301" s="76"/>
      <c r="AO301" s="76"/>
      <c r="AP301" s="76"/>
      <c r="AQ301" s="76"/>
      <c r="AR301" s="76"/>
      <c r="AS301" s="76"/>
      <c r="AT301" s="76"/>
      <c r="AU301" s="76"/>
      <c r="AV301" s="76"/>
      <c r="AW301" s="76"/>
      <c r="AX301" s="76"/>
      <c r="AY301" s="76"/>
      <c r="AZ301" s="76"/>
      <c r="BA301" s="76"/>
      <c r="BB301" s="76"/>
    </row>
    <row r="302" spans="5:54" x14ac:dyDescent="0.35">
      <c r="E302" s="83"/>
      <c r="F302" s="83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  <c r="Z302" s="76"/>
      <c r="AA302" s="76"/>
      <c r="AB302" s="76"/>
      <c r="AC302" s="76"/>
      <c r="AD302" s="76"/>
      <c r="AE302" s="76"/>
      <c r="AF302" s="76"/>
      <c r="AG302" s="76"/>
      <c r="AH302" s="76"/>
      <c r="AI302" s="76"/>
      <c r="AJ302" s="76"/>
      <c r="AK302" s="76"/>
      <c r="AL302" s="76"/>
      <c r="AM302" s="76"/>
      <c r="AN302" s="76"/>
      <c r="AO302" s="76"/>
      <c r="AP302" s="76"/>
      <c r="AQ302" s="76"/>
      <c r="AR302" s="76"/>
      <c r="AS302" s="76"/>
      <c r="AT302" s="76"/>
      <c r="AU302" s="76"/>
      <c r="AV302" s="76"/>
      <c r="AW302" s="76"/>
      <c r="AX302" s="76"/>
      <c r="AY302" s="76"/>
      <c r="AZ302" s="76"/>
      <c r="BA302" s="76"/>
      <c r="BB302" s="76"/>
    </row>
    <row r="303" spans="5:54" x14ac:dyDescent="0.35">
      <c r="E303" s="83"/>
      <c r="F303" s="83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/>
      <c r="AC303" s="76"/>
      <c r="AD303" s="76"/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/>
      <c r="AS303" s="76"/>
      <c r="AT303" s="76"/>
      <c r="AU303" s="76"/>
      <c r="AV303" s="76"/>
      <c r="AW303" s="76"/>
      <c r="AX303" s="76"/>
      <c r="AY303" s="76"/>
      <c r="AZ303" s="76"/>
      <c r="BA303" s="76"/>
      <c r="BB303" s="76"/>
    </row>
    <row r="304" spans="5:54" x14ac:dyDescent="0.35">
      <c r="E304" s="83"/>
      <c r="F304" s="83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/>
      <c r="AC304" s="76"/>
      <c r="AD304" s="76"/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  <c r="AW304" s="76"/>
      <c r="AX304" s="76"/>
      <c r="AY304" s="76"/>
      <c r="AZ304" s="76"/>
      <c r="BA304" s="76"/>
      <c r="BB304" s="76"/>
    </row>
    <row r="305" spans="5:54" x14ac:dyDescent="0.35">
      <c r="E305" s="83"/>
      <c r="F305" s="83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6"/>
      <c r="AC305" s="76"/>
      <c r="AD305" s="76"/>
      <c r="AE305" s="76"/>
      <c r="AF305" s="76"/>
      <c r="AG305" s="76"/>
      <c r="AH305" s="76"/>
      <c r="AI305" s="76"/>
      <c r="AJ305" s="76"/>
      <c r="AK305" s="76"/>
      <c r="AL305" s="76"/>
      <c r="AM305" s="76"/>
      <c r="AN305" s="76"/>
      <c r="AO305" s="76"/>
      <c r="AP305" s="76"/>
      <c r="AQ305" s="76"/>
      <c r="AR305" s="76"/>
      <c r="AS305" s="76"/>
      <c r="AT305" s="76"/>
      <c r="AU305" s="76"/>
      <c r="AV305" s="76"/>
      <c r="AW305" s="76"/>
      <c r="AX305" s="76"/>
      <c r="AY305" s="76"/>
      <c r="AZ305" s="76"/>
      <c r="BA305" s="76"/>
      <c r="BB305" s="76"/>
    </row>
    <row r="306" spans="5:54" x14ac:dyDescent="0.35">
      <c r="E306" s="83"/>
      <c r="F306" s="83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  <c r="Z306" s="76"/>
      <c r="AA306" s="76"/>
      <c r="AB306" s="76"/>
      <c r="AC306" s="76"/>
      <c r="AD306" s="76"/>
      <c r="AE306" s="76"/>
      <c r="AF306" s="76"/>
      <c r="AG306" s="76"/>
      <c r="AH306" s="76"/>
      <c r="AI306" s="76"/>
      <c r="AJ306" s="76"/>
      <c r="AK306" s="76"/>
      <c r="AL306" s="76"/>
      <c r="AM306" s="76"/>
      <c r="AN306" s="76"/>
      <c r="AO306" s="76"/>
      <c r="AP306" s="76"/>
      <c r="AQ306" s="76"/>
      <c r="AR306" s="76"/>
      <c r="AS306" s="76"/>
      <c r="AT306" s="76"/>
      <c r="AU306" s="76"/>
      <c r="AV306" s="76"/>
      <c r="AW306" s="76"/>
      <c r="AX306" s="76"/>
      <c r="AY306" s="76"/>
      <c r="AZ306" s="76"/>
      <c r="BA306" s="76"/>
      <c r="BB306" s="76"/>
    </row>
    <row r="307" spans="5:54" x14ac:dyDescent="0.35">
      <c r="E307" s="83"/>
      <c r="F307" s="83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  <c r="Z307" s="76"/>
      <c r="AA307" s="76"/>
      <c r="AB307" s="76"/>
      <c r="AC307" s="76"/>
      <c r="AD307" s="76"/>
      <c r="AE307" s="76"/>
      <c r="AF307" s="76"/>
      <c r="AG307" s="76"/>
      <c r="AH307" s="76"/>
      <c r="AI307" s="76"/>
      <c r="AJ307" s="76"/>
      <c r="AK307" s="76"/>
      <c r="AL307" s="76"/>
      <c r="AM307" s="76"/>
      <c r="AN307" s="76"/>
      <c r="AO307" s="76"/>
      <c r="AP307" s="76"/>
      <c r="AQ307" s="76"/>
      <c r="AR307" s="76"/>
      <c r="AS307" s="76"/>
      <c r="AT307" s="76"/>
      <c r="AU307" s="76"/>
      <c r="AV307" s="76"/>
      <c r="AW307" s="76"/>
      <c r="AX307" s="76"/>
      <c r="AY307" s="76"/>
      <c r="AZ307" s="76"/>
      <c r="BA307" s="76"/>
      <c r="BB307" s="76"/>
    </row>
    <row r="308" spans="5:54" x14ac:dyDescent="0.35">
      <c r="E308" s="83"/>
      <c r="F308" s="83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/>
      <c r="AC308" s="76"/>
      <c r="AD308" s="76"/>
      <c r="AE308" s="76"/>
      <c r="AF308" s="76"/>
      <c r="AG308" s="76"/>
      <c r="AH308" s="76"/>
      <c r="AI308" s="76"/>
      <c r="AJ308" s="76"/>
      <c r="AK308" s="76"/>
      <c r="AL308" s="76"/>
      <c r="AM308" s="76"/>
      <c r="AN308" s="76"/>
      <c r="AO308" s="76"/>
      <c r="AP308" s="76"/>
      <c r="AQ308" s="76"/>
      <c r="AR308" s="76"/>
      <c r="AS308" s="76"/>
      <c r="AT308" s="76"/>
      <c r="AU308" s="76"/>
      <c r="AV308" s="76"/>
      <c r="AW308" s="76"/>
      <c r="AX308" s="76"/>
      <c r="AY308" s="76"/>
      <c r="AZ308" s="76"/>
      <c r="BA308" s="76"/>
      <c r="BB308" s="76"/>
    </row>
    <row r="309" spans="5:54" x14ac:dyDescent="0.35">
      <c r="E309" s="83"/>
      <c r="F309" s="83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  <c r="Z309" s="76"/>
      <c r="AA309" s="76"/>
      <c r="AB309" s="76"/>
      <c r="AC309" s="76"/>
      <c r="AD309" s="76"/>
      <c r="AE309" s="76"/>
      <c r="AF309" s="76"/>
      <c r="AG309" s="76"/>
      <c r="AH309" s="76"/>
      <c r="AI309" s="76"/>
      <c r="AJ309" s="76"/>
      <c r="AK309" s="76"/>
      <c r="AL309" s="76"/>
      <c r="AM309" s="76"/>
      <c r="AN309" s="76"/>
      <c r="AO309" s="76"/>
      <c r="AP309" s="76"/>
      <c r="AQ309" s="76"/>
      <c r="AR309" s="76"/>
      <c r="AS309" s="76"/>
      <c r="AT309" s="76"/>
      <c r="AU309" s="76"/>
      <c r="AV309" s="76"/>
      <c r="AW309" s="76"/>
      <c r="AX309" s="76"/>
      <c r="AY309" s="76"/>
      <c r="AZ309" s="76"/>
      <c r="BA309" s="76"/>
      <c r="BB309" s="76"/>
    </row>
    <row r="310" spans="5:54" x14ac:dyDescent="0.35">
      <c r="E310" s="83"/>
      <c r="F310" s="83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  <c r="Z310" s="76"/>
      <c r="AA310" s="76"/>
      <c r="AB310" s="76"/>
      <c r="AC310" s="76"/>
      <c r="AD310" s="76"/>
      <c r="AE310" s="76"/>
      <c r="AF310" s="76"/>
      <c r="AG310" s="76"/>
      <c r="AH310" s="76"/>
      <c r="AI310" s="76"/>
      <c r="AJ310" s="76"/>
      <c r="AK310" s="76"/>
      <c r="AL310" s="76"/>
      <c r="AM310" s="76"/>
      <c r="AN310" s="76"/>
      <c r="AO310" s="76"/>
      <c r="AP310" s="76"/>
      <c r="AQ310" s="76"/>
      <c r="AR310" s="76"/>
      <c r="AS310" s="76"/>
      <c r="AT310" s="76"/>
      <c r="AU310" s="76"/>
      <c r="AV310" s="76"/>
      <c r="AW310" s="76"/>
      <c r="AX310" s="76"/>
      <c r="AY310" s="76"/>
      <c r="AZ310" s="76"/>
      <c r="BA310" s="76"/>
      <c r="BB310" s="76"/>
    </row>
    <row r="311" spans="5:54" x14ac:dyDescent="0.35">
      <c r="E311" s="83"/>
      <c r="F311" s="83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6"/>
      <c r="AC311" s="76"/>
      <c r="AD311" s="76"/>
      <c r="AE311" s="76"/>
      <c r="AF311" s="76"/>
      <c r="AG311" s="76"/>
      <c r="AH311" s="76"/>
      <c r="AI311" s="76"/>
      <c r="AJ311" s="76"/>
      <c r="AK311" s="76"/>
      <c r="AL311" s="76"/>
      <c r="AM311" s="76"/>
      <c r="AN311" s="76"/>
      <c r="AO311" s="76"/>
      <c r="AP311" s="76"/>
      <c r="AQ311" s="76"/>
      <c r="AR311" s="76"/>
      <c r="AS311" s="76"/>
      <c r="AT311" s="76"/>
      <c r="AU311" s="76"/>
      <c r="AV311" s="76"/>
      <c r="AW311" s="76"/>
      <c r="AX311" s="76"/>
      <c r="AY311" s="76"/>
      <c r="AZ311" s="76"/>
      <c r="BA311" s="76"/>
      <c r="BB311" s="76"/>
    </row>
    <row r="312" spans="5:54" x14ac:dyDescent="0.35">
      <c r="E312" s="83"/>
      <c r="F312" s="83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  <c r="Z312" s="76"/>
      <c r="AA312" s="76"/>
      <c r="AB312" s="76"/>
      <c r="AC312" s="76"/>
      <c r="AD312" s="76"/>
      <c r="AE312" s="76"/>
      <c r="AF312" s="76"/>
      <c r="AG312" s="76"/>
      <c r="AH312" s="76"/>
      <c r="AI312" s="76"/>
      <c r="AJ312" s="76"/>
      <c r="AK312" s="76"/>
      <c r="AL312" s="76"/>
      <c r="AM312" s="76"/>
      <c r="AN312" s="76"/>
      <c r="AO312" s="76"/>
      <c r="AP312" s="76"/>
      <c r="AQ312" s="76"/>
      <c r="AR312" s="76"/>
      <c r="AS312" s="76"/>
      <c r="AT312" s="76"/>
      <c r="AU312" s="76"/>
      <c r="AV312" s="76"/>
      <c r="AW312" s="76"/>
      <c r="AX312" s="76"/>
      <c r="AY312" s="76"/>
      <c r="AZ312" s="76"/>
      <c r="BA312" s="76"/>
      <c r="BB312" s="76"/>
    </row>
    <row r="313" spans="5:54" x14ac:dyDescent="0.35">
      <c r="E313" s="83"/>
      <c r="F313" s="83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  <c r="Z313" s="76"/>
      <c r="AA313" s="76"/>
      <c r="AB313" s="76"/>
      <c r="AC313" s="76"/>
      <c r="AD313" s="76"/>
      <c r="AE313" s="76"/>
      <c r="AF313" s="76"/>
      <c r="AG313" s="76"/>
      <c r="AH313" s="76"/>
      <c r="AI313" s="76"/>
      <c r="AJ313" s="76"/>
      <c r="AK313" s="76"/>
      <c r="AL313" s="76"/>
      <c r="AM313" s="76"/>
      <c r="AN313" s="76"/>
      <c r="AO313" s="76"/>
      <c r="AP313" s="76"/>
      <c r="AQ313" s="76"/>
      <c r="AR313" s="76"/>
      <c r="AS313" s="76"/>
      <c r="AT313" s="76"/>
      <c r="AU313" s="76"/>
      <c r="AV313" s="76"/>
      <c r="AW313" s="76"/>
      <c r="AX313" s="76"/>
      <c r="AY313" s="76"/>
      <c r="AZ313" s="76"/>
      <c r="BA313" s="76"/>
      <c r="BB313" s="76"/>
    </row>
    <row r="314" spans="5:54" x14ac:dyDescent="0.35">
      <c r="E314" s="83"/>
      <c r="F314" s="83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6"/>
      <c r="AC314" s="76"/>
      <c r="AD314" s="76"/>
      <c r="AE314" s="76"/>
      <c r="AF314" s="76"/>
      <c r="AG314" s="76"/>
      <c r="AH314" s="76"/>
      <c r="AI314" s="76"/>
      <c r="AJ314" s="76"/>
      <c r="AK314" s="76"/>
      <c r="AL314" s="76"/>
      <c r="AM314" s="76"/>
      <c r="AN314" s="76"/>
      <c r="AO314" s="76"/>
      <c r="AP314" s="76"/>
      <c r="AQ314" s="76"/>
      <c r="AR314" s="76"/>
      <c r="AS314" s="76"/>
      <c r="AT314" s="76"/>
      <c r="AU314" s="76"/>
      <c r="AV314" s="76"/>
      <c r="AW314" s="76"/>
      <c r="AX314" s="76"/>
      <c r="AY314" s="76"/>
      <c r="AZ314" s="76"/>
      <c r="BA314" s="76"/>
      <c r="BB314" s="76"/>
    </row>
    <row r="315" spans="5:54" x14ac:dyDescent="0.35">
      <c r="E315" s="83"/>
      <c r="F315" s="83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  <c r="Z315" s="76"/>
      <c r="AA315" s="76"/>
      <c r="AB315" s="76"/>
      <c r="AC315" s="76"/>
      <c r="AD315" s="76"/>
      <c r="AE315" s="76"/>
      <c r="AF315" s="76"/>
      <c r="AG315" s="76"/>
      <c r="AH315" s="76"/>
      <c r="AI315" s="76"/>
      <c r="AJ315" s="76"/>
      <c r="AK315" s="76"/>
      <c r="AL315" s="76"/>
      <c r="AM315" s="76"/>
      <c r="AN315" s="76"/>
      <c r="AO315" s="76"/>
      <c r="AP315" s="76"/>
      <c r="AQ315" s="76"/>
      <c r="AR315" s="76"/>
      <c r="AS315" s="76"/>
      <c r="AT315" s="76"/>
      <c r="AU315" s="76"/>
      <c r="AV315" s="76"/>
      <c r="AW315" s="76"/>
      <c r="AX315" s="76"/>
      <c r="AY315" s="76"/>
      <c r="AZ315" s="76"/>
      <c r="BA315" s="76"/>
      <c r="BB315" s="76"/>
    </row>
    <row r="316" spans="5:54" x14ac:dyDescent="0.35">
      <c r="E316" s="83"/>
      <c r="F316" s="83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  <c r="Z316" s="76"/>
      <c r="AA316" s="76"/>
      <c r="AB316" s="76"/>
      <c r="AC316" s="76"/>
      <c r="AD316" s="76"/>
      <c r="AE316" s="76"/>
      <c r="AF316" s="76"/>
      <c r="AG316" s="76"/>
      <c r="AH316" s="76"/>
      <c r="AI316" s="76"/>
      <c r="AJ316" s="76"/>
      <c r="AK316" s="76"/>
      <c r="AL316" s="76"/>
      <c r="AM316" s="76"/>
      <c r="AN316" s="76"/>
      <c r="AO316" s="76"/>
      <c r="AP316" s="76"/>
      <c r="AQ316" s="76"/>
      <c r="AR316" s="76"/>
      <c r="AS316" s="76"/>
      <c r="AT316" s="76"/>
      <c r="AU316" s="76"/>
      <c r="AV316" s="76"/>
      <c r="AW316" s="76"/>
      <c r="AX316" s="76"/>
      <c r="AY316" s="76"/>
      <c r="AZ316" s="76"/>
      <c r="BA316" s="76"/>
      <c r="BB316" s="76"/>
    </row>
    <row r="317" spans="5:54" x14ac:dyDescent="0.35">
      <c r="E317" s="83"/>
      <c r="F317" s="83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6"/>
      <c r="AC317" s="76"/>
      <c r="AD317" s="76"/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  <c r="AT317" s="76"/>
      <c r="AU317" s="76"/>
      <c r="AV317" s="76"/>
      <c r="AW317" s="76"/>
      <c r="AX317" s="76"/>
      <c r="AY317" s="76"/>
      <c r="AZ317" s="76"/>
      <c r="BA317" s="76"/>
      <c r="BB317" s="76"/>
    </row>
    <row r="318" spans="5:54" x14ac:dyDescent="0.35">
      <c r="E318" s="83"/>
      <c r="F318" s="83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  <c r="Z318" s="76"/>
      <c r="AA318" s="76"/>
      <c r="AB318" s="76"/>
      <c r="AC318" s="76"/>
      <c r="AD318" s="76"/>
      <c r="AE318" s="76"/>
      <c r="AF318" s="76"/>
      <c r="AG318" s="76"/>
      <c r="AH318" s="76"/>
      <c r="AI318" s="76"/>
      <c r="AJ318" s="76"/>
      <c r="AK318" s="76"/>
      <c r="AL318" s="76"/>
      <c r="AM318" s="76"/>
      <c r="AN318" s="76"/>
      <c r="AO318" s="76"/>
      <c r="AP318" s="76"/>
      <c r="AQ318" s="76"/>
      <c r="AR318" s="76"/>
      <c r="AS318" s="76"/>
      <c r="AT318" s="76"/>
      <c r="AU318" s="76"/>
      <c r="AV318" s="76"/>
      <c r="AW318" s="76"/>
      <c r="AX318" s="76"/>
      <c r="AY318" s="76"/>
      <c r="AZ318" s="76"/>
      <c r="BA318" s="76"/>
      <c r="BB318" s="76"/>
    </row>
    <row r="319" spans="5:54" x14ac:dyDescent="0.35">
      <c r="E319" s="83"/>
      <c r="F319" s="83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  <c r="Z319" s="76"/>
      <c r="AA319" s="76"/>
      <c r="AB319" s="76"/>
      <c r="AC319" s="76"/>
      <c r="AD319" s="76"/>
      <c r="AE319" s="76"/>
      <c r="AF319" s="76"/>
      <c r="AG319" s="76"/>
      <c r="AH319" s="76"/>
      <c r="AI319" s="76"/>
      <c r="AJ319" s="76"/>
      <c r="AK319" s="76"/>
      <c r="AL319" s="76"/>
      <c r="AM319" s="76"/>
      <c r="AN319" s="76"/>
      <c r="AO319" s="76"/>
      <c r="AP319" s="76"/>
      <c r="AQ319" s="76"/>
      <c r="AR319" s="76"/>
      <c r="AS319" s="76"/>
      <c r="AT319" s="76"/>
      <c r="AU319" s="76"/>
      <c r="AV319" s="76"/>
      <c r="AW319" s="76"/>
      <c r="AX319" s="76"/>
      <c r="AY319" s="76"/>
      <c r="AZ319" s="76"/>
      <c r="BA319" s="76"/>
      <c r="BB319" s="76"/>
    </row>
    <row r="320" spans="5:54" x14ac:dyDescent="0.35">
      <c r="E320" s="83"/>
      <c r="F320" s="83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6"/>
      <c r="AC320" s="76"/>
      <c r="AD320" s="76"/>
      <c r="AE320" s="76"/>
      <c r="AF320" s="76"/>
      <c r="AG320" s="76"/>
      <c r="AH320" s="76"/>
      <c r="AI320" s="76"/>
      <c r="AJ320" s="76"/>
      <c r="AK320" s="76"/>
      <c r="AL320" s="76"/>
      <c r="AM320" s="76"/>
      <c r="AN320" s="76"/>
      <c r="AO320" s="76"/>
      <c r="AP320" s="76"/>
      <c r="AQ320" s="76"/>
      <c r="AR320" s="76"/>
      <c r="AS320" s="76"/>
      <c r="AT320" s="76"/>
      <c r="AU320" s="76"/>
      <c r="AV320" s="76"/>
      <c r="AW320" s="76"/>
      <c r="AX320" s="76"/>
      <c r="AY320" s="76"/>
      <c r="AZ320" s="76"/>
      <c r="BA320" s="76"/>
      <c r="BB320" s="76"/>
    </row>
    <row r="321" spans="5:54" x14ac:dyDescent="0.35">
      <c r="E321" s="83"/>
      <c r="F321" s="83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/>
      <c r="AC321" s="76"/>
      <c r="AD321" s="76"/>
      <c r="AE321" s="76"/>
      <c r="AF321" s="76"/>
      <c r="AG321" s="76"/>
      <c r="AH321" s="76"/>
      <c r="AI321" s="76"/>
      <c r="AJ321" s="76"/>
      <c r="AK321" s="76"/>
      <c r="AL321" s="76"/>
      <c r="AM321" s="76"/>
      <c r="AN321" s="76"/>
      <c r="AO321" s="76"/>
      <c r="AP321" s="76"/>
      <c r="AQ321" s="76"/>
      <c r="AR321" s="76"/>
      <c r="AS321" s="76"/>
      <c r="AT321" s="76"/>
      <c r="AU321" s="76"/>
      <c r="AV321" s="76"/>
      <c r="AW321" s="76"/>
      <c r="AX321" s="76"/>
      <c r="AY321" s="76"/>
      <c r="AZ321" s="76"/>
      <c r="BA321" s="76"/>
      <c r="BB321" s="76"/>
    </row>
    <row r="322" spans="5:54" x14ac:dyDescent="0.35">
      <c r="E322" s="83"/>
      <c r="F322" s="83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  <c r="Z322" s="76"/>
      <c r="AA322" s="76"/>
      <c r="AB322" s="76"/>
      <c r="AC322" s="76"/>
      <c r="AD322" s="76"/>
      <c r="AE322" s="76"/>
      <c r="AF322" s="76"/>
      <c r="AG322" s="76"/>
      <c r="AH322" s="76"/>
      <c r="AI322" s="76"/>
      <c r="AJ322" s="76"/>
      <c r="AK322" s="76"/>
      <c r="AL322" s="76"/>
      <c r="AM322" s="76"/>
      <c r="AN322" s="76"/>
      <c r="AO322" s="76"/>
      <c r="AP322" s="76"/>
      <c r="AQ322" s="76"/>
      <c r="AR322" s="76"/>
      <c r="AS322" s="76"/>
      <c r="AT322" s="76"/>
      <c r="AU322" s="76"/>
      <c r="AV322" s="76"/>
      <c r="AW322" s="76"/>
      <c r="AX322" s="76"/>
      <c r="AY322" s="76"/>
      <c r="AZ322" s="76"/>
      <c r="BA322" s="76"/>
      <c r="BB322" s="76"/>
    </row>
    <row r="323" spans="5:54" x14ac:dyDescent="0.35">
      <c r="E323" s="83"/>
      <c r="F323" s="83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  <c r="Z323" s="76"/>
      <c r="AA323" s="76"/>
      <c r="AB323" s="76"/>
      <c r="AC323" s="76"/>
      <c r="AD323" s="76"/>
      <c r="AE323" s="76"/>
      <c r="AF323" s="76"/>
      <c r="AG323" s="76"/>
      <c r="AH323" s="76"/>
      <c r="AI323" s="76"/>
      <c r="AJ323" s="76"/>
      <c r="AK323" s="76"/>
      <c r="AL323" s="76"/>
      <c r="AM323" s="76"/>
      <c r="AN323" s="76"/>
      <c r="AO323" s="76"/>
      <c r="AP323" s="76"/>
      <c r="AQ323" s="76"/>
      <c r="AR323" s="76"/>
      <c r="AS323" s="76"/>
      <c r="AT323" s="76"/>
      <c r="AU323" s="76"/>
      <c r="AV323" s="76"/>
      <c r="AW323" s="76"/>
      <c r="AX323" s="76"/>
      <c r="AY323" s="76"/>
      <c r="AZ323" s="76"/>
      <c r="BA323" s="76"/>
      <c r="BB323" s="76"/>
    </row>
    <row r="324" spans="5:54" x14ac:dyDescent="0.35">
      <c r="E324" s="83"/>
      <c r="F324" s="83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  <c r="Z324" s="76"/>
      <c r="AA324" s="76"/>
      <c r="AB324" s="76"/>
      <c r="AC324" s="76"/>
      <c r="AD324" s="76"/>
      <c r="AE324" s="76"/>
      <c r="AF324" s="76"/>
      <c r="AG324" s="76"/>
      <c r="AH324" s="76"/>
      <c r="AI324" s="76"/>
      <c r="AJ324" s="76"/>
      <c r="AK324" s="76"/>
      <c r="AL324" s="76"/>
      <c r="AM324" s="76"/>
      <c r="AN324" s="76"/>
      <c r="AO324" s="76"/>
      <c r="AP324" s="76"/>
      <c r="AQ324" s="76"/>
      <c r="AR324" s="76"/>
      <c r="AS324" s="76"/>
      <c r="AT324" s="76"/>
      <c r="AU324" s="76"/>
      <c r="AV324" s="76"/>
      <c r="AW324" s="76"/>
      <c r="AX324" s="76"/>
      <c r="AY324" s="76"/>
      <c r="AZ324" s="76"/>
      <c r="BA324" s="76"/>
      <c r="BB324" s="76"/>
    </row>
    <row r="325" spans="5:54" x14ac:dyDescent="0.35">
      <c r="E325" s="83"/>
      <c r="F325" s="83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  <c r="Z325" s="76"/>
      <c r="AA325" s="76"/>
      <c r="AB325" s="76"/>
      <c r="AC325" s="76"/>
      <c r="AD325" s="76"/>
      <c r="AE325" s="76"/>
      <c r="AF325" s="76"/>
      <c r="AG325" s="76"/>
      <c r="AH325" s="76"/>
      <c r="AI325" s="76"/>
      <c r="AJ325" s="76"/>
      <c r="AK325" s="76"/>
      <c r="AL325" s="76"/>
      <c r="AM325" s="76"/>
      <c r="AN325" s="76"/>
      <c r="AO325" s="76"/>
      <c r="AP325" s="76"/>
      <c r="AQ325" s="76"/>
      <c r="AR325" s="76"/>
      <c r="AS325" s="76"/>
      <c r="AT325" s="76"/>
      <c r="AU325" s="76"/>
      <c r="AV325" s="76"/>
      <c r="AW325" s="76"/>
      <c r="AX325" s="76"/>
      <c r="AY325" s="76"/>
      <c r="AZ325" s="76"/>
      <c r="BA325" s="76"/>
      <c r="BB325" s="76"/>
    </row>
    <row r="326" spans="5:54" x14ac:dyDescent="0.35">
      <c r="E326" s="83"/>
      <c r="F326" s="83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  <c r="Z326" s="76"/>
      <c r="AA326" s="76"/>
      <c r="AB326" s="76"/>
      <c r="AC326" s="76"/>
      <c r="AD326" s="76"/>
      <c r="AE326" s="76"/>
      <c r="AF326" s="76"/>
      <c r="AG326" s="76"/>
      <c r="AH326" s="76"/>
      <c r="AI326" s="76"/>
      <c r="AJ326" s="76"/>
      <c r="AK326" s="76"/>
      <c r="AL326" s="76"/>
      <c r="AM326" s="76"/>
      <c r="AN326" s="76"/>
      <c r="AO326" s="76"/>
      <c r="AP326" s="76"/>
      <c r="AQ326" s="76"/>
      <c r="AR326" s="76"/>
      <c r="AS326" s="76"/>
      <c r="AT326" s="76"/>
      <c r="AU326" s="76"/>
      <c r="AV326" s="76"/>
      <c r="AW326" s="76"/>
      <c r="AX326" s="76"/>
      <c r="AY326" s="76"/>
      <c r="AZ326" s="76"/>
      <c r="BA326" s="76"/>
      <c r="BB326" s="76"/>
    </row>
    <row r="327" spans="5:54" x14ac:dyDescent="0.35">
      <c r="E327" s="83"/>
      <c r="F327" s="83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  <c r="Z327" s="76"/>
      <c r="AA327" s="76"/>
      <c r="AB327" s="76"/>
      <c r="AC327" s="76"/>
      <c r="AD327" s="76"/>
      <c r="AE327" s="76"/>
      <c r="AF327" s="76"/>
      <c r="AG327" s="76"/>
      <c r="AH327" s="76"/>
      <c r="AI327" s="76"/>
      <c r="AJ327" s="76"/>
      <c r="AK327" s="76"/>
      <c r="AL327" s="76"/>
      <c r="AM327" s="76"/>
      <c r="AN327" s="76"/>
      <c r="AO327" s="76"/>
      <c r="AP327" s="76"/>
      <c r="AQ327" s="76"/>
      <c r="AR327" s="76"/>
      <c r="AS327" s="76"/>
      <c r="AT327" s="76"/>
      <c r="AU327" s="76"/>
      <c r="AV327" s="76"/>
      <c r="AW327" s="76"/>
      <c r="AX327" s="76"/>
      <c r="AY327" s="76"/>
      <c r="AZ327" s="76"/>
      <c r="BA327" s="76"/>
      <c r="BB327" s="76"/>
    </row>
    <row r="328" spans="5:54" x14ac:dyDescent="0.35">
      <c r="E328" s="83"/>
      <c r="F328" s="83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  <c r="AA328" s="76"/>
      <c r="AB328" s="76"/>
      <c r="AC328" s="76"/>
      <c r="AD328" s="76"/>
      <c r="AE328" s="76"/>
      <c r="AF328" s="76"/>
      <c r="AG328" s="76"/>
      <c r="AH328" s="76"/>
      <c r="AI328" s="76"/>
      <c r="AJ328" s="76"/>
      <c r="AK328" s="76"/>
      <c r="AL328" s="76"/>
      <c r="AM328" s="76"/>
      <c r="AN328" s="76"/>
      <c r="AO328" s="76"/>
      <c r="AP328" s="76"/>
      <c r="AQ328" s="76"/>
      <c r="AR328" s="76"/>
      <c r="AS328" s="76"/>
      <c r="AT328" s="76"/>
      <c r="AU328" s="76"/>
      <c r="AV328" s="76"/>
      <c r="AW328" s="76"/>
      <c r="AX328" s="76"/>
      <c r="AY328" s="76"/>
      <c r="AZ328" s="76"/>
      <c r="BA328" s="76"/>
      <c r="BB328" s="76"/>
    </row>
    <row r="329" spans="5:54" x14ac:dyDescent="0.35">
      <c r="E329" s="83"/>
      <c r="F329" s="83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  <c r="Z329" s="76"/>
      <c r="AA329" s="76"/>
      <c r="AB329" s="76"/>
      <c r="AC329" s="76"/>
      <c r="AD329" s="76"/>
      <c r="AE329" s="76"/>
      <c r="AF329" s="76"/>
      <c r="AG329" s="76"/>
      <c r="AH329" s="76"/>
      <c r="AI329" s="76"/>
      <c r="AJ329" s="76"/>
      <c r="AK329" s="76"/>
      <c r="AL329" s="76"/>
      <c r="AM329" s="76"/>
      <c r="AN329" s="76"/>
      <c r="AO329" s="76"/>
      <c r="AP329" s="76"/>
      <c r="AQ329" s="76"/>
      <c r="AR329" s="76"/>
      <c r="AS329" s="76"/>
      <c r="AT329" s="76"/>
      <c r="AU329" s="76"/>
      <c r="AV329" s="76"/>
      <c r="AW329" s="76"/>
      <c r="AX329" s="76"/>
      <c r="AY329" s="76"/>
      <c r="AZ329" s="76"/>
      <c r="BA329" s="76"/>
      <c r="BB329" s="76"/>
    </row>
    <row r="330" spans="5:54" x14ac:dyDescent="0.35">
      <c r="E330" s="83"/>
      <c r="F330" s="83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  <c r="Z330" s="76"/>
      <c r="AA330" s="76"/>
      <c r="AB330" s="76"/>
      <c r="AC330" s="76"/>
      <c r="AD330" s="76"/>
      <c r="AE330" s="76"/>
      <c r="AF330" s="76"/>
      <c r="AG330" s="76"/>
      <c r="AH330" s="76"/>
      <c r="AI330" s="76"/>
      <c r="AJ330" s="76"/>
      <c r="AK330" s="76"/>
      <c r="AL330" s="76"/>
      <c r="AM330" s="76"/>
      <c r="AN330" s="76"/>
      <c r="AO330" s="76"/>
      <c r="AP330" s="76"/>
      <c r="AQ330" s="76"/>
      <c r="AR330" s="76"/>
      <c r="AS330" s="76"/>
      <c r="AT330" s="76"/>
      <c r="AU330" s="76"/>
      <c r="AV330" s="76"/>
      <c r="AW330" s="76"/>
      <c r="AX330" s="76"/>
      <c r="AY330" s="76"/>
      <c r="AZ330" s="76"/>
      <c r="BA330" s="76"/>
      <c r="BB330" s="76"/>
    </row>
    <row r="331" spans="5:54" x14ac:dyDescent="0.35">
      <c r="E331" s="83"/>
      <c r="F331" s="83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  <c r="Z331" s="76"/>
      <c r="AA331" s="76"/>
      <c r="AB331" s="76"/>
      <c r="AC331" s="76"/>
      <c r="AD331" s="76"/>
      <c r="AE331" s="76"/>
      <c r="AF331" s="76"/>
      <c r="AG331" s="76"/>
      <c r="AH331" s="76"/>
      <c r="AI331" s="76"/>
      <c r="AJ331" s="76"/>
      <c r="AK331" s="76"/>
      <c r="AL331" s="76"/>
      <c r="AM331" s="76"/>
      <c r="AN331" s="76"/>
      <c r="AO331" s="76"/>
      <c r="AP331" s="76"/>
      <c r="AQ331" s="76"/>
      <c r="AR331" s="76"/>
      <c r="AS331" s="76"/>
      <c r="AT331" s="76"/>
      <c r="AU331" s="76"/>
      <c r="AV331" s="76"/>
      <c r="AW331" s="76"/>
      <c r="AX331" s="76"/>
      <c r="AY331" s="76"/>
      <c r="AZ331" s="76"/>
      <c r="BA331" s="76"/>
      <c r="BB331" s="76"/>
    </row>
    <row r="332" spans="5:54" x14ac:dyDescent="0.35">
      <c r="E332" s="83"/>
      <c r="F332" s="83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  <c r="Z332" s="76"/>
      <c r="AA332" s="76"/>
      <c r="AB332" s="76"/>
      <c r="AC332" s="76"/>
      <c r="AD332" s="76"/>
      <c r="AE332" s="76"/>
      <c r="AF332" s="76"/>
      <c r="AG332" s="76"/>
      <c r="AH332" s="76"/>
      <c r="AI332" s="76"/>
      <c r="AJ332" s="76"/>
      <c r="AK332" s="76"/>
      <c r="AL332" s="76"/>
      <c r="AM332" s="76"/>
      <c r="AN332" s="76"/>
      <c r="AO332" s="76"/>
      <c r="AP332" s="76"/>
      <c r="AQ332" s="76"/>
      <c r="AR332" s="76"/>
      <c r="AS332" s="76"/>
      <c r="AT332" s="76"/>
      <c r="AU332" s="76"/>
      <c r="AV332" s="76"/>
      <c r="AW332" s="76"/>
      <c r="AX332" s="76"/>
      <c r="AY332" s="76"/>
      <c r="AZ332" s="76"/>
      <c r="BA332" s="76"/>
      <c r="BB332" s="76"/>
    </row>
    <row r="333" spans="5:54" x14ac:dyDescent="0.35">
      <c r="E333" s="83"/>
      <c r="F333" s="83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  <c r="Z333" s="76"/>
      <c r="AA333" s="76"/>
      <c r="AB333" s="76"/>
      <c r="AC333" s="76"/>
      <c r="AD333" s="76"/>
      <c r="AE333" s="76"/>
      <c r="AF333" s="76"/>
      <c r="AG333" s="76"/>
      <c r="AH333" s="76"/>
      <c r="AI333" s="76"/>
      <c r="AJ333" s="76"/>
      <c r="AK333" s="76"/>
      <c r="AL333" s="76"/>
      <c r="AM333" s="76"/>
      <c r="AN333" s="76"/>
      <c r="AO333" s="76"/>
      <c r="AP333" s="76"/>
      <c r="AQ333" s="76"/>
      <c r="AR333" s="76"/>
      <c r="AS333" s="76"/>
      <c r="AT333" s="76"/>
      <c r="AU333" s="76"/>
      <c r="AV333" s="76"/>
      <c r="AW333" s="76"/>
      <c r="AX333" s="76"/>
      <c r="AY333" s="76"/>
      <c r="AZ333" s="76"/>
      <c r="BA333" s="76"/>
      <c r="BB333" s="76"/>
    </row>
    <row r="334" spans="5:54" x14ac:dyDescent="0.35">
      <c r="E334" s="83"/>
      <c r="F334" s="83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  <c r="Z334" s="76"/>
      <c r="AA334" s="76"/>
      <c r="AB334" s="76"/>
      <c r="AC334" s="76"/>
      <c r="AD334" s="76"/>
      <c r="AE334" s="76"/>
      <c r="AF334" s="76"/>
      <c r="AG334" s="76"/>
      <c r="AH334" s="76"/>
      <c r="AI334" s="76"/>
      <c r="AJ334" s="76"/>
      <c r="AK334" s="76"/>
      <c r="AL334" s="76"/>
      <c r="AM334" s="76"/>
      <c r="AN334" s="76"/>
      <c r="AO334" s="76"/>
      <c r="AP334" s="76"/>
      <c r="AQ334" s="76"/>
      <c r="AR334" s="76"/>
      <c r="AS334" s="76"/>
      <c r="AT334" s="76"/>
      <c r="AU334" s="76"/>
      <c r="AV334" s="76"/>
      <c r="AW334" s="76"/>
      <c r="AX334" s="76"/>
      <c r="AY334" s="76"/>
      <c r="AZ334" s="76"/>
      <c r="BA334" s="76"/>
      <c r="BB334" s="76"/>
    </row>
    <row r="335" spans="5:54" x14ac:dyDescent="0.35">
      <c r="E335" s="83"/>
      <c r="F335" s="83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  <c r="Z335" s="76"/>
      <c r="AA335" s="76"/>
      <c r="AB335" s="76"/>
      <c r="AC335" s="76"/>
      <c r="AD335" s="76"/>
      <c r="AE335" s="76"/>
      <c r="AF335" s="76"/>
      <c r="AG335" s="76"/>
      <c r="AH335" s="76"/>
      <c r="AI335" s="76"/>
      <c r="AJ335" s="76"/>
      <c r="AK335" s="76"/>
      <c r="AL335" s="76"/>
      <c r="AM335" s="76"/>
      <c r="AN335" s="76"/>
      <c r="AO335" s="76"/>
      <c r="AP335" s="76"/>
      <c r="AQ335" s="76"/>
      <c r="AR335" s="76"/>
      <c r="AS335" s="76"/>
      <c r="AT335" s="76"/>
      <c r="AU335" s="76"/>
      <c r="AV335" s="76"/>
      <c r="AW335" s="76"/>
      <c r="AX335" s="76"/>
      <c r="AY335" s="76"/>
      <c r="AZ335" s="76"/>
      <c r="BA335" s="76"/>
      <c r="BB335" s="76"/>
    </row>
    <row r="336" spans="5:54" x14ac:dyDescent="0.35">
      <c r="E336" s="83"/>
      <c r="F336" s="83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  <c r="Z336" s="76"/>
      <c r="AA336" s="76"/>
      <c r="AB336" s="76"/>
      <c r="AC336" s="76"/>
      <c r="AD336" s="76"/>
      <c r="AE336" s="76"/>
      <c r="AF336" s="76"/>
      <c r="AG336" s="76"/>
      <c r="AH336" s="76"/>
      <c r="AI336" s="76"/>
      <c r="AJ336" s="76"/>
      <c r="AK336" s="76"/>
      <c r="AL336" s="76"/>
      <c r="AM336" s="76"/>
      <c r="AN336" s="76"/>
      <c r="AO336" s="76"/>
      <c r="AP336" s="76"/>
      <c r="AQ336" s="76"/>
      <c r="AR336" s="76"/>
      <c r="AS336" s="76"/>
      <c r="AT336" s="76"/>
      <c r="AU336" s="76"/>
      <c r="AV336" s="76"/>
      <c r="AW336" s="76"/>
      <c r="AX336" s="76"/>
      <c r="AY336" s="76"/>
      <c r="AZ336" s="76"/>
      <c r="BA336" s="76"/>
      <c r="BB336" s="76"/>
    </row>
    <row r="337" spans="5:54" x14ac:dyDescent="0.35">
      <c r="E337" s="83"/>
      <c r="F337" s="83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  <c r="AA337" s="76"/>
      <c r="AB337" s="76"/>
      <c r="AC337" s="76"/>
      <c r="AD337" s="76"/>
      <c r="AE337" s="76"/>
      <c r="AF337" s="76"/>
      <c r="AG337" s="76"/>
      <c r="AH337" s="76"/>
      <c r="AI337" s="76"/>
      <c r="AJ337" s="76"/>
      <c r="AK337" s="76"/>
      <c r="AL337" s="76"/>
      <c r="AM337" s="76"/>
      <c r="AN337" s="76"/>
      <c r="AO337" s="76"/>
      <c r="AP337" s="76"/>
      <c r="AQ337" s="76"/>
      <c r="AR337" s="76"/>
      <c r="AS337" s="76"/>
      <c r="AT337" s="76"/>
      <c r="AU337" s="76"/>
      <c r="AV337" s="76"/>
      <c r="AW337" s="76"/>
      <c r="AX337" s="76"/>
      <c r="AY337" s="76"/>
      <c r="AZ337" s="76"/>
      <c r="BA337" s="76"/>
      <c r="BB337" s="76"/>
    </row>
    <row r="338" spans="5:54" x14ac:dyDescent="0.35">
      <c r="E338" s="83"/>
      <c r="F338" s="83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  <c r="AA338" s="76"/>
      <c r="AB338" s="76"/>
      <c r="AC338" s="76"/>
      <c r="AD338" s="76"/>
      <c r="AE338" s="76"/>
      <c r="AF338" s="76"/>
      <c r="AG338" s="76"/>
      <c r="AH338" s="76"/>
      <c r="AI338" s="76"/>
      <c r="AJ338" s="76"/>
      <c r="AK338" s="76"/>
      <c r="AL338" s="76"/>
      <c r="AM338" s="76"/>
      <c r="AN338" s="76"/>
      <c r="AO338" s="76"/>
      <c r="AP338" s="76"/>
      <c r="AQ338" s="76"/>
      <c r="AR338" s="76"/>
      <c r="AS338" s="76"/>
      <c r="AT338" s="76"/>
      <c r="AU338" s="76"/>
      <c r="AV338" s="76"/>
      <c r="AW338" s="76"/>
      <c r="AX338" s="76"/>
      <c r="AY338" s="76"/>
      <c r="AZ338" s="76"/>
      <c r="BA338" s="76"/>
      <c r="BB338" s="76"/>
    </row>
    <row r="339" spans="5:54" x14ac:dyDescent="0.35">
      <c r="E339" s="83"/>
      <c r="F339" s="83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  <c r="Z339" s="76"/>
      <c r="AA339" s="76"/>
      <c r="AB339" s="76"/>
      <c r="AC339" s="76"/>
      <c r="AD339" s="76"/>
      <c r="AE339" s="76"/>
      <c r="AF339" s="76"/>
      <c r="AG339" s="76"/>
      <c r="AH339" s="76"/>
      <c r="AI339" s="76"/>
      <c r="AJ339" s="76"/>
      <c r="AK339" s="76"/>
      <c r="AL339" s="76"/>
      <c r="AM339" s="76"/>
      <c r="AN339" s="76"/>
      <c r="AO339" s="76"/>
      <c r="AP339" s="76"/>
      <c r="AQ339" s="76"/>
      <c r="AR339" s="76"/>
      <c r="AS339" s="76"/>
      <c r="AT339" s="76"/>
      <c r="AU339" s="76"/>
      <c r="AV339" s="76"/>
      <c r="AW339" s="76"/>
      <c r="AX339" s="76"/>
      <c r="AY339" s="76"/>
      <c r="AZ339" s="76"/>
      <c r="BA339" s="76"/>
      <c r="BB339" s="76"/>
    </row>
    <row r="340" spans="5:54" x14ac:dyDescent="0.35">
      <c r="E340" s="83"/>
      <c r="F340" s="83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  <c r="Z340" s="76"/>
      <c r="AA340" s="76"/>
      <c r="AB340" s="76"/>
      <c r="AC340" s="76"/>
      <c r="AD340" s="76"/>
      <c r="AE340" s="76"/>
      <c r="AF340" s="76"/>
      <c r="AG340" s="76"/>
      <c r="AH340" s="76"/>
      <c r="AI340" s="76"/>
      <c r="AJ340" s="76"/>
      <c r="AK340" s="76"/>
      <c r="AL340" s="76"/>
      <c r="AM340" s="76"/>
      <c r="AN340" s="76"/>
      <c r="AO340" s="76"/>
      <c r="AP340" s="76"/>
      <c r="AQ340" s="76"/>
      <c r="AR340" s="76"/>
      <c r="AS340" s="76"/>
      <c r="AT340" s="76"/>
      <c r="AU340" s="76"/>
      <c r="AV340" s="76"/>
      <c r="AW340" s="76"/>
      <c r="AX340" s="76"/>
      <c r="AY340" s="76"/>
      <c r="AZ340" s="76"/>
      <c r="BA340" s="76"/>
      <c r="BB340" s="76"/>
    </row>
    <row r="341" spans="5:54" x14ac:dyDescent="0.35">
      <c r="E341" s="83"/>
      <c r="F341" s="83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  <c r="Z341" s="76"/>
      <c r="AA341" s="76"/>
      <c r="AB341" s="76"/>
      <c r="AC341" s="76"/>
      <c r="AD341" s="76"/>
      <c r="AE341" s="76"/>
      <c r="AF341" s="76"/>
      <c r="AG341" s="76"/>
      <c r="AH341" s="76"/>
      <c r="AI341" s="76"/>
      <c r="AJ341" s="76"/>
      <c r="AK341" s="76"/>
      <c r="AL341" s="76"/>
      <c r="AM341" s="76"/>
      <c r="AN341" s="76"/>
      <c r="AO341" s="76"/>
      <c r="AP341" s="76"/>
      <c r="AQ341" s="76"/>
      <c r="AR341" s="76"/>
      <c r="AS341" s="76"/>
      <c r="AT341" s="76"/>
      <c r="AU341" s="76"/>
      <c r="AV341" s="76"/>
      <c r="AW341" s="76"/>
      <c r="AX341" s="76"/>
      <c r="AY341" s="76"/>
      <c r="AZ341" s="76"/>
      <c r="BA341" s="76"/>
      <c r="BB341" s="76"/>
    </row>
    <row r="342" spans="5:54" x14ac:dyDescent="0.35">
      <c r="E342" s="83"/>
      <c r="F342" s="83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  <c r="Z342" s="76"/>
      <c r="AA342" s="76"/>
      <c r="AB342" s="76"/>
      <c r="AC342" s="76"/>
      <c r="AD342" s="76"/>
      <c r="AE342" s="76"/>
      <c r="AF342" s="76"/>
      <c r="AG342" s="76"/>
      <c r="AH342" s="76"/>
      <c r="AI342" s="76"/>
      <c r="AJ342" s="76"/>
      <c r="AK342" s="76"/>
      <c r="AL342" s="76"/>
      <c r="AM342" s="76"/>
      <c r="AN342" s="76"/>
      <c r="AO342" s="76"/>
      <c r="AP342" s="76"/>
      <c r="AQ342" s="76"/>
      <c r="AR342" s="76"/>
      <c r="AS342" s="76"/>
      <c r="AT342" s="76"/>
      <c r="AU342" s="76"/>
      <c r="AV342" s="76"/>
      <c r="AW342" s="76"/>
      <c r="AX342" s="76"/>
      <c r="AY342" s="76"/>
      <c r="AZ342" s="76"/>
      <c r="BA342" s="76"/>
      <c r="BB342" s="76"/>
    </row>
    <row r="343" spans="5:54" x14ac:dyDescent="0.35">
      <c r="E343" s="83"/>
      <c r="F343" s="83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  <c r="Z343" s="76"/>
      <c r="AA343" s="76"/>
      <c r="AB343" s="76"/>
      <c r="AC343" s="76"/>
      <c r="AD343" s="76"/>
      <c r="AE343" s="76"/>
      <c r="AF343" s="76"/>
      <c r="AG343" s="76"/>
      <c r="AH343" s="76"/>
      <c r="AI343" s="76"/>
      <c r="AJ343" s="76"/>
      <c r="AK343" s="76"/>
      <c r="AL343" s="76"/>
      <c r="AM343" s="76"/>
      <c r="AN343" s="76"/>
      <c r="AO343" s="76"/>
      <c r="AP343" s="76"/>
      <c r="AQ343" s="76"/>
      <c r="AR343" s="76"/>
      <c r="AS343" s="76"/>
      <c r="AT343" s="76"/>
      <c r="AU343" s="76"/>
      <c r="AV343" s="76"/>
      <c r="AW343" s="76"/>
      <c r="AX343" s="76"/>
      <c r="AY343" s="76"/>
      <c r="AZ343" s="76"/>
      <c r="BA343" s="76"/>
      <c r="BB343" s="76"/>
    </row>
    <row r="344" spans="5:54" x14ac:dyDescent="0.35">
      <c r="E344" s="83"/>
      <c r="F344" s="83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  <c r="Z344" s="76"/>
      <c r="AA344" s="76"/>
      <c r="AB344" s="76"/>
      <c r="AC344" s="76"/>
      <c r="AD344" s="76"/>
      <c r="AE344" s="76"/>
      <c r="AF344" s="76"/>
      <c r="AG344" s="76"/>
      <c r="AH344" s="76"/>
      <c r="AI344" s="76"/>
      <c r="AJ344" s="76"/>
      <c r="AK344" s="76"/>
      <c r="AL344" s="76"/>
      <c r="AM344" s="76"/>
      <c r="AN344" s="76"/>
      <c r="AO344" s="76"/>
      <c r="AP344" s="76"/>
      <c r="AQ344" s="76"/>
      <c r="AR344" s="76"/>
      <c r="AS344" s="76"/>
      <c r="AT344" s="76"/>
      <c r="AU344" s="76"/>
      <c r="AV344" s="76"/>
      <c r="AW344" s="76"/>
      <c r="AX344" s="76"/>
      <c r="AY344" s="76"/>
      <c r="AZ344" s="76"/>
      <c r="BA344" s="76"/>
      <c r="BB344" s="76"/>
    </row>
    <row r="345" spans="5:54" x14ac:dyDescent="0.35">
      <c r="E345" s="83"/>
      <c r="F345" s="83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  <c r="Z345" s="76"/>
      <c r="AA345" s="76"/>
      <c r="AB345" s="76"/>
      <c r="AC345" s="76"/>
      <c r="AD345" s="76"/>
      <c r="AE345" s="76"/>
      <c r="AF345" s="76"/>
      <c r="AG345" s="76"/>
      <c r="AH345" s="76"/>
      <c r="AI345" s="76"/>
      <c r="AJ345" s="76"/>
      <c r="AK345" s="76"/>
      <c r="AL345" s="76"/>
      <c r="AM345" s="76"/>
      <c r="AN345" s="76"/>
      <c r="AO345" s="76"/>
      <c r="AP345" s="76"/>
      <c r="AQ345" s="76"/>
      <c r="AR345" s="76"/>
      <c r="AS345" s="76"/>
      <c r="AT345" s="76"/>
      <c r="AU345" s="76"/>
      <c r="AV345" s="76"/>
      <c r="AW345" s="76"/>
      <c r="AX345" s="76"/>
      <c r="AY345" s="76"/>
      <c r="AZ345" s="76"/>
      <c r="BA345" s="76"/>
      <c r="BB345" s="76"/>
    </row>
    <row r="346" spans="5:54" x14ac:dyDescent="0.35">
      <c r="E346" s="83"/>
      <c r="F346" s="83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  <c r="Z346" s="76"/>
      <c r="AA346" s="76"/>
      <c r="AB346" s="76"/>
      <c r="AC346" s="76"/>
      <c r="AD346" s="76"/>
      <c r="AE346" s="76"/>
      <c r="AF346" s="76"/>
      <c r="AG346" s="76"/>
      <c r="AH346" s="76"/>
      <c r="AI346" s="76"/>
      <c r="AJ346" s="76"/>
      <c r="AK346" s="76"/>
      <c r="AL346" s="76"/>
      <c r="AM346" s="76"/>
      <c r="AN346" s="76"/>
      <c r="AO346" s="76"/>
      <c r="AP346" s="76"/>
      <c r="AQ346" s="76"/>
      <c r="AR346" s="76"/>
      <c r="AS346" s="76"/>
      <c r="AT346" s="76"/>
      <c r="AU346" s="76"/>
      <c r="AV346" s="76"/>
      <c r="AW346" s="76"/>
      <c r="AX346" s="76"/>
      <c r="AY346" s="76"/>
      <c r="AZ346" s="76"/>
      <c r="BA346" s="76"/>
      <c r="BB346" s="76"/>
    </row>
    <row r="347" spans="5:54" x14ac:dyDescent="0.35">
      <c r="E347" s="83"/>
      <c r="F347" s="83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  <c r="Z347" s="76"/>
      <c r="AA347" s="76"/>
      <c r="AB347" s="76"/>
      <c r="AC347" s="76"/>
      <c r="AD347" s="76"/>
      <c r="AE347" s="76"/>
      <c r="AF347" s="76"/>
      <c r="AG347" s="76"/>
      <c r="AH347" s="76"/>
      <c r="AI347" s="76"/>
      <c r="AJ347" s="76"/>
      <c r="AK347" s="76"/>
      <c r="AL347" s="76"/>
      <c r="AM347" s="76"/>
      <c r="AN347" s="76"/>
      <c r="AO347" s="76"/>
      <c r="AP347" s="76"/>
      <c r="AQ347" s="76"/>
      <c r="AR347" s="76"/>
      <c r="AS347" s="76"/>
      <c r="AT347" s="76"/>
      <c r="AU347" s="76"/>
      <c r="AV347" s="76"/>
      <c r="AW347" s="76"/>
      <c r="AX347" s="76"/>
      <c r="AY347" s="76"/>
      <c r="AZ347" s="76"/>
      <c r="BA347" s="76"/>
      <c r="BB347" s="76"/>
    </row>
    <row r="348" spans="5:54" x14ac:dyDescent="0.35">
      <c r="E348" s="83"/>
      <c r="F348" s="83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  <c r="Z348" s="76"/>
      <c r="AA348" s="76"/>
      <c r="AB348" s="76"/>
      <c r="AC348" s="76"/>
      <c r="AD348" s="76"/>
      <c r="AE348" s="76"/>
      <c r="AF348" s="76"/>
      <c r="AG348" s="76"/>
      <c r="AH348" s="76"/>
      <c r="AI348" s="76"/>
      <c r="AJ348" s="76"/>
      <c r="AK348" s="76"/>
      <c r="AL348" s="76"/>
      <c r="AM348" s="76"/>
      <c r="AN348" s="76"/>
      <c r="AO348" s="76"/>
      <c r="AP348" s="76"/>
      <c r="AQ348" s="76"/>
      <c r="AR348" s="76"/>
      <c r="AS348" s="76"/>
      <c r="AT348" s="76"/>
      <c r="AU348" s="76"/>
      <c r="AV348" s="76"/>
      <c r="AW348" s="76"/>
      <c r="AX348" s="76"/>
      <c r="AY348" s="76"/>
      <c r="AZ348" s="76"/>
      <c r="BA348" s="76"/>
      <c r="BB348" s="76"/>
    </row>
    <row r="349" spans="5:54" x14ac:dyDescent="0.35">
      <c r="E349" s="83"/>
      <c r="F349" s="83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  <c r="Z349" s="76"/>
      <c r="AA349" s="76"/>
      <c r="AB349" s="76"/>
      <c r="AC349" s="76"/>
      <c r="AD349" s="76"/>
      <c r="AE349" s="76"/>
      <c r="AF349" s="76"/>
      <c r="AG349" s="76"/>
      <c r="AH349" s="76"/>
      <c r="AI349" s="76"/>
      <c r="AJ349" s="76"/>
      <c r="AK349" s="76"/>
      <c r="AL349" s="76"/>
      <c r="AM349" s="76"/>
      <c r="AN349" s="76"/>
      <c r="AO349" s="76"/>
      <c r="AP349" s="76"/>
      <c r="AQ349" s="76"/>
      <c r="AR349" s="76"/>
      <c r="AS349" s="76"/>
      <c r="AT349" s="76"/>
      <c r="AU349" s="76"/>
      <c r="AV349" s="76"/>
      <c r="AW349" s="76"/>
      <c r="AX349" s="76"/>
      <c r="AY349" s="76"/>
      <c r="AZ349" s="76"/>
      <c r="BA349" s="76"/>
      <c r="BB349" s="76"/>
    </row>
    <row r="350" spans="5:54" x14ac:dyDescent="0.35">
      <c r="E350" s="83"/>
      <c r="F350" s="83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  <c r="AA350" s="76"/>
      <c r="AB350" s="76"/>
      <c r="AC350" s="76"/>
      <c r="AD350" s="76"/>
      <c r="AE350" s="76"/>
      <c r="AF350" s="76"/>
      <c r="AG350" s="76"/>
      <c r="AH350" s="76"/>
      <c r="AI350" s="76"/>
      <c r="AJ350" s="76"/>
      <c r="AK350" s="76"/>
      <c r="AL350" s="76"/>
      <c r="AM350" s="76"/>
      <c r="AN350" s="76"/>
      <c r="AO350" s="76"/>
      <c r="AP350" s="76"/>
      <c r="AQ350" s="76"/>
      <c r="AR350" s="76"/>
      <c r="AS350" s="76"/>
      <c r="AT350" s="76"/>
      <c r="AU350" s="76"/>
      <c r="AV350" s="76"/>
      <c r="AW350" s="76"/>
      <c r="AX350" s="76"/>
      <c r="AY350" s="76"/>
      <c r="AZ350" s="76"/>
      <c r="BA350" s="76"/>
      <c r="BB350" s="76"/>
    </row>
    <row r="351" spans="5:54" x14ac:dyDescent="0.35">
      <c r="E351" s="83"/>
      <c r="F351" s="83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  <c r="Z351" s="76"/>
      <c r="AA351" s="76"/>
      <c r="AB351" s="76"/>
      <c r="AC351" s="76"/>
      <c r="AD351" s="76"/>
      <c r="AE351" s="76"/>
      <c r="AF351" s="76"/>
      <c r="AG351" s="76"/>
      <c r="AH351" s="76"/>
      <c r="AI351" s="76"/>
      <c r="AJ351" s="76"/>
      <c r="AK351" s="76"/>
      <c r="AL351" s="76"/>
      <c r="AM351" s="76"/>
      <c r="AN351" s="76"/>
      <c r="AO351" s="76"/>
      <c r="AP351" s="76"/>
      <c r="AQ351" s="76"/>
      <c r="AR351" s="76"/>
      <c r="AS351" s="76"/>
      <c r="AT351" s="76"/>
      <c r="AU351" s="76"/>
      <c r="AV351" s="76"/>
      <c r="AW351" s="76"/>
      <c r="AX351" s="76"/>
      <c r="AY351" s="76"/>
      <c r="AZ351" s="76"/>
      <c r="BA351" s="76"/>
      <c r="BB351" s="76"/>
    </row>
    <row r="352" spans="5:54" x14ac:dyDescent="0.35">
      <c r="E352" s="83"/>
      <c r="F352" s="83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  <c r="Z352" s="76"/>
      <c r="AA352" s="76"/>
      <c r="AB352" s="76"/>
      <c r="AC352" s="76"/>
      <c r="AD352" s="76"/>
      <c r="AE352" s="76"/>
      <c r="AF352" s="76"/>
      <c r="AG352" s="76"/>
      <c r="AH352" s="76"/>
      <c r="AI352" s="76"/>
      <c r="AJ352" s="76"/>
      <c r="AK352" s="76"/>
      <c r="AL352" s="76"/>
      <c r="AM352" s="76"/>
      <c r="AN352" s="76"/>
      <c r="AO352" s="76"/>
      <c r="AP352" s="76"/>
      <c r="AQ352" s="76"/>
      <c r="AR352" s="76"/>
      <c r="AS352" s="76"/>
      <c r="AT352" s="76"/>
      <c r="AU352" s="76"/>
      <c r="AV352" s="76"/>
      <c r="AW352" s="76"/>
      <c r="AX352" s="76"/>
      <c r="AY352" s="76"/>
      <c r="AZ352" s="76"/>
      <c r="BA352" s="76"/>
      <c r="BB352" s="76"/>
    </row>
    <row r="353" spans="5:54" x14ac:dyDescent="0.35">
      <c r="E353" s="83"/>
      <c r="F353" s="83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  <c r="Z353" s="76"/>
      <c r="AA353" s="76"/>
      <c r="AB353" s="76"/>
      <c r="AC353" s="76"/>
      <c r="AD353" s="76"/>
      <c r="AE353" s="76"/>
      <c r="AF353" s="76"/>
      <c r="AG353" s="76"/>
      <c r="AH353" s="76"/>
      <c r="AI353" s="76"/>
      <c r="AJ353" s="76"/>
      <c r="AK353" s="76"/>
      <c r="AL353" s="76"/>
      <c r="AM353" s="76"/>
      <c r="AN353" s="76"/>
      <c r="AO353" s="76"/>
      <c r="AP353" s="76"/>
      <c r="AQ353" s="76"/>
      <c r="AR353" s="76"/>
      <c r="AS353" s="76"/>
      <c r="AT353" s="76"/>
      <c r="AU353" s="76"/>
      <c r="AV353" s="76"/>
      <c r="AW353" s="76"/>
      <c r="AX353" s="76"/>
      <c r="AY353" s="76"/>
      <c r="AZ353" s="76"/>
      <c r="BA353" s="76"/>
      <c r="BB353" s="76"/>
    </row>
    <row r="354" spans="5:54" x14ac:dyDescent="0.35">
      <c r="E354" s="83"/>
      <c r="F354" s="83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  <c r="Z354" s="76"/>
      <c r="AA354" s="76"/>
      <c r="AB354" s="76"/>
      <c r="AC354" s="76"/>
      <c r="AD354" s="76"/>
      <c r="AE354" s="76"/>
      <c r="AF354" s="76"/>
      <c r="AG354" s="76"/>
      <c r="AH354" s="76"/>
      <c r="AI354" s="76"/>
      <c r="AJ354" s="76"/>
      <c r="AK354" s="76"/>
      <c r="AL354" s="76"/>
      <c r="AM354" s="76"/>
      <c r="AN354" s="76"/>
      <c r="AO354" s="76"/>
      <c r="AP354" s="76"/>
      <c r="AQ354" s="76"/>
      <c r="AR354" s="76"/>
      <c r="AS354" s="76"/>
      <c r="AT354" s="76"/>
      <c r="AU354" s="76"/>
      <c r="AV354" s="76"/>
      <c r="AW354" s="76"/>
      <c r="AX354" s="76"/>
      <c r="AY354" s="76"/>
      <c r="AZ354" s="76"/>
      <c r="BA354" s="76"/>
      <c r="BB354" s="76"/>
    </row>
    <row r="355" spans="5:54" x14ac:dyDescent="0.35">
      <c r="E355" s="83"/>
      <c r="F355" s="83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  <c r="Z355" s="76"/>
      <c r="AA355" s="76"/>
      <c r="AB355" s="76"/>
      <c r="AC355" s="76"/>
      <c r="AD355" s="76"/>
      <c r="AE355" s="76"/>
      <c r="AF355" s="76"/>
      <c r="AG355" s="76"/>
      <c r="AH355" s="76"/>
      <c r="AI355" s="76"/>
      <c r="AJ355" s="76"/>
      <c r="AK355" s="76"/>
      <c r="AL355" s="76"/>
      <c r="AM355" s="76"/>
      <c r="AN355" s="76"/>
      <c r="AO355" s="76"/>
      <c r="AP355" s="76"/>
      <c r="AQ355" s="76"/>
      <c r="AR355" s="76"/>
      <c r="AS355" s="76"/>
      <c r="AT355" s="76"/>
      <c r="AU355" s="76"/>
      <c r="AV355" s="76"/>
      <c r="AW355" s="76"/>
      <c r="AX355" s="76"/>
      <c r="AY355" s="76"/>
      <c r="AZ355" s="76"/>
      <c r="BA355" s="76"/>
      <c r="BB355" s="76"/>
    </row>
    <row r="356" spans="5:54" x14ac:dyDescent="0.35">
      <c r="E356" s="83"/>
      <c r="F356" s="83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  <c r="Z356" s="76"/>
      <c r="AA356" s="76"/>
      <c r="AB356" s="76"/>
      <c r="AC356" s="76"/>
      <c r="AD356" s="76"/>
      <c r="AE356" s="76"/>
      <c r="AF356" s="76"/>
      <c r="AG356" s="76"/>
      <c r="AH356" s="76"/>
      <c r="AI356" s="76"/>
      <c r="AJ356" s="76"/>
      <c r="AK356" s="76"/>
      <c r="AL356" s="76"/>
      <c r="AM356" s="76"/>
      <c r="AN356" s="76"/>
      <c r="AO356" s="76"/>
      <c r="AP356" s="76"/>
      <c r="AQ356" s="76"/>
      <c r="AR356" s="76"/>
      <c r="AS356" s="76"/>
      <c r="AT356" s="76"/>
      <c r="AU356" s="76"/>
      <c r="AV356" s="76"/>
      <c r="AW356" s="76"/>
      <c r="AX356" s="76"/>
      <c r="AY356" s="76"/>
      <c r="AZ356" s="76"/>
      <c r="BA356" s="76"/>
      <c r="BB356" s="76"/>
    </row>
    <row r="357" spans="5:54" x14ac:dyDescent="0.35">
      <c r="E357" s="83"/>
      <c r="F357" s="83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  <c r="Z357" s="76"/>
      <c r="AA357" s="76"/>
      <c r="AB357" s="76"/>
      <c r="AC357" s="76"/>
      <c r="AD357" s="76"/>
      <c r="AE357" s="76"/>
      <c r="AF357" s="76"/>
      <c r="AG357" s="76"/>
      <c r="AH357" s="76"/>
      <c r="AI357" s="76"/>
      <c r="AJ357" s="76"/>
      <c r="AK357" s="76"/>
      <c r="AL357" s="76"/>
      <c r="AM357" s="76"/>
      <c r="AN357" s="76"/>
      <c r="AO357" s="76"/>
      <c r="AP357" s="76"/>
      <c r="AQ357" s="76"/>
      <c r="AR357" s="76"/>
      <c r="AS357" s="76"/>
      <c r="AT357" s="76"/>
      <c r="AU357" s="76"/>
      <c r="AV357" s="76"/>
      <c r="AW357" s="76"/>
      <c r="AX357" s="76"/>
      <c r="AY357" s="76"/>
      <c r="AZ357" s="76"/>
      <c r="BA357" s="76"/>
      <c r="BB357" s="76"/>
    </row>
    <row r="358" spans="5:54" x14ac:dyDescent="0.35">
      <c r="E358" s="83"/>
      <c r="F358" s="83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  <c r="Z358" s="76"/>
      <c r="AA358" s="76"/>
      <c r="AB358" s="76"/>
      <c r="AC358" s="76"/>
      <c r="AD358" s="76"/>
      <c r="AE358" s="76"/>
      <c r="AF358" s="76"/>
      <c r="AG358" s="76"/>
      <c r="AH358" s="76"/>
      <c r="AI358" s="76"/>
      <c r="AJ358" s="76"/>
      <c r="AK358" s="76"/>
      <c r="AL358" s="76"/>
      <c r="AM358" s="76"/>
      <c r="AN358" s="76"/>
      <c r="AO358" s="76"/>
      <c r="AP358" s="76"/>
      <c r="AQ358" s="76"/>
      <c r="AR358" s="76"/>
      <c r="AS358" s="76"/>
      <c r="AT358" s="76"/>
      <c r="AU358" s="76"/>
      <c r="AV358" s="76"/>
      <c r="AW358" s="76"/>
      <c r="AX358" s="76"/>
      <c r="AY358" s="76"/>
      <c r="AZ358" s="76"/>
      <c r="BA358" s="76"/>
      <c r="BB358" s="76"/>
    </row>
    <row r="359" spans="5:54" x14ac:dyDescent="0.35">
      <c r="E359" s="83"/>
      <c r="F359" s="83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  <c r="AA359" s="76"/>
      <c r="AB359" s="76"/>
      <c r="AC359" s="76"/>
      <c r="AD359" s="76"/>
      <c r="AE359" s="76"/>
      <c r="AF359" s="76"/>
      <c r="AG359" s="76"/>
      <c r="AH359" s="76"/>
      <c r="AI359" s="76"/>
      <c r="AJ359" s="76"/>
      <c r="AK359" s="76"/>
      <c r="AL359" s="76"/>
      <c r="AM359" s="76"/>
      <c r="AN359" s="76"/>
      <c r="AO359" s="76"/>
      <c r="AP359" s="76"/>
      <c r="AQ359" s="76"/>
      <c r="AR359" s="76"/>
      <c r="AS359" s="76"/>
      <c r="AT359" s="76"/>
      <c r="AU359" s="76"/>
      <c r="AV359" s="76"/>
      <c r="AW359" s="76"/>
      <c r="AX359" s="76"/>
      <c r="AY359" s="76"/>
      <c r="AZ359" s="76"/>
      <c r="BA359" s="76"/>
      <c r="BB359" s="76"/>
    </row>
    <row r="360" spans="5:54" x14ac:dyDescent="0.35">
      <c r="E360" s="83"/>
      <c r="F360" s="83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  <c r="Z360" s="76"/>
      <c r="AA360" s="76"/>
      <c r="AB360" s="76"/>
      <c r="AC360" s="76"/>
      <c r="AD360" s="76"/>
      <c r="AE360" s="76"/>
      <c r="AF360" s="76"/>
      <c r="AG360" s="76"/>
      <c r="AH360" s="76"/>
      <c r="AI360" s="76"/>
      <c r="AJ360" s="76"/>
      <c r="AK360" s="76"/>
      <c r="AL360" s="76"/>
      <c r="AM360" s="76"/>
      <c r="AN360" s="76"/>
      <c r="AO360" s="76"/>
      <c r="AP360" s="76"/>
      <c r="AQ360" s="76"/>
      <c r="AR360" s="76"/>
      <c r="AS360" s="76"/>
      <c r="AT360" s="76"/>
      <c r="AU360" s="76"/>
      <c r="AV360" s="76"/>
      <c r="AW360" s="76"/>
      <c r="AX360" s="76"/>
      <c r="AY360" s="76"/>
      <c r="AZ360" s="76"/>
      <c r="BA360" s="76"/>
      <c r="BB360" s="76"/>
    </row>
    <row r="361" spans="5:54" x14ac:dyDescent="0.35">
      <c r="E361" s="83"/>
      <c r="F361" s="83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  <c r="Z361" s="76"/>
      <c r="AA361" s="76"/>
      <c r="AB361" s="76"/>
      <c r="AC361" s="76"/>
      <c r="AD361" s="76"/>
      <c r="AE361" s="76"/>
      <c r="AF361" s="76"/>
      <c r="AG361" s="76"/>
      <c r="AH361" s="76"/>
      <c r="AI361" s="76"/>
      <c r="AJ361" s="76"/>
      <c r="AK361" s="76"/>
      <c r="AL361" s="76"/>
      <c r="AM361" s="76"/>
      <c r="AN361" s="76"/>
      <c r="AO361" s="76"/>
      <c r="AP361" s="76"/>
      <c r="AQ361" s="76"/>
      <c r="AR361" s="76"/>
      <c r="AS361" s="76"/>
      <c r="AT361" s="76"/>
      <c r="AU361" s="76"/>
      <c r="AV361" s="76"/>
      <c r="AW361" s="76"/>
      <c r="AX361" s="76"/>
      <c r="AY361" s="76"/>
      <c r="AZ361" s="76"/>
      <c r="BA361" s="76"/>
      <c r="BB361" s="76"/>
    </row>
    <row r="362" spans="5:54" x14ac:dyDescent="0.35">
      <c r="E362" s="83"/>
      <c r="F362" s="83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/>
      <c r="AA362" s="76"/>
      <c r="AB362" s="76"/>
      <c r="AC362" s="76"/>
      <c r="AD362" s="76"/>
      <c r="AE362" s="76"/>
      <c r="AF362" s="76"/>
      <c r="AG362" s="76"/>
      <c r="AH362" s="76"/>
      <c r="AI362" s="76"/>
      <c r="AJ362" s="76"/>
      <c r="AK362" s="76"/>
      <c r="AL362" s="76"/>
      <c r="AM362" s="76"/>
      <c r="AN362" s="76"/>
      <c r="AO362" s="76"/>
      <c r="AP362" s="76"/>
      <c r="AQ362" s="76"/>
      <c r="AR362" s="76"/>
      <c r="AS362" s="76"/>
      <c r="AT362" s="76"/>
      <c r="AU362" s="76"/>
      <c r="AV362" s="76"/>
      <c r="AW362" s="76"/>
      <c r="AX362" s="76"/>
      <c r="AY362" s="76"/>
      <c r="AZ362" s="76"/>
      <c r="BA362" s="76"/>
      <c r="BB362" s="76"/>
    </row>
    <row r="363" spans="5:54" x14ac:dyDescent="0.35">
      <c r="E363" s="83"/>
      <c r="F363" s="83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76"/>
      <c r="AC363" s="76"/>
      <c r="AD363" s="76"/>
      <c r="AE363" s="76"/>
      <c r="AF363" s="76"/>
      <c r="AG363" s="76"/>
      <c r="AH363" s="76"/>
      <c r="AI363" s="76"/>
      <c r="AJ363" s="76"/>
      <c r="AK363" s="76"/>
      <c r="AL363" s="76"/>
      <c r="AM363" s="76"/>
      <c r="AN363" s="76"/>
      <c r="AO363" s="76"/>
      <c r="AP363" s="76"/>
      <c r="AQ363" s="76"/>
      <c r="AR363" s="76"/>
      <c r="AS363" s="76"/>
      <c r="AT363" s="76"/>
      <c r="AU363" s="76"/>
      <c r="AV363" s="76"/>
      <c r="AW363" s="76"/>
      <c r="AX363" s="76"/>
      <c r="AY363" s="76"/>
      <c r="AZ363" s="76"/>
      <c r="BA363" s="76"/>
      <c r="BB363" s="76"/>
    </row>
    <row r="364" spans="5:54" x14ac:dyDescent="0.35">
      <c r="E364" s="83"/>
      <c r="F364" s="83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6"/>
      <c r="AC364" s="76"/>
      <c r="AD364" s="76"/>
      <c r="AE364" s="76"/>
      <c r="AF364" s="76"/>
      <c r="AG364" s="76"/>
      <c r="AH364" s="76"/>
      <c r="AI364" s="76"/>
      <c r="AJ364" s="76"/>
      <c r="AK364" s="76"/>
      <c r="AL364" s="76"/>
      <c r="AM364" s="76"/>
      <c r="AN364" s="76"/>
      <c r="AO364" s="76"/>
      <c r="AP364" s="76"/>
      <c r="AQ364" s="76"/>
      <c r="AR364" s="76"/>
      <c r="AS364" s="76"/>
      <c r="AT364" s="76"/>
      <c r="AU364" s="76"/>
      <c r="AV364" s="76"/>
      <c r="AW364" s="76"/>
      <c r="AX364" s="76"/>
      <c r="AY364" s="76"/>
      <c r="AZ364" s="76"/>
      <c r="BA364" s="76"/>
      <c r="BB364" s="76"/>
    </row>
    <row r="365" spans="5:54" x14ac:dyDescent="0.35">
      <c r="E365" s="83"/>
      <c r="F365" s="83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  <c r="Z365" s="76"/>
      <c r="AA365" s="76"/>
      <c r="AB365" s="76"/>
      <c r="AC365" s="76"/>
      <c r="AD365" s="76"/>
      <c r="AE365" s="76"/>
      <c r="AF365" s="76"/>
      <c r="AG365" s="76"/>
      <c r="AH365" s="76"/>
      <c r="AI365" s="76"/>
      <c r="AJ365" s="76"/>
      <c r="AK365" s="76"/>
      <c r="AL365" s="76"/>
      <c r="AM365" s="76"/>
      <c r="AN365" s="76"/>
      <c r="AO365" s="76"/>
      <c r="AP365" s="76"/>
      <c r="AQ365" s="76"/>
      <c r="AR365" s="76"/>
      <c r="AS365" s="76"/>
      <c r="AT365" s="76"/>
      <c r="AU365" s="76"/>
      <c r="AV365" s="76"/>
      <c r="AW365" s="76"/>
      <c r="AX365" s="76"/>
      <c r="AY365" s="76"/>
      <c r="AZ365" s="76"/>
      <c r="BA365" s="76"/>
      <c r="BB365" s="76"/>
    </row>
    <row r="366" spans="5:54" x14ac:dyDescent="0.35">
      <c r="E366" s="83"/>
      <c r="F366" s="83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  <c r="Z366" s="76"/>
      <c r="AA366" s="76"/>
      <c r="AB366" s="76"/>
      <c r="AC366" s="76"/>
      <c r="AD366" s="76"/>
      <c r="AE366" s="76"/>
      <c r="AF366" s="76"/>
      <c r="AG366" s="76"/>
      <c r="AH366" s="76"/>
      <c r="AI366" s="76"/>
      <c r="AJ366" s="76"/>
      <c r="AK366" s="76"/>
      <c r="AL366" s="76"/>
      <c r="AM366" s="76"/>
      <c r="AN366" s="76"/>
      <c r="AO366" s="76"/>
      <c r="AP366" s="76"/>
      <c r="AQ366" s="76"/>
      <c r="AR366" s="76"/>
      <c r="AS366" s="76"/>
      <c r="AT366" s="76"/>
      <c r="AU366" s="76"/>
      <c r="AV366" s="76"/>
      <c r="AW366" s="76"/>
      <c r="AX366" s="76"/>
      <c r="AY366" s="76"/>
      <c r="AZ366" s="76"/>
      <c r="BA366" s="76"/>
      <c r="BB366" s="76"/>
    </row>
    <row r="367" spans="5:54" x14ac:dyDescent="0.35">
      <c r="E367" s="83"/>
      <c r="F367" s="83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  <c r="Z367" s="76"/>
      <c r="AA367" s="76"/>
      <c r="AB367" s="76"/>
      <c r="AC367" s="76"/>
      <c r="AD367" s="76"/>
      <c r="AE367" s="76"/>
      <c r="AF367" s="76"/>
      <c r="AG367" s="76"/>
      <c r="AH367" s="76"/>
      <c r="AI367" s="76"/>
      <c r="AJ367" s="76"/>
      <c r="AK367" s="76"/>
      <c r="AL367" s="76"/>
      <c r="AM367" s="76"/>
      <c r="AN367" s="76"/>
      <c r="AO367" s="76"/>
      <c r="AP367" s="76"/>
      <c r="AQ367" s="76"/>
      <c r="AR367" s="76"/>
      <c r="AS367" s="76"/>
      <c r="AT367" s="76"/>
      <c r="AU367" s="76"/>
      <c r="AV367" s="76"/>
      <c r="AW367" s="76"/>
      <c r="AX367" s="76"/>
      <c r="AY367" s="76"/>
      <c r="AZ367" s="76"/>
      <c r="BA367" s="76"/>
      <c r="BB367" s="76"/>
    </row>
    <row r="368" spans="5:54" x14ac:dyDescent="0.35">
      <c r="E368" s="83"/>
      <c r="F368" s="83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  <c r="Z368" s="76"/>
      <c r="AA368" s="76"/>
      <c r="AB368" s="76"/>
      <c r="AC368" s="76"/>
      <c r="AD368" s="76"/>
      <c r="AE368" s="76"/>
      <c r="AF368" s="76"/>
      <c r="AG368" s="76"/>
      <c r="AH368" s="76"/>
      <c r="AI368" s="76"/>
      <c r="AJ368" s="76"/>
      <c r="AK368" s="76"/>
      <c r="AL368" s="76"/>
      <c r="AM368" s="76"/>
      <c r="AN368" s="76"/>
      <c r="AO368" s="76"/>
      <c r="AP368" s="76"/>
      <c r="AQ368" s="76"/>
      <c r="AR368" s="76"/>
      <c r="AS368" s="76"/>
      <c r="AT368" s="76"/>
      <c r="AU368" s="76"/>
      <c r="AV368" s="76"/>
      <c r="AW368" s="76"/>
      <c r="AX368" s="76"/>
      <c r="AY368" s="76"/>
      <c r="AZ368" s="76"/>
      <c r="BA368" s="76"/>
      <c r="BB368" s="76"/>
    </row>
    <row r="369" spans="5:54" x14ac:dyDescent="0.35">
      <c r="E369" s="83"/>
      <c r="F369" s="83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  <c r="Z369" s="76"/>
      <c r="AA369" s="76"/>
      <c r="AB369" s="76"/>
      <c r="AC369" s="76"/>
      <c r="AD369" s="76"/>
      <c r="AE369" s="76"/>
      <c r="AF369" s="76"/>
      <c r="AG369" s="76"/>
      <c r="AH369" s="76"/>
      <c r="AI369" s="76"/>
      <c r="AJ369" s="76"/>
      <c r="AK369" s="76"/>
      <c r="AL369" s="76"/>
      <c r="AM369" s="76"/>
      <c r="AN369" s="76"/>
      <c r="AO369" s="76"/>
      <c r="AP369" s="76"/>
      <c r="AQ369" s="76"/>
      <c r="AR369" s="76"/>
      <c r="AS369" s="76"/>
      <c r="AT369" s="76"/>
      <c r="AU369" s="76"/>
      <c r="AV369" s="76"/>
      <c r="AW369" s="76"/>
      <c r="AX369" s="76"/>
      <c r="AY369" s="76"/>
      <c r="AZ369" s="76"/>
      <c r="BA369" s="76"/>
      <c r="BB369" s="76"/>
    </row>
    <row r="370" spans="5:54" x14ac:dyDescent="0.35">
      <c r="E370" s="83"/>
      <c r="F370" s="83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  <c r="AA370" s="76"/>
      <c r="AB370" s="76"/>
      <c r="AC370" s="76"/>
      <c r="AD370" s="76"/>
      <c r="AE370" s="76"/>
      <c r="AF370" s="76"/>
      <c r="AG370" s="76"/>
      <c r="AH370" s="76"/>
      <c r="AI370" s="76"/>
      <c r="AJ370" s="76"/>
      <c r="AK370" s="76"/>
      <c r="AL370" s="76"/>
      <c r="AM370" s="76"/>
      <c r="AN370" s="76"/>
      <c r="AO370" s="76"/>
      <c r="AP370" s="76"/>
      <c r="AQ370" s="76"/>
      <c r="AR370" s="76"/>
      <c r="AS370" s="76"/>
      <c r="AT370" s="76"/>
      <c r="AU370" s="76"/>
      <c r="AV370" s="76"/>
      <c r="AW370" s="76"/>
      <c r="AX370" s="76"/>
      <c r="AY370" s="76"/>
      <c r="AZ370" s="76"/>
      <c r="BA370" s="76"/>
      <c r="BB370" s="76"/>
    </row>
    <row r="371" spans="5:54" x14ac:dyDescent="0.35">
      <c r="E371" s="83"/>
      <c r="F371" s="83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  <c r="Z371" s="76"/>
      <c r="AA371" s="76"/>
      <c r="AB371" s="76"/>
      <c r="AC371" s="76"/>
      <c r="AD371" s="76"/>
      <c r="AE371" s="76"/>
      <c r="AF371" s="76"/>
      <c r="AG371" s="76"/>
      <c r="AH371" s="76"/>
      <c r="AI371" s="76"/>
      <c r="AJ371" s="76"/>
      <c r="AK371" s="76"/>
      <c r="AL371" s="76"/>
      <c r="AM371" s="76"/>
      <c r="AN371" s="76"/>
      <c r="AO371" s="76"/>
      <c r="AP371" s="76"/>
      <c r="AQ371" s="76"/>
      <c r="AR371" s="76"/>
      <c r="AS371" s="76"/>
      <c r="AT371" s="76"/>
      <c r="AU371" s="76"/>
      <c r="AV371" s="76"/>
      <c r="AW371" s="76"/>
      <c r="AX371" s="76"/>
      <c r="AY371" s="76"/>
      <c r="AZ371" s="76"/>
      <c r="BA371" s="76"/>
      <c r="BB371" s="76"/>
    </row>
    <row r="372" spans="5:54" x14ac:dyDescent="0.35">
      <c r="E372" s="83"/>
      <c r="F372" s="83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  <c r="Z372" s="76"/>
      <c r="AA372" s="76"/>
      <c r="AB372" s="76"/>
      <c r="AC372" s="76"/>
      <c r="AD372" s="76"/>
      <c r="AE372" s="76"/>
      <c r="AF372" s="76"/>
      <c r="AG372" s="76"/>
      <c r="AH372" s="76"/>
      <c r="AI372" s="76"/>
      <c r="AJ372" s="76"/>
      <c r="AK372" s="76"/>
      <c r="AL372" s="76"/>
      <c r="AM372" s="76"/>
      <c r="AN372" s="76"/>
      <c r="AO372" s="76"/>
      <c r="AP372" s="76"/>
      <c r="AQ372" s="76"/>
      <c r="AR372" s="76"/>
      <c r="AS372" s="76"/>
      <c r="AT372" s="76"/>
      <c r="AU372" s="76"/>
      <c r="AV372" s="76"/>
      <c r="AW372" s="76"/>
      <c r="AX372" s="76"/>
      <c r="AY372" s="76"/>
      <c r="AZ372" s="76"/>
      <c r="BA372" s="76"/>
      <c r="BB372" s="76"/>
    </row>
    <row r="373" spans="5:54" x14ac:dyDescent="0.35">
      <c r="E373" s="83"/>
      <c r="F373" s="83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  <c r="Z373" s="76"/>
      <c r="AA373" s="76"/>
      <c r="AB373" s="76"/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  <c r="AW373" s="76"/>
      <c r="AX373" s="76"/>
      <c r="AY373" s="76"/>
      <c r="AZ373" s="76"/>
      <c r="BA373" s="76"/>
      <c r="BB373" s="76"/>
    </row>
    <row r="374" spans="5:54" x14ac:dyDescent="0.35">
      <c r="E374" s="83"/>
      <c r="F374" s="83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  <c r="Z374" s="76"/>
      <c r="AA374" s="76"/>
      <c r="AB374" s="76"/>
      <c r="AC374" s="76"/>
      <c r="AD374" s="76"/>
      <c r="AE374" s="76"/>
      <c r="AF374" s="76"/>
      <c r="AG374" s="76"/>
      <c r="AH374" s="76"/>
      <c r="AI374" s="76"/>
      <c r="AJ374" s="76"/>
      <c r="AK374" s="76"/>
      <c r="AL374" s="76"/>
      <c r="AM374" s="76"/>
      <c r="AN374" s="76"/>
      <c r="AO374" s="76"/>
      <c r="AP374" s="76"/>
      <c r="AQ374" s="76"/>
      <c r="AR374" s="76"/>
      <c r="AS374" s="76"/>
      <c r="AT374" s="76"/>
      <c r="AU374" s="76"/>
      <c r="AV374" s="76"/>
      <c r="AW374" s="76"/>
      <c r="AX374" s="76"/>
      <c r="AY374" s="76"/>
      <c r="AZ374" s="76"/>
      <c r="BA374" s="76"/>
      <c r="BB374" s="76"/>
    </row>
    <row r="375" spans="5:54" x14ac:dyDescent="0.35">
      <c r="E375" s="83"/>
      <c r="F375" s="83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76"/>
      <c r="AB375" s="76"/>
      <c r="AC375" s="76"/>
      <c r="AD375" s="76"/>
      <c r="AE375" s="76"/>
      <c r="AF375" s="76"/>
      <c r="AG375" s="76"/>
      <c r="AH375" s="76"/>
      <c r="AI375" s="76"/>
      <c r="AJ375" s="76"/>
      <c r="AK375" s="76"/>
      <c r="AL375" s="76"/>
      <c r="AM375" s="76"/>
      <c r="AN375" s="76"/>
      <c r="AO375" s="76"/>
      <c r="AP375" s="76"/>
      <c r="AQ375" s="76"/>
      <c r="AR375" s="76"/>
      <c r="AS375" s="76"/>
      <c r="AT375" s="76"/>
      <c r="AU375" s="76"/>
      <c r="AV375" s="76"/>
      <c r="AW375" s="76"/>
      <c r="AX375" s="76"/>
      <c r="AY375" s="76"/>
      <c r="AZ375" s="76"/>
      <c r="BA375" s="76"/>
      <c r="BB375" s="76"/>
    </row>
    <row r="376" spans="5:54" x14ac:dyDescent="0.35">
      <c r="E376" s="83"/>
      <c r="F376" s="83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  <c r="AA376" s="76"/>
      <c r="AB376" s="76"/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/>
      <c r="AW376" s="76"/>
      <c r="AX376" s="76"/>
      <c r="AY376" s="76"/>
      <c r="AZ376" s="76"/>
      <c r="BA376" s="76"/>
      <c r="BB376" s="76"/>
    </row>
    <row r="377" spans="5:54" x14ac:dyDescent="0.35">
      <c r="E377" s="83"/>
      <c r="F377" s="83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76"/>
      <c r="AB377" s="76"/>
      <c r="AC377" s="76"/>
      <c r="AD377" s="76"/>
      <c r="AE377" s="76"/>
      <c r="AF377" s="76"/>
      <c r="AG377" s="76"/>
      <c r="AH377" s="76"/>
      <c r="AI377" s="76"/>
      <c r="AJ377" s="76"/>
      <c r="AK377" s="76"/>
      <c r="AL377" s="76"/>
      <c r="AM377" s="76"/>
      <c r="AN377" s="76"/>
      <c r="AO377" s="76"/>
      <c r="AP377" s="76"/>
      <c r="AQ377" s="76"/>
      <c r="AR377" s="76"/>
      <c r="AS377" s="76"/>
      <c r="AT377" s="76"/>
      <c r="AU377" s="76"/>
      <c r="AV377" s="76"/>
      <c r="AW377" s="76"/>
      <c r="AX377" s="76"/>
      <c r="AY377" s="76"/>
      <c r="AZ377" s="76"/>
      <c r="BA377" s="76"/>
      <c r="BB377" s="76"/>
    </row>
    <row r="378" spans="5:54" x14ac:dyDescent="0.35">
      <c r="E378" s="83"/>
      <c r="F378" s="83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  <c r="AA378" s="76"/>
      <c r="AB378" s="76"/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</row>
    <row r="379" spans="5:54" x14ac:dyDescent="0.35">
      <c r="E379" s="83"/>
      <c r="F379" s="83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/>
      <c r="AA379" s="76"/>
      <c r="AB379" s="76"/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</row>
    <row r="380" spans="5:54" x14ac:dyDescent="0.35">
      <c r="E380" s="83"/>
      <c r="F380" s="83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6"/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</row>
    <row r="381" spans="5:54" x14ac:dyDescent="0.35">
      <c r="E381" s="83"/>
      <c r="F381" s="83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  <c r="Z381" s="76"/>
      <c r="AA381" s="76"/>
      <c r="AB381" s="76"/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</row>
    <row r="382" spans="5:54" x14ac:dyDescent="0.35">
      <c r="E382" s="83"/>
      <c r="F382" s="83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  <c r="Z382" s="76"/>
      <c r="AA382" s="76"/>
      <c r="AB382" s="76"/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</row>
    <row r="383" spans="5:54" x14ac:dyDescent="0.35">
      <c r="E383" s="83"/>
      <c r="F383" s="83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76"/>
      <c r="AB383" s="76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</row>
    <row r="384" spans="5:54" x14ac:dyDescent="0.35">
      <c r="E384" s="83"/>
      <c r="F384" s="83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  <c r="Z384" s="76"/>
      <c r="AA384" s="76"/>
      <c r="AB384" s="76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</row>
    <row r="385" spans="5:54" x14ac:dyDescent="0.35">
      <c r="E385" s="83"/>
      <c r="F385" s="83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  <c r="Z385" s="76"/>
      <c r="AA385" s="76"/>
      <c r="AB385" s="76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</row>
    <row r="386" spans="5:54" x14ac:dyDescent="0.35">
      <c r="E386" s="83"/>
      <c r="F386" s="83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  <c r="Z386" s="76"/>
      <c r="AA386" s="76"/>
      <c r="AB386" s="76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</row>
    <row r="387" spans="5:54" x14ac:dyDescent="0.35">
      <c r="E387" s="83"/>
      <c r="F387" s="83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76"/>
      <c r="AB387" s="76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</row>
    <row r="388" spans="5:54" x14ac:dyDescent="0.35">
      <c r="E388" s="83"/>
      <c r="F388" s="83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  <c r="AA388" s="76"/>
      <c r="AB388" s="76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</row>
    <row r="389" spans="5:54" x14ac:dyDescent="0.35">
      <c r="E389" s="83"/>
      <c r="F389" s="83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76"/>
      <c r="AB389" s="76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</row>
    <row r="390" spans="5:54" x14ac:dyDescent="0.35">
      <c r="E390" s="83"/>
      <c r="F390" s="83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  <c r="Z390" s="76"/>
      <c r="AA390" s="76"/>
      <c r="AB390" s="76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</row>
    <row r="391" spans="5:54" x14ac:dyDescent="0.35">
      <c r="E391" s="83"/>
      <c r="F391" s="83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76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</row>
    <row r="392" spans="5:54" x14ac:dyDescent="0.35">
      <c r="E392" s="83"/>
      <c r="F392" s="83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  <c r="AA392" s="76"/>
      <c r="AB392" s="76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</row>
    <row r="393" spans="5:54" x14ac:dyDescent="0.35">
      <c r="E393" s="83"/>
      <c r="F393" s="83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76"/>
      <c r="AB393" s="76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</row>
    <row r="394" spans="5:54" x14ac:dyDescent="0.35">
      <c r="E394" s="83"/>
      <c r="F394" s="83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  <c r="AA394" s="76"/>
      <c r="AB394" s="76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</row>
    <row r="395" spans="5:54" x14ac:dyDescent="0.35">
      <c r="E395" s="83"/>
      <c r="F395" s="83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  <c r="AA395" s="76"/>
      <c r="AB395" s="76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</row>
    <row r="396" spans="5:54" x14ac:dyDescent="0.35">
      <c r="E396" s="83"/>
      <c r="F396" s="83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  <c r="AA396" s="76"/>
      <c r="AB396" s="76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</row>
    <row r="397" spans="5:54" x14ac:dyDescent="0.35">
      <c r="E397" s="83"/>
      <c r="F397" s="83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6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</row>
    <row r="398" spans="5:54" x14ac:dyDescent="0.35">
      <c r="E398" s="83"/>
      <c r="F398" s="83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  <c r="Z398" s="76"/>
      <c r="AA398" s="76"/>
      <c r="AB398" s="76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</row>
    <row r="399" spans="5:54" x14ac:dyDescent="0.35">
      <c r="E399" s="83"/>
      <c r="F399" s="83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  <c r="Z399" s="76"/>
      <c r="AA399" s="76"/>
      <c r="AB399" s="76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</row>
    <row r="400" spans="5:54" x14ac:dyDescent="0.35">
      <c r="E400" s="83"/>
      <c r="F400" s="83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  <c r="Z400" s="76"/>
      <c r="AA400" s="76"/>
      <c r="AB400" s="76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</row>
    <row r="401" spans="5:54" x14ac:dyDescent="0.35">
      <c r="E401" s="83"/>
      <c r="F401" s="83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76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</row>
    <row r="402" spans="5:54" x14ac:dyDescent="0.35">
      <c r="E402" s="83"/>
      <c r="F402" s="83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  <c r="AA402" s="76"/>
      <c r="AB402" s="76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</row>
    <row r="403" spans="5:54" x14ac:dyDescent="0.35">
      <c r="E403" s="83"/>
      <c r="F403" s="83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  <c r="AA403" s="76"/>
      <c r="AB403" s="76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</row>
    <row r="404" spans="5:54" x14ac:dyDescent="0.35">
      <c r="E404" s="83"/>
      <c r="F404" s="83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  <c r="Z404" s="76"/>
      <c r="AA404" s="76"/>
      <c r="AB404" s="76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</row>
    <row r="405" spans="5:54" x14ac:dyDescent="0.35">
      <c r="E405" s="83"/>
      <c r="F405" s="83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  <c r="Z405" s="76"/>
      <c r="AA405" s="76"/>
      <c r="AB405" s="76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</row>
    <row r="406" spans="5:54" x14ac:dyDescent="0.35">
      <c r="E406" s="83"/>
      <c r="F406" s="83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/>
      <c r="AA406" s="76"/>
      <c r="AB406" s="76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</row>
    <row r="407" spans="5:54" x14ac:dyDescent="0.35">
      <c r="E407" s="83"/>
      <c r="F407" s="83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/>
      <c r="AA407" s="76"/>
      <c r="AB407" s="76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</row>
    <row r="408" spans="5:54" x14ac:dyDescent="0.35">
      <c r="E408" s="83"/>
      <c r="F408" s="83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6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</row>
    <row r="409" spans="5:54" x14ac:dyDescent="0.35">
      <c r="E409" s="83"/>
      <c r="F409" s="83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76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</row>
    <row r="410" spans="5:54" x14ac:dyDescent="0.35">
      <c r="E410" s="83"/>
      <c r="F410" s="83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/>
      <c r="AA410" s="76"/>
      <c r="AB410" s="76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</row>
    <row r="411" spans="5:54" x14ac:dyDescent="0.35">
      <c r="E411" s="83"/>
      <c r="F411" s="83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  <c r="Z411" s="76"/>
      <c r="AA411" s="76"/>
      <c r="AB411" s="76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</row>
    <row r="412" spans="5:54" x14ac:dyDescent="0.35">
      <c r="E412" s="83"/>
      <c r="F412" s="83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6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</row>
    <row r="413" spans="5:54" x14ac:dyDescent="0.35">
      <c r="E413" s="83"/>
      <c r="F413" s="83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6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</row>
    <row r="414" spans="5:54" x14ac:dyDescent="0.35">
      <c r="E414" s="83"/>
      <c r="F414" s="83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6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</row>
    <row r="415" spans="5:54" x14ac:dyDescent="0.35">
      <c r="E415" s="83"/>
      <c r="F415" s="83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  <c r="AA415" s="76"/>
      <c r="AB415" s="76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</row>
    <row r="416" spans="5:54" x14ac:dyDescent="0.35">
      <c r="E416" s="83"/>
      <c r="F416" s="83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  <c r="Z416" s="76"/>
      <c r="AA416" s="76"/>
      <c r="AB416" s="76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</row>
    <row r="417" spans="5:54" x14ac:dyDescent="0.35">
      <c r="E417" s="83"/>
      <c r="F417" s="83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  <c r="AA417" s="76"/>
      <c r="AB417" s="76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</row>
    <row r="418" spans="5:54" x14ac:dyDescent="0.35">
      <c r="E418" s="83"/>
      <c r="F418" s="83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  <c r="AA418" s="76"/>
      <c r="AB418" s="76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</row>
    <row r="419" spans="5:54" x14ac:dyDescent="0.35">
      <c r="E419" s="83"/>
      <c r="F419" s="83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6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</row>
    <row r="420" spans="5:54" x14ac:dyDescent="0.35">
      <c r="E420" s="83"/>
      <c r="F420" s="83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  <c r="AA420" s="76"/>
      <c r="AB420" s="76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</row>
    <row r="421" spans="5:54" x14ac:dyDescent="0.35">
      <c r="E421" s="83"/>
      <c r="F421" s="83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6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</row>
    <row r="422" spans="5:54" x14ac:dyDescent="0.35">
      <c r="E422" s="83"/>
      <c r="F422" s="83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</row>
    <row r="423" spans="5:54" x14ac:dyDescent="0.35">
      <c r="E423" s="83"/>
      <c r="F423" s="83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6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</row>
    <row r="424" spans="5:54" x14ac:dyDescent="0.35">
      <c r="E424" s="83"/>
      <c r="F424" s="83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6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</row>
    <row r="425" spans="5:54" x14ac:dyDescent="0.35">
      <c r="E425" s="83"/>
      <c r="F425" s="83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</row>
    <row r="426" spans="5:54" x14ac:dyDescent="0.35">
      <c r="E426" s="83"/>
      <c r="F426" s="83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</row>
    <row r="427" spans="5:54" x14ac:dyDescent="0.35">
      <c r="E427" s="83"/>
      <c r="F427" s="83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6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</row>
    <row r="428" spans="5:54" x14ac:dyDescent="0.35">
      <c r="E428" s="83"/>
      <c r="F428" s="83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/>
      <c r="AA428" s="76"/>
      <c r="AB428" s="76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</row>
    <row r="429" spans="5:54" x14ac:dyDescent="0.35">
      <c r="E429" s="83"/>
      <c r="F429" s="83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</row>
    <row r="430" spans="5:54" x14ac:dyDescent="0.35">
      <c r="E430" s="83"/>
      <c r="F430" s="83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6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</row>
    <row r="431" spans="5:54" x14ac:dyDescent="0.35">
      <c r="E431" s="83"/>
      <c r="F431" s="83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6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</row>
    <row r="432" spans="5:54" x14ac:dyDescent="0.35">
      <c r="E432" s="83"/>
      <c r="F432" s="83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</row>
    <row r="433" spans="5:54" x14ac:dyDescent="0.35">
      <c r="E433" s="83"/>
      <c r="F433" s="83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6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</row>
    <row r="434" spans="5:54" x14ac:dyDescent="0.35">
      <c r="E434" s="83"/>
      <c r="F434" s="83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  <c r="Z434" s="76"/>
      <c r="AA434" s="76"/>
      <c r="AB434" s="76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</row>
    <row r="435" spans="5:54" x14ac:dyDescent="0.35">
      <c r="E435" s="83"/>
      <c r="F435" s="83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6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</row>
    <row r="436" spans="5:54" x14ac:dyDescent="0.35">
      <c r="E436" s="83"/>
      <c r="F436" s="83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  <c r="Z436" s="76"/>
      <c r="AA436" s="76"/>
      <c r="AB436" s="76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</row>
    <row r="437" spans="5:54" x14ac:dyDescent="0.35">
      <c r="E437" s="83"/>
      <c r="F437" s="83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6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</row>
    <row r="438" spans="5:54" x14ac:dyDescent="0.35">
      <c r="E438" s="83"/>
      <c r="F438" s="83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  <c r="Z438" s="76"/>
      <c r="AA438" s="76"/>
      <c r="AB438" s="76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</row>
    <row r="439" spans="5:54" x14ac:dyDescent="0.35">
      <c r="E439" s="83"/>
      <c r="F439" s="83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</row>
    <row r="440" spans="5:54" x14ac:dyDescent="0.35">
      <c r="E440" s="83"/>
      <c r="F440" s="83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6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</row>
    <row r="441" spans="5:54" x14ac:dyDescent="0.35">
      <c r="E441" s="83"/>
      <c r="F441" s="83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6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</row>
    <row r="442" spans="5:54" x14ac:dyDescent="0.35">
      <c r="E442" s="83"/>
      <c r="F442" s="83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6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</row>
    <row r="443" spans="5:54" x14ac:dyDescent="0.35">
      <c r="E443" s="83"/>
      <c r="F443" s="83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6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</row>
    <row r="444" spans="5:54" x14ac:dyDescent="0.35">
      <c r="E444" s="83"/>
      <c r="F444" s="83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  <c r="Z444" s="76"/>
      <c r="AA444" s="76"/>
      <c r="AB444" s="76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</row>
    <row r="445" spans="5:54" x14ac:dyDescent="0.35">
      <c r="E445" s="83"/>
      <c r="F445" s="83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6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</row>
    <row r="446" spans="5:54" x14ac:dyDescent="0.35">
      <c r="E446" s="83"/>
      <c r="F446" s="83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6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</row>
    <row r="447" spans="5:54" x14ac:dyDescent="0.35">
      <c r="E447" s="83"/>
      <c r="F447" s="83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6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</row>
    <row r="448" spans="5:54" x14ac:dyDescent="0.35">
      <c r="E448" s="83"/>
      <c r="F448" s="83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  <c r="Z448" s="76"/>
      <c r="AA448" s="76"/>
      <c r="AB448" s="76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</row>
    <row r="449" spans="5:54" x14ac:dyDescent="0.35">
      <c r="E449" s="83"/>
      <c r="F449" s="83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  <c r="Z449" s="76"/>
      <c r="AA449" s="76"/>
      <c r="AB449" s="76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</row>
    <row r="450" spans="5:54" x14ac:dyDescent="0.35">
      <c r="E450" s="83"/>
      <c r="F450" s="83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76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</row>
    <row r="451" spans="5:54" x14ac:dyDescent="0.35">
      <c r="E451" s="83"/>
      <c r="F451" s="83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  <c r="Z451" s="76"/>
      <c r="AA451" s="76"/>
      <c r="AB451" s="76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</row>
    <row r="452" spans="5:54" x14ac:dyDescent="0.35">
      <c r="E452" s="83"/>
      <c r="F452" s="83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  <c r="Z452" s="76"/>
      <c r="AA452" s="76"/>
      <c r="AB452" s="76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</row>
    <row r="453" spans="5:54" x14ac:dyDescent="0.35">
      <c r="E453" s="83"/>
      <c r="F453" s="83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  <c r="Z453" s="76"/>
      <c r="AA453" s="76"/>
      <c r="AB453" s="76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</row>
    <row r="454" spans="5:54" x14ac:dyDescent="0.35">
      <c r="E454" s="83"/>
      <c r="F454" s="83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  <c r="Z454" s="76"/>
      <c r="AA454" s="76"/>
      <c r="AB454" s="76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</row>
    <row r="455" spans="5:54" x14ac:dyDescent="0.35">
      <c r="E455" s="83"/>
      <c r="F455" s="83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  <c r="Z455" s="76"/>
      <c r="AA455" s="76"/>
      <c r="AB455" s="76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</row>
    <row r="456" spans="5:54" x14ac:dyDescent="0.35">
      <c r="E456" s="83"/>
      <c r="F456" s="83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  <c r="Z456" s="76"/>
      <c r="AA456" s="76"/>
      <c r="AB456" s="76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</row>
    <row r="457" spans="5:54" x14ac:dyDescent="0.35">
      <c r="E457" s="83"/>
      <c r="F457" s="83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  <c r="Z457" s="76"/>
      <c r="AA457" s="76"/>
      <c r="AB457" s="76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</row>
    <row r="458" spans="5:54" x14ac:dyDescent="0.35">
      <c r="E458" s="83"/>
      <c r="F458" s="83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  <c r="Z458" s="76"/>
      <c r="AA458" s="76"/>
      <c r="AB458" s="76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</row>
    <row r="459" spans="5:54" x14ac:dyDescent="0.35">
      <c r="E459" s="83"/>
      <c r="F459" s="83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  <c r="Z459" s="76"/>
      <c r="AA459" s="76"/>
      <c r="AB459" s="76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</row>
    <row r="460" spans="5:54" x14ac:dyDescent="0.35">
      <c r="E460" s="83"/>
      <c r="F460" s="83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  <c r="Z460" s="76"/>
      <c r="AA460" s="76"/>
      <c r="AB460" s="76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</row>
    <row r="461" spans="5:54" x14ac:dyDescent="0.35">
      <c r="E461" s="83"/>
      <c r="F461" s="83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  <c r="Z461" s="76"/>
      <c r="AA461" s="76"/>
      <c r="AB461" s="76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</row>
    <row r="462" spans="5:54" x14ac:dyDescent="0.35">
      <c r="E462" s="83"/>
      <c r="F462" s="83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6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</row>
    <row r="463" spans="5:54" x14ac:dyDescent="0.35">
      <c r="E463" s="83"/>
      <c r="F463" s="83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  <c r="Z463" s="76"/>
      <c r="AA463" s="76"/>
      <c r="AB463" s="76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</row>
    <row r="464" spans="5:54" x14ac:dyDescent="0.35">
      <c r="E464" s="83"/>
      <c r="F464" s="83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6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</row>
    <row r="465" spans="5:54" x14ac:dyDescent="0.35">
      <c r="E465" s="83"/>
      <c r="F465" s="83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6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</row>
    <row r="466" spans="5:54" x14ac:dyDescent="0.35">
      <c r="E466" s="83"/>
      <c r="F466" s="83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  <c r="Z466" s="76"/>
      <c r="AA466" s="76"/>
      <c r="AB466" s="76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</row>
    <row r="467" spans="5:54" x14ac:dyDescent="0.35">
      <c r="E467" s="83"/>
      <c r="F467" s="83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6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</row>
    <row r="468" spans="5:54" x14ac:dyDescent="0.35">
      <c r="E468" s="83"/>
      <c r="F468" s="83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  <c r="Z468" s="76"/>
      <c r="AA468" s="76"/>
      <c r="AB468" s="76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</row>
    <row r="469" spans="5:54" x14ac:dyDescent="0.35">
      <c r="E469" s="83"/>
      <c r="F469" s="83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  <c r="Z469" s="76"/>
      <c r="AA469" s="76"/>
      <c r="AB469" s="76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</row>
    <row r="470" spans="5:54" x14ac:dyDescent="0.35">
      <c r="E470" s="83"/>
      <c r="F470" s="83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  <c r="Z470" s="76"/>
      <c r="AA470" s="76"/>
      <c r="AB470" s="76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</row>
    <row r="471" spans="5:54" x14ac:dyDescent="0.35">
      <c r="E471" s="83"/>
      <c r="F471" s="83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  <c r="Z471" s="76"/>
      <c r="AA471" s="76"/>
      <c r="AB471" s="76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</row>
    <row r="472" spans="5:54" x14ac:dyDescent="0.35">
      <c r="E472" s="83"/>
      <c r="F472" s="83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  <c r="Z472" s="76"/>
      <c r="AA472" s="76"/>
      <c r="AB472" s="76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</row>
    <row r="473" spans="5:54" x14ac:dyDescent="0.35">
      <c r="E473" s="83"/>
      <c r="F473" s="83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  <c r="Z473" s="76"/>
      <c r="AA473" s="76"/>
      <c r="AB473" s="76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</row>
    <row r="474" spans="5:54" x14ac:dyDescent="0.35">
      <c r="E474" s="83"/>
      <c r="F474" s="83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  <c r="Z474" s="76"/>
      <c r="AA474" s="76"/>
      <c r="AB474" s="76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</row>
    <row r="475" spans="5:54" x14ac:dyDescent="0.35">
      <c r="E475" s="83"/>
      <c r="F475" s="83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  <c r="Z475" s="76"/>
      <c r="AA475" s="76"/>
      <c r="AB475" s="76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</row>
    <row r="476" spans="5:54" x14ac:dyDescent="0.35">
      <c r="E476" s="83"/>
      <c r="F476" s="83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  <c r="Z476" s="76"/>
      <c r="AA476" s="76"/>
      <c r="AB476" s="76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</row>
    <row r="477" spans="5:54" x14ac:dyDescent="0.35">
      <c r="E477" s="83"/>
      <c r="F477" s="83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  <c r="Z477" s="76"/>
      <c r="AA477" s="76"/>
      <c r="AB477" s="76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</row>
    <row r="478" spans="5:54" x14ac:dyDescent="0.35">
      <c r="E478" s="83"/>
      <c r="F478" s="83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  <c r="Z478" s="76"/>
      <c r="AA478" s="76"/>
      <c r="AB478" s="76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</row>
    <row r="479" spans="5:54" x14ac:dyDescent="0.35">
      <c r="E479" s="83"/>
      <c r="F479" s="83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/>
      <c r="AA479" s="76"/>
      <c r="AB479" s="76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</row>
    <row r="480" spans="5:54" x14ac:dyDescent="0.35">
      <c r="E480" s="83"/>
      <c r="F480" s="83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  <c r="Z480" s="76"/>
      <c r="AA480" s="76"/>
      <c r="AB480" s="76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</row>
    <row r="481" spans="5:54" x14ac:dyDescent="0.35">
      <c r="E481" s="83"/>
      <c r="F481" s="83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  <c r="Z481" s="76"/>
      <c r="AA481" s="76"/>
      <c r="AB481" s="76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</row>
    <row r="482" spans="5:54" x14ac:dyDescent="0.35">
      <c r="E482" s="83"/>
      <c r="F482" s="83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  <c r="Z482" s="76"/>
      <c r="AA482" s="76"/>
      <c r="AB482" s="76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</row>
    <row r="483" spans="5:54" x14ac:dyDescent="0.35">
      <c r="E483" s="83"/>
      <c r="F483" s="83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  <c r="Z483" s="76"/>
      <c r="AA483" s="76"/>
      <c r="AB483" s="76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</row>
    <row r="484" spans="5:54" x14ac:dyDescent="0.35">
      <c r="E484" s="83"/>
      <c r="F484" s="83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  <c r="Z484" s="76"/>
      <c r="AA484" s="76"/>
      <c r="AB484" s="76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</row>
    <row r="485" spans="5:54" x14ac:dyDescent="0.35">
      <c r="E485" s="83"/>
      <c r="F485" s="83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  <c r="Z485" s="76"/>
      <c r="AA485" s="76"/>
      <c r="AB485" s="76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</row>
    <row r="486" spans="5:54" x14ac:dyDescent="0.35">
      <c r="E486" s="83"/>
      <c r="F486" s="83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  <c r="Z486" s="76"/>
      <c r="AA486" s="76"/>
      <c r="AB486" s="76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</row>
    <row r="487" spans="5:54" x14ac:dyDescent="0.35">
      <c r="E487" s="83"/>
      <c r="F487" s="83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  <c r="Z487" s="76"/>
      <c r="AA487" s="76"/>
      <c r="AB487" s="76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</row>
    <row r="488" spans="5:54" x14ac:dyDescent="0.35">
      <c r="E488" s="83"/>
      <c r="F488" s="83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  <c r="Z488" s="76"/>
      <c r="AA488" s="76"/>
      <c r="AB488" s="76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</row>
    <row r="489" spans="5:54" x14ac:dyDescent="0.35">
      <c r="E489" s="83"/>
      <c r="F489" s="83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  <c r="Z489" s="76"/>
      <c r="AA489" s="76"/>
      <c r="AB489" s="76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</row>
    <row r="490" spans="5:54" x14ac:dyDescent="0.35">
      <c r="E490" s="83"/>
      <c r="F490" s="83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  <c r="Z490" s="76"/>
      <c r="AA490" s="76"/>
      <c r="AB490" s="76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</row>
    <row r="491" spans="5:54" x14ac:dyDescent="0.35">
      <c r="E491" s="83"/>
      <c r="F491" s="83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  <c r="Z491" s="76"/>
      <c r="AA491" s="76"/>
      <c r="AB491" s="76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</row>
    <row r="492" spans="5:54" x14ac:dyDescent="0.35">
      <c r="E492" s="83"/>
      <c r="F492" s="83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6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</row>
    <row r="493" spans="5:54" x14ac:dyDescent="0.35">
      <c r="E493" s="83"/>
      <c r="F493" s="83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6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</row>
    <row r="494" spans="5:54" x14ac:dyDescent="0.35">
      <c r="E494" s="83"/>
      <c r="F494" s="83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6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</row>
    <row r="495" spans="5:54" x14ac:dyDescent="0.35">
      <c r="E495" s="83"/>
      <c r="F495" s="83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6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</row>
    <row r="496" spans="5:54" x14ac:dyDescent="0.35">
      <c r="E496" s="83"/>
      <c r="F496" s="83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6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</row>
    <row r="497" spans="5:54" x14ac:dyDescent="0.35">
      <c r="E497" s="83"/>
      <c r="F497" s="83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6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</row>
    <row r="498" spans="5:54" x14ac:dyDescent="0.35">
      <c r="E498" s="83"/>
      <c r="F498" s="83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  <c r="Z498" s="76"/>
      <c r="AA498" s="76"/>
      <c r="AB498" s="76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</row>
    <row r="499" spans="5:54" x14ac:dyDescent="0.35">
      <c r="E499" s="83"/>
      <c r="F499" s="83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6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</row>
    <row r="500" spans="5:54" x14ac:dyDescent="0.35">
      <c r="E500" s="83"/>
      <c r="F500" s="83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/>
      <c r="AA500" s="76"/>
      <c r="AB500" s="76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</row>
    <row r="501" spans="5:54" x14ac:dyDescent="0.35">
      <c r="E501" s="83"/>
      <c r="F501" s="83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6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</row>
    <row r="502" spans="5:54" x14ac:dyDescent="0.35">
      <c r="E502" s="83"/>
      <c r="F502" s="83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6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</row>
    <row r="503" spans="5:54" x14ac:dyDescent="0.35">
      <c r="E503" s="83"/>
      <c r="F503" s="83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  <c r="Z503" s="76"/>
      <c r="AA503" s="76"/>
      <c r="AB503" s="76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</row>
    <row r="504" spans="5:54" x14ac:dyDescent="0.35">
      <c r="E504" s="83"/>
      <c r="F504" s="83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  <c r="Z504" s="76"/>
      <c r="AA504" s="76"/>
      <c r="AB504" s="76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</row>
    <row r="505" spans="5:54" x14ac:dyDescent="0.35">
      <c r="E505" s="83"/>
      <c r="F505" s="83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  <c r="Z505" s="76"/>
      <c r="AA505" s="76"/>
      <c r="AB505" s="76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</row>
    <row r="506" spans="5:54" x14ac:dyDescent="0.35">
      <c r="E506" s="83"/>
      <c r="F506" s="83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  <c r="Z506" s="76"/>
      <c r="AA506" s="76"/>
      <c r="AB506" s="76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</row>
    <row r="507" spans="5:54" x14ac:dyDescent="0.35">
      <c r="E507" s="83"/>
      <c r="F507" s="83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6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</row>
    <row r="508" spans="5:54" x14ac:dyDescent="0.35">
      <c r="E508" s="83"/>
      <c r="F508" s="83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6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</row>
    <row r="509" spans="5:54" x14ac:dyDescent="0.35">
      <c r="E509" s="83"/>
      <c r="F509" s="83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6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</row>
    <row r="510" spans="5:54" x14ac:dyDescent="0.35">
      <c r="E510" s="83"/>
      <c r="F510" s="83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  <c r="Z510" s="76"/>
      <c r="AA510" s="76"/>
      <c r="AB510" s="76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</row>
    <row r="511" spans="5:54" x14ac:dyDescent="0.35">
      <c r="E511" s="83"/>
      <c r="F511" s="83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  <c r="Z511" s="76"/>
      <c r="AA511" s="76"/>
      <c r="AB511" s="76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</row>
    <row r="512" spans="5:54" x14ac:dyDescent="0.35">
      <c r="E512" s="83"/>
      <c r="F512" s="83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6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</row>
    <row r="513" spans="5:54" x14ac:dyDescent="0.35">
      <c r="E513" s="83"/>
      <c r="F513" s="83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  <c r="Z513" s="76"/>
      <c r="AA513" s="76"/>
      <c r="AB513" s="76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</row>
    <row r="514" spans="5:54" x14ac:dyDescent="0.35">
      <c r="E514" s="83"/>
      <c r="F514" s="83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  <c r="Z514" s="76"/>
      <c r="AA514" s="76"/>
      <c r="AB514" s="76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</row>
    <row r="515" spans="5:54" x14ac:dyDescent="0.35">
      <c r="E515" s="83"/>
      <c r="F515" s="83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6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</row>
    <row r="516" spans="5:54" x14ac:dyDescent="0.35">
      <c r="E516" s="83"/>
      <c r="F516" s="83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6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</row>
    <row r="517" spans="5:54" x14ac:dyDescent="0.35">
      <c r="E517" s="83"/>
      <c r="F517" s="83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  <c r="Z517" s="76"/>
      <c r="AA517" s="76"/>
      <c r="AB517" s="76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</row>
    <row r="518" spans="5:54" x14ac:dyDescent="0.35">
      <c r="E518" s="83"/>
      <c r="F518" s="83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  <c r="Z518" s="76"/>
      <c r="AA518" s="76"/>
      <c r="AB518" s="76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</row>
    <row r="519" spans="5:54" x14ac:dyDescent="0.35">
      <c r="E519" s="83"/>
      <c r="F519" s="83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</row>
    <row r="520" spans="5:54" x14ac:dyDescent="0.35">
      <c r="E520" s="83"/>
      <c r="F520" s="83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  <c r="Z520" s="76"/>
      <c r="AA520" s="76"/>
      <c r="AB520" s="76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</row>
    <row r="521" spans="5:54" x14ac:dyDescent="0.35">
      <c r="E521" s="83"/>
      <c r="F521" s="83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6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</row>
    <row r="522" spans="5:54" x14ac:dyDescent="0.35">
      <c r="E522" s="83"/>
      <c r="F522" s="83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</row>
    <row r="523" spans="5:54" x14ac:dyDescent="0.35">
      <c r="E523" s="83"/>
      <c r="F523" s="83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</row>
    <row r="524" spans="5:54" x14ac:dyDescent="0.35">
      <c r="E524" s="83"/>
      <c r="F524" s="83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</row>
    <row r="525" spans="5:54" x14ac:dyDescent="0.35">
      <c r="E525" s="83"/>
      <c r="F525" s="83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</row>
    <row r="526" spans="5:54" x14ac:dyDescent="0.35">
      <c r="E526" s="83"/>
      <c r="F526" s="83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6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</row>
    <row r="527" spans="5:54" x14ac:dyDescent="0.35">
      <c r="E527" s="83"/>
      <c r="F527" s="83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</row>
    <row r="528" spans="5:54" x14ac:dyDescent="0.35">
      <c r="E528" s="83"/>
      <c r="F528" s="83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</row>
    <row r="529" spans="5:54" x14ac:dyDescent="0.35">
      <c r="E529" s="83"/>
      <c r="F529" s="83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6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</row>
    <row r="530" spans="5:54" x14ac:dyDescent="0.35">
      <c r="E530" s="83"/>
      <c r="F530" s="83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6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</row>
    <row r="531" spans="5:54" x14ac:dyDescent="0.35">
      <c r="E531" s="83"/>
      <c r="F531" s="83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6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</row>
    <row r="532" spans="5:54" x14ac:dyDescent="0.35">
      <c r="E532" s="83"/>
      <c r="F532" s="83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6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</row>
    <row r="533" spans="5:54" x14ac:dyDescent="0.35">
      <c r="E533" s="83"/>
      <c r="F533" s="83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</row>
    <row r="534" spans="5:54" x14ac:dyDescent="0.35">
      <c r="E534" s="83"/>
      <c r="F534" s="83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</row>
    <row r="535" spans="5:54" x14ac:dyDescent="0.35">
      <c r="E535" s="83"/>
      <c r="F535" s="83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</row>
    <row r="536" spans="5:54" x14ac:dyDescent="0.35">
      <c r="E536" s="83"/>
      <c r="F536" s="83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</row>
    <row r="537" spans="5:54" x14ac:dyDescent="0.35">
      <c r="E537" s="83"/>
      <c r="F537" s="83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</row>
    <row r="538" spans="5:54" x14ac:dyDescent="0.35">
      <c r="E538" s="83"/>
      <c r="F538" s="83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</row>
    <row r="539" spans="5:54" x14ac:dyDescent="0.35">
      <c r="E539" s="83"/>
      <c r="F539" s="83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  <c r="Z539" s="76"/>
      <c r="AA539" s="76"/>
      <c r="AB539" s="76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</row>
    <row r="540" spans="5:54" x14ac:dyDescent="0.35">
      <c r="E540" s="83"/>
      <c r="F540" s="83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  <c r="Z540" s="76"/>
      <c r="AA540" s="76"/>
      <c r="AB540" s="76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</row>
    <row r="541" spans="5:54" x14ac:dyDescent="0.35">
      <c r="E541" s="83"/>
      <c r="F541" s="83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  <c r="Z541" s="76"/>
      <c r="AA541" s="76"/>
      <c r="AB541" s="76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</row>
    <row r="542" spans="5:54" x14ac:dyDescent="0.35">
      <c r="E542" s="83"/>
      <c r="F542" s="83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  <c r="Z542" s="76"/>
      <c r="AA542" s="76"/>
      <c r="AB542" s="76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</row>
    <row r="543" spans="5:54" x14ac:dyDescent="0.35">
      <c r="E543" s="83"/>
      <c r="F543" s="83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  <c r="Z543" s="76"/>
      <c r="AA543" s="76"/>
      <c r="AB543" s="76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</row>
    <row r="544" spans="5:54" x14ac:dyDescent="0.35">
      <c r="E544" s="83"/>
      <c r="F544" s="83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  <c r="Z544" s="76"/>
      <c r="AA544" s="76"/>
      <c r="AB544" s="76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</row>
    <row r="545" spans="5:54" x14ac:dyDescent="0.35">
      <c r="E545" s="83"/>
      <c r="F545" s="83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  <c r="Z545" s="76"/>
      <c r="AA545" s="76"/>
      <c r="AB545" s="76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</row>
    <row r="546" spans="5:54" x14ac:dyDescent="0.35">
      <c r="E546" s="83"/>
      <c r="F546" s="83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  <c r="Z546" s="76"/>
      <c r="AA546" s="76"/>
      <c r="AB546" s="76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</row>
    <row r="547" spans="5:54" x14ac:dyDescent="0.35">
      <c r="E547" s="83"/>
      <c r="F547" s="83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  <c r="Z547" s="76"/>
      <c r="AA547" s="76"/>
      <c r="AB547" s="76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</row>
    <row r="548" spans="5:54" x14ac:dyDescent="0.35">
      <c r="E548" s="83"/>
      <c r="F548" s="83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  <c r="Z548" s="76"/>
      <c r="AA548" s="76"/>
      <c r="AB548" s="76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</row>
    <row r="549" spans="5:54" x14ac:dyDescent="0.35">
      <c r="E549" s="83"/>
      <c r="F549" s="83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  <c r="Z549" s="76"/>
      <c r="AA549" s="76"/>
      <c r="AB549" s="76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</row>
    <row r="550" spans="5:54" x14ac:dyDescent="0.35">
      <c r="E550" s="83"/>
      <c r="F550" s="83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  <c r="Z550" s="76"/>
      <c r="AA550" s="76"/>
      <c r="AB550" s="76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</row>
    <row r="551" spans="5:54" x14ac:dyDescent="0.35">
      <c r="E551" s="83"/>
      <c r="F551" s="83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  <c r="Z551" s="76"/>
      <c r="AA551" s="76"/>
      <c r="AB551" s="76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</row>
    <row r="552" spans="5:54" x14ac:dyDescent="0.35">
      <c r="E552" s="83"/>
      <c r="F552" s="83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  <c r="Z552" s="76"/>
      <c r="AA552" s="76"/>
      <c r="AB552" s="76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</row>
    <row r="553" spans="5:54" x14ac:dyDescent="0.35">
      <c r="E553" s="83"/>
      <c r="F553" s="83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  <c r="Z553" s="76"/>
      <c r="AA553" s="76"/>
      <c r="AB553" s="76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</row>
    <row r="554" spans="5:54" x14ac:dyDescent="0.35">
      <c r="E554" s="83"/>
      <c r="F554" s="83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  <c r="Z554" s="76"/>
      <c r="AA554" s="76"/>
      <c r="AB554" s="76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</row>
    <row r="555" spans="5:54" x14ac:dyDescent="0.35">
      <c r="E555" s="83"/>
      <c r="F555" s="83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  <c r="Z555" s="76"/>
      <c r="AA555" s="76"/>
      <c r="AB555" s="76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</row>
    <row r="556" spans="5:54" x14ac:dyDescent="0.35">
      <c r="E556" s="83"/>
      <c r="F556" s="83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  <c r="Z556" s="76"/>
      <c r="AA556" s="76"/>
      <c r="AB556" s="76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</row>
    <row r="557" spans="5:54" x14ac:dyDescent="0.35">
      <c r="E557" s="83"/>
      <c r="F557" s="83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  <c r="Z557" s="76"/>
      <c r="AA557" s="76"/>
      <c r="AB557" s="76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</row>
    <row r="558" spans="5:54" x14ac:dyDescent="0.35">
      <c r="E558" s="83"/>
      <c r="F558" s="83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  <c r="Z558" s="76"/>
      <c r="AA558" s="76"/>
      <c r="AB558" s="76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</row>
    <row r="559" spans="5:54" x14ac:dyDescent="0.35">
      <c r="E559" s="83"/>
      <c r="F559" s="83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  <c r="Z559" s="76"/>
      <c r="AA559" s="76"/>
      <c r="AB559" s="76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</row>
    <row r="560" spans="5:54" x14ac:dyDescent="0.35">
      <c r="E560" s="83"/>
      <c r="F560" s="83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  <c r="Z560" s="76"/>
      <c r="AA560" s="76"/>
      <c r="AB560" s="76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</row>
    <row r="561" spans="5:54" x14ac:dyDescent="0.35">
      <c r="E561" s="83"/>
      <c r="F561" s="83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  <c r="Z561" s="76"/>
      <c r="AA561" s="76"/>
      <c r="AB561" s="76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</row>
    <row r="562" spans="5:54" x14ac:dyDescent="0.35">
      <c r="E562" s="83"/>
      <c r="F562" s="83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  <c r="Z562" s="76"/>
      <c r="AA562" s="76"/>
      <c r="AB562" s="76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</row>
    <row r="563" spans="5:54" x14ac:dyDescent="0.35">
      <c r="E563" s="83"/>
      <c r="F563" s="83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  <c r="Z563" s="76"/>
      <c r="AA563" s="76"/>
      <c r="AB563" s="76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</row>
    <row r="564" spans="5:54" x14ac:dyDescent="0.35">
      <c r="E564" s="83"/>
      <c r="F564" s="83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  <c r="Z564" s="76"/>
      <c r="AA564" s="76"/>
      <c r="AB564" s="76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</row>
    <row r="565" spans="5:54" x14ac:dyDescent="0.35">
      <c r="E565" s="83"/>
      <c r="F565" s="83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  <c r="Z565" s="76"/>
      <c r="AA565" s="76"/>
      <c r="AB565" s="76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</row>
    <row r="566" spans="5:54" x14ac:dyDescent="0.35">
      <c r="E566" s="83"/>
      <c r="F566" s="83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  <c r="Z566" s="76"/>
      <c r="AA566" s="76"/>
      <c r="AB566" s="76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</row>
    <row r="567" spans="5:54" x14ac:dyDescent="0.35">
      <c r="E567" s="83"/>
      <c r="F567" s="83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  <c r="Z567" s="76"/>
      <c r="AA567" s="76"/>
      <c r="AB567" s="76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</row>
    <row r="568" spans="5:54" x14ac:dyDescent="0.35">
      <c r="E568" s="83"/>
      <c r="F568" s="83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  <c r="Z568" s="76"/>
      <c r="AA568" s="76"/>
      <c r="AB568" s="76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</row>
    <row r="569" spans="5:54" x14ac:dyDescent="0.35">
      <c r="E569" s="83"/>
      <c r="F569" s="83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  <c r="Z569" s="76"/>
      <c r="AA569" s="76"/>
      <c r="AB569" s="76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</row>
    <row r="570" spans="5:54" x14ac:dyDescent="0.35">
      <c r="E570" s="83"/>
      <c r="F570" s="83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  <c r="Z570" s="76"/>
      <c r="AA570" s="76"/>
      <c r="AB570" s="76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</row>
    <row r="571" spans="5:54" x14ac:dyDescent="0.35">
      <c r="E571" s="83"/>
      <c r="F571" s="83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  <c r="Z571" s="76"/>
      <c r="AA571" s="76"/>
      <c r="AB571" s="76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</row>
    <row r="572" spans="5:54" x14ac:dyDescent="0.35">
      <c r="E572" s="83"/>
      <c r="F572" s="83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  <c r="Z572" s="76"/>
      <c r="AA572" s="76"/>
      <c r="AB572" s="76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</row>
    <row r="573" spans="5:54" x14ac:dyDescent="0.35">
      <c r="E573" s="83"/>
      <c r="F573" s="83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  <c r="Z573" s="76"/>
      <c r="AA573" s="76"/>
      <c r="AB573" s="76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</row>
    <row r="574" spans="5:54" x14ac:dyDescent="0.35">
      <c r="E574" s="83"/>
      <c r="F574" s="83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  <c r="Z574" s="76"/>
      <c r="AA574" s="76"/>
      <c r="AB574" s="76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</row>
    <row r="575" spans="5:54" x14ac:dyDescent="0.35">
      <c r="E575" s="83"/>
      <c r="F575" s="83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  <c r="Z575" s="76"/>
      <c r="AA575" s="76"/>
      <c r="AB575" s="76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</row>
    <row r="576" spans="5:54" x14ac:dyDescent="0.35">
      <c r="E576" s="83"/>
      <c r="F576" s="83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  <c r="Z576" s="76"/>
      <c r="AA576" s="76"/>
      <c r="AB576" s="76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</row>
    <row r="577" spans="5:54" x14ac:dyDescent="0.35">
      <c r="E577" s="83"/>
      <c r="F577" s="83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  <c r="Z577" s="76"/>
      <c r="AA577" s="76"/>
      <c r="AB577" s="76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</row>
    <row r="578" spans="5:54" x14ac:dyDescent="0.35">
      <c r="E578" s="83"/>
      <c r="F578" s="83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  <c r="Z578" s="76"/>
      <c r="AA578" s="76"/>
      <c r="AB578" s="76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</row>
    <row r="579" spans="5:54" x14ac:dyDescent="0.35">
      <c r="E579" s="83"/>
      <c r="F579" s="83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  <c r="Z579" s="76"/>
      <c r="AA579" s="76"/>
      <c r="AB579" s="76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</row>
    <row r="580" spans="5:54" x14ac:dyDescent="0.35">
      <c r="E580" s="83"/>
      <c r="F580" s="83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  <c r="Z580" s="76"/>
      <c r="AA580" s="76"/>
      <c r="AB580" s="76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</row>
    <row r="581" spans="5:54" x14ac:dyDescent="0.35">
      <c r="E581" s="83"/>
      <c r="F581" s="83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  <c r="Z581" s="76"/>
      <c r="AA581" s="76"/>
      <c r="AB581" s="76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</row>
    <row r="582" spans="5:54" x14ac:dyDescent="0.35">
      <c r="E582" s="83"/>
      <c r="F582" s="83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  <c r="Z582" s="76"/>
      <c r="AA582" s="76"/>
      <c r="AB582" s="76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</row>
    <row r="583" spans="5:54" x14ac:dyDescent="0.35">
      <c r="E583" s="83"/>
      <c r="F583" s="83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  <c r="Z583" s="76"/>
      <c r="AA583" s="76"/>
      <c r="AB583" s="76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</row>
    <row r="584" spans="5:54" x14ac:dyDescent="0.35">
      <c r="E584" s="83"/>
      <c r="F584" s="83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  <c r="Z584" s="76"/>
      <c r="AA584" s="76"/>
      <c r="AB584" s="76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</row>
    <row r="585" spans="5:54" x14ac:dyDescent="0.35">
      <c r="E585" s="83"/>
      <c r="F585" s="83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  <c r="Z585" s="76"/>
      <c r="AA585" s="76"/>
      <c r="AB585" s="76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</row>
    <row r="586" spans="5:54" x14ac:dyDescent="0.35">
      <c r="E586" s="83"/>
      <c r="F586" s="83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  <c r="Z586" s="76"/>
      <c r="AA586" s="76"/>
      <c r="AB586" s="76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</row>
    <row r="587" spans="5:54" x14ac:dyDescent="0.35">
      <c r="E587" s="83"/>
      <c r="F587" s="83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  <c r="Z587" s="76"/>
      <c r="AA587" s="76"/>
      <c r="AB587" s="76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</row>
    <row r="588" spans="5:54" x14ac:dyDescent="0.35">
      <c r="E588" s="83"/>
      <c r="F588" s="83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  <c r="Z588" s="76"/>
      <c r="AA588" s="76"/>
      <c r="AB588" s="76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</row>
    <row r="589" spans="5:54" x14ac:dyDescent="0.35">
      <c r="E589" s="83"/>
      <c r="F589" s="83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  <c r="Z589" s="76"/>
      <c r="AA589" s="76"/>
      <c r="AB589" s="76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</row>
    <row r="590" spans="5:54" x14ac:dyDescent="0.35">
      <c r="E590" s="83"/>
      <c r="F590" s="83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  <c r="Z590" s="76"/>
      <c r="AA590" s="76"/>
      <c r="AB590" s="76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</row>
    <row r="591" spans="5:54" x14ac:dyDescent="0.35">
      <c r="E591" s="83"/>
      <c r="F591" s="83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  <c r="Z591" s="76"/>
      <c r="AA591" s="76"/>
      <c r="AB591" s="76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</row>
    <row r="592" spans="5:54" x14ac:dyDescent="0.35">
      <c r="E592" s="83"/>
      <c r="F592" s="83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  <c r="Z592" s="76"/>
      <c r="AA592" s="76"/>
      <c r="AB592" s="76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</row>
    <row r="593" spans="5:54" x14ac:dyDescent="0.35">
      <c r="E593" s="83"/>
      <c r="F593" s="83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  <c r="Z593" s="76"/>
      <c r="AA593" s="76"/>
      <c r="AB593" s="76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</row>
    <row r="594" spans="5:54" x14ac:dyDescent="0.35">
      <c r="E594" s="83"/>
      <c r="F594" s="83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  <c r="Z594" s="76"/>
      <c r="AA594" s="76"/>
      <c r="AB594" s="76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</row>
    <row r="595" spans="5:54" x14ac:dyDescent="0.35">
      <c r="E595" s="83"/>
      <c r="F595" s="83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  <c r="Z595" s="76"/>
      <c r="AA595" s="76"/>
      <c r="AB595" s="76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</row>
    <row r="596" spans="5:54" x14ac:dyDescent="0.35">
      <c r="E596" s="83"/>
      <c r="F596" s="83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  <c r="Z596" s="76"/>
      <c r="AA596" s="76"/>
      <c r="AB596" s="76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</row>
    <row r="597" spans="5:54" x14ac:dyDescent="0.35">
      <c r="E597" s="83"/>
      <c r="F597" s="83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  <c r="Z597" s="76"/>
      <c r="AA597" s="76"/>
      <c r="AB597" s="76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</row>
    <row r="598" spans="5:54" x14ac:dyDescent="0.35">
      <c r="E598" s="83"/>
      <c r="F598" s="83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  <c r="Z598" s="76"/>
      <c r="AA598" s="76"/>
      <c r="AB598" s="76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</row>
    <row r="599" spans="5:54" x14ac:dyDescent="0.35">
      <c r="E599" s="83"/>
      <c r="F599" s="83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  <c r="Z599" s="76"/>
      <c r="AA599" s="76"/>
      <c r="AB599" s="76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</row>
    <row r="600" spans="5:54" x14ac:dyDescent="0.35">
      <c r="E600" s="83"/>
      <c r="F600" s="83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  <c r="Z600" s="76"/>
      <c r="AA600" s="76"/>
      <c r="AB600" s="76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</row>
    <row r="601" spans="5:54" x14ac:dyDescent="0.35">
      <c r="E601" s="83"/>
      <c r="F601" s="83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  <c r="Z601" s="76"/>
      <c r="AA601" s="76"/>
      <c r="AB601" s="76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</row>
    <row r="602" spans="5:54" x14ac:dyDescent="0.35">
      <c r="E602" s="83"/>
      <c r="F602" s="83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  <c r="Z602" s="76"/>
      <c r="AA602" s="76"/>
      <c r="AB602" s="76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</row>
    <row r="603" spans="5:54" x14ac:dyDescent="0.35">
      <c r="E603" s="83"/>
      <c r="F603" s="83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  <c r="Z603" s="76"/>
      <c r="AA603" s="76"/>
      <c r="AB603" s="76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</row>
    <row r="604" spans="5:54" x14ac:dyDescent="0.35">
      <c r="E604" s="83"/>
      <c r="F604" s="83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  <c r="Z604" s="76"/>
      <c r="AA604" s="76"/>
      <c r="AB604" s="76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</row>
    <row r="605" spans="5:54" x14ac:dyDescent="0.35">
      <c r="E605" s="83"/>
      <c r="F605" s="83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  <c r="Z605" s="76"/>
      <c r="AA605" s="76"/>
      <c r="AB605" s="76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</row>
    <row r="606" spans="5:54" x14ac:dyDescent="0.35">
      <c r="E606" s="83"/>
      <c r="F606" s="83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  <c r="Z606" s="76"/>
      <c r="AA606" s="76"/>
      <c r="AB606" s="76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</row>
    <row r="607" spans="5:54" x14ac:dyDescent="0.35">
      <c r="E607" s="83"/>
      <c r="F607" s="83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  <c r="Z607" s="76"/>
      <c r="AA607" s="76"/>
      <c r="AB607" s="76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</row>
    <row r="608" spans="5:54" x14ac:dyDescent="0.35">
      <c r="E608" s="83"/>
      <c r="F608" s="83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  <c r="Z608" s="76"/>
      <c r="AA608" s="76"/>
      <c r="AB608" s="76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</row>
    <row r="609" spans="5:54" x14ac:dyDescent="0.35">
      <c r="E609" s="83"/>
      <c r="F609" s="83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  <c r="Z609" s="76"/>
      <c r="AA609" s="76"/>
      <c r="AB609" s="76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</row>
    <row r="610" spans="5:54" x14ac:dyDescent="0.35">
      <c r="E610" s="83"/>
      <c r="F610" s="83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  <c r="Z610" s="76"/>
      <c r="AA610" s="76"/>
      <c r="AB610" s="76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</row>
    <row r="611" spans="5:54" x14ac:dyDescent="0.35">
      <c r="E611" s="83"/>
      <c r="F611" s="83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  <c r="Z611" s="76"/>
      <c r="AA611" s="76"/>
      <c r="AB611" s="76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</row>
    <row r="612" spans="5:54" x14ac:dyDescent="0.35">
      <c r="E612" s="83"/>
      <c r="F612" s="83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  <c r="Z612" s="76"/>
      <c r="AA612" s="76"/>
      <c r="AB612" s="76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</row>
    <row r="613" spans="5:54" x14ac:dyDescent="0.35">
      <c r="E613" s="83"/>
      <c r="F613" s="83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  <c r="Z613" s="76"/>
      <c r="AA613" s="76"/>
      <c r="AB613" s="76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</row>
    <row r="614" spans="5:54" x14ac:dyDescent="0.35">
      <c r="E614" s="83"/>
      <c r="F614" s="83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  <c r="Z614" s="76"/>
      <c r="AA614" s="76"/>
      <c r="AB614" s="76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</row>
    <row r="615" spans="5:54" x14ac:dyDescent="0.35">
      <c r="E615" s="83"/>
      <c r="F615" s="83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  <c r="Z615" s="76"/>
      <c r="AA615" s="76"/>
      <c r="AB615" s="76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</row>
    <row r="616" spans="5:54" x14ac:dyDescent="0.35">
      <c r="E616" s="83"/>
      <c r="F616" s="83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  <c r="Z616" s="76"/>
      <c r="AA616" s="76"/>
      <c r="AB616" s="76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</row>
    <row r="617" spans="5:54" x14ac:dyDescent="0.35">
      <c r="E617" s="83"/>
      <c r="F617" s="83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  <c r="Z617" s="76"/>
      <c r="AA617" s="76"/>
      <c r="AB617" s="76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</row>
    <row r="618" spans="5:54" x14ac:dyDescent="0.35">
      <c r="E618" s="83"/>
      <c r="F618" s="83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  <c r="Z618" s="76"/>
      <c r="AA618" s="76"/>
      <c r="AB618" s="76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</row>
    <row r="619" spans="5:54" x14ac:dyDescent="0.35">
      <c r="E619" s="83"/>
      <c r="F619" s="83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  <c r="Z619" s="76"/>
      <c r="AA619" s="76"/>
      <c r="AB619" s="76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</row>
    <row r="620" spans="5:54" x14ac:dyDescent="0.35">
      <c r="E620" s="83"/>
      <c r="F620" s="83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  <c r="Z620" s="76"/>
      <c r="AA620" s="76"/>
      <c r="AB620" s="76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</row>
    <row r="621" spans="5:54" x14ac:dyDescent="0.35">
      <c r="E621" s="83"/>
      <c r="F621" s="83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  <c r="Z621" s="76"/>
      <c r="AA621" s="76"/>
      <c r="AB621" s="76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</row>
    <row r="622" spans="5:54" x14ac:dyDescent="0.35">
      <c r="E622" s="83"/>
      <c r="F622" s="83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  <c r="Z622" s="76"/>
      <c r="AA622" s="76"/>
      <c r="AB622" s="76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</row>
    <row r="623" spans="5:54" x14ac:dyDescent="0.35">
      <c r="E623" s="83"/>
      <c r="F623" s="83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  <c r="Z623" s="76"/>
      <c r="AA623" s="76"/>
      <c r="AB623" s="76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</row>
    <row r="624" spans="5:54" x14ac:dyDescent="0.35">
      <c r="E624" s="83"/>
      <c r="F624" s="83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  <c r="Z624" s="76"/>
      <c r="AA624" s="76"/>
      <c r="AB624" s="76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</row>
    <row r="625" spans="5:54" x14ac:dyDescent="0.35">
      <c r="E625" s="83"/>
      <c r="F625" s="83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  <c r="Z625" s="76"/>
      <c r="AA625" s="76"/>
      <c r="AB625" s="76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</row>
    <row r="626" spans="5:54" x14ac:dyDescent="0.35">
      <c r="E626" s="83"/>
      <c r="F626" s="83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  <c r="Z626" s="76"/>
      <c r="AA626" s="76"/>
      <c r="AB626" s="76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</row>
    <row r="627" spans="5:54" x14ac:dyDescent="0.35">
      <c r="E627" s="83"/>
      <c r="F627" s="83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  <c r="Z627" s="76"/>
      <c r="AA627" s="76"/>
      <c r="AB627" s="76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</row>
    <row r="628" spans="5:54" x14ac:dyDescent="0.35">
      <c r="E628" s="83"/>
      <c r="F628" s="83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  <c r="Z628" s="76"/>
      <c r="AA628" s="76"/>
      <c r="AB628" s="76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</row>
    <row r="629" spans="5:54" x14ac:dyDescent="0.35">
      <c r="E629" s="83"/>
      <c r="F629" s="83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  <c r="Z629" s="76"/>
      <c r="AA629" s="76"/>
      <c r="AB629" s="76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</row>
    <row r="630" spans="5:54" x14ac:dyDescent="0.35">
      <c r="E630" s="83"/>
      <c r="F630" s="83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  <c r="Z630" s="76"/>
      <c r="AA630" s="76"/>
      <c r="AB630" s="76"/>
      <c r="AC630" s="76"/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/>
      <c r="AQ630" s="76"/>
      <c r="AR630" s="76"/>
      <c r="AS630" s="76"/>
      <c r="AT630" s="76"/>
      <c r="AU630" s="76"/>
      <c r="AV630" s="76"/>
      <c r="AW630" s="76"/>
      <c r="AX630" s="76"/>
      <c r="AY630" s="76"/>
      <c r="AZ630" s="76"/>
      <c r="BA630" s="76"/>
      <c r="BB630" s="76"/>
    </row>
    <row r="631" spans="5:54" x14ac:dyDescent="0.35">
      <c r="E631" s="83"/>
      <c r="F631" s="83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  <c r="Z631" s="76"/>
      <c r="AA631" s="76"/>
      <c r="AB631" s="76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/>
      <c r="AY631" s="76"/>
      <c r="AZ631" s="76"/>
      <c r="BA631" s="76"/>
      <c r="BB631" s="76"/>
    </row>
    <row r="632" spans="5:54" x14ac:dyDescent="0.35">
      <c r="E632" s="83"/>
      <c r="F632" s="83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  <c r="Z632" s="76"/>
      <c r="AA632" s="76"/>
      <c r="AB632" s="76"/>
      <c r="AC632" s="76"/>
      <c r="AD632" s="76"/>
      <c r="AE632" s="76"/>
      <c r="AF632" s="76"/>
      <c r="AG632" s="76"/>
      <c r="AH632" s="76"/>
      <c r="AI632" s="76"/>
      <c r="AJ632" s="76"/>
      <c r="AK632" s="76"/>
      <c r="AL632" s="76"/>
      <c r="AM632" s="76"/>
      <c r="AN632" s="76"/>
      <c r="AO632" s="76"/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</row>
    <row r="633" spans="5:54" x14ac:dyDescent="0.35">
      <c r="E633" s="83"/>
      <c r="F633" s="83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  <c r="Z633" s="76"/>
      <c r="AA633" s="76"/>
      <c r="AB633" s="76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/>
      <c r="AS633" s="76"/>
      <c r="AT633" s="76"/>
      <c r="AU633" s="76"/>
      <c r="AV633" s="76"/>
      <c r="AW633" s="76"/>
      <c r="AX633" s="76"/>
      <c r="AY633" s="76"/>
      <c r="AZ633" s="76"/>
      <c r="BA633" s="76"/>
      <c r="BB633" s="76"/>
    </row>
    <row r="634" spans="5:54" x14ac:dyDescent="0.35">
      <c r="E634" s="83"/>
      <c r="F634" s="83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  <c r="Z634" s="76"/>
      <c r="AA634" s="76"/>
      <c r="AB634" s="76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/>
      <c r="BA634" s="76"/>
      <c r="BB634" s="76"/>
    </row>
    <row r="635" spans="5:54" x14ac:dyDescent="0.35">
      <c r="E635" s="83"/>
      <c r="F635" s="83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  <c r="Z635" s="76"/>
      <c r="AA635" s="76"/>
      <c r="AB635" s="76"/>
      <c r="AC635" s="76"/>
      <c r="AD635" s="76"/>
      <c r="AE635" s="76"/>
      <c r="AF635" s="76"/>
      <c r="AG635" s="76"/>
      <c r="AH635" s="76"/>
      <c r="AI635" s="76"/>
      <c r="AJ635" s="76"/>
      <c r="AK635" s="76"/>
      <c r="AL635" s="76"/>
      <c r="AM635" s="76"/>
      <c r="AN635" s="76"/>
      <c r="AO635" s="76"/>
      <c r="AP635" s="76"/>
      <c r="AQ635" s="76"/>
      <c r="AR635" s="76"/>
      <c r="AS635" s="76"/>
      <c r="AT635" s="76"/>
      <c r="AU635" s="76"/>
      <c r="AV635" s="76"/>
      <c r="AW635" s="76"/>
      <c r="AX635" s="76"/>
      <c r="AY635" s="76"/>
      <c r="AZ635" s="76"/>
      <c r="BA635" s="76"/>
      <c r="BB635" s="76"/>
    </row>
    <row r="636" spans="5:54" x14ac:dyDescent="0.35">
      <c r="E636" s="83"/>
      <c r="F636" s="83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  <c r="Z636" s="76"/>
      <c r="AA636" s="76"/>
      <c r="AB636" s="76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</row>
    <row r="637" spans="5:54" x14ac:dyDescent="0.35">
      <c r="E637" s="83"/>
      <c r="F637" s="83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  <c r="Z637" s="76"/>
      <c r="AA637" s="76"/>
      <c r="AB637" s="76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/>
      <c r="AS637" s="76"/>
      <c r="AT637" s="76"/>
      <c r="AU637" s="76"/>
      <c r="AV637" s="76"/>
      <c r="AW637" s="76"/>
      <c r="AX637" s="76"/>
      <c r="AY637" s="76"/>
      <c r="AZ637" s="76"/>
      <c r="BA637" s="76"/>
      <c r="BB637" s="76"/>
    </row>
    <row r="638" spans="5:54" x14ac:dyDescent="0.35">
      <c r="E638" s="83"/>
      <c r="F638" s="83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  <c r="Z638" s="76"/>
      <c r="AA638" s="76"/>
      <c r="AB638" s="76"/>
      <c r="AC638" s="76"/>
      <c r="AD638" s="76"/>
      <c r="AE638" s="76"/>
      <c r="AF638" s="76"/>
      <c r="AG638" s="76"/>
      <c r="AH638" s="76"/>
      <c r="AI638" s="76"/>
      <c r="AJ638" s="76"/>
      <c r="AK638" s="76"/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/>
    </row>
    <row r="639" spans="5:54" x14ac:dyDescent="0.35">
      <c r="E639" s="83"/>
      <c r="F639" s="83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  <c r="Z639" s="76"/>
      <c r="AA639" s="76"/>
      <c r="AB639" s="76"/>
      <c r="AC639" s="76"/>
      <c r="AD639" s="76"/>
      <c r="AE639" s="76"/>
      <c r="AF639" s="76"/>
      <c r="AG639" s="76"/>
      <c r="AH639" s="76"/>
      <c r="AI639" s="76"/>
      <c r="AJ639" s="76"/>
      <c r="AK639" s="76"/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/>
      <c r="AW639" s="76"/>
      <c r="AX639" s="76"/>
      <c r="AY639" s="76"/>
      <c r="AZ639" s="76"/>
      <c r="BA639" s="76"/>
      <c r="BB639" s="76"/>
    </row>
    <row r="640" spans="5:54" x14ac:dyDescent="0.35">
      <c r="E640" s="83"/>
      <c r="F640" s="83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  <c r="Z640" s="76"/>
      <c r="AA640" s="76"/>
      <c r="AB640" s="76"/>
      <c r="AC640" s="76"/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</row>
    <row r="641" spans="5:54" x14ac:dyDescent="0.35">
      <c r="E641" s="83"/>
      <c r="F641" s="83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  <c r="Z641" s="76"/>
      <c r="AA641" s="76"/>
      <c r="AB641" s="76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/>
      <c r="AS641" s="76"/>
      <c r="AT641" s="76"/>
      <c r="AU641" s="76"/>
      <c r="AV641" s="76"/>
      <c r="AW641" s="76"/>
      <c r="AX641" s="76"/>
      <c r="AY641" s="76"/>
      <c r="AZ641" s="76"/>
      <c r="BA641" s="76"/>
      <c r="BB641" s="76"/>
    </row>
    <row r="642" spans="5:54" x14ac:dyDescent="0.35">
      <c r="E642" s="83"/>
      <c r="F642" s="83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  <c r="Z642" s="76"/>
      <c r="AA642" s="76"/>
      <c r="AB642" s="76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  <c r="AX642" s="76"/>
      <c r="AY642" s="76"/>
      <c r="AZ642" s="76"/>
      <c r="BA642" s="76"/>
      <c r="BB642" s="76"/>
    </row>
    <row r="643" spans="5:54" x14ac:dyDescent="0.35">
      <c r="E643" s="83"/>
      <c r="F643" s="83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  <c r="Z643" s="76"/>
      <c r="AA643" s="76"/>
      <c r="AB643" s="76"/>
      <c r="AC643" s="76"/>
      <c r="AD643" s="76"/>
      <c r="AE643" s="76"/>
      <c r="AF643" s="76"/>
      <c r="AG643" s="76"/>
      <c r="AH643" s="76"/>
      <c r="AI643" s="76"/>
      <c r="AJ643" s="76"/>
      <c r="AK643" s="76"/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/>
      <c r="BA643" s="76"/>
      <c r="BB643" s="76"/>
    </row>
    <row r="644" spans="5:54" x14ac:dyDescent="0.35">
      <c r="E644" s="83"/>
      <c r="F644" s="83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  <c r="Z644" s="76"/>
      <c r="AA644" s="76"/>
      <c r="AB644" s="76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  <c r="AW644" s="76"/>
      <c r="AX644" s="76"/>
      <c r="AY644" s="76"/>
      <c r="AZ644" s="76"/>
      <c r="BA644" s="76"/>
      <c r="BB644" s="76"/>
    </row>
    <row r="645" spans="5:54" x14ac:dyDescent="0.35">
      <c r="E645" s="83"/>
      <c r="F645" s="83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  <c r="Z645" s="76"/>
      <c r="AA645" s="76"/>
      <c r="AB645" s="76"/>
      <c r="AC645" s="76"/>
      <c r="AD645" s="76"/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</row>
    <row r="646" spans="5:54" x14ac:dyDescent="0.35">
      <c r="E646" s="83"/>
      <c r="F646" s="83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  <c r="Z646" s="76"/>
      <c r="AA646" s="76"/>
      <c r="AB646" s="76"/>
      <c r="AC646" s="76"/>
      <c r="AD646" s="76"/>
      <c r="AE646" s="76"/>
      <c r="AF646" s="76"/>
      <c r="AG646" s="76"/>
      <c r="AH646" s="76"/>
      <c r="AI646" s="76"/>
      <c r="AJ646" s="76"/>
      <c r="AK646" s="76"/>
      <c r="AL646" s="76"/>
      <c r="AM646" s="76"/>
      <c r="AN646" s="76"/>
      <c r="AO646" s="76"/>
      <c r="AP646" s="76"/>
      <c r="AQ646" s="76"/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</row>
    <row r="647" spans="5:54" x14ac:dyDescent="0.35">
      <c r="E647" s="83"/>
      <c r="F647" s="83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  <c r="Z647" s="76"/>
      <c r="AA647" s="76"/>
      <c r="AB647" s="76"/>
      <c r="AC647" s="76"/>
      <c r="AD647" s="76"/>
      <c r="AE647" s="76"/>
      <c r="AF647" s="76"/>
      <c r="AG647" s="76"/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</row>
    <row r="648" spans="5:54" x14ac:dyDescent="0.35">
      <c r="E648" s="83"/>
      <c r="F648" s="83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  <c r="Z648" s="76"/>
      <c r="AA648" s="76"/>
      <c r="AB648" s="76"/>
      <c r="AC648" s="76"/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/>
    </row>
    <row r="649" spans="5:54" x14ac:dyDescent="0.35">
      <c r="E649" s="83"/>
      <c r="F649" s="83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  <c r="Z649" s="76"/>
      <c r="AA649" s="76"/>
      <c r="AB649" s="76"/>
      <c r="AC649" s="76"/>
      <c r="AD649" s="76"/>
      <c r="AE649" s="76"/>
      <c r="AF649" s="76"/>
      <c r="AG649" s="76"/>
      <c r="AH649" s="76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</row>
    <row r="650" spans="5:54" x14ac:dyDescent="0.35">
      <c r="E650" s="83"/>
      <c r="F650" s="83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  <c r="Z650" s="76"/>
      <c r="AA650" s="76"/>
      <c r="AB650" s="76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</row>
    <row r="651" spans="5:54" x14ac:dyDescent="0.35">
      <c r="E651" s="83"/>
      <c r="F651" s="83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  <c r="Z651" s="76"/>
      <c r="AA651" s="76"/>
      <c r="AB651" s="76"/>
      <c r="AC651" s="76"/>
      <c r="AD651" s="76"/>
      <c r="AE651" s="76"/>
      <c r="AF651" s="76"/>
      <c r="AG651" s="76"/>
      <c r="AH651" s="76"/>
      <c r="AI651" s="76"/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</row>
    <row r="652" spans="5:54" x14ac:dyDescent="0.35">
      <c r="E652" s="83"/>
      <c r="F652" s="83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  <c r="Z652" s="76"/>
      <c r="AA652" s="76"/>
      <c r="AB652" s="76"/>
      <c r="AC652" s="76"/>
      <c r="AD652" s="76"/>
      <c r="AE652" s="76"/>
      <c r="AF652" s="76"/>
      <c r="AG652" s="76"/>
      <c r="AH652" s="76"/>
      <c r="AI652" s="76"/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</row>
    <row r="653" spans="5:54" x14ac:dyDescent="0.35">
      <c r="E653" s="83"/>
      <c r="F653" s="83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  <c r="Z653" s="76"/>
      <c r="AA653" s="76"/>
      <c r="AB653" s="76"/>
      <c r="AC653" s="76"/>
      <c r="AD653" s="76"/>
      <c r="AE653" s="76"/>
      <c r="AF653" s="76"/>
      <c r="AG653" s="76"/>
      <c r="AH653" s="76"/>
      <c r="AI653" s="76"/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</row>
    <row r="654" spans="5:54" x14ac:dyDescent="0.35">
      <c r="E654" s="83"/>
      <c r="F654" s="83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  <c r="Z654" s="76"/>
      <c r="AA654" s="76"/>
      <c r="AB654" s="76"/>
      <c r="AC654" s="76"/>
      <c r="AD654" s="76"/>
      <c r="AE654" s="76"/>
      <c r="AF654" s="76"/>
      <c r="AG654" s="76"/>
      <c r="AH654" s="76"/>
      <c r="AI654" s="76"/>
      <c r="AJ654" s="76"/>
      <c r="AK654" s="76"/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</row>
    <row r="655" spans="5:54" x14ac:dyDescent="0.35">
      <c r="E655" s="83"/>
      <c r="F655" s="83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  <c r="Z655" s="76"/>
      <c r="AA655" s="76"/>
      <c r="AB655" s="76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/>
      <c r="AW655" s="76"/>
      <c r="AX655" s="76"/>
      <c r="AY655" s="76"/>
      <c r="AZ655" s="76"/>
      <c r="BA655" s="76"/>
      <c r="BB655" s="76"/>
    </row>
    <row r="656" spans="5:54" x14ac:dyDescent="0.35">
      <c r="E656" s="83"/>
      <c r="F656" s="83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  <c r="Z656" s="76"/>
      <c r="AA656" s="76"/>
      <c r="AB656" s="76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</row>
    <row r="657" spans="5:54" x14ac:dyDescent="0.35">
      <c r="E657" s="83"/>
      <c r="F657" s="83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  <c r="Z657" s="76"/>
      <c r="AA657" s="76"/>
      <c r="AB657" s="76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/>
      <c r="AM657" s="76"/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/>
      <c r="BA657" s="76"/>
      <c r="BB657" s="76"/>
    </row>
    <row r="658" spans="5:54" x14ac:dyDescent="0.35">
      <c r="E658" s="83"/>
      <c r="F658" s="83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  <c r="Z658" s="76"/>
      <c r="AA658" s="76"/>
      <c r="AB658" s="76"/>
      <c r="AC658" s="76"/>
      <c r="AD658" s="76"/>
      <c r="AE658" s="76"/>
      <c r="AF658" s="76"/>
      <c r="AG658" s="76"/>
      <c r="AH658" s="76"/>
      <c r="AI658" s="76"/>
      <c r="AJ658" s="76"/>
      <c r="AK658" s="76"/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/>
      <c r="AY658" s="76"/>
      <c r="AZ658" s="76"/>
      <c r="BA658" s="76"/>
      <c r="BB658" s="76"/>
    </row>
    <row r="659" spans="5:54" x14ac:dyDescent="0.35">
      <c r="E659" s="83"/>
      <c r="F659" s="83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  <c r="Z659" s="76"/>
      <c r="AA659" s="76"/>
      <c r="AB659" s="76"/>
      <c r="AC659" s="76"/>
      <c r="AD659" s="76"/>
      <c r="AE659" s="76"/>
      <c r="AF659" s="76"/>
      <c r="AG659" s="76"/>
      <c r="AH659" s="76"/>
      <c r="AI659" s="76"/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/>
      <c r="AY659" s="76"/>
      <c r="AZ659" s="76"/>
      <c r="BA659" s="76"/>
      <c r="BB659" s="76"/>
    </row>
    <row r="660" spans="5:54" x14ac:dyDescent="0.35">
      <c r="E660" s="83"/>
      <c r="F660" s="83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  <c r="Z660" s="76"/>
      <c r="AA660" s="76"/>
      <c r="AB660" s="76"/>
      <c r="AC660" s="76"/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/>
      <c r="AO660" s="76"/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</row>
    <row r="661" spans="5:54" x14ac:dyDescent="0.35">
      <c r="E661" s="83"/>
      <c r="F661" s="83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  <c r="Z661" s="76"/>
      <c r="AA661" s="76"/>
      <c r="AB661" s="76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/>
      <c r="AS661" s="76"/>
      <c r="AT661" s="76"/>
      <c r="AU661" s="76"/>
      <c r="AV661" s="76"/>
      <c r="AW661" s="76"/>
      <c r="AX661" s="76"/>
      <c r="AY661" s="76"/>
      <c r="AZ661" s="76"/>
      <c r="BA661" s="76"/>
      <c r="BB661" s="76"/>
    </row>
    <row r="662" spans="5:54" x14ac:dyDescent="0.35">
      <c r="E662" s="83"/>
      <c r="F662" s="83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  <c r="Z662" s="76"/>
      <c r="AA662" s="76"/>
      <c r="AB662" s="76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/>
      <c r="AQ662" s="76"/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</row>
    <row r="663" spans="5:54" x14ac:dyDescent="0.35">
      <c r="E663" s="83"/>
      <c r="F663" s="83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  <c r="Z663" s="76"/>
      <c r="AA663" s="76"/>
      <c r="AB663" s="76"/>
      <c r="AC663" s="76"/>
      <c r="AD663" s="76"/>
      <c r="AE663" s="76"/>
      <c r="AF663" s="76"/>
      <c r="AG663" s="76"/>
      <c r="AH663" s="76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</row>
    <row r="664" spans="5:54" x14ac:dyDescent="0.35">
      <c r="E664" s="83"/>
      <c r="F664" s="83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  <c r="Z664" s="76"/>
      <c r="AA664" s="76"/>
      <c r="AB664" s="76"/>
      <c r="AC664" s="76"/>
      <c r="AD664" s="76"/>
      <c r="AE664" s="76"/>
      <c r="AF664" s="76"/>
      <c r="AG664" s="76"/>
      <c r="AH664" s="76"/>
      <c r="AI664" s="76"/>
      <c r="AJ664" s="76"/>
      <c r="AK664" s="76"/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/>
      <c r="AW664" s="76"/>
      <c r="AX664" s="76"/>
      <c r="AY664" s="76"/>
      <c r="AZ664" s="76"/>
      <c r="BA664" s="76"/>
      <c r="BB664" s="76"/>
    </row>
    <row r="665" spans="5:54" x14ac:dyDescent="0.35">
      <c r="E665" s="83"/>
      <c r="F665" s="83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  <c r="Z665" s="76"/>
      <c r="AA665" s="76"/>
      <c r="AB665" s="76"/>
      <c r="AC665" s="76"/>
      <c r="AD665" s="76"/>
      <c r="AE665" s="76"/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</row>
    <row r="666" spans="5:54" x14ac:dyDescent="0.35">
      <c r="E666" s="83"/>
      <c r="F666" s="83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  <c r="Z666" s="76"/>
      <c r="AA666" s="76"/>
      <c r="AB666" s="76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  <c r="AX666" s="76"/>
      <c r="AY666" s="76"/>
      <c r="AZ666" s="76"/>
      <c r="BA666" s="76"/>
      <c r="BB666" s="76"/>
    </row>
    <row r="667" spans="5:54" x14ac:dyDescent="0.35">
      <c r="E667" s="83"/>
      <c r="F667" s="83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  <c r="Z667" s="76"/>
      <c r="AA667" s="76"/>
      <c r="AB667" s="76"/>
      <c r="AC667" s="76"/>
      <c r="AD667" s="76"/>
      <c r="AE667" s="76"/>
      <c r="AF667" s="76"/>
      <c r="AG667" s="76"/>
      <c r="AH667" s="76"/>
      <c r="AI667" s="76"/>
      <c r="AJ667" s="76"/>
      <c r="AK667" s="76"/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</row>
    <row r="668" spans="5:54" x14ac:dyDescent="0.35">
      <c r="E668" s="83"/>
      <c r="F668" s="83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  <c r="Z668" s="76"/>
      <c r="AA668" s="76"/>
      <c r="AB668" s="76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/>
      <c r="AO668" s="76"/>
      <c r="AP668" s="76"/>
      <c r="AQ668" s="76"/>
      <c r="AR668" s="76"/>
      <c r="AS668" s="76"/>
      <c r="AT668" s="76"/>
      <c r="AU668" s="76"/>
      <c r="AV668" s="76"/>
      <c r="AW668" s="76"/>
      <c r="AX668" s="76"/>
      <c r="AY668" s="76"/>
      <c r="AZ668" s="76"/>
      <c r="BA668" s="76"/>
      <c r="BB668" s="76"/>
    </row>
    <row r="669" spans="5:54" x14ac:dyDescent="0.35">
      <c r="E669" s="83"/>
      <c r="F669" s="83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  <c r="Z669" s="76"/>
      <c r="AA669" s="76"/>
      <c r="AB669" s="76"/>
      <c r="AC669" s="76"/>
      <c r="AD669" s="76"/>
      <c r="AE669" s="76"/>
      <c r="AF669" s="76"/>
      <c r="AG669" s="76"/>
      <c r="AH669" s="76"/>
      <c r="AI669" s="76"/>
      <c r="AJ669" s="76"/>
      <c r="AK669" s="76"/>
      <c r="AL669" s="76"/>
      <c r="AM669" s="76"/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</row>
    <row r="670" spans="5:54" x14ac:dyDescent="0.35">
      <c r="E670" s="83"/>
      <c r="F670" s="83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  <c r="Z670" s="76"/>
      <c r="AA670" s="76"/>
      <c r="AB670" s="76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/>
      <c r="AW670" s="76"/>
      <c r="AX670" s="76"/>
      <c r="AY670" s="76"/>
      <c r="AZ670" s="76"/>
      <c r="BA670" s="76"/>
      <c r="BB670" s="76"/>
    </row>
    <row r="671" spans="5:54" x14ac:dyDescent="0.35">
      <c r="E671" s="83"/>
      <c r="F671" s="83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  <c r="Z671" s="76"/>
      <c r="AA671" s="76"/>
      <c r="AB671" s="76"/>
      <c r="AC671" s="76"/>
      <c r="AD671" s="76"/>
      <c r="AE671" s="76"/>
      <c r="AF671" s="76"/>
      <c r="AG671" s="76"/>
      <c r="AH671" s="76"/>
      <c r="AI671" s="76"/>
      <c r="AJ671" s="76"/>
      <c r="AK671" s="76"/>
      <c r="AL671" s="76"/>
      <c r="AM671" s="76"/>
      <c r="AN671" s="76"/>
      <c r="AO671" s="76"/>
      <c r="AP671" s="76"/>
      <c r="AQ671" s="76"/>
      <c r="AR671" s="76"/>
      <c r="AS671" s="76"/>
      <c r="AT671" s="76"/>
      <c r="AU671" s="76"/>
      <c r="AV671" s="76"/>
      <c r="AW671" s="76"/>
      <c r="AX671" s="76"/>
      <c r="AY671" s="76"/>
      <c r="AZ671" s="76"/>
      <c r="BA671" s="76"/>
      <c r="BB671" s="76"/>
    </row>
    <row r="672" spans="5:54" x14ac:dyDescent="0.35">
      <c r="E672" s="83"/>
      <c r="F672" s="83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  <c r="Z672" s="76"/>
      <c r="AA672" s="76"/>
      <c r="AB672" s="76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/>
      <c r="AW672" s="76"/>
      <c r="AX672" s="76"/>
      <c r="AY672" s="76"/>
      <c r="AZ672" s="76"/>
      <c r="BA672" s="76"/>
      <c r="BB672" s="76"/>
    </row>
    <row r="673" spans="5:54" x14ac:dyDescent="0.35">
      <c r="E673" s="83"/>
      <c r="F673" s="83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  <c r="Z673" s="76"/>
      <c r="AA673" s="76"/>
      <c r="AB673" s="76"/>
      <c r="AC673" s="76"/>
      <c r="AD673" s="76"/>
      <c r="AE673" s="76"/>
      <c r="AF673" s="76"/>
      <c r="AG673" s="76"/>
      <c r="AH673" s="76"/>
      <c r="AI673" s="76"/>
      <c r="AJ673" s="76"/>
      <c r="AK673" s="76"/>
      <c r="AL673" s="76"/>
      <c r="AM673" s="76"/>
      <c r="AN673" s="76"/>
      <c r="AO673" s="76"/>
      <c r="AP673" s="76"/>
      <c r="AQ673" s="76"/>
      <c r="AR673" s="76"/>
      <c r="AS673" s="76"/>
      <c r="AT673" s="76"/>
      <c r="AU673" s="76"/>
      <c r="AV673" s="76"/>
      <c r="AW673" s="76"/>
      <c r="AX673" s="76"/>
      <c r="AY673" s="76"/>
      <c r="AZ673" s="76"/>
      <c r="BA673" s="76"/>
      <c r="BB673" s="76"/>
    </row>
    <row r="674" spans="5:54" x14ac:dyDescent="0.35">
      <c r="E674" s="83"/>
      <c r="F674" s="83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  <c r="Z674" s="76"/>
      <c r="AA674" s="76"/>
      <c r="AB674" s="76"/>
      <c r="AC674" s="76"/>
      <c r="AD674" s="76"/>
      <c r="AE674" s="76"/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  <c r="AW674" s="76"/>
      <c r="AX674" s="76"/>
      <c r="AY674" s="76"/>
      <c r="AZ674" s="76"/>
      <c r="BA674" s="76"/>
      <c r="BB674" s="76"/>
    </row>
    <row r="675" spans="5:54" x14ac:dyDescent="0.35">
      <c r="E675" s="83"/>
      <c r="F675" s="83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  <c r="Z675" s="76"/>
      <c r="AA675" s="76"/>
      <c r="AB675" s="76"/>
      <c r="AC675" s="76"/>
      <c r="AD675" s="76"/>
      <c r="AE675" s="76"/>
      <c r="AF675" s="76"/>
      <c r="AG675" s="76"/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</row>
    <row r="676" spans="5:54" x14ac:dyDescent="0.35">
      <c r="E676" s="83"/>
      <c r="F676" s="83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  <c r="Z676" s="76"/>
      <c r="AA676" s="76"/>
      <c r="AB676" s="76"/>
      <c r="AC676" s="76"/>
      <c r="AD676" s="76"/>
      <c r="AE676" s="76"/>
      <c r="AF676" s="76"/>
      <c r="AG676" s="76"/>
      <c r="AH676" s="76"/>
      <c r="AI676" s="76"/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/>
    </row>
    <row r="677" spans="5:54" x14ac:dyDescent="0.35">
      <c r="E677" s="83"/>
      <c r="F677" s="83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  <c r="Z677" s="76"/>
      <c r="AA677" s="76"/>
      <c r="AB677" s="76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  <c r="AW677" s="76"/>
      <c r="AX677" s="76"/>
      <c r="AY677" s="76"/>
      <c r="AZ677" s="76"/>
      <c r="BA677" s="76"/>
      <c r="BB677" s="76"/>
    </row>
    <row r="678" spans="5:54" x14ac:dyDescent="0.35">
      <c r="E678" s="83"/>
      <c r="F678" s="83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  <c r="Z678" s="76"/>
      <c r="AA678" s="76"/>
      <c r="AB678" s="76"/>
      <c r="AC678" s="76"/>
      <c r="AD678" s="76"/>
      <c r="AE678" s="76"/>
      <c r="AF678" s="76"/>
      <c r="AG678" s="76"/>
      <c r="AH678" s="76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</row>
    <row r="679" spans="5:54" x14ac:dyDescent="0.35">
      <c r="E679" s="83"/>
      <c r="F679" s="83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  <c r="Z679" s="76"/>
      <c r="AA679" s="76"/>
      <c r="AB679" s="76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</row>
    <row r="680" spans="5:54" x14ac:dyDescent="0.35">
      <c r="E680" s="83"/>
      <c r="F680" s="83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  <c r="Z680" s="76"/>
      <c r="AA680" s="76"/>
      <c r="AB680" s="76"/>
      <c r="AC680" s="76"/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/>
      <c r="AS680" s="76"/>
      <c r="AT680" s="76"/>
      <c r="AU680" s="76"/>
      <c r="AV680" s="76"/>
      <c r="AW680" s="76"/>
      <c r="AX680" s="76"/>
      <c r="AY680" s="76"/>
      <c r="AZ680" s="76"/>
      <c r="BA680" s="76"/>
      <c r="BB680" s="76"/>
    </row>
    <row r="681" spans="5:54" x14ac:dyDescent="0.35">
      <c r="E681" s="83"/>
      <c r="F681" s="83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  <c r="Z681" s="76"/>
      <c r="AA681" s="76"/>
      <c r="AB681" s="76"/>
      <c r="AC681" s="76"/>
      <c r="AD681" s="76"/>
      <c r="AE681" s="76"/>
      <c r="AF681" s="76"/>
      <c r="AG681" s="76"/>
      <c r="AH681" s="76"/>
      <c r="AI681" s="76"/>
      <c r="AJ681" s="76"/>
      <c r="AK681" s="76"/>
      <c r="AL681" s="76"/>
      <c r="AM681" s="76"/>
      <c r="AN681" s="76"/>
      <c r="AO681" s="76"/>
      <c r="AP681" s="76"/>
      <c r="AQ681" s="76"/>
      <c r="AR681" s="76"/>
      <c r="AS681" s="76"/>
      <c r="AT681" s="76"/>
      <c r="AU681" s="76"/>
      <c r="AV681" s="76"/>
      <c r="AW681" s="76"/>
      <c r="AX681" s="76"/>
      <c r="AY681" s="76"/>
      <c r="AZ681" s="76"/>
      <c r="BA681" s="76"/>
      <c r="BB681" s="76"/>
    </row>
    <row r="682" spans="5:54" x14ac:dyDescent="0.35">
      <c r="E682" s="83"/>
      <c r="F682" s="83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  <c r="Z682" s="76"/>
      <c r="AA682" s="76"/>
      <c r="AB682" s="76"/>
      <c r="AC682" s="76"/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/>
      <c r="AO682" s="76"/>
      <c r="AP682" s="76"/>
      <c r="AQ682" s="76"/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</row>
    <row r="683" spans="5:54" x14ac:dyDescent="0.35">
      <c r="E683" s="83"/>
      <c r="F683" s="83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  <c r="Z683" s="76"/>
      <c r="AA683" s="76"/>
      <c r="AB683" s="76"/>
      <c r="AC683" s="76"/>
      <c r="AD683" s="76"/>
      <c r="AE683" s="76"/>
      <c r="AF683" s="76"/>
      <c r="AG683" s="76"/>
      <c r="AH683" s="76"/>
      <c r="AI683" s="76"/>
      <c r="AJ683" s="76"/>
      <c r="AK683" s="76"/>
      <c r="AL683" s="76"/>
      <c r="AM683" s="76"/>
      <c r="AN683" s="76"/>
      <c r="AO683" s="76"/>
      <c r="AP683" s="76"/>
      <c r="AQ683" s="76"/>
      <c r="AR683" s="76"/>
      <c r="AS683" s="76"/>
      <c r="AT683" s="76"/>
      <c r="AU683" s="76"/>
      <c r="AV683" s="76"/>
      <c r="AW683" s="76"/>
      <c r="AX683" s="76"/>
      <c r="AY683" s="76"/>
      <c r="AZ683" s="76"/>
      <c r="BA683" s="76"/>
      <c r="BB683" s="76"/>
    </row>
    <row r="684" spans="5:54" x14ac:dyDescent="0.35">
      <c r="E684" s="83"/>
      <c r="F684" s="83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  <c r="Z684" s="76"/>
      <c r="AA684" s="76"/>
      <c r="AB684" s="76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/>
      <c r="AS684" s="76"/>
      <c r="AT684" s="76"/>
      <c r="AU684" s="76"/>
      <c r="AV684" s="76"/>
      <c r="AW684" s="76"/>
      <c r="AX684" s="76"/>
      <c r="AY684" s="76"/>
      <c r="AZ684" s="76"/>
      <c r="BA684" s="76"/>
      <c r="BB684" s="76"/>
    </row>
    <row r="685" spans="5:54" x14ac:dyDescent="0.35">
      <c r="E685" s="83"/>
      <c r="F685" s="83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  <c r="Z685" s="76"/>
      <c r="AA685" s="76"/>
      <c r="AB685" s="76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/>
      <c r="AW685" s="76"/>
      <c r="AX685" s="76"/>
      <c r="AY685" s="76"/>
      <c r="AZ685" s="76"/>
      <c r="BA685" s="76"/>
      <c r="BB685" s="76"/>
    </row>
    <row r="686" spans="5:54" x14ac:dyDescent="0.35">
      <c r="E686" s="83"/>
      <c r="F686" s="83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  <c r="Z686" s="76"/>
      <c r="AA686" s="76"/>
      <c r="AB686" s="76"/>
      <c r="AC686" s="76"/>
      <c r="AD686" s="76"/>
      <c r="AE686" s="76"/>
      <c r="AF686" s="76"/>
      <c r="AG686" s="76"/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</row>
    <row r="687" spans="5:54" x14ac:dyDescent="0.35">
      <c r="E687" s="83"/>
      <c r="F687" s="83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  <c r="Z687" s="76"/>
      <c r="AA687" s="76"/>
      <c r="AB687" s="76"/>
      <c r="AC687" s="76"/>
      <c r="AD687" s="76"/>
      <c r="AE687" s="76"/>
      <c r="AF687" s="76"/>
      <c r="AG687" s="76"/>
      <c r="AH687" s="76"/>
      <c r="AI687" s="76"/>
      <c r="AJ687" s="76"/>
      <c r="AK687" s="76"/>
      <c r="AL687" s="76"/>
      <c r="AM687" s="76"/>
      <c r="AN687" s="76"/>
      <c r="AO687" s="76"/>
      <c r="AP687" s="76"/>
      <c r="AQ687" s="76"/>
      <c r="AR687" s="76"/>
      <c r="AS687" s="76"/>
      <c r="AT687" s="76"/>
      <c r="AU687" s="76"/>
      <c r="AV687" s="76"/>
      <c r="AW687" s="76"/>
      <c r="AX687" s="76"/>
      <c r="AY687" s="76"/>
      <c r="AZ687" s="76"/>
      <c r="BA687" s="76"/>
      <c r="BB687" s="76"/>
    </row>
    <row r="688" spans="5:54" x14ac:dyDescent="0.35">
      <c r="E688" s="83"/>
      <c r="F688" s="83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  <c r="Z688" s="76"/>
      <c r="AA688" s="76"/>
      <c r="AB688" s="76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/>
      <c r="AW688" s="76"/>
      <c r="AX688" s="76"/>
      <c r="AY688" s="76"/>
      <c r="AZ688" s="76"/>
      <c r="BA688" s="76"/>
      <c r="BB688" s="76"/>
    </row>
    <row r="689" spans="5:54" x14ac:dyDescent="0.35">
      <c r="E689" s="83"/>
      <c r="F689" s="83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  <c r="Z689" s="76"/>
      <c r="AA689" s="76"/>
      <c r="AB689" s="76"/>
      <c r="AC689" s="76"/>
      <c r="AD689" s="76"/>
      <c r="AE689" s="76"/>
      <c r="AF689" s="76"/>
      <c r="AG689" s="76"/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/>
      <c r="AW689" s="76"/>
      <c r="AX689" s="76"/>
      <c r="AY689" s="76"/>
      <c r="AZ689" s="76"/>
      <c r="BA689" s="76"/>
      <c r="BB689" s="76"/>
    </row>
    <row r="690" spans="5:54" x14ac:dyDescent="0.35">
      <c r="E690" s="83"/>
      <c r="F690" s="83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  <c r="Z690" s="76"/>
      <c r="AA690" s="76"/>
      <c r="AB690" s="76"/>
      <c r="AC690" s="76"/>
      <c r="AD690" s="76"/>
      <c r="AE690" s="76"/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/>
      <c r="AQ690" s="76"/>
      <c r="AR690" s="76"/>
      <c r="AS690" s="76"/>
      <c r="AT690" s="76"/>
      <c r="AU690" s="76"/>
      <c r="AV690" s="76"/>
      <c r="AW690" s="76"/>
      <c r="AX690" s="76"/>
      <c r="AY690" s="76"/>
      <c r="AZ690" s="76"/>
      <c r="BA690" s="76"/>
      <c r="BB690" s="76"/>
    </row>
    <row r="691" spans="5:54" x14ac:dyDescent="0.35">
      <c r="E691" s="83"/>
      <c r="F691" s="83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  <c r="Z691" s="76"/>
      <c r="AA691" s="76"/>
      <c r="AB691" s="76"/>
      <c r="AC691" s="76"/>
      <c r="AD691" s="76"/>
      <c r="AE691" s="76"/>
      <c r="AF691" s="76"/>
      <c r="AG691" s="76"/>
      <c r="AH691" s="76"/>
      <c r="AI691" s="76"/>
      <c r="AJ691" s="76"/>
      <c r="AK691" s="76"/>
      <c r="AL691" s="76"/>
      <c r="AM691" s="76"/>
      <c r="AN691" s="76"/>
      <c r="AO691" s="76"/>
      <c r="AP691" s="76"/>
      <c r="AQ691" s="76"/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</row>
    <row r="692" spans="5:54" x14ac:dyDescent="0.35">
      <c r="E692" s="83"/>
      <c r="F692" s="83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  <c r="Z692" s="76"/>
      <c r="AA692" s="76"/>
      <c r="AB692" s="76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</row>
    <row r="693" spans="5:54" x14ac:dyDescent="0.35">
      <c r="E693" s="83"/>
      <c r="F693" s="83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  <c r="Z693" s="76"/>
      <c r="AA693" s="76"/>
      <c r="AB693" s="76"/>
      <c r="AC693" s="76"/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  <c r="AX693" s="76"/>
      <c r="AY693" s="76"/>
      <c r="AZ693" s="76"/>
      <c r="BA693" s="76"/>
      <c r="BB693" s="76"/>
    </row>
    <row r="694" spans="5:54" x14ac:dyDescent="0.35">
      <c r="E694" s="83"/>
      <c r="F694" s="83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  <c r="Z694" s="76"/>
      <c r="AA694" s="76"/>
      <c r="AB694" s="76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  <c r="AX694" s="76"/>
      <c r="AY694" s="76"/>
      <c r="AZ694" s="76"/>
      <c r="BA694" s="76"/>
      <c r="BB694" s="76"/>
    </row>
    <row r="695" spans="5:54" x14ac:dyDescent="0.35">
      <c r="E695" s="83"/>
      <c r="F695" s="83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  <c r="Z695" s="76"/>
      <c r="AA695" s="76"/>
      <c r="AB695" s="76"/>
      <c r="AC695" s="76"/>
      <c r="AD695" s="76"/>
      <c r="AE695" s="76"/>
      <c r="AF695" s="76"/>
      <c r="AG695" s="76"/>
      <c r="AH695" s="76"/>
      <c r="AI695" s="76"/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  <c r="AW695" s="76"/>
      <c r="AX695" s="76"/>
      <c r="AY695" s="76"/>
      <c r="AZ695" s="76"/>
      <c r="BA695" s="76"/>
      <c r="BB695" s="76"/>
    </row>
    <row r="696" spans="5:54" x14ac:dyDescent="0.35">
      <c r="E696" s="83"/>
      <c r="F696" s="83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  <c r="Z696" s="76"/>
      <c r="AA696" s="76"/>
      <c r="AB696" s="76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</row>
    <row r="697" spans="5:54" x14ac:dyDescent="0.35">
      <c r="E697" s="83"/>
      <c r="F697" s="83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  <c r="Z697" s="76"/>
      <c r="AA697" s="76"/>
      <c r="AB697" s="76"/>
      <c r="AC697" s="76"/>
      <c r="AD697" s="76"/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/>
      <c r="AY697" s="76"/>
      <c r="AZ697" s="76"/>
      <c r="BA697" s="76"/>
      <c r="BB697" s="76"/>
    </row>
    <row r="698" spans="5:54" x14ac:dyDescent="0.35">
      <c r="E698" s="83"/>
      <c r="F698" s="83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  <c r="Z698" s="76"/>
      <c r="AA698" s="76"/>
      <c r="AB698" s="76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/>
      <c r="AM698" s="76"/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/>
      <c r="BA698" s="76"/>
      <c r="BB698" s="76"/>
    </row>
    <row r="699" spans="5:54" x14ac:dyDescent="0.35">
      <c r="E699" s="83"/>
      <c r="F699" s="83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  <c r="Z699" s="76"/>
      <c r="AA699" s="76"/>
      <c r="AB699" s="76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  <c r="AX699" s="76"/>
      <c r="AY699" s="76"/>
      <c r="AZ699" s="76"/>
      <c r="BA699" s="76"/>
      <c r="BB699" s="76"/>
    </row>
    <row r="700" spans="5:54" x14ac:dyDescent="0.35">
      <c r="E700" s="83"/>
      <c r="F700" s="83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  <c r="Z700" s="76"/>
      <c r="AA700" s="76"/>
      <c r="AB700" s="76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</row>
    <row r="701" spans="5:54" x14ac:dyDescent="0.35">
      <c r="E701" s="83"/>
      <c r="F701" s="83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  <c r="Z701" s="76"/>
      <c r="AA701" s="76"/>
      <c r="AB701" s="76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/>
      <c r="AQ701" s="76"/>
      <c r="AR701" s="76"/>
      <c r="AS701" s="76"/>
      <c r="AT701" s="76"/>
      <c r="AU701" s="76"/>
      <c r="AV701" s="76"/>
      <c r="AW701" s="76"/>
      <c r="AX701" s="76"/>
      <c r="AY701" s="76"/>
      <c r="AZ701" s="76"/>
      <c r="BA701" s="76"/>
      <c r="BB701" s="76"/>
    </row>
    <row r="702" spans="5:54" x14ac:dyDescent="0.35">
      <c r="E702" s="83"/>
      <c r="F702" s="83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  <c r="Z702" s="76"/>
      <c r="AA702" s="76"/>
      <c r="AB702" s="76"/>
      <c r="AC702" s="76"/>
      <c r="AD702" s="76"/>
      <c r="AE702" s="76"/>
      <c r="AF702" s="76"/>
      <c r="AG702" s="76"/>
      <c r="AH702" s="76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  <c r="AX702" s="76"/>
      <c r="AY702" s="76"/>
      <c r="AZ702" s="76"/>
      <c r="BA702" s="76"/>
      <c r="BB702" s="76"/>
    </row>
    <row r="703" spans="5:54" x14ac:dyDescent="0.35">
      <c r="E703" s="83"/>
      <c r="F703" s="83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  <c r="Z703" s="76"/>
      <c r="AA703" s="76"/>
      <c r="AB703" s="76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/>
      <c r="AU703" s="76"/>
      <c r="AV703" s="76"/>
      <c r="AW703" s="76"/>
      <c r="AX703" s="76"/>
      <c r="AY703" s="76"/>
      <c r="AZ703" s="76"/>
      <c r="BA703" s="76"/>
      <c r="BB703" s="76"/>
    </row>
    <row r="704" spans="5:54" x14ac:dyDescent="0.35">
      <c r="E704" s="83"/>
      <c r="F704" s="83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  <c r="Z704" s="76"/>
      <c r="AA704" s="76"/>
      <c r="AB704" s="76"/>
      <c r="AC704" s="76"/>
      <c r="AD704" s="76"/>
      <c r="AE704" s="76"/>
      <c r="AF704" s="76"/>
      <c r="AG704" s="76"/>
      <c r="AH704" s="76"/>
      <c r="AI704" s="76"/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</row>
    <row r="705" spans="5:54" x14ac:dyDescent="0.35">
      <c r="E705" s="83"/>
      <c r="F705" s="83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  <c r="Z705" s="76"/>
      <c r="AA705" s="76"/>
      <c r="AB705" s="76"/>
      <c r="AC705" s="76"/>
      <c r="AD705" s="76"/>
      <c r="AE705" s="76"/>
      <c r="AF705" s="76"/>
      <c r="AG705" s="76"/>
      <c r="AH705" s="76"/>
      <c r="AI705" s="76"/>
      <c r="AJ705" s="76"/>
      <c r="AK705" s="76"/>
      <c r="AL705" s="76"/>
      <c r="AM705" s="76"/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</row>
    <row r="706" spans="5:54" x14ac:dyDescent="0.35">
      <c r="E706" s="83"/>
      <c r="F706" s="83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  <c r="Z706" s="76"/>
      <c r="AA706" s="76"/>
      <c r="AB706" s="76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  <c r="AX706" s="76"/>
      <c r="AY706" s="76"/>
      <c r="AZ706" s="76"/>
      <c r="BA706" s="76"/>
      <c r="BB706" s="76"/>
    </row>
    <row r="707" spans="5:54" x14ac:dyDescent="0.35">
      <c r="E707" s="83"/>
      <c r="F707" s="83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  <c r="Z707" s="76"/>
      <c r="AA707" s="76"/>
      <c r="AB707" s="76"/>
      <c r="AC707" s="76"/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  <c r="AX707" s="76"/>
      <c r="AY707" s="76"/>
      <c r="AZ707" s="76"/>
      <c r="BA707" s="76"/>
      <c r="BB707" s="76"/>
    </row>
    <row r="708" spans="5:54" x14ac:dyDescent="0.35">
      <c r="E708" s="83"/>
      <c r="F708" s="83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  <c r="Z708" s="76"/>
      <c r="AA708" s="76"/>
      <c r="AB708" s="76"/>
      <c r="AC708" s="76"/>
      <c r="AD708" s="76"/>
      <c r="AE708" s="76"/>
      <c r="AF708" s="76"/>
      <c r="AG708" s="76"/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/>
    </row>
    <row r="709" spans="5:54" x14ac:dyDescent="0.35">
      <c r="E709" s="83"/>
      <c r="F709" s="83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  <c r="Z709" s="76"/>
      <c r="AA709" s="76"/>
      <c r="AB709" s="76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/>
      <c r="AS709" s="76"/>
      <c r="AT709" s="76"/>
      <c r="AU709" s="76"/>
      <c r="AV709" s="76"/>
      <c r="AW709" s="76"/>
      <c r="AX709" s="76"/>
      <c r="AY709" s="76"/>
      <c r="AZ709" s="76"/>
      <c r="BA709" s="76"/>
      <c r="BB709" s="76"/>
    </row>
    <row r="710" spans="5:54" x14ac:dyDescent="0.35">
      <c r="E710" s="83"/>
      <c r="F710" s="83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  <c r="Z710" s="76"/>
      <c r="AA710" s="76"/>
      <c r="AB710" s="76"/>
      <c r="AC710" s="76"/>
      <c r="AD710" s="76"/>
      <c r="AE710" s="76"/>
      <c r="AF710" s="76"/>
      <c r="AG710" s="76"/>
      <c r="AH710" s="76"/>
      <c r="AI710" s="76"/>
      <c r="AJ710" s="76"/>
      <c r="AK710" s="76"/>
      <c r="AL710" s="76"/>
      <c r="AM710" s="76"/>
      <c r="AN710" s="76"/>
      <c r="AO710" s="76"/>
      <c r="AP710" s="76"/>
      <c r="AQ710" s="76"/>
      <c r="AR710" s="76"/>
      <c r="AS710" s="76"/>
      <c r="AT710" s="76"/>
      <c r="AU710" s="76"/>
      <c r="AV710" s="76"/>
      <c r="AW710" s="76"/>
      <c r="AX710" s="76"/>
      <c r="AY710" s="76"/>
      <c r="AZ710" s="76"/>
      <c r="BA710" s="76"/>
      <c r="BB710" s="76"/>
    </row>
    <row r="711" spans="5:54" x14ac:dyDescent="0.35">
      <c r="E711" s="83"/>
      <c r="F711" s="83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  <c r="Z711" s="76"/>
      <c r="AA711" s="76"/>
      <c r="AB711" s="76"/>
      <c r="AC711" s="76"/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</row>
    <row r="712" spans="5:54" x14ac:dyDescent="0.35">
      <c r="E712" s="83"/>
      <c r="F712" s="83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  <c r="Z712" s="76"/>
      <c r="AA712" s="76"/>
      <c r="AB712" s="76"/>
      <c r="AC712" s="76"/>
      <c r="AD712" s="76"/>
      <c r="AE712" s="76"/>
      <c r="AF712" s="76"/>
      <c r="AG712" s="76"/>
      <c r="AH712" s="76"/>
      <c r="AI712" s="76"/>
      <c r="AJ712" s="76"/>
      <c r="AK712" s="76"/>
      <c r="AL712" s="76"/>
      <c r="AM712" s="76"/>
      <c r="AN712" s="76"/>
      <c r="AO712" s="76"/>
      <c r="AP712" s="76"/>
      <c r="AQ712" s="76"/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</row>
    <row r="713" spans="5:54" x14ac:dyDescent="0.35">
      <c r="E713" s="83"/>
      <c r="F713" s="83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  <c r="Z713" s="76"/>
      <c r="AA713" s="76"/>
      <c r="AB713" s="76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/>
      <c r="AO713" s="76"/>
      <c r="AP713" s="76"/>
      <c r="AQ713" s="76"/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/>
    </row>
    <row r="714" spans="5:54" x14ac:dyDescent="0.35">
      <c r="E714" s="83"/>
      <c r="F714" s="83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  <c r="Z714" s="76"/>
      <c r="AA714" s="76"/>
      <c r="AB714" s="76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/>
      <c r="AY714" s="76"/>
      <c r="AZ714" s="76"/>
      <c r="BA714" s="76"/>
      <c r="BB714" s="76"/>
    </row>
    <row r="715" spans="5:54" x14ac:dyDescent="0.35">
      <c r="E715" s="83"/>
      <c r="F715" s="83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  <c r="Z715" s="76"/>
      <c r="AA715" s="76"/>
      <c r="AB715" s="76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/>
      <c r="AO715" s="76"/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/>
    </row>
    <row r="716" spans="5:54" x14ac:dyDescent="0.35">
      <c r="E716" s="83"/>
      <c r="F716" s="83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  <c r="Z716" s="76"/>
      <c r="AA716" s="76"/>
      <c r="AB716" s="76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/>
      <c r="AS716" s="76"/>
      <c r="AT716" s="76"/>
      <c r="AU716" s="76"/>
      <c r="AV716" s="76"/>
      <c r="AW716" s="76"/>
      <c r="AX716" s="76"/>
      <c r="AY716" s="76"/>
      <c r="AZ716" s="76"/>
      <c r="BA716" s="76"/>
      <c r="BB716" s="76"/>
    </row>
    <row r="717" spans="5:54" x14ac:dyDescent="0.35">
      <c r="E717" s="83"/>
      <c r="F717" s="83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  <c r="Z717" s="76"/>
      <c r="AA717" s="76"/>
      <c r="AB717" s="76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/>
      <c r="AQ717" s="76"/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</row>
    <row r="718" spans="5:54" x14ac:dyDescent="0.35">
      <c r="E718" s="83"/>
      <c r="F718" s="83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  <c r="Z718" s="76"/>
      <c r="AA718" s="76"/>
      <c r="AB718" s="76"/>
      <c r="AC718" s="76"/>
      <c r="AD718" s="76"/>
      <c r="AE718" s="76"/>
      <c r="AF718" s="76"/>
      <c r="AG718" s="76"/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/>
      <c r="BA718" s="76"/>
      <c r="BB718" s="76"/>
    </row>
    <row r="719" spans="5:54" x14ac:dyDescent="0.35">
      <c r="E719" s="83"/>
      <c r="F719" s="83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  <c r="Z719" s="76"/>
      <c r="AA719" s="76"/>
      <c r="AB719" s="76"/>
      <c r="AC719" s="76"/>
      <c r="AD719" s="76"/>
      <c r="AE719" s="76"/>
      <c r="AF719" s="76"/>
      <c r="AG719" s="76"/>
      <c r="AH719" s="76"/>
      <c r="AI719" s="76"/>
      <c r="AJ719" s="76"/>
      <c r="AK719" s="76"/>
      <c r="AL719" s="76"/>
      <c r="AM719" s="76"/>
      <c r="AN719" s="76"/>
      <c r="AO719" s="76"/>
      <c r="AP719" s="76"/>
      <c r="AQ719" s="76"/>
      <c r="AR719" s="76"/>
      <c r="AS719" s="76"/>
      <c r="AT719" s="76"/>
      <c r="AU719" s="76"/>
      <c r="AV719" s="76"/>
      <c r="AW719" s="76"/>
      <c r="AX719" s="76"/>
      <c r="AY719" s="76"/>
      <c r="AZ719" s="76"/>
      <c r="BA719" s="76"/>
      <c r="BB719" s="76"/>
    </row>
    <row r="720" spans="5:54" x14ac:dyDescent="0.35">
      <c r="E720" s="83"/>
      <c r="F720" s="83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  <c r="Z720" s="76"/>
      <c r="AA720" s="76"/>
      <c r="AB720" s="76"/>
      <c r="AC720" s="76"/>
      <c r="AD720" s="76"/>
      <c r="AE720" s="76"/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/>
    </row>
    <row r="721" spans="5:54" x14ac:dyDescent="0.35">
      <c r="E721" s="83"/>
      <c r="F721" s="83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  <c r="Z721" s="76"/>
      <c r="AA721" s="76"/>
      <c r="AB721" s="76"/>
      <c r="AC721" s="76"/>
      <c r="AD721" s="76"/>
      <c r="AE721" s="76"/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</row>
    <row r="722" spans="5:54" x14ac:dyDescent="0.35">
      <c r="E722" s="83"/>
      <c r="F722" s="83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  <c r="Z722" s="76"/>
      <c r="AA722" s="76"/>
      <c r="AB722" s="76"/>
      <c r="AC722" s="76"/>
      <c r="AD722" s="76"/>
      <c r="AE722" s="76"/>
      <c r="AF722" s="76"/>
      <c r="AG722" s="76"/>
      <c r="AH722" s="76"/>
      <c r="AI722" s="76"/>
      <c r="AJ722" s="76"/>
      <c r="AK722" s="76"/>
      <c r="AL722" s="76"/>
      <c r="AM722" s="76"/>
      <c r="AN722" s="76"/>
      <c r="AO722" s="76"/>
      <c r="AP722" s="76"/>
      <c r="AQ722" s="76"/>
      <c r="AR722" s="76"/>
      <c r="AS722" s="76"/>
      <c r="AT722" s="76"/>
      <c r="AU722" s="76"/>
      <c r="AV722" s="76"/>
      <c r="AW722" s="76"/>
      <c r="AX722" s="76"/>
      <c r="AY722" s="76"/>
      <c r="AZ722" s="76"/>
      <c r="BA722" s="76"/>
      <c r="BB722" s="76"/>
    </row>
    <row r="723" spans="5:54" x14ac:dyDescent="0.35">
      <c r="E723" s="83"/>
      <c r="F723" s="83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  <c r="Z723" s="76"/>
      <c r="AA723" s="76"/>
      <c r="AB723" s="76"/>
      <c r="AC723" s="76"/>
      <c r="AD723" s="76"/>
      <c r="AE723" s="76"/>
      <c r="AF723" s="76"/>
      <c r="AG723" s="76"/>
      <c r="AH723" s="76"/>
      <c r="AI723" s="76"/>
      <c r="AJ723" s="76"/>
      <c r="AK723" s="76"/>
      <c r="AL723" s="76"/>
      <c r="AM723" s="76"/>
      <c r="AN723" s="76"/>
      <c r="AO723" s="76"/>
      <c r="AP723" s="76"/>
      <c r="AQ723" s="76"/>
      <c r="AR723" s="76"/>
      <c r="AS723" s="76"/>
      <c r="AT723" s="76"/>
      <c r="AU723" s="76"/>
      <c r="AV723" s="76"/>
      <c r="AW723" s="76"/>
      <c r="AX723" s="76"/>
      <c r="AY723" s="76"/>
      <c r="AZ723" s="76"/>
      <c r="BA723" s="76"/>
      <c r="BB723" s="76"/>
    </row>
    <row r="724" spans="5:54" x14ac:dyDescent="0.35">
      <c r="E724" s="83"/>
      <c r="F724" s="83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  <c r="Z724" s="76"/>
      <c r="AA724" s="76"/>
      <c r="AB724" s="76"/>
      <c r="AC724" s="76"/>
      <c r="AD724" s="76"/>
      <c r="AE724" s="76"/>
      <c r="AF724" s="76"/>
      <c r="AG724" s="76"/>
      <c r="AH724" s="76"/>
      <c r="AI724" s="76"/>
      <c r="AJ724" s="76"/>
      <c r="AK724" s="76"/>
      <c r="AL724" s="76"/>
      <c r="AM724" s="76"/>
      <c r="AN724" s="76"/>
      <c r="AO724" s="76"/>
      <c r="AP724" s="76"/>
      <c r="AQ724" s="76"/>
      <c r="AR724" s="76"/>
      <c r="AS724" s="76"/>
      <c r="AT724" s="76"/>
      <c r="AU724" s="76"/>
      <c r="AV724" s="76"/>
      <c r="AW724" s="76"/>
      <c r="AX724" s="76"/>
      <c r="AY724" s="76"/>
      <c r="AZ724" s="76"/>
      <c r="BA724" s="76"/>
      <c r="BB724" s="76"/>
    </row>
    <row r="725" spans="5:54" x14ac:dyDescent="0.35">
      <c r="E725" s="83"/>
      <c r="F725" s="83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  <c r="Z725" s="76"/>
      <c r="AA725" s="76"/>
      <c r="AB725" s="76"/>
      <c r="AC725" s="76"/>
      <c r="AD725" s="76"/>
      <c r="AE725" s="76"/>
      <c r="AF725" s="76"/>
      <c r="AG725" s="76"/>
      <c r="AH725" s="76"/>
      <c r="AI725" s="76"/>
      <c r="AJ725" s="76"/>
      <c r="AK725" s="76"/>
      <c r="AL725" s="76"/>
      <c r="AM725" s="76"/>
      <c r="AN725" s="76"/>
      <c r="AO725" s="76"/>
      <c r="AP725" s="76"/>
      <c r="AQ725" s="76"/>
      <c r="AR725" s="76"/>
      <c r="AS725" s="76"/>
      <c r="AT725" s="76"/>
      <c r="AU725" s="76"/>
      <c r="AV725" s="76"/>
      <c r="AW725" s="76"/>
      <c r="AX725" s="76"/>
      <c r="AY725" s="76"/>
      <c r="AZ725" s="76"/>
      <c r="BA725" s="76"/>
      <c r="BB725" s="76"/>
    </row>
    <row r="726" spans="5:54" x14ac:dyDescent="0.35">
      <c r="E726" s="83"/>
      <c r="F726" s="83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  <c r="Z726" s="76"/>
      <c r="AA726" s="76"/>
      <c r="AB726" s="76"/>
      <c r="AC726" s="76"/>
      <c r="AD726" s="76"/>
      <c r="AE726" s="76"/>
      <c r="AF726" s="76"/>
      <c r="AG726" s="76"/>
      <c r="AH726" s="76"/>
      <c r="AI726" s="76"/>
      <c r="AJ726" s="76"/>
      <c r="AK726" s="76"/>
      <c r="AL726" s="76"/>
      <c r="AM726" s="76"/>
      <c r="AN726" s="76"/>
      <c r="AO726" s="76"/>
      <c r="AP726" s="76"/>
      <c r="AQ726" s="76"/>
      <c r="AR726" s="76"/>
      <c r="AS726" s="76"/>
      <c r="AT726" s="76"/>
      <c r="AU726" s="76"/>
      <c r="AV726" s="76"/>
      <c r="AW726" s="76"/>
      <c r="AX726" s="76"/>
      <c r="AY726" s="76"/>
      <c r="AZ726" s="76"/>
      <c r="BA726" s="76"/>
      <c r="BB726" s="76"/>
    </row>
    <row r="727" spans="5:54" x14ac:dyDescent="0.35">
      <c r="E727" s="83"/>
      <c r="F727" s="83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  <c r="Z727" s="76"/>
      <c r="AA727" s="76"/>
      <c r="AB727" s="76"/>
      <c r="AC727" s="76"/>
      <c r="AD727" s="76"/>
      <c r="AE727" s="76"/>
      <c r="AF727" s="76"/>
      <c r="AG727" s="76"/>
      <c r="AH727" s="76"/>
      <c r="AI727" s="76"/>
      <c r="AJ727" s="76"/>
      <c r="AK727" s="76"/>
      <c r="AL727" s="76"/>
      <c r="AM727" s="76"/>
      <c r="AN727" s="76"/>
      <c r="AO727" s="76"/>
      <c r="AP727" s="76"/>
      <c r="AQ727" s="76"/>
      <c r="AR727" s="76"/>
      <c r="AS727" s="76"/>
      <c r="AT727" s="76"/>
      <c r="AU727" s="76"/>
      <c r="AV727" s="76"/>
      <c r="AW727" s="76"/>
      <c r="AX727" s="76"/>
      <c r="AY727" s="76"/>
      <c r="AZ727" s="76"/>
      <c r="BA727" s="76"/>
      <c r="BB727" s="76"/>
    </row>
    <row r="728" spans="5:54" x14ac:dyDescent="0.35">
      <c r="E728" s="83"/>
      <c r="F728" s="83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  <c r="Z728" s="76"/>
      <c r="AA728" s="76"/>
      <c r="AB728" s="76"/>
      <c r="AC728" s="76"/>
      <c r="AD728" s="76"/>
      <c r="AE728" s="76"/>
      <c r="AF728" s="76"/>
      <c r="AG728" s="76"/>
      <c r="AH728" s="76"/>
      <c r="AI728" s="76"/>
      <c r="AJ728" s="76"/>
      <c r="AK728" s="76"/>
      <c r="AL728" s="76"/>
      <c r="AM728" s="76"/>
      <c r="AN728" s="76"/>
      <c r="AO728" s="76"/>
      <c r="AP728" s="76"/>
      <c r="AQ728" s="76"/>
      <c r="AR728" s="76"/>
      <c r="AS728" s="76"/>
      <c r="AT728" s="76"/>
      <c r="AU728" s="76"/>
      <c r="AV728" s="76"/>
      <c r="AW728" s="76"/>
      <c r="AX728" s="76"/>
      <c r="AY728" s="76"/>
      <c r="AZ728" s="76"/>
      <c r="BA728" s="76"/>
      <c r="BB728" s="76"/>
    </row>
    <row r="729" spans="5:54" x14ac:dyDescent="0.35">
      <c r="E729" s="83"/>
      <c r="F729" s="83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  <c r="Z729" s="76"/>
      <c r="AA729" s="76"/>
      <c r="AB729" s="76"/>
      <c r="AC729" s="76"/>
      <c r="AD729" s="76"/>
      <c r="AE729" s="76"/>
      <c r="AF729" s="76"/>
      <c r="AG729" s="76"/>
      <c r="AH729" s="76"/>
      <c r="AI729" s="76"/>
      <c r="AJ729" s="76"/>
      <c r="AK729" s="76"/>
      <c r="AL729" s="76"/>
      <c r="AM729" s="76"/>
      <c r="AN729" s="76"/>
      <c r="AO729" s="76"/>
      <c r="AP729" s="76"/>
      <c r="AQ729" s="76"/>
      <c r="AR729" s="76"/>
      <c r="AS729" s="76"/>
      <c r="AT729" s="76"/>
      <c r="AU729" s="76"/>
      <c r="AV729" s="76"/>
      <c r="AW729" s="76"/>
      <c r="AX729" s="76"/>
      <c r="AY729" s="76"/>
      <c r="AZ729" s="76"/>
      <c r="BA729" s="76"/>
      <c r="BB729" s="76"/>
    </row>
    <row r="730" spans="5:54" x14ac:dyDescent="0.35">
      <c r="E730" s="83"/>
      <c r="F730" s="83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  <c r="Z730" s="76"/>
      <c r="AA730" s="76"/>
      <c r="AB730" s="76"/>
      <c r="AC730" s="76"/>
      <c r="AD730" s="76"/>
      <c r="AE730" s="76"/>
      <c r="AF730" s="76"/>
      <c r="AG730" s="76"/>
      <c r="AH730" s="76"/>
      <c r="AI730" s="76"/>
      <c r="AJ730" s="76"/>
      <c r="AK730" s="76"/>
      <c r="AL730" s="76"/>
      <c r="AM730" s="76"/>
      <c r="AN730" s="76"/>
      <c r="AO730" s="76"/>
      <c r="AP730" s="76"/>
      <c r="AQ730" s="76"/>
      <c r="AR730" s="76"/>
      <c r="AS730" s="76"/>
      <c r="AT730" s="76"/>
      <c r="AU730" s="76"/>
      <c r="AV730" s="76"/>
      <c r="AW730" s="76"/>
      <c r="AX730" s="76"/>
      <c r="AY730" s="76"/>
      <c r="AZ730" s="76"/>
      <c r="BA730" s="76"/>
      <c r="BB730" s="76"/>
    </row>
    <row r="731" spans="5:54" x14ac:dyDescent="0.35">
      <c r="E731" s="83"/>
      <c r="F731" s="83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  <c r="Z731" s="76"/>
      <c r="AA731" s="76"/>
      <c r="AB731" s="76"/>
      <c r="AC731" s="76"/>
      <c r="AD731" s="76"/>
      <c r="AE731" s="76"/>
      <c r="AF731" s="76"/>
      <c r="AG731" s="76"/>
      <c r="AH731" s="76"/>
      <c r="AI731" s="76"/>
      <c r="AJ731" s="76"/>
      <c r="AK731" s="76"/>
      <c r="AL731" s="76"/>
      <c r="AM731" s="76"/>
      <c r="AN731" s="76"/>
      <c r="AO731" s="76"/>
      <c r="AP731" s="76"/>
      <c r="AQ731" s="76"/>
      <c r="AR731" s="76"/>
      <c r="AS731" s="76"/>
      <c r="AT731" s="76"/>
      <c r="AU731" s="76"/>
      <c r="AV731" s="76"/>
      <c r="AW731" s="76"/>
      <c r="AX731" s="76"/>
      <c r="AY731" s="76"/>
      <c r="AZ731" s="76"/>
      <c r="BA731" s="76"/>
      <c r="BB731" s="76"/>
    </row>
    <row r="732" spans="5:54" x14ac:dyDescent="0.35">
      <c r="E732" s="83"/>
      <c r="F732" s="83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  <c r="Z732" s="76"/>
      <c r="AA732" s="76"/>
      <c r="AB732" s="76"/>
      <c r="AC732" s="76"/>
      <c r="AD732" s="76"/>
      <c r="AE732" s="76"/>
      <c r="AF732" s="76"/>
      <c r="AG732" s="76"/>
      <c r="AH732" s="76"/>
      <c r="AI732" s="76"/>
      <c r="AJ732" s="76"/>
      <c r="AK732" s="76"/>
      <c r="AL732" s="76"/>
      <c r="AM732" s="76"/>
      <c r="AN732" s="76"/>
      <c r="AO732" s="76"/>
      <c r="AP732" s="76"/>
      <c r="AQ732" s="76"/>
      <c r="AR732" s="76"/>
      <c r="AS732" s="76"/>
      <c r="AT732" s="76"/>
      <c r="AU732" s="76"/>
      <c r="AV732" s="76"/>
      <c r="AW732" s="76"/>
      <c r="AX732" s="76"/>
      <c r="AY732" s="76"/>
      <c r="AZ732" s="76"/>
      <c r="BA732" s="76"/>
      <c r="BB732" s="76"/>
    </row>
    <row r="733" spans="5:54" x14ac:dyDescent="0.35">
      <c r="E733" s="83"/>
      <c r="F733" s="83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  <c r="Z733" s="76"/>
      <c r="AA733" s="76"/>
      <c r="AB733" s="76"/>
      <c r="AC733" s="76"/>
      <c r="AD733" s="76"/>
      <c r="AE733" s="76"/>
      <c r="AF733" s="76"/>
      <c r="AG733" s="76"/>
      <c r="AH733" s="76"/>
      <c r="AI733" s="76"/>
      <c r="AJ733" s="76"/>
      <c r="AK733" s="76"/>
      <c r="AL733" s="76"/>
      <c r="AM733" s="76"/>
      <c r="AN733" s="76"/>
      <c r="AO733" s="76"/>
      <c r="AP733" s="76"/>
      <c r="AQ733" s="76"/>
      <c r="AR733" s="76"/>
      <c r="AS733" s="76"/>
      <c r="AT733" s="76"/>
      <c r="AU733" s="76"/>
      <c r="AV733" s="76"/>
      <c r="AW733" s="76"/>
      <c r="AX733" s="76"/>
      <c r="AY733" s="76"/>
      <c r="AZ733" s="76"/>
      <c r="BA733" s="76"/>
      <c r="BB733" s="76"/>
    </row>
    <row r="734" spans="5:54" x14ac:dyDescent="0.35">
      <c r="E734" s="83"/>
      <c r="F734" s="83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  <c r="Z734" s="76"/>
      <c r="AA734" s="76"/>
      <c r="AB734" s="76"/>
      <c r="AC734" s="76"/>
      <c r="AD734" s="76"/>
      <c r="AE734" s="76"/>
      <c r="AF734" s="76"/>
      <c r="AG734" s="76"/>
      <c r="AH734" s="76"/>
      <c r="AI734" s="76"/>
      <c r="AJ734" s="76"/>
      <c r="AK734" s="76"/>
      <c r="AL734" s="76"/>
      <c r="AM734" s="76"/>
      <c r="AN734" s="76"/>
      <c r="AO734" s="76"/>
      <c r="AP734" s="76"/>
      <c r="AQ734" s="76"/>
      <c r="AR734" s="76"/>
      <c r="AS734" s="76"/>
      <c r="AT734" s="76"/>
      <c r="AU734" s="76"/>
      <c r="AV734" s="76"/>
      <c r="AW734" s="76"/>
      <c r="AX734" s="76"/>
      <c r="AY734" s="76"/>
      <c r="AZ734" s="76"/>
      <c r="BA734" s="76"/>
      <c r="BB734" s="76"/>
    </row>
    <row r="735" spans="5:54" x14ac:dyDescent="0.35">
      <c r="E735" s="83"/>
      <c r="F735" s="83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  <c r="Z735" s="76"/>
      <c r="AA735" s="76"/>
      <c r="AB735" s="76"/>
      <c r="AC735" s="76"/>
      <c r="AD735" s="76"/>
      <c r="AE735" s="76"/>
      <c r="AF735" s="76"/>
      <c r="AG735" s="76"/>
      <c r="AH735" s="76"/>
      <c r="AI735" s="76"/>
      <c r="AJ735" s="76"/>
      <c r="AK735" s="76"/>
      <c r="AL735" s="76"/>
      <c r="AM735" s="76"/>
      <c r="AN735" s="76"/>
      <c r="AO735" s="76"/>
      <c r="AP735" s="76"/>
      <c r="AQ735" s="76"/>
      <c r="AR735" s="76"/>
      <c r="AS735" s="76"/>
      <c r="AT735" s="76"/>
      <c r="AU735" s="76"/>
      <c r="AV735" s="76"/>
      <c r="AW735" s="76"/>
      <c r="AX735" s="76"/>
      <c r="AY735" s="76"/>
      <c r="AZ735" s="76"/>
      <c r="BA735" s="76"/>
      <c r="BB735" s="76"/>
    </row>
    <row r="736" spans="5:54" x14ac:dyDescent="0.35">
      <c r="E736" s="83"/>
      <c r="F736" s="83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  <c r="Z736" s="76"/>
      <c r="AA736" s="76"/>
      <c r="AB736" s="76"/>
      <c r="AC736" s="76"/>
      <c r="AD736" s="76"/>
      <c r="AE736" s="76"/>
      <c r="AF736" s="76"/>
      <c r="AG736" s="76"/>
      <c r="AH736" s="76"/>
      <c r="AI736" s="76"/>
      <c r="AJ736" s="76"/>
      <c r="AK736" s="76"/>
      <c r="AL736" s="76"/>
      <c r="AM736" s="76"/>
      <c r="AN736" s="76"/>
      <c r="AO736" s="76"/>
      <c r="AP736" s="76"/>
      <c r="AQ736" s="76"/>
      <c r="AR736" s="76"/>
      <c r="AS736" s="76"/>
      <c r="AT736" s="76"/>
      <c r="AU736" s="76"/>
      <c r="AV736" s="76"/>
      <c r="AW736" s="76"/>
      <c r="AX736" s="76"/>
      <c r="AY736" s="76"/>
      <c r="AZ736" s="76"/>
      <c r="BA736" s="76"/>
      <c r="BB736" s="76"/>
    </row>
    <row r="737" spans="5:54" x14ac:dyDescent="0.35">
      <c r="E737" s="83"/>
      <c r="F737" s="83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  <c r="Z737" s="76"/>
      <c r="AA737" s="76"/>
      <c r="AB737" s="76"/>
      <c r="AC737" s="76"/>
      <c r="AD737" s="76"/>
      <c r="AE737" s="76"/>
      <c r="AF737" s="76"/>
      <c r="AG737" s="76"/>
      <c r="AH737" s="76"/>
      <c r="AI737" s="76"/>
      <c r="AJ737" s="76"/>
      <c r="AK737" s="76"/>
      <c r="AL737" s="76"/>
      <c r="AM737" s="76"/>
      <c r="AN737" s="76"/>
      <c r="AO737" s="76"/>
      <c r="AP737" s="76"/>
      <c r="AQ737" s="76"/>
      <c r="AR737" s="76"/>
      <c r="AS737" s="76"/>
      <c r="AT737" s="76"/>
      <c r="AU737" s="76"/>
      <c r="AV737" s="76"/>
      <c r="AW737" s="76"/>
      <c r="AX737" s="76"/>
      <c r="AY737" s="76"/>
      <c r="AZ737" s="76"/>
      <c r="BA737" s="76"/>
      <c r="BB737" s="76"/>
    </row>
    <row r="738" spans="5:54" x14ac:dyDescent="0.35">
      <c r="E738" s="83"/>
      <c r="F738" s="83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  <c r="Z738" s="76"/>
      <c r="AA738" s="76"/>
      <c r="AB738" s="76"/>
      <c r="AC738" s="76"/>
      <c r="AD738" s="76"/>
      <c r="AE738" s="76"/>
      <c r="AF738" s="76"/>
      <c r="AG738" s="76"/>
      <c r="AH738" s="76"/>
      <c r="AI738" s="76"/>
      <c r="AJ738" s="76"/>
      <c r="AK738" s="76"/>
      <c r="AL738" s="76"/>
      <c r="AM738" s="76"/>
      <c r="AN738" s="76"/>
      <c r="AO738" s="76"/>
      <c r="AP738" s="76"/>
      <c r="AQ738" s="76"/>
      <c r="AR738" s="76"/>
      <c r="AS738" s="76"/>
      <c r="AT738" s="76"/>
      <c r="AU738" s="76"/>
      <c r="AV738" s="76"/>
      <c r="AW738" s="76"/>
      <c r="AX738" s="76"/>
      <c r="AY738" s="76"/>
      <c r="AZ738" s="76"/>
      <c r="BA738" s="76"/>
      <c r="BB738" s="76"/>
    </row>
    <row r="739" spans="5:54" x14ac:dyDescent="0.35">
      <c r="E739" s="83"/>
      <c r="F739" s="83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  <c r="Z739" s="76"/>
      <c r="AA739" s="76"/>
      <c r="AB739" s="76"/>
      <c r="AC739" s="76"/>
      <c r="AD739" s="76"/>
      <c r="AE739" s="76"/>
      <c r="AF739" s="76"/>
      <c r="AG739" s="76"/>
      <c r="AH739" s="76"/>
      <c r="AI739" s="76"/>
      <c r="AJ739" s="76"/>
      <c r="AK739" s="76"/>
      <c r="AL739" s="76"/>
      <c r="AM739" s="76"/>
      <c r="AN739" s="76"/>
      <c r="AO739" s="76"/>
      <c r="AP739" s="76"/>
      <c r="AQ739" s="76"/>
      <c r="AR739" s="76"/>
      <c r="AS739" s="76"/>
      <c r="AT739" s="76"/>
      <c r="AU739" s="76"/>
      <c r="AV739" s="76"/>
      <c r="AW739" s="76"/>
      <c r="AX739" s="76"/>
      <c r="AY739" s="76"/>
      <c r="AZ739" s="76"/>
      <c r="BA739" s="76"/>
      <c r="BB739" s="76"/>
    </row>
    <row r="740" spans="5:54" x14ac:dyDescent="0.35">
      <c r="E740" s="83"/>
      <c r="F740" s="83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  <c r="Z740" s="76"/>
      <c r="AA740" s="76"/>
      <c r="AB740" s="76"/>
      <c r="AC740" s="76"/>
      <c r="AD740" s="76"/>
      <c r="AE740" s="76"/>
      <c r="AF740" s="76"/>
      <c r="AG740" s="76"/>
      <c r="AH740" s="76"/>
      <c r="AI740" s="76"/>
      <c r="AJ740" s="76"/>
      <c r="AK740" s="76"/>
      <c r="AL740" s="76"/>
      <c r="AM740" s="76"/>
      <c r="AN740" s="76"/>
      <c r="AO740" s="76"/>
      <c r="AP740" s="76"/>
      <c r="AQ740" s="76"/>
      <c r="AR740" s="76"/>
      <c r="AS740" s="76"/>
      <c r="AT740" s="76"/>
      <c r="AU740" s="76"/>
      <c r="AV740" s="76"/>
      <c r="AW740" s="76"/>
      <c r="AX740" s="76"/>
      <c r="AY740" s="76"/>
      <c r="AZ740" s="76"/>
      <c r="BA740" s="76"/>
      <c r="BB740" s="76"/>
    </row>
    <row r="741" spans="5:54" x14ac:dyDescent="0.35">
      <c r="E741" s="83"/>
      <c r="F741" s="83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  <c r="Z741" s="76"/>
      <c r="AA741" s="76"/>
      <c r="AB741" s="76"/>
      <c r="AC741" s="76"/>
      <c r="AD741" s="76"/>
      <c r="AE741" s="76"/>
      <c r="AF741" s="76"/>
      <c r="AG741" s="76"/>
      <c r="AH741" s="76"/>
      <c r="AI741" s="76"/>
      <c r="AJ741" s="76"/>
      <c r="AK741" s="76"/>
      <c r="AL741" s="76"/>
      <c r="AM741" s="76"/>
      <c r="AN741" s="76"/>
      <c r="AO741" s="76"/>
      <c r="AP741" s="76"/>
      <c r="AQ741" s="76"/>
      <c r="AR741" s="76"/>
      <c r="AS741" s="76"/>
      <c r="AT741" s="76"/>
      <c r="AU741" s="76"/>
      <c r="AV741" s="76"/>
      <c r="AW741" s="76"/>
      <c r="AX741" s="76"/>
      <c r="AY741" s="76"/>
      <c r="AZ741" s="76"/>
      <c r="BA741" s="76"/>
      <c r="BB741" s="76"/>
    </row>
    <row r="742" spans="5:54" x14ac:dyDescent="0.35">
      <c r="E742" s="83"/>
      <c r="F742" s="83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  <c r="Z742" s="76"/>
      <c r="AA742" s="76"/>
      <c r="AB742" s="76"/>
      <c r="AC742" s="76"/>
      <c r="AD742" s="76"/>
      <c r="AE742" s="76"/>
      <c r="AF742" s="76"/>
      <c r="AG742" s="76"/>
      <c r="AH742" s="76"/>
      <c r="AI742" s="76"/>
      <c r="AJ742" s="76"/>
      <c r="AK742" s="76"/>
      <c r="AL742" s="76"/>
      <c r="AM742" s="76"/>
      <c r="AN742" s="76"/>
      <c r="AO742" s="76"/>
      <c r="AP742" s="76"/>
      <c r="AQ742" s="76"/>
      <c r="AR742" s="76"/>
      <c r="AS742" s="76"/>
      <c r="AT742" s="76"/>
      <c r="AU742" s="76"/>
      <c r="AV742" s="76"/>
      <c r="AW742" s="76"/>
      <c r="AX742" s="76"/>
      <c r="AY742" s="76"/>
      <c r="AZ742" s="76"/>
      <c r="BA742" s="76"/>
      <c r="BB742" s="76"/>
    </row>
    <row r="743" spans="5:54" x14ac:dyDescent="0.35">
      <c r="E743" s="83"/>
      <c r="F743" s="83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  <c r="Z743" s="76"/>
      <c r="AA743" s="76"/>
      <c r="AB743" s="76"/>
      <c r="AC743" s="76"/>
      <c r="AD743" s="76"/>
      <c r="AE743" s="76"/>
      <c r="AF743" s="76"/>
      <c r="AG743" s="76"/>
      <c r="AH743" s="76"/>
      <c r="AI743" s="76"/>
      <c r="AJ743" s="76"/>
      <c r="AK743" s="76"/>
      <c r="AL743" s="76"/>
      <c r="AM743" s="76"/>
      <c r="AN743" s="76"/>
      <c r="AO743" s="76"/>
      <c r="AP743" s="76"/>
      <c r="AQ743" s="76"/>
      <c r="AR743" s="76"/>
      <c r="AS743" s="76"/>
      <c r="AT743" s="76"/>
      <c r="AU743" s="76"/>
      <c r="AV743" s="76"/>
      <c r="AW743" s="76"/>
      <c r="AX743" s="76"/>
      <c r="AY743" s="76"/>
      <c r="AZ743" s="76"/>
      <c r="BA743" s="76"/>
      <c r="BB743" s="76"/>
    </row>
    <row r="744" spans="5:54" x14ac:dyDescent="0.35">
      <c r="E744" s="83"/>
      <c r="F744" s="83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  <c r="Z744" s="76"/>
      <c r="AA744" s="76"/>
      <c r="AB744" s="76"/>
      <c r="AC744" s="76"/>
      <c r="AD744" s="76"/>
      <c r="AE744" s="76"/>
      <c r="AF744" s="76"/>
      <c r="AG744" s="76"/>
      <c r="AH744" s="76"/>
      <c r="AI744" s="76"/>
      <c r="AJ744" s="76"/>
      <c r="AK744" s="76"/>
      <c r="AL744" s="76"/>
      <c r="AM744" s="76"/>
      <c r="AN744" s="76"/>
      <c r="AO744" s="76"/>
      <c r="AP744" s="76"/>
      <c r="AQ744" s="76"/>
      <c r="AR744" s="76"/>
      <c r="AS744" s="76"/>
      <c r="AT744" s="76"/>
      <c r="AU744" s="76"/>
      <c r="AV744" s="76"/>
      <c r="AW744" s="76"/>
      <c r="AX744" s="76"/>
      <c r="AY744" s="76"/>
      <c r="AZ744" s="76"/>
      <c r="BA744" s="76"/>
      <c r="BB744" s="76"/>
    </row>
    <row r="745" spans="5:54" x14ac:dyDescent="0.35">
      <c r="E745" s="83"/>
      <c r="F745" s="83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  <c r="Z745" s="76"/>
      <c r="AA745" s="76"/>
      <c r="AB745" s="76"/>
      <c r="AC745" s="76"/>
      <c r="AD745" s="76"/>
      <c r="AE745" s="76"/>
      <c r="AF745" s="76"/>
      <c r="AG745" s="76"/>
      <c r="AH745" s="76"/>
      <c r="AI745" s="76"/>
      <c r="AJ745" s="76"/>
      <c r="AK745" s="76"/>
      <c r="AL745" s="76"/>
      <c r="AM745" s="76"/>
      <c r="AN745" s="76"/>
      <c r="AO745" s="76"/>
      <c r="AP745" s="76"/>
      <c r="AQ745" s="76"/>
      <c r="AR745" s="76"/>
      <c r="AS745" s="76"/>
      <c r="AT745" s="76"/>
      <c r="AU745" s="76"/>
      <c r="AV745" s="76"/>
      <c r="AW745" s="76"/>
      <c r="AX745" s="76"/>
      <c r="AY745" s="76"/>
      <c r="AZ745" s="76"/>
      <c r="BA745" s="76"/>
      <c r="BB745" s="76"/>
    </row>
    <row r="746" spans="5:54" x14ac:dyDescent="0.35">
      <c r="E746" s="83"/>
      <c r="F746" s="83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  <c r="Z746" s="76"/>
      <c r="AA746" s="76"/>
      <c r="AB746" s="76"/>
      <c r="AC746" s="76"/>
      <c r="AD746" s="76"/>
      <c r="AE746" s="76"/>
      <c r="AF746" s="76"/>
      <c r="AG746" s="76"/>
      <c r="AH746" s="76"/>
      <c r="AI746" s="76"/>
      <c r="AJ746" s="76"/>
      <c r="AK746" s="76"/>
      <c r="AL746" s="76"/>
      <c r="AM746" s="76"/>
      <c r="AN746" s="76"/>
      <c r="AO746" s="76"/>
      <c r="AP746" s="76"/>
      <c r="AQ746" s="76"/>
      <c r="AR746" s="76"/>
      <c r="AS746" s="76"/>
      <c r="AT746" s="76"/>
      <c r="AU746" s="76"/>
      <c r="AV746" s="76"/>
      <c r="AW746" s="76"/>
      <c r="AX746" s="76"/>
      <c r="AY746" s="76"/>
      <c r="AZ746" s="76"/>
      <c r="BA746" s="76"/>
      <c r="BB746" s="76"/>
    </row>
    <row r="747" spans="5:54" x14ac:dyDescent="0.35">
      <c r="E747" s="83"/>
      <c r="F747" s="83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  <c r="Z747" s="76"/>
      <c r="AA747" s="76"/>
      <c r="AB747" s="76"/>
      <c r="AC747" s="76"/>
      <c r="AD747" s="76"/>
      <c r="AE747" s="76"/>
      <c r="AF747" s="76"/>
      <c r="AG747" s="76"/>
      <c r="AH747" s="76"/>
      <c r="AI747" s="76"/>
      <c r="AJ747" s="76"/>
      <c r="AK747" s="76"/>
      <c r="AL747" s="76"/>
      <c r="AM747" s="76"/>
      <c r="AN747" s="76"/>
      <c r="AO747" s="76"/>
      <c r="AP747" s="76"/>
      <c r="AQ747" s="76"/>
      <c r="AR747" s="76"/>
      <c r="AS747" s="76"/>
      <c r="AT747" s="76"/>
      <c r="AU747" s="76"/>
      <c r="AV747" s="76"/>
      <c r="AW747" s="76"/>
      <c r="AX747" s="76"/>
      <c r="AY747" s="76"/>
      <c r="AZ747" s="76"/>
      <c r="BA747" s="76"/>
      <c r="BB747" s="76"/>
    </row>
    <row r="748" spans="5:54" x14ac:dyDescent="0.35">
      <c r="E748" s="83"/>
      <c r="F748" s="83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  <c r="Z748" s="76"/>
      <c r="AA748" s="76"/>
      <c r="AB748" s="76"/>
      <c r="AC748" s="76"/>
      <c r="AD748" s="76"/>
      <c r="AE748" s="76"/>
      <c r="AF748" s="76"/>
      <c r="AG748" s="76"/>
      <c r="AH748" s="76"/>
      <c r="AI748" s="76"/>
      <c r="AJ748" s="76"/>
      <c r="AK748" s="76"/>
      <c r="AL748" s="76"/>
      <c r="AM748" s="76"/>
      <c r="AN748" s="76"/>
      <c r="AO748" s="76"/>
      <c r="AP748" s="76"/>
      <c r="AQ748" s="76"/>
      <c r="AR748" s="76"/>
      <c r="AS748" s="76"/>
      <c r="AT748" s="76"/>
      <c r="AU748" s="76"/>
      <c r="AV748" s="76"/>
      <c r="AW748" s="76"/>
      <c r="AX748" s="76"/>
      <c r="AY748" s="76"/>
      <c r="AZ748" s="76"/>
      <c r="BA748" s="76"/>
      <c r="BB748" s="76"/>
    </row>
    <row r="749" spans="5:54" x14ac:dyDescent="0.35">
      <c r="E749" s="83"/>
      <c r="F749" s="83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  <c r="Z749" s="76"/>
      <c r="AA749" s="76"/>
      <c r="AB749" s="76"/>
      <c r="AC749" s="76"/>
      <c r="AD749" s="76"/>
      <c r="AE749" s="76"/>
      <c r="AF749" s="76"/>
      <c r="AG749" s="76"/>
      <c r="AH749" s="76"/>
      <c r="AI749" s="76"/>
      <c r="AJ749" s="76"/>
      <c r="AK749" s="76"/>
      <c r="AL749" s="76"/>
      <c r="AM749" s="76"/>
      <c r="AN749" s="76"/>
      <c r="AO749" s="76"/>
      <c r="AP749" s="76"/>
      <c r="AQ749" s="76"/>
      <c r="AR749" s="76"/>
      <c r="AS749" s="76"/>
      <c r="AT749" s="76"/>
      <c r="AU749" s="76"/>
      <c r="AV749" s="76"/>
      <c r="AW749" s="76"/>
      <c r="AX749" s="76"/>
      <c r="AY749" s="76"/>
      <c r="AZ749" s="76"/>
      <c r="BA749" s="76"/>
      <c r="BB749" s="76"/>
    </row>
    <row r="750" spans="5:54" x14ac:dyDescent="0.35">
      <c r="E750" s="83"/>
      <c r="F750" s="83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  <c r="Z750" s="76"/>
      <c r="AA750" s="76"/>
      <c r="AB750" s="76"/>
      <c r="AC750" s="76"/>
      <c r="AD750" s="76"/>
      <c r="AE750" s="76"/>
      <c r="AF750" s="76"/>
      <c r="AG750" s="76"/>
      <c r="AH750" s="76"/>
      <c r="AI750" s="76"/>
      <c r="AJ750" s="76"/>
      <c r="AK750" s="76"/>
      <c r="AL750" s="76"/>
      <c r="AM750" s="76"/>
      <c r="AN750" s="76"/>
      <c r="AO750" s="76"/>
      <c r="AP750" s="76"/>
      <c r="AQ750" s="76"/>
      <c r="AR750" s="76"/>
      <c r="AS750" s="76"/>
      <c r="AT750" s="76"/>
      <c r="AU750" s="76"/>
      <c r="AV750" s="76"/>
      <c r="AW750" s="76"/>
      <c r="AX750" s="76"/>
      <c r="AY750" s="76"/>
      <c r="AZ750" s="76"/>
      <c r="BA750" s="76"/>
      <c r="BB750" s="76"/>
    </row>
    <row r="751" spans="5:54" x14ac:dyDescent="0.35">
      <c r="E751" s="83"/>
      <c r="F751" s="83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  <c r="Z751" s="76"/>
      <c r="AA751" s="76"/>
      <c r="AB751" s="76"/>
      <c r="AC751" s="76"/>
      <c r="AD751" s="76"/>
      <c r="AE751" s="76"/>
      <c r="AF751" s="76"/>
      <c r="AG751" s="76"/>
      <c r="AH751" s="76"/>
      <c r="AI751" s="76"/>
      <c r="AJ751" s="76"/>
      <c r="AK751" s="76"/>
      <c r="AL751" s="76"/>
      <c r="AM751" s="76"/>
      <c r="AN751" s="76"/>
      <c r="AO751" s="76"/>
      <c r="AP751" s="76"/>
      <c r="AQ751" s="76"/>
      <c r="AR751" s="76"/>
      <c r="AS751" s="76"/>
      <c r="AT751" s="76"/>
      <c r="AU751" s="76"/>
      <c r="AV751" s="76"/>
      <c r="AW751" s="76"/>
      <c r="AX751" s="76"/>
      <c r="AY751" s="76"/>
      <c r="AZ751" s="76"/>
      <c r="BA751" s="76"/>
      <c r="BB751" s="76"/>
    </row>
    <row r="752" spans="5:54" x14ac:dyDescent="0.35">
      <c r="E752" s="83"/>
      <c r="F752" s="83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  <c r="Z752" s="76"/>
      <c r="AA752" s="76"/>
      <c r="AB752" s="76"/>
      <c r="AC752" s="76"/>
      <c r="AD752" s="76"/>
      <c r="AE752" s="76"/>
      <c r="AF752" s="76"/>
      <c r="AG752" s="76"/>
      <c r="AH752" s="76"/>
      <c r="AI752" s="76"/>
      <c r="AJ752" s="76"/>
      <c r="AK752" s="76"/>
      <c r="AL752" s="76"/>
      <c r="AM752" s="76"/>
      <c r="AN752" s="76"/>
      <c r="AO752" s="76"/>
      <c r="AP752" s="76"/>
      <c r="AQ752" s="76"/>
      <c r="AR752" s="76"/>
      <c r="AS752" s="76"/>
      <c r="AT752" s="76"/>
      <c r="AU752" s="76"/>
      <c r="AV752" s="76"/>
      <c r="AW752" s="76"/>
      <c r="AX752" s="76"/>
      <c r="AY752" s="76"/>
      <c r="AZ752" s="76"/>
      <c r="BA752" s="76"/>
      <c r="BB752" s="76"/>
    </row>
    <row r="753" spans="5:54" x14ac:dyDescent="0.35">
      <c r="E753" s="83"/>
      <c r="F753" s="83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  <c r="Z753" s="76"/>
      <c r="AA753" s="76"/>
      <c r="AB753" s="76"/>
      <c r="AC753" s="76"/>
      <c r="AD753" s="76"/>
      <c r="AE753" s="76"/>
      <c r="AF753" s="76"/>
      <c r="AG753" s="76"/>
      <c r="AH753" s="76"/>
      <c r="AI753" s="76"/>
      <c r="AJ753" s="76"/>
      <c r="AK753" s="76"/>
      <c r="AL753" s="76"/>
      <c r="AM753" s="76"/>
      <c r="AN753" s="76"/>
      <c r="AO753" s="76"/>
      <c r="AP753" s="76"/>
      <c r="AQ753" s="76"/>
      <c r="AR753" s="76"/>
      <c r="AS753" s="76"/>
      <c r="AT753" s="76"/>
      <c r="AU753" s="76"/>
      <c r="AV753" s="76"/>
      <c r="AW753" s="76"/>
      <c r="AX753" s="76"/>
      <c r="AY753" s="76"/>
      <c r="AZ753" s="76"/>
      <c r="BA753" s="76"/>
      <c r="BB753" s="76"/>
    </row>
    <row r="754" spans="5:54" x14ac:dyDescent="0.35">
      <c r="E754" s="83"/>
      <c r="F754" s="83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  <c r="Z754" s="76"/>
      <c r="AA754" s="76"/>
      <c r="AB754" s="76"/>
      <c r="AC754" s="76"/>
      <c r="AD754" s="76"/>
      <c r="AE754" s="76"/>
      <c r="AF754" s="76"/>
      <c r="AG754" s="76"/>
      <c r="AH754" s="76"/>
      <c r="AI754" s="76"/>
      <c r="AJ754" s="76"/>
      <c r="AK754" s="76"/>
      <c r="AL754" s="76"/>
      <c r="AM754" s="76"/>
      <c r="AN754" s="76"/>
      <c r="AO754" s="76"/>
      <c r="AP754" s="76"/>
      <c r="AQ754" s="76"/>
      <c r="AR754" s="76"/>
      <c r="AS754" s="76"/>
      <c r="AT754" s="76"/>
      <c r="AU754" s="76"/>
      <c r="AV754" s="76"/>
      <c r="AW754" s="76"/>
      <c r="AX754" s="76"/>
      <c r="AY754" s="76"/>
      <c r="AZ754" s="76"/>
      <c r="BA754" s="76"/>
      <c r="BB754" s="76"/>
    </row>
    <row r="755" spans="5:54" x14ac:dyDescent="0.35">
      <c r="E755" s="83"/>
      <c r="F755" s="83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  <c r="Z755" s="76"/>
      <c r="AA755" s="76"/>
      <c r="AB755" s="76"/>
      <c r="AC755" s="76"/>
      <c r="AD755" s="76"/>
      <c r="AE755" s="76"/>
      <c r="AF755" s="76"/>
      <c r="AG755" s="76"/>
      <c r="AH755" s="76"/>
      <c r="AI755" s="76"/>
      <c r="AJ755" s="76"/>
      <c r="AK755" s="76"/>
      <c r="AL755" s="76"/>
      <c r="AM755" s="76"/>
      <c r="AN755" s="76"/>
      <c r="AO755" s="76"/>
      <c r="AP755" s="76"/>
      <c r="AQ755" s="76"/>
      <c r="AR755" s="76"/>
      <c r="AS755" s="76"/>
      <c r="AT755" s="76"/>
      <c r="AU755" s="76"/>
      <c r="AV755" s="76"/>
      <c r="AW755" s="76"/>
      <c r="AX755" s="76"/>
      <c r="AY755" s="76"/>
      <c r="AZ755" s="76"/>
      <c r="BA755" s="76"/>
      <c r="BB755" s="76"/>
    </row>
    <row r="756" spans="5:54" x14ac:dyDescent="0.35">
      <c r="E756" s="83"/>
      <c r="F756" s="83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  <c r="Z756" s="76"/>
      <c r="AA756" s="76"/>
      <c r="AB756" s="76"/>
      <c r="AC756" s="76"/>
      <c r="AD756" s="76"/>
      <c r="AE756" s="76"/>
      <c r="AF756" s="76"/>
      <c r="AG756" s="76"/>
      <c r="AH756" s="76"/>
      <c r="AI756" s="76"/>
      <c r="AJ756" s="76"/>
      <c r="AK756" s="76"/>
      <c r="AL756" s="76"/>
      <c r="AM756" s="76"/>
      <c r="AN756" s="76"/>
      <c r="AO756" s="76"/>
      <c r="AP756" s="76"/>
      <c r="AQ756" s="76"/>
      <c r="AR756" s="76"/>
      <c r="AS756" s="76"/>
      <c r="AT756" s="76"/>
      <c r="AU756" s="76"/>
      <c r="AV756" s="76"/>
      <c r="AW756" s="76"/>
      <c r="AX756" s="76"/>
      <c r="AY756" s="76"/>
      <c r="AZ756" s="76"/>
      <c r="BA756" s="76"/>
      <c r="BB756" s="76"/>
    </row>
    <row r="757" spans="5:54" x14ac:dyDescent="0.35">
      <c r="E757" s="83"/>
      <c r="F757" s="83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  <c r="Z757" s="76"/>
      <c r="AA757" s="76"/>
      <c r="AB757" s="76"/>
      <c r="AC757" s="76"/>
      <c r="AD757" s="76"/>
      <c r="AE757" s="76"/>
      <c r="AF757" s="76"/>
      <c r="AG757" s="76"/>
      <c r="AH757" s="76"/>
      <c r="AI757" s="76"/>
      <c r="AJ757" s="76"/>
      <c r="AK757" s="76"/>
      <c r="AL757" s="76"/>
      <c r="AM757" s="76"/>
      <c r="AN757" s="76"/>
      <c r="AO757" s="76"/>
      <c r="AP757" s="76"/>
      <c r="AQ757" s="76"/>
      <c r="AR757" s="76"/>
      <c r="AS757" s="76"/>
      <c r="AT757" s="76"/>
      <c r="AU757" s="76"/>
      <c r="AV757" s="76"/>
      <c r="AW757" s="76"/>
      <c r="AX757" s="76"/>
      <c r="AY757" s="76"/>
      <c r="AZ757" s="76"/>
      <c r="BA757" s="76"/>
      <c r="BB757" s="76"/>
    </row>
    <row r="758" spans="5:54" x14ac:dyDescent="0.35">
      <c r="E758" s="83"/>
      <c r="F758" s="83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  <c r="Z758" s="76"/>
      <c r="AA758" s="76"/>
      <c r="AB758" s="76"/>
      <c r="AC758" s="76"/>
      <c r="AD758" s="76"/>
      <c r="AE758" s="76"/>
      <c r="AF758" s="76"/>
      <c r="AG758" s="76"/>
      <c r="AH758" s="76"/>
      <c r="AI758" s="76"/>
      <c r="AJ758" s="76"/>
      <c r="AK758" s="76"/>
      <c r="AL758" s="76"/>
      <c r="AM758" s="76"/>
      <c r="AN758" s="76"/>
      <c r="AO758" s="76"/>
      <c r="AP758" s="76"/>
      <c r="AQ758" s="76"/>
      <c r="AR758" s="76"/>
      <c r="AS758" s="76"/>
      <c r="AT758" s="76"/>
      <c r="AU758" s="76"/>
      <c r="AV758" s="76"/>
      <c r="AW758" s="76"/>
      <c r="AX758" s="76"/>
      <c r="AY758" s="76"/>
      <c r="AZ758" s="76"/>
      <c r="BA758" s="76"/>
      <c r="BB758" s="76"/>
    </row>
    <row r="759" spans="5:54" x14ac:dyDescent="0.35">
      <c r="E759" s="83"/>
      <c r="F759" s="83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  <c r="Z759" s="76"/>
      <c r="AA759" s="76"/>
      <c r="AB759" s="76"/>
      <c r="AC759" s="76"/>
      <c r="AD759" s="76"/>
      <c r="AE759" s="76"/>
      <c r="AF759" s="76"/>
      <c r="AG759" s="76"/>
      <c r="AH759" s="76"/>
      <c r="AI759" s="76"/>
      <c r="AJ759" s="76"/>
      <c r="AK759" s="76"/>
      <c r="AL759" s="76"/>
      <c r="AM759" s="76"/>
      <c r="AN759" s="76"/>
      <c r="AO759" s="76"/>
      <c r="AP759" s="76"/>
      <c r="AQ759" s="76"/>
      <c r="AR759" s="76"/>
      <c r="AS759" s="76"/>
      <c r="AT759" s="76"/>
      <c r="AU759" s="76"/>
      <c r="AV759" s="76"/>
      <c r="AW759" s="76"/>
      <c r="AX759" s="76"/>
      <c r="AY759" s="76"/>
      <c r="AZ759" s="76"/>
      <c r="BA759" s="76"/>
      <c r="BB759" s="76"/>
    </row>
    <row r="760" spans="5:54" x14ac:dyDescent="0.35">
      <c r="E760" s="83"/>
      <c r="F760" s="83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  <c r="Z760" s="76"/>
      <c r="AA760" s="76"/>
      <c r="AB760" s="76"/>
      <c r="AC760" s="76"/>
      <c r="AD760" s="76"/>
      <c r="AE760" s="76"/>
      <c r="AF760" s="76"/>
      <c r="AG760" s="76"/>
      <c r="AH760" s="76"/>
      <c r="AI760" s="76"/>
      <c r="AJ760" s="76"/>
      <c r="AK760" s="76"/>
      <c r="AL760" s="76"/>
      <c r="AM760" s="76"/>
      <c r="AN760" s="76"/>
      <c r="AO760" s="76"/>
      <c r="AP760" s="76"/>
      <c r="AQ760" s="76"/>
      <c r="AR760" s="76"/>
      <c r="AS760" s="76"/>
      <c r="AT760" s="76"/>
      <c r="AU760" s="76"/>
      <c r="AV760" s="76"/>
      <c r="AW760" s="76"/>
      <c r="AX760" s="76"/>
      <c r="AY760" s="76"/>
      <c r="AZ760" s="76"/>
      <c r="BA760" s="76"/>
      <c r="BB760" s="76"/>
    </row>
    <row r="761" spans="5:54" x14ac:dyDescent="0.35">
      <c r="E761" s="83"/>
      <c r="F761" s="83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  <c r="Z761" s="76"/>
      <c r="AA761" s="76"/>
      <c r="AB761" s="76"/>
      <c r="AC761" s="76"/>
      <c r="AD761" s="76"/>
      <c r="AE761" s="76"/>
      <c r="AF761" s="76"/>
      <c r="AG761" s="76"/>
      <c r="AH761" s="76"/>
      <c r="AI761" s="76"/>
      <c r="AJ761" s="76"/>
      <c r="AK761" s="76"/>
      <c r="AL761" s="76"/>
      <c r="AM761" s="76"/>
      <c r="AN761" s="76"/>
      <c r="AO761" s="76"/>
      <c r="AP761" s="76"/>
      <c r="AQ761" s="76"/>
      <c r="AR761" s="76"/>
      <c r="AS761" s="76"/>
      <c r="AT761" s="76"/>
      <c r="AU761" s="76"/>
      <c r="AV761" s="76"/>
      <c r="AW761" s="76"/>
      <c r="AX761" s="76"/>
      <c r="AY761" s="76"/>
      <c r="AZ761" s="76"/>
      <c r="BA761" s="76"/>
      <c r="BB761" s="76"/>
    </row>
    <row r="762" spans="5:54" x14ac:dyDescent="0.35">
      <c r="E762" s="83"/>
      <c r="F762" s="83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  <c r="Z762" s="76"/>
      <c r="AA762" s="76"/>
      <c r="AB762" s="76"/>
      <c r="AC762" s="76"/>
      <c r="AD762" s="76"/>
      <c r="AE762" s="76"/>
      <c r="AF762" s="76"/>
      <c r="AG762" s="76"/>
      <c r="AH762" s="76"/>
      <c r="AI762" s="76"/>
      <c r="AJ762" s="76"/>
      <c r="AK762" s="76"/>
      <c r="AL762" s="76"/>
      <c r="AM762" s="76"/>
      <c r="AN762" s="76"/>
      <c r="AO762" s="76"/>
      <c r="AP762" s="76"/>
      <c r="AQ762" s="76"/>
      <c r="AR762" s="76"/>
      <c r="AS762" s="76"/>
      <c r="AT762" s="76"/>
      <c r="AU762" s="76"/>
      <c r="AV762" s="76"/>
      <c r="AW762" s="76"/>
      <c r="AX762" s="76"/>
      <c r="AY762" s="76"/>
      <c r="AZ762" s="76"/>
      <c r="BA762" s="76"/>
      <c r="BB762" s="76"/>
    </row>
    <row r="763" spans="5:54" x14ac:dyDescent="0.35">
      <c r="E763" s="83"/>
      <c r="F763" s="83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  <c r="Z763" s="76"/>
      <c r="AA763" s="76"/>
      <c r="AB763" s="76"/>
      <c r="AC763" s="76"/>
      <c r="AD763" s="76"/>
      <c r="AE763" s="76"/>
      <c r="AF763" s="76"/>
      <c r="AG763" s="76"/>
      <c r="AH763" s="76"/>
      <c r="AI763" s="76"/>
      <c r="AJ763" s="76"/>
      <c r="AK763" s="76"/>
      <c r="AL763" s="76"/>
      <c r="AM763" s="76"/>
      <c r="AN763" s="76"/>
      <c r="AO763" s="76"/>
      <c r="AP763" s="76"/>
      <c r="AQ763" s="76"/>
      <c r="AR763" s="76"/>
      <c r="AS763" s="76"/>
      <c r="AT763" s="76"/>
      <c r="AU763" s="76"/>
      <c r="AV763" s="76"/>
      <c r="AW763" s="76"/>
      <c r="AX763" s="76"/>
      <c r="AY763" s="76"/>
      <c r="AZ763" s="76"/>
      <c r="BA763" s="76"/>
      <c r="BB763" s="76"/>
    </row>
    <row r="764" spans="5:54" x14ac:dyDescent="0.35">
      <c r="E764" s="83"/>
      <c r="F764" s="83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  <c r="Z764" s="76"/>
      <c r="AA764" s="76"/>
      <c r="AB764" s="76"/>
      <c r="AC764" s="76"/>
      <c r="AD764" s="76"/>
      <c r="AE764" s="76"/>
      <c r="AF764" s="76"/>
      <c r="AG764" s="76"/>
      <c r="AH764" s="76"/>
      <c r="AI764" s="76"/>
      <c r="AJ764" s="76"/>
      <c r="AK764" s="76"/>
      <c r="AL764" s="76"/>
      <c r="AM764" s="76"/>
      <c r="AN764" s="76"/>
      <c r="AO764" s="76"/>
      <c r="AP764" s="76"/>
      <c r="AQ764" s="76"/>
      <c r="AR764" s="76"/>
      <c r="AS764" s="76"/>
      <c r="AT764" s="76"/>
      <c r="AU764" s="76"/>
      <c r="AV764" s="76"/>
      <c r="AW764" s="76"/>
      <c r="AX764" s="76"/>
      <c r="AY764" s="76"/>
      <c r="AZ764" s="76"/>
      <c r="BA764" s="76"/>
      <c r="BB764" s="76"/>
    </row>
    <row r="765" spans="5:54" x14ac:dyDescent="0.35">
      <c r="E765" s="83"/>
      <c r="F765" s="83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  <c r="Z765" s="76"/>
      <c r="AA765" s="76"/>
      <c r="AB765" s="76"/>
      <c r="AC765" s="76"/>
      <c r="AD765" s="76"/>
      <c r="AE765" s="76"/>
      <c r="AF765" s="76"/>
      <c r="AG765" s="76"/>
      <c r="AH765" s="76"/>
      <c r="AI765" s="76"/>
      <c r="AJ765" s="76"/>
      <c r="AK765" s="76"/>
      <c r="AL765" s="76"/>
      <c r="AM765" s="76"/>
      <c r="AN765" s="76"/>
      <c r="AO765" s="76"/>
      <c r="AP765" s="76"/>
      <c r="AQ765" s="76"/>
      <c r="AR765" s="76"/>
      <c r="AS765" s="76"/>
      <c r="AT765" s="76"/>
      <c r="AU765" s="76"/>
      <c r="AV765" s="76"/>
      <c r="AW765" s="76"/>
      <c r="AX765" s="76"/>
      <c r="AY765" s="76"/>
      <c r="AZ765" s="76"/>
      <c r="BA765" s="76"/>
      <c r="BB765" s="76"/>
    </row>
    <row r="766" spans="5:54" x14ac:dyDescent="0.35">
      <c r="E766" s="83"/>
      <c r="F766" s="83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  <c r="Z766" s="76"/>
      <c r="AA766" s="76"/>
      <c r="AB766" s="76"/>
      <c r="AC766" s="76"/>
      <c r="AD766" s="76"/>
      <c r="AE766" s="76"/>
      <c r="AF766" s="76"/>
      <c r="AG766" s="76"/>
      <c r="AH766" s="76"/>
      <c r="AI766" s="76"/>
      <c r="AJ766" s="76"/>
      <c r="AK766" s="76"/>
      <c r="AL766" s="76"/>
      <c r="AM766" s="76"/>
      <c r="AN766" s="76"/>
      <c r="AO766" s="76"/>
      <c r="AP766" s="76"/>
      <c r="AQ766" s="76"/>
      <c r="AR766" s="76"/>
      <c r="AS766" s="76"/>
      <c r="AT766" s="76"/>
      <c r="AU766" s="76"/>
      <c r="AV766" s="76"/>
      <c r="AW766" s="76"/>
      <c r="AX766" s="76"/>
      <c r="AY766" s="76"/>
      <c r="AZ766" s="76"/>
      <c r="BA766" s="76"/>
      <c r="BB766" s="76"/>
    </row>
    <row r="767" spans="5:54" x14ac:dyDescent="0.35">
      <c r="E767" s="83"/>
      <c r="F767" s="83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  <c r="Z767" s="76"/>
      <c r="AA767" s="76"/>
      <c r="AB767" s="76"/>
      <c r="AC767" s="76"/>
      <c r="AD767" s="76"/>
      <c r="AE767" s="76"/>
      <c r="AF767" s="76"/>
      <c r="AG767" s="76"/>
      <c r="AH767" s="76"/>
      <c r="AI767" s="76"/>
      <c r="AJ767" s="76"/>
      <c r="AK767" s="76"/>
      <c r="AL767" s="76"/>
      <c r="AM767" s="76"/>
      <c r="AN767" s="76"/>
      <c r="AO767" s="76"/>
      <c r="AP767" s="76"/>
      <c r="AQ767" s="76"/>
      <c r="AR767" s="76"/>
      <c r="AS767" s="76"/>
      <c r="AT767" s="76"/>
      <c r="AU767" s="76"/>
      <c r="AV767" s="76"/>
      <c r="AW767" s="76"/>
      <c r="AX767" s="76"/>
      <c r="AY767" s="76"/>
      <c r="AZ767" s="76"/>
      <c r="BA767" s="76"/>
      <c r="BB767" s="76"/>
    </row>
    <row r="768" spans="5:54" x14ac:dyDescent="0.35">
      <c r="E768" s="83"/>
      <c r="F768" s="83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  <c r="Z768" s="76"/>
      <c r="AA768" s="76"/>
      <c r="AB768" s="76"/>
      <c r="AC768" s="76"/>
      <c r="AD768" s="76"/>
      <c r="AE768" s="76"/>
      <c r="AF768" s="76"/>
      <c r="AG768" s="76"/>
      <c r="AH768" s="76"/>
      <c r="AI768" s="76"/>
      <c r="AJ768" s="76"/>
      <c r="AK768" s="76"/>
      <c r="AL768" s="76"/>
      <c r="AM768" s="76"/>
      <c r="AN768" s="76"/>
      <c r="AO768" s="76"/>
      <c r="AP768" s="76"/>
      <c r="AQ768" s="76"/>
      <c r="AR768" s="76"/>
      <c r="AS768" s="76"/>
      <c r="AT768" s="76"/>
      <c r="AU768" s="76"/>
      <c r="AV768" s="76"/>
      <c r="AW768" s="76"/>
      <c r="AX768" s="76"/>
      <c r="AY768" s="76"/>
      <c r="AZ768" s="76"/>
      <c r="BA768" s="76"/>
      <c r="BB768" s="76"/>
    </row>
    <row r="769" spans="5:54" x14ac:dyDescent="0.35">
      <c r="E769" s="83"/>
      <c r="F769" s="83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  <c r="Z769" s="76"/>
      <c r="AA769" s="76"/>
      <c r="AB769" s="76"/>
      <c r="AC769" s="76"/>
      <c r="AD769" s="76"/>
      <c r="AE769" s="76"/>
      <c r="AF769" s="76"/>
      <c r="AG769" s="76"/>
      <c r="AH769" s="76"/>
      <c r="AI769" s="76"/>
      <c r="AJ769" s="76"/>
      <c r="AK769" s="76"/>
      <c r="AL769" s="76"/>
      <c r="AM769" s="76"/>
      <c r="AN769" s="76"/>
      <c r="AO769" s="76"/>
      <c r="AP769" s="76"/>
      <c r="AQ769" s="76"/>
      <c r="AR769" s="76"/>
      <c r="AS769" s="76"/>
      <c r="AT769" s="76"/>
      <c r="AU769" s="76"/>
      <c r="AV769" s="76"/>
      <c r="AW769" s="76"/>
      <c r="AX769" s="76"/>
      <c r="AY769" s="76"/>
      <c r="AZ769" s="76"/>
      <c r="BA769" s="76"/>
      <c r="BB769" s="76"/>
    </row>
    <row r="770" spans="5:54" x14ac:dyDescent="0.35">
      <c r="E770" s="83"/>
      <c r="F770" s="83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  <c r="Z770" s="76"/>
      <c r="AA770" s="76"/>
      <c r="AB770" s="76"/>
      <c r="AC770" s="76"/>
      <c r="AD770" s="76"/>
      <c r="AE770" s="76"/>
      <c r="AF770" s="76"/>
      <c r="AG770" s="76"/>
      <c r="AH770" s="76"/>
      <c r="AI770" s="76"/>
      <c r="AJ770" s="76"/>
      <c r="AK770" s="76"/>
      <c r="AL770" s="76"/>
      <c r="AM770" s="76"/>
      <c r="AN770" s="76"/>
      <c r="AO770" s="76"/>
      <c r="AP770" s="76"/>
      <c r="AQ770" s="76"/>
      <c r="AR770" s="76"/>
      <c r="AS770" s="76"/>
      <c r="AT770" s="76"/>
      <c r="AU770" s="76"/>
      <c r="AV770" s="76"/>
      <c r="AW770" s="76"/>
      <c r="AX770" s="76"/>
      <c r="AY770" s="76"/>
      <c r="AZ770" s="76"/>
      <c r="BA770" s="76"/>
      <c r="BB770" s="76"/>
    </row>
    <row r="771" spans="5:54" x14ac:dyDescent="0.35">
      <c r="E771" s="83"/>
      <c r="F771" s="83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  <c r="Z771" s="76"/>
      <c r="AA771" s="76"/>
      <c r="AB771" s="76"/>
      <c r="AC771" s="76"/>
      <c r="AD771" s="76"/>
      <c r="AE771" s="76"/>
      <c r="AF771" s="76"/>
      <c r="AG771" s="76"/>
      <c r="AH771" s="76"/>
      <c r="AI771" s="76"/>
      <c r="AJ771" s="76"/>
      <c r="AK771" s="76"/>
      <c r="AL771" s="76"/>
      <c r="AM771" s="76"/>
      <c r="AN771" s="76"/>
      <c r="AO771" s="76"/>
      <c r="AP771" s="76"/>
      <c r="AQ771" s="76"/>
      <c r="AR771" s="76"/>
      <c r="AS771" s="76"/>
      <c r="AT771" s="76"/>
      <c r="AU771" s="76"/>
      <c r="AV771" s="76"/>
      <c r="AW771" s="76"/>
      <c r="AX771" s="76"/>
      <c r="AY771" s="76"/>
      <c r="AZ771" s="76"/>
      <c r="BA771" s="76"/>
      <c r="BB771" s="76"/>
    </row>
    <row r="772" spans="5:54" x14ac:dyDescent="0.35">
      <c r="E772" s="83"/>
      <c r="F772" s="83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  <c r="Z772" s="76"/>
      <c r="AA772" s="76"/>
      <c r="AB772" s="76"/>
      <c r="AC772" s="76"/>
      <c r="AD772" s="76"/>
      <c r="AE772" s="76"/>
      <c r="AF772" s="76"/>
      <c r="AG772" s="76"/>
      <c r="AH772" s="76"/>
      <c r="AI772" s="76"/>
      <c r="AJ772" s="76"/>
      <c r="AK772" s="76"/>
      <c r="AL772" s="76"/>
      <c r="AM772" s="76"/>
      <c r="AN772" s="76"/>
      <c r="AO772" s="76"/>
      <c r="AP772" s="76"/>
      <c r="AQ772" s="76"/>
      <c r="AR772" s="76"/>
      <c r="AS772" s="76"/>
      <c r="AT772" s="76"/>
      <c r="AU772" s="76"/>
      <c r="AV772" s="76"/>
      <c r="AW772" s="76"/>
      <c r="AX772" s="76"/>
      <c r="AY772" s="76"/>
      <c r="AZ772" s="76"/>
      <c r="BA772" s="76"/>
      <c r="BB772" s="76"/>
    </row>
    <row r="773" spans="5:54" x14ac:dyDescent="0.35">
      <c r="E773" s="83"/>
      <c r="F773" s="83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  <c r="Z773" s="76"/>
      <c r="AA773" s="76"/>
      <c r="AB773" s="76"/>
      <c r="AC773" s="76"/>
      <c r="AD773" s="76"/>
      <c r="AE773" s="76"/>
      <c r="AF773" s="76"/>
      <c r="AG773" s="76"/>
      <c r="AH773" s="76"/>
      <c r="AI773" s="76"/>
      <c r="AJ773" s="76"/>
      <c r="AK773" s="76"/>
      <c r="AL773" s="76"/>
      <c r="AM773" s="76"/>
      <c r="AN773" s="76"/>
      <c r="AO773" s="76"/>
      <c r="AP773" s="76"/>
      <c r="AQ773" s="76"/>
      <c r="AR773" s="76"/>
      <c r="AS773" s="76"/>
      <c r="AT773" s="76"/>
      <c r="AU773" s="76"/>
      <c r="AV773" s="76"/>
      <c r="AW773" s="76"/>
      <c r="AX773" s="76"/>
      <c r="AY773" s="76"/>
      <c r="AZ773" s="76"/>
      <c r="BA773" s="76"/>
      <c r="BB773" s="76"/>
    </row>
    <row r="774" spans="5:54" x14ac:dyDescent="0.35">
      <c r="E774" s="83"/>
      <c r="F774" s="83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  <c r="Z774" s="76"/>
      <c r="AA774" s="76"/>
      <c r="AB774" s="76"/>
      <c r="AC774" s="76"/>
      <c r="AD774" s="76"/>
      <c r="AE774" s="76"/>
      <c r="AF774" s="76"/>
      <c r="AG774" s="76"/>
      <c r="AH774" s="76"/>
      <c r="AI774" s="76"/>
      <c r="AJ774" s="76"/>
      <c r="AK774" s="76"/>
      <c r="AL774" s="76"/>
      <c r="AM774" s="76"/>
      <c r="AN774" s="76"/>
      <c r="AO774" s="76"/>
      <c r="AP774" s="76"/>
      <c r="AQ774" s="76"/>
      <c r="AR774" s="76"/>
      <c r="AS774" s="76"/>
      <c r="AT774" s="76"/>
      <c r="AU774" s="76"/>
      <c r="AV774" s="76"/>
      <c r="AW774" s="76"/>
      <c r="AX774" s="76"/>
      <c r="AY774" s="76"/>
      <c r="AZ774" s="76"/>
      <c r="BA774" s="76"/>
      <c r="BB774" s="76"/>
    </row>
    <row r="775" spans="5:54" x14ac:dyDescent="0.35">
      <c r="E775" s="83"/>
      <c r="F775" s="83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  <c r="Z775" s="76"/>
      <c r="AA775" s="76"/>
      <c r="AB775" s="76"/>
      <c r="AC775" s="76"/>
      <c r="AD775" s="76"/>
      <c r="AE775" s="76"/>
      <c r="AF775" s="76"/>
      <c r="AG775" s="76"/>
      <c r="AH775" s="76"/>
      <c r="AI775" s="76"/>
      <c r="AJ775" s="76"/>
      <c r="AK775" s="76"/>
      <c r="AL775" s="76"/>
      <c r="AM775" s="76"/>
      <c r="AN775" s="76"/>
      <c r="AO775" s="76"/>
      <c r="AP775" s="76"/>
      <c r="AQ775" s="76"/>
      <c r="AR775" s="76"/>
      <c r="AS775" s="76"/>
      <c r="AT775" s="76"/>
      <c r="AU775" s="76"/>
      <c r="AV775" s="76"/>
      <c r="AW775" s="76"/>
      <c r="AX775" s="76"/>
      <c r="AY775" s="76"/>
      <c r="AZ775" s="76"/>
      <c r="BA775" s="76"/>
      <c r="BB775" s="76"/>
    </row>
    <row r="776" spans="5:54" x14ac:dyDescent="0.35">
      <c r="E776" s="83"/>
      <c r="F776" s="83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  <c r="Z776" s="76"/>
      <c r="AA776" s="76"/>
      <c r="AB776" s="76"/>
      <c r="AC776" s="76"/>
      <c r="AD776" s="76"/>
      <c r="AE776" s="76"/>
      <c r="AF776" s="76"/>
      <c r="AG776" s="76"/>
      <c r="AH776" s="76"/>
      <c r="AI776" s="76"/>
      <c r="AJ776" s="76"/>
      <c r="AK776" s="76"/>
      <c r="AL776" s="76"/>
      <c r="AM776" s="76"/>
      <c r="AN776" s="76"/>
      <c r="AO776" s="76"/>
      <c r="AP776" s="76"/>
      <c r="AQ776" s="76"/>
      <c r="AR776" s="76"/>
      <c r="AS776" s="76"/>
      <c r="AT776" s="76"/>
      <c r="AU776" s="76"/>
      <c r="AV776" s="76"/>
      <c r="AW776" s="76"/>
      <c r="AX776" s="76"/>
      <c r="AY776" s="76"/>
      <c r="AZ776" s="76"/>
      <c r="BA776" s="76"/>
      <c r="BB776" s="76"/>
    </row>
    <row r="777" spans="5:54" x14ac:dyDescent="0.35">
      <c r="E777" s="83"/>
      <c r="F777" s="83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  <c r="Z777" s="76"/>
      <c r="AA777" s="76"/>
      <c r="AB777" s="76"/>
      <c r="AC777" s="76"/>
      <c r="AD777" s="76"/>
      <c r="AE777" s="76"/>
      <c r="AF777" s="76"/>
      <c r="AG777" s="76"/>
      <c r="AH777" s="76"/>
      <c r="AI777" s="76"/>
      <c r="AJ777" s="76"/>
      <c r="AK777" s="76"/>
      <c r="AL777" s="76"/>
      <c r="AM777" s="76"/>
      <c r="AN777" s="76"/>
      <c r="AO777" s="76"/>
      <c r="AP777" s="76"/>
      <c r="AQ777" s="76"/>
      <c r="AR777" s="76"/>
      <c r="AS777" s="76"/>
      <c r="AT777" s="76"/>
      <c r="AU777" s="76"/>
      <c r="AV777" s="76"/>
      <c r="AW777" s="76"/>
      <c r="AX777" s="76"/>
      <c r="AY777" s="76"/>
      <c r="AZ777" s="76"/>
      <c r="BA777" s="76"/>
      <c r="BB777" s="76"/>
    </row>
    <row r="778" spans="5:54" x14ac:dyDescent="0.35">
      <c r="E778" s="83"/>
      <c r="F778" s="83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  <c r="Z778" s="76"/>
      <c r="AA778" s="76"/>
      <c r="AB778" s="76"/>
      <c r="AC778" s="76"/>
      <c r="AD778" s="76"/>
      <c r="AE778" s="76"/>
      <c r="AF778" s="76"/>
      <c r="AG778" s="76"/>
      <c r="AH778" s="76"/>
      <c r="AI778" s="76"/>
      <c r="AJ778" s="76"/>
      <c r="AK778" s="76"/>
      <c r="AL778" s="76"/>
      <c r="AM778" s="76"/>
      <c r="AN778" s="76"/>
      <c r="AO778" s="76"/>
      <c r="AP778" s="76"/>
      <c r="AQ778" s="76"/>
      <c r="AR778" s="76"/>
      <c r="AS778" s="76"/>
      <c r="AT778" s="76"/>
      <c r="AU778" s="76"/>
      <c r="AV778" s="76"/>
      <c r="AW778" s="76"/>
      <c r="AX778" s="76"/>
      <c r="AY778" s="76"/>
      <c r="AZ778" s="76"/>
      <c r="BA778" s="76"/>
      <c r="BB778" s="76"/>
    </row>
    <row r="779" spans="5:54" x14ac:dyDescent="0.35">
      <c r="E779" s="83"/>
      <c r="F779" s="83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  <c r="Z779" s="76"/>
      <c r="AA779" s="76"/>
      <c r="AB779" s="76"/>
      <c r="AC779" s="76"/>
      <c r="AD779" s="76"/>
      <c r="AE779" s="76"/>
      <c r="AF779" s="76"/>
      <c r="AG779" s="76"/>
      <c r="AH779" s="76"/>
      <c r="AI779" s="76"/>
      <c r="AJ779" s="76"/>
      <c r="AK779" s="76"/>
      <c r="AL779" s="76"/>
      <c r="AM779" s="76"/>
      <c r="AN779" s="76"/>
      <c r="AO779" s="76"/>
      <c r="AP779" s="76"/>
      <c r="AQ779" s="76"/>
      <c r="AR779" s="76"/>
      <c r="AS779" s="76"/>
      <c r="AT779" s="76"/>
      <c r="AU779" s="76"/>
      <c r="AV779" s="76"/>
      <c r="AW779" s="76"/>
      <c r="AX779" s="76"/>
      <c r="AY779" s="76"/>
      <c r="AZ779" s="76"/>
      <c r="BA779" s="76"/>
      <c r="BB779" s="76"/>
    </row>
    <row r="780" spans="5:54" x14ac:dyDescent="0.35">
      <c r="E780" s="83"/>
      <c r="F780" s="83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  <c r="Z780" s="76"/>
      <c r="AA780" s="76"/>
      <c r="AB780" s="76"/>
      <c r="AC780" s="76"/>
      <c r="AD780" s="76"/>
      <c r="AE780" s="76"/>
      <c r="AF780" s="76"/>
      <c r="AG780" s="76"/>
      <c r="AH780" s="76"/>
      <c r="AI780" s="76"/>
      <c r="AJ780" s="76"/>
      <c r="AK780" s="76"/>
      <c r="AL780" s="76"/>
      <c r="AM780" s="76"/>
      <c r="AN780" s="76"/>
      <c r="AO780" s="76"/>
      <c r="AP780" s="76"/>
      <c r="AQ780" s="76"/>
      <c r="AR780" s="76"/>
      <c r="AS780" s="76"/>
      <c r="AT780" s="76"/>
      <c r="AU780" s="76"/>
      <c r="AV780" s="76"/>
      <c r="AW780" s="76"/>
      <c r="AX780" s="76"/>
      <c r="AY780" s="76"/>
      <c r="AZ780" s="76"/>
      <c r="BA780" s="76"/>
      <c r="BB780" s="76"/>
    </row>
    <row r="781" spans="5:54" x14ac:dyDescent="0.35">
      <c r="E781" s="83"/>
      <c r="F781" s="83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  <c r="Z781" s="76"/>
      <c r="AA781" s="76"/>
      <c r="AB781" s="76"/>
      <c r="AC781" s="76"/>
      <c r="AD781" s="76"/>
      <c r="AE781" s="76"/>
      <c r="AF781" s="76"/>
      <c r="AG781" s="76"/>
      <c r="AH781" s="76"/>
      <c r="AI781" s="76"/>
      <c r="AJ781" s="76"/>
      <c r="AK781" s="76"/>
      <c r="AL781" s="76"/>
      <c r="AM781" s="76"/>
      <c r="AN781" s="76"/>
      <c r="AO781" s="76"/>
      <c r="AP781" s="76"/>
      <c r="AQ781" s="76"/>
      <c r="AR781" s="76"/>
      <c r="AS781" s="76"/>
      <c r="AT781" s="76"/>
      <c r="AU781" s="76"/>
      <c r="AV781" s="76"/>
      <c r="AW781" s="76"/>
      <c r="AX781" s="76"/>
      <c r="AY781" s="76"/>
      <c r="AZ781" s="76"/>
      <c r="BA781" s="76"/>
      <c r="BB781" s="76"/>
    </row>
    <row r="782" spans="5:54" x14ac:dyDescent="0.35">
      <c r="E782" s="83"/>
      <c r="F782" s="83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  <c r="Z782" s="76"/>
      <c r="AA782" s="76"/>
      <c r="AB782" s="76"/>
      <c r="AC782" s="76"/>
      <c r="AD782" s="76"/>
      <c r="AE782" s="76"/>
      <c r="AF782" s="76"/>
      <c r="AG782" s="76"/>
      <c r="AH782" s="76"/>
      <c r="AI782" s="76"/>
      <c r="AJ782" s="76"/>
      <c r="AK782" s="76"/>
      <c r="AL782" s="76"/>
      <c r="AM782" s="76"/>
      <c r="AN782" s="76"/>
      <c r="AO782" s="76"/>
      <c r="AP782" s="76"/>
      <c r="AQ782" s="76"/>
      <c r="AR782" s="76"/>
      <c r="AS782" s="76"/>
      <c r="AT782" s="76"/>
      <c r="AU782" s="76"/>
      <c r="AV782" s="76"/>
      <c r="AW782" s="76"/>
      <c r="AX782" s="76"/>
      <c r="AY782" s="76"/>
      <c r="AZ782" s="76"/>
      <c r="BA782" s="76"/>
      <c r="BB782" s="76"/>
    </row>
    <row r="783" spans="5:54" x14ac:dyDescent="0.35">
      <c r="E783" s="83"/>
      <c r="F783" s="83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  <c r="Z783" s="76"/>
      <c r="AA783" s="76"/>
      <c r="AB783" s="76"/>
      <c r="AC783" s="76"/>
      <c r="AD783" s="76"/>
      <c r="AE783" s="76"/>
      <c r="AF783" s="76"/>
      <c r="AG783" s="76"/>
      <c r="AH783" s="76"/>
      <c r="AI783" s="76"/>
      <c r="AJ783" s="76"/>
      <c r="AK783" s="76"/>
      <c r="AL783" s="76"/>
      <c r="AM783" s="76"/>
      <c r="AN783" s="76"/>
      <c r="AO783" s="76"/>
      <c r="AP783" s="76"/>
      <c r="AQ783" s="76"/>
      <c r="AR783" s="76"/>
      <c r="AS783" s="76"/>
      <c r="AT783" s="76"/>
      <c r="AU783" s="76"/>
      <c r="AV783" s="76"/>
      <c r="AW783" s="76"/>
      <c r="AX783" s="76"/>
      <c r="AY783" s="76"/>
      <c r="AZ783" s="76"/>
      <c r="BA783" s="76"/>
      <c r="BB783" s="76"/>
    </row>
    <row r="784" spans="5:54" x14ac:dyDescent="0.35">
      <c r="E784" s="83"/>
      <c r="F784" s="83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  <c r="Z784" s="76"/>
      <c r="AA784" s="76"/>
      <c r="AB784" s="76"/>
      <c r="AC784" s="76"/>
      <c r="AD784" s="76"/>
      <c r="AE784" s="76"/>
      <c r="AF784" s="76"/>
      <c r="AG784" s="76"/>
      <c r="AH784" s="76"/>
      <c r="AI784" s="76"/>
      <c r="AJ784" s="76"/>
      <c r="AK784" s="76"/>
      <c r="AL784" s="76"/>
      <c r="AM784" s="76"/>
      <c r="AN784" s="76"/>
      <c r="AO784" s="76"/>
      <c r="AP784" s="76"/>
      <c r="AQ784" s="76"/>
      <c r="AR784" s="76"/>
      <c r="AS784" s="76"/>
      <c r="AT784" s="76"/>
      <c r="AU784" s="76"/>
      <c r="AV784" s="76"/>
      <c r="AW784" s="76"/>
      <c r="AX784" s="76"/>
      <c r="AY784" s="76"/>
      <c r="AZ784" s="76"/>
      <c r="BA784" s="76"/>
      <c r="BB784" s="76"/>
    </row>
    <row r="785" spans="5:54" x14ac:dyDescent="0.35">
      <c r="E785" s="83"/>
      <c r="F785" s="83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  <c r="Z785" s="76"/>
      <c r="AA785" s="76"/>
      <c r="AB785" s="76"/>
      <c r="AC785" s="76"/>
      <c r="AD785" s="76"/>
      <c r="AE785" s="76"/>
      <c r="AF785" s="76"/>
      <c r="AG785" s="76"/>
      <c r="AH785" s="76"/>
      <c r="AI785" s="76"/>
      <c r="AJ785" s="76"/>
      <c r="AK785" s="76"/>
      <c r="AL785" s="76"/>
      <c r="AM785" s="76"/>
      <c r="AN785" s="76"/>
      <c r="AO785" s="76"/>
      <c r="AP785" s="76"/>
      <c r="AQ785" s="76"/>
      <c r="AR785" s="76"/>
      <c r="AS785" s="76"/>
      <c r="AT785" s="76"/>
      <c r="AU785" s="76"/>
      <c r="AV785" s="76"/>
      <c r="AW785" s="76"/>
      <c r="AX785" s="76"/>
      <c r="AY785" s="76"/>
      <c r="AZ785" s="76"/>
      <c r="BA785" s="76"/>
      <c r="BB785" s="76"/>
    </row>
    <row r="786" spans="5:54" x14ac:dyDescent="0.35">
      <c r="E786" s="83"/>
      <c r="F786" s="83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  <c r="Z786" s="76"/>
      <c r="AA786" s="76"/>
      <c r="AB786" s="76"/>
      <c r="AC786" s="76"/>
      <c r="AD786" s="76"/>
      <c r="AE786" s="76"/>
      <c r="AF786" s="76"/>
      <c r="AG786" s="76"/>
      <c r="AH786" s="76"/>
      <c r="AI786" s="76"/>
      <c r="AJ786" s="76"/>
      <c r="AK786" s="76"/>
      <c r="AL786" s="76"/>
      <c r="AM786" s="76"/>
      <c r="AN786" s="76"/>
      <c r="AO786" s="76"/>
      <c r="AP786" s="76"/>
      <c r="AQ786" s="76"/>
      <c r="AR786" s="76"/>
      <c r="AS786" s="76"/>
      <c r="AT786" s="76"/>
      <c r="AU786" s="76"/>
      <c r="AV786" s="76"/>
      <c r="AW786" s="76"/>
      <c r="AX786" s="76"/>
      <c r="AY786" s="76"/>
      <c r="AZ786" s="76"/>
      <c r="BA786" s="76"/>
      <c r="BB786" s="76"/>
    </row>
    <row r="787" spans="5:54" x14ac:dyDescent="0.35">
      <c r="E787" s="83"/>
      <c r="F787" s="83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  <c r="Z787" s="76"/>
      <c r="AA787" s="76"/>
      <c r="AB787" s="76"/>
      <c r="AC787" s="76"/>
      <c r="AD787" s="76"/>
      <c r="AE787" s="76"/>
      <c r="AF787" s="76"/>
      <c r="AG787" s="76"/>
      <c r="AH787" s="76"/>
      <c r="AI787" s="76"/>
      <c r="AJ787" s="76"/>
      <c r="AK787" s="76"/>
      <c r="AL787" s="76"/>
      <c r="AM787" s="76"/>
      <c r="AN787" s="76"/>
      <c r="AO787" s="76"/>
      <c r="AP787" s="76"/>
      <c r="AQ787" s="76"/>
      <c r="AR787" s="76"/>
      <c r="AS787" s="76"/>
      <c r="AT787" s="76"/>
      <c r="AU787" s="76"/>
      <c r="AV787" s="76"/>
      <c r="AW787" s="76"/>
      <c r="AX787" s="76"/>
      <c r="AY787" s="76"/>
      <c r="AZ787" s="76"/>
      <c r="BA787" s="76"/>
      <c r="BB787" s="76"/>
    </row>
    <row r="788" spans="5:54" x14ac:dyDescent="0.35">
      <c r="E788" s="83"/>
      <c r="F788" s="83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  <c r="Z788" s="76"/>
      <c r="AA788" s="76"/>
      <c r="AB788" s="76"/>
      <c r="AC788" s="76"/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/>
      <c r="AS788" s="76"/>
      <c r="AT788" s="76"/>
      <c r="AU788" s="76"/>
      <c r="AV788" s="76"/>
      <c r="AW788" s="76"/>
      <c r="AX788" s="76"/>
      <c r="AY788" s="76"/>
      <c r="AZ788" s="76"/>
      <c r="BA788" s="76"/>
      <c r="BB788" s="76"/>
    </row>
    <row r="789" spans="5:54" x14ac:dyDescent="0.35">
      <c r="E789" s="83"/>
      <c r="F789" s="83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  <c r="Z789" s="76"/>
      <c r="AA789" s="76"/>
      <c r="AB789" s="76"/>
      <c r="AC789" s="76"/>
      <c r="AD789" s="76"/>
      <c r="AE789" s="76"/>
      <c r="AF789" s="76"/>
      <c r="AG789" s="76"/>
      <c r="AH789" s="76"/>
      <c r="AI789" s="76"/>
      <c r="AJ789" s="76"/>
      <c r="AK789" s="76"/>
      <c r="AL789" s="76"/>
      <c r="AM789" s="76"/>
      <c r="AN789" s="76"/>
      <c r="AO789" s="76"/>
      <c r="AP789" s="76"/>
      <c r="AQ789" s="76"/>
      <c r="AR789" s="76"/>
      <c r="AS789" s="76"/>
      <c r="AT789" s="76"/>
      <c r="AU789" s="76"/>
      <c r="AV789" s="76"/>
      <c r="AW789" s="76"/>
      <c r="AX789" s="76"/>
      <c r="AY789" s="76"/>
      <c r="AZ789" s="76"/>
      <c r="BA789" s="76"/>
      <c r="BB789" s="76"/>
    </row>
    <row r="790" spans="5:54" x14ac:dyDescent="0.35">
      <c r="E790" s="83"/>
      <c r="F790" s="83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  <c r="Z790" s="76"/>
      <c r="AA790" s="76"/>
      <c r="AB790" s="76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/>
      <c r="AU790" s="76"/>
      <c r="AV790" s="76"/>
      <c r="AW790" s="76"/>
      <c r="AX790" s="76"/>
      <c r="AY790" s="76"/>
      <c r="AZ790" s="76"/>
      <c r="BA790" s="76"/>
      <c r="BB790" s="76"/>
    </row>
    <row r="791" spans="5:54" x14ac:dyDescent="0.35">
      <c r="E791" s="83"/>
      <c r="F791" s="83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  <c r="Z791" s="76"/>
      <c r="AA791" s="76"/>
      <c r="AB791" s="76"/>
      <c r="AC791" s="76"/>
      <c r="AD791" s="76"/>
      <c r="AE791" s="76"/>
      <c r="AF791" s="76"/>
      <c r="AG791" s="76"/>
      <c r="AH791" s="76"/>
      <c r="AI791" s="76"/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76"/>
      <c r="BB791" s="76"/>
    </row>
    <row r="792" spans="5:54" x14ac:dyDescent="0.35">
      <c r="E792" s="83"/>
      <c r="F792" s="83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  <c r="Z792" s="76"/>
      <c r="AA792" s="76"/>
      <c r="AB792" s="76"/>
      <c r="AC792" s="76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76"/>
      <c r="BB792" s="76"/>
    </row>
    <row r="793" spans="5:54" x14ac:dyDescent="0.35">
      <c r="E793" s="83"/>
      <c r="F793" s="83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  <c r="Z793" s="76"/>
      <c r="AA793" s="76"/>
      <c r="AB793" s="76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6"/>
      <c r="BB793" s="76"/>
    </row>
    <row r="794" spans="5:54" x14ac:dyDescent="0.35">
      <c r="E794" s="83"/>
      <c r="F794" s="83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  <c r="Z794" s="76"/>
      <c r="AA794" s="76"/>
      <c r="AB794" s="76"/>
      <c r="AC794" s="76"/>
      <c r="AD794" s="76"/>
      <c r="AE794" s="76"/>
      <c r="AF794" s="76"/>
      <c r="AG794" s="76"/>
      <c r="AH794" s="76"/>
      <c r="AI794" s="76"/>
      <c r="AJ794" s="76"/>
      <c r="AK794" s="76"/>
      <c r="AL794" s="76"/>
      <c r="AM794" s="76"/>
      <c r="AN794" s="76"/>
      <c r="AO794" s="76"/>
      <c r="AP794" s="76"/>
      <c r="AQ794" s="76"/>
      <c r="AR794" s="76"/>
      <c r="AS794" s="76"/>
      <c r="AT794" s="76"/>
      <c r="AU794" s="76"/>
      <c r="AV794" s="76"/>
      <c r="AW794" s="76"/>
      <c r="AX794" s="76"/>
      <c r="AY794" s="76"/>
      <c r="AZ794" s="76"/>
      <c r="BA794" s="76"/>
      <c r="BB794" s="76"/>
    </row>
    <row r="795" spans="5:54" x14ac:dyDescent="0.35">
      <c r="E795" s="83"/>
      <c r="F795" s="83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  <c r="Z795" s="76"/>
      <c r="AA795" s="76"/>
      <c r="AB795" s="76"/>
      <c r="AC795" s="76"/>
      <c r="AD795" s="76"/>
      <c r="AE795" s="76"/>
      <c r="AF795" s="76"/>
      <c r="AG795" s="76"/>
      <c r="AH795" s="76"/>
      <c r="AI795" s="76"/>
      <c r="AJ795" s="76"/>
      <c r="AK795" s="76"/>
      <c r="AL795" s="76"/>
      <c r="AM795" s="76"/>
      <c r="AN795" s="76"/>
      <c r="AO795" s="76"/>
      <c r="AP795" s="76"/>
      <c r="AQ795" s="76"/>
      <c r="AR795" s="76"/>
      <c r="AS795" s="76"/>
      <c r="AT795" s="76"/>
      <c r="AU795" s="76"/>
      <c r="AV795" s="76"/>
      <c r="AW795" s="76"/>
      <c r="AX795" s="76"/>
      <c r="AY795" s="76"/>
      <c r="AZ795" s="76"/>
      <c r="BA795" s="76"/>
      <c r="BB795" s="76"/>
    </row>
    <row r="796" spans="5:54" x14ac:dyDescent="0.35">
      <c r="E796" s="83"/>
      <c r="F796" s="83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  <c r="Z796" s="76"/>
      <c r="AA796" s="76"/>
      <c r="AB796" s="76"/>
      <c r="AC796" s="76"/>
      <c r="AD796" s="76"/>
      <c r="AE796" s="76"/>
      <c r="AF796" s="76"/>
      <c r="AG796" s="76"/>
      <c r="AH796" s="76"/>
      <c r="AI796" s="76"/>
      <c r="AJ796" s="76"/>
      <c r="AK796" s="76"/>
      <c r="AL796" s="76"/>
      <c r="AM796" s="76"/>
      <c r="AN796" s="76"/>
      <c r="AO796" s="76"/>
      <c r="AP796" s="76"/>
      <c r="AQ796" s="76"/>
      <c r="AR796" s="76"/>
      <c r="AS796" s="76"/>
      <c r="AT796" s="76"/>
      <c r="AU796" s="76"/>
      <c r="AV796" s="76"/>
      <c r="AW796" s="76"/>
      <c r="AX796" s="76"/>
      <c r="AY796" s="76"/>
      <c r="AZ796" s="76"/>
      <c r="BA796" s="76"/>
      <c r="BB796" s="76"/>
    </row>
    <row r="797" spans="5:54" x14ac:dyDescent="0.35">
      <c r="E797" s="83"/>
      <c r="F797" s="83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  <c r="Z797" s="76"/>
      <c r="AA797" s="76"/>
      <c r="AB797" s="76"/>
      <c r="AC797" s="76"/>
      <c r="AD797" s="76"/>
      <c r="AE797" s="76"/>
      <c r="AF797" s="76"/>
      <c r="AG797" s="76"/>
      <c r="AH797" s="76"/>
      <c r="AI797" s="76"/>
      <c r="AJ797" s="76"/>
      <c r="AK797" s="76"/>
      <c r="AL797" s="76"/>
      <c r="AM797" s="76"/>
      <c r="AN797" s="76"/>
      <c r="AO797" s="76"/>
      <c r="AP797" s="76"/>
      <c r="AQ797" s="76"/>
      <c r="AR797" s="76"/>
      <c r="AS797" s="76"/>
      <c r="AT797" s="76"/>
      <c r="AU797" s="76"/>
      <c r="AV797" s="76"/>
      <c r="AW797" s="76"/>
      <c r="AX797" s="76"/>
      <c r="AY797" s="76"/>
      <c r="AZ797" s="76"/>
      <c r="BA797" s="76"/>
      <c r="BB797" s="76"/>
    </row>
    <row r="798" spans="5:54" x14ac:dyDescent="0.35">
      <c r="E798" s="83"/>
      <c r="F798" s="83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  <c r="Z798" s="76"/>
      <c r="AA798" s="76"/>
      <c r="AB798" s="76"/>
      <c r="AC798" s="76"/>
      <c r="AD798" s="76"/>
      <c r="AE798" s="76"/>
      <c r="AF798" s="76"/>
      <c r="AG798" s="76"/>
      <c r="AH798" s="76"/>
      <c r="AI798" s="76"/>
      <c r="AJ798" s="76"/>
      <c r="AK798" s="76"/>
      <c r="AL798" s="76"/>
      <c r="AM798" s="76"/>
      <c r="AN798" s="76"/>
      <c r="AO798" s="76"/>
      <c r="AP798" s="76"/>
      <c r="AQ798" s="76"/>
      <c r="AR798" s="76"/>
      <c r="AS798" s="76"/>
      <c r="AT798" s="76"/>
      <c r="AU798" s="76"/>
      <c r="AV798" s="76"/>
      <c r="AW798" s="76"/>
      <c r="AX798" s="76"/>
      <c r="AY798" s="76"/>
      <c r="AZ798" s="76"/>
      <c r="BA798" s="76"/>
      <c r="BB798" s="76"/>
    </row>
    <row r="799" spans="5:54" x14ac:dyDescent="0.35">
      <c r="E799" s="83"/>
      <c r="F799" s="83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  <c r="Z799" s="76"/>
      <c r="AA799" s="76"/>
      <c r="AB799" s="76"/>
      <c r="AC799" s="76"/>
      <c r="AD799" s="76"/>
      <c r="AE799" s="76"/>
      <c r="AF799" s="76"/>
      <c r="AG799" s="76"/>
      <c r="AH799" s="76"/>
      <c r="AI799" s="76"/>
      <c r="AJ799" s="76"/>
      <c r="AK799" s="76"/>
      <c r="AL799" s="76"/>
      <c r="AM799" s="76"/>
      <c r="AN799" s="76"/>
      <c r="AO799" s="76"/>
      <c r="AP799" s="76"/>
      <c r="AQ799" s="76"/>
      <c r="AR799" s="76"/>
      <c r="AS799" s="76"/>
      <c r="AT799" s="76"/>
      <c r="AU799" s="76"/>
      <c r="AV799" s="76"/>
      <c r="AW799" s="76"/>
      <c r="AX799" s="76"/>
      <c r="AY799" s="76"/>
      <c r="AZ799" s="76"/>
      <c r="BA799" s="76"/>
      <c r="BB799" s="76"/>
    </row>
    <row r="800" spans="5:54" x14ac:dyDescent="0.35">
      <c r="E800" s="83"/>
      <c r="F800" s="83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  <c r="Z800" s="76"/>
      <c r="AA800" s="76"/>
      <c r="AB800" s="76"/>
      <c r="AC800" s="76"/>
      <c r="AD800" s="76"/>
      <c r="AE800" s="76"/>
      <c r="AF800" s="76"/>
      <c r="AG800" s="76"/>
      <c r="AH800" s="76"/>
      <c r="AI800" s="76"/>
      <c r="AJ800" s="76"/>
      <c r="AK800" s="76"/>
      <c r="AL800" s="76"/>
      <c r="AM800" s="76"/>
      <c r="AN800" s="76"/>
      <c r="AO800" s="76"/>
      <c r="AP800" s="76"/>
      <c r="AQ800" s="76"/>
      <c r="AR800" s="76"/>
      <c r="AS800" s="76"/>
      <c r="AT800" s="76"/>
      <c r="AU800" s="76"/>
      <c r="AV800" s="76"/>
      <c r="AW800" s="76"/>
      <c r="AX800" s="76"/>
      <c r="AY800" s="76"/>
      <c r="AZ800" s="76"/>
      <c r="BA800" s="76"/>
      <c r="BB800" s="76"/>
    </row>
    <row r="801" spans="5:54" x14ac:dyDescent="0.35">
      <c r="E801" s="83"/>
      <c r="F801" s="83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  <c r="Z801" s="76"/>
      <c r="AA801" s="76"/>
      <c r="AB801" s="76"/>
      <c r="AC801" s="76"/>
      <c r="AD801" s="76"/>
      <c r="AE801" s="76"/>
      <c r="AF801" s="76"/>
      <c r="AG801" s="76"/>
      <c r="AH801" s="76"/>
      <c r="AI801" s="76"/>
      <c r="AJ801" s="76"/>
      <c r="AK801" s="76"/>
      <c r="AL801" s="76"/>
      <c r="AM801" s="76"/>
      <c r="AN801" s="76"/>
      <c r="AO801" s="76"/>
      <c r="AP801" s="76"/>
      <c r="AQ801" s="76"/>
      <c r="AR801" s="76"/>
      <c r="AS801" s="76"/>
      <c r="AT801" s="76"/>
      <c r="AU801" s="76"/>
      <c r="AV801" s="76"/>
      <c r="AW801" s="76"/>
      <c r="AX801" s="76"/>
      <c r="AY801" s="76"/>
      <c r="AZ801" s="76"/>
      <c r="BA801" s="76"/>
      <c r="BB801" s="76"/>
    </row>
    <row r="802" spans="5:54" x14ac:dyDescent="0.35">
      <c r="E802" s="83"/>
      <c r="F802" s="83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  <c r="Z802" s="76"/>
      <c r="AA802" s="76"/>
      <c r="AB802" s="76"/>
      <c r="AC802" s="76"/>
      <c r="AD802" s="76"/>
      <c r="AE802" s="76"/>
      <c r="AF802" s="76"/>
      <c r="AG802" s="76"/>
      <c r="AH802" s="76"/>
      <c r="AI802" s="76"/>
      <c r="AJ802" s="76"/>
      <c r="AK802" s="76"/>
      <c r="AL802" s="76"/>
      <c r="AM802" s="76"/>
      <c r="AN802" s="76"/>
      <c r="AO802" s="76"/>
      <c r="AP802" s="76"/>
      <c r="AQ802" s="76"/>
      <c r="AR802" s="76"/>
      <c r="AS802" s="76"/>
      <c r="AT802" s="76"/>
      <c r="AU802" s="76"/>
      <c r="AV802" s="76"/>
      <c r="AW802" s="76"/>
      <c r="AX802" s="76"/>
      <c r="AY802" s="76"/>
      <c r="AZ802" s="76"/>
      <c r="BA802" s="76"/>
      <c r="BB802" s="76"/>
    </row>
    <row r="803" spans="5:54" x14ac:dyDescent="0.35">
      <c r="E803" s="83"/>
      <c r="F803" s="83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  <c r="Z803" s="76"/>
      <c r="AA803" s="76"/>
      <c r="AB803" s="76"/>
      <c r="AC803" s="76"/>
      <c r="AD803" s="76"/>
      <c r="AE803" s="76"/>
      <c r="AF803" s="76"/>
      <c r="AG803" s="76"/>
      <c r="AH803" s="76"/>
      <c r="AI803" s="76"/>
      <c r="AJ803" s="76"/>
      <c r="AK803" s="76"/>
      <c r="AL803" s="76"/>
      <c r="AM803" s="76"/>
      <c r="AN803" s="76"/>
      <c r="AO803" s="76"/>
      <c r="AP803" s="76"/>
      <c r="AQ803" s="76"/>
      <c r="AR803" s="76"/>
      <c r="AS803" s="76"/>
      <c r="AT803" s="76"/>
      <c r="AU803" s="76"/>
      <c r="AV803" s="76"/>
      <c r="AW803" s="76"/>
      <c r="AX803" s="76"/>
      <c r="AY803" s="76"/>
      <c r="AZ803" s="76"/>
      <c r="BA803" s="76"/>
      <c r="BB803" s="76"/>
    </row>
    <row r="804" spans="5:54" x14ac:dyDescent="0.35">
      <c r="E804" s="83"/>
      <c r="F804" s="83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  <c r="Z804" s="76"/>
      <c r="AA804" s="76"/>
      <c r="AB804" s="76"/>
      <c r="AC804" s="76"/>
      <c r="AD804" s="76"/>
      <c r="AE804" s="76"/>
      <c r="AF804" s="76"/>
      <c r="AG804" s="76"/>
      <c r="AH804" s="76"/>
      <c r="AI804" s="76"/>
      <c r="AJ804" s="76"/>
      <c r="AK804" s="76"/>
      <c r="AL804" s="76"/>
      <c r="AM804" s="76"/>
      <c r="AN804" s="76"/>
      <c r="AO804" s="76"/>
      <c r="AP804" s="76"/>
      <c r="AQ804" s="76"/>
      <c r="AR804" s="76"/>
      <c r="AS804" s="76"/>
      <c r="AT804" s="76"/>
      <c r="AU804" s="76"/>
      <c r="AV804" s="76"/>
      <c r="AW804" s="76"/>
      <c r="AX804" s="76"/>
      <c r="AY804" s="76"/>
      <c r="AZ804" s="76"/>
      <c r="BA804" s="76"/>
      <c r="BB804" s="76"/>
    </row>
    <row r="805" spans="5:54" x14ac:dyDescent="0.35">
      <c r="E805" s="83"/>
      <c r="F805" s="83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  <c r="Z805" s="76"/>
      <c r="AA805" s="76"/>
      <c r="AB805" s="76"/>
      <c r="AC805" s="76"/>
      <c r="AD805" s="76"/>
      <c r="AE805" s="76"/>
      <c r="AF805" s="76"/>
      <c r="AG805" s="76"/>
      <c r="AH805" s="76"/>
      <c r="AI805" s="76"/>
      <c r="AJ805" s="76"/>
      <c r="AK805" s="76"/>
      <c r="AL805" s="76"/>
      <c r="AM805" s="76"/>
      <c r="AN805" s="76"/>
      <c r="AO805" s="76"/>
      <c r="AP805" s="76"/>
      <c r="AQ805" s="76"/>
      <c r="AR805" s="76"/>
      <c r="AS805" s="76"/>
      <c r="AT805" s="76"/>
      <c r="AU805" s="76"/>
      <c r="AV805" s="76"/>
      <c r="AW805" s="76"/>
      <c r="AX805" s="76"/>
      <c r="AY805" s="76"/>
      <c r="AZ805" s="76"/>
      <c r="BA805" s="76"/>
      <c r="BB805" s="76"/>
    </row>
    <row r="806" spans="5:54" x14ac:dyDescent="0.35">
      <c r="E806" s="83"/>
      <c r="F806" s="83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  <c r="Z806" s="76"/>
      <c r="AA806" s="76"/>
      <c r="AB806" s="76"/>
      <c r="AC806" s="76"/>
      <c r="AD806" s="76"/>
      <c r="AE806" s="76"/>
      <c r="AF806" s="76"/>
      <c r="AG806" s="76"/>
      <c r="AH806" s="76"/>
      <c r="AI806" s="76"/>
      <c r="AJ806" s="76"/>
      <c r="AK806" s="76"/>
      <c r="AL806" s="76"/>
      <c r="AM806" s="76"/>
      <c r="AN806" s="76"/>
      <c r="AO806" s="76"/>
      <c r="AP806" s="76"/>
      <c r="AQ806" s="76"/>
      <c r="AR806" s="76"/>
      <c r="AS806" s="76"/>
      <c r="AT806" s="76"/>
      <c r="AU806" s="76"/>
      <c r="AV806" s="76"/>
      <c r="AW806" s="76"/>
      <c r="AX806" s="76"/>
      <c r="AY806" s="76"/>
      <c r="AZ806" s="76"/>
      <c r="BA806" s="76"/>
      <c r="BB806" s="76"/>
    </row>
    <row r="807" spans="5:54" x14ac:dyDescent="0.35">
      <c r="E807" s="83"/>
      <c r="F807" s="83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  <c r="Z807" s="76"/>
      <c r="AA807" s="76"/>
      <c r="AB807" s="76"/>
      <c r="AC807" s="76"/>
      <c r="AD807" s="76"/>
      <c r="AE807" s="76"/>
      <c r="AF807" s="76"/>
      <c r="AG807" s="76"/>
      <c r="AH807" s="76"/>
      <c r="AI807" s="76"/>
      <c r="AJ807" s="76"/>
      <c r="AK807" s="76"/>
      <c r="AL807" s="76"/>
      <c r="AM807" s="76"/>
      <c r="AN807" s="76"/>
      <c r="AO807" s="76"/>
      <c r="AP807" s="76"/>
      <c r="AQ807" s="76"/>
      <c r="AR807" s="76"/>
      <c r="AS807" s="76"/>
      <c r="AT807" s="76"/>
      <c r="AU807" s="76"/>
      <c r="AV807" s="76"/>
      <c r="AW807" s="76"/>
      <c r="AX807" s="76"/>
      <c r="AY807" s="76"/>
      <c r="AZ807" s="76"/>
      <c r="BA807" s="76"/>
      <c r="BB807" s="76"/>
    </row>
    <row r="808" spans="5:54" x14ac:dyDescent="0.35">
      <c r="E808" s="83"/>
      <c r="F808" s="83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  <c r="Z808" s="76"/>
      <c r="AA808" s="76"/>
      <c r="AB808" s="76"/>
      <c r="AC808" s="76"/>
      <c r="AD808" s="76"/>
      <c r="AE808" s="76"/>
      <c r="AF808" s="76"/>
      <c r="AG808" s="76"/>
      <c r="AH808" s="76"/>
      <c r="AI808" s="76"/>
      <c r="AJ808" s="76"/>
      <c r="AK808" s="76"/>
      <c r="AL808" s="76"/>
      <c r="AM808" s="76"/>
      <c r="AN808" s="76"/>
      <c r="AO808" s="76"/>
      <c r="AP808" s="76"/>
      <c r="AQ808" s="76"/>
      <c r="AR808" s="76"/>
      <c r="AS808" s="76"/>
      <c r="AT808" s="76"/>
      <c r="AU808" s="76"/>
      <c r="AV808" s="76"/>
      <c r="AW808" s="76"/>
      <c r="AX808" s="76"/>
      <c r="AY808" s="76"/>
      <c r="AZ808" s="76"/>
      <c r="BA808" s="76"/>
      <c r="BB808" s="76"/>
    </row>
    <row r="809" spans="5:54" x14ac:dyDescent="0.35">
      <c r="E809" s="83"/>
      <c r="F809" s="83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  <c r="Z809" s="76"/>
      <c r="AA809" s="76"/>
      <c r="AB809" s="76"/>
      <c r="AC809" s="76"/>
      <c r="AD809" s="76"/>
      <c r="AE809" s="76"/>
      <c r="AF809" s="76"/>
      <c r="AG809" s="76"/>
      <c r="AH809" s="76"/>
      <c r="AI809" s="76"/>
      <c r="AJ809" s="76"/>
      <c r="AK809" s="76"/>
      <c r="AL809" s="76"/>
      <c r="AM809" s="76"/>
      <c r="AN809" s="76"/>
      <c r="AO809" s="76"/>
      <c r="AP809" s="76"/>
      <c r="AQ809" s="76"/>
      <c r="AR809" s="76"/>
      <c r="AS809" s="76"/>
      <c r="AT809" s="76"/>
      <c r="AU809" s="76"/>
      <c r="AV809" s="76"/>
      <c r="AW809" s="76"/>
      <c r="AX809" s="76"/>
      <c r="AY809" s="76"/>
      <c r="AZ809" s="76"/>
      <c r="BA809" s="76"/>
      <c r="BB809" s="76"/>
    </row>
    <row r="810" spans="5:54" x14ac:dyDescent="0.35">
      <c r="E810" s="83"/>
      <c r="F810" s="83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  <c r="Z810" s="76"/>
      <c r="AA810" s="76"/>
      <c r="AB810" s="76"/>
      <c r="AC810" s="76"/>
      <c r="AD810" s="76"/>
      <c r="AE810" s="76"/>
      <c r="AF810" s="76"/>
      <c r="AG810" s="76"/>
      <c r="AH810" s="76"/>
      <c r="AI810" s="76"/>
      <c r="AJ810" s="76"/>
      <c r="AK810" s="76"/>
      <c r="AL810" s="76"/>
      <c r="AM810" s="76"/>
      <c r="AN810" s="76"/>
      <c r="AO810" s="76"/>
      <c r="AP810" s="76"/>
      <c r="AQ810" s="76"/>
      <c r="AR810" s="76"/>
      <c r="AS810" s="76"/>
      <c r="AT810" s="76"/>
      <c r="AU810" s="76"/>
      <c r="AV810" s="76"/>
      <c r="AW810" s="76"/>
      <c r="AX810" s="76"/>
      <c r="AY810" s="76"/>
      <c r="AZ810" s="76"/>
      <c r="BA810" s="76"/>
      <c r="BB810" s="76"/>
    </row>
    <row r="811" spans="5:54" x14ac:dyDescent="0.35">
      <c r="E811" s="83"/>
      <c r="F811" s="83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  <c r="Z811" s="76"/>
      <c r="AA811" s="76"/>
      <c r="AB811" s="76"/>
      <c r="AC811" s="76"/>
      <c r="AD811" s="76"/>
      <c r="AE811" s="76"/>
      <c r="AF811" s="76"/>
      <c r="AG811" s="76"/>
      <c r="AH811" s="76"/>
      <c r="AI811" s="76"/>
      <c r="AJ811" s="76"/>
      <c r="AK811" s="76"/>
      <c r="AL811" s="76"/>
      <c r="AM811" s="76"/>
      <c r="AN811" s="76"/>
      <c r="AO811" s="76"/>
      <c r="AP811" s="76"/>
      <c r="AQ811" s="76"/>
      <c r="AR811" s="76"/>
      <c r="AS811" s="76"/>
      <c r="AT811" s="76"/>
      <c r="AU811" s="76"/>
      <c r="AV811" s="76"/>
      <c r="AW811" s="76"/>
      <c r="AX811" s="76"/>
      <c r="AY811" s="76"/>
      <c r="AZ811" s="76"/>
      <c r="BA811" s="76"/>
      <c r="BB811" s="76"/>
    </row>
    <row r="812" spans="5:54" x14ac:dyDescent="0.35">
      <c r="E812" s="83"/>
      <c r="F812" s="83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  <c r="Z812" s="76"/>
      <c r="AA812" s="76"/>
      <c r="AB812" s="76"/>
      <c r="AC812" s="76"/>
      <c r="AD812" s="76"/>
      <c r="AE812" s="76"/>
      <c r="AF812" s="76"/>
      <c r="AG812" s="76"/>
      <c r="AH812" s="76"/>
      <c r="AI812" s="76"/>
      <c r="AJ812" s="76"/>
      <c r="AK812" s="76"/>
      <c r="AL812" s="76"/>
      <c r="AM812" s="76"/>
      <c r="AN812" s="76"/>
      <c r="AO812" s="76"/>
      <c r="AP812" s="76"/>
      <c r="AQ812" s="76"/>
      <c r="AR812" s="76"/>
      <c r="AS812" s="76"/>
      <c r="AT812" s="76"/>
      <c r="AU812" s="76"/>
      <c r="AV812" s="76"/>
      <c r="AW812" s="76"/>
      <c r="AX812" s="76"/>
      <c r="AY812" s="76"/>
      <c r="AZ812" s="76"/>
      <c r="BA812" s="76"/>
      <c r="BB812" s="76"/>
    </row>
    <row r="813" spans="5:54" x14ac:dyDescent="0.35">
      <c r="E813" s="83"/>
      <c r="F813" s="83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  <c r="Z813" s="76"/>
      <c r="AA813" s="76"/>
      <c r="AB813" s="76"/>
      <c r="AC813" s="76"/>
      <c r="AD813" s="76"/>
      <c r="AE813" s="76"/>
      <c r="AF813" s="76"/>
      <c r="AG813" s="76"/>
      <c r="AH813" s="76"/>
      <c r="AI813" s="76"/>
      <c r="AJ813" s="76"/>
      <c r="AK813" s="76"/>
      <c r="AL813" s="76"/>
      <c r="AM813" s="76"/>
      <c r="AN813" s="76"/>
      <c r="AO813" s="76"/>
      <c r="AP813" s="76"/>
      <c r="AQ813" s="76"/>
      <c r="AR813" s="76"/>
      <c r="AS813" s="76"/>
      <c r="AT813" s="76"/>
      <c r="AU813" s="76"/>
      <c r="AV813" s="76"/>
      <c r="AW813" s="76"/>
      <c r="AX813" s="76"/>
      <c r="AY813" s="76"/>
      <c r="AZ813" s="76"/>
      <c r="BA813" s="76"/>
      <c r="BB813" s="76"/>
    </row>
    <row r="814" spans="5:54" x14ac:dyDescent="0.35">
      <c r="E814" s="83"/>
      <c r="F814" s="83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  <c r="Z814" s="76"/>
      <c r="AA814" s="76"/>
      <c r="AB814" s="76"/>
      <c r="AC814" s="76"/>
      <c r="AD814" s="76"/>
      <c r="AE814" s="76"/>
      <c r="AF814" s="76"/>
      <c r="AG814" s="76"/>
      <c r="AH814" s="76"/>
      <c r="AI814" s="76"/>
      <c r="AJ814" s="76"/>
      <c r="AK814" s="76"/>
      <c r="AL814" s="76"/>
      <c r="AM814" s="76"/>
      <c r="AN814" s="76"/>
      <c r="AO814" s="76"/>
      <c r="AP814" s="76"/>
      <c r="AQ814" s="76"/>
      <c r="AR814" s="76"/>
      <c r="AS814" s="76"/>
      <c r="AT814" s="76"/>
      <c r="AU814" s="76"/>
      <c r="AV814" s="76"/>
      <c r="AW814" s="76"/>
      <c r="AX814" s="76"/>
      <c r="AY814" s="76"/>
      <c r="AZ814" s="76"/>
      <c r="BA814" s="76"/>
      <c r="BB814" s="76"/>
    </row>
    <row r="815" spans="5:54" x14ac:dyDescent="0.35">
      <c r="E815" s="83"/>
      <c r="F815" s="83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  <c r="Z815" s="76"/>
      <c r="AA815" s="76"/>
      <c r="AB815" s="76"/>
      <c r="AC815" s="76"/>
      <c r="AD815" s="76"/>
      <c r="AE815" s="76"/>
      <c r="AF815" s="76"/>
      <c r="AG815" s="76"/>
      <c r="AH815" s="76"/>
      <c r="AI815" s="76"/>
      <c r="AJ815" s="76"/>
      <c r="AK815" s="76"/>
      <c r="AL815" s="76"/>
      <c r="AM815" s="76"/>
      <c r="AN815" s="76"/>
      <c r="AO815" s="76"/>
      <c r="AP815" s="76"/>
      <c r="AQ815" s="76"/>
      <c r="AR815" s="76"/>
      <c r="AS815" s="76"/>
      <c r="AT815" s="76"/>
      <c r="AU815" s="76"/>
      <c r="AV815" s="76"/>
      <c r="AW815" s="76"/>
      <c r="AX815" s="76"/>
      <c r="AY815" s="76"/>
      <c r="AZ815" s="76"/>
      <c r="BA815" s="76"/>
      <c r="BB815" s="76"/>
    </row>
    <row r="816" spans="5:54" x14ac:dyDescent="0.35">
      <c r="E816" s="83"/>
      <c r="F816" s="83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  <c r="Z816" s="76"/>
      <c r="AA816" s="76"/>
      <c r="AB816" s="76"/>
      <c r="AC816" s="76"/>
      <c r="AD816" s="76"/>
      <c r="AE816" s="76"/>
      <c r="AF816" s="76"/>
      <c r="AG816" s="76"/>
      <c r="AH816" s="76"/>
      <c r="AI816" s="76"/>
      <c r="AJ816" s="76"/>
      <c r="AK816" s="76"/>
      <c r="AL816" s="76"/>
      <c r="AM816" s="76"/>
      <c r="AN816" s="76"/>
      <c r="AO816" s="76"/>
      <c r="AP816" s="76"/>
      <c r="AQ816" s="76"/>
      <c r="AR816" s="76"/>
      <c r="AS816" s="76"/>
      <c r="AT816" s="76"/>
      <c r="AU816" s="76"/>
      <c r="AV816" s="76"/>
      <c r="AW816" s="76"/>
      <c r="AX816" s="76"/>
      <c r="AY816" s="76"/>
      <c r="AZ816" s="76"/>
      <c r="BA816" s="76"/>
      <c r="BB816" s="76"/>
    </row>
    <row r="817" spans="5:54" x14ac:dyDescent="0.35">
      <c r="E817" s="83"/>
      <c r="F817" s="83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  <c r="Z817" s="76"/>
      <c r="AA817" s="76"/>
      <c r="AB817" s="76"/>
      <c r="AC817" s="76"/>
      <c r="AD817" s="76"/>
      <c r="AE817" s="76"/>
      <c r="AF817" s="76"/>
      <c r="AG817" s="76"/>
      <c r="AH817" s="76"/>
      <c r="AI817" s="76"/>
      <c r="AJ817" s="76"/>
      <c r="AK817" s="76"/>
      <c r="AL817" s="76"/>
      <c r="AM817" s="76"/>
      <c r="AN817" s="76"/>
      <c r="AO817" s="76"/>
      <c r="AP817" s="76"/>
      <c r="AQ817" s="76"/>
      <c r="AR817" s="76"/>
      <c r="AS817" s="76"/>
      <c r="AT817" s="76"/>
      <c r="AU817" s="76"/>
      <c r="AV817" s="76"/>
      <c r="AW817" s="76"/>
      <c r="AX817" s="76"/>
      <c r="AY817" s="76"/>
      <c r="AZ817" s="76"/>
      <c r="BA817" s="76"/>
      <c r="BB817" s="76"/>
    </row>
    <row r="818" spans="5:54" x14ac:dyDescent="0.35">
      <c r="E818" s="83"/>
      <c r="F818" s="83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  <c r="Z818" s="76"/>
      <c r="AA818" s="76"/>
      <c r="AB818" s="76"/>
      <c r="AC818" s="76"/>
      <c r="AD818" s="76"/>
      <c r="AE818" s="76"/>
      <c r="AF818" s="76"/>
      <c r="AG818" s="76"/>
      <c r="AH818" s="76"/>
      <c r="AI818" s="76"/>
      <c r="AJ818" s="76"/>
      <c r="AK818" s="76"/>
      <c r="AL818" s="76"/>
      <c r="AM818" s="76"/>
      <c r="AN818" s="76"/>
      <c r="AO818" s="76"/>
      <c r="AP818" s="76"/>
      <c r="AQ818" s="76"/>
      <c r="AR818" s="76"/>
      <c r="AS818" s="76"/>
      <c r="AT818" s="76"/>
      <c r="AU818" s="76"/>
      <c r="AV818" s="76"/>
      <c r="AW818" s="76"/>
      <c r="AX818" s="76"/>
      <c r="AY818" s="76"/>
      <c r="AZ818" s="76"/>
      <c r="BA818" s="76"/>
      <c r="BB818" s="76"/>
    </row>
    <row r="819" spans="5:54" x14ac:dyDescent="0.35">
      <c r="E819" s="83"/>
      <c r="F819" s="83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  <c r="Z819" s="76"/>
      <c r="AA819" s="76"/>
      <c r="AB819" s="76"/>
      <c r="AC819" s="76"/>
      <c r="AD819" s="76"/>
      <c r="AE819" s="76"/>
      <c r="AF819" s="76"/>
      <c r="AG819" s="76"/>
      <c r="AH819" s="76"/>
      <c r="AI819" s="76"/>
      <c r="AJ819" s="76"/>
      <c r="AK819" s="76"/>
      <c r="AL819" s="76"/>
      <c r="AM819" s="76"/>
      <c r="AN819" s="76"/>
      <c r="AO819" s="76"/>
      <c r="AP819" s="76"/>
      <c r="AQ819" s="76"/>
      <c r="AR819" s="76"/>
      <c r="AS819" s="76"/>
      <c r="AT819" s="76"/>
      <c r="AU819" s="76"/>
      <c r="AV819" s="76"/>
      <c r="AW819" s="76"/>
      <c r="AX819" s="76"/>
      <c r="AY819" s="76"/>
      <c r="AZ819" s="76"/>
      <c r="BA819" s="76"/>
      <c r="BB819" s="76"/>
    </row>
    <row r="820" spans="5:54" x14ac:dyDescent="0.35">
      <c r="E820" s="83"/>
      <c r="F820" s="83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  <c r="Z820" s="76"/>
      <c r="AA820" s="76"/>
      <c r="AB820" s="76"/>
      <c r="AC820" s="76"/>
      <c r="AD820" s="76"/>
      <c r="AE820" s="76"/>
      <c r="AF820" s="76"/>
      <c r="AG820" s="76"/>
      <c r="AH820" s="76"/>
      <c r="AI820" s="76"/>
      <c r="AJ820" s="76"/>
      <c r="AK820" s="76"/>
      <c r="AL820" s="76"/>
      <c r="AM820" s="76"/>
      <c r="AN820" s="76"/>
      <c r="AO820" s="76"/>
      <c r="AP820" s="76"/>
      <c r="AQ820" s="76"/>
      <c r="AR820" s="76"/>
      <c r="AS820" s="76"/>
      <c r="AT820" s="76"/>
      <c r="AU820" s="76"/>
      <c r="AV820" s="76"/>
      <c r="AW820" s="76"/>
      <c r="AX820" s="76"/>
      <c r="AY820" s="76"/>
      <c r="AZ820" s="76"/>
      <c r="BA820" s="76"/>
      <c r="BB820" s="76"/>
    </row>
    <row r="821" spans="5:54" x14ac:dyDescent="0.35">
      <c r="E821" s="83"/>
      <c r="F821" s="83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  <c r="Z821" s="76"/>
      <c r="AA821" s="76"/>
      <c r="AB821" s="76"/>
      <c r="AC821" s="76"/>
      <c r="AD821" s="76"/>
      <c r="AE821" s="76"/>
      <c r="AF821" s="76"/>
      <c r="AG821" s="76"/>
      <c r="AH821" s="76"/>
      <c r="AI821" s="76"/>
      <c r="AJ821" s="76"/>
      <c r="AK821" s="76"/>
      <c r="AL821" s="76"/>
      <c r="AM821" s="76"/>
      <c r="AN821" s="76"/>
      <c r="AO821" s="76"/>
      <c r="AP821" s="76"/>
      <c r="AQ821" s="76"/>
      <c r="AR821" s="76"/>
      <c r="AS821" s="76"/>
      <c r="AT821" s="76"/>
      <c r="AU821" s="76"/>
      <c r="AV821" s="76"/>
      <c r="AW821" s="76"/>
      <c r="AX821" s="76"/>
      <c r="AY821" s="76"/>
      <c r="AZ821" s="76"/>
      <c r="BA821" s="76"/>
      <c r="BB821" s="76"/>
    </row>
    <row r="822" spans="5:54" x14ac:dyDescent="0.35">
      <c r="E822" s="83"/>
      <c r="F822" s="83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  <c r="Z822" s="76"/>
      <c r="AA822" s="76"/>
      <c r="AB822" s="76"/>
      <c r="AC822" s="76"/>
      <c r="AD822" s="76"/>
      <c r="AE822" s="76"/>
      <c r="AF822" s="76"/>
      <c r="AG822" s="76"/>
      <c r="AH822" s="76"/>
      <c r="AI822" s="76"/>
      <c r="AJ822" s="76"/>
      <c r="AK822" s="76"/>
      <c r="AL822" s="76"/>
      <c r="AM822" s="76"/>
      <c r="AN822" s="76"/>
      <c r="AO822" s="76"/>
      <c r="AP822" s="76"/>
      <c r="AQ822" s="76"/>
      <c r="AR822" s="76"/>
      <c r="AS822" s="76"/>
      <c r="AT822" s="76"/>
      <c r="AU822" s="76"/>
      <c r="AV822" s="76"/>
      <c r="AW822" s="76"/>
      <c r="AX822" s="76"/>
      <c r="AY822" s="76"/>
      <c r="AZ822" s="76"/>
      <c r="BA822" s="76"/>
      <c r="BB822" s="76"/>
    </row>
    <row r="823" spans="5:54" x14ac:dyDescent="0.35">
      <c r="E823" s="83"/>
      <c r="F823" s="83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  <c r="Z823" s="76"/>
      <c r="AA823" s="76"/>
      <c r="AB823" s="76"/>
      <c r="AC823" s="76"/>
      <c r="AD823" s="76"/>
      <c r="AE823" s="76"/>
      <c r="AF823" s="76"/>
      <c r="AG823" s="76"/>
      <c r="AH823" s="76"/>
      <c r="AI823" s="76"/>
      <c r="AJ823" s="76"/>
      <c r="AK823" s="76"/>
      <c r="AL823" s="76"/>
      <c r="AM823" s="76"/>
      <c r="AN823" s="76"/>
      <c r="AO823" s="76"/>
      <c r="AP823" s="76"/>
      <c r="AQ823" s="76"/>
      <c r="AR823" s="76"/>
      <c r="AS823" s="76"/>
      <c r="AT823" s="76"/>
      <c r="AU823" s="76"/>
      <c r="AV823" s="76"/>
      <c r="AW823" s="76"/>
      <c r="AX823" s="76"/>
      <c r="AY823" s="76"/>
      <c r="AZ823" s="76"/>
      <c r="BA823" s="76"/>
      <c r="BB823" s="76"/>
    </row>
    <row r="824" spans="5:54" x14ac:dyDescent="0.35">
      <c r="E824" s="83"/>
      <c r="F824" s="83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  <c r="Z824" s="76"/>
      <c r="AA824" s="76"/>
      <c r="AB824" s="76"/>
      <c r="AC824" s="76"/>
      <c r="AD824" s="76"/>
      <c r="AE824" s="76"/>
      <c r="AF824" s="76"/>
      <c r="AG824" s="76"/>
      <c r="AH824" s="76"/>
      <c r="AI824" s="76"/>
      <c r="AJ824" s="76"/>
      <c r="AK824" s="76"/>
      <c r="AL824" s="76"/>
      <c r="AM824" s="76"/>
      <c r="AN824" s="76"/>
      <c r="AO824" s="76"/>
      <c r="AP824" s="76"/>
      <c r="AQ824" s="76"/>
      <c r="AR824" s="76"/>
      <c r="AS824" s="76"/>
      <c r="AT824" s="76"/>
      <c r="AU824" s="76"/>
      <c r="AV824" s="76"/>
      <c r="AW824" s="76"/>
      <c r="AX824" s="76"/>
      <c r="AY824" s="76"/>
      <c r="AZ824" s="76"/>
      <c r="BA824" s="76"/>
      <c r="BB824" s="76"/>
    </row>
    <row r="825" spans="5:54" x14ac:dyDescent="0.35">
      <c r="E825" s="83"/>
      <c r="F825" s="83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  <c r="Z825" s="76"/>
      <c r="AA825" s="76"/>
      <c r="AB825" s="76"/>
      <c r="AC825" s="76"/>
      <c r="AD825" s="76"/>
      <c r="AE825" s="76"/>
      <c r="AF825" s="76"/>
      <c r="AG825" s="76"/>
      <c r="AH825" s="76"/>
      <c r="AI825" s="76"/>
      <c r="AJ825" s="76"/>
      <c r="AK825" s="76"/>
      <c r="AL825" s="76"/>
      <c r="AM825" s="76"/>
      <c r="AN825" s="76"/>
      <c r="AO825" s="76"/>
      <c r="AP825" s="76"/>
      <c r="AQ825" s="76"/>
      <c r="AR825" s="76"/>
      <c r="AS825" s="76"/>
      <c r="AT825" s="76"/>
      <c r="AU825" s="76"/>
      <c r="AV825" s="76"/>
      <c r="AW825" s="76"/>
      <c r="AX825" s="76"/>
      <c r="AY825" s="76"/>
      <c r="AZ825" s="76"/>
      <c r="BA825" s="76"/>
      <c r="BB825" s="76"/>
    </row>
    <row r="826" spans="5:54" x14ac:dyDescent="0.35">
      <c r="E826" s="83"/>
      <c r="F826" s="83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  <c r="Z826" s="76"/>
      <c r="AA826" s="76"/>
      <c r="AB826" s="76"/>
      <c r="AC826" s="76"/>
      <c r="AD826" s="76"/>
      <c r="AE826" s="76"/>
      <c r="AF826" s="76"/>
      <c r="AG826" s="76"/>
      <c r="AH826" s="76"/>
      <c r="AI826" s="76"/>
      <c r="AJ826" s="76"/>
      <c r="AK826" s="76"/>
      <c r="AL826" s="76"/>
      <c r="AM826" s="76"/>
      <c r="AN826" s="76"/>
      <c r="AO826" s="76"/>
      <c r="AP826" s="76"/>
      <c r="AQ826" s="76"/>
      <c r="AR826" s="76"/>
      <c r="AS826" s="76"/>
      <c r="AT826" s="76"/>
      <c r="AU826" s="76"/>
      <c r="AV826" s="76"/>
      <c r="AW826" s="76"/>
      <c r="AX826" s="76"/>
      <c r="AY826" s="76"/>
      <c r="AZ826" s="76"/>
      <c r="BA826" s="76"/>
      <c r="BB826" s="76"/>
    </row>
    <row r="827" spans="5:54" x14ac:dyDescent="0.35">
      <c r="E827" s="83"/>
      <c r="F827" s="83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  <c r="Z827" s="76"/>
      <c r="AA827" s="76"/>
      <c r="AB827" s="76"/>
      <c r="AC827" s="76"/>
      <c r="AD827" s="76"/>
      <c r="AE827" s="76"/>
      <c r="AF827" s="76"/>
      <c r="AG827" s="76"/>
      <c r="AH827" s="76"/>
      <c r="AI827" s="76"/>
      <c r="AJ827" s="76"/>
      <c r="AK827" s="76"/>
      <c r="AL827" s="76"/>
      <c r="AM827" s="76"/>
      <c r="AN827" s="76"/>
      <c r="AO827" s="76"/>
      <c r="AP827" s="76"/>
      <c r="AQ827" s="76"/>
      <c r="AR827" s="76"/>
      <c r="AS827" s="76"/>
      <c r="AT827" s="76"/>
      <c r="AU827" s="76"/>
      <c r="AV827" s="76"/>
      <c r="AW827" s="76"/>
      <c r="AX827" s="76"/>
      <c r="AY827" s="76"/>
      <c r="AZ827" s="76"/>
      <c r="BA827" s="76"/>
      <c r="BB827" s="76"/>
    </row>
    <row r="828" spans="5:54" x14ac:dyDescent="0.35">
      <c r="E828" s="83"/>
      <c r="F828" s="83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  <c r="Z828" s="76"/>
      <c r="AA828" s="76"/>
      <c r="AB828" s="76"/>
      <c r="AC828" s="76"/>
      <c r="AD828" s="76"/>
      <c r="AE828" s="76"/>
      <c r="AF828" s="76"/>
      <c r="AG828" s="76"/>
      <c r="AH828" s="76"/>
      <c r="AI828" s="76"/>
      <c r="AJ828" s="76"/>
      <c r="AK828" s="76"/>
      <c r="AL828" s="76"/>
      <c r="AM828" s="76"/>
      <c r="AN828" s="76"/>
      <c r="AO828" s="76"/>
      <c r="AP828" s="76"/>
      <c r="AQ828" s="76"/>
      <c r="AR828" s="76"/>
      <c r="AS828" s="76"/>
      <c r="AT828" s="76"/>
      <c r="AU828" s="76"/>
      <c r="AV828" s="76"/>
      <c r="AW828" s="76"/>
      <c r="AX828" s="76"/>
      <c r="AY828" s="76"/>
      <c r="AZ828" s="76"/>
      <c r="BA828" s="76"/>
      <c r="BB828" s="76"/>
    </row>
    <row r="829" spans="5:54" x14ac:dyDescent="0.35">
      <c r="E829" s="83"/>
      <c r="F829" s="83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  <c r="Z829" s="76"/>
      <c r="AA829" s="76"/>
      <c r="AB829" s="76"/>
      <c r="AC829" s="76"/>
      <c r="AD829" s="76"/>
      <c r="AE829" s="76"/>
      <c r="AF829" s="76"/>
      <c r="AG829" s="76"/>
      <c r="AH829" s="76"/>
      <c r="AI829" s="76"/>
      <c r="AJ829" s="76"/>
      <c r="AK829" s="76"/>
      <c r="AL829" s="76"/>
      <c r="AM829" s="76"/>
      <c r="AN829" s="76"/>
      <c r="AO829" s="76"/>
      <c r="AP829" s="76"/>
      <c r="AQ829" s="76"/>
      <c r="AR829" s="76"/>
      <c r="AS829" s="76"/>
      <c r="AT829" s="76"/>
      <c r="AU829" s="76"/>
      <c r="AV829" s="76"/>
      <c r="AW829" s="76"/>
      <c r="AX829" s="76"/>
      <c r="AY829" s="76"/>
      <c r="AZ829" s="76"/>
      <c r="BA829" s="76"/>
      <c r="BB829" s="76"/>
    </row>
    <row r="830" spans="5:54" x14ac:dyDescent="0.35">
      <c r="E830" s="83"/>
      <c r="F830" s="83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  <c r="Z830" s="76"/>
      <c r="AA830" s="76"/>
      <c r="AB830" s="76"/>
      <c r="AC830" s="76"/>
      <c r="AD830" s="76"/>
      <c r="AE830" s="76"/>
      <c r="AF830" s="76"/>
      <c r="AG830" s="76"/>
      <c r="AH830" s="76"/>
      <c r="AI830" s="76"/>
      <c r="AJ830" s="76"/>
      <c r="AK830" s="76"/>
      <c r="AL830" s="76"/>
      <c r="AM830" s="76"/>
      <c r="AN830" s="76"/>
      <c r="AO830" s="76"/>
      <c r="AP830" s="76"/>
      <c r="AQ830" s="76"/>
      <c r="AR830" s="76"/>
      <c r="AS830" s="76"/>
      <c r="AT830" s="76"/>
      <c r="AU830" s="76"/>
      <c r="AV830" s="76"/>
      <c r="AW830" s="76"/>
      <c r="AX830" s="76"/>
      <c r="AY830" s="76"/>
      <c r="AZ830" s="76"/>
      <c r="BA830" s="76"/>
      <c r="BB830" s="76"/>
    </row>
    <row r="831" spans="5:54" x14ac:dyDescent="0.35">
      <c r="E831" s="83"/>
      <c r="F831" s="83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  <c r="Z831" s="76"/>
      <c r="AA831" s="76"/>
      <c r="AB831" s="76"/>
      <c r="AC831" s="76"/>
      <c r="AD831" s="76"/>
      <c r="AE831" s="76"/>
      <c r="AF831" s="76"/>
      <c r="AG831" s="76"/>
      <c r="AH831" s="76"/>
      <c r="AI831" s="76"/>
      <c r="AJ831" s="76"/>
      <c r="AK831" s="76"/>
      <c r="AL831" s="76"/>
      <c r="AM831" s="76"/>
      <c r="AN831" s="76"/>
      <c r="AO831" s="76"/>
      <c r="AP831" s="76"/>
      <c r="AQ831" s="76"/>
      <c r="AR831" s="76"/>
      <c r="AS831" s="76"/>
      <c r="AT831" s="76"/>
      <c r="AU831" s="76"/>
      <c r="AV831" s="76"/>
      <c r="AW831" s="76"/>
      <c r="AX831" s="76"/>
      <c r="AY831" s="76"/>
      <c r="AZ831" s="76"/>
      <c r="BA831" s="76"/>
      <c r="BB831" s="76"/>
    </row>
    <row r="832" spans="5:54" x14ac:dyDescent="0.35">
      <c r="E832" s="83"/>
      <c r="F832" s="83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  <c r="Z832" s="76"/>
      <c r="AA832" s="76"/>
      <c r="AB832" s="76"/>
      <c r="AC832" s="76"/>
      <c r="AD832" s="76"/>
      <c r="AE832" s="76"/>
      <c r="AF832" s="76"/>
      <c r="AG832" s="76"/>
      <c r="AH832" s="76"/>
      <c r="AI832" s="76"/>
      <c r="AJ832" s="76"/>
      <c r="AK832" s="76"/>
      <c r="AL832" s="76"/>
      <c r="AM832" s="76"/>
      <c r="AN832" s="76"/>
      <c r="AO832" s="76"/>
      <c r="AP832" s="76"/>
      <c r="AQ832" s="76"/>
      <c r="AR832" s="76"/>
      <c r="AS832" s="76"/>
      <c r="AT832" s="76"/>
      <c r="AU832" s="76"/>
      <c r="AV832" s="76"/>
      <c r="AW832" s="76"/>
      <c r="AX832" s="76"/>
      <c r="AY832" s="76"/>
      <c r="AZ832" s="76"/>
      <c r="BA832" s="76"/>
      <c r="BB832" s="76"/>
    </row>
    <row r="833" spans="5:54" x14ac:dyDescent="0.35">
      <c r="E833" s="83"/>
      <c r="F833" s="83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  <c r="Z833" s="76"/>
      <c r="AA833" s="76"/>
      <c r="AB833" s="76"/>
      <c r="AC833" s="76"/>
      <c r="AD833" s="76"/>
      <c r="AE833" s="76"/>
      <c r="AF833" s="76"/>
      <c r="AG833" s="76"/>
      <c r="AH833" s="76"/>
      <c r="AI833" s="76"/>
      <c r="AJ833" s="76"/>
      <c r="AK833" s="76"/>
      <c r="AL833" s="76"/>
      <c r="AM833" s="76"/>
      <c r="AN833" s="76"/>
      <c r="AO833" s="76"/>
      <c r="AP833" s="76"/>
      <c r="AQ833" s="76"/>
      <c r="AR833" s="76"/>
      <c r="AS833" s="76"/>
      <c r="AT833" s="76"/>
      <c r="AU833" s="76"/>
      <c r="AV833" s="76"/>
      <c r="AW833" s="76"/>
      <c r="AX833" s="76"/>
      <c r="AY833" s="76"/>
      <c r="AZ833" s="76"/>
      <c r="BA833" s="76"/>
      <c r="BB833" s="76"/>
    </row>
    <row r="834" spans="5:54" x14ac:dyDescent="0.35">
      <c r="E834" s="83"/>
      <c r="F834" s="83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  <c r="Z834" s="76"/>
      <c r="AA834" s="76"/>
      <c r="AB834" s="76"/>
      <c r="AC834" s="76"/>
      <c r="AD834" s="76"/>
      <c r="AE834" s="76"/>
      <c r="AF834" s="76"/>
      <c r="AG834" s="76"/>
      <c r="AH834" s="76"/>
      <c r="AI834" s="76"/>
      <c r="AJ834" s="76"/>
      <c r="AK834" s="76"/>
      <c r="AL834" s="76"/>
      <c r="AM834" s="76"/>
      <c r="AN834" s="76"/>
      <c r="AO834" s="76"/>
      <c r="AP834" s="76"/>
      <c r="AQ834" s="76"/>
      <c r="AR834" s="76"/>
      <c r="AS834" s="76"/>
      <c r="AT834" s="76"/>
      <c r="AU834" s="76"/>
      <c r="AV834" s="76"/>
      <c r="AW834" s="76"/>
      <c r="AX834" s="76"/>
      <c r="AY834" s="76"/>
      <c r="AZ834" s="76"/>
      <c r="BA834" s="76"/>
      <c r="BB834" s="76"/>
    </row>
    <row r="835" spans="5:54" x14ac:dyDescent="0.35">
      <c r="E835" s="83"/>
      <c r="F835" s="83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  <c r="Z835" s="76"/>
      <c r="AA835" s="76"/>
      <c r="AB835" s="76"/>
      <c r="AC835" s="76"/>
      <c r="AD835" s="76"/>
      <c r="AE835" s="76"/>
      <c r="AF835" s="76"/>
      <c r="AG835" s="76"/>
      <c r="AH835" s="76"/>
      <c r="AI835" s="76"/>
      <c r="AJ835" s="76"/>
      <c r="AK835" s="76"/>
      <c r="AL835" s="76"/>
      <c r="AM835" s="76"/>
      <c r="AN835" s="76"/>
      <c r="AO835" s="76"/>
      <c r="AP835" s="76"/>
      <c r="AQ835" s="76"/>
      <c r="AR835" s="76"/>
      <c r="AS835" s="76"/>
      <c r="AT835" s="76"/>
      <c r="AU835" s="76"/>
      <c r="AV835" s="76"/>
      <c r="AW835" s="76"/>
      <c r="AX835" s="76"/>
      <c r="AY835" s="76"/>
      <c r="AZ835" s="76"/>
      <c r="BA835" s="76"/>
      <c r="BB835" s="76"/>
    </row>
    <row r="836" spans="5:54" x14ac:dyDescent="0.35">
      <c r="E836" s="83"/>
      <c r="F836" s="83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  <c r="Z836" s="76"/>
      <c r="AA836" s="76"/>
      <c r="AB836" s="76"/>
      <c r="AC836" s="76"/>
      <c r="AD836" s="76"/>
      <c r="AE836" s="76"/>
      <c r="AF836" s="76"/>
      <c r="AG836" s="76"/>
      <c r="AH836" s="76"/>
      <c r="AI836" s="76"/>
      <c r="AJ836" s="76"/>
      <c r="AK836" s="76"/>
      <c r="AL836" s="76"/>
      <c r="AM836" s="76"/>
      <c r="AN836" s="76"/>
      <c r="AO836" s="76"/>
      <c r="AP836" s="76"/>
      <c r="AQ836" s="76"/>
      <c r="AR836" s="76"/>
      <c r="AS836" s="76"/>
      <c r="AT836" s="76"/>
      <c r="AU836" s="76"/>
      <c r="AV836" s="76"/>
      <c r="AW836" s="76"/>
      <c r="AX836" s="76"/>
      <c r="AY836" s="76"/>
      <c r="AZ836" s="76"/>
      <c r="BA836" s="76"/>
      <c r="BB836" s="76"/>
    </row>
    <row r="837" spans="5:54" x14ac:dyDescent="0.35">
      <c r="E837" s="83"/>
      <c r="F837" s="83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  <c r="Z837" s="76"/>
      <c r="AA837" s="76"/>
      <c r="AB837" s="76"/>
      <c r="AC837" s="76"/>
      <c r="AD837" s="76"/>
      <c r="AE837" s="76"/>
      <c r="AF837" s="76"/>
      <c r="AG837" s="76"/>
      <c r="AH837" s="76"/>
      <c r="AI837" s="76"/>
      <c r="AJ837" s="76"/>
      <c r="AK837" s="76"/>
      <c r="AL837" s="76"/>
      <c r="AM837" s="76"/>
      <c r="AN837" s="76"/>
      <c r="AO837" s="76"/>
      <c r="AP837" s="76"/>
      <c r="AQ837" s="76"/>
      <c r="AR837" s="76"/>
      <c r="AS837" s="76"/>
      <c r="AT837" s="76"/>
      <c r="AU837" s="76"/>
      <c r="AV837" s="76"/>
      <c r="AW837" s="76"/>
      <c r="AX837" s="76"/>
      <c r="AY837" s="76"/>
      <c r="AZ837" s="76"/>
      <c r="BA837" s="76"/>
      <c r="BB837" s="76"/>
    </row>
    <row r="838" spans="5:54" x14ac:dyDescent="0.35">
      <c r="E838" s="83"/>
      <c r="F838" s="83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  <c r="Z838" s="76"/>
      <c r="AA838" s="76"/>
      <c r="AB838" s="76"/>
      <c r="AC838" s="76"/>
      <c r="AD838" s="76"/>
      <c r="AE838" s="76"/>
      <c r="AF838" s="76"/>
      <c r="AG838" s="76"/>
      <c r="AH838" s="76"/>
      <c r="AI838" s="76"/>
      <c r="AJ838" s="76"/>
      <c r="AK838" s="76"/>
      <c r="AL838" s="76"/>
      <c r="AM838" s="76"/>
      <c r="AN838" s="76"/>
      <c r="AO838" s="76"/>
      <c r="AP838" s="76"/>
      <c r="AQ838" s="76"/>
      <c r="AR838" s="76"/>
      <c r="AS838" s="76"/>
      <c r="AT838" s="76"/>
      <c r="AU838" s="76"/>
      <c r="AV838" s="76"/>
      <c r="AW838" s="76"/>
      <c r="AX838" s="76"/>
      <c r="AY838" s="76"/>
      <c r="AZ838" s="76"/>
      <c r="BA838" s="76"/>
      <c r="BB838" s="76"/>
    </row>
    <row r="839" spans="5:54" x14ac:dyDescent="0.35">
      <c r="E839" s="83"/>
      <c r="F839" s="83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  <c r="Z839" s="76"/>
      <c r="AA839" s="76"/>
      <c r="AB839" s="76"/>
      <c r="AC839" s="76"/>
      <c r="AD839" s="76"/>
      <c r="AE839" s="76"/>
      <c r="AF839" s="76"/>
      <c r="AG839" s="76"/>
      <c r="AH839" s="76"/>
      <c r="AI839" s="76"/>
      <c r="AJ839" s="76"/>
      <c r="AK839" s="76"/>
      <c r="AL839" s="76"/>
      <c r="AM839" s="76"/>
      <c r="AN839" s="76"/>
      <c r="AO839" s="76"/>
      <c r="AP839" s="76"/>
      <c r="AQ839" s="76"/>
      <c r="AR839" s="76"/>
      <c r="AS839" s="76"/>
      <c r="AT839" s="76"/>
      <c r="AU839" s="76"/>
      <c r="AV839" s="76"/>
      <c r="AW839" s="76"/>
      <c r="AX839" s="76"/>
      <c r="AY839" s="76"/>
      <c r="AZ839" s="76"/>
      <c r="BA839" s="76"/>
      <c r="BB839" s="76"/>
    </row>
    <row r="840" spans="5:54" x14ac:dyDescent="0.35">
      <c r="E840" s="83"/>
      <c r="F840" s="83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  <c r="Z840" s="76"/>
      <c r="AA840" s="76"/>
      <c r="AB840" s="76"/>
      <c r="AC840" s="76"/>
      <c r="AD840" s="76"/>
      <c r="AE840" s="76"/>
      <c r="AF840" s="76"/>
      <c r="AG840" s="76"/>
      <c r="AH840" s="76"/>
      <c r="AI840" s="76"/>
      <c r="AJ840" s="76"/>
      <c r="AK840" s="76"/>
      <c r="AL840" s="76"/>
      <c r="AM840" s="76"/>
      <c r="AN840" s="76"/>
      <c r="AO840" s="76"/>
      <c r="AP840" s="76"/>
      <c r="AQ840" s="76"/>
      <c r="AR840" s="76"/>
      <c r="AS840" s="76"/>
      <c r="AT840" s="76"/>
      <c r="AU840" s="76"/>
      <c r="AV840" s="76"/>
      <c r="AW840" s="76"/>
      <c r="AX840" s="76"/>
      <c r="AY840" s="76"/>
      <c r="AZ840" s="76"/>
      <c r="BA840" s="76"/>
      <c r="BB840" s="76"/>
    </row>
    <row r="841" spans="5:54" x14ac:dyDescent="0.35">
      <c r="E841" s="83"/>
      <c r="F841" s="83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  <c r="Z841" s="76"/>
      <c r="AA841" s="76"/>
      <c r="AB841" s="76"/>
      <c r="AC841" s="76"/>
      <c r="AD841" s="76"/>
      <c r="AE841" s="76"/>
      <c r="AF841" s="76"/>
      <c r="AG841" s="76"/>
      <c r="AH841" s="76"/>
      <c r="AI841" s="76"/>
      <c r="AJ841" s="76"/>
      <c r="AK841" s="76"/>
      <c r="AL841" s="76"/>
      <c r="AM841" s="76"/>
      <c r="AN841" s="76"/>
      <c r="AO841" s="76"/>
      <c r="AP841" s="76"/>
      <c r="AQ841" s="76"/>
      <c r="AR841" s="76"/>
      <c r="AS841" s="76"/>
      <c r="AT841" s="76"/>
      <c r="AU841" s="76"/>
      <c r="AV841" s="76"/>
      <c r="AW841" s="76"/>
      <c r="AX841" s="76"/>
      <c r="AY841" s="76"/>
      <c r="AZ841" s="76"/>
      <c r="BA841" s="76"/>
      <c r="BB841" s="76"/>
    </row>
    <row r="842" spans="5:54" x14ac:dyDescent="0.35">
      <c r="E842" s="83"/>
      <c r="F842" s="83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  <c r="Z842" s="76"/>
      <c r="AA842" s="76"/>
      <c r="AB842" s="76"/>
      <c r="AC842" s="76"/>
      <c r="AD842" s="76"/>
      <c r="AE842" s="76"/>
      <c r="AF842" s="76"/>
      <c r="AG842" s="76"/>
      <c r="AH842" s="76"/>
      <c r="AI842" s="76"/>
      <c r="AJ842" s="76"/>
      <c r="AK842" s="76"/>
      <c r="AL842" s="76"/>
      <c r="AM842" s="76"/>
      <c r="AN842" s="76"/>
      <c r="AO842" s="76"/>
      <c r="AP842" s="76"/>
      <c r="AQ842" s="76"/>
      <c r="AR842" s="76"/>
      <c r="AS842" s="76"/>
      <c r="AT842" s="76"/>
      <c r="AU842" s="76"/>
      <c r="AV842" s="76"/>
      <c r="AW842" s="76"/>
      <c r="AX842" s="76"/>
      <c r="AY842" s="76"/>
      <c r="AZ842" s="76"/>
      <c r="BA842" s="76"/>
      <c r="BB842" s="76"/>
    </row>
    <row r="843" spans="5:54" x14ac:dyDescent="0.35">
      <c r="E843" s="83"/>
      <c r="F843" s="83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  <c r="Z843" s="76"/>
      <c r="AA843" s="76"/>
      <c r="AB843" s="76"/>
      <c r="AC843" s="76"/>
      <c r="AD843" s="76"/>
      <c r="AE843" s="76"/>
      <c r="AF843" s="76"/>
      <c r="AG843" s="76"/>
      <c r="AH843" s="76"/>
      <c r="AI843" s="76"/>
      <c r="AJ843" s="76"/>
      <c r="AK843" s="76"/>
      <c r="AL843" s="76"/>
      <c r="AM843" s="76"/>
      <c r="AN843" s="76"/>
      <c r="AO843" s="76"/>
      <c r="AP843" s="76"/>
      <c r="AQ843" s="76"/>
      <c r="AR843" s="76"/>
      <c r="AS843" s="76"/>
      <c r="AT843" s="76"/>
      <c r="AU843" s="76"/>
      <c r="AV843" s="76"/>
      <c r="AW843" s="76"/>
      <c r="AX843" s="76"/>
      <c r="AY843" s="76"/>
      <c r="AZ843" s="76"/>
      <c r="BA843" s="76"/>
      <c r="BB843" s="76"/>
    </row>
    <row r="844" spans="5:54" x14ac:dyDescent="0.35">
      <c r="E844" s="83"/>
      <c r="F844" s="83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  <c r="Z844" s="76"/>
      <c r="AA844" s="76"/>
      <c r="AB844" s="76"/>
      <c r="AC844" s="76"/>
      <c r="AD844" s="76"/>
      <c r="AE844" s="76"/>
      <c r="AF844" s="76"/>
      <c r="AG844" s="76"/>
      <c r="AH844" s="76"/>
      <c r="AI844" s="76"/>
      <c r="AJ844" s="76"/>
      <c r="AK844" s="76"/>
      <c r="AL844" s="76"/>
      <c r="AM844" s="76"/>
      <c r="AN844" s="76"/>
      <c r="AO844" s="76"/>
      <c r="AP844" s="76"/>
      <c r="AQ844" s="76"/>
      <c r="AR844" s="76"/>
      <c r="AS844" s="76"/>
      <c r="AT844" s="76"/>
      <c r="AU844" s="76"/>
      <c r="AV844" s="76"/>
      <c r="AW844" s="76"/>
      <c r="AX844" s="76"/>
      <c r="AY844" s="76"/>
      <c r="AZ844" s="76"/>
      <c r="BA844" s="76"/>
      <c r="BB844" s="76"/>
    </row>
    <row r="845" spans="5:54" x14ac:dyDescent="0.35">
      <c r="E845" s="83"/>
      <c r="F845" s="83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  <c r="Z845" s="76"/>
      <c r="AA845" s="76"/>
      <c r="AB845" s="76"/>
      <c r="AC845" s="76"/>
      <c r="AD845" s="76"/>
      <c r="AE845" s="76"/>
      <c r="AF845" s="76"/>
      <c r="AG845" s="76"/>
      <c r="AH845" s="76"/>
      <c r="AI845" s="76"/>
      <c r="AJ845" s="76"/>
      <c r="AK845" s="76"/>
      <c r="AL845" s="76"/>
      <c r="AM845" s="76"/>
      <c r="AN845" s="76"/>
      <c r="AO845" s="76"/>
      <c r="AP845" s="76"/>
      <c r="AQ845" s="76"/>
      <c r="AR845" s="76"/>
      <c r="AS845" s="76"/>
      <c r="AT845" s="76"/>
      <c r="AU845" s="76"/>
      <c r="AV845" s="76"/>
      <c r="AW845" s="76"/>
      <c r="AX845" s="76"/>
      <c r="AY845" s="76"/>
      <c r="AZ845" s="76"/>
      <c r="BA845" s="76"/>
      <c r="BB845" s="76"/>
    </row>
    <row r="846" spans="5:54" x14ac:dyDescent="0.35">
      <c r="E846" s="83"/>
      <c r="F846" s="83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  <c r="Z846" s="76"/>
      <c r="AA846" s="76"/>
      <c r="AB846" s="76"/>
      <c r="AC846" s="76"/>
      <c r="AD846" s="76"/>
      <c r="AE846" s="76"/>
      <c r="AF846" s="76"/>
      <c r="AG846" s="76"/>
      <c r="AH846" s="76"/>
      <c r="AI846" s="76"/>
      <c r="AJ846" s="76"/>
      <c r="AK846" s="76"/>
      <c r="AL846" s="76"/>
      <c r="AM846" s="76"/>
      <c r="AN846" s="76"/>
      <c r="AO846" s="76"/>
      <c r="AP846" s="76"/>
      <c r="AQ846" s="76"/>
      <c r="AR846" s="76"/>
      <c r="AS846" s="76"/>
      <c r="AT846" s="76"/>
      <c r="AU846" s="76"/>
      <c r="AV846" s="76"/>
      <c r="AW846" s="76"/>
      <c r="AX846" s="76"/>
      <c r="AY846" s="76"/>
      <c r="AZ846" s="76"/>
      <c r="BA846" s="76"/>
      <c r="BB846" s="76"/>
    </row>
    <row r="847" spans="5:54" x14ac:dyDescent="0.35">
      <c r="E847" s="83"/>
      <c r="F847" s="83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  <c r="Z847" s="76"/>
      <c r="AA847" s="76"/>
      <c r="AB847" s="76"/>
      <c r="AC847" s="76"/>
      <c r="AD847" s="76"/>
      <c r="AE847" s="76"/>
      <c r="AF847" s="76"/>
      <c r="AG847" s="76"/>
      <c r="AH847" s="76"/>
      <c r="AI847" s="76"/>
      <c r="AJ847" s="76"/>
      <c r="AK847" s="76"/>
      <c r="AL847" s="76"/>
      <c r="AM847" s="76"/>
      <c r="AN847" s="76"/>
      <c r="AO847" s="76"/>
      <c r="AP847" s="76"/>
      <c r="AQ847" s="76"/>
      <c r="AR847" s="76"/>
      <c r="AS847" s="76"/>
      <c r="AT847" s="76"/>
      <c r="AU847" s="76"/>
      <c r="AV847" s="76"/>
      <c r="AW847" s="76"/>
      <c r="AX847" s="76"/>
      <c r="AY847" s="76"/>
      <c r="AZ847" s="76"/>
      <c r="BA847" s="76"/>
      <c r="BB847" s="76"/>
    </row>
    <row r="848" spans="5:54" x14ac:dyDescent="0.35">
      <c r="E848" s="83"/>
      <c r="F848" s="83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  <c r="Z848" s="76"/>
      <c r="AA848" s="76"/>
      <c r="AB848" s="76"/>
      <c r="AC848" s="76"/>
      <c r="AD848" s="76"/>
      <c r="AE848" s="76"/>
      <c r="AF848" s="76"/>
      <c r="AG848" s="76"/>
      <c r="AH848" s="76"/>
      <c r="AI848" s="76"/>
      <c r="AJ848" s="76"/>
      <c r="AK848" s="76"/>
      <c r="AL848" s="76"/>
      <c r="AM848" s="76"/>
      <c r="AN848" s="76"/>
      <c r="AO848" s="76"/>
      <c r="AP848" s="76"/>
      <c r="AQ848" s="76"/>
      <c r="AR848" s="76"/>
      <c r="AS848" s="76"/>
      <c r="AT848" s="76"/>
      <c r="AU848" s="76"/>
      <c r="AV848" s="76"/>
      <c r="AW848" s="76"/>
      <c r="AX848" s="76"/>
      <c r="AY848" s="76"/>
      <c r="AZ848" s="76"/>
      <c r="BA848" s="76"/>
      <c r="BB848" s="76"/>
    </row>
    <row r="849" spans="5:54" x14ac:dyDescent="0.35">
      <c r="E849" s="83"/>
      <c r="F849" s="83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  <c r="Z849" s="76"/>
      <c r="AA849" s="76"/>
      <c r="AB849" s="76"/>
      <c r="AC849" s="76"/>
      <c r="AD849" s="76"/>
      <c r="AE849" s="76"/>
      <c r="AF849" s="76"/>
      <c r="AG849" s="76"/>
      <c r="AH849" s="76"/>
      <c r="AI849" s="76"/>
      <c r="AJ849" s="76"/>
      <c r="AK849" s="76"/>
      <c r="AL849" s="76"/>
      <c r="AM849" s="76"/>
      <c r="AN849" s="76"/>
      <c r="AO849" s="76"/>
      <c r="AP849" s="76"/>
      <c r="AQ849" s="76"/>
      <c r="AR849" s="76"/>
      <c r="AS849" s="76"/>
      <c r="AT849" s="76"/>
      <c r="AU849" s="76"/>
      <c r="AV849" s="76"/>
      <c r="AW849" s="76"/>
      <c r="AX849" s="76"/>
      <c r="AY849" s="76"/>
      <c r="AZ849" s="76"/>
      <c r="BA849" s="76"/>
      <c r="BB849" s="76"/>
    </row>
    <row r="850" spans="5:54" x14ac:dyDescent="0.35">
      <c r="E850" s="83"/>
      <c r="F850" s="83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  <c r="Z850" s="76"/>
      <c r="AA850" s="76"/>
      <c r="AB850" s="76"/>
      <c r="AC850" s="76"/>
      <c r="AD850" s="76"/>
      <c r="AE850" s="76"/>
      <c r="AF850" s="76"/>
      <c r="AG850" s="76"/>
      <c r="AH850" s="76"/>
      <c r="AI850" s="76"/>
      <c r="AJ850" s="76"/>
      <c r="AK850" s="76"/>
      <c r="AL850" s="76"/>
      <c r="AM850" s="76"/>
      <c r="AN850" s="76"/>
      <c r="AO850" s="76"/>
      <c r="AP850" s="76"/>
      <c r="AQ850" s="76"/>
      <c r="AR850" s="76"/>
      <c r="AS850" s="76"/>
      <c r="AT850" s="76"/>
      <c r="AU850" s="76"/>
      <c r="AV850" s="76"/>
      <c r="AW850" s="76"/>
      <c r="AX850" s="76"/>
      <c r="AY850" s="76"/>
      <c r="AZ850" s="76"/>
      <c r="BA850" s="76"/>
      <c r="BB850" s="76"/>
    </row>
    <row r="851" spans="5:54" x14ac:dyDescent="0.35">
      <c r="E851" s="83"/>
      <c r="F851" s="83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  <c r="Z851" s="76"/>
      <c r="AA851" s="76"/>
      <c r="AB851" s="76"/>
      <c r="AC851" s="76"/>
      <c r="AD851" s="76"/>
      <c r="AE851" s="76"/>
      <c r="AF851" s="76"/>
      <c r="AG851" s="76"/>
      <c r="AH851" s="76"/>
      <c r="AI851" s="76"/>
      <c r="AJ851" s="76"/>
      <c r="AK851" s="76"/>
      <c r="AL851" s="76"/>
      <c r="AM851" s="76"/>
      <c r="AN851" s="76"/>
      <c r="AO851" s="76"/>
      <c r="AP851" s="76"/>
      <c r="AQ851" s="76"/>
      <c r="AR851" s="76"/>
      <c r="AS851" s="76"/>
      <c r="AT851" s="76"/>
      <c r="AU851" s="76"/>
      <c r="AV851" s="76"/>
      <c r="AW851" s="76"/>
      <c r="AX851" s="76"/>
      <c r="AY851" s="76"/>
      <c r="AZ851" s="76"/>
      <c r="BA851" s="76"/>
      <c r="BB851" s="76"/>
    </row>
    <row r="852" spans="5:54" x14ac:dyDescent="0.35">
      <c r="E852" s="83"/>
      <c r="F852" s="83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  <c r="Z852" s="76"/>
      <c r="AA852" s="76"/>
      <c r="AB852" s="76"/>
      <c r="AC852" s="76"/>
      <c r="AD852" s="76"/>
      <c r="AE852" s="76"/>
      <c r="AF852" s="76"/>
      <c r="AG852" s="76"/>
      <c r="AH852" s="76"/>
      <c r="AI852" s="76"/>
      <c r="AJ852" s="76"/>
      <c r="AK852" s="76"/>
      <c r="AL852" s="76"/>
      <c r="AM852" s="76"/>
      <c r="AN852" s="76"/>
      <c r="AO852" s="76"/>
      <c r="AP852" s="76"/>
      <c r="AQ852" s="76"/>
      <c r="AR852" s="76"/>
      <c r="AS852" s="76"/>
      <c r="AT852" s="76"/>
      <c r="AU852" s="76"/>
      <c r="AV852" s="76"/>
      <c r="AW852" s="76"/>
      <c r="AX852" s="76"/>
      <c r="AY852" s="76"/>
      <c r="AZ852" s="76"/>
      <c r="BA852" s="76"/>
      <c r="BB852" s="76"/>
    </row>
    <row r="853" spans="5:54" x14ac:dyDescent="0.35">
      <c r="E853" s="83"/>
      <c r="F853" s="83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  <c r="Z853" s="76"/>
      <c r="AA853" s="76"/>
      <c r="AB853" s="76"/>
      <c r="AC853" s="76"/>
      <c r="AD853" s="76"/>
      <c r="AE853" s="76"/>
      <c r="AF853" s="76"/>
      <c r="AG853" s="76"/>
      <c r="AH853" s="76"/>
      <c r="AI853" s="76"/>
      <c r="AJ853" s="76"/>
      <c r="AK853" s="76"/>
      <c r="AL853" s="76"/>
      <c r="AM853" s="76"/>
      <c r="AN853" s="76"/>
      <c r="AO853" s="76"/>
      <c r="AP853" s="76"/>
      <c r="AQ853" s="76"/>
      <c r="AR853" s="76"/>
      <c r="AS853" s="76"/>
      <c r="AT853" s="76"/>
      <c r="AU853" s="76"/>
      <c r="AV853" s="76"/>
      <c r="AW853" s="76"/>
      <c r="AX853" s="76"/>
      <c r="AY853" s="76"/>
      <c r="AZ853" s="76"/>
      <c r="BA853" s="76"/>
      <c r="BB853" s="76"/>
    </row>
    <row r="854" spans="5:54" x14ac:dyDescent="0.35">
      <c r="E854" s="83"/>
      <c r="F854" s="83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  <c r="Z854" s="76"/>
      <c r="AA854" s="76"/>
      <c r="AB854" s="76"/>
      <c r="AC854" s="76"/>
      <c r="AD854" s="76"/>
      <c r="AE854" s="76"/>
      <c r="AF854" s="76"/>
      <c r="AG854" s="76"/>
      <c r="AH854" s="76"/>
      <c r="AI854" s="76"/>
      <c r="AJ854" s="76"/>
      <c r="AK854" s="76"/>
      <c r="AL854" s="76"/>
      <c r="AM854" s="76"/>
      <c r="AN854" s="76"/>
      <c r="AO854" s="76"/>
      <c r="AP854" s="76"/>
      <c r="AQ854" s="76"/>
      <c r="AR854" s="76"/>
      <c r="AS854" s="76"/>
      <c r="AT854" s="76"/>
      <c r="AU854" s="76"/>
      <c r="AV854" s="76"/>
      <c r="AW854" s="76"/>
      <c r="AX854" s="76"/>
      <c r="AY854" s="76"/>
      <c r="AZ854" s="76"/>
      <c r="BA854" s="76"/>
      <c r="BB854" s="76"/>
    </row>
    <row r="855" spans="5:54" x14ac:dyDescent="0.35">
      <c r="E855" s="83"/>
      <c r="F855" s="83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  <c r="Z855" s="76"/>
      <c r="AA855" s="76"/>
      <c r="AB855" s="76"/>
      <c r="AC855" s="76"/>
      <c r="AD855" s="76"/>
      <c r="AE855" s="76"/>
      <c r="AF855" s="76"/>
      <c r="AG855" s="76"/>
      <c r="AH855" s="76"/>
      <c r="AI855" s="76"/>
      <c r="AJ855" s="76"/>
      <c r="AK855" s="76"/>
      <c r="AL855" s="76"/>
      <c r="AM855" s="76"/>
      <c r="AN855" s="76"/>
      <c r="AO855" s="76"/>
      <c r="AP855" s="76"/>
      <c r="AQ855" s="76"/>
      <c r="AR855" s="76"/>
      <c r="AS855" s="76"/>
      <c r="AT855" s="76"/>
      <c r="AU855" s="76"/>
      <c r="AV855" s="76"/>
      <c r="AW855" s="76"/>
      <c r="AX855" s="76"/>
      <c r="AY855" s="76"/>
      <c r="AZ855" s="76"/>
      <c r="BA855" s="76"/>
      <c r="BB855" s="76"/>
    </row>
    <row r="856" spans="5:54" x14ac:dyDescent="0.35">
      <c r="E856" s="83"/>
      <c r="F856" s="83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  <c r="Z856" s="76"/>
      <c r="AA856" s="76"/>
      <c r="AB856" s="76"/>
      <c r="AC856" s="76"/>
      <c r="AD856" s="76"/>
      <c r="AE856" s="76"/>
      <c r="AF856" s="76"/>
      <c r="AG856" s="76"/>
      <c r="AH856" s="76"/>
      <c r="AI856" s="76"/>
      <c r="AJ856" s="76"/>
      <c r="AK856" s="76"/>
      <c r="AL856" s="76"/>
      <c r="AM856" s="76"/>
      <c r="AN856" s="76"/>
      <c r="AO856" s="76"/>
      <c r="AP856" s="76"/>
      <c r="AQ856" s="76"/>
      <c r="AR856" s="76"/>
      <c r="AS856" s="76"/>
      <c r="AT856" s="76"/>
      <c r="AU856" s="76"/>
      <c r="AV856" s="76"/>
      <c r="AW856" s="76"/>
      <c r="AX856" s="76"/>
      <c r="AY856" s="76"/>
      <c r="AZ856" s="76"/>
      <c r="BA856" s="76"/>
      <c r="BB856" s="76"/>
    </row>
    <row r="857" spans="5:54" x14ac:dyDescent="0.35">
      <c r="E857" s="83"/>
      <c r="F857" s="83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  <c r="Z857" s="76"/>
      <c r="AA857" s="76"/>
      <c r="AB857" s="76"/>
      <c r="AC857" s="76"/>
      <c r="AD857" s="76"/>
      <c r="AE857" s="76"/>
      <c r="AF857" s="76"/>
      <c r="AG857" s="76"/>
      <c r="AH857" s="76"/>
      <c r="AI857" s="76"/>
      <c r="AJ857" s="76"/>
      <c r="AK857" s="76"/>
      <c r="AL857" s="76"/>
      <c r="AM857" s="76"/>
      <c r="AN857" s="76"/>
      <c r="AO857" s="76"/>
      <c r="AP857" s="76"/>
      <c r="AQ857" s="76"/>
      <c r="AR857" s="76"/>
      <c r="AS857" s="76"/>
      <c r="AT857" s="76"/>
      <c r="AU857" s="76"/>
      <c r="AV857" s="76"/>
      <c r="AW857" s="76"/>
      <c r="AX857" s="76"/>
      <c r="AY857" s="76"/>
      <c r="AZ857" s="76"/>
      <c r="BA857" s="76"/>
      <c r="BB857" s="76"/>
    </row>
    <row r="858" spans="5:54" x14ac:dyDescent="0.35">
      <c r="E858" s="83"/>
      <c r="F858" s="83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  <c r="Z858" s="76"/>
      <c r="AA858" s="76"/>
      <c r="AB858" s="76"/>
      <c r="AC858" s="76"/>
      <c r="AD858" s="76"/>
      <c r="AE858" s="76"/>
      <c r="AF858" s="76"/>
      <c r="AG858" s="76"/>
      <c r="AH858" s="76"/>
      <c r="AI858" s="76"/>
      <c r="AJ858" s="76"/>
      <c r="AK858" s="76"/>
      <c r="AL858" s="76"/>
      <c r="AM858" s="76"/>
      <c r="AN858" s="76"/>
      <c r="AO858" s="76"/>
      <c r="AP858" s="76"/>
      <c r="AQ858" s="76"/>
      <c r="AR858" s="76"/>
      <c r="AS858" s="76"/>
      <c r="AT858" s="76"/>
      <c r="AU858" s="76"/>
      <c r="AV858" s="76"/>
      <c r="AW858" s="76"/>
      <c r="AX858" s="76"/>
      <c r="AY858" s="76"/>
      <c r="AZ858" s="76"/>
      <c r="BA858" s="76"/>
      <c r="BB858" s="76"/>
    </row>
    <row r="859" spans="5:54" x14ac:dyDescent="0.35">
      <c r="E859" s="83"/>
      <c r="F859" s="83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  <c r="Z859" s="76"/>
      <c r="AA859" s="76"/>
      <c r="AB859" s="76"/>
      <c r="AC859" s="76"/>
      <c r="AD859" s="76"/>
      <c r="AE859" s="76"/>
      <c r="AF859" s="76"/>
      <c r="AG859" s="76"/>
      <c r="AH859" s="76"/>
      <c r="AI859" s="76"/>
      <c r="AJ859" s="76"/>
      <c r="AK859" s="76"/>
      <c r="AL859" s="76"/>
      <c r="AM859" s="76"/>
      <c r="AN859" s="76"/>
      <c r="AO859" s="76"/>
      <c r="AP859" s="76"/>
      <c r="AQ859" s="76"/>
      <c r="AR859" s="76"/>
      <c r="AS859" s="76"/>
      <c r="AT859" s="76"/>
      <c r="AU859" s="76"/>
      <c r="AV859" s="76"/>
      <c r="AW859" s="76"/>
      <c r="AX859" s="76"/>
      <c r="AY859" s="76"/>
      <c r="AZ859" s="76"/>
      <c r="BA859" s="76"/>
      <c r="BB859" s="76"/>
    </row>
    <row r="860" spans="5:54" x14ac:dyDescent="0.35">
      <c r="E860" s="83"/>
      <c r="F860" s="83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  <c r="Z860" s="76"/>
      <c r="AA860" s="76"/>
      <c r="AB860" s="76"/>
      <c r="AC860" s="76"/>
      <c r="AD860" s="76"/>
      <c r="AE860" s="76"/>
      <c r="AF860" s="76"/>
      <c r="AG860" s="76"/>
      <c r="AH860" s="76"/>
      <c r="AI860" s="76"/>
      <c r="AJ860" s="76"/>
      <c r="AK860" s="76"/>
      <c r="AL860" s="76"/>
      <c r="AM860" s="76"/>
      <c r="AN860" s="76"/>
      <c r="AO860" s="76"/>
      <c r="AP860" s="76"/>
      <c r="AQ860" s="76"/>
      <c r="AR860" s="76"/>
      <c r="AS860" s="76"/>
      <c r="AT860" s="76"/>
      <c r="AU860" s="76"/>
      <c r="AV860" s="76"/>
      <c r="AW860" s="76"/>
      <c r="AX860" s="76"/>
      <c r="AY860" s="76"/>
      <c r="AZ860" s="76"/>
      <c r="BA860" s="76"/>
      <c r="BB860" s="76"/>
    </row>
    <row r="861" spans="5:54" x14ac:dyDescent="0.35">
      <c r="E861" s="83"/>
      <c r="F861" s="83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  <c r="Z861" s="76"/>
      <c r="AA861" s="76"/>
      <c r="AB861" s="76"/>
      <c r="AC861" s="76"/>
      <c r="AD861" s="76"/>
      <c r="AE861" s="76"/>
      <c r="AF861" s="76"/>
      <c r="AG861" s="76"/>
      <c r="AH861" s="76"/>
      <c r="AI861" s="76"/>
      <c r="AJ861" s="76"/>
      <c r="AK861" s="76"/>
      <c r="AL861" s="76"/>
      <c r="AM861" s="76"/>
      <c r="AN861" s="76"/>
      <c r="AO861" s="76"/>
      <c r="AP861" s="76"/>
      <c r="AQ861" s="76"/>
      <c r="AR861" s="76"/>
      <c r="AS861" s="76"/>
      <c r="AT861" s="76"/>
      <c r="AU861" s="76"/>
      <c r="AV861" s="76"/>
      <c r="AW861" s="76"/>
      <c r="AX861" s="76"/>
      <c r="AY861" s="76"/>
      <c r="AZ861" s="76"/>
      <c r="BA861" s="76"/>
      <c r="BB861" s="76"/>
    </row>
    <row r="862" spans="5:54" x14ac:dyDescent="0.35">
      <c r="E862" s="83"/>
      <c r="F862" s="83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  <c r="Z862" s="76"/>
      <c r="AA862" s="76"/>
      <c r="AB862" s="76"/>
      <c r="AC862" s="76"/>
      <c r="AD862" s="76"/>
      <c r="AE862" s="76"/>
      <c r="AF862" s="76"/>
      <c r="AG862" s="76"/>
      <c r="AH862" s="76"/>
      <c r="AI862" s="76"/>
      <c r="AJ862" s="76"/>
      <c r="AK862" s="76"/>
      <c r="AL862" s="76"/>
      <c r="AM862" s="76"/>
      <c r="AN862" s="76"/>
      <c r="AO862" s="76"/>
      <c r="AP862" s="76"/>
      <c r="AQ862" s="76"/>
      <c r="AR862" s="76"/>
      <c r="AS862" s="76"/>
      <c r="AT862" s="76"/>
      <c r="AU862" s="76"/>
      <c r="AV862" s="76"/>
      <c r="AW862" s="76"/>
      <c r="AX862" s="76"/>
      <c r="AY862" s="76"/>
      <c r="AZ862" s="76"/>
      <c r="BA862" s="76"/>
      <c r="BB862" s="76"/>
    </row>
    <row r="863" spans="5:54" x14ac:dyDescent="0.35">
      <c r="E863" s="83"/>
      <c r="F863" s="83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  <c r="Z863" s="76"/>
      <c r="AA863" s="76"/>
      <c r="AB863" s="76"/>
      <c r="AC863" s="76"/>
      <c r="AD863" s="76"/>
      <c r="AE863" s="76"/>
      <c r="AF863" s="76"/>
      <c r="AG863" s="76"/>
      <c r="AH863" s="76"/>
      <c r="AI863" s="76"/>
      <c r="AJ863" s="76"/>
      <c r="AK863" s="76"/>
      <c r="AL863" s="76"/>
      <c r="AM863" s="76"/>
      <c r="AN863" s="76"/>
      <c r="AO863" s="76"/>
      <c r="AP863" s="76"/>
      <c r="AQ863" s="76"/>
      <c r="AR863" s="76"/>
      <c r="AS863" s="76"/>
      <c r="AT863" s="76"/>
      <c r="AU863" s="76"/>
      <c r="AV863" s="76"/>
      <c r="AW863" s="76"/>
      <c r="AX863" s="76"/>
      <c r="AY863" s="76"/>
      <c r="AZ863" s="76"/>
      <c r="BA863" s="76"/>
      <c r="BB863" s="76"/>
    </row>
    <row r="864" spans="5:54" x14ac:dyDescent="0.35">
      <c r="E864" s="83"/>
      <c r="F864" s="83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  <c r="Z864" s="76"/>
      <c r="AA864" s="76"/>
      <c r="AB864" s="76"/>
      <c r="AC864" s="76"/>
      <c r="AD864" s="76"/>
      <c r="AE864" s="76"/>
      <c r="AF864" s="76"/>
      <c r="AG864" s="76"/>
      <c r="AH864" s="76"/>
      <c r="AI864" s="76"/>
      <c r="AJ864" s="76"/>
      <c r="AK864" s="76"/>
      <c r="AL864" s="76"/>
      <c r="AM864" s="76"/>
      <c r="AN864" s="76"/>
      <c r="AO864" s="76"/>
      <c r="AP864" s="76"/>
      <c r="AQ864" s="76"/>
      <c r="AR864" s="76"/>
      <c r="AS864" s="76"/>
      <c r="AT864" s="76"/>
      <c r="AU864" s="76"/>
      <c r="AV864" s="76"/>
      <c r="AW864" s="76"/>
      <c r="AX864" s="76"/>
      <c r="AY864" s="76"/>
      <c r="AZ864" s="76"/>
      <c r="BA864" s="76"/>
      <c r="BB864" s="76"/>
    </row>
    <row r="865" spans="5:54" x14ac:dyDescent="0.35">
      <c r="E865" s="83"/>
      <c r="F865" s="83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  <c r="Z865" s="76"/>
      <c r="AA865" s="76"/>
      <c r="AB865" s="76"/>
      <c r="AC865" s="76"/>
      <c r="AD865" s="76"/>
      <c r="AE865" s="76"/>
      <c r="AF865" s="76"/>
      <c r="AG865" s="76"/>
      <c r="AH865" s="76"/>
      <c r="AI865" s="76"/>
      <c r="AJ865" s="76"/>
      <c r="AK865" s="76"/>
      <c r="AL865" s="76"/>
      <c r="AM865" s="76"/>
      <c r="AN865" s="76"/>
      <c r="AO865" s="76"/>
      <c r="AP865" s="76"/>
      <c r="AQ865" s="76"/>
      <c r="AR865" s="76"/>
      <c r="AS865" s="76"/>
      <c r="AT865" s="76"/>
      <c r="AU865" s="76"/>
      <c r="AV865" s="76"/>
      <c r="AW865" s="76"/>
      <c r="AX865" s="76"/>
      <c r="AY865" s="76"/>
      <c r="AZ865" s="76"/>
      <c r="BA865" s="76"/>
      <c r="BB865" s="76"/>
    </row>
    <row r="866" spans="5:54" x14ac:dyDescent="0.35">
      <c r="E866" s="83"/>
      <c r="F866" s="83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  <c r="Z866" s="76"/>
      <c r="AA866" s="76"/>
      <c r="AB866" s="76"/>
      <c r="AC866" s="76"/>
      <c r="AD866" s="76"/>
      <c r="AE866" s="76"/>
      <c r="AF866" s="76"/>
      <c r="AG866" s="76"/>
      <c r="AH866" s="76"/>
      <c r="AI866" s="76"/>
      <c r="AJ866" s="76"/>
      <c r="AK866" s="76"/>
      <c r="AL866" s="76"/>
      <c r="AM866" s="76"/>
      <c r="AN866" s="76"/>
      <c r="AO866" s="76"/>
      <c r="AP866" s="76"/>
      <c r="AQ866" s="76"/>
      <c r="AR866" s="76"/>
      <c r="AS866" s="76"/>
      <c r="AT866" s="76"/>
      <c r="AU866" s="76"/>
      <c r="AV866" s="76"/>
      <c r="AW866" s="76"/>
      <c r="AX866" s="76"/>
      <c r="AY866" s="76"/>
      <c r="AZ866" s="76"/>
      <c r="BA866" s="76"/>
      <c r="BB866" s="76"/>
    </row>
    <row r="867" spans="5:54" x14ac:dyDescent="0.35">
      <c r="E867" s="83"/>
      <c r="F867" s="83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  <c r="Z867" s="76"/>
      <c r="AA867" s="76"/>
      <c r="AB867" s="76"/>
      <c r="AC867" s="76"/>
      <c r="AD867" s="76"/>
      <c r="AE867" s="76"/>
      <c r="AF867" s="76"/>
      <c r="AG867" s="76"/>
      <c r="AH867" s="76"/>
      <c r="AI867" s="76"/>
      <c r="AJ867" s="76"/>
      <c r="AK867" s="76"/>
      <c r="AL867" s="76"/>
      <c r="AM867" s="76"/>
      <c r="AN867" s="76"/>
      <c r="AO867" s="76"/>
      <c r="AP867" s="76"/>
      <c r="AQ867" s="76"/>
      <c r="AR867" s="76"/>
      <c r="AS867" s="76"/>
      <c r="AT867" s="76"/>
      <c r="AU867" s="76"/>
      <c r="AV867" s="76"/>
      <c r="AW867" s="76"/>
      <c r="AX867" s="76"/>
      <c r="AY867" s="76"/>
      <c r="AZ867" s="76"/>
      <c r="BA867" s="76"/>
      <c r="BB867" s="76"/>
    </row>
    <row r="868" spans="5:54" x14ac:dyDescent="0.35">
      <c r="E868" s="83"/>
      <c r="F868" s="83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  <c r="Z868" s="76"/>
      <c r="AA868" s="76"/>
      <c r="AB868" s="76"/>
      <c r="AC868" s="76"/>
      <c r="AD868" s="76"/>
      <c r="AE868" s="76"/>
      <c r="AF868" s="76"/>
      <c r="AG868" s="76"/>
      <c r="AH868" s="76"/>
      <c r="AI868" s="76"/>
      <c r="AJ868" s="76"/>
      <c r="AK868" s="76"/>
      <c r="AL868" s="76"/>
      <c r="AM868" s="76"/>
      <c r="AN868" s="76"/>
      <c r="AO868" s="76"/>
      <c r="AP868" s="76"/>
      <c r="AQ868" s="76"/>
      <c r="AR868" s="76"/>
      <c r="AS868" s="76"/>
      <c r="AT868" s="76"/>
      <c r="AU868" s="76"/>
      <c r="AV868" s="76"/>
      <c r="AW868" s="76"/>
      <c r="AX868" s="76"/>
      <c r="AY868" s="76"/>
      <c r="AZ868" s="76"/>
      <c r="BA868" s="76"/>
      <c r="BB868" s="76"/>
    </row>
    <row r="869" spans="5:54" x14ac:dyDescent="0.35">
      <c r="E869" s="83"/>
      <c r="F869" s="83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  <c r="Z869" s="76"/>
      <c r="AA869" s="76"/>
      <c r="AB869" s="76"/>
      <c r="AC869" s="76"/>
      <c r="AD869" s="76"/>
      <c r="AE869" s="76"/>
      <c r="AF869" s="76"/>
      <c r="AG869" s="76"/>
      <c r="AH869" s="76"/>
      <c r="AI869" s="76"/>
      <c r="AJ869" s="76"/>
      <c r="AK869" s="76"/>
      <c r="AL869" s="76"/>
      <c r="AM869" s="76"/>
      <c r="AN869" s="76"/>
      <c r="AO869" s="76"/>
      <c r="AP869" s="76"/>
      <c r="AQ869" s="76"/>
      <c r="AR869" s="76"/>
      <c r="AS869" s="76"/>
      <c r="AT869" s="76"/>
      <c r="AU869" s="76"/>
      <c r="AV869" s="76"/>
      <c r="AW869" s="76"/>
      <c r="AX869" s="76"/>
      <c r="AY869" s="76"/>
      <c r="AZ869" s="76"/>
      <c r="BA869" s="76"/>
      <c r="BB869" s="76"/>
    </row>
    <row r="870" spans="5:54" x14ac:dyDescent="0.35">
      <c r="E870" s="83"/>
      <c r="F870" s="83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  <c r="Z870" s="76"/>
      <c r="AA870" s="76"/>
      <c r="AB870" s="76"/>
      <c r="AC870" s="76"/>
      <c r="AD870" s="76"/>
      <c r="AE870" s="76"/>
      <c r="AF870" s="76"/>
      <c r="AG870" s="76"/>
      <c r="AH870" s="76"/>
      <c r="AI870" s="76"/>
      <c r="AJ870" s="76"/>
      <c r="AK870" s="76"/>
      <c r="AL870" s="76"/>
      <c r="AM870" s="76"/>
      <c r="AN870" s="76"/>
      <c r="AO870" s="76"/>
      <c r="AP870" s="76"/>
      <c r="AQ870" s="76"/>
      <c r="AR870" s="76"/>
      <c r="AS870" s="76"/>
      <c r="AT870" s="76"/>
      <c r="AU870" s="76"/>
      <c r="AV870" s="76"/>
      <c r="AW870" s="76"/>
      <c r="AX870" s="76"/>
      <c r="AY870" s="76"/>
      <c r="AZ870" s="76"/>
      <c r="BA870" s="76"/>
      <c r="BB870" s="76"/>
    </row>
    <row r="871" spans="5:54" x14ac:dyDescent="0.35">
      <c r="E871" s="83"/>
      <c r="F871" s="83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  <c r="Z871" s="76"/>
      <c r="AA871" s="76"/>
      <c r="AB871" s="76"/>
      <c r="AC871" s="76"/>
      <c r="AD871" s="76"/>
      <c r="AE871" s="76"/>
      <c r="AF871" s="76"/>
      <c r="AG871" s="76"/>
      <c r="AH871" s="76"/>
      <c r="AI871" s="76"/>
      <c r="AJ871" s="76"/>
      <c r="AK871" s="76"/>
      <c r="AL871" s="76"/>
      <c r="AM871" s="76"/>
      <c r="AN871" s="76"/>
      <c r="AO871" s="76"/>
      <c r="AP871" s="76"/>
      <c r="AQ871" s="76"/>
      <c r="AR871" s="76"/>
      <c r="AS871" s="76"/>
      <c r="AT871" s="76"/>
      <c r="AU871" s="76"/>
      <c r="AV871" s="76"/>
      <c r="AW871" s="76"/>
      <c r="AX871" s="76"/>
      <c r="AY871" s="76"/>
      <c r="AZ871" s="76"/>
      <c r="BA871" s="76"/>
      <c r="BB871" s="76"/>
    </row>
    <row r="872" spans="5:54" x14ac:dyDescent="0.35">
      <c r="E872" s="83"/>
      <c r="F872" s="83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  <c r="Z872" s="76"/>
      <c r="AA872" s="76"/>
      <c r="AB872" s="76"/>
      <c r="AC872" s="76"/>
      <c r="AD872" s="76"/>
      <c r="AE872" s="76"/>
      <c r="AF872" s="76"/>
      <c r="AG872" s="76"/>
      <c r="AH872" s="76"/>
      <c r="AI872" s="76"/>
      <c r="AJ872" s="76"/>
      <c r="AK872" s="76"/>
      <c r="AL872" s="76"/>
      <c r="AM872" s="76"/>
      <c r="AN872" s="76"/>
      <c r="AO872" s="76"/>
      <c r="AP872" s="76"/>
      <c r="AQ872" s="76"/>
      <c r="AR872" s="76"/>
      <c r="AS872" s="76"/>
      <c r="AT872" s="76"/>
      <c r="AU872" s="76"/>
      <c r="AV872" s="76"/>
      <c r="AW872" s="76"/>
      <c r="AX872" s="76"/>
      <c r="AY872" s="76"/>
      <c r="AZ872" s="76"/>
      <c r="BA872" s="76"/>
      <c r="BB872" s="76"/>
    </row>
    <row r="873" spans="5:54" x14ac:dyDescent="0.35">
      <c r="E873" s="83"/>
      <c r="F873" s="83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  <c r="Z873" s="76"/>
      <c r="AA873" s="76"/>
      <c r="AB873" s="76"/>
      <c r="AC873" s="76"/>
      <c r="AD873" s="76"/>
      <c r="AE873" s="76"/>
      <c r="AF873" s="76"/>
      <c r="AG873" s="76"/>
      <c r="AH873" s="76"/>
      <c r="AI873" s="76"/>
      <c r="AJ873" s="76"/>
      <c r="AK873" s="76"/>
      <c r="AL873" s="76"/>
      <c r="AM873" s="76"/>
      <c r="AN873" s="76"/>
      <c r="AO873" s="76"/>
      <c r="AP873" s="76"/>
      <c r="AQ873" s="76"/>
      <c r="AR873" s="76"/>
      <c r="AS873" s="76"/>
      <c r="AT873" s="76"/>
      <c r="AU873" s="76"/>
      <c r="AV873" s="76"/>
      <c r="AW873" s="76"/>
      <c r="AX873" s="76"/>
      <c r="AY873" s="76"/>
      <c r="AZ873" s="76"/>
      <c r="BA873" s="76"/>
      <c r="BB873" s="76"/>
    </row>
    <row r="874" spans="5:54" x14ac:dyDescent="0.35">
      <c r="E874" s="83"/>
      <c r="F874" s="83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  <c r="Z874" s="76"/>
      <c r="AA874" s="76"/>
      <c r="AB874" s="76"/>
      <c r="AC874" s="76"/>
      <c r="AD874" s="76"/>
      <c r="AE874" s="76"/>
      <c r="AF874" s="76"/>
      <c r="AG874" s="76"/>
      <c r="AH874" s="76"/>
      <c r="AI874" s="76"/>
      <c r="AJ874" s="76"/>
      <c r="AK874" s="76"/>
      <c r="AL874" s="76"/>
      <c r="AM874" s="76"/>
      <c r="AN874" s="76"/>
      <c r="AO874" s="76"/>
      <c r="AP874" s="76"/>
      <c r="AQ874" s="76"/>
      <c r="AR874" s="76"/>
      <c r="AS874" s="76"/>
      <c r="AT874" s="76"/>
      <c r="AU874" s="76"/>
      <c r="AV874" s="76"/>
      <c r="AW874" s="76"/>
      <c r="AX874" s="76"/>
      <c r="AY874" s="76"/>
      <c r="AZ874" s="76"/>
      <c r="BA874" s="76"/>
      <c r="BB874" s="76"/>
    </row>
    <row r="875" spans="5:54" x14ac:dyDescent="0.35">
      <c r="E875" s="83"/>
      <c r="F875" s="83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  <c r="Z875" s="76"/>
      <c r="AA875" s="76"/>
      <c r="AB875" s="76"/>
      <c r="AC875" s="76"/>
      <c r="AD875" s="76"/>
      <c r="AE875" s="76"/>
      <c r="AF875" s="76"/>
      <c r="AG875" s="76"/>
      <c r="AH875" s="76"/>
      <c r="AI875" s="76"/>
      <c r="AJ875" s="76"/>
      <c r="AK875" s="76"/>
      <c r="AL875" s="76"/>
      <c r="AM875" s="76"/>
      <c r="AN875" s="76"/>
      <c r="AO875" s="76"/>
      <c r="AP875" s="76"/>
      <c r="AQ875" s="76"/>
      <c r="AR875" s="76"/>
      <c r="AS875" s="76"/>
      <c r="AT875" s="76"/>
      <c r="AU875" s="76"/>
      <c r="AV875" s="76"/>
      <c r="AW875" s="76"/>
      <c r="AX875" s="76"/>
      <c r="AY875" s="76"/>
      <c r="AZ875" s="76"/>
      <c r="BA875" s="76"/>
      <c r="BB875" s="76"/>
    </row>
    <row r="876" spans="5:54" x14ac:dyDescent="0.35">
      <c r="E876" s="83"/>
      <c r="F876" s="83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  <c r="Z876" s="76"/>
      <c r="AA876" s="76"/>
      <c r="AB876" s="76"/>
      <c r="AC876" s="76"/>
      <c r="AD876" s="76"/>
      <c r="AE876" s="76"/>
      <c r="AF876" s="76"/>
      <c r="AG876" s="76"/>
      <c r="AH876" s="76"/>
      <c r="AI876" s="76"/>
      <c r="AJ876" s="76"/>
      <c r="AK876" s="76"/>
      <c r="AL876" s="76"/>
      <c r="AM876" s="76"/>
      <c r="AN876" s="76"/>
      <c r="AO876" s="76"/>
      <c r="AP876" s="76"/>
      <c r="AQ876" s="76"/>
      <c r="AR876" s="76"/>
      <c r="AS876" s="76"/>
      <c r="AT876" s="76"/>
      <c r="AU876" s="76"/>
      <c r="AV876" s="76"/>
      <c r="AW876" s="76"/>
      <c r="AX876" s="76"/>
      <c r="AY876" s="76"/>
      <c r="AZ876" s="76"/>
      <c r="BA876" s="76"/>
      <c r="BB876" s="76"/>
    </row>
    <row r="877" spans="5:54" x14ac:dyDescent="0.35">
      <c r="E877" s="83"/>
      <c r="F877" s="83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  <c r="Z877" s="76"/>
      <c r="AA877" s="76"/>
      <c r="AB877" s="76"/>
      <c r="AC877" s="76"/>
      <c r="AD877" s="76"/>
      <c r="AE877" s="76"/>
      <c r="AF877" s="76"/>
      <c r="AG877" s="76"/>
      <c r="AH877" s="76"/>
      <c r="AI877" s="76"/>
      <c r="AJ877" s="76"/>
      <c r="AK877" s="76"/>
      <c r="AL877" s="76"/>
      <c r="AM877" s="76"/>
      <c r="AN877" s="76"/>
      <c r="AO877" s="76"/>
      <c r="AP877" s="76"/>
      <c r="AQ877" s="76"/>
      <c r="AR877" s="76"/>
      <c r="AS877" s="76"/>
      <c r="AT877" s="76"/>
      <c r="AU877" s="76"/>
      <c r="AV877" s="76"/>
      <c r="AW877" s="76"/>
      <c r="AX877" s="76"/>
      <c r="AY877" s="76"/>
      <c r="AZ877" s="76"/>
      <c r="BA877" s="76"/>
      <c r="BB877" s="76"/>
    </row>
    <row r="878" spans="5:54" x14ac:dyDescent="0.35">
      <c r="E878" s="83"/>
      <c r="F878" s="83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  <c r="Z878" s="76"/>
      <c r="AA878" s="76"/>
      <c r="AB878" s="76"/>
      <c r="AC878" s="76"/>
      <c r="AD878" s="76"/>
      <c r="AE878" s="76"/>
      <c r="AF878" s="76"/>
      <c r="AG878" s="76"/>
      <c r="AH878" s="76"/>
      <c r="AI878" s="76"/>
      <c r="AJ878" s="76"/>
      <c r="AK878" s="76"/>
      <c r="AL878" s="76"/>
      <c r="AM878" s="76"/>
      <c r="AN878" s="76"/>
      <c r="AO878" s="76"/>
      <c r="AP878" s="76"/>
      <c r="AQ878" s="76"/>
      <c r="AR878" s="76"/>
      <c r="AS878" s="76"/>
      <c r="AT878" s="76"/>
      <c r="AU878" s="76"/>
      <c r="AV878" s="76"/>
      <c r="AW878" s="76"/>
      <c r="AX878" s="76"/>
      <c r="AY878" s="76"/>
      <c r="AZ878" s="76"/>
      <c r="BA878" s="76"/>
      <c r="BB878" s="76"/>
    </row>
    <row r="879" spans="5:54" x14ac:dyDescent="0.35">
      <c r="E879" s="83"/>
      <c r="F879" s="83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  <c r="Z879" s="76"/>
      <c r="AA879" s="76"/>
      <c r="AB879" s="76"/>
      <c r="AC879" s="76"/>
      <c r="AD879" s="76"/>
      <c r="AE879" s="76"/>
      <c r="AF879" s="76"/>
      <c r="AG879" s="76"/>
      <c r="AH879" s="76"/>
      <c r="AI879" s="76"/>
      <c r="AJ879" s="76"/>
      <c r="AK879" s="76"/>
      <c r="AL879" s="76"/>
      <c r="AM879" s="76"/>
      <c r="AN879" s="76"/>
      <c r="AO879" s="76"/>
      <c r="AP879" s="76"/>
      <c r="AQ879" s="76"/>
      <c r="AR879" s="76"/>
      <c r="AS879" s="76"/>
      <c r="AT879" s="76"/>
      <c r="AU879" s="76"/>
      <c r="AV879" s="76"/>
      <c r="AW879" s="76"/>
      <c r="AX879" s="76"/>
      <c r="AY879" s="76"/>
      <c r="AZ879" s="76"/>
      <c r="BA879" s="76"/>
      <c r="BB879" s="76"/>
    </row>
    <row r="880" spans="5:54" x14ac:dyDescent="0.35">
      <c r="E880" s="83"/>
      <c r="F880" s="83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  <c r="Z880" s="76"/>
      <c r="AA880" s="76"/>
      <c r="AB880" s="76"/>
      <c r="AC880" s="76"/>
      <c r="AD880" s="76"/>
      <c r="AE880" s="76"/>
      <c r="AF880" s="76"/>
      <c r="AG880" s="76"/>
      <c r="AH880" s="76"/>
      <c r="AI880" s="76"/>
      <c r="AJ880" s="76"/>
      <c r="AK880" s="76"/>
      <c r="AL880" s="76"/>
      <c r="AM880" s="76"/>
      <c r="AN880" s="76"/>
      <c r="AO880" s="76"/>
      <c r="AP880" s="76"/>
      <c r="AQ880" s="76"/>
      <c r="AR880" s="76"/>
      <c r="AS880" s="76"/>
      <c r="AT880" s="76"/>
      <c r="AU880" s="76"/>
      <c r="AV880" s="76"/>
      <c r="AW880" s="76"/>
      <c r="AX880" s="76"/>
      <c r="AY880" s="76"/>
      <c r="AZ880" s="76"/>
      <c r="BA880" s="76"/>
      <c r="BB880" s="76"/>
    </row>
    <row r="881" spans="5:54" x14ac:dyDescent="0.35">
      <c r="E881" s="83"/>
      <c r="F881" s="83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  <c r="Z881" s="76"/>
      <c r="AA881" s="76"/>
      <c r="AB881" s="76"/>
      <c r="AC881" s="76"/>
      <c r="AD881" s="76"/>
      <c r="AE881" s="76"/>
      <c r="AF881" s="76"/>
      <c r="AG881" s="76"/>
      <c r="AH881" s="76"/>
      <c r="AI881" s="76"/>
      <c r="AJ881" s="76"/>
      <c r="AK881" s="76"/>
      <c r="AL881" s="76"/>
      <c r="AM881" s="76"/>
      <c r="AN881" s="76"/>
      <c r="AO881" s="76"/>
      <c r="AP881" s="76"/>
      <c r="AQ881" s="76"/>
      <c r="AR881" s="76"/>
      <c r="AS881" s="76"/>
      <c r="AT881" s="76"/>
      <c r="AU881" s="76"/>
      <c r="AV881" s="76"/>
      <c r="AW881" s="76"/>
      <c r="AX881" s="76"/>
      <c r="AY881" s="76"/>
      <c r="AZ881" s="76"/>
      <c r="BA881" s="76"/>
      <c r="BB881" s="76"/>
    </row>
    <row r="882" spans="5:54" x14ac:dyDescent="0.35">
      <c r="E882" s="83"/>
      <c r="F882" s="83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  <c r="Z882" s="76"/>
      <c r="AA882" s="76"/>
      <c r="AB882" s="76"/>
      <c r="AC882" s="76"/>
      <c r="AD882" s="76"/>
      <c r="AE882" s="76"/>
      <c r="AF882" s="76"/>
      <c r="AG882" s="76"/>
      <c r="AH882" s="76"/>
      <c r="AI882" s="76"/>
      <c r="AJ882" s="76"/>
      <c r="AK882" s="76"/>
      <c r="AL882" s="76"/>
      <c r="AM882" s="76"/>
      <c r="AN882" s="76"/>
      <c r="AO882" s="76"/>
      <c r="AP882" s="76"/>
      <c r="AQ882" s="76"/>
      <c r="AR882" s="76"/>
      <c r="AS882" s="76"/>
      <c r="AT882" s="76"/>
      <c r="AU882" s="76"/>
      <c r="AV882" s="76"/>
      <c r="AW882" s="76"/>
      <c r="AX882" s="76"/>
      <c r="AY882" s="76"/>
      <c r="AZ882" s="76"/>
      <c r="BA882" s="76"/>
      <c r="BB882" s="76"/>
    </row>
    <row r="883" spans="5:54" x14ac:dyDescent="0.35">
      <c r="E883" s="83"/>
      <c r="F883" s="83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  <c r="Z883" s="76"/>
      <c r="AA883" s="76"/>
      <c r="AB883" s="76"/>
      <c r="AC883" s="76"/>
      <c r="AD883" s="76"/>
      <c r="AE883" s="76"/>
      <c r="AF883" s="76"/>
      <c r="AG883" s="76"/>
      <c r="AH883" s="76"/>
      <c r="AI883" s="76"/>
      <c r="AJ883" s="76"/>
      <c r="AK883" s="76"/>
      <c r="AL883" s="76"/>
      <c r="AM883" s="76"/>
      <c r="AN883" s="76"/>
      <c r="AO883" s="76"/>
      <c r="AP883" s="76"/>
      <c r="AQ883" s="76"/>
      <c r="AR883" s="76"/>
      <c r="AS883" s="76"/>
      <c r="AT883" s="76"/>
      <c r="AU883" s="76"/>
      <c r="AV883" s="76"/>
      <c r="AW883" s="76"/>
      <c r="AX883" s="76"/>
      <c r="AY883" s="76"/>
      <c r="AZ883" s="76"/>
      <c r="BA883" s="76"/>
      <c r="BB883" s="76"/>
    </row>
    <row r="884" spans="5:54" x14ac:dyDescent="0.35">
      <c r="E884" s="83"/>
      <c r="F884" s="83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  <c r="Z884" s="76"/>
      <c r="AA884" s="76"/>
      <c r="AB884" s="76"/>
      <c r="AC884" s="76"/>
      <c r="AD884" s="76"/>
      <c r="AE884" s="76"/>
      <c r="AF884" s="76"/>
      <c r="AG884" s="76"/>
      <c r="AH884" s="76"/>
      <c r="AI884" s="76"/>
      <c r="AJ884" s="76"/>
      <c r="AK884" s="76"/>
      <c r="AL884" s="76"/>
      <c r="AM884" s="76"/>
      <c r="AN884" s="76"/>
      <c r="AO884" s="76"/>
      <c r="AP884" s="76"/>
      <c r="AQ884" s="76"/>
      <c r="AR884" s="76"/>
      <c r="AS884" s="76"/>
      <c r="AT884" s="76"/>
      <c r="AU884" s="76"/>
      <c r="AV884" s="76"/>
      <c r="AW884" s="76"/>
      <c r="AX884" s="76"/>
      <c r="AY884" s="76"/>
      <c r="AZ884" s="76"/>
      <c r="BA884" s="76"/>
      <c r="BB884" s="76"/>
    </row>
    <row r="885" spans="5:54" x14ac:dyDescent="0.35">
      <c r="E885" s="83"/>
      <c r="F885" s="83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  <c r="Z885" s="76"/>
      <c r="AA885" s="76"/>
      <c r="AB885" s="76"/>
      <c r="AC885" s="76"/>
      <c r="AD885" s="76"/>
      <c r="AE885" s="76"/>
      <c r="AF885" s="76"/>
      <c r="AG885" s="76"/>
      <c r="AH885" s="76"/>
      <c r="AI885" s="76"/>
      <c r="AJ885" s="76"/>
      <c r="AK885" s="76"/>
      <c r="AL885" s="76"/>
      <c r="AM885" s="76"/>
      <c r="AN885" s="76"/>
      <c r="AO885" s="76"/>
      <c r="AP885" s="76"/>
      <c r="AQ885" s="76"/>
      <c r="AR885" s="76"/>
      <c r="AS885" s="76"/>
      <c r="AT885" s="76"/>
      <c r="AU885" s="76"/>
      <c r="AV885" s="76"/>
      <c r="AW885" s="76"/>
      <c r="AX885" s="76"/>
      <c r="AY885" s="76"/>
      <c r="AZ885" s="76"/>
      <c r="BA885" s="76"/>
      <c r="BB885" s="76"/>
    </row>
    <row r="886" spans="5:54" x14ac:dyDescent="0.35">
      <c r="E886" s="83"/>
      <c r="F886" s="83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  <c r="Z886" s="76"/>
      <c r="AA886" s="76"/>
      <c r="AB886" s="76"/>
      <c r="AC886" s="76"/>
      <c r="AD886" s="76"/>
      <c r="AE886" s="76"/>
      <c r="AF886" s="76"/>
      <c r="AG886" s="76"/>
      <c r="AH886" s="76"/>
      <c r="AI886" s="76"/>
      <c r="AJ886" s="76"/>
      <c r="AK886" s="76"/>
      <c r="AL886" s="76"/>
      <c r="AM886" s="76"/>
      <c r="AN886" s="76"/>
      <c r="AO886" s="76"/>
      <c r="AP886" s="76"/>
      <c r="AQ886" s="76"/>
      <c r="AR886" s="76"/>
      <c r="AS886" s="76"/>
      <c r="AT886" s="76"/>
      <c r="AU886" s="76"/>
      <c r="AV886" s="76"/>
      <c r="AW886" s="76"/>
      <c r="AX886" s="76"/>
      <c r="AY886" s="76"/>
      <c r="AZ886" s="76"/>
      <c r="BA886" s="76"/>
      <c r="BB886" s="76"/>
    </row>
    <row r="887" spans="5:54" x14ac:dyDescent="0.35">
      <c r="E887" s="83"/>
      <c r="F887" s="83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  <c r="Z887" s="76"/>
      <c r="AA887" s="76"/>
      <c r="AB887" s="76"/>
      <c r="AC887" s="76"/>
      <c r="AD887" s="76"/>
      <c r="AE887" s="76"/>
      <c r="AF887" s="76"/>
      <c r="AG887" s="76"/>
      <c r="AH887" s="76"/>
      <c r="AI887" s="76"/>
      <c r="AJ887" s="76"/>
      <c r="AK887" s="76"/>
      <c r="AL887" s="76"/>
      <c r="AM887" s="76"/>
      <c r="AN887" s="76"/>
      <c r="AO887" s="76"/>
      <c r="AP887" s="76"/>
      <c r="AQ887" s="76"/>
      <c r="AR887" s="76"/>
      <c r="AS887" s="76"/>
      <c r="AT887" s="76"/>
      <c r="AU887" s="76"/>
      <c r="AV887" s="76"/>
      <c r="AW887" s="76"/>
      <c r="AX887" s="76"/>
      <c r="AY887" s="76"/>
      <c r="AZ887" s="76"/>
      <c r="BA887" s="76"/>
      <c r="BB887" s="76"/>
    </row>
    <row r="888" spans="5:54" x14ac:dyDescent="0.35">
      <c r="E888" s="83"/>
      <c r="F888" s="83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  <c r="Z888" s="76"/>
      <c r="AA888" s="76"/>
      <c r="AB888" s="76"/>
      <c r="AC888" s="76"/>
      <c r="AD888" s="76"/>
      <c r="AE888" s="76"/>
      <c r="AF888" s="76"/>
      <c r="AG888" s="76"/>
      <c r="AH888" s="76"/>
      <c r="AI888" s="76"/>
      <c r="AJ888" s="76"/>
      <c r="AK888" s="76"/>
      <c r="AL888" s="76"/>
      <c r="AM888" s="76"/>
      <c r="AN888" s="76"/>
      <c r="AO888" s="76"/>
      <c r="AP888" s="76"/>
      <c r="AQ888" s="76"/>
      <c r="AR888" s="76"/>
      <c r="AS888" s="76"/>
      <c r="AT888" s="76"/>
      <c r="AU888" s="76"/>
      <c r="AV888" s="76"/>
      <c r="AW888" s="76"/>
      <c r="AX888" s="76"/>
      <c r="AY888" s="76"/>
      <c r="AZ888" s="76"/>
      <c r="BA888" s="76"/>
      <c r="BB888" s="76"/>
    </row>
    <row r="889" spans="5:54" x14ac:dyDescent="0.35">
      <c r="E889" s="83"/>
      <c r="F889" s="83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  <c r="Z889" s="76"/>
      <c r="AA889" s="76"/>
      <c r="AB889" s="76"/>
      <c r="AC889" s="76"/>
      <c r="AD889" s="76"/>
      <c r="AE889" s="76"/>
      <c r="AF889" s="76"/>
      <c r="AG889" s="76"/>
      <c r="AH889" s="76"/>
      <c r="AI889" s="76"/>
      <c r="AJ889" s="76"/>
      <c r="AK889" s="76"/>
      <c r="AL889" s="76"/>
      <c r="AM889" s="76"/>
      <c r="AN889" s="76"/>
      <c r="AO889" s="76"/>
      <c r="AP889" s="76"/>
      <c r="AQ889" s="76"/>
      <c r="AR889" s="76"/>
      <c r="AS889" s="76"/>
      <c r="AT889" s="76"/>
      <c r="AU889" s="76"/>
      <c r="AV889" s="76"/>
      <c r="AW889" s="76"/>
      <c r="AX889" s="76"/>
      <c r="AY889" s="76"/>
      <c r="AZ889" s="76"/>
      <c r="BA889" s="76"/>
      <c r="BB889" s="76"/>
    </row>
    <row r="890" spans="5:54" x14ac:dyDescent="0.35">
      <c r="E890" s="83"/>
      <c r="F890" s="83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  <c r="Z890" s="76"/>
      <c r="AA890" s="76"/>
      <c r="AB890" s="76"/>
      <c r="AC890" s="76"/>
      <c r="AD890" s="76"/>
      <c r="AE890" s="76"/>
      <c r="AF890" s="76"/>
      <c r="AG890" s="76"/>
      <c r="AH890" s="76"/>
      <c r="AI890" s="76"/>
      <c r="AJ890" s="76"/>
      <c r="AK890" s="76"/>
      <c r="AL890" s="76"/>
      <c r="AM890" s="76"/>
      <c r="AN890" s="76"/>
      <c r="AO890" s="76"/>
      <c r="AP890" s="76"/>
      <c r="AQ890" s="76"/>
      <c r="AR890" s="76"/>
      <c r="AS890" s="76"/>
      <c r="AT890" s="76"/>
      <c r="AU890" s="76"/>
      <c r="AV890" s="76"/>
      <c r="AW890" s="76"/>
      <c r="AX890" s="76"/>
      <c r="AY890" s="76"/>
      <c r="AZ890" s="76"/>
      <c r="BA890" s="76"/>
      <c r="BB890" s="76"/>
    </row>
    <row r="891" spans="5:54" x14ac:dyDescent="0.35">
      <c r="E891" s="83"/>
      <c r="F891" s="83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  <c r="Z891" s="76"/>
      <c r="AA891" s="76"/>
      <c r="AB891" s="76"/>
      <c r="AC891" s="76"/>
      <c r="AD891" s="76"/>
      <c r="AE891" s="76"/>
      <c r="AF891" s="76"/>
      <c r="AG891" s="76"/>
      <c r="AH891" s="76"/>
      <c r="AI891" s="76"/>
      <c r="AJ891" s="76"/>
      <c r="AK891" s="76"/>
      <c r="AL891" s="76"/>
      <c r="AM891" s="76"/>
      <c r="AN891" s="76"/>
      <c r="AO891" s="76"/>
      <c r="AP891" s="76"/>
      <c r="AQ891" s="76"/>
      <c r="AR891" s="76"/>
      <c r="AS891" s="76"/>
      <c r="AT891" s="76"/>
      <c r="AU891" s="76"/>
      <c r="AV891" s="76"/>
      <c r="AW891" s="76"/>
      <c r="AX891" s="76"/>
      <c r="AY891" s="76"/>
      <c r="AZ891" s="76"/>
      <c r="BA891" s="76"/>
      <c r="BB891" s="76"/>
    </row>
    <row r="892" spans="5:54" x14ac:dyDescent="0.35">
      <c r="E892" s="83"/>
      <c r="F892" s="83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  <c r="Z892" s="76"/>
      <c r="AA892" s="76"/>
      <c r="AB892" s="76"/>
      <c r="AC892" s="76"/>
      <c r="AD892" s="76"/>
      <c r="AE892" s="76"/>
      <c r="AF892" s="76"/>
      <c r="AG892" s="76"/>
      <c r="AH892" s="76"/>
      <c r="AI892" s="76"/>
      <c r="AJ892" s="76"/>
      <c r="AK892" s="76"/>
      <c r="AL892" s="76"/>
      <c r="AM892" s="76"/>
      <c r="AN892" s="76"/>
      <c r="AO892" s="76"/>
      <c r="AP892" s="76"/>
      <c r="AQ892" s="76"/>
      <c r="AR892" s="76"/>
      <c r="AS892" s="76"/>
      <c r="AT892" s="76"/>
      <c r="AU892" s="76"/>
      <c r="AV892" s="76"/>
      <c r="AW892" s="76"/>
      <c r="AX892" s="76"/>
      <c r="AY892" s="76"/>
      <c r="AZ892" s="76"/>
      <c r="BA892" s="76"/>
      <c r="BB892" s="76"/>
    </row>
    <row r="893" spans="5:54" x14ac:dyDescent="0.35">
      <c r="E893" s="83"/>
      <c r="F893" s="83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  <c r="Z893" s="76"/>
      <c r="AA893" s="76"/>
      <c r="AB893" s="76"/>
      <c r="AC893" s="76"/>
      <c r="AD893" s="76"/>
      <c r="AE893" s="76"/>
      <c r="AF893" s="76"/>
      <c r="AG893" s="76"/>
      <c r="AH893" s="76"/>
      <c r="AI893" s="76"/>
      <c r="AJ893" s="76"/>
      <c r="AK893" s="76"/>
      <c r="AL893" s="76"/>
      <c r="AM893" s="76"/>
      <c r="AN893" s="76"/>
      <c r="AO893" s="76"/>
      <c r="AP893" s="76"/>
      <c r="AQ893" s="76"/>
      <c r="AR893" s="76"/>
      <c r="AS893" s="76"/>
      <c r="AT893" s="76"/>
      <c r="AU893" s="76"/>
      <c r="AV893" s="76"/>
      <c r="AW893" s="76"/>
      <c r="AX893" s="76"/>
      <c r="AY893" s="76"/>
      <c r="AZ893" s="76"/>
      <c r="BA893" s="76"/>
      <c r="BB893" s="76"/>
    </row>
    <row r="894" spans="5:54" x14ac:dyDescent="0.35">
      <c r="E894" s="83"/>
      <c r="F894" s="83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  <c r="Z894" s="76"/>
      <c r="AA894" s="76"/>
      <c r="AB894" s="76"/>
      <c r="AC894" s="76"/>
      <c r="AD894" s="76"/>
      <c r="AE894" s="76"/>
      <c r="AF894" s="76"/>
      <c r="AG894" s="76"/>
      <c r="AH894" s="76"/>
      <c r="AI894" s="76"/>
      <c r="AJ894" s="76"/>
      <c r="AK894" s="76"/>
      <c r="AL894" s="76"/>
      <c r="AM894" s="76"/>
      <c r="AN894" s="76"/>
      <c r="AO894" s="76"/>
      <c r="AP894" s="76"/>
      <c r="AQ894" s="76"/>
      <c r="AR894" s="76"/>
      <c r="AS894" s="76"/>
      <c r="AT894" s="76"/>
      <c r="AU894" s="76"/>
      <c r="AV894" s="76"/>
      <c r="AW894" s="76"/>
      <c r="AX894" s="76"/>
      <c r="AY894" s="76"/>
      <c r="AZ894" s="76"/>
      <c r="BA894" s="76"/>
      <c r="BB894" s="76"/>
    </row>
    <row r="895" spans="5:54" x14ac:dyDescent="0.35">
      <c r="E895" s="83"/>
      <c r="F895" s="83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  <c r="Z895" s="76"/>
      <c r="AA895" s="76"/>
      <c r="AB895" s="76"/>
      <c r="AC895" s="76"/>
      <c r="AD895" s="76"/>
      <c r="AE895" s="76"/>
      <c r="AF895" s="76"/>
      <c r="AG895" s="76"/>
      <c r="AH895" s="76"/>
      <c r="AI895" s="76"/>
      <c r="AJ895" s="76"/>
      <c r="AK895" s="76"/>
      <c r="AL895" s="76"/>
      <c r="AM895" s="76"/>
      <c r="AN895" s="76"/>
      <c r="AO895" s="76"/>
      <c r="AP895" s="76"/>
      <c r="AQ895" s="76"/>
      <c r="AR895" s="76"/>
      <c r="AS895" s="76"/>
      <c r="AT895" s="76"/>
      <c r="AU895" s="76"/>
      <c r="AV895" s="76"/>
      <c r="AW895" s="76"/>
      <c r="AX895" s="76"/>
      <c r="AY895" s="76"/>
      <c r="AZ895" s="76"/>
      <c r="BA895" s="76"/>
      <c r="BB895" s="76"/>
    </row>
    <row r="896" spans="5:54" x14ac:dyDescent="0.35">
      <c r="E896" s="83"/>
      <c r="F896" s="83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  <c r="Z896" s="76"/>
      <c r="AA896" s="76"/>
      <c r="AB896" s="76"/>
      <c r="AC896" s="76"/>
      <c r="AD896" s="76"/>
      <c r="AE896" s="76"/>
      <c r="AF896" s="76"/>
      <c r="AG896" s="76"/>
      <c r="AH896" s="76"/>
      <c r="AI896" s="76"/>
      <c r="AJ896" s="76"/>
      <c r="AK896" s="76"/>
      <c r="AL896" s="76"/>
      <c r="AM896" s="76"/>
      <c r="AN896" s="76"/>
      <c r="AO896" s="76"/>
      <c r="AP896" s="76"/>
      <c r="AQ896" s="76"/>
      <c r="AR896" s="76"/>
      <c r="AS896" s="76"/>
      <c r="AT896" s="76"/>
      <c r="AU896" s="76"/>
      <c r="AV896" s="76"/>
      <c r="AW896" s="76"/>
      <c r="AX896" s="76"/>
      <c r="AY896" s="76"/>
      <c r="AZ896" s="76"/>
      <c r="BA896" s="76"/>
      <c r="BB896" s="76"/>
    </row>
    <row r="897" spans="5:54" x14ac:dyDescent="0.35">
      <c r="E897" s="83"/>
      <c r="F897" s="83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  <c r="Z897" s="76"/>
      <c r="AA897" s="76"/>
      <c r="AB897" s="76"/>
      <c r="AC897" s="76"/>
      <c r="AD897" s="76"/>
      <c r="AE897" s="76"/>
      <c r="AF897" s="76"/>
      <c r="AG897" s="76"/>
      <c r="AH897" s="76"/>
      <c r="AI897" s="76"/>
      <c r="AJ897" s="76"/>
      <c r="AK897" s="76"/>
      <c r="AL897" s="76"/>
      <c r="AM897" s="76"/>
      <c r="AN897" s="76"/>
      <c r="AO897" s="76"/>
      <c r="AP897" s="76"/>
      <c r="AQ897" s="76"/>
      <c r="AR897" s="76"/>
      <c r="AS897" s="76"/>
      <c r="AT897" s="76"/>
      <c r="AU897" s="76"/>
      <c r="AV897" s="76"/>
      <c r="AW897" s="76"/>
      <c r="AX897" s="76"/>
      <c r="AY897" s="76"/>
      <c r="AZ897" s="76"/>
      <c r="BA897" s="76"/>
      <c r="BB897" s="76"/>
    </row>
    <row r="898" spans="5:54" x14ac:dyDescent="0.35">
      <c r="E898" s="83"/>
      <c r="F898" s="83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  <c r="Z898" s="76"/>
      <c r="AA898" s="76"/>
      <c r="AB898" s="76"/>
      <c r="AC898" s="76"/>
      <c r="AD898" s="76"/>
      <c r="AE898" s="76"/>
      <c r="AF898" s="76"/>
      <c r="AG898" s="76"/>
      <c r="AH898" s="76"/>
      <c r="AI898" s="76"/>
      <c r="AJ898" s="76"/>
      <c r="AK898" s="76"/>
      <c r="AL898" s="76"/>
      <c r="AM898" s="76"/>
      <c r="AN898" s="76"/>
      <c r="AO898" s="76"/>
      <c r="AP898" s="76"/>
      <c r="AQ898" s="76"/>
      <c r="AR898" s="76"/>
      <c r="AS898" s="76"/>
      <c r="AT898" s="76"/>
      <c r="AU898" s="76"/>
      <c r="AV898" s="76"/>
      <c r="AW898" s="76"/>
      <c r="AX898" s="76"/>
      <c r="AY898" s="76"/>
      <c r="AZ898" s="76"/>
      <c r="BA898" s="76"/>
      <c r="BB898" s="76"/>
    </row>
    <row r="899" spans="5:54" x14ac:dyDescent="0.35">
      <c r="E899" s="83"/>
      <c r="F899" s="83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  <c r="Z899" s="76"/>
      <c r="AA899" s="76"/>
      <c r="AB899" s="76"/>
      <c r="AC899" s="76"/>
      <c r="AD899" s="76"/>
      <c r="AE899" s="76"/>
      <c r="AF899" s="76"/>
      <c r="AG899" s="76"/>
      <c r="AH899" s="76"/>
      <c r="AI899" s="76"/>
      <c r="AJ899" s="76"/>
      <c r="AK899" s="76"/>
      <c r="AL899" s="76"/>
      <c r="AM899" s="76"/>
      <c r="AN899" s="76"/>
      <c r="AO899" s="76"/>
      <c r="AP899" s="76"/>
      <c r="AQ899" s="76"/>
      <c r="AR899" s="76"/>
      <c r="AS899" s="76"/>
      <c r="AT899" s="76"/>
      <c r="AU899" s="76"/>
      <c r="AV899" s="76"/>
      <c r="AW899" s="76"/>
      <c r="AX899" s="76"/>
      <c r="AY899" s="76"/>
      <c r="AZ899" s="76"/>
      <c r="BA899" s="76"/>
      <c r="BB899" s="76"/>
    </row>
    <row r="900" spans="5:54" x14ac:dyDescent="0.35">
      <c r="E900" s="83"/>
      <c r="F900" s="83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  <c r="Z900" s="76"/>
      <c r="AA900" s="76"/>
      <c r="AB900" s="76"/>
      <c r="AC900" s="76"/>
      <c r="AD900" s="76"/>
      <c r="AE900" s="76"/>
      <c r="AF900" s="76"/>
      <c r="AG900" s="76"/>
      <c r="AH900" s="76"/>
      <c r="AI900" s="76"/>
      <c r="AJ900" s="76"/>
      <c r="AK900" s="76"/>
      <c r="AL900" s="76"/>
      <c r="AM900" s="76"/>
      <c r="AN900" s="76"/>
      <c r="AO900" s="76"/>
      <c r="AP900" s="76"/>
      <c r="AQ900" s="76"/>
      <c r="AR900" s="76"/>
      <c r="AS900" s="76"/>
      <c r="AT900" s="76"/>
      <c r="AU900" s="76"/>
      <c r="AV900" s="76"/>
      <c r="AW900" s="76"/>
      <c r="AX900" s="76"/>
      <c r="AY900" s="76"/>
      <c r="AZ900" s="76"/>
      <c r="BA900" s="76"/>
      <c r="BB900" s="76"/>
    </row>
    <row r="901" spans="5:54" x14ac:dyDescent="0.35">
      <c r="E901" s="83"/>
      <c r="F901" s="83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  <c r="Z901" s="76"/>
      <c r="AA901" s="76"/>
      <c r="AB901" s="76"/>
      <c r="AC901" s="76"/>
      <c r="AD901" s="76"/>
      <c r="AE901" s="76"/>
      <c r="AF901" s="76"/>
      <c r="AG901" s="76"/>
      <c r="AH901" s="76"/>
      <c r="AI901" s="76"/>
      <c r="AJ901" s="76"/>
      <c r="AK901" s="76"/>
      <c r="AL901" s="76"/>
      <c r="AM901" s="76"/>
      <c r="AN901" s="76"/>
      <c r="AO901" s="76"/>
      <c r="AP901" s="76"/>
      <c r="AQ901" s="76"/>
      <c r="AR901" s="76"/>
      <c r="AS901" s="76"/>
      <c r="AT901" s="76"/>
      <c r="AU901" s="76"/>
      <c r="AV901" s="76"/>
      <c r="AW901" s="76"/>
      <c r="AX901" s="76"/>
      <c r="AY901" s="76"/>
      <c r="AZ901" s="76"/>
      <c r="BA901" s="76"/>
      <c r="BB901" s="76"/>
    </row>
    <row r="902" spans="5:54" x14ac:dyDescent="0.35">
      <c r="E902" s="83"/>
      <c r="F902" s="83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  <c r="Z902" s="76"/>
      <c r="AA902" s="76"/>
      <c r="AB902" s="76"/>
      <c r="AC902" s="76"/>
      <c r="AD902" s="76"/>
      <c r="AE902" s="76"/>
      <c r="AF902" s="76"/>
      <c r="AG902" s="76"/>
      <c r="AH902" s="76"/>
      <c r="AI902" s="76"/>
      <c r="AJ902" s="76"/>
      <c r="AK902" s="76"/>
      <c r="AL902" s="76"/>
      <c r="AM902" s="76"/>
      <c r="AN902" s="76"/>
      <c r="AO902" s="76"/>
      <c r="AP902" s="76"/>
      <c r="AQ902" s="76"/>
      <c r="AR902" s="76"/>
      <c r="AS902" s="76"/>
      <c r="AT902" s="76"/>
      <c r="AU902" s="76"/>
      <c r="AV902" s="76"/>
      <c r="AW902" s="76"/>
      <c r="AX902" s="76"/>
      <c r="AY902" s="76"/>
      <c r="AZ902" s="76"/>
      <c r="BA902" s="76"/>
      <c r="BB902" s="76"/>
    </row>
    <row r="903" spans="5:54" x14ac:dyDescent="0.35">
      <c r="E903" s="83"/>
      <c r="F903" s="83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  <c r="Z903" s="76"/>
      <c r="AA903" s="76"/>
      <c r="AB903" s="76"/>
      <c r="AC903" s="76"/>
      <c r="AD903" s="76"/>
      <c r="AE903" s="76"/>
      <c r="AF903" s="76"/>
      <c r="AG903" s="76"/>
      <c r="AH903" s="76"/>
      <c r="AI903" s="76"/>
      <c r="AJ903" s="76"/>
      <c r="AK903" s="76"/>
      <c r="AL903" s="76"/>
      <c r="AM903" s="76"/>
      <c r="AN903" s="76"/>
      <c r="AO903" s="76"/>
      <c r="AP903" s="76"/>
      <c r="AQ903" s="76"/>
      <c r="AR903" s="76"/>
      <c r="AS903" s="76"/>
      <c r="AT903" s="76"/>
      <c r="AU903" s="76"/>
      <c r="AV903" s="76"/>
      <c r="AW903" s="76"/>
      <c r="AX903" s="76"/>
      <c r="AY903" s="76"/>
      <c r="AZ903" s="76"/>
      <c r="BA903" s="76"/>
      <c r="BB903" s="76"/>
    </row>
    <row r="904" spans="5:54" x14ac:dyDescent="0.35">
      <c r="E904" s="83"/>
      <c r="F904" s="83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  <c r="Z904" s="76"/>
      <c r="AA904" s="76"/>
      <c r="AB904" s="76"/>
      <c r="AC904" s="76"/>
      <c r="AD904" s="76"/>
      <c r="AE904" s="76"/>
      <c r="AF904" s="76"/>
      <c r="AG904" s="76"/>
      <c r="AH904" s="76"/>
      <c r="AI904" s="76"/>
      <c r="AJ904" s="76"/>
      <c r="AK904" s="76"/>
      <c r="AL904" s="76"/>
      <c r="AM904" s="76"/>
      <c r="AN904" s="76"/>
      <c r="AO904" s="76"/>
      <c r="AP904" s="76"/>
      <c r="AQ904" s="76"/>
      <c r="AR904" s="76"/>
      <c r="AS904" s="76"/>
      <c r="AT904" s="76"/>
      <c r="AU904" s="76"/>
      <c r="AV904" s="76"/>
      <c r="AW904" s="76"/>
      <c r="AX904" s="76"/>
      <c r="AY904" s="76"/>
      <c r="AZ904" s="76"/>
      <c r="BA904" s="76"/>
      <c r="BB904" s="76"/>
    </row>
    <row r="905" spans="5:54" x14ac:dyDescent="0.35">
      <c r="E905" s="83"/>
      <c r="F905" s="83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  <c r="Z905" s="76"/>
      <c r="AA905" s="76"/>
      <c r="AB905" s="76"/>
      <c r="AC905" s="76"/>
      <c r="AD905" s="76"/>
      <c r="AE905" s="76"/>
      <c r="AF905" s="76"/>
      <c r="AG905" s="76"/>
      <c r="AH905" s="76"/>
      <c r="AI905" s="76"/>
      <c r="AJ905" s="76"/>
      <c r="AK905" s="76"/>
      <c r="AL905" s="76"/>
      <c r="AM905" s="76"/>
      <c r="AN905" s="76"/>
      <c r="AO905" s="76"/>
      <c r="AP905" s="76"/>
      <c r="AQ905" s="76"/>
      <c r="AR905" s="76"/>
      <c r="AS905" s="76"/>
      <c r="AT905" s="76"/>
      <c r="AU905" s="76"/>
      <c r="AV905" s="76"/>
      <c r="AW905" s="76"/>
      <c r="AX905" s="76"/>
      <c r="AY905" s="76"/>
      <c r="AZ905" s="76"/>
      <c r="BA905" s="76"/>
      <c r="BB905" s="76"/>
    </row>
    <row r="906" spans="5:54" x14ac:dyDescent="0.35">
      <c r="E906" s="83"/>
      <c r="F906" s="83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  <c r="Z906" s="76"/>
      <c r="AA906" s="76"/>
      <c r="AB906" s="76"/>
      <c r="AC906" s="76"/>
      <c r="AD906" s="76"/>
      <c r="AE906" s="76"/>
      <c r="AF906" s="76"/>
      <c r="AG906" s="76"/>
      <c r="AH906" s="76"/>
      <c r="AI906" s="76"/>
      <c r="AJ906" s="76"/>
      <c r="AK906" s="76"/>
      <c r="AL906" s="76"/>
      <c r="AM906" s="76"/>
      <c r="AN906" s="76"/>
      <c r="AO906" s="76"/>
      <c r="AP906" s="76"/>
      <c r="AQ906" s="76"/>
      <c r="AR906" s="76"/>
      <c r="AS906" s="76"/>
      <c r="AT906" s="76"/>
      <c r="AU906" s="76"/>
      <c r="AV906" s="76"/>
      <c r="AW906" s="76"/>
      <c r="AX906" s="76"/>
      <c r="AY906" s="76"/>
      <c r="AZ906" s="76"/>
      <c r="BA906" s="76"/>
      <c r="BB906" s="76"/>
    </row>
    <row r="907" spans="5:54" x14ac:dyDescent="0.35">
      <c r="E907" s="83"/>
      <c r="F907" s="83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  <c r="Z907" s="76"/>
      <c r="AA907" s="76"/>
      <c r="AB907" s="76"/>
      <c r="AC907" s="76"/>
      <c r="AD907" s="76"/>
      <c r="AE907" s="76"/>
      <c r="AF907" s="76"/>
      <c r="AG907" s="76"/>
      <c r="AH907" s="76"/>
      <c r="AI907" s="76"/>
      <c r="AJ907" s="76"/>
      <c r="AK907" s="76"/>
      <c r="AL907" s="76"/>
      <c r="AM907" s="76"/>
      <c r="AN907" s="76"/>
      <c r="AO907" s="76"/>
      <c r="AP907" s="76"/>
      <c r="AQ907" s="76"/>
      <c r="AR907" s="76"/>
      <c r="AS907" s="76"/>
      <c r="AT907" s="76"/>
      <c r="AU907" s="76"/>
      <c r="AV907" s="76"/>
      <c r="AW907" s="76"/>
      <c r="AX907" s="76"/>
      <c r="AY907" s="76"/>
      <c r="AZ907" s="76"/>
      <c r="BA907" s="76"/>
      <c r="BB907" s="76"/>
    </row>
    <row r="908" spans="5:54" x14ac:dyDescent="0.35">
      <c r="E908" s="83"/>
      <c r="F908" s="83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  <c r="Z908" s="76"/>
      <c r="AA908" s="76"/>
      <c r="AB908" s="76"/>
      <c r="AC908" s="76"/>
      <c r="AD908" s="76"/>
      <c r="AE908" s="76"/>
      <c r="AF908" s="76"/>
      <c r="AG908" s="76"/>
      <c r="AH908" s="76"/>
      <c r="AI908" s="76"/>
      <c r="AJ908" s="76"/>
      <c r="AK908" s="76"/>
      <c r="AL908" s="76"/>
      <c r="AM908" s="76"/>
      <c r="AN908" s="76"/>
      <c r="AO908" s="76"/>
      <c r="AP908" s="76"/>
      <c r="AQ908" s="76"/>
      <c r="AR908" s="76"/>
      <c r="AS908" s="76"/>
      <c r="AT908" s="76"/>
      <c r="AU908" s="76"/>
      <c r="AV908" s="76"/>
      <c r="AW908" s="76"/>
      <c r="AX908" s="76"/>
      <c r="AY908" s="76"/>
      <c r="AZ908" s="76"/>
      <c r="BA908" s="76"/>
      <c r="BB908" s="76"/>
    </row>
    <row r="909" spans="5:54" x14ac:dyDescent="0.35">
      <c r="E909" s="83"/>
      <c r="F909" s="83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  <c r="Z909" s="76"/>
      <c r="AA909" s="76"/>
      <c r="AB909" s="76"/>
      <c r="AC909" s="76"/>
      <c r="AD909" s="76"/>
      <c r="AE909" s="76"/>
      <c r="AF909" s="76"/>
      <c r="AG909" s="76"/>
      <c r="AH909" s="76"/>
      <c r="AI909" s="76"/>
      <c r="AJ909" s="76"/>
      <c r="AK909" s="76"/>
      <c r="AL909" s="76"/>
      <c r="AM909" s="76"/>
      <c r="AN909" s="76"/>
      <c r="AO909" s="76"/>
      <c r="AP909" s="76"/>
      <c r="AQ909" s="76"/>
      <c r="AR909" s="76"/>
      <c r="AS909" s="76"/>
      <c r="AT909" s="76"/>
      <c r="AU909" s="76"/>
      <c r="AV909" s="76"/>
      <c r="AW909" s="76"/>
      <c r="AX909" s="76"/>
      <c r="AY909" s="76"/>
      <c r="AZ909" s="76"/>
      <c r="BA909" s="76"/>
      <c r="BB909" s="76"/>
    </row>
    <row r="910" spans="5:54" x14ac:dyDescent="0.35">
      <c r="E910" s="83"/>
      <c r="F910" s="83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  <c r="Z910" s="76"/>
      <c r="AA910" s="76"/>
      <c r="AB910" s="76"/>
      <c r="AC910" s="76"/>
      <c r="AD910" s="76"/>
      <c r="AE910" s="76"/>
      <c r="AF910" s="76"/>
      <c r="AG910" s="76"/>
      <c r="AH910" s="76"/>
      <c r="AI910" s="76"/>
      <c r="AJ910" s="76"/>
      <c r="AK910" s="76"/>
      <c r="AL910" s="76"/>
      <c r="AM910" s="76"/>
      <c r="AN910" s="76"/>
      <c r="AO910" s="76"/>
      <c r="AP910" s="76"/>
      <c r="AQ910" s="76"/>
      <c r="AR910" s="76"/>
      <c r="AS910" s="76"/>
      <c r="AT910" s="76"/>
      <c r="AU910" s="76"/>
      <c r="AV910" s="76"/>
      <c r="AW910" s="76"/>
      <c r="AX910" s="76"/>
      <c r="AY910" s="76"/>
      <c r="AZ910" s="76"/>
      <c r="BA910" s="76"/>
      <c r="BB910" s="76"/>
    </row>
    <row r="911" spans="5:54" x14ac:dyDescent="0.35">
      <c r="E911" s="83"/>
      <c r="F911" s="83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  <c r="Z911" s="76"/>
      <c r="AA911" s="76"/>
      <c r="AB911" s="76"/>
      <c r="AC911" s="76"/>
      <c r="AD911" s="76"/>
      <c r="AE911" s="76"/>
      <c r="AF911" s="76"/>
      <c r="AG911" s="76"/>
      <c r="AH911" s="76"/>
      <c r="AI911" s="76"/>
      <c r="AJ911" s="76"/>
      <c r="AK911" s="76"/>
      <c r="AL911" s="76"/>
      <c r="AM911" s="76"/>
      <c r="AN911" s="76"/>
      <c r="AO911" s="76"/>
      <c r="AP911" s="76"/>
      <c r="AQ911" s="76"/>
      <c r="AR911" s="76"/>
      <c r="AS911" s="76"/>
      <c r="AT911" s="76"/>
      <c r="AU911" s="76"/>
      <c r="AV911" s="76"/>
      <c r="AW911" s="76"/>
      <c r="AX911" s="76"/>
      <c r="AY911" s="76"/>
      <c r="AZ911" s="76"/>
      <c r="BA911" s="76"/>
      <c r="BB911" s="76"/>
    </row>
    <row r="912" spans="5:54" x14ac:dyDescent="0.35">
      <c r="E912" s="83"/>
      <c r="F912" s="83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  <c r="Z912" s="76"/>
      <c r="AA912" s="76"/>
      <c r="AB912" s="76"/>
      <c r="AC912" s="76"/>
      <c r="AD912" s="76"/>
      <c r="AE912" s="76"/>
      <c r="AF912" s="76"/>
      <c r="AG912" s="76"/>
      <c r="AH912" s="76"/>
      <c r="AI912" s="76"/>
      <c r="AJ912" s="76"/>
      <c r="AK912" s="76"/>
      <c r="AL912" s="76"/>
      <c r="AM912" s="76"/>
      <c r="AN912" s="76"/>
      <c r="AO912" s="76"/>
      <c r="AP912" s="76"/>
      <c r="AQ912" s="76"/>
      <c r="AR912" s="76"/>
      <c r="AS912" s="76"/>
      <c r="AT912" s="76"/>
      <c r="AU912" s="76"/>
      <c r="AV912" s="76"/>
      <c r="AW912" s="76"/>
      <c r="AX912" s="76"/>
      <c r="AY912" s="76"/>
      <c r="AZ912" s="76"/>
      <c r="BA912" s="76"/>
      <c r="BB912" s="76"/>
    </row>
    <row r="913" spans="5:54" x14ac:dyDescent="0.35">
      <c r="E913" s="83"/>
      <c r="F913" s="83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  <c r="Z913" s="76"/>
      <c r="AA913" s="76"/>
      <c r="AB913" s="76"/>
      <c r="AC913" s="76"/>
      <c r="AD913" s="76"/>
      <c r="AE913" s="76"/>
      <c r="AF913" s="76"/>
      <c r="AG913" s="76"/>
      <c r="AH913" s="76"/>
      <c r="AI913" s="76"/>
      <c r="AJ913" s="76"/>
      <c r="AK913" s="76"/>
      <c r="AL913" s="76"/>
      <c r="AM913" s="76"/>
      <c r="AN913" s="76"/>
      <c r="AO913" s="76"/>
      <c r="AP913" s="76"/>
      <c r="AQ913" s="76"/>
      <c r="AR913" s="76"/>
      <c r="AS913" s="76"/>
      <c r="AT913" s="76"/>
      <c r="AU913" s="76"/>
      <c r="AV913" s="76"/>
      <c r="AW913" s="76"/>
      <c r="AX913" s="76"/>
      <c r="AY913" s="76"/>
      <c r="AZ913" s="76"/>
      <c r="BA913" s="76"/>
      <c r="BB913" s="76"/>
    </row>
    <row r="914" spans="5:54" x14ac:dyDescent="0.35">
      <c r="E914" s="83"/>
      <c r="F914" s="83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  <c r="Z914" s="76"/>
      <c r="AA914" s="76"/>
      <c r="AB914" s="76"/>
      <c r="AC914" s="76"/>
      <c r="AD914" s="76"/>
      <c r="AE914" s="76"/>
      <c r="AF914" s="76"/>
      <c r="AG914" s="76"/>
      <c r="AH914" s="76"/>
      <c r="AI914" s="76"/>
      <c r="AJ914" s="76"/>
      <c r="AK914" s="76"/>
      <c r="AL914" s="76"/>
      <c r="AM914" s="76"/>
      <c r="AN914" s="76"/>
      <c r="AO914" s="76"/>
      <c r="AP914" s="76"/>
      <c r="AQ914" s="76"/>
      <c r="AR914" s="76"/>
      <c r="AS914" s="76"/>
      <c r="AT914" s="76"/>
      <c r="AU914" s="76"/>
      <c r="AV914" s="76"/>
      <c r="AW914" s="76"/>
      <c r="AX914" s="76"/>
      <c r="AY914" s="76"/>
      <c r="AZ914" s="76"/>
      <c r="BA914" s="76"/>
      <c r="BB914" s="76"/>
    </row>
    <row r="915" spans="5:54" x14ac:dyDescent="0.35">
      <c r="E915" s="83"/>
      <c r="F915" s="83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  <c r="Z915" s="76"/>
      <c r="AA915" s="76"/>
      <c r="AB915" s="76"/>
      <c r="AC915" s="76"/>
      <c r="AD915" s="76"/>
      <c r="AE915" s="76"/>
      <c r="AF915" s="76"/>
      <c r="AG915" s="76"/>
      <c r="AH915" s="76"/>
      <c r="AI915" s="76"/>
      <c r="AJ915" s="76"/>
      <c r="AK915" s="76"/>
      <c r="AL915" s="76"/>
      <c r="AM915" s="76"/>
      <c r="AN915" s="76"/>
      <c r="AO915" s="76"/>
      <c r="AP915" s="76"/>
      <c r="AQ915" s="76"/>
      <c r="AR915" s="76"/>
      <c r="AS915" s="76"/>
      <c r="AT915" s="76"/>
      <c r="AU915" s="76"/>
      <c r="AV915" s="76"/>
      <c r="AW915" s="76"/>
      <c r="AX915" s="76"/>
      <c r="AY915" s="76"/>
      <c r="AZ915" s="76"/>
      <c r="BA915" s="76"/>
      <c r="BB915" s="76"/>
    </row>
    <row r="916" spans="5:54" x14ac:dyDescent="0.35">
      <c r="E916" s="83"/>
      <c r="F916" s="83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  <c r="Z916" s="76"/>
      <c r="AA916" s="76"/>
      <c r="AB916" s="76"/>
      <c r="AC916" s="76"/>
      <c r="AD916" s="76"/>
      <c r="AE916" s="76"/>
      <c r="AF916" s="76"/>
      <c r="AG916" s="76"/>
      <c r="AH916" s="76"/>
      <c r="AI916" s="76"/>
      <c r="AJ916" s="76"/>
      <c r="AK916" s="76"/>
      <c r="AL916" s="76"/>
      <c r="AM916" s="76"/>
      <c r="AN916" s="76"/>
      <c r="AO916" s="76"/>
      <c r="AP916" s="76"/>
      <c r="AQ916" s="76"/>
      <c r="AR916" s="76"/>
      <c r="AS916" s="76"/>
      <c r="AT916" s="76"/>
      <c r="AU916" s="76"/>
      <c r="AV916" s="76"/>
      <c r="AW916" s="76"/>
      <c r="AX916" s="76"/>
      <c r="AY916" s="76"/>
      <c r="AZ916" s="76"/>
      <c r="BA916" s="76"/>
      <c r="BB916" s="76"/>
    </row>
    <row r="917" spans="5:54" x14ac:dyDescent="0.35">
      <c r="E917" s="83"/>
      <c r="F917" s="83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  <c r="Z917" s="76"/>
      <c r="AA917" s="76"/>
      <c r="AB917" s="76"/>
      <c r="AC917" s="76"/>
      <c r="AD917" s="76"/>
      <c r="AE917" s="76"/>
      <c r="AF917" s="76"/>
      <c r="AG917" s="76"/>
      <c r="AH917" s="76"/>
      <c r="AI917" s="76"/>
      <c r="AJ917" s="76"/>
      <c r="AK917" s="76"/>
      <c r="AL917" s="76"/>
      <c r="AM917" s="76"/>
      <c r="AN917" s="76"/>
      <c r="AO917" s="76"/>
      <c r="AP917" s="76"/>
      <c r="AQ917" s="76"/>
      <c r="AR917" s="76"/>
      <c r="AS917" s="76"/>
      <c r="AT917" s="76"/>
      <c r="AU917" s="76"/>
      <c r="AV917" s="76"/>
      <c r="AW917" s="76"/>
      <c r="AX917" s="76"/>
      <c r="AY917" s="76"/>
      <c r="AZ917" s="76"/>
      <c r="BA917" s="76"/>
      <c r="BB917" s="76"/>
    </row>
    <row r="918" spans="5:54" x14ac:dyDescent="0.35">
      <c r="E918" s="83"/>
      <c r="F918" s="83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  <c r="Z918" s="76"/>
      <c r="AA918" s="76"/>
      <c r="AB918" s="76"/>
      <c r="AC918" s="76"/>
      <c r="AD918" s="76"/>
      <c r="AE918" s="76"/>
      <c r="AF918" s="76"/>
      <c r="AG918" s="76"/>
      <c r="AH918" s="76"/>
      <c r="AI918" s="76"/>
      <c r="AJ918" s="76"/>
      <c r="AK918" s="76"/>
      <c r="AL918" s="76"/>
      <c r="AM918" s="76"/>
      <c r="AN918" s="76"/>
      <c r="AO918" s="76"/>
      <c r="AP918" s="76"/>
      <c r="AQ918" s="76"/>
      <c r="AR918" s="76"/>
      <c r="AS918" s="76"/>
      <c r="AT918" s="76"/>
      <c r="AU918" s="76"/>
      <c r="AV918" s="76"/>
      <c r="AW918" s="76"/>
      <c r="AX918" s="76"/>
      <c r="AY918" s="76"/>
      <c r="AZ918" s="76"/>
      <c r="BA918" s="76"/>
      <c r="BB918" s="76"/>
    </row>
    <row r="919" spans="5:54" x14ac:dyDescent="0.35">
      <c r="E919" s="83"/>
      <c r="F919" s="83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  <c r="Z919" s="76"/>
      <c r="AA919" s="76"/>
      <c r="AB919" s="76"/>
      <c r="AC919" s="76"/>
      <c r="AD919" s="76"/>
      <c r="AE919" s="76"/>
      <c r="AF919" s="76"/>
      <c r="AG919" s="76"/>
      <c r="AH919" s="76"/>
      <c r="AI919" s="76"/>
      <c r="AJ919" s="76"/>
      <c r="AK919" s="76"/>
      <c r="AL919" s="76"/>
      <c r="AM919" s="76"/>
      <c r="AN919" s="76"/>
      <c r="AO919" s="76"/>
      <c r="AP919" s="76"/>
      <c r="AQ919" s="76"/>
      <c r="AR919" s="76"/>
      <c r="AS919" s="76"/>
      <c r="AT919" s="76"/>
      <c r="AU919" s="76"/>
      <c r="AV919" s="76"/>
      <c r="AW919" s="76"/>
      <c r="AX919" s="76"/>
      <c r="AY919" s="76"/>
      <c r="AZ919" s="76"/>
      <c r="BA919" s="76"/>
      <c r="BB919" s="76"/>
    </row>
    <row r="920" spans="5:54" x14ac:dyDescent="0.35">
      <c r="E920" s="83"/>
      <c r="F920" s="83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  <c r="Z920" s="76"/>
      <c r="AA920" s="76"/>
      <c r="AB920" s="76"/>
      <c r="AC920" s="76"/>
      <c r="AD920" s="76"/>
      <c r="AE920" s="76"/>
      <c r="AF920" s="76"/>
      <c r="AG920" s="76"/>
      <c r="AH920" s="76"/>
      <c r="AI920" s="76"/>
      <c r="AJ920" s="76"/>
      <c r="AK920" s="76"/>
      <c r="AL920" s="76"/>
      <c r="AM920" s="76"/>
      <c r="AN920" s="76"/>
      <c r="AO920" s="76"/>
      <c r="AP920" s="76"/>
      <c r="AQ920" s="76"/>
      <c r="AR920" s="76"/>
      <c r="AS920" s="76"/>
      <c r="AT920" s="76"/>
      <c r="AU920" s="76"/>
      <c r="AV920" s="76"/>
      <c r="AW920" s="76"/>
      <c r="AX920" s="76"/>
      <c r="AY920" s="76"/>
      <c r="AZ920" s="76"/>
      <c r="BA920" s="76"/>
      <c r="BB920" s="76"/>
    </row>
    <row r="921" spans="5:54" x14ac:dyDescent="0.35">
      <c r="E921" s="83"/>
      <c r="F921" s="83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  <c r="Z921" s="76"/>
      <c r="AA921" s="76"/>
      <c r="AB921" s="76"/>
      <c r="AC921" s="76"/>
      <c r="AD921" s="76"/>
      <c r="AE921" s="76"/>
      <c r="AF921" s="76"/>
      <c r="AG921" s="76"/>
      <c r="AH921" s="76"/>
      <c r="AI921" s="76"/>
      <c r="AJ921" s="76"/>
      <c r="AK921" s="76"/>
      <c r="AL921" s="76"/>
      <c r="AM921" s="76"/>
      <c r="AN921" s="76"/>
      <c r="AO921" s="76"/>
      <c r="AP921" s="76"/>
      <c r="AQ921" s="76"/>
      <c r="AR921" s="76"/>
      <c r="AS921" s="76"/>
      <c r="AT921" s="76"/>
      <c r="AU921" s="76"/>
      <c r="AV921" s="76"/>
      <c r="AW921" s="76"/>
      <c r="AX921" s="76"/>
      <c r="AY921" s="76"/>
      <c r="AZ921" s="76"/>
      <c r="BA921" s="76"/>
      <c r="BB921" s="76"/>
    </row>
    <row r="922" spans="5:54" x14ac:dyDescent="0.35">
      <c r="E922" s="83"/>
      <c r="F922" s="83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  <c r="Z922" s="76"/>
      <c r="AA922" s="76"/>
      <c r="AB922" s="76"/>
      <c r="AC922" s="76"/>
      <c r="AD922" s="76"/>
      <c r="AE922" s="76"/>
      <c r="AF922" s="76"/>
      <c r="AG922" s="76"/>
      <c r="AH922" s="76"/>
      <c r="AI922" s="76"/>
      <c r="AJ922" s="76"/>
      <c r="AK922" s="76"/>
      <c r="AL922" s="76"/>
      <c r="AM922" s="76"/>
      <c r="AN922" s="76"/>
      <c r="AO922" s="76"/>
      <c r="AP922" s="76"/>
      <c r="AQ922" s="76"/>
      <c r="AR922" s="76"/>
      <c r="AS922" s="76"/>
      <c r="AT922" s="76"/>
      <c r="AU922" s="76"/>
      <c r="AV922" s="76"/>
      <c r="AW922" s="76"/>
      <c r="AX922" s="76"/>
      <c r="AY922" s="76"/>
      <c r="AZ922" s="76"/>
      <c r="BA922" s="76"/>
      <c r="BB922" s="76"/>
    </row>
    <row r="923" spans="5:54" x14ac:dyDescent="0.35">
      <c r="E923" s="83"/>
      <c r="F923" s="83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  <c r="Z923" s="76"/>
      <c r="AA923" s="76"/>
      <c r="AB923" s="76"/>
      <c r="AC923" s="76"/>
      <c r="AD923" s="76"/>
      <c r="AE923" s="76"/>
      <c r="AF923" s="76"/>
      <c r="AG923" s="76"/>
      <c r="AH923" s="76"/>
      <c r="AI923" s="76"/>
      <c r="AJ923" s="76"/>
      <c r="AK923" s="76"/>
      <c r="AL923" s="76"/>
      <c r="AM923" s="76"/>
      <c r="AN923" s="76"/>
      <c r="AO923" s="76"/>
      <c r="AP923" s="76"/>
      <c r="AQ923" s="76"/>
      <c r="AR923" s="76"/>
      <c r="AS923" s="76"/>
      <c r="AT923" s="76"/>
      <c r="AU923" s="76"/>
      <c r="AV923" s="76"/>
      <c r="AW923" s="76"/>
      <c r="AX923" s="76"/>
      <c r="AY923" s="76"/>
      <c r="AZ923" s="76"/>
      <c r="BA923" s="76"/>
      <c r="BB923" s="76"/>
    </row>
    <row r="924" spans="5:54" x14ac:dyDescent="0.35">
      <c r="E924" s="83"/>
      <c r="F924" s="83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  <c r="Z924" s="76"/>
      <c r="AA924" s="76"/>
      <c r="AB924" s="76"/>
      <c r="AC924" s="76"/>
      <c r="AD924" s="76"/>
      <c r="AE924" s="76"/>
      <c r="AF924" s="76"/>
      <c r="AG924" s="76"/>
      <c r="AH924" s="76"/>
      <c r="AI924" s="76"/>
      <c r="AJ924" s="76"/>
      <c r="AK924" s="76"/>
      <c r="AL924" s="76"/>
      <c r="AM924" s="76"/>
      <c r="AN924" s="76"/>
      <c r="AO924" s="76"/>
      <c r="AP924" s="76"/>
      <c r="AQ924" s="76"/>
      <c r="AR924" s="76"/>
      <c r="AS924" s="76"/>
      <c r="AT924" s="76"/>
      <c r="AU924" s="76"/>
      <c r="AV924" s="76"/>
      <c r="AW924" s="76"/>
      <c r="AX924" s="76"/>
      <c r="AY924" s="76"/>
      <c r="AZ924" s="76"/>
      <c r="BA924" s="76"/>
      <c r="BB924" s="76"/>
    </row>
    <row r="925" spans="5:54" x14ac:dyDescent="0.35">
      <c r="E925" s="83"/>
      <c r="F925" s="83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  <c r="Z925" s="76"/>
      <c r="AA925" s="76"/>
      <c r="AB925" s="76"/>
      <c r="AC925" s="76"/>
      <c r="AD925" s="76"/>
      <c r="AE925" s="76"/>
      <c r="AF925" s="76"/>
      <c r="AG925" s="76"/>
      <c r="AH925" s="76"/>
      <c r="AI925" s="76"/>
      <c r="AJ925" s="76"/>
      <c r="AK925" s="76"/>
      <c r="AL925" s="76"/>
      <c r="AM925" s="76"/>
      <c r="AN925" s="76"/>
      <c r="AO925" s="76"/>
      <c r="AP925" s="76"/>
      <c r="AQ925" s="76"/>
      <c r="AR925" s="76"/>
      <c r="AS925" s="76"/>
      <c r="AT925" s="76"/>
      <c r="AU925" s="76"/>
      <c r="AV925" s="76"/>
      <c r="AW925" s="76"/>
      <c r="AX925" s="76"/>
      <c r="AY925" s="76"/>
      <c r="AZ925" s="76"/>
      <c r="BA925" s="76"/>
      <c r="BB925" s="76"/>
    </row>
    <row r="926" spans="5:54" x14ac:dyDescent="0.35">
      <c r="E926" s="83"/>
      <c r="F926" s="83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  <c r="Z926" s="76"/>
      <c r="AA926" s="76"/>
      <c r="AB926" s="76"/>
      <c r="AC926" s="76"/>
      <c r="AD926" s="76"/>
      <c r="AE926" s="76"/>
      <c r="AF926" s="76"/>
      <c r="AG926" s="76"/>
      <c r="AH926" s="76"/>
      <c r="AI926" s="76"/>
      <c r="AJ926" s="76"/>
      <c r="AK926" s="76"/>
      <c r="AL926" s="76"/>
      <c r="AM926" s="76"/>
      <c r="AN926" s="76"/>
      <c r="AO926" s="76"/>
      <c r="AP926" s="76"/>
      <c r="AQ926" s="76"/>
      <c r="AR926" s="76"/>
      <c r="AS926" s="76"/>
      <c r="AT926" s="76"/>
      <c r="AU926" s="76"/>
      <c r="AV926" s="76"/>
      <c r="AW926" s="76"/>
      <c r="AX926" s="76"/>
      <c r="AY926" s="76"/>
      <c r="AZ926" s="76"/>
      <c r="BA926" s="76"/>
      <c r="BB926" s="76"/>
    </row>
    <row r="927" spans="5:54" x14ac:dyDescent="0.35">
      <c r="E927" s="83"/>
      <c r="F927" s="83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  <c r="Z927" s="76"/>
      <c r="AA927" s="76"/>
      <c r="AB927" s="76"/>
      <c r="AC927" s="76"/>
      <c r="AD927" s="76"/>
      <c r="AE927" s="76"/>
      <c r="AF927" s="76"/>
      <c r="AG927" s="76"/>
      <c r="AH927" s="76"/>
      <c r="AI927" s="76"/>
      <c r="AJ927" s="76"/>
      <c r="AK927" s="76"/>
      <c r="AL927" s="76"/>
      <c r="AM927" s="76"/>
      <c r="AN927" s="76"/>
      <c r="AO927" s="76"/>
      <c r="AP927" s="76"/>
      <c r="AQ927" s="76"/>
      <c r="AR927" s="76"/>
      <c r="AS927" s="76"/>
      <c r="AT927" s="76"/>
      <c r="AU927" s="76"/>
      <c r="AV927" s="76"/>
      <c r="AW927" s="76"/>
      <c r="AX927" s="76"/>
      <c r="AY927" s="76"/>
      <c r="AZ927" s="76"/>
      <c r="BA927" s="76"/>
      <c r="BB927" s="76"/>
    </row>
    <row r="928" spans="5:54" x14ac:dyDescent="0.35">
      <c r="E928" s="83"/>
      <c r="F928" s="83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  <c r="Z928" s="76"/>
      <c r="AA928" s="76"/>
      <c r="AB928" s="76"/>
      <c r="AC928" s="76"/>
      <c r="AD928" s="76"/>
      <c r="AE928" s="76"/>
      <c r="AF928" s="76"/>
      <c r="AG928" s="76"/>
      <c r="AH928" s="76"/>
      <c r="AI928" s="76"/>
      <c r="AJ928" s="76"/>
      <c r="AK928" s="76"/>
      <c r="AL928" s="76"/>
      <c r="AM928" s="76"/>
      <c r="AN928" s="76"/>
      <c r="AO928" s="76"/>
      <c r="AP928" s="76"/>
      <c r="AQ928" s="76"/>
      <c r="AR928" s="76"/>
      <c r="AS928" s="76"/>
      <c r="AT928" s="76"/>
      <c r="AU928" s="76"/>
      <c r="AV928" s="76"/>
      <c r="AW928" s="76"/>
      <c r="AX928" s="76"/>
      <c r="AY928" s="76"/>
      <c r="AZ928" s="76"/>
      <c r="BA928" s="76"/>
      <c r="BB928" s="76"/>
    </row>
    <row r="929" spans="5:54" x14ac:dyDescent="0.35">
      <c r="E929" s="83"/>
      <c r="F929" s="83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  <c r="Z929" s="76"/>
      <c r="AA929" s="76"/>
      <c r="AB929" s="76"/>
      <c r="AC929" s="76"/>
      <c r="AD929" s="76"/>
      <c r="AE929" s="76"/>
      <c r="AF929" s="76"/>
      <c r="AG929" s="76"/>
      <c r="AH929" s="76"/>
      <c r="AI929" s="76"/>
      <c r="AJ929" s="76"/>
      <c r="AK929" s="76"/>
      <c r="AL929" s="76"/>
      <c r="AM929" s="76"/>
      <c r="AN929" s="76"/>
      <c r="AO929" s="76"/>
      <c r="AP929" s="76"/>
      <c r="AQ929" s="76"/>
      <c r="AR929" s="76"/>
      <c r="AS929" s="76"/>
      <c r="AT929" s="76"/>
      <c r="AU929" s="76"/>
      <c r="AV929" s="76"/>
      <c r="AW929" s="76"/>
      <c r="AX929" s="76"/>
      <c r="AY929" s="76"/>
      <c r="AZ929" s="76"/>
      <c r="BA929" s="76"/>
      <c r="BB929" s="76"/>
    </row>
    <row r="930" spans="5:54" x14ac:dyDescent="0.35">
      <c r="E930" s="83"/>
      <c r="F930" s="83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  <c r="Z930" s="76"/>
      <c r="AA930" s="76"/>
      <c r="AB930" s="76"/>
      <c r="AC930" s="76"/>
      <c r="AD930" s="76"/>
      <c r="AE930" s="76"/>
      <c r="AF930" s="76"/>
      <c r="AG930" s="76"/>
      <c r="AH930" s="76"/>
      <c r="AI930" s="76"/>
      <c r="AJ930" s="76"/>
      <c r="AK930" s="76"/>
      <c r="AL930" s="76"/>
      <c r="AM930" s="76"/>
      <c r="AN930" s="76"/>
      <c r="AO930" s="76"/>
      <c r="AP930" s="76"/>
      <c r="AQ930" s="76"/>
      <c r="AR930" s="76"/>
      <c r="AS930" s="76"/>
      <c r="AT930" s="76"/>
      <c r="AU930" s="76"/>
      <c r="AV930" s="76"/>
      <c r="AW930" s="76"/>
      <c r="AX930" s="76"/>
      <c r="AY930" s="76"/>
      <c r="AZ930" s="76"/>
      <c r="BA930" s="76"/>
      <c r="BB930" s="76"/>
    </row>
    <row r="931" spans="5:54" x14ac:dyDescent="0.35">
      <c r="E931" s="83"/>
      <c r="F931" s="83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  <c r="Z931" s="76"/>
      <c r="AA931" s="76"/>
      <c r="AB931" s="76"/>
      <c r="AC931" s="76"/>
      <c r="AD931" s="76"/>
      <c r="AE931" s="76"/>
      <c r="AF931" s="76"/>
      <c r="AG931" s="76"/>
      <c r="AH931" s="76"/>
      <c r="AI931" s="76"/>
      <c r="AJ931" s="76"/>
      <c r="AK931" s="76"/>
      <c r="AL931" s="76"/>
      <c r="AM931" s="76"/>
      <c r="AN931" s="76"/>
      <c r="AO931" s="76"/>
      <c r="AP931" s="76"/>
      <c r="AQ931" s="76"/>
      <c r="AR931" s="76"/>
      <c r="AS931" s="76"/>
      <c r="AT931" s="76"/>
      <c r="AU931" s="76"/>
      <c r="AV931" s="76"/>
      <c r="AW931" s="76"/>
      <c r="AX931" s="76"/>
      <c r="AY931" s="76"/>
      <c r="AZ931" s="76"/>
      <c r="BA931" s="76"/>
      <c r="BB931" s="76"/>
    </row>
    <row r="932" spans="5:54" x14ac:dyDescent="0.35">
      <c r="E932" s="83"/>
      <c r="F932" s="83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  <c r="Z932" s="76"/>
      <c r="AA932" s="76"/>
      <c r="AB932" s="76"/>
      <c r="AC932" s="76"/>
      <c r="AD932" s="76"/>
      <c r="AE932" s="76"/>
      <c r="AF932" s="76"/>
      <c r="AG932" s="76"/>
      <c r="AH932" s="76"/>
      <c r="AI932" s="76"/>
      <c r="AJ932" s="76"/>
      <c r="AK932" s="76"/>
      <c r="AL932" s="76"/>
      <c r="AM932" s="76"/>
      <c r="AN932" s="76"/>
      <c r="AO932" s="76"/>
      <c r="AP932" s="76"/>
      <c r="AQ932" s="76"/>
      <c r="AR932" s="76"/>
      <c r="AS932" s="76"/>
      <c r="AT932" s="76"/>
      <c r="AU932" s="76"/>
      <c r="AV932" s="76"/>
      <c r="AW932" s="76"/>
      <c r="AX932" s="76"/>
      <c r="AY932" s="76"/>
      <c r="AZ932" s="76"/>
      <c r="BA932" s="76"/>
      <c r="BB932" s="76"/>
    </row>
    <row r="933" spans="5:54" x14ac:dyDescent="0.35">
      <c r="E933" s="83"/>
      <c r="F933" s="83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  <c r="Z933" s="76"/>
      <c r="AA933" s="76"/>
      <c r="AB933" s="76"/>
      <c r="AC933" s="76"/>
      <c r="AD933" s="76"/>
      <c r="AE933" s="76"/>
      <c r="AF933" s="76"/>
      <c r="AG933" s="76"/>
      <c r="AH933" s="76"/>
      <c r="AI933" s="76"/>
      <c r="AJ933" s="76"/>
      <c r="AK933" s="76"/>
      <c r="AL933" s="76"/>
      <c r="AM933" s="76"/>
      <c r="AN933" s="76"/>
      <c r="AO933" s="76"/>
      <c r="AP933" s="76"/>
      <c r="AQ933" s="76"/>
      <c r="AR933" s="76"/>
      <c r="AS933" s="76"/>
      <c r="AT933" s="76"/>
      <c r="AU933" s="76"/>
      <c r="AV933" s="76"/>
      <c r="AW933" s="76"/>
      <c r="AX933" s="76"/>
      <c r="AY933" s="76"/>
      <c r="AZ933" s="76"/>
      <c r="BA933" s="76"/>
      <c r="BB933" s="76"/>
    </row>
    <row r="934" spans="5:54" x14ac:dyDescent="0.35">
      <c r="E934" s="83"/>
      <c r="F934" s="83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  <c r="Z934" s="76"/>
      <c r="AA934" s="76"/>
      <c r="AB934" s="76"/>
      <c r="AC934" s="76"/>
      <c r="AD934" s="76"/>
      <c r="AE934" s="76"/>
      <c r="AF934" s="76"/>
      <c r="AG934" s="76"/>
      <c r="AH934" s="76"/>
      <c r="AI934" s="76"/>
      <c r="AJ934" s="76"/>
      <c r="AK934" s="76"/>
      <c r="AL934" s="76"/>
      <c r="AM934" s="76"/>
      <c r="AN934" s="76"/>
      <c r="AO934" s="76"/>
      <c r="AP934" s="76"/>
      <c r="AQ934" s="76"/>
      <c r="AR934" s="76"/>
      <c r="AS934" s="76"/>
      <c r="AT934" s="76"/>
      <c r="AU934" s="76"/>
      <c r="AV934" s="76"/>
      <c r="AW934" s="76"/>
      <c r="AX934" s="76"/>
      <c r="AY934" s="76"/>
      <c r="AZ934" s="76"/>
      <c r="BA934" s="76"/>
      <c r="BB934" s="76"/>
    </row>
    <row r="935" spans="5:54" x14ac:dyDescent="0.35">
      <c r="E935" s="83"/>
      <c r="F935" s="83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  <c r="Z935" s="76"/>
      <c r="AA935" s="76"/>
      <c r="AB935" s="76"/>
      <c r="AC935" s="76"/>
      <c r="AD935" s="76"/>
      <c r="AE935" s="76"/>
      <c r="AF935" s="76"/>
      <c r="AG935" s="76"/>
      <c r="AH935" s="76"/>
      <c r="AI935" s="76"/>
      <c r="AJ935" s="76"/>
      <c r="AK935" s="76"/>
      <c r="AL935" s="76"/>
      <c r="AM935" s="76"/>
      <c r="AN935" s="76"/>
      <c r="AO935" s="76"/>
      <c r="AP935" s="76"/>
      <c r="AQ935" s="76"/>
      <c r="AR935" s="76"/>
      <c r="AS935" s="76"/>
      <c r="AT935" s="76"/>
      <c r="AU935" s="76"/>
      <c r="AV935" s="76"/>
      <c r="AW935" s="76"/>
      <c r="AX935" s="76"/>
      <c r="AY935" s="76"/>
      <c r="AZ935" s="76"/>
      <c r="BA935" s="76"/>
      <c r="BB935" s="76"/>
    </row>
    <row r="936" spans="5:54" x14ac:dyDescent="0.35">
      <c r="E936" s="83"/>
      <c r="F936" s="83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  <c r="Z936" s="76"/>
      <c r="AA936" s="76"/>
      <c r="AB936" s="76"/>
      <c r="AC936" s="76"/>
      <c r="AD936" s="76"/>
      <c r="AE936" s="76"/>
      <c r="AF936" s="76"/>
      <c r="AG936" s="76"/>
      <c r="AH936" s="76"/>
      <c r="AI936" s="76"/>
      <c r="AJ936" s="76"/>
      <c r="AK936" s="76"/>
      <c r="AL936" s="76"/>
      <c r="AM936" s="76"/>
      <c r="AN936" s="76"/>
      <c r="AO936" s="76"/>
      <c r="AP936" s="76"/>
      <c r="AQ936" s="76"/>
      <c r="AR936" s="76"/>
      <c r="AS936" s="76"/>
      <c r="AT936" s="76"/>
      <c r="AU936" s="76"/>
      <c r="AV936" s="76"/>
      <c r="AW936" s="76"/>
      <c r="AX936" s="76"/>
      <c r="AY936" s="76"/>
      <c r="AZ936" s="76"/>
      <c r="BA936" s="76"/>
      <c r="BB936" s="76"/>
    </row>
    <row r="937" spans="5:54" x14ac:dyDescent="0.35">
      <c r="E937" s="83"/>
      <c r="F937" s="83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  <c r="Z937" s="76"/>
      <c r="AA937" s="76"/>
      <c r="AB937" s="76"/>
      <c r="AC937" s="76"/>
      <c r="AD937" s="76"/>
      <c r="AE937" s="76"/>
      <c r="AF937" s="76"/>
      <c r="AG937" s="76"/>
      <c r="AH937" s="76"/>
      <c r="AI937" s="76"/>
      <c r="AJ937" s="76"/>
      <c r="AK937" s="76"/>
      <c r="AL937" s="76"/>
      <c r="AM937" s="76"/>
      <c r="AN937" s="76"/>
      <c r="AO937" s="76"/>
      <c r="AP937" s="76"/>
      <c r="AQ937" s="76"/>
      <c r="AR937" s="76"/>
      <c r="AS937" s="76"/>
      <c r="AT937" s="76"/>
      <c r="AU937" s="76"/>
      <c r="AV937" s="76"/>
      <c r="AW937" s="76"/>
      <c r="AX937" s="76"/>
      <c r="AY937" s="76"/>
      <c r="AZ937" s="76"/>
      <c r="BA937" s="76"/>
      <c r="BB937" s="76"/>
    </row>
    <row r="938" spans="5:54" x14ac:dyDescent="0.35">
      <c r="E938" s="83"/>
      <c r="F938" s="83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  <c r="Z938" s="76"/>
      <c r="AA938" s="76"/>
      <c r="AB938" s="76"/>
      <c r="AC938" s="76"/>
      <c r="AD938" s="76"/>
      <c r="AE938" s="76"/>
      <c r="AF938" s="76"/>
      <c r="AG938" s="76"/>
      <c r="AH938" s="76"/>
      <c r="AI938" s="76"/>
      <c r="AJ938" s="76"/>
      <c r="AK938" s="76"/>
      <c r="AL938" s="76"/>
      <c r="AM938" s="76"/>
      <c r="AN938" s="76"/>
      <c r="AO938" s="76"/>
      <c r="AP938" s="76"/>
      <c r="AQ938" s="76"/>
      <c r="AR938" s="76"/>
      <c r="AS938" s="76"/>
      <c r="AT938" s="76"/>
      <c r="AU938" s="76"/>
      <c r="AV938" s="76"/>
      <c r="AW938" s="76"/>
      <c r="AX938" s="76"/>
      <c r="AY938" s="76"/>
      <c r="AZ938" s="76"/>
      <c r="BA938" s="76"/>
      <c r="BB938" s="76"/>
    </row>
    <row r="939" spans="5:54" x14ac:dyDescent="0.35">
      <c r="E939" s="83"/>
      <c r="F939" s="83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  <c r="Z939" s="76"/>
      <c r="AA939" s="76"/>
      <c r="AB939" s="76"/>
      <c r="AC939" s="76"/>
      <c r="AD939" s="76"/>
      <c r="AE939" s="76"/>
      <c r="AF939" s="76"/>
      <c r="AG939" s="76"/>
      <c r="AH939" s="76"/>
      <c r="AI939" s="76"/>
      <c r="AJ939" s="76"/>
      <c r="AK939" s="76"/>
      <c r="AL939" s="76"/>
      <c r="AM939" s="76"/>
      <c r="AN939" s="76"/>
      <c r="AO939" s="76"/>
      <c r="AP939" s="76"/>
      <c r="AQ939" s="76"/>
      <c r="AR939" s="76"/>
      <c r="AS939" s="76"/>
      <c r="AT939" s="76"/>
      <c r="AU939" s="76"/>
      <c r="AV939" s="76"/>
      <c r="AW939" s="76"/>
      <c r="AX939" s="76"/>
      <c r="AY939" s="76"/>
      <c r="AZ939" s="76"/>
      <c r="BA939" s="76"/>
      <c r="BB939" s="76"/>
    </row>
    <row r="940" spans="5:54" x14ac:dyDescent="0.35">
      <c r="E940" s="83"/>
      <c r="F940" s="83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  <c r="Z940" s="76"/>
      <c r="AA940" s="76"/>
      <c r="AB940" s="76"/>
      <c r="AC940" s="76"/>
      <c r="AD940" s="76"/>
      <c r="AE940" s="76"/>
      <c r="AF940" s="76"/>
      <c r="AG940" s="76"/>
      <c r="AH940" s="76"/>
      <c r="AI940" s="76"/>
      <c r="AJ940" s="76"/>
      <c r="AK940" s="76"/>
      <c r="AL940" s="76"/>
      <c r="AM940" s="76"/>
      <c r="AN940" s="76"/>
      <c r="AO940" s="76"/>
      <c r="AP940" s="76"/>
      <c r="AQ940" s="76"/>
      <c r="AR940" s="76"/>
      <c r="AS940" s="76"/>
      <c r="AT940" s="76"/>
      <c r="AU940" s="76"/>
      <c r="AV940" s="76"/>
      <c r="AW940" s="76"/>
      <c r="AX940" s="76"/>
      <c r="AY940" s="76"/>
      <c r="AZ940" s="76"/>
      <c r="BA940" s="76"/>
      <c r="BB940" s="76"/>
    </row>
    <row r="941" spans="5:54" x14ac:dyDescent="0.35">
      <c r="E941" s="83"/>
      <c r="F941" s="83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  <c r="Z941" s="76"/>
      <c r="AA941" s="76"/>
      <c r="AB941" s="76"/>
      <c r="AC941" s="76"/>
      <c r="AD941" s="76"/>
      <c r="AE941" s="76"/>
      <c r="AF941" s="76"/>
      <c r="AG941" s="76"/>
      <c r="AH941" s="76"/>
      <c r="AI941" s="76"/>
      <c r="AJ941" s="76"/>
      <c r="AK941" s="76"/>
      <c r="AL941" s="76"/>
      <c r="AM941" s="76"/>
      <c r="AN941" s="76"/>
      <c r="AO941" s="76"/>
      <c r="AP941" s="76"/>
      <c r="AQ941" s="76"/>
      <c r="AR941" s="76"/>
      <c r="AS941" s="76"/>
      <c r="AT941" s="76"/>
      <c r="AU941" s="76"/>
      <c r="AV941" s="76"/>
      <c r="AW941" s="76"/>
      <c r="AX941" s="76"/>
      <c r="AY941" s="76"/>
      <c r="AZ941" s="76"/>
      <c r="BA941" s="76"/>
      <c r="BB941" s="76"/>
    </row>
    <row r="942" spans="5:54" x14ac:dyDescent="0.35">
      <c r="E942" s="83"/>
      <c r="F942" s="83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  <c r="Z942" s="76"/>
      <c r="AA942" s="76"/>
      <c r="AB942" s="76"/>
      <c r="AC942" s="76"/>
      <c r="AD942" s="76"/>
      <c r="AE942" s="76"/>
      <c r="AF942" s="76"/>
      <c r="AG942" s="76"/>
      <c r="AH942" s="76"/>
      <c r="AI942" s="76"/>
      <c r="AJ942" s="76"/>
      <c r="AK942" s="76"/>
      <c r="AL942" s="76"/>
      <c r="AM942" s="76"/>
      <c r="AN942" s="76"/>
      <c r="AO942" s="76"/>
      <c r="AP942" s="76"/>
      <c r="AQ942" s="76"/>
      <c r="AR942" s="76"/>
      <c r="AS942" s="76"/>
      <c r="AT942" s="76"/>
      <c r="AU942" s="76"/>
      <c r="AV942" s="76"/>
      <c r="AW942" s="76"/>
      <c r="AX942" s="76"/>
      <c r="AY942" s="76"/>
      <c r="AZ942" s="76"/>
      <c r="BA942" s="76"/>
      <c r="BB942" s="76"/>
    </row>
    <row r="943" spans="5:54" x14ac:dyDescent="0.35">
      <c r="E943" s="83"/>
      <c r="F943" s="83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  <c r="Z943" s="76"/>
      <c r="AA943" s="76"/>
      <c r="AB943" s="76"/>
      <c r="AC943" s="76"/>
      <c r="AD943" s="76"/>
      <c r="AE943" s="76"/>
      <c r="AF943" s="76"/>
      <c r="AG943" s="76"/>
      <c r="AH943" s="76"/>
      <c r="AI943" s="76"/>
      <c r="AJ943" s="76"/>
      <c r="AK943" s="76"/>
      <c r="AL943" s="76"/>
      <c r="AM943" s="76"/>
      <c r="AN943" s="76"/>
      <c r="AO943" s="76"/>
      <c r="AP943" s="76"/>
      <c r="AQ943" s="76"/>
      <c r="AR943" s="76"/>
      <c r="AS943" s="76"/>
      <c r="AT943" s="76"/>
      <c r="AU943" s="76"/>
      <c r="AV943" s="76"/>
      <c r="AW943" s="76"/>
      <c r="AX943" s="76"/>
      <c r="AY943" s="76"/>
      <c r="AZ943" s="76"/>
      <c r="BA943" s="76"/>
      <c r="BB943" s="76"/>
    </row>
    <row r="944" spans="5:54" x14ac:dyDescent="0.35">
      <c r="E944" s="83"/>
      <c r="F944" s="83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  <c r="Z944" s="76"/>
      <c r="AA944" s="76"/>
      <c r="AB944" s="76"/>
      <c r="AC944" s="76"/>
      <c r="AD944" s="76"/>
      <c r="AE944" s="76"/>
      <c r="AF944" s="76"/>
      <c r="AG944" s="76"/>
      <c r="AH944" s="76"/>
      <c r="AI944" s="76"/>
      <c r="AJ944" s="76"/>
      <c r="AK944" s="76"/>
      <c r="AL944" s="76"/>
      <c r="AM944" s="76"/>
      <c r="AN944" s="76"/>
      <c r="AO944" s="76"/>
      <c r="AP944" s="76"/>
      <c r="AQ944" s="76"/>
      <c r="AR944" s="76"/>
      <c r="AS944" s="76"/>
      <c r="AT944" s="76"/>
      <c r="AU944" s="76"/>
      <c r="AV944" s="76"/>
      <c r="AW944" s="76"/>
      <c r="AX944" s="76"/>
      <c r="AY944" s="76"/>
      <c r="AZ944" s="76"/>
      <c r="BA944" s="76"/>
      <c r="BB944" s="76"/>
    </row>
    <row r="945" spans="5:54" x14ac:dyDescent="0.35">
      <c r="E945" s="83"/>
      <c r="F945" s="83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  <c r="Z945" s="76"/>
      <c r="AA945" s="76"/>
      <c r="AB945" s="76"/>
      <c r="AC945" s="76"/>
      <c r="AD945" s="76"/>
      <c r="AE945" s="76"/>
      <c r="AF945" s="76"/>
      <c r="AG945" s="76"/>
      <c r="AH945" s="76"/>
      <c r="AI945" s="76"/>
      <c r="AJ945" s="76"/>
      <c r="AK945" s="76"/>
      <c r="AL945" s="76"/>
      <c r="AM945" s="76"/>
      <c r="AN945" s="76"/>
      <c r="AO945" s="76"/>
      <c r="AP945" s="76"/>
      <c r="AQ945" s="76"/>
      <c r="AR945" s="76"/>
      <c r="AS945" s="76"/>
      <c r="AT945" s="76"/>
      <c r="AU945" s="76"/>
      <c r="AV945" s="76"/>
      <c r="AW945" s="76"/>
      <c r="AX945" s="76"/>
      <c r="AY945" s="76"/>
      <c r="AZ945" s="76"/>
      <c r="BA945" s="76"/>
      <c r="BB945" s="76"/>
    </row>
    <row r="946" spans="5:54" x14ac:dyDescent="0.35">
      <c r="E946" s="83"/>
      <c r="F946" s="83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  <c r="Z946" s="76"/>
      <c r="AA946" s="76"/>
      <c r="AB946" s="76"/>
      <c r="AC946" s="76"/>
      <c r="AD946" s="76"/>
      <c r="AE946" s="76"/>
      <c r="AF946" s="76"/>
      <c r="AG946" s="76"/>
      <c r="AH946" s="76"/>
      <c r="AI946" s="76"/>
      <c r="AJ946" s="76"/>
      <c r="AK946" s="76"/>
      <c r="AL946" s="76"/>
      <c r="AM946" s="76"/>
      <c r="AN946" s="76"/>
      <c r="AO946" s="76"/>
      <c r="AP946" s="76"/>
      <c r="AQ946" s="76"/>
      <c r="AR946" s="76"/>
      <c r="AS946" s="76"/>
      <c r="AT946" s="76"/>
      <c r="AU946" s="76"/>
      <c r="AV946" s="76"/>
      <c r="AW946" s="76"/>
      <c r="AX946" s="76"/>
      <c r="AY946" s="76"/>
      <c r="AZ946" s="76"/>
      <c r="BA946" s="76"/>
      <c r="BB946" s="76"/>
    </row>
    <row r="947" spans="5:54" x14ac:dyDescent="0.35">
      <c r="E947" s="83"/>
      <c r="F947" s="83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  <c r="Z947" s="76"/>
      <c r="AA947" s="76"/>
      <c r="AB947" s="76"/>
      <c r="AC947" s="76"/>
      <c r="AD947" s="76"/>
      <c r="AE947" s="76"/>
      <c r="AF947" s="76"/>
      <c r="AG947" s="76"/>
      <c r="AH947" s="76"/>
      <c r="AI947" s="76"/>
      <c r="AJ947" s="76"/>
      <c r="AK947" s="76"/>
      <c r="AL947" s="76"/>
      <c r="AM947" s="76"/>
      <c r="AN947" s="76"/>
      <c r="AO947" s="76"/>
      <c r="AP947" s="76"/>
      <c r="AQ947" s="76"/>
      <c r="AR947" s="76"/>
      <c r="AS947" s="76"/>
      <c r="AT947" s="76"/>
      <c r="AU947" s="76"/>
      <c r="AV947" s="76"/>
      <c r="AW947" s="76"/>
      <c r="AX947" s="76"/>
      <c r="AY947" s="76"/>
      <c r="AZ947" s="76"/>
      <c r="BA947" s="76"/>
      <c r="BB947" s="76"/>
    </row>
    <row r="948" spans="5:54" x14ac:dyDescent="0.35">
      <c r="E948" s="83"/>
      <c r="F948" s="83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  <c r="Z948" s="76"/>
      <c r="AA948" s="76"/>
      <c r="AB948" s="76"/>
      <c r="AC948" s="76"/>
      <c r="AD948" s="76"/>
      <c r="AE948" s="76"/>
      <c r="AF948" s="76"/>
      <c r="AG948" s="76"/>
      <c r="AH948" s="76"/>
      <c r="AI948" s="76"/>
      <c r="AJ948" s="76"/>
      <c r="AK948" s="76"/>
      <c r="AL948" s="76"/>
      <c r="AM948" s="76"/>
      <c r="AN948" s="76"/>
      <c r="AO948" s="76"/>
      <c r="AP948" s="76"/>
      <c r="AQ948" s="76"/>
      <c r="AR948" s="76"/>
      <c r="AS948" s="76"/>
      <c r="AT948" s="76"/>
      <c r="AU948" s="76"/>
      <c r="AV948" s="76"/>
      <c r="AW948" s="76"/>
      <c r="AX948" s="76"/>
      <c r="AY948" s="76"/>
      <c r="AZ948" s="76"/>
      <c r="BA948" s="76"/>
      <c r="BB948" s="76"/>
    </row>
    <row r="949" spans="5:54" x14ac:dyDescent="0.35">
      <c r="E949" s="83"/>
      <c r="F949" s="83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  <c r="Z949" s="76"/>
      <c r="AA949" s="76"/>
      <c r="AB949" s="76"/>
      <c r="AC949" s="76"/>
      <c r="AD949" s="76"/>
      <c r="AE949" s="76"/>
      <c r="AF949" s="76"/>
      <c r="AG949" s="76"/>
      <c r="AH949" s="76"/>
      <c r="AI949" s="76"/>
      <c r="AJ949" s="76"/>
      <c r="AK949" s="76"/>
      <c r="AL949" s="76"/>
      <c r="AM949" s="76"/>
      <c r="AN949" s="76"/>
      <c r="AO949" s="76"/>
      <c r="AP949" s="76"/>
      <c r="AQ949" s="76"/>
      <c r="AR949" s="76"/>
      <c r="AS949" s="76"/>
      <c r="AT949" s="76"/>
      <c r="AU949" s="76"/>
      <c r="AV949" s="76"/>
      <c r="AW949" s="76"/>
      <c r="AX949" s="76"/>
      <c r="AY949" s="76"/>
      <c r="AZ949" s="76"/>
      <c r="BA949" s="76"/>
      <c r="BB949" s="76"/>
    </row>
    <row r="950" spans="5:54" x14ac:dyDescent="0.35">
      <c r="E950" s="83"/>
      <c r="F950" s="83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  <c r="Z950" s="76"/>
      <c r="AA950" s="76"/>
      <c r="AB950" s="76"/>
      <c r="AC950" s="76"/>
      <c r="AD950" s="76"/>
      <c r="AE950" s="76"/>
      <c r="AF950" s="76"/>
      <c r="AG950" s="76"/>
      <c r="AH950" s="76"/>
      <c r="AI950" s="76"/>
      <c r="AJ950" s="76"/>
      <c r="AK950" s="76"/>
      <c r="AL950" s="76"/>
      <c r="AM950" s="76"/>
      <c r="AN950" s="76"/>
      <c r="AO950" s="76"/>
      <c r="AP950" s="76"/>
      <c r="AQ950" s="76"/>
      <c r="AR950" s="76"/>
      <c r="AS950" s="76"/>
      <c r="AT950" s="76"/>
      <c r="AU950" s="76"/>
      <c r="AV950" s="76"/>
      <c r="AW950" s="76"/>
      <c r="AX950" s="76"/>
      <c r="AY950" s="76"/>
      <c r="AZ950" s="76"/>
      <c r="BA950" s="76"/>
      <c r="BB950" s="76"/>
    </row>
    <row r="951" spans="5:54" x14ac:dyDescent="0.35">
      <c r="E951" s="83"/>
      <c r="F951" s="83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  <c r="Z951" s="76"/>
      <c r="AA951" s="76"/>
      <c r="AB951" s="76"/>
      <c r="AC951" s="76"/>
      <c r="AD951" s="76"/>
      <c r="AE951" s="76"/>
      <c r="AF951" s="76"/>
      <c r="AG951" s="76"/>
      <c r="AH951" s="76"/>
      <c r="AI951" s="76"/>
      <c r="AJ951" s="76"/>
      <c r="AK951" s="76"/>
      <c r="AL951" s="76"/>
      <c r="AM951" s="76"/>
      <c r="AN951" s="76"/>
      <c r="AO951" s="76"/>
      <c r="AP951" s="76"/>
      <c r="AQ951" s="76"/>
      <c r="AR951" s="76"/>
      <c r="AS951" s="76"/>
      <c r="AT951" s="76"/>
      <c r="AU951" s="76"/>
      <c r="AV951" s="76"/>
      <c r="AW951" s="76"/>
      <c r="AX951" s="76"/>
      <c r="AY951" s="76"/>
      <c r="AZ951" s="76"/>
      <c r="BA951" s="76"/>
      <c r="BB951" s="76"/>
    </row>
    <row r="952" spans="5:54" x14ac:dyDescent="0.35">
      <c r="E952" s="83"/>
      <c r="F952" s="83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  <c r="Z952" s="76"/>
      <c r="AA952" s="76"/>
      <c r="AB952" s="76"/>
      <c r="AC952" s="76"/>
      <c r="AD952" s="76"/>
      <c r="AE952" s="76"/>
      <c r="AF952" s="76"/>
      <c r="AG952" s="76"/>
      <c r="AH952" s="76"/>
      <c r="AI952" s="76"/>
      <c r="AJ952" s="76"/>
      <c r="AK952" s="76"/>
      <c r="AL952" s="76"/>
      <c r="AM952" s="76"/>
      <c r="AN952" s="76"/>
      <c r="AO952" s="76"/>
      <c r="AP952" s="76"/>
      <c r="AQ952" s="76"/>
      <c r="AR952" s="76"/>
      <c r="AS952" s="76"/>
      <c r="AT952" s="76"/>
      <c r="AU952" s="76"/>
      <c r="AV952" s="76"/>
      <c r="AW952" s="76"/>
      <c r="AX952" s="76"/>
      <c r="AY952" s="76"/>
      <c r="AZ952" s="76"/>
      <c r="BA952" s="76"/>
      <c r="BB952" s="76"/>
    </row>
    <row r="953" spans="5:54" x14ac:dyDescent="0.35">
      <c r="E953" s="83"/>
      <c r="F953" s="83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  <c r="Z953" s="76"/>
      <c r="AA953" s="76"/>
      <c r="AB953" s="76"/>
      <c r="AC953" s="76"/>
      <c r="AD953" s="76"/>
      <c r="AE953" s="76"/>
      <c r="AF953" s="76"/>
      <c r="AG953" s="76"/>
      <c r="AH953" s="76"/>
      <c r="AI953" s="76"/>
      <c r="AJ953" s="76"/>
      <c r="AK953" s="76"/>
      <c r="AL953" s="76"/>
      <c r="AM953" s="76"/>
      <c r="AN953" s="76"/>
      <c r="AO953" s="76"/>
      <c r="AP953" s="76"/>
      <c r="AQ953" s="76"/>
      <c r="AR953" s="76"/>
      <c r="AS953" s="76"/>
      <c r="AT953" s="76"/>
      <c r="AU953" s="76"/>
      <c r="AV953" s="76"/>
      <c r="AW953" s="76"/>
      <c r="AX953" s="76"/>
      <c r="AY953" s="76"/>
      <c r="AZ953" s="76"/>
      <c r="BA953" s="76"/>
      <c r="BB953" s="76"/>
    </row>
    <row r="954" spans="5:54" x14ac:dyDescent="0.35">
      <c r="E954" s="83"/>
      <c r="F954" s="83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  <c r="Z954" s="76"/>
      <c r="AA954" s="76"/>
      <c r="AB954" s="76"/>
      <c r="AC954" s="76"/>
      <c r="AD954" s="76"/>
      <c r="AE954" s="76"/>
      <c r="AF954" s="76"/>
      <c r="AG954" s="76"/>
      <c r="AH954" s="76"/>
      <c r="AI954" s="76"/>
      <c r="AJ954" s="76"/>
      <c r="AK954" s="76"/>
      <c r="AL954" s="76"/>
      <c r="AM954" s="76"/>
      <c r="AN954" s="76"/>
      <c r="AO954" s="76"/>
      <c r="AP954" s="76"/>
      <c r="AQ954" s="76"/>
      <c r="AR954" s="76"/>
      <c r="AS954" s="76"/>
      <c r="AT954" s="76"/>
      <c r="AU954" s="76"/>
      <c r="AV954" s="76"/>
      <c r="AW954" s="76"/>
      <c r="AX954" s="76"/>
      <c r="AY954" s="76"/>
      <c r="AZ954" s="76"/>
      <c r="BA954" s="76"/>
      <c r="BB954" s="76"/>
    </row>
    <row r="955" spans="5:54" x14ac:dyDescent="0.35">
      <c r="E955" s="83"/>
      <c r="F955" s="83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  <c r="Z955" s="76"/>
      <c r="AA955" s="76"/>
      <c r="AB955" s="76"/>
      <c r="AC955" s="76"/>
      <c r="AD955" s="76"/>
      <c r="AE955" s="76"/>
      <c r="AF955" s="76"/>
      <c r="AG955" s="76"/>
      <c r="AH955" s="76"/>
      <c r="AI955" s="76"/>
      <c r="AJ955" s="76"/>
      <c r="AK955" s="76"/>
      <c r="AL955" s="76"/>
      <c r="AM955" s="76"/>
      <c r="AN955" s="76"/>
      <c r="AO955" s="76"/>
      <c r="AP955" s="76"/>
      <c r="AQ955" s="76"/>
      <c r="AR955" s="76"/>
      <c r="AS955" s="76"/>
      <c r="AT955" s="76"/>
      <c r="AU955" s="76"/>
      <c r="AV955" s="76"/>
      <c r="AW955" s="76"/>
      <c r="AX955" s="76"/>
      <c r="AY955" s="76"/>
      <c r="AZ955" s="76"/>
      <c r="BA955" s="76"/>
      <c r="BB955" s="76"/>
    </row>
    <row r="956" spans="5:54" x14ac:dyDescent="0.35">
      <c r="E956" s="83"/>
      <c r="F956" s="83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  <c r="Z956" s="76"/>
      <c r="AA956" s="76"/>
      <c r="AB956" s="76"/>
      <c r="AC956" s="76"/>
      <c r="AD956" s="76"/>
      <c r="AE956" s="76"/>
      <c r="AF956" s="76"/>
      <c r="AG956" s="76"/>
      <c r="AH956" s="76"/>
      <c r="AI956" s="76"/>
      <c r="AJ956" s="76"/>
      <c r="AK956" s="76"/>
      <c r="AL956" s="76"/>
      <c r="AM956" s="76"/>
      <c r="AN956" s="76"/>
      <c r="AO956" s="76"/>
      <c r="AP956" s="76"/>
      <c r="AQ956" s="76"/>
      <c r="AR956" s="76"/>
      <c r="AS956" s="76"/>
      <c r="AT956" s="76"/>
      <c r="AU956" s="76"/>
      <c r="AV956" s="76"/>
      <c r="AW956" s="76"/>
      <c r="AX956" s="76"/>
      <c r="AY956" s="76"/>
      <c r="AZ956" s="76"/>
      <c r="BA956" s="76"/>
      <c r="BB956" s="76"/>
    </row>
    <row r="957" spans="5:54" x14ac:dyDescent="0.35">
      <c r="E957" s="83"/>
      <c r="F957" s="83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  <c r="Z957" s="76"/>
      <c r="AA957" s="76"/>
      <c r="AB957" s="76"/>
      <c r="AC957" s="76"/>
      <c r="AD957" s="76"/>
      <c r="AE957" s="76"/>
      <c r="AF957" s="76"/>
      <c r="AG957" s="76"/>
      <c r="AH957" s="76"/>
      <c r="AI957" s="76"/>
      <c r="AJ957" s="76"/>
      <c r="AK957" s="76"/>
      <c r="AL957" s="76"/>
      <c r="AM957" s="76"/>
      <c r="AN957" s="76"/>
      <c r="AO957" s="76"/>
      <c r="AP957" s="76"/>
      <c r="AQ957" s="76"/>
      <c r="AR957" s="76"/>
      <c r="AS957" s="76"/>
      <c r="AT957" s="76"/>
      <c r="AU957" s="76"/>
      <c r="AV957" s="76"/>
      <c r="AW957" s="76"/>
      <c r="AX957" s="76"/>
      <c r="AY957" s="76"/>
      <c r="AZ957" s="76"/>
      <c r="BA957" s="76"/>
      <c r="BB957" s="76"/>
    </row>
    <row r="958" spans="5:54" x14ac:dyDescent="0.35">
      <c r="E958" s="83"/>
      <c r="F958" s="83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  <c r="Z958" s="76"/>
      <c r="AA958" s="76"/>
      <c r="AB958" s="76"/>
      <c r="AC958" s="76"/>
      <c r="AD958" s="76"/>
      <c r="AE958" s="76"/>
      <c r="AF958" s="76"/>
      <c r="AG958" s="76"/>
      <c r="AH958" s="76"/>
      <c r="AI958" s="76"/>
      <c r="AJ958" s="76"/>
      <c r="AK958" s="76"/>
      <c r="AL958" s="76"/>
      <c r="AM958" s="76"/>
      <c r="AN958" s="76"/>
      <c r="AO958" s="76"/>
      <c r="AP958" s="76"/>
      <c r="AQ958" s="76"/>
      <c r="AR958" s="76"/>
      <c r="AS958" s="76"/>
      <c r="AT958" s="76"/>
      <c r="AU958" s="76"/>
      <c r="AV958" s="76"/>
      <c r="AW958" s="76"/>
      <c r="AX958" s="76"/>
      <c r="AY958" s="76"/>
      <c r="AZ958" s="76"/>
      <c r="BA958" s="76"/>
      <c r="BB958" s="76"/>
    </row>
    <row r="959" spans="5:54" x14ac:dyDescent="0.35">
      <c r="E959" s="83"/>
      <c r="F959" s="83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  <c r="Z959" s="76"/>
      <c r="AA959" s="76"/>
      <c r="AB959" s="76"/>
      <c r="AC959" s="76"/>
      <c r="AD959" s="76"/>
      <c r="AE959" s="76"/>
      <c r="AF959" s="76"/>
      <c r="AG959" s="76"/>
      <c r="AH959" s="76"/>
      <c r="AI959" s="76"/>
      <c r="AJ959" s="76"/>
      <c r="AK959" s="76"/>
      <c r="AL959" s="76"/>
      <c r="AM959" s="76"/>
      <c r="AN959" s="76"/>
      <c r="AO959" s="76"/>
      <c r="AP959" s="76"/>
      <c r="AQ959" s="76"/>
      <c r="AR959" s="76"/>
      <c r="AS959" s="76"/>
      <c r="AT959" s="76"/>
      <c r="AU959" s="76"/>
      <c r="AV959" s="76"/>
      <c r="AW959" s="76"/>
      <c r="AX959" s="76"/>
      <c r="AY959" s="76"/>
      <c r="AZ959" s="76"/>
      <c r="BA959" s="76"/>
      <c r="BB959" s="76"/>
    </row>
    <row r="960" spans="5:54" x14ac:dyDescent="0.35">
      <c r="E960" s="83"/>
      <c r="F960" s="83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  <c r="Z960" s="76"/>
      <c r="AA960" s="76"/>
      <c r="AB960" s="76"/>
      <c r="AC960" s="76"/>
      <c r="AD960" s="76"/>
      <c r="AE960" s="76"/>
      <c r="AF960" s="76"/>
      <c r="AG960" s="76"/>
      <c r="AH960" s="76"/>
      <c r="AI960" s="76"/>
      <c r="AJ960" s="76"/>
      <c r="AK960" s="76"/>
      <c r="AL960" s="76"/>
      <c r="AM960" s="76"/>
      <c r="AN960" s="76"/>
      <c r="AO960" s="76"/>
      <c r="AP960" s="76"/>
      <c r="AQ960" s="76"/>
      <c r="AR960" s="76"/>
      <c r="AS960" s="76"/>
      <c r="AT960" s="76"/>
      <c r="AU960" s="76"/>
      <c r="AV960" s="76"/>
      <c r="AW960" s="76"/>
      <c r="AX960" s="76"/>
      <c r="AY960" s="76"/>
      <c r="AZ960" s="76"/>
      <c r="BA960" s="76"/>
      <c r="BB960" s="76"/>
    </row>
    <row r="961" spans="5:54" x14ac:dyDescent="0.35">
      <c r="E961" s="83"/>
      <c r="F961" s="83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  <c r="Z961" s="76"/>
      <c r="AA961" s="76"/>
      <c r="AB961" s="76"/>
      <c r="AC961" s="76"/>
      <c r="AD961" s="76"/>
      <c r="AE961" s="76"/>
      <c r="AF961" s="76"/>
      <c r="AG961" s="76"/>
      <c r="AH961" s="76"/>
      <c r="AI961" s="76"/>
      <c r="AJ961" s="76"/>
      <c r="AK961" s="76"/>
      <c r="AL961" s="76"/>
      <c r="AM961" s="76"/>
      <c r="AN961" s="76"/>
      <c r="AO961" s="76"/>
      <c r="AP961" s="76"/>
      <c r="AQ961" s="76"/>
      <c r="AR961" s="76"/>
      <c r="AS961" s="76"/>
      <c r="AT961" s="76"/>
      <c r="AU961" s="76"/>
      <c r="AV961" s="76"/>
      <c r="AW961" s="76"/>
      <c r="AX961" s="76"/>
      <c r="AY961" s="76"/>
      <c r="AZ961" s="76"/>
      <c r="BA961" s="76"/>
      <c r="BB961" s="76"/>
    </row>
    <row r="962" spans="5:54" x14ac:dyDescent="0.35">
      <c r="E962" s="83"/>
      <c r="F962" s="83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  <c r="Z962" s="76"/>
      <c r="AA962" s="76"/>
      <c r="AB962" s="76"/>
      <c r="AC962" s="76"/>
      <c r="AD962" s="76"/>
      <c r="AE962" s="76"/>
      <c r="AF962" s="76"/>
      <c r="AG962" s="76"/>
      <c r="AH962" s="76"/>
      <c r="AI962" s="76"/>
      <c r="AJ962" s="76"/>
      <c r="AK962" s="76"/>
      <c r="AL962" s="76"/>
      <c r="AM962" s="76"/>
      <c r="AN962" s="76"/>
      <c r="AO962" s="76"/>
      <c r="AP962" s="76"/>
      <c r="AQ962" s="76"/>
      <c r="AR962" s="76"/>
      <c r="AS962" s="76"/>
      <c r="AT962" s="76"/>
      <c r="AU962" s="76"/>
      <c r="AV962" s="76"/>
      <c r="AW962" s="76"/>
      <c r="AX962" s="76"/>
      <c r="AY962" s="76"/>
      <c r="AZ962" s="76"/>
      <c r="BA962" s="76"/>
      <c r="BB962" s="76"/>
    </row>
    <row r="963" spans="5:54" x14ac:dyDescent="0.35">
      <c r="E963" s="83"/>
      <c r="F963" s="83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  <c r="Z963" s="76"/>
      <c r="AA963" s="76"/>
      <c r="AB963" s="76"/>
      <c r="AC963" s="76"/>
      <c r="AD963" s="76"/>
      <c r="AE963" s="76"/>
      <c r="AF963" s="76"/>
      <c r="AG963" s="76"/>
      <c r="AH963" s="76"/>
      <c r="AI963" s="76"/>
      <c r="AJ963" s="76"/>
      <c r="AK963" s="76"/>
      <c r="AL963" s="76"/>
      <c r="AM963" s="76"/>
      <c r="AN963" s="76"/>
      <c r="AO963" s="76"/>
      <c r="AP963" s="76"/>
      <c r="AQ963" s="76"/>
      <c r="AR963" s="76"/>
      <c r="AS963" s="76"/>
      <c r="AT963" s="76"/>
      <c r="AU963" s="76"/>
      <c r="AV963" s="76"/>
      <c r="AW963" s="76"/>
      <c r="AX963" s="76"/>
      <c r="AY963" s="76"/>
      <c r="AZ963" s="76"/>
      <c r="BA963" s="76"/>
      <c r="BB963" s="76"/>
    </row>
    <row r="964" spans="5:54" x14ac:dyDescent="0.35">
      <c r="E964" s="83"/>
      <c r="F964" s="83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  <c r="Z964" s="76"/>
      <c r="AA964" s="76"/>
      <c r="AB964" s="76"/>
      <c r="AC964" s="76"/>
      <c r="AD964" s="76"/>
      <c r="AE964" s="76"/>
      <c r="AF964" s="76"/>
      <c r="AG964" s="76"/>
      <c r="AH964" s="76"/>
      <c r="AI964" s="76"/>
      <c r="AJ964" s="76"/>
      <c r="AK964" s="76"/>
      <c r="AL964" s="76"/>
      <c r="AM964" s="76"/>
      <c r="AN964" s="76"/>
      <c r="AO964" s="76"/>
      <c r="AP964" s="76"/>
      <c r="AQ964" s="76"/>
      <c r="AR964" s="76"/>
      <c r="AS964" s="76"/>
      <c r="AT964" s="76"/>
      <c r="AU964" s="76"/>
      <c r="AV964" s="76"/>
      <c r="AW964" s="76"/>
      <c r="AX964" s="76"/>
      <c r="AY964" s="76"/>
      <c r="AZ964" s="76"/>
      <c r="BA964" s="76"/>
      <c r="BB964" s="76"/>
    </row>
    <row r="965" spans="5:54" x14ac:dyDescent="0.35">
      <c r="E965" s="83"/>
      <c r="F965" s="83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  <c r="Z965" s="76"/>
      <c r="AA965" s="76"/>
      <c r="AB965" s="76"/>
      <c r="AC965" s="76"/>
      <c r="AD965" s="76"/>
      <c r="AE965" s="76"/>
      <c r="AF965" s="76"/>
      <c r="AG965" s="76"/>
      <c r="AH965" s="76"/>
      <c r="AI965" s="76"/>
      <c r="AJ965" s="76"/>
      <c r="AK965" s="76"/>
      <c r="AL965" s="76"/>
      <c r="AM965" s="76"/>
      <c r="AN965" s="76"/>
      <c r="AO965" s="76"/>
      <c r="AP965" s="76"/>
      <c r="AQ965" s="76"/>
      <c r="AR965" s="76"/>
      <c r="AS965" s="76"/>
      <c r="AT965" s="76"/>
      <c r="AU965" s="76"/>
      <c r="AV965" s="76"/>
      <c r="AW965" s="76"/>
      <c r="AX965" s="76"/>
      <c r="AY965" s="76"/>
      <c r="AZ965" s="76"/>
      <c r="BA965" s="76"/>
      <c r="BB965" s="76"/>
    </row>
    <row r="966" spans="5:54" x14ac:dyDescent="0.35">
      <c r="E966" s="83"/>
      <c r="F966" s="83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  <c r="Z966" s="76"/>
      <c r="AA966" s="76"/>
      <c r="AB966" s="76"/>
      <c r="AC966" s="76"/>
      <c r="AD966" s="76"/>
      <c r="AE966" s="76"/>
      <c r="AF966" s="76"/>
      <c r="AG966" s="76"/>
      <c r="AH966" s="76"/>
      <c r="AI966" s="76"/>
      <c r="AJ966" s="76"/>
      <c r="AK966" s="76"/>
      <c r="AL966" s="76"/>
      <c r="AM966" s="76"/>
      <c r="AN966" s="76"/>
      <c r="AO966" s="76"/>
      <c r="AP966" s="76"/>
      <c r="AQ966" s="76"/>
      <c r="AR966" s="76"/>
      <c r="AS966" s="76"/>
      <c r="AT966" s="76"/>
      <c r="AU966" s="76"/>
      <c r="AV966" s="76"/>
      <c r="AW966" s="76"/>
      <c r="AX966" s="76"/>
      <c r="AY966" s="76"/>
      <c r="AZ966" s="76"/>
      <c r="BA966" s="76"/>
      <c r="BB966" s="76"/>
    </row>
    <row r="967" spans="5:54" x14ac:dyDescent="0.35">
      <c r="E967" s="83"/>
      <c r="F967" s="83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  <c r="Z967" s="76"/>
      <c r="AA967" s="76"/>
      <c r="AB967" s="76"/>
      <c r="AC967" s="76"/>
      <c r="AD967" s="76"/>
      <c r="AE967" s="76"/>
      <c r="AF967" s="76"/>
      <c r="AG967" s="76"/>
      <c r="AH967" s="76"/>
      <c r="AI967" s="76"/>
      <c r="AJ967" s="76"/>
      <c r="AK967" s="76"/>
      <c r="AL967" s="76"/>
      <c r="AM967" s="76"/>
      <c r="AN967" s="76"/>
      <c r="AO967" s="76"/>
      <c r="AP967" s="76"/>
      <c r="AQ967" s="76"/>
      <c r="AR967" s="76"/>
      <c r="AS967" s="76"/>
      <c r="AT967" s="76"/>
      <c r="AU967" s="76"/>
      <c r="AV967" s="76"/>
      <c r="AW967" s="76"/>
      <c r="AX967" s="76"/>
      <c r="AY967" s="76"/>
      <c r="AZ967" s="76"/>
      <c r="BA967" s="76"/>
      <c r="BB967" s="76"/>
    </row>
    <row r="968" spans="5:54" x14ac:dyDescent="0.35">
      <c r="E968" s="83"/>
      <c r="F968" s="83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  <c r="Z968" s="76"/>
      <c r="AA968" s="76"/>
      <c r="AB968" s="76"/>
      <c r="AC968" s="76"/>
      <c r="AD968" s="76"/>
      <c r="AE968" s="76"/>
      <c r="AF968" s="76"/>
      <c r="AG968" s="76"/>
      <c r="AH968" s="76"/>
      <c r="AI968" s="76"/>
      <c r="AJ968" s="76"/>
      <c r="AK968" s="76"/>
      <c r="AL968" s="76"/>
      <c r="AM968" s="76"/>
      <c r="AN968" s="76"/>
      <c r="AO968" s="76"/>
      <c r="AP968" s="76"/>
      <c r="AQ968" s="76"/>
      <c r="AR968" s="76"/>
      <c r="AS968" s="76"/>
      <c r="AT968" s="76"/>
      <c r="AU968" s="76"/>
      <c r="AV968" s="76"/>
      <c r="AW968" s="76"/>
      <c r="AX968" s="76"/>
      <c r="AY968" s="76"/>
      <c r="AZ968" s="76"/>
      <c r="BA968" s="76"/>
      <c r="BB968" s="76"/>
    </row>
    <row r="969" spans="5:54" x14ac:dyDescent="0.35">
      <c r="E969" s="83"/>
      <c r="F969" s="83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  <c r="Z969" s="76"/>
      <c r="AA969" s="76"/>
      <c r="AB969" s="76"/>
      <c r="AC969" s="76"/>
      <c r="AD969" s="76"/>
      <c r="AE969" s="76"/>
      <c r="AF969" s="76"/>
      <c r="AG969" s="76"/>
      <c r="AH969" s="76"/>
      <c r="AI969" s="76"/>
      <c r="AJ969" s="76"/>
      <c r="AK969" s="76"/>
      <c r="AL969" s="76"/>
      <c r="AM969" s="76"/>
      <c r="AN969" s="76"/>
      <c r="AO969" s="76"/>
      <c r="AP969" s="76"/>
      <c r="AQ969" s="76"/>
      <c r="AR969" s="76"/>
      <c r="AS969" s="76"/>
      <c r="AT969" s="76"/>
      <c r="AU969" s="76"/>
      <c r="AV969" s="76"/>
      <c r="AW969" s="76"/>
      <c r="AX969" s="76"/>
      <c r="AY969" s="76"/>
      <c r="AZ969" s="76"/>
      <c r="BA969" s="76"/>
      <c r="BB969" s="76"/>
    </row>
    <row r="970" spans="5:54" x14ac:dyDescent="0.35">
      <c r="E970" s="83"/>
      <c r="F970" s="83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  <c r="Z970" s="76"/>
      <c r="AA970" s="76"/>
      <c r="AB970" s="76"/>
      <c r="AC970" s="76"/>
      <c r="AD970" s="76"/>
      <c r="AE970" s="76"/>
      <c r="AF970" s="76"/>
      <c r="AG970" s="76"/>
      <c r="AH970" s="76"/>
      <c r="AI970" s="76"/>
      <c r="AJ970" s="76"/>
      <c r="AK970" s="76"/>
      <c r="AL970" s="76"/>
      <c r="AM970" s="76"/>
      <c r="AN970" s="76"/>
      <c r="AO970" s="76"/>
      <c r="AP970" s="76"/>
      <c r="AQ970" s="76"/>
      <c r="AR970" s="76"/>
      <c r="AS970" s="76"/>
      <c r="AT970" s="76"/>
      <c r="AU970" s="76"/>
      <c r="AV970" s="76"/>
      <c r="AW970" s="76"/>
      <c r="AX970" s="76"/>
      <c r="AY970" s="76"/>
      <c r="AZ970" s="76"/>
      <c r="BA970" s="76"/>
      <c r="BB970" s="76"/>
    </row>
    <row r="971" spans="5:54" x14ac:dyDescent="0.35">
      <c r="E971" s="83"/>
      <c r="F971" s="83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  <c r="Z971" s="76"/>
      <c r="AA971" s="76"/>
      <c r="AB971" s="76"/>
      <c r="AC971" s="76"/>
      <c r="AD971" s="76"/>
      <c r="AE971" s="76"/>
      <c r="AF971" s="76"/>
      <c r="AG971" s="76"/>
      <c r="AH971" s="76"/>
      <c r="AI971" s="76"/>
      <c r="AJ971" s="76"/>
      <c r="AK971" s="76"/>
      <c r="AL971" s="76"/>
      <c r="AM971" s="76"/>
      <c r="AN971" s="76"/>
      <c r="AO971" s="76"/>
      <c r="AP971" s="76"/>
      <c r="AQ971" s="76"/>
      <c r="AR971" s="76"/>
      <c r="AS971" s="76"/>
      <c r="AT971" s="76"/>
      <c r="AU971" s="76"/>
      <c r="AV971" s="76"/>
      <c r="AW971" s="76"/>
      <c r="AX971" s="76"/>
      <c r="AY971" s="76"/>
      <c r="AZ971" s="76"/>
      <c r="BA971" s="76"/>
      <c r="BB971" s="76"/>
    </row>
    <row r="972" spans="5:54" x14ac:dyDescent="0.35">
      <c r="E972" s="83"/>
      <c r="F972" s="83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  <c r="Z972" s="76"/>
      <c r="AA972" s="76"/>
      <c r="AB972" s="76"/>
      <c r="AC972" s="76"/>
      <c r="AD972" s="76"/>
      <c r="AE972" s="76"/>
      <c r="AF972" s="76"/>
      <c r="AG972" s="76"/>
      <c r="AH972" s="76"/>
      <c r="AI972" s="76"/>
      <c r="AJ972" s="76"/>
      <c r="AK972" s="76"/>
      <c r="AL972" s="76"/>
      <c r="AM972" s="76"/>
      <c r="AN972" s="76"/>
      <c r="AO972" s="76"/>
      <c r="AP972" s="76"/>
      <c r="AQ972" s="76"/>
      <c r="AR972" s="76"/>
      <c r="AS972" s="76"/>
      <c r="AT972" s="76"/>
      <c r="AU972" s="76"/>
      <c r="AV972" s="76"/>
      <c r="AW972" s="76"/>
      <c r="AX972" s="76"/>
      <c r="AY972" s="76"/>
      <c r="AZ972" s="76"/>
      <c r="BA972" s="76"/>
      <c r="BB972" s="76"/>
    </row>
    <row r="973" spans="5:54" x14ac:dyDescent="0.35">
      <c r="E973" s="83"/>
      <c r="F973" s="83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  <c r="Z973" s="76"/>
      <c r="AA973" s="76"/>
      <c r="AB973" s="76"/>
      <c r="AC973" s="76"/>
      <c r="AD973" s="76"/>
      <c r="AE973" s="76"/>
      <c r="AF973" s="76"/>
      <c r="AG973" s="76"/>
      <c r="AH973" s="76"/>
      <c r="AI973" s="76"/>
      <c r="AJ973" s="76"/>
      <c r="AK973" s="76"/>
      <c r="AL973" s="76"/>
      <c r="AM973" s="76"/>
      <c r="AN973" s="76"/>
      <c r="AO973" s="76"/>
      <c r="AP973" s="76"/>
      <c r="AQ973" s="76"/>
      <c r="AR973" s="76"/>
      <c r="AS973" s="76"/>
      <c r="AT973" s="76"/>
      <c r="AU973" s="76"/>
      <c r="AV973" s="76"/>
      <c r="AW973" s="76"/>
      <c r="AX973" s="76"/>
      <c r="AY973" s="76"/>
      <c r="AZ973" s="76"/>
      <c r="BA973" s="76"/>
      <c r="BB973" s="76"/>
    </row>
    <row r="974" spans="5:54" x14ac:dyDescent="0.35">
      <c r="E974" s="83"/>
      <c r="F974" s="83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  <c r="Z974" s="76"/>
      <c r="AA974" s="76"/>
      <c r="AB974" s="76"/>
      <c r="AC974" s="76"/>
      <c r="AD974" s="76"/>
      <c r="AE974" s="76"/>
      <c r="AF974" s="76"/>
      <c r="AG974" s="76"/>
      <c r="AH974" s="76"/>
      <c r="AI974" s="76"/>
      <c r="AJ974" s="76"/>
      <c r="AK974" s="76"/>
      <c r="AL974" s="76"/>
      <c r="AM974" s="76"/>
      <c r="AN974" s="76"/>
      <c r="AO974" s="76"/>
      <c r="AP974" s="76"/>
      <c r="AQ974" s="76"/>
      <c r="AR974" s="76"/>
      <c r="AS974" s="76"/>
      <c r="AT974" s="76"/>
      <c r="AU974" s="76"/>
      <c r="AV974" s="76"/>
      <c r="AW974" s="76"/>
      <c r="AX974" s="76"/>
      <c r="AY974" s="76"/>
      <c r="AZ974" s="76"/>
      <c r="BA974" s="76"/>
      <c r="BB974" s="76"/>
    </row>
    <row r="975" spans="5:54" x14ac:dyDescent="0.35">
      <c r="E975" s="83"/>
      <c r="F975" s="83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  <c r="Z975" s="76"/>
      <c r="AA975" s="76"/>
      <c r="AB975" s="76"/>
      <c r="AC975" s="76"/>
      <c r="AD975" s="76"/>
      <c r="AE975" s="76"/>
      <c r="AF975" s="76"/>
      <c r="AG975" s="76"/>
      <c r="AH975" s="76"/>
      <c r="AI975" s="76"/>
      <c r="AJ975" s="76"/>
      <c r="AK975" s="76"/>
      <c r="AL975" s="76"/>
      <c r="AM975" s="76"/>
      <c r="AN975" s="76"/>
      <c r="AO975" s="76"/>
      <c r="AP975" s="76"/>
      <c r="AQ975" s="76"/>
      <c r="AR975" s="76"/>
      <c r="AS975" s="76"/>
      <c r="AT975" s="76"/>
      <c r="AU975" s="76"/>
      <c r="AV975" s="76"/>
      <c r="AW975" s="76"/>
      <c r="AX975" s="76"/>
      <c r="AY975" s="76"/>
      <c r="AZ975" s="76"/>
      <c r="BA975" s="76"/>
      <c r="BB975" s="76"/>
    </row>
    <row r="976" spans="5:54" x14ac:dyDescent="0.35">
      <c r="E976" s="83"/>
      <c r="F976" s="83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  <c r="Z976" s="76"/>
      <c r="AA976" s="76"/>
      <c r="AB976" s="76"/>
      <c r="AC976" s="76"/>
      <c r="AD976" s="76"/>
      <c r="AE976" s="76"/>
      <c r="AF976" s="76"/>
      <c r="AG976" s="76"/>
      <c r="AH976" s="76"/>
      <c r="AI976" s="76"/>
      <c r="AJ976" s="76"/>
      <c r="AK976" s="76"/>
      <c r="AL976" s="76"/>
      <c r="AM976" s="76"/>
      <c r="AN976" s="76"/>
      <c r="AO976" s="76"/>
      <c r="AP976" s="76"/>
      <c r="AQ976" s="76"/>
      <c r="AR976" s="76"/>
      <c r="AS976" s="76"/>
      <c r="AT976" s="76"/>
      <c r="AU976" s="76"/>
      <c r="AV976" s="76"/>
      <c r="AW976" s="76"/>
      <c r="AX976" s="76"/>
      <c r="AY976" s="76"/>
      <c r="AZ976" s="76"/>
      <c r="BA976" s="76"/>
      <c r="BB976" s="76"/>
    </row>
    <row r="977" spans="5:54" x14ac:dyDescent="0.35">
      <c r="E977" s="83"/>
      <c r="F977" s="83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  <c r="Z977" s="76"/>
      <c r="AA977" s="76"/>
      <c r="AB977" s="76"/>
      <c r="AC977" s="76"/>
      <c r="AD977" s="76"/>
      <c r="AE977" s="76"/>
      <c r="AF977" s="76"/>
      <c r="AG977" s="76"/>
      <c r="AH977" s="76"/>
      <c r="AI977" s="76"/>
      <c r="AJ977" s="76"/>
      <c r="AK977" s="76"/>
      <c r="AL977" s="76"/>
      <c r="AM977" s="76"/>
      <c r="AN977" s="76"/>
      <c r="AO977" s="76"/>
      <c r="AP977" s="76"/>
      <c r="AQ977" s="76"/>
      <c r="AR977" s="76"/>
      <c r="AS977" s="76"/>
      <c r="AT977" s="76"/>
      <c r="AU977" s="76"/>
      <c r="AV977" s="76"/>
      <c r="AW977" s="76"/>
      <c r="AX977" s="76"/>
      <c r="AY977" s="76"/>
      <c r="AZ977" s="76"/>
      <c r="BA977" s="76"/>
      <c r="BB977" s="76"/>
    </row>
    <row r="978" spans="5:54" x14ac:dyDescent="0.35">
      <c r="E978" s="83"/>
      <c r="F978" s="83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  <c r="Z978" s="76"/>
      <c r="AA978" s="76"/>
      <c r="AB978" s="76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76"/>
      <c r="BB978" s="76"/>
    </row>
    <row r="979" spans="5:54" x14ac:dyDescent="0.35">
      <c r="E979" s="83"/>
      <c r="F979" s="83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  <c r="Z979" s="76"/>
      <c r="AA979" s="76"/>
      <c r="AB979" s="76"/>
      <c r="AC979" s="76"/>
      <c r="AD979" s="76"/>
      <c r="AE979" s="76"/>
      <c r="AF979" s="76"/>
      <c r="AG979" s="76"/>
      <c r="AH979" s="76"/>
      <c r="AI979" s="76"/>
      <c r="AJ979" s="76"/>
      <c r="AK979" s="76"/>
      <c r="AL979" s="76"/>
      <c r="AM979" s="76"/>
      <c r="AN979" s="76"/>
      <c r="AO979" s="76"/>
      <c r="AP979" s="76"/>
      <c r="AQ979" s="76"/>
      <c r="AR979" s="76"/>
      <c r="AS979" s="76"/>
      <c r="AT979" s="76"/>
      <c r="AU979" s="76"/>
      <c r="AV979" s="76"/>
      <c r="AW979" s="76"/>
      <c r="AX979" s="76"/>
      <c r="AY979" s="76"/>
      <c r="AZ979" s="76"/>
      <c r="BA979" s="76"/>
      <c r="BB979" s="76"/>
    </row>
    <row r="980" spans="5:54" x14ac:dyDescent="0.35">
      <c r="E980" s="83"/>
      <c r="F980" s="83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  <c r="Z980" s="76"/>
      <c r="AA980" s="76"/>
      <c r="AB980" s="76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76"/>
      <c r="BB980" s="76"/>
    </row>
    <row r="981" spans="5:54" x14ac:dyDescent="0.35">
      <c r="E981" s="83"/>
      <c r="F981" s="83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  <c r="Z981" s="76"/>
      <c r="AA981" s="76"/>
      <c r="AB981" s="76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/>
      <c r="AO981" s="76"/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76"/>
      <c r="BB981" s="76"/>
    </row>
    <row r="982" spans="5:54" x14ac:dyDescent="0.35">
      <c r="E982" s="83"/>
      <c r="F982" s="83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  <c r="Z982" s="76"/>
      <c r="AA982" s="76"/>
      <c r="AB982" s="76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76"/>
      <c r="BB982" s="76"/>
    </row>
    <row r="983" spans="5:54" x14ac:dyDescent="0.35">
      <c r="E983" s="83"/>
      <c r="F983" s="83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  <c r="Z983" s="76"/>
      <c r="AA983" s="76"/>
      <c r="AB983" s="76"/>
      <c r="AC983" s="76"/>
      <c r="AD983" s="76"/>
      <c r="AE983" s="76"/>
      <c r="AF983" s="76"/>
      <c r="AG983" s="76"/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76"/>
      <c r="BB983" s="76"/>
    </row>
    <row r="984" spans="5:54" x14ac:dyDescent="0.35">
      <c r="E984" s="83"/>
      <c r="F984" s="83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  <c r="Z984" s="76"/>
      <c r="AA984" s="76"/>
      <c r="AB984" s="76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6"/>
      <c r="BB984" s="76"/>
    </row>
    <row r="985" spans="5:54" x14ac:dyDescent="0.35">
      <c r="E985" s="83"/>
      <c r="F985" s="83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  <c r="Z985" s="76"/>
      <c r="AA985" s="76"/>
      <c r="AB985" s="76"/>
      <c r="AC985" s="76"/>
      <c r="AD985" s="76"/>
      <c r="AE985" s="76"/>
      <c r="AF985" s="76"/>
      <c r="AG985" s="76"/>
      <c r="AH985" s="76"/>
      <c r="AI985" s="76"/>
      <c r="AJ985" s="76"/>
      <c r="AK985" s="76"/>
      <c r="AL985" s="76"/>
      <c r="AM985" s="76"/>
      <c r="AN985" s="76"/>
      <c r="AO985" s="76"/>
      <c r="AP985" s="76"/>
      <c r="AQ985" s="76"/>
      <c r="AR985" s="76"/>
      <c r="AS985" s="76"/>
      <c r="AT985" s="76"/>
      <c r="AU985" s="76"/>
      <c r="AV985" s="76"/>
      <c r="AW985" s="76"/>
      <c r="AX985" s="76"/>
      <c r="AY985" s="76"/>
      <c r="AZ985" s="76"/>
      <c r="BA985" s="76"/>
      <c r="BB985" s="76"/>
    </row>
    <row r="986" spans="5:54" x14ac:dyDescent="0.35">
      <c r="E986" s="83"/>
      <c r="F986" s="83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  <c r="Z986" s="76"/>
      <c r="AA986" s="76"/>
      <c r="AB986" s="76"/>
      <c r="AC986" s="76"/>
      <c r="AD986" s="76"/>
      <c r="AE986" s="76"/>
      <c r="AF986" s="76"/>
      <c r="AG986" s="76"/>
      <c r="AH986" s="76"/>
      <c r="AI986" s="76"/>
      <c r="AJ986" s="76"/>
      <c r="AK986" s="76"/>
      <c r="AL986" s="76"/>
      <c r="AM986" s="76"/>
      <c r="AN986" s="76"/>
      <c r="AO986" s="76"/>
      <c r="AP986" s="76"/>
      <c r="AQ986" s="76"/>
      <c r="AR986" s="76"/>
      <c r="AS986" s="76"/>
      <c r="AT986" s="76"/>
      <c r="AU986" s="76"/>
      <c r="AV986" s="76"/>
      <c r="AW986" s="76"/>
      <c r="AX986" s="76"/>
      <c r="AY986" s="76"/>
      <c r="AZ986" s="76"/>
      <c r="BA986" s="76"/>
      <c r="BB986" s="76"/>
    </row>
    <row r="987" spans="5:54" x14ac:dyDescent="0.35">
      <c r="E987" s="83"/>
      <c r="F987" s="83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  <c r="Z987" s="76"/>
      <c r="AA987" s="76"/>
      <c r="AB987" s="76"/>
      <c r="AC987" s="76"/>
      <c r="AD987" s="76"/>
      <c r="AE987" s="76"/>
      <c r="AF987" s="76"/>
      <c r="AG987" s="76"/>
      <c r="AH987" s="76"/>
      <c r="AI987" s="76"/>
      <c r="AJ987" s="76"/>
      <c r="AK987" s="76"/>
      <c r="AL987" s="76"/>
      <c r="AM987" s="76"/>
      <c r="AN987" s="76"/>
      <c r="AO987" s="76"/>
      <c r="AP987" s="76"/>
      <c r="AQ987" s="76"/>
      <c r="AR987" s="76"/>
      <c r="AS987" s="76"/>
      <c r="AT987" s="76"/>
      <c r="AU987" s="76"/>
      <c r="AV987" s="76"/>
      <c r="AW987" s="76"/>
      <c r="AX987" s="76"/>
      <c r="AY987" s="76"/>
      <c r="AZ987" s="76"/>
      <c r="BA987" s="76"/>
      <c r="BB987" s="76"/>
    </row>
    <row r="988" spans="5:54" x14ac:dyDescent="0.35">
      <c r="E988" s="83"/>
      <c r="F988" s="83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  <c r="Z988" s="76"/>
      <c r="AA988" s="76"/>
      <c r="AB988" s="76"/>
      <c r="AC988" s="76"/>
      <c r="AD988" s="76"/>
      <c r="AE988" s="76"/>
      <c r="AF988" s="76"/>
      <c r="AG988" s="76"/>
      <c r="AH988" s="76"/>
      <c r="AI988" s="76"/>
      <c r="AJ988" s="76"/>
      <c r="AK988" s="76"/>
      <c r="AL988" s="76"/>
      <c r="AM988" s="76"/>
      <c r="AN988" s="76"/>
      <c r="AO988" s="76"/>
      <c r="AP988" s="76"/>
      <c r="AQ988" s="76"/>
      <c r="AR988" s="76"/>
      <c r="AS988" s="76"/>
      <c r="AT988" s="76"/>
      <c r="AU988" s="76"/>
      <c r="AV988" s="76"/>
      <c r="AW988" s="76"/>
      <c r="AX988" s="76"/>
      <c r="AY988" s="76"/>
      <c r="AZ988" s="76"/>
      <c r="BA988" s="76"/>
      <c r="BB988" s="76"/>
    </row>
    <row r="989" spans="5:54" x14ac:dyDescent="0.35">
      <c r="E989" s="83"/>
      <c r="F989" s="83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  <c r="Z989" s="76"/>
      <c r="AA989" s="76"/>
      <c r="AB989" s="76"/>
      <c r="AC989" s="76"/>
      <c r="AD989" s="76"/>
      <c r="AE989" s="76"/>
      <c r="AF989" s="76"/>
      <c r="AG989" s="76"/>
      <c r="AH989" s="76"/>
      <c r="AI989" s="76"/>
      <c r="AJ989" s="76"/>
      <c r="AK989" s="76"/>
      <c r="AL989" s="76"/>
      <c r="AM989" s="76"/>
      <c r="AN989" s="76"/>
      <c r="AO989" s="76"/>
      <c r="AP989" s="76"/>
      <c r="AQ989" s="76"/>
      <c r="AR989" s="76"/>
      <c r="AS989" s="76"/>
      <c r="AT989" s="76"/>
      <c r="AU989" s="76"/>
      <c r="AV989" s="76"/>
      <c r="AW989" s="76"/>
      <c r="AX989" s="76"/>
      <c r="AY989" s="76"/>
      <c r="AZ989" s="76"/>
      <c r="BA989" s="76"/>
      <c r="BB989" s="76"/>
    </row>
    <row r="990" spans="5:54" x14ac:dyDescent="0.35">
      <c r="E990" s="83"/>
      <c r="F990" s="83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  <c r="Z990" s="76"/>
      <c r="AA990" s="76"/>
      <c r="AB990" s="76"/>
      <c r="AC990" s="76"/>
      <c r="AD990" s="76"/>
      <c r="AE990" s="76"/>
      <c r="AF990" s="76"/>
      <c r="AG990" s="76"/>
      <c r="AH990" s="76"/>
      <c r="AI990" s="76"/>
      <c r="AJ990" s="76"/>
      <c r="AK990" s="76"/>
      <c r="AL990" s="76"/>
      <c r="AM990" s="76"/>
      <c r="AN990" s="76"/>
      <c r="AO990" s="76"/>
      <c r="AP990" s="76"/>
      <c r="AQ990" s="76"/>
      <c r="AR990" s="76"/>
      <c r="AS990" s="76"/>
      <c r="AT990" s="76"/>
      <c r="AU990" s="76"/>
      <c r="AV990" s="76"/>
      <c r="AW990" s="76"/>
      <c r="AX990" s="76"/>
      <c r="AY990" s="76"/>
      <c r="AZ990" s="76"/>
      <c r="BA990" s="76"/>
      <c r="BB990" s="76"/>
    </row>
    <row r="991" spans="5:54" x14ac:dyDescent="0.35">
      <c r="E991" s="83"/>
      <c r="F991" s="83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  <c r="Z991" s="76"/>
      <c r="AA991" s="76"/>
      <c r="AB991" s="76"/>
      <c r="AC991" s="76"/>
      <c r="AD991" s="76"/>
      <c r="AE991" s="76"/>
      <c r="AF991" s="76"/>
      <c r="AG991" s="76"/>
      <c r="AH991" s="76"/>
      <c r="AI991" s="76"/>
      <c r="AJ991" s="76"/>
      <c r="AK991" s="76"/>
      <c r="AL991" s="76"/>
      <c r="AM991" s="76"/>
      <c r="AN991" s="76"/>
      <c r="AO991" s="76"/>
      <c r="AP991" s="76"/>
      <c r="AQ991" s="76"/>
      <c r="AR991" s="76"/>
      <c r="AS991" s="76"/>
      <c r="AT991" s="76"/>
      <c r="AU991" s="76"/>
      <c r="AV991" s="76"/>
      <c r="AW991" s="76"/>
      <c r="AX991" s="76"/>
      <c r="AY991" s="76"/>
      <c r="AZ991" s="76"/>
      <c r="BA991" s="76"/>
      <c r="BB991" s="76"/>
    </row>
    <row r="992" spans="5:54" x14ac:dyDescent="0.35">
      <c r="E992" s="83"/>
      <c r="F992" s="83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  <c r="Z992" s="76"/>
      <c r="AA992" s="76"/>
      <c r="AB992" s="76"/>
      <c r="AC992" s="76"/>
      <c r="AD992" s="76"/>
      <c r="AE992" s="76"/>
      <c r="AF992" s="76"/>
      <c r="AG992" s="76"/>
      <c r="AH992" s="76"/>
      <c r="AI992" s="76"/>
      <c r="AJ992" s="76"/>
      <c r="AK992" s="76"/>
      <c r="AL992" s="76"/>
      <c r="AM992" s="76"/>
      <c r="AN992" s="76"/>
      <c r="AO992" s="76"/>
      <c r="AP992" s="76"/>
      <c r="AQ992" s="76"/>
      <c r="AR992" s="76"/>
      <c r="AS992" s="76"/>
      <c r="AT992" s="76"/>
      <c r="AU992" s="76"/>
      <c r="AV992" s="76"/>
      <c r="AW992" s="76"/>
      <c r="AX992" s="76"/>
      <c r="AY992" s="76"/>
      <c r="AZ992" s="76"/>
      <c r="BA992" s="76"/>
      <c r="BB992" s="76"/>
    </row>
    <row r="993" spans="5:54" x14ac:dyDescent="0.35">
      <c r="E993" s="83"/>
      <c r="F993" s="83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  <c r="Z993" s="76"/>
      <c r="AA993" s="76"/>
      <c r="AB993" s="76"/>
      <c r="AC993" s="76"/>
      <c r="AD993" s="76"/>
      <c r="AE993" s="76"/>
      <c r="AF993" s="76"/>
      <c r="AG993" s="76"/>
      <c r="AH993" s="76"/>
      <c r="AI993" s="76"/>
      <c r="AJ993" s="76"/>
      <c r="AK993" s="76"/>
      <c r="AL993" s="76"/>
      <c r="AM993" s="76"/>
      <c r="AN993" s="76"/>
      <c r="AO993" s="76"/>
      <c r="AP993" s="76"/>
      <c r="AQ993" s="76"/>
      <c r="AR993" s="76"/>
      <c r="AS993" s="76"/>
      <c r="AT993" s="76"/>
      <c r="AU993" s="76"/>
      <c r="AV993" s="76"/>
      <c r="AW993" s="76"/>
      <c r="AX993" s="76"/>
      <c r="AY993" s="76"/>
      <c r="AZ993" s="76"/>
      <c r="BA993" s="76"/>
      <c r="BB993" s="76"/>
    </row>
    <row r="994" spans="5:54" x14ac:dyDescent="0.35">
      <c r="E994" s="83"/>
      <c r="F994" s="83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  <c r="Z994" s="76"/>
      <c r="AA994" s="76"/>
      <c r="AB994" s="76"/>
      <c r="AC994" s="76"/>
      <c r="AD994" s="76"/>
      <c r="AE994" s="76"/>
      <c r="AF994" s="76"/>
      <c r="AG994" s="76"/>
      <c r="AH994" s="76"/>
      <c r="AI994" s="76"/>
      <c r="AJ994" s="76"/>
      <c r="AK994" s="76"/>
      <c r="AL994" s="76"/>
      <c r="AM994" s="76"/>
      <c r="AN994" s="76"/>
      <c r="AO994" s="76"/>
      <c r="AP994" s="76"/>
      <c r="AQ994" s="76"/>
      <c r="AR994" s="76"/>
      <c r="AS994" s="76"/>
      <c r="AT994" s="76"/>
      <c r="AU994" s="76"/>
      <c r="AV994" s="76"/>
      <c r="AW994" s="76"/>
      <c r="AX994" s="76"/>
      <c r="AY994" s="76"/>
      <c r="AZ994" s="76"/>
      <c r="BA994" s="76"/>
      <c r="BB994" s="76"/>
    </row>
    <row r="995" spans="5:54" x14ac:dyDescent="0.35">
      <c r="E995" s="83"/>
      <c r="F995" s="83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  <c r="Z995" s="76"/>
      <c r="AA995" s="76"/>
      <c r="AB995" s="76"/>
      <c r="AC995" s="76"/>
      <c r="AD995" s="76"/>
      <c r="AE995" s="76"/>
      <c r="AF995" s="76"/>
      <c r="AG995" s="76"/>
      <c r="AH995" s="76"/>
      <c r="AI995" s="76"/>
      <c r="AJ995" s="76"/>
      <c r="AK995" s="76"/>
      <c r="AL995" s="76"/>
      <c r="AM995" s="76"/>
      <c r="AN995" s="76"/>
      <c r="AO995" s="76"/>
      <c r="AP995" s="76"/>
      <c r="AQ995" s="76"/>
      <c r="AR995" s="76"/>
      <c r="AS995" s="76"/>
      <c r="AT995" s="76"/>
      <c r="AU995" s="76"/>
      <c r="AV995" s="76"/>
      <c r="AW995" s="76"/>
      <c r="AX995" s="76"/>
      <c r="AY995" s="76"/>
      <c r="AZ995" s="76"/>
      <c r="BA995" s="76"/>
      <c r="BB995" s="76"/>
    </row>
    <row r="996" spans="5:54" x14ac:dyDescent="0.35">
      <c r="E996" s="83"/>
      <c r="F996" s="83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  <c r="Z996" s="76"/>
      <c r="AA996" s="76"/>
      <c r="AB996" s="76"/>
      <c r="AC996" s="76"/>
      <c r="AD996" s="76"/>
      <c r="AE996" s="76"/>
      <c r="AF996" s="76"/>
      <c r="AG996" s="76"/>
      <c r="AH996" s="76"/>
      <c r="AI996" s="76"/>
      <c r="AJ996" s="76"/>
      <c r="AK996" s="76"/>
      <c r="AL996" s="76"/>
      <c r="AM996" s="76"/>
      <c r="AN996" s="76"/>
      <c r="AO996" s="76"/>
      <c r="AP996" s="76"/>
      <c r="AQ996" s="76"/>
      <c r="AR996" s="76"/>
      <c r="AS996" s="76"/>
      <c r="AT996" s="76"/>
      <c r="AU996" s="76"/>
      <c r="AV996" s="76"/>
      <c r="AW996" s="76"/>
      <c r="AX996" s="76"/>
      <c r="AY996" s="76"/>
      <c r="AZ996" s="76"/>
      <c r="BA996" s="76"/>
      <c r="BB996" s="76"/>
    </row>
    <row r="997" spans="5:54" x14ac:dyDescent="0.35">
      <c r="E997" s="83"/>
      <c r="F997" s="83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  <c r="Z997" s="76"/>
      <c r="AA997" s="76"/>
      <c r="AB997" s="76"/>
      <c r="AC997" s="76"/>
      <c r="AD997" s="76"/>
      <c r="AE997" s="76"/>
      <c r="AF997" s="76"/>
      <c r="AG997" s="76"/>
      <c r="AH997" s="76"/>
      <c r="AI997" s="76"/>
      <c r="AJ997" s="76"/>
      <c r="AK997" s="76"/>
      <c r="AL997" s="76"/>
      <c r="AM997" s="76"/>
      <c r="AN997" s="76"/>
      <c r="AO997" s="76"/>
      <c r="AP997" s="76"/>
      <c r="AQ997" s="76"/>
      <c r="AR997" s="76"/>
      <c r="AS997" s="76"/>
      <c r="AT997" s="76"/>
      <c r="AU997" s="76"/>
      <c r="AV997" s="76"/>
      <c r="AW997" s="76"/>
      <c r="AX997" s="76"/>
      <c r="AY997" s="76"/>
      <c r="AZ997" s="76"/>
      <c r="BA997" s="76"/>
      <c r="BB997" s="76"/>
    </row>
    <row r="998" spans="5:54" x14ac:dyDescent="0.35">
      <c r="E998" s="83"/>
      <c r="F998" s="83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  <c r="Z998" s="76"/>
      <c r="AA998" s="76"/>
      <c r="AB998" s="76"/>
      <c r="AC998" s="76"/>
      <c r="AD998" s="76"/>
      <c r="AE998" s="76"/>
      <c r="AF998" s="76"/>
      <c r="AG998" s="76"/>
      <c r="AH998" s="76"/>
      <c r="AI998" s="76"/>
      <c r="AJ998" s="76"/>
      <c r="AK998" s="76"/>
      <c r="AL998" s="76"/>
      <c r="AM998" s="76"/>
      <c r="AN998" s="76"/>
      <c r="AO998" s="76"/>
      <c r="AP998" s="76"/>
      <c r="AQ998" s="76"/>
      <c r="AR998" s="76"/>
      <c r="AS998" s="76"/>
      <c r="AT998" s="76"/>
      <c r="AU998" s="76"/>
      <c r="AV998" s="76"/>
      <c r="AW998" s="76"/>
      <c r="AX998" s="76"/>
      <c r="AY998" s="76"/>
      <c r="AZ998" s="76"/>
      <c r="BA998" s="76"/>
      <c r="BB998" s="76"/>
    </row>
    <row r="999" spans="5:54" x14ac:dyDescent="0.35">
      <c r="E999" s="83"/>
      <c r="F999" s="83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  <c r="Z999" s="76"/>
      <c r="AA999" s="76"/>
      <c r="AB999" s="76"/>
      <c r="AC999" s="76"/>
      <c r="AD999" s="76"/>
      <c r="AE999" s="76"/>
      <c r="AF999" s="76"/>
      <c r="AG999" s="76"/>
      <c r="AH999" s="76"/>
      <c r="AI999" s="76"/>
      <c r="AJ999" s="76"/>
      <c r="AK999" s="76"/>
      <c r="AL999" s="76"/>
      <c r="AM999" s="76"/>
      <c r="AN999" s="76"/>
      <c r="AO999" s="76"/>
      <c r="AP999" s="76"/>
      <c r="AQ999" s="76"/>
      <c r="AR999" s="76"/>
      <c r="AS999" s="76"/>
      <c r="AT999" s="76"/>
      <c r="AU999" s="76"/>
      <c r="AV999" s="76"/>
      <c r="AW999" s="76"/>
      <c r="AX999" s="76"/>
      <c r="AY999" s="76"/>
      <c r="AZ999" s="76"/>
      <c r="BA999" s="76"/>
      <c r="BB999" s="76"/>
    </row>
    <row r="1000" spans="5:54" x14ac:dyDescent="0.35">
      <c r="E1000" s="83"/>
      <c r="F1000" s="83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  <c r="Z1000" s="76"/>
      <c r="AA1000" s="76"/>
      <c r="AB1000" s="76"/>
      <c r="AC1000" s="76"/>
      <c r="AD1000" s="76"/>
      <c r="AE1000" s="76"/>
      <c r="AF1000" s="76"/>
      <c r="AG1000" s="76"/>
      <c r="AH1000" s="76"/>
      <c r="AI1000" s="76"/>
      <c r="AJ1000" s="76"/>
      <c r="AK1000" s="76"/>
      <c r="AL1000" s="76"/>
      <c r="AM1000" s="76"/>
      <c r="AN1000" s="76"/>
      <c r="AO1000" s="76"/>
      <c r="AP1000" s="76"/>
      <c r="AQ1000" s="76"/>
      <c r="AR1000" s="76"/>
      <c r="AS1000" s="76"/>
      <c r="AT1000" s="76"/>
      <c r="AU1000" s="76"/>
      <c r="AV1000" s="76"/>
      <c r="AW1000" s="76"/>
      <c r="AX1000" s="76"/>
      <c r="AY1000" s="76"/>
      <c r="AZ1000" s="76"/>
      <c r="BA1000" s="76"/>
      <c r="BB1000" s="76"/>
    </row>
    <row r="1001" spans="5:54" x14ac:dyDescent="0.35">
      <c r="E1001" s="83"/>
      <c r="F1001" s="83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  <c r="Z1001" s="76"/>
      <c r="AA1001" s="76"/>
      <c r="AB1001" s="76"/>
      <c r="AC1001" s="76"/>
      <c r="AD1001" s="76"/>
      <c r="AE1001" s="76"/>
      <c r="AF1001" s="76"/>
      <c r="AG1001" s="76"/>
      <c r="AH1001" s="76"/>
      <c r="AI1001" s="76"/>
      <c r="AJ1001" s="76"/>
      <c r="AK1001" s="76"/>
      <c r="AL1001" s="76"/>
      <c r="AM1001" s="76"/>
      <c r="AN1001" s="76"/>
      <c r="AO1001" s="76"/>
      <c r="AP1001" s="76"/>
      <c r="AQ1001" s="76"/>
      <c r="AR1001" s="76"/>
      <c r="AS1001" s="76"/>
      <c r="AT1001" s="76"/>
      <c r="AU1001" s="76"/>
      <c r="AV1001" s="76"/>
      <c r="AW1001" s="76"/>
      <c r="AX1001" s="76"/>
      <c r="AY1001" s="76"/>
      <c r="AZ1001" s="76"/>
      <c r="BA1001" s="76"/>
      <c r="BB1001" s="76"/>
    </row>
    <row r="1002" spans="5:54" x14ac:dyDescent="0.35">
      <c r="E1002" s="83"/>
      <c r="F1002" s="83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  <c r="Z1002" s="76"/>
      <c r="AA1002" s="76"/>
      <c r="AB1002" s="76"/>
      <c r="AC1002" s="76"/>
      <c r="AD1002" s="76"/>
      <c r="AE1002" s="76"/>
      <c r="AF1002" s="76"/>
      <c r="AG1002" s="76"/>
      <c r="AH1002" s="76"/>
      <c r="AI1002" s="76"/>
      <c r="AJ1002" s="76"/>
      <c r="AK1002" s="76"/>
      <c r="AL1002" s="76"/>
      <c r="AM1002" s="76"/>
      <c r="AN1002" s="76"/>
      <c r="AO1002" s="76"/>
      <c r="AP1002" s="76"/>
      <c r="AQ1002" s="76"/>
      <c r="AR1002" s="76"/>
      <c r="AS1002" s="76"/>
      <c r="AT1002" s="76"/>
      <c r="AU1002" s="76"/>
      <c r="AV1002" s="76"/>
      <c r="AW1002" s="76"/>
      <c r="AX1002" s="76"/>
      <c r="AY1002" s="76"/>
      <c r="AZ1002" s="76"/>
      <c r="BA1002" s="76"/>
      <c r="BB1002" s="76"/>
    </row>
    <row r="1003" spans="5:54" x14ac:dyDescent="0.35">
      <c r="E1003" s="83"/>
      <c r="F1003" s="83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  <c r="Z1003" s="76"/>
      <c r="AA1003" s="76"/>
      <c r="AB1003" s="76"/>
      <c r="AC1003" s="76"/>
      <c r="AD1003" s="76"/>
      <c r="AE1003" s="76"/>
      <c r="AF1003" s="76"/>
      <c r="AG1003" s="76"/>
      <c r="AH1003" s="76"/>
      <c r="AI1003" s="76"/>
      <c r="AJ1003" s="76"/>
      <c r="AK1003" s="76"/>
      <c r="AL1003" s="76"/>
      <c r="AM1003" s="76"/>
      <c r="AN1003" s="76"/>
      <c r="AO1003" s="76"/>
      <c r="AP1003" s="76"/>
      <c r="AQ1003" s="76"/>
      <c r="AR1003" s="76"/>
      <c r="AS1003" s="76"/>
      <c r="AT1003" s="76"/>
      <c r="AU1003" s="76"/>
      <c r="AV1003" s="76"/>
      <c r="AW1003" s="76"/>
      <c r="AX1003" s="76"/>
      <c r="AY1003" s="76"/>
      <c r="AZ1003" s="76"/>
      <c r="BA1003" s="76"/>
      <c r="BB1003" s="76"/>
    </row>
    <row r="1004" spans="5:54" x14ac:dyDescent="0.35">
      <c r="E1004" s="83"/>
      <c r="F1004" s="83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  <c r="Z1004" s="76"/>
      <c r="AA1004" s="76"/>
      <c r="AB1004" s="76"/>
      <c r="AC1004" s="76"/>
      <c r="AD1004" s="76"/>
      <c r="AE1004" s="76"/>
      <c r="AF1004" s="76"/>
      <c r="AG1004" s="76"/>
      <c r="AH1004" s="76"/>
      <c r="AI1004" s="76"/>
      <c r="AJ1004" s="76"/>
      <c r="AK1004" s="76"/>
      <c r="AL1004" s="76"/>
      <c r="AM1004" s="76"/>
      <c r="AN1004" s="76"/>
      <c r="AO1004" s="76"/>
      <c r="AP1004" s="76"/>
      <c r="AQ1004" s="76"/>
      <c r="AR1004" s="76"/>
      <c r="AS1004" s="76"/>
      <c r="AT1004" s="76"/>
      <c r="AU1004" s="76"/>
      <c r="AV1004" s="76"/>
      <c r="AW1004" s="76"/>
      <c r="AX1004" s="76"/>
      <c r="AY1004" s="76"/>
      <c r="AZ1004" s="76"/>
      <c r="BA1004" s="76"/>
      <c r="BB1004" s="76"/>
    </row>
    <row r="1005" spans="5:54" x14ac:dyDescent="0.35">
      <c r="E1005" s="83"/>
      <c r="F1005" s="83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  <c r="Z1005" s="76"/>
      <c r="AA1005" s="76"/>
      <c r="AB1005" s="76"/>
      <c r="AC1005" s="76"/>
      <c r="AD1005" s="76"/>
      <c r="AE1005" s="76"/>
      <c r="AF1005" s="76"/>
      <c r="AG1005" s="76"/>
      <c r="AH1005" s="76"/>
      <c r="AI1005" s="76"/>
      <c r="AJ1005" s="76"/>
      <c r="AK1005" s="76"/>
      <c r="AL1005" s="76"/>
      <c r="AM1005" s="76"/>
      <c r="AN1005" s="76"/>
      <c r="AO1005" s="76"/>
      <c r="AP1005" s="76"/>
      <c r="AQ1005" s="76"/>
      <c r="AR1005" s="76"/>
      <c r="AS1005" s="76"/>
      <c r="AT1005" s="76"/>
      <c r="AU1005" s="76"/>
      <c r="AV1005" s="76"/>
      <c r="AW1005" s="76"/>
      <c r="AX1005" s="76"/>
      <c r="AY1005" s="76"/>
      <c r="AZ1005" s="76"/>
      <c r="BA1005" s="76"/>
      <c r="BB1005" s="76"/>
    </row>
    <row r="1006" spans="5:54" x14ac:dyDescent="0.35">
      <c r="E1006" s="83"/>
      <c r="F1006" s="83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  <c r="Z1006" s="76"/>
      <c r="AA1006" s="76"/>
      <c r="AB1006" s="76"/>
      <c r="AC1006" s="76"/>
      <c r="AD1006" s="76"/>
      <c r="AE1006" s="76"/>
      <c r="AF1006" s="76"/>
      <c r="AG1006" s="76"/>
      <c r="AH1006" s="76"/>
      <c r="AI1006" s="76"/>
      <c r="AJ1006" s="76"/>
      <c r="AK1006" s="76"/>
      <c r="AL1006" s="76"/>
      <c r="AM1006" s="76"/>
      <c r="AN1006" s="76"/>
      <c r="AO1006" s="76"/>
      <c r="AP1006" s="76"/>
      <c r="AQ1006" s="76"/>
      <c r="AR1006" s="76"/>
      <c r="AS1006" s="76"/>
      <c r="AT1006" s="76"/>
      <c r="AU1006" s="76"/>
      <c r="AV1006" s="76"/>
      <c r="AW1006" s="76"/>
      <c r="AX1006" s="76"/>
      <c r="AY1006" s="76"/>
      <c r="AZ1006" s="76"/>
      <c r="BA1006" s="76"/>
      <c r="BB1006" s="76"/>
    </row>
    <row r="1007" spans="5:54" x14ac:dyDescent="0.35">
      <c r="E1007" s="83"/>
      <c r="F1007" s="83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  <c r="Z1007" s="76"/>
      <c r="AA1007" s="76"/>
      <c r="AB1007" s="76"/>
      <c r="AC1007" s="76"/>
      <c r="AD1007" s="76"/>
      <c r="AE1007" s="76"/>
      <c r="AF1007" s="76"/>
      <c r="AG1007" s="76"/>
      <c r="AH1007" s="76"/>
      <c r="AI1007" s="76"/>
      <c r="AJ1007" s="76"/>
      <c r="AK1007" s="76"/>
      <c r="AL1007" s="76"/>
      <c r="AM1007" s="76"/>
      <c r="AN1007" s="76"/>
      <c r="AO1007" s="76"/>
      <c r="AP1007" s="76"/>
      <c r="AQ1007" s="76"/>
      <c r="AR1007" s="76"/>
      <c r="AS1007" s="76"/>
      <c r="AT1007" s="76"/>
      <c r="AU1007" s="76"/>
      <c r="AV1007" s="76"/>
      <c r="AW1007" s="76"/>
      <c r="AX1007" s="76"/>
      <c r="AY1007" s="76"/>
      <c r="AZ1007" s="76"/>
      <c r="BA1007" s="76"/>
      <c r="BB1007" s="76"/>
    </row>
    <row r="1008" spans="5:54" x14ac:dyDescent="0.35">
      <c r="E1008" s="83"/>
      <c r="F1008" s="83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  <c r="Z1008" s="76"/>
      <c r="AA1008" s="76"/>
      <c r="AB1008" s="76"/>
      <c r="AC1008" s="76"/>
      <c r="AD1008" s="76"/>
      <c r="AE1008" s="76"/>
      <c r="AF1008" s="76"/>
      <c r="AG1008" s="76"/>
      <c r="AH1008" s="76"/>
      <c r="AI1008" s="76"/>
      <c r="AJ1008" s="76"/>
      <c r="AK1008" s="76"/>
      <c r="AL1008" s="76"/>
      <c r="AM1008" s="76"/>
      <c r="AN1008" s="76"/>
      <c r="AO1008" s="76"/>
      <c r="AP1008" s="76"/>
      <c r="AQ1008" s="76"/>
      <c r="AR1008" s="76"/>
      <c r="AS1008" s="76"/>
      <c r="AT1008" s="76"/>
      <c r="AU1008" s="76"/>
      <c r="AV1008" s="76"/>
      <c r="AW1008" s="76"/>
      <c r="AX1008" s="76"/>
      <c r="AY1008" s="76"/>
      <c r="AZ1008" s="76"/>
      <c r="BA1008" s="76"/>
      <c r="BB1008" s="76"/>
    </row>
    <row r="1009" spans="5:54" x14ac:dyDescent="0.35">
      <c r="E1009" s="83"/>
      <c r="F1009" s="83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  <c r="Z1009" s="76"/>
      <c r="AA1009" s="76"/>
      <c r="AB1009" s="76"/>
      <c r="AC1009" s="76"/>
      <c r="AD1009" s="76"/>
      <c r="AE1009" s="76"/>
      <c r="AF1009" s="76"/>
      <c r="AG1009" s="76"/>
      <c r="AH1009" s="76"/>
      <c r="AI1009" s="76"/>
      <c r="AJ1009" s="76"/>
      <c r="AK1009" s="76"/>
      <c r="AL1009" s="76"/>
      <c r="AM1009" s="76"/>
      <c r="AN1009" s="76"/>
      <c r="AO1009" s="76"/>
      <c r="AP1009" s="76"/>
      <c r="AQ1009" s="76"/>
      <c r="AR1009" s="76"/>
      <c r="AS1009" s="76"/>
      <c r="AT1009" s="76"/>
      <c r="AU1009" s="76"/>
      <c r="AV1009" s="76"/>
      <c r="AW1009" s="76"/>
      <c r="AX1009" s="76"/>
      <c r="AY1009" s="76"/>
      <c r="AZ1009" s="76"/>
      <c r="BA1009" s="76"/>
      <c r="BB1009" s="76"/>
    </row>
    <row r="1010" spans="5:54" x14ac:dyDescent="0.35">
      <c r="E1010" s="83"/>
      <c r="F1010" s="83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  <c r="Z1010" s="76"/>
      <c r="AA1010" s="76"/>
      <c r="AB1010" s="76"/>
      <c r="AC1010" s="76"/>
      <c r="AD1010" s="76"/>
      <c r="AE1010" s="76"/>
      <c r="AF1010" s="76"/>
      <c r="AG1010" s="76"/>
      <c r="AH1010" s="76"/>
      <c r="AI1010" s="76"/>
      <c r="AJ1010" s="76"/>
      <c r="AK1010" s="76"/>
      <c r="AL1010" s="76"/>
      <c r="AM1010" s="76"/>
      <c r="AN1010" s="76"/>
      <c r="AO1010" s="76"/>
      <c r="AP1010" s="76"/>
      <c r="AQ1010" s="76"/>
      <c r="AR1010" s="76"/>
      <c r="AS1010" s="76"/>
      <c r="AT1010" s="76"/>
      <c r="AU1010" s="76"/>
      <c r="AV1010" s="76"/>
      <c r="AW1010" s="76"/>
      <c r="AX1010" s="76"/>
      <c r="AY1010" s="76"/>
      <c r="AZ1010" s="76"/>
      <c r="BA1010" s="76"/>
      <c r="BB1010" s="76"/>
    </row>
    <row r="1011" spans="5:54" x14ac:dyDescent="0.35">
      <c r="E1011" s="83"/>
      <c r="F1011" s="83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  <c r="Z1011" s="76"/>
      <c r="AA1011" s="76"/>
      <c r="AB1011" s="76"/>
      <c r="AC1011" s="76"/>
      <c r="AD1011" s="76"/>
      <c r="AE1011" s="76"/>
      <c r="AF1011" s="76"/>
      <c r="AG1011" s="76"/>
      <c r="AH1011" s="76"/>
      <c r="AI1011" s="76"/>
      <c r="AJ1011" s="76"/>
      <c r="AK1011" s="76"/>
      <c r="AL1011" s="76"/>
      <c r="AM1011" s="76"/>
      <c r="AN1011" s="76"/>
      <c r="AO1011" s="76"/>
      <c r="AP1011" s="76"/>
      <c r="AQ1011" s="76"/>
      <c r="AR1011" s="76"/>
      <c r="AS1011" s="76"/>
      <c r="AT1011" s="76"/>
      <c r="AU1011" s="76"/>
      <c r="AV1011" s="76"/>
      <c r="AW1011" s="76"/>
      <c r="AX1011" s="76"/>
      <c r="AY1011" s="76"/>
      <c r="AZ1011" s="76"/>
      <c r="BA1011" s="76"/>
      <c r="BB1011" s="76"/>
    </row>
    <row r="1012" spans="5:54" x14ac:dyDescent="0.35">
      <c r="E1012" s="83"/>
      <c r="F1012" s="83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  <c r="Z1012" s="76"/>
      <c r="AA1012" s="76"/>
      <c r="AB1012" s="76"/>
      <c r="AC1012" s="76"/>
      <c r="AD1012" s="76"/>
      <c r="AE1012" s="76"/>
      <c r="AF1012" s="76"/>
      <c r="AG1012" s="76"/>
      <c r="AH1012" s="76"/>
      <c r="AI1012" s="76"/>
      <c r="AJ1012" s="76"/>
      <c r="AK1012" s="76"/>
      <c r="AL1012" s="76"/>
      <c r="AM1012" s="76"/>
      <c r="AN1012" s="76"/>
      <c r="AO1012" s="76"/>
      <c r="AP1012" s="76"/>
      <c r="AQ1012" s="76"/>
      <c r="AR1012" s="76"/>
      <c r="AS1012" s="76"/>
      <c r="AT1012" s="76"/>
      <c r="AU1012" s="76"/>
      <c r="AV1012" s="76"/>
      <c r="AW1012" s="76"/>
      <c r="AX1012" s="76"/>
      <c r="AY1012" s="76"/>
      <c r="AZ1012" s="76"/>
      <c r="BA1012" s="76"/>
      <c r="BB1012" s="76"/>
    </row>
    <row r="1013" spans="5:54" x14ac:dyDescent="0.35">
      <c r="E1013" s="83"/>
      <c r="F1013" s="83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  <c r="Z1013" s="76"/>
      <c r="AA1013" s="76"/>
      <c r="AB1013" s="76"/>
      <c r="AC1013" s="76"/>
      <c r="AD1013" s="76"/>
      <c r="AE1013" s="76"/>
      <c r="AF1013" s="76"/>
      <c r="AG1013" s="76"/>
      <c r="AH1013" s="76"/>
      <c r="AI1013" s="76"/>
      <c r="AJ1013" s="76"/>
      <c r="AK1013" s="76"/>
      <c r="AL1013" s="76"/>
      <c r="AM1013" s="76"/>
      <c r="AN1013" s="76"/>
      <c r="AO1013" s="76"/>
      <c r="AP1013" s="76"/>
      <c r="AQ1013" s="76"/>
      <c r="AR1013" s="76"/>
      <c r="AS1013" s="76"/>
      <c r="AT1013" s="76"/>
      <c r="AU1013" s="76"/>
      <c r="AV1013" s="76"/>
      <c r="AW1013" s="76"/>
      <c r="AX1013" s="76"/>
      <c r="AY1013" s="76"/>
      <c r="AZ1013" s="76"/>
      <c r="BA1013" s="76"/>
      <c r="BB1013" s="76"/>
    </row>
    <row r="1014" spans="5:54" x14ac:dyDescent="0.35">
      <c r="E1014" s="83"/>
      <c r="F1014" s="83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  <c r="Z1014" s="76"/>
      <c r="AA1014" s="76"/>
      <c r="AB1014" s="76"/>
      <c r="AC1014" s="76"/>
      <c r="AD1014" s="76"/>
      <c r="AE1014" s="76"/>
      <c r="AF1014" s="76"/>
      <c r="AG1014" s="76"/>
      <c r="AH1014" s="76"/>
      <c r="AI1014" s="76"/>
      <c r="AJ1014" s="76"/>
      <c r="AK1014" s="76"/>
      <c r="AL1014" s="76"/>
      <c r="AM1014" s="76"/>
      <c r="AN1014" s="76"/>
      <c r="AO1014" s="76"/>
      <c r="AP1014" s="76"/>
      <c r="AQ1014" s="76"/>
      <c r="AR1014" s="76"/>
      <c r="AS1014" s="76"/>
      <c r="AT1014" s="76"/>
      <c r="AU1014" s="76"/>
      <c r="AV1014" s="76"/>
      <c r="AW1014" s="76"/>
      <c r="AX1014" s="76"/>
      <c r="AY1014" s="76"/>
      <c r="AZ1014" s="76"/>
      <c r="BA1014" s="76"/>
      <c r="BB1014" s="76"/>
    </row>
    <row r="1015" spans="5:54" x14ac:dyDescent="0.35">
      <c r="E1015" s="83"/>
      <c r="F1015" s="83"/>
      <c r="G1015" s="76"/>
      <c r="H1015" s="76"/>
      <c r="I1015" s="76"/>
      <c r="J1015" s="76"/>
      <c r="K1015" s="76"/>
      <c r="L1015" s="76"/>
      <c r="M1015" s="76"/>
      <c r="N1015" s="76"/>
      <c r="O1015" s="76"/>
      <c r="P1015" s="76"/>
      <c r="Q1015" s="76"/>
      <c r="R1015" s="76"/>
      <c r="S1015" s="76"/>
      <c r="T1015" s="76"/>
      <c r="U1015" s="76"/>
      <c r="V1015" s="76"/>
      <c r="W1015" s="76"/>
      <c r="X1015" s="76"/>
      <c r="Y1015" s="76"/>
      <c r="Z1015" s="76"/>
      <c r="AA1015" s="76"/>
      <c r="AB1015" s="76"/>
      <c r="AC1015" s="76"/>
      <c r="AD1015" s="76"/>
      <c r="AE1015" s="76"/>
      <c r="AF1015" s="76"/>
      <c r="AG1015" s="76"/>
      <c r="AH1015" s="76"/>
      <c r="AI1015" s="76"/>
      <c r="AJ1015" s="76"/>
      <c r="AK1015" s="76"/>
      <c r="AL1015" s="76"/>
      <c r="AM1015" s="76"/>
      <c r="AN1015" s="76"/>
      <c r="AO1015" s="76"/>
      <c r="AP1015" s="76"/>
      <c r="AQ1015" s="76"/>
      <c r="AR1015" s="76"/>
      <c r="AS1015" s="76"/>
      <c r="AT1015" s="76"/>
      <c r="AU1015" s="76"/>
      <c r="AV1015" s="76"/>
      <c r="AW1015" s="76"/>
      <c r="AX1015" s="76"/>
      <c r="AY1015" s="76"/>
      <c r="AZ1015" s="76"/>
      <c r="BA1015" s="76"/>
      <c r="BB1015" s="76"/>
    </row>
    <row r="1016" spans="5:54" x14ac:dyDescent="0.35">
      <c r="E1016" s="83"/>
      <c r="F1016" s="83"/>
      <c r="G1016" s="76"/>
      <c r="H1016" s="76"/>
      <c r="I1016" s="76"/>
      <c r="J1016" s="76"/>
      <c r="K1016" s="76"/>
      <c r="L1016" s="76"/>
      <c r="M1016" s="76"/>
      <c r="N1016" s="76"/>
      <c r="O1016" s="76"/>
      <c r="P1016" s="76"/>
      <c r="Q1016" s="76"/>
      <c r="R1016" s="76"/>
      <c r="S1016" s="76"/>
      <c r="T1016" s="76"/>
      <c r="U1016" s="76"/>
      <c r="V1016" s="76"/>
      <c r="W1016" s="76"/>
      <c r="X1016" s="76"/>
      <c r="Y1016" s="76"/>
      <c r="Z1016" s="76"/>
      <c r="AA1016" s="76"/>
      <c r="AB1016" s="76"/>
      <c r="AC1016" s="76"/>
      <c r="AD1016" s="76"/>
      <c r="AE1016" s="76"/>
      <c r="AF1016" s="76"/>
      <c r="AG1016" s="76"/>
      <c r="AH1016" s="76"/>
      <c r="AI1016" s="76"/>
      <c r="AJ1016" s="76"/>
      <c r="AK1016" s="76"/>
      <c r="AL1016" s="76"/>
      <c r="AM1016" s="76"/>
      <c r="AN1016" s="76"/>
      <c r="AO1016" s="76"/>
      <c r="AP1016" s="76"/>
      <c r="AQ1016" s="76"/>
      <c r="AR1016" s="76"/>
      <c r="AS1016" s="76"/>
      <c r="AT1016" s="76"/>
      <c r="AU1016" s="76"/>
      <c r="AV1016" s="76"/>
      <c r="AW1016" s="76"/>
      <c r="AX1016" s="76"/>
      <c r="AY1016" s="76"/>
      <c r="AZ1016" s="76"/>
      <c r="BA1016" s="76"/>
      <c r="BB1016" s="76"/>
    </row>
    <row r="1017" spans="5:54" x14ac:dyDescent="0.35">
      <c r="E1017" s="83"/>
      <c r="F1017" s="83"/>
      <c r="G1017" s="76"/>
      <c r="H1017" s="76"/>
      <c r="I1017" s="76"/>
      <c r="J1017" s="76"/>
      <c r="K1017" s="76"/>
      <c r="L1017" s="76"/>
      <c r="M1017" s="76"/>
      <c r="N1017" s="76"/>
      <c r="O1017" s="76"/>
      <c r="P1017" s="76"/>
      <c r="Q1017" s="76"/>
      <c r="R1017" s="76"/>
      <c r="S1017" s="76"/>
      <c r="T1017" s="76"/>
      <c r="U1017" s="76"/>
      <c r="V1017" s="76"/>
      <c r="W1017" s="76"/>
      <c r="X1017" s="76"/>
      <c r="Y1017" s="76"/>
      <c r="Z1017" s="76"/>
      <c r="AA1017" s="76"/>
      <c r="AB1017" s="76"/>
      <c r="AC1017" s="76"/>
      <c r="AD1017" s="76"/>
      <c r="AE1017" s="76"/>
      <c r="AF1017" s="76"/>
      <c r="AG1017" s="76"/>
      <c r="AH1017" s="76"/>
      <c r="AI1017" s="76"/>
      <c r="AJ1017" s="76"/>
      <c r="AK1017" s="76"/>
      <c r="AL1017" s="76"/>
      <c r="AM1017" s="76"/>
      <c r="AN1017" s="76"/>
      <c r="AO1017" s="76"/>
      <c r="AP1017" s="76"/>
      <c r="AQ1017" s="76"/>
      <c r="AR1017" s="76"/>
      <c r="AS1017" s="76"/>
      <c r="AT1017" s="76"/>
      <c r="AU1017" s="76"/>
      <c r="AV1017" s="76"/>
      <c r="AW1017" s="76"/>
      <c r="AX1017" s="76"/>
      <c r="AY1017" s="76"/>
      <c r="AZ1017" s="76"/>
      <c r="BA1017" s="76"/>
      <c r="BB1017" s="76"/>
    </row>
    <row r="1018" spans="5:54" x14ac:dyDescent="0.35">
      <c r="E1018" s="83"/>
      <c r="F1018" s="83"/>
      <c r="G1018" s="76"/>
      <c r="H1018" s="76"/>
      <c r="I1018" s="76"/>
      <c r="J1018" s="76"/>
      <c r="K1018" s="76"/>
      <c r="L1018" s="76"/>
      <c r="M1018" s="76"/>
      <c r="N1018" s="76"/>
      <c r="O1018" s="76"/>
      <c r="P1018" s="76"/>
      <c r="Q1018" s="76"/>
      <c r="R1018" s="76"/>
      <c r="S1018" s="76"/>
      <c r="T1018" s="76"/>
      <c r="U1018" s="76"/>
      <c r="V1018" s="76"/>
      <c r="W1018" s="76"/>
      <c r="X1018" s="76"/>
      <c r="Y1018" s="76"/>
      <c r="Z1018" s="76"/>
      <c r="AA1018" s="76"/>
      <c r="AB1018" s="76"/>
      <c r="AC1018" s="76"/>
      <c r="AD1018" s="76"/>
      <c r="AE1018" s="76"/>
      <c r="AF1018" s="76"/>
      <c r="AG1018" s="76"/>
      <c r="AH1018" s="76"/>
      <c r="AI1018" s="76"/>
      <c r="AJ1018" s="76"/>
      <c r="AK1018" s="76"/>
      <c r="AL1018" s="76"/>
      <c r="AM1018" s="76"/>
      <c r="AN1018" s="76"/>
      <c r="AO1018" s="76"/>
      <c r="AP1018" s="76"/>
      <c r="AQ1018" s="76"/>
      <c r="AR1018" s="76"/>
      <c r="AS1018" s="76"/>
      <c r="AT1018" s="76"/>
      <c r="AU1018" s="76"/>
      <c r="AV1018" s="76"/>
      <c r="AW1018" s="76"/>
      <c r="AX1018" s="76"/>
      <c r="AY1018" s="76"/>
      <c r="AZ1018" s="76"/>
      <c r="BA1018" s="76"/>
      <c r="BB1018" s="76"/>
    </row>
    <row r="1019" spans="5:54" x14ac:dyDescent="0.35">
      <c r="E1019" s="83"/>
      <c r="F1019" s="83"/>
      <c r="G1019" s="76"/>
      <c r="H1019" s="76"/>
      <c r="I1019" s="76"/>
      <c r="J1019" s="76"/>
      <c r="K1019" s="76"/>
      <c r="L1019" s="76"/>
      <c r="M1019" s="76"/>
      <c r="N1019" s="76"/>
      <c r="O1019" s="76"/>
      <c r="P1019" s="76"/>
      <c r="Q1019" s="76"/>
      <c r="R1019" s="76"/>
      <c r="S1019" s="76"/>
      <c r="T1019" s="76"/>
      <c r="U1019" s="76"/>
      <c r="V1019" s="76"/>
      <c r="W1019" s="76"/>
      <c r="X1019" s="76"/>
      <c r="Y1019" s="76"/>
      <c r="Z1019" s="76"/>
      <c r="AA1019" s="76"/>
      <c r="AB1019" s="76"/>
      <c r="AC1019" s="76"/>
      <c r="AD1019" s="76"/>
      <c r="AE1019" s="76"/>
      <c r="AF1019" s="76"/>
      <c r="AG1019" s="76"/>
      <c r="AH1019" s="76"/>
      <c r="AI1019" s="76"/>
      <c r="AJ1019" s="76"/>
      <c r="AK1019" s="76"/>
      <c r="AL1019" s="76"/>
      <c r="AM1019" s="76"/>
      <c r="AN1019" s="76"/>
      <c r="AO1019" s="76"/>
      <c r="AP1019" s="76"/>
      <c r="AQ1019" s="76"/>
      <c r="AR1019" s="76"/>
      <c r="AS1019" s="76"/>
      <c r="AT1019" s="76"/>
      <c r="AU1019" s="76"/>
      <c r="AV1019" s="76"/>
      <c r="AW1019" s="76"/>
      <c r="AX1019" s="76"/>
      <c r="AY1019" s="76"/>
      <c r="AZ1019" s="76"/>
      <c r="BA1019" s="76"/>
      <c r="BB1019" s="76"/>
    </row>
    <row r="1020" spans="5:54" x14ac:dyDescent="0.35">
      <c r="E1020" s="83"/>
      <c r="F1020" s="83"/>
      <c r="G1020" s="76"/>
      <c r="H1020" s="76"/>
      <c r="I1020" s="76"/>
      <c r="J1020" s="76"/>
      <c r="K1020" s="76"/>
      <c r="L1020" s="76"/>
      <c r="M1020" s="76"/>
      <c r="N1020" s="76"/>
      <c r="O1020" s="76"/>
      <c r="P1020" s="76"/>
      <c r="Q1020" s="76"/>
      <c r="R1020" s="76"/>
      <c r="S1020" s="76"/>
      <c r="T1020" s="76"/>
      <c r="U1020" s="76"/>
      <c r="V1020" s="76"/>
      <c r="W1020" s="76"/>
      <c r="X1020" s="76"/>
      <c r="Y1020" s="76"/>
      <c r="Z1020" s="76"/>
      <c r="AA1020" s="76"/>
      <c r="AB1020" s="76"/>
      <c r="AC1020" s="76"/>
      <c r="AD1020" s="76"/>
      <c r="AE1020" s="76"/>
      <c r="AF1020" s="76"/>
      <c r="AG1020" s="76"/>
      <c r="AH1020" s="76"/>
      <c r="AI1020" s="76"/>
      <c r="AJ1020" s="76"/>
      <c r="AK1020" s="76"/>
      <c r="AL1020" s="76"/>
      <c r="AM1020" s="76"/>
      <c r="AN1020" s="76"/>
      <c r="AO1020" s="76"/>
      <c r="AP1020" s="76"/>
      <c r="AQ1020" s="76"/>
      <c r="AR1020" s="76"/>
      <c r="AS1020" s="76"/>
      <c r="AT1020" s="76"/>
      <c r="AU1020" s="76"/>
      <c r="AV1020" s="76"/>
      <c r="AW1020" s="76"/>
      <c r="AX1020" s="76"/>
      <c r="AY1020" s="76"/>
      <c r="AZ1020" s="76"/>
      <c r="BA1020" s="76"/>
      <c r="BB1020" s="76"/>
    </row>
    <row r="1021" spans="5:54" x14ac:dyDescent="0.35">
      <c r="E1021" s="83"/>
      <c r="F1021" s="83"/>
      <c r="G1021" s="76"/>
      <c r="H1021" s="76"/>
      <c r="I1021" s="76"/>
      <c r="J1021" s="76"/>
      <c r="K1021" s="76"/>
      <c r="L1021" s="76"/>
      <c r="M1021" s="76"/>
      <c r="N1021" s="76"/>
      <c r="O1021" s="76"/>
      <c r="P1021" s="76"/>
      <c r="Q1021" s="76"/>
      <c r="R1021" s="76"/>
      <c r="S1021" s="76"/>
      <c r="T1021" s="76"/>
      <c r="U1021" s="76"/>
      <c r="V1021" s="76"/>
      <c r="W1021" s="76"/>
      <c r="X1021" s="76"/>
      <c r="Y1021" s="76"/>
      <c r="Z1021" s="76"/>
      <c r="AA1021" s="76"/>
      <c r="AB1021" s="76"/>
      <c r="AC1021" s="76"/>
      <c r="AD1021" s="76"/>
      <c r="AE1021" s="76"/>
      <c r="AF1021" s="76"/>
      <c r="AG1021" s="76"/>
      <c r="AH1021" s="76"/>
      <c r="AI1021" s="76"/>
      <c r="AJ1021" s="76"/>
      <c r="AK1021" s="76"/>
      <c r="AL1021" s="76"/>
      <c r="AM1021" s="76"/>
      <c r="AN1021" s="76"/>
      <c r="AO1021" s="76"/>
      <c r="AP1021" s="76"/>
      <c r="AQ1021" s="76"/>
      <c r="AR1021" s="76"/>
      <c r="AS1021" s="76"/>
      <c r="AT1021" s="76"/>
      <c r="AU1021" s="76"/>
      <c r="AV1021" s="76"/>
      <c r="AW1021" s="76"/>
      <c r="AX1021" s="76"/>
      <c r="AY1021" s="76"/>
      <c r="AZ1021" s="76"/>
      <c r="BA1021" s="76"/>
      <c r="BB1021" s="76"/>
    </row>
    <row r="1022" spans="5:54" x14ac:dyDescent="0.35">
      <c r="E1022" s="83"/>
      <c r="F1022" s="83"/>
      <c r="G1022" s="76"/>
      <c r="H1022" s="76"/>
      <c r="I1022" s="76"/>
      <c r="J1022" s="76"/>
      <c r="K1022" s="76"/>
      <c r="L1022" s="76"/>
      <c r="M1022" s="76"/>
      <c r="N1022" s="76"/>
      <c r="O1022" s="76"/>
      <c r="P1022" s="76"/>
      <c r="Q1022" s="76"/>
      <c r="R1022" s="76"/>
      <c r="S1022" s="76"/>
      <c r="T1022" s="76"/>
      <c r="U1022" s="76"/>
      <c r="V1022" s="76"/>
      <c r="W1022" s="76"/>
      <c r="X1022" s="76"/>
      <c r="Y1022" s="76"/>
      <c r="Z1022" s="76"/>
      <c r="AA1022" s="76"/>
      <c r="AB1022" s="76"/>
      <c r="AC1022" s="76"/>
      <c r="AD1022" s="76"/>
      <c r="AE1022" s="76"/>
      <c r="AF1022" s="76"/>
      <c r="AG1022" s="76"/>
      <c r="AH1022" s="76"/>
      <c r="AI1022" s="76"/>
      <c r="AJ1022" s="76"/>
      <c r="AK1022" s="76"/>
      <c r="AL1022" s="76"/>
      <c r="AM1022" s="76"/>
      <c r="AN1022" s="76"/>
      <c r="AO1022" s="76"/>
      <c r="AP1022" s="76"/>
      <c r="AQ1022" s="76"/>
      <c r="AR1022" s="76"/>
      <c r="AS1022" s="76"/>
      <c r="AT1022" s="76"/>
      <c r="AU1022" s="76"/>
      <c r="AV1022" s="76"/>
      <c r="AW1022" s="76"/>
      <c r="AX1022" s="76"/>
      <c r="AY1022" s="76"/>
      <c r="AZ1022" s="76"/>
      <c r="BA1022" s="76"/>
      <c r="BB1022" s="76"/>
    </row>
    <row r="1023" spans="5:54" x14ac:dyDescent="0.35">
      <c r="E1023" s="83"/>
      <c r="F1023" s="83"/>
      <c r="G1023" s="76"/>
      <c r="H1023" s="76"/>
      <c r="I1023" s="76"/>
      <c r="J1023" s="76"/>
      <c r="K1023" s="76"/>
      <c r="L1023" s="76"/>
      <c r="M1023" s="76"/>
      <c r="N1023" s="76"/>
      <c r="O1023" s="76"/>
      <c r="P1023" s="76"/>
      <c r="Q1023" s="76"/>
      <c r="R1023" s="76"/>
      <c r="S1023" s="76"/>
      <c r="T1023" s="76"/>
      <c r="U1023" s="76"/>
      <c r="V1023" s="76"/>
      <c r="W1023" s="76"/>
      <c r="X1023" s="76"/>
      <c r="Y1023" s="76"/>
      <c r="Z1023" s="76"/>
      <c r="AA1023" s="76"/>
      <c r="AB1023" s="76"/>
      <c r="AC1023" s="76"/>
      <c r="AD1023" s="76"/>
      <c r="AE1023" s="76"/>
      <c r="AF1023" s="76"/>
      <c r="AG1023" s="76"/>
      <c r="AH1023" s="76"/>
      <c r="AI1023" s="76"/>
      <c r="AJ1023" s="76"/>
      <c r="AK1023" s="76"/>
      <c r="AL1023" s="76"/>
      <c r="AM1023" s="76"/>
      <c r="AN1023" s="76"/>
      <c r="AO1023" s="76"/>
      <c r="AP1023" s="76"/>
      <c r="AQ1023" s="76"/>
      <c r="AR1023" s="76"/>
      <c r="AS1023" s="76"/>
      <c r="AT1023" s="76"/>
      <c r="AU1023" s="76"/>
      <c r="AV1023" s="76"/>
      <c r="AW1023" s="76"/>
      <c r="AX1023" s="76"/>
      <c r="AY1023" s="76"/>
      <c r="AZ1023" s="76"/>
      <c r="BA1023" s="76"/>
      <c r="BB1023" s="76"/>
    </row>
    <row r="1024" spans="5:54" x14ac:dyDescent="0.35">
      <c r="E1024" s="83"/>
      <c r="F1024" s="83"/>
      <c r="G1024" s="76"/>
      <c r="H1024" s="76"/>
      <c r="I1024" s="76"/>
      <c r="J1024" s="76"/>
      <c r="K1024" s="76"/>
      <c r="L1024" s="76"/>
      <c r="M1024" s="76"/>
      <c r="N1024" s="76"/>
      <c r="O1024" s="76"/>
      <c r="P1024" s="76"/>
      <c r="Q1024" s="76"/>
      <c r="R1024" s="76"/>
      <c r="S1024" s="76"/>
      <c r="T1024" s="76"/>
      <c r="U1024" s="76"/>
      <c r="V1024" s="76"/>
      <c r="W1024" s="76"/>
      <c r="X1024" s="76"/>
      <c r="Y1024" s="76"/>
      <c r="Z1024" s="76"/>
      <c r="AA1024" s="76"/>
      <c r="AB1024" s="76"/>
      <c r="AC1024" s="76"/>
      <c r="AD1024" s="76"/>
      <c r="AE1024" s="76"/>
      <c r="AF1024" s="76"/>
      <c r="AG1024" s="76"/>
      <c r="AH1024" s="76"/>
      <c r="AI1024" s="76"/>
      <c r="AJ1024" s="76"/>
      <c r="AK1024" s="76"/>
      <c r="AL1024" s="76"/>
      <c r="AM1024" s="76"/>
      <c r="AN1024" s="76"/>
      <c r="AO1024" s="76"/>
      <c r="AP1024" s="76"/>
      <c r="AQ1024" s="76"/>
      <c r="AR1024" s="76"/>
      <c r="AS1024" s="76"/>
      <c r="AT1024" s="76"/>
      <c r="AU1024" s="76"/>
      <c r="AV1024" s="76"/>
      <c r="AW1024" s="76"/>
      <c r="AX1024" s="76"/>
      <c r="AY1024" s="76"/>
      <c r="AZ1024" s="76"/>
      <c r="BA1024" s="76"/>
      <c r="BB1024" s="76"/>
    </row>
    <row r="1025" spans="5:54" x14ac:dyDescent="0.35">
      <c r="E1025" s="83"/>
      <c r="F1025" s="83"/>
      <c r="G1025" s="76"/>
      <c r="H1025" s="76"/>
      <c r="I1025" s="76"/>
      <c r="J1025" s="76"/>
      <c r="K1025" s="76"/>
      <c r="L1025" s="76"/>
      <c r="M1025" s="76"/>
      <c r="N1025" s="76"/>
      <c r="O1025" s="76"/>
      <c r="P1025" s="76"/>
      <c r="Q1025" s="76"/>
      <c r="R1025" s="76"/>
      <c r="S1025" s="76"/>
      <c r="T1025" s="76"/>
      <c r="U1025" s="76"/>
      <c r="V1025" s="76"/>
      <c r="W1025" s="76"/>
      <c r="X1025" s="76"/>
      <c r="Y1025" s="76"/>
      <c r="Z1025" s="76"/>
      <c r="AA1025" s="76"/>
      <c r="AB1025" s="76"/>
      <c r="AC1025" s="76"/>
      <c r="AD1025" s="76"/>
      <c r="AE1025" s="76"/>
      <c r="AF1025" s="76"/>
      <c r="AG1025" s="76"/>
      <c r="AH1025" s="76"/>
      <c r="AI1025" s="76"/>
      <c r="AJ1025" s="76"/>
      <c r="AK1025" s="76"/>
      <c r="AL1025" s="76"/>
      <c r="AM1025" s="76"/>
      <c r="AN1025" s="76"/>
      <c r="AO1025" s="76"/>
      <c r="AP1025" s="76"/>
      <c r="AQ1025" s="76"/>
      <c r="AR1025" s="76"/>
      <c r="AS1025" s="76"/>
      <c r="AT1025" s="76"/>
      <c r="AU1025" s="76"/>
      <c r="AV1025" s="76"/>
      <c r="AW1025" s="76"/>
      <c r="AX1025" s="76"/>
      <c r="AY1025" s="76"/>
      <c r="AZ1025" s="76"/>
      <c r="BA1025" s="76"/>
      <c r="BB1025" s="76"/>
    </row>
    <row r="1026" spans="5:54" x14ac:dyDescent="0.35">
      <c r="E1026" s="83"/>
      <c r="F1026" s="83"/>
      <c r="G1026" s="76"/>
      <c r="H1026" s="76"/>
      <c r="I1026" s="76"/>
      <c r="J1026" s="76"/>
      <c r="K1026" s="76"/>
      <c r="L1026" s="76"/>
      <c r="M1026" s="76"/>
      <c r="N1026" s="76"/>
      <c r="O1026" s="76"/>
      <c r="P1026" s="76"/>
      <c r="Q1026" s="76"/>
      <c r="R1026" s="76"/>
      <c r="S1026" s="76"/>
      <c r="T1026" s="76"/>
      <c r="U1026" s="76"/>
      <c r="V1026" s="76"/>
      <c r="W1026" s="76"/>
      <c r="X1026" s="76"/>
      <c r="Y1026" s="76"/>
      <c r="Z1026" s="76"/>
      <c r="AA1026" s="76"/>
      <c r="AB1026" s="76"/>
      <c r="AC1026" s="76"/>
      <c r="AD1026" s="76"/>
      <c r="AE1026" s="76"/>
      <c r="AF1026" s="76"/>
      <c r="AG1026" s="76"/>
      <c r="AH1026" s="76"/>
      <c r="AI1026" s="76"/>
      <c r="AJ1026" s="76"/>
      <c r="AK1026" s="76"/>
      <c r="AL1026" s="76"/>
      <c r="AM1026" s="76"/>
      <c r="AN1026" s="76"/>
      <c r="AO1026" s="76"/>
      <c r="AP1026" s="76"/>
      <c r="AQ1026" s="76"/>
      <c r="AR1026" s="76"/>
      <c r="AS1026" s="76"/>
      <c r="AT1026" s="76"/>
      <c r="AU1026" s="76"/>
      <c r="AV1026" s="76"/>
      <c r="AW1026" s="76"/>
      <c r="AX1026" s="76"/>
      <c r="AY1026" s="76"/>
      <c r="AZ1026" s="76"/>
      <c r="BA1026" s="76"/>
      <c r="BB1026" s="76"/>
    </row>
    <row r="1027" spans="5:54" x14ac:dyDescent="0.35">
      <c r="E1027" s="83"/>
      <c r="F1027" s="83"/>
      <c r="G1027" s="76"/>
      <c r="H1027" s="76"/>
      <c r="I1027" s="76"/>
      <c r="J1027" s="76"/>
      <c r="K1027" s="76"/>
      <c r="L1027" s="76"/>
      <c r="M1027" s="76"/>
      <c r="N1027" s="76"/>
      <c r="O1027" s="76"/>
      <c r="P1027" s="76"/>
      <c r="Q1027" s="76"/>
      <c r="R1027" s="76"/>
      <c r="S1027" s="76"/>
      <c r="T1027" s="76"/>
      <c r="U1027" s="76"/>
      <c r="V1027" s="76"/>
      <c r="W1027" s="76"/>
      <c r="X1027" s="76"/>
      <c r="Y1027" s="76"/>
      <c r="Z1027" s="76"/>
      <c r="AA1027" s="76"/>
      <c r="AB1027" s="76"/>
      <c r="AC1027" s="76"/>
      <c r="AD1027" s="76"/>
      <c r="AE1027" s="76"/>
      <c r="AF1027" s="76"/>
      <c r="AG1027" s="76"/>
      <c r="AH1027" s="76"/>
      <c r="AI1027" s="76"/>
      <c r="AJ1027" s="76"/>
      <c r="AK1027" s="76"/>
      <c r="AL1027" s="76"/>
      <c r="AM1027" s="76"/>
      <c r="AN1027" s="76"/>
      <c r="AO1027" s="76"/>
      <c r="AP1027" s="76"/>
      <c r="AQ1027" s="76"/>
      <c r="AR1027" s="76"/>
      <c r="AS1027" s="76"/>
      <c r="AT1027" s="76"/>
      <c r="AU1027" s="76"/>
      <c r="AV1027" s="76"/>
      <c r="AW1027" s="76"/>
      <c r="AX1027" s="76"/>
      <c r="AY1027" s="76"/>
      <c r="AZ1027" s="76"/>
      <c r="BA1027" s="76"/>
      <c r="BB1027" s="76"/>
    </row>
    <row r="1028" spans="5:54" x14ac:dyDescent="0.35">
      <c r="E1028" s="83"/>
      <c r="F1028" s="83"/>
      <c r="G1028" s="76"/>
      <c r="H1028" s="76"/>
      <c r="I1028" s="76"/>
      <c r="J1028" s="76"/>
      <c r="K1028" s="76"/>
      <c r="L1028" s="76"/>
      <c r="M1028" s="76"/>
      <c r="N1028" s="76"/>
      <c r="O1028" s="76"/>
      <c r="P1028" s="76"/>
      <c r="Q1028" s="76"/>
      <c r="R1028" s="76"/>
      <c r="S1028" s="76"/>
      <c r="T1028" s="76"/>
      <c r="U1028" s="76"/>
      <c r="V1028" s="76"/>
      <c r="W1028" s="76"/>
      <c r="X1028" s="76"/>
      <c r="Y1028" s="76"/>
      <c r="Z1028" s="76"/>
      <c r="AA1028" s="76"/>
      <c r="AB1028" s="76"/>
      <c r="AC1028" s="76"/>
      <c r="AD1028" s="76"/>
      <c r="AE1028" s="76"/>
      <c r="AF1028" s="76"/>
      <c r="AG1028" s="76"/>
      <c r="AH1028" s="76"/>
      <c r="AI1028" s="76"/>
      <c r="AJ1028" s="76"/>
      <c r="AK1028" s="76"/>
      <c r="AL1028" s="76"/>
      <c r="AM1028" s="76"/>
      <c r="AN1028" s="76"/>
      <c r="AO1028" s="76"/>
      <c r="AP1028" s="76"/>
      <c r="AQ1028" s="76"/>
      <c r="AR1028" s="76"/>
      <c r="AS1028" s="76"/>
      <c r="AT1028" s="76"/>
      <c r="AU1028" s="76"/>
      <c r="AV1028" s="76"/>
      <c r="AW1028" s="76"/>
      <c r="AX1028" s="76"/>
      <c r="AY1028" s="76"/>
      <c r="AZ1028" s="76"/>
      <c r="BA1028" s="76"/>
      <c r="BB1028" s="76"/>
    </row>
    <row r="1029" spans="5:54" x14ac:dyDescent="0.35">
      <c r="E1029" s="83"/>
      <c r="F1029" s="83"/>
      <c r="G1029" s="76"/>
      <c r="H1029" s="76"/>
      <c r="I1029" s="76"/>
      <c r="J1029" s="76"/>
      <c r="K1029" s="76"/>
      <c r="L1029" s="76"/>
      <c r="M1029" s="76"/>
      <c r="N1029" s="76"/>
      <c r="O1029" s="76"/>
      <c r="P1029" s="76"/>
      <c r="Q1029" s="76"/>
      <c r="R1029" s="76"/>
      <c r="S1029" s="76"/>
      <c r="T1029" s="76"/>
      <c r="U1029" s="76"/>
      <c r="V1029" s="76"/>
      <c r="W1029" s="76"/>
      <c r="X1029" s="76"/>
      <c r="Y1029" s="76"/>
      <c r="Z1029" s="76"/>
      <c r="AA1029" s="76"/>
      <c r="AB1029" s="76"/>
      <c r="AC1029" s="76"/>
      <c r="AD1029" s="76"/>
      <c r="AE1029" s="76"/>
      <c r="AF1029" s="76"/>
      <c r="AG1029" s="76"/>
      <c r="AH1029" s="76"/>
      <c r="AI1029" s="76"/>
      <c r="AJ1029" s="76"/>
      <c r="AK1029" s="76"/>
      <c r="AL1029" s="76"/>
      <c r="AM1029" s="76"/>
      <c r="AN1029" s="76"/>
      <c r="AO1029" s="76"/>
      <c r="AP1029" s="76"/>
      <c r="AQ1029" s="76"/>
      <c r="AR1029" s="76"/>
      <c r="AS1029" s="76"/>
      <c r="AT1029" s="76"/>
      <c r="AU1029" s="76"/>
      <c r="AV1029" s="76"/>
      <c r="AW1029" s="76"/>
      <c r="AX1029" s="76"/>
      <c r="AY1029" s="76"/>
      <c r="AZ1029" s="76"/>
      <c r="BA1029" s="76"/>
      <c r="BB1029" s="76"/>
    </row>
    <row r="1030" spans="5:54" x14ac:dyDescent="0.35">
      <c r="E1030" s="83"/>
      <c r="F1030" s="83"/>
      <c r="G1030" s="76"/>
      <c r="H1030" s="76"/>
      <c r="I1030" s="76"/>
      <c r="J1030" s="76"/>
      <c r="K1030" s="76"/>
      <c r="L1030" s="76"/>
      <c r="M1030" s="76"/>
      <c r="N1030" s="76"/>
      <c r="O1030" s="76"/>
      <c r="P1030" s="76"/>
      <c r="Q1030" s="76"/>
      <c r="R1030" s="76"/>
      <c r="S1030" s="76"/>
      <c r="T1030" s="76"/>
      <c r="U1030" s="76"/>
      <c r="V1030" s="76"/>
      <c r="W1030" s="76"/>
      <c r="X1030" s="76"/>
      <c r="Y1030" s="76"/>
      <c r="Z1030" s="76"/>
      <c r="AA1030" s="76"/>
      <c r="AB1030" s="76"/>
      <c r="AC1030" s="76"/>
      <c r="AD1030" s="76"/>
      <c r="AE1030" s="76"/>
      <c r="AF1030" s="76"/>
      <c r="AG1030" s="76"/>
      <c r="AH1030" s="76"/>
      <c r="AI1030" s="76"/>
      <c r="AJ1030" s="76"/>
      <c r="AK1030" s="76"/>
      <c r="AL1030" s="76"/>
      <c r="AM1030" s="76"/>
      <c r="AN1030" s="76"/>
      <c r="AO1030" s="76"/>
      <c r="AP1030" s="76"/>
      <c r="AQ1030" s="76"/>
      <c r="AR1030" s="76"/>
      <c r="AS1030" s="76"/>
      <c r="AT1030" s="76"/>
      <c r="AU1030" s="76"/>
      <c r="AV1030" s="76"/>
      <c r="AW1030" s="76"/>
      <c r="AX1030" s="76"/>
      <c r="AY1030" s="76"/>
      <c r="AZ1030" s="76"/>
      <c r="BA1030" s="76"/>
      <c r="BB1030" s="76"/>
    </row>
    <row r="1031" spans="5:54" x14ac:dyDescent="0.35">
      <c r="E1031" s="83"/>
      <c r="F1031" s="83"/>
      <c r="G1031" s="76"/>
      <c r="H1031" s="76"/>
      <c r="I1031" s="76"/>
      <c r="J1031" s="76"/>
      <c r="K1031" s="76"/>
      <c r="L1031" s="76"/>
      <c r="M1031" s="76"/>
      <c r="N1031" s="76"/>
      <c r="O1031" s="76"/>
      <c r="P1031" s="76"/>
      <c r="Q1031" s="76"/>
      <c r="R1031" s="76"/>
      <c r="S1031" s="76"/>
      <c r="T1031" s="76"/>
      <c r="U1031" s="76"/>
      <c r="V1031" s="76"/>
      <c r="W1031" s="76"/>
      <c r="X1031" s="76"/>
      <c r="Y1031" s="76"/>
      <c r="Z1031" s="76"/>
      <c r="AA1031" s="76"/>
      <c r="AB1031" s="76"/>
      <c r="AC1031" s="76"/>
      <c r="AD1031" s="76"/>
      <c r="AE1031" s="76"/>
      <c r="AF1031" s="76"/>
      <c r="AG1031" s="76"/>
      <c r="AH1031" s="76"/>
      <c r="AI1031" s="76"/>
      <c r="AJ1031" s="76"/>
      <c r="AK1031" s="76"/>
      <c r="AL1031" s="76"/>
      <c r="AM1031" s="76"/>
      <c r="AN1031" s="76"/>
      <c r="AO1031" s="76"/>
      <c r="AP1031" s="76"/>
      <c r="AQ1031" s="76"/>
      <c r="AR1031" s="76"/>
      <c r="AS1031" s="76"/>
      <c r="AT1031" s="76"/>
      <c r="AU1031" s="76"/>
      <c r="AV1031" s="76"/>
      <c r="AW1031" s="76"/>
      <c r="AX1031" s="76"/>
      <c r="AY1031" s="76"/>
      <c r="AZ1031" s="76"/>
      <c r="BA1031" s="76"/>
      <c r="BB1031" s="76"/>
    </row>
    <row r="1032" spans="5:54" x14ac:dyDescent="0.35">
      <c r="E1032" s="83"/>
      <c r="F1032" s="83"/>
      <c r="G1032" s="76"/>
      <c r="H1032" s="76"/>
      <c r="I1032" s="76"/>
      <c r="J1032" s="76"/>
      <c r="K1032" s="76"/>
      <c r="L1032" s="76"/>
      <c r="M1032" s="76"/>
      <c r="N1032" s="76"/>
      <c r="O1032" s="76"/>
      <c r="P1032" s="76"/>
      <c r="Q1032" s="76"/>
      <c r="R1032" s="76"/>
      <c r="S1032" s="76"/>
      <c r="T1032" s="76"/>
      <c r="U1032" s="76"/>
      <c r="V1032" s="76"/>
      <c r="W1032" s="76"/>
      <c r="X1032" s="76"/>
      <c r="Y1032" s="76"/>
      <c r="Z1032" s="76"/>
      <c r="AA1032" s="76"/>
      <c r="AB1032" s="76"/>
      <c r="AC1032" s="76"/>
      <c r="AD1032" s="76"/>
      <c r="AE1032" s="76"/>
      <c r="AF1032" s="76"/>
      <c r="AG1032" s="76"/>
      <c r="AH1032" s="76"/>
      <c r="AI1032" s="76"/>
      <c r="AJ1032" s="76"/>
      <c r="AK1032" s="76"/>
      <c r="AL1032" s="76"/>
      <c r="AM1032" s="76"/>
      <c r="AN1032" s="76"/>
      <c r="AO1032" s="76"/>
      <c r="AP1032" s="76"/>
      <c r="AQ1032" s="76"/>
      <c r="AR1032" s="76"/>
      <c r="AS1032" s="76"/>
      <c r="AT1032" s="76"/>
      <c r="AU1032" s="76"/>
      <c r="AV1032" s="76"/>
      <c r="AW1032" s="76"/>
      <c r="AX1032" s="76"/>
      <c r="AY1032" s="76"/>
      <c r="AZ1032" s="76"/>
      <c r="BA1032" s="76"/>
      <c r="BB1032" s="76"/>
    </row>
    <row r="1033" spans="5:54" x14ac:dyDescent="0.35">
      <c r="E1033" s="83"/>
      <c r="F1033" s="83"/>
      <c r="G1033" s="76"/>
      <c r="H1033" s="76"/>
      <c r="I1033" s="76"/>
      <c r="J1033" s="76"/>
      <c r="K1033" s="76"/>
      <c r="L1033" s="76"/>
      <c r="M1033" s="76"/>
      <c r="N1033" s="76"/>
      <c r="O1033" s="76"/>
      <c r="P1033" s="76"/>
      <c r="Q1033" s="76"/>
      <c r="R1033" s="76"/>
      <c r="S1033" s="76"/>
      <c r="T1033" s="76"/>
      <c r="U1033" s="76"/>
      <c r="V1033" s="76"/>
      <c r="W1033" s="76"/>
      <c r="X1033" s="76"/>
      <c r="Y1033" s="76"/>
      <c r="Z1033" s="76"/>
      <c r="AA1033" s="76"/>
      <c r="AB1033" s="76"/>
      <c r="AC1033" s="76"/>
      <c r="AD1033" s="76"/>
      <c r="AE1033" s="76"/>
      <c r="AF1033" s="76"/>
      <c r="AG1033" s="76"/>
      <c r="AH1033" s="76"/>
      <c r="AI1033" s="76"/>
      <c r="AJ1033" s="76"/>
      <c r="AK1033" s="76"/>
      <c r="AL1033" s="76"/>
      <c r="AM1033" s="76"/>
      <c r="AN1033" s="76"/>
      <c r="AO1033" s="76"/>
      <c r="AP1033" s="76"/>
      <c r="AQ1033" s="76"/>
      <c r="AR1033" s="76"/>
      <c r="AS1033" s="76"/>
      <c r="AT1033" s="76"/>
      <c r="AU1033" s="76"/>
      <c r="AV1033" s="76"/>
      <c r="AW1033" s="76"/>
      <c r="AX1033" s="76"/>
      <c r="AY1033" s="76"/>
      <c r="AZ1033" s="76"/>
      <c r="BA1033" s="76"/>
      <c r="BB1033" s="76"/>
    </row>
    <row r="1034" spans="5:54" x14ac:dyDescent="0.35">
      <c r="E1034" s="83"/>
      <c r="F1034" s="83"/>
      <c r="G1034" s="76"/>
      <c r="H1034" s="76"/>
      <c r="I1034" s="76"/>
      <c r="J1034" s="76"/>
      <c r="K1034" s="76"/>
      <c r="L1034" s="76"/>
      <c r="M1034" s="76"/>
      <c r="N1034" s="76"/>
      <c r="O1034" s="76"/>
      <c r="P1034" s="76"/>
      <c r="Q1034" s="76"/>
      <c r="R1034" s="76"/>
      <c r="S1034" s="76"/>
      <c r="T1034" s="76"/>
      <c r="U1034" s="76"/>
      <c r="V1034" s="76"/>
      <c r="W1034" s="76"/>
      <c r="X1034" s="76"/>
      <c r="Y1034" s="76"/>
      <c r="Z1034" s="76"/>
      <c r="AA1034" s="76"/>
      <c r="AB1034" s="76"/>
      <c r="AC1034" s="76"/>
      <c r="AD1034" s="76"/>
      <c r="AE1034" s="76"/>
      <c r="AF1034" s="76"/>
      <c r="AG1034" s="76"/>
      <c r="AH1034" s="76"/>
      <c r="AI1034" s="76"/>
      <c r="AJ1034" s="76"/>
      <c r="AK1034" s="76"/>
      <c r="AL1034" s="76"/>
      <c r="AM1034" s="76"/>
      <c r="AN1034" s="76"/>
      <c r="AO1034" s="76"/>
      <c r="AP1034" s="76"/>
      <c r="AQ1034" s="76"/>
      <c r="AR1034" s="76"/>
      <c r="AS1034" s="76"/>
      <c r="AT1034" s="76"/>
      <c r="AU1034" s="76"/>
      <c r="AV1034" s="76"/>
      <c r="AW1034" s="76"/>
      <c r="AX1034" s="76"/>
      <c r="AY1034" s="76"/>
      <c r="AZ1034" s="76"/>
      <c r="BA1034" s="76"/>
      <c r="BB1034" s="76"/>
    </row>
    <row r="1035" spans="5:54" x14ac:dyDescent="0.35">
      <c r="E1035" s="83"/>
      <c r="F1035" s="83"/>
      <c r="G1035" s="76"/>
      <c r="H1035" s="76"/>
      <c r="I1035" s="76"/>
      <c r="J1035" s="76"/>
      <c r="K1035" s="76"/>
      <c r="L1035" s="76"/>
      <c r="M1035" s="76"/>
      <c r="N1035" s="76"/>
      <c r="O1035" s="76"/>
      <c r="P1035" s="76"/>
      <c r="Q1035" s="76"/>
      <c r="R1035" s="76"/>
      <c r="S1035" s="76"/>
      <c r="T1035" s="76"/>
      <c r="U1035" s="76"/>
      <c r="V1035" s="76"/>
      <c r="W1035" s="76"/>
      <c r="X1035" s="76"/>
      <c r="Y1035" s="76"/>
      <c r="Z1035" s="76"/>
      <c r="AA1035" s="76"/>
      <c r="AB1035" s="76"/>
      <c r="AC1035" s="76"/>
      <c r="AD1035" s="76"/>
      <c r="AE1035" s="76"/>
      <c r="AF1035" s="76"/>
      <c r="AG1035" s="76"/>
      <c r="AH1035" s="76"/>
      <c r="AI1035" s="76"/>
      <c r="AJ1035" s="76"/>
      <c r="AK1035" s="76"/>
      <c r="AL1035" s="76"/>
      <c r="AM1035" s="76"/>
      <c r="AN1035" s="76"/>
      <c r="AO1035" s="76"/>
      <c r="AP1035" s="76"/>
      <c r="AQ1035" s="76"/>
      <c r="AR1035" s="76"/>
      <c r="AS1035" s="76"/>
      <c r="AT1035" s="76"/>
      <c r="AU1035" s="76"/>
      <c r="AV1035" s="76"/>
      <c r="AW1035" s="76"/>
      <c r="AX1035" s="76"/>
      <c r="AY1035" s="76"/>
      <c r="AZ1035" s="76"/>
      <c r="BA1035" s="76"/>
      <c r="BB1035" s="76"/>
    </row>
    <row r="1036" spans="5:54" x14ac:dyDescent="0.35">
      <c r="E1036" s="83"/>
      <c r="F1036" s="83"/>
      <c r="G1036" s="76"/>
      <c r="H1036" s="76"/>
      <c r="I1036" s="76"/>
      <c r="J1036" s="76"/>
      <c r="K1036" s="76"/>
      <c r="L1036" s="76"/>
      <c r="M1036" s="76"/>
      <c r="N1036" s="76"/>
      <c r="O1036" s="76"/>
      <c r="P1036" s="76"/>
      <c r="Q1036" s="76"/>
      <c r="R1036" s="76"/>
      <c r="S1036" s="76"/>
      <c r="T1036" s="76"/>
      <c r="U1036" s="76"/>
      <c r="V1036" s="76"/>
      <c r="W1036" s="76"/>
      <c r="X1036" s="76"/>
      <c r="Y1036" s="76"/>
      <c r="Z1036" s="76"/>
      <c r="AA1036" s="76"/>
      <c r="AB1036" s="76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6"/>
      <c r="AM1036" s="76"/>
      <c r="AN1036" s="76"/>
      <c r="AO1036" s="76"/>
      <c r="AP1036" s="76"/>
      <c r="AQ1036" s="76"/>
      <c r="AR1036" s="76"/>
      <c r="AS1036" s="76"/>
      <c r="AT1036" s="76"/>
      <c r="AU1036" s="76"/>
      <c r="AV1036" s="76"/>
      <c r="AW1036" s="76"/>
      <c r="AX1036" s="76"/>
      <c r="AY1036" s="76"/>
      <c r="AZ1036" s="76"/>
      <c r="BA1036" s="76"/>
      <c r="BB1036" s="76"/>
    </row>
    <row r="1037" spans="5:54" x14ac:dyDescent="0.35">
      <c r="E1037" s="83"/>
      <c r="F1037" s="83"/>
      <c r="G1037" s="76"/>
      <c r="H1037" s="76"/>
      <c r="I1037" s="76"/>
      <c r="J1037" s="76"/>
      <c r="K1037" s="76"/>
      <c r="L1037" s="76"/>
      <c r="M1037" s="76"/>
      <c r="N1037" s="76"/>
      <c r="O1037" s="76"/>
      <c r="P1037" s="76"/>
      <c r="Q1037" s="76"/>
      <c r="R1037" s="76"/>
      <c r="S1037" s="76"/>
      <c r="T1037" s="76"/>
      <c r="U1037" s="76"/>
      <c r="V1037" s="76"/>
      <c r="W1037" s="76"/>
      <c r="X1037" s="76"/>
      <c r="Y1037" s="76"/>
      <c r="Z1037" s="76"/>
      <c r="AA1037" s="76"/>
      <c r="AB1037" s="76"/>
      <c r="AC1037" s="76"/>
      <c r="AD1037" s="76"/>
      <c r="AE1037" s="76"/>
      <c r="AF1037" s="76"/>
      <c r="AG1037" s="76"/>
      <c r="AH1037" s="76"/>
      <c r="AI1037" s="76"/>
      <c r="AJ1037" s="76"/>
      <c r="AK1037" s="76"/>
      <c r="AL1037" s="76"/>
      <c r="AM1037" s="76"/>
      <c r="AN1037" s="76"/>
      <c r="AO1037" s="76"/>
      <c r="AP1037" s="76"/>
      <c r="AQ1037" s="76"/>
      <c r="AR1037" s="76"/>
      <c r="AS1037" s="76"/>
      <c r="AT1037" s="76"/>
      <c r="AU1037" s="76"/>
      <c r="AV1037" s="76"/>
      <c r="AW1037" s="76"/>
      <c r="AX1037" s="76"/>
      <c r="AY1037" s="76"/>
      <c r="AZ1037" s="76"/>
      <c r="BA1037" s="76"/>
      <c r="BB1037" s="76"/>
    </row>
    <row r="1038" spans="5:54" x14ac:dyDescent="0.35">
      <c r="E1038" s="83"/>
      <c r="F1038" s="83"/>
      <c r="G1038" s="76"/>
      <c r="H1038" s="76"/>
      <c r="I1038" s="76"/>
      <c r="J1038" s="76"/>
      <c r="K1038" s="76"/>
      <c r="L1038" s="76"/>
      <c r="M1038" s="76"/>
      <c r="N1038" s="76"/>
      <c r="O1038" s="76"/>
      <c r="P1038" s="76"/>
      <c r="Q1038" s="76"/>
      <c r="R1038" s="76"/>
      <c r="S1038" s="76"/>
      <c r="T1038" s="76"/>
      <c r="U1038" s="76"/>
      <c r="V1038" s="76"/>
      <c r="W1038" s="76"/>
      <c r="X1038" s="76"/>
      <c r="Y1038" s="76"/>
      <c r="Z1038" s="76"/>
      <c r="AA1038" s="76"/>
      <c r="AB1038" s="76"/>
      <c r="AC1038" s="76"/>
      <c r="AD1038" s="76"/>
      <c r="AE1038" s="76"/>
      <c r="AF1038" s="76"/>
      <c r="AG1038" s="76"/>
      <c r="AH1038" s="76"/>
      <c r="AI1038" s="76"/>
      <c r="AJ1038" s="76"/>
      <c r="AK1038" s="76"/>
      <c r="AL1038" s="76"/>
      <c r="AM1038" s="76"/>
      <c r="AN1038" s="76"/>
      <c r="AO1038" s="76"/>
      <c r="AP1038" s="76"/>
      <c r="AQ1038" s="76"/>
      <c r="AR1038" s="76"/>
      <c r="AS1038" s="76"/>
      <c r="AT1038" s="76"/>
      <c r="AU1038" s="76"/>
      <c r="AV1038" s="76"/>
      <c r="AW1038" s="76"/>
      <c r="AX1038" s="76"/>
      <c r="AY1038" s="76"/>
      <c r="AZ1038" s="76"/>
      <c r="BA1038" s="76"/>
      <c r="BB1038" s="76"/>
    </row>
    <row r="1039" spans="5:54" x14ac:dyDescent="0.35">
      <c r="E1039" s="83"/>
      <c r="F1039" s="83"/>
      <c r="G1039" s="76"/>
      <c r="H1039" s="76"/>
      <c r="I1039" s="76"/>
      <c r="J1039" s="76"/>
      <c r="K1039" s="76"/>
      <c r="L1039" s="76"/>
      <c r="M1039" s="76"/>
      <c r="N1039" s="76"/>
      <c r="O1039" s="76"/>
      <c r="P1039" s="76"/>
      <c r="Q1039" s="76"/>
      <c r="R1039" s="76"/>
      <c r="S1039" s="76"/>
      <c r="T1039" s="76"/>
      <c r="U1039" s="76"/>
      <c r="V1039" s="76"/>
      <c r="W1039" s="76"/>
      <c r="X1039" s="76"/>
      <c r="Y1039" s="76"/>
      <c r="Z1039" s="76"/>
      <c r="AA1039" s="76"/>
      <c r="AB1039" s="76"/>
      <c r="AC1039" s="76"/>
      <c r="AD1039" s="76"/>
      <c r="AE1039" s="76"/>
      <c r="AF1039" s="76"/>
      <c r="AG1039" s="76"/>
      <c r="AH1039" s="76"/>
      <c r="AI1039" s="76"/>
      <c r="AJ1039" s="76"/>
      <c r="AK1039" s="76"/>
      <c r="AL1039" s="76"/>
      <c r="AM1039" s="76"/>
      <c r="AN1039" s="76"/>
      <c r="AO1039" s="76"/>
      <c r="AP1039" s="76"/>
      <c r="AQ1039" s="76"/>
      <c r="AR1039" s="76"/>
      <c r="AS1039" s="76"/>
      <c r="AT1039" s="76"/>
      <c r="AU1039" s="76"/>
      <c r="AV1039" s="76"/>
      <c r="AW1039" s="76"/>
      <c r="AX1039" s="76"/>
      <c r="AY1039" s="76"/>
      <c r="AZ1039" s="76"/>
      <c r="BA1039" s="76"/>
      <c r="BB1039" s="76"/>
    </row>
    <row r="1040" spans="5:54" x14ac:dyDescent="0.35">
      <c r="E1040" s="83"/>
      <c r="F1040" s="83"/>
      <c r="G1040" s="76"/>
      <c r="H1040" s="76"/>
      <c r="I1040" s="76"/>
      <c r="J1040" s="76"/>
      <c r="K1040" s="76"/>
      <c r="L1040" s="76"/>
      <c r="M1040" s="76"/>
      <c r="N1040" s="76"/>
      <c r="O1040" s="76"/>
      <c r="P1040" s="76"/>
      <c r="Q1040" s="76"/>
      <c r="R1040" s="76"/>
      <c r="S1040" s="76"/>
      <c r="T1040" s="76"/>
      <c r="U1040" s="76"/>
      <c r="V1040" s="76"/>
      <c r="W1040" s="76"/>
      <c r="X1040" s="76"/>
      <c r="Y1040" s="76"/>
      <c r="Z1040" s="76"/>
      <c r="AA1040" s="76"/>
      <c r="AB1040" s="76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6"/>
      <c r="AM1040" s="76"/>
      <c r="AN1040" s="76"/>
      <c r="AO1040" s="76"/>
      <c r="AP1040" s="76"/>
      <c r="AQ1040" s="76"/>
      <c r="AR1040" s="76"/>
      <c r="AS1040" s="76"/>
      <c r="AT1040" s="76"/>
      <c r="AU1040" s="76"/>
      <c r="AV1040" s="76"/>
      <c r="AW1040" s="76"/>
      <c r="AX1040" s="76"/>
      <c r="AY1040" s="76"/>
      <c r="AZ1040" s="76"/>
      <c r="BA1040" s="76"/>
      <c r="BB1040" s="76"/>
    </row>
    <row r="1041" spans="5:54" x14ac:dyDescent="0.35">
      <c r="E1041" s="83"/>
      <c r="F1041" s="83"/>
      <c r="G1041" s="76"/>
      <c r="H1041" s="76"/>
      <c r="I1041" s="76"/>
      <c r="J1041" s="76"/>
      <c r="K1041" s="76"/>
      <c r="L1041" s="76"/>
      <c r="M1041" s="76"/>
      <c r="N1041" s="76"/>
      <c r="O1041" s="76"/>
      <c r="P1041" s="76"/>
      <c r="Q1041" s="76"/>
      <c r="R1041" s="76"/>
      <c r="S1041" s="76"/>
      <c r="T1041" s="76"/>
      <c r="U1041" s="76"/>
      <c r="V1041" s="76"/>
      <c r="W1041" s="76"/>
      <c r="X1041" s="76"/>
      <c r="Y1041" s="76"/>
      <c r="Z1041" s="76"/>
      <c r="AA1041" s="76"/>
      <c r="AB1041" s="76"/>
      <c r="AC1041" s="76"/>
      <c r="AD1041" s="76"/>
      <c r="AE1041" s="76"/>
      <c r="AF1041" s="76"/>
      <c r="AG1041" s="76"/>
      <c r="AH1041" s="76"/>
      <c r="AI1041" s="76"/>
      <c r="AJ1041" s="76"/>
      <c r="AK1041" s="76"/>
      <c r="AL1041" s="76"/>
      <c r="AM1041" s="76"/>
      <c r="AN1041" s="76"/>
      <c r="AO1041" s="76"/>
      <c r="AP1041" s="76"/>
      <c r="AQ1041" s="76"/>
      <c r="AR1041" s="76"/>
      <c r="AS1041" s="76"/>
      <c r="AT1041" s="76"/>
      <c r="AU1041" s="76"/>
      <c r="AV1041" s="76"/>
      <c r="AW1041" s="76"/>
      <c r="AX1041" s="76"/>
      <c r="AY1041" s="76"/>
      <c r="AZ1041" s="76"/>
      <c r="BA1041" s="76"/>
      <c r="BB1041" s="76"/>
    </row>
    <row r="1042" spans="5:54" x14ac:dyDescent="0.35">
      <c r="E1042" s="83"/>
      <c r="F1042" s="83"/>
      <c r="G1042" s="76"/>
      <c r="H1042" s="76"/>
      <c r="I1042" s="76"/>
      <c r="J1042" s="76"/>
      <c r="K1042" s="76"/>
      <c r="L1042" s="76"/>
      <c r="M1042" s="76"/>
      <c r="N1042" s="76"/>
      <c r="O1042" s="76"/>
      <c r="P1042" s="76"/>
      <c r="Q1042" s="76"/>
      <c r="R1042" s="76"/>
      <c r="S1042" s="76"/>
      <c r="T1042" s="76"/>
      <c r="U1042" s="76"/>
      <c r="V1042" s="76"/>
      <c r="W1042" s="76"/>
      <c r="X1042" s="76"/>
      <c r="Y1042" s="76"/>
      <c r="Z1042" s="76"/>
      <c r="AA1042" s="76"/>
      <c r="AB1042" s="76"/>
      <c r="AC1042" s="76"/>
      <c r="AD1042" s="76"/>
      <c r="AE1042" s="76"/>
      <c r="AF1042" s="76"/>
      <c r="AG1042" s="76"/>
      <c r="AH1042" s="76"/>
      <c r="AI1042" s="76"/>
      <c r="AJ1042" s="76"/>
      <c r="AK1042" s="76"/>
      <c r="AL1042" s="76"/>
      <c r="AM1042" s="76"/>
      <c r="AN1042" s="76"/>
      <c r="AO1042" s="76"/>
      <c r="AP1042" s="76"/>
      <c r="AQ1042" s="76"/>
      <c r="AR1042" s="76"/>
      <c r="AS1042" s="76"/>
      <c r="AT1042" s="76"/>
      <c r="AU1042" s="76"/>
      <c r="AV1042" s="76"/>
      <c r="AW1042" s="76"/>
      <c r="AX1042" s="76"/>
      <c r="AY1042" s="76"/>
      <c r="AZ1042" s="76"/>
      <c r="BA1042" s="76"/>
      <c r="BB1042" s="76"/>
    </row>
    <row r="1043" spans="5:54" x14ac:dyDescent="0.35">
      <c r="E1043" s="83"/>
      <c r="F1043" s="83"/>
      <c r="G1043" s="76"/>
      <c r="H1043" s="76"/>
      <c r="I1043" s="76"/>
      <c r="J1043" s="76"/>
      <c r="K1043" s="76"/>
      <c r="L1043" s="76"/>
      <c r="M1043" s="76"/>
      <c r="N1043" s="76"/>
      <c r="O1043" s="76"/>
      <c r="P1043" s="76"/>
      <c r="Q1043" s="76"/>
      <c r="R1043" s="76"/>
      <c r="S1043" s="76"/>
      <c r="T1043" s="76"/>
      <c r="U1043" s="76"/>
      <c r="V1043" s="76"/>
      <c r="W1043" s="76"/>
      <c r="X1043" s="76"/>
      <c r="Y1043" s="76"/>
      <c r="Z1043" s="76"/>
      <c r="AA1043" s="76"/>
      <c r="AB1043" s="76"/>
      <c r="AC1043" s="76"/>
      <c r="AD1043" s="76"/>
      <c r="AE1043" s="76"/>
      <c r="AF1043" s="76"/>
      <c r="AG1043" s="76"/>
      <c r="AH1043" s="76"/>
      <c r="AI1043" s="76"/>
      <c r="AJ1043" s="76"/>
      <c r="AK1043" s="76"/>
      <c r="AL1043" s="76"/>
      <c r="AM1043" s="76"/>
      <c r="AN1043" s="76"/>
      <c r="AO1043" s="76"/>
      <c r="AP1043" s="76"/>
      <c r="AQ1043" s="76"/>
      <c r="AR1043" s="76"/>
      <c r="AS1043" s="76"/>
      <c r="AT1043" s="76"/>
      <c r="AU1043" s="76"/>
      <c r="AV1043" s="76"/>
      <c r="AW1043" s="76"/>
      <c r="AX1043" s="76"/>
      <c r="AY1043" s="76"/>
      <c r="AZ1043" s="76"/>
      <c r="BA1043" s="76"/>
      <c r="BB1043" s="76"/>
    </row>
    <row r="1044" spans="5:54" x14ac:dyDescent="0.35">
      <c r="E1044" s="83"/>
      <c r="F1044" s="83"/>
      <c r="G1044" s="76"/>
      <c r="H1044" s="76"/>
      <c r="I1044" s="76"/>
      <c r="J1044" s="76"/>
      <c r="K1044" s="76"/>
      <c r="L1044" s="76"/>
      <c r="M1044" s="76"/>
      <c r="N1044" s="76"/>
      <c r="O1044" s="76"/>
      <c r="P1044" s="76"/>
      <c r="Q1044" s="76"/>
      <c r="R1044" s="76"/>
      <c r="S1044" s="76"/>
      <c r="T1044" s="76"/>
      <c r="U1044" s="76"/>
      <c r="V1044" s="76"/>
      <c r="W1044" s="76"/>
      <c r="X1044" s="76"/>
      <c r="Y1044" s="76"/>
      <c r="Z1044" s="76"/>
      <c r="AA1044" s="76"/>
      <c r="AB1044" s="76"/>
      <c r="AC1044" s="76"/>
      <c r="AD1044" s="76"/>
      <c r="AE1044" s="76"/>
      <c r="AF1044" s="76"/>
      <c r="AG1044" s="76"/>
      <c r="AH1044" s="76"/>
      <c r="AI1044" s="76"/>
      <c r="AJ1044" s="76"/>
      <c r="AK1044" s="76"/>
      <c r="AL1044" s="76"/>
      <c r="AM1044" s="76"/>
      <c r="AN1044" s="76"/>
      <c r="AO1044" s="76"/>
      <c r="AP1044" s="76"/>
      <c r="AQ1044" s="76"/>
      <c r="AR1044" s="76"/>
      <c r="AS1044" s="76"/>
      <c r="AT1044" s="76"/>
      <c r="AU1044" s="76"/>
      <c r="AV1044" s="76"/>
      <c r="AW1044" s="76"/>
      <c r="AX1044" s="76"/>
      <c r="AY1044" s="76"/>
      <c r="AZ1044" s="76"/>
      <c r="BA1044" s="76"/>
      <c r="BB1044" s="76"/>
    </row>
    <row r="1045" spans="5:54" x14ac:dyDescent="0.35">
      <c r="E1045" s="83"/>
      <c r="F1045" s="83"/>
      <c r="G1045" s="76"/>
      <c r="H1045" s="76"/>
      <c r="I1045" s="76"/>
      <c r="J1045" s="76"/>
      <c r="K1045" s="76"/>
      <c r="L1045" s="76"/>
      <c r="M1045" s="76"/>
      <c r="N1045" s="76"/>
      <c r="O1045" s="76"/>
      <c r="P1045" s="76"/>
      <c r="Q1045" s="76"/>
      <c r="R1045" s="76"/>
      <c r="S1045" s="76"/>
      <c r="T1045" s="76"/>
      <c r="U1045" s="76"/>
      <c r="V1045" s="76"/>
      <c r="W1045" s="76"/>
      <c r="X1045" s="76"/>
      <c r="Y1045" s="76"/>
      <c r="Z1045" s="76"/>
      <c r="AA1045" s="76"/>
      <c r="AB1045" s="76"/>
      <c r="AC1045" s="76"/>
      <c r="AD1045" s="76"/>
      <c r="AE1045" s="76"/>
      <c r="AF1045" s="76"/>
      <c r="AG1045" s="76"/>
      <c r="AH1045" s="76"/>
      <c r="AI1045" s="76"/>
      <c r="AJ1045" s="76"/>
      <c r="AK1045" s="76"/>
      <c r="AL1045" s="76"/>
      <c r="AM1045" s="76"/>
      <c r="AN1045" s="76"/>
      <c r="AO1045" s="76"/>
      <c r="AP1045" s="76"/>
      <c r="AQ1045" s="76"/>
      <c r="AR1045" s="76"/>
      <c r="AS1045" s="76"/>
      <c r="AT1045" s="76"/>
      <c r="AU1045" s="76"/>
      <c r="AV1045" s="76"/>
      <c r="AW1045" s="76"/>
      <c r="AX1045" s="76"/>
      <c r="AY1045" s="76"/>
      <c r="AZ1045" s="76"/>
      <c r="BA1045" s="76"/>
      <c r="BB1045" s="76"/>
    </row>
    <row r="1046" spans="5:54" x14ac:dyDescent="0.35">
      <c r="E1046" s="83"/>
      <c r="F1046" s="83"/>
      <c r="G1046" s="76"/>
      <c r="H1046" s="76"/>
      <c r="I1046" s="76"/>
      <c r="J1046" s="76"/>
      <c r="K1046" s="76"/>
      <c r="L1046" s="76"/>
      <c r="M1046" s="76"/>
      <c r="N1046" s="76"/>
      <c r="O1046" s="76"/>
      <c r="P1046" s="76"/>
      <c r="Q1046" s="76"/>
      <c r="R1046" s="76"/>
      <c r="S1046" s="76"/>
      <c r="T1046" s="76"/>
      <c r="U1046" s="76"/>
      <c r="V1046" s="76"/>
      <c r="W1046" s="76"/>
      <c r="X1046" s="76"/>
      <c r="Y1046" s="76"/>
      <c r="Z1046" s="76"/>
      <c r="AA1046" s="76"/>
      <c r="AB1046" s="76"/>
      <c r="AC1046" s="76"/>
      <c r="AD1046" s="76"/>
      <c r="AE1046" s="76"/>
      <c r="AF1046" s="76"/>
      <c r="AG1046" s="76"/>
      <c r="AH1046" s="76"/>
      <c r="AI1046" s="76"/>
      <c r="AJ1046" s="76"/>
      <c r="AK1046" s="76"/>
      <c r="AL1046" s="76"/>
      <c r="AM1046" s="76"/>
      <c r="AN1046" s="76"/>
      <c r="AO1046" s="76"/>
      <c r="AP1046" s="76"/>
      <c r="AQ1046" s="76"/>
      <c r="AR1046" s="76"/>
      <c r="AS1046" s="76"/>
      <c r="AT1046" s="76"/>
      <c r="AU1046" s="76"/>
      <c r="AV1046" s="76"/>
      <c r="AW1046" s="76"/>
      <c r="AX1046" s="76"/>
      <c r="AY1046" s="76"/>
      <c r="AZ1046" s="76"/>
      <c r="BA1046" s="76"/>
      <c r="BB1046" s="76"/>
    </row>
    <row r="1047" spans="5:54" x14ac:dyDescent="0.35">
      <c r="E1047" s="83"/>
      <c r="F1047" s="83"/>
      <c r="G1047" s="76"/>
      <c r="H1047" s="76"/>
      <c r="I1047" s="76"/>
      <c r="J1047" s="76"/>
      <c r="K1047" s="76"/>
      <c r="L1047" s="76"/>
      <c r="M1047" s="76"/>
      <c r="N1047" s="76"/>
      <c r="O1047" s="76"/>
      <c r="P1047" s="76"/>
      <c r="Q1047" s="76"/>
      <c r="R1047" s="76"/>
      <c r="S1047" s="76"/>
      <c r="T1047" s="76"/>
      <c r="U1047" s="76"/>
      <c r="V1047" s="76"/>
      <c r="W1047" s="76"/>
      <c r="X1047" s="76"/>
      <c r="Y1047" s="76"/>
      <c r="Z1047" s="76"/>
      <c r="AA1047" s="76"/>
      <c r="AB1047" s="76"/>
      <c r="AC1047" s="76"/>
      <c r="AD1047" s="76"/>
      <c r="AE1047" s="76"/>
      <c r="AF1047" s="76"/>
      <c r="AG1047" s="76"/>
      <c r="AH1047" s="76"/>
      <c r="AI1047" s="76"/>
      <c r="AJ1047" s="76"/>
      <c r="AK1047" s="76"/>
      <c r="AL1047" s="76"/>
      <c r="AM1047" s="76"/>
      <c r="AN1047" s="76"/>
      <c r="AO1047" s="76"/>
      <c r="AP1047" s="76"/>
      <c r="AQ1047" s="76"/>
      <c r="AR1047" s="76"/>
      <c r="AS1047" s="76"/>
      <c r="AT1047" s="76"/>
      <c r="AU1047" s="76"/>
      <c r="AV1047" s="76"/>
      <c r="AW1047" s="76"/>
      <c r="AX1047" s="76"/>
      <c r="AY1047" s="76"/>
      <c r="AZ1047" s="76"/>
      <c r="BA1047" s="76"/>
      <c r="BB1047" s="76"/>
    </row>
    <row r="1048" spans="5:54" x14ac:dyDescent="0.35">
      <c r="E1048" s="83"/>
      <c r="F1048" s="83"/>
      <c r="G1048" s="76"/>
      <c r="H1048" s="76"/>
      <c r="I1048" s="76"/>
      <c r="J1048" s="76"/>
      <c r="K1048" s="76"/>
      <c r="L1048" s="76"/>
      <c r="M1048" s="76"/>
      <c r="N1048" s="76"/>
      <c r="O1048" s="76"/>
      <c r="P1048" s="76"/>
      <c r="Q1048" s="76"/>
      <c r="R1048" s="76"/>
      <c r="S1048" s="76"/>
      <c r="T1048" s="76"/>
      <c r="U1048" s="76"/>
      <c r="V1048" s="76"/>
      <c r="W1048" s="76"/>
      <c r="X1048" s="76"/>
      <c r="Y1048" s="76"/>
      <c r="Z1048" s="76"/>
      <c r="AA1048" s="76"/>
      <c r="AB1048" s="76"/>
      <c r="AC1048" s="76"/>
      <c r="AD1048" s="76"/>
      <c r="AE1048" s="76"/>
      <c r="AF1048" s="76"/>
      <c r="AG1048" s="76"/>
      <c r="AH1048" s="76"/>
      <c r="AI1048" s="76"/>
      <c r="AJ1048" s="76"/>
      <c r="AK1048" s="76"/>
      <c r="AL1048" s="76"/>
      <c r="AM1048" s="76"/>
      <c r="AN1048" s="76"/>
      <c r="AO1048" s="76"/>
      <c r="AP1048" s="76"/>
      <c r="AQ1048" s="76"/>
      <c r="AR1048" s="76"/>
      <c r="AS1048" s="76"/>
      <c r="AT1048" s="76"/>
      <c r="AU1048" s="76"/>
      <c r="AV1048" s="76"/>
      <c r="AW1048" s="76"/>
      <c r="AX1048" s="76"/>
      <c r="AY1048" s="76"/>
      <c r="AZ1048" s="76"/>
      <c r="BA1048" s="76"/>
      <c r="BB1048" s="76"/>
    </row>
    <row r="1049" spans="5:54" x14ac:dyDescent="0.35">
      <c r="E1049" s="83"/>
      <c r="F1049" s="83"/>
      <c r="G1049" s="76"/>
      <c r="H1049" s="76"/>
      <c r="I1049" s="76"/>
      <c r="J1049" s="76"/>
      <c r="K1049" s="76"/>
      <c r="L1049" s="76"/>
      <c r="M1049" s="76"/>
      <c r="N1049" s="76"/>
      <c r="O1049" s="76"/>
      <c r="P1049" s="76"/>
      <c r="Q1049" s="76"/>
      <c r="R1049" s="76"/>
      <c r="S1049" s="76"/>
      <c r="T1049" s="76"/>
      <c r="U1049" s="76"/>
      <c r="V1049" s="76"/>
      <c r="W1049" s="76"/>
      <c r="X1049" s="76"/>
      <c r="Y1049" s="76"/>
      <c r="Z1049" s="76"/>
      <c r="AA1049" s="76"/>
      <c r="AB1049" s="76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6"/>
      <c r="AM1049" s="76"/>
      <c r="AN1049" s="76"/>
      <c r="AO1049" s="76"/>
      <c r="AP1049" s="76"/>
      <c r="AQ1049" s="76"/>
      <c r="AR1049" s="76"/>
      <c r="AS1049" s="76"/>
      <c r="AT1049" s="76"/>
      <c r="AU1049" s="76"/>
      <c r="AV1049" s="76"/>
      <c r="AW1049" s="76"/>
      <c r="AX1049" s="76"/>
      <c r="AY1049" s="76"/>
      <c r="AZ1049" s="76"/>
      <c r="BA1049" s="76"/>
      <c r="BB1049" s="76"/>
    </row>
    <row r="1050" spans="5:54" x14ac:dyDescent="0.35">
      <c r="E1050" s="83"/>
      <c r="F1050" s="83"/>
      <c r="G1050" s="76"/>
      <c r="H1050" s="76"/>
      <c r="I1050" s="76"/>
      <c r="J1050" s="76"/>
      <c r="K1050" s="76"/>
      <c r="L1050" s="76"/>
      <c r="M1050" s="76"/>
      <c r="N1050" s="76"/>
      <c r="O1050" s="76"/>
      <c r="P1050" s="76"/>
      <c r="Q1050" s="76"/>
      <c r="R1050" s="76"/>
      <c r="S1050" s="76"/>
      <c r="T1050" s="76"/>
      <c r="U1050" s="76"/>
      <c r="V1050" s="76"/>
      <c r="W1050" s="76"/>
      <c r="X1050" s="76"/>
      <c r="Y1050" s="76"/>
      <c r="Z1050" s="76"/>
      <c r="AA1050" s="76"/>
      <c r="AB1050" s="76"/>
      <c r="AC1050" s="76"/>
      <c r="AD1050" s="76"/>
      <c r="AE1050" s="76"/>
      <c r="AF1050" s="76"/>
      <c r="AG1050" s="76"/>
      <c r="AH1050" s="76"/>
      <c r="AI1050" s="76"/>
      <c r="AJ1050" s="76"/>
      <c r="AK1050" s="76"/>
      <c r="AL1050" s="76"/>
      <c r="AM1050" s="76"/>
      <c r="AN1050" s="76"/>
      <c r="AO1050" s="76"/>
      <c r="AP1050" s="76"/>
      <c r="AQ1050" s="76"/>
      <c r="AR1050" s="76"/>
      <c r="AS1050" s="76"/>
      <c r="AT1050" s="76"/>
      <c r="AU1050" s="76"/>
      <c r="AV1050" s="76"/>
      <c r="AW1050" s="76"/>
      <c r="AX1050" s="76"/>
      <c r="AY1050" s="76"/>
      <c r="AZ1050" s="76"/>
      <c r="BA1050" s="76"/>
      <c r="BB1050" s="76"/>
    </row>
    <row r="1051" spans="5:54" x14ac:dyDescent="0.35">
      <c r="E1051" s="83"/>
      <c r="F1051" s="83"/>
      <c r="G1051" s="76"/>
      <c r="H1051" s="76"/>
      <c r="I1051" s="76"/>
      <c r="J1051" s="76"/>
      <c r="K1051" s="76"/>
      <c r="L1051" s="76"/>
      <c r="M1051" s="76"/>
      <c r="N1051" s="76"/>
      <c r="O1051" s="76"/>
      <c r="P1051" s="76"/>
      <c r="Q1051" s="76"/>
      <c r="R1051" s="76"/>
      <c r="S1051" s="76"/>
      <c r="T1051" s="76"/>
      <c r="U1051" s="76"/>
      <c r="V1051" s="76"/>
      <c r="W1051" s="76"/>
      <c r="X1051" s="76"/>
      <c r="Y1051" s="76"/>
      <c r="Z1051" s="76"/>
      <c r="AA1051" s="76"/>
      <c r="AB1051" s="76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6"/>
      <c r="AM1051" s="76"/>
      <c r="AN1051" s="76"/>
      <c r="AO1051" s="76"/>
      <c r="AP1051" s="76"/>
      <c r="AQ1051" s="76"/>
      <c r="AR1051" s="76"/>
      <c r="AS1051" s="76"/>
      <c r="AT1051" s="76"/>
      <c r="AU1051" s="76"/>
      <c r="AV1051" s="76"/>
      <c r="AW1051" s="76"/>
      <c r="AX1051" s="76"/>
      <c r="AY1051" s="76"/>
      <c r="AZ1051" s="76"/>
      <c r="BA1051" s="76"/>
      <c r="BB1051" s="76"/>
    </row>
    <row r="1052" spans="5:54" x14ac:dyDescent="0.35">
      <c r="E1052" s="83"/>
      <c r="F1052" s="83"/>
      <c r="G1052" s="76"/>
      <c r="H1052" s="76"/>
      <c r="I1052" s="76"/>
      <c r="J1052" s="76"/>
      <c r="K1052" s="76"/>
      <c r="L1052" s="76"/>
      <c r="M1052" s="76"/>
      <c r="N1052" s="76"/>
      <c r="O1052" s="76"/>
      <c r="P1052" s="76"/>
      <c r="Q1052" s="76"/>
      <c r="R1052" s="76"/>
      <c r="S1052" s="76"/>
      <c r="T1052" s="76"/>
      <c r="U1052" s="76"/>
      <c r="V1052" s="76"/>
      <c r="W1052" s="76"/>
      <c r="X1052" s="76"/>
      <c r="Y1052" s="76"/>
      <c r="Z1052" s="76"/>
      <c r="AA1052" s="76"/>
      <c r="AB1052" s="76"/>
      <c r="AC1052" s="76"/>
      <c r="AD1052" s="76"/>
      <c r="AE1052" s="76"/>
      <c r="AF1052" s="76"/>
      <c r="AG1052" s="76"/>
      <c r="AH1052" s="76"/>
      <c r="AI1052" s="76"/>
      <c r="AJ1052" s="76"/>
      <c r="AK1052" s="76"/>
      <c r="AL1052" s="76"/>
      <c r="AM1052" s="76"/>
      <c r="AN1052" s="76"/>
      <c r="AO1052" s="76"/>
      <c r="AP1052" s="76"/>
      <c r="AQ1052" s="76"/>
      <c r="AR1052" s="76"/>
      <c r="AS1052" s="76"/>
      <c r="AT1052" s="76"/>
      <c r="AU1052" s="76"/>
      <c r="AV1052" s="76"/>
      <c r="AW1052" s="76"/>
      <c r="AX1052" s="76"/>
      <c r="AY1052" s="76"/>
      <c r="AZ1052" s="76"/>
      <c r="BA1052" s="76"/>
      <c r="BB1052" s="76"/>
    </row>
    <row r="1053" spans="5:54" x14ac:dyDescent="0.35">
      <c r="E1053" s="83"/>
      <c r="F1053" s="83"/>
      <c r="G1053" s="76"/>
      <c r="H1053" s="76"/>
      <c r="I1053" s="76"/>
      <c r="J1053" s="76"/>
      <c r="K1053" s="76"/>
      <c r="L1053" s="76"/>
      <c r="M1053" s="76"/>
      <c r="N1053" s="76"/>
      <c r="O1053" s="76"/>
      <c r="P1053" s="76"/>
      <c r="Q1053" s="76"/>
      <c r="R1053" s="76"/>
      <c r="S1053" s="76"/>
      <c r="T1053" s="76"/>
      <c r="U1053" s="76"/>
      <c r="V1053" s="76"/>
      <c r="W1053" s="76"/>
      <c r="X1053" s="76"/>
      <c r="Y1053" s="76"/>
      <c r="Z1053" s="76"/>
      <c r="AA1053" s="76"/>
      <c r="AB1053" s="76"/>
      <c r="AC1053" s="76"/>
      <c r="AD1053" s="76"/>
      <c r="AE1053" s="76"/>
      <c r="AF1053" s="76"/>
      <c r="AG1053" s="76"/>
      <c r="AH1053" s="76"/>
      <c r="AI1053" s="76"/>
      <c r="AJ1053" s="76"/>
      <c r="AK1053" s="76"/>
      <c r="AL1053" s="76"/>
      <c r="AM1053" s="76"/>
      <c r="AN1053" s="76"/>
      <c r="AO1053" s="76"/>
      <c r="AP1053" s="76"/>
      <c r="AQ1053" s="76"/>
      <c r="AR1053" s="76"/>
      <c r="AS1053" s="76"/>
      <c r="AT1053" s="76"/>
      <c r="AU1053" s="76"/>
      <c r="AV1053" s="76"/>
      <c r="AW1053" s="76"/>
      <c r="AX1053" s="76"/>
      <c r="AY1053" s="76"/>
      <c r="AZ1053" s="76"/>
      <c r="BA1053" s="76"/>
      <c r="BB1053" s="76"/>
    </row>
    <row r="1054" spans="5:54" x14ac:dyDescent="0.35">
      <c r="E1054" s="83"/>
      <c r="F1054" s="83"/>
      <c r="G1054" s="76"/>
      <c r="H1054" s="76"/>
      <c r="I1054" s="76"/>
      <c r="J1054" s="76"/>
      <c r="K1054" s="76"/>
      <c r="L1054" s="76"/>
      <c r="M1054" s="76"/>
      <c r="N1054" s="76"/>
      <c r="O1054" s="76"/>
      <c r="P1054" s="76"/>
      <c r="Q1054" s="76"/>
      <c r="R1054" s="76"/>
      <c r="S1054" s="76"/>
      <c r="T1054" s="76"/>
      <c r="U1054" s="76"/>
      <c r="V1054" s="76"/>
      <c r="W1054" s="76"/>
      <c r="X1054" s="76"/>
      <c r="Y1054" s="76"/>
      <c r="Z1054" s="76"/>
      <c r="AA1054" s="76"/>
      <c r="AB1054" s="76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6"/>
      <c r="AM1054" s="76"/>
      <c r="AN1054" s="76"/>
      <c r="AO1054" s="76"/>
      <c r="AP1054" s="76"/>
      <c r="AQ1054" s="76"/>
      <c r="AR1054" s="76"/>
      <c r="AS1054" s="76"/>
      <c r="AT1054" s="76"/>
      <c r="AU1054" s="76"/>
      <c r="AV1054" s="76"/>
      <c r="AW1054" s="76"/>
      <c r="AX1054" s="76"/>
      <c r="AY1054" s="76"/>
      <c r="AZ1054" s="76"/>
      <c r="BA1054" s="76"/>
      <c r="BB1054" s="76"/>
    </row>
    <row r="1055" spans="5:54" x14ac:dyDescent="0.35">
      <c r="E1055" s="83"/>
      <c r="F1055" s="83"/>
      <c r="G1055" s="76"/>
      <c r="H1055" s="76"/>
      <c r="I1055" s="76"/>
      <c r="J1055" s="76"/>
      <c r="K1055" s="76"/>
      <c r="L1055" s="76"/>
      <c r="M1055" s="76"/>
      <c r="N1055" s="76"/>
      <c r="O1055" s="76"/>
      <c r="P1055" s="76"/>
      <c r="Q1055" s="76"/>
      <c r="R1055" s="76"/>
      <c r="S1055" s="76"/>
      <c r="T1055" s="76"/>
      <c r="U1055" s="76"/>
      <c r="V1055" s="76"/>
      <c r="W1055" s="76"/>
      <c r="X1055" s="76"/>
      <c r="Y1055" s="76"/>
      <c r="Z1055" s="76"/>
      <c r="AA1055" s="76"/>
      <c r="AB1055" s="76"/>
      <c r="AC1055" s="76"/>
      <c r="AD1055" s="76"/>
      <c r="AE1055" s="76"/>
      <c r="AF1055" s="76"/>
      <c r="AG1055" s="76"/>
      <c r="AH1055" s="76"/>
      <c r="AI1055" s="76"/>
      <c r="AJ1055" s="76"/>
      <c r="AK1055" s="76"/>
      <c r="AL1055" s="76"/>
      <c r="AM1055" s="76"/>
      <c r="AN1055" s="76"/>
      <c r="AO1055" s="76"/>
      <c r="AP1055" s="76"/>
      <c r="AQ1055" s="76"/>
      <c r="AR1055" s="76"/>
      <c r="AS1055" s="76"/>
      <c r="AT1055" s="76"/>
      <c r="AU1055" s="76"/>
      <c r="AV1055" s="76"/>
      <c r="AW1055" s="76"/>
      <c r="AX1055" s="76"/>
      <c r="AY1055" s="76"/>
      <c r="AZ1055" s="76"/>
      <c r="BA1055" s="76"/>
      <c r="BB1055" s="76"/>
    </row>
    <row r="1056" spans="5:54" x14ac:dyDescent="0.35">
      <c r="E1056" s="83"/>
      <c r="F1056" s="83"/>
      <c r="G1056" s="76"/>
      <c r="H1056" s="76"/>
      <c r="I1056" s="76"/>
      <c r="J1056" s="76"/>
      <c r="K1056" s="76"/>
      <c r="L1056" s="76"/>
      <c r="M1056" s="76"/>
      <c r="N1056" s="76"/>
      <c r="O1056" s="76"/>
      <c r="P1056" s="76"/>
      <c r="Q1056" s="76"/>
      <c r="R1056" s="76"/>
      <c r="S1056" s="76"/>
      <c r="T1056" s="76"/>
      <c r="U1056" s="76"/>
      <c r="V1056" s="76"/>
      <c r="W1056" s="76"/>
      <c r="X1056" s="76"/>
      <c r="Y1056" s="76"/>
      <c r="Z1056" s="76"/>
      <c r="AA1056" s="76"/>
      <c r="AB1056" s="76"/>
      <c r="AC1056" s="76"/>
      <c r="AD1056" s="76"/>
      <c r="AE1056" s="76"/>
      <c r="AF1056" s="76"/>
      <c r="AG1056" s="76"/>
      <c r="AH1056" s="76"/>
      <c r="AI1056" s="76"/>
      <c r="AJ1056" s="76"/>
      <c r="AK1056" s="76"/>
      <c r="AL1056" s="76"/>
      <c r="AM1056" s="76"/>
      <c r="AN1056" s="76"/>
      <c r="AO1056" s="76"/>
      <c r="AP1056" s="76"/>
      <c r="AQ1056" s="76"/>
      <c r="AR1056" s="76"/>
      <c r="AS1056" s="76"/>
      <c r="AT1056" s="76"/>
      <c r="AU1056" s="76"/>
      <c r="AV1056" s="76"/>
      <c r="AW1056" s="76"/>
      <c r="AX1056" s="76"/>
      <c r="AY1056" s="76"/>
      <c r="AZ1056" s="76"/>
      <c r="BA1056" s="76"/>
      <c r="BB1056" s="76"/>
    </row>
    <row r="1057" spans="5:54" x14ac:dyDescent="0.35">
      <c r="E1057" s="83"/>
      <c r="F1057" s="83"/>
      <c r="G1057" s="76"/>
      <c r="H1057" s="76"/>
      <c r="I1057" s="76"/>
      <c r="J1057" s="76"/>
      <c r="K1057" s="76"/>
      <c r="L1057" s="76"/>
      <c r="M1057" s="76"/>
      <c r="N1057" s="76"/>
      <c r="O1057" s="76"/>
      <c r="P1057" s="76"/>
      <c r="Q1057" s="76"/>
      <c r="R1057" s="76"/>
      <c r="S1057" s="76"/>
      <c r="T1057" s="76"/>
      <c r="U1057" s="76"/>
      <c r="V1057" s="76"/>
      <c r="W1057" s="76"/>
      <c r="X1057" s="76"/>
      <c r="Y1057" s="76"/>
      <c r="Z1057" s="76"/>
      <c r="AA1057" s="76"/>
      <c r="AB1057" s="76"/>
      <c r="AC1057" s="76"/>
      <c r="AD1057" s="76"/>
      <c r="AE1057" s="76"/>
      <c r="AF1057" s="76"/>
      <c r="AG1057" s="76"/>
      <c r="AH1057" s="76"/>
      <c r="AI1057" s="76"/>
      <c r="AJ1057" s="76"/>
      <c r="AK1057" s="76"/>
      <c r="AL1057" s="76"/>
      <c r="AM1057" s="76"/>
      <c r="AN1057" s="76"/>
      <c r="AO1057" s="76"/>
      <c r="AP1057" s="76"/>
      <c r="AQ1057" s="76"/>
      <c r="AR1057" s="76"/>
      <c r="AS1057" s="76"/>
      <c r="AT1057" s="76"/>
      <c r="AU1057" s="76"/>
      <c r="AV1057" s="76"/>
      <c r="AW1057" s="76"/>
      <c r="AX1057" s="76"/>
      <c r="AY1057" s="76"/>
      <c r="AZ1057" s="76"/>
      <c r="BA1057" s="76"/>
      <c r="BB1057" s="76"/>
    </row>
    <row r="1058" spans="5:54" x14ac:dyDescent="0.35">
      <c r="E1058" s="83"/>
      <c r="F1058" s="83"/>
      <c r="G1058" s="76"/>
      <c r="H1058" s="76"/>
      <c r="I1058" s="76"/>
      <c r="J1058" s="76"/>
      <c r="K1058" s="76"/>
      <c r="L1058" s="76"/>
      <c r="M1058" s="76"/>
      <c r="N1058" s="76"/>
      <c r="O1058" s="76"/>
      <c r="P1058" s="76"/>
      <c r="Q1058" s="76"/>
      <c r="R1058" s="76"/>
      <c r="S1058" s="76"/>
      <c r="T1058" s="76"/>
      <c r="U1058" s="76"/>
      <c r="V1058" s="76"/>
      <c r="W1058" s="76"/>
      <c r="X1058" s="76"/>
      <c r="Y1058" s="76"/>
      <c r="Z1058" s="76"/>
      <c r="AA1058" s="76"/>
      <c r="AB1058" s="76"/>
      <c r="AC1058" s="76"/>
      <c r="AD1058" s="76"/>
      <c r="AE1058" s="76"/>
      <c r="AF1058" s="76"/>
      <c r="AG1058" s="76"/>
      <c r="AH1058" s="76"/>
      <c r="AI1058" s="76"/>
      <c r="AJ1058" s="76"/>
      <c r="AK1058" s="76"/>
      <c r="AL1058" s="76"/>
      <c r="AM1058" s="76"/>
      <c r="AN1058" s="76"/>
      <c r="AO1058" s="76"/>
      <c r="AP1058" s="76"/>
      <c r="AQ1058" s="76"/>
      <c r="AR1058" s="76"/>
      <c r="AS1058" s="76"/>
      <c r="AT1058" s="76"/>
      <c r="AU1058" s="76"/>
      <c r="AV1058" s="76"/>
      <c r="AW1058" s="76"/>
      <c r="AX1058" s="76"/>
      <c r="AY1058" s="76"/>
      <c r="AZ1058" s="76"/>
      <c r="BA1058" s="76"/>
      <c r="BB1058" s="76"/>
    </row>
    <row r="1059" spans="5:54" x14ac:dyDescent="0.35">
      <c r="E1059" s="83"/>
      <c r="F1059" s="83"/>
      <c r="G1059" s="76"/>
      <c r="H1059" s="76"/>
      <c r="I1059" s="76"/>
      <c r="J1059" s="76"/>
      <c r="K1059" s="76"/>
      <c r="L1059" s="76"/>
      <c r="M1059" s="76"/>
      <c r="N1059" s="76"/>
      <c r="O1059" s="76"/>
      <c r="P1059" s="76"/>
      <c r="Q1059" s="76"/>
      <c r="R1059" s="76"/>
      <c r="S1059" s="76"/>
      <c r="T1059" s="76"/>
      <c r="U1059" s="76"/>
      <c r="V1059" s="76"/>
      <c r="W1059" s="76"/>
      <c r="X1059" s="76"/>
      <c r="Y1059" s="76"/>
      <c r="Z1059" s="76"/>
      <c r="AA1059" s="76"/>
      <c r="AB1059" s="76"/>
      <c r="AC1059" s="76"/>
      <c r="AD1059" s="76"/>
      <c r="AE1059" s="76"/>
      <c r="AF1059" s="76"/>
      <c r="AG1059" s="76"/>
      <c r="AH1059" s="76"/>
      <c r="AI1059" s="76"/>
      <c r="AJ1059" s="76"/>
      <c r="AK1059" s="76"/>
      <c r="AL1059" s="76"/>
      <c r="AM1059" s="76"/>
      <c r="AN1059" s="76"/>
      <c r="AO1059" s="76"/>
      <c r="AP1059" s="76"/>
      <c r="AQ1059" s="76"/>
      <c r="AR1059" s="76"/>
      <c r="AS1059" s="76"/>
      <c r="AT1059" s="76"/>
      <c r="AU1059" s="76"/>
      <c r="AV1059" s="76"/>
      <c r="AW1059" s="76"/>
      <c r="AX1059" s="76"/>
      <c r="AY1059" s="76"/>
      <c r="AZ1059" s="76"/>
      <c r="BA1059" s="76"/>
      <c r="BB1059" s="76"/>
    </row>
    <row r="1060" spans="5:54" x14ac:dyDescent="0.35">
      <c r="E1060" s="83"/>
      <c r="F1060" s="83"/>
      <c r="G1060" s="76"/>
      <c r="H1060" s="76"/>
      <c r="I1060" s="76"/>
      <c r="J1060" s="76"/>
      <c r="K1060" s="76"/>
      <c r="L1060" s="76"/>
      <c r="M1060" s="76"/>
      <c r="N1060" s="76"/>
      <c r="O1060" s="76"/>
      <c r="P1060" s="76"/>
      <c r="Q1060" s="76"/>
      <c r="R1060" s="76"/>
      <c r="S1060" s="76"/>
      <c r="T1060" s="76"/>
      <c r="U1060" s="76"/>
      <c r="V1060" s="76"/>
      <c r="W1060" s="76"/>
      <c r="X1060" s="76"/>
      <c r="Y1060" s="76"/>
      <c r="Z1060" s="76"/>
      <c r="AA1060" s="76"/>
      <c r="AB1060" s="76"/>
      <c r="AC1060" s="76"/>
      <c r="AD1060" s="76"/>
      <c r="AE1060" s="76"/>
      <c r="AF1060" s="76"/>
      <c r="AG1060" s="76"/>
      <c r="AH1060" s="76"/>
      <c r="AI1060" s="76"/>
      <c r="AJ1060" s="76"/>
      <c r="AK1060" s="76"/>
      <c r="AL1060" s="76"/>
      <c r="AM1060" s="76"/>
      <c r="AN1060" s="76"/>
      <c r="AO1060" s="76"/>
      <c r="AP1060" s="76"/>
      <c r="AQ1060" s="76"/>
      <c r="AR1060" s="76"/>
      <c r="AS1060" s="76"/>
      <c r="AT1060" s="76"/>
      <c r="AU1060" s="76"/>
      <c r="AV1060" s="76"/>
      <c r="AW1060" s="76"/>
      <c r="AX1060" s="76"/>
      <c r="AY1060" s="76"/>
      <c r="AZ1060" s="76"/>
      <c r="BA1060" s="76"/>
      <c r="BB1060" s="76"/>
    </row>
    <row r="1061" spans="5:54" x14ac:dyDescent="0.35">
      <c r="E1061" s="83"/>
      <c r="F1061" s="83"/>
      <c r="G1061" s="76"/>
      <c r="H1061" s="76"/>
      <c r="I1061" s="76"/>
      <c r="J1061" s="76"/>
      <c r="K1061" s="76"/>
      <c r="L1061" s="76"/>
      <c r="M1061" s="76"/>
      <c r="N1061" s="76"/>
      <c r="O1061" s="76"/>
      <c r="P1061" s="76"/>
      <c r="Q1061" s="76"/>
      <c r="R1061" s="76"/>
      <c r="S1061" s="76"/>
      <c r="T1061" s="76"/>
      <c r="U1061" s="76"/>
      <c r="V1061" s="76"/>
      <c r="W1061" s="76"/>
      <c r="X1061" s="76"/>
      <c r="Y1061" s="76"/>
      <c r="Z1061" s="76"/>
      <c r="AA1061" s="76"/>
      <c r="AB1061" s="76"/>
      <c r="AC1061" s="76"/>
      <c r="AD1061" s="76"/>
      <c r="AE1061" s="76"/>
      <c r="AF1061" s="76"/>
      <c r="AG1061" s="76"/>
      <c r="AH1061" s="76"/>
      <c r="AI1061" s="76"/>
      <c r="AJ1061" s="76"/>
      <c r="AK1061" s="76"/>
      <c r="AL1061" s="76"/>
      <c r="AM1061" s="76"/>
      <c r="AN1061" s="76"/>
      <c r="AO1061" s="76"/>
      <c r="AP1061" s="76"/>
      <c r="AQ1061" s="76"/>
      <c r="AR1061" s="76"/>
      <c r="AS1061" s="76"/>
      <c r="AT1061" s="76"/>
      <c r="AU1061" s="76"/>
      <c r="AV1061" s="76"/>
      <c r="AW1061" s="76"/>
      <c r="AX1061" s="76"/>
      <c r="AY1061" s="76"/>
      <c r="AZ1061" s="76"/>
      <c r="BA1061" s="76"/>
      <c r="BB1061" s="76"/>
    </row>
    <row r="1062" spans="5:54" x14ac:dyDescent="0.35">
      <c r="E1062" s="83"/>
      <c r="F1062" s="83"/>
      <c r="G1062" s="76"/>
      <c r="H1062" s="76"/>
      <c r="I1062" s="76"/>
      <c r="J1062" s="76"/>
      <c r="K1062" s="76"/>
      <c r="L1062" s="76"/>
      <c r="M1062" s="76"/>
      <c r="N1062" s="76"/>
      <c r="O1062" s="76"/>
      <c r="P1062" s="76"/>
      <c r="Q1062" s="76"/>
      <c r="R1062" s="76"/>
      <c r="S1062" s="76"/>
      <c r="T1062" s="76"/>
      <c r="U1062" s="76"/>
      <c r="V1062" s="76"/>
      <c r="W1062" s="76"/>
      <c r="X1062" s="76"/>
      <c r="Y1062" s="76"/>
      <c r="Z1062" s="76"/>
      <c r="AA1062" s="76"/>
      <c r="AB1062" s="76"/>
      <c r="AC1062" s="76"/>
      <c r="AD1062" s="76"/>
      <c r="AE1062" s="76"/>
      <c r="AF1062" s="76"/>
      <c r="AG1062" s="76"/>
      <c r="AH1062" s="76"/>
      <c r="AI1062" s="76"/>
      <c r="AJ1062" s="76"/>
      <c r="AK1062" s="76"/>
      <c r="AL1062" s="76"/>
      <c r="AM1062" s="76"/>
      <c r="AN1062" s="76"/>
      <c r="AO1062" s="76"/>
      <c r="AP1062" s="76"/>
      <c r="AQ1062" s="76"/>
      <c r="AR1062" s="76"/>
      <c r="AS1062" s="76"/>
      <c r="AT1062" s="76"/>
      <c r="AU1062" s="76"/>
      <c r="AV1062" s="76"/>
      <c r="AW1062" s="76"/>
      <c r="AX1062" s="76"/>
      <c r="AY1062" s="76"/>
      <c r="AZ1062" s="76"/>
      <c r="BA1062" s="76"/>
      <c r="BB1062" s="76"/>
    </row>
    <row r="1063" spans="5:54" x14ac:dyDescent="0.35">
      <c r="E1063" s="83"/>
      <c r="F1063" s="83"/>
      <c r="G1063" s="76"/>
      <c r="H1063" s="76"/>
      <c r="I1063" s="76"/>
      <c r="J1063" s="76"/>
      <c r="K1063" s="76"/>
      <c r="L1063" s="76"/>
      <c r="M1063" s="76"/>
      <c r="N1063" s="76"/>
      <c r="O1063" s="76"/>
      <c r="P1063" s="76"/>
      <c r="Q1063" s="76"/>
      <c r="R1063" s="76"/>
      <c r="S1063" s="76"/>
      <c r="T1063" s="76"/>
      <c r="U1063" s="76"/>
      <c r="V1063" s="76"/>
      <c r="W1063" s="76"/>
      <c r="X1063" s="76"/>
      <c r="Y1063" s="76"/>
      <c r="Z1063" s="76"/>
      <c r="AA1063" s="76"/>
      <c r="AB1063" s="76"/>
      <c r="AC1063" s="76"/>
      <c r="AD1063" s="76"/>
      <c r="AE1063" s="76"/>
      <c r="AF1063" s="76"/>
      <c r="AG1063" s="76"/>
      <c r="AH1063" s="76"/>
      <c r="AI1063" s="76"/>
      <c r="AJ1063" s="76"/>
      <c r="AK1063" s="76"/>
      <c r="AL1063" s="76"/>
      <c r="AM1063" s="76"/>
      <c r="AN1063" s="76"/>
      <c r="AO1063" s="76"/>
      <c r="AP1063" s="76"/>
      <c r="AQ1063" s="76"/>
      <c r="AR1063" s="76"/>
      <c r="AS1063" s="76"/>
      <c r="AT1063" s="76"/>
      <c r="AU1063" s="76"/>
      <c r="AV1063" s="76"/>
      <c r="AW1063" s="76"/>
      <c r="AX1063" s="76"/>
      <c r="AY1063" s="76"/>
      <c r="AZ1063" s="76"/>
      <c r="BA1063" s="76"/>
      <c r="BB1063" s="76"/>
    </row>
    <row r="1064" spans="5:54" x14ac:dyDescent="0.35">
      <c r="E1064" s="83"/>
      <c r="F1064" s="83"/>
      <c r="G1064" s="76"/>
      <c r="H1064" s="76"/>
      <c r="I1064" s="76"/>
      <c r="J1064" s="76"/>
      <c r="K1064" s="76"/>
      <c r="L1064" s="76"/>
      <c r="M1064" s="76"/>
      <c r="N1064" s="76"/>
      <c r="O1064" s="76"/>
      <c r="P1064" s="76"/>
      <c r="Q1064" s="76"/>
      <c r="R1064" s="76"/>
      <c r="S1064" s="76"/>
      <c r="T1064" s="76"/>
      <c r="U1064" s="76"/>
      <c r="V1064" s="76"/>
      <c r="W1064" s="76"/>
      <c r="X1064" s="76"/>
      <c r="Y1064" s="76"/>
      <c r="Z1064" s="76"/>
      <c r="AA1064" s="76"/>
      <c r="AB1064" s="76"/>
      <c r="AC1064" s="76"/>
      <c r="AD1064" s="76"/>
      <c r="AE1064" s="76"/>
      <c r="AF1064" s="76"/>
      <c r="AG1064" s="76"/>
      <c r="AH1064" s="76"/>
      <c r="AI1064" s="76"/>
      <c r="AJ1064" s="76"/>
      <c r="AK1064" s="76"/>
      <c r="AL1064" s="76"/>
      <c r="AM1064" s="76"/>
      <c r="AN1064" s="76"/>
      <c r="AO1064" s="76"/>
      <c r="AP1064" s="76"/>
      <c r="AQ1064" s="76"/>
      <c r="AR1064" s="76"/>
      <c r="AS1064" s="76"/>
      <c r="AT1064" s="76"/>
      <c r="AU1064" s="76"/>
      <c r="AV1064" s="76"/>
      <c r="AW1064" s="76"/>
      <c r="AX1064" s="76"/>
      <c r="AY1064" s="76"/>
      <c r="AZ1064" s="76"/>
      <c r="BA1064" s="76"/>
      <c r="BB1064" s="76"/>
    </row>
    <row r="1065" spans="5:54" x14ac:dyDescent="0.35">
      <c r="E1065" s="83"/>
      <c r="F1065" s="83"/>
      <c r="G1065" s="76"/>
      <c r="H1065" s="76"/>
      <c r="I1065" s="76"/>
      <c r="J1065" s="76"/>
      <c r="K1065" s="76"/>
      <c r="L1065" s="76"/>
      <c r="M1065" s="76"/>
      <c r="N1065" s="76"/>
      <c r="O1065" s="76"/>
      <c r="P1065" s="76"/>
      <c r="Q1065" s="76"/>
      <c r="R1065" s="76"/>
      <c r="S1065" s="76"/>
      <c r="T1065" s="76"/>
      <c r="U1065" s="76"/>
      <c r="V1065" s="76"/>
      <c r="W1065" s="76"/>
      <c r="X1065" s="76"/>
      <c r="Y1065" s="76"/>
      <c r="Z1065" s="76"/>
      <c r="AA1065" s="76"/>
      <c r="AB1065" s="76"/>
      <c r="AC1065" s="76"/>
      <c r="AD1065" s="76"/>
      <c r="AE1065" s="76"/>
      <c r="AF1065" s="76"/>
      <c r="AG1065" s="76"/>
      <c r="AH1065" s="76"/>
      <c r="AI1065" s="76"/>
      <c r="AJ1065" s="76"/>
      <c r="AK1065" s="76"/>
      <c r="AL1065" s="76"/>
      <c r="AM1065" s="76"/>
      <c r="AN1065" s="76"/>
      <c r="AO1065" s="76"/>
      <c r="AP1065" s="76"/>
      <c r="AQ1065" s="76"/>
      <c r="AR1065" s="76"/>
      <c r="AS1065" s="76"/>
      <c r="AT1065" s="76"/>
      <c r="AU1065" s="76"/>
      <c r="AV1065" s="76"/>
      <c r="AW1065" s="76"/>
      <c r="AX1065" s="76"/>
      <c r="AY1065" s="76"/>
      <c r="AZ1065" s="76"/>
      <c r="BA1065" s="76"/>
      <c r="BB1065" s="76"/>
    </row>
    <row r="1066" spans="5:54" x14ac:dyDescent="0.35">
      <c r="E1066" s="83"/>
      <c r="F1066" s="83"/>
      <c r="G1066" s="76"/>
      <c r="H1066" s="76"/>
      <c r="I1066" s="76"/>
      <c r="J1066" s="76"/>
      <c r="K1066" s="76"/>
      <c r="L1066" s="76"/>
      <c r="M1066" s="76"/>
      <c r="N1066" s="76"/>
      <c r="O1066" s="76"/>
      <c r="P1066" s="76"/>
      <c r="Q1066" s="76"/>
      <c r="R1066" s="76"/>
      <c r="S1066" s="76"/>
      <c r="T1066" s="76"/>
      <c r="U1066" s="76"/>
      <c r="V1066" s="76"/>
      <c r="W1066" s="76"/>
      <c r="X1066" s="76"/>
      <c r="Y1066" s="76"/>
      <c r="Z1066" s="76"/>
      <c r="AA1066" s="76"/>
      <c r="AB1066" s="76"/>
      <c r="AC1066" s="76"/>
      <c r="AD1066" s="76"/>
      <c r="AE1066" s="76"/>
      <c r="AF1066" s="76"/>
      <c r="AG1066" s="76"/>
      <c r="AH1066" s="76"/>
      <c r="AI1066" s="76"/>
      <c r="AJ1066" s="76"/>
      <c r="AK1066" s="76"/>
      <c r="AL1066" s="76"/>
      <c r="AM1066" s="76"/>
      <c r="AN1066" s="76"/>
      <c r="AO1066" s="76"/>
      <c r="AP1066" s="76"/>
      <c r="AQ1066" s="76"/>
      <c r="AR1066" s="76"/>
      <c r="AS1066" s="76"/>
      <c r="AT1066" s="76"/>
      <c r="AU1066" s="76"/>
      <c r="AV1066" s="76"/>
      <c r="AW1066" s="76"/>
      <c r="AX1066" s="76"/>
      <c r="AY1066" s="76"/>
      <c r="AZ1066" s="76"/>
      <c r="BA1066" s="76"/>
      <c r="BB1066" s="76"/>
    </row>
    <row r="1067" spans="5:54" x14ac:dyDescent="0.35">
      <c r="E1067" s="83"/>
      <c r="F1067" s="83"/>
      <c r="G1067" s="76"/>
      <c r="H1067" s="76"/>
      <c r="I1067" s="76"/>
      <c r="J1067" s="76"/>
      <c r="K1067" s="76"/>
      <c r="L1067" s="76"/>
      <c r="M1067" s="76"/>
      <c r="N1067" s="76"/>
      <c r="O1067" s="76"/>
      <c r="P1067" s="76"/>
      <c r="Q1067" s="76"/>
      <c r="R1067" s="76"/>
      <c r="S1067" s="76"/>
      <c r="T1067" s="76"/>
      <c r="U1067" s="76"/>
      <c r="V1067" s="76"/>
      <c r="W1067" s="76"/>
      <c r="X1067" s="76"/>
      <c r="Y1067" s="76"/>
      <c r="Z1067" s="76"/>
      <c r="AA1067" s="76"/>
      <c r="AB1067" s="76"/>
      <c r="AC1067" s="76"/>
      <c r="AD1067" s="76"/>
      <c r="AE1067" s="76"/>
      <c r="AF1067" s="76"/>
      <c r="AG1067" s="76"/>
      <c r="AH1067" s="76"/>
      <c r="AI1067" s="76"/>
      <c r="AJ1067" s="76"/>
      <c r="AK1067" s="76"/>
      <c r="AL1067" s="76"/>
      <c r="AM1067" s="76"/>
      <c r="AN1067" s="76"/>
      <c r="AO1067" s="76"/>
      <c r="AP1067" s="76"/>
      <c r="AQ1067" s="76"/>
      <c r="AR1067" s="76"/>
      <c r="AS1067" s="76"/>
      <c r="AT1067" s="76"/>
      <c r="AU1067" s="76"/>
      <c r="AV1067" s="76"/>
      <c r="AW1067" s="76"/>
      <c r="AX1067" s="76"/>
      <c r="AY1067" s="76"/>
      <c r="AZ1067" s="76"/>
      <c r="BA1067" s="76"/>
      <c r="BB1067" s="76"/>
    </row>
    <row r="1068" spans="5:54" x14ac:dyDescent="0.35">
      <c r="E1068" s="83"/>
      <c r="F1068" s="83"/>
      <c r="G1068" s="76"/>
      <c r="H1068" s="76"/>
      <c r="I1068" s="76"/>
      <c r="J1068" s="76"/>
      <c r="K1068" s="76"/>
      <c r="L1068" s="76"/>
      <c r="M1068" s="76"/>
      <c r="N1068" s="76"/>
      <c r="O1068" s="76"/>
      <c r="P1068" s="76"/>
      <c r="Q1068" s="76"/>
      <c r="R1068" s="76"/>
      <c r="S1068" s="76"/>
      <c r="T1068" s="76"/>
      <c r="U1068" s="76"/>
      <c r="V1068" s="76"/>
      <c r="W1068" s="76"/>
      <c r="X1068" s="76"/>
      <c r="Y1068" s="76"/>
      <c r="Z1068" s="76"/>
      <c r="AA1068" s="76"/>
      <c r="AB1068" s="76"/>
      <c r="AC1068" s="76"/>
      <c r="AD1068" s="76"/>
      <c r="AE1068" s="76"/>
      <c r="AF1068" s="76"/>
      <c r="AG1068" s="76"/>
      <c r="AH1068" s="76"/>
      <c r="AI1068" s="76"/>
      <c r="AJ1068" s="76"/>
      <c r="AK1068" s="76"/>
      <c r="AL1068" s="76"/>
      <c r="AM1068" s="76"/>
      <c r="AN1068" s="76"/>
      <c r="AO1068" s="76"/>
      <c r="AP1068" s="76"/>
      <c r="AQ1068" s="76"/>
      <c r="AR1068" s="76"/>
      <c r="AS1068" s="76"/>
      <c r="AT1068" s="76"/>
      <c r="AU1068" s="76"/>
      <c r="AV1068" s="76"/>
      <c r="AW1068" s="76"/>
      <c r="AX1068" s="76"/>
      <c r="AY1068" s="76"/>
      <c r="AZ1068" s="76"/>
      <c r="BA1068" s="76"/>
      <c r="BB1068" s="76"/>
    </row>
    <row r="1069" spans="5:54" x14ac:dyDescent="0.35">
      <c r="E1069" s="83"/>
      <c r="F1069" s="83"/>
      <c r="G1069" s="76"/>
      <c r="H1069" s="76"/>
      <c r="I1069" s="76"/>
      <c r="J1069" s="76"/>
      <c r="K1069" s="76"/>
      <c r="L1069" s="76"/>
      <c r="M1069" s="76"/>
      <c r="N1069" s="76"/>
      <c r="O1069" s="76"/>
      <c r="P1069" s="76"/>
      <c r="Q1069" s="76"/>
      <c r="R1069" s="76"/>
      <c r="S1069" s="76"/>
      <c r="T1069" s="76"/>
      <c r="U1069" s="76"/>
      <c r="V1069" s="76"/>
      <c r="W1069" s="76"/>
      <c r="X1069" s="76"/>
      <c r="Y1069" s="76"/>
      <c r="Z1069" s="76"/>
      <c r="AA1069" s="76"/>
      <c r="AB1069" s="76"/>
      <c r="AC1069" s="76"/>
      <c r="AD1069" s="76"/>
      <c r="AE1069" s="76"/>
      <c r="AF1069" s="76"/>
      <c r="AG1069" s="76"/>
      <c r="AH1069" s="76"/>
      <c r="AI1069" s="76"/>
      <c r="AJ1069" s="76"/>
      <c r="AK1069" s="76"/>
      <c r="AL1069" s="76"/>
      <c r="AM1069" s="76"/>
      <c r="AN1069" s="76"/>
      <c r="AO1069" s="76"/>
      <c r="AP1069" s="76"/>
      <c r="AQ1069" s="76"/>
      <c r="AR1069" s="76"/>
      <c r="AS1069" s="76"/>
      <c r="AT1069" s="76"/>
      <c r="AU1069" s="76"/>
      <c r="AV1069" s="76"/>
      <c r="AW1069" s="76"/>
      <c r="AX1069" s="76"/>
      <c r="AY1069" s="76"/>
      <c r="AZ1069" s="76"/>
      <c r="BA1069" s="76"/>
      <c r="BB1069" s="76"/>
    </row>
    <row r="1070" spans="5:54" x14ac:dyDescent="0.35">
      <c r="E1070" s="83"/>
      <c r="F1070" s="83"/>
      <c r="G1070" s="76"/>
      <c r="H1070" s="76"/>
      <c r="I1070" s="76"/>
      <c r="J1070" s="76"/>
      <c r="K1070" s="76"/>
      <c r="L1070" s="76"/>
      <c r="M1070" s="76"/>
      <c r="N1070" s="76"/>
      <c r="O1070" s="76"/>
      <c r="P1070" s="76"/>
      <c r="Q1070" s="76"/>
      <c r="R1070" s="76"/>
      <c r="S1070" s="76"/>
      <c r="T1070" s="76"/>
      <c r="U1070" s="76"/>
      <c r="V1070" s="76"/>
      <c r="W1070" s="76"/>
      <c r="X1070" s="76"/>
      <c r="Y1070" s="76"/>
      <c r="Z1070" s="76"/>
      <c r="AA1070" s="76"/>
      <c r="AB1070" s="76"/>
      <c r="AC1070" s="76"/>
      <c r="AD1070" s="76"/>
      <c r="AE1070" s="76"/>
      <c r="AF1070" s="76"/>
      <c r="AG1070" s="76"/>
      <c r="AH1070" s="76"/>
      <c r="AI1070" s="76"/>
      <c r="AJ1070" s="76"/>
      <c r="AK1070" s="76"/>
      <c r="AL1070" s="76"/>
      <c r="AM1070" s="76"/>
      <c r="AN1070" s="76"/>
      <c r="AO1070" s="76"/>
      <c r="AP1070" s="76"/>
      <c r="AQ1070" s="76"/>
      <c r="AR1070" s="76"/>
      <c r="AS1070" s="76"/>
      <c r="AT1070" s="76"/>
      <c r="AU1070" s="76"/>
      <c r="AV1070" s="76"/>
      <c r="AW1070" s="76"/>
      <c r="AX1070" s="76"/>
      <c r="AY1070" s="76"/>
      <c r="AZ1070" s="76"/>
      <c r="BA1070" s="76"/>
      <c r="BB1070" s="76"/>
    </row>
    <row r="1071" spans="5:54" x14ac:dyDescent="0.35">
      <c r="E1071" s="83"/>
      <c r="F1071" s="83"/>
      <c r="G1071" s="76"/>
      <c r="H1071" s="76"/>
      <c r="I1071" s="76"/>
      <c r="J1071" s="76"/>
      <c r="K1071" s="76"/>
      <c r="L1071" s="76"/>
      <c r="M1071" s="76"/>
      <c r="N1071" s="76"/>
      <c r="O1071" s="76"/>
      <c r="P1071" s="76"/>
      <c r="Q1071" s="76"/>
      <c r="R1071" s="76"/>
      <c r="S1071" s="76"/>
      <c r="T1071" s="76"/>
      <c r="U1071" s="76"/>
      <c r="V1071" s="76"/>
      <c r="W1071" s="76"/>
      <c r="X1071" s="76"/>
      <c r="Y1071" s="76"/>
      <c r="Z1071" s="76"/>
      <c r="AA1071" s="76"/>
      <c r="AB1071" s="76"/>
      <c r="AC1071" s="76"/>
      <c r="AD1071" s="76"/>
      <c r="AE1071" s="76"/>
      <c r="AF1071" s="76"/>
      <c r="AG1071" s="76"/>
      <c r="AH1071" s="76"/>
      <c r="AI1071" s="76"/>
      <c r="AJ1071" s="76"/>
      <c r="AK1071" s="76"/>
      <c r="AL1071" s="76"/>
      <c r="AM1071" s="76"/>
      <c r="AN1071" s="76"/>
      <c r="AO1071" s="76"/>
      <c r="AP1071" s="76"/>
      <c r="AQ1071" s="76"/>
      <c r="AR1071" s="76"/>
      <c r="AS1071" s="76"/>
      <c r="AT1071" s="76"/>
      <c r="AU1071" s="76"/>
      <c r="AV1071" s="76"/>
      <c r="AW1071" s="76"/>
      <c r="AX1071" s="76"/>
      <c r="AY1071" s="76"/>
      <c r="AZ1071" s="76"/>
      <c r="BA1071" s="76"/>
      <c r="BB1071" s="76"/>
    </row>
    <row r="1072" spans="5:54" x14ac:dyDescent="0.35">
      <c r="E1072" s="83"/>
      <c r="F1072" s="83"/>
      <c r="G1072" s="76"/>
      <c r="H1072" s="76"/>
      <c r="I1072" s="76"/>
      <c r="J1072" s="76"/>
      <c r="K1072" s="76"/>
      <c r="L1072" s="76"/>
      <c r="M1072" s="76"/>
      <c r="N1072" s="76"/>
      <c r="O1072" s="76"/>
      <c r="P1072" s="76"/>
      <c r="Q1072" s="76"/>
      <c r="R1072" s="76"/>
      <c r="S1072" s="76"/>
      <c r="T1072" s="76"/>
      <c r="U1072" s="76"/>
      <c r="V1072" s="76"/>
      <c r="W1072" s="76"/>
      <c r="X1072" s="76"/>
      <c r="Y1072" s="76"/>
      <c r="Z1072" s="76"/>
      <c r="AA1072" s="76"/>
      <c r="AB1072" s="76"/>
      <c r="AC1072" s="76"/>
      <c r="AD1072" s="76"/>
      <c r="AE1072" s="76"/>
      <c r="AF1072" s="76"/>
      <c r="AG1072" s="76"/>
      <c r="AH1072" s="76"/>
      <c r="AI1072" s="76"/>
      <c r="AJ1072" s="76"/>
      <c r="AK1072" s="76"/>
      <c r="AL1072" s="76"/>
      <c r="AM1072" s="76"/>
      <c r="AN1072" s="76"/>
      <c r="AO1072" s="76"/>
      <c r="AP1072" s="76"/>
      <c r="AQ1072" s="76"/>
      <c r="AR1072" s="76"/>
      <c r="AS1072" s="76"/>
      <c r="AT1072" s="76"/>
      <c r="AU1072" s="76"/>
      <c r="AV1072" s="76"/>
      <c r="AW1072" s="76"/>
      <c r="AX1072" s="76"/>
      <c r="AY1072" s="76"/>
      <c r="AZ1072" s="76"/>
      <c r="BA1072" s="76"/>
      <c r="BB1072" s="76"/>
    </row>
    <row r="1073" spans="5:54" x14ac:dyDescent="0.35">
      <c r="E1073" s="83"/>
      <c r="F1073" s="83"/>
      <c r="G1073" s="76"/>
      <c r="H1073" s="76"/>
      <c r="I1073" s="76"/>
      <c r="J1073" s="76"/>
      <c r="K1073" s="76"/>
      <c r="L1073" s="76"/>
      <c r="M1073" s="76"/>
      <c r="N1073" s="76"/>
      <c r="O1073" s="76"/>
      <c r="P1073" s="76"/>
      <c r="Q1073" s="76"/>
      <c r="R1073" s="76"/>
      <c r="S1073" s="76"/>
      <c r="T1073" s="76"/>
      <c r="U1073" s="76"/>
      <c r="V1073" s="76"/>
      <c r="W1073" s="76"/>
      <c r="X1073" s="76"/>
      <c r="Y1073" s="76"/>
      <c r="Z1073" s="76"/>
      <c r="AA1073" s="76"/>
      <c r="AB1073" s="76"/>
      <c r="AC1073" s="76"/>
      <c r="AD1073" s="76"/>
      <c r="AE1073" s="76"/>
      <c r="AF1073" s="76"/>
      <c r="AG1073" s="76"/>
      <c r="AH1073" s="76"/>
      <c r="AI1073" s="76"/>
      <c r="AJ1073" s="76"/>
      <c r="AK1073" s="76"/>
      <c r="AL1073" s="76"/>
      <c r="AM1073" s="76"/>
      <c r="AN1073" s="76"/>
      <c r="AO1073" s="76"/>
      <c r="AP1073" s="76"/>
      <c r="AQ1073" s="76"/>
      <c r="AR1073" s="76"/>
      <c r="AS1073" s="76"/>
      <c r="AT1073" s="76"/>
      <c r="AU1073" s="76"/>
      <c r="AV1073" s="76"/>
      <c r="AW1073" s="76"/>
      <c r="AX1073" s="76"/>
      <c r="AY1073" s="76"/>
      <c r="AZ1073" s="76"/>
      <c r="BA1073" s="76"/>
      <c r="BB1073" s="76"/>
    </row>
    <row r="1074" spans="5:54" x14ac:dyDescent="0.35">
      <c r="E1074" s="83"/>
      <c r="F1074" s="83"/>
      <c r="G1074" s="76"/>
      <c r="H1074" s="76"/>
      <c r="I1074" s="76"/>
      <c r="J1074" s="76"/>
      <c r="K1074" s="76"/>
      <c r="L1074" s="76"/>
      <c r="M1074" s="76"/>
      <c r="N1074" s="76"/>
      <c r="O1074" s="76"/>
      <c r="P1074" s="76"/>
      <c r="Q1074" s="76"/>
      <c r="R1074" s="76"/>
      <c r="S1074" s="76"/>
      <c r="T1074" s="76"/>
      <c r="U1074" s="76"/>
      <c r="V1074" s="76"/>
      <c r="W1074" s="76"/>
      <c r="X1074" s="76"/>
      <c r="Y1074" s="76"/>
      <c r="Z1074" s="76"/>
      <c r="AA1074" s="76"/>
      <c r="AB1074" s="76"/>
      <c r="AC1074" s="76"/>
      <c r="AD1074" s="76"/>
      <c r="AE1074" s="76"/>
      <c r="AF1074" s="76"/>
      <c r="AG1074" s="76"/>
      <c r="AH1074" s="76"/>
      <c r="AI1074" s="76"/>
      <c r="AJ1074" s="76"/>
      <c r="AK1074" s="76"/>
      <c r="AL1074" s="76"/>
      <c r="AM1074" s="76"/>
      <c r="AN1074" s="76"/>
      <c r="AO1074" s="76"/>
      <c r="AP1074" s="76"/>
      <c r="AQ1074" s="76"/>
      <c r="AR1074" s="76"/>
      <c r="AS1074" s="76"/>
      <c r="AT1074" s="76"/>
      <c r="AU1074" s="76"/>
      <c r="AV1074" s="76"/>
      <c r="AW1074" s="76"/>
      <c r="AX1074" s="76"/>
      <c r="AY1074" s="76"/>
      <c r="AZ1074" s="76"/>
      <c r="BA1074" s="76"/>
      <c r="BB1074" s="76"/>
    </row>
    <row r="1075" spans="5:54" x14ac:dyDescent="0.35">
      <c r="E1075" s="83"/>
      <c r="F1075" s="83"/>
      <c r="G1075" s="76"/>
      <c r="H1075" s="76"/>
      <c r="I1075" s="76"/>
      <c r="J1075" s="76"/>
      <c r="K1075" s="76"/>
      <c r="L1075" s="76"/>
      <c r="M1075" s="76"/>
      <c r="N1075" s="76"/>
      <c r="O1075" s="76"/>
      <c r="P1075" s="76"/>
      <c r="Q1075" s="76"/>
      <c r="R1075" s="76"/>
      <c r="S1075" s="76"/>
      <c r="T1075" s="76"/>
      <c r="U1075" s="76"/>
      <c r="V1075" s="76"/>
      <c r="W1075" s="76"/>
      <c r="X1075" s="76"/>
      <c r="Y1075" s="76"/>
      <c r="Z1075" s="76"/>
      <c r="AA1075" s="76"/>
      <c r="AB1075" s="76"/>
      <c r="AC1075" s="76"/>
      <c r="AD1075" s="76"/>
      <c r="AE1075" s="76"/>
      <c r="AF1075" s="76"/>
      <c r="AG1075" s="76"/>
      <c r="AH1075" s="76"/>
      <c r="AI1075" s="76"/>
      <c r="AJ1075" s="76"/>
      <c r="AK1075" s="76"/>
      <c r="AL1075" s="76"/>
      <c r="AM1075" s="76"/>
      <c r="AN1075" s="76"/>
      <c r="AO1075" s="76"/>
      <c r="AP1075" s="76"/>
      <c r="AQ1075" s="76"/>
      <c r="AR1075" s="76"/>
      <c r="AS1075" s="76"/>
      <c r="AT1075" s="76"/>
      <c r="AU1075" s="76"/>
      <c r="AV1075" s="76"/>
      <c r="AW1075" s="76"/>
      <c r="AX1075" s="76"/>
      <c r="AY1075" s="76"/>
      <c r="AZ1075" s="76"/>
      <c r="BA1075" s="76"/>
      <c r="BB1075" s="76"/>
    </row>
    <row r="1076" spans="5:54" x14ac:dyDescent="0.35">
      <c r="E1076" s="83"/>
      <c r="F1076" s="83"/>
      <c r="G1076" s="76"/>
      <c r="H1076" s="76"/>
      <c r="I1076" s="76"/>
      <c r="J1076" s="76"/>
      <c r="K1076" s="76"/>
      <c r="L1076" s="76"/>
      <c r="M1076" s="76"/>
      <c r="N1076" s="76"/>
      <c r="O1076" s="76"/>
      <c r="P1076" s="76"/>
      <c r="Q1076" s="76"/>
      <c r="R1076" s="76"/>
      <c r="S1076" s="76"/>
      <c r="T1076" s="76"/>
      <c r="U1076" s="76"/>
      <c r="V1076" s="76"/>
      <c r="W1076" s="76"/>
      <c r="X1076" s="76"/>
      <c r="Y1076" s="76"/>
      <c r="Z1076" s="76"/>
      <c r="AA1076" s="76"/>
      <c r="AB1076" s="76"/>
      <c r="AC1076" s="76"/>
      <c r="AD1076" s="76"/>
      <c r="AE1076" s="76"/>
      <c r="AF1076" s="76"/>
      <c r="AG1076" s="76"/>
      <c r="AH1076" s="76"/>
      <c r="AI1076" s="76"/>
      <c r="AJ1076" s="76"/>
      <c r="AK1076" s="76"/>
      <c r="AL1076" s="76"/>
      <c r="AM1076" s="76"/>
      <c r="AN1076" s="76"/>
      <c r="AO1076" s="76"/>
      <c r="AP1076" s="76"/>
      <c r="AQ1076" s="76"/>
      <c r="AR1076" s="76"/>
      <c r="AS1076" s="76"/>
      <c r="AT1076" s="76"/>
      <c r="AU1076" s="76"/>
      <c r="AV1076" s="76"/>
      <c r="AW1076" s="76"/>
      <c r="AX1076" s="76"/>
      <c r="AY1076" s="76"/>
      <c r="AZ1076" s="76"/>
      <c r="BA1076" s="76"/>
      <c r="BB1076" s="76"/>
    </row>
    <row r="1077" spans="5:54" x14ac:dyDescent="0.35">
      <c r="E1077" s="83"/>
      <c r="F1077" s="83"/>
      <c r="G1077" s="76"/>
      <c r="H1077" s="76"/>
      <c r="I1077" s="76"/>
      <c r="J1077" s="76"/>
      <c r="K1077" s="76"/>
      <c r="L1077" s="76"/>
      <c r="M1077" s="76"/>
      <c r="N1077" s="76"/>
      <c r="O1077" s="76"/>
      <c r="P1077" s="76"/>
      <c r="Q1077" s="76"/>
      <c r="R1077" s="76"/>
      <c r="S1077" s="76"/>
      <c r="T1077" s="76"/>
      <c r="U1077" s="76"/>
      <c r="V1077" s="76"/>
      <c r="W1077" s="76"/>
      <c r="X1077" s="76"/>
      <c r="Y1077" s="76"/>
      <c r="Z1077" s="76"/>
      <c r="AA1077" s="76"/>
      <c r="AB1077" s="76"/>
      <c r="AC1077" s="76"/>
      <c r="AD1077" s="76"/>
      <c r="AE1077" s="76"/>
      <c r="AF1077" s="76"/>
      <c r="AG1077" s="76"/>
      <c r="AH1077" s="76"/>
      <c r="AI1077" s="76"/>
      <c r="AJ1077" s="76"/>
      <c r="AK1077" s="76"/>
      <c r="AL1077" s="76"/>
      <c r="AM1077" s="76"/>
      <c r="AN1077" s="76"/>
      <c r="AO1077" s="76"/>
      <c r="AP1077" s="76"/>
      <c r="AQ1077" s="76"/>
      <c r="AR1077" s="76"/>
      <c r="AS1077" s="76"/>
      <c r="AT1077" s="76"/>
      <c r="AU1077" s="76"/>
      <c r="AV1077" s="76"/>
      <c r="AW1077" s="76"/>
      <c r="AX1077" s="76"/>
      <c r="AY1077" s="76"/>
      <c r="AZ1077" s="76"/>
      <c r="BA1077" s="76"/>
      <c r="BB1077" s="76"/>
    </row>
    <row r="1078" spans="5:54" x14ac:dyDescent="0.35">
      <c r="E1078" s="83"/>
      <c r="F1078" s="83"/>
      <c r="G1078" s="76"/>
      <c r="H1078" s="76"/>
      <c r="I1078" s="76"/>
      <c r="J1078" s="76"/>
      <c r="K1078" s="76"/>
      <c r="L1078" s="76"/>
      <c r="M1078" s="76"/>
      <c r="N1078" s="76"/>
      <c r="O1078" s="76"/>
      <c r="P1078" s="76"/>
      <c r="Q1078" s="76"/>
      <c r="R1078" s="76"/>
      <c r="S1078" s="76"/>
      <c r="T1078" s="76"/>
      <c r="U1078" s="76"/>
      <c r="V1078" s="76"/>
      <c r="W1078" s="76"/>
      <c r="X1078" s="76"/>
      <c r="Y1078" s="76"/>
      <c r="Z1078" s="76"/>
      <c r="AA1078" s="76"/>
      <c r="AB1078" s="76"/>
      <c r="AC1078" s="76"/>
      <c r="AD1078" s="76"/>
      <c r="AE1078" s="76"/>
      <c r="AF1078" s="76"/>
      <c r="AG1078" s="76"/>
      <c r="AH1078" s="76"/>
      <c r="AI1078" s="76"/>
      <c r="AJ1078" s="76"/>
      <c r="AK1078" s="76"/>
      <c r="AL1078" s="76"/>
      <c r="AM1078" s="76"/>
      <c r="AN1078" s="76"/>
      <c r="AO1078" s="76"/>
      <c r="AP1078" s="76"/>
      <c r="AQ1078" s="76"/>
      <c r="AR1078" s="76"/>
      <c r="AS1078" s="76"/>
      <c r="AT1078" s="76"/>
      <c r="AU1078" s="76"/>
      <c r="AV1078" s="76"/>
      <c r="AW1078" s="76"/>
      <c r="AX1078" s="76"/>
      <c r="AY1078" s="76"/>
      <c r="AZ1078" s="76"/>
      <c r="BA1078" s="76"/>
      <c r="BB1078" s="76"/>
    </row>
    <row r="1079" spans="5:54" x14ac:dyDescent="0.35">
      <c r="E1079" s="83"/>
      <c r="F1079" s="83"/>
      <c r="G1079" s="76"/>
      <c r="H1079" s="76"/>
      <c r="I1079" s="76"/>
      <c r="J1079" s="76"/>
      <c r="K1079" s="76"/>
      <c r="L1079" s="76"/>
      <c r="M1079" s="76"/>
      <c r="N1079" s="76"/>
      <c r="O1079" s="76"/>
      <c r="P1079" s="76"/>
      <c r="Q1079" s="76"/>
      <c r="R1079" s="76"/>
      <c r="S1079" s="76"/>
      <c r="T1079" s="76"/>
      <c r="U1079" s="76"/>
      <c r="V1079" s="76"/>
      <c r="W1079" s="76"/>
      <c r="X1079" s="76"/>
      <c r="Y1079" s="76"/>
      <c r="Z1079" s="76"/>
      <c r="AA1079" s="76"/>
      <c r="AB1079" s="76"/>
      <c r="AC1079" s="76"/>
      <c r="AD1079" s="76"/>
      <c r="AE1079" s="76"/>
      <c r="AF1079" s="76"/>
      <c r="AG1079" s="76"/>
      <c r="AH1079" s="76"/>
      <c r="AI1079" s="76"/>
      <c r="AJ1079" s="76"/>
      <c r="AK1079" s="76"/>
      <c r="AL1079" s="76"/>
      <c r="AM1079" s="76"/>
      <c r="AN1079" s="76"/>
      <c r="AO1079" s="76"/>
      <c r="AP1079" s="76"/>
      <c r="AQ1079" s="76"/>
      <c r="AR1079" s="76"/>
      <c r="AS1079" s="76"/>
      <c r="AT1079" s="76"/>
      <c r="AU1079" s="76"/>
      <c r="AV1079" s="76"/>
      <c r="AW1079" s="76"/>
      <c r="AX1079" s="76"/>
      <c r="AY1079" s="76"/>
      <c r="AZ1079" s="76"/>
      <c r="BA1079" s="76"/>
      <c r="BB1079" s="76"/>
    </row>
    <row r="1080" spans="5:54" x14ac:dyDescent="0.35">
      <c r="E1080" s="83"/>
      <c r="F1080" s="83"/>
      <c r="G1080" s="76"/>
      <c r="H1080" s="76"/>
      <c r="I1080" s="76"/>
      <c r="J1080" s="76"/>
      <c r="K1080" s="76"/>
      <c r="L1080" s="76"/>
      <c r="M1080" s="76"/>
      <c r="N1080" s="76"/>
      <c r="O1080" s="76"/>
      <c r="P1080" s="76"/>
      <c r="Q1080" s="76"/>
      <c r="R1080" s="76"/>
      <c r="S1080" s="76"/>
      <c r="T1080" s="76"/>
      <c r="U1080" s="76"/>
      <c r="V1080" s="76"/>
      <c r="W1080" s="76"/>
      <c r="X1080" s="76"/>
      <c r="Y1080" s="76"/>
      <c r="Z1080" s="76"/>
      <c r="AA1080" s="76"/>
      <c r="AB1080" s="76"/>
      <c r="AC1080" s="76"/>
      <c r="AD1080" s="76"/>
      <c r="AE1080" s="76"/>
      <c r="AF1080" s="76"/>
      <c r="AG1080" s="76"/>
      <c r="AH1080" s="76"/>
      <c r="AI1080" s="76"/>
      <c r="AJ1080" s="76"/>
      <c r="AK1080" s="76"/>
      <c r="AL1080" s="76"/>
      <c r="AM1080" s="76"/>
      <c r="AN1080" s="76"/>
      <c r="AO1080" s="76"/>
      <c r="AP1080" s="76"/>
      <c r="AQ1080" s="76"/>
      <c r="AR1080" s="76"/>
      <c r="AS1080" s="76"/>
      <c r="AT1080" s="76"/>
      <c r="AU1080" s="76"/>
      <c r="AV1080" s="76"/>
      <c r="AW1080" s="76"/>
      <c r="AX1080" s="76"/>
      <c r="AY1080" s="76"/>
      <c r="AZ1080" s="76"/>
      <c r="BA1080" s="76"/>
      <c r="BB1080" s="76"/>
    </row>
    <row r="1081" spans="5:54" x14ac:dyDescent="0.35">
      <c r="E1081" s="83"/>
      <c r="F1081" s="83"/>
      <c r="G1081" s="76"/>
      <c r="H1081" s="76"/>
      <c r="I1081" s="76"/>
      <c r="J1081" s="76"/>
      <c r="K1081" s="76"/>
      <c r="L1081" s="76"/>
      <c r="M1081" s="76"/>
      <c r="N1081" s="76"/>
      <c r="O1081" s="76"/>
      <c r="P1081" s="76"/>
      <c r="Q1081" s="76"/>
      <c r="R1081" s="76"/>
      <c r="S1081" s="76"/>
      <c r="T1081" s="76"/>
      <c r="U1081" s="76"/>
      <c r="V1081" s="76"/>
      <c r="W1081" s="76"/>
      <c r="X1081" s="76"/>
      <c r="Y1081" s="76"/>
      <c r="Z1081" s="76"/>
      <c r="AA1081" s="76"/>
      <c r="AB1081" s="76"/>
      <c r="AC1081" s="76"/>
      <c r="AD1081" s="76"/>
      <c r="AE1081" s="76"/>
      <c r="AF1081" s="76"/>
      <c r="AG1081" s="76"/>
      <c r="AH1081" s="76"/>
      <c r="AI1081" s="76"/>
      <c r="AJ1081" s="76"/>
      <c r="AK1081" s="76"/>
      <c r="AL1081" s="76"/>
      <c r="AM1081" s="76"/>
      <c r="AN1081" s="76"/>
      <c r="AO1081" s="76"/>
      <c r="AP1081" s="76"/>
      <c r="AQ1081" s="76"/>
      <c r="AR1081" s="76"/>
      <c r="AS1081" s="76"/>
      <c r="AT1081" s="76"/>
      <c r="AU1081" s="76"/>
      <c r="AV1081" s="76"/>
      <c r="AW1081" s="76"/>
      <c r="AX1081" s="76"/>
      <c r="AY1081" s="76"/>
      <c r="AZ1081" s="76"/>
      <c r="BA1081" s="76"/>
      <c r="BB1081" s="76"/>
    </row>
    <row r="1082" spans="5:54" x14ac:dyDescent="0.35">
      <c r="E1082" s="83"/>
      <c r="F1082" s="83"/>
      <c r="G1082" s="76"/>
      <c r="H1082" s="76"/>
      <c r="I1082" s="76"/>
      <c r="J1082" s="76"/>
      <c r="K1082" s="76"/>
      <c r="L1082" s="76"/>
      <c r="M1082" s="76"/>
      <c r="N1082" s="76"/>
      <c r="O1082" s="76"/>
      <c r="P1082" s="76"/>
      <c r="Q1082" s="76"/>
      <c r="R1082" s="76"/>
      <c r="S1082" s="76"/>
      <c r="T1082" s="76"/>
      <c r="U1082" s="76"/>
      <c r="V1082" s="76"/>
      <c r="W1082" s="76"/>
      <c r="X1082" s="76"/>
      <c r="Y1082" s="76"/>
      <c r="Z1082" s="76"/>
      <c r="AA1082" s="76"/>
      <c r="AB1082" s="76"/>
      <c r="AC1082" s="76"/>
      <c r="AD1082" s="76"/>
      <c r="AE1082" s="76"/>
      <c r="AF1082" s="76"/>
      <c r="AG1082" s="76"/>
      <c r="AH1082" s="76"/>
      <c r="AI1082" s="76"/>
      <c r="AJ1082" s="76"/>
      <c r="AK1082" s="76"/>
      <c r="AL1082" s="76"/>
      <c r="AM1082" s="76"/>
      <c r="AN1082" s="76"/>
      <c r="AO1082" s="76"/>
      <c r="AP1082" s="76"/>
      <c r="AQ1082" s="76"/>
      <c r="AR1082" s="76"/>
      <c r="AS1082" s="76"/>
      <c r="AT1082" s="76"/>
      <c r="AU1082" s="76"/>
      <c r="AV1082" s="76"/>
      <c r="AW1082" s="76"/>
      <c r="AX1082" s="76"/>
      <c r="AY1082" s="76"/>
      <c r="AZ1082" s="76"/>
      <c r="BA1082" s="76"/>
      <c r="BB1082" s="76"/>
    </row>
    <row r="1083" spans="5:54" x14ac:dyDescent="0.35">
      <c r="E1083" s="83"/>
      <c r="F1083" s="83"/>
      <c r="G1083" s="76"/>
      <c r="H1083" s="76"/>
      <c r="I1083" s="76"/>
      <c r="J1083" s="76"/>
      <c r="K1083" s="76"/>
      <c r="L1083" s="76"/>
      <c r="M1083" s="76"/>
      <c r="N1083" s="76"/>
      <c r="O1083" s="76"/>
      <c r="P1083" s="76"/>
      <c r="Q1083" s="76"/>
      <c r="R1083" s="76"/>
      <c r="S1083" s="76"/>
      <c r="T1083" s="76"/>
      <c r="U1083" s="76"/>
      <c r="V1083" s="76"/>
      <c r="W1083" s="76"/>
      <c r="X1083" s="76"/>
      <c r="Y1083" s="76"/>
      <c r="Z1083" s="76"/>
      <c r="AA1083" s="76"/>
      <c r="AB1083" s="76"/>
      <c r="AC1083" s="76"/>
      <c r="AD1083" s="76"/>
      <c r="AE1083" s="76"/>
      <c r="AF1083" s="76"/>
      <c r="AG1083" s="76"/>
      <c r="AH1083" s="76"/>
      <c r="AI1083" s="76"/>
      <c r="AJ1083" s="76"/>
      <c r="AK1083" s="76"/>
      <c r="AL1083" s="76"/>
      <c r="AM1083" s="76"/>
      <c r="AN1083" s="76"/>
      <c r="AO1083" s="76"/>
      <c r="AP1083" s="76"/>
      <c r="AQ1083" s="76"/>
      <c r="AR1083" s="76"/>
      <c r="AS1083" s="76"/>
      <c r="AT1083" s="76"/>
      <c r="AU1083" s="76"/>
      <c r="AV1083" s="76"/>
      <c r="AW1083" s="76"/>
      <c r="AX1083" s="76"/>
      <c r="AY1083" s="76"/>
      <c r="AZ1083" s="76"/>
      <c r="BA1083" s="76"/>
      <c r="BB1083" s="76"/>
    </row>
    <row r="1084" spans="5:54" x14ac:dyDescent="0.35">
      <c r="E1084" s="83"/>
      <c r="F1084" s="83"/>
      <c r="G1084" s="76"/>
      <c r="H1084" s="76"/>
      <c r="I1084" s="76"/>
      <c r="J1084" s="76"/>
      <c r="K1084" s="76"/>
      <c r="L1084" s="76"/>
      <c r="M1084" s="76"/>
      <c r="N1084" s="76"/>
      <c r="O1084" s="76"/>
      <c r="P1084" s="76"/>
      <c r="Q1084" s="76"/>
      <c r="R1084" s="76"/>
      <c r="S1084" s="76"/>
      <c r="T1084" s="76"/>
      <c r="U1084" s="76"/>
      <c r="V1084" s="76"/>
      <c r="W1084" s="76"/>
      <c r="X1084" s="76"/>
      <c r="Y1084" s="76"/>
      <c r="Z1084" s="76"/>
      <c r="AA1084" s="76"/>
      <c r="AB1084" s="76"/>
      <c r="AC1084" s="76"/>
      <c r="AD1084" s="76"/>
      <c r="AE1084" s="76"/>
      <c r="AF1084" s="76"/>
      <c r="AG1084" s="76"/>
      <c r="AH1084" s="76"/>
      <c r="AI1084" s="76"/>
      <c r="AJ1084" s="76"/>
      <c r="AK1084" s="76"/>
      <c r="AL1084" s="76"/>
      <c r="AM1084" s="76"/>
      <c r="AN1084" s="76"/>
      <c r="AO1084" s="76"/>
      <c r="AP1084" s="76"/>
      <c r="AQ1084" s="76"/>
      <c r="AR1084" s="76"/>
      <c r="AS1084" s="76"/>
      <c r="AT1084" s="76"/>
      <c r="AU1084" s="76"/>
      <c r="AV1084" s="76"/>
      <c r="AW1084" s="76"/>
      <c r="AX1084" s="76"/>
      <c r="AY1084" s="76"/>
      <c r="AZ1084" s="76"/>
      <c r="BA1084" s="76"/>
      <c r="BB1084" s="76"/>
    </row>
    <row r="1085" spans="5:54" x14ac:dyDescent="0.35">
      <c r="E1085" s="83"/>
      <c r="F1085" s="83"/>
      <c r="G1085" s="76"/>
      <c r="H1085" s="76"/>
      <c r="I1085" s="76"/>
      <c r="J1085" s="76"/>
      <c r="K1085" s="76"/>
      <c r="L1085" s="76"/>
      <c r="M1085" s="76"/>
      <c r="N1085" s="76"/>
      <c r="O1085" s="76"/>
      <c r="P1085" s="76"/>
      <c r="Q1085" s="76"/>
      <c r="R1085" s="76"/>
      <c r="S1085" s="76"/>
      <c r="T1085" s="76"/>
      <c r="U1085" s="76"/>
      <c r="V1085" s="76"/>
      <c r="W1085" s="76"/>
      <c r="X1085" s="76"/>
      <c r="Y1085" s="76"/>
      <c r="Z1085" s="76"/>
      <c r="AA1085" s="76"/>
      <c r="AB1085" s="76"/>
      <c r="AC1085" s="76"/>
      <c r="AD1085" s="76"/>
      <c r="AE1085" s="76"/>
      <c r="AF1085" s="76"/>
      <c r="AG1085" s="76"/>
      <c r="AH1085" s="76"/>
      <c r="AI1085" s="76"/>
      <c r="AJ1085" s="76"/>
      <c r="AK1085" s="76"/>
      <c r="AL1085" s="76"/>
      <c r="AM1085" s="76"/>
      <c r="AN1085" s="76"/>
      <c r="AO1085" s="76"/>
      <c r="AP1085" s="76"/>
      <c r="AQ1085" s="76"/>
      <c r="AR1085" s="76"/>
      <c r="AS1085" s="76"/>
      <c r="AT1085" s="76"/>
      <c r="AU1085" s="76"/>
      <c r="AV1085" s="76"/>
      <c r="AW1085" s="76"/>
      <c r="AX1085" s="76"/>
      <c r="AY1085" s="76"/>
      <c r="AZ1085" s="76"/>
      <c r="BA1085" s="76"/>
      <c r="BB1085" s="76"/>
    </row>
    <row r="1086" spans="5:54" x14ac:dyDescent="0.35">
      <c r="E1086" s="83"/>
      <c r="F1086" s="83"/>
      <c r="G1086" s="76"/>
      <c r="H1086" s="76"/>
      <c r="I1086" s="76"/>
      <c r="J1086" s="76"/>
      <c r="K1086" s="76"/>
      <c r="L1086" s="76"/>
      <c r="M1086" s="76"/>
      <c r="N1086" s="76"/>
      <c r="O1086" s="76"/>
      <c r="P1086" s="76"/>
      <c r="Q1086" s="76"/>
      <c r="R1086" s="76"/>
      <c r="S1086" s="76"/>
      <c r="T1086" s="76"/>
      <c r="U1086" s="76"/>
      <c r="V1086" s="76"/>
      <c r="W1086" s="76"/>
      <c r="X1086" s="76"/>
      <c r="Y1086" s="76"/>
      <c r="Z1086" s="76"/>
      <c r="AA1086" s="76"/>
      <c r="AB1086" s="76"/>
      <c r="AC1086" s="76"/>
      <c r="AD1086" s="76"/>
      <c r="AE1086" s="76"/>
      <c r="AF1086" s="76"/>
      <c r="AG1086" s="76"/>
      <c r="AH1086" s="76"/>
      <c r="AI1086" s="76"/>
      <c r="AJ1086" s="76"/>
      <c r="AK1086" s="76"/>
      <c r="AL1086" s="76"/>
      <c r="AM1086" s="76"/>
      <c r="AN1086" s="76"/>
      <c r="AO1086" s="76"/>
      <c r="AP1086" s="76"/>
      <c r="AQ1086" s="76"/>
      <c r="AR1086" s="76"/>
      <c r="AS1086" s="76"/>
      <c r="AT1086" s="76"/>
      <c r="AU1086" s="76"/>
      <c r="AV1086" s="76"/>
      <c r="AW1086" s="76"/>
      <c r="AX1086" s="76"/>
      <c r="AY1086" s="76"/>
      <c r="AZ1086" s="76"/>
      <c r="BA1086" s="76"/>
      <c r="BB1086" s="76"/>
    </row>
    <row r="1087" spans="5:54" x14ac:dyDescent="0.35">
      <c r="E1087" s="83"/>
      <c r="F1087" s="83"/>
      <c r="G1087" s="76"/>
      <c r="H1087" s="76"/>
      <c r="I1087" s="76"/>
      <c r="J1087" s="76"/>
      <c r="K1087" s="76"/>
      <c r="L1087" s="76"/>
      <c r="M1087" s="76"/>
      <c r="N1087" s="76"/>
      <c r="O1087" s="76"/>
      <c r="P1087" s="76"/>
      <c r="Q1087" s="76"/>
      <c r="R1087" s="76"/>
      <c r="S1087" s="76"/>
      <c r="T1087" s="76"/>
      <c r="U1087" s="76"/>
      <c r="V1087" s="76"/>
      <c r="W1087" s="76"/>
      <c r="X1087" s="76"/>
      <c r="Y1087" s="76"/>
      <c r="Z1087" s="76"/>
      <c r="AA1087" s="76"/>
      <c r="AB1087" s="76"/>
      <c r="AC1087" s="76"/>
      <c r="AD1087" s="76"/>
      <c r="AE1087" s="76"/>
      <c r="AF1087" s="76"/>
      <c r="AG1087" s="76"/>
      <c r="AH1087" s="76"/>
      <c r="AI1087" s="76"/>
      <c r="AJ1087" s="76"/>
      <c r="AK1087" s="76"/>
      <c r="AL1087" s="76"/>
      <c r="AM1087" s="76"/>
      <c r="AN1087" s="76"/>
      <c r="AO1087" s="76"/>
      <c r="AP1087" s="76"/>
      <c r="AQ1087" s="76"/>
      <c r="AR1087" s="76"/>
      <c r="AS1087" s="76"/>
      <c r="AT1087" s="76"/>
      <c r="AU1087" s="76"/>
      <c r="AV1087" s="76"/>
      <c r="AW1087" s="76"/>
      <c r="AX1087" s="76"/>
      <c r="AY1087" s="76"/>
      <c r="AZ1087" s="76"/>
      <c r="BA1087" s="76"/>
      <c r="BB1087" s="76"/>
    </row>
    <row r="1088" spans="5:54" x14ac:dyDescent="0.35">
      <c r="E1088" s="83"/>
      <c r="F1088" s="83"/>
      <c r="G1088" s="76"/>
      <c r="H1088" s="76"/>
      <c r="I1088" s="76"/>
      <c r="J1088" s="76"/>
      <c r="K1088" s="76"/>
      <c r="L1088" s="76"/>
      <c r="M1088" s="76"/>
      <c r="N1088" s="76"/>
      <c r="O1088" s="76"/>
      <c r="P1088" s="76"/>
      <c r="Q1088" s="76"/>
      <c r="R1088" s="76"/>
      <c r="S1088" s="76"/>
      <c r="T1088" s="76"/>
      <c r="U1088" s="76"/>
      <c r="V1088" s="76"/>
      <c r="W1088" s="76"/>
      <c r="X1088" s="76"/>
      <c r="Y1088" s="76"/>
      <c r="Z1088" s="76"/>
      <c r="AA1088" s="76"/>
      <c r="AB1088" s="76"/>
      <c r="AC1088" s="76"/>
      <c r="AD1088" s="76"/>
      <c r="AE1088" s="76"/>
      <c r="AF1088" s="76"/>
      <c r="AG1088" s="76"/>
      <c r="AH1088" s="76"/>
      <c r="AI1088" s="76"/>
      <c r="AJ1088" s="76"/>
      <c r="AK1088" s="76"/>
      <c r="AL1088" s="76"/>
      <c r="AM1088" s="76"/>
      <c r="AN1088" s="76"/>
      <c r="AO1088" s="76"/>
      <c r="AP1088" s="76"/>
      <c r="AQ1088" s="76"/>
      <c r="AR1088" s="76"/>
      <c r="AS1088" s="76"/>
      <c r="AT1088" s="76"/>
      <c r="AU1088" s="76"/>
      <c r="AV1088" s="76"/>
      <c r="AW1088" s="76"/>
      <c r="AX1088" s="76"/>
      <c r="AY1088" s="76"/>
      <c r="AZ1088" s="76"/>
      <c r="BA1088" s="76"/>
      <c r="BB1088" s="76"/>
    </row>
    <row r="1089" spans="5:54" x14ac:dyDescent="0.35">
      <c r="E1089" s="83"/>
      <c r="F1089" s="83"/>
      <c r="G1089" s="76"/>
      <c r="H1089" s="76"/>
      <c r="I1089" s="76"/>
      <c r="J1089" s="76"/>
      <c r="K1089" s="76"/>
      <c r="L1089" s="76"/>
      <c r="M1089" s="76"/>
      <c r="N1089" s="76"/>
      <c r="O1089" s="76"/>
      <c r="P1089" s="76"/>
      <c r="Q1089" s="76"/>
      <c r="R1089" s="76"/>
      <c r="S1089" s="76"/>
      <c r="T1089" s="76"/>
      <c r="U1089" s="76"/>
      <c r="V1089" s="76"/>
      <c r="W1089" s="76"/>
      <c r="X1089" s="76"/>
      <c r="Y1089" s="76"/>
      <c r="Z1089" s="76"/>
      <c r="AA1089" s="76"/>
      <c r="AB1089" s="76"/>
      <c r="AC1089" s="76"/>
      <c r="AD1089" s="76"/>
      <c r="AE1089" s="76"/>
      <c r="AF1089" s="76"/>
      <c r="AG1089" s="76"/>
      <c r="AH1089" s="76"/>
      <c r="AI1089" s="76"/>
      <c r="AJ1089" s="76"/>
      <c r="AK1089" s="76"/>
      <c r="AL1089" s="76"/>
      <c r="AM1089" s="76"/>
      <c r="AN1089" s="76"/>
      <c r="AO1089" s="76"/>
      <c r="AP1089" s="76"/>
      <c r="AQ1089" s="76"/>
      <c r="AR1089" s="76"/>
      <c r="AS1089" s="76"/>
      <c r="AT1089" s="76"/>
      <c r="AU1089" s="76"/>
      <c r="AV1089" s="76"/>
      <c r="AW1089" s="76"/>
      <c r="AX1089" s="76"/>
      <c r="AY1089" s="76"/>
      <c r="AZ1089" s="76"/>
      <c r="BA1089" s="76"/>
      <c r="BB1089" s="76"/>
    </row>
    <row r="1090" spans="5:54" x14ac:dyDescent="0.35">
      <c r="E1090" s="83"/>
      <c r="F1090" s="83"/>
      <c r="G1090" s="76"/>
      <c r="H1090" s="76"/>
      <c r="I1090" s="76"/>
      <c r="J1090" s="76"/>
      <c r="K1090" s="76"/>
      <c r="L1090" s="76"/>
      <c r="M1090" s="76"/>
      <c r="N1090" s="76"/>
      <c r="O1090" s="76"/>
      <c r="P1090" s="76"/>
      <c r="Q1090" s="76"/>
      <c r="R1090" s="76"/>
      <c r="S1090" s="76"/>
      <c r="T1090" s="76"/>
      <c r="U1090" s="76"/>
      <c r="V1090" s="76"/>
      <c r="W1090" s="76"/>
      <c r="X1090" s="76"/>
      <c r="Y1090" s="76"/>
      <c r="Z1090" s="76"/>
      <c r="AA1090" s="76"/>
      <c r="AB1090" s="76"/>
      <c r="AC1090" s="76"/>
      <c r="AD1090" s="76"/>
      <c r="AE1090" s="76"/>
      <c r="AF1090" s="76"/>
      <c r="AG1090" s="76"/>
      <c r="AH1090" s="76"/>
      <c r="AI1090" s="76"/>
      <c r="AJ1090" s="76"/>
      <c r="AK1090" s="76"/>
      <c r="AL1090" s="76"/>
      <c r="AM1090" s="76"/>
      <c r="AN1090" s="76"/>
      <c r="AO1090" s="76"/>
      <c r="AP1090" s="76"/>
      <c r="AQ1090" s="76"/>
      <c r="AR1090" s="76"/>
      <c r="AS1090" s="76"/>
      <c r="AT1090" s="76"/>
      <c r="AU1090" s="76"/>
      <c r="AV1090" s="76"/>
      <c r="AW1090" s="76"/>
      <c r="AX1090" s="76"/>
      <c r="AY1090" s="76"/>
      <c r="AZ1090" s="76"/>
      <c r="BA1090" s="76"/>
      <c r="BB1090" s="76"/>
    </row>
    <row r="1091" spans="5:54" x14ac:dyDescent="0.35">
      <c r="E1091" s="83"/>
      <c r="F1091" s="83"/>
      <c r="G1091" s="76"/>
      <c r="H1091" s="76"/>
      <c r="I1091" s="76"/>
      <c r="J1091" s="76"/>
      <c r="K1091" s="76"/>
      <c r="L1091" s="76"/>
      <c r="M1091" s="76"/>
      <c r="N1091" s="76"/>
      <c r="O1091" s="76"/>
      <c r="P1091" s="76"/>
      <c r="Q1091" s="76"/>
      <c r="R1091" s="76"/>
      <c r="S1091" s="76"/>
      <c r="T1091" s="76"/>
      <c r="U1091" s="76"/>
      <c r="V1091" s="76"/>
      <c r="W1091" s="76"/>
      <c r="X1091" s="76"/>
      <c r="Y1091" s="76"/>
      <c r="Z1091" s="76"/>
      <c r="AA1091" s="76"/>
      <c r="AB1091" s="76"/>
      <c r="AC1091" s="76"/>
      <c r="AD1091" s="76"/>
      <c r="AE1091" s="76"/>
      <c r="AF1091" s="76"/>
      <c r="AG1091" s="76"/>
      <c r="AH1091" s="76"/>
      <c r="AI1091" s="76"/>
      <c r="AJ1091" s="76"/>
      <c r="AK1091" s="76"/>
      <c r="AL1091" s="76"/>
      <c r="AM1091" s="76"/>
      <c r="AN1091" s="76"/>
      <c r="AO1091" s="76"/>
      <c r="AP1091" s="76"/>
      <c r="AQ1091" s="76"/>
      <c r="AR1091" s="76"/>
      <c r="AS1091" s="76"/>
      <c r="AT1091" s="76"/>
      <c r="AU1091" s="76"/>
      <c r="AV1091" s="76"/>
      <c r="AW1091" s="76"/>
      <c r="AX1091" s="76"/>
      <c r="AY1091" s="76"/>
      <c r="AZ1091" s="76"/>
      <c r="BA1091" s="76"/>
      <c r="BB1091" s="76"/>
    </row>
    <row r="1092" spans="5:54" x14ac:dyDescent="0.35">
      <c r="E1092" s="83"/>
      <c r="F1092" s="83"/>
      <c r="G1092" s="76"/>
      <c r="H1092" s="76"/>
      <c r="I1092" s="76"/>
      <c r="J1092" s="76"/>
      <c r="K1092" s="76"/>
      <c r="L1092" s="76"/>
      <c r="M1092" s="76"/>
      <c r="N1092" s="76"/>
      <c r="O1092" s="76"/>
      <c r="P1092" s="76"/>
      <c r="Q1092" s="76"/>
      <c r="R1092" s="76"/>
      <c r="S1092" s="76"/>
      <c r="T1092" s="76"/>
      <c r="U1092" s="76"/>
      <c r="V1092" s="76"/>
      <c r="W1092" s="76"/>
      <c r="X1092" s="76"/>
      <c r="Y1092" s="76"/>
      <c r="Z1092" s="76"/>
      <c r="AA1092" s="76"/>
      <c r="AB1092" s="76"/>
      <c r="AC1092" s="76"/>
      <c r="AD1092" s="76"/>
      <c r="AE1092" s="76"/>
      <c r="AF1092" s="76"/>
      <c r="AG1092" s="76"/>
      <c r="AH1092" s="76"/>
      <c r="AI1092" s="76"/>
      <c r="AJ1092" s="76"/>
      <c r="AK1092" s="76"/>
      <c r="AL1092" s="76"/>
      <c r="AM1092" s="76"/>
      <c r="AN1092" s="76"/>
      <c r="AO1092" s="76"/>
      <c r="AP1092" s="76"/>
      <c r="AQ1092" s="76"/>
      <c r="AR1092" s="76"/>
      <c r="AS1092" s="76"/>
      <c r="AT1092" s="76"/>
      <c r="AU1092" s="76"/>
      <c r="AV1092" s="76"/>
      <c r="AW1092" s="76"/>
      <c r="AX1092" s="76"/>
      <c r="AY1092" s="76"/>
      <c r="AZ1092" s="76"/>
      <c r="BA1092" s="76"/>
      <c r="BB1092" s="76"/>
    </row>
    <row r="1093" spans="5:54" x14ac:dyDescent="0.35">
      <c r="E1093" s="83"/>
      <c r="F1093" s="83"/>
      <c r="G1093" s="76"/>
      <c r="H1093" s="76"/>
      <c r="I1093" s="76"/>
      <c r="J1093" s="76"/>
      <c r="K1093" s="76"/>
      <c r="L1093" s="76"/>
      <c r="M1093" s="76"/>
      <c r="N1093" s="76"/>
      <c r="O1093" s="76"/>
      <c r="P1093" s="76"/>
      <c r="Q1093" s="76"/>
      <c r="R1093" s="76"/>
      <c r="S1093" s="76"/>
      <c r="T1093" s="76"/>
      <c r="U1093" s="76"/>
      <c r="V1093" s="76"/>
      <c r="W1093" s="76"/>
      <c r="X1093" s="76"/>
      <c r="Y1093" s="76"/>
      <c r="Z1093" s="76"/>
      <c r="AA1093" s="76"/>
      <c r="AB1093" s="76"/>
      <c r="AC1093" s="76"/>
      <c r="AD1093" s="76"/>
      <c r="AE1093" s="76"/>
      <c r="AF1093" s="76"/>
      <c r="AG1093" s="76"/>
      <c r="AH1093" s="76"/>
      <c r="AI1093" s="76"/>
      <c r="AJ1093" s="76"/>
      <c r="AK1093" s="76"/>
      <c r="AL1093" s="76"/>
      <c r="AM1093" s="76"/>
      <c r="AN1093" s="76"/>
      <c r="AO1093" s="76"/>
      <c r="AP1093" s="76"/>
      <c r="AQ1093" s="76"/>
      <c r="AR1093" s="76"/>
      <c r="AS1093" s="76"/>
      <c r="AT1093" s="76"/>
      <c r="AU1093" s="76"/>
      <c r="AV1093" s="76"/>
      <c r="AW1093" s="76"/>
      <c r="AX1093" s="76"/>
      <c r="AY1093" s="76"/>
      <c r="AZ1093" s="76"/>
      <c r="BA1093" s="76"/>
      <c r="BB1093" s="76"/>
    </row>
    <row r="1094" spans="5:54" x14ac:dyDescent="0.35">
      <c r="E1094" s="83"/>
      <c r="F1094" s="83"/>
      <c r="G1094" s="76"/>
      <c r="H1094" s="76"/>
      <c r="I1094" s="76"/>
      <c r="J1094" s="76"/>
      <c r="K1094" s="76"/>
      <c r="L1094" s="76"/>
      <c r="M1094" s="76"/>
      <c r="N1094" s="76"/>
      <c r="O1094" s="76"/>
      <c r="P1094" s="76"/>
      <c r="Q1094" s="76"/>
      <c r="R1094" s="76"/>
      <c r="S1094" s="76"/>
      <c r="T1094" s="76"/>
      <c r="U1094" s="76"/>
      <c r="V1094" s="76"/>
      <c r="W1094" s="76"/>
      <c r="X1094" s="76"/>
      <c r="Y1094" s="76"/>
      <c r="Z1094" s="76"/>
      <c r="AA1094" s="76"/>
      <c r="AB1094" s="76"/>
      <c r="AC1094" s="76"/>
      <c r="AD1094" s="76"/>
      <c r="AE1094" s="76"/>
      <c r="AF1094" s="76"/>
      <c r="AG1094" s="76"/>
      <c r="AH1094" s="76"/>
      <c r="AI1094" s="76"/>
      <c r="AJ1094" s="76"/>
      <c r="AK1094" s="76"/>
      <c r="AL1094" s="76"/>
      <c r="AM1094" s="76"/>
      <c r="AN1094" s="76"/>
      <c r="AO1094" s="76"/>
      <c r="AP1094" s="76"/>
      <c r="AQ1094" s="76"/>
      <c r="AR1094" s="76"/>
      <c r="AS1094" s="76"/>
      <c r="AT1094" s="76"/>
      <c r="AU1094" s="76"/>
      <c r="AV1094" s="76"/>
      <c r="AW1094" s="76"/>
      <c r="AX1094" s="76"/>
      <c r="AY1094" s="76"/>
      <c r="AZ1094" s="76"/>
      <c r="BA1094" s="76"/>
      <c r="BB1094" s="76"/>
    </row>
    <row r="1095" spans="5:54" x14ac:dyDescent="0.35">
      <c r="E1095" s="83"/>
      <c r="F1095" s="83"/>
      <c r="G1095" s="76"/>
      <c r="H1095" s="76"/>
      <c r="I1095" s="76"/>
      <c r="J1095" s="76"/>
      <c r="K1095" s="76"/>
      <c r="L1095" s="76"/>
      <c r="M1095" s="76"/>
      <c r="N1095" s="76"/>
      <c r="O1095" s="76"/>
      <c r="P1095" s="76"/>
      <c r="Q1095" s="76"/>
      <c r="R1095" s="76"/>
      <c r="S1095" s="76"/>
      <c r="T1095" s="76"/>
      <c r="U1095" s="76"/>
      <c r="V1095" s="76"/>
      <c r="W1095" s="76"/>
      <c r="X1095" s="76"/>
      <c r="Y1095" s="76"/>
      <c r="Z1095" s="76"/>
      <c r="AA1095" s="76"/>
      <c r="AB1095" s="76"/>
      <c r="AC1095" s="76"/>
      <c r="AD1095" s="76"/>
      <c r="AE1095" s="76"/>
      <c r="AF1095" s="76"/>
      <c r="AG1095" s="76"/>
      <c r="AH1095" s="76"/>
      <c r="AI1095" s="76"/>
      <c r="AJ1095" s="76"/>
      <c r="AK1095" s="76"/>
      <c r="AL1095" s="76"/>
      <c r="AM1095" s="76"/>
      <c r="AN1095" s="76"/>
      <c r="AO1095" s="76"/>
      <c r="AP1095" s="76"/>
      <c r="AQ1095" s="76"/>
      <c r="AR1095" s="76"/>
      <c r="AS1095" s="76"/>
      <c r="AT1095" s="76"/>
      <c r="AU1095" s="76"/>
      <c r="AV1095" s="76"/>
      <c r="AW1095" s="76"/>
      <c r="AX1095" s="76"/>
      <c r="AY1095" s="76"/>
      <c r="AZ1095" s="76"/>
      <c r="BA1095" s="76"/>
      <c r="BB1095" s="76"/>
    </row>
    <row r="1096" spans="5:54" x14ac:dyDescent="0.35">
      <c r="E1096" s="83"/>
      <c r="F1096" s="83"/>
      <c r="G1096" s="76"/>
      <c r="H1096" s="76"/>
      <c r="I1096" s="76"/>
      <c r="J1096" s="76"/>
      <c r="K1096" s="76"/>
      <c r="L1096" s="76"/>
      <c r="M1096" s="76"/>
      <c r="N1096" s="76"/>
      <c r="O1096" s="76"/>
      <c r="P1096" s="76"/>
      <c r="Q1096" s="76"/>
      <c r="R1096" s="76"/>
      <c r="S1096" s="76"/>
      <c r="T1096" s="76"/>
      <c r="U1096" s="76"/>
      <c r="V1096" s="76"/>
      <c r="W1096" s="76"/>
      <c r="X1096" s="76"/>
      <c r="Y1096" s="76"/>
      <c r="Z1096" s="76"/>
      <c r="AA1096" s="76"/>
      <c r="AB1096" s="76"/>
      <c r="AC1096" s="76"/>
      <c r="AD1096" s="76"/>
      <c r="AE1096" s="76"/>
      <c r="AF1096" s="76"/>
      <c r="AG1096" s="76"/>
      <c r="AH1096" s="76"/>
      <c r="AI1096" s="76"/>
      <c r="AJ1096" s="76"/>
      <c r="AK1096" s="76"/>
      <c r="AL1096" s="76"/>
      <c r="AM1096" s="76"/>
      <c r="AN1096" s="76"/>
      <c r="AO1096" s="76"/>
      <c r="AP1096" s="76"/>
      <c r="AQ1096" s="76"/>
      <c r="AR1096" s="76"/>
      <c r="AS1096" s="76"/>
      <c r="AT1096" s="76"/>
      <c r="AU1096" s="76"/>
      <c r="AV1096" s="76"/>
      <c r="AW1096" s="76"/>
      <c r="AX1096" s="76"/>
      <c r="AY1096" s="76"/>
      <c r="AZ1096" s="76"/>
      <c r="BA1096" s="76"/>
      <c r="BB1096" s="76"/>
    </row>
    <row r="1097" spans="5:54" x14ac:dyDescent="0.35">
      <c r="E1097" s="83"/>
      <c r="F1097" s="83"/>
      <c r="G1097" s="76"/>
      <c r="H1097" s="76"/>
      <c r="I1097" s="76"/>
      <c r="J1097" s="76"/>
      <c r="K1097" s="76"/>
      <c r="L1097" s="76"/>
      <c r="M1097" s="76"/>
      <c r="N1097" s="76"/>
      <c r="O1097" s="76"/>
      <c r="P1097" s="76"/>
      <c r="Q1097" s="76"/>
      <c r="R1097" s="76"/>
      <c r="S1097" s="76"/>
      <c r="T1097" s="76"/>
      <c r="U1097" s="76"/>
      <c r="V1097" s="76"/>
      <c r="W1097" s="76"/>
      <c r="X1097" s="76"/>
      <c r="Y1097" s="76"/>
      <c r="Z1097" s="76"/>
      <c r="AA1097" s="76"/>
      <c r="AB1097" s="76"/>
      <c r="AC1097" s="76"/>
      <c r="AD1097" s="76"/>
      <c r="AE1097" s="76"/>
      <c r="AF1097" s="76"/>
      <c r="AG1097" s="76"/>
      <c r="AH1097" s="76"/>
      <c r="AI1097" s="76"/>
      <c r="AJ1097" s="76"/>
      <c r="AK1097" s="76"/>
      <c r="AL1097" s="76"/>
      <c r="AM1097" s="76"/>
      <c r="AN1097" s="76"/>
      <c r="AO1097" s="76"/>
      <c r="AP1097" s="76"/>
      <c r="AQ1097" s="76"/>
      <c r="AR1097" s="76"/>
      <c r="AS1097" s="76"/>
      <c r="AT1097" s="76"/>
      <c r="AU1097" s="76"/>
      <c r="AV1097" s="76"/>
      <c r="AW1097" s="76"/>
      <c r="AX1097" s="76"/>
      <c r="AY1097" s="76"/>
      <c r="AZ1097" s="76"/>
      <c r="BA1097" s="76"/>
      <c r="BB1097" s="76"/>
    </row>
    <row r="1098" spans="5:54" x14ac:dyDescent="0.35">
      <c r="E1098" s="83"/>
      <c r="F1098" s="83"/>
      <c r="G1098" s="76"/>
      <c r="H1098" s="76"/>
      <c r="I1098" s="76"/>
      <c r="J1098" s="76"/>
      <c r="K1098" s="76"/>
      <c r="L1098" s="76"/>
      <c r="M1098" s="76"/>
      <c r="N1098" s="76"/>
      <c r="O1098" s="76"/>
      <c r="P1098" s="76"/>
      <c r="Q1098" s="76"/>
      <c r="R1098" s="76"/>
      <c r="S1098" s="76"/>
      <c r="T1098" s="76"/>
      <c r="U1098" s="76"/>
      <c r="V1098" s="76"/>
      <c r="W1098" s="76"/>
      <c r="X1098" s="76"/>
      <c r="Y1098" s="76"/>
      <c r="Z1098" s="76"/>
      <c r="AA1098" s="76"/>
      <c r="AB1098" s="76"/>
      <c r="AC1098" s="76"/>
      <c r="AD1098" s="76"/>
      <c r="AE1098" s="76"/>
      <c r="AF1098" s="76"/>
      <c r="AG1098" s="76"/>
      <c r="AH1098" s="76"/>
      <c r="AI1098" s="76"/>
      <c r="AJ1098" s="76"/>
      <c r="AK1098" s="76"/>
      <c r="AL1098" s="76"/>
      <c r="AM1098" s="76"/>
      <c r="AN1098" s="76"/>
      <c r="AO1098" s="76"/>
      <c r="AP1098" s="76"/>
      <c r="AQ1098" s="76"/>
      <c r="AR1098" s="76"/>
      <c r="AS1098" s="76"/>
      <c r="AT1098" s="76"/>
      <c r="AU1098" s="76"/>
      <c r="AV1098" s="76"/>
      <c r="AW1098" s="76"/>
      <c r="AX1098" s="76"/>
      <c r="AY1098" s="76"/>
      <c r="AZ1098" s="76"/>
      <c r="BA1098" s="76"/>
      <c r="BB1098" s="76"/>
    </row>
    <row r="1099" spans="5:54" x14ac:dyDescent="0.35">
      <c r="E1099" s="83"/>
      <c r="F1099" s="83"/>
      <c r="G1099" s="76"/>
      <c r="H1099" s="76"/>
      <c r="I1099" s="76"/>
      <c r="J1099" s="76"/>
      <c r="K1099" s="76"/>
      <c r="L1099" s="76"/>
      <c r="M1099" s="76"/>
      <c r="N1099" s="76"/>
      <c r="O1099" s="76"/>
      <c r="P1099" s="76"/>
      <c r="Q1099" s="76"/>
      <c r="R1099" s="76"/>
      <c r="S1099" s="76"/>
      <c r="T1099" s="76"/>
      <c r="U1099" s="76"/>
      <c r="V1099" s="76"/>
      <c r="W1099" s="76"/>
      <c r="X1099" s="76"/>
      <c r="Y1099" s="76"/>
      <c r="Z1099" s="76"/>
      <c r="AA1099" s="76"/>
      <c r="AB1099" s="76"/>
      <c r="AC1099" s="76"/>
      <c r="AD1099" s="76"/>
      <c r="AE1099" s="76"/>
      <c r="AF1099" s="76"/>
      <c r="AG1099" s="76"/>
      <c r="AH1099" s="76"/>
      <c r="AI1099" s="76"/>
      <c r="AJ1099" s="76"/>
      <c r="AK1099" s="76"/>
      <c r="AL1099" s="76"/>
      <c r="AM1099" s="76"/>
      <c r="AN1099" s="76"/>
      <c r="AO1099" s="76"/>
      <c r="AP1099" s="76"/>
      <c r="AQ1099" s="76"/>
      <c r="AR1099" s="76"/>
      <c r="AS1099" s="76"/>
      <c r="AT1099" s="76"/>
      <c r="AU1099" s="76"/>
      <c r="AV1099" s="76"/>
      <c r="AW1099" s="76"/>
      <c r="AX1099" s="76"/>
      <c r="AY1099" s="76"/>
      <c r="AZ1099" s="76"/>
      <c r="BA1099" s="76"/>
      <c r="BB1099" s="76"/>
    </row>
    <row r="1100" spans="5:54" x14ac:dyDescent="0.35">
      <c r="E1100" s="83"/>
      <c r="F1100" s="83"/>
      <c r="G1100" s="76"/>
      <c r="H1100" s="76"/>
      <c r="I1100" s="76"/>
      <c r="J1100" s="76"/>
      <c r="K1100" s="76"/>
      <c r="L1100" s="76"/>
      <c r="M1100" s="76"/>
      <c r="N1100" s="76"/>
      <c r="O1100" s="76"/>
      <c r="P1100" s="76"/>
      <c r="Q1100" s="76"/>
      <c r="R1100" s="76"/>
      <c r="S1100" s="76"/>
      <c r="T1100" s="76"/>
      <c r="U1100" s="76"/>
      <c r="V1100" s="76"/>
      <c r="W1100" s="76"/>
      <c r="X1100" s="76"/>
      <c r="Y1100" s="76"/>
      <c r="Z1100" s="76"/>
      <c r="AA1100" s="76"/>
      <c r="AB1100" s="76"/>
      <c r="AC1100" s="76"/>
      <c r="AD1100" s="76"/>
      <c r="AE1100" s="76"/>
      <c r="AF1100" s="76"/>
      <c r="AG1100" s="76"/>
      <c r="AH1100" s="76"/>
      <c r="AI1100" s="76"/>
      <c r="AJ1100" s="76"/>
      <c r="AK1100" s="76"/>
      <c r="AL1100" s="76"/>
      <c r="AM1100" s="76"/>
      <c r="AN1100" s="76"/>
      <c r="AO1100" s="76"/>
      <c r="AP1100" s="76"/>
      <c r="AQ1100" s="76"/>
      <c r="AR1100" s="76"/>
      <c r="AS1100" s="76"/>
      <c r="AT1100" s="76"/>
      <c r="AU1100" s="76"/>
      <c r="AV1100" s="76"/>
      <c r="AW1100" s="76"/>
      <c r="AX1100" s="76"/>
      <c r="AY1100" s="76"/>
      <c r="AZ1100" s="76"/>
      <c r="BA1100" s="76"/>
      <c r="BB1100" s="76"/>
    </row>
    <row r="1101" spans="5:54" x14ac:dyDescent="0.35">
      <c r="E1101" s="83"/>
      <c r="F1101" s="83"/>
      <c r="G1101" s="76"/>
      <c r="H1101" s="76"/>
      <c r="I1101" s="76"/>
      <c r="J1101" s="76"/>
      <c r="K1101" s="76"/>
      <c r="L1101" s="76"/>
      <c r="M1101" s="76"/>
      <c r="N1101" s="76"/>
      <c r="O1101" s="76"/>
      <c r="P1101" s="76"/>
      <c r="Q1101" s="76"/>
      <c r="R1101" s="76"/>
      <c r="S1101" s="76"/>
      <c r="T1101" s="76"/>
      <c r="U1101" s="76"/>
      <c r="V1101" s="76"/>
      <c r="W1101" s="76"/>
      <c r="X1101" s="76"/>
      <c r="Y1101" s="76"/>
      <c r="Z1101" s="76"/>
      <c r="AA1101" s="76"/>
      <c r="AB1101" s="76"/>
      <c r="AC1101" s="76"/>
      <c r="AD1101" s="76"/>
      <c r="AE1101" s="76"/>
      <c r="AF1101" s="76"/>
      <c r="AG1101" s="76"/>
      <c r="AH1101" s="76"/>
      <c r="AI1101" s="76"/>
      <c r="AJ1101" s="76"/>
      <c r="AK1101" s="76"/>
      <c r="AL1101" s="76"/>
      <c r="AM1101" s="76"/>
      <c r="AN1101" s="76"/>
      <c r="AO1101" s="76"/>
      <c r="AP1101" s="76"/>
      <c r="AQ1101" s="76"/>
      <c r="AR1101" s="76"/>
      <c r="AS1101" s="76"/>
      <c r="AT1101" s="76"/>
      <c r="AU1101" s="76"/>
      <c r="AV1101" s="76"/>
      <c r="AW1101" s="76"/>
      <c r="AX1101" s="76"/>
      <c r="AY1101" s="76"/>
      <c r="AZ1101" s="76"/>
      <c r="BA1101" s="76"/>
      <c r="BB1101" s="76"/>
    </row>
    <row r="1102" spans="5:54" x14ac:dyDescent="0.35">
      <c r="E1102" s="83"/>
      <c r="F1102" s="83"/>
      <c r="G1102" s="76"/>
      <c r="H1102" s="76"/>
      <c r="I1102" s="76"/>
      <c r="J1102" s="76"/>
      <c r="K1102" s="76"/>
      <c r="L1102" s="76"/>
      <c r="M1102" s="76"/>
      <c r="N1102" s="76"/>
      <c r="O1102" s="76"/>
      <c r="P1102" s="76"/>
      <c r="Q1102" s="76"/>
      <c r="R1102" s="76"/>
      <c r="S1102" s="76"/>
      <c r="T1102" s="76"/>
      <c r="U1102" s="76"/>
      <c r="V1102" s="76"/>
      <c r="W1102" s="76"/>
      <c r="X1102" s="76"/>
      <c r="Y1102" s="76"/>
      <c r="Z1102" s="76"/>
      <c r="AA1102" s="76"/>
      <c r="AB1102" s="76"/>
      <c r="AC1102" s="76"/>
      <c r="AD1102" s="76"/>
      <c r="AE1102" s="76"/>
      <c r="AF1102" s="76"/>
      <c r="AG1102" s="76"/>
      <c r="AH1102" s="76"/>
      <c r="AI1102" s="76"/>
      <c r="AJ1102" s="76"/>
      <c r="AK1102" s="76"/>
      <c r="AL1102" s="76"/>
      <c r="AM1102" s="76"/>
      <c r="AN1102" s="76"/>
      <c r="AO1102" s="76"/>
      <c r="AP1102" s="76"/>
      <c r="AQ1102" s="76"/>
      <c r="AR1102" s="76"/>
      <c r="AS1102" s="76"/>
      <c r="AT1102" s="76"/>
      <c r="AU1102" s="76"/>
      <c r="AV1102" s="76"/>
      <c r="AW1102" s="76"/>
      <c r="AX1102" s="76"/>
      <c r="AY1102" s="76"/>
      <c r="AZ1102" s="76"/>
      <c r="BA1102" s="76"/>
      <c r="BB1102" s="76"/>
    </row>
    <row r="1103" spans="5:54" x14ac:dyDescent="0.35">
      <c r="E1103" s="83"/>
      <c r="F1103" s="83"/>
      <c r="G1103" s="76"/>
      <c r="H1103" s="76"/>
      <c r="I1103" s="76"/>
      <c r="J1103" s="76"/>
      <c r="K1103" s="76"/>
      <c r="L1103" s="76"/>
      <c r="M1103" s="76"/>
      <c r="N1103" s="76"/>
      <c r="O1103" s="76"/>
      <c r="P1103" s="76"/>
      <c r="Q1103" s="76"/>
      <c r="R1103" s="76"/>
      <c r="S1103" s="76"/>
      <c r="T1103" s="76"/>
      <c r="U1103" s="76"/>
      <c r="V1103" s="76"/>
      <c r="W1103" s="76"/>
      <c r="X1103" s="76"/>
      <c r="Y1103" s="76"/>
      <c r="Z1103" s="76"/>
      <c r="AA1103" s="76"/>
      <c r="AB1103" s="76"/>
      <c r="AC1103" s="76"/>
      <c r="AD1103" s="76"/>
      <c r="AE1103" s="76"/>
      <c r="AF1103" s="76"/>
      <c r="AG1103" s="76"/>
      <c r="AH1103" s="76"/>
      <c r="AI1103" s="76"/>
      <c r="AJ1103" s="76"/>
      <c r="AK1103" s="76"/>
      <c r="AL1103" s="76"/>
      <c r="AM1103" s="76"/>
      <c r="AN1103" s="76"/>
      <c r="AO1103" s="76"/>
      <c r="AP1103" s="76"/>
      <c r="AQ1103" s="76"/>
      <c r="AR1103" s="76"/>
      <c r="AS1103" s="76"/>
      <c r="AT1103" s="76"/>
      <c r="AU1103" s="76"/>
      <c r="AV1103" s="76"/>
      <c r="AW1103" s="76"/>
      <c r="AX1103" s="76"/>
      <c r="AY1103" s="76"/>
      <c r="AZ1103" s="76"/>
      <c r="BA1103" s="76"/>
      <c r="BB1103" s="76"/>
    </row>
    <row r="1104" spans="5:54" x14ac:dyDescent="0.35">
      <c r="E1104" s="83"/>
      <c r="F1104" s="83"/>
      <c r="G1104" s="76"/>
      <c r="H1104" s="76"/>
      <c r="I1104" s="76"/>
      <c r="J1104" s="76"/>
      <c r="K1104" s="76"/>
      <c r="L1104" s="76"/>
      <c r="M1104" s="76"/>
      <c r="N1104" s="76"/>
      <c r="O1104" s="76"/>
      <c r="P1104" s="76"/>
      <c r="Q1104" s="76"/>
      <c r="R1104" s="76"/>
      <c r="S1104" s="76"/>
      <c r="T1104" s="76"/>
      <c r="U1104" s="76"/>
      <c r="V1104" s="76"/>
      <c r="W1104" s="76"/>
      <c r="X1104" s="76"/>
      <c r="Y1104" s="76"/>
      <c r="Z1104" s="76"/>
      <c r="AA1104" s="76"/>
      <c r="AB1104" s="76"/>
      <c r="AC1104" s="76"/>
      <c r="AD1104" s="76"/>
      <c r="AE1104" s="76"/>
      <c r="AF1104" s="76"/>
      <c r="AG1104" s="76"/>
      <c r="AH1104" s="76"/>
      <c r="AI1104" s="76"/>
      <c r="AJ1104" s="76"/>
      <c r="AK1104" s="76"/>
      <c r="AL1104" s="76"/>
      <c r="AM1104" s="76"/>
      <c r="AN1104" s="76"/>
      <c r="AO1104" s="76"/>
      <c r="AP1104" s="76"/>
      <c r="AQ1104" s="76"/>
      <c r="AR1104" s="76"/>
      <c r="AS1104" s="76"/>
      <c r="AT1104" s="76"/>
      <c r="AU1104" s="76"/>
      <c r="AV1104" s="76"/>
      <c r="AW1104" s="76"/>
      <c r="AX1104" s="76"/>
      <c r="AY1104" s="76"/>
      <c r="AZ1104" s="76"/>
      <c r="BA1104" s="76"/>
      <c r="BB1104" s="76"/>
    </row>
    <row r="1105" spans="5:54" x14ac:dyDescent="0.35">
      <c r="E1105" s="83"/>
      <c r="F1105" s="83"/>
      <c r="G1105" s="76"/>
      <c r="H1105" s="76"/>
      <c r="I1105" s="76"/>
      <c r="J1105" s="76"/>
      <c r="K1105" s="76"/>
      <c r="L1105" s="76"/>
      <c r="M1105" s="76"/>
      <c r="N1105" s="76"/>
      <c r="O1105" s="76"/>
      <c r="P1105" s="76"/>
      <c r="Q1105" s="76"/>
      <c r="R1105" s="76"/>
      <c r="S1105" s="76"/>
      <c r="T1105" s="76"/>
      <c r="U1105" s="76"/>
      <c r="V1105" s="76"/>
      <c r="W1105" s="76"/>
      <c r="X1105" s="76"/>
      <c r="Y1105" s="76"/>
      <c r="Z1105" s="76"/>
      <c r="AA1105" s="76"/>
      <c r="AB1105" s="76"/>
      <c r="AC1105" s="76"/>
      <c r="AD1105" s="76"/>
      <c r="AE1105" s="76"/>
      <c r="AF1105" s="76"/>
      <c r="AG1105" s="76"/>
      <c r="AH1105" s="76"/>
      <c r="AI1105" s="76"/>
      <c r="AJ1105" s="76"/>
      <c r="AK1105" s="76"/>
      <c r="AL1105" s="76"/>
      <c r="AM1105" s="76"/>
      <c r="AN1105" s="76"/>
      <c r="AO1105" s="76"/>
      <c r="AP1105" s="76"/>
      <c r="AQ1105" s="76"/>
      <c r="AR1105" s="76"/>
      <c r="AS1105" s="76"/>
      <c r="AT1105" s="76"/>
      <c r="AU1105" s="76"/>
      <c r="AV1105" s="76"/>
      <c r="AW1105" s="76"/>
      <c r="AX1105" s="76"/>
      <c r="AY1105" s="76"/>
      <c r="AZ1105" s="76"/>
      <c r="BA1105" s="76"/>
      <c r="BB1105" s="76"/>
    </row>
    <row r="1106" spans="5:54" x14ac:dyDescent="0.35">
      <c r="E1106" s="83"/>
      <c r="F1106" s="83"/>
      <c r="G1106" s="76"/>
      <c r="H1106" s="76"/>
      <c r="I1106" s="76"/>
      <c r="J1106" s="76"/>
      <c r="K1106" s="76"/>
      <c r="L1106" s="76"/>
      <c r="M1106" s="76"/>
      <c r="N1106" s="76"/>
      <c r="O1106" s="76"/>
      <c r="P1106" s="76"/>
      <c r="Q1106" s="76"/>
      <c r="R1106" s="76"/>
      <c r="S1106" s="76"/>
      <c r="T1106" s="76"/>
      <c r="U1106" s="76"/>
      <c r="V1106" s="76"/>
      <c r="W1106" s="76"/>
      <c r="X1106" s="76"/>
      <c r="Y1106" s="76"/>
      <c r="Z1106" s="76"/>
      <c r="AA1106" s="76"/>
      <c r="AB1106" s="76"/>
      <c r="AC1106" s="76"/>
      <c r="AD1106" s="76"/>
      <c r="AE1106" s="76"/>
      <c r="AF1106" s="76"/>
      <c r="AG1106" s="76"/>
      <c r="AH1106" s="76"/>
      <c r="AI1106" s="76"/>
      <c r="AJ1106" s="76"/>
      <c r="AK1106" s="76"/>
      <c r="AL1106" s="76"/>
      <c r="AM1106" s="76"/>
      <c r="AN1106" s="76"/>
      <c r="AO1106" s="76"/>
      <c r="AP1106" s="76"/>
      <c r="AQ1106" s="76"/>
      <c r="AR1106" s="76"/>
      <c r="AS1106" s="76"/>
      <c r="AT1106" s="76"/>
      <c r="AU1106" s="76"/>
      <c r="AV1106" s="76"/>
      <c r="AW1106" s="76"/>
      <c r="AX1106" s="76"/>
      <c r="AY1106" s="76"/>
      <c r="AZ1106" s="76"/>
      <c r="BA1106" s="76"/>
      <c r="BB1106" s="76"/>
    </row>
    <row r="1107" spans="5:54" x14ac:dyDescent="0.35">
      <c r="E1107" s="83"/>
      <c r="F1107" s="83"/>
      <c r="G1107" s="76"/>
      <c r="H1107" s="76"/>
      <c r="I1107" s="76"/>
      <c r="J1107" s="76"/>
      <c r="K1107" s="76"/>
      <c r="L1107" s="76"/>
      <c r="M1107" s="76"/>
      <c r="N1107" s="76"/>
      <c r="O1107" s="76"/>
      <c r="P1107" s="76"/>
      <c r="Q1107" s="76"/>
      <c r="R1107" s="76"/>
      <c r="S1107" s="76"/>
      <c r="T1107" s="76"/>
      <c r="U1107" s="76"/>
      <c r="V1107" s="76"/>
      <c r="W1107" s="76"/>
      <c r="X1107" s="76"/>
      <c r="Y1107" s="76"/>
      <c r="Z1107" s="76"/>
      <c r="AA1107" s="76"/>
      <c r="AB1107" s="76"/>
      <c r="AC1107" s="76"/>
      <c r="AD1107" s="76"/>
      <c r="AE1107" s="76"/>
      <c r="AF1107" s="76"/>
      <c r="AG1107" s="76"/>
      <c r="AH1107" s="76"/>
      <c r="AI1107" s="76"/>
      <c r="AJ1107" s="76"/>
      <c r="AK1107" s="76"/>
      <c r="AL1107" s="76"/>
      <c r="AM1107" s="76"/>
      <c r="AN1107" s="76"/>
      <c r="AO1107" s="76"/>
      <c r="AP1107" s="76"/>
      <c r="AQ1107" s="76"/>
      <c r="AR1107" s="76"/>
      <c r="AS1107" s="76"/>
      <c r="AT1107" s="76"/>
      <c r="AU1107" s="76"/>
      <c r="AV1107" s="76"/>
      <c r="AW1107" s="76"/>
      <c r="AX1107" s="76"/>
      <c r="AY1107" s="76"/>
      <c r="AZ1107" s="76"/>
      <c r="BA1107" s="76"/>
      <c r="BB1107" s="76"/>
    </row>
    <row r="1108" spans="5:54" x14ac:dyDescent="0.35">
      <c r="E1108" s="83"/>
      <c r="F1108" s="83"/>
      <c r="G1108" s="76"/>
      <c r="H1108" s="76"/>
      <c r="I1108" s="76"/>
      <c r="J1108" s="76"/>
      <c r="K1108" s="76"/>
      <c r="L1108" s="76"/>
      <c r="M1108" s="76"/>
      <c r="N1108" s="76"/>
      <c r="O1108" s="76"/>
      <c r="P1108" s="76"/>
      <c r="Q1108" s="76"/>
      <c r="R1108" s="76"/>
      <c r="S1108" s="76"/>
      <c r="T1108" s="76"/>
      <c r="U1108" s="76"/>
      <c r="V1108" s="76"/>
      <c r="W1108" s="76"/>
      <c r="X1108" s="76"/>
      <c r="Y1108" s="76"/>
      <c r="Z1108" s="76"/>
      <c r="AA1108" s="76"/>
      <c r="AB1108" s="76"/>
      <c r="AC1108" s="76"/>
      <c r="AD1108" s="76"/>
      <c r="AE1108" s="76"/>
      <c r="AF1108" s="76"/>
      <c r="AG1108" s="76"/>
      <c r="AH1108" s="76"/>
      <c r="AI1108" s="76"/>
      <c r="AJ1108" s="76"/>
      <c r="AK1108" s="76"/>
      <c r="AL1108" s="76"/>
      <c r="AM1108" s="76"/>
      <c r="AN1108" s="76"/>
      <c r="AO1108" s="76"/>
      <c r="AP1108" s="76"/>
      <c r="AQ1108" s="76"/>
      <c r="AR1108" s="76"/>
      <c r="AS1108" s="76"/>
      <c r="AT1108" s="76"/>
      <c r="AU1108" s="76"/>
      <c r="AV1108" s="76"/>
      <c r="AW1108" s="76"/>
      <c r="AX1108" s="76"/>
      <c r="AY1108" s="76"/>
      <c r="AZ1108" s="76"/>
      <c r="BA1108" s="76"/>
      <c r="BB1108" s="76"/>
    </row>
    <row r="1109" spans="5:54" x14ac:dyDescent="0.35">
      <c r="E1109" s="83"/>
      <c r="F1109" s="83"/>
      <c r="G1109" s="76"/>
      <c r="H1109" s="76"/>
      <c r="I1109" s="76"/>
      <c r="J1109" s="76"/>
      <c r="K1109" s="76"/>
      <c r="L1109" s="76"/>
      <c r="M1109" s="76"/>
      <c r="N1109" s="76"/>
      <c r="O1109" s="76"/>
      <c r="P1109" s="76"/>
      <c r="Q1109" s="76"/>
      <c r="R1109" s="76"/>
      <c r="S1109" s="76"/>
      <c r="T1109" s="76"/>
      <c r="U1109" s="76"/>
      <c r="V1109" s="76"/>
      <c r="W1109" s="76"/>
      <c r="X1109" s="76"/>
      <c r="Y1109" s="76"/>
      <c r="Z1109" s="76"/>
      <c r="AA1109" s="76"/>
      <c r="AB1109" s="76"/>
      <c r="AC1109" s="76"/>
      <c r="AD1109" s="76"/>
      <c r="AE1109" s="76"/>
      <c r="AF1109" s="76"/>
      <c r="AG1109" s="76"/>
      <c r="AH1109" s="76"/>
      <c r="AI1109" s="76"/>
      <c r="AJ1109" s="76"/>
      <c r="AK1109" s="76"/>
      <c r="AL1109" s="76"/>
      <c r="AM1109" s="76"/>
      <c r="AN1109" s="76"/>
      <c r="AO1109" s="76"/>
      <c r="AP1109" s="76"/>
      <c r="AQ1109" s="76"/>
      <c r="AR1109" s="76"/>
      <c r="AS1109" s="76"/>
      <c r="AT1109" s="76"/>
      <c r="AU1109" s="76"/>
      <c r="AV1109" s="76"/>
      <c r="AW1109" s="76"/>
      <c r="AX1109" s="76"/>
      <c r="AY1109" s="76"/>
      <c r="AZ1109" s="76"/>
      <c r="BA1109" s="76"/>
      <c r="BB1109" s="76"/>
    </row>
    <row r="1110" spans="5:54" x14ac:dyDescent="0.35">
      <c r="E1110" s="83"/>
      <c r="F1110" s="83"/>
      <c r="G1110" s="76"/>
      <c r="H1110" s="76"/>
      <c r="I1110" s="76"/>
      <c r="J1110" s="76"/>
      <c r="K1110" s="76"/>
      <c r="L1110" s="76"/>
      <c r="M1110" s="76"/>
      <c r="N1110" s="76"/>
      <c r="O1110" s="76"/>
      <c r="P1110" s="76"/>
      <c r="Q1110" s="76"/>
      <c r="R1110" s="76"/>
      <c r="S1110" s="76"/>
      <c r="T1110" s="76"/>
      <c r="U1110" s="76"/>
      <c r="V1110" s="76"/>
      <c r="W1110" s="76"/>
      <c r="X1110" s="76"/>
      <c r="Y1110" s="76"/>
      <c r="Z1110" s="76"/>
      <c r="AA1110" s="76"/>
      <c r="AB1110" s="76"/>
      <c r="AC1110" s="76"/>
      <c r="AD1110" s="76"/>
      <c r="AE1110" s="76"/>
      <c r="AF1110" s="76"/>
      <c r="AG1110" s="76"/>
      <c r="AH1110" s="76"/>
      <c r="AI1110" s="76"/>
      <c r="AJ1110" s="76"/>
      <c r="AK1110" s="76"/>
      <c r="AL1110" s="76"/>
      <c r="AM1110" s="76"/>
      <c r="AN1110" s="76"/>
      <c r="AO1110" s="76"/>
      <c r="AP1110" s="76"/>
      <c r="AQ1110" s="76"/>
      <c r="AR1110" s="76"/>
      <c r="AS1110" s="76"/>
      <c r="AT1110" s="76"/>
      <c r="AU1110" s="76"/>
      <c r="AV1110" s="76"/>
      <c r="AW1110" s="76"/>
      <c r="AX1110" s="76"/>
      <c r="AY1110" s="76"/>
      <c r="AZ1110" s="76"/>
      <c r="BA1110" s="76"/>
      <c r="BB1110" s="76"/>
    </row>
    <row r="1111" spans="5:54" x14ac:dyDescent="0.35">
      <c r="E1111" s="83"/>
      <c r="F1111" s="83"/>
      <c r="G1111" s="76"/>
      <c r="H1111" s="76"/>
      <c r="I1111" s="76"/>
      <c r="J1111" s="76"/>
      <c r="K1111" s="76"/>
      <c r="L1111" s="76"/>
      <c r="M1111" s="76"/>
      <c r="N1111" s="76"/>
      <c r="O1111" s="76"/>
      <c r="P1111" s="76"/>
      <c r="Q1111" s="76"/>
      <c r="R1111" s="76"/>
      <c r="S1111" s="76"/>
      <c r="T1111" s="76"/>
      <c r="U1111" s="76"/>
      <c r="V1111" s="76"/>
      <c r="W1111" s="76"/>
      <c r="X1111" s="76"/>
      <c r="Y1111" s="76"/>
      <c r="Z1111" s="76"/>
      <c r="AA1111" s="76"/>
      <c r="AB1111" s="76"/>
      <c r="AC1111" s="76"/>
      <c r="AD1111" s="76"/>
      <c r="AE1111" s="76"/>
      <c r="AF1111" s="76"/>
      <c r="AG1111" s="76"/>
      <c r="AH1111" s="76"/>
      <c r="AI1111" s="76"/>
      <c r="AJ1111" s="76"/>
      <c r="AK1111" s="76"/>
      <c r="AL1111" s="76"/>
      <c r="AM1111" s="76"/>
      <c r="AN1111" s="76"/>
      <c r="AO1111" s="76"/>
      <c r="AP1111" s="76"/>
      <c r="AQ1111" s="76"/>
      <c r="AR1111" s="76"/>
      <c r="AS1111" s="76"/>
      <c r="AT1111" s="76"/>
      <c r="AU1111" s="76"/>
      <c r="AV1111" s="76"/>
      <c r="AW1111" s="76"/>
      <c r="AX1111" s="76"/>
      <c r="AY1111" s="76"/>
      <c r="AZ1111" s="76"/>
      <c r="BA1111" s="76"/>
      <c r="BB1111" s="76"/>
    </row>
    <row r="1112" spans="5:54" x14ac:dyDescent="0.35">
      <c r="E1112" s="83"/>
      <c r="F1112" s="83"/>
      <c r="G1112" s="76"/>
      <c r="H1112" s="76"/>
      <c r="I1112" s="76"/>
      <c r="J1112" s="76"/>
      <c r="K1112" s="76"/>
      <c r="L1112" s="76"/>
      <c r="M1112" s="76"/>
      <c r="N1112" s="76"/>
      <c r="O1112" s="76"/>
      <c r="P1112" s="76"/>
      <c r="Q1112" s="76"/>
      <c r="R1112" s="76"/>
      <c r="S1112" s="76"/>
      <c r="T1112" s="76"/>
      <c r="U1112" s="76"/>
      <c r="V1112" s="76"/>
      <c r="W1112" s="76"/>
      <c r="X1112" s="76"/>
      <c r="Y1112" s="76"/>
      <c r="Z1112" s="76"/>
      <c r="AA1112" s="76"/>
      <c r="AB1112" s="76"/>
      <c r="AC1112" s="76"/>
      <c r="AD1112" s="76"/>
      <c r="AE1112" s="76"/>
      <c r="AF1112" s="76"/>
      <c r="AG1112" s="76"/>
      <c r="AH1112" s="76"/>
      <c r="AI1112" s="76"/>
      <c r="AJ1112" s="76"/>
      <c r="AK1112" s="76"/>
      <c r="AL1112" s="76"/>
      <c r="AM1112" s="76"/>
      <c r="AN1112" s="76"/>
      <c r="AO1112" s="76"/>
      <c r="AP1112" s="76"/>
      <c r="AQ1112" s="76"/>
      <c r="AR1112" s="76"/>
      <c r="AS1112" s="76"/>
      <c r="AT1112" s="76"/>
      <c r="AU1112" s="76"/>
      <c r="AV1112" s="76"/>
      <c r="AW1112" s="76"/>
      <c r="AX1112" s="76"/>
      <c r="AY1112" s="76"/>
      <c r="AZ1112" s="76"/>
      <c r="BA1112" s="76"/>
      <c r="BB1112" s="76"/>
    </row>
    <row r="1113" spans="5:54" x14ac:dyDescent="0.35">
      <c r="E1113" s="83"/>
      <c r="F1113" s="83"/>
      <c r="G1113" s="76"/>
      <c r="H1113" s="76"/>
      <c r="I1113" s="76"/>
      <c r="J1113" s="76"/>
      <c r="K1113" s="76"/>
      <c r="L1113" s="76"/>
      <c r="M1113" s="76"/>
      <c r="N1113" s="76"/>
      <c r="O1113" s="76"/>
      <c r="P1113" s="76"/>
      <c r="Q1113" s="76"/>
      <c r="R1113" s="76"/>
      <c r="S1113" s="76"/>
      <c r="T1113" s="76"/>
      <c r="U1113" s="76"/>
      <c r="V1113" s="76"/>
      <c r="W1113" s="76"/>
      <c r="X1113" s="76"/>
      <c r="Y1113" s="76"/>
      <c r="Z1113" s="76"/>
      <c r="AA1113" s="76"/>
      <c r="AB1113" s="76"/>
      <c r="AC1113" s="76"/>
      <c r="AD1113" s="76"/>
      <c r="AE1113" s="76"/>
      <c r="AF1113" s="76"/>
      <c r="AG1113" s="76"/>
      <c r="AH1113" s="76"/>
      <c r="AI1113" s="76"/>
      <c r="AJ1113" s="76"/>
      <c r="AK1113" s="76"/>
      <c r="AL1113" s="76"/>
      <c r="AM1113" s="76"/>
      <c r="AN1113" s="76"/>
      <c r="AO1113" s="76"/>
      <c r="AP1113" s="76"/>
      <c r="AQ1113" s="76"/>
      <c r="AR1113" s="76"/>
      <c r="AS1113" s="76"/>
      <c r="AT1113" s="76"/>
      <c r="AU1113" s="76"/>
      <c r="AV1113" s="76"/>
      <c r="AW1113" s="76"/>
      <c r="AX1113" s="76"/>
      <c r="AY1113" s="76"/>
      <c r="AZ1113" s="76"/>
      <c r="BA1113" s="76"/>
      <c r="BB1113" s="76"/>
    </row>
    <row r="1114" spans="5:54" x14ac:dyDescent="0.35">
      <c r="E1114" s="83"/>
      <c r="F1114" s="83"/>
      <c r="G1114" s="76"/>
      <c r="H1114" s="76"/>
      <c r="I1114" s="76"/>
      <c r="J1114" s="76"/>
      <c r="K1114" s="76"/>
      <c r="L1114" s="76"/>
      <c r="M1114" s="76"/>
      <c r="N1114" s="76"/>
      <c r="O1114" s="76"/>
      <c r="P1114" s="76"/>
      <c r="Q1114" s="76"/>
      <c r="R1114" s="76"/>
      <c r="S1114" s="76"/>
      <c r="T1114" s="76"/>
      <c r="U1114" s="76"/>
      <c r="V1114" s="76"/>
      <c r="W1114" s="76"/>
      <c r="X1114" s="76"/>
      <c r="Y1114" s="76"/>
      <c r="Z1114" s="76"/>
      <c r="AA1114" s="76"/>
      <c r="AB1114" s="76"/>
      <c r="AC1114" s="76"/>
      <c r="AD1114" s="76"/>
      <c r="AE1114" s="76"/>
      <c r="AF1114" s="76"/>
      <c r="AG1114" s="76"/>
      <c r="AH1114" s="76"/>
      <c r="AI1114" s="76"/>
      <c r="AJ1114" s="76"/>
      <c r="AK1114" s="76"/>
      <c r="AL1114" s="76"/>
      <c r="AM1114" s="76"/>
      <c r="AN1114" s="76"/>
      <c r="AO1114" s="76"/>
      <c r="AP1114" s="76"/>
      <c r="AQ1114" s="76"/>
      <c r="AR1114" s="76"/>
      <c r="AS1114" s="76"/>
      <c r="AT1114" s="76"/>
      <c r="AU1114" s="76"/>
      <c r="AV1114" s="76"/>
      <c r="AW1114" s="76"/>
      <c r="AX1114" s="76"/>
      <c r="AY1114" s="76"/>
      <c r="AZ1114" s="76"/>
      <c r="BA1114" s="76"/>
      <c r="BB1114" s="76"/>
    </row>
    <row r="1115" spans="5:54" x14ac:dyDescent="0.35">
      <c r="E1115" s="83"/>
      <c r="F1115" s="83"/>
      <c r="G1115" s="76"/>
      <c r="H1115" s="76"/>
      <c r="I1115" s="76"/>
      <c r="J1115" s="76"/>
      <c r="K1115" s="76"/>
      <c r="L1115" s="76"/>
      <c r="M1115" s="76"/>
      <c r="N1115" s="76"/>
      <c r="O1115" s="76"/>
      <c r="P1115" s="76"/>
      <c r="Q1115" s="76"/>
      <c r="R1115" s="76"/>
      <c r="S1115" s="76"/>
      <c r="T1115" s="76"/>
      <c r="U1115" s="76"/>
      <c r="V1115" s="76"/>
      <c r="W1115" s="76"/>
      <c r="X1115" s="76"/>
      <c r="Y1115" s="76"/>
      <c r="Z1115" s="76"/>
      <c r="AA1115" s="76"/>
      <c r="AB1115" s="76"/>
      <c r="AC1115" s="76"/>
      <c r="AD1115" s="76"/>
      <c r="AE1115" s="76"/>
      <c r="AF1115" s="76"/>
      <c r="AG1115" s="76"/>
      <c r="AH1115" s="76"/>
      <c r="AI1115" s="76"/>
      <c r="AJ1115" s="76"/>
      <c r="AK1115" s="76"/>
      <c r="AL1115" s="76"/>
      <c r="AM1115" s="76"/>
      <c r="AN1115" s="76"/>
      <c r="AO1115" s="76"/>
      <c r="AP1115" s="76"/>
      <c r="AQ1115" s="76"/>
      <c r="AR1115" s="76"/>
      <c r="AS1115" s="76"/>
      <c r="AT1115" s="76"/>
      <c r="AU1115" s="76"/>
      <c r="AV1115" s="76"/>
      <c r="AW1115" s="76"/>
      <c r="AX1115" s="76"/>
      <c r="AY1115" s="76"/>
      <c r="AZ1115" s="76"/>
      <c r="BA1115" s="76"/>
      <c r="BB1115" s="76"/>
    </row>
    <row r="1116" spans="5:54" x14ac:dyDescent="0.35">
      <c r="E1116" s="83"/>
      <c r="F1116" s="83"/>
      <c r="G1116" s="76"/>
      <c r="H1116" s="76"/>
      <c r="I1116" s="76"/>
      <c r="J1116" s="76"/>
      <c r="K1116" s="76"/>
      <c r="L1116" s="76"/>
      <c r="M1116" s="76"/>
      <c r="N1116" s="76"/>
      <c r="O1116" s="76"/>
      <c r="P1116" s="76"/>
      <c r="Q1116" s="76"/>
      <c r="R1116" s="76"/>
      <c r="S1116" s="76"/>
      <c r="T1116" s="76"/>
      <c r="U1116" s="76"/>
      <c r="V1116" s="76"/>
      <c r="W1116" s="76"/>
      <c r="X1116" s="76"/>
      <c r="Y1116" s="76"/>
      <c r="Z1116" s="76"/>
      <c r="AA1116" s="76"/>
      <c r="AB1116" s="76"/>
      <c r="AC1116" s="76"/>
      <c r="AD1116" s="76"/>
      <c r="AE1116" s="76"/>
      <c r="AF1116" s="76"/>
      <c r="AG1116" s="76"/>
      <c r="AH1116" s="76"/>
      <c r="AI1116" s="76"/>
      <c r="AJ1116" s="76"/>
      <c r="AK1116" s="76"/>
      <c r="AL1116" s="76"/>
      <c r="AM1116" s="76"/>
      <c r="AN1116" s="76"/>
      <c r="AO1116" s="76"/>
      <c r="AP1116" s="76"/>
      <c r="AQ1116" s="76"/>
      <c r="AR1116" s="76"/>
      <c r="AS1116" s="76"/>
      <c r="AT1116" s="76"/>
      <c r="AU1116" s="76"/>
      <c r="AV1116" s="76"/>
      <c r="AW1116" s="76"/>
      <c r="AX1116" s="76"/>
      <c r="AY1116" s="76"/>
      <c r="AZ1116" s="76"/>
      <c r="BA1116" s="76"/>
      <c r="BB1116" s="76"/>
    </row>
    <row r="1117" spans="5:54" x14ac:dyDescent="0.35">
      <c r="E1117" s="83"/>
      <c r="F1117" s="83"/>
      <c r="G1117" s="76"/>
      <c r="H1117" s="76"/>
      <c r="I1117" s="76"/>
      <c r="J1117" s="76"/>
      <c r="K1117" s="76"/>
      <c r="L1117" s="76"/>
      <c r="M1117" s="76"/>
      <c r="N1117" s="76"/>
      <c r="O1117" s="76"/>
      <c r="P1117" s="76"/>
      <c r="Q1117" s="76"/>
      <c r="R1117" s="76"/>
      <c r="S1117" s="76"/>
      <c r="T1117" s="76"/>
      <c r="U1117" s="76"/>
      <c r="V1117" s="76"/>
      <c r="W1117" s="76"/>
      <c r="X1117" s="76"/>
      <c r="Y1117" s="76"/>
      <c r="Z1117" s="76"/>
      <c r="AA1117" s="76"/>
      <c r="AB1117" s="76"/>
      <c r="AC1117" s="76"/>
      <c r="AD1117" s="76"/>
      <c r="AE1117" s="76"/>
      <c r="AF1117" s="76"/>
      <c r="AG1117" s="76"/>
      <c r="AH1117" s="76"/>
      <c r="AI1117" s="76"/>
      <c r="AJ1117" s="76"/>
      <c r="AK1117" s="76"/>
      <c r="AL1117" s="76"/>
      <c r="AM1117" s="76"/>
      <c r="AN1117" s="76"/>
      <c r="AO1117" s="76"/>
      <c r="AP1117" s="76"/>
      <c r="AQ1117" s="76"/>
      <c r="AR1117" s="76"/>
      <c r="AS1117" s="76"/>
      <c r="AT1117" s="76"/>
      <c r="AU1117" s="76"/>
      <c r="AV1117" s="76"/>
      <c r="AW1117" s="76"/>
      <c r="AX1117" s="76"/>
      <c r="AY1117" s="76"/>
      <c r="AZ1117" s="76"/>
      <c r="BA1117" s="76"/>
      <c r="BB1117" s="76"/>
    </row>
    <row r="1118" spans="5:54" x14ac:dyDescent="0.35">
      <c r="E1118" s="83"/>
      <c r="F1118" s="83"/>
      <c r="G1118" s="76"/>
      <c r="H1118" s="76"/>
      <c r="I1118" s="76"/>
      <c r="J1118" s="76"/>
      <c r="K1118" s="76"/>
      <c r="L1118" s="76"/>
      <c r="M1118" s="76"/>
      <c r="N1118" s="76"/>
      <c r="O1118" s="76"/>
      <c r="P1118" s="76"/>
      <c r="Q1118" s="76"/>
      <c r="R1118" s="76"/>
      <c r="S1118" s="76"/>
      <c r="T1118" s="76"/>
      <c r="U1118" s="76"/>
      <c r="V1118" s="76"/>
      <c r="W1118" s="76"/>
      <c r="X1118" s="76"/>
      <c r="Y1118" s="76"/>
      <c r="Z1118" s="76"/>
      <c r="AA1118" s="76"/>
      <c r="AB1118" s="76"/>
      <c r="AC1118" s="76"/>
      <c r="AD1118" s="76"/>
      <c r="AE1118" s="76"/>
      <c r="AF1118" s="76"/>
      <c r="AG1118" s="76"/>
      <c r="AH1118" s="76"/>
      <c r="AI1118" s="76"/>
      <c r="AJ1118" s="76"/>
      <c r="AK1118" s="76"/>
      <c r="AL1118" s="76"/>
      <c r="AM1118" s="76"/>
      <c r="AN1118" s="76"/>
      <c r="AO1118" s="76"/>
      <c r="AP1118" s="76"/>
      <c r="AQ1118" s="76"/>
      <c r="AR1118" s="76"/>
      <c r="AS1118" s="76"/>
      <c r="AT1118" s="76"/>
      <c r="AU1118" s="76"/>
      <c r="AV1118" s="76"/>
      <c r="AW1118" s="76"/>
      <c r="AX1118" s="76"/>
      <c r="AY1118" s="76"/>
      <c r="AZ1118" s="76"/>
      <c r="BA1118" s="76"/>
      <c r="BB1118" s="76"/>
    </row>
    <row r="1119" spans="5:54" x14ac:dyDescent="0.35">
      <c r="E1119" s="83"/>
      <c r="F1119" s="83"/>
      <c r="G1119" s="76"/>
      <c r="H1119" s="76"/>
      <c r="I1119" s="76"/>
      <c r="J1119" s="76"/>
      <c r="K1119" s="76"/>
      <c r="L1119" s="76"/>
      <c r="M1119" s="76"/>
      <c r="N1119" s="76"/>
      <c r="O1119" s="76"/>
      <c r="P1119" s="76"/>
      <c r="Q1119" s="76"/>
      <c r="R1119" s="76"/>
      <c r="S1119" s="76"/>
      <c r="T1119" s="76"/>
      <c r="U1119" s="76"/>
      <c r="V1119" s="76"/>
      <c r="W1119" s="76"/>
      <c r="X1119" s="76"/>
      <c r="Y1119" s="76"/>
      <c r="Z1119" s="76"/>
      <c r="AA1119" s="76"/>
      <c r="AB1119" s="76"/>
      <c r="AC1119" s="76"/>
      <c r="AD1119" s="76"/>
      <c r="AE1119" s="76"/>
      <c r="AF1119" s="76"/>
      <c r="AG1119" s="76"/>
      <c r="AH1119" s="76"/>
      <c r="AI1119" s="76"/>
      <c r="AJ1119" s="76"/>
      <c r="AK1119" s="76"/>
      <c r="AL1119" s="76"/>
      <c r="AM1119" s="76"/>
      <c r="AN1119" s="76"/>
      <c r="AO1119" s="76"/>
      <c r="AP1119" s="76"/>
      <c r="AQ1119" s="76"/>
      <c r="AR1119" s="76"/>
      <c r="AS1119" s="76"/>
      <c r="AT1119" s="76"/>
      <c r="AU1119" s="76"/>
      <c r="AV1119" s="76"/>
      <c r="AW1119" s="76"/>
      <c r="AX1119" s="76"/>
      <c r="AY1119" s="76"/>
      <c r="AZ1119" s="76"/>
      <c r="BA1119" s="76"/>
      <c r="BB1119" s="76"/>
    </row>
    <row r="1120" spans="5:54" x14ac:dyDescent="0.35">
      <c r="E1120" s="83"/>
      <c r="F1120" s="83"/>
      <c r="G1120" s="76"/>
      <c r="H1120" s="76"/>
      <c r="I1120" s="76"/>
      <c r="J1120" s="76"/>
      <c r="K1120" s="76"/>
      <c r="L1120" s="76"/>
      <c r="M1120" s="76"/>
      <c r="N1120" s="76"/>
      <c r="O1120" s="76"/>
      <c r="P1120" s="76"/>
      <c r="Q1120" s="76"/>
      <c r="R1120" s="76"/>
      <c r="S1120" s="76"/>
      <c r="T1120" s="76"/>
      <c r="U1120" s="76"/>
      <c r="V1120" s="76"/>
      <c r="W1120" s="76"/>
      <c r="X1120" s="76"/>
      <c r="Y1120" s="76"/>
      <c r="Z1120" s="76"/>
      <c r="AA1120" s="76"/>
      <c r="AB1120" s="76"/>
      <c r="AC1120" s="76"/>
      <c r="AD1120" s="76"/>
      <c r="AE1120" s="76"/>
      <c r="AF1120" s="76"/>
      <c r="AG1120" s="76"/>
      <c r="AH1120" s="76"/>
      <c r="AI1120" s="76"/>
      <c r="AJ1120" s="76"/>
      <c r="AK1120" s="76"/>
      <c r="AL1120" s="76"/>
      <c r="AM1120" s="76"/>
      <c r="AN1120" s="76"/>
      <c r="AO1120" s="76"/>
      <c r="AP1120" s="76"/>
      <c r="AQ1120" s="76"/>
      <c r="AR1120" s="76"/>
      <c r="AS1120" s="76"/>
      <c r="AT1120" s="76"/>
      <c r="AU1120" s="76"/>
      <c r="AV1120" s="76"/>
      <c r="AW1120" s="76"/>
      <c r="AX1120" s="76"/>
      <c r="AY1120" s="76"/>
      <c r="AZ1120" s="76"/>
      <c r="BA1120" s="76"/>
      <c r="BB1120" s="76"/>
    </row>
    <row r="1121" spans="5:54" x14ac:dyDescent="0.35">
      <c r="E1121" s="83"/>
      <c r="F1121" s="83"/>
      <c r="G1121" s="76"/>
      <c r="H1121" s="76"/>
      <c r="I1121" s="76"/>
      <c r="J1121" s="76"/>
      <c r="K1121" s="76"/>
      <c r="L1121" s="76"/>
      <c r="M1121" s="76"/>
      <c r="N1121" s="76"/>
      <c r="O1121" s="76"/>
      <c r="P1121" s="76"/>
      <c r="Q1121" s="76"/>
      <c r="R1121" s="76"/>
      <c r="S1121" s="76"/>
      <c r="T1121" s="76"/>
      <c r="U1121" s="76"/>
      <c r="V1121" s="76"/>
      <c r="W1121" s="76"/>
      <c r="X1121" s="76"/>
      <c r="Y1121" s="76"/>
      <c r="Z1121" s="76"/>
      <c r="AA1121" s="76"/>
      <c r="AB1121" s="76"/>
      <c r="AC1121" s="76"/>
      <c r="AD1121" s="76"/>
      <c r="AE1121" s="76"/>
      <c r="AF1121" s="76"/>
      <c r="AG1121" s="76"/>
      <c r="AH1121" s="76"/>
      <c r="AI1121" s="76"/>
      <c r="AJ1121" s="76"/>
      <c r="AK1121" s="76"/>
      <c r="AL1121" s="76"/>
      <c r="AM1121" s="76"/>
      <c r="AN1121" s="76"/>
      <c r="AO1121" s="76"/>
      <c r="AP1121" s="76"/>
      <c r="AQ1121" s="76"/>
      <c r="AR1121" s="76"/>
      <c r="AS1121" s="76"/>
      <c r="AT1121" s="76"/>
      <c r="AU1121" s="76"/>
      <c r="AV1121" s="76"/>
      <c r="AW1121" s="76"/>
      <c r="AX1121" s="76"/>
      <c r="AY1121" s="76"/>
      <c r="AZ1121" s="76"/>
      <c r="BA1121" s="76"/>
      <c r="BB1121" s="76"/>
    </row>
    <row r="1122" spans="5:54" x14ac:dyDescent="0.35">
      <c r="E1122" s="83"/>
      <c r="F1122" s="83"/>
      <c r="G1122" s="76"/>
      <c r="H1122" s="76"/>
      <c r="I1122" s="76"/>
      <c r="J1122" s="76"/>
      <c r="K1122" s="76"/>
      <c r="L1122" s="76"/>
      <c r="M1122" s="76"/>
      <c r="N1122" s="76"/>
      <c r="O1122" s="76"/>
      <c r="P1122" s="76"/>
      <c r="Q1122" s="76"/>
      <c r="R1122" s="76"/>
      <c r="S1122" s="76"/>
      <c r="T1122" s="76"/>
      <c r="U1122" s="76"/>
      <c r="V1122" s="76"/>
      <c r="W1122" s="76"/>
      <c r="X1122" s="76"/>
      <c r="Y1122" s="76"/>
      <c r="Z1122" s="76"/>
      <c r="AA1122" s="76"/>
      <c r="AB1122" s="76"/>
      <c r="AC1122" s="76"/>
      <c r="AD1122" s="76"/>
      <c r="AE1122" s="76"/>
      <c r="AF1122" s="76"/>
      <c r="AG1122" s="76"/>
      <c r="AH1122" s="76"/>
      <c r="AI1122" s="76"/>
      <c r="AJ1122" s="76"/>
      <c r="AK1122" s="76"/>
      <c r="AL1122" s="76"/>
      <c r="AM1122" s="76"/>
      <c r="AN1122" s="76"/>
      <c r="AO1122" s="76"/>
      <c r="AP1122" s="76"/>
      <c r="AQ1122" s="76"/>
      <c r="AR1122" s="76"/>
      <c r="AS1122" s="76"/>
      <c r="AT1122" s="76"/>
      <c r="AU1122" s="76"/>
      <c r="AV1122" s="76"/>
      <c r="AW1122" s="76"/>
      <c r="AX1122" s="76"/>
      <c r="AY1122" s="76"/>
      <c r="AZ1122" s="76"/>
      <c r="BA1122" s="76"/>
      <c r="BB1122" s="76"/>
    </row>
    <row r="1123" spans="5:54" x14ac:dyDescent="0.35">
      <c r="E1123" s="83"/>
      <c r="F1123" s="83"/>
      <c r="G1123" s="76"/>
      <c r="H1123" s="76"/>
      <c r="I1123" s="76"/>
      <c r="J1123" s="76"/>
      <c r="K1123" s="76"/>
      <c r="L1123" s="76"/>
      <c r="M1123" s="76"/>
      <c r="N1123" s="76"/>
      <c r="O1123" s="76"/>
      <c r="P1123" s="76"/>
      <c r="Q1123" s="76"/>
      <c r="R1123" s="76"/>
      <c r="S1123" s="76"/>
      <c r="T1123" s="76"/>
      <c r="U1123" s="76"/>
      <c r="V1123" s="76"/>
      <c r="W1123" s="76"/>
      <c r="X1123" s="76"/>
      <c r="Y1123" s="76"/>
      <c r="Z1123" s="76"/>
      <c r="AA1123" s="76"/>
      <c r="AB1123" s="76"/>
      <c r="AC1123" s="76"/>
      <c r="AD1123" s="76"/>
      <c r="AE1123" s="76"/>
      <c r="AF1123" s="76"/>
      <c r="AG1123" s="76"/>
      <c r="AH1123" s="76"/>
      <c r="AI1123" s="76"/>
      <c r="AJ1123" s="76"/>
      <c r="AK1123" s="76"/>
      <c r="AL1123" s="76"/>
      <c r="AM1123" s="76"/>
      <c r="AN1123" s="76"/>
      <c r="AO1123" s="76"/>
      <c r="AP1123" s="76"/>
      <c r="AQ1123" s="76"/>
      <c r="AR1123" s="76"/>
      <c r="AS1123" s="76"/>
      <c r="AT1123" s="76"/>
      <c r="AU1123" s="76"/>
      <c r="AV1123" s="76"/>
      <c r="AW1123" s="76"/>
      <c r="AX1123" s="76"/>
      <c r="AY1123" s="76"/>
      <c r="AZ1123" s="76"/>
      <c r="BA1123" s="76"/>
      <c r="BB1123" s="76"/>
    </row>
    <row r="1124" spans="5:54" x14ac:dyDescent="0.35">
      <c r="E1124" s="83"/>
      <c r="F1124" s="83"/>
      <c r="G1124" s="76"/>
      <c r="H1124" s="76"/>
      <c r="I1124" s="76"/>
      <c r="J1124" s="76"/>
      <c r="K1124" s="76"/>
      <c r="L1124" s="76"/>
      <c r="M1124" s="76"/>
      <c r="N1124" s="76"/>
      <c r="O1124" s="76"/>
      <c r="P1124" s="76"/>
      <c r="Q1124" s="76"/>
      <c r="R1124" s="76"/>
      <c r="S1124" s="76"/>
      <c r="T1124" s="76"/>
      <c r="U1124" s="76"/>
      <c r="V1124" s="76"/>
      <c r="W1124" s="76"/>
      <c r="X1124" s="76"/>
      <c r="Y1124" s="76"/>
      <c r="Z1124" s="76"/>
      <c r="AA1124" s="76"/>
      <c r="AB1124" s="76"/>
      <c r="AC1124" s="76"/>
      <c r="AD1124" s="76"/>
      <c r="AE1124" s="76"/>
      <c r="AF1124" s="76"/>
      <c r="AG1124" s="76"/>
      <c r="AH1124" s="76"/>
      <c r="AI1124" s="76"/>
      <c r="AJ1124" s="76"/>
      <c r="AK1124" s="76"/>
      <c r="AL1124" s="76"/>
      <c r="AM1124" s="76"/>
      <c r="AN1124" s="76"/>
      <c r="AO1124" s="76"/>
      <c r="AP1124" s="76"/>
      <c r="AQ1124" s="76"/>
      <c r="AR1124" s="76"/>
      <c r="AS1124" s="76"/>
      <c r="AT1124" s="76"/>
      <c r="AU1124" s="76"/>
      <c r="AV1124" s="76"/>
      <c r="AW1124" s="76"/>
      <c r="AX1124" s="76"/>
      <c r="AY1124" s="76"/>
      <c r="AZ1124" s="76"/>
      <c r="BA1124" s="76"/>
      <c r="BB1124" s="76"/>
    </row>
    <row r="1125" spans="5:54" x14ac:dyDescent="0.35">
      <c r="E1125" s="83"/>
      <c r="F1125" s="83"/>
      <c r="G1125" s="76"/>
      <c r="H1125" s="76"/>
      <c r="I1125" s="76"/>
      <c r="J1125" s="76"/>
      <c r="K1125" s="76"/>
      <c r="L1125" s="76"/>
      <c r="M1125" s="76"/>
      <c r="N1125" s="76"/>
      <c r="O1125" s="76"/>
      <c r="P1125" s="76"/>
      <c r="Q1125" s="76"/>
      <c r="R1125" s="76"/>
      <c r="S1125" s="76"/>
      <c r="T1125" s="76"/>
      <c r="U1125" s="76"/>
      <c r="V1125" s="76"/>
      <c r="W1125" s="76"/>
      <c r="X1125" s="76"/>
      <c r="Y1125" s="76"/>
      <c r="Z1125" s="76"/>
      <c r="AA1125" s="76"/>
      <c r="AB1125" s="76"/>
      <c r="AC1125" s="76"/>
      <c r="AD1125" s="76"/>
      <c r="AE1125" s="76"/>
      <c r="AF1125" s="76"/>
      <c r="AG1125" s="76"/>
      <c r="AH1125" s="76"/>
      <c r="AI1125" s="76"/>
      <c r="AJ1125" s="76"/>
      <c r="AK1125" s="76"/>
      <c r="AL1125" s="76"/>
      <c r="AM1125" s="76"/>
      <c r="AN1125" s="76"/>
      <c r="AO1125" s="76"/>
      <c r="AP1125" s="76"/>
      <c r="AQ1125" s="76"/>
      <c r="AR1125" s="76"/>
      <c r="AS1125" s="76"/>
      <c r="AT1125" s="76"/>
      <c r="AU1125" s="76"/>
      <c r="AV1125" s="76"/>
      <c r="AW1125" s="76"/>
      <c r="AX1125" s="76"/>
      <c r="AY1125" s="76"/>
      <c r="AZ1125" s="76"/>
      <c r="BA1125" s="76"/>
      <c r="BB1125" s="76"/>
    </row>
    <row r="1126" spans="5:54" x14ac:dyDescent="0.35">
      <c r="E1126" s="83"/>
      <c r="F1126" s="83"/>
      <c r="G1126" s="76"/>
      <c r="H1126" s="76"/>
      <c r="I1126" s="76"/>
      <c r="J1126" s="76"/>
      <c r="K1126" s="76"/>
      <c r="L1126" s="76"/>
      <c r="M1126" s="76"/>
      <c r="N1126" s="76"/>
      <c r="O1126" s="76"/>
      <c r="P1126" s="76"/>
      <c r="Q1126" s="76"/>
      <c r="R1126" s="76"/>
      <c r="S1126" s="76"/>
      <c r="T1126" s="76"/>
      <c r="U1126" s="76"/>
      <c r="V1126" s="76"/>
      <c r="W1126" s="76"/>
      <c r="X1126" s="76"/>
      <c r="Y1126" s="76"/>
      <c r="Z1126" s="76"/>
      <c r="AA1126" s="76"/>
      <c r="AB1126" s="76"/>
      <c r="AC1126" s="76"/>
      <c r="AD1126" s="76"/>
      <c r="AE1126" s="76"/>
      <c r="AF1126" s="76"/>
      <c r="AG1126" s="76"/>
      <c r="AH1126" s="76"/>
      <c r="AI1126" s="76"/>
      <c r="AJ1126" s="76"/>
      <c r="AK1126" s="76"/>
      <c r="AL1126" s="76"/>
      <c r="AM1126" s="76"/>
      <c r="AN1126" s="76"/>
      <c r="AO1126" s="76"/>
      <c r="AP1126" s="76"/>
      <c r="AQ1126" s="76"/>
      <c r="AR1126" s="76"/>
      <c r="AS1126" s="76"/>
      <c r="AT1126" s="76"/>
      <c r="AU1126" s="76"/>
      <c r="AV1126" s="76"/>
      <c r="AW1126" s="76"/>
      <c r="AX1126" s="76"/>
      <c r="AY1126" s="76"/>
      <c r="AZ1126" s="76"/>
      <c r="BA1126" s="76"/>
      <c r="BB1126" s="76"/>
    </row>
    <row r="1127" spans="5:54" x14ac:dyDescent="0.35">
      <c r="E1127" s="83"/>
      <c r="F1127" s="83"/>
      <c r="G1127" s="76"/>
      <c r="H1127" s="76"/>
      <c r="I1127" s="76"/>
      <c r="J1127" s="76"/>
      <c r="K1127" s="76"/>
      <c r="L1127" s="76"/>
      <c r="M1127" s="76"/>
      <c r="N1127" s="76"/>
      <c r="O1127" s="76"/>
      <c r="P1127" s="76"/>
      <c r="Q1127" s="76"/>
      <c r="R1127" s="76"/>
      <c r="S1127" s="76"/>
      <c r="T1127" s="76"/>
      <c r="U1127" s="76"/>
      <c r="V1127" s="76"/>
      <c r="W1127" s="76"/>
      <c r="X1127" s="76"/>
      <c r="Y1127" s="76"/>
      <c r="Z1127" s="76"/>
      <c r="AA1127" s="76"/>
      <c r="AB1127" s="76"/>
      <c r="AC1127" s="76"/>
      <c r="AD1127" s="76"/>
      <c r="AE1127" s="76"/>
      <c r="AF1127" s="76"/>
      <c r="AG1127" s="76"/>
      <c r="AH1127" s="76"/>
      <c r="AI1127" s="76"/>
      <c r="AJ1127" s="76"/>
      <c r="AK1127" s="76"/>
      <c r="AL1127" s="76"/>
      <c r="AM1127" s="76"/>
      <c r="AN1127" s="76"/>
      <c r="AO1127" s="76"/>
      <c r="AP1127" s="76"/>
      <c r="AQ1127" s="76"/>
      <c r="AR1127" s="76"/>
      <c r="AS1127" s="76"/>
      <c r="AT1127" s="76"/>
      <c r="AU1127" s="76"/>
      <c r="AV1127" s="76"/>
      <c r="AW1127" s="76"/>
      <c r="AX1127" s="76"/>
      <c r="AY1127" s="76"/>
      <c r="AZ1127" s="76"/>
      <c r="BA1127" s="76"/>
      <c r="BB1127" s="76"/>
    </row>
    <row r="1128" spans="5:54" x14ac:dyDescent="0.35">
      <c r="E1128" s="83"/>
      <c r="F1128" s="83"/>
      <c r="G1128" s="76"/>
      <c r="H1128" s="76"/>
      <c r="I1128" s="76"/>
      <c r="J1128" s="76"/>
      <c r="K1128" s="76"/>
      <c r="L1128" s="76"/>
      <c r="M1128" s="76"/>
      <c r="N1128" s="76"/>
      <c r="O1128" s="76"/>
      <c r="P1128" s="76"/>
      <c r="Q1128" s="76"/>
      <c r="R1128" s="76"/>
      <c r="S1128" s="76"/>
      <c r="T1128" s="76"/>
      <c r="U1128" s="76"/>
      <c r="V1128" s="76"/>
      <c r="W1128" s="76"/>
      <c r="X1128" s="76"/>
      <c r="Y1128" s="76"/>
      <c r="Z1128" s="76"/>
      <c r="AA1128" s="76"/>
      <c r="AB1128" s="76"/>
      <c r="AC1128" s="76"/>
      <c r="AD1128" s="76"/>
      <c r="AE1128" s="76"/>
      <c r="AF1128" s="76"/>
      <c r="AG1128" s="76"/>
      <c r="AH1128" s="76"/>
      <c r="AI1128" s="76"/>
      <c r="AJ1128" s="76"/>
      <c r="AK1128" s="76"/>
      <c r="AL1128" s="76"/>
      <c r="AM1128" s="76"/>
      <c r="AN1128" s="76"/>
      <c r="AO1128" s="76"/>
      <c r="AP1128" s="76"/>
      <c r="AQ1128" s="76"/>
      <c r="AR1128" s="76"/>
      <c r="AS1128" s="76"/>
      <c r="AT1128" s="76"/>
      <c r="AU1128" s="76"/>
      <c r="AV1128" s="76"/>
      <c r="AW1128" s="76"/>
      <c r="AX1128" s="76"/>
      <c r="AY1128" s="76"/>
      <c r="AZ1128" s="76"/>
      <c r="BA1128" s="76"/>
      <c r="BB1128" s="76"/>
    </row>
    <row r="1129" spans="5:54" x14ac:dyDescent="0.35">
      <c r="E1129" s="83"/>
      <c r="F1129" s="83"/>
      <c r="G1129" s="76"/>
      <c r="H1129" s="76"/>
      <c r="I1129" s="76"/>
      <c r="J1129" s="76"/>
      <c r="K1129" s="76"/>
      <c r="L1129" s="76"/>
      <c r="M1129" s="76"/>
      <c r="N1129" s="76"/>
      <c r="O1129" s="76"/>
      <c r="P1129" s="76"/>
      <c r="Q1129" s="76"/>
      <c r="R1129" s="76"/>
      <c r="S1129" s="76"/>
      <c r="T1129" s="76"/>
      <c r="U1129" s="76"/>
      <c r="V1129" s="76"/>
      <c r="W1129" s="76"/>
      <c r="X1129" s="76"/>
      <c r="Y1129" s="76"/>
      <c r="Z1129" s="76"/>
      <c r="AA1129" s="76"/>
      <c r="AB1129" s="76"/>
      <c r="AC1129" s="76"/>
      <c r="AD1129" s="76"/>
      <c r="AE1129" s="76"/>
      <c r="AF1129" s="76"/>
      <c r="AG1129" s="76"/>
      <c r="AH1129" s="76"/>
      <c r="AI1129" s="76"/>
      <c r="AJ1129" s="76"/>
      <c r="AK1129" s="76"/>
      <c r="AL1129" s="76"/>
      <c r="AM1129" s="76"/>
      <c r="AN1129" s="76"/>
      <c r="AO1129" s="76"/>
      <c r="AP1129" s="76"/>
      <c r="AQ1129" s="76"/>
      <c r="AR1129" s="76"/>
      <c r="AS1129" s="76"/>
      <c r="AT1129" s="76"/>
      <c r="AU1129" s="76"/>
      <c r="AV1129" s="76"/>
      <c r="AW1129" s="76"/>
      <c r="AX1129" s="76"/>
      <c r="AY1129" s="76"/>
      <c r="AZ1129" s="76"/>
      <c r="BA1129" s="76"/>
      <c r="BB1129" s="76"/>
    </row>
    <row r="1130" spans="5:54" x14ac:dyDescent="0.35">
      <c r="E1130" s="83"/>
      <c r="F1130" s="83"/>
      <c r="G1130" s="76"/>
      <c r="H1130" s="76"/>
      <c r="I1130" s="76"/>
      <c r="J1130" s="76"/>
      <c r="K1130" s="76"/>
      <c r="L1130" s="76"/>
      <c r="M1130" s="76"/>
      <c r="N1130" s="76"/>
      <c r="O1130" s="76"/>
      <c r="P1130" s="76"/>
      <c r="Q1130" s="76"/>
      <c r="R1130" s="76"/>
      <c r="S1130" s="76"/>
      <c r="T1130" s="76"/>
      <c r="U1130" s="76"/>
      <c r="V1130" s="76"/>
      <c r="W1130" s="76"/>
      <c r="X1130" s="76"/>
      <c r="Y1130" s="76"/>
      <c r="Z1130" s="76"/>
      <c r="AA1130" s="76"/>
      <c r="AB1130" s="76"/>
      <c r="AC1130" s="76"/>
      <c r="AD1130" s="76"/>
      <c r="AE1130" s="76"/>
      <c r="AF1130" s="76"/>
      <c r="AG1130" s="76"/>
      <c r="AH1130" s="76"/>
      <c r="AI1130" s="76"/>
      <c r="AJ1130" s="76"/>
      <c r="AK1130" s="76"/>
      <c r="AL1130" s="76"/>
      <c r="AM1130" s="76"/>
      <c r="AN1130" s="76"/>
      <c r="AO1130" s="76"/>
      <c r="AP1130" s="76"/>
      <c r="AQ1130" s="76"/>
      <c r="AR1130" s="76"/>
      <c r="AS1130" s="76"/>
      <c r="AT1130" s="76"/>
      <c r="AU1130" s="76"/>
      <c r="AV1130" s="76"/>
      <c r="AW1130" s="76"/>
      <c r="AX1130" s="76"/>
      <c r="AY1130" s="76"/>
      <c r="AZ1130" s="76"/>
      <c r="BA1130" s="76"/>
      <c r="BB1130" s="76"/>
    </row>
    <row r="1131" spans="5:54" x14ac:dyDescent="0.35">
      <c r="E1131" s="83"/>
      <c r="F1131" s="83"/>
      <c r="G1131" s="76"/>
      <c r="H1131" s="76"/>
      <c r="I1131" s="76"/>
      <c r="J1131" s="76"/>
      <c r="K1131" s="76"/>
      <c r="L1131" s="76"/>
      <c r="M1131" s="76"/>
      <c r="N1131" s="76"/>
      <c r="O1131" s="76"/>
      <c r="P1131" s="76"/>
      <c r="Q1131" s="76"/>
      <c r="R1131" s="76"/>
      <c r="S1131" s="76"/>
      <c r="T1131" s="76"/>
      <c r="U1131" s="76"/>
      <c r="V1131" s="76"/>
      <c r="W1131" s="76"/>
      <c r="X1131" s="76"/>
      <c r="Y1131" s="76"/>
      <c r="Z1131" s="76"/>
      <c r="AA1131" s="76"/>
      <c r="AB1131" s="76"/>
      <c r="AC1131" s="76"/>
      <c r="AD1131" s="76"/>
      <c r="AE1131" s="76"/>
      <c r="AF1131" s="76"/>
      <c r="AG1131" s="76"/>
      <c r="AH1131" s="76"/>
      <c r="AI1131" s="76"/>
      <c r="AJ1131" s="76"/>
      <c r="AK1131" s="76"/>
      <c r="AL1131" s="76"/>
      <c r="AM1131" s="76"/>
      <c r="AN1131" s="76"/>
      <c r="AO1131" s="76"/>
      <c r="AP1131" s="76"/>
      <c r="AQ1131" s="76"/>
      <c r="AR1131" s="76"/>
      <c r="AS1131" s="76"/>
      <c r="AT1131" s="76"/>
      <c r="AU1131" s="76"/>
      <c r="AV1131" s="76"/>
      <c r="AW1131" s="76"/>
      <c r="AX1131" s="76"/>
      <c r="AY1131" s="76"/>
      <c r="AZ1131" s="76"/>
      <c r="BA1131" s="76"/>
      <c r="BB1131" s="76"/>
    </row>
    <row r="1132" spans="5:54" x14ac:dyDescent="0.35">
      <c r="E1132" s="83"/>
      <c r="F1132" s="83"/>
      <c r="G1132" s="76"/>
      <c r="H1132" s="76"/>
      <c r="I1132" s="76"/>
      <c r="J1132" s="76"/>
      <c r="K1132" s="76"/>
      <c r="L1132" s="76"/>
      <c r="M1132" s="76"/>
      <c r="N1132" s="76"/>
      <c r="O1132" s="76"/>
      <c r="P1132" s="76"/>
      <c r="Q1132" s="76"/>
      <c r="R1132" s="76"/>
      <c r="S1132" s="76"/>
      <c r="T1132" s="76"/>
      <c r="U1132" s="76"/>
      <c r="V1132" s="76"/>
      <c r="W1132" s="76"/>
      <c r="X1132" s="76"/>
      <c r="Y1132" s="76"/>
      <c r="Z1132" s="76"/>
      <c r="AA1132" s="76"/>
      <c r="AB1132" s="76"/>
      <c r="AC1132" s="76"/>
      <c r="AD1132" s="76"/>
      <c r="AE1132" s="76"/>
      <c r="AF1132" s="76"/>
      <c r="AG1132" s="76"/>
      <c r="AH1132" s="76"/>
      <c r="AI1132" s="76"/>
      <c r="AJ1132" s="76"/>
      <c r="AK1132" s="76"/>
      <c r="AL1132" s="76"/>
      <c r="AM1132" s="76"/>
      <c r="AN1132" s="76"/>
      <c r="AO1132" s="76"/>
      <c r="AP1132" s="76"/>
      <c r="AQ1132" s="76"/>
      <c r="AR1132" s="76"/>
      <c r="AS1132" s="76"/>
      <c r="AT1132" s="76"/>
      <c r="AU1132" s="76"/>
      <c r="AV1132" s="76"/>
      <c r="AW1132" s="76"/>
      <c r="AX1132" s="76"/>
      <c r="AY1132" s="76"/>
      <c r="AZ1132" s="76"/>
      <c r="BA1132" s="76"/>
      <c r="BB1132" s="76"/>
    </row>
    <row r="1133" spans="5:54" x14ac:dyDescent="0.35">
      <c r="E1133" s="83"/>
      <c r="F1133" s="83"/>
      <c r="G1133" s="76"/>
      <c r="H1133" s="76"/>
      <c r="I1133" s="76"/>
      <c r="J1133" s="76"/>
      <c r="K1133" s="76"/>
      <c r="L1133" s="76"/>
      <c r="M1133" s="76"/>
      <c r="N1133" s="76"/>
      <c r="O1133" s="76"/>
      <c r="P1133" s="76"/>
      <c r="Q1133" s="76"/>
      <c r="R1133" s="76"/>
      <c r="S1133" s="76"/>
      <c r="T1133" s="76"/>
      <c r="U1133" s="76"/>
      <c r="V1133" s="76"/>
      <c r="W1133" s="76"/>
      <c r="X1133" s="76"/>
      <c r="Y1133" s="76"/>
      <c r="Z1133" s="76"/>
      <c r="AA1133" s="76"/>
      <c r="AB1133" s="76"/>
      <c r="AC1133" s="76"/>
      <c r="AD1133" s="76"/>
      <c r="AE1133" s="76"/>
      <c r="AF1133" s="76"/>
      <c r="AG1133" s="76"/>
      <c r="AH1133" s="76"/>
      <c r="AI1133" s="76"/>
      <c r="AJ1133" s="76"/>
      <c r="AK1133" s="76"/>
      <c r="AL1133" s="76"/>
      <c r="AM1133" s="76"/>
      <c r="AN1133" s="76"/>
      <c r="AO1133" s="76"/>
      <c r="AP1133" s="76"/>
      <c r="AQ1133" s="76"/>
      <c r="AR1133" s="76"/>
      <c r="AS1133" s="76"/>
      <c r="AT1133" s="76"/>
      <c r="AU1133" s="76"/>
      <c r="AV1133" s="76"/>
      <c r="AW1133" s="76"/>
      <c r="AX1133" s="76"/>
      <c r="AY1133" s="76"/>
      <c r="AZ1133" s="76"/>
      <c r="BA1133" s="76"/>
      <c r="BB1133" s="76"/>
    </row>
    <row r="1134" spans="5:54" x14ac:dyDescent="0.35">
      <c r="E1134" s="83"/>
      <c r="F1134" s="83"/>
      <c r="G1134" s="76"/>
      <c r="H1134" s="76"/>
      <c r="I1134" s="76"/>
      <c r="J1134" s="76"/>
      <c r="K1134" s="76"/>
      <c r="L1134" s="76"/>
      <c r="M1134" s="76"/>
      <c r="N1134" s="76"/>
      <c r="O1134" s="76"/>
      <c r="P1134" s="76"/>
      <c r="Q1134" s="76"/>
      <c r="R1134" s="76"/>
      <c r="S1134" s="76"/>
      <c r="T1134" s="76"/>
      <c r="U1134" s="76"/>
      <c r="V1134" s="76"/>
      <c r="W1134" s="76"/>
      <c r="X1134" s="76"/>
      <c r="Y1134" s="76"/>
      <c r="Z1134" s="76"/>
      <c r="AA1134" s="76"/>
      <c r="AB1134" s="76"/>
      <c r="AC1134" s="76"/>
      <c r="AD1134" s="76"/>
      <c r="AE1134" s="76"/>
      <c r="AF1134" s="76"/>
      <c r="AG1134" s="76"/>
      <c r="AH1134" s="76"/>
      <c r="AI1134" s="76"/>
      <c r="AJ1134" s="76"/>
      <c r="AK1134" s="76"/>
      <c r="AL1134" s="76"/>
      <c r="AM1134" s="76"/>
      <c r="AN1134" s="76"/>
      <c r="AO1134" s="76"/>
      <c r="AP1134" s="76"/>
      <c r="AQ1134" s="76"/>
      <c r="AR1134" s="76"/>
      <c r="AS1134" s="76"/>
      <c r="AT1134" s="76"/>
      <c r="AU1134" s="76"/>
      <c r="AV1134" s="76"/>
      <c r="AW1134" s="76"/>
      <c r="AX1134" s="76"/>
      <c r="AY1134" s="76"/>
      <c r="AZ1134" s="76"/>
      <c r="BA1134" s="76"/>
      <c r="BB1134" s="76"/>
    </row>
    <row r="1135" spans="5:54" x14ac:dyDescent="0.35">
      <c r="E1135" s="83"/>
      <c r="F1135" s="83"/>
      <c r="G1135" s="76"/>
      <c r="H1135" s="76"/>
      <c r="I1135" s="76"/>
      <c r="J1135" s="76"/>
      <c r="K1135" s="76"/>
      <c r="L1135" s="76"/>
      <c r="M1135" s="76"/>
      <c r="N1135" s="76"/>
      <c r="O1135" s="76"/>
      <c r="P1135" s="76"/>
      <c r="Q1135" s="76"/>
      <c r="R1135" s="76"/>
      <c r="S1135" s="76"/>
      <c r="T1135" s="76"/>
      <c r="U1135" s="76"/>
      <c r="V1135" s="76"/>
      <c r="W1135" s="76"/>
      <c r="X1135" s="76"/>
      <c r="Y1135" s="76"/>
      <c r="Z1135" s="76"/>
      <c r="AA1135" s="76"/>
      <c r="AB1135" s="76"/>
      <c r="AC1135" s="76"/>
      <c r="AD1135" s="76"/>
      <c r="AE1135" s="76"/>
      <c r="AF1135" s="76"/>
      <c r="AG1135" s="76"/>
      <c r="AH1135" s="76"/>
      <c r="AI1135" s="76"/>
      <c r="AJ1135" s="76"/>
      <c r="AK1135" s="76"/>
      <c r="AL1135" s="76"/>
      <c r="AM1135" s="76"/>
      <c r="AN1135" s="76"/>
      <c r="AO1135" s="76"/>
      <c r="AP1135" s="76"/>
      <c r="AQ1135" s="76"/>
      <c r="AR1135" s="76"/>
      <c r="AS1135" s="76"/>
      <c r="AT1135" s="76"/>
      <c r="AU1135" s="76"/>
      <c r="AV1135" s="76"/>
      <c r="AW1135" s="76"/>
      <c r="AX1135" s="76"/>
      <c r="AY1135" s="76"/>
      <c r="AZ1135" s="76"/>
      <c r="BA1135" s="76"/>
      <c r="BB1135" s="76"/>
    </row>
    <row r="1136" spans="5:54" x14ac:dyDescent="0.35">
      <c r="E1136" s="83"/>
      <c r="F1136" s="83"/>
      <c r="G1136" s="76"/>
      <c r="H1136" s="76"/>
      <c r="I1136" s="76"/>
      <c r="J1136" s="76"/>
      <c r="K1136" s="76"/>
      <c r="L1136" s="76"/>
      <c r="M1136" s="76"/>
      <c r="N1136" s="76"/>
      <c r="O1136" s="76"/>
      <c r="P1136" s="76"/>
      <c r="Q1136" s="76"/>
      <c r="R1136" s="76"/>
      <c r="S1136" s="76"/>
      <c r="T1136" s="76"/>
      <c r="U1136" s="76"/>
      <c r="V1136" s="76"/>
      <c r="W1136" s="76"/>
      <c r="X1136" s="76"/>
      <c r="Y1136" s="76"/>
      <c r="Z1136" s="76"/>
      <c r="AA1136" s="76"/>
      <c r="AB1136" s="76"/>
      <c r="AC1136" s="76"/>
      <c r="AD1136" s="76"/>
      <c r="AE1136" s="76"/>
      <c r="AF1136" s="76"/>
      <c r="AG1136" s="76"/>
      <c r="AH1136" s="76"/>
      <c r="AI1136" s="76"/>
      <c r="AJ1136" s="76"/>
      <c r="AK1136" s="76"/>
      <c r="AL1136" s="76"/>
      <c r="AM1136" s="76"/>
      <c r="AN1136" s="76"/>
      <c r="AO1136" s="76"/>
      <c r="AP1136" s="76"/>
      <c r="AQ1136" s="76"/>
      <c r="AR1136" s="76"/>
      <c r="AS1136" s="76"/>
      <c r="AT1136" s="76"/>
      <c r="AU1136" s="76"/>
      <c r="AV1136" s="76"/>
      <c r="AW1136" s="76"/>
      <c r="AX1136" s="76"/>
      <c r="AY1136" s="76"/>
      <c r="AZ1136" s="76"/>
      <c r="BA1136" s="76"/>
      <c r="BB1136" s="76"/>
    </row>
    <row r="1137" spans="5:54" x14ac:dyDescent="0.35">
      <c r="E1137" s="83"/>
      <c r="F1137" s="83"/>
      <c r="G1137" s="76"/>
      <c r="H1137" s="76"/>
      <c r="I1137" s="76"/>
      <c r="J1137" s="76"/>
      <c r="K1137" s="76"/>
      <c r="L1137" s="76"/>
      <c r="M1137" s="76"/>
      <c r="N1137" s="76"/>
      <c r="O1137" s="76"/>
      <c r="P1137" s="76"/>
      <c r="Q1137" s="76"/>
      <c r="R1137" s="76"/>
      <c r="S1137" s="76"/>
      <c r="T1137" s="76"/>
      <c r="U1137" s="76"/>
      <c r="V1137" s="76"/>
      <c r="W1137" s="76"/>
      <c r="X1137" s="76"/>
      <c r="Y1137" s="76"/>
      <c r="Z1137" s="76"/>
      <c r="AA1137" s="76"/>
      <c r="AB1137" s="76"/>
      <c r="AC1137" s="76"/>
      <c r="AD1137" s="76"/>
      <c r="AE1137" s="76"/>
      <c r="AF1137" s="76"/>
      <c r="AG1137" s="76"/>
      <c r="AH1137" s="76"/>
      <c r="AI1137" s="76"/>
      <c r="AJ1137" s="76"/>
      <c r="AK1137" s="76"/>
      <c r="AL1137" s="76"/>
      <c r="AM1137" s="76"/>
      <c r="AN1137" s="76"/>
      <c r="AO1137" s="76"/>
      <c r="AP1137" s="76"/>
      <c r="AQ1137" s="76"/>
      <c r="AR1137" s="76"/>
      <c r="AS1137" s="76"/>
      <c r="AT1137" s="76"/>
      <c r="AU1137" s="76"/>
      <c r="AV1137" s="76"/>
      <c r="AW1137" s="76"/>
      <c r="AX1137" s="76"/>
      <c r="AY1137" s="76"/>
      <c r="AZ1137" s="76"/>
      <c r="BA1137" s="76"/>
      <c r="BB1137" s="76"/>
    </row>
    <row r="1138" spans="5:54" x14ac:dyDescent="0.35">
      <c r="E1138" s="83"/>
      <c r="F1138" s="83"/>
      <c r="G1138" s="76"/>
      <c r="H1138" s="76"/>
      <c r="I1138" s="76"/>
      <c r="J1138" s="76"/>
      <c r="K1138" s="76"/>
      <c r="L1138" s="76"/>
      <c r="M1138" s="76"/>
      <c r="N1138" s="76"/>
      <c r="O1138" s="76"/>
      <c r="P1138" s="76"/>
      <c r="Q1138" s="76"/>
      <c r="R1138" s="76"/>
      <c r="S1138" s="76"/>
      <c r="T1138" s="76"/>
      <c r="U1138" s="76"/>
      <c r="V1138" s="76"/>
      <c r="W1138" s="76"/>
      <c r="X1138" s="76"/>
      <c r="Y1138" s="76"/>
      <c r="Z1138" s="76"/>
      <c r="AA1138" s="76"/>
      <c r="AB1138" s="76"/>
      <c r="AC1138" s="76"/>
      <c r="AD1138" s="76"/>
      <c r="AE1138" s="76"/>
      <c r="AF1138" s="76"/>
      <c r="AG1138" s="76"/>
      <c r="AH1138" s="76"/>
      <c r="AI1138" s="76"/>
      <c r="AJ1138" s="76"/>
      <c r="AK1138" s="76"/>
      <c r="AL1138" s="76"/>
      <c r="AM1138" s="76"/>
      <c r="AN1138" s="76"/>
      <c r="AO1138" s="76"/>
      <c r="AP1138" s="76"/>
      <c r="AQ1138" s="76"/>
      <c r="AR1138" s="76"/>
      <c r="AS1138" s="76"/>
      <c r="AT1138" s="76"/>
      <c r="AU1138" s="76"/>
      <c r="AV1138" s="76"/>
      <c r="AW1138" s="76"/>
      <c r="AX1138" s="76"/>
      <c r="AY1138" s="76"/>
      <c r="AZ1138" s="76"/>
      <c r="BA1138" s="76"/>
      <c r="BB1138" s="76"/>
    </row>
    <row r="1139" spans="5:54" x14ac:dyDescent="0.35">
      <c r="E1139" s="83"/>
      <c r="F1139" s="83"/>
      <c r="G1139" s="76"/>
      <c r="H1139" s="76"/>
      <c r="I1139" s="76"/>
      <c r="J1139" s="76"/>
      <c r="K1139" s="76"/>
      <c r="L1139" s="76"/>
      <c r="M1139" s="76"/>
      <c r="N1139" s="76"/>
      <c r="O1139" s="76"/>
      <c r="P1139" s="76"/>
      <c r="Q1139" s="76"/>
      <c r="R1139" s="76"/>
      <c r="S1139" s="76"/>
      <c r="T1139" s="76"/>
      <c r="U1139" s="76"/>
      <c r="V1139" s="76"/>
      <c r="W1139" s="76"/>
      <c r="X1139" s="76"/>
      <c r="Y1139" s="76"/>
      <c r="Z1139" s="76"/>
      <c r="AA1139" s="76"/>
      <c r="AB1139" s="76"/>
      <c r="AC1139" s="76"/>
      <c r="AD1139" s="76"/>
      <c r="AE1139" s="76"/>
      <c r="AF1139" s="76"/>
      <c r="AG1139" s="76"/>
      <c r="AH1139" s="76"/>
      <c r="AI1139" s="76"/>
      <c r="AJ1139" s="76"/>
      <c r="AK1139" s="76"/>
      <c r="AL1139" s="76"/>
      <c r="AM1139" s="76"/>
      <c r="AN1139" s="76"/>
      <c r="AO1139" s="76"/>
      <c r="AP1139" s="76"/>
      <c r="AQ1139" s="76"/>
      <c r="AR1139" s="76"/>
      <c r="AS1139" s="76"/>
      <c r="AT1139" s="76"/>
      <c r="AU1139" s="76"/>
      <c r="AV1139" s="76"/>
      <c r="AW1139" s="76"/>
      <c r="AX1139" s="76"/>
      <c r="AY1139" s="76"/>
      <c r="AZ1139" s="76"/>
      <c r="BA1139" s="76"/>
      <c r="BB1139" s="76"/>
    </row>
    <row r="1140" spans="5:54" x14ac:dyDescent="0.35">
      <c r="E1140" s="83"/>
      <c r="F1140" s="83"/>
      <c r="G1140" s="76"/>
      <c r="H1140" s="76"/>
      <c r="I1140" s="76"/>
      <c r="J1140" s="76"/>
      <c r="K1140" s="76"/>
      <c r="L1140" s="76"/>
      <c r="M1140" s="76"/>
      <c r="N1140" s="76"/>
      <c r="O1140" s="76"/>
      <c r="P1140" s="76"/>
      <c r="Q1140" s="76"/>
      <c r="R1140" s="76"/>
      <c r="S1140" s="76"/>
      <c r="T1140" s="76"/>
      <c r="U1140" s="76"/>
      <c r="V1140" s="76"/>
      <c r="W1140" s="76"/>
      <c r="X1140" s="76"/>
      <c r="Y1140" s="76"/>
      <c r="Z1140" s="76"/>
      <c r="AA1140" s="76"/>
      <c r="AB1140" s="76"/>
      <c r="AC1140" s="76"/>
      <c r="AD1140" s="76"/>
      <c r="AE1140" s="76"/>
      <c r="AF1140" s="76"/>
      <c r="AG1140" s="76"/>
      <c r="AH1140" s="76"/>
      <c r="AI1140" s="76"/>
      <c r="AJ1140" s="76"/>
      <c r="AK1140" s="76"/>
      <c r="AL1140" s="76"/>
      <c r="AM1140" s="76"/>
      <c r="AN1140" s="76"/>
      <c r="AO1140" s="76"/>
      <c r="AP1140" s="76"/>
      <c r="AQ1140" s="76"/>
      <c r="AR1140" s="76"/>
      <c r="AS1140" s="76"/>
      <c r="AT1140" s="76"/>
      <c r="AU1140" s="76"/>
      <c r="AV1140" s="76"/>
      <c r="AW1140" s="76"/>
      <c r="AX1140" s="76"/>
      <c r="AY1140" s="76"/>
      <c r="AZ1140" s="76"/>
      <c r="BA1140" s="76"/>
      <c r="BB1140" s="76"/>
    </row>
    <row r="1141" spans="5:54" x14ac:dyDescent="0.35">
      <c r="E1141" s="83"/>
      <c r="F1141" s="83"/>
      <c r="G1141" s="76"/>
      <c r="H1141" s="76"/>
      <c r="I1141" s="76"/>
      <c r="J1141" s="76"/>
      <c r="K1141" s="76"/>
      <c r="L1141" s="76"/>
      <c r="M1141" s="76"/>
      <c r="N1141" s="76"/>
      <c r="O1141" s="76"/>
      <c r="P1141" s="76"/>
      <c r="Q1141" s="76"/>
      <c r="R1141" s="76"/>
      <c r="S1141" s="76"/>
      <c r="T1141" s="76"/>
      <c r="U1141" s="76"/>
      <c r="V1141" s="76"/>
      <c r="W1141" s="76"/>
      <c r="X1141" s="76"/>
      <c r="Y1141" s="76"/>
      <c r="Z1141" s="76"/>
      <c r="AA1141" s="76"/>
      <c r="AB1141" s="76"/>
      <c r="AC1141" s="76"/>
      <c r="AD1141" s="76"/>
      <c r="AE1141" s="76"/>
      <c r="AF1141" s="76"/>
      <c r="AG1141" s="76"/>
      <c r="AH1141" s="76"/>
      <c r="AI1141" s="76"/>
      <c r="AJ1141" s="76"/>
      <c r="AK1141" s="76"/>
      <c r="AL1141" s="76"/>
      <c r="AM1141" s="76"/>
      <c r="AN1141" s="76"/>
      <c r="AO1141" s="76"/>
      <c r="AP1141" s="76"/>
      <c r="AQ1141" s="76"/>
      <c r="AR1141" s="76"/>
      <c r="AS1141" s="76"/>
      <c r="AT1141" s="76"/>
      <c r="AU1141" s="76"/>
      <c r="AV1141" s="76"/>
      <c r="AW1141" s="76"/>
      <c r="AX1141" s="76"/>
      <c r="AY1141" s="76"/>
      <c r="AZ1141" s="76"/>
      <c r="BA1141" s="76"/>
      <c r="BB1141" s="76"/>
    </row>
    <row r="1142" spans="5:54" x14ac:dyDescent="0.35">
      <c r="E1142" s="83"/>
      <c r="F1142" s="83"/>
      <c r="G1142" s="76"/>
      <c r="H1142" s="76"/>
      <c r="I1142" s="76"/>
      <c r="J1142" s="76"/>
      <c r="K1142" s="76"/>
      <c r="L1142" s="76"/>
      <c r="M1142" s="76"/>
      <c r="N1142" s="76"/>
      <c r="O1142" s="76"/>
      <c r="P1142" s="76"/>
      <c r="Q1142" s="76"/>
      <c r="R1142" s="76"/>
      <c r="S1142" s="76"/>
      <c r="T1142" s="76"/>
      <c r="U1142" s="76"/>
      <c r="V1142" s="76"/>
      <c r="W1142" s="76"/>
      <c r="X1142" s="76"/>
      <c r="Y1142" s="76"/>
      <c r="Z1142" s="76"/>
      <c r="AA1142" s="76"/>
      <c r="AB1142" s="76"/>
      <c r="AC1142" s="76"/>
      <c r="AD1142" s="76"/>
      <c r="AE1142" s="76"/>
      <c r="AF1142" s="76"/>
      <c r="AG1142" s="76"/>
      <c r="AH1142" s="76"/>
      <c r="AI1142" s="76"/>
      <c r="AJ1142" s="76"/>
      <c r="AK1142" s="76"/>
      <c r="AL1142" s="76"/>
      <c r="AM1142" s="76"/>
      <c r="AN1142" s="76"/>
      <c r="AO1142" s="76"/>
      <c r="AP1142" s="76"/>
      <c r="AQ1142" s="76"/>
      <c r="AR1142" s="76"/>
      <c r="AS1142" s="76"/>
      <c r="AT1142" s="76"/>
      <c r="AU1142" s="76"/>
      <c r="AV1142" s="76"/>
      <c r="AW1142" s="76"/>
      <c r="AX1142" s="76"/>
      <c r="AY1142" s="76"/>
      <c r="AZ1142" s="76"/>
      <c r="BA1142" s="76"/>
      <c r="BB1142" s="76"/>
    </row>
    <row r="1143" spans="5:54" x14ac:dyDescent="0.35">
      <c r="E1143" s="83"/>
      <c r="F1143" s="83"/>
      <c r="G1143" s="76"/>
      <c r="H1143" s="76"/>
      <c r="I1143" s="76"/>
      <c r="J1143" s="76"/>
      <c r="K1143" s="76"/>
      <c r="L1143" s="76"/>
      <c r="M1143" s="76"/>
      <c r="N1143" s="76"/>
      <c r="O1143" s="76"/>
      <c r="P1143" s="76"/>
      <c r="Q1143" s="76"/>
      <c r="R1143" s="76"/>
      <c r="S1143" s="76"/>
      <c r="T1143" s="76"/>
      <c r="U1143" s="76"/>
      <c r="V1143" s="76"/>
      <c r="W1143" s="76"/>
      <c r="X1143" s="76"/>
      <c r="Y1143" s="76"/>
      <c r="Z1143" s="76"/>
      <c r="AA1143" s="76"/>
      <c r="AB1143" s="76"/>
      <c r="AC1143" s="76"/>
      <c r="AD1143" s="76"/>
      <c r="AE1143" s="76"/>
      <c r="AF1143" s="76"/>
      <c r="AG1143" s="76"/>
      <c r="AH1143" s="76"/>
      <c r="AI1143" s="76"/>
      <c r="AJ1143" s="76"/>
      <c r="AK1143" s="76"/>
      <c r="AL1143" s="76"/>
      <c r="AM1143" s="76"/>
      <c r="AN1143" s="76"/>
      <c r="AO1143" s="76"/>
      <c r="AP1143" s="76"/>
      <c r="AQ1143" s="76"/>
      <c r="AR1143" s="76"/>
      <c r="AS1143" s="76"/>
      <c r="AT1143" s="76"/>
      <c r="AU1143" s="76"/>
      <c r="AV1143" s="76"/>
      <c r="AW1143" s="76"/>
      <c r="AX1143" s="76"/>
      <c r="AY1143" s="76"/>
      <c r="AZ1143" s="76"/>
      <c r="BA1143" s="76"/>
      <c r="BB1143" s="76"/>
    </row>
    <row r="1144" spans="5:54" x14ac:dyDescent="0.35">
      <c r="E1144" s="83"/>
      <c r="F1144" s="83"/>
      <c r="G1144" s="76"/>
      <c r="H1144" s="76"/>
      <c r="I1144" s="76"/>
      <c r="J1144" s="76"/>
      <c r="K1144" s="76"/>
      <c r="L1144" s="76"/>
      <c r="M1144" s="76"/>
      <c r="N1144" s="76"/>
      <c r="O1144" s="76"/>
      <c r="P1144" s="76"/>
      <c r="Q1144" s="76"/>
      <c r="R1144" s="76"/>
      <c r="S1144" s="76"/>
      <c r="T1144" s="76"/>
      <c r="U1144" s="76"/>
      <c r="V1144" s="76"/>
      <c r="W1144" s="76"/>
      <c r="X1144" s="76"/>
      <c r="Y1144" s="76"/>
      <c r="Z1144" s="76"/>
      <c r="AA1144" s="76"/>
      <c r="AB1144" s="76"/>
      <c r="AC1144" s="76"/>
      <c r="AD1144" s="76"/>
      <c r="AE1144" s="76"/>
      <c r="AF1144" s="76"/>
      <c r="AG1144" s="76"/>
      <c r="AH1144" s="76"/>
      <c r="AI1144" s="76"/>
      <c r="AJ1144" s="76"/>
      <c r="AK1144" s="76"/>
      <c r="AL1144" s="76"/>
      <c r="AM1144" s="76"/>
      <c r="AN1144" s="76"/>
      <c r="AO1144" s="76"/>
      <c r="AP1144" s="76"/>
      <c r="AQ1144" s="76"/>
      <c r="AR1144" s="76"/>
      <c r="AS1144" s="76"/>
      <c r="AT1144" s="76"/>
      <c r="AU1144" s="76"/>
      <c r="AV1144" s="76"/>
      <c r="AW1144" s="76"/>
      <c r="AX1144" s="76"/>
      <c r="AY1144" s="76"/>
      <c r="AZ1144" s="76"/>
      <c r="BA1144" s="76"/>
      <c r="BB1144" s="76"/>
    </row>
    <row r="1145" spans="5:54" x14ac:dyDescent="0.35">
      <c r="E1145" s="83"/>
      <c r="F1145" s="83"/>
      <c r="G1145" s="76"/>
      <c r="H1145" s="76"/>
      <c r="I1145" s="76"/>
      <c r="J1145" s="76"/>
      <c r="K1145" s="76"/>
      <c r="L1145" s="76"/>
      <c r="M1145" s="76"/>
      <c r="N1145" s="76"/>
      <c r="O1145" s="76"/>
      <c r="P1145" s="76"/>
      <c r="Q1145" s="76"/>
      <c r="R1145" s="76"/>
      <c r="S1145" s="76"/>
      <c r="T1145" s="76"/>
      <c r="U1145" s="76"/>
      <c r="V1145" s="76"/>
      <c r="W1145" s="76"/>
      <c r="X1145" s="76"/>
      <c r="Y1145" s="76"/>
      <c r="Z1145" s="76"/>
      <c r="AA1145" s="76"/>
      <c r="AB1145" s="76"/>
      <c r="AC1145" s="76"/>
      <c r="AD1145" s="76"/>
      <c r="AE1145" s="76"/>
      <c r="AF1145" s="76"/>
      <c r="AG1145" s="76"/>
      <c r="AH1145" s="76"/>
      <c r="AI1145" s="76"/>
      <c r="AJ1145" s="76"/>
      <c r="AK1145" s="76"/>
      <c r="AL1145" s="76"/>
      <c r="AM1145" s="76"/>
      <c r="AN1145" s="76"/>
      <c r="AO1145" s="76"/>
      <c r="AP1145" s="76"/>
      <c r="AQ1145" s="76"/>
      <c r="AR1145" s="76"/>
      <c r="AS1145" s="76"/>
      <c r="AT1145" s="76"/>
      <c r="AU1145" s="76"/>
      <c r="AV1145" s="76"/>
      <c r="AW1145" s="76"/>
      <c r="AX1145" s="76"/>
      <c r="AY1145" s="76"/>
      <c r="AZ1145" s="76"/>
      <c r="BA1145" s="76"/>
      <c r="BB1145" s="76"/>
    </row>
    <row r="1146" spans="5:54" x14ac:dyDescent="0.35">
      <c r="E1146" s="83"/>
      <c r="F1146" s="83"/>
      <c r="G1146" s="76"/>
      <c r="H1146" s="76"/>
      <c r="I1146" s="76"/>
      <c r="J1146" s="76"/>
      <c r="K1146" s="76"/>
      <c r="L1146" s="76"/>
      <c r="M1146" s="76"/>
      <c r="N1146" s="76"/>
      <c r="O1146" s="76"/>
      <c r="P1146" s="76"/>
      <c r="Q1146" s="76"/>
      <c r="R1146" s="76"/>
      <c r="S1146" s="76"/>
      <c r="T1146" s="76"/>
      <c r="U1146" s="76"/>
      <c r="V1146" s="76"/>
      <c r="W1146" s="76"/>
      <c r="X1146" s="76"/>
      <c r="Y1146" s="76"/>
      <c r="Z1146" s="76"/>
      <c r="AA1146" s="76"/>
      <c r="AB1146" s="76"/>
      <c r="AC1146" s="76"/>
      <c r="AD1146" s="76"/>
      <c r="AE1146" s="76"/>
      <c r="AF1146" s="76"/>
      <c r="AG1146" s="76"/>
      <c r="AH1146" s="76"/>
      <c r="AI1146" s="76"/>
      <c r="AJ1146" s="76"/>
      <c r="AK1146" s="76"/>
      <c r="AL1146" s="76"/>
      <c r="AM1146" s="76"/>
      <c r="AN1146" s="76"/>
      <c r="AO1146" s="76"/>
      <c r="AP1146" s="76"/>
      <c r="AQ1146" s="76"/>
      <c r="AR1146" s="76"/>
      <c r="AS1146" s="76"/>
      <c r="AT1146" s="76"/>
      <c r="AU1146" s="76"/>
      <c r="AV1146" s="76"/>
      <c r="AW1146" s="76"/>
      <c r="AX1146" s="76"/>
      <c r="AY1146" s="76"/>
      <c r="AZ1146" s="76"/>
      <c r="BA1146" s="76"/>
      <c r="BB1146" s="76"/>
    </row>
    <row r="1147" spans="5:54" x14ac:dyDescent="0.35">
      <c r="E1147" s="83"/>
      <c r="F1147" s="83"/>
      <c r="G1147" s="76"/>
      <c r="H1147" s="76"/>
      <c r="I1147" s="76"/>
      <c r="J1147" s="76"/>
      <c r="K1147" s="76"/>
      <c r="L1147" s="76"/>
      <c r="M1147" s="76"/>
      <c r="N1147" s="76"/>
      <c r="O1147" s="76"/>
      <c r="P1147" s="76"/>
      <c r="Q1147" s="76"/>
      <c r="R1147" s="76"/>
      <c r="S1147" s="76"/>
      <c r="T1147" s="76"/>
      <c r="U1147" s="76"/>
      <c r="V1147" s="76"/>
      <c r="W1147" s="76"/>
      <c r="X1147" s="76"/>
      <c r="Y1147" s="76"/>
      <c r="Z1147" s="76"/>
      <c r="AA1147" s="76"/>
      <c r="AB1147" s="76"/>
      <c r="AC1147" s="76"/>
      <c r="AD1147" s="76"/>
      <c r="AE1147" s="76"/>
      <c r="AF1147" s="76"/>
      <c r="AG1147" s="76"/>
      <c r="AH1147" s="76"/>
      <c r="AI1147" s="76"/>
      <c r="AJ1147" s="76"/>
      <c r="AK1147" s="76"/>
      <c r="AL1147" s="76"/>
      <c r="AM1147" s="76"/>
      <c r="AN1147" s="76"/>
      <c r="AO1147" s="76"/>
      <c r="AP1147" s="76"/>
      <c r="AQ1147" s="76"/>
      <c r="AR1147" s="76"/>
      <c r="AS1147" s="76"/>
      <c r="AT1147" s="76"/>
      <c r="AU1147" s="76"/>
      <c r="AV1147" s="76"/>
      <c r="AW1147" s="76"/>
      <c r="AX1147" s="76"/>
      <c r="AY1147" s="76"/>
      <c r="AZ1147" s="76"/>
      <c r="BA1147" s="76"/>
      <c r="BB1147" s="76"/>
    </row>
    <row r="1148" spans="5:54" x14ac:dyDescent="0.35">
      <c r="E1148" s="83"/>
      <c r="F1148" s="83"/>
      <c r="G1148" s="76"/>
      <c r="H1148" s="76"/>
      <c r="I1148" s="76"/>
      <c r="J1148" s="76"/>
      <c r="K1148" s="76"/>
      <c r="L1148" s="76"/>
      <c r="M1148" s="76"/>
      <c r="N1148" s="76"/>
      <c r="O1148" s="76"/>
      <c r="P1148" s="76"/>
      <c r="Q1148" s="76"/>
      <c r="R1148" s="76"/>
      <c r="S1148" s="76"/>
      <c r="T1148" s="76"/>
      <c r="U1148" s="76"/>
      <c r="V1148" s="76"/>
      <c r="W1148" s="76"/>
      <c r="X1148" s="76"/>
      <c r="Y1148" s="76"/>
      <c r="Z1148" s="76"/>
      <c r="AA1148" s="76"/>
      <c r="AB1148" s="76"/>
      <c r="AC1148" s="76"/>
      <c r="AD1148" s="76"/>
      <c r="AE1148" s="76"/>
      <c r="AF1148" s="76"/>
      <c r="AG1148" s="76"/>
      <c r="AH1148" s="76"/>
      <c r="AI1148" s="76"/>
      <c r="AJ1148" s="76"/>
      <c r="AK1148" s="76"/>
      <c r="AL1148" s="76"/>
      <c r="AM1148" s="76"/>
      <c r="AN1148" s="76"/>
      <c r="AO1148" s="76"/>
      <c r="AP1148" s="76"/>
      <c r="AQ1148" s="76"/>
      <c r="AR1148" s="76"/>
      <c r="AS1148" s="76"/>
      <c r="AT1148" s="76"/>
      <c r="AU1148" s="76"/>
      <c r="AV1148" s="76"/>
      <c r="AW1148" s="76"/>
      <c r="AX1148" s="76"/>
      <c r="AY1148" s="76"/>
      <c r="AZ1148" s="76"/>
      <c r="BA1148" s="76"/>
      <c r="BB1148" s="76"/>
    </row>
    <row r="1149" spans="5:54" x14ac:dyDescent="0.35">
      <c r="E1149" s="83"/>
      <c r="F1149" s="83"/>
      <c r="G1149" s="76"/>
      <c r="H1149" s="76"/>
      <c r="I1149" s="76"/>
      <c r="J1149" s="76"/>
      <c r="K1149" s="76"/>
      <c r="L1149" s="76"/>
      <c r="M1149" s="76"/>
      <c r="N1149" s="76"/>
      <c r="O1149" s="76"/>
      <c r="P1149" s="76"/>
      <c r="Q1149" s="76"/>
      <c r="R1149" s="76"/>
      <c r="S1149" s="76"/>
      <c r="T1149" s="76"/>
      <c r="U1149" s="76"/>
      <c r="V1149" s="76"/>
      <c r="W1149" s="76"/>
      <c r="X1149" s="76"/>
      <c r="Y1149" s="76"/>
      <c r="Z1149" s="76"/>
      <c r="AA1149" s="76"/>
      <c r="AB1149" s="76"/>
      <c r="AC1149" s="76"/>
      <c r="AD1149" s="76"/>
      <c r="AE1149" s="76"/>
      <c r="AF1149" s="76"/>
      <c r="AG1149" s="76"/>
      <c r="AH1149" s="76"/>
      <c r="AI1149" s="76"/>
      <c r="AJ1149" s="76"/>
      <c r="AK1149" s="76"/>
      <c r="AL1149" s="76"/>
      <c r="AM1149" s="76"/>
      <c r="AN1149" s="76"/>
      <c r="AO1149" s="76"/>
      <c r="AP1149" s="76"/>
      <c r="AQ1149" s="76"/>
      <c r="AR1149" s="76"/>
      <c r="AS1149" s="76"/>
      <c r="AT1149" s="76"/>
      <c r="AU1149" s="76"/>
      <c r="AV1149" s="76"/>
      <c r="AW1149" s="76"/>
      <c r="AX1149" s="76"/>
      <c r="AY1149" s="76"/>
      <c r="AZ1149" s="76"/>
      <c r="BA1149" s="76"/>
      <c r="BB1149" s="76"/>
    </row>
    <row r="1150" spans="5:54" x14ac:dyDescent="0.35">
      <c r="E1150" s="83"/>
      <c r="F1150" s="83"/>
      <c r="G1150" s="76"/>
      <c r="H1150" s="76"/>
      <c r="I1150" s="76"/>
      <c r="J1150" s="76"/>
      <c r="K1150" s="76"/>
      <c r="L1150" s="76"/>
      <c r="M1150" s="76"/>
      <c r="N1150" s="76"/>
      <c r="O1150" s="76"/>
      <c r="P1150" s="76"/>
      <c r="Q1150" s="76"/>
      <c r="R1150" s="76"/>
      <c r="S1150" s="76"/>
      <c r="T1150" s="76"/>
      <c r="U1150" s="76"/>
      <c r="V1150" s="76"/>
      <c r="W1150" s="76"/>
      <c r="X1150" s="76"/>
      <c r="Y1150" s="76"/>
      <c r="Z1150" s="76"/>
      <c r="AA1150" s="76"/>
      <c r="AB1150" s="76"/>
      <c r="AC1150" s="76"/>
      <c r="AD1150" s="76"/>
      <c r="AE1150" s="76"/>
      <c r="AF1150" s="76"/>
      <c r="AG1150" s="76"/>
      <c r="AH1150" s="76"/>
      <c r="AI1150" s="76"/>
      <c r="AJ1150" s="76"/>
      <c r="AK1150" s="76"/>
      <c r="AL1150" s="76"/>
      <c r="AM1150" s="76"/>
      <c r="AN1150" s="76"/>
      <c r="AO1150" s="76"/>
      <c r="AP1150" s="76"/>
      <c r="AQ1150" s="76"/>
      <c r="AR1150" s="76"/>
      <c r="AS1150" s="76"/>
      <c r="AT1150" s="76"/>
      <c r="AU1150" s="76"/>
      <c r="AV1150" s="76"/>
      <c r="AW1150" s="76"/>
      <c r="AX1150" s="76"/>
      <c r="AY1150" s="76"/>
      <c r="AZ1150" s="76"/>
      <c r="BA1150" s="76"/>
      <c r="BB1150" s="76"/>
    </row>
    <row r="1151" spans="5:54" x14ac:dyDescent="0.35">
      <c r="E1151" s="83"/>
      <c r="F1151" s="83"/>
      <c r="G1151" s="76"/>
      <c r="H1151" s="76"/>
      <c r="I1151" s="76"/>
      <c r="J1151" s="76"/>
      <c r="K1151" s="76"/>
      <c r="L1151" s="76"/>
      <c r="M1151" s="76"/>
      <c r="N1151" s="76"/>
      <c r="O1151" s="76"/>
      <c r="P1151" s="76"/>
      <c r="Q1151" s="76"/>
      <c r="R1151" s="76"/>
      <c r="S1151" s="76"/>
      <c r="T1151" s="76"/>
      <c r="U1151" s="76"/>
      <c r="V1151" s="76"/>
      <c r="W1151" s="76"/>
      <c r="X1151" s="76"/>
      <c r="Y1151" s="76"/>
      <c r="Z1151" s="76"/>
      <c r="AA1151" s="76"/>
      <c r="AB1151" s="76"/>
      <c r="AC1151" s="76"/>
      <c r="AD1151" s="76"/>
      <c r="AE1151" s="76"/>
      <c r="AF1151" s="76"/>
      <c r="AG1151" s="76"/>
      <c r="AH1151" s="76"/>
      <c r="AI1151" s="76"/>
      <c r="AJ1151" s="76"/>
      <c r="AK1151" s="76"/>
      <c r="AL1151" s="76"/>
      <c r="AM1151" s="76"/>
      <c r="AN1151" s="76"/>
      <c r="AO1151" s="76"/>
      <c r="AP1151" s="76"/>
      <c r="AQ1151" s="76"/>
      <c r="AR1151" s="76"/>
      <c r="AS1151" s="76"/>
      <c r="AT1151" s="76"/>
      <c r="AU1151" s="76"/>
      <c r="AV1151" s="76"/>
      <c r="AW1151" s="76"/>
      <c r="AX1151" s="76"/>
      <c r="AY1151" s="76"/>
      <c r="AZ1151" s="76"/>
      <c r="BA1151" s="76"/>
      <c r="BB1151" s="76"/>
    </row>
    <row r="1152" spans="5:54" x14ac:dyDescent="0.35">
      <c r="E1152" s="83"/>
      <c r="F1152" s="83"/>
      <c r="G1152" s="76"/>
      <c r="H1152" s="76"/>
      <c r="I1152" s="76"/>
      <c r="J1152" s="76"/>
      <c r="K1152" s="76"/>
      <c r="L1152" s="76"/>
      <c r="M1152" s="76"/>
      <c r="N1152" s="76"/>
      <c r="O1152" s="76"/>
      <c r="P1152" s="76"/>
      <c r="Q1152" s="76"/>
      <c r="R1152" s="76"/>
      <c r="S1152" s="76"/>
      <c r="T1152" s="76"/>
      <c r="U1152" s="76"/>
      <c r="V1152" s="76"/>
      <c r="W1152" s="76"/>
      <c r="X1152" s="76"/>
      <c r="Y1152" s="76"/>
      <c r="Z1152" s="76"/>
      <c r="AA1152" s="76"/>
      <c r="AB1152" s="76"/>
      <c r="AC1152" s="76"/>
      <c r="AD1152" s="76"/>
      <c r="AE1152" s="76"/>
      <c r="AF1152" s="76"/>
      <c r="AG1152" s="76"/>
      <c r="AH1152" s="76"/>
      <c r="AI1152" s="76"/>
      <c r="AJ1152" s="76"/>
      <c r="AK1152" s="76"/>
      <c r="AL1152" s="76"/>
      <c r="AM1152" s="76"/>
      <c r="AN1152" s="76"/>
      <c r="AO1152" s="76"/>
      <c r="AP1152" s="76"/>
      <c r="AQ1152" s="76"/>
      <c r="AR1152" s="76"/>
      <c r="AS1152" s="76"/>
      <c r="AT1152" s="76"/>
      <c r="AU1152" s="76"/>
      <c r="AV1152" s="76"/>
      <c r="AW1152" s="76"/>
      <c r="AX1152" s="76"/>
      <c r="AY1152" s="76"/>
      <c r="AZ1152" s="76"/>
      <c r="BA1152" s="76"/>
      <c r="BB1152" s="76"/>
    </row>
    <row r="1153" spans="5:54" x14ac:dyDescent="0.35">
      <c r="E1153" s="83"/>
      <c r="F1153" s="83"/>
      <c r="G1153" s="76"/>
      <c r="H1153" s="76"/>
      <c r="I1153" s="76"/>
      <c r="J1153" s="76"/>
      <c r="K1153" s="76"/>
      <c r="L1153" s="76"/>
      <c r="M1153" s="76"/>
      <c r="N1153" s="76"/>
      <c r="O1153" s="76"/>
      <c r="P1153" s="76"/>
      <c r="Q1153" s="76"/>
      <c r="R1153" s="76"/>
      <c r="S1153" s="76"/>
      <c r="T1153" s="76"/>
      <c r="U1153" s="76"/>
      <c r="V1153" s="76"/>
      <c r="W1153" s="76"/>
      <c r="X1153" s="76"/>
      <c r="Y1153" s="76"/>
      <c r="Z1153" s="76"/>
      <c r="AA1153" s="76"/>
      <c r="AB1153" s="76"/>
      <c r="AC1153" s="76"/>
      <c r="AD1153" s="76"/>
      <c r="AE1153" s="76"/>
      <c r="AF1153" s="76"/>
      <c r="AG1153" s="76"/>
      <c r="AH1153" s="76"/>
      <c r="AI1153" s="76"/>
      <c r="AJ1153" s="76"/>
      <c r="AK1153" s="76"/>
      <c r="AL1153" s="76"/>
      <c r="AM1153" s="76"/>
      <c r="AN1153" s="76"/>
      <c r="AO1153" s="76"/>
      <c r="AP1153" s="76"/>
      <c r="AQ1153" s="76"/>
      <c r="AR1153" s="76"/>
      <c r="AS1153" s="76"/>
      <c r="AT1153" s="76"/>
      <c r="AU1153" s="76"/>
      <c r="AV1153" s="76"/>
      <c r="AW1153" s="76"/>
      <c r="AX1153" s="76"/>
      <c r="AY1153" s="76"/>
      <c r="AZ1153" s="76"/>
      <c r="BA1153" s="76"/>
      <c r="BB1153" s="76"/>
    </row>
    <row r="1154" spans="5:54" x14ac:dyDescent="0.35">
      <c r="E1154" s="83"/>
      <c r="F1154" s="83"/>
      <c r="G1154" s="76"/>
      <c r="H1154" s="76"/>
      <c r="I1154" s="76"/>
      <c r="J1154" s="76"/>
      <c r="K1154" s="76"/>
      <c r="L1154" s="76"/>
      <c r="M1154" s="76"/>
      <c r="N1154" s="76"/>
      <c r="O1154" s="76"/>
      <c r="P1154" s="76"/>
      <c r="Q1154" s="76"/>
      <c r="R1154" s="76"/>
      <c r="S1154" s="76"/>
      <c r="T1154" s="76"/>
      <c r="U1154" s="76"/>
      <c r="V1154" s="76"/>
      <c r="W1154" s="76"/>
      <c r="X1154" s="76"/>
      <c r="Y1154" s="76"/>
      <c r="Z1154" s="76"/>
      <c r="AA1154" s="76"/>
      <c r="AB1154" s="76"/>
      <c r="AC1154" s="76"/>
      <c r="AD1154" s="76"/>
      <c r="AE1154" s="76"/>
      <c r="AF1154" s="76"/>
      <c r="AG1154" s="76"/>
      <c r="AH1154" s="76"/>
      <c r="AI1154" s="76"/>
      <c r="AJ1154" s="76"/>
      <c r="AK1154" s="76"/>
      <c r="AL1154" s="76"/>
      <c r="AM1154" s="76"/>
      <c r="AN1154" s="76"/>
      <c r="AO1154" s="76"/>
      <c r="AP1154" s="76"/>
      <c r="AQ1154" s="76"/>
      <c r="AR1154" s="76"/>
      <c r="AS1154" s="76"/>
      <c r="AT1154" s="76"/>
      <c r="AU1154" s="76"/>
      <c r="AV1154" s="76"/>
      <c r="AW1154" s="76"/>
      <c r="AX1154" s="76"/>
      <c r="AY1154" s="76"/>
      <c r="AZ1154" s="76"/>
      <c r="BA1154" s="76"/>
      <c r="BB1154" s="76"/>
    </row>
    <row r="1155" spans="5:54" x14ac:dyDescent="0.35">
      <c r="E1155" s="83"/>
      <c r="F1155" s="83"/>
      <c r="G1155" s="76"/>
      <c r="H1155" s="76"/>
      <c r="I1155" s="76"/>
      <c r="J1155" s="76"/>
      <c r="K1155" s="76"/>
      <c r="L1155" s="76"/>
      <c r="M1155" s="76"/>
      <c r="N1155" s="76"/>
      <c r="O1155" s="76"/>
      <c r="P1155" s="76"/>
      <c r="Q1155" s="76"/>
      <c r="R1155" s="76"/>
      <c r="S1155" s="76"/>
      <c r="T1155" s="76"/>
      <c r="U1155" s="76"/>
      <c r="V1155" s="76"/>
      <c r="W1155" s="76"/>
      <c r="X1155" s="76"/>
      <c r="Y1155" s="76"/>
      <c r="Z1155" s="76"/>
      <c r="AA1155" s="76"/>
      <c r="AB1155" s="76"/>
      <c r="AC1155" s="76"/>
      <c r="AD1155" s="76"/>
      <c r="AE1155" s="76"/>
      <c r="AF1155" s="76"/>
      <c r="AG1155" s="76"/>
      <c r="AH1155" s="76"/>
      <c r="AI1155" s="76"/>
      <c r="AJ1155" s="76"/>
      <c r="AK1155" s="76"/>
      <c r="AL1155" s="76"/>
      <c r="AM1155" s="76"/>
      <c r="AN1155" s="76"/>
      <c r="AO1155" s="76"/>
      <c r="AP1155" s="76"/>
      <c r="AQ1155" s="76"/>
      <c r="AR1155" s="76"/>
      <c r="AS1155" s="76"/>
      <c r="AT1155" s="76"/>
      <c r="AU1155" s="76"/>
      <c r="AV1155" s="76"/>
      <c r="AW1155" s="76"/>
      <c r="AX1155" s="76"/>
      <c r="AY1155" s="76"/>
      <c r="AZ1155" s="76"/>
      <c r="BA1155" s="76"/>
      <c r="BB1155" s="76"/>
    </row>
    <row r="1156" spans="5:54" x14ac:dyDescent="0.35">
      <c r="E1156" s="83"/>
      <c r="F1156" s="83"/>
      <c r="G1156" s="76"/>
      <c r="H1156" s="76"/>
      <c r="I1156" s="76"/>
      <c r="J1156" s="76"/>
      <c r="K1156" s="76"/>
      <c r="L1156" s="76"/>
      <c r="M1156" s="76"/>
      <c r="N1156" s="76"/>
      <c r="O1156" s="76"/>
      <c r="P1156" s="76"/>
      <c r="Q1156" s="76"/>
      <c r="R1156" s="76"/>
      <c r="S1156" s="76"/>
      <c r="T1156" s="76"/>
      <c r="U1156" s="76"/>
      <c r="V1156" s="76"/>
      <c r="W1156" s="76"/>
      <c r="X1156" s="76"/>
      <c r="Y1156" s="76"/>
      <c r="Z1156" s="76"/>
      <c r="AA1156" s="76"/>
      <c r="AB1156" s="76"/>
      <c r="AC1156" s="76"/>
      <c r="AD1156" s="76"/>
      <c r="AE1156" s="76"/>
      <c r="AF1156" s="76"/>
      <c r="AG1156" s="76"/>
      <c r="AH1156" s="76"/>
      <c r="AI1156" s="76"/>
      <c r="AJ1156" s="76"/>
      <c r="AK1156" s="76"/>
      <c r="AL1156" s="76"/>
      <c r="AM1156" s="76"/>
      <c r="AN1156" s="76"/>
      <c r="AO1156" s="76"/>
      <c r="AP1156" s="76"/>
      <c r="AQ1156" s="76"/>
      <c r="AR1156" s="76"/>
      <c r="AS1156" s="76"/>
      <c r="AT1156" s="76"/>
      <c r="AU1156" s="76"/>
      <c r="AV1156" s="76"/>
      <c r="AW1156" s="76"/>
      <c r="AX1156" s="76"/>
      <c r="AY1156" s="76"/>
      <c r="AZ1156" s="76"/>
      <c r="BA1156" s="76"/>
      <c r="BB1156" s="76"/>
    </row>
    <row r="1157" spans="5:54" x14ac:dyDescent="0.35">
      <c r="E1157" s="83"/>
      <c r="F1157" s="83"/>
      <c r="G1157" s="76"/>
      <c r="H1157" s="76"/>
      <c r="I1157" s="76"/>
      <c r="J1157" s="76"/>
      <c r="K1157" s="76"/>
      <c r="L1157" s="76"/>
      <c r="M1157" s="76"/>
      <c r="N1157" s="76"/>
      <c r="O1157" s="76"/>
      <c r="P1157" s="76"/>
      <c r="Q1157" s="76"/>
      <c r="R1157" s="76"/>
      <c r="S1157" s="76"/>
      <c r="T1157" s="76"/>
      <c r="U1157" s="76"/>
      <c r="V1157" s="76"/>
      <c r="W1157" s="76"/>
      <c r="X1157" s="76"/>
      <c r="Y1157" s="76"/>
      <c r="Z1157" s="76"/>
      <c r="AA1157" s="76"/>
      <c r="AB1157" s="76"/>
      <c r="AC1157" s="76"/>
      <c r="AD1157" s="76"/>
      <c r="AE1157" s="76"/>
      <c r="AF1157" s="76"/>
      <c r="AG1157" s="76"/>
      <c r="AH1157" s="76"/>
      <c r="AI1157" s="76"/>
      <c r="AJ1157" s="76"/>
      <c r="AK1157" s="76"/>
      <c r="AL1157" s="76"/>
      <c r="AM1157" s="76"/>
      <c r="AN1157" s="76"/>
      <c r="AO1157" s="76"/>
      <c r="AP1157" s="76"/>
      <c r="AQ1157" s="76"/>
      <c r="AR1157" s="76"/>
      <c r="AS1157" s="76"/>
      <c r="AT1157" s="76"/>
      <c r="AU1157" s="76"/>
      <c r="AV1157" s="76"/>
      <c r="AW1157" s="76"/>
      <c r="AX1157" s="76"/>
      <c r="AY1157" s="76"/>
      <c r="AZ1157" s="76"/>
      <c r="BA1157" s="76"/>
      <c r="BB1157" s="76"/>
    </row>
    <row r="1158" spans="5:54" x14ac:dyDescent="0.35">
      <c r="E1158" s="83"/>
      <c r="F1158" s="83"/>
      <c r="G1158" s="76"/>
      <c r="H1158" s="76"/>
      <c r="I1158" s="76"/>
      <c r="J1158" s="76"/>
      <c r="K1158" s="76"/>
      <c r="L1158" s="76"/>
      <c r="M1158" s="76"/>
      <c r="N1158" s="76"/>
      <c r="O1158" s="76"/>
      <c r="P1158" s="76"/>
      <c r="Q1158" s="76"/>
      <c r="R1158" s="76"/>
      <c r="S1158" s="76"/>
      <c r="T1158" s="76"/>
      <c r="U1158" s="76"/>
      <c r="V1158" s="76"/>
      <c r="W1158" s="76"/>
      <c r="X1158" s="76"/>
      <c r="Y1158" s="76"/>
      <c r="Z1158" s="76"/>
      <c r="AA1158" s="76"/>
      <c r="AB1158" s="76"/>
      <c r="AC1158" s="76"/>
      <c r="AD1158" s="76"/>
      <c r="AE1158" s="76"/>
      <c r="AF1158" s="76"/>
      <c r="AG1158" s="76"/>
      <c r="AH1158" s="76"/>
      <c r="AI1158" s="76"/>
      <c r="AJ1158" s="76"/>
      <c r="AK1158" s="76"/>
      <c r="AL1158" s="76"/>
      <c r="AM1158" s="76"/>
      <c r="AN1158" s="76"/>
      <c r="AO1158" s="76"/>
      <c r="AP1158" s="76"/>
      <c r="AQ1158" s="76"/>
      <c r="AR1158" s="76"/>
      <c r="AS1158" s="76"/>
      <c r="AT1158" s="76"/>
      <c r="AU1158" s="76"/>
      <c r="AV1158" s="76"/>
      <c r="AW1158" s="76"/>
      <c r="AX1158" s="76"/>
      <c r="AY1158" s="76"/>
      <c r="AZ1158" s="76"/>
      <c r="BA1158" s="76"/>
      <c r="BB1158" s="76"/>
    </row>
    <row r="1159" spans="5:54" x14ac:dyDescent="0.35">
      <c r="E1159" s="83"/>
      <c r="F1159" s="83"/>
      <c r="G1159" s="76"/>
      <c r="H1159" s="76"/>
      <c r="I1159" s="76"/>
      <c r="J1159" s="76"/>
      <c r="K1159" s="76"/>
      <c r="L1159" s="76"/>
      <c r="M1159" s="76"/>
      <c r="N1159" s="76"/>
      <c r="O1159" s="76"/>
      <c r="P1159" s="76"/>
      <c r="Q1159" s="76"/>
      <c r="R1159" s="76"/>
      <c r="S1159" s="76"/>
      <c r="T1159" s="76"/>
      <c r="U1159" s="76"/>
      <c r="V1159" s="76"/>
      <c r="W1159" s="76"/>
      <c r="X1159" s="76"/>
      <c r="Y1159" s="76"/>
      <c r="Z1159" s="76"/>
      <c r="AA1159" s="76"/>
      <c r="AB1159" s="76"/>
      <c r="AC1159" s="76"/>
      <c r="AD1159" s="76"/>
      <c r="AE1159" s="76"/>
      <c r="AF1159" s="76"/>
      <c r="AG1159" s="76"/>
      <c r="AH1159" s="76"/>
      <c r="AI1159" s="76"/>
      <c r="AJ1159" s="76"/>
      <c r="AK1159" s="76"/>
      <c r="AL1159" s="76"/>
      <c r="AM1159" s="76"/>
      <c r="AN1159" s="76"/>
      <c r="AO1159" s="76"/>
      <c r="AP1159" s="76"/>
      <c r="AQ1159" s="76"/>
      <c r="AR1159" s="76"/>
      <c r="AS1159" s="76"/>
      <c r="AT1159" s="76"/>
      <c r="AU1159" s="76"/>
      <c r="AV1159" s="76"/>
      <c r="AW1159" s="76"/>
      <c r="AX1159" s="76"/>
      <c r="AY1159" s="76"/>
      <c r="AZ1159" s="76"/>
      <c r="BA1159" s="76"/>
      <c r="BB1159" s="76"/>
    </row>
    <row r="1160" spans="5:54" x14ac:dyDescent="0.35">
      <c r="E1160" s="83"/>
      <c r="F1160" s="83"/>
      <c r="G1160" s="76"/>
      <c r="H1160" s="76"/>
      <c r="I1160" s="76"/>
      <c r="J1160" s="76"/>
      <c r="K1160" s="76"/>
      <c r="L1160" s="76"/>
      <c r="M1160" s="76"/>
      <c r="N1160" s="76"/>
      <c r="O1160" s="76"/>
      <c r="P1160" s="76"/>
      <c r="Q1160" s="76"/>
      <c r="R1160" s="76"/>
      <c r="S1160" s="76"/>
      <c r="T1160" s="76"/>
      <c r="U1160" s="76"/>
      <c r="V1160" s="76"/>
      <c r="W1160" s="76"/>
      <c r="X1160" s="76"/>
      <c r="Y1160" s="76"/>
      <c r="Z1160" s="76"/>
      <c r="AA1160" s="76"/>
      <c r="AB1160" s="76"/>
      <c r="AC1160" s="76"/>
      <c r="AD1160" s="76"/>
      <c r="AE1160" s="76"/>
      <c r="AF1160" s="76"/>
      <c r="AG1160" s="76"/>
      <c r="AH1160" s="76"/>
      <c r="AI1160" s="76"/>
      <c r="AJ1160" s="76"/>
      <c r="AK1160" s="76"/>
      <c r="AL1160" s="76"/>
      <c r="AM1160" s="76"/>
      <c r="AN1160" s="76"/>
      <c r="AO1160" s="76"/>
      <c r="AP1160" s="76"/>
      <c r="AQ1160" s="76"/>
      <c r="AR1160" s="76"/>
      <c r="AS1160" s="76"/>
      <c r="AT1160" s="76"/>
      <c r="AU1160" s="76"/>
      <c r="AV1160" s="76"/>
      <c r="AW1160" s="76"/>
      <c r="AX1160" s="76"/>
      <c r="AY1160" s="76"/>
      <c r="AZ1160" s="76"/>
      <c r="BA1160" s="76"/>
      <c r="BB1160" s="76"/>
    </row>
    <row r="1161" spans="5:54" x14ac:dyDescent="0.35">
      <c r="E1161" s="83"/>
      <c r="F1161" s="83"/>
      <c r="G1161" s="76"/>
      <c r="H1161" s="76"/>
      <c r="I1161" s="76"/>
      <c r="J1161" s="76"/>
      <c r="K1161" s="76"/>
      <c r="L1161" s="76"/>
      <c r="M1161" s="76"/>
      <c r="N1161" s="76"/>
      <c r="O1161" s="76"/>
      <c r="P1161" s="76"/>
      <c r="Q1161" s="76"/>
      <c r="R1161" s="76"/>
      <c r="S1161" s="76"/>
      <c r="T1161" s="76"/>
      <c r="U1161" s="76"/>
      <c r="V1161" s="76"/>
      <c r="W1161" s="76"/>
      <c r="X1161" s="76"/>
      <c r="Y1161" s="76"/>
      <c r="Z1161" s="76"/>
      <c r="AA1161" s="76"/>
      <c r="AB1161" s="76"/>
      <c r="AC1161" s="76"/>
      <c r="AD1161" s="76"/>
      <c r="AE1161" s="76"/>
      <c r="AF1161" s="76"/>
      <c r="AG1161" s="76"/>
      <c r="AH1161" s="76"/>
      <c r="AI1161" s="76"/>
      <c r="AJ1161" s="76"/>
      <c r="AK1161" s="76"/>
      <c r="AL1161" s="76"/>
      <c r="AM1161" s="76"/>
      <c r="AN1161" s="76"/>
      <c r="AO1161" s="76"/>
      <c r="AP1161" s="76"/>
      <c r="AQ1161" s="76"/>
      <c r="AR1161" s="76"/>
      <c r="AS1161" s="76"/>
      <c r="AT1161" s="76"/>
      <c r="AU1161" s="76"/>
      <c r="AV1161" s="76"/>
      <c r="AW1161" s="76"/>
      <c r="AX1161" s="76"/>
      <c r="AY1161" s="76"/>
      <c r="AZ1161" s="76"/>
      <c r="BA1161" s="76"/>
      <c r="BB1161" s="76"/>
    </row>
    <row r="1162" spans="5:54" x14ac:dyDescent="0.35">
      <c r="E1162" s="83"/>
      <c r="F1162" s="83"/>
      <c r="G1162" s="76"/>
      <c r="H1162" s="76"/>
      <c r="I1162" s="76"/>
      <c r="J1162" s="76"/>
      <c r="K1162" s="76"/>
      <c r="L1162" s="76"/>
      <c r="M1162" s="76"/>
      <c r="N1162" s="76"/>
      <c r="O1162" s="76"/>
      <c r="P1162" s="76"/>
      <c r="Q1162" s="76"/>
      <c r="R1162" s="76"/>
      <c r="S1162" s="76"/>
      <c r="T1162" s="76"/>
      <c r="U1162" s="76"/>
      <c r="V1162" s="76"/>
      <c r="W1162" s="76"/>
      <c r="X1162" s="76"/>
      <c r="Y1162" s="76"/>
      <c r="Z1162" s="76"/>
      <c r="AA1162" s="76"/>
      <c r="AB1162" s="76"/>
      <c r="AC1162" s="76"/>
      <c r="AD1162" s="76"/>
      <c r="AE1162" s="76"/>
      <c r="AF1162" s="76"/>
      <c r="AG1162" s="76"/>
      <c r="AH1162" s="76"/>
      <c r="AI1162" s="76"/>
      <c r="AJ1162" s="76"/>
      <c r="AK1162" s="76"/>
      <c r="AL1162" s="76"/>
      <c r="AM1162" s="76"/>
      <c r="AN1162" s="76"/>
      <c r="AO1162" s="76"/>
      <c r="AP1162" s="76"/>
      <c r="AQ1162" s="76"/>
      <c r="AR1162" s="76"/>
      <c r="AS1162" s="76"/>
      <c r="AT1162" s="76"/>
      <c r="AU1162" s="76"/>
      <c r="AV1162" s="76"/>
      <c r="AW1162" s="76"/>
      <c r="AX1162" s="76"/>
      <c r="AY1162" s="76"/>
      <c r="AZ1162" s="76"/>
      <c r="BA1162" s="76"/>
      <c r="BB1162" s="76"/>
    </row>
    <row r="1163" spans="5:54" x14ac:dyDescent="0.35">
      <c r="E1163" s="83"/>
      <c r="F1163" s="83"/>
      <c r="G1163" s="76"/>
      <c r="H1163" s="76"/>
      <c r="I1163" s="76"/>
      <c r="J1163" s="76"/>
      <c r="K1163" s="76"/>
      <c r="L1163" s="76"/>
      <c r="M1163" s="76"/>
      <c r="N1163" s="76"/>
      <c r="O1163" s="76"/>
      <c r="P1163" s="76"/>
      <c r="Q1163" s="76"/>
      <c r="R1163" s="76"/>
      <c r="S1163" s="76"/>
      <c r="T1163" s="76"/>
      <c r="U1163" s="76"/>
      <c r="V1163" s="76"/>
      <c r="W1163" s="76"/>
      <c r="X1163" s="76"/>
      <c r="Y1163" s="76"/>
      <c r="Z1163" s="76"/>
      <c r="AA1163" s="76"/>
      <c r="AB1163" s="76"/>
      <c r="AC1163" s="76"/>
      <c r="AD1163" s="76"/>
      <c r="AE1163" s="76"/>
      <c r="AF1163" s="76"/>
      <c r="AG1163" s="76"/>
      <c r="AH1163" s="76"/>
      <c r="AI1163" s="76"/>
      <c r="AJ1163" s="76"/>
      <c r="AK1163" s="76"/>
      <c r="AL1163" s="76"/>
      <c r="AM1163" s="76"/>
      <c r="AN1163" s="76"/>
      <c r="AO1163" s="76"/>
      <c r="AP1163" s="76"/>
      <c r="AQ1163" s="76"/>
      <c r="AR1163" s="76"/>
      <c r="AS1163" s="76"/>
      <c r="AT1163" s="76"/>
      <c r="AU1163" s="76"/>
      <c r="AV1163" s="76"/>
      <c r="AW1163" s="76"/>
      <c r="AX1163" s="76"/>
      <c r="AY1163" s="76"/>
      <c r="AZ1163" s="76"/>
      <c r="BA1163" s="76"/>
      <c r="BB1163" s="76"/>
    </row>
    <row r="1164" spans="5:54" x14ac:dyDescent="0.35">
      <c r="E1164" s="83"/>
      <c r="F1164" s="83"/>
      <c r="G1164" s="76"/>
      <c r="H1164" s="76"/>
      <c r="I1164" s="76"/>
      <c r="J1164" s="76"/>
      <c r="K1164" s="76"/>
      <c r="L1164" s="76"/>
      <c r="M1164" s="76"/>
      <c r="N1164" s="76"/>
      <c r="O1164" s="76"/>
      <c r="P1164" s="76"/>
      <c r="Q1164" s="76"/>
      <c r="R1164" s="76"/>
      <c r="S1164" s="76"/>
      <c r="T1164" s="76"/>
      <c r="U1164" s="76"/>
      <c r="V1164" s="76"/>
      <c r="W1164" s="76"/>
      <c r="X1164" s="76"/>
      <c r="Y1164" s="76"/>
      <c r="Z1164" s="76"/>
      <c r="AA1164" s="76"/>
      <c r="AB1164" s="76"/>
      <c r="AC1164" s="76"/>
      <c r="AD1164" s="76"/>
      <c r="AE1164" s="76"/>
      <c r="AF1164" s="76"/>
      <c r="AG1164" s="76"/>
      <c r="AH1164" s="76"/>
      <c r="AI1164" s="76"/>
      <c r="AJ1164" s="76"/>
      <c r="AK1164" s="76"/>
      <c r="AL1164" s="76"/>
      <c r="AM1164" s="76"/>
      <c r="AN1164" s="76"/>
      <c r="AO1164" s="76"/>
      <c r="AP1164" s="76"/>
      <c r="AQ1164" s="76"/>
      <c r="AR1164" s="76"/>
      <c r="AS1164" s="76"/>
      <c r="AT1164" s="76"/>
      <c r="AU1164" s="76"/>
      <c r="AV1164" s="76"/>
      <c r="AW1164" s="76"/>
      <c r="AX1164" s="76"/>
      <c r="AY1164" s="76"/>
      <c r="AZ1164" s="76"/>
      <c r="BA1164" s="76"/>
      <c r="BB1164" s="76"/>
    </row>
    <row r="1165" spans="5:54" x14ac:dyDescent="0.35">
      <c r="E1165" s="83"/>
      <c r="F1165" s="83"/>
      <c r="G1165" s="76"/>
      <c r="H1165" s="76"/>
      <c r="I1165" s="76"/>
      <c r="J1165" s="76"/>
      <c r="K1165" s="76"/>
      <c r="L1165" s="76"/>
      <c r="M1165" s="76"/>
      <c r="N1165" s="76"/>
      <c r="O1165" s="76"/>
      <c r="P1165" s="76"/>
      <c r="Q1165" s="76"/>
      <c r="R1165" s="76"/>
      <c r="S1165" s="76"/>
      <c r="T1165" s="76"/>
      <c r="U1165" s="76"/>
      <c r="V1165" s="76"/>
      <c r="W1165" s="76"/>
      <c r="X1165" s="76"/>
      <c r="Y1165" s="76"/>
      <c r="Z1165" s="76"/>
      <c r="AA1165" s="76"/>
      <c r="AB1165" s="76"/>
      <c r="AC1165" s="76"/>
      <c r="AD1165" s="76"/>
      <c r="AE1165" s="76"/>
      <c r="AF1165" s="76"/>
      <c r="AG1165" s="76"/>
      <c r="AH1165" s="76"/>
      <c r="AI1165" s="76"/>
      <c r="AJ1165" s="76"/>
      <c r="AK1165" s="76"/>
      <c r="AL1165" s="76"/>
      <c r="AM1165" s="76"/>
      <c r="AN1165" s="76"/>
      <c r="AO1165" s="76"/>
      <c r="AP1165" s="76"/>
      <c r="AQ1165" s="76"/>
      <c r="AR1165" s="76"/>
      <c r="AS1165" s="76"/>
      <c r="AT1165" s="76"/>
      <c r="AU1165" s="76"/>
      <c r="AV1165" s="76"/>
      <c r="AW1165" s="76"/>
      <c r="AX1165" s="76"/>
      <c r="AY1165" s="76"/>
      <c r="AZ1165" s="76"/>
      <c r="BA1165" s="76"/>
      <c r="BB1165" s="76"/>
    </row>
    <row r="1166" spans="5:54" x14ac:dyDescent="0.35">
      <c r="E1166" s="83"/>
      <c r="F1166" s="83"/>
      <c r="G1166" s="76"/>
      <c r="H1166" s="76"/>
      <c r="I1166" s="76"/>
      <c r="J1166" s="76"/>
      <c r="K1166" s="76"/>
      <c r="L1166" s="76"/>
      <c r="M1166" s="76"/>
      <c r="N1166" s="76"/>
      <c r="O1166" s="76"/>
      <c r="P1166" s="76"/>
      <c r="Q1166" s="76"/>
      <c r="R1166" s="76"/>
      <c r="S1166" s="76"/>
      <c r="T1166" s="76"/>
      <c r="U1166" s="76"/>
      <c r="V1166" s="76"/>
      <c r="W1166" s="76"/>
      <c r="X1166" s="76"/>
      <c r="Y1166" s="76"/>
      <c r="Z1166" s="76"/>
      <c r="AA1166" s="76"/>
      <c r="AB1166" s="76"/>
      <c r="AC1166" s="76"/>
      <c r="AD1166" s="76"/>
      <c r="AE1166" s="76"/>
      <c r="AF1166" s="76"/>
      <c r="AG1166" s="76"/>
      <c r="AH1166" s="76"/>
      <c r="AI1166" s="76"/>
      <c r="AJ1166" s="76"/>
      <c r="AK1166" s="76"/>
      <c r="AL1166" s="76"/>
      <c r="AM1166" s="76"/>
      <c r="AN1166" s="76"/>
      <c r="AO1166" s="76"/>
      <c r="AP1166" s="76"/>
      <c r="AQ1166" s="76"/>
      <c r="AR1166" s="76"/>
      <c r="AS1166" s="76"/>
      <c r="AT1166" s="76"/>
      <c r="AU1166" s="76"/>
      <c r="AV1166" s="76"/>
      <c r="AW1166" s="76"/>
      <c r="AX1166" s="76"/>
      <c r="AY1166" s="76"/>
      <c r="AZ1166" s="76"/>
      <c r="BA1166" s="76"/>
      <c r="BB1166" s="76"/>
    </row>
    <row r="1167" spans="5:54" x14ac:dyDescent="0.35">
      <c r="E1167" s="83"/>
      <c r="F1167" s="83"/>
      <c r="G1167" s="76"/>
      <c r="H1167" s="76"/>
      <c r="I1167" s="76"/>
      <c r="J1167" s="76"/>
      <c r="K1167" s="76"/>
      <c r="L1167" s="76"/>
      <c r="M1167" s="76"/>
      <c r="N1167" s="76"/>
      <c r="O1167" s="76"/>
      <c r="P1167" s="76"/>
      <c r="Q1167" s="76"/>
      <c r="R1167" s="76"/>
      <c r="S1167" s="76"/>
      <c r="T1167" s="76"/>
      <c r="U1167" s="76"/>
      <c r="V1167" s="76"/>
      <c r="W1167" s="76"/>
      <c r="X1167" s="76"/>
      <c r="Y1167" s="76"/>
      <c r="Z1167" s="76"/>
      <c r="AA1167" s="76"/>
      <c r="AB1167" s="76"/>
      <c r="AC1167" s="76"/>
      <c r="AD1167" s="76"/>
      <c r="AE1167" s="76"/>
      <c r="AF1167" s="76"/>
      <c r="AG1167" s="76"/>
      <c r="AH1167" s="76"/>
      <c r="AI1167" s="76"/>
      <c r="AJ1167" s="76"/>
      <c r="AK1167" s="76"/>
      <c r="AL1167" s="76"/>
      <c r="AM1167" s="76"/>
      <c r="AN1167" s="76"/>
      <c r="AO1167" s="76"/>
      <c r="AP1167" s="76"/>
      <c r="AQ1167" s="76"/>
      <c r="AR1167" s="76"/>
      <c r="AS1167" s="76"/>
      <c r="AT1167" s="76"/>
      <c r="AU1167" s="76"/>
      <c r="AV1167" s="76"/>
      <c r="AW1167" s="76"/>
      <c r="AX1167" s="76"/>
      <c r="AY1167" s="76"/>
      <c r="AZ1167" s="76"/>
      <c r="BA1167" s="76"/>
      <c r="BB1167" s="76"/>
    </row>
    <row r="1168" spans="5:54" x14ac:dyDescent="0.35">
      <c r="E1168" s="83"/>
      <c r="F1168" s="83"/>
      <c r="G1168" s="76"/>
      <c r="H1168" s="76"/>
      <c r="I1168" s="76"/>
      <c r="J1168" s="76"/>
      <c r="K1168" s="76"/>
      <c r="L1168" s="76"/>
      <c r="M1168" s="76"/>
      <c r="N1168" s="76"/>
      <c r="O1168" s="76"/>
      <c r="P1168" s="76"/>
      <c r="Q1168" s="76"/>
      <c r="R1168" s="76"/>
      <c r="S1168" s="76"/>
      <c r="T1168" s="76"/>
      <c r="U1168" s="76"/>
      <c r="V1168" s="76"/>
      <c r="W1168" s="76"/>
      <c r="X1168" s="76"/>
      <c r="Y1168" s="76"/>
      <c r="Z1168" s="76"/>
      <c r="AA1168" s="76"/>
      <c r="AB1168" s="76"/>
      <c r="AC1168" s="76"/>
      <c r="AD1168" s="76"/>
      <c r="AE1168" s="76"/>
      <c r="AF1168" s="76"/>
      <c r="AG1168" s="76"/>
      <c r="AH1168" s="76"/>
      <c r="AI1168" s="76"/>
      <c r="AJ1168" s="76"/>
      <c r="AK1168" s="76"/>
      <c r="AL1168" s="76"/>
      <c r="AM1168" s="76"/>
      <c r="AN1168" s="76"/>
      <c r="AO1168" s="76"/>
      <c r="AP1168" s="76"/>
      <c r="AQ1168" s="76"/>
      <c r="AR1168" s="76"/>
      <c r="AS1168" s="76"/>
      <c r="AT1168" s="76"/>
      <c r="AU1168" s="76"/>
      <c r="AV1168" s="76"/>
      <c r="AW1168" s="76"/>
      <c r="AX1168" s="76"/>
      <c r="AY1168" s="76"/>
      <c r="AZ1168" s="76"/>
      <c r="BA1168" s="76"/>
      <c r="BB1168" s="76"/>
    </row>
    <row r="1169" spans="5:54" x14ac:dyDescent="0.35">
      <c r="E1169" s="83"/>
      <c r="F1169" s="83"/>
      <c r="G1169" s="76"/>
      <c r="H1169" s="76"/>
      <c r="I1169" s="76"/>
      <c r="J1169" s="76"/>
      <c r="K1169" s="76"/>
      <c r="L1169" s="76"/>
      <c r="M1169" s="76"/>
      <c r="N1169" s="76"/>
      <c r="O1169" s="76"/>
      <c r="P1169" s="76"/>
      <c r="Q1169" s="76"/>
      <c r="R1169" s="76"/>
      <c r="S1169" s="76"/>
      <c r="T1169" s="76"/>
      <c r="U1169" s="76"/>
      <c r="V1169" s="76"/>
      <c r="W1169" s="76"/>
      <c r="X1169" s="76"/>
      <c r="Y1169" s="76"/>
      <c r="Z1169" s="76"/>
      <c r="AA1169" s="76"/>
      <c r="AB1169" s="76"/>
      <c r="AC1169" s="76"/>
      <c r="AD1169" s="76"/>
      <c r="AE1169" s="76"/>
      <c r="AF1169" s="76"/>
      <c r="AG1169" s="76"/>
      <c r="AH1169" s="76"/>
      <c r="AI1169" s="76"/>
      <c r="AJ1169" s="76"/>
      <c r="AK1169" s="76"/>
      <c r="AL1169" s="76"/>
      <c r="AM1169" s="76"/>
      <c r="AN1169" s="76"/>
      <c r="AO1169" s="76"/>
      <c r="AP1169" s="76"/>
      <c r="AQ1169" s="76"/>
      <c r="AR1169" s="76"/>
      <c r="AS1169" s="76"/>
      <c r="AT1169" s="76"/>
      <c r="AU1169" s="76"/>
      <c r="AV1169" s="76"/>
      <c r="AW1169" s="76"/>
      <c r="AX1169" s="76"/>
      <c r="AY1169" s="76"/>
      <c r="AZ1169" s="76"/>
      <c r="BA1169" s="76"/>
      <c r="BB1169" s="76"/>
    </row>
    <row r="1170" spans="5:54" x14ac:dyDescent="0.35">
      <c r="E1170" s="83"/>
      <c r="F1170" s="83"/>
      <c r="G1170" s="76"/>
      <c r="H1170" s="76"/>
      <c r="I1170" s="76"/>
      <c r="J1170" s="76"/>
      <c r="K1170" s="76"/>
      <c r="L1170" s="76"/>
      <c r="M1170" s="76"/>
      <c r="N1170" s="76"/>
      <c r="O1170" s="76"/>
      <c r="P1170" s="76"/>
      <c r="Q1170" s="76"/>
      <c r="R1170" s="76"/>
      <c r="S1170" s="76"/>
      <c r="T1170" s="76"/>
      <c r="U1170" s="76"/>
      <c r="V1170" s="76"/>
      <c r="W1170" s="76"/>
      <c r="X1170" s="76"/>
      <c r="Y1170" s="76"/>
      <c r="Z1170" s="76"/>
      <c r="AA1170" s="76"/>
      <c r="AB1170" s="76"/>
      <c r="AC1170" s="76"/>
      <c r="AD1170" s="76"/>
      <c r="AE1170" s="76"/>
      <c r="AF1170" s="76"/>
      <c r="AG1170" s="76"/>
      <c r="AH1170" s="76"/>
      <c r="AI1170" s="76"/>
      <c r="AJ1170" s="76"/>
      <c r="AK1170" s="76"/>
      <c r="AL1170" s="76"/>
      <c r="AM1170" s="76"/>
      <c r="AN1170" s="76"/>
      <c r="AO1170" s="76"/>
      <c r="AP1170" s="76"/>
      <c r="AQ1170" s="76"/>
      <c r="AR1170" s="76"/>
      <c r="AS1170" s="76"/>
      <c r="AT1170" s="76"/>
      <c r="AU1170" s="76"/>
      <c r="AV1170" s="76"/>
      <c r="AW1170" s="76"/>
      <c r="AX1170" s="76"/>
      <c r="AY1170" s="76"/>
      <c r="AZ1170" s="76"/>
      <c r="BA1170" s="76"/>
      <c r="BB1170" s="76"/>
    </row>
    <row r="1171" spans="5:54" x14ac:dyDescent="0.35">
      <c r="E1171" s="83"/>
      <c r="F1171" s="83"/>
      <c r="G1171" s="76"/>
      <c r="H1171" s="76"/>
      <c r="I1171" s="76"/>
      <c r="J1171" s="76"/>
      <c r="K1171" s="76"/>
      <c r="L1171" s="76"/>
      <c r="M1171" s="76"/>
      <c r="N1171" s="76"/>
      <c r="O1171" s="76"/>
      <c r="P1171" s="76"/>
      <c r="Q1171" s="76"/>
      <c r="R1171" s="76"/>
      <c r="S1171" s="76"/>
      <c r="T1171" s="76"/>
      <c r="U1171" s="76"/>
      <c r="V1171" s="76"/>
      <c r="W1171" s="76"/>
      <c r="X1171" s="76"/>
      <c r="Y1171" s="76"/>
      <c r="Z1171" s="76"/>
      <c r="AA1171" s="76"/>
      <c r="AB1171" s="76"/>
      <c r="AC1171" s="76"/>
      <c r="AD1171" s="76"/>
      <c r="AE1171" s="76"/>
      <c r="AF1171" s="76"/>
      <c r="AG1171" s="76"/>
      <c r="AH1171" s="76"/>
      <c r="AI1171" s="76"/>
      <c r="AJ1171" s="76"/>
      <c r="AK1171" s="76"/>
      <c r="AL1171" s="76"/>
      <c r="AM1171" s="76"/>
      <c r="AN1171" s="76"/>
      <c r="AO1171" s="76"/>
      <c r="AP1171" s="76"/>
      <c r="AQ1171" s="76"/>
      <c r="AR1171" s="76"/>
      <c r="AS1171" s="76"/>
      <c r="AT1171" s="76"/>
      <c r="AU1171" s="76"/>
      <c r="AV1171" s="76"/>
      <c r="AW1171" s="76"/>
      <c r="AX1171" s="76"/>
      <c r="AY1171" s="76"/>
      <c r="AZ1171" s="76"/>
      <c r="BA1171" s="76"/>
      <c r="BB1171" s="76"/>
    </row>
    <row r="1172" spans="5:54" x14ac:dyDescent="0.35">
      <c r="E1172" s="83"/>
      <c r="F1172" s="83"/>
      <c r="G1172" s="76"/>
      <c r="H1172" s="76"/>
      <c r="I1172" s="76"/>
      <c r="J1172" s="76"/>
      <c r="K1172" s="76"/>
      <c r="L1172" s="76"/>
      <c r="M1172" s="76"/>
      <c r="N1172" s="76"/>
      <c r="O1172" s="76"/>
      <c r="P1172" s="76"/>
      <c r="Q1172" s="76"/>
      <c r="R1172" s="76"/>
      <c r="S1172" s="76"/>
      <c r="T1172" s="76"/>
      <c r="U1172" s="76"/>
      <c r="V1172" s="76"/>
      <c r="W1172" s="76"/>
      <c r="X1172" s="76"/>
      <c r="Y1172" s="76"/>
      <c r="Z1172" s="76"/>
      <c r="AA1172" s="76"/>
      <c r="AB1172" s="76"/>
      <c r="AC1172" s="76"/>
      <c r="AD1172" s="76"/>
      <c r="AE1172" s="76"/>
      <c r="AF1172" s="76"/>
      <c r="AG1172" s="76"/>
      <c r="AH1172" s="76"/>
      <c r="AI1172" s="76"/>
      <c r="AJ1172" s="76"/>
      <c r="AK1172" s="76"/>
      <c r="AL1172" s="76"/>
      <c r="AM1172" s="76"/>
      <c r="AN1172" s="76"/>
      <c r="AO1172" s="76"/>
      <c r="AP1172" s="76"/>
      <c r="AQ1172" s="76"/>
      <c r="AR1172" s="76"/>
      <c r="AS1172" s="76"/>
      <c r="AT1172" s="76"/>
      <c r="AU1172" s="76"/>
      <c r="AV1172" s="76"/>
      <c r="AW1172" s="76"/>
      <c r="AX1172" s="76"/>
      <c r="AY1172" s="76"/>
      <c r="AZ1172" s="76"/>
      <c r="BA1172" s="76"/>
      <c r="BB1172" s="76"/>
    </row>
    <row r="1173" spans="5:54" x14ac:dyDescent="0.35">
      <c r="E1173" s="83"/>
      <c r="F1173" s="83"/>
      <c r="G1173" s="76"/>
      <c r="H1173" s="76"/>
      <c r="I1173" s="76"/>
      <c r="J1173" s="76"/>
      <c r="K1173" s="76"/>
      <c r="L1173" s="76"/>
      <c r="M1173" s="76"/>
      <c r="N1173" s="76"/>
      <c r="O1173" s="76"/>
      <c r="P1173" s="76"/>
      <c r="Q1173" s="76"/>
      <c r="R1173" s="76"/>
      <c r="S1173" s="76"/>
      <c r="T1173" s="76"/>
      <c r="U1173" s="76"/>
      <c r="V1173" s="76"/>
      <c r="W1173" s="76"/>
      <c r="X1173" s="76"/>
      <c r="Y1173" s="76"/>
      <c r="Z1173" s="76"/>
      <c r="AA1173" s="76"/>
      <c r="AB1173" s="76"/>
      <c r="AC1173" s="76"/>
      <c r="AD1173" s="76"/>
      <c r="AE1173" s="76"/>
      <c r="AF1173" s="76"/>
      <c r="AG1173" s="76"/>
      <c r="AH1173" s="76"/>
      <c r="AI1173" s="76"/>
      <c r="AJ1173" s="76"/>
      <c r="AK1173" s="76"/>
      <c r="AL1173" s="76"/>
      <c r="AM1173" s="76"/>
      <c r="AN1173" s="76"/>
      <c r="AO1173" s="76"/>
      <c r="AP1173" s="76"/>
      <c r="AQ1173" s="76"/>
      <c r="AR1173" s="76"/>
      <c r="AS1173" s="76"/>
      <c r="AT1173" s="76"/>
      <c r="AU1173" s="76"/>
      <c r="AV1173" s="76"/>
      <c r="AW1173" s="76"/>
      <c r="AX1173" s="76"/>
      <c r="AY1173" s="76"/>
      <c r="AZ1173" s="76"/>
      <c r="BA1173" s="76"/>
      <c r="BB1173" s="76"/>
    </row>
    <row r="1174" spans="5:54" x14ac:dyDescent="0.35">
      <c r="E1174" s="83"/>
      <c r="F1174" s="83"/>
      <c r="G1174" s="76"/>
      <c r="H1174" s="76"/>
      <c r="I1174" s="76"/>
      <c r="J1174" s="76"/>
      <c r="K1174" s="76"/>
      <c r="L1174" s="76"/>
      <c r="M1174" s="76"/>
      <c r="N1174" s="76"/>
      <c r="O1174" s="76"/>
      <c r="P1174" s="76"/>
      <c r="Q1174" s="76"/>
      <c r="R1174" s="76"/>
      <c r="S1174" s="76"/>
      <c r="T1174" s="76"/>
      <c r="U1174" s="76"/>
      <c r="V1174" s="76"/>
      <c r="W1174" s="76"/>
      <c r="X1174" s="76"/>
      <c r="Y1174" s="76"/>
      <c r="Z1174" s="76"/>
      <c r="AA1174" s="76"/>
      <c r="AB1174" s="76"/>
      <c r="AC1174" s="76"/>
      <c r="AD1174" s="76"/>
      <c r="AE1174" s="76"/>
      <c r="AF1174" s="76"/>
      <c r="AG1174" s="76"/>
      <c r="AH1174" s="76"/>
      <c r="AI1174" s="76"/>
      <c r="AJ1174" s="76"/>
      <c r="AK1174" s="76"/>
      <c r="AL1174" s="76"/>
      <c r="AM1174" s="76"/>
      <c r="AN1174" s="76"/>
      <c r="AO1174" s="76"/>
      <c r="AP1174" s="76"/>
      <c r="AQ1174" s="76"/>
      <c r="AR1174" s="76"/>
      <c r="AS1174" s="76"/>
      <c r="AT1174" s="76"/>
      <c r="AU1174" s="76"/>
      <c r="AV1174" s="76"/>
      <c r="AW1174" s="76"/>
      <c r="AX1174" s="76"/>
      <c r="AY1174" s="76"/>
      <c r="AZ1174" s="76"/>
      <c r="BA1174" s="76"/>
      <c r="BB1174" s="76"/>
    </row>
    <row r="1175" spans="5:54" x14ac:dyDescent="0.35">
      <c r="E1175" s="83"/>
      <c r="F1175" s="83"/>
      <c r="G1175" s="76"/>
      <c r="H1175" s="76"/>
      <c r="I1175" s="76"/>
      <c r="J1175" s="76"/>
      <c r="K1175" s="76"/>
      <c r="L1175" s="76"/>
      <c r="M1175" s="76"/>
      <c r="N1175" s="76"/>
      <c r="O1175" s="76"/>
      <c r="P1175" s="76"/>
      <c r="Q1175" s="76"/>
      <c r="R1175" s="76"/>
      <c r="S1175" s="76"/>
      <c r="T1175" s="76"/>
      <c r="U1175" s="76"/>
      <c r="V1175" s="76"/>
      <c r="W1175" s="76"/>
      <c r="X1175" s="76"/>
      <c r="Y1175" s="76"/>
      <c r="Z1175" s="76"/>
      <c r="AA1175" s="76"/>
      <c r="AB1175" s="76"/>
      <c r="AC1175" s="76"/>
      <c r="AD1175" s="76"/>
      <c r="AE1175" s="76"/>
      <c r="AF1175" s="76"/>
      <c r="AG1175" s="76"/>
      <c r="AH1175" s="76"/>
      <c r="AI1175" s="76"/>
      <c r="AJ1175" s="76"/>
      <c r="AK1175" s="76"/>
      <c r="AL1175" s="76"/>
      <c r="AM1175" s="76"/>
      <c r="AN1175" s="76"/>
      <c r="AO1175" s="76"/>
      <c r="AP1175" s="76"/>
      <c r="AQ1175" s="76"/>
      <c r="AR1175" s="76"/>
      <c r="AS1175" s="76"/>
      <c r="AT1175" s="76"/>
      <c r="AU1175" s="76"/>
      <c r="AV1175" s="76"/>
      <c r="AW1175" s="76"/>
      <c r="AX1175" s="76"/>
      <c r="AY1175" s="76"/>
      <c r="AZ1175" s="76"/>
      <c r="BA1175" s="76"/>
      <c r="BB1175" s="76"/>
    </row>
    <row r="1176" spans="5:54" x14ac:dyDescent="0.35">
      <c r="E1176" s="83"/>
      <c r="F1176" s="83"/>
      <c r="G1176" s="76"/>
      <c r="H1176" s="76"/>
      <c r="I1176" s="76"/>
      <c r="J1176" s="76"/>
      <c r="K1176" s="76"/>
      <c r="L1176" s="76"/>
      <c r="M1176" s="76"/>
      <c r="N1176" s="76"/>
      <c r="O1176" s="76"/>
      <c r="P1176" s="76"/>
      <c r="Q1176" s="76"/>
      <c r="R1176" s="76"/>
      <c r="S1176" s="76"/>
      <c r="T1176" s="76"/>
      <c r="U1176" s="76"/>
      <c r="V1176" s="76"/>
      <c r="W1176" s="76"/>
      <c r="X1176" s="76"/>
      <c r="Y1176" s="76"/>
      <c r="Z1176" s="76"/>
      <c r="AA1176" s="76"/>
      <c r="AB1176" s="76"/>
      <c r="AC1176" s="76"/>
      <c r="AD1176" s="76"/>
      <c r="AE1176" s="76"/>
      <c r="AF1176" s="76"/>
      <c r="AG1176" s="76"/>
      <c r="AH1176" s="76"/>
      <c r="AI1176" s="76"/>
      <c r="AJ1176" s="76"/>
      <c r="AK1176" s="76"/>
      <c r="AL1176" s="76"/>
      <c r="AM1176" s="76"/>
      <c r="AN1176" s="76"/>
      <c r="AO1176" s="76"/>
      <c r="AP1176" s="76"/>
      <c r="AQ1176" s="76"/>
      <c r="AR1176" s="76"/>
      <c r="AS1176" s="76"/>
      <c r="AT1176" s="76"/>
      <c r="AU1176" s="76"/>
      <c r="AV1176" s="76"/>
      <c r="AW1176" s="76"/>
      <c r="AX1176" s="76"/>
      <c r="AY1176" s="76"/>
      <c r="AZ1176" s="76"/>
      <c r="BA1176" s="76"/>
      <c r="BB1176" s="76"/>
    </row>
    <row r="1177" spans="5:54" x14ac:dyDescent="0.35">
      <c r="E1177" s="83"/>
      <c r="F1177" s="83"/>
      <c r="G1177" s="76"/>
      <c r="H1177" s="76"/>
      <c r="I1177" s="76"/>
      <c r="J1177" s="76"/>
      <c r="K1177" s="76"/>
      <c r="L1177" s="76"/>
      <c r="M1177" s="76"/>
      <c r="N1177" s="76"/>
      <c r="O1177" s="76"/>
      <c r="P1177" s="76"/>
      <c r="Q1177" s="76"/>
      <c r="R1177" s="76"/>
      <c r="S1177" s="76"/>
      <c r="T1177" s="76"/>
      <c r="U1177" s="76"/>
      <c r="V1177" s="76"/>
      <c r="W1177" s="76"/>
      <c r="X1177" s="76"/>
      <c r="Y1177" s="76"/>
      <c r="Z1177" s="76"/>
      <c r="AA1177" s="76"/>
      <c r="AB1177" s="76"/>
      <c r="AC1177" s="76"/>
      <c r="AD1177" s="76"/>
      <c r="AE1177" s="76"/>
      <c r="AF1177" s="76"/>
      <c r="AG1177" s="76"/>
      <c r="AH1177" s="76"/>
      <c r="AI1177" s="76"/>
      <c r="AJ1177" s="76"/>
      <c r="AK1177" s="76"/>
      <c r="AL1177" s="76"/>
      <c r="AM1177" s="76"/>
      <c r="AN1177" s="76"/>
      <c r="AO1177" s="76"/>
      <c r="AP1177" s="76"/>
      <c r="AQ1177" s="76"/>
      <c r="AR1177" s="76"/>
      <c r="AS1177" s="76"/>
      <c r="AT1177" s="76"/>
      <c r="AU1177" s="76"/>
      <c r="AV1177" s="76"/>
      <c r="AW1177" s="76"/>
      <c r="AX1177" s="76"/>
      <c r="AY1177" s="76"/>
      <c r="AZ1177" s="76"/>
      <c r="BA1177" s="76"/>
      <c r="BB1177" s="76"/>
    </row>
    <row r="1178" spans="5:54" x14ac:dyDescent="0.35">
      <c r="E1178" s="83"/>
      <c r="F1178" s="83"/>
      <c r="G1178" s="76"/>
      <c r="H1178" s="76"/>
      <c r="I1178" s="76"/>
      <c r="J1178" s="76"/>
      <c r="K1178" s="76"/>
      <c r="L1178" s="76"/>
      <c r="M1178" s="76"/>
      <c r="N1178" s="76"/>
      <c r="O1178" s="76"/>
      <c r="P1178" s="76"/>
      <c r="Q1178" s="76"/>
      <c r="R1178" s="76"/>
      <c r="S1178" s="76"/>
      <c r="T1178" s="76"/>
      <c r="U1178" s="76"/>
      <c r="V1178" s="76"/>
      <c r="W1178" s="76"/>
      <c r="X1178" s="76"/>
      <c r="Y1178" s="76"/>
      <c r="Z1178" s="76"/>
      <c r="AA1178" s="76"/>
      <c r="AB1178" s="76"/>
      <c r="AC1178" s="76"/>
      <c r="AD1178" s="76"/>
      <c r="AE1178" s="76"/>
      <c r="AF1178" s="76"/>
      <c r="AG1178" s="76"/>
      <c r="AH1178" s="76"/>
      <c r="AI1178" s="76"/>
      <c r="AJ1178" s="76"/>
      <c r="AK1178" s="76"/>
      <c r="AL1178" s="76"/>
      <c r="AM1178" s="76"/>
      <c r="AN1178" s="76"/>
      <c r="AO1178" s="76"/>
      <c r="AP1178" s="76"/>
      <c r="AQ1178" s="76"/>
      <c r="AR1178" s="76"/>
      <c r="AS1178" s="76"/>
      <c r="AT1178" s="76"/>
      <c r="AU1178" s="76"/>
      <c r="AV1178" s="76"/>
      <c r="AW1178" s="76"/>
      <c r="AX1178" s="76"/>
      <c r="AY1178" s="76"/>
      <c r="AZ1178" s="76"/>
      <c r="BA1178" s="76"/>
      <c r="BB1178" s="76"/>
    </row>
    <row r="1179" spans="5:54" x14ac:dyDescent="0.35">
      <c r="E1179" s="83"/>
      <c r="F1179" s="83"/>
      <c r="G1179" s="76"/>
      <c r="H1179" s="76"/>
      <c r="I1179" s="76"/>
      <c r="J1179" s="76"/>
      <c r="K1179" s="76"/>
      <c r="L1179" s="76"/>
      <c r="M1179" s="76"/>
      <c r="N1179" s="76"/>
      <c r="O1179" s="76"/>
      <c r="P1179" s="76"/>
      <c r="Q1179" s="76"/>
      <c r="R1179" s="76"/>
      <c r="S1179" s="76"/>
      <c r="T1179" s="76"/>
      <c r="U1179" s="76"/>
      <c r="V1179" s="76"/>
      <c r="W1179" s="76"/>
      <c r="X1179" s="76"/>
      <c r="Y1179" s="76"/>
      <c r="Z1179" s="76"/>
      <c r="AA1179" s="76"/>
      <c r="AB1179" s="76"/>
      <c r="AC1179" s="76"/>
      <c r="AD1179" s="76"/>
      <c r="AE1179" s="76"/>
      <c r="AF1179" s="76"/>
      <c r="AG1179" s="76"/>
      <c r="AH1179" s="76"/>
      <c r="AI1179" s="76"/>
      <c r="AJ1179" s="76"/>
      <c r="AK1179" s="76"/>
      <c r="AL1179" s="76"/>
      <c r="AM1179" s="76"/>
      <c r="AN1179" s="76"/>
      <c r="AO1179" s="76"/>
      <c r="AP1179" s="76"/>
      <c r="AQ1179" s="76"/>
      <c r="AR1179" s="76"/>
      <c r="AS1179" s="76"/>
      <c r="AT1179" s="76"/>
      <c r="AU1179" s="76"/>
      <c r="AV1179" s="76"/>
      <c r="AW1179" s="76"/>
      <c r="AX1179" s="76"/>
      <c r="AY1179" s="76"/>
      <c r="AZ1179" s="76"/>
      <c r="BA1179" s="76"/>
      <c r="BB1179" s="76"/>
    </row>
    <row r="1180" spans="5:54" x14ac:dyDescent="0.35">
      <c r="E1180" s="83"/>
      <c r="F1180" s="83"/>
      <c r="G1180" s="76"/>
      <c r="H1180" s="76"/>
      <c r="I1180" s="76"/>
      <c r="J1180" s="76"/>
      <c r="K1180" s="76"/>
      <c r="L1180" s="76"/>
      <c r="M1180" s="76"/>
      <c r="N1180" s="76"/>
      <c r="O1180" s="76"/>
      <c r="P1180" s="76"/>
      <c r="Q1180" s="76"/>
      <c r="R1180" s="76"/>
      <c r="S1180" s="76"/>
      <c r="T1180" s="76"/>
      <c r="U1180" s="76"/>
      <c r="V1180" s="76"/>
      <c r="W1180" s="76"/>
      <c r="X1180" s="76"/>
      <c r="Y1180" s="76"/>
      <c r="Z1180" s="76"/>
      <c r="AA1180" s="76"/>
      <c r="AB1180" s="76"/>
      <c r="AC1180" s="76"/>
      <c r="AD1180" s="76"/>
      <c r="AE1180" s="76"/>
      <c r="AF1180" s="76"/>
      <c r="AG1180" s="76"/>
      <c r="AH1180" s="76"/>
      <c r="AI1180" s="76"/>
      <c r="AJ1180" s="76"/>
      <c r="AK1180" s="76"/>
      <c r="AL1180" s="76"/>
      <c r="AM1180" s="76"/>
      <c r="AN1180" s="76"/>
      <c r="AO1180" s="76"/>
      <c r="AP1180" s="76"/>
      <c r="AQ1180" s="76"/>
      <c r="AR1180" s="76"/>
      <c r="AS1180" s="76"/>
      <c r="AT1180" s="76"/>
      <c r="AU1180" s="76"/>
      <c r="AV1180" s="76"/>
      <c r="AW1180" s="76"/>
      <c r="AX1180" s="76"/>
      <c r="AY1180" s="76"/>
      <c r="AZ1180" s="76"/>
      <c r="BA1180" s="76"/>
      <c r="BB1180" s="76"/>
    </row>
    <row r="1181" spans="5:54" x14ac:dyDescent="0.35">
      <c r="E1181" s="83"/>
      <c r="F1181" s="83"/>
      <c r="G1181" s="76"/>
      <c r="H1181" s="76"/>
      <c r="I1181" s="76"/>
      <c r="J1181" s="76"/>
      <c r="K1181" s="76"/>
      <c r="L1181" s="76"/>
      <c r="M1181" s="76"/>
      <c r="N1181" s="76"/>
      <c r="O1181" s="76"/>
      <c r="P1181" s="76"/>
      <c r="Q1181" s="76"/>
      <c r="R1181" s="76"/>
      <c r="S1181" s="76"/>
      <c r="T1181" s="76"/>
      <c r="U1181" s="76"/>
      <c r="V1181" s="76"/>
      <c r="W1181" s="76"/>
      <c r="X1181" s="76"/>
      <c r="Y1181" s="76"/>
      <c r="Z1181" s="76"/>
      <c r="AA1181" s="76"/>
      <c r="AB1181" s="76"/>
      <c r="AC1181" s="76"/>
      <c r="AD1181" s="76"/>
      <c r="AE1181" s="76"/>
      <c r="AF1181" s="76"/>
      <c r="AG1181" s="76"/>
      <c r="AH1181" s="76"/>
      <c r="AI1181" s="76"/>
      <c r="AJ1181" s="76"/>
      <c r="AK1181" s="76"/>
      <c r="AL1181" s="76"/>
      <c r="AM1181" s="76"/>
      <c r="AN1181" s="76"/>
      <c r="AO1181" s="76"/>
      <c r="AP1181" s="76"/>
      <c r="AQ1181" s="76"/>
      <c r="AR1181" s="76"/>
      <c r="AS1181" s="76"/>
      <c r="AT1181" s="76"/>
      <c r="AU1181" s="76"/>
      <c r="AV1181" s="76"/>
      <c r="AW1181" s="76"/>
      <c r="AX1181" s="76"/>
      <c r="AY1181" s="76"/>
      <c r="AZ1181" s="76"/>
      <c r="BA1181" s="76"/>
      <c r="BB1181" s="76"/>
    </row>
    <row r="1182" spans="5:54" x14ac:dyDescent="0.35">
      <c r="E1182" s="83"/>
      <c r="F1182" s="83"/>
      <c r="G1182" s="76"/>
      <c r="H1182" s="76"/>
      <c r="I1182" s="76"/>
      <c r="J1182" s="76"/>
      <c r="K1182" s="76"/>
      <c r="L1182" s="76"/>
      <c r="M1182" s="76"/>
      <c r="N1182" s="76"/>
      <c r="O1182" s="76"/>
      <c r="P1182" s="76"/>
      <c r="Q1182" s="76"/>
      <c r="R1182" s="76"/>
      <c r="S1182" s="76"/>
      <c r="T1182" s="76"/>
      <c r="U1182" s="76"/>
      <c r="V1182" s="76"/>
      <c r="W1182" s="76"/>
      <c r="X1182" s="76"/>
      <c r="Y1182" s="76"/>
      <c r="Z1182" s="76"/>
      <c r="AA1182" s="76"/>
      <c r="AB1182" s="76"/>
      <c r="AC1182" s="76"/>
      <c r="AD1182" s="76"/>
      <c r="AE1182" s="76"/>
      <c r="AF1182" s="76"/>
      <c r="AG1182" s="76"/>
      <c r="AH1182" s="76"/>
      <c r="AI1182" s="76"/>
      <c r="AJ1182" s="76"/>
      <c r="AK1182" s="76"/>
      <c r="AL1182" s="76"/>
      <c r="AM1182" s="76"/>
      <c r="AN1182" s="76"/>
      <c r="AO1182" s="76"/>
      <c r="AP1182" s="76"/>
      <c r="AQ1182" s="76"/>
      <c r="AR1182" s="76"/>
      <c r="AS1182" s="76"/>
      <c r="AT1182" s="76"/>
      <c r="AU1182" s="76"/>
      <c r="AV1182" s="76"/>
      <c r="AW1182" s="76"/>
      <c r="AX1182" s="76"/>
      <c r="AY1182" s="76"/>
      <c r="AZ1182" s="76"/>
      <c r="BA1182" s="76"/>
      <c r="BB1182" s="76"/>
    </row>
    <row r="1183" spans="5:54" x14ac:dyDescent="0.35">
      <c r="E1183" s="83"/>
      <c r="F1183" s="83"/>
      <c r="G1183" s="76"/>
      <c r="H1183" s="76"/>
      <c r="I1183" s="76"/>
      <c r="J1183" s="76"/>
      <c r="K1183" s="76"/>
      <c r="L1183" s="76"/>
      <c r="M1183" s="76"/>
      <c r="N1183" s="76"/>
      <c r="O1183" s="76"/>
      <c r="P1183" s="76"/>
      <c r="Q1183" s="76"/>
      <c r="R1183" s="76"/>
      <c r="S1183" s="76"/>
      <c r="T1183" s="76"/>
      <c r="U1183" s="76"/>
      <c r="V1183" s="76"/>
      <c r="W1183" s="76"/>
      <c r="X1183" s="76"/>
      <c r="Y1183" s="76"/>
      <c r="Z1183" s="76"/>
      <c r="AA1183" s="76"/>
      <c r="AB1183" s="76"/>
      <c r="AC1183" s="76"/>
      <c r="AD1183" s="76"/>
      <c r="AE1183" s="76"/>
      <c r="AF1183" s="76"/>
      <c r="AG1183" s="76"/>
      <c r="AH1183" s="76"/>
      <c r="AI1183" s="76"/>
      <c r="AJ1183" s="76"/>
      <c r="AK1183" s="76"/>
      <c r="AL1183" s="76"/>
      <c r="AM1183" s="76"/>
      <c r="AN1183" s="76"/>
      <c r="AO1183" s="76"/>
      <c r="AP1183" s="76"/>
      <c r="AQ1183" s="76"/>
      <c r="AR1183" s="76"/>
      <c r="AS1183" s="76"/>
      <c r="AT1183" s="76"/>
      <c r="AU1183" s="76"/>
      <c r="AV1183" s="76"/>
      <c r="AW1183" s="76"/>
      <c r="AX1183" s="76"/>
      <c r="AY1183" s="76"/>
      <c r="AZ1183" s="76"/>
      <c r="BA1183" s="76"/>
      <c r="BB1183" s="76"/>
    </row>
    <row r="1184" spans="5:54" x14ac:dyDescent="0.35">
      <c r="E1184" s="83"/>
      <c r="F1184" s="83"/>
      <c r="G1184" s="76"/>
      <c r="H1184" s="76"/>
      <c r="I1184" s="76"/>
      <c r="J1184" s="76"/>
      <c r="K1184" s="76"/>
      <c r="L1184" s="76"/>
      <c r="M1184" s="76"/>
      <c r="N1184" s="76"/>
      <c r="O1184" s="76"/>
      <c r="P1184" s="76"/>
      <c r="Q1184" s="76"/>
      <c r="R1184" s="76"/>
      <c r="S1184" s="76"/>
      <c r="T1184" s="76"/>
      <c r="U1184" s="76"/>
      <c r="V1184" s="76"/>
      <c r="W1184" s="76"/>
      <c r="X1184" s="76"/>
      <c r="Y1184" s="76"/>
      <c r="Z1184" s="76"/>
      <c r="AA1184" s="76"/>
      <c r="AB1184" s="76"/>
      <c r="AC1184" s="76"/>
      <c r="AD1184" s="76"/>
      <c r="AE1184" s="76"/>
      <c r="AF1184" s="76"/>
      <c r="AG1184" s="76"/>
      <c r="AH1184" s="76"/>
      <c r="AI1184" s="76"/>
      <c r="AJ1184" s="76"/>
      <c r="AK1184" s="76"/>
      <c r="AL1184" s="76"/>
      <c r="AM1184" s="76"/>
      <c r="AN1184" s="76"/>
      <c r="AO1184" s="76"/>
      <c r="AP1184" s="76"/>
      <c r="AQ1184" s="76"/>
      <c r="AR1184" s="76"/>
      <c r="AS1184" s="76"/>
      <c r="AT1184" s="76"/>
      <c r="AU1184" s="76"/>
      <c r="AV1184" s="76"/>
      <c r="AW1184" s="76"/>
      <c r="AX1184" s="76"/>
      <c r="AY1184" s="76"/>
      <c r="AZ1184" s="76"/>
      <c r="BA1184" s="76"/>
      <c r="BB1184" s="76"/>
    </row>
    <row r="1185" spans="5:54" x14ac:dyDescent="0.35">
      <c r="E1185" s="83"/>
      <c r="F1185" s="83"/>
      <c r="G1185" s="76"/>
      <c r="H1185" s="76"/>
      <c r="I1185" s="76"/>
      <c r="J1185" s="76"/>
      <c r="K1185" s="76"/>
      <c r="L1185" s="76"/>
      <c r="M1185" s="76"/>
      <c r="N1185" s="76"/>
      <c r="O1185" s="76"/>
      <c r="P1185" s="76"/>
      <c r="Q1185" s="76"/>
      <c r="R1185" s="76"/>
      <c r="S1185" s="76"/>
      <c r="T1185" s="76"/>
      <c r="U1185" s="76"/>
      <c r="V1185" s="76"/>
      <c r="W1185" s="76"/>
      <c r="X1185" s="76"/>
      <c r="Y1185" s="76"/>
      <c r="Z1185" s="76"/>
      <c r="AA1185" s="76"/>
      <c r="AB1185" s="76"/>
      <c r="AC1185" s="76"/>
      <c r="AD1185" s="76"/>
      <c r="AE1185" s="76"/>
      <c r="AF1185" s="76"/>
      <c r="AG1185" s="76"/>
      <c r="AH1185" s="76"/>
      <c r="AI1185" s="76"/>
      <c r="AJ1185" s="76"/>
      <c r="AK1185" s="76"/>
      <c r="AL1185" s="76"/>
      <c r="AM1185" s="76"/>
      <c r="AN1185" s="76"/>
      <c r="AO1185" s="76"/>
      <c r="AP1185" s="76"/>
      <c r="AQ1185" s="76"/>
      <c r="AR1185" s="76"/>
      <c r="AS1185" s="76"/>
      <c r="AT1185" s="76"/>
      <c r="AU1185" s="76"/>
      <c r="AV1185" s="76"/>
      <c r="AW1185" s="76"/>
      <c r="AX1185" s="76"/>
      <c r="AY1185" s="76"/>
      <c r="AZ1185" s="76"/>
      <c r="BA1185" s="76"/>
      <c r="BB1185" s="76"/>
    </row>
    <row r="1186" spans="5:54" x14ac:dyDescent="0.35">
      <c r="E1186" s="83"/>
      <c r="F1186" s="83"/>
      <c r="G1186" s="76"/>
      <c r="H1186" s="76"/>
      <c r="I1186" s="76"/>
      <c r="J1186" s="76"/>
      <c r="K1186" s="76"/>
      <c r="L1186" s="76"/>
      <c r="M1186" s="76"/>
      <c r="N1186" s="76"/>
      <c r="O1186" s="76"/>
      <c r="P1186" s="76"/>
      <c r="Q1186" s="76"/>
      <c r="R1186" s="76"/>
      <c r="S1186" s="76"/>
      <c r="T1186" s="76"/>
      <c r="U1186" s="76"/>
      <c r="V1186" s="76"/>
      <c r="W1186" s="76"/>
      <c r="X1186" s="76"/>
      <c r="Y1186" s="76"/>
      <c r="Z1186" s="76"/>
      <c r="AA1186" s="76"/>
      <c r="AB1186" s="76"/>
      <c r="AC1186" s="76"/>
      <c r="AD1186" s="76"/>
      <c r="AE1186" s="76"/>
      <c r="AF1186" s="76"/>
      <c r="AG1186" s="76"/>
      <c r="AH1186" s="76"/>
      <c r="AI1186" s="76"/>
      <c r="AJ1186" s="76"/>
      <c r="AK1186" s="76"/>
      <c r="AL1186" s="76"/>
      <c r="AM1186" s="76"/>
      <c r="AN1186" s="76"/>
      <c r="AO1186" s="76"/>
      <c r="AP1186" s="76"/>
      <c r="AQ1186" s="76"/>
      <c r="AR1186" s="76"/>
      <c r="AS1186" s="76"/>
      <c r="AT1186" s="76"/>
      <c r="AU1186" s="76"/>
      <c r="AV1186" s="76"/>
      <c r="AW1186" s="76"/>
      <c r="AX1186" s="76"/>
      <c r="AY1186" s="76"/>
      <c r="AZ1186" s="76"/>
      <c r="BA1186" s="76"/>
      <c r="BB1186" s="76"/>
    </row>
    <row r="1187" spans="5:54" x14ac:dyDescent="0.35">
      <c r="E1187" s="83"/>
      <c r="F1187" s="83"/>
      <c r="G1187" s="76"/>
      <c r="H1187" s="76"/>
      <c r="I1187" s="76"/>
      <c r="J1187" s="76"/>
      <c r="K1187" s="76"/>
      <c r="L1187" s="76"/>
      <c r="M1187" s="76"/>
      <c r="N1187" s="76"/>
      <c r="O1187" s="76"/>
      <c r="P1187" s="76"/>
      <c r="Q1187" s="76"/>
      <c r="R1187" s="76"/>
      <c r="S1187" s="76"/>
      <c r="T1187" s="76"/>
      <c r="U1187" s="76"/>
      <c r="V1187" s="76"/>
      <c r="W1187" s="76"/>
      <c r="X1187" s="76"/>
      <c r="Y1187" s="76"/>
      <c r="Z1187" s="76"/>
      <c r="AA1187" s="76"/>
      <c r="AB1187" s="76"/>
      <c r="AC1187" s="76"/>
      <c r="AD1187" s="76"/>
      <c r="AE1187" s="76"/>
      <c r="AF1187" s="76"/>
      <c r="AG1187" s="76"/>
      <c r="AH1187" s="76"/>
      <c r="AI1187" s="76"/>
      <c r="AJ1187" s="76"/>
      <c r="AK1187" s="76"/>
      <c r="AL1187" s="76"/>
      <c r="AM1187" s="76"/>
      <c r="AN1187" s="76"/>
      <c r="AO1187" s="76"/>
      <c r="AP1187" s="76"/>
      <c r="AQ1187" s="76"/>
      <c r="AR1187" s="76"/>
      <c r="AS1187" s="76"/>
      <c r="AT1187" s="76"/>
      <c r="AU1187" s="76"/>
      <c r="AV1187" s="76"/>
      <c r="AW1187" s="76"/>
      <c r="AX1187" s="76"/>
      <c r="AY1187" s="76"/>
      <c r="AZ1187" s="76"/>
      <c r="BA1187" s="76"/>
      <c r="BB1187" s="76"/>
    </row>
    <row r="1188" spans="5:54" x14ac:dyDescent="0.35">
      <c r="E1188" s="83"/>
      <c r="F1188" s="83"/>
      <c r="G1188" s="76"/>
      <c r="H1188" s="76"/>
      <c r="I1188" s="76"/>
      <c r="J1188" s="76"/>
      <c r="K1188" s="76"/>
      <c r="L1188" s="76"/>
      <c r="M1188" s="76"/>
      <c r="N1188" s="76"/>
      <c r="O1188" s="76"/>
      <c r="P1188" s="76"/>
      <c r="Q1188" s="76"/>
      <c r="R1188" s="76"/>
      <c r="S1188" s="76"/>
      <c r="T1188" s="76"/>
      <c r="U1188" s="76"/>
      <c r="V1188" s="76"/>
      <c r="W1188" s="76"/>
      <c r="X1188" s="76"/>
      <c r="Y1188" s="76"/>
      <c r="Z1188" s="76"/>
      <c r="AA1188" s="76"/>
      <c r="AB1188" s="76"/>
      <c r="AC1188" s="76"/>
      <c r="AD1188" s="76"/>
      <c r="AE1188" s="76"/>
      <c r="AF1188" s="76"/>
      <c r="AG1188" s="76"/>
      <c r="AH1188" s="76"/>
      <c r="AI1188" s="76"/>
      <c r="AJ1188" s="76"/>
      <c r="AK1188" s="76"/>
      <c r="AL1188" s="76"/>
      <c r="AM1188" s="76"/>
      <c r="AN1188" s="76"/>
      <c r="AO1188" s="76"/>
      <c r="AP1188" s="76"/>
      <c r="AQ1188" s="76"/>
      <c r="AR1188" s="76"/>
      <c r="AS1188" s="76"/>
      <c r="AT1188" s="76"/>
      <c r="AU1188" s="76"/>
      <c r="AV1188" s="76"/>
      <c r="AW1188" s="76"/>
      <c r="AX1188" s="76"/>
      <c r="AY1188" s="76"/>
      <c r="AZ1188" s="76"/>
      <c r="BA1188" s="76"/>
      <c r="BB1188" s="76"/>
    </row>
    <row r="1189" spans="5:54" x14ac:dyDescent="0.35">
      <c r="E1189" s="83"/>
      <c r="F1189" s="83"/>
      <c r="G1189" s="76"/>
      <c r="H1189" s="76"/>
      <c r="I1189" s="76"/>
      <c r="J1189" s="76"/>
      <c r="K1189" s="76"/>
      <c r="L1189" s="76"/>
      <c r="M1189" s="76"/>
      <c r="N1189" s="76"/>
      <c r="O1189" s="76"/>
      <c r="P1189" s="76"/>
      <c r="Q1189" s="76"/>
      <c r="R1189" s="76"/>
      <c r="S1189" s="76"/>
      <c r="T1189" s="76"/>
      <c r="U1189" s="76"/>
      <c r="V1189" s="76"/>
      <c r="W1189" s="76"/>
      <c r="X1189" s="76"/>
      <c r="Y1189" s="76"/>
      <c r="Z1189" s="76"/>
      <c r="AA1189" s="76"/>
      <c r="AB1189" s="76"/>
      <c r="AC1189" s="76"/>
      <c r="AD1189" s="76"/>
      <c r="AE1189" s="76"/>
      <c r="AF1189" s="76"/>
      <c r="AG1189" s="76"/>
      <c r="AH1189" s="76"/>
      <c r="AI1189" s="76"/>
      <c r="AJ1189" s="76"/>
      <c r="AK1189" s="76"/>
      <c r="AL1189" s="76"/>
      <c r="AM1189" s="76"/>
      <c r="AN1189" s="76"/>
      <c r="AO1189" s="76"/>
      <c r="AP1189" s="76"/>
      <c r="AQ1189" s="76"/>
      <c r="AR1189" s="76"/>
      <c r="AS1189" s="76"/>
      <c r="AT1189" s="76"/>
      <c r="AU1189" s="76"/>
      <c r="AV1189" s="76"/>
      <c r="AW1189" s="76"/>
      <c r="AX1189" s="76"/>
      <c r="AY1189" s="76"/>
      <c r="AZ1189" s="76"/>
      <c r="BA1189" s="76"/>
      <c r="BB1189" s="76"/>
    </row>
    <row r="1190" spans="5:54" x14ac:dyDescent="0.35">
      <c r="E1190" s="83"/>
      <c r="F1190" s="83"/>
      <c r="G1190" s="76"/>
      <c r="H1190" s="76"/>
      <c r="I1190" s="76"/>
      <c r="J1190" s="76"/>
      <c r="K1190" s="76"/>
      <c r="L1190" s="76"/>
      <c r="M1190" s="76"/>
      <c r="N1190" s="76"/>
      <c r="O1190" s="76"/>
      <c r="P1190" s="76"/>
      <c r="Q1190" s="76"/>
      <c r="R1190" s="76"/>
      <c r="S1190" s="76"/>
      <c r="T1190" s="76"/>
      <c r="U1190" s="76"/>
      <c r="V1190" s="76"/>
      <c r="W1190" s="76"/>
      <c r="X1190" s="76"/>
      <c r="Y1190" s="76"/>
      <c r="Z1190" s="76"/>
      <c r="AA1190" s="76"/>
      <c r="AB1190" s="76"/>
      <c r="AC1190" s="76"/>
      <c r="AD1190" s="76"/>
      <c r="AE1190" s="76"/>
      <c r="AF1190" s="76"/>
      <c r="AG1190" s="76"/>
      <c r="AH1190" s="76"/>
      <c r="AI1190" s="76"/>
      <c r="AJ1190" s="76"/>
      <c r="AK1190" s="76"/>
      <c r="AL1190" s="76"/>
      <c r="AM1190" s="76"/>
      <c r="AN1190" s="76"/>
      <c r="AO1190" s="76"/>
      <c r="AP1190" s="76"/>
      <c r="AQ1190" s="76"/>
      <c r="AR1190" s="76"/>
      <c r="AS1190" s="76"/>
      <c r="AT1190" s="76"/>
      <c r="AU1190" s="76"/>
      <c r="AV1190" s="76"/>
      <c r="AW1190" s="76"/>
      <c r="AX1190" s="76"/>
      <c r="AY1190" s="76"/>
      <c r="AZ1190" s="76"/>
      <c r="BA1190" s="76"/>
      <c r="BB1190" s="76"/>
    </row>
    <row r="1191" spans="5:54" x14ac:dyDescent="0.35">
      <c r="E1191" s="83"/>
      <c r="F1191" s="83"/>
      <c r="G1191" s="76"/>
      <c r="H1191" s="76"/>
      <c r="I1191" s="76"/>
      <c r="J1191" s="76"/>
      <c r="K1191" s="76"/>
      <c r="L1191" s="76"/>
      <c r="M1191" s="76"/>
      <c r="N1191" s="76"/>
      <c r="O1191" s="76"/>
      <c r="P1191" s="76"/>
      <c r="Q1191" s="76"/>
      <c r="R1191" s="76"/>
      <c r="S1191" s="76"/>
      <c r="T1191" s="76"/>
      <c r="U1191" s="76"/>
      <c r="V1191" s="76"/>
      <c r="W1191" s="76"/>
      <c r="X1191" s="76"/>
      <c r="Y1191" s="76"/>
      <c r="Z1191" s="76"/>
      <c r="AA1191" s="76"/>
      <c r="AB1191" s="76"/>
      <c r="AC1191" s="76"/>
      <c r="AD1191" s="76"/>
      <c r="AE1191" s="76"/>
      <c r="AF1191" s="76"/>
      <c r="AG1191" s="76"/>
      <c r="AH1191" s="76"/>
      <c r="AI1191" s="76"/>
      <c r="AJ1191" s="76"/>
      <c r="AK1191" s="76"/>
      <c r="AL1191" s="76"/>
      <c r="AM1191" s="76"/>
      <c r="AN1191" s="76"/>
      <c r="AO1191" s="76"/>
      <c r="AP1191" s="76"/>
      <c r="AQ1191" s="76"/>
      <c r="AR1191" s="76"/>
      <c r="AS1191" s="76"/>
      <c r="AT1191" s="76"/>
      <c r="AU1191" s="76"/>
      <c r="AV1191" s="76"/>
      <c r="AW1191" s="76"/>
      <c r="AX1191" s="76"/>
      <c r="AY1191" s="76"/>
      <c r="AZ1191" s="76"/>
      <c r="BA1191" s="76"/>
      <c r="BB1191" s="76"/>
    </row>
    <row r="1192" spans="5:54" x14ac:dyDescent="0.35">
      <c r="E1192" s="83"/>
      <c r="F1192" s="83"/>
      <c r="G1192" s="76"/>
      <c r="H1192" s="76"/>
      <c r="I1192" s="76"/>
      <c r="J1192" s="76"/>
      <c r="K1192" s="76"/>
      <c r="L1192" s="76"/>
      <c r="M1192" s="76"/>
      <c r="N1192" s="76"/>
      <c r="O1192" s="76"/>
      <c r="P1192" s="76"/>
      <c r="Q1192" s="76"/>
      <c r="R1192" s="76"/>
      <c r="S1192" s="76"/>
      <c r="T1192" s="76"/>
      <c r="U1192" s="76"/>
      <c r="V1192" s="76"/>
      <c r="W1192" s="76"/>
      <c r="X1192" s="76"/>
      <c r="Y1192" s="76"/>
      <c r="Z1192" s="76"/>
      <c r="AA1192" s="76"/>
      <c r="AB1192" s="76"/>
      <c r="AC1192" s="76"/>
      <c r="AD1192" s="76"/>
      <c r="AE1192" s="76"/>
      <c r="AF1192" s="76"/>
      <c r="AG1192" s="76"/>
      <c r="AH1192" s="76"/>
      <c r="AI1192" s="76"/>
      <c r="AJ1192" s="76"/>
      <c r="AK1192" s="76"/>
      <c r="AL1192" s="76"/>
      <c r="AM1192" s="76"/>
      <c r="AN1192" s="76"/>
      <c r="AO1192" s="76"/>
      <c r="AP1192" s="76"/>
      <c r="AQ1192" s="76"/>
      <c r="AR1192" s="76"/>
      <c r="AS1192" s="76"/>
      <c r="AT1192" s="76"/>
      <c r="AU1192" s="76"/>
      <c r="AV1192" s="76"/>
      <c r="AW1192" s="76"/>
      <c r="AX1192" s="76"/>
      <c r="AY1192" s="76"/>
      <c r="AZ1192" s="76"/>
      <c r="BA1192" s="76"/>
      <c r="BB1192" s="76"/>
    </row>
    <row r="1193" spans="5:54" x14ac:dyDescent="0.35">
      <c r="E1193" s="83"/>
      <c r="F1193" s="83"/>
      <c r="G1193" s="76"/>
      <c r="H1193" s="76"/>
      <c r="I1193" s="76"/>
      <c r="J1193" s="76"/>
      <c r="K1193" s="76"/>
      <c r="L1193" s="76"/>
      <c r="M1193" s="76"/>
      <c r="N1193" s="76"/>
      <c r="O1193" s="76"/>
      <c r="P1193" s="76"/>
      <c r="Q1193" s="76"/>
      <c r="R1193" s="76"/>
      <c r="S1193" s="76"/>
      <c r="T1193" s="76"/>
      <c r="U1193" s="76"/>
      <c r="V1193" s="76"/>
      <c r="W1193" s="76"/>
      <c r="X1193" s="76"/>
      <c r="Y1193" s="76"/>
      <c r="Z1193" s="76"/>
      <c r="AA1193" s="76"/>
      <c r="AB1193" s="76"/>
      <c r="AC1193" s="76"/>
      <c r="AD1193" s="76"/>
      <c r="AE1193" s="76"/>
      <c r="AF1193" s="76"/>
      <c r="AG1193" s="76"/>
      <c r="AH1193" s="76"/>
      <c r="AI1193" s="76"/>
      <c r="AJ1193" s="76"/>
      <c r="AK1193" s="76"/>
      <c r="AL1193" s="76"/>
      <c r="AM1193" s="76"/>
      <c r="AN1193" s="76"/>
      <c r="AO1193" s="76"/>
      <c r="AP1193" s="76"/>
      <c r="AQ1193" s="76"/>
      <c r="AR1193" s="76"/>
      <c r="AS1193" s="76"/>
      <c r="AT1193" s="76"/>
      <c r="AU1193" s="76"/>
      <c r="AV1193" s="76"/>
      <c r="AW1193" s="76"/>
      <c r="AX1193" s="76"/>
      <c r="AY1193" s="76"/>
      <c r="AZ1193" s="76"/>
      <c r="BA1193" s="76"/>
      <c r="BB1193" s="76"/>
    </row>
    <row r="1194" spans="5:54" x14ac:dyDescent="0.35">
      <c r="E1194" s="83"/>
      <c r="F1194" s="83"/>
      <c r="G1194" s="76"/>
      <c r="H1194" s="76"/>
      <c r="I1194" s="76"/>
      <c r="J1194" s="76"/>
      <c r="K1194" s="76"/>
      <c r="L1194" s="76"/>
      <c r="M1194" s="76"/>
      <c r="N1194" s="76"/>
      <c r="O1194" s="76"/>
      <c r="P1194" s="76"/>
      <c r="Q1194" s="76"/>
      <c r="R1194" s="76"/>
      <c r="S1194" s="76"/>
      <c r="T1194" s="76"/>
      <c r="U1194" s="76"/>
      <c r="V1194" s="76"/>
      <c r="W1194" s="76"/>
      <c r="X1194" s="76"/>
      <c r="Y1194" s="76"/>
      <c r="Z1194" s="76"/>
      <c r="AA1194" s="76"/>
      <c r="AB1194" s="76"/>
      <c r="AC1194" s="76"/>
      <c r="AD1194" s="76"/>
      <c r="AE1194" s="76"/>
      <c r="AF1194" s="76"/>
      <c r="AG1194" s="76"/>
      <c r="AH1194" s="76"/>
      <c r="AI1194" s="76"/>
      <c r="AJ1194" s="76"/>
      <c r="AK1194" s="76"/>
      <c r="AL1194" s="76"/>
      <c r="AM1194" s="76"/>
      <c r="AN1194" s="76"/>
      <c r="AO1194" s="76"/>
      <c r="AP1194" s="76"/>
      <c r="AQ1194" s="76"/>
      <c r="AR1194" s="76"/>
      <c r="AS1194" s="76"/>
      <c r="AT1194" s="76"/>
      <c r="AU1194" s="76"/>
      <c r="AV1194" s="76"/>
      <c r="AW1194" s="76"/>
      <c r="AX1194" s="76"/>
      <c r="AY1194" s="76"/>
      <c r="AZ1194" s="76"/>
      <c r="BA1194" s="76"/>
      <c r="BB1194" s="76"/>
    </row>
    <row r="1195" spans="5:54" x14ac:dyDescent="0.35">
      <c r="E1195" s="83"/>
      <c r="F1195" s="83"/>
      <c r="G1195" s="76"/>
      <c r="H1195" s="76"/>
      <c r="I1195" s="76"/>
      <c r="J1195" s="76"/>
      <c r="K1195" s="76"/>
      <c r="L1195" s="76"/>
      <c r="M1195" s="76"/>
      <c r="N1195" s="76"/>
      <c r="O1195" s="76"/>
      <c r="P1195" s="76"/>
      <c r="Q1195" s="76"/>
      <c r="R1195" s="76"/>
      <c r="S1195" s="76"/>
      <c r="T1195" s="76"/>
      <c r="U1195" s="76"/>
      <c r="V1195" s="76"/>
      <c r="W1195" s="76"/>
      <c r="X1195" s="76"/>
      <c r="Y1195" s="76"/>
      <c r="Z1195" s="76"/>
      <c r="AA1195" s="76"/>
      <c r="AB1195" s="76"/>
      <c r="AC1195" s="76"/>
      <c r="AD1195" s="76"/>
      <c r="AE1195" s="76"/>
      <c r="AF1195" s="76"/>
      <c r="AG1195" s="76"/>
      <c r="AH1195" s="76"/>
      <c r="AI1195" s="76"/>
      <c r="AJ1195" s="76"/>
      <c r="AK1195" s="76"/>
      <c r="AL1195" s="76"/>
      <c r="AM1195" s="76"/>
      <c r="AN1195" s="76"/>
      <c r="AO1195" s="76"/>
      <c r="AP1195" s="76"/>
      <c r="AQ1195" s="76"/>
      <c r="AR1195" s="76"/>
      <c r="AS1195" s="76"/>
      <c r="AT1195" s="76"/>
      <c r="AU1195" s="76"/>
      <c r="AV1195" s="76"/>
      <c r="AW1195" s="76"/>
      <c r="AX1195" s="76"/>
      <c r="AY1195" s="76"/>
      <c r="AZ1195" s="76"/>
      <c r="BA1195" s="76"/>
      <c r="BB1195" s="76"/>
    </row>
    <row r="1196" spans="5:54" x14ac:dyDescent="0.35">
      <c r="E1196" s="83"/>
      <c r="F1196" s="83"/>
      <c r="G1196" s="76"/>
      <c r="H1196" s="76"/>
      <c r="I1196" s="76"/>
      <c r="J1196" s="76"/>
      <c r="K1196" s="76"/>
      <c r="L1196" s="76"/>
      <c r="M1196" s="76"/>
      <c r="N1196" s="76"/>
      <c r="O1196" s="76"/>
      <c r="P1196" s="76"/>
      <c r="Q1196" s="76"/>
      <c r="R1196" s="76"/>
      <c r="S1196" s="76"/>
      <c r="T1196" s="76"/>
      <c r="U1196" s="76"/>
      <c r="V1196" s="76"/>
      <c r="W1196" s="76"/>
      <c r="X1196" s="76"/>
      <c r="Y1196" s="76"/>
      <c r="Z1196" s="76"/>
      <c r="AA1196" s="76"/>
      <c r="AB1196" s="76"/>
      <c r="AC1196" s="76"/>
      <c r="AD1196" s="76"/>
      <c r="AE1196" s="76"/>
      <c r="AF1196" s="76"/>
      <c r="AG1196" s="76"/>
      <c r="AH1196" s="76"/>
      <c r="AI1196" s="76"/>
      <c r="AJ1196" s="76"/>
      <c r="AK1196" s="76"/>
      <c r="AL1196" s="76"/>
      <c r="AM1196" s="76"/>
      <c r="AN1196" s="76"/>
      <c r="AO1196" s="76"/>
      <c r="AP1196" s="76"/>
      <c r="AQ1196" s="76"/>
      <c r="AR1196" s="76"/>
      <c r="AS1196" s="76"/>
      <c r="AT1196" s="76"/>
      <c r="AU1196" s="76"/>
      <c r="AV1196" s="76"/>
      <c r="AW1196" s="76"/>
      <c r="AX1196" s="76"/>
      <c r="AY1196" s="76"/>
      <c r="AZ1196" s="76"/>
      <c r="BA1196" s="76"/>
      <c r="BB1196" s="76"/>
    </row>
    <row r="1197" spans="5:54" x14ac:dyDescent="0.35">
      <c r="E1197" s="83"/>
      <c r="F1197" s="83"/>
      <c r="G1197" s="76"/>
      <c r="H1197" s="76"/>
      <c r="I1197" s="76"/>
      <c r="J1197" s="76"/>
      <c r="K1197" s="76"/>
      <c r="L1197" s="76"/>
      <c r="M1197" s="76"/>
      <c r="N1197" s="76"/>
      <c r="O1197" s="76"/>
      <c r="P1197" s="76"/>
      <c r="Q1197" s="76"/>
      <c r="R1197" s="76"/>
      <c r="S1197" s="76"/>
      <c r="T1197" s="76"/>
      <c r="U1197" s="76"/>
      <c r="V1197" s="76"/>
      <c r="W1197" s="76"/>
      <c r="X1197" s="76"/>
      <c r="Y1197" s="76"/>
      <c r="Z1197" s="76"/>
      <c r="AA1197" s="76"/>
      <c r="AB1197" s="76"/>
      <c r="AC1197" s="76"/>
      <c r="AD1197" s="76"/>
      <c r="AE1197" s="76"/>
      <c r="AF1197" s="76"/>
      <c r="AG1197" s="76"/>
      <c r="AH1197" s="76"/>
      <c r="AI1197" s="76"/>
      <c r="AJ1197" s="76"/>
      <c r="AK1197" s="76"/>
      <c r="AL1197" s="76"/>
      <c r="AM1197" s="76"/>
      <c r="AN1197" s="76"/>
      <c r="AO1197" s="76"/>
      <c r="AP1197" s="76"/>
      <c r="AQ1197" s="76"/>
      <c r="AR1197" s="76"/>
      <c r="AS1197" s="76"/>
      <c r="AT1197" s="76"/>
      <c r="AU1197" s="76"/>
      <c r="AV1197" s="76"/>
      <c r="AW1197" s="76"/>
      <c r="AX1197" s="76"/>
      <c r="AY1197" s="76"/>
      <c r="AZ1197" s="76"/>
      <c r="BA1197" s="76"/>
      <c r="BB1197" s="76"/>
    </row>
    <row r="1198" spans="5:54" x14ac:dyDescent="0.35">
      <c r="E1198" s="83"/>
      <c r="F1198" s="83"/>
      <c r="G1198" s="76"/>
      <c r="H1198" s="76"/>
      <c r="I1198" s="76"/>
      <c r="J1198" s="76"/>
      <c r="K1198" s="76"/>
      <c r="L1198" s="76"/>
      <c r="M1198" s="76"/>
      <c r="N1198" s="76"/>
      <c r="O1198" s="76"/>
      <c r="P1198" s="76"/>
      <c r="Q1198" s="76"/>
      <c r="R1198" s="76"/>
      <c r="S1198" s="76"/>
      <c r="T1198" s="76"/>
      <c r="U1198" s="76"/>
      <c r="V1198" s="76"/>
      <c r="W1198" s="76"/>
      <c r="X1198" s="76"/>
      <c r="Y1198" s="76"/>
      <c r="Z1198" s="76"/>
      <c r="AA1198" s="76"/>
      <c r="AB1198" s="76"/>
      <c r="AC1198" s="76"/>
      <c r="AD1198" s="76"/>
      <c r="AE1198" s="76"/>
      <c r="AF1198" s="76"/>
      <c r="AG1198" s="76"/>
      <c r="AH1198" s="76"/>
      <c r="AI1198" s="76"/>
      <c r="AJ1198" s="76"/>
      <c r="AK1198" s="76"/>
      <c r="AL1198" s="76"/>
      <c r="AM1198" s="76"/>
      <c r="AN1198" s="76"/>
      <c r="AO1198" s="76"/>
      <c r="AP1198" s="76"/>
      <c r="AQ1198" s="76"/>
      <c r="AR1198" s="76"/>
      <c r="AS1198" s="76"/>
      <c r="AT1198" s="76"/>
      <c r="AU1198" s="76"/>
      <c r="AV1198" s="76"/>
      <c r="AW1198" s="76"/>
      <c r="AX1198" s="76"/>
      <c r="AY1198" s="76"/>
      <c r="AZ1198" s="76"/>
      <c r="BA1198" s="76"/>
      <c r="BB1198" s="76"/>
    </row>
    <row r="1199" spans="5:54" x14ac:dyDescent="0.35">
      <c r="E1199" s="83"/>
      <c r="F1199" s="83"/>
      <c r="G1199" s="76"/>
      <c r="H1199" s="76"/>
      <c r="I1199" s="76"/>
      <c r="J1199" s="76"/>
      <c r="K1199" s="76"/>
      <c r="L1199" s="76"/>
      <c r="M1199" s="76"/>
      <c r="N1199" s="76"/>
      <c r="O1199" s="76"/>
      <c r="P1199" s="76"/>
      <c r="Q1199" s="76"/>
      <c r="R1199" s="76"/>
      <c r="S1199" s="76"/>
      <c r="T1199" s="76"/>
      <c r="U1199" s="76"/>
      <c r="V1199" s="76"/>
      <c r="W1199" s="76"/>
      <c r="X1199" s="76"/>
      <c r="Y1199" s="76"/>
      <c r="Z1199" s="76"/>
      <c r="AA1199" s="76"/>
      <c r="AB1199" s="76"/>
      <c r="AC1199" s="76"/>
      <c r="AD1199" s="76"/>
      <c r="AE1199" s="76"/>
      <c r="AF1199" s="76"/>
      <c r="AG1199" s="76"/>
      <c r="AH1199" s="76"/>
      <c r="AI1199" s="76"/>
      <c r="AJ1199" s="76"/>
      <c r="AK1199" s="76"/>
      <c r="AL1199" s="76"/>
      <c r="AM1199" s="76"/>
      <c r="AN1199" s="76"/>
      <c r="AO1199" s="76"/>
      <c r="AP1199" s="76"/>
      <c r="AQ1199" s="76"/>
      <c r="AR1199" s="76"/>
      <c r="AS1199" s="76"/>
      <c r="AT1199" s="76"/>
      <c r="AU1199" s="76"/>
      <c r="AV1199" s="76"/>
      <c r="AW1199" s="76"/>
      <c r="AX1199" s="76"/>
      <c r="AY1199" s="76"/>
      <c r="AZ1199" s="76"/>
      <c r="BA1199" s="76"/>
      <c r="BB1199" s="76"/>
    </row>
    <row r="1200" spans="5:54" x14ac:dyDescent="0.35">
      <c r="E1200" s="83"/>
      <c r="F1200" s="83"/>
      <c r="G1200" s="76"/>
      <c r="H1200" s="76"/>
      <c r="I1200" s="76"/>
      <c r="J1200" s="76"/>
      <c r="K1200" s="76"/>
      <c r="L1200" s="76"/>
      <c r="M1200" s="76"/>
      <c r="N1200" s="76"/>
      <c r="O1200" s="76"/>
      <c r="P1200" s="76"/>
      <c r="Q1200" s="76"/>
      <c r="R1200" s="76"/>
      <c r="S1200" s="76"/>
      <c r="T1200" s="76"/>
      <c r="U1200" s="76"/>
      <c r="V1200" s="76"/>
      <c r="W1200" s="76"/>
      <c r="X1200" s="76"/>
      <c r="Y1200" s="76"/>
      <c r="Z1200" s="76"/>
      <c r="AA1200" s="76"/>
      <c r="AB1200" s="76"/>
      <c r="AC1200" s="76"/>
      <c r="AD1200" s="76"/>
      <c r="AE1200" s="76"/>
      <c r="AF1200" s="76"/>
      <c r="AG1200" s="76"/>
      <c r="AH1200" s="76"/>
      <c r="AI1200" s="76"/>
      <c r="AJ1200" s="76"/>
      <c r="AK1200" s="76"/>
      <c r="AL1200" s="76"/>
      <c r="AM1200" s="76"/>
      <c r="AN1200" s="76"/>
      <c r="AO1200" s="76"/>
      <c r="AP1200" s="76"/>
      <c r="AQ1200" s="76"/>
      <c r="AR1200" s="76"/>
      <c r="AS1200" s="76"/>
      <c r="AT1200" s="76"/>
      <c r="AU1200" s="76"/>
      <c r="AV1200" s="76"/>
      <c r="AW1200" s="76"/>
      <c r="AX1200" s="76"/>
      <c r="AY1200" s="76"/>
      <c r="AZ1200" s="76"/>
      <c r="BA1200" s="76"/>
      <c r="BB1200" s="76"/>
    </row>
    <row r="1201" spans="5:54" x14ac:dyDescent="0.35">
      <c r="E1201" s="83"/>
      <c r="F1201" s="83"/>
      <c r="G1201" s="76"/>
      <c r="H1201" s="76"/>
      <c r="I1201" s="76"/>
      <c r="J1201" s="76"/>
      <c r="K1201" s="76"/>
      <c r="L1201" s="76"/>
      <c r="M1201" s="76"/>
      <c r="N1201" s="76"/>
      <c r="O1201" s="76"/>
      <c r="P1201" s="76"/>
      <c r="Q1201" s="76"/>
      <c r="R1201" s="76"/>
      <c r="S1201" s="76"/>
      <c r="T1201" s="76"/>
      <c r="U1201" s="76"/>
      <c r="V1201" s="76"/>
      <c r="W1201" s="76"/>
      <c r="X1201" s="76"/>
      <c r="Y1201" s="76"/>
      <c r="Z1201" s="76"/>
      <c r="AA1201" s="76"/>
      <c r="AB1201" s="76"/>
      <c r="AC1201" s="76"/>
      <c r="AD1201" s="76"/>
      <c r="AE1201" s="76"/>
      <c r="AF1201" s="76"/>
      <c r="AG1201" s="76"/>
      <c r="AH1201" s="76"/>
      <c r="AI1201" s="76"/>
      <c r="AJ1201" s="76"/>
      <c r="AK1201" s="76"/>
      <c r="AL1201" s="76"/>
      <c r="AM1201" s="76"/>
      <c r="AN1201" s="76"/>
      <c r="AO1201" s="76"/>
      <c r="AP1201" s="76"/>
      <c r="AQ1201" s="76"/>
      <c r="AR1201" s="76"/>
      <c r="AS1201" s="76"/>
      <c r="AT1201" s="76"/>
      <c r="AU1201" s="76"/>
      <c r="AV1201" s="76"/>
      <c r="AW1201" s="76"/>
      <c r="AX1201" s="76"/>
      <c r="AY1201" s="76"/>
      <c r="AZ1201" s="76"/>
      <c r="BA1201" s="76"/>
      <c r="BB1201" s="76"/>
    </row>
    <row r="1202" spans="5:54" x14ac:dyDescent="0.35">
      <c r="E1202" s="83"/>
      <c r="F1202" s="83"/>
      <c r="G1202" s="76"/>
      <c r="H1202" s="76"/>
      <c r="I1202" s="76"/>
      <c r="J1202" s="76"/>
      <c r="K1202" s="76"/>
      <c r="L1202" s="76"/>
      <c r="M1202" s="76"/>
      <c r="N1202" s="76"/>
      <c r="O1202" s="76"/>
      <c r="P1202" s="76"/>
      <c r="Q1202" s="76"/>
      <c r="R1202" s="76"/>
      <c r="S1202" s="76"/>
      <c r="T1202" s="76"/>
      <c r="U1202" s="76"/>
      <c r="V1202" s="76"/>
      <c r="W1202" s="76"/>
      <c r="X1202" s="76"/>
      <c r="Y1202" s="76"/>
      <c r="Z1202" s="76"/>
      <c r="AA1202" s="76"/>
      <c r="AB1202" s="76"/>
      <c r="AC1202" s="76"/>
      <c r="AD1202" s="76"/>
      <c r="AE1202" s="76"/>
      <c r="AF1202" s="76"/>
      <c r="AG1202" s="76"/>
      <c r="AH1202" s="76"/>
      <c r="AI1202" s="76"/>
      <c r="AJ1202" s="76"/>
      <c r="AK1202" s="76"/>
      <c r="AL1202" s="76"/>
      <c r="AM1202" s="76"/>
      <c r="AN1202" s="76"/>
      <c r="AO1202" s="76"/>
      <c r="AP1202" s="76"/>
      <c r="AQ1202" s="76"/>
      <c r="AR1202" s="76"/>
      <c r="AS1202" s="76"/>
      <c r="AT1202" s="76"/>
      <c r="AU1202" s="76"/>
      <c r="AV1202" s="76"/>
      <c r="AW1202" s="76"/>
      <c r="AX1202" s="76"/>
      <c r="AY1202" s="76"/>
      <c r="AZ1202" s="76"/>
      <c r="BA1202" s="76"/>
      <c r="BB1202" s="76"/>
    </row>
    <row r="1203" spans="5:54" x14ac:dyDescent="0.35">
      <c r="E1203" s="83"/>
      <c r="F1203" s="83"/>
      <c r="G1203" s="76"/>
      <c r="H1203" s="76"/>
      <c r="I1203" s="76"/>
      <c r="J1203" s="76"/>
      <c r="K1203" s="76"/>
      <c r="L1203" s="76"/>
      <c r="M1203" s="76"/>
      <c r="N1203" s="76"/>
      <c r="O1203" s="76"/>
      <c r="P1203" s="76"/>
      <c r="Q1203" s="76"/>
      <c r="R1203" s="76"/>
      <c r="S1203" s="76"/>
      <c r="T1203" s="76"/>
      <c r="U1203" s="76"/>
      <c r="V1203" s="76"/>
      <c r="W1203" s="76"/>
      <c r="X1203" s="76"/>
      <c r="Y1203" s="76"/>
      <c r="Z1203" s="76"/>
      <c r="AA1203" s="76"/>
      <c r="AB1203" s="76"/>
      <c r="AC1203" s="76"/>
      <c r="AD1203" s="76"/>
      <c r="AE1203" s="76"/>
      <c r="AF1203" s="76"/>
      <c r="AG1203" s="76"/>
      <c r="AH1203" s="76"/>
      <c r="AI1203" s="76"/>
      <c r="AJ1203" s="76"/>
      <c r="AK1203" s="76"/>
      <c r="AL1203" s="76"/>
      <c r="AM1203" s="76"/>
      <c r="AN1203" s="76"/>
      <c r="AO1203" s="76"/>
      <c r="AP1203" s="76"/>
      <c r="AQ1203" s="76"/>
      <c r="AR1203" s="76"/>
      <c r="AS1203" s="76"/>
      <c r="AT1203" s="76"/>
      <c r="AU1203" s="76"/>
      <c r="AV1203" s="76"/>
      <c r="AW1203" s="76"/>
      <c r="AX1203" s="76"/>
      <c r="AY1203" s="76"/>
      <c r="AZ1203" s="76"/>
      <c r="BA1203" s="76"/>
      <c r="BB1203" s="76"/>
    </row>
    <row r="1204" spans="5:54" x14ac:dyDescent="0.35">
      <c r="E1204" s="83"/>
      <c r="F1204" s="83"/>
      <c r="G1204" s="76"/>
      <c r="H1204" s="76"/>
      <c r="I1204" s="76"/>
      <c r="J1204" s="76"/>
      <c r="K1204" s="76"/>
      <c r="L1204" s="76"/>
      <c r="M1204" s="76"/>
      <c r="N1204" s="76"/>
      <c r="O1204" s="76"/>
      <c r="P1204" s="76"/>
      <c r="Q1204" s="76"/>
      <c r="R1204" s="76"/>
      <c r="S1204" s="76"/>
      <c r="T1204" s="76"/>
      <c r="U1204" s="76"/>
      <c r="V1204" s="76"/>
      <c r="W1204" s="76"/>
      <c r="X1204" s="76"/>
      <c r="Y1204" s="76"/>
      <c r="Z1204" s="76"/>
      <c r="AA1204" s="76"/>
      <c r="AB1204" s="76"/>
      <c r="AC1204" s="76"/>
      <c r="AD1204" s="76"/>
      <c r="AE1204" s="76"/>
      <c r="AF1204" s="76"/>
      <c r="AG1204" s="76"/>
      <c r="AH1204" s="76"/>
      <c r="AI1204" s="76"/>
      <c r="AJ1204" s="76"/>
      <c r="AK1204" s="76"/>
      <c r="AL1204" s="76"/>
      <c r="AM1204" s="76"/>
      <c r="AN1204" s="76"/>
      <c r="AO1204" s="76"/>
      <c r="AP1204" s="76"/>
      <c r="AQ1204" s="76"/>
      <c r="AR1204" s="76"/>
      <c r="AS1204" s="76"/>
      <c r="AT1204" s="76"/>
      <c r="AU1204" s="76"/>
      <c r="AV1204" s="76"/>
      <c r="AW1204" s="76"/>
      <c r="AX1204" s="76"/>
      <c r="AY1204" s="76"/>
      <c r="AZ1204" s="76"/>
      <c r="BA1204" s="76"/>
      <c r="BB1204" s="76"/>
    </row>
    <row r="1205" spans="5:54" x14ac:dyDescent="0.35">
      <c r="E1205" s="83"/>
      <c r="F1205" s="83"/>
      <c r="G1205" s="76"/>
      <c r="H1205" s="76"/>
      <c r="I1205" s="76"/>
      <c r="J1205" s="76"/>
      <c r="K1205" s="76"/>
      <c r="L1205" s="76"/>
      <c r="M1205" s="76"/>
      <c r="N1205" s="76"/>
      <c r="O1205" s="76"/>
      <c r="P1205" s="76"/>
      <c r="Q1205" s="76"/>
      <c r="R1205" s="76"/>
      <c r="S1205" s="76"/>
      <c r="T1205" s="76"/>
      <c r="U1205" s="76"/>
      <c r="V1205" s="76"/>
      <c r="W1205" s="76"/>
      <c r="X1205" s="76"/>
      <c r="Y1205" s="76"/>
      <c r="Z1205" s="76"/>
      <c r="AA1205" s="76"/>
      <c r="AB1205" s="76"/>
      <c r="AC1205" s="76"/>
      <c r="AD1205" s="76"/>
      <c r="AE1205" s="76"/>
      <c r="AF1205" s="76"/>
      <c r="AG1205" s="76"/>
      <c r="AH1205" s="76"/>
      <c r="AI1205" s="76"/>
      <c r="AJ1205" s="76"/>
      <c r="AK1205" s="76"/>
      <c r="AL1205" s="76"/>
      <c r="AM1205" s="76"/>
      <c r="AN1205" s="76"/>
      <c r="AO1205" s="76"/>
      <c r="AP1205" s="76"/>
      <c r="AQ1205" s="76"/>
      <c r="AR1205" s="76"/>
      <c r="AS1205" s="76"/>
      <c r="AT1205" s="76"/>
      <c r="AU1205" s="76"/>
      <c r="AV1205" s="76"/>
      <c r="AW1205" s="76"/>
      <c r="AX1205" s="76"/>
      <c r="AY1205" s="76"/>
      <c r="AZ1205" s="76"/>
      <c r="BA1205" s="76"/>
      <c r="BB1205" s="76"/>
    </row>
    <row r="1206" spans="5:54" x14ac:dyDescent="0.35">
      <c r="E1206" s="83"/>
      <c r="F1206" s="83"/>
      <c r="G1206" s="76"/>
      <c r="H1206" s="76"/>
      <c r="I1206" s="76"/>
      <c r="J1206" s="76"/>
      <c r="K1206" s="76"/>
      <c r="L1206" s="76"/>
      <c r="M1206" s="76"/>
      <c r="N1206" s="76"/>
      <c r="O1206" s="76"/>
      <c r="P1206" s="76"/>
      <c r="Q1206" s="76"/>
      <c r="R1206" s="76"/>
      <c r="S1206" s="76"/>
      <c r="T1206" s="76"/>
      <c r="U1206" s="76"/>
      <c r="V1206" s="76"/>
      <c r="W1206" s="76"/>
      <c r="X1206" s="76"/>
      <c r="Y1206" s="76"/>
      <c r="Z1206" s="76"/>
      <c r="AA1206" s="76"/>
      <c r="AB1206" s="76"/>
      <c r="AC1206" s="76"/>
      <c r="AD1206" s="76"/>
      <c r="AE1206" s="76"/>
      <c r="AF1206" s="76"/>
      <c r="AG1206" s="76"/>
      <c r="AH1206" s="76"/>
      <c r="AI1206" s="76"/>
      <c r="AJ1206" s="76"/>
      <c r="AK1206" s="76"/>
      <c r="AL1206" s="76"/>
      <c r="AM1206" s="76"/>
      <c r="AN1206" s="76"/>
      <c r="AO1206" s="76"/>
      <c r="AP1206" s="76"/>
      <c r="AQ1206" s="76"/>
      <c r="AR1206" s="76"/>
      <c r="AS1206" s="76"/>
      <c r="AT1206" s="76"/>
      <c r="AU1206" s="76"/>
      <c r="AV1206" s="76"/>
      <c r="AW1206" s="76"/>
      <c r="AX1206" s="76"/>
      <c r="AY1206" s="76"/>
      <c r="AZ1206" s="76"/>
      <c r="BA1206" s="76"/>
      <c r="BB1206" s="76"/>
    </row>
    <row r="1207" spans="5:54" x14ac:dyDescent="0.35">
      <c r="E1207" s="83"/>
      <c r="F1207" s="83"/>
      <c r="G1207" s="76"/>
      <c r="H1207" s="76"/>
      <c r="I1207" s="76"/>
      <c r="J1207" s="76"/>
      <c r="K1207" s="76"/>
      <c r="L1207" s="76"/>
      <c r="M1207" s="76"/>
      <c r="N1207" s="76"/>
      <c r="O1207" s="76"/>
      <c r="P1207" s="76"/>
      <c r="Q1207" s="76"/>
      <c r="R1207" s="76"/>
      <c r="S1207" s="76"/>
      <c r="T1207" s="76"/>
      <c r="U1207" s="76"/>
      <c r="V1207" s="76"/>
      <c r="W1207" s="76"/>
      <c r="X1207" s="76"/>
      <c r="Y1207" s="76"/>
      <c r="Z1207" s="76"/>
      <c r="AA1207" s="76"/>
      <c r="AB1207" s="76"/>
      <c r="AC1207" s="76"/>
      <c r="AD1207" s="76"/>
      <c r="AE1207" s="76"/>
      <c r="AF1207" s="76"/>
      <c r="AG1207" s="76"/>
      <c r="AH1207" s="76"/>
      <c r="AI1207" s="76"/>
      <c r="AJ1207" s="76"/>
      <c r="AK1207" s="76"/>
      <c r="AL1207" s="76"/>
      <c r="AM1207" s="76"/>
      <c r="AN1207" s="76"/>
      <c r="AO1207" s="76"/>
      <c r="AP1207" s="76"/>
      <c r="AQ1207" s="76"/>
      <c r="AR1207" s="76"/>
      <c r="AS1207" s="76"/>
      <c r="AT1207" s="76"/>
      <c r="AU1207" s="76"/>
      <c r="AV1207" s="76"/>
      <c r="AW1207" s="76"/>
      <c r="AX1207" s="76"/>
      <c r="AY1207" s="76"/>
      <c r="AZ1207" s="76"/>
      <c r="BA1207" s="76"/>
      <c r="BB1207" s="76"/>
    </row>
    <row r="1208" spans="5:54" x14ac:dyDescent="0.35">
      <c r="E1208" s="83"/>
      <c r="F1208" s="83"/>
      <c r="G1208" s="76"/>
      <c r="H1208" s="76"/>
      <c r="I1208" s="76"/>
      <c r="J1208" s="76"/>
      <c r="K1208" s="76"/>
      <c r="L1208" s="76"/>
      <c r="M1208" s="76"/>
      <c r="N1208" s="76"/>
      <c r="O1208" s="76"/>
      <c r="P1208" s="76"/>
      <c r="Q1208" s="76"/>
      <c r="R1208" s="76"/>
      <c r="S1208" s="76"/>
      <c r="T1208" s="76"/>
      <c r="U1208" s="76"/>
      <c r="V1208" s="76"/>
      <c r="W1208" s="76"/>
      <c r="X1208" s="76"/>
      <c r="Y1208" s="76"/>
      <c r="Z1208" s="76"/>
      <c r="AA1208" s="76"/>
      <c r="AB1208" s="76"/>
      <c r="AC1208" s="76"/>
      <c r="AD1208" s="76"/>
      <c r="AE1208" s="76"/>
      <c r="AF1208" s="76"/>
      <c r="AG1208" s="76"/>
      <c r="AH1208" s="76"/>
      <c r="AI1208" s="76"/>
      <c r="AJ1208" s="76"/>
      <c r="AK1208" s="76"/>
      <c r="AL1208" s="76"/>
      <c r="AM1208" s="76"/>
      <c r="AN1208" s="76"/>
      <c r="AO1208" s="76"/>
      <c r="AP1208" s="76"/>
      <c r="AQ1208" s="76"/>
      <c r="AR1208" s="76"/>
      <c r="AS1208" s="76"/>
      <c r="AT1208" s="76"/>
      <c r="AU1208" s="76"/>
      <c r="AV1208" s="76"/>
      <c r="AW1208" s="76"/>
      <c r="AX1208" s="76"/>
      <c r="AY1208" s="76"/>
      <c r="AZ1208" s="76"/>
      <c r="BA1208" s="76"/>
      <c r="BB1208" s="76"/>
    </row>
    <row r="1209" spans="5:54" x14ac:dyDescent="0.35">
      <c r="E1209" s="83"/>
      <c r="F1209" s="83"/>
      <c r="G1209" s="76"/>
      <c r="H1209" s="76"/>
      <c r="I1209" s="76"/>
      <c r="J1209" s="76"/>
      <c r="K1209" s="76"/>
      <c r="L1209" s="76"/>
      <c r="M1209" s="76"/>
      <c r="N1209" s="76"/>
      <c r="O1209" s="76"/>
      <c r="P1209" s="76"/>
      <c r="Q1209" s="76"/>
      <c r="R1209" s="76"/>
      <c r="S1209" s="76"/>
      <c r="T1209" s="76"/>
      <c r="U1209" s="76"/>
      <c r="V1209" s="76"/>
      <c r="W1209" s="76"/>
      <c r="X1209" s="76"/>
      <c r="Y1209" s="76"/>
      <c r="Z1209" s="76"/>
      <c r="AA1209" s="76"/>
      <c r="AB1209" s="76"/>
      <c r="AC1209" s="76"/>
      <c r="AD1209" s="76"/>
      <c r="AE1209" s="76"/>
      <c r="AF1209" s="76"/>
      <c r="AG1209" s="76"/>
      <c r="AH1209" s="76"/>
      <c r="AI1209" s="76"/>
      <c r="AJ1209" s="76"/>
      <c r="AK1209" s="76"/>
      <c r="AL1209" s="76"/>
      <c r="AM1209" s="76"/>
      <c r="AN1209" s="76"/>
      <c r="AO1209" s="76"/>
      <c r="AP1209" s="76"/>
      <c r="AQ1209" s="76"/>
      <c r="AR1209" s="76"/>
      <c r="AS1209" s="76"/>
      <c r="AT1209" s="76"/>
      <c r="AU1209" s="76"/>
      <c r="AV1209" s="76"/>
      <c r="AW1209" s="76"/>
      <c r="AX1209" s="76"/>
      <c r="AY1209" s="76"/>
      <c r="AZ1209" s="76"/>
      <c r="BA1209" s="76"/>
      <c r="BB1209" s="76"/>
    </row>
    <row r="1210" spans="5:54" x14ac:dyDescent="0.35">
      <c r="E1210" s="83"/>
      <c r="F1210" s="83"/>
      <c r="G1210" s="76"/>
      <c r="H1210" s="76"/>
      <c r="I1210" s="76"/>
      <c r="J1210" s="76"/>
      <c r="K1210" s="76"/>
      <c r="L1210" s="76"/>
      <c r="M1210" s="76"/>
      <c r="N1210" s="76"/>
      <c r="O1210" s="76"/>
      <c r="P1210" s="76"/>
      <c r="Q1210" s="76"/>
      <c r="R1210" s="76"/>
      <c r="S1210" s="76"/>
      <c r="T1210" s="76"/>
      <c r="U1210" s="76"/>
      <c r="V1210" s="76"/>
      <c r="W1210" s="76"/>
      <c r="X1210" s="76"/>
      <c r="Y1210" s="76"/>
      <c r="Z1210" s="76"/>
      <c r="AA1210" s="76"/>
      <c r="AB1210" s="76"/>
      <c r="AC1210" s="76"/>
      <c r="AD1210" s="76"/>
      <c r="AE1210" s="76"/>
      <c r="AF1210" s="76"/>
      <c r="AG1210" s="76"/>
      <c r="AH1210" s="76"/>
      <c r="AI1210" s="76"/>
      <c r="AJ1210" s="76"/>
      <c r="AK1210" s="76"/>
      <c r="AL1210" s="76"/>
      <c r="AM1210" s="76"/>
      <c r="AN1210" s="76"/>
      <c r="AO1210" s="76"/>
      <c r="AP1210" s="76"/>
      <c r="AQ1210" s="76"/>
      <c r="AR1210" s="76"/>
      <c r="AS1210" s="76"/>
      <c r="AT1210" s="76"/>
      <c r="AU1210" s="76"/>
      <c r="AV1210" s="76"/>
      <c r="AW1210" s="76"/>
      <c r="AX1210" s="76"/>
      <c r="AY1210" s="76"/>
      <c r="AZ1210" s="76"/>
      <c r="BA1210" s="76"/>
      <c r="BB1210" s="76"/>
    </row>
    <row r="1211" spans="5:54" x14ac:dyDescent="0.35">
      <c r="E1211" s="83"/>
      <c r="F1211" s="83"/>
      <c r="G1211" s="76"/>
      <c r="H1211" s="76"/>
      <c r="I1211" s="76"/>
      <c r="J1211" s="76"/>
      <c r="K1211" s="76"/>
      <c r="L1211" s="76"/>
      <c r="M1211" s="76"/>
      <c r="N1211" s="76"/>
      <c r="O1211" s="76"/>
      <c r="P1211" s="76"/>
      <c r="Q1211" s="76"/>
      <c r="R1211" s="76"/>
      <c r="S1211" s="76"/>
      <c r="T1211" s="76"/>
      <c r="U1211" s="76"/>
      <c r="V1211" s="76"/>
      <c r="W1211" s="76"/>
      <c r="X1211" s="76"/>
      <c r="Y1211" s="76"/>
      <c r="Z1211" s="76"/>
      <c r="AA1211" s="76"/>
      <c r="AB1211" s="76"/>
      <c r="AC1211" s="76"/>
      <c r="AD1211" s="76"/>
      <c r="AE1211" s="76"/>
      <c r="AF1211" s="76"/>
      <c r="AG1211" s="76"/>
      <c r="AH1211" s="76"/>
      <c r="AI1211" s="76"/>
      <c r="AJ1211" s="76"/>
      <c r="AK1211" s="76"/>
      <c r="AL1211" s="76"/>
      <c r="AM1211" s="76"/>
      <c r="AN1211" s="76"/>
      <c r="AO1211" s="76"/>
      <c r="AP1211" s="76"/>
      <c r="AQ1211" s="76"/>
      <c r="AR1211" s="76"/>
      <c r="AS1211" s="76"/>
      <c r="AT1211" s="76"/>
      <c r="AU1211" s="76"/>
      <c r="AV1211" s="76"/>
      <c r="AW1211" s="76"/>
      <c r="AX1211" s="76"/>
      <c r="AY1211" s="76"/>
      <c r="AZ1211" s="76"/>
      <c r="BA1211" s="76"/>
      <c r="BB1211" s="76"/>
    </row>
    <row r="1212" spans="5:54" x14ac:dyDescent="0.35">
      <c r="E1212" s="83"/>
      <c r="F1212" s="83"/>
      <c r="G1212" s="76"/>
      <c r="H1212" s="76"/>
      <c r="I1212" s="76"/>
      <c r="J1212" s="76"/>
      <c r="K1212" s="76"/>
      <c r="L1212" s="76"/>
      <c r="M1212" s="76"/>
      <c r="N1212" s="76"/>
      <c r="O1212" s="76"/>
      <c r="P1212" s="76"/>
      <c r="Q1212" s="76"/>
      <c r="R1212" s="76"/>
      <c r="S1212" s="76"/>
      <c r="T1212" s="76"/>
      <c r="U1212" s="76"/>
      <c r="V1212" s="76"/>
      <c r="W1212" s="76"/>
      <c r="X1212" s="76"/>
      <c r="Y1212" s="76"/>
      <c r="Z1212" s="76"/>
      <c r="AA1212" s="76"/>
      <c r="AB1212" s="76"/>
      <c r="AC1212" s="76"/>
      <c r="AD1212" s="76"/>
      <c r="AE1212" s="76"/>
      <c r="AF1212" s="76"/>
      <c r="AG1212" s="76"/>
      <c r="AH1212" s="76"/>
      <c r="AI1212" s="76"/>
      <c r="AJ1212" s="76"/>
      <c r="AK1212" s="76"/>
      <c r="AL1212" s="76"/>
      <c r="AM1212" s="76"/>
      <c r="AN1212" s="76"/>
      <c r="AO1212" s="76"/>
      <c r="AP1212" s="76"/>
      <c r="AQ1212" s="76"/>
      <c r="AR1212" s="76"/>
      <c r="AS1212" s="76"/>
      <c r="AT1212" s="76"/>
      <c r="AU1212" s="76"/>
      <c r="AV1212" s="76"/>
      <c r="AW1212" s="76"/>
      <c r="AX1212" s="76"/>
      <c r="AY1212" s="76"/>
      <c r="AZ1212" s="76"/>
      <c r="BA1212" s="76"/>
      <c r="BB1212" s="76"/>
    </row>
    <row r="1213" spans="5:54" x14ac:dyDescent="0.35">
      <c r="E1213" s="83"/>
      <c r="F1213" s="83"/>
      <c r="G1213" s="76"/>
      <c r="H1213" s="76"/>
      <c r="I1213" s="76"/>
      <c r="J1213" s="76"/>
      <c r="K1213" s="76"/>
      <c r="L1213" s="76"/>
      <c r="M1213" s="76"/>
      <c r="N1213" s="76"/>
      <c r="O1213" s="76"/>
      <c r="P1213" s="76"/>
      <c r="Q1213" s="76"/>
      <c r="R1213" s="76"/>
      <c r="S1213" s="76"/>
      <c r="T1213" s="76"/>
      <c r="U1213" s="76"/>
      <c r="V1213" s="76"/>
      <c r="W1213" s="76"/>
      <c r="X1213" s="76"/>
      <c r="Y1213" s="76"/>
      <c r="Z1213" s="76"/>
      <c r="AA1213" s="76"/>
      <c r="AB1213" s="76"/>
      <c r="AC1213" s="76"/>
      <c r="AD1213" s="76"/>
      <c r="AE1213" s="76"/>
      <c r="AF1213" s="76"/>
      <c r="AG1213" s="76"/>
      <c r="AH1213" s="76"/>
      <c r="AI1213" s="76"/>
      <c r="AJ1213" s="76"/>
      <c r="AK1213" s="76"/>
      <c r="AL1213" s="76"/>
      <c r="AM1213" s="76"/>
      <c r="AN1213" s="76"/>
      <c r="AO1213" s="76"/>
      <c r="AP1213" s="76"/>
      <c r="AQ1213" s="76"/>
      <c r="AR1213" s="76"/>
      <c r="AS1213" s="76"/>
      <c r="AT1213" s="76"/>
      <c r="AU1213" s="76"/>
      <c r="AV1213" s="76"/>
      <c r="AW1213" s="76"/>
      <c r="AX1213" s="76"/>
      <c r="AY1213" s="76"/>
      <c r="AZ1213" s="76"/>
      <c r="BA1213" s="76"/>
      <c r="BB1213" s="76"/>
    </row>
    <row r="1214" spans="5:54" x14ac:dyDescent="0.35">
      <c r="E1214" s="83"/>
      <c r="F1214" s="83"/>
      <c r="G1214" s="76"/>
      <c r="H1214" s="76"/>
      <c r="I1214" s="76"/>
      <c r="J1214" s="76"/>
      <c r="K1214" s="76"/>
      <c r="L1214" s="76"/>
      <c r="M1214" s="76"/>
      <c r="N1214" s="76"/>
      <c r="O1214" s="76"/>
      <c r="P1214" s="76"/>
      <c r="Q1214" s="76"/>
      <c r="R1214" s="76"/>
      <c r="S1214" s="76"/>
      <c r="T1214" s="76"/>
      <c r="U1214" s="76"/>
      <c r="V1214" s="76"/>
      <c r="W1214" s="76"/>
      <c r="X1214" s="76"/>
      <c r="Y1214" s="76"/>
      <c r="Z1214" s="76"/>
      <c r="AA1214" s="76"/>
      <c r="AB1214" s="76"/>
      <c r="AC1214" s="76"/>
      <c r="AD1214" s="76"/>
      <c r="AE1214" s="76"/>
      <c r="AF1214" s="76"/>
      <c r="AG1214" s="76"/>
      <c r="AH1214" s="76"/>
      <c r="AI1214" s="76"/>
      <c r="AJ1214" s="76"/>
      <c r="AK1214" s="76"/>
      <c r="AL1214" s="76"/>
      <c r="AM1214" s="76"/>
      <c r="AN1214" s="76"/>
      <c r="AO1214" s="76"/>
      <c r="AP1214" s="76"/>
      <c r="AQ1214" s="76"/>
      <c r="AR1214" s="76"/>
      <c r="AS1214" s="76"/>
      <c r="AT1214" s="76"/>
      <c r="AU1214" s="76"/>
      <c r="AV1214" s="76"/>
      <c r="AW1214" s="76"/>
      <c r="AX1214" s="76"/>
      <c r="AY1214" s="76"/>
      <c r="AZ1214" s="76"/>
      <c r="BA1214" s="76"/>
      <c r="BB1214" s="76"/>
    </row>
    <row r="1215" spans="5:54" x14ac:dyDescent="0.35">
      <c r="E1215" s="83"/>
      <c r="F1215" s="83"/>
      <c r="G1215" s="76"/>
      <c r="H1215" s="76"/>
      <c r="I1215" s="76"/>
      <c r="J1215" s="76"/>
      <c r="K1215" s="76"/>
      <c r="L1215" s="76"/>
      <c r="M1215" s="76"/>
      <c r="N1215" s="76"/>
      <c r="O1215" s="76"/>
      <c r="P1215" s="76"/>
      <c r="Q1215" s="76"/>
      <c r="R1215" s="76"/>
      <c r="S1215" s="76"/>
      <c r="T1215" s="76"/>
      <c r="U1215" s="76"/>
      <c r="V1215" s="76"/>
      <c r="W1215" s="76"/>
      <c r="X1215" s="76"/>
      <c r="Y1215" s="76"/>
      <c r="Z1215" s="76"/>
      <c r="AA1215" s="76"/>
      <c r="AB1215" s="76"/>
      <c r="AC1215" s="76"/>
      <c r="AD1215" s="76"/>
      <c r="AE1215" s="76"/>
      <c r="AF1215" s="76"/>
      <c r="AG1215" s="76"/>
      <c r="AH1215" s="76"/>
      <c r="AI1215" s="76"/>
      <c r="AJ1215" s="76"/>
      <c r="AK1215" s="76"/>
      <c r="AL1215" s="76"/>
      <c r="AM1215" s="76"/>
      <c r="AN1215" s="76"/>
      <c r="AO1215" s="76"/>
      <c r="AP1215" s="76"/>
      <c r="AQ1215" s="76"/>
      <c r="AR1215" s="76"/>
      <c r="AS1215" s="76"/>
      <c r="AT1215" s="76"/>
      <c r="AU1215" s="76"/>
      <c r="AV1215" s="76"/>
      <c r="AW1215" s="76"/>
      <c r="AX1215" s="76"/>
      <c r="AY1215" s="76"/>
      <c r="AZ1215" s="76"/>
      <c r="BA1215" s="76"/>
      <c r="BB1215" s="76"/>
    </row>
    <row r="1216" spans="5:54" x14ac:dyDescent="0.35">
      <c r="E1216" s="83"/>
      <c r="F1216" s="83"/>
      <c r="G1216" s="76"/>
      <c r="H1216" s="76"/>
      <c r="I1216" s="76"/>
      <c r="J1216" s="76"/>
      <c r="K1216" s="76"/>
      <c r="L1216" s="76"/>
      <c r="M1216" s="76"/>
      <c r="N1216" s="76"/>
      <c r="O1216" s="76"/>
      <c r="P1216" s="76"/>
      <c r="Q1216" s="76"/>
      <c r="R1216" s="76"/>
      <c r="S1216" s="76"/>
      <c r="T1216" s="76"/>
      <c r="U1216" s="76"/>
      <c r="V1216" s="76"/>
      <c r="W1216" s="76"/>
      <c r="X1216" s="76"/>
      <c r="Y1216" s="76"/>
      <c r="Z1216" s="76"/>
      <c r="AA1216" s="76"/>
      <c r="AB1216" s="76"/>
      <c r="AC1216" s="76"/>
      <c r="AD1216" s="76"/>
      <c r="AE1216" s="76"/>
      <c r="AF1216" s="76"/>
      <c r="AG1216" s="76"/>
      <c r="AH1216" s="76"/>
      <c r="AI1216" s="76"/>
      <c r="AJ1216" s="76"/>
      <c r="AK1216" s="76"/>
      <c r="AL1216" s="76"/>
      <c r="AM1216" s="76"/>
      <c r="AN1216" s="76"/>
      <c r="AO1216" s="76"/>
      <c r="AP1216" s="76"/>
      <c r="AQ1216" s="76"/>
      <c r="AR1216" s="76"/>
      <c r="AS1216" s="76"/>
      <c r="AT1216" s="76"/>
      <c r="AU1216" s="76"/>
      <c r="AV1216" s="76"/>
      <c r="AW1216" s="76"/>
      <c r="AX1216" s="76"/>
      <c r="AY1216" s="76"/>
      <c r="AZ1216" s="76"/>
      <c r="BA1216" s="76"/>
      <c r="BB1216" s="76"/>
    </row>
    <row r="1217" spans="5:54" x14ac:dyDescent="0.35">
      <c r="E1217" s="83"/>
      <c r="F1217" s="83"/>
      <c r="G1217" s="76"/>
      <c r="H1217" s="76"/>
      <c r="I1217" s="76"/>
      <c r="J1217" s="76"/>
      <c r="K1217" s="76"/>
      <c r="L1217" s="76"/>
      <c r="M1217" s="76"/>
      <c r="N1217" s="76"/>
      <c r="O1217" s="76"/>
      <c r="P1217" s="76"/>
      <c r="Q1217" s="76"/>
      <c r="R1217" s="76"/>
      <c r="S1217" s="76"/>
      <c r="T1217" s="76"/>
      <c r="U1217" s="76"/>
      <c r="V1217" s="76"/>
      <c r="W1217" s="76"/>
      <c r="X1217" s="76"/>
      <c r="Y1217" s="76"/>
      <c r="Z1217" s="76"/>
      <c r="AA1217" s="76"/>
      <c r="AB1217" s="76"/>
      <c r="AC1217" s="76"/>
      <c r="AD1217" s="76"/>
      <c r="AE1217" s="76"/>
      <c r="AF1217" s="76"/>
      <c r="AG1217" s="76"/>
      <c r="AH1217" s="76"/>
      <c r="AI1217" s="76"/>
      <c r="AJ1217" s="76"/>
      <c r="AK1217" s="76"/>
      <c r="AL1217" s="76"/>
      <c r="AM1217" s="76"/>
      <c r="AN1217" s="76"/>
      <c r="AO1217" s="76"/>
      <c r="AP1217" s="76"/>
      <c r="AQ1217" s="76"/>
      <c r="AR1217" s="76"/>
      <c r="AS1217" s="76"/>
      <c r="AT1217" s="76"/>
      <c r="AU1217" s="76"/>
      <c r="AV1217" s="76"/>
      <c r="AW1217" s="76"/>
      <c r="AX1217" s="76"/>
      <c r="AY1217" s="76"/>
      <c r="AZ1217" s="76"/>
      <c r="BA1217" s="76"/>
      <c r="BB1217" s="76"/>
    </row>
    <row r="1218" spans="5:54" x14ac:dyDescent="0.35">
      <c r="E1218" s="83"/>
      <c r="F1218" s="83"/>
      <c r="G1218" s="76"/>
      <c r="H1218" s="76"/>
      <c r="I1218" s="76"/>
      <c r="J1218" s="76"/>
      <c r="K1218" s="76"/>
      <c r="L1218" s="76"/>
      <c r="M1218" s="76"/>
      <c r="N1218" s="76"/>
      <c r="O1218" s="76"/>
      <c r="P1218" s="76"/>
      <c r="Q1218" s="76"/>
      <c r="R1218" s="76"/>
      <c r="S1218" s="76"/>
      <c r="T1218" s="76"/>
      <c r="U1218" s="76"/>
      <c r="V1218" s="76"/>
      <c r="W1218" s="76"/>
      <c r="X1218" s="76"/>
      <c r="Y1218" s="76"/>
      <c r="Z1218" s="76"/>
      <c r="AA1218" s="76"/>
      <c r="AB1218" s="76"/>
      <c r="AC1218" s="76"/>
      <c r="AD1218" s="76"/>
      <c r="AE1218" s="76"/>
      <c r="AF1218" s="76"/>
      <c r="AG1218" s="76"/>
      <c r="AH1218" s="76"/>
      <c r="AI1218" s="76"/>
      <c r="AJ1218" s="76"/>
      <c r="AK1218" s="76"/>
      <c r="AL1218" s="76"/>
      <c r="AM1218" s="76"/>
      <c r="AN1218" s="76"/>
      <c r="AO1218" s="76"/>
      <c r="AP1218" s="76"/>
      <c r="AQ1218" s="76"/>
      <c r="AR1218" s="76"/>
      <c r="AS1218" s="76"/>
      <c r="AT1218" s="76"/>
      <c r="AU1218" s="76"/>
      <c r="AV1218" s="76"/>
      <c r="AW1218" s="76"/>
      <c r="AX1218" s="76"/>
      <c r="AY1218" s="76"/>
      <c r="AZ1218" s="76"/>
      <c r="BA1218" s="76"/>
      <c r="BB1218" s="76"/>
    </row>
    <row r="1219" spans="5:54" x14ac:dyDescent="0.35">
      <c r="E1219" s="83"/>
      <c r="F1219" s="83"/>
      <c r="G1219" s="76"/>
      <c r="H1219" s="76"/>
      <c r="I1219" s="76"/>
      <c r="J1219" s="76"/>
      <c r="K1219" s="76"/>
      <c r="L1219" s="76"/>
      <c r="M1219" s="76"/>
      <c r="N1219" s="76"/>
      <c r="O1219" s="76"/>
      <c r="P1219" s="76"/>
      <c r="Q1219" s="76"/>
      <c r="R1219" s="76"/>
      <c r="S1219" s="76"/>
      <c r="T1219" s="76"/>
      <c r="U1219" s="76"/>
      <c r="V1219" s="76"/>
      <c r="W1219" s="76"/>
      <c r="X1219" s="76"/>
      <c r="Y1219" s="76"/>
      <c r="Z1219" s="76"/>
      <c r="AA1219" s="76"/>
      <c r="AB1219" s="76"/>
      <c r="AC1219" s="76"/>
      <c r="AD1219" s="76"/>
      <c r="AE1219" s="76"/>
      <c r="AF1219" s="76"/>
      <c r="AG1219" s="76"/>
      <c r="AH1219" s="76"/>
      <c r="AI1219" s="76"/>
      <c r="AJ1219" s="76"/>
      <c r="AK1219" s="76"/>
      <c r="AL1219" s="76"/>
      <c r="AM1219" s="76"/>
      <c r="AN1219" s="76"/>
      <c r="AO1219" s="76"/>
      <c r="AP1219" s="76"/>
      <c r="AQ1219" s="76"/>
      <c r="AR1219" s="76"/>
      <c r="AS1219" s="76"/>
      <c r="AT1219" s="76"/>
      <c r="AU1219" s="76"/>
      <c r="AV1219" s="76"/>
      <c r="AW1219" s="76"/>
      <c r="AX1219" s="76"/>
      <c r="AY1219" s="76"/>
      <c r="AZ1219" s="76"/>
      <c r="BA1219" s="76"/>
      <c r="BB1219" s="76"/>
    </row>
    <row r="1220" spans="5:54" x14ac:dyDescent="0.35">
      <c r="E1220" s="83"/>
      <c r="F1220" s="83"/>
      <c r="G1220" s="76"/>
      <c r="H1220" s="76"/>
      <c r="I1220" s="76"/>
      <c r="J1220" s="76"/>
      <c r="K1220" s="76"/>
      <c r="L1220" s="76"/>
      <c r="M1220" s="76"/>
      <c r="N1220" s="76"/>
      <c r="O1220" s="76"/>
      <c r="P1220" s="76"/>
      <c r="Q1220" s="76"/>
      <c r="R1220" s="76"/>
      <c r="S1220" s="76"/>
      <c r="T1220" s="76"/>
      <c r="U1220" s="76"/>
      <c r="V1220" s="76"/>
      <c r="W1220" s="76"/>
      <c r="X1220" s="76"/>
      <c r="Y1220" s="76"/>
      <c r="Z1220" s="76"/>
      <c r="AA1220" s="76"/>
      <c r="AB1220" s="76"/>
      <c r="AC1220" s="76"/>
      <c r="AD1220" s="76"/>
      <c r="AE1220" s="76"/>
      <c r="AF1220" s="76"/>
      <c r="AG1220" s="76"/>
      <c r="AH1220" s="76"/>
      <c r="AI1220" s="76"/>
      <c r="AJ1220" s="76"/>
      <c r="AK1220" s="76"/>
      <c r="AL1220" s="76"/>
      <c r="AM1220" s="76"/>
      <c r="AN1220" s="76"/>
      <c r="AO1220" s="76"/>
      <c r="AP1220" s="76"/>
      <c r="AQ1220" s="76"/>
      <c r="AR1220" s="76"/>
      <c r="AS1220" s="76"/>
      <c r="AT1220" s="76"/>
      <c r="AU1220" s="76"/>
      <c r="AV1220" s="76"/>
      <c r="AW1220" s="76"/>
      <c r="AX1220" s="76"/>
      <c r="AY1220" s="76"/>
      <c r="AZ1220" s="76"/>
      <c r="BA1220" s="76"/>
      <c r="BB1220" s="76"/>
    </row>
    <row r="1221" spans="5:54" x14ac:dyDescent="0.35">
      <c r="E1221" s="83"/>
      <c r="F1221" s="83"/>
      <c r="G1221" s="76"/>
      <c r="H1221" s="76"/>
      <c r="I1221" s="76"/>
      <c r="J1221" s="76"/>
      <c r="K1221" s="76"/>
      <c r="L1221" s="76"/>
      <c r="M1221" s="76"/>
      <c r="N1221" s="76"/>
      <c r="O1221" s="76"/>
      <c r="P1221" s="76"/>
      <c r="Q1221" s="76"/>
      <c r="R1221" s="76"/>
      <c r="S1221" s="76"/>
      <c r="T1221" s="76"/>
      <c r="U1221" s="76"/>
      <c r="V1221" s="76"/>
      <c r="W1221" s="76"/>
      <c r="X1221" s="76"/>
      <c r="Y1221" s="76"/>
      <c r="Z1221" s="76"/>
      <c r="AA1221" s="76"/>
      <c r="AB1221" s="76"/>
      <c r="AC1221" s="76"/>
      <c r="AD1221" s="76"/>
      <c r="AE1221" s="76"/>
      <c r="AF1221" s="76"/>
      <c r="AG1221" s="76"/>
      <c r="AH1221" s="76"/>
      <c r="AI1221" s="76"/>
      <c r="AJ1221" s="76"/>
      <c r="AK1221" s="76"/>
      <c r="AL1221" s="76"/>
      <c r="AM1221" s="76"/>
      <c r="AN1221" s="76"/>
      <c r="AO1221" s="76"/>
      <c r="AP1221" s="76"/>
      <c r="AQ1221" s="76"/>
      <c r="AR1221" s="76"/>
      <c r="AS1221" s="76"/>
      <c r="AT1221" s="76"/>
      <c r="AU1221" s="76"/>
      <c r="AV1221" s="76"/>
      <c r="AW1221" s="76"/>
      <c r="AX1221" s="76"/>
      <c r="AY1221" s="76"/>
      <c r="AZ1221" s="76"/>
      <c r="BA1221" s="76"/>
      <c r="BB1221" s="76"/>
    </row>
    <row r="1222" spans="5:54" x14ac:dyDescent="0.35">
      <c r="E1222" s="83"/>
      <c r="F1222" s="83"/>
      <c r="G1222" s="76"/>
      <c r="H1222" s="76"/>
      <c r="I1222" s="76"/>
      <c r="J1222" s="76"/>
      <c r="K1222" s="76"/>
      <c r="L1222" s="76"/>
      <c r="M1222" s="76"/>
      <c r="N1222" s="76"/>
      <c r="O1222" s="76"/>
      <c r="P1222" s="76"/>
      <c r="Q1222" s="76"/>
      <c r="R1222" s="76"/>
      <c r="S1222" s="76"/>
      <c r="T1222" s="76"/>
      <c r="U1222" s="76"/>
      <c r="V1222" s="76"/>
      <c r="W1222" s="76"/>
      <c r="X1222" s="76"/>
      <c r="Y1222" s="76"/>
      <c r="Z1222" s="76"/>
      <c r="AA1222" s="76"/>
      <c r="AB1222" s="76"/>
      <c r="AC1222" s="76"/>
      <c r="AD1222" s="76"/>
      <c r="AE1222" s="76"/>
      <c r="AF1222" s="76"/>
      <c r="AG1222" s="76"/>
      <c r="AH1222" s="76"/>
      <c r="AI1222" s="76"/>
      <c r="AJ1222" s="76"/>
      <c r="AK1222" s="76"/>
      <c r="AL1222" s="76"/>
      <c r="AM1222" s="76"/>
      <c r="AN1222" s="76"/>
      <c r="AO1222" s="76"/>
      <c r="AP1222" s="76"/>
      <c r="AQ1222" s="76"/>
      <c r="AR1222" s="76"/>
      <c r="AS1222" s="76"/>
      <c r="AT1222" s="76"/>
      <c r="AU1222" s="76"/>
      <c r="AV1222" s="76"/>
      <c r="AW1222" s="76"/>
      <c r="AX1222" s="76"/>
      <c r="AY1222" s="76"/>
      <c r="AZ1222" s="76"/>
      <c r="BA1222" s="76"/>
      <c r="BB1222" s="76"/>
    </row>
    <row r="1223" spans="5:54" x14ac:dyDescent="0.35">
      <c r="E1223" s="83"/>
      <c r="F1223" s="83"/>
      <c r="G1223" s="76"/>
      <c r="H1223" s="76"/>
      <c r="I1223" s="76"/>
      <c r="J1223" s="76"/>
      <c r="K1223" s="76"/>
      <c r="L1223" s="76"/>
      <c r="M1223" s="76"/>
      <c r="N1223" s="76"/>
      <c r="O1223" s="76"/>
      <c r="P1223" s="76"/>
      <c r="Q1223" s="76"/>
      <c r="R1223" s="76"/>
      <c r="S1223" s="76"/>
      <c r="T1223" s="76"/>
      <c r="U1223" s="76"/>
      <c r="V1223" s="76"/>
      <c r="W1223" s="76"/>
      <c r="X1223" s="76"/>
      <c r="Y1223" s="76"/>
      <c r="Z1223" s="76"/>
      <c r="AA1223" s="76"/>
      <c r="AB1223" s="76"/>
      <c r="AC1223" s="76"/>
      <c r="AD1223" s="76"/>
      <c r="AE1223" s="76"/>
      <c r="AF1223" s="76"/>
      <c r="AG1223" s="76"/>
      <c r="AH1223" s="76"/>
      <c r="AI1223" s="76"/>
      <c r="AJ1223" s="76"/>
      <c r="AK1223" s="76"/>
      <c r="AL1223" s="76"/>
      <c r="AM1223" s="76"/>
      <c r="AN1223" s="76"/>
      <c r="AO1223" s="76"/>
      <c r="AP1223" s="76"/>
      <c r="AQ1223" s="76"/>
      <c r="AR1223" s="76"/>
      <c r="AS1223" s="76"/>
      <c r="AT1223" s="76"/>
      <c r="AU1223" s="76"/>
      <c r="AV1223" s="76"/>
      <c r="AW1223" s="76"/>
      <c r="AX1223" s="76"/>
      <c r="AY1223" s="76"/>
      <c r="AZ1223" s="76"/>
      <c r="BA1223" s="76"/>
      <c r="BB1223" s="76"/>
    </row>
    <row r="1224" spans="5:54" x14ac:dyDescent="0.35">
      <c r="E1224" s="83"/>
      <c r="F1224" s="83"/>
      <c r="G1224" s="76"/>
      <c r="H1224" s="76"/>
      <c r="I1224" s="76"/>
      <c r="J1224" s="76"/>
      <c r="K1224" s="76"/>
      <c r="L1224" s="76"/>
      <c r="M1224" s="76"/>
      <c r="N1224" s="76"/>
      <c r="O1224" s="76"/>
      <c r="P1224" s="76"/>
      <c r="Q1224" s="76"/>
      <c r="R1224" s="76"/>
      <c r="S1224" s="76"/>
      <c r="T1224" s="76"/>
      <c r="U1224" s="76"/>
      <c r="V1224" s="76"/>
      <c r="W1224" s="76"/>
      <c r="X1224" s="76"/>
      <c r="Y1224" s="76"/>
      <c r="Z1224" s="76"/>
      <c r="AA1224" s="76"/>
      <c r="AB1224" s="76"/>
      <c r="AC1224" s="76"/>
      <c r="AD1224" s="76"/>
      <c r="AE1224" s="76"/>
      <c r="AF1224" s="76"/>
      <c r="AG1224" s="76"/>
      <c r="AH1224" s="76"/>
      <c r="AI1224" s="76"/>
      <c r="AJ1224" s="76"/>
      <c r="AK1224" s="76"/>
      <c r="AL1224" s="76"/>
      <c r="AM1224" s="76"/>
      <c r="AN1224" s="76"/>
      <c r="AO1224" s="76"/>
      <c r="AP1224" s="76"/>
      <c r="AQ1224" s="76"/>
      <c r="AR1224" s="76"/>
      <c r="AS1224" s="76"/>
      <c r="AT1224" s="76"/>
      <c r="AU1224" s="76"/>
      <c r="AV1224" s="76"/>
      <c r="AW1224" s="76"/>
      <c r="AX1224" s="76"/>
      <c r="AY1224" s="76"/>
      <c r="AZ1224" s="76"/>
      <c r="BA1224" s="76"/>
      <c r="BB1224" s="76"/>
    </row>
    <row r="1225" spans="5:54" x14ac:dyDescent="0.35">
      <c r="E1225" s="83"/>
      <c r="F1225" s="83"/>
      <c r="G1225" s="76"/>
      <c r="H1225" s="76"/>
      <c r="I1225" s="76"/>
      <c r="J1225" s="76"/>
      <c r="K1225" s="76"/>
      <c r="L1225" s="76"/>
      <c r="M1225" s="76"/>
      <c r="N1225" s="76"/>
      <c r="O1225" s="76"/>
      <c r="P1225" s="76"/>
      <c r="Q1225" s="76"/>
      <c r="R1225" s="76"/>
      <c r="S1225" s="76"/>
      <c r="T1225" s="76"/>
      <c r="U1225" s="76"/>
      <c r="V1225" s="76"/>
      <c r="W1225" s="76"/>
      <c r="X1225" s="76"/>
      <c r="Y1225" s="76"/>
      <c r="Z1225" s="76"/>
      <c r="AA1225" s="76"/>
      <c r="AB1225" s="76"/>
      <c r="AC1225" s="76"/>
      <c r="AD1225" s="76"/>
      <c r="AE1225" s="76"/>
      <c r="AF1225" s="76"/>
      <c r="AG1225" s="76"/>
      <c r="AH1225" s="76"/>
      <c r="AI1225" s="76"/>
      <c r="AJ1225" s="76"/>
      <c r="AK1225" s="76"/>
      <c r="AL1225" s="76"/>
      <c r="AM1225" s="76"/>
      <c r="AN1225" s="76"/>
      <c r="AO1225" s="76"/>
      <c r="AP1225" s="76"/>
      <c r="AQ1225" s="76"/>
      <c r="AR1225" s="76"/>
      <c r="AS1225" s="76"/>
      <c r="AT1225" s="76"/>
      <c r="AU1225" s="76"/>
      <c r="AV1225" s="76"/>
      <c r="AW1225" s="76"/>
      <c r="AX1225" s="76"/>
      <c r="AY1225" s="76"/>
      <c r="AZ1225" s="76"/>
      <c r="BA1225" s="76"/>
      <c r="BB1225" s="76"/>
    </row>
    <row r="1226" spans="5:54" x14ac:dyDescent="0.35">
      <c r="E1226" s="83"/>
      <c r="F1226" s="83"/>
      <c r="G1226" s="76"/>
      <c r="H1226" s="76"/>
      <c r="I1226" s="76"/>
      <c r="J1226" s="76"/>
      <c r="K1226" s="76"/>
      <c r="L1226" s="76"/>
      <c r="M1226" s="76"/>
      <c r="N1226" s="76"/>
      <c r="O1226" s="76"/>
      <c r="P1226" s="76"/>
      <c r="Q1226" s="76"/>
      <c r="R1226" s="76"/>
      <c r="S1226" s="76"/>
      <c r="T1226" s="76"/>
      <c r="U1226" s="76"/>
      <c r="V1226" s="76"/>
      <c r="W1226" s="76"/>
      <c r="X1226" s="76"/>
      <c r="Y1226" s="76"/>
      <c r="Z1226" s="76"/>
      <c r="AA1226" s="76"/>
      <c r="AB1226" s="76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A1226" s="76"/>
      <c r="BB1226" s="76"/>
    </row>
    <row r="1227" spans="5:54" x14ac:dyDescent="0.35">
      <c r="E1227" s="83"/>
      <c r="F1227" s="83"/>
      <c r="G1227" s="76"/>
      <c r="H1227" s="76"/>
      <c r="I1227" s="76"/>
      <c r="J1227" s="76"/>
      <c r="K1227" s="76"/>
      <c r="L1227" s="76"/>
      <c r="M1227" s="76"/>
      <c r="N1227" s="76"/>
      <c r="O1227" s="76"/>
      <c r="P1227" s="76"/>
      <c r="Q1227" s="76"/>
      <c r="R1227" s="76"/>
      <c r="S1227" s="76"/>
      <c r="T1227" s="76"/>
      <c r="U1227" s="76"/>
      <c r="V1227" s="76"/>
      <c r="W1227" s="76"/>
      <c r="X1227" s="76"/>
      <c r="Y1227" s="76"/>
      <c r="Z1227" s="76"/>
      <c r="AA1227" s="76"/>
      <c r="AB1227" s="76"/>
      <c r="AC1227" s="76"/>
      <c r="AD1227" s="76"/>
      <c r="AE1227" s="76"/>
      <c r="AF1227" s="76"/>
      <c r="AG1227" s="76"/>
      <c r="AH1227" s="76"/>
      <c r="AI1227" s="76"/>
      <c r="AJ1227" s="76"/>
      <c r="AK1227" s="76"/>
      <c r="AL1227" s="76"/>
      <c r="AM1227" s="76"/>
      <c r="AN1227" s="76"/>
      <c r="AO1227" s="76"/>
      <c r="AP1227" s="76"/>
      <c r="AQ1227" s="76"/>
      <c r="AR1227" s="76"/>
      <c r="AS1227" s="76"/>
      <c r="AT1227" s="76"/>
      <c r="AU1227" s="76"/>
      <c r="AV1227" s="76"/>
      <c r="AW1227" s="76"/>
      <c r="AX1227" s="76"/>
      <c r="AY1227" s="76"/>
      <c r="AZ1227" s="76"/>
      <c r="BA1227" s="76"/>
      <c r="BB1227" s="76"/>
    </row>
    <row r="1228" spans="5:54" x14ac:dyDescent="0.35">
      <c r="E1228" s="83"/>
      <c r="F1228" s="83"/>
      <c r="G1228" s="76"/>
      <c r="H1228" s="76"/>
      <c r="I1228" s="76"/>
      <c r="J1228" s="76"/>
      <c r="K1228" s="76"/>
      <c r="L1228" s="76"/>
      <c r="M1228" s="76"/>
      <c r="N1228" s="76"/>
      <c r="O1228" s="76"/>
      <c r="P1228" s="76"/>
      <c r="Q1228" s="76"/>
      <c r="R1228" s="76"/>
      <c r="S1228" s="76"/>
      <c r="T1228" s="76"/>
      <c r="U1228" s="76"/>
      <c r="V1228" s="76"/>
      <c r="W1228" s="76"/>
      <c r="X1228" s="76"/>
      <c r="Y1228" s="76"/>
      <c r="Z1228" s="76"/>
      <c r="AA1228" s="76"/>
      <c r="AB1228" s="76"/>
      <c r="AC1228" s="76"/>
      <c r="AD1228" s="76"/>
      <c r="AE1228" s="76"/>
      <c r="AF1228" s="76"/>
      <c r="AG1228" s="76"/>
      <c r="AH1228" s="76"/>
      <c r="AI1228" s="76"/>
      <c r="AJ1228" s="76"/>
      <c r="AK1228" s="76"/>
      <c r="AL1228" s="76"/>
      <c r="AM1228" s="76"/>
      <c r="AN1228" s="76"/>
      <c r="AO1228" s="76"/>
      <c r="AP1228" s="76"/>
      <c r="AQ1228" s="76"/>
      <c r="AR1228" s="76"/>
      <c r="AS1228" s="76"/>
      <c r="AT1228" s="76"/>
      <c r="AU1228" s="76"/>
      <c r="AV1228" s="76"/>
      <c r="AW1228" s="76"/>
      <c r="AX1228" s="76"/>
      <c r="AY1228" s="76"/>
      <c r="AZ1228" s="76"/>
      <c r="BA1228" s="76"/>
      <c r="BB1228" s="76"/>
    </row>
    <row r="1229" spans="5:54" x14ac:dyDescent="0.35">
      <c r="E1229" s="83"/>
      <c r="F1229" s="83"/>
      <c r="G1229" s="76"/>
      <c r="H1229" s="76"/>
      <c r="I1229" s="76"/>
      <c r="J1229" s="76"/>
      <c r="K1229" s="76"/>
      <c r="L1229" s="76"/>
      <c r="M1229" s="76"/>
      <c r="N1229" s="76"/>
      <c r="O1229" s="76"/>
      <c r="P1229" s="76"/>
      <c r="Q1229" s="76"/>
      <c r="R1229" s="76"/>
      <c r="S1229" s="76"/>
      <c r="T1229" s="76"/>
      <c r="U1229" s="76"/>
      <c r="V1229" s="76"/>
      <c r="W1229" s="76"/>
      <c r="X1229" s="76"/>
      <c r="Y1229" s="76"/>
      <c r="Z1229" s="76"/>
      <c r="AA1229" s="76"/>
      <c r="AB1229" s="76"/>
      <c r="AC1229" s="76"/>
      <c r="AD1229" s="76"/>
      <c r="AE1229" s="76"/>
      <c r="AF1229" s="76"/>
      <c r="AG1229" s="76"/>
      <c r="AH1229" s="76"/>
      <c r="AI1229" s="76"/>
      <c r="AJ1229" s="76"/>
      <c r="AK1229" s="76"/>
      <c r="AL1229" s="76"/>
      <c r="AM1229" s="76"/>
      <c r="AN1229" s="76"/>
      <c r="AO1229" s="76"/>
      <c r="AP1229" s="76"/>
      <c r="AQ1229" s="76"/>
      <c r="AR1229" s="76"/>
      <c r="AS1229" s="76"/>
      <c r="AT1229" s="76"/>
      <c r="AU1229" s="76"/>
      <c r="AV1229" s="76"/>
      <c r="AW1229" s="76"/>
      <c r="AX1229" s="76"/>
      <c r="AY1229" s="76"/>
      <c r="AZ1229" s="76"/>
      <c r="BA1229" s="76"/>
      <c r="BB1229" s="76"/>
    </row>
    <row r="1230" spans="5:54" x14ac:dyDescent="0.35">
      <c r="E1230" s="83"/>
      <c r="F1230" s="83"/>
      <c r="G1230" s="76"/>
      <c r="H1230" s="76"/>
      <c r="I1230" s="76"/>
      <c r="J1230" s="76"/>
      <c r="K1230" s="76"/>
      <c r="L1230" s="76"/>
      <c r="M1230" s="76"/>
      <c r="N1230" s="76"/>
      <c r="O1230" s="76"/>
      <c r="P1230" s="76"/>
      <c r="Q1230" s="76"/>
      <c r="R1230" s="76"/>
      <c r="S1230" s="76"/>
      <c r="T1230" s="76"/>
      <c r="U1230" s="76"/>
      <c r="V1230" s="76"/>
      <c r="W1230" s="76"/>
      <c r="X1230" s="76"/>
      <c r="Y1230" s="76"/>
      <c r="Z1230" s="76"/>
      <c r="AA1230" s="76"/>
      <c r="AB1230" s="76"/>
      <c r="AC1230" s="76"/>
      <c r="AD1230" s="76"/>
      <c r="AE1230" s="76"/>
      <c r="AF1230" s="76"/>
      <c r="AG1230" s="76"/>
      <c r="AH1230" s="76"/>
      <c r="AI1230" s="76"/>
      <c r="AJ1230" s="76"/>
      <c r="AK1230" s="76"/>
      <c r="AL1230" s="76"/>
      <c r="AM1230" s="76"/>
      <c r="AN1230" s="76"/>
      <c r="AO1230" s="76"/>
      <c r="AP1230" s="76"/>
      <c r="AQ1230" s="76"/>
      <c r="AR1230" s="76"/>
      <c r="AS1230" s="76"/>
      <c r="AT1230" s="76"/>
      <c r="AU1230" s="76"/>
      <c r="AV1230" s="76"/>
      <c r="AW1230" s="76"/>
      <c r="AX1230" s="76"/>
      <c r="AY1230" s="76"/>
      <c r="AZ1230" s="76"/>
      <c r="BA1230" s="76"/>
      <c r="BB1230" s="76"/>
    </row>
    <row r="1231" spans="5:54" x14ac:dyDescent="0.35">
      <c r="E1231" s="83"/>
      <c r="F1231" s="83"/>
      <c r="G1231" s="76"/>
      <c r="H1231" s="76"/>
      <c r="I1231" s="76"/>
      <c r="J1231" s="76"/>
      <c r="K1231" s="76"/>
      <c r="L1231" s="76"/>
      <c r="M1231" s="76"/>
      <c r="N1231" s="76"/>
      <c r="O1231" s="76"/>
      <c r="P1231" s="76"/>
      <c r="Q1231" s="76"/>
      <c r="R1231" s="76"/>
      <c r="S1231" s="76"/>
      <c r="T1231" s="76"/>
      <c r="U1231" s="76"/>
      <c r="V1231" s="76"/>
      <c r="W1231" s="76"/>
      <c r="X1231" s="76"/>
      <c r="Y1231" s="76"/>
      <c r="Z1231" s="76"/>
      <c r="AA1231" s="76"/>
      <c r="AB1231" s="76"/>
      <c r="AC1231" s="76"/>
      <c r="AD1231" s="76"/>
      <c r="AE1231" s="76"/>
      <c r="AF1231" s="76"/>
      <c r="AG1231" s="76"/>
      <c r="AH1231" s="76"/>
      <c r="AI1231" s="76"/>
      <c r="AJ1231" s="76"/>
      <c r="AK1231" s="76"/>
      <c r="AL1231" s="76"/>
      <c r="AM1231" s="76"/>
      <c r="AN1231" s="76"/>
      <c r="AO1231" s="76"/>
      <c r="AP1231" s="76"/>
      <c r="AQ1231" s="76"/>
      <c r="AR1231" s="76"/>
      <c r="AS1231" s="76"/>
      <c r="AT1231" s="76"/>
      <c r="AU1231" s="76"/>
      <c r="AV1231" s="76"/>
      <c r="AW1231" s="76"/>
      <c r="AX1231" s="76"/>
      <c r="AY1231" s="76"/>
      <c r="AZ1231" s="76"/>
      <c r="BA1231" s="76"/>
      <c r="BB1231" s="76"/>
    </row>
    <row r="1232" spans="5:54" x14ac:dyDescent="0.35">
      <c r="E1232" s="83"/>
      <c r="F1232" s="83"/>
      <c r="G1232" s="76"/>
      <c r="H1232" s="76"/>
      <c r="I1232" s="76"/>
      <c r="J1232" s="76"/>
      <c r="K1232" s="76"/>
      <c r="L1232" s="76"/>
      <c r="M1232" s="76"/>
      <c r="N1232" s="76"/>
      <c r="O1232" s="76"/>
      <c r="P1232" s="76"/>
      <c r="Q1232" s="76"/>
      <c r="R1232" s="76"/>
      <c r="S1232" s="76"/>
      <c r="T1232" s="76"/>
      <c r="U1232" s="76"/>
      <c r="V1232" s="76"/>
      <c r="W1232" s="76"/>
      <c r="X1232" s="76"/>
      <c r="Y1232" s="76"/>
      <c r="Z1232" s="76"/>
      <c r="AA1232" s="76"/>
      <c r="AB1232" s="76"/>
      <c r="AC1232" s="76"/>
      <c r="AD1232" s="76"/>
      <c r="AE1232" s="76"/>
      <c r="AF1232" s="76"/>
      <c r="AG1232" s="76"/>
      <c r="AH1232" s="76"/>
      <c r="AI1232" s="76"/>
      <c r="AJ1232" s="76"/>
      <c r="AK1232" s="76"/>
      <c r="AL1232" s="76"/>
      <c r="AM1232" s="76"/>
      <c r="AN1232" s="76"/>
      <c r="AO1232" s="76"/>
      <c r="AP1232" s="76"/>
      <c r="AQ1232" s="76"/>
      <c r="AR1232" s="76"/>
      <c r="AS1232" s="76"/>
      <c r="AT1232" s="76"/>
      <c r="AU1232" s="76"/>
      <c r="AV1232" s="76"/>
      <c r="AW1232" s="76"/>
      <c r="AX1232" s="76"/>
      <c r="AY1232" s="76"/>
      <c r="AZ1232" s="76"/>
      <c r="BA1232" s="76"/>
      <c r="BB1232" s="76"/>
    </row>
    <row r="1233" spans="5:54" x14ac:dyDescent="0.35">
      <c r="E1233" s="83"/>
      <c r="F1233" s="83"/>
      <c r="G1233" s="76"/>
      <c r="H1233" s="76"/>
      <c r="I1233" s="76"/>
      <c r="J1233" s="76"/>
      <c r="K1233" s="76"/>
      <c r="L1233" s="76"/>
      <c r="M1233" s="76"/>
      <c r="N1233" s="76"/>
      <c r="O1233" s="76"/>
      <c r="P1233" s="76"/>
      <c r="Q1233" s="76"/>
      <c r="R1233" s="76"/>
      <c r="S1233" s="76"/>
      <c r="T1233" s="76"/>
      <c r="U1233" s="76"/>
      <c r="V1233" s="76"/>
      <c r="W1233" s="76"/>
      <c r="X1233" s="76"/>
      <c r="Y1233" s="76"/>
      <c r="Z1233" s="76"/>
      <c r="AA1233" s="76"/>
      <c r="AB1233" s="76"/>
      <c r="AC1233" s="76"/>
      <c r="AD1233" s="76"/>
      <c r="AE1233" s="76"/>
      <c r="AF1233" s="76"/>
      <c r="AG1233" s="76"/>
      <c r="AH1233" s="76"/>
      <c r="AI1233" s="76"/>
      <c r="AJ1233" s="76"/>
      <c r="AK1233" s="76"/>
      <c r="AL1233" s="76"/>
      <c r="AM1233" s="76"/>
      <c r="AN1233" s="76"/>
      <c r="AO1233" s="76"/>
      <c r="AP1233" s="76"/>
      <c r="AQ1233" s="76"/>
      <c r="AR1233" s="76"/>
      <c r="AS1233" s="76"/>
      <c r="AT1233" s="76"/>
      <c r="AU1233" s="76"/>
      <c r="AV1233" s="76"/>
      <c r="AW1233" s="76"/>
      <c r="AX1233" s="76"/>
      <c r="AY1233" s="76"/>
      <c r="AZ1233" s="76"/>
      <c r="BA1233" s="76"/>
      <c r="BB1233" s="76"/>
    </row>
    <row r="1234" spans="5:54" x14ac:dyDescent="0.35">
      <c r="E1234" s="83"/>
      <c r="F1234" s="83"/>
      <c r="G1234" s="76"/>
      <c r="H1234" s="76"/>
      <c r="I1234" s="76"/>
      <c r="J1234" s="76"/>
      <c r="K1234" s="76"/>
      <c r="L1234" s="76"/>
      <c r="M1234" s="76"/>
      <c r="N1234" s="76"/>
      <c r="O1234" s="76"/>
      <c r="P1234" s="76"/>
      <c r="Q1234" s="76"/>
      <c r="R1234" s="76"/>
      <c r="S1234" s="76"/>
      <c r="T1234" s="76"/>
      <c r="U1234" s="76"/>
      <c r="V1234" s="76"/>
      <c r="W1234" s="76"/>
      <c r="X1234" s="76"/>
      <c r="Y1234" s="76"/>
      <c r="Z1234" s="76"/>
      <c r="AA1234" s="76"/>
      <c r="AB1234" s="76"/>
      <c r="AC1234" s="76"/>
      <c r="AD1234" s="76"/>
      <c r="AE1234" s="76"/>
      <c r="AF1234" s="76"/>
      <c r="AG1234" s="76"/>
      <c r="AH1234" s="76"/>
      <c r="AI1234" s="76"/>
      <c r="AJ1234" s="76"/>
      <c r="AK1234" s="76"/>
      <c r="AL1234" s="76"/>
      <c r="AM1234" s="76"/>
      <c r="AN1234" s="76"/>
      <c r="AO1234" s="76"/>
      <c r="AP1234" s="76"/>
      <c r="AQ1234" s="76"/>
      <c r="AR1234" s="76"/>
      <c r="AS1234" s="76"/>
      <c r="AT1234" s="76"/>
      <c r="AU1234" s="76"/>
      <c r="AV1234" s="76"/>
      <c r="AW1234" s="76"/>
      <c r="AX1234" s="76"/>
      <c r="AY1234" s="76"/>
      <c r="AZ1234" s="76"/>
      <c r="BA1234" s="76"/>
      <c r="BB1234" s="76"/>
    </row>
    <row r="1235" spans="5:54" x14ac:dyDescent="0.35">
      <c r="E1235" s="83"/>
      <c r="F1235" s="83"/>
      <c r="G1235" s="76"/>
      <c r="H1235" s="76"/>
      <c r="I1235" s="76"/>
      <c r="J1235" s="76"/>
      <c r="K1235" s="76"/>
      <c r="L1235" s="76"/>
      <c r="M1235" s="76"/>
      <c r="N1235" s="76"/>
      <c r="O1235" s="76"/>
      <c r="P1235" s="76"/>
      <c r="Q1235" s="76"/>
      <c r="R1235" s="76"/>
      <c r="S1235" s="76"/>
      <c r="T1235" s="76"/>
      <c r="U1235" s="76"/>
      <c r="V1235" s="76"/>
      <c r="W1235" s="76"/>
      <c r="X1235" s="76"/>
      <c r="Y1235" s="76"/>
      <c r="Z1235" s="76"/>
      <c r="AA1235" s="76"/>
      <c r="AB1235" s="76"/>
      <c r="AC1235" s="76"/>
      <c r="AD1235" s="76"/>
      <c r="AE1235" s="76"/>
      <c r="AF1235" s="76"/>
      <c r="AG1235" s="76"/>
      <c r="AH1235" s="76"/>
      <c r="AI1235" s="76"/>
      <c r="AJ1235" s="76"/>
      <c r="AK1235" s="76"/>
      <c r="AL1235" s="76"/>
      <c r="AM1235" s="76"/>
      <c r="AN1235" s="76"/>
      <c r="AO1235" s="76"/>
      <c r="AP1235" s="76"/>
      <c r="AQ1235" s="76"/>
      <c r="AR1235" s="76"/>
      <c r="AS1235" s="76"/>
      <c r="AT1235" s="76"/>
      <c r="AU1235" s="76"/>
      <c r="AV1235" s="76"/>
      <c r="AW1235" s="76"/>
      <c r="AX1235" s="76"/>
      <c r="AY1235" s="76"/>
      <c r="AZ1235" s="76"/>
      <c r="BA1235" s="76"/>
      <c r="BB1235" s="76"/>
    </row>
    <row r="1236" spans="5:54" x14ac:dyDescent="0.35">
      <c r="E1236" s="83"/>
      <c r="F1236" s="83"/>
      <c r="G1236" s="76"/>
      <c r="H1236" s="76"/>
      <c r="I1236" s="76"/>
      <c r="J1236" s="76"/>
      <c r="K1236" s="76"/>
      <c r="L1236" s="76"/>
      <c r="M1236" s="76"/>
      <c r="N1236" s="76"/>
      <c r="O1236" s="76"/>
      <c r="P1236" s="76"/>
      <c r="Q1236" s="76"/>
      <c r="R1236" s="76"/>
      <c r="S1236" s="76"/>
      <c r="T1236" s="76"/>
      <c r="U1236" s="76"/>
      <c r="V1236" s="76"/>
      <c r="W1236" s="76"/>
      <c r="X1236" s="76"/>
      <c r="Y1236" s="76"/>
      <c r="Z1236" s="76"/>
      <c r="AA1236" s="76"/>
      <c r="AB1236" s="76"/>
      <c r="AC1236" s="76"/>
      <c r="AD1236" s="76"/>
      <c r="AE1236" s="76"/>
      <c r="AF1236" s="76"/>
      <c r="AG1236" s="76"/>
      <c r="AH1236" s="76"/>
      <c r="AI1236" s="76"/>
      <c r="AJ1236" s="76"/>
      <c r="AK1236" s="76"/>
      <c r="AL1236" s="76"/>
      <c r="AM1236" s="76"/>
      <c r="AN1236" s="76"/>
      <c r="AO1236" s="76"/>
      <c r="AP1236" s="76"/>
      <c r="AQ1236" s="76"/>
      <c r="AR1236" s="76"/>
      <c r="AS1236" s="76"/>
      <c r="AT1236" s="76"/>
      <c r="AU1236" s="76"/>
      <c r="AV1236" s="76"/>
      <c r="AW1236" s="76"/>
      <c r="AX1236" s="76"/>
      <c r="AY1236" s="76"/>
      <c r="AZ1236" s="76"/>
      <c r="BA1236" s="76"/>
      <c r="BB1236" s="76"/>
    </row>
    <row r="1237" spans="5:54" x14ac:dyDescent="0.35">
      <c r="E1237" s="83"/>
      <c r="F1237" s="83"/>
      <c r="G1237" s="76"/>
      <c r="H1237" s="76"/>
      <c r="I1237" s="76"/>
      <c r="J1237" s="76"/>
      <c r="K1237" s="76"/>
      <c r="L1237" s="76"/>
      <c r="M1237" s="76"/>
      <c r="N1237" s="76"/>
      <c r="O1237" s="76"/>
      <c r="P1237" s="76"/>
      <c r="Q1237" s="76"/>
      <c r="R1237" s="76"/>
      <c r="S1237" s="76"/>
      <c r="T1237" s="76"/>
      <c r="U1237" s="76"/>
      <c r="V1237" s="76"/>
      <c r="W1237" s="76"/>
      <c r="X1237" s="76"/>
      <c r="Y1237" s="76"/>
      <c r="Z1237" s="76"/>
      <c r="AA1237" s="76"/>
      <c r="AB1237" s="76"/>
      <c r="AC1237" s="76"/>
      <c r="AD1237" s="76"/>
      <c r="AE1237" s="76"/>
      <c r="AF1237" s="76"/>
      <c r="AG1237" s="76"/>
      <c r="AH1237" s="76"/>
      <c r="AI1237" s="76"/>
      <c r="AJ1237" s="76"/>
      <c r="AK1237" s="76"/>
      <c r="AL1237" s="76"/>
      <c r="AM1237" s="76"/>
      <c r="AN1237" s="76"/>
      <c r="AO1237" s="76"/>
      <c r="AP1237" s="76"/>
      <c r="AQ1237" s="76"/>
      <c r="AR1237" s="76"/>
      <c r="AS1237" s="76"/>
      <c r="AT1237" s="76"/>
      <c r="AU1237" s="76"/>
      <c r="AV1237" s="76"/>
      <c r="AW1237" s="76"/>
      <c r="AX1237" s="76"/>
      <c r="AY1237" s="76"/>
      <c r="AZ1237" s="76"/>
      <c r="BA1237" s="76"/>
      <c r="BB1237" s="76"/>
    </row>
    <row r="1238" spans="5:54" x14ac:dyDescent="0.35">
      <c r="E1238" s="83"/>
      <c r="F1238" s="83"/>
      <c r="G1238" s="76"/>
      <c r="H1238" s="76"/>
      <c r="I1238" s="76"/>
      <c r="J1238" s="76"/>
      <c r="K1238" s="76"/>
      <c r="L1238" s="76"/>
      <c r="M1238" s="76"/>
      <c r="N1238" s="76"/>
      <c r="O1238" s="76"/>
      <c r="P1238" s="76"/>
      <c r="Q1238" s="76"/>
      <c r="R1238" s="76"/>
      <c r="S1238" s="76"/>
      <c r="T1238" s="76"/>
      <c r="U1238" s="76"/>
      <c r="V1238" s="76"/>
      <c r="W1238" s="76"/>
      <c r="X1238" s="76"/>
      <c r="Y1238" s="76"/>
      <c r="Z1238" s="76"/>
      <c r="AA1238" s="76"/>
      <c r="AB1238" s="76"/>
      <c r="AC1238" s="76"/>
      <c r="AD1238" s="76"/>
      <c r="AE1238" s="76"/>
      <c r="AF1238" s="76"/>
      <c r="AG1238" s="76"/>
      <c r="AH1238" s="76"/>
      <c r="AI1238" s="76"/>
      <c r="AJ1238" s="76"/>
      <c r="AK1238" s="76"/>
      <c r="AL1238" s="76"/>
      <c r="AM1238" s="76"/>
      <c r="AN1238" s="76"/>
      <c r="AO1238" s="76"/>
      <c r="AP1238" s="76"/>
      <c r="AQ1238" s="76"/>
      <c r="AR1238" s="76"/>
      <c r="AS1238" s="76"/>
      <c r="AT1238" s="76"/>
      <c r="AU1238" s="76"/>
      <c r="AV1238" s="76"/>
      <c r="AW1238" s="76"/>
      <c r="AX1238" s="76"/>
      <c r="AY1238" s="76"/>
      <c r="AZ1238" s="76"/>
      <c r="BA1238" s="76"/>
      <c r="BB1238" s="76"/>
    </row>
    <row r="1239" spans="5:54" x14ac:dyDescent="0.35">
      <c r="E1239" s="83"/>
      <c r="F1239" s="83"/>
      <c r="G1239" s="76"/>
      <c r="H1239" s="76"/>
      <c r="I1239" s="76"/>
      <c r="J1239" s="76"/>
      <c r="K1239" s="76"/>
      <c r="L1239" s="76"/>
      <c r="M1239" s="76"/>
      <c r="N1239" s="76"/>
      <c r="O1239" s="76"/>
      <c r="P1239" s="76"/>
      <c r="Q1239" s="76"/>
      <c r="R1239" s="76"/>
      <c r="S1239" s="76"/>
      <c r="T1239" s="76"/>
      <c r="U1239" s="76"/>
      <c r="V1239" s="76"/>
      <c r="W1239" s="76"/>
      <c r="X1239" s="76"/>
      <c r="Y1239" s="76"/>
      <c r="Z1239" s="76"/>
      <c r="AA1239" s="76"/>
      <c r="AB1239" s="76"/>
      <c r="AC1239" s="76"/>
      <c r="AD1239" s="76"/>
      <c r="AE1239" s="76"/>
      <c r="AF1239" s="76"/>
      <c r="AG1239" s="76"/>
      <c r="AH1239" s="76"/>
      <c r="AI1239" s="76"/>
      <c r="AJ1239" s="76"/>
      <c r="AK1239" s="76"/>
      <c r="AL1239" s="76"/>
      <c r="AM1239" s="76"/>
      <c r="AN1239" s="76"/>
      <c r="AO1239" s="76"/>
      <c r="AP1239" s="76"/>
      <c r="AQ1239" s="76"/>
      <c r="AR1239" s="76"/>
      <c r="AS1239" s="76"/>
      <c r="AT1239" s="76"/>
      <c r="AU1239" s="76"/>
      <c r="AV1239" s="76"/>
      <c r="AW1239" s="76"/>
      <c r="AX1239" s="76"/>
      <c r="AY1239" s="76"/>
      <c r="AZ1239" s="76"/>
      <c r="BA1239" s="76"/>
      <c r="BB1239" s="76"/>
    </row>
    <row r="1240" spans="5:54" x14ac:dyDescent="0.35">
      <c r="E1240" s="83"/>
      <c r="F1240" s="83"/>
      <c r="G1240" s="76"/>
      <c r="H1240" s="76"/>
      <c r="I1240" s="76"/>
      <c r="J1240" s="76"/>
      <c r="K1240" s="76"/>
      <c r="L1240" s="76"/>
      <c r="M1240" s="76"/>
      <c r="N1240" s="76"/>
      <c r="O1240" s="76"/>
      <c r="P1240" s="76"/>
      <c r="Q1240" s="76"/>
      <c r="R1240" s="76"/>
      <c r="S1240" s="76"/>
      <c r="T1240" s="76"/>
      <c r="U1240" s="76"/>
      <c r="V1240" s="76"/>
      <c r="W1240" s="76"/>
      <c r="X1240" s="76"/>
      <c r="Y1240" s="76"/>
      <c r="Z1240" s="76"/>
      <c r="AA1240" s="76"/>
      <c r="AB1240" s="76"/>
      <c r="AC1240" s="76"/>
      <c r="AD1240" s="76"/>
      <c r="AE1240" s="76"/>
      <c r="AF1240" s="76"/>
      <c r="AG1240" s="76"/>
      <c r="AH1240" s="76"/>
      <c r="AI1240" s="76"/>
      <c r="AJ1240" s="76"/>
      <c r="AK1240" s="76"/>
      <c r="AL1240" s="76"/>
      <c r="AM1240" s="76"/>
      <c r="AN1240" s="76"/>
      <c r="AO1240" s="76"/>
      <c r="AP1240" s="76"/>
      <c r="AQ1240" s="76"/>
      <c r="AR1240" s="76"/>
      <c r="AS1240" s="76"/>
      <c r="AT1240" s="76"/>
      <c r="AU1240" s="76"/>
      <c r="AV1240" s="76"/>
      <c r="AW1240" s="76"/>
      <c r="AX1240" s="76"/>
      <c r="AY1240" s="76"/>
      <c r="AZ1240" s="76"/>
      <c r="BA1240" s="76"/>
      <c r="BB1240" s="76"/>
    </row>
    <row r="1241" spans="5:54" x14ac:dyDescent="0.35">
      <c r="E1241" s="83"/>
      <c r="F1241" s="83"/>
      <c r="G1241" s="76"/>
      <c r="H1241" s="76"/>
      <c r="I1241" s="76"/>
      <c r="J1241" s="76"/>
      <c r="K1241" s="76"/>
      <c r="L1241" s="76"/>
      <c r="M1241" s="76"/>
      <c r="N1241" s="76"/>
      <c r="O1241" s="76"/>
      <c r="P1241" s="76"/>
      <c r="Q1241" s="76"/>
      <c r="R1241" s="76"/>
      <c r="S1241" s="76"/>
      <c r="T1241" s="76"/>
      <c r="U1241" s="76"/>
      <c r="V1241" s="76"/>
      <c r="W1241" s="76"/>
      <c r="X1241" s="76"/>
      <c r="Y1241" s="76"/>
      <c r="Z1241" s="76"/>
      <c r="AA1241" s="76"/>
      <c r="AB1241" s="76"/>
      <c r="AC1241" s="76"/>
      <c r="AD1241" s="76"/>
      <c r="AE1241" s="76"/>
      <c r="AF1241" s="76"/>
      <c r="AG1241" s="76"/>
      <c r="AH1241" s="76"/>
      <c r="AI1241" s="76"/>
      <c r="AJ1241" s="76"/>
      <c r="AK1241" s="76"/>
      <c r="AL1241" s="76"/>
      <c r="AM1241" s="76"/>
      <c r="AN1241" s="76"/>
      <c r="AO1241" s="76"/>
      <c r="AP1241" s="76"/>
      <c r="AQ1241" s="76"/>
      <c r="AR1241" s="76"/>
      <c r="AS1241" s="76"/>
      <c r="AT1241" s="76"/>
      <c r="AU1241" s="76"/>
      <c r="AV1241" s="76"/>
      <c r="AW1241" s="76"/>
      <c r="AX1241" s="76"/>
      <c r="AY1241" s="76"/>
      <c r="AZ1241" s="76"/>
      <c r="BA1241" s="76"/>
      <c r="BB1241" s="76"/>
    </row>
    <row r="1242" spans="5:54" x14ac:dyDescent="0.35">
      <c r="E1242" s="83"/>
      <c r="F1242" s="83"/>
      <c r="G1242" s="76"/>
      <c r="H1242" s="76"/>
      <c r="I1242" s="76"/>
      <c r="J1242" s="76"/>
      <c r="K1242" s="76"/>
      <c r="L1242" s="76"/>
      <c r="M1242" s="76"/>
      <c r="N1242" s="76"/>
      <c r="O1242" s="76"/>
      <c r="P1242" s="76"/>
      <c r="Q1242" s="76"/>
      <c r="R1242" s="76"/>
      <c r="S1242" s="76"/>
      <c r="T1242" s="76"/>
      <c r="U1242" s="76"/>
      <c r="V1242" s="76"/>
      <c r="W1242" s="76"/>
      <c r="X1242" s="76"/>
      <c r="Y1242" s="76"/>
      <c r="Z1242" s="76"/>
      <c r="AA1242" s="76"/>
      <c r="AB1242" s="76"/>
      <c r="AC1242" s="76"/>
      <c r="AD1242" s="76"/>
      <c r="AE1242" s="76"/>
      <c r="AF1242" s="76"/>
      <c r="AG1242" s="76"/>
      <c r="AH1242" s="76"/>
      <c r="AI1242" s="76"/>
      <c r="AJ1242" s="76"/>
      <c r="AK1242" s="76"/>
      <c r="AL1242" s="76"/>
      <c r="AM1242" s="76"/>
      <c r="AN1242" s="76"/>
      <c r="AO1242" s="76"/>
      <c r="AP1242" s="76"/>
      <c r="AQ1242" s="76"/>
      <c r="AR1242" s="76"/>
      <c r="AS1242" s="76"/>
      <c r="AT1242" s="76"/>
      <c r="AU1242" s="76"/>
      <c r="AV1242" s="76"/>
      <c r="AW1242" s="76"/>
      <c r="AX1242" s="76"/>
      <c r="AY1242" s="76"/>
      <c r="AZ1242" s="76"/>
      <c r="BA1242" s="76"/>
      <c r="BB1242" s="76"/>
    </row>
    <row r="1243" spans="5:54" x14ac:dyDescent="0.35">
      <c r="E1243" s="83"/>
      <c r="F1243" s="83"/>
      <c r="G1243" s="76"/>
      <c r="H1243" s="76"/>
      <c r="I1243" s="76"/>
      <c r="J1243" s="76"/>
      <c r="K1243" s="76"/>
      <c r="L1243" s="76"/>
      <c r="M1243" s="76"/>
      <c r="N1243" s="76"/>
      <c r="O1243" s="76"/>
      <c r="P1243" s="76"/>
      <c r="Q1243" s="76"/>
      <c r="R1243" s="76"/>
      <c r="S1243" s="76"/>
      <c r="T1243" s="76"/>
      <c r="U1243" s="76"/>
      <c r="V1243" s="76"/>
      <c r="W1243" s="76"/>
      <c r="X1243" s="76"/>
      <c r="Y1243" s="76"/>
      <c r="Z1243" s="76"/>
      <c r="AA1243" s="76"/>
      <c r="AB1243" s="76"/>
      <c r="AC1243" s="76"/>
      <c r="AD1243" s="76"/>
      <c r="AE1243" s="76"/>
      <c r="AF1243" s="76"/>
      <c r="AG1243" s="76"/>
      <c r="AH1243" s="76"/>
      <c r="AI1243" s="76"/>
      <c r="AJ1243" s="76"/>
      <c r="AK1243" s="76"/>
      <c r="AL1243" s="76"/>
      <c r="AM1243" s="76"/>
      <c r="AN1243" s="76"/>
      <c r="AO1243" s="76"/>
      <c r="AP1243" s="76"/>
      <c r="AQ1243" s="76"/>
      <c r="AR1243" s="76"/>
      <c r="AS1243" s="76"/>
      <c r="AT1243" s="76"/>
      <c r="AU1243" s="76"/>
      <c r="AV1243" s="76"/>
      <c r="AW1243" s="76"/>
      <c r="AX1243" s="76"/>
      <c r="AY1243" s="76"/>
      <c r="AZ1243" s="76"/>
      <c r="BA1243" s="76"/>
      <c r="BB1243" s="76"/>
    </row>
    <row r="1244" spans="5:54" x14ac:dyDescent="0.35">
      <c r="E1244" s="83"/>
      <c r="F1244" s="83"/>
      <c r="G1244" s="76"/>
      <c r="H1244" s="76"/>
      <c r="I1244" s="76"/>
      <c r="J1244" s="76"/>
      <c r="K1244" s="76"/>
      <c r="L1244" s="76"/>
      <c r="M1244" s="76"/>
      <c r="N1244" s="76"/>
      <c r="O1244" s="76"/>
      <c r="P1244" s="76"/>
      <c r="Q1244" s="76"/>
      <c r="R1244" s="76"/>
      <c r="S1244" s="76"/>
      <c r="T1244" s="76"/>
      <c r="U1244" s="76"/>
      <c r="V1244" s="76"/>
      <c r="W1244" s="76"/>
      <c r="X1244" s="76"/>
      <c r="Y1244" s="76"/>
      <c r="Z1244" s="76"/>
      <c r="AA1244" s="76"/>
      <c r="AB1244" s="76"/>
      <c r="AC1244" s="76"/>
      <c r="AD1244" s="76"/>
      <c r="AE1244" s="76"/>
      <c r="AF1244" s="76"/>
      <c r="AG1244" s="76"/>
      <c r="AH1244" s="76"/>
      <c r="AI1244" s="76"/>
      <c r="AJ1244" s="76"/>
      <c r="AK1244" s="76"/>
      <c r="AL1244" s="76"/>
      <c r="AM1244" s="76"/>
      <c r="AN1244" s="76"/>
      <c r="AO1244" s="76"/>
      <c r="AP1244" s="76"/>
      <c r="AQ1244" s="76"/>
      <c r="AR1244" s="76"/>
      <c r="AS1244" s="76"/>
      <c r="AT1244" s="76"/>
      <c r="AU1244" s="76"/>
      <c r="AV1244" s="76"/>
      <c r="AW1244" s="76"/>
      <c r="AX1244" s="76"/>
      <c r="AY1244" s="76"/>
      <c r="AZ1244" s="76"/>
      <c r="BA1244" s="76"/>
      <c r="BB1244" s="76"/>
    </row>
    <row r="1245" spans="5:54" x14ac:dyDescent="0.35">
      <c r="E1245" s="83"/>
      <c r="F1245" s="83"/>
      <c r="G1245" s="76"/>
      <c r="H1245" s="76"/>
      <c r="I1245" s="76"/>
      <c r="J1245" s="76"/>
      <c r="K1245" s="76"/>
      <c r="L1245" s="76"/>
      <c r="M1245" s="76"/>
      <c r="N1245" s="76"/>
      <c r="O1245" s="76"/>
      <c r="P1245" s="76"/>
      <c r="Q1245" s="76"/>
      <c r="R1245" s="76"/>
      <c r="S1245" s="76"/>
      <c r="T1245" s="76"/>
      <c r="U1245" s="76"/>
      <c r="V1245" s="76"/>
      <c r="W1245" s="76"/>
      <c r="X1245" s="76"/>
      <c r="Y1245" s="76"/>
      <c r="Z1245" s="76"/>
      <c r="AA1245" s="76"/>
      <c r="AB1245" s="76"/>
      <c r="AC1245" s="76"/>
      <c r="AD1245" s="76"/>
      <c r="AE1245" s="76"/>
      <c r="AF1245" s="76"/>
      <c r="AG1245" s="76"/>
      <c r="AH1245" s="76"/>
      <c r="AI1245" s="76"/>
      <c r="AJ1245" s="76"/>
      <c r="AK1245" s="76"/>
      <c r="AL1245" s="76"/>
      <c r="AM1245" s="76"/>
      <c r="AN1245" s="76"/>
      <c r="AO1245" s="76"/>
      <c r="AP1245" s="76"/>
      <c r="AQ1245" s="76"/>
      <c r="AR1245" s="76"/>
      <c r="AS1245" s="76"/>
      <c r="AT1245" s="76"/>
      <c r="AU1245" s="76"/>
      <c r="AV1245" s="76"/>
      <c r="AW1245" s="76"/>
      <c r="AX1245" s="76"/>
      <c r="AY1245" s="76"/>
      <c r="AZ1245" s="76"/>
      <c r="BA1245" s="76"/>
      <c r="BB1245" s="76"/>
    </row>
    <row r="1246" spans="5:54" x14ac:dyDescent="0.35">
      <c r="E1246" s="83"/>
      <c r="F1246" s="83"/>
      <c r="G1246" s="76"/>
      <c r="H1246" s="76"/>
      <c r="I1246" s="76"/>
      <c r="J1246" s="76"/>
      <c r="K1246" s="76"/>
      <c r="L1246" s="76"/>
      <c r="M1246" s="76"/>
      <c r="N1246" s="76"/>
      <c r="O1246" s="76"/>
      <c r="P1246" s="76"/>
      <c r="Q1246" s="76"/>
      <c r="R1246" s="76"/>
      <c r="S1246" s="76"/>
      <c r="T1246" s="76"/>
      <c r="U1246" s="76"/>
      <c r="V1246" s="76"/>
      <c r="W1246" s="76"/>
      <c r="X1246" s="76"/>
      <c r="Y1246" s="76"/>
      <c r="Z1246" s="76"/>
      <c r="AA1246" s="76"/>
      <c r="AB1246" s="76"/>
      <c r="AC1246" s="76"/>
      <c r="AD1246" s="76"/>
      <c r="AE1246" s="76"/>
      <c r="AF1246" s="76"/>
      <c r="AG1246" s="76"/>
      <c r="AH1246" s="76"/>
      <c r="AI1246" s="76"/>
      <c r="AJ1246" s="76"/>
      <c r="AK1246" s="76"/>
      <c r="AL1246" s="76"/>
      <c r="AM1246" s="76"/>
      <c r="AN1246" s="76"/>
      <c r="AO1246" s="76"/>
      <c r="AP1246" s="76"/>
      <c r="AQ1246" s="76"/>
      <c r="AR1246" s="76"/>
      <c r="AS1246" s="76"/>
      <c r="AT1246" s="76"/>
      <c r="AU1246" s="76"/>
      <c r="AV1246" s="76"/>
      <c r="AW1246" s="76"/>
      <c r="AX1246" s="76"/>
      <c r="AY1246" s="76"/>
      <c r="AZ1246" s="76"/>
      <c r="BA1246" s="76"/>
      <c r="BB1246" s="76"/>
    </row>
    <row r="1247" spans="5:54" x14ac:dyDescent="0.35">
      <c r="E1247" s="83"/>
      <c r="F1247" s="83"/>
      <c r="G1247" s="76"/>
      <c r="H1247" s="76"/>
      <c r="I1247" s="76"/>
      <c r="J1247" s="76"/>
      <c r="K1247" s="76"/>
      <c r="L1247" s="76"/>
      <c r="M1247" s="76"/>
      <c r="N1247" s="76"/>
      <c r="O1247" s="76"/>
      <c r="P1247" s="76"/>
      <c r="Q1247" s="76"/>
      <c r="R1247" s="76"/>
      <c r="S1247" s="76"/>
      <c r="T1247" s="76"/>
      <c r="U1247" s="76"/>
      <c r="V1247" s="76"/>
      <c r="W1247" s="76"/>
      <c r="X1247" s="76"/>
      <c r="Y1247" s="76"/>
      <c r="Z1247" s="76"/>
      <c r="AA1247" s="76"/>
      <c r="AB1247" s="76"/>
      <c r="AC1247" s="76"/>
      <c r="AD1247" s="76"/>
      <c r="AE1247" s="76"/>
      <c r="AF1247" s="76"/>
      <c r="AG1247" s="76"/>
      <c r="AH1247" s="76"/>
      <c r="AI1247" s="76"/>
      <c r="AJ1247" s="76"/>
      <c r="AK1247" s="76"/>
      <c r="AL1247" s="76"/>
      <c r="AM1247" s="76"/>
      <c r="AN1247" s="76"/>
      <c r="AO1247" s="76"/>
      <c r="AP1247" s="76"/>
      <c r="AQ1247" s="76"/>
      <c r="AR1247" s="76"/>
      <c r="AS1247" s="76"/>
      <c r="AT1247" s="76"/>
      <c r="AU1247" s="76"/>
      <c r="AV1247" s="76"/>
      <c r="AW1247" s="76"/>
      <c r="AX1247" s="76"/>
      <c r="AY1247" s="76"/>
      <c r="AZ1247" s="76"/>
      <c r="BA1247" s="76"/>
      <c r="BB1247" s="76"/>
    </row>
    <row r="1248" spans="5:54" x14ac:dyDescent="0.35">
      <c r="E1248" s="83"/>
      <c r="F1248" s="83"/>
      <c r="G1248" s="76"/>
      <c r="H1248" s="76"/>
      <c r="I1248" s="76"/>
      <c r="J1248" s="76"/>
      <c r="K1248" s="76"/>
      <c r="L1248" s="76"/>
      <c r="M1248" s="76"/>
      <c r="N1248" s="76"/>
      <c r="O1248" s="76"/>
      <c r="P1248" s="76"/>
      <c r="Q1248" s="76"/>
      <c r="R1248" s="76"/>
      <c r="S1248" s="76"/>
      <c r="T1248" s="76"/>
      <c r="U1248" s="76"/>
      <c r="V1248" s="76"/>
      <c r="W1248" s="76"/>
      <c r="X1248" s="76"/>
      <c r="Y1248" s="76"/>
      <c r="Z1248" s="76"/>
      <c r="AA1248" s="76"/>
      <c r="AB1248" s="76"/>
      <c r="AC1248" s="76"/>
      <c r="AD1248" s="76"/>
      <c r="AE1248" s="76"/>
      <c r="AF1248" s="76"/>
      <c r="AG1248" s="76"/>
      <c r="AH1248" s="76"/>
      <c r="AI1248" s="76"/>
      <c r="AJ1248" s="76"/>
      <c r="AK1248" s="76"/>
      <c r="AL1248" s="76"/>
      <c r="AM1248" s="76"/>
      <c r="AN1248" s="76"/>
      <c r="AO1248" s="76"/>
      <c r="AP1248" s="76"/>
      <c r="AQ1248" s="76"/>
      <c r="AR1248" s="76"/>
      <c r="AS1248" s="76"/>
      <c r="AT1248" s="76"/>
      <c r="AU1248" s="76"/>
      <c r="AV1248" s="76"/>
      <c r="AW1248" s="76"/>
      <c r="AX1248" s="76"/>
      <c r="AY1248" s="76"/>
      <c r="AZ1248" s="76"/>
      <c r="BA1248" s="76"/>
      <c r="BB1248" s="76"/>
    </row>
    <row r="1249" spans="5:54" x14ac:dyDescent="0.35">
      <c r="E1249" s="83"/>
      <c r="F1249" s="83"/>
      <c r="G1249" s="76"/>
      <c r="H1249" s="76"/>
      <c r="I1249" s="76"/>
      <c r="J1249" s="76"/>
      <c r="K1249" s="76"/>
      <c r="L1249" s="76"/>
      <c r="M1249" s="76"/>
      <c r="N1249" s="76"/>
      <c r="O1249" s="76"/>
      <c r="P1249" s="76"/>
      <c r="Q1249" s="76"/>
      <c r="R1249" s="76"/>
      <c r="S1249" s="76"/>
      <c r="T1249" s="76"/>
      <c r="U1249" s="76"/>
      <c r="V1249" s="76"/>
      <c r="W1249" s="76"/>
      <c r="X1249" s="76"/>
      <c r="Y1249" s="76"/>
      <c r="Z1249" s="76"/>
      <c r="AA1249" s="76"/>
      <c r="AB1249" s="76"/>
      <c r="AC1249" s="76"/>
      <c r="AD1249" s="76"/>
      <c r="AE1249" s="76"/>
      <c r="AF1249" s="76"/>
      <c r="AG1249" s="76"/>
      <c r="AH1249" s="76"/>
      <c r="AI1249" s="76"/>
      <c r="AJ1249" s="76"/>
      <c r="AK1249" s="76"/>
      <c r="AL1249" s="76"/>
      <c r="AM1249" s="76"/>
      <c r="AN1249" s="76"/>
      <c r="AO1249" s="76"/>
      <c r="AP1249" s="76"/>
      <c r="AQ1249" s="76"/>
      <c r="AR1249" s="76"/>
      <c r="AS1249" s="76"/>
      <c r="AT1249" s="76"/>
      <c r="AU1249" s="76"/>
      <c r="AV1249" s="76"/>
      <c r="AW1249" s="76"/>
      <c r="AX1249" s="76"/>
      <c r="AY1249" s="76"/>
      <c r="AZ1249" s="76"/>
      <c r="BA1249" s="76"/>
      <c r="BB1249" s="76"/>
    </row>
    <row r="1250" spans="5:54" x14ac:dyDescent="0.35">
      <c r="E1250" s="83"/>
      <c r="F1250" s="83"/>
      <c r="G1250" s="76"/>
      <c r="H1250" s="76"/>
      <c r="I1250" s="76"/>
      <c r="J1250" s="76"/>
      <c r="K1250" s="76"/>
      <c r="L1250" s="76"/>
      <c r="M1250" s="76"/>
      <c r="N1250" s="76"/>
      <c r="O1250" s="76"/>
      <c r="P1250" s="76"/>
      <c r="Q1250" s="76"/>
      <c r="R1250" s="76"/>
      <c r="S1250" s="76"/>
      <c r="T1250" s="76"/>
      <c r="U1250" s="76"/>
      <c r="V1250" s="76"/>
      <c r="W1250" s="76"/>
      <c r="X1250" s="76"/>
      <c r="Y1250" s="76"/>
      <c r="Z1250" s="76"/>
      <c r="AA1250" s="76"/>
      <c r="AB1250" s="76"/>
      <c r="AC1250" s="76"/>
      <c r="AD1250" s="76"/>
      <c r="AE1250" s="76"/>
      <c r="AF1250" s="76"/>
      <c r="AG1250" s="76"/>
      <c r="AH1250" s="76"/>
      <c r="AI1250" s="76"/>
      <c r="AJ1250" s="76"/>
      <c r="AK1250" s="76"/>
      <c r="AL1250" s="76"/>
      <c r="AM1250" s="76"/>
      <c r="AN1250" s="76"/>
      <c r="AO1250" s="76"/>
      <c r="AP1250" s="76"/>
      <c r="AQ1250" s="76"/>
      <c r="AR1250" s="76"/>
      <c r="AS1250" s="76"/>
      <c r="AT1250" s="76"/>
      <c r="AU1250" s="76"/>
      <c r="AV1250" s="76"/>
      <c r="AW1250" s="76"/>
      <c r="AX1250" s="76"/>
      <c r="AY1250" s="76"/>
      <c r="AZ1250" s="76"/>
      <c r="BA1250" s="76"/>
      <c r="BB1250" s="76"/>
    </row>
    <row r="1251" spans="5:54" x14ac:dyDescent="0.35">
      <c r="E1251" s="83"/>
      <c r="F1251" s="83"/>
      <c r="G1251" s="76"/>
      <c r="H1251" s="76"/>
      <c r="I1251" s="76"/>
      <c r="J1251" s="76"/>
      <c r="K1251" s="76"/>
      <c r="L1251" s="76"/>
      <c r="M1251" s="76"/>
      <c r="N1251" s="76"/>
      <c r="O1251" s="76"/>
      <c r="P1251" s="76"/>
      <c r="Q1251" s="76"/>
      <c r="R1251" s="76"/>
      <c r="S1251" s="76"/>
      <c r="T1251" s="76"/>
      <c r="U1251" s="76"/>
      <c r="V1251" s="76"/>
      <c r="W1251" s="76"/>
      <c r="X1251" s="76"/>
      <c r="Y1251" s="76"/>
      <c r="Z1251" s="76"/>
      <c r="AA1251" s="76"/>
      <c r="AB1251" s="76"/>
      <c r="AC1251" s="76"/>
      <c r="AD1251" s="76"/>
      <c r="AE1251" s="76"/>
      <c r="AF1251" s="76"/>
      <c r="AG1251" s="76"/>
      <c r="AH1251" s="76"/>
      <c r="AI1251" s="76"/>
      <c r="AJ1251" s="76"/>
      <c r="AK1251" s="76"/>
      <c r="AL1251" s="76"/>
      <c r="AM1251" s="76"/>
      <c r="AN1251" s="76"/>
      <c r="AO1251" s="76"/>
      <c r="AP1251" s="76"/>
      <c r="AQ1251" s="76"/>
      <c r="AR1251" s="76"/>
      <c r="AS1251" s="76"/>
      <c r="AT1251" s="76"/>
      <c r="AU1251" s="76"/>
      <c r="AV1251" s="76"/>
      <c r="AW1251" s="76"/>
      <c r="AX1251" s="76"/>
      <c r="AY1251" s="76"/>
      <c r="AZ1251" s="76"/>
      <c r="BA1251" s="76"/>
      <c r="BB1251" s="76"/>
    </row>
    <row r="1252" spans="5:54" x14ac:dyDescent="0.35">
      <c r="E1252" s="83"/>
      <c r="F1252" s="83"/>
      <c r="G1252" s="76"/>
      <c r="H1252" s="76"/>
      <c r="I1252" s="76"/>
      <c r="J1252" s="76"/>
      <c r="K1252" s="76"/>
      <c r="L1252" s="76"/>
      <c r="M1252" s="76"/>
      <c r="N1252" s="76"/>
      <c r="O1252" s="76"/>
      <c r="P1252" s="76"/>
      <c r="Q1252" s="76"/>
      <c r="R1252" s="76"/>
      <c r="S1252" s="76"/>
      <c r="T1252" s="76"/>
      <c r="U1252" s="76"/>
      <c r="V1252" s="76"/>
      <c r="W1252" s="76"/>
      <c r="X1252" s="76"/>
      <c r="Y1252" s="76"/>
      <c r="Z1252" s="76"/>
      <c r="AA1252" s="76"/>
      <c r="AB1252" s="76"/>
      <c r="AC1252" s="76"/>
      <c r="AD1252" s="76"/>
      <c r="AE1252" s="76"/>
      <c r="AF1252" s="76"/>
      <c r="AG1252" s="76"/>
      <c r="AH1252" s="76"/>
      <c r="AI1252" s="76"/>
      <c r="AJ1252" s="76"/>
      <c r="AK1252" s="76"/>
      <c r="AL1252" s="76"/>
      <c r="AM1252" s="76"/>
      <c r="AN1252" s="76"/>
      <c r="AO1252" s="76"/>
      <c r="AP1252" s="76"/>
      <c r="AQ1252" s="76"/>
      <c r="AR1252" s="76"/>
      <c r="AS1252" s="76"/>
      <c r="AT1252" s="76"/>
      <c r="AU1252" s="76"/>
      <c r="AV1252" s="76"/>
      <c r="AW1252" s="76"/>
      <c r="AX1252" s="76"/>
      <c r="AY1252" s="76"/>
      <c r="AZ1252" s="76"/>
      <c r="BA1252" s="76"/>
      <c r="BB1252" s="76"/>
    </row>
    <row r="1253" spans="5:54" x14ac:dyDescent="0.35">
      <c r="E1253" s="83"/>
      <c r="F1253" s="83"/>
      <c r="G1253" s="76"/>
      <c r="H1253" s="76"/>
      <c r="I1253" s="76"/>
      <c r="J1253" s="76"/>
      <c r="K1253" s="76"/>
      <c r="L1253" s="76"/>
      <c r="M1253" s="76"/>
      <c r="N1253" s="76"/>
      <c r="O1253" s="76"/>
      <c r="P1253" s="76"/>
      <c r="Q1253" s="76"/>
      <c r="R1253" s="76"/>
      <c r="S1253" s="76"/>
      <c r="T1253" s="76"/>
      <c r="U1253" s="76"/>
      <c r="V1253" s="76"/>
      <c r="W1253" s="76"/>
      <c r="X1253" s="76"/>
      <c r="Y1253" s="76"/>
      <c r="Z1253" s="76"/>
      <c r="AA1253" s="76"/>
      <c r="AB1253" s="76"/>
      <c r="AC1253" s="76"/>
      <c r="AD1253" s="76"/>
      <c r="AE1253" s="76"/>
      <c r="AF1253" s="76"/>
      <c r="AG1253" s="76"/>
      <c r="AH1253" s="76"/>
      <c r="AI1253" s="76"/>
      <c r="AJ1253" s="76"/>
      <c r="AK1253" s="76"/>
      <c r="AL1253" s="76"/>
      <c r="AM1253" s="76"/>
      <c r="AN1253" s="76"/>
      <c r="AO1253" s="76"/>
      <c r="AP1253" s="76"/>
      <c r="AQ1253" s="76"/>
      <c r="AR1253" s="76"/>
      <c r="AS1253" s="76"/>
      <c r="AT1253" s="76"/>
      <c r="AU1253" s="76"/>
      <c r="AV1253" s="76"/>
      <c r="AW1253" s="76"/>
      <c r="AX1253" s="76"/>
      <c r="AY1253" s="76"/>
      <c r="AZ1253" s="76"/>
      <c r="BA1253" s="76"/>
      <c r="BB1253" s="76"/>
    </row>
    <row r="1254" spans="5:54" x14ac:dyDescent="0.35">
      <c r="E1254" s="83"/>
      <c r="F1254" s="83"/>
      <c r="G1254" s="76"/>
      <c r="H1254" s="76"/>
      <c r="I1254" s="76"/>
      <c r="J1254" s="76"/>
      <c r="K1254" s="76"/>
      <c r="L1254" s="76"/>
      <c r="M1254" s="76"/>
      <c r="N1254" s="76"/>
      <c r="O1254" s="76"/>
      <c r="P1254" s="76"/>
      <c r="Q1254" s="76"/>
      <c r="R1254" s="76"/>
      <c r="S1254" s="76"/>
      <c r="T1254" s="76"/>
      <c r="U1254" s="76"/>
      <c r="V1254" s="76"/>
      <c r="W1254" s="76"/>
      <c r="X1254" s="76"/>
      <c r="Y1254" s="76"/>
      <c r="Z1254" s="76"/>
      <c r="AA1254" s="76"/>
      <c r="AB1254" s="76"/>
      <c r="AC1254" s="76"/>
      <c r="AD1254" s="76"/>
      <c r="AE1254" s="76"/>
      <c r="AF1254" s="76"/>
      <c r="AG1254" s="76"/>
      <c r="AH1254" s="76"/>
      <c r="AI1254" s="76"/>
      <c r="AJ1254" s="76"/>
      <c r="AK1254" s="76"/>
      <c r="AL1254" s="76"/>
      <c r="AM1254" s="76"/>
      <c r="AN1254" s="76"/>
      <c r="AO1254" s="76"/>
      <c r="AP1254" s="76"/>
      <c r="AQ1254" s="76"/>
      <c r="AR1254" s="76"/>
      <c r="AS1254" s="76"/>
      <c r="AT1254" s="76"/>
      <c r="AU1254" s="76"/>
      <c r="AV1254" s="76"/>
      <c r="AW1254" s="76"/>
      <c r="AX1254" s="76"/>
      <c r="AY1254" s="76"/>
      <c r="AZ1254" s="76"/>
      <c r="BA1254" s="76"/>
      <c r="BB1254" s="76"/>
    </row>
    <row r="1255" spans="5:54" x14ac:dyDescent="0.35">
      <c r="E1255" s="83"/>
      <c r="F1255" s="83"/>
      <c r="G1255" s="76"/>
      <c r="H1255" s="76"/>
      <c r="I1255" s="76"/>
      <c r="J1255" s="76"/>
      <c r="K1255" s="76"/>
      <c r="L1255" s="76"/>
      <c r="M1255" s="76"/>
      <c r="N1255" s="76"/>
      <c r="O1255" s="76"/>
      <c r="P1255" s="76"/>
      <c r="Q1255" s="76"/>
      <c r="R1255" s="76"/>
      <c r="S1255" s="76"/>
      <c r="T1255" s="76"/>
      <c r="U1255" s="76"/>
      <c r="V1255" s="76"/>
      <c r="W1255" s="76"/>
      <c r="X1255" s="76"/>
      <c r="Y1255" s="76"/>
      <c r="Z1255" s="76"/>
      <c r="AA1255" s="76"/>
      <c r="AB1255" s="76"/>
      <c r="AC1255" s="76"/>
      <c r="AD1255" s="76"/>
      <c r="AE1255" s="76"/>
      <c r="AF1255" s="76"/>
      <c r="AG1255" s="76"/>
      <c r="AH1255" s="76"/>
      <c r="AI1255" s="76"/>
      <c r="AJ1255" s="76"/>
      <c r="AK1255" s="76"/>
      <c r="AL1255" s="76"/>
      <c r="AM1255" s="76"/>
      <c r="AN1255" s="76"/>
      <c r="AO1255" s="76"/>
      <c r="AP1255" s="76"/>
      <c r="AQ1255" s="76"/>
      <c r="AR1255" s="76"/>
      <c r="AS1255" s="76"/>
      <c r="AT1255" s="76"/>
      <c r="AU1255" s="76"/>
      <c r="AV1255" s="76"/>
      <c r="AW1255" s="76"/>
      <c r="AX1255" s="76"/>
      <c r="AY1255" s="76"/>
      <c r="AZ1255" s="76"/>
      <c r="BA1255" s="76"/>
      <c r="BB1255" s="76"/>
    </row>
    <row r="1256" spans="5:54" x14ac:dyDescent="0.35">
      <c r="E1256" s="83"/>
      <c r="F1256" s="83"/>
      <c r="G1256" s="76"/>
      <c r="H1256" s="76"/>
      <c r="I1256" s="76"/>
      <c r="J1256" s="76"/>
      <c r="K1256" s="76"/>
      <c r="L1256" s="76"/>
      <c r="M1256" s="76"/>
      <c r="N1256" s="76"/>
      <c r="O1256" s="76"/>
      <c r="P1256" s="76"/>
      <c r="Q1256" s="76"/>
      <c r="R1256" s="76"/>
      <c r="S1256" s="76"/>
      <c r="T1256" s="76"/>
      <c r="U1256" s="76"/>
      <c r="V1256" s="76"/>
      <c r="W1256" s="76"/>
      <c r="X1256" s="76"/>
      <c r="Y1256" s="76"/>
      <c r="Z1256" s="76"/>
      <c r="AA1256" s="76"/>
      <c r="AB1256" s="76"/>
      <c r="AC1256" s="76"/>
      <c r="AD1256" s="76"/>
      <c r="AE1256" s="76"/>
      <c r="AF1256" s="76"/>
      <c r="AG1256" s="76"/>
      <c r="AH1256" s="76"/>
      <c r="AI1256" s="76"/>
      <c r="AJ1256" s="76"/>
      <c r="AK1256" s="76"/>
      <c r="AL1256" s="76"/>
      <c r="AM1256" s="76"/>
      <c r="AN1256" s="76"/>
      <c r="AO1256" s="76"/>
      <c r="AP1256" s="76"/>
      <c r="AQ1256" s="76"/>
      <c r="AR1256" s="76"/>
      <c r="AS1256" s="76"/>
      <c r="AT1256" s="76"/>
      <c r="AU1256" s="76"/>
      <c r="AV1256" s="76"/>
      <c r="AW1256" s="76"/>
      <c r="AX1256" s="76"/>
      <c r="AY1256" s="76"/>
      <c r="AZ1256" s="76"/>
      <c r="BA1256" s="76"/>
      <c r="BB1256" s="76"/>
    </row>
    <row r="1257" spans="5:54" x14ac:dyDescent="0.35">
      <c r="E1257" s="83"/>
      <c r="F1257" s="83"/>
      <c r="G1257" s="76"/>
      <c r="H1257" s="76"/>
      <c r="I1257" s="76"/>
      <c r="J1257" s="76"/>
      <c r="K1257" s="76"/>
      <c r="L1257" s="76"/>
      <c r="M1257" s="76"/>
      <c r="N1257" s="76"/>
      <c r="O1257" s="76"/>
      <c r="P1257" s="76"/>
      <c r="Q1257" s="76"/>
      <c r="R1257" s="76"/>
      <c r="S1257" s="76"/>
      <c r="T1257" s="76"/>
      <c r="U1257" s="76"/>
      <c r="V1257" s="76"/>
      <c r="W1257" s="76"/>
      <c r="X1257" s="76"/>
      <c r="Y1257" s="76"/>
      <c r="Z1257" s="76"/>
      <c r="AA1257" s="76"/>
      <c r="AB1257" s="76"/>
      <c r="AC1257" s="76"/>
      <c r="AD1257" s="76"/>
      <c r="AE1257" s="76"/>
      <c r="AF1257" s="76"/>
      <c r="AG1257" s="76"/>
      <c r="AH1257" s="76"/>
      <c r="AI1257" s="76"/>
      <c r="AJ1257" s="76"/>
      <c r="AK1257" s="76"/>
      <c r="AL1257" s="76"/>
      <c r="AM1257" s="76"/>
      <c r="AN1257" s="76"/>
      <c r="AO1257" s="76"/>
      <c r="AP1257" s="76"/>
      <c r="AQ1257" s="76"/>
      <c r="AR1257" s="76"/>
      <c r="AS1257" s="76"/>
      <c r="AT1257" s="76"/>
      <c r="AU1257" s="76"/>
      <c r="AV1257" s="76"/>
      <c r="AW1257" s="76"/>
      <c r="AX1257" s="76"/>
      <c r="AY1257" s="76"/>
      <c r="AZ1257" s="76"/>
      <c r="BA1257" s="76"/>
      <c r="BB1257" s="76"/>
    </row>
    <row r="1258" spans="5:54" x14ac:dyDescent="0.35">
      <c r="E1258" s="83"/>
      <c r="F1258" s="83"/>
      <c r="G1258" s="76"/>
      <c r="H1258" s="76"/>
      <c r="I1258" s="76"/>
      <c r="J1258" s="76"/>
      <c r="K1258" s="76"/>
      <c r="L1258" s="76"/>
      <c r="M1258" s="76"/>
      <c r="N1258" s="76"/>
      <c r="O1258" s="76"/>
      <c r="P1258" s="76"/>
      <c r="Q1258" s="76"/>
      <c r="R1258" s="76"/>
      <c r="S1258" s="76"/>
      <c r="T1258" s="76"/>
      <c r="U1258" s="76"/>
      <c r="V1258" s="76"/>
      <c r="W1258" s="76"/>
      <c r="X1258" s="76"/>
      <c r="Y1258" s="76"/>
      <c r="Z1258" s="76"/>
      <c r="AA1258" s="76"/>
      <c r="AB1258" s="76"/>
      <c r="AC1258" s="76"/>
      <c r="AD1258" s="76"/>
      <c r="AE1258" s="76"/>
      <c r="AF1258" s="76"/>
      <c r="AG1258" s="76"/>
      <c r="AH1258" s="76"/>
      <c r="AI1258" s="76"/>
      <c r="AJ1258" s="76"/>
      <c r="AK1258" s="76"/>
      <c r="AL1258" s="76"/>
      <c r="AM1258" s="76"/>
      <c r="AN1258" s="76"/>
      <c r="AO1258" s="76"/>
      <c r="AP1258" s="76"/>
      <c r="AQ1258" s="76"/>
      <c r="AR1258" s="76"/>
      <c r="AS1258" s="76"/>
      <c r="AT1258" s="76"/>
      <c r="AU1258" s="76"/>
      <c r="AV1258" s="76"/>
      <c r="AW1258" s="76"/>
      <c r="AX1258" s="76"/>
      <c r="AY1258" s="76"/>
      <c r="AZ1258" s="76"/>
      <c r="BA1258" s="76"/>
      <c r="BB1258" s="76"/>
    </row>
    <row r="1259" spans="5:54" x14ac:dyDescent="0.35">
      <c r="E1259" s="83"/>
      <c r="F1259" s="83"/>
      <c r="G1259" s="76"/>
      <c r="H1259" s="76"/>
      <c r="I1259" s="76"/>
      <c r="J1259" s="76"/>
      <c r="K1259" s="76"/>
      <c r="L1259" s="76"/>
      <c r="M1259" s="76"/>
      <c r="N1259" s="76"/>
      <c r="O1259" s="76"/>
      <c r="P1259" s="76"/>
      <c r="Q1259" s="76"/>
      <c r="R1259" s="76"/>
      <c r="S1259" s="76"/>
      <c r="T1259" s="76"/>
      <c r="U1259" s="76"/>
      <c r="V1259" s="76"/>
      <c r="W1259" s="76"/>
      <c r="X1259" s="76"/>
      <c r="Y1259" s="76"/>
      <c r="Z1259" s="76"/>
      <c r="AA1259" s="76"/>
      <c r="AB1259" s="76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6"/>
      <c r="AM1259" s="76"/>
      <c r="AN1259" s="76"/>
      <c r="AO1259" s="76"/>
      <c r="AP1259" s="76"/>
      <c r="AQ1259" s="76"/>
      <c r="AR1259" s="76"/>
      <c r="AS1259" s="76"/>
      <c r="AT1259" s="76"/>
      <c r="AU1259" s="76"/>
      <c r="AV1259" s="76"/>
      <c r="AW1259" s="76"/>
      <c r="AX1259" s="76"/>
      <c r="AY1259" s="76"/>
      <c r="AZ1259" s="76"/>
      <c r="BA1259" s="76"/>
      <c r="BB1259" s="76"/>
    </row>
    <row r="1260" spans="5:54" x14ac:dyDescent="0.35">
      <c r="E1260" s="83"/>
      <c r="F1260" s="83"/>
      <c r="G1260" s="76"/>
      <c r="H1260" s="76"/>
      <c r="I1260" s="76"/>
      <c r="J1260" s="76"/>
      <c r="K1260" s="76"/>
      <c r="L1260" s="76"/>
      <c r="M1260" s="76"/>
      <c r="N1260" s="76"/>
      <c r="O1260" s="76"/>
      <c r="P1260" s="76"/>
      <c r="Q1260" s="76"/>
      <c r="R1260" s="76"/>
      <c r="S1260" s="76"/>
      <c r="T1260" s="76"/>
      <c r="U1260" s="76"/>
      <c r="V1260" s="76"/>
      <c r="W1260" s="76"/>
      <c r="X1260" s="76"/>
      <c r="Y1260" s="76"/>
      <c r="Z1260" s="76"/>
      <c r="AA1260" s="76"/>
      <c r="AB1260" s="76"/>
      <c r="AC1260" s="76"/>
      <c r="AD1260" s="76"/>
      <c r="AE1260" s="76"/>
      <c r="AF1260" s="76"/>
      <c r="AG1260" s="76"/>
      <c r="AH1260" s="76"/>
      <c r="AI1260" s="76"/>
      <c r="AJ1260" s="76"/>
      <c r="AK1260" s="76"/>
      <c r="AL1260" s="76"/>
      <c r="AM1260" s="76"/>
      <c r="AN1260" s="76"/>
      <c r="AO1260" s="76"/>
      <c r="AP1260" s="76"/>
      <c r="AQ1260" s="76"/>
      <c r="AR1260" s="76"/>
      <c r="AS1260" s="76"/>
      <c r="AT1260" s="76"/>
      <c r="AU1260" s="76"/>
      <c r="AV1260" s="76"/>
      <c r="AW1260" s="76"/>
      <c r="AX1260" s="76"/>
      <c r="AY1260" s="76"/>
      <c r="AZ1260" s="76"/>
      <c r="BA1260" s="76"/>
      <c r="BB1260" s="76"/>
    </row>
    <row r="1261" spans="5:54" x14ac:dyDescent="0.35">
      <c r="E1261" s="83"/>
      <c r="F1261" s="83"/>
      <c r="G1261" s="76"/>
      <c r="H1261" s="76"/>
      <c r="I1261" s="76"/>
      <c r="J1261" s="76"/>
      <c r="K1261" s="76"/>
      <c r="L1261" s="76"/>
      <c r="M1261" s="76"/>
      <c r="N1261" s="76"/>
      <c r="O1261" s="76"/>
      <c r="P1261" s="76"/>
      <c r="Q1261" s="76"/>
      <c r="R1261" s="76"/>
      <c r="S1261" s="76"/>
      <c r="T1261" s="76"/>
      <c r="U1261" s="76"/>
      <c r="V1261" s="76"/>
      <c r="W1261" s="76"/>
      <c r="X1261" s="76"/>
      <c r="Y1261" s="76"/>
      <c r="Z1261" s="76"/>
      <c r="AA1261" s="76"/>
      <c r="AB1261" s="76"/>
      <c r="AC1261" s="76"/>
      <c r="AD1261" s="76"/>
      <c r="AE1261" s="76"/>
      <c r="AF1261" s="76"/>
      <c r="AG1261" s="76"/>
      <c r="AH1261" s="76"/>
      <c r="AI1261" s="76"/>
      <c r="AJ1261" s="76"/>
      <c r="AK1261" s="76"/>
      <c r="AL1261" s="76"/>
      <c r="AM1261" s="76"/>
      <c r="AN1261" s="76"/>
      <c r="AO1261" s="76"/>
      <c r="AP1261" s="76"/>
      <c r="AQ1261" s="76"/>
      <c r="AR1261" s="76"/>
      <c r="AS1261" s="76"/>
      <c r="AT1261" s="76"/>
      <c r="AU1261" s="76"/>
      <c r="AV1261" s="76"/>
      <c r="AW1261" s="76"/>
      <c r="AX1261" s="76"/>
      <c r="AY1261" s="76"/>
      <c r="AZ1261" s="76"/>
      <c r="BA1261" s="76"/>
      <c r="BB1261" s="76"/>
    </row>
    <row r="1262" spans="5:54" x14ac:dyDescent="0.35">
      <c r="E1262" s="83"/>
      <c r="F1262" s="83"/>
      <c r="G1262" s="76"/>
      <c r="H1262" s="76"/>
      <c r="I1262" s="76"/>
      <c r="J1262" s="76"/>
      <c r="K1262" s="76"/>
      <c r="L1262" s="76"/>
      <c r="M1262" s="76"/>
      <c r="N1262" s="76"/>
      <c r="O1262" s="76"/>
      <c r="P1262" s="76"/>
      <c r="Q1262" s="76"/>
      <c r="R1262" s="76"/>
      <c r="S1262" s="76"/>
      <c r="T1262" s="76"/>
      <c r="U1262" s="76"/>
      <c r="V1262" s="76"/>
      <c r="W1262" s="76"/>
      <c r="X1262" s="76"/>
      <c r="Y1262" s="76"/>
      <c r="Z1262" s="76"/>
      <c r="AA1262" s="76"/>
      <c r="AB1262" s="76"/>
      <c r="AC1262" s="76"/>
      <c r="AD1262" s="76"/>
      <c r="AE1262" s="76"/>
      <c r="AF1262" s="76"/>
      <c r="AG1262" s="76"/>
      <c r="AH1262" s="76"/>
      <c r="AI1262" s="76"/>
      <c r="AJ1262" s="76"/>
      <c r="AK1262" s="76"/>
      <c r="AL1262" s="76"/>
      <c r="AM1262" s="76"/>
      <c r="AN1262" s="76"/>
      <c r="AO1262" s="76"/>
      <c r="AP1262" s="76"/>
      <c r="AQ1262" s="76"/>
      <c r="AR1262" s="76"/>
      <c r="AS1262" s="76"/>
      <c r="AT1262" s="76"/>
      <c r="AU1262" s="76"/>
      <c r="AV1262" s="76"/>
      <c r="AW1262" s="76"/>
      <c r="AX1262" s="76"/>
      <c r="AY1262" s="76"/>
      <c r="AZ1262" s="76"/>
      <c r="BA1262" s="76"/>
      <c r="BB1262" s="76"/>
    </row>
    <row r="1263" spans="5:54" x14ac:dyDescent="0.35">
      <c r="E1263" s="83"/>
      <c r="F1263" s="83"/>
      <c r="G1263" s="76"/>
      <c r="H1263" s="76"/>
      <c r="I1263" s="76"/>
      <c r="J1263" s="76"/>
      <c r="K1263" s="76"/>
      <c r="L1263" s="76"/>
      <c r="M1263" s="76"/>
      <c r="N1263" s="76"/>
      <c r="O1263" s="76"/>
      <c r="P1263" s="76"/>
      <c r="Q1263" s="76"/>
      <c r="R1263" s="76"/>
      <c r="S1263" s="76"/>
      <c r="T1263" s="76"/>
      <c r="U1263" s="76"/>
      <c r="V1263" s="76"/>
      <c r="W1263" s="76"/>
      <c r="X1263" s="76"/>
      <c r="Y1263" s="76"/>
      <c r="Z1263" s="76"/>
      <c r="AA1263" s="76"/>
      <c r="AB1263" s="76"/>
      <c r="AC1263" s="76"/>
      <c r="AD1263" s="76"/>
      <c r="AE1263" s="76"/>
      <c r="AF1263" s="76"/>
      <c r="AG1263" s="76"/>
      <c r="AH1263" s="76"/>
      <c r="AI1263" s="76"/>
      <c r="AJ1263" s="76"/>
      <c r="AK1263" s="76"/>
      <c r="AL1263" s="76"/>
      <c r="AM1263" s="76"/>
      <c r="AN1263" s="76"/>
      <c r="AO1263" s="76"/>
      <c r="AP1263" s="76"/>
      <c r="AQ1263" s="76"/>
      <c r="AR1263" s="76"/>
      <c r="AS1263" s="76"/>
      <c r="AT1263" s="76"/>
      <c r="AU1263" s="76"/>
      <c r="AV1263" s="76"/>
      <c r="AW1263" s="76"/>
      <c r="AX1263" s="76"/>
      <c r="AY1263" s="76"/>
      <c r="AZ1263" s="76"/>
      <c r="BA1263" s="76"/>
      <c r="BB1263" s="76"/>
    </row>
    <row r="1264" spans="5:54" x14ac:dyDescent="0.35">
      <c r="E1264" s="83"/>
      <c r="F1264" s="83"/>
      <c r="G1264" s="76"/>
      <c r="H1264" s="76"/>
      <c r="I1264" s="76"/>
      <c r="J1264" s="76"/>
      <c r="K1264" s="76"/>
      <c r="L1264" s="76"/>
      <c r="M1264" s="76"/>
      <c r="N1264" s="76"/>
      <c r="O1264" s="76"/>
      <c r="P1264" s="76"/>
      <c r="Q1264" s="76"/>
      <c r="R1264" s="76"/>
      <c r="S1264" s="76"/>
      <c r="T1264" s="76"/>
      <c r="U1264" s="76"/>
      <c r="V1264" s="76"/>
      <c r="W1264" s="76"/>
      <c r="X1264" s="76"/>
      <c r="Y1264" s="76"/>
      <c r="Z1264" s="76"/>
      <c r="AA1264" s="76"/>
      <c r="AB1264" s="76"/>
      <c r="AC1264" s="76"/>
      <c r="AD1264" s="76"/>
      <c r="AE1264" s="76"/>
      <c r="AF1264" s="76"/>
      <c r="AG1264" s="76"/>
      <c r="AH1264" s="76"/>
      <c r="AI1264" s="76"/>
      <c r="AJ1264" s="76"/>
      <c r="AK1264" s="76"/>
      <c r="AL1264" s="76"/>
      <c r="AM1264" s="76"/>
      <c r="AN1264" s="76"/>
      <c r="AO1264" s="76"/>
      <c r="AP1264" s="76"/>
      <c r="AQ1264" s="76"/>
      <c r="AR1264" s="76"/>
      <c r="AS1264" s="76"/>
      <c r="AT1264" s="76"/>
      <c r="AU1264" s="76"/>
      <c r="AV1264" s="76"/>
      <c r="AW1264" s="76"/>
      <c r="AX1264" s="76"/>
      <c r="AY1264" s="76"/>
      <c r="AZ1264" s="76"/>
      <c r="BA1264" s="76"/>
      <c r="BB1264" s="76"/>
    </row>
    <row r="1265" spans="5:54" x14ac:dyDescent="0.35">
      <c r="E1265" s="83"/>
      <c r="F1265" s="83"/>
      <c r="G1265" s="76"/>
      <c r="H1265" s="76"/>
      <c r="I1265" s="76"/>
      <c r="J1265" s="76"/>
      <c r="K1265" s="76"/>
      <c r="L1265" s="76"/>
      <c r="M1265" s="76"/>
      <c r="N1265" s="76"/>
      <c r="O1265" s="76"/>
      <c r="P1265" s="76"/>
      <c r="Q1265" s="76"/>
      <c r="R1265" s="76"/>
      <c r="S1265" s="76"/>
      <c r="T1265" s="76"/>
      <c r="U1265" s="76"/>
      <c r="V1265" s="76"/>
      <c r="W1265" s="76"/>
      <c r="X1265" s="76"/>
      <c r="Y1265" s="76"/>
      <c r="Z1265" s="76"/>
      <c r="AA1265" s="76"/>
      <c r="AB1265" s="76"/>
      <c r="AC1265" s="76"/>
      <c r="AD1265" s="76"/>
      <c r="AE1265" s="76"/>
      <c r="AF1265" s="76"/>
      <c r="AG1265" s="76"/>
      <c r="AH1265" s="76"/>
      <c r="AI1265" s="76"/>
      <c r="AJ1265" s="76"/>
      <c r="AK1265" s="76"/>
      <c r="AL1265" s="76"/>
      <c r="AM1265" s="76"/>
      <c r="AN1265" s="76"/>
      <c r="AO1265" s="76"/>
      <c r="AP1265" s="76"/>
      <c r="AQ1265" s="76"/>
      <c r="AR1265" s="76"/>
      <c r="AS1265" s="76"/>
      <c r="AT1265" s="76"/>
      <c r="AU1265" s="76"/>
      <c r="AV1265" s="76"/>
      <c r="AW1265" s="76"/>
      <c r="AX1265" s="76"/>
      <c r="AY1265" s="76"/>
      <c r="AZ1265" s="76"/>
      <c r="BA1265" s="76"/>
      <c r="BB1265" s="76"/>
    </row>
    <row r="1266" spans="5:54" x14ac:dyDescent="0.35">
      <c r="E1266" s="83"/>
      <c r="F1266" s="83"/>
      <c r="G1266" s="76"/>
      <c r="H1266" s="76"/>
      <c r="I1266" s="76"/>
      <c r="J1266" s="76"/>
      <c r="K1266" s="76"/>
      <c r="L1266" s="76"/>
      <c r="M1266" s="76"/>
      <c r="N1266" s="76"/>
      <c r="O1266" s="76"/>
      <c r="P1266" s="76"/>
      <c r="Q1266" s="76"/>
      <c r="R1266" s="76"/>
      <c r="S1266" s="76"/>
      <c r="T1266" s="76"/>
      <c r="U1266" s="76"/>
      <c r="V1266" s="76"/>
      <c r="W1266" s="76"/>
      <c r="X1266" s="76"/>
      <c r="Y1266" s="76"/>
      <c r="Z1266" s="76"/>
      <c r="AA1266" s="76"/>
      <c r="AB1266" s="76"/>
      <c r="AC1266" s="76"/>
      <c r="AD1266" s="76"/>
      <c r="AE1266" s="76"/>
      <c r="AF1266" s="76"/>
      <c r="AG1266" s="76"/>
      <c r="AH1266" s="76"/>
      <c r="AI1266" s="76"/>
      <c r="AJ1266" s="76"/>
      <c r="AK1266" s="76"/>
      <c r="AL1266" s="76"/>
      <c r="AM1266" s="76"/>
      <c r="AN1266" s="76"/>
      <c r="AO1266" s="76"/>
      <c r="AP1266" s="76"/>
      <c r="AQ1266" s="76"/>
      <c r="AR1266" s="76"/>
      <c r="AS1266" s="76"/>
      <c r="AT1266" s="76"/>
      <c r="AU1266" s="76"/>
      <c r="AV1266" s="76"/>
      <c r="AW1266" s="76"/>
      <c r="AX1266" s="76"/>
      <c r="AY1266" s="76"/>
      <c r="AZ1266" s="76"/>
      <c r="BA1266" s="76"/>
      <c r="BB1266" s="76"/>
    </row>
    <row r="1267" spans="5:54" x14ac:dyDescent="0.35">
      <c r="E1267" s="83"/>
      <c r="F1267" s="83"/>
      <c r="G1267" s="76"/>
      <c r="H1267" s="76"/>
      <c r="I1267" s="76"/>
      <c r="J1267" s="76"/>
      <c r="K1267" s="76"/>
      <c r="L1267" s="76"/>
      <c r="M1267" s="76"/>
      <c r="N1267" s="76"/>
      <c r="O1267" s="76"/>
      <c r="P1267" s="76"/>
      <c r="Q1267" s="76"/>
      <c r="R1267" s="76"/>
      <c r="S1267" s="76"/>
      <c r="T1267" s="76"/>
      <c r="U1267" s="76"/>
      <c r="V1267" s="76"/>
      <c r="W1267" s="76"/>
      <c r="X1267" s="76"/>
      <c r="Y1267" s="76"/>
      <c r="Z1267" s="76"/>
      <c r="AA1267" s="76"/>
      <c r="AB1267" s="76"/>
      <c r="AC1267" s="76"/>
      <c r="AD1267" s="76"/>
      <c r="AE1267" s="76"/>
      <c r="AF1267" s="76"/>
      <c r="AG1267" s="76"/>
      <c r="AH1267" s="76"/>
      <c r="AI1267" s="76"/>
      <c r="AJ1267" s="76"/>
      <c r="AK1267" s="76"/>
      <c r="AL1267" s="76"/>
      <c r="AM1267" s="76"/>
      <c r="AN1267" s="76"/>
      <c r="AO1267" s="76"/>
      <c r="AP1267" s="76"/>
      <c r="AQ1267" s="76"/>
      <c r="AR1267" s="76"/>
      <c r="AS1267" s="76"/>
      <c r="AT1267" s="76"/>
      <c r="AU1267" s="76"/>
      <c r="AV1267" s="76"/>
      <c r="AW1267" s="76"/>
      <c r="AX1267" s="76"/>
      <c r="AY1267" s="76"/>
      <c r="AZ1267" s="76"/>
      <c r="BA1267" s="76"/>
      <c r="BB1267" s="76"/>
    </row>
    <row r="1268" spans="5:54" x14ac:dyDescent="0.35">
      <c r="E1268" s="83"/>
      <c r="F1268" s="83"/>
      <c r="G1268" s="76"/>
      <c r="H1268" s="76"/>
      <c r="I1268" s="76"/>
      <c r="J1268" s="76"/>
      <c r="K1268" s="76"/>
      <c r="L1268" s="76"/>
      <c r="M1268" s="76"/>
      <c r="N1268" s="76"/>
      <c r="O1268" s="76"/>
      <c r="P1268" s="76"/>
      <c r="Q1268" s="76"/>
      <c r="R1268" s="76"/>
      <c r="S1268" s="76"/>
      <c r="T1268" s="76"/>
      <c r="U1268" s="76"/>
      <c r="V1268" s="76"/>
      <c r="W1268" s="76"/>
      <c r="X1268" s="76"/>
      <c r="Y1268" s="76"/>
      <c r="Z1268" s="76"/>
      <c r="AA1268" s="76"/>
      <c r="AB1268" s="76"/>
      <c r="AC1268" s="76"/>
      <c r="AD1268" s="76"/>
      <c r="AE1268" s="76"/>
      <c r="AF1268" s="76"/>
      <c r="AG1268" s="76"/>
      <c r="AH1268" s="76"/>
      <c r="AI1268" s="76"/>
      <c r="AJ1268" s="76"/>
      <c r="AK1268" s="76"/>
      <c r="AL1268" s="76"/>
      <c r="AM1268" s="76"/>
      <c r="AN1268" s="76"/>
      <c r="AO1268" s="76"/>
      <c r="AP1268" s="76"/>
      <c r="AQ1268" s="76"/>
      <c r="AR1268" s="76"/>
      <c r="AS1268" s="76"/>
      <c r="AT1268" s="76"/>
      <c r="AU1268" s="76"/>
      <c r="AV1268" s="76"/>
      <c r="AW1268" s="76"/>
      <c r="AX1268" s="76"/>
      <c r="AY1268" s="76"/>
      <c r="AZ1268" s="76"/>
      <c r="BA1268" s="76"/>
      <c r="BB1268" s="76"/>
    </row>
    <row r="1269" spans="5:54" x14ac:dyDescent="0.35">
      <c r="E1269" s="83"/>
      <c r="F1269" s="83"/>
      <c r="G1269" s="76"/>
      <c r="H1269" s="76"/>
      <c r="I1269" s="76"/>
      <c r="J1269" s="76"/>
      <c r="K1269" s="76"/>
      <c r="L1269" s="76"/>
      <c r="M1269" s="76"/>
      <c r="N1269" s="76"/>
      <c r="O1269" s="76"/>
      <c r="P1269" s="76"/>
      <c r="Q1269" s="76"/>
      <c r="R1269" s="76"/>
      <c r="S1269" s="76"/>
      <c r="T1269" s="76"/>
      <c r="U1269" s="76"/>
      <c r="V1269" s="76"/>
      <c r="W1269" s="76"/>
      <c r="X1269" s="76"/>
      <c r="Y1269" s="76"/>
      <c r="Z1269" s="76"/>
      <c r="AA1269" s="76"/>
      <c r="AB1269" s="76"/>
      <c r="AC1269" s="76"/>
      <c r="AD1269" s="76"/>
      <c r="AE1269" s="76"/>
      <c r="AF1269" s="76"/>
      <c r="AG1269" s="76"/>
      <c r="AH1269" s="76"/>
      <c r="AI1269" s="76"/>
      <c r="AJ1269" s="76"/>
      <c r="AK1269" s="76"/>
      <c r="AL1269" s="76"/>
      <c r="AM1269" s="76"/>
      <c r="AN1269" s="76"/>
      <c r="AO1269" s="76"/>
      <c r="AP1269" s="76"/>
      <c r="AQ1269" s="76"/>
      <c r="AR1269" s="76"/>
      <c r="AS1269" s="76"/>
      <c r="AT1269" s="76"/>
      <c r="AU1269" s="76"/>
      <c r="AV1269" s="76"/>
      <c r="AW1269" s="76"/>
      <c r="AX1269" s="76"/>
      <c r="AY1269" s="76"/>
      <c r="AZ1269" s="76"/>
      <c r="BA1269" s="76"/>
      <c r="BB1269" s="76"/>
    </row>
    <row r="1270" spans="5:54" x14ac:dyDescent="0.35">
      <c r="E1270" s="83"/>
      <c r="F1270" s="83"/>
      <c r="G1270" s="76"/>
      <c r="H1270" s="76"/>
      <c r="I1270" s="76"/>
      <c r="J1270" s="76"/>
      <c r="K1270" s="76"/>
      <c r="L1270" s="76"/>
      <c r="M1270" s="76"/>
      <c r="N1270" s="76"/>
      <c r="O1270" s="76"/>
      <c r="P1270" s="76"/>
      <c r="Q1270" s="76"/>
      <c r="R1270" s="76"/>
      <c r="S1270" s="76"/>
      <c r="T1270" s="76"/>
      <c r="U1270" s="76"/>
      <c r="V1270" s="76"/>
      <c r="W1270" s="76"/>
      <c r="X1270" s="76"/>
      <c r="Y1270" s="76"/>
      <c r="Z1270" s="76"/>
      <c r="AA1270" s="76"/>
      <c r="AB1270" s="76"/>
      <c r="AC1270" s="76"/>
      <c r="AD1270" s="76"/>
      <c r="AE1270" s="76"/>
      <c r="AF1270" s="76"/>
      <c r="AG1270" s="76"/>
      <c r="AH1270" s="76"/>
      <c r="AI1270" s="76"/>
      <c r="AJ1270" s="76"/>
      <c r="AK1270" s="76"/>
      <c r="AL1270" s="76"/>
      <c r="AM1270" s="76"/>
      <c r="AN1270" s="76"/>
      <c r="AO1270" s="76"/>
      <c r="AP1270" s="76"/>
      <c r="AQ1270" s="76"/>
      <c r="AR1270" s="76"/>
      <c r="AS1270" s="76"/>
      <c r="AT1270" s="76"/>
      <c r="AU1270" s="76"/>
      <c r="AV1270" s="76"/>
      <c r="AW1270" s="76"/>
      <c r="AX1270" s="76"/>
      <c r="AY1270" s="76"/>
      <c r="AZ1270" s="76"/>
      <c r="BA1270" s="76"/>
      <c r="BB1270" s="76"/>
    </row>
    <row r="1271" spans="5:54" x14ac:dyDescent="0.35">
      <c r="E1271" s="83"/>
      <c r="F1271" s="83"/>
      <c r="G1271" s="76"/>
      <c r="H1271" s="76"/>
      <c r="I1271" s="76"/>
      <c r="J1271" s="76"/>
      <c r="K1271" s="76"/>
      <c r="L1271" s="76"/>
      <c r="M1271" s="76"/>
      <c r="N1271" s="76"/>
      <c r="O1271" s="76"/>
      <c r="P1271" s="76"/>
      <c r="Q1271" s="76"/>
      <c r="R1271" s="76"/>
      <c r="S1271" s="76"/>
      <c r="T1271" s="76"/>
      <c r="U1271" s="76"/>
      <c r="V1271" s="76"/>
      <c r="W1271" s="76"/>
      <c r="X1271" s="76"/>
      <c r="Y1271" s="76"/>
      <c r="Z1271" s="76"/>
      <c r="AA1271" s="76"/>
      <c r="AB1271" s="76"/>
      <c r="AC1271" s="76"/>
      <c r="AD1271" s="76"/>
      <c r="AE1271" s="76"/>
      <c r="AF1271" s="76"/>
      <c r="AG1271" s="76"/>
      <c r="AH1271" s="76"/>
      <c r="AI1271" s="76"/>
      <c r="AJ1271" s="76"/>
      <c r="AK1271" s="76"/>
      <c r="AL1271" s="76"/>
      <c r="AM1271" s="76"/>
      <c r="AN1271" s="76"/>
      <c r="AO1271" s="76"/>
      <c r="AP1271" s="76"/>
      <c r="AQ1271" s="76"/>
      <c r="AR1271" s="76"/>
      <c r="AS1271" s="76"/>
      <c r="AT1271" s="76"/>
      <c r="AU1271" s="76"/>
      <c r="AV1271" s="76"/>
      <c r="AW1271" s="76"/>
      <c r="AX1271" s="76"/>
      <c r="AY1271" s="76"/>
      <c r="AZ1271" s="76"/>
      <c r="BA1271" s="76"/>
      <c r="BB1271" s="76"/>
    </row>
    <row r="1272" spans="5:54" x14ac:dyDescent="0.35">
      <c r="E1272" s="83"/>
      <c r="F1272" s="83"/>
      <c r="G1272" s="76"/>
      <c r="H1272" s="76"/>
      <c r="I1272" s="76"/>
      <c r="J1272" s="76"/>
      <c r="K1272" s="76"/>
      <c r="L1272" s="76"/>
      <c r="M1272" s="76"/>
      <c r="N1272" s="76"/>
      <c r="O1272" s="76"/>
      <c r="P1272" s="76"/>
      <c r="Q1272" s="76"/>
      <c r="R1272" s="76"/>
      <c r="S1272" s="76"/>
      <c r="T1272" s="76"/>
      <c r="U1272" s="76"/>
      <c r="V1272" s="76"/>
      <c r="W1272" s="76"/>
      <c r="X1272" s="76"/>
      <c r="Y1272" s="76"/>
      <c r="Z1272" s="76"/>
      <c r="AA1272" s="76"/>
      <c r="AB1272" s="76"/>
      <c r="AC1272" s="76"/>
      <c r="AD1272" s="76"/>
      <c r="AE1272" s="76"/>
      <c r="AF1272" s="76"/>
      <c r="AG1272" s="76"/>
      <c r="AH1272" s="76"/>
      <c r="AI1272" s="76"/>
      <c r="AJ1272" s="76"/>
      <c r="AK1272" s="76"/>
      <c r="AL1272" s="76"/>
      <c r="AM1272" s="76"/>
      <c r="AN1272" s="76"/>
      <c r="AO1272" s="76"/>
      <c r="AP1272" s="76"/>
      <c r="AQ1272" s="76"/>
      <c r="AR1272" s="76"/>
      <c r="AS1272" s="76"/>
      <c r="AT1272" s="76"/>
      <c r="AU1272" s="76"/>
      <c r="AV1272" s="76"/>
      <c r="AW1272" s="76"/>
      <c r="AX1272" s="76"/>
      <c r="AY1272" s="76"/>
      <c r="AZ1272" s="76"/>
      <c r="BA1272" s="76"/>
      <c r="BB1272" s="76"/>
    </row>
    <row r="1273" spans="5:54" x14ac:dyDescent="0.35">
      <c r="E1273" s="83"/>
      <c r="F1273" s="83"/>
      <c r="G1273" s="76"/>
      <c r="H1273" s="76"/>
      <c r="I1273" s="76"/>
      <c r="J1273" s="76"/>
      <c r="K1273" s="76"/>
      <c r="L1273" s="76"/>
      <c r="M1273" s="76"/>
      <c r="N1273" s="76"/>
      <c r="O1273" s="76"/>
      <c r="P1273" s="76"/>
      <c r="Q1273" s="76"/>
      <c r="R1273" s="76"/>
      <c r="S1273" s="76"/>
      <c r="T1273" s="76"/>
      <c r="U1273" s="76"/>
      <c r="V1273" s="76"/>
      <c r="W1273" s="76"/>
      <c r="X1273" s="76"/>
      <c r="Y1273" s="76"/>
      <c r="Z1273" s="76"/>
      <c r="AA1273" s="76"/>
      <c r="AB1273" s="76"/>
      <c r="AC1273" s="76"/>
      <c r="AD1273" s="76"/>
      <c r="AE1273" s="76"/>
      <c r="AF1273" s="76"/>
      <c r="AG1273" s="76"/>
      <c r="AH1273" s="76"/>
      <c r="AI1273" s="76"/>
      <c r="AJ1273" s="76"/>
      <c r="AK1273" s="76"/>
      <c r="AL1273" s="76"/>
      <c r="AM1273" s="76"/>
      <c r="AN1273" s="76"/>
      <c r="AO1273" s="76"/>
      <c r="AP1273" s="76"/>
      <c r="AQ1273" s="76"/>
      <c r="AR1273" s="76"/>
      <c r="AS1273" s="76"/>
      <c r="AT1273" s="76"/>
      <c r="AU1273" s="76"/>
      <c r="AV1273" s="76"/>
      <c r="AW1273" s="76"/>
      <c r="AX1273" s="76"/>
      <c r="AY1273" s="76"/>
      <c r="AZ1273" s="76"/>
      <c r="BA1273" s="76"/>
      <c r="BB1273" s="76"/>
    </row>
    <row r="1274" spans="5:54" x14ac:dyDescent="0.35">
      <c r="E1274" s="83"/>
      <c r="F1274" s="83"/>
      <c r="G1274" s="76"/>
      <c r="H1274" s="76"/>
      <c r="I1274" s="76"/>
      <c r="J1274" s="76"/>
      <c r="K1274" s="76"/>
      <c r="L1274" s="76"/>
      <c r="M1274" s="76"/>
      <c r="N1274" s="76"/>
      <c r="O1274" s="76"/>
      <c r="P1274" s="76"/>
      <c r="Q1274" s="76"/>
      <c r="R1274" s="76"/>
      <c r="S1274" s="76"/>
      <c r="T1274" s="76"/>
      <c r="U1274" s="76"/>
      <c r="V1274" s="76"/>
      <c r="W1274" s="76"/>
      <c r="X1274" s="76"/>
      <c r="Y1274" s="76"/>
      <c r="Z1274" s="76"/>
      <c r="AA1274" s="76"/>
      <c r="AB1274" s="76"/>
      <c r="AC1274" s="76"/>
      <c r="AD1274" s="76"/>
      <c r="AE1274" s="76"/>
      <c r="AF1274" s="76"/>
      <c r="AG1274" s="76"/>
      <c r="AH1274" s="76"/>
      <c r="AI1274" s="76"/>
      <c r="AJ1274" s="76"/>
      <c r="AK1274" s="76"/>
      <c r="AL1274" s="76"/>
      <c r="AM1274" s="76"/>
      <c r="AN1274" s="76"/>
      <c r="AO1274" s="76"/>
      <c r="AP1274" s="76"/>
      <c r="AQ1274" s="76"/>
      <c r="AR1274" s="76"/>
      <c r="AS1274" s="76"/>
      <c r="AT1274" s="76"/>
      <c r="AU1274" s="76"/>
      <c r="AV1274" s="76"/>
      <c r="AW1274" s="76"/>
      <c r="AX1274" s="76"/>
      <c r="AY1274" s="76"/>
      <c r="AZ1274" s="76"/>
      <c r="BA1274" s="76"/>
      <c r="BB1274" s="76"/>
    </row>
    <row r="1275" spans="5:54" x14ac:dyDescent="0.35">
      <c r="E1275" s="83"/>
      <c r="F1275" s="83"/>
      <c r="G1275" s="76"/>
      <c r="H1275" s="76"/>
      <c r="I1275" s="76"/>
      <c r="J1275" s="76"/>
      <c r="K1275" s="76"/>
      <c r="L1275" s="76"/>
      <c r="M1275" s="76"/>
      <c r="N1275" s="76"/>
      <c r="O1275" s="76"/>
      <c r="P1275" s="76"/>
      <c r="Q1275" s="76"/>
      <c r="R1275" s="76"/>
      <c r="S1275" s="76"/>
      <c r="T1275" s="76"/>
      <c r="U1275" s="76"/>
      <c r="V1275" s="76"/>
      <c r="W1275" s="76"/>
      <c r="X1275" s="76"/>
      <c r="Y1275" s="76"/>
      <c r="Z1275" s="76"/>
      <c r="AA1275" s="76"/>
      <c r="AB1275" s="76"/>
      <c r="AC1275" s="76"/>
      <c r="AD1275" s="76"/>
      <c r="AE1275" s="76"/>
      <c r="AF1275" s="76"/>
      <c r="AG1275" s="76"/>
      <c r="AH1275" s="76"/>
      <c r="AI1275" s="76"/>
      <c r="AJ1275" s="76"/>
      <c r="AK1275" s="76"/>
      <c r="AL1275" s="76"/>
      <c r="AM1275" s="76"/>
      <c r="AN1275" s="76"/>
      <c r="AO1275" s="76"/>
      <c r="AP1275" s="76"/>
      <c r="AQ1275" s="76"/>
      <c r="AR1275" s="76"/>
      <c r="AS1275" s="76"/>
      <c r="AT1275" s="76"/>
      <c r="AU1275" s="76"/>
      <c r="AV1275" s="76"/>
      <c r="AW1275" s="76"/>
      <c r="AX1275" s="76"/>
      <c r="AY1275" s="76"/>
      <c r="AZ1275" s="76"/>
      <c r="BA1275" s="76"/>
      <c r="BB1275" s="76"/>
    </row>
    <row r="1276" spans="5:54" x14ac:dyDescent="0.35">
      <c r="E1276" s="83"/>
      <c r="F1276" s="83"/>
      <c r="G1276" s="76"/>
      <c r="H1276" s="76"/>
      <c r="I1276" s="76"/>
      <c r="J1276" s="76"/>
      <c r="K1276" s="76"/>
      <c r="L1276" s="76"/>
      <c r="M1276" s="76"/>
      <c r="N1276" s="76"/>
      <c r="O1276" s="76"/>
      <c r="P1276" s="76"/>
      <c r="Q1276" s="76"/>
      <c r="R1276" s="76"/>
      <c r="S1276" s="76"/>
      <c r="T1276" s="76"/>
      <c r="U1276" s="76"/>
      <c r="V1276" s="76"/>
      <c r="W1276" s="76"/>
      <c r="X1276" s="76"/>
      <c r="Y1276" s="76"/>
      <c r="Z1276" s="76"/>
      <c r="AA1276" s="76"/>
      <c r="AB1276" s="76"/>
      <c r="AC1276" s="76"/>
      <c r="AD1276" s="76"/>
      <c r="AE1276" s="76"/>
      <c r="AF1276" s="76"/>
      <c r="AG1276" s="76"/>
      <c r="AH1276" s="76"/>
      <c r="AI1276" s="76"/>
      <c r="AJ1276" s="76"/>
      <c r="AK1276" s="76"/>
      <c r="AL1276" s="76"/>
      <c r="AM1276" s="76"/>
      <c r="AN1276" s="76"/>
      <c r="AO1276" s="76"/>
      <c r="AP1276" s="76"/>
      <c r="AQ1276" s="76"/>
      <c r="AR1276" s="76"/>
      <c r="AS1276" s="76"/>
      <c r="AT1276" s="76"/>
      <c r="AU1276" s="76"/>
      <c r="AV1276" s="76"/>
      <c r="AW1276" s="76"/>
      <c r="AX1276" s="76"/>
      <c r="AY1276" s="76"/>
      <c r="AZ1276" s="76"/>
      <c r="BA1276" s="76"/>
      <c r="BB1276" s="76"/>
    </row>
    <row r="1277" spans="5:54" x14ac:dyDescent="0.35">
      <c r="E1277" s="83"/>
      <c r="F1277" s="83"/>
      <c r="G1277" s="76"/>
      <c r="H1277" s="76"/>
      <c r="I1277" s="76"/>
      <c r="J1277" s="76"/>
      <c r="K1277" s="76"/>
      <c r="L1277" s="76"/>
      <c r="M1277" s="76"/>
      <c r="N1277" s="76"/>
      <c r="O1277" s="76"/>
      <c r="P1277" s="76"/>
      <c r="Q1277" s="76"/>
      <c r="R1277" s="76"/>
      <c r="S1277" s="76"/>
      <c r="T1277" s="76"/>
      <c r="U1277" s="76"/>
      <c r="V1277" s="76"/>
      <c r="W1277" s="76"/>
      <c r="X1277" s="76"/>
      <c r="Y1277" s="76"/>
      <c r="Z1277" s="76"/>
      <c r="AA1277" s="76"/>
      <c r="AB1277" s="76"/>
      <c r="AC1277" s="76"/>
      <c r="AD1277" s="76"/>
      <c r="AE1277" s="76"/>
      <c r="AF1277" s="76"/>
      <c r="AG1277" s="76"/>
      <c r="AH1277" s="76"/>
      <c r="AI1277" s="76"/>
      <c r="AJ1277" s="76"/>
      <c r="AK1277" s="76"/>
      <c r="AL1277" s="76"/>
      <c r="AM1277" s="76"/>
      <c r="AN1277" s="76"/>
      <c r="AO1277" s="76"/>
      <c r="AP1277" s="76"/>
      <c r="AQ1277" s="76"/>
      <c r="AR1277" s="76"/>
      <c r="AS1277" s="76"/>
      <c r="AT1277" s="76"/>
      <c r="AU1277" s="76"/>
      <c r="AV1277" s="76"/>
      <c r="AW1277" s="76"/>
      <c r="AX1277" s="76"/>
      <c r="AY1277" s="76"/>
      <c r="AZ1277" s="76"/>
      <c r="BA1277" s="76"/>
      <c r="BB1277" s="76"/>
    </row>
    <row r="1278" spans="5:54" x14ac:dyDescent="0.35">
      <c r="E1278" s="83"/>
      <c r="F1278" s="83"/>
      <c r="G1278" s="76"/>
      <c r="H1278" s="76"/>
      <c r="I1278" s="76"/>
      <c r="J1278" s="76"/>
      <c r="K1278" s="76"/>
      <c r="L1278" s="76"/>
      <c r="M1278" s="76"/>
      <c r="N1278" s="76"/>
      <c r="O1278" s="76"/>
      <c r="P1278" s="76"/>
      <c r="Q1278" s="76"/>
      <c r="R1278" s="76"/>
      <c r="S1278" s="76"/>
      <c r="T1278" s="76"/>
      <c r="U1278" s="76"/>
      <c r="V1278" s="76"/>
      <c r="W1278" s="76"/>
      <c r="X1278" s="76"/>
      <c r="Y1278" s="76"/>
      <c r="Z1278" s="76"/>
      <c r="AA1278" s="76"/>
      <c r="AB1278" s="76"/>
      <c r="AC1278" s="76"/>
      <c r="AD1278" s="76"/>
      <c r="AE1278" s="76"/>
      <c r="AF1278" s="76"/>
      <c r="AG1278" s="76"/>
      <c r="AH1278" s="76"/>
      <c r="AI1278" s="76"/>
      <c r="AJ1278" s="76"/>
      <c r="AK1278" s="76"/>
      <c r="AL1278" s="76"/>
      <c r="AM1278" s="76"/>
      <c r="AN1278" s="76"/>
      <c r="AO1278" s="76"/>
      <c r="AP1278" s="76"/>
      <c r="AQ1278" s="76"/>
      <c r="AR1278" s="76"/>
      <c r="AS1278" s="76"/>
      <c r="AT1278" s="76"/>
      <c r="AU1278" s="76"/>
      <c r="AV1278" s="76"/>
      <c r="AW1278" s="76"/>
      <c r="AX1278" s="76"/>
      <c r="AY1278" s="76"/>
      <c r="AZ1278" s="76"/>
      <c r="BA1278" s="76"/>
      <c r="BB1278" s="76"/>
    </row>
    <row r="1279" spans="5:54" x14ac:dyDescent="0.35">
      <c r="E1279" s="83"/>
      <c r="F1279" s="83"/>
      <c r="G1279" s="76"/>
      <c r="H1279" s="76"/>
      <c r="I1279" s="76"/>
      <c r="J1279" s="76"/>
      <c r="K1279" s="76"/>
      <c r="L1279" s="76"/>
      <c r="M1279" s="76"/>
      <c r="N1279" s="76"/>
      <c r="O1279" s="76"/>
      <c r="P1279" s="76"/>
      <c r="Q1279" s="76"/>
      <c r="R1279" s="76"/>
      <c r="S1279" s="76"/>
      <c r="T1279" s="76"/>
      <c r="U1279" s="76"/>
      <c r="V1279" s="76"/>
      <c r="W1279" s="76"/>
      <c r="X1279" s="76"/>
      <c r="Y1279" s="76"/>
      <c r="Z1279" s="76"/>
      <c r="AA1279" s="76"/>
      <c r="AB1279" s="76"/>
      <c r="AC1279" s="76"/>
      <c r="AD1279" s="76"/>
      <c r="AE1279" s="76"/>
      <c r="AF1279" s="76"/>
      <c r="AG1279" s="76"/>
      <c r="AH1279" s="76"/>
      <c r="AI1279" s="76"/>
      <c r="AJ1279" s="76"/>
      <c r="AK1279" s="76"/>
      <c r="AL1279" s="76"/>
      <c r="AM1279" s="76"/>
      <c r="AN1279" s="76"/>
      <c r="AO1279" s="76"/>
      <c r="AP1279" s="76"/>
      <c r="AQ1279" s="76"/>
      <c r="AR1279" s="76"/>
      <c r="AS1279" s="76"/>
      <c r="AT1279" s="76"/>
      <c r="AU1279" s="76"/>
      <c r="AV1279" s="76"/>
      <c r="AW1279" s="76"/>
      <c r="AX1279" s="76"/>
      <c r="AY1279" s="76"/>
      <c r="AZ1279" s="76"/>
      <c r="BA1279" s="76"/>
      <c r="BB1279" s="76"/>
    </row>
    <row r="1280" spans="5:54" x14ac:dyDescent="0.35">
      <c r="E1280" s="83"/>
      <c r="F1280" s="83"/>
      <c r="G1280" s="76"/>
      <c r="H1280" s="76"/>
      <c r="I1280" s="76"/>
      <c r="J1280" s="76"/>
      <c r="K1280" s="76"/>
      <c r="L1280" s="76"/>
      <c r="M1280" s="76"/>
      <c r="N1280" s="76"/>
      <c r="O1280" s="76"/>
      <c r="P1280" s="76"/>
      <c r="Q1280" s="76"/>
      <c r="R1280" s="76"/>
      <c r="S1280" s="76"/>
      <c r="T1280" s="76"/>
      <c r="U1280" s="76"/>
      <c r="V1280" s="76"/>
      <c r="W1280" s="76"/>
      <c r="X1280" s="76"/>
      <c r="Y1280" s="76"/>
      <c r="Z1280" s="76"/>
      <c r="AA1280" s="76"/>
      <c r="AB1280" s="76"/>
      <c r="AC1280" s="76"/>
      <c r="AD1280" s="76"/>
      <c r="AE1280" s="76"/>
      <c r="AF1280" s="76"/>
      <c r="AG1280" s="76"/>
      <c r="AH1280" s="76"/>
      <c r="AI1280" s="76"/>
      <c r="AJ1280" s="76"/>
      <c r="AK1280" s="76"/>
      <c r="AL1280" s="76"/>
      <c r="AM1280" s="76"/>
      <c r="AN1280" s="76"/>
      <c r="AO1280" s="76"/>
      <c r="AP1280" s="76"/>
      <c r="AQ1280" s="76"/>
      <c r="AR1280" s="76"/>
      <c r="AS1280" s="76"/>
      <c r="AT1280" s="76"/>
      <c r="AU1280" s="76"/>
      <c r="AV1280" s="76"/>
      <c r="AW1280" s="76"/>
      <c r="AX1280" s="76"/>
      <c r="AY1280" s="76"/>
      <c r="AZ1280" s="76"/>
      <c r="BA1280" s="76"/>
      <c r="BB1280" s="76"/>
    </row>
    <row r="1281" spans="5:54" x14ac:dyDescent="0.35">
      <c r="E1281" s="83"/>
      <c r="F1281" s="83"/>
      <c r="G1281" s="76"/>
      <c r="H1281" s="76"/>
      <c r="I1281" s="76"/>
      <c r="J1281" s="76"/>
      <c r="K1281" s="76"/>
      <c r="L1281" s="76"/>
      <c r="M1281" s="76"/>
      <c r="N1281" s="76"/>
      <c r="O1281" s="76"/>
      <c r="P1281" s="76"/>
      <c r="Q1281" s="76"/>
      <c r="R1281" s="76"/>
      <c r="S1281" s="76"/>
      <c r="T1281" s="76"/>
      <c r="U1281" s="76"/>
      <c r="V1281" s="76"/>
      <c r="W1281" s="76"/>
      <c r="X1281" s="76"/>
      <c r="Y1281" s="76"/>
      <c r="Z1281" s="76"/>
      <c r="AA1281" s="76"/>
      <c r="AB1281" s="76"/>
      <c r="AC1281" s="76"/>
      <c r="AD1281" s="76"/>
      <c r="AE1281" s="76"/>
      <c r="AF1281" s="76"/>
      <c r="AG1281" s="76"/>
      <c r="AH1281" s="76"/>
      <c r="AI1281" s="76"/>
      <c r="AJ1281" s="76"/>
      <c r="AK1281" s="76"/>
      <c r="AL1281" s="76"/>
      <c r="AM1281" s="76"/>
      <c r="AN1281" s="76"/>
      <c r="AO1281" s="76"/>
      <c r="AP1281" s="76"/>
      <c r="AQ1281" s="76"/>
      <c r="AR1281" s="76"/>
      <c r="AS1281" s="76"/>
      <c r="AT1281" s="76"/>
      <c r="AU1281" s="76"/>
      <c r="AV1281" s="76"/>
      <c r="AW1281" s="76"/>
      <c r="AX1281" s="76"/>
      <c r="AY1281" s="76"/>
      <c r="AZ1281" s="76"/>
      <c r="BA1281" s="76"/>
      <c r="BB1281" s="76"/>
    </row>
    <row r="1282" spans="5:54" x14ac:dyDescent="0.35">
      <c r="E1282" s="83"/>
      <c r="F1282" s="83"/>
      <c r="G1282" s="76"/>
      <c r="H1282" s="76"/>
      <c r="I1282" s="76"/>
      <c r="J1282" s="76"/>
      <c r="K1282" s="76"/>
      <c r="L1282" s="76"/>
      <c r="M1282" s="76"/>
      <c r="N1282" s="76"/>
      <c r="O1282" s="76"/>
      <c r="P1282" s="76"/>
      <c r="Q1282" s="76"/>
      <c r="R1282" s="76"/>
      <c r="S1282" s="76"/>
      <c r="T1282" s="76"/>
      <c r="U1282" s="76"/>
      <c r="V1282" s="76"/>
      <c r="W1282" s="76"/>
      <c r="X1282" s="76"/>
      <c r="Y1282" s="76"/>
      <c r="Z1282" s="76"/>
      <c r="AA1282" s="76"/>
      <c r="AB1282" s="76"/>
      <c r="AC1282" s="76"/>
      <c r="AD1282" s="76"/>
      <c r="AE1282" s="76"/>
      <c r="AF1282" s="76"/>
      <c r="AG1282" s="76"/>
      <c r="AH1282" s="76"/>
      <c r="AI1282" s="76"/>
      <c r="AJ1282" s="76"/>
      <c r="AK1282" s="76"/>
      <c r="AL1282" s="76"/>
      <c r="AM1282" s="76"/>
      <c r="AN1282" s="76"/>
      <c r="AO1282" s="76"/>
      <c r="AP1282" s="76"/>
      <c r="AQ1282" s="76"/>
      <c r="AR1282" s="76"/>
      <c r="AS1282" s="76"/>
      <c r="AT1282" s="76"/>
      <c r="AU1282" s="76"/>
      <c r="AV1282" s="76"/>
      <c r="AW1282" s="76"/>
      <c r="AX1282" s="76"/>
      <c r="AY1282" s="76"/>
      <c r="AZ1282" s="76"/>
      <c r="BA1282" s="76"/>
      <c r="BB1282" s="76"/>
    </row>
    <row r="1283" spans="5:54" x14ac:dyDescent="0.35">
      <c r="E1283" s="83"/>
      <c r="F1283" s="83"/>
      <c r="G1283" s="76"/>
      <c r="H1283" s="76"/>
      <c r="I1283" s="76"/>
      <c r="J1283" s="76"/>
      <c r="K1283" s="76"/>
      <c r="L1283" s="76"/>
      <c r="M1283" s="76"/>
      <c r="N1283" s="76"/>
      <c r="O1283" s="76"/>
      <c r="P1283" s="76"/>
      <c r="Q1283" s="76"/>
      <c r="R1283" s="76"/>
      <c r="S1283" s="76"/>
      <c r="T1283" s="76"/>
      <c r="U1283" s="76"/>
      <c r="V1283" s="76"/>
      <c r="W1283" s="76"/>
      <c r="X1283" s="76"/>
      <c r="Y1283" s="76"/>
      <c r="Z1283" s="76"/>
      <c r="AA1283" s="76"/>
      <c r="AB1283" s="76"/>
      <c r="AC1283" s="76"/>
      <c r="AD1283" s="76"/>
      <c r="AE1283" s="76"/>
      <c r="AF1283" s="76"/>
      <c r="AG1283" s="76"/>
      <c r="AH1283" s="76"/>
      <c r="AI1283" s="76"/>
      <c r="AJ1283" s="76"/>
      <c r="AK1283" s="76"/>
      <c r="AL1283" s="76"/>
      <c r="AM1283" s="76"/>
      <c r="AN1283" s="76"/>
      <c r="AO1283" s="76"/>
      <c r="AP1283" s="76"/>
      <c r="AQ1283" s="76"/>
      <c r="AR1283" s="76"/>
      <c r="AS1283" s="76"/>
      <c r="AT1283" s="76"/>
      <c r="AU1283" s="76"/>
      <c r="AV1283" s="76"/>
      <c r="AW1283" s="76"/>
      <c r="AX1283" s="76"/>
      <c r="AY1283" s="76"/>
      <c r="AZ1283" s="76"/>
      <c r="BA1283" s="76"/>
      <c r="BB1283" s="76"/>
    </row>
    <row r="1284" spans="5:54" x14ac:dyDescent="0.35">
      <c r="E1284" s="83"/>
      <c r="F1284" s="83"/>
      <c r="G1284" s="76"/>
      <c r="H1284" s="76"/>
      <c r="I1284" s="76"/>
      <c r="J1284" s="76"/>
      <c r="K1284" s="76"/>
      <c r="L1284" s="76"/>
      <c r="M1284" s="76"/>
      <c r="N1284" s="76"/>
      <c r="O1284" s="76"/>
      <c r="P1284" s="76"/>
      <c r="Q1284" s="76"/>
      <c r="R1284" s="76"/>
      <c r="S1284" s="76"/>
      <c r="T1284" s="76"/>
      <c r="U1284" s="76"/>
      <c r="V1284" s="76"/>
      <c r="W1284" s="76"/>
      <c r="X1284" s="76"/>
      <c r="Y1284" s="76"/>
      <c r="Z1284" s="76"/>
      <c r="AA1284" s="76"/>
      <c r="AB1284" s="76"/>
      <c r="AC1284" s="76"/>
      <c r="AD1284" s="76"/>
      <c r="AE1284" s="76"/>
      <c r="AF1284" s="76"/>
      <c r="AG1284" s="76"/>
      <c r="AH1284" s="76"/>
      <c r="AI1284" s="76"/>
      <c r="AJ1284" s="76"/>
      <c r="AK1284" s="76"/>
      <c r="AL1284" s="76"/>
      <c r="AM1284" s="76"/>
      <c r="AN1284" s="76"/>
      <c r="AO1284" s="76"/>
      <c r="AP1284" s="76"/>
      <c r="AQ1284" s="76"/>
      <c r="AR1284" s="76"/>
      <c r="AS1284" s="76"/>
      <c r="AT1284" s="76"/>
      <c r="AU1284" s="76"/>
      <c r="AV1284" s="76"/>
      <c r="AW1284" s="76"/>
      <c r="AX1284" s="76"/>
      <c r="AY1284" s="76"/>
      <c r="AZ1284" s="76"/>
      <c r="BA1284" s="76"/>
      <c r="BB1284" s="76"/>
    </row>
    <row r="1285" spans="5:54" x14ac:dyDescent="0.35">
      <c r="E1285" s="83"/>
      <c r="F1285" s="83"/>
      <c r="G1285" s="76"/>
      <c r="H1285" s="76"/>
      <c r="I1285" s="76"/>
      <c r="J1285" s="76"/>
      <c r="K1285" s="76"/>
      <c r="L1285" s="76"/>
      <c r="M1285" s="76"/>
      <c r="N1285" s="76"/>
      <c r="O1285" s="76"/>
      <c r="P1285" s="76"/>
      <c r="Q1285" s="76"/>
      <c r="R1285" s="76"/>
      <c r="S1285" s="76"/>
      <c r="T1285" s="76"/>
      <c r="U1285" s="76"/>
      <c r="V1285" s="76"/>
      <c r="W1285" s="76"/>
      <c r="X1285" s="76"/>
      <c r="Y1285" s="76"/>
      <c r="Z1285" s="76"/>
      <c r="AA1285" s="76"/>
      <c r="AB1285" s="76"/>
      <c r="AC1285" s="76"/>
      <c r="AD1285" s="76"/>
      <c r="AE1285" s="76"/>
      <c r="AF1285" s="76"/>
      <c r="AG1285" s="76"/>
      <c r="AH1285" s="76"/>
      <c r="AI1285" s="76"/>
      <c r="AJ1285" s="76"/>
      <c r="AK1285" s="76"/>
      <c r="AL1285" s="76"/>
      <c r="AM1285" s="76"/>
      <c r="AN1285" s="76"/>
      <c r="AO1285" s="76"/>
      <c r="AP1285" s="76"/>
      <c r="AQ1285" s="76"/>
      <c r="AR1285" s="76"/>
      <c r="AS1285" s="76"/>
      <c r="AT1285" s="76"/>
      <c r="AU1285" s="76"/>
      <c r="AV1285" s="76"/>
      <c r="AW1285" s="76"/>
      <c r="AX1285" s="76"/>
      <c r="AY1285" s="76"/>
      <c r="AZ1285" s="76"/>
      <c r="BA1285" s="76"/>
      <c r="BB1285" s="76"/>
    </row>
    <row r="1286" spans="5:54" x14ac:dyDescent="0.35">
      <c r="E1286" s="83"/>
      <c r="F1286" s="83"/>
      <c r="G1286" s="76"/>
      <c r="H1286" s="76"/>
      <c r="I1286" s="76"/>
      <c r="J1286" s="76"/>
      <c r="K1286" s="76"/>
      <c r="L1286" s="76"/>
      <c r="M1286" s="76"/>
      <c r="N1286" s="76"/>
      <c r="O1286" s="76"/>
      <c r="P1286" s="76"/>
      <c r="Q1286" s="76"/>
      <c r="R1286" s="76"/>
      <c r="S1286" s="76"/>
      <c r="T1286" s="76"/>
      <c r="U1286" s="76"/>
      <c r="V1286" s="76"/>
      <c r="W1286" s="76"/>
      <c r="X1286" s="76"/>
      <c r="Y1286" s="76"/>
      <c r="Z1286" s="76"/>
      <c r="AA1286" s="76"/>
      <c r="AB1286" s="76"/>
      <c r="AC1286" s="76"/>
      <c r="AD1286" s="76"/>
      <c r="AE1286" s="76"/>
      <c r="AF1286" s="76"/>
      <c r="AG1286" s="76"/>
      <c r="AH1286" s="76"/>
      <c r="AI1286" s="76"/>
      <c r="AJ1286" s="76"/>
      <c r="AK1286" s="76"/>
      <c r="AL1286" s="76"/>
      <c r="AM1286" s="76"/>
      <c r="AN1286" s="76"/>
      <c r="AO1286" s="76"/>
      <c r="AP1286" s="76"/>
      <c r="AQ1286" s="76"/>
      <c r="AR1286" s="76"/>
      <c r="AS1286" s="76"/>
      <c r="AT1286" s="76"/>
      <c r="AU1286" s="76"/>
      <c r="AV1286" s="76"/>
      <c r="AW1286" s="76"/>
      <c r="AX1286" s="76"/>
      <c r="AY1286" s="76"/>
      <c r="AZ1286" s="76"/>
      <c r="BA1286" s="76"/>
      <c r="BB1286" s="76"/>
    </row>
    <row r="1287" spans="5:54" x14ac:dyDescent="0.35">
      <c r="E1287" s="83"/>
      <c r="F1287" s="83"/>
      <c r="G1287" s="76"/>
      <c r="H1287" s="76"/>
      <c r="I1287" s="76"/>
      <c r="J1287" s="76"/>
      <c r="K1287" s="76"/>
      <c r="L1287" s="76"/>
      <c r="M1287" s="76"/>
      <c r="N1287" s="76"/>
      <c r="O1287" s="76"/>
      <c r="P1287" s="76"/>
      <c r="Q1287" s="76"/>
      <c r="R1287" s="76"/>
      <c r="S1287" s="76"/>
      <c r="T1287" s="76"/>
      <c r="U1287" s="76"/>
      <c r="V1287" s="76"/>
      <c r="W1287" s="76"/>
      <c r="X1287" s="76"/>
      <c r="Y1287" s="76"/>
      <c r="Z1287" s="76"/>
      <c r="AA1287" s="76"/>
      <c r="AB1287" s="76"/>
      <c r="AC1287" s="76"/>
      <c r="AD1287" s="76"/>
      <c r="AE1287" s="76"/>
      <c r="AF1287" s="76"/>
      <c r="AG1287" s="76"/>
      <c r="AH1287" s="76"/>
      <c r="AI1287" s="76"/>
      <c r="AJ1287" s="76"/>
      <c r="AK1287" s="76"/>
      <c r="AL1287" s="76"/>
      <c r="AM1287" s="76"/>
      <c r="AN1287" s="76"/>
      <c r="AO1287" s="76"/>
      <c r="AP1287" s="76"/>
      <c r="AQ1287" s="76"/>
      <c r="AR1287" s="76"/>
      <c r="AS1287" s="76"/>
      <c r="AT1287" s="76"/>
      <c r="AU1287" s="76"/>
      <c r="AV1287" s="76"/>
      <c r="AW1287" s="76"/>
      <c r="AX1287" s="76"/>
      <c r="AY1287" s="76"/>
      <c r="AZ1287" s="76"/>
      <c r="BA1287" s="76"/>
      <c r="BB1287" s="76"/>
    </row>
    <row r="1288" spans="5:54" x14ac:dyDescent="0.35">
      <c r="E1288" s="83"/>
      <c r="F1288" s="83"/>
      <c r="G1288" s="76"/>
      <c r="H1288" s="76"/>
      <c r="I1288" s="76"/>
      <c r="J1288" s="76"/>
      <c r="K1288" s="76"/>
      <c r="L1288" s="76"/>
      <c r="M1288" s="76"/>
      <c r="N1288" s="76"/>
      <c r="O1288" s="76"/>
      <c r="P1288" s="76"/>
      <c r="Q1288" s="76"/>
      <c r="R1288" s="76"/>
      <c r="S1288" s="76"/>
      <c r="T1288" s="76"/>
      <c r="U1288" s="76"/>
      <c r="V1288" s="76"/>
      <c r="W1288" s="76"/>
      <c r="X1288" s="76"/>
      <c r="Y1288" s="76"/>
      <c r="Z1288" s="76"/>
      <c r="AA1288" s="76"/>
      <c r="AB1288" s="76"/>
      <c r="AC1288" s="76"/>
      <c r="AD1288" s="76"/>
      <c r="AE1288" s="76"/>
      <c r="AF1288" s="76"/>
      <c r="AG1288" s="76"/>
      <c r="AH1288" s="76"/>
      <c r="AI1288" s="76"/>
      <c r="AJ1288" s="76"/>
      <c r="AK1288" s="76"/>
      <c r="AL1288" s="76"/>
      <c r="AM1288" s="76"/>
      <c r="AN1288" s="76"/>
      <c r="AO1288" s="76"/>
      <c r="AP1288" s="76"/>
      <c r="AQ1288" s="76"/>
      <c r="AR1288" s="76"/>
      <c r="AS1288" s="76"/>
      <c r="AT1288" s="76"/>
      <c r="AU1288" s="76"/>
      <c r="AV1288" s="76"/>
      <c r="AW1288" s="76"/>
      <c r="AX1288" s="76"/>
      <c r="AY1288" s="76"/>
      <c r="AZ1288" s="76"/>
      <c r="BA1288" s="76"/>
      <c r="BB1288" s="76"/>
    </row>
    <row r="1289" spans="5:54" x14ac:dyDescent="0.35">
      <c r="E1289" s="83"/>
      <c r="F1289" s="83"/>
      <c r="G1289" s="76"/>
      <c r="H1289" s="76"/>
      <c r="I1289" s="76"/>
      <c r="J1289" s="76"/>
      <c r="K1289" s="76"/>
      <c r="L1289" s="76"/>
      <c r="M1289" s="76"/>
      <c r="N1289" s="76"/>
      <c r="O1289" s="76"/>
      <c r="P1289" s="76"/>
      <c r="Q1289" s="76"/>
      <c r="R1289" s="76"/>
      <c r="S1289" s="76"/>
      <c r="T1289" s="76"/>
      <c r="U1289" s="76"/>
      <c r="V1289" s="76"/>
      <c r="W1289" s="76"/>
      <c r="X1289" s="76"/>
      <c r="Y1289" s="76"/>
      <c r="Z1289" s="76"/>
      <c r="AA1289" s="76"/>
      <c r="AB1289" s="76"/>
      <c r="AC1289" s="76"/>
      <c r="AD1289" s="76"/>
      <c r="AE1289" s="76"/>
      <c r="AF1289" s="76"/>
      <c r="AG1289" s="76"/>
      <c r="AH1289" s="76"/>
      <c r="AI1289" s="76"/>
      <c r="AJ1289" s="76"/>
      <c r="AK1289" s="76"/>
      <c r="AL1289" s="76"/>
      <c r="AM1289" s="76"/>
      <c r="AN1289" s="76"/>
      <c r="AO1289" s="76"/>
      <c r="AP1289" s="76"/>
      <c r="AQ1289" s="76"/>
      <c r="AR1289" s="76"/>
      <c r="AS1289" s="76"/>
      <c r="AT1289" s="76"/>
      <c r="AU1289" s="76"/>
      <c r="AV1289" s="76"/>
      <c r="AW1289" s="76"/>
      <c r="AX1289" s="76"/>
      <c r="AY1289" s="76"/>
      <c r="AZ1289" s="76"/>
      <c r="BA1289" s="76"/>
      <c r="BB1289" s="76"/>
    </row>
    <row r="1290" spans="5:54" x14ac:dyDescent="0.35">
      <c r="E1290" s="83"/>
      <c r="F1290" s="83"/>
      <c r="G1290" s="76"/>
      <c r="H1290" s="76"/>
      <c r="I1290" s="76"/>
      <c r="J1290" s="76"/>
      <c r="K1290" s="76"/>
      <c r="L1290" s="76"/>
      <c r="M1290" s="76"/>
      <c r="N1290" s="76"/>
      <c r="O1290" s="76"/>
      <c r="P1290" s="76"/>
      <c r="Q1290" s="76"/>
      <c r="R1290" s="76"/>
      <c r="S1290" s="76"/>
      <c r="T1290" s="76"/>
      <c r="U1290" s="76"/>
      <c r="V1290" s="76"/>
      <c r="W1290" s="76"/>
      <c r="X1290" s="76"/>
      <c r="Y1290" s="76"/>
      <c r="Z1290" s="76"/>
      <c r="AA1290" s="76"/>
      <c r="AB1290" s="76"/>
      <c r="AC1290" s="76"/>
      <c r="AD1290" s="76"/>
      <c r="AE1290" s="76"/>
      <c r="AF1290" s="76"/>
      <c r="AG1290" s="76"/>
      <c r="AH1290" s="76"/>
      <c r="AI1290" s="76"/>
      <c r="AJ1290" s="76"/>
      <c r="AK1290" s="76"/>
      <c r="AL1290" s="76"/>
      <c r="AM1290" s="76"/>
      <c r="AN1290" s="76"/>
      <c r="AO1290" s="76"/>
      <c r="AP1290" s="76"/>
      <c r="AQ1290" s="76"/>
      <c r="AR1290" s="76"/>
      <c r="AS1290" s="76"/>
      <c r="AT1290" s="76"/>
      <c r="AU1290" s="76"/>
      <c r="AV1290" s="76"/>
      <c r="AW1290" s="76"/>
      <c r="AX1290" s="76"/>
      <c r="AY1290" s="76"/>
      <c r="AZ1290" s="76"/>
      <c r="BA1290" s="76"/>
      <c r="BB1290" s="76"/>
    </row>
    <row r="1291" spans="5:54" x14ac:dyDescent="0.35">
      <c r="E1291" s="83"/>
      <c r="F1291" s="83"/>
      <c r="G1291" s="76"/>
      <c r="H1291" s="76"/>
      <c r="I1291" s="76"/>
      <c r="J1291" s="76"/>
      <c r="K1291" s="76"/>
      <c r="L1291" s="76"/>
      <c r="M1291" s="76"/>
      <c r="N1291" s="76"/>
      <c r="O1291" s="76"/>
      <c r="P1291" s="76"/>
      <c r="Q1291" s="76"/>
      <c r="R1291" s="76"/>
      <c r="S1291" s="76"/>
      <c r="T1291" s="76"/>
      <c r="U1291" s="76"/>
      <c r="V1291" s="76"/>
      <c r="W1291" s="76"/>
      <c r="X1291" s="76"/>
      <c r="Y1291" s="76"/>
      <c r="Z1291" s="76"/>
      <c r="AA1291" s="76"/>
      <c r="AB1291" s="76"/>
      <c r="AC1291" s="76"/>
      <c r="AD1291" s="76"/>
      <c r="AE1291" s="76"/>
      <c r="AF1291" s="76"/>
      <c r="AG1291" s="76"/>
      <c r="AH1291" s="76"/>
      <c r="AI1291" s="76"/>
      <c r="AJ1291" s="76"/>
      <c r="AK1291" s="76"/>
      <c r="AL1291" s="76"/>
      <c r="AM1291" s="76"/>
      <c r="AN1291" s="76"/>
      <c r="AO1291" s="76"/>
      <c r="AP1291" s="76"/>
      <c r="AQ1291" s="76"/>
      <c r="AR1291" s="76"/>
      <c r="AS1291" s="76"/>
      <c r="AT1291" s="76"/>
      <c r="AU1291" s="76"/>
      <c r="AV1291" s="76"/>
      <c r="AW1291" s="76"/>
      <c r="AX1291" s="76"/>
      <c r="AY1291" s="76"/>
      <c r="AZ1291" s="76"/>
      <c r="BA1291" s="76"/>
      <c r="BB1291" s="76"/>
    </row>
    <row r="1292" spans="5:54" x14ac:dyDescent="0.35">
      <c r="E1292" s="83"/>
      <c r="F1292" s="83"/>
      <c r="G1292" s="76"/>
      <c r="H1292" s="76"/>
      <c r="I1292" s="76"/>
      <c r="J1292" s="76"/>
      <c r="K1292" s="76"/>
      <c r="L1292" s="76"/>
      <c r="M1292" s="76"/>
      <c r="N1292" s="76"/>
      <c r="O1292" s="76"/>
      <c r="P1292" s="76"/>
      <c r="Q1292" s="76"/>
      <c r="R1292" s="76"/>
      <c r="S1292" s="76"/>
      <c r="T1292" s="76"/>
      <c r="U1292" s="76"/>
      <c r="V1292" s="76"/>
      <c r="W1292" s="76"/>
      <c r="X1292" s="76"/>
      <c r="Y1292" s="76"/>
      <c r="Z1292" s="76"/>
      <c r="AA1292" s="76"/>
      <c r="AB1292" s="76"/>
      <c r="AC1292" s="76"/>
      <c r="AD1292" s="76"/>
      <c r="AE1292" s="76"/>
      <c r="AF1292" s="76"/>
      <c r="AG1292" s="76"/>
      <c r="AH1292" s="76"/>
      <c r="AI1292" s="76"/>
      <c r="AJ1292" s="76"/>
      <c r="AK1292" s="76"/>
      <c r="AL1292" s="76"/>
      <c r="AM1292" s="76"/>
      <c r="AN1292" s="76"/>
      <c r="AO1292" s="76"/>
      <c r="AP1292" s="76"/>
      <c r="AQ1292" s="76"/>
      <c r="AR1292" s="76"/>
      <c r="AS1292" s="76"/>
      <c r="AT1292" s="76"/>
      <c r="AU1292" s="76"/>
      <c r="AV1292" s="76"/>
      <c r="AW1292" s="76"/>
      <c r="AX1292" s="76"/>
      <c r="AY1292" s="76"/>
      <c r="AZ1292" s="76"/>
      <c r="BA1292" s="76"/>
      <c r="BB1292" s="76"/>
    </row>
    <row r="1293" spans="5:54" x14ac:dyDescent="0.35">
      <c r="E1293" s="83"/>
      <c r="F1293" s="83"/>
      <c r="G1293" s="76"/>
      <c r="H1293" s="76"/>
      <c r="I1293" s="76"/>
      <c r="J1293" s="76"/>
      <c r="K1293" s="76"/>
      <c r="L1293" s="76"/>
      <c r="M1293" s="76"/>
      <c r="N1293" s="76"/>
      <c r="O1293" s="76"/>
      <c r="P1293" s="76"/>
      <c r="Q1293" s="76"/>
      <c r="R1293" s="76"/>
      <c r="S1293" s="76"/>
      <c r="T1293" s="76"/>
      <c r="U1293" s="76"/>
      <c r="V1293" s="76"/>
      <c r="W1293" s="76"/>
      <c r="X1293" s="76"/>
      <c r="Y1293" s="76"/>
      <c r="Z1293" s="76"/>
      <c r="AA1293" s="76"/>
      <c r="AB1293" s="76"/>
      <c r="AC1293" s="76"/>
      <c r="AD1293" s="76"/>
      <c r="AE1293" s="76"/>
      <c r="AF1293" s="76"/>
      <c r="AG1293" s="76"/>
      <c r="AH1293" s="76"/>
      <c r="AI1293" s="76"/>
      <c r="AJ1293" s="76"/>
      <c r="AK1293" s="76"/>
      <c r="AL1293" s="76"/>
      <c r="AM1293" s="76"/>
      <c r="AN1293" s="76"/>
      <c r="AO1293" s="76"/>
      <c r="AP1293" s="76"/>
      <c r="AQ1293" s="76"/>
      <c r="AR1293" s="76"/>
      <c r="AS1293" s="76"/>
      <c r="AT1293" s="76"/>
      <c r="AU1293" s="76"/>
      <c r="AV1293" s="76"/>
      <c r="AW1293" s="76"/>
      <c r="AX1293" s="76"/>
      <c r="AY1293" s="76"/>
      <c r="AZ1293" s="76"/>
      <c r="BA1293" s="76"/>
      <c r="BB1293" s="76"/>
    </row>
    <row r="1294" spans="5:54" x14ac:dyDescent="0.35">
      <c r="E1294" s="83"/>
      <c r="F1294" s="83"/>
      <c r="G1294" s="76"/>
      <c r="H1294" s="76"/>
      <c r="I1294" s="76"/>
      <c r="J1294" s="76"/>
      <c r="K1294" s="76"/>
      <c r="L1294" s="76"/>
      <c r="M1294" s="76"/>
      <c r="N1294" s="76"/>
      <c r="O1294" s="76"/>
      <c r="P1294" s="76"/>
      <c r="Q1294" s="76"/>
      <c r="R1294" s="76"/>
      <c r="S1294" s="76"/>
      <c r="T1294" s="76"/>
      <c r="U1294" s="76"/>
      <c r="V1294" s="76"/>
      <c r="W1294" s="76"/>
      <c r="X1294" s="76"/>
      <c r="Y1294" s="76"/>
      <c r="Z1294" s="76"/>
      <c r="AA1294" s="76"/>
      <c r="AB1294" s="76"/>
      <c r="AC1294" s="76"/>
      <c r="AD1294" s="76"/>
      <c r="AE1294" s="76"/>
      <c r="AF1294" s="76"/>
      <c r="AG1294" s="76"/>
      <c r="AH1294" s="76"/>
      <c r="AI1294" s="76"/>
      <c r="AJ1294" s="76"/>
      <c r="AK1294" s="76"/>
      <c r="AL1294" s="76"/>
      <c r="AM1294" s="76"/>
      <c r="AN1294" s="76"/>
      <c r="AO1294" s="76"/>
      <c r="AP1294" s="76"/>
      <c r="AQ1294" s="76"/>
      <c r="AR1294" s="76"/>
      <c r="AS1294" s="76"/>
      <c r="AT1294" s="76"/>
      <c r="AU1294" s="76"/>
      <c r="AV1294" s="76"/>
      <c r="AW1294" s="76"/>
      <c r="AX1294" s="76"/>
      <c r="AY1294" s="76"/>
      <c r="AZ1294" s="76"/>
      <c r="BA1294" s="76"/>
      <c r="BB1294" s="76"/>
    </row>
    <row r="1295" spans="5:54" x14ac:dyDescent="0.35">
      <c r="E1295" s="83"/>
      <c r="F1295" s="83"/>
      <c r="G1295" s="76"/>
      <c r="H1295" s="76"/>
      <c r="I1295" s="76"/>
      <c r="J1295" s="76"/>
      <c r="K1295" s="76"/>
      <c r="L1295" s="76"/>
      <c r="M1295" s="76"/>
      <c r="N1295" s="76"/>
      <c r="O1295" s="76"/>
      <c r="P1295" s="76"/>
      <c r="Q1295" s="76"/>
      <c r="R1295" s="76"/>
      <c r="S1295" s="76"/>
      <c r="T1295" s="76"/>
      <c r="U1295" s="76"/>
      <c r="V1295" s="76"/>
      <c r="W1295" s="76"/>
      <c r="X1295" s="76"/>
      <c r="Y1295" s="76"/>
      <c r="Z1295" s="76"/>
      <c r="AA1295" s="76"/>
      <c r="AB1295" s="76"/>
      <c r="AC1295" s="76"/>
      <c r="AD1295" s="76"/>
      <c r="AE1295" s="76"/>
      <c r="AF1295" s="76"/>
      <c r="AG1295" s="76"/>
      <c r="AH1295" s="76"/>
      <c r="AI1295" s="76"/>
      <c r="AJ1295" s="76"/>
      <c r="AK1295" s="76"/>
      <c r="AL1295" s="76"/>
      <c r="AM1295" s="76"/>
      <c r="AN1295" s="76"/>
      <c r="AO1295" s="76"/>
      <c r="AP1295" s="76"/>
      <c r="AQ1295" s="76"/>
      <c r="AR1295" s="76"/>
      <c r="AS1295" s="76"/>
      <c r="AT1295" s="76"/>
      <c r="AU1295" s="76"/>
      <c r="AV1295" s="76"/>
      <c r="AW1295" s="76"/>
      <c r="AX1295" s="76"/>
      <c r="AY1295" s="76"/>
      <c r="AZ1295" s="76"/>
      <c r="BA1295" s="76"/>
      <c r="BB1295" s="76"/>
    </row>
    <row r="1296" spans="5:54" x14ac:dyDescent="0.35">
      <c r="E1296" s="83"/>
      <c r="F1296" s="83"/>
      <c r="G1296" s="76"/>
      <c r="H1296" s="76"/>
      <c r="I1296" s="76"/>
      <c r="J1296" s="76"/>
      <c r="K1296" s="76"/>
      <c r="L1296" s="76"/>
      <c r="M1296" s="76"/>
      <c r="N1296" s="76"/>
      <c r="O1296" s="76"/>
      <c r="P1296" s="76"/>
      <c r="Q1296" s="76"/>
      <c r="R1296" s="76"/>
      <c r="S1296" s="76"/>
      <c r="T1296" s="76"/>
      <c r="U1296" s="76"/>
      <c r="V1296" s="76"/>
      <c r="W1296" s="76"/>
      <c r="X1296" s="76"/>
      <c r="Y1296" s="76"/>
      <c r="Z1296" s="76"/>
      <c r="AA1296" s="76"/>
      <c r="AB1296" s="76"/>
      <c r="AC1296" s="76"/>
      <c r="AD1296" s="76"/>
      <c r="AE1296" s="76"/>
      <c r="AF1296" s="76"/>
      <c r="AG1296" s="76"/>
      <c r="AH1296" s="76"/>
      <c r="AI1296" s="76"/>
      <c r="AJ1296" s="76"/>
      <c r="AK1296" s="76"/>
      <c r="AL1296" s="76"/>
      <c r="AM1296" s="76"/>
      <c r="AN1296" s="76"/>
      <c r="AO1296" s="76"/>
      <c r="AP1296" s="76"/>
      <c r="AQ1296" s="76"/>
      <c r="AR1296" s="76"/>
      <c r="AS1296" s="76"/>
      <c r="AT1296" s="76"/>
      <c r="AU1296" s="76"/>
      <c r="AV1296" s="76"/>
      <c r="AW1296" s="76"/>
      <c r="AX1296" s="76"/>
      <c r="AY1296" s="76"/>
      <c r="AZ1296" s="76"/>
      <c r="BA1296" s="76"/>
      <c r="BB1296" s="76"/>
    </row>
    <row r="1297" spans="5:54" x14ac:dyDescent="0.35">
      <c r="E1297" s="83"/>
      <c r="F1297" s="83"/>
      <c r="G1297" s="76"/>
      <c r="H1297" s="76"/>
      <c r="I1297" s="76"/>
      <c r="J1297" s="76"/>
      <c r="K1297" s="76"/>
      <c r="L1297" s="76"/>
      <c r="M1297" s="76"/>
      <c r="N1297" s="76"/>
      <c r="O1297" s="76"/>
      <c r="P1297" s="76"/>
      <c r="Q1297" s="76"/>
      <c r="R1297" s="76"/>
      <c r="S1297" s="76"/>
      <c r="T1297" s="76"/>
      <c r="U1297" s="76"/>
      <c r="V1297" s="76"/>
      <c r="W1297" s="76"/>
      <c r="X1297" s="76"/>
      <c r="Y1297" s="76"/>
      <c r="Z1297" s="76"/>
      <c r="AA1297" s="76"/>
      <c r="AB1297" s="76"/>
      <c r="AC1297" s="76"/>
      <c r="AD1297" s="76"/>
      <c r="AE1297" s="76"/>
      <c r="AF1297" s="76"/>
      <c r="AG1297" s="76"/>
      <c r="AH1297" s="76"/>
      <c r="AI1297" s="76"/>
      <c r="AJ1297" s="76"/>
      <c r="AK1297" s="76"/>
      <c r="AL1297" s="76"/>
      <c r="AM1297" s="76"/>
      <c r="AN1297" s="76"/>
      <c r="AO1297" s="76"/>
      <c r="AP1297" s="76"/>
      <c r="AQ1297" s="76"/>
      <c r="AR1297" s="76"/>
      <c r="AS1297" s="76"/>
      <c r="AT1297" s="76"/>
      <c r="AU1297" s="76"/>
      <c r="AV1297" s="76"/>
      <c r="AW1297" s="76"/>
      <c r="AX1297" s="76"/>
      <c r="AY1297" s="76"/>
      <c r="AZ1297" s="76"/>
      <c r="BA1297" s="76"/>
      <c r="BB1297" s="76"/>
    </row>
    <row r="1298" spans="5:54" x14ac:dyDescent="0.35">
      <c r="E1298" s="83"/>
      <c r="F1298" s="83"/>
      <c r="G1298" s="76"/>
      <c r="H1298" s="76"/>
      <c r="I1298" s="76"/>
      <c r="J1298" s="76"/>
      <c r="K1298" s="76"/>
      <c r="L1298" s="76"/>
      <c r="M1298" s="76"/>
      <c r="N1298" s="76"/>
      <c r="O1298" s="76"/>
      <c r="P1298" s="76"/>
      <c r="Q1298" s="76"/>
      <c r="R1298" s="76"/>
      <c r="S1298" s="76"/>
      <c r="T1298" s="76"/>
      <c r="U1298" s="76"/>
      <c r="V1298" s="76"/>
      <c r="W1298" s="76"/>
      <c r="X1298" s="76"/>
      <c r="Y1298" s="76"/>
      <c r="Z1298" s="76"/>
      <c r="AA1298" s="76"/>
      <c r="AB1298" s="76"/>
      <c r="AC1298" s="76"/>
      <c r="AD1298" s="76"/>
      <c r="AE1298" s="76"/>
      <c r="AF1298" s="76"/>
      <c r="AG1298" s="76"/>
      <c r="AH1298" s="76"/>
      <c r="AI1298" s="76"/>
      <c r="AJ1298" s="76"/>
      <c r="AK1298" s="76"/>
      <c r="AL1298" s="76"/>
      <c r="AM1298" s="76"/>
      <c r="AN1298" s="76"/>
      <c r="AO1298" s="76"/>
      <c r="AP1298" s="76"/>
      <c r="AQ1298" s="76"/>
      <c r="AR1298" s="76"/>
      <c r="AS1298" s="76"/>
      <c r="AT1298" s="76"/>
      <c r="AU1298" s="76"/>
      <c r="AV1298" s="76"/>
      <c r="AW1298" s="76"/>
      <c r="AX1298" s="76"/>
      <c r="AY1298" s="76"/>
      <c r="AZ1298" s="76"/>
      <c r="BA1298" s="76"/>
      <c r="BB1298" s="76"/>
    </row>
    <row r="1299" spans="5:54" x14ac:dyDescent="0.35">
      <c r="E1299" s="83"/>
      <c r="F1299" s="83"/>
      <c r="G1299" s="76"/>
      <c r="H1299" s="76"/>
      <c r="I1299" s="76"/>
      <c r="J1299" s="76"/>
      <c r="K1299" s="76"/>
      <c r="L1299" s="76"/>
      <c r="M1299" s="76"/>
      <c r="N1299" s="76"/>
      <c r="O1299" s="76"/>
      <c r="P1299" s="76"/>
      <c r="Q1299" s="76"/>
      <c r="R1299" s="76"/>
      <c r="S1299" s="76"/>
      <c r="T1299" s="76"/>
      <c r="U1299" s="76"/>
      <c r="V1299" s="76"/>
      <c r="W1299" s="76"/>
      <c r="X1299" s="76"/>
      <c r="Y1299" s="76"/>
      <c r="Z1299" s="76"/>
      <c r="AA1299" s="76"/>
      <c r="AB1299" s="76"/>
      <c r="AC1299" s="76"/>
      <c r="AD1299" s="76"/>
      <c r="AE1299" s="76"/>
      <c r="AF1299" s="76"/>
      <c r="AG1299" s="76"/>
      <c r="AH1299" s="76"/>
      <c r="AI1299" s="76"/>
      <c r="AJ1299" s="76"/>
      <c r="AK1299" s="76"/>
      <c r="AL1299" s="76"/>
      <c r="AM1299" s="76"/>
      <c r="AN1299" s="76"/>
      <c r="AO1299" s="76"/>
      <c r="AP1299" s="76"/>
      <c r="AQ1299" s="76"/>
      <c r="AR1299" s="76"/>
      <c r="AS1299" s="76"/>
      <c r="AT1299" s="76"/>
      <c r="AU1299" s="76"/>
      <c r="AV1299" s="76"/>
      <c r="AW1299" s="76"/>
      <c r="AX1299" s="76"/>
      <c r="AY1299" s="76"/>
      <c r="AZ1299" s="76"/>
      <c r="BA1299" s="76"/>
      <c r="BB1299" s="76"/>
    </row>
    <row r="1300" spans="5:54" x14ac:dyDescent="0.35">
      <c r="E1300" s="83"/>
      <c r="F1300" s="83"/>
      <c r="G1300" s="76"/>
      <c r="H1300" s="76"/>
      <c r="I1300" s="76"/>
      <c r="J1300" s="76"/>
      <c r="K1300" s="76"/>
      <c r="L1300" s="76"/>
      <c r="M1300" s="76"/>
      <c r="N1300" s="76"/>
      <c r="O1300" s="76"/>
      <c r="P1300" s="76"/>
      <c r="Q1300" s="76"/>
      <c r="R1300" s="76"/>
      <c r="S1300" s="76"/>
      <c r="T1300" s="76"/>
      <c r="U1300" s="76"/>
      <c r="V1300" s="76"/>
      <c r="W1300" s="76"/>
      <c r="X1300" s="76"/>
      <c r="Y1300" s="76"/>
      <c r="Z1300" s="76"/>
      <c r="AA1300" s="76"/>
      <c r="AB1300" s="76"/>
      <c r="AC1300" s="76"/>
      <c r="AD1300" s="76"/>
      <c r="AE1300" s="76"/>
      <c r="AF1300" s="76"/>
      <c r="AG1300" s="76"/>
      <c r="AH1300" s="76"/>
      <c r="AI1300" s="76"/>
      <c r="AJ1300" s="76"/>
      <c r="AK1300" s="76"/>
      <c r="AL1300" s="76"/>
      <c r="AM1300" s="76"/>
      <c r="AN1300" s="76"/>
      <c r="AO1300" s="76"/>
      <c r="AP1300" s="76"/>
      <c r="AQ1300" s="76"/>
      <c r="AR1300" s="76"/>
      <c r="AS1300" s="76"/>
      <c r="AT1300" s="76"/>
      <c r="AU1300" s="76"/>
      <c r="AV1300" s="76"/>
      <c r="AW1300" s="76"/>
      <c r="AX1300" s="76"/>
      <c r="AY1300" s="76"/>
      <c r="AZ1300" s="76"/>
      <c r="BA1300" s="76"/>
      <c r="BB1300" s="76"/>
    </row>
    <row r="1301" spans="5:54" x14ac:dyDescent="0.35">
      <c r="E1301" s="83"/>
      <c r="F1301" s="83"/>
      <c r="G1301" s="76"/>
      <c r="H1301" s="76"/>
      <c r="I1301" s="76"/>
      <c r="J1301" s="76"/>
      <c r="K1301" s="76"/>
      <c r="L1301" s="76"/>
      <c r="M1301" s="76"/>
      <c r="N1301" s="76"/>
      <c r="O1301" s="76"/>
      <c r="P1301" s="76"/>
      <c r="Q1301" s="76"/>
      <c r="R1301" s="76"/>
      <c r="S1301" s="76"/>
      <c r="T1301" s="76"/>
      <c r="U1301" s="76"/>
      <c r="V1301" s="76"/>
      <c r="W1301" s="76"/>
      <c r="X1301" s="76"/>
      <c r="Y1301" s="76"/>
      <c r="Z1301" s="76"/>
      <c r="AA1301" s="76"/>
      <c r="AB1301" s="76"/>
      <c r="AC1301" s="76"/>
      <c r="AD1301" s="76"/>
      <c r="AE1301" s="76"/>
      <c r="AF1301" s="76"/>
      <c r="AG1301" s="76"/>
      <c r="AH1301" s="76"/>
      <c r="AI1301" s="76"/>
      <c r="AJ1301" s="76"/>
      <c r="AK1301" s="76"/>
      <c r="AL1301" s="76"/>
      <c r="AM1301" s="76"/>
      <c r="AN1301" s="76"/>
      <c r="AO1301" s="76"/>
      <c r="AP1301" s="76"/>
      <c r="AQ1301" s="76"/>
      <c r="AR1301" s="76"/>
      <c r="AS1301" s="76"/>
      <c r="AT1301" s="76"/>
      <c r="AU1301" s="76"/>
      <c r="AV1301" s="76"/>
      <c r="AW1301" s="76"/>
      <c r="AX1301" s="76"/>
      <c r="AY1301" s="76"/>
      <c r="AZ1301" s="76"/>
      <c r="BA1301" s="76"/>
      <c r="BB1301" s="76"/>
    </row>
    <row r="1302" spans="5:54" x14ac:dyDescent="0.35">
      <c r="E1302" s="83"/>
      <c r="F1302" s="83"/>
      <c r="G1302" s="76"/>
      <c r="H1302" s="76"/>
      <c r="I1302" s="76"/>
      <c r="J1302" s="76"/>
      <c r="K1302" s="76"/>
      <c r="L1302" s="76"/>
      <c r="M1302" s="76"/>
      <c r="N1302" s="76"/>
      <c r="O1302" s="76"/>
      <c r="P1302" s="76"/>
      <c r="Q1302" s="76"/>
      <c r="R1302" s="76"/>
      <c r="S1302" s="76"/>
      <c r="T1302" s="76"/>
      <c r="U1302" s="76"/>
      <c r="V1302" s="76"/>
      <c r="W1302" s="76"/>
      <c r="X1302" s="76"/>
      <c r="Y1302" s="76"/>
      <c r="Z1302" s="76"/>
      <c r="AA1302" s="76"/>
      <c r="AB1302" s="76"/>
      <c r="AC1302" s="76"/>
      <c r="AD1302" s="76"/>
      <c r="AE1302" s="76"/>
      <c r="AF1302" s="76"/>
      <c r="AG1302" s="76"/>
      <c r="AH1302" s="76"/>
      <c r="AI1302" s="76"/>
      <c r="AJ1302" s="76"/>
      <c r="AK1302" s="76"/>
      <c r="AL1302" s="76"/>
      <c r="AM1302" s="76"/>
      <c r="AN1302" s="76"/>
      <c r="AO1302" s="76"/>
      <c r="AP1302" s="76"/>
      <c r="AQ1302" s="76"/>
      <c r="AR1302" s="76"/>
      <c r="AS1302" s="76"/>
      <c r="AT1302" s="76"/>
      <c r="AU1302" s="76"/>
      <c r="AV1302" s="76"/>
      <c r="AW1302" s="76"/>
      <c r="AX1302" s="76"/>
      <c r="AY1302" s="76"/>
      <c r="AZ1302" s="76"/>
      <c r="BA1302" s="76"/>
      <c r="BB1302" s="76"/>
    </row>
    <row r="1303" spans="5:54" x14ac:dyDescent="0.35">
      <c r="E1303" s="83"/>
      <c r="F1303" s="83"/>
      <c r="G1303" s="76"/>
      <c r="H1303" s="76"/>
      <c r="I1303" s="76"/>
      <c r="J1303" s="76"/>
      <c r="K1303" s="76"/>
      <c r="L1303" s="76"/>
      <c r="M1303" s="76"/>
      <c r="N1303" s="76"/>
      <c r="O1303" s="76"/>
      <c r="P1303" s="76"/>
      <c r="Q1303" s="76"/>
      <c r="R1303" s="76"/>
      <c r="S1303" s="76"/>
      <c r="T1303" s="76"/>
      <c r="U1303" s="76"/>
      <c r="V1303" s="76"/>
      <c r="W1303" s="76"/>
      <c r="X1303" s="76"/>
      <c r="Y1303" s="76"/>
      <c r="Z1303" s="76"/>
      <c r="AA1303" s="76"/>
      <c r="AB1303" s="76"/>
      <c r="AC1303" s="76"/>
      <c r="AD1303" s="76"/>
      <c r="AE1303" s="76"/>
      <c r="AF1303" s="76"/>
      <c r="AG1303" s="76"/>
      <c r="AH1303" s="76"/>
      <c r="AI1303" s="76"/>
      <c r="AJ1303" s="76"/>
      <c r="AK1303" s="76"/>
      <c r="AL1303" s="76"/>
      <c r="AM1303" s="76"/>
      <c r="AN1303" s="76"/>
      <c r="AO1303" s="76"/>
      <c r="AP1303" s="76"/>
      <c r="AQ1303" s="76"/>
      <c r="AR1303" s="76"/>
      <c r="AS1303" s="76"/>
      <c r="AT1303" s="76"/>
      <c r="AU1303" s="76"/>
      <c r="AV1303" s="76"/>
      <c r="AW1303" s="76"/>
      <c r="AX1303" s="76"/>
      <c r="AY1303" s="76"/>
      <c r="AZ1303" s="76"/>
      <c r="BA1303" s="76"/>
      <c r="BB1303" s="76"/>
    </row>
    <row r="1304" spans="5:54" x14ac:dyDescent="0.35">
      <c r="E1304" s="83"/>
      <c r="F1304" s="83"/>
      <c r="G1304" s="76"/>
      <c r="H1304" s="76"/>
      <c r="I1304" s="76"/>
      <c r="J1304" s="76"/>
      <c r="K1304" s="76"/>
      <c r="L1304" s="76"/>
      <c r="M1304" s="76"/>
      <c r="N1304" s="76"/>
      <c r="O1304" s="76"/>
      <c r="P1304" s="76"/>
      <c r="Q1304" s="76"/>
      <c r="R1304" s="76"/>
      <c r="S1304" s="76"/>
      <c r="T1304" s="76"/>
      <c r="U1304" s="76"/>
      <c r="V1304" s="76"/>
      <c r="W1304" s="76"/>
      <c r="X1304" s="76"/>
      <c r="Y1304" s="76"/>
      <c r="Z1304" s="76"/>
      <c r="AA1304" s="76"/>
      <c r="AB1304" s="76"/>
      <c r="AC1304" s="76"/>
      <c r="AD1304" s="76"/>
      <c r="AE1304" s="76"/>
      <c r="AF1304" s="76"/>
      <c r="AG1304" s="76"/>
      <c r="AH1304" s="76"/>
      <c r="AI1304" s="76"/>
      <c r="AJ1304" s="76"/>
      <c r="AK1304" s="76"/>
      <c r="AL1304" s="76"/>
      <c r="AM1304" s="76"/>
      <c r="AN1304" s="76"/>
      <c r="AO1304" s="76"/>
      <c r="AP1304" s="76"/>
      <c r="AQ1304" s="76"/>
      <c r="AR1304" s="76"/>
      <c r="AS1304" s="76"/>
      <c r="AT1304" s="76"/>
      <c r="AU1304" s="76"/>
      <c r="AV1304" s="76"/>
      <c r="AW1304" s="76"/>
      <c r="AX1304" s="76"/>
      <c r="AY1304" s="76"/>
      <c r="AZ1304" s="76"/>
      <c r="BA1304" s="76"/>
      <c r="BB1304" s="76"/>
    </row>
    <row r="1305" spans="5:54" x14ac:dyDescent="0.35">
      <c r="E1305" s="83"/>
      <c r="F1305" s="83"/>
      <c r="G1305" s="76"/>
      <c r="H1305" s="76"/>
      <c r="I1305" s="76"/>
      <c r="J1305" s="76"/>
      <c r="K1305" s="76"/>
      <c r="L1305" s="76"/>
      <c r="M1305" s="76"/>
      <c r="N1305" s="76"/>
      <c r="O1305" s="76"/>
      <c r="P1305" s="76"/>
      <c r="Q1305" s="76"/>
      <c r="R1305" s="76"/>
      <c r="S1305" s="76"/>
      <c r="T1305" s="76"/>
      <c r="U1305" s="76"/>
      <c r="V1305" s="76"/>
      <c r="W1305" s="76"/>
      <c r="X1305" s="76"/>
      <c r="Y1305" s="76"/>
      <c r="Z1305" s="76"/>
      <c r="AA1305" s="76"/>
      <c r="AB1305" s="76"/>
      <c r="AC1305" s="76"/>
      <c r="AD1305" s="76"/>
      <c r="AE1305" s="76"/>
      <c r="AF1305" s="76"/>
      <c r="AG1305" s="76"/>
      <c r="AH1305" s="76"/>
      <c r="AI1305" s="76"/>
      <c r="AJ1305" s="76"/>
      <c r="AK1305" s="76"/>
      <c r="AL1305" s="76"/>
      <c r="AM1305" s="76"/>
      <c r="AN1305" s="76"/>
      <c r="AO1305" s="76"/>
      <c r="AP1305" s="76"/>
      <c r="AQ1305" s="76"/>
      <c r="AR1305" s="76"/>
      <c r="AS1305" s="76"/>
      <c r="AT1305" s="76"/>
      <c r="AU1305" s="76"/>
      <c r="AV1305" s="76"/>
      <c r="AW1305" s="76"/>
      <c r="AX1305" s="76"/>
      <c r="AY1305" s="76"/>
      <c r="AZ1305" s="76"/>
      <c r="BA1305" s="76"/>
      <c r="BB1305" s="76"/>
    </row>
    <row r="1306" spans="5:54" x14ac:dyDescent="0.35">
      <c r="E1306" s="83"/>
      <c r="F1306" s="83"/>
      <c r="G1306" s="76"/>
      <c r="H1306" s="76"/>
      <c r="I1306" s="76"/>
      <c r="J1306" s="76"/>
      <c r="K1306" s="76"/>
      <c r="L1306" s="76"/>
      <c r="M1306" s="76"/>
      <c r="N1306" s="76"/>
      <c r="O1306" s="76"/>
      <c r="P1306" s="76"/>
      <c r="Q1306" s="76"/>
      <c r="R1306" s="76"/>
      <c r="S1306" s="76"/>
      <c r="T1306" s="76"/>
      <c r="U1306" s="76"/>
      <c r="V1306" s="76"/>
      <c r="W1306" s="76"/>
      <c r="X1306" s="76"/>
      <c r="Y1306" s="76"/>
      <c r="Z1306" s="76"/>
      <c r="AA1306" s="76"/>
      <c r="AB1306" s="76"/>
      <c r="AC1306" s="76"/>
      <c r="AD1306" s="76"/>
      <c r="AE1306" s="76"/>
      <c r="AF1306" s="76"/>
      <c r="AG1306" s="76"/>
      <c r="AH1306" s="76"/>
      <c r="AI1306" s="76"/>
      <c r="AJ1306" s="76"/>
      <c r="AK1306" s="76"/>
      <c r="AL1306" s="76"/>
      <c r="AM1306" s="76"/>
      <c r="AN1306" s="76"/>
      <c r="AO1306" s="76"/>
      <c r="AP1306" s="76"/>
      <c r="AQ1306" s="76"/>
      <c r="AR1306" s="76"/>
      <c r="AS1306" s="76"/>
      <c r="AT1306" s="76"/>
      <c r="AU1306" s="76"/>
      <c r="AV1306" s="76"/>
      <c r="AW1306" s="76"/>
      <c r="AX1306" s="76"/>
      <c r="AY1306" s="76"/>
      <c r="AZ1306" s="76"/>
      <c r="BA1306" s="76"/>
      <c r="BB1306" s="76"/>
    </row>
    <row r="1307" spans="5:54" x14ac:dyDescent="0.35">
      <c r="E1307" s="83"/>
      <c r="F1307" s="83"/>
      <c r="G1307" s="76"/>
      <c r="H1307" s="76"/>
      <c r="I1307" s="76"/>
      <c r="J1307" s="76"/>
      <c r="K1307" s="76"/>
      <c r="L1307" s="76"/>
      <c r="M1307" s="76"/>
      <c r="N1307" s="76"/>
      <c r="O1307" s="76"/>
      <c r="P1307" s="76"/>
      <c r="Q1307" s="76"/>
      <c r="R1307" s="76"/>
      <c r="S1307" s="76"/>
      <c r="T1307" s="76"/>
      <c r="U1307" s="76"/>
      <c r="V1307" s="76"/>
      <c r="W1307" s="76"/>
      <c r="X1307" s="76"/>
      <c r="Y1307" s="76"/>
      <c r="Z1307" s="76"/>
      <c r="AA1307" s="76"/>
      <c r="AB1307" s="76"/>
      <c r="AC1307" s="76"/>
      <c r="AD1307" s="76"/>
      <c r="AE1307" s="76"/>
      <c r="AF1307" s="76"/>
      <c r="AG1307" s="76"/>
      <c r="AH1307" s="76"/>
      <c r="AI1307" s="76"/>
      <c r="AJ1307" s="76"/>
      <c r="AK1307" s="76"/>
      <c r="AL1307" s="76"/>
      <c r="AM1307" s="76"/>
      <c r="AN1307" s="76"/>
      <c r="AO1307" s="76"/>
      <c r="AP1307" s="76"/>
      <c r="AQ1307" s="76"/>
      <c r="AR1307" s="76"/>
      <c r="AS1307" s="76"/>
      <c r="AT1307" s="76"/>
      <c r="AU1307" s="76"/>
      <c r="AV1307" s="76"/>
      <c r="AW1307" s="76"/>
      <c r="AX1307" s="76"/>
      <c r="AY1307" s="76"/>
      <c r="AZ1307" s="76"/>
      <c r="BA1307" s="76"/>
      <c r="BB1307" s="76"/>
    </row>
    <row r="1308" spans="5:54" x14ac:dyDescent="0.35">
      <c r="E1308" s="83"/>
      <c r="F1308" s="83"/>
      <c r="G1308" s="76"/>
      <c r="H1308" s="76"/>
      <c r="I1308" s="76"/>
      <c r="J1308" s="76"/>
      <c r="K1308" s="76"/>
      <c r="L1308" s="76"/>
      <c r="M1308" s="76"/>
      <c r="N1308" s="76"/>
      <c r="O1308" s="76"/>
      <c r="P1308" s="76"/>
      <c r="Q1308" s="76"/>
      <c r="R1308" s="76"/>
      <c r="S1308" s="76"/>
      <c r="T1308" s="76"/>
      <c r="U1308" s="76"/>
      <c r="V1308" s="76"/>
      <c r="W1308" s="76"/>
      <c r="X1308" s="76"/>
      <c r="Y1308" s="76"/>
      <c r="Z1308" s="76"/>
      <c r="AA1308" s="76"/>
      <c r="AB1308" s="76"/>
      <c r="AC1308" s="76"/>
      <c r="AD1308" s="76"/>
      <c r="AE1308" s="76"/>
      <c r="AF1308" s="76"/>
      <c r="AG1308" s="76"/>
      <c r="AH1308" s="76"/>
      <c r="AI1308" s="76"/>
      <c r="AJ1308" s="76"/>
      <c r="AK1308" s="76"/>
      <c r="AL1308" s="76"/>
      <c r="AM1308" s="76"/>
      <c r="AN1308" s="76"/>
      <c r="AO1308" s="76"/>
      <c r="AP1308" s="76"/>
      <c r="AQ1308" s="76"/>
      <c r="AR1308" s="76"/>
      <c r="AS1308" s="76"/>
      <c r="AT1308" s="76"/>
      <c r="AU1308" s="76"/>
      <c r="AV1308" s="76"/>
      <c r="AW1308" s="76"/>
      <c r="AX1308" s="76"/>
      <c r="AY1308" s="76"/>
      <c r="AZ1308" s="76"/>
      <c r="BA1308" s="76"/>
      <c r="BB1308" s="76"/>
    </row>
    <row r="1309" spans="5:54" x14ac:dyDescent="0.35">
      <c r="E1309" s="83"/>
      <c r="F1309" s="83"/>
      <c r="G1309" s="76"/>
      <c r="H1309" s="76"/>
      <c r="I1309" s="76"/>
      <c r="J1309" s="76"/>
      <c r="K1309" s="76"/>
      <c r="L1309" s="76"/>
      <c r="M1309" s="76"/>
      <c r="N1309" s="76"/>
      <c r="O1309" s="76"/>
      <c r="P1309" s="76"/>
      <c r="Q1309" s="76"/>
      <c r="R1309" s="76"/>
      <c r="S1309" s="76"/>
      <c r="T1309" s="76"/>
      <c r="U1309" s="76"/>
      <c r="V1309" s="76"/>
      <c r="W1309" s="76"/>
      <c r="X1309" s="76"/>
      <c r="Y1309" s="76"/>
      <c r="Z1309" s="76"/>
      <c r="AA1309" s="76"/>
      <c r="AB1309" s="76"/>
      <c r="AC1309" s="76"/>
      <c r="AD1309" s="76"/>
      <c r="AE1309" s="76"/>
      <c r="AF1309" s="76"/>
      <c r="AG1309" s="76"/>
      <c r="AH1309" s="76"/>
      <c r="AI1309" s="76"/>
      <c r="AJ1309" s="76"/>
      <c r="AK1309" s="76"/>
      <c r="AL1309" s="76"/>
      <c r="AM1309" s="76"/>
      <c r="AN1309" s="76"/>
      <c r="AO1309" s="76"/>
      <c r="AP1309" s="76"/>
      <c r="AQ1309" s="76"/>
      <c r="AR1309" s="76"/>
      <c r="AS1309" s="76"/>
      <c r="AT1309" s="76"/>
      <c r="AU1309" s="76"/>
      <c r="AV1309" s="76"/>
      <c r="AW1309" s="76"/>
      <c r="AX1309" s="76"/>
      <c r="AY1309" s="76"/>
      <c r="AZ1309" s="76"/>
      <c r="BA1309" s="76"/>
      <c r="BB1309" s="76"/>
    </row>
    <row r="1310" spans="5:54" x14ac:dyDescent="0.35">
      <c r="E1310" s="83"/>
      <c r="F1310" s="83"/>
      <c r="G1310" s="76"/>
      <c r="H1310" s="76"/>
      <c r="I1310" s="76"/>
      <c r="J1310" s="76"/>
      <c r="K1310" s="76"/>
      <c r="L1310" s="76"/>
      <c r="M1310" s="76"/>
      <c r="N1310" s="76"/>
      <c r="O1310" s="76"/>
      <c r="P1310" s="76"/>
      <c r="Q1310" s="76"/>
      <c r="R1310" s="76"/>
      <c r="S1310" s="76"/>
      <c r="T1310" s="76"/>
      <c r="U1310" s="76"/>
      <c r="V1310" s="76"/>
      <c r="W1310" s="76"/>
      <c r="X1310" s="76"/>
      <c r="Y1310" s="76"/>
      <c r="Z1310" s="76"/>
      <c r="AA1310" s="76"/>
      <c r="AB1310" s="76"/>
      <c r="AC1310" s="76"/>
      <c r="AD1310" s="76"/>
      <c r="AE1310" s="76"/>
      <c r="AF1310" s="76"/>
      <c r="AG1310" s="76"/>
      <c r="AH1310" s="76"/>
      <c r="AI1310" s="76"/>
      <c r="AJ1310" s="76"/>
      <c r="AK1310" s="76"/>
      <c r="AL1310" s="76"/>
      <c r="AM1310" s="76"/>
      <c r="AN1310" s="76"/>
      <c r="AO1310" s="76"/>
      <c r="AP1310" s="76"/>
      <c r="AQ1310" s="76"/>
      <c r="AR1310" s="76"/>
      <c r="AS1310" s="76"/>
      <c r="AT1310" s="76"/>
      <c r="AU1310" s="76"/>
      <c r="AV1310" s="76"/>
      <c r="AW1310" s="76"/>
      <c r="AX1310" s="76"/>
      <c r="AY1310" s="76"/>
      <c r="AZ1310" s="76"/>
      <c r="BA1310" s="76"/>
      <c r="BB1310" s="76"/>
    </row>
    <row r="1311" spans="5:54" x14ac:dyDescent="0.35">
      <c r="E1311" s="83"/>
      <c r="F1311" s="83"/>
      <c r="G1311" s="76"/>
      <c r="H1311" s="76"/>
      <c r="I1311" s="76"/>
      <c r="J1311" s="76"/>
      <c r="K1311" s="76"/>
      <c r="L1311" s="76"/>
      <c r="M1311" s="76"/>
      <c r="N1311" s="76"/>
      <c r="O1311" s="76"/>
      <c r="P1311" s="76"/>
      <c r="Q1311" s="76"/>
      <c r="R1311" s="76"/>
      <c r="S1311" s="76"/>
      <c r="T1311" s="76"/>
      <c r="U1311" s="76"/>
      <c r="V1311" s="76"/>
      <c r="W1311" s="76"/>
      <c r="X1311" s="76"/>
      <c r="Y1311" s="76"/>
      <c r="Z1311" s="76"/>
      <c r="AA1311" s="76"/>
      <c r="AB1311" s="76"/>
      <c r="AC1311" s="76"/>
      <c r="AD1311" s="76"/>
      <c r="AE1311" s="76"/>
      <c r="AF1311" s="76"/>
      <c r="AG1311" s="76"/>
      <c r="AH1311" s="76"/>
      <c r="AI1311" s="76"/>
      <c r="AJ1311" s="76"/>
      <c r="AK1311" s="76"/>
      <c r="AL1311" s="76"/>
      <c r="AM1311" s="76"/>
      <c r="AN1311" s="76"/>
      <c r="AO1311" s="76"/>
      <c r="AP1311" s="76"/>
      <c r="AQ1311" s="76"/>
      <c r="AR1311" s="76"/>
      <c r="AS1311" s="76"/>
      <c r="AT1311" s="76"/>
      <c r="AU1311" s="76"/>
      <c r="AV1311" s="76"/>
      <c r="AW1311" s="76"/>
      <c r="AX1311" s="76"/>
      <c r="AY1311" s="76"/>
      <c r="AZ1311" s="76"/>
      <c r="BA1311" s="76"/>
      <c r="BB1311" s="76"/>
    </row>
    <row r="1312" spans="5:54" x14ac:dyDescent="0.35">
      <c r="E1312" s="83"/>
      <c r="F1312" s="83"/>
      <c r="G1312" s="76"/>
      <c r="H1312" s="76"/>
      <c r="I1312" s="76"/>
      <c r="J1312" s="76"/>
      <c r="K1312" s="76"/>
      <c r="L1312" s="76"/>
      <c r="M1312" s="76"/>
      <c r="N1312" s="76"/>
      <c r="O1312" s="76"/>
      <c r="P1312" s="76"/>
      <c r="Q1312" s="76"/>
      <c r="R1312" s="76"/>
      <c r="S1312" s="76"/>
      <c r="T1312" s="76"/>
      <c r="U1312" s="76"/>
      <c r="V1312" s="76"/>
      <c r="W1312" s="76"/>
      <c r="X1312" s="76"/>
      <c r="Y1312" s="76"/>
      <c r="Z1312" s="76"/>
      <c r="AA1312" s="76"/>
      <c r="AB1312" s="76"/>
      <c r="AC1312" s="76"/>
      <c r="AD1312" s="76"/>
      <c r="AE1312" s="76"/>
      <c r="AF1312" s="76"/>
      <c r="AG1312" s="76"/>
      <c r="AH1312" s="76"/>
      <c r="AI1312" s="76"/>
      <c r="AJ1312" s="76"/>
      <c r="AK1312" s="76"/>
      <c r="AL1312" s="76"/>
      <c r="AM1312" s="76"/>
      <c r="AN1312" s="76"/>
      <c r="AO1312" s="76"/>
      <c r="AP1312" s="76"/>
      <c r="AQ1312" s="76"/>
      <c r="AR1312" s="76"/>
      <c r="AS1312" s="76"/>
      <c r="AT1312" s="76"/>
      <c r="AU1312" s="76"/>
      <c r="AV1312" s="76"/>
      <c r="AW1312" s="76"/>
      <c r="AX1312" s="76"/>
      <c r="AY1312" s="76"/>
      <c r="AZ1312" s="76"/>
      <c r="BA1312" s="76"/>
      <c r="BB1312" s="76"/>
    </row>
    <row r="1313" spans="5:54" x14ac:dyDescent="0.35">
      <c r="E1313" s="83"/>
      <c r="F1313" s="83"/>
      <c r="G1313" s="76"/>
      <c r="H1313" s="76"/>
      <c r="I1313" s="76"/>
      <c r="J1313" s="76"/>
      <c r="K1313" s="76"/>
      <c r="L1313" s="76"/>
      <c r="M1313" s="76"/>
      <c r="N1313" s="76"/>
      <c r="O1313" s="76"/>
      <c r="P1313" s="76"/>
      <c r="Q1313" s="76"/>
      <c r="R1313" s="76"/>
      <c r="S1313" s="76"/>
      <c r="T1313" s="76"/>
      <c r="U1313" s="76"/>
      <c r="V1313" s="76"/>
      <c r="W1313" s="76"/>
      <c r="X1313" s="76"/>
      <c r="Y1313" s="76"/>
      <c r="Z1313" s="76"/>
      <c r="AA1313" s="76"/>
      <c r="AB1313" s="76"/>
      <c r="AC1313" s="76"/>
      <c r="AD1313" s="76"/>
      <c r="AE1313" s="76"/>
      <c r="AF1313" s="76"/>
      <c r="AG1313" s="76"/>
      <c r="AH1313" s="76"/>
      <c r="AI1313" s="76"/>
      <c r="AJ1313" s="76"/>
      <c r="AK1313" s="76"/>
      <c r="AL1313" s="76"/>
      <c r="AM1313" s="76"/>
      <c r="AN1313" s="76"/>
      <c r="AO1313" s="76"/>
      <c r="AP1313" s="76"/>
      <c r="AQ1313" s="76"/>
      <c r="AR1313" s="76"/>
      <c r="AS1313" s="76"/>
      <c r="AT1313" s="76"/>
      <c r="AU1313" s="76"/>
      <c r="AV1313" s="76"/>
      <c r="AW1313" s="76"/>
      <c r="AX1313" s="76"/>
      <c r="AY1313" s="76"/>
      <c r="AZ1313" s="76"/>
      <c r="BA1313" s="76"/>
      <c r="BB1313" s="76"/>
    </row>
    <row r="1314" spans="5:54" x14ac:dyDescent="0.35">
      <c r="E1314" s="83"/>
      <c r="F1314" s="83"/>
      <c r="G1314" s="76"/>
      <c r="H1314" s="76"/>
      <c r="I1314" s="76"/>
      <c r="J1314" s="76"/>
      <c r="K1314" s="76"/>
      <c r="L1314" s="76"/>
      <c r="M1314" s="76"/>
      <c r="N1314" s="76"/>
      <c r="O1314" s="76"/>
      <c r="P1314" s="76"/>
      <c r="Q1314" s="76"/>
      <c r="R1314" s="76"/>
      <c r="S1314" s="76"/>
      <c r="T1314" s="76"/>
      <c r="U1314" s="76"/>
      <c r="V1314" s="76"/>
      <c r="W1314" s="76"/>
      <c r="X1314" s="76"/>
      <c r="Y1314" s="76"/>
      <c r="Z1314" s="76"/>
      <c r="AA1314" s="76"/>
      <c r="AB1314" s="76"/>
      <c r="AC1314" s="76"/>
      <c r="AD1314" s="76"/>
      <c r="AE1314" s="76"/>
      <c r="AF1314" s="76"/>
      <c r="AG1314" s="76"/>
      <c r="AH1314" s="76"/>
      <c r="AI1314" s="76"/>
      <c r="AJ1314" s="76"/>
      <c r="AK1314" s="76"/>
      <c r="AL1314" s="76"/>
      <c r="AM1314" s="76"/>
      <c r="AN1314" s="76"/>
      <c r="AO1314" s="76"/>
      <c r="AP1314" s="76"/>
      <c r="AQ1314" s="76"/>
      <c r="AR1314" s="76"/>
      <c r="AS1314" s="76"/>
      <c r="AT1314" s="76"/>
      <c r="AU1314" s="76"/>
      <c r="AV1314" s="76"/>
      <c r="AW1314" s="76"/>
      <c r="AX1314" s="76"/>
      <c r="AY1314" s="76"/>
      <c r="AZ1314" s="76"/>
      <c r="BA1314" s="76"/>
      <c r="BB1314" s="76"/>
    </row>
    <row r="1315" spans="5:54" x14ac:dyDescent="0.35">
      <c r="E1315" s="83"/>
      <c r="F1315" s="83"/>
      <c r="G1315" s="76"/>
      <c r="H1315" s="76"/>
      <c r="I1315" s="76"/>
      <c r="J1315" s="76"/>
      <c r="K1315" s="76"/>
      <c r="L1315" s="76"/>
      <c r="M1315" s="76"/>
      <c r="N1315" s="76"/>
      <c r="O1315" s="76"/>
      <c r="P1315" s="76"/>
      <c r="Q1315" s="76"/>
      <c r="R1315" s="76"/>
      <c r="S1315" s="76"/>
      <c r="T1315" s="76"/>
      <c r="U1315" s="76"/>
      <c r="V1315" s="76"/>
      <c r="W1315" s="76"/>
      <c r="X1315" s="76"/>
      <c r="Y1315" s="76"/>
      <c r="Z1315" s="76"/>
      <c r="AA1315" s="76"/>
      <c r="AB1315" s="76"/>
      <c r="AC1315" s="76"/>
      <c r="AD1315" s="76"/>
      <c r="AE1315" s="76"/>
      <c r="AF1315" s="76"/>
      <c r="AG1315" s="76"/>
      <c r="AH1315" s="76"/>
      <c r="AI1315" s="76"/>
      <c r="AJ1315" s="76"/>
      <c r="AK1315" s="76"/>
      <c r="AL1315" s="76"/>
      <c r="AM1315" s="76"/>
      <c r="AN1315" s="76"/>
      <c r="AO1315" s="76"/>
      <c r="AP1315" s="76"/>
      <c r="AQ1315" s="76"/>
      <c r="AR1315" s="76"/>
      <c r="AS1315" s="76"/>
      <c r="AT1315" s="76"/>
      <c r="AU1315" s="76"/>
      <c r="AV1315" s="76"/>
      <c r="AW1315" s="76"/>
      <c r="AX1315" s="76"/>
      <c r="AY1315" s="76"/>
      <c r="AZ1315" s="76"/>
      <c r="BA1315" s="76"/>
      <c r="BB1315" s="76"/>
    </row>
    <row r="1316" spans="5:54" x14ac:dyDescent="0.35">
      <c r="E1316" s="83"/>
      <c r="F1316" s="83"/>
      <c r="G1316" s="76"/>
      <c r="H1316" s="76"/>
      <c r="I1316" s="76"/>
      <c r="J1316" s="76"/>
      <c r="K1316" s="76"/>
      <c r="L1316" s="76"/>
      <c r="M1316" s="76"/>
      <c r="N1316" s="76"/>
      <c r="O1316" s="76"/>
      <c r="P1316" s="76"/>
      <c r="Q1316" s="76"/>
      <c r="R1316" s="76"/>
      <c r="S1316" s="76"/>
      <c r="T1316" s="76"/>
      <c r="U1316" s="76"/>
      <c r="V1316" s="76"/>
      <c r="W1316" s="76"/>
      <c r="X1316" s="76"/>
      <c r="Y1316" s="76"/>
      <c r="Z1316" s="76"/>
      <c r="AA1316" s="76"/>
      <c r="AB1316" s="76"/>
      <c r="AC1316" s="76"/>
      <c r="AD1316" s="76"/>
      <c r="AE1316" s="76"/>
      <c r="AF1316" s="76"/>
      <c r="AG1316" s="76"/>
      <c r="AH1316" s="76"/>
      <c r="AI1316" s="76"/>
      <c r="AJ1316" s="76"/>
      <c r="AK1316" s="76"/>
      <c r="AL1316" s="76"/>
      <c r="AM1316" s="76"/>
      <c r="AN1316" s="76"/>
      <c r="AO1316" s="76"/>
      <c r="AP1316" s="76"/>
      <c r="AQ1316" s="76"/>
      <c r="AR1316" s="76"/>
      <c r="AS1316" s="76"/>
      <c r="AT1316" s="76"/>
      <c r="AU1316" s="76"/>
      <c r="AV1316" s="76"/>
      <c r="AW1316" s="76"/>
      <c r="AX1316" s="76"/>
      <c r="AY1316" s="76"/>
      <c r="AZ1316" s="76"/>
      <c r="BA1316" s="76"/>
      <c r="BB1316" s="76"/>
    </row>
    <row r="1317" spans="5:54" x14ac:dyDescent="0.35">
      <c r="E1317" s="83"/>
      <c r="F1317" s="83"/>
      <c r="G1317" s="76"/>
      <c r="H1317" s="76"/>
      <c r="I1317" s="76"/>
      <c r="J1317" s="76"/>
      <c r="K1317" s="76"/>
      <c r="L1317" s="76"/>
      <c r="M1317" s="76"/>
      <c r="N1317" s="76"/>
      <c r="O1317" s="76"/>
      <c r="P1317" s="76"/>
      <c r="Q1317" s="76"/>
      <c r="R1317" s="76"/>
      <c r="S1317" s="76"/>
      <c r="T1317" s="76"/>
      <c r="U1317" s="76"/>
      <c r="V1317" s="76"/>
      <c r="W1317" s="76"/>
      <c r="X1317" s="76"/>
      <c r="Y1317" s="76"/>
      <c r="Z1317" s="76"/>
      <c r="AA1317" s="76"/>
      <c r="AB1317" s="76"/>
      <c r="AC1317" s="76"/>
      <c r="AD1317" s="76"/>
      <c r="AE1317" s="76"/>
      <c r="AF1317" s="76"/>
      <c r="AG1317" s="76"/>
      <c r="AH1317" s="76"/>
      <c r="AI1317" s="76"/>
      <c r="AJ1317" s="76"/>
      <c r="AK1317" s="76"/>
      <c r="AL1317" s="76"/>
      <c r="AM1317" s="76"/>
      <c r="AN1317" s="76"/>
      <c r="AO1317" s="76"/>
      <c r="AP1317" s="76"/>
      <c r="AQ1317" s="76"/>
      <c r="AR1317" s="76"/>
      <c r="AS1317" s="76"/>
      <c r="AT1317" s="76"/>
      <c r="AU1317" s="76"/>
      <c r="AV1317" s="76"/>
      <c r="AW1317" s="76"/>
      <c r="AX1317" s="76"/>
      <c r="AY1317" s="76"/>
      <c r="AZ1317" s="76"/>
      <c r="BA1317" s="76"/>
      <c r="BB1317" s="76"/>
    </row>
    <row r="1318" spans="5:54" x14ac:dyDescent="0.35">
      <c r="E1318" s="83"/>
      <c r="F1318" s="83"/>
      <c r="G1318" s="76"/>
      <c r="H1318" s="76"/>
      <c r="I1318" s="76"/>
      <c r="J1318" s="76"/>
      <c r="K1318" s="76"/>
      <c r="L1318" s="76"/>
      <c r="M1318" s="76"/>
      <c r="N1318" s="76"/>
      <c r="O1318" s="76"/>
      <c r="P1318" s="76"/>
      <c r="Q1318" s="76"/>
      <c r="R1318" s="76"/>
      <c r="S1318" s="76"/>
      <c r="T1318" s="76"/>
      <c r="U1318" s="76"/>
      <c r="V1318" s="76"/>
      <c r="W1318" s="76"/>
      <c r="X1318" s="76"/>
      <c r="Y1318" s="76"/>
      <c r="Z1318" s="76"/>
      <c r="AA1318" s="76"/>
      <c r="AB1318" s="76"/>
      <c r="AC1318" s="76"/>
      <c r="AD1318" s="76"/>
      <c r="AE1318" s="76"/>
      <c r="AF1318" s="76"/>
      <c r="AG1318" s="76"/>
      <c r="AH1318" s="76"/>
      <c r="AI1318" s="76"/>
      <c r="AJ1318" s="76"/>
      <c r="AK1318" s="76"/>
      <c r="AL1318" s="76"/>
      <c r="AM1318" s="76"/>
      <c r="AN1318" s="76"/>
      <c r="AO1318" s="76"/>
      <c r="AP1318" s="76"/>
      <c r="AQ1318" s="76"/>
      <c r="AR1318" s="76"/>
      <c r="AS1318" s="76"/>
      <c r="AT1318" s="76"/>
      <c r="AU1318" s="76"/>
      <c r="AV1318" s="76"/>
      <c r="AW1318" s="76"/>
      <c r="AX1318" s="76"/>
      <c r="AY1318" s="76"/>
      <c r="AZ1318" s="76"/>
      <c r="BA1318" s="76"/>
      <c r="BB1318" s="76"/>
    </row>
    <row r="1319" spans="5:54" x14ac:dyDescent="0.35">
      <c r="E1319" s="83"/>
      <c r="F1319" s="83"/>
      <c r="G1319" s="76"/>
      <c r="H1319" s="76"/>
      <c r="I1319" s="76"/>
      <c r="J1319" s="76"/>
      <c r="K1319" s="76"/>
      <c r="L1319" s="76"/>
      <c r="M1319" s="76"/>
      <c r="N1319" s="76"/>
      <c r="O1319" s="76"/>
      <c r="P1319" s="76"/>
      <c r="Q1319" s="76"/>
      <c r="R1319" s="76"/>
      <c r="S1319" s="76"/>
      <c r="T1319" s="76"/>
      <c r="U1319" s="76"/>
      <c r="V1319" s="76"/>
      <c r="W1319" s="76"/>
      <c r="X1319" s="76"/>
      <c r="Y1319" s="76"/>
      <c r="Z1319" s="76"/>
      <c r="AA1319" s="76"/>
      <c r="AB1319" s="76"/>
      <c r="AC1319" s="76"/>
      <c r="AD1319" s="76"/>
      <c r="AE1319" s="76"/>
      <c r="AF1319" s="76"/>
      <c r="AG1319" s="76"/>
      <c r="AH1319" s="76"/>
      <c r="AI1319" s="76"/>
      <c r="AJ1319" s="76"/>
      <c r="AK1319" s="76"/>
      <c r="AL1319" s="76"/>
      <c r="AM1319" s="76"/>
      <c r="AN1319" s="76"/>
      <c r="AO1319" s="76"/>
      <c r="AP1319" s="76"/>
      <c r="AQ1319" s="76"/>
      <c r="AR1319" s="76"/>
      <c r="AS1319" s="76"/>
      <c r="AT1319" s="76"/>
      <c r="AU1319" s="76"/>
      <c r="AV1319" s="76"/>
      <c r="AW1319" s="76"/>
      <c r="AX1319" s="76"/>
      <c r="AY1319" s="76"/>
      <c r="AZ1319" s="76"/>
      <c r="BA1319" s="76"/>
      <c r="BB1319" s="76"/>
    </row>
    <row r="1320" spans="5:54" x14ac:dyDescent="0.35">
      <c r="E1320" s="83"/>
      <c r="F1320" s="83"/>
      <c r="G1320" s="76"/>
      <c r="H1320" s="76"/>
      <c r="I1320" s="76"/>
      <c r="J1320" s="76"/>
      <c r="K1320" s="76"/>
      <c r="L1320" s="76"/>
      <c r="M1320" s="76"/>
      <c r="N1320" s="76"/>
      <c r="O1320" s="76"/>
      <c r="P1320" s="76"/>
      <c r="Q1320" s="76"/>
      <c r="R1320" s="76"/>
      <c r="S1320" s="76"/>
      <c r="T1320" s="76"/>
      <c r="U1320" s="76"/>
      <c r="V1320" s="76"/>
      <c r="W1320" s="76"/>
      <c r="X1320" s="76"/>
      <c r="Y1320" s="76"/>
      <c r="Z1320" s="76"/>
      <c r="AA1320" s="76"/>
      <c r="AB1320" s="76"/>
      <c r="AC1320" s="76"/>
      <c r="AD1320" s="76"/>
      <c r="AE1320" s="76"/>
      <c r="AF1320" s="76"/>
      <c r="AG1320" s="76"/>
      <c r="AH1320" s="76"/>
      <c r="AI1320" s="76"/>
      <c r="AJ1320" s="76"/>
      <c r="AK1320" s="76"/>
      <c r="AL1320" s="76"/>
      <c r="AM1320" s="76"/>
      <c r="AN1320" s="76"/>
      <c r="AO1320" s="76"/>
      <c r="AP1320" s="76"/>
      <c r="AQ1320" s="76"/>
      <c r="AR1320" s="76"/>
      <c r="AS1320" s="76"/>
      <c r="AT1320" s="76"/>
      <c r="AU1320" s="76"/>
      <c r="AV1320" s="76"/>
      <c r="AW1320" s="76"/>
      <c r="AX1320" s="76"/>
      <c r="AY1320" s="76"/>
      <c r="AZ1320" s="76"/>
      <c r="BA1320" s="76"/>
      <c r="BB1320" s="76"/>
    </row>
    <row r="1321" spans="5:54" x14ac:dyDescent="0.35">
      <c r="E1321" s="83"/>
      <c r="F1321" s="83"/>
      <c r="G1321" s="76"/>
      <c r="H1321" s="76"/>
      <c r="I1321" s="76"/>
      <c r="J1321" s="76"/>
      <c r="K1321" s="76"/>
      <c r="L1321" s="76"/>
      <c r="M1321" s="76"/>
      <c r="N1321" s="76"/>
      <c r="O1321" s="76"/>
      <c r="P1321" s="76"/>
      <c r="Q1321" s="76"/>
      <c r="R1321" s="76"/>
      <c r="S1321" s="76"/>
      <c r="T1321" s="76"/>
      <c r="U1321" s="76"/>
      <c r="V1321" s="76"/>
      <c r="W1321" s="76"/>
      <c r="X1321" s="76"/>
      <c r="Y1321" s="76"/>
      <c r="Z1321" s="76"/>
      <c r="AA1321" s="76"/>
      <c r="AB1321" s="76"/>
      <c r="AC1321" s="76"/>
      <c r="AD1321" s="76"/>
      <c r="AE1321" s="76"/>
      <c r="AF1321" s="76"/>
      <c r="AG1321" s="76"/>
      <c r="AH1321" s="76"/>
      <c r="AI1321" s="76"/>
      <c r="AJ1321" s="76"/>
      <c r="AK1321" s="76"/>
      <c r="AL1321" s="76"/>
      <c r="AM1321" s="76"/>
      <c r="AN1321" s="76"/>
      <c r="AO1321" s="76"/>
      <c r="AP1321" s="76"/>
      <c r="AQ1321" s="76"/>
      <c r="AR1321" s="76"/>
      <c r="AS1321" s="76"/>
      <c r="AT1321" s="76"/>
      <c r="AU1321" s="76"/>
      <c r="AV1321" s="76"/>
      <c r="AW1321" s="76"/>
      <c r="AX1321" s="76"/>
      <c r="AY1321" s="76"/>
      <c r="AZ1321" s="76"/>
      <c r="BA1321" s="76"/>
      <c r="BB1321" s="76"/>
    </row>
    <row r="1322" spans="5:54" x14ac:dyDescent="0.35">
      <c r="E1322" s="83"/>
      <c r="F1322" s="83"/>
      <c r="G1322" s="76"/>
      <c r="H1322" s="76"/>
      <c r="I1322" s="76"/>
      <c r="J1322" s="76"/>
      <c r="K1322" s="76"/>
      <c r="L1322" s="76"/>
      <c r="M1322" s="76"/>
      <c r="N1322" s="76"/>
      <c r="O1322" s="76"/>
      <c r="P1322" s="76"/>
      <c r="Q1322" s="76"/>
      <c r="R1322" s="76"/>
      <c r="S1322" s="76"/>
      <c r="T1322" s="76"/>
      <c r="U1322" s="76"/>
      <c r="V1322" s="76"/>
      <c r="W1322" s="76"/>
      <c r="X1322" s="76"/>
      <c r="Y1322" s="76"/>
      <c r="Z1322" s="76"/>
      <c r="AA1322" s="76"/>
      <c r="AB1322" s="76"/>
      <c r="AC1322" s="76"/>
      <c r="AD1322" s="76"/>
      <c r="AE1322" s="76"/>
      <c r="AF1322" s="76"/>
      <c r="AG1322" s="76"/>
      <c r="AH1322" s="76"/>
      <c r="AI1322" s="76"/>
      <c r="AJ1322" s="76"/>
      <c r="AK1322" s="76"/>
      <c r="AL1322" s="76"/>
      <c r="AM1322" s="76"/>
      <c r="AN1322" s="76"/>
      <c r="AO1322" s="76"/>
      <c r="AP1322" s="76"/>
      <c r="AQ1322" s="76"/>
      <c r="AR1322" s="76"/>
      <c r="AS1322" s="76"/>
      <c r="AT1322" s="76"/>
      <c r="AU1322" s="76"/>
      <c r="AV1322" s="76"/>
      <c r="AW1322" s="76"/>
      <c r="AX1322" s="76"/>
      <c r="AY1322" s="76"/>
      <c r="AZ1322" s="76"/>
      <c r="BA1322" s="76"/>
      <c r="BB1322" s="76"/>
    </row>
    <row r="1323" spans="5:54" x14ac:dyDescent="0.35">
      <c r="E1323" s="83"/>
      <c r="F1323" s="83"/>
      <c r="G1323" s="76"/>
      <c r="H1323" s="76"/>
      <c r="I1323" s="76"/>
      <c r="J1323" s="76"/>
      <c r="K1323" s="76"/>
      <c r="L1323" s="76"/>
      <c r="M1323" s="76"/>
      <c r="N1323" s="76"/>
      <c r="O1323" s="76"/>
      <c r="P1323" s="76"/>
      <c r="Q1323" s="76"/>
      <c r="R1323" s="76"/>
      <c r="S1323" s="76"/>
      <c r="T1323" s="76"/>
      <c r="U1323" s="76"/>
      <c r="V1323" s="76"/>
      <c r="W1323" s="76"/>
      <c r="X1323" s="76"/>
      <c r="Y1323" s="76"/>
      <c r="Z1323" s="76"/>
      <c r="AA1323" s="76"/>
      <c r="AB1323" s="76"/>
      <c r="AC1323" s="76"/>
      <c r="AD1323" s="76"/>
      <c r="AE1323" s="76"/>
      <c r="AF1323" s="76"/>
      <c r="AG1323" s="76"/>
      <c r="AH1323" s="76"/>
      <c r="AI1323" s="76"/>
      <c r="AJ1323" s="76"/>
      <c r="AK1323" s="76"/>
      <c r="AL1323" s="76"/>
      <c r="AM1323" s="76"/>
      <c r="AN1323" s="76"/>
      <c r="AO1323" s="76"/>
      <c r="AP1323" s="76"/>
      <c r="AQ1323" s="76"/>
      <c r="AR1323" s="76"/>
      <c r="AS1323" s="76"/>
      <c r="AT1323" s="76"/>
      <c r="AU1323" s="76"/>
      <c r="AV1323" s="76"/>
      <c r="AW1323" s="76"/>
      <c r="AX1323" s="76"/>
      <c r="AY1323" s="76"/>
      <c r="AZ1323" s="76"/>
      <c r="BA1323" s="76"/>
      <c r="BB1323" s="76"/>
    </row>
    <row r="1324" spans="5:54" x14ac:dyDescent="0.35">
      <c r="E1324" s="83"/>
      <c r="F1324" s="83"/>
      <c r="G1324" s="76"/>
      <c r="H1324" s="76"/>
      <c r="I1324" s="76"/>
      <c r="J1324" s="76"/>
      <c r="K1324" s="76"/>
      <c r="L1324" s="76"/>
      <c r="M1324" s="76"/>
      <c r="N1324" s="76"/>
      <c r="O1324" s="76"/>
      <c r="P1324" s="76"/>
      <c r="Q1324" s="76"/>
      <c r="R1324" s="76"/>
      <c r="S1324" s="76"/>
      <c r="T1324" s="76"/>
      <c r="U1324" s="76"/>
      <c r="V1324" s="76"/>
      <c r="W1324" s="76"/>
      <c r="X1324" s="76"/>
      <c r="Y1324" s="76"/>
      <c r="Z1324" s="76"/>
      <c r="AA1324" s="76"/>
      <c r="AB1324" s="76"/>
      <c r="AC1324" s="76"/>
      <c r="AD1324" s="76"/>
      <c r="AE1324" s="76"/>
      <c r="AF1324" s="76"/>
      <c r="AG1324" s="76"/>
      <c r="AH1324" s="76"/>
      <c r="AI1324" s="76"/>
      <c r="AJ1324" s="76"/>
      <c r="AK1324" s="76"/>
      <c r="AL1324" s="76"/>
      <c r="AM1324" s="76"/>
      <c r="AN1324" s="76"/>
      <c r="AO1324" s="76"/>
      <c r="AP1324" s="76"/>
      <c r="AQ1324" s="76"/>
      <c r="AR1324" s="76"/>
      <c r="AS1324" s="76"/>
      <c r="AT1324" s="76"/>
      <c r="AU1324" s="76"/>
      <c r="AV1324" s="76"/>
      <c r="AW1324" s="76"/>
      <c r="AX1324" s="76"/>
      <c r="AY1324" s="76"/>
      <c r="AZ1324" s="76"/>
      <c r="BA1324" s="76"/>
      <c r="BB1324" s="76"/>
    </row>
    <row r="1325" spans="5:54" x14ac:dyDescent="0.35">
      <c r="E1325" s="83"/>
      <c r="F1325" s="83"/>
      <c r="G1325" s="76"/>
      <c r="H1325" s="76"/>
      <c r="I1325" s="76"/>
      <c r="J1325" s="76"/>
      <c r="K1325" s="76"/>
      <c r="L1325" s="76"/>
      <c r="M1325" s="76"/>
      <c r="N1325" s="76"/>
      <c r="O1325" s="76"/>
      <c r="P1325" s="76"/>
      <c r="Q1325" s="76"/>
      <c r="R1325" s="76"/>
      <c r="S1325" s="76"/>
      <c r="T1325" s="76"/>
      <c r="U1325" s="76"/>
      <c r="V1325" s="76"/>
      <c r="W1325" s="76"/>
      <c r="X1325" s="76"/>
      <c r="Y1325" s="76"/>
      <c r="Z1325" s="76"/>
      <c r="AA1325" s="76"/>
      <c r="AB1325" s="76"/>
      <c r="AC1325" s="76"/>
      <c r="AD1325" s="76"/>
      <c r="AE1325" s="76"/>
      <c r="AF1325" s="76"/>
      <c r="AG1325" s="76"/>
      <c r="AH1325" s="76"/>
      <c r="AI1325" s="76"/>
      <c r="AJ1325" s="76"/>
      <c r="AK1325" s="76"/>
      <c r="AL1325" s="76"/>
      <c r="AM1325" s="76"/>
      <c r="AN1325" s="76"/>
      <c r="AO1325" s="76"/>
      <c r="AP1325" s="76"/>
      <c r="AQ1325" s="76"/>
      <c r="AR1325" s="76"/>
      <c r="AS1325" s="76"/>
      <c r="AT1325" s="76"/>
      <c r="AU1325" s="76"/>
      <c r="AV1325" s="76"/>
      <c r="AW1325" s="76"/>
      <c r="AX1325" s="76"/>
      <c r="AY1325" s="76"/>
      <c r="AZ1325" s="76"/>
      <c r="BA1325" s="76"/>
      <c r="BB1325" s="76"/>
    </row>
    <row r="1326" spans="5:54" x14ac:dyDescent="0.35">
      <c r="E1326" s="83"/>
      <c r="F1326" s="83"/>
      <c r="G1326" s="76"/>
      <c r="H1326" s="76"/>
      <c r="I1326" s="76"/>
      <c r="J1326" s="76"/>
      <c r="K1326" s="76"/>
      <c r="L1326" s="76"/>
      <c r="M1326" s="76"/>
      <c r="N1326" s="76"/>
      <c r="O1326" s="76"/>
      <c r="P1326" s="76"/>
      <c r="Q1326" s="76"/>
      <c r="R1326" s="76"/>
      <c r="S1326" s="76"/>
      <c r="T1326" s="76"/>
      <c r="U1326" s="76"/>
      <c r="V1326" s="76"/>
      <c r="W1326" s="76"/>
      <c r="X1326" s="76"/>
      <c r="Y1326" s="76"/>
      <c r="Z1326" s="76"/>
      <c r="AA1326" s="76"/>
      <c r="AB1326" s="76"/>
      <c r="AC1326" s="76"/>
      <c r="AD1326" s="76"/>
      <c r="AE1326" s="76"/>
      <c r="AF1326" s="76"/>
      <c r="AG1326" s="76"/>
      <c r="AH1326" s="76"/>
      <c r="AI1326" s="76"/>
      <c r="AJ1326" s="76"/>
      <c r="AK1326" s="76"/>
      <c r="AL1326" s="76"/>
      <c r="AM1326" s="76"/>
      <c r="AN1326" s="76"/>
      <c r="AO1326" s="76"/>
      <c r="AP1326" s="76"/>
      <c r="AQ1326" s="76"/>
      <c r="AR1326" s="76"/>
      <c r="AS1326" s="76"/>
      <c r="AT1326" s="76"/>
      <c r="AU1326" s="76"/>
      <c r="AV1326" s="76"/>
      <c r="AW1326" s="76"/>
      <c r="AX1326" s="76"/>
      <c r="AY1326" s="76"/>
      <c r="AZ1326" s="76"/>
      <c r="BA1326" s="76"/>
      <c r="BB1326" s="76"/>
    </row>
    <row r="1327" spans="5:54" x14ac:dyDescent="0.35">
      <c r="E1327" s="83"/>
      <c r="F1327" s="83"/>
      <c r="G1327" s="76"/>
      <c r="H1327" s="76"/>
      <c r="I1327" s="76"/>
      <c r="J1327" s="76"/>
      <c r="K1327" s="76"/>
      <c r="L1327" s="76"/>
      <c r="M1327" s="76"/>
      <c r="N1327" s="76"/>
      <c r="O1327" s="76"/>
      <c r="P1327" s="76"/>
      <c r="Q1327" s="76"/>
      <c r="R1327" s="76"/>
      <c r="S1327" s="76"/>
      <c r="T1327" s="76"/>
      <c r="U1327" s="76"/>
      <c r="V1327" s="76"/>
      <c r="W1327" s="76"/>
      <c r="X1327" s="76"/>
      <c r="Y1327" s="76"/>
      <c r="Z1327" s="76"/>
      <c r="AA1327" s="76"/>
      <c r="AB1327" s="76"/>
      <c r="AC1327" s="76"/>
      <c r="AD1327" s="76"/>
      <c r="AE1327" s="76"/>
      <c r="AF1327" s="76"/>
      <c r="AG1327" s="76"/>
      <c r="AH1327" s="76"/>
      <c r="AI1327" s="76"/>
      <c r="AJ1327" s="76"/>
      <c r="AK1327" s="76"/>
      <c r="AL1327" s="76"/>
      <c r="AM1327" s="76"/>
      <c r="AN1327" s="76"/>
      <c r="AO1327" s="76"/>
      <c r="AP1327" s="76"/>
      <c r="AQ1327" s="76"/>
      <c r="AR1327" s="76"/>
      <c r="AS1327" s="76"/>
      <c r="AT1327" s="76"/>
      <c r="AU1327" s="76"/>
      <c r="AV1327" s="76"/>
      <c r="AW1327" s="76"/>
      <c r="AX1327" s="76"/>
      <c r="AY1327" s="76"/>
      <c r="AZ1327" s="76"/>
      <c r="BA1327" s="76"/>
      <c r="BB1327" s="76"/>
    </row>
    <row r="1328" spans="5:54" x14ac:dyDescent="0.35">
      <c r="E1328" s="83"/>
      <c r="F1328" s="83"/>
      <c r="G1328" s="76"/>
      <c r="H1328" s="76"/>
      <c r="I1328" s="76"/>
      <c r="J1328" s="76"/>
      <c r="K1328" s="76"/>
      <c r="L1328" s="76"/>
      <c r="M1328" s="76"/>
      <c r="N1328" s="76"/>
      <c r="O1328" s="76"/>
      <c r="P1328" s="76"/>
      <c r="Q1328" s="76"/>
      <c r="R1328" s="76"/>
      <c r="S1328" s="76"/>
      <c r="T1328" s="76"/>
      <c r="U1328" s="76"/>
      <c r="V1328" s="76"/>
      <c r="W1328" s="76"/>
      <c r="X1328" s="76"/>
      <c r="Y1328" s="76"/>
      <c r="Z1328" s="76"/>
      <c r="AA1328" s="76"/>
      <c r="AB1328" s="76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6"/>
      <c r="AM1328" s="76"/>
      <c r="AN1328" s="76"/>
      <c r="AO1328" s="76"/>
      <c r="AP1328" s="76"/>
      <c r="AQ1328" s="76"/>
      <c r="AR1328" s="76"/>
      <c r="AS1328" s="76"/>
      <c r="AT1328" s="76"/>
      <c r="AU1328" s="76"/>
      <c r="AV1328" s="76"/>
      <c r="AW1328" s="76"/>
      <c r="AX1328" s="76"/>
      <c r="AY1328" s="76"/>
      <c r="AZ1328" s="76"/>
      <c r="BA1328" s="76"/>
      <c r="BB1328" s="76"/>
    </row>
    <row r="1329" spans="5:54" x14ac:dyDescent="0.35">
      <c r="E1329" s="83"/>
      <c r="F1329" s="83"/>
      <c r="G1329" s="76"/>
      <c r="H1329" s="76"/>
      <c r="I1329" s="76"/>
      <c r="J1329" s="76"/>
      <c r="K1329" s="76"/>
      <c r="L1329" s="76"/>
      <c r="M1329" s="76"/>
      <c r="N1329" s="76"/>
      <c r="O1329" s="76"/>
      <c r="P1329" s="76"/>
      <c r="Q1329" s="76"/>
      <c r="R1329" s="76"/>
      <c r="S1329" s="76"/>
      <c r="T1329" s="76"/>
      <c r="U1329" s="76"/>
      <c r="V1329" s="76"/>
      <c r="W1329" s="76"/>
      <c r="X1329" s="76"/>
      <c r="Y1329" s="76"/>
      <c r="Z1329" s="76"/>
      <c r="AA1329" s="76"/>
      <c r="AB1329" s="76"/>
      <c r="AC1329" s="76"/>
      <c r="AD1329" s="76"/>
      <c r="AE1329" s="76"/>
      <c r="AF1329" s="76"/>
      <c r="AG1329" s="76"/>
      <c r="AH1329" s="76"/>
      <c r="AI1329" s="76"/>
      <c r="AJ1329" s="76"/>
      <c r="AK1329" s="76"/>
      <c r="AL1329" s="76"/>
      <c r="AM1329" s="76"/>
      <c r="AN1329" s="76"/>
      <c r="AO1329" s="76"/>
      <c r="AP1329" s="76"/>
      <c r="AQ1329" s="76"/>
      <c r="AR1329" s="76"/>
      <c r="AS1329" s="76"/>
      <c r="AT1329" s="76"/>
      <c r="AU1329" s="76"/>
      <c r="AV1329" s="76"/>
      <c r="AW1329" s="76"/>
      <c r="AX1329" s="76"/>
      <c r="AY1329" s="76"/>
      <c r="AZ1329" s="76"/>
      <c r="BA1329" s="76"/>
      <c r="BB1329" s="76"/>
    </row>
    <row r="1330" spans="5:54" x14ac:dyDescent="0.35">
      <c r="E1330" s="83"/>
      <c r="F1330" s="83"/>
      <c r="G1330" s="76"/>
      <c r="H1330" s="76"/>
      <c r="I1330" s="76"/>
      <c r="J1330" s="76"/>
      <c r="K1330" s="76"/>
      <c r="L1330" s="76"/>
      <c r="M1330" s="76"/>
      <c r="N1330" s="76"/>
      <c r="O1330" s="76"/>
      <c r="P1330" s="76"/>
      <c r="Q1330" s="76"/>
      <c r="R1330" s="76"/>
      <c r="S1330" s="76"/>
      <c r="T1330" s="76"/>
      <c r="U1330" s="76"/>
      <c r="V1330" s="76"/>
      <c r="W1330" s="76"/>
      <c r="X1330" s="76"/>
      <c r="Y1330" s="76"/>
      <c r="Z1330" s="76"/>
      <c r="AA1330" s="76"/>
      <c r="AB1330" s="76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6"/>
      <c r="AM1330" s="76"/>
      <c r="AN1330" s="76"/>
      <c r="AO1330" s="76"/>
      <c r="AP1330" s="76"/>
      <c r="AQ1330" s="76"/>
      <c r="AR1330" s="76"/>
      <c r="AS1330" s="76"/>
      <c r="AT1330" s="76"/>
      <c r="AU1330" s="76"/>
      <c r="AV1330" s="76"/>
      <c r="AW1330" s="76"/>
      <c r="AX1330" s="76"/>
      <c r="AY1330" s="76"/>
      <c r="AZ1330" s="76"/>
      <c r="BA1330" s="76"/>
      <c r="BB1330" s="76"/>
    </row>
    <row r="1331" spans="5:54" x14ac:dyDescent="0.35">
      <c r="E1331" s="83"/>
      <c r="F1331" s="83"/>
      <c r="G1331" s="76"/>
      <c r="H1331" s="76"/>
      <c r="I1331" s="76"/>
      <c r="J1331" s="76"/>
      <c r="K1331" s="76"/>
      <c r="L1331" s="76"/>
      <c r="M1331" s="76"/>
      <c r="N1331" s="76"/>
      <c r="O1331" s="76"/>
      <c r="P1331" s="76"/>
      <c r="Q1331" s="76"/>
      <c r="R1331" s="76"/>
      <c r="S1331" s="76"/>
      <c r="T1331" s="76"/>
      <c r="U1331" s="76"/>
      <c r="V1331" s="76"/>
      <c r="W1331" s="76"/>
      <c r="X1331" s="76"/>
      <c r="Y1331" s="76"/>
      <c r="Z1331" s="76"/>
      <c r="AA1331" s="76"/>
      <c r="AB1331" s="76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6"/>
      <c r="AM1331" s="76"/>
      <c r="AN1331" s="76"/>
      <c r="AO1331" s="76"/>
      <c r="AP1331" s="76"/>
      <c r="AQ1331" s="76"/>
      <c r="AR1331" s="76"/>
      <c r="AS1331" s="76"/>
      <c r="AT1331" s="76"/>
      <c r="AU1331" s="76"/>
      <c r="AV1331" s="76"/>
      <c r="AW1331" s="76"/>
      <c r="AX1331" s="76"/>
      <c r="AY1331" s="76"/>
      <c r="AZ1331" s="76"/>
      <c r="BA1331" s="76"/>
      <c r="BB1331" s="76"/>
    </row>
    <row r="1332" spans="5:54" x14ac:dyDescent="0.35">
      <c r="E1332" s="83"/>
      <c r="F1332" s="83"/>
      <c r="G1332" s="76"/>
      <c r="H1332" s="76"/>
      <c r="I1332" s="76"/>
      <c r="J1332" s="76"/>
      <c r="K1332" s="76"/>
      <c r="L1332" s="76"/>
      <c r="M1332" s="76"/>
      <c r="N1332" s="76"/>
      <c r="O1332" s="76"/>
      <c r="P1332" s="76"/>
      <c r="Q1332" s="76"/>
      <c r="R1332" s="76"/>
      <c r="S1332" s="76"/>
      <c r="T1332" s="76"/>
      <c r="U1332" s="76"/>
      <c r="V1332" s="76"/>
      <c r="W1332" s="76"/>
      <c r="X1332" s="76"/>
      <c r="Y1332" s="76"/>
      <c r="Z1332" s="76"/>
      <c r="AA1332" s="76"/>
      <c r="AB1332" s="76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6"/>
      <c r="AM1332" s="76"/>
      <c r="AN1332" s="76"/>
      <c r="AO1332" s="76"/>
      <c r="AP1332" s="76"/>
      <c r="AQ1332" s="76"/>
      <c r="AR1332" s="76"/>
      <c r="AS1332" s="76"/>
      <c r="AT1332" s="76"/>
      <c r="AU1332" s="76"/>
      <c r="AV1332" s="76"/>
      <c r="AW1332" s="76"/>
      <c r="AX1332" s="76"/>
      <c r="AY1332" s="76"/>
      <c r="AZ1332" s="76"/>
      <c r="BA1332" s="76"/>
      <c r="BB1332" s="76"/>
    </row>
    <row r="1333" spans="5:54" x14ac:dyDescent="0.35">
      <c r="E1333" s="83"/>
      <c r="F1333" s="83"/>
      <c r="G1333" s="76"/>
      <c r="H1333" s="76"/>
      <c r="I1333" s="76"/>
      <c r="J1333" s="76"/>
      <c r="K1333" s="76"/>
      <c r="L1333" s="76"/>
      <c r="M1333" s="76"/>
      <c r="N1333" s="76"/>
      <c r="O1333" s="76"/>
      <c r="P1333" s="76"/>
      <c r="Q1333" s="76"/>
      <c r="R1333" s="76"/>
      <c r="S1333" s="76"/>
      <c r="T1333" s="76"/>
      <c r="U1333" s="76"/>
      <c r="V1333" s="76"/>
      <c r="W1333" s="76"/>
      <c r="X1333" s="76"/>
      <c r="Y1333" s="76"/>
      <c r="Z1333" s="76"/>
      <c r="AA1333" s="76"/>
      <c r="AB1333" s="76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6"/>
      <c r="AM1333" s="76"/>
      <c r="AN1333" s="76"/>
      <c r="AO1333" s="76"/>
      <c r="AP1333" s="76"/>
      <c r="AQ1333" s="76"/>
      <c r="AR1333" s="76"/>
      <c r="AS1333" s="76"/>
      <c r="AT1333" s="76"/>
      <c r="AU1333" s="76"/>
      <c r="AV1333" s="76"/>
      <c r="AW1333" s="76"/>
      <c r="AX1333" s="76"/>
      <c r="AY1333" s="76"/>
      <c r="AZ1333" s="76"/>
      <c r="BA1333" s="76"/>
      <c r="BB1333" s="76"/>
    </row>
    <row r="1334" spans="5:54" x14ac:dyDescent="0.35">
      <c r="E1334" s="83"/>
      <c r="F1334" s="83"/>
      <c r="G1334" s="76"/>
      <c r="H1334" s="76"/>
      <c r="I1334" s="76"/>
      <c r="J1334" s="76"/>
      <c r="K1334" s="76"/>
      <c r="L1334" s="76"/>
      <c r="M1334" s="76"/>
      <c r="N1334" s="76"/>
      <c r="O1334" s="76"/>
      <c r="P1334" s="76"/>
      <c r="Q1334" s="76"/>
      <c r="R1334" s="76"/>
      <c r="S1334" s="76"/>
      <c r="T1334" s="76"/>
      <c r="U1334" s="76"/>
      <c r="V1334" s="76"/>
      <c r="W1334" s="76"/>
      <c r="X1334" s="76"/>
      <c r="Y1334" s="76"/>
      <c r="Z1334" s="76"/>
      <c r="AA1334" s="76"/>
      <c r="AB1334" s="76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6"/>
      <c r="AM1334" s="76"/>
      <c r="AN1334" s="76"/>
      <c r="AO1334" s="76"/>
      <c r="AP1334" s="76"/>
      <c r="AQ1334" s="76"/>
      <c r="AR1334" s="76"/>
      <c r="AS1334" s="76"/>
      <c r="AT1334" s="76"/>
      <c r="AU1334" s="76"/>
      <c r="AV1334" s="76"/>
      <c r="AW1334" s="76"/>
      <c r="AX1334" s="76"/>
      <c r="AY1334" s="76"/>
      <c r="AZ1334" s="76"/>
      <c r="BA1334" s="76"/>
      <c r="BB1334" s="76"/>
    </row>
    <row r="1335" spans="5:54" x14ac:dyDescent="0.35">
      <c r="E1335" s="83"/>
      <c r="F1335" s="83"/>
      <c r="G1335" s="76"/>
      <c r="H1335" s="76"/>
      <c r="I1335" s="76"/>
      <c r="J1335" s="76"/>
      <c r="K1335" s="76"/>
      <c r="L1335" s="76"/>
      <c r="M1335" s="76"/>
      <c r="N1335" s="76"/>
      <c r="O1335" s="76"/>
      <c r="P1335" s="76"/>
      <c r="Q1335" s="76"/>
      <c r="R1335" s="76"/>
      <c r="S1335" s="76"/>
      <c r="T1335" s="76"/>
      <c r="U1335" s="76"/>
      <c r="V1335" s="76"/>
      <c r="W1335" s="76"/>
      <c r="X1335" s="76"/>
      <c r="Y1335" s="76"/>
      <c r="Z1335" s="76"/>
      <c r="AA1335" s="76"/>
      <c r="AB1335" s="76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6"/>
      <c r="BB1335" s="76"/>
    </row>
    <row r="1336" spans="5:54" x14ac:dyDescent="0.35">
      <c r="E1336" s="83"/>
      <c r="F1336" s="83"/>
      <c r="G1336" s="76"/>
      <c r="H1336" s="76"/>
      <c r="I1336" s="76"/>
      <c r="J1336" s="76"/>
      <c r="K1336" s="76"/>
      <c r="L1336" s="76"/>
      <c r="M1336" s="76"/>
      <c r="N1336" s="76"/>
      <c r="O1336" s="76"/>
      <c r="P1336" s="76"/>
      <c r="Q1336" s="76"/>
      <c r="R1336" s="76"/>
      <c r="S1336" s="76"/>
      <c r="T1336" s="76"/>
      <c r="U1336" s="76"/>
      <c r="V1336" s="76"/>
      <c r="W1336" s="76"/>
      <c r="X1336" s="76"/>
      <c r="Y1336" s="76"/>
      <c r="Z1336" s="76"/>
      <c r="AA1336" s="76"/>
      <c r="AB1336" s="76"/>
      <c r="AC1336" s="76"/>
      <c r="AD1336" s="76"/>
      <c r="AE1336" s="76"/>
      <c r="AF1336" s="76"/>
      <c r="AG1336" s="76"/>
      <c r="AH1336" s="76"/>
      <c r="AI1336" s="76"/>
      <c r="AJ1336" s="76"/>
      <c r="AK1336" s="76"/>
      <c r="AL1336" s="76"/>
      <c r="AM1336" s="76"/>
      <c r="AN1336" s="76"/>
      <c r="AO1336" s="76"/>
      <c r="AP1336" s="76"/>
      <c r="AQ1336" s="76"/>
      <c r="AR1336" s="76"/>
      <c r="AS1336" s="76"/>
      <c r="AT1336" s="76"/>
      <c r="AU1336" s="76"/>
      <c r="AV1336" s="76"/>
      <c r="AW1336" s="76"/>
      <c r="AX1336" s="76"/>
      <c r="AY1336" s="76"/>
      <c r="AZ1336" s="76"/>
      <c r="BA1336" s="76"/>
      <c r="BB1336" s="76"/>
    </row>
    <row r="1337" spans="5:54" x14ac:dyDescent="0.35">
      <c r="E1337" s="83"/>
      <c r="F1337" s="83"/>
      <c r="G1337" s="76"/>
      <c r="H1337" s="76"/>
      <c r="I1337" s="76"/>
      <c r="J1337" s="76"/>
      <c r="K1337" s="76"/>
      <c r="L1337" s="76"/>
      <c r="M1337" s="76"/>
      <c r="N1337" s="76"/>
      <c r="O1337" s="76"/>
      <c r="P1337" s="76"/>
      <c r="Q1337" s="76"/>
      <c r="R1337" s="76"/>
      <c r="S1337" s="76"/>
      <c r="T1337" s="76"/>
      <c r="U1337" s="76"/>
      <c r="V1337" s="76"/>
      <c r="W1337" s="76"/>
      <c r="X1337" s="76"/>
      <c r="Y1337" s="76"/>
      <c r="Z1337" s="76"/>
      <c r="AA1337" s="76"/>
      <c r="AB1337" s="76"/>
      <c r="AC1337" s="76"/>
      <c r="AD1337" s="76"/>
      <c r="AE1337" s="76"/>
      <c r="AF1337" s="76"/>
      <c r="AG1337" s="76"/>
      <c r="AH1337" s="76"/>
      <c r="AI1337" s="76"/>
      <c r="AJ1337" s="76"/>
      <c r="AK1337" s="76"/>
      <c r="AL1337" s="76"/>
      <c r="AM1337" s="76"/>
      <c r="AN1337" s="76"/>
      <c r="AO1337" s="76"/>
      <c r="AP1337" s="76"/>
      <c r="AQ1337" s="76"/>
      <c r="AR1337" s="76"/>
      <c r="AS1337" s="76"/>
      <c r="AT1337" s="76"/>
      <c r="AU1337" s="76"/>
      <c r="AV1337" s="76"/>
      <c r="AW1337" s="76"/>
      <c r="AX1337" s="76"/>
      <c r="AY1337" s="76"/>
      <c r="AZ1337" s="76"/>
      <c r="BA1337" s="76"/>
      <c r="BB1337" s="76"/>
    </row>
    <row r="1338" spans="5:54" x14ac:dyDescent="0.35">
      <c r="E1338" s="83"/>
      <c r="F1338" s="83"/>
      <c r="G1338" s="76"/>
      <c r="H1338" s="76"/>
      <c r="I1338" s="76"/>
      <c r="J1338" s="76"/>
      <c r="K1338" s="76"/>
      <c r="L1338" s="76"/>
      <c r="M1338" s="76"/>
      <c r="N1338" s="76"/>
      <c r="O1338" s="76"/>
      <c r="P1338" s="76"/>
      <c r="Q1338" s="76"/>
      <c r="R1338" s="76"/>
      <c r="S1338" s="76"/>
      <c r="T1338" s="76"/>
      <c r="U1338" s="76"/>
      <c r="V1338" s="76"/>
      <c r="W1338" s="76"/>
      <c r="X1338" s="76"/>
      <c r="Y1338" s="76"/>
      <c r="Z1338" s="76"/>
      <c r="AA1338" s="76"/>
      <c r="AB1338" s="76"/>
      <c r="AC1338" s="76"/>
      <c r="AD1338" s="76"/>
      <c r="AE1338" s="76"/>
      <c r="AF1338" s="76"/>
      <c r="AG1338" s="76"/>
      <c r="AH1338" s="76"/>
      <c r="AI1338" s="76"/>
      <c r="AJ1338" s="76"/>
      <c r="AK1338" s="76"/>
      <c r="AL1338" s="76"/>
      <c r="AM1338" s="76"/>
      <c r="AN1338" s="76"/>
      <c r="AO1338" s="76"/>
      <c r="AP1338" s="76"/>
      <c r="AQ1338" s="76"/>
      <c r="AR1338" s="76"/>
      <c r="AS1338" s="76"/>
      <c r="AT1338" s="76"/>
      <c r="AU1338" s="76"/>
      <c r="AV1338" s="76"/>
      <c r="AW1338" s="76"/>
      <c r="AX1338" s="76"/>
      <c r="AY1338" s="76"/>
      <c r="AZ1338" s="76"/>
      <c r="BA1338" s="76"/>
      <c r="BB1338" s="76"/>
    </row>
    <row r="1339" spans="5:54" x14ac:dyDescent="0.35">
      <c r="E1339" s="83"/>
      <c r="F1339" s="83"/>
      <c r="G1339" s="76"/>
      <c r="H1339" s="76"/>
      <c r="I1339" s="76"/>
      <c r="J1339" s="76"/>
      <c r="K1339" s="76"/>
      <c r="L1339" s="76"/>
      <c r="M1339" s="76"/>
      <c r="N1339" s="76"/>
      <c r="O1339" s="76"/>
      <c r="P1339" s="76"/>
      <c r="Q1339" s="76"/>
      <c r="R1339" s="76"/>
      <c r="S1339" s="76"/>
      <c r="T1339" s="76"/>
      <c r="U1339" s="76"/>
      <c r="V1339" s="76"/>
      <c r="W1339" s="76"/>
      <c r="X1339" s="76"/>
      <c r="Y1339" s="76"/>
      <c r="Z1339" s="76"/>
      <c r="AA1339" s="76"/>
      <c r="AB1339" s="76"/>
      <c r="AC1339" s="76"/>
      <c r="AD1339" s="76"/>
      <c r="AE1339" s="76"/>
      <c r="AF1339" s="76"/>
      <c r="AG1339" s="76"/>
      <c r="AH1339" s="76"/>
      <c r="AI1339" s="76"/>
      <c r="AJ1339" s="76"/>
      <c r="AK1339" s="76"/>
      <c r="AL1339" s="76"/>
      <c r="AM1339" s="76"/>
      <c r="AN1339" s="76"/>
      <c r="AO1339" s="76"/>
      <c r="AP1339" s="76"/>
      <c r="AQ1339" s="76"/>
      <c r="AR1339" s="76"/>
      <c r="AS1339" s="76"/>
      <c r="AT1339" s="76"/>
      <c r="AU1339" s="76"/>
      <c r="AV1339" s="76"/>
      <c r="AW1339" s="76"/>
      <c r="AX1339" s="76"/>
      <c r="AY1339" s="76"/>
      <c r="AZ1339" s="76"/>
      <c r="BA1339" s="76"/>
      <c r="BB1339" s="76"/>
    </row>
    <row r="1340" spans="5:54" x14ac:dyDescent="0.35">
      <c r="E1340" s="83"/>
      <c r="F1340" s="83"/>
      <c r="G1340" s="76"/>
      <c r="H1340" s="76"/>
      <c r="I1340" s="76"/>
      <c r="J1340" s="76"/>
      <c r="K1340" s="76"/>
      <c r="L1340" s="76"/>
      <c r="M1340" s="76"/>
      <c r="N1340" s="76"/>
      <c r="O1340" s="76"/>
      <c r="P1340" s="76"/>
      <c r="Q1340" s="76"/>
      <c r="R1340" s="76"/>
      <c r="S1340" s="76"/>
      <c r="T1340" s="76"/>
      <c r="U1340" s="76"/>
      <c r="V1340" s="76"/>
      <c r="W1340" s="76"/>
      <c r="X1340" s="76"/>
      <c r="Y1340" s="76"/>
      <c r="Z1340" s="76"/>
      <c r="AA1340" s="76"/>
      <c r="AB1340" s="76"/>
      <c r="AC1340" s="76"/>
      <c r="AD1340" s="76"/>
      <c r="AE1340" s="76"/>
      <c r="AF1340" s="76"/>
      <c r="AG1340" s="76"/>
      <c r="AH1340" s="76"/>
      <c r="AI1340" s="76"/>
      <c r="AJ1340" s="76"/>
      <c r="AK1340" s="76"/>
      <c r="AL1340" s="76"/>
      <c r="AM1340" s="76"/>
      <c r="AN1340" s="76"/>
      <c r="AO1340" s="76"/>
      <c r="AP1340" s="76"/>
      <c r="AQ1340" s="76"/>
      <c r="AR1340" s="76"/>
      <c r="AS1340" s="76"/>
      <c r="AT1340" s="76"/>
      <c r="AU1340" s="76"/>
      <c r="AV1340" s="76"/>
      <c r="AW1340" s="76"/>
      <c r="AX1340" s="76"/>
      <c r="AY1340" s="76"/>
      <c r="AZ1340" s="76"/>
      <c r="BA1340" s="76"/>
      <c r="BB1340" s="76"/>
    </row>
    <row r="1341" spans="5:54" x14ac:dyDescent="0.35">
      <c r="E1341" s="83"/>
      <c r="F1341" s="83"/>
      <c r="G1341" s="76"/>
      <c r="H1341" s="76"/>
      <c r="I1341" s="76"/>
      <c r="J1341" s="76"/>
      <c r="K1341" s="76"/>
      <c r="L1341" s="76"/>
      <c r="M1341" s="76"/>
      <c r="N1341" s="76"/>
      <c r="O1341" s="76"/>
      <c r="P1341" s="76"/>
      <c r="Q1341" s="76"/>
      <c r="R1341" s="76"/>
      <c r="S1341" s="76"/>
      <c r="T1341" s="76"/>
      <c r="U1341" s="76"/>
      <c r="V1341" s="76"/>
      <c r="W1341" s="76"/>
      <c r="X1341" s="76"/>
      <c r="Y1341" s="76"/>
      <c r="Z1341" s="76"/>
      <c r="AA1341" s="76"/>
      <c r="AB1341" s="76"/>
      <c r="AC1341" s="76"/>
      <c r="AD1341" s="76"/>
      <c r="AE1341" s="76"/>
      <c r="AF1341" s="76"/>
      <c r="AG1341" s="76"/>
      <c r="AH1341" s="76"/>
      <c r="AI1341" s="76"/>
      <c r="AJ1341" s="76"/>
      <c r="AK1341" s="76"/>
      <c r="AL1341" s="76"/>
      <c r="AM1341" s="76"/>
      <c r="AN1341" s="76"/>
      <c r="AO1341" s="76"/>
      <c r="AP1341" s="76"/>
      <c r="AQ1341" s="76"/>
      <c r="AR1341" s="76"/>
      <c r="AS1341" s="76"/>
      <c r="AT1341" s="76"/>
      <c r="AU1341" s="76"/>
      <c r="AV1341" s="76"/>
      <c r="AW1341" s="76"/>
      <c r="AX1341" s="76"/>
      <c r="AY1341" s="76"/>
      <c r="AZ1341" s="76"/>
      <c r="BA1341" s="76"/>
      <c r="BB1341" s="76"/>
    </row>
    <row r="1342" spans="5:54" x14ac:dyDescent="0.35">
      <c r="E1342" s="83"/>
      <c r="F1342" s="83"/>
      <c r="G1342" s="76"/>
      <c r="H1342" s="76"/>
      <c r="I1342" s="76"/>
      <c r="J1342" s="76"/>
      <c r="K1342" s="76"/>
      <c r="L1342" s="76"/>
      <c r="M1342" s="76"/>
      <c r="N1342" s="76"/>
      <c r="O1342" s="76"/>
      <c r="P1342" s="76"/>
      <c r="Q1342" s="76"/>
      <c r="R1342" s="76"/>
      <c r="S1342" s="76"/>
      <c r="T1342" s="76"/>
      <c r="U1342" s="76"/>
      <c r="V1342" s="76"/>
      <c r="W1342" s="76"/>
      <c r="X1342" s="76"/>
      <c r="Y1342" s="76"/>
      <c r="Z1342" s="76"/>
      <c r="AA1342" s="76"/>
      <c r="AB1342" s="76"/>
      <c r="AC1342" s="76"/>
      <c r="AD1342" s="76"/>
      <c r="AE1342" s="76"/>
      <c r="AF1342" s="76"/>
      <c r="AG1342" s="76"/>
      <c r="AH1342" s="76"/>
      <c r="AI1342" s="76"/>
      <c r="AJ1342" s="76"/>
      <c r="AK1342" s="76"/>
      <c r="AL1342" s="76"/>
      <c r="AM1342" s="76"/>
      <c r="AN1342" s="76"/>
      <c r="AO1342" s="76"/>
      <c r="AP1342" s="76"/>
      <c r="AQ1342" s="76"/>
      <c r="AR1342" s="76"/>
      <c r="AS1342" s="76"/>
      <c r="AT1342" s="76"/>
      <c r="AU1342" s="76"/>
      <c r="AV1342" s="76"/>
      <c r="AW1342" s="76"/>
      <c r="AX1342" s="76"/>
      <c r="AY1342" s="76"/>
      <c r="AZ1342" s="76"/>
      <c r="BA1342" s="76"/>
      <c r="BB1342" s="76"/>
    </row>
    <row r="1343" spans="5:54" x14ac:dyDescent="0.35">
      <c r="E1343" s="83"/>
      <c r="F1343" s="83"/>
      <c r="G1343" s="76"/>
      <c r="H1343" s="76"/>
      <c r="I1343" s="76"/>
      <c r="J1343" s="76"/>
      <c r="K1343" s="76"/>
      <c r="L1343" s="76"/>
      <c r="M1343" s="76"/>
      <c r="N1343" s="76"/>
      <c r="O1343" s="76"/>
      <c r="P1343" s="76"/>
      <c r="Q1343" s="76"/>
      <c r="R1343" s="76"/>
      <c r="S1343" s="76"/>
      <c r="T1343" s="76"/>
      <c r="U1343" s="76"/>
      <c r="V1343" s="76"/>
      <c r="W1343" s="76"/>
      <c r="X1343" s="76"/>
      <c r="Y1343" s="76"/>
      <c r="Z1343" s="76"/>
      <c r="AA1343" s="76"/>
      <c r="AB1343" s="76"/>
      <c r="AC1343" s="76"/>
      <c r="AD1343" s="76"/>
      <c r="AE1343" s="76"/>
      <c r="AF1343" s="76"/>
      <c r="AG1343" s="76"/>
      <c r="AH1343" s="76"/>
      <c r="AI1343" s="76"/>
      <c r="AJ1343" s="76"/>
      <c r="AK1343" s="76"/>
      <c r="AL1343" s="76"/>
      <c r="AM1343" s="76"/>
      <c r="AN1343" s="76"/>
      <c r="AO1343" s="76"/>
      <c r="AP1343" s="76"/>
      <c r="AQ1343" s="76"/>
      <c r="AR1343" s="76"/>
      <c r="AS1343" s="76"/>
      <c r="AT1343" s="76"/>
      <c r="AU1343" s="76"/>
      <c r="AV1343" s="76"/>
      <c r="AW1343" s="76"/>
      <c r="AX1343" s="76"/>
      <c r="AY1343" s="76"/>
      <c r="AZ1343" s="76"/>
      <c r="BA1343" s="76"/>
      <c r="BB1343" s="76"/>
    </row>
    <row r="1344" spans="5:54" x14ac:dyDescent="0.35">
      <c r="E1344" s="83"/>
      <c r="F1344" s="83"/>
      <c r="G1344" s="76"/>
      <c r="H1344" s="76"/>
      <c r="I1344" s="76"/>
      <c r="J1344" s="76"/>
      <c r="K1344" s="76"/>
      <c r="L1344" s="76"/>
      <c r="M1344" s="76"/>
      <c r="N1344" s="76"/>
      <c r="O1344" s="76"/>
      <c r="P1344" s="76"/>
      <c r="Q1344" s="76"/>
      <c r="R1344" s="76"/>
      <c r="S1344" s="76"/>
      <c r="T1344" s="76"/>
      <c r="U1344" s="76"/>
      <c r="V1344" s="76"/>
      <c r="W1344" s="76"/>
      <c r="X1344" s="76"/>
      <c r="Y1344" s="76"/>
      <c r="Z1344" s="76"/>
      <c r="AA1344" s="76"/>
      <c r="AB1344" s="76"/>
      <c r="AC1344" s="76"/>
      <c r="AD1344" s="76"/>
      <c r="AE1344" s="76"/>
      <c r="AF1344" s="76"/>
      <c r="AG1344" s="76"/>
      <c r="AH1344" s="76"/>
      <c r="AI1344" s="76"/>
      <c r="AJ1344" s="76"/>
      <c r="AK1344" s="76"/>
      <c r="AL1344" s="76"/>
      <c r="AM1344" s="76"/>
      <c r="AN1344" s="76"/>
      <c r="AO1344" s="76"/>
      <c r="AP1344" s="76"/>
      <c r="AQ1344" s="76"/>
      <c r="AR1344" s="76"/>
      <c r="AS1344" s="76"/>
      <c r="AT1344" s="76"/>
      <c r="AU1344" s="76"/>
      <c r="AV1344" s="76"/>
      <c r="AW1344" s="76"/>
      <c r="AX1344" s="76"/>
      <c r="AY1344" s="76"/>
      <c r="AZ1344" s="76"/>
      <c r="BA1344" s="76"/>
      <c r="BB1344" s="76"/>
    </row>
    <row r="1345" spans="5:54" x14ac:dyDescent="0.35">
      <c r="E1345" s="83"/>
      <c r="F1345" s="83"/>
      <c r="G1345" s="76"/>
      <c r="H1345" s="76"/>
      <c r="I1345" s="76"/>
      <c r="J1345" s="76"/>
      <c r="K1345" s="76"/>
      <c r="L1345" s="76"/>
      <c r="M1345" s="76"/>
      <c r="N1345" s="76"/>
      <c r="O1345" s="76"/>
      <c r="P1345" s="76"/>
      <c r="Q1345" s="76"/>
      <c r="R1345" s="76"/>
      <c r="S1345" s="76"/>
      <c r="T1345" s="76"/>
      <c r="U1345" s="76"/>
      <c r="V1345" s="76"/>
      <c r="W1345" s="76"/>
      <c r="X1345" s="76"/>
      <c r="Y1345" s="76"/>
      <c r="Z1345" s="76"/>
      <c r="AA1345" s="76"/>
      <c r="AB1345" s="76"/>
      <c r="AC1345" s="76"/>
      <c r="AD1345" s="76"/>
      <c r="AE1345" s="76"/>
      <c r="AF1345" s="76"/>
      <c r="AG1345" s="76"/>
      <c r="AH1345" s="76"/>
      <c r="AI1345" s="76"/>
      <c r="AJ1345" s="76"/>
      <c r="AK1345" s="76"/>
      <c r="AL1345" s="76"/>
      <c r="AM1345" s="76"/>
      <c r="AN1345" s="76"/>
      <c r="AO1345" s="76"/>
      <c r="AP1345" s="76"/>
      <c r="AQ1345" s="76"/>
      <c r="AR1345" s="76"/>
      <c r="AS1345" s="76"/>
      <c r="AT1345" s="76"/>
      <c r="AU1345" s="76"/>
      <c r="AV1345" s="76"/>
      <c r="AW1345" s="76"/>
      <c r="AX1345" s="76"/>
      <c r="AY1345" s="76"/>
      <c r="AZ1345" s="76"/>
      <c r="BA1345" s="76"/>
      <c r="BB1345" s="76"/>
    </row>
    <row r="1346" spans="5:54" x14ac:dyDescent="0.35">
      <c r="E1346" s="83"/>
      <c r="F1346" s="83"/>
      <c r="G1346" s="76"/>
      <c r="H1346" s="76"/>
      <c r="I1346" s="76"/>
      <c r="J1346" s="76"/>
      <c r="K1346" s="76"/>
      <c r="L1346" s="76"/>
      <c r="M1346" s="76"/>
      <c r="N1346" s="76"/>
      <c r="O1346" s="76"/>
      <c r="P1346" s="76"/>
      <c r="Q1346" s="76"/>
      <c r="R1346" s="76"/>
      <c r="S1346" s="76"/>
      <c r="T1346" s="76"/>
      <c r="U1346" s="76"/>
      <c r="V1346" s="76"/>
      <c r="W1346" s="76"/>
      <c r="X1346" s="76"/>
      <c r="Y1346" s="76"/>
      <c r="Z1346" s="76"/>
      <c r="AA1346" s="76"/>
      <c r="AB1346" s="76"/>
      <c r="AC1346" s="76"/>
      <c r="AD1346" s="76"/>
      <c r="AE1346" s="76"/>
      <c r="AF1346" s="76"/>
      <c r="AG1346" s="76"/>
      <c r="AH1346" s="76"/>
      <c r="AI1346" s="76"/>
      <c r="AJ1346" s="76"/>
      <c r="AK1346" s="76"/>
      <c r="AL1346" s="76"/>
      <c r="AM1346" s="76"/>
      <c r="AN1346" s="76"/>
      <c r="AO1346" s="76"/>
      <c r="AP1346" s="76"/>
      <c r="AQ1346" s="76"/>
      <c r="AR1346" s="76"/>
      <c r="AS1346" s="76"/>
      <c r="AT1346" s="76"/>
      <c r="AU1346" s="76"/>
      <c r="AV1346" s="76"/>
      <c r="AW1346" s="76"/>
      <c r="AX1346" s="76"/>
      <c r="AY1346" s="76"/>
      <c r="AZ1346" s="76"/>
      <c r="BA1346" s="76"/>
      <c r="BB1346" s="76"/>
    </row>
    <row r="1347" spans="5:54" x14ac:dyDescent="0.35">
      <c r="E1347" s="83"/>
      <c r="F1347" s="83"/>
      <c r="G1347" s="76"/>
      <c r="H1347" s="76"/>
      <c r="I1347" s="76"/>
      <c r="J1347" s="76"/>
      <c r="K1347" s="76"/>
      <c r="L1347" s="76"/>
      <c r="M1347" s="76"/>
      <c r="N1347" s="76"/>
      <c r="O1347" s="76"/>
      <c r="P1347" s="76"/>
      <c r="Q1347" s="76"/>
      <c r="R1347" s="76"/>
      <c r="S1347" s="76"/>
      <c r="T1347" s="76"/>
      <c r="U1347" s="76"/>
      <c r="V1347" s="76"/>
      <c r="W1347" s="76"/>
      <c r="X1347" s="76"/>
      <c r="Y1347" s="76"/>
      <c r="Z1347" s="76"/>
      <c r="AA1347" s="76"/>
      <c r="AB1347" s="76"/>
      <c r="AC1347" s="76"/>
      <c r="AD1347" s="76"/>
      <c r="AE1347" s="76"/>
      <c r="AF1347" s="76"/>
      <c r="AG1347" s="76"/>
      <c r="AH1347" s="76"/>
      <c r="AI1347" s="76"/>
      <c r="AJ1347" s="76"/>
      <c r="AK1347" s="76"/>
      <c r="AL1347" s="76"/>
      <c r="AM1347" s="76"/>
      <c r="AN1347" s="76"/>
      <c r="AO1347" s="76"/>
      <c r="AP1347" s="76"/>
      <c r="AQ1347" s="76"/>
      <c r="AR1347" s="76"/>
      <c r="AS1347" s="76"/>
      <c r="AT1347" s="76"/>
      <c r="AU1347" s="76"/>
      <c r="AV1347" s="76"/>
      <c r="AW1347" s="76"/>
      <c r="AX1347" s="76"/>
      <c r="AY1347" s="76"/>
      <c r="AZ1347" s="76"/>
      <c r="BA1347" s="76"/>
      <c r="BB1347" s="76"/>
    </row>
    <row r="1348" spans="5:54" x14ac:dyDescent="0.35">
      <c r="E1348" s="83"/>
      <c r="F1348" s="83"/>
      <c r="G1348" s="76"/>
      <c r="H1348" s="76"/>
      <c r="I1348" s="76"/>
      <c r="J1348" s="76"/>
      <c r="K1348" s="76"/>
      <c r="L1348" s="76"/>
      <c r="M1348" s="76"/>
      <c r="N1348" s="76"/>
      <c r="O1348" s="76"/>
      <c r="P1348" s="76"/>
      <c r="Q1348" s="76"/>
      <c r="R1348" s="76"/>
      <c r="S1348" s="76"/>
      <c r="T1348" s="76"/>
      <c r="U1348" s="76"/>
      <c r="V1348" s="76"/>
      <c r="W1348" s="76"/>
      <c r="X1348" s="76"/>
      <c r="Y1348" s="76"/>
      <c r="Z1348" s="76"/>
      <c r="AA1348" s="76"/>
      <c r="AB1348" s="76"/>
      <c r="AC1348" s="76"/>
      <c r="AD1348" s="76"/>
      <c r="AE1348" s="76"/>
      <c r="AF1348" s="76"/>
      <c r="AG1348" s="76"/>
      <c r="AH1348" s="76"/>
      <c r="AI1348" s="76"/>
      <c r="AJ1348" s="76"/>
      <c r="AK1348" s="76"/>
      <c r="AL1348" s="76"/>
      <c r="AM1348" s="76"/>
      <c r="AN1348" s="76"/>
      <c r="AO1348" s="76"/>
      <c r="AP1348" s="76"/>
      <c r="AQ1348" s="76"/>
      <c r="AR1348" s="76"/>
      <c r="AS1348" s="76"/>
      <c r="AT1348" s="76"/>
      <c r="AU1348" s="76"/>
      <c r="AV1348" s="76"/>
      <c r="AW1348" s="76"/>
      <c r="AX1348" s="76"/>
      <c r="AY1348" s="76"/>
      <c r="AZ1348" s="76"/>
      <c r="BA1348" s="76"/>
      <c r="BB1348" s="76"/>
    </row>
    <row r="1349" spans="5:54" x14ac:dyDescent="0.35">
      <c r="E1349" s="83"/>
      <c r="F1349" s="83"/>
      <c r="G1349" s="76"/>
      <c r="H1349" s="76"/>
      <c r="I1349" s="76"/>
      <c r="J1349" s="76"/>
      <c r="K1349" s="76"/>
      <c r="L1349" s="76"/>
      <c r="M1349" s="76"/>
      <c r="N1349" s="76"/>
      <c r="O1349" s="76"/>
      <c r="P1349" s="76"/>
      <c r="Q1349" s="76"/>
      <c r="R1349" s="76"/>
      <c r="S1349" s="76"/>
      <c r="T1349" s="76"/>
      <c r="U1349" s="76"/>
      <c r="V1349" s="76"/>
      <c r="W1349" s="76"/>
      <c r="X1349" s="76"/>
      <c r="Y1349" s="76"/>
      <c r="Z1349" s="76"/>
      <c r="AA1349" s="76"/>
      <c r="AB1349" s="76"/>
      <c r="AC1349" s="76"/>
      <c r="AD1349" s="76"/>
      <c r="AE1349" s="76"/>
      <c r="AF1349" s="76"/>
      <c r="AG1349" s="76"/>
      <c r="AH1349" s="76"/>
      <c r="AI1349" s="76"/>
      <c r="AJ1349" s="76"/>
      <c r="AK1349" s="76"/>
      <c r="AL1349" s="76"/>
      <c r="AM1349" s="76"/>
      <c r="AN1349" s="76"/>
      <c r="AO1349" s="76"/>
      <c r="AP1349" s="76"/>
      <c r="AQ1349" s="76"/>
      <c r="AR1349" s="76"/>
      <c r="AS1349" s="76"/>
      <c r="AT1349" s="76"/>
      <c r="AU1349" s="76"/>
      <c r="AV1349" s="76"/>
      <c r="AW1349" s="76"/>
      <c r="AX1349" s="76"/>
      <c r="AY1349" s="76"/>
      <c r="AZ1349" s="76"/>
      <c r="BA1349" s="76"/>
      <c r="BB1349" s="76"/>
    </row>
    <row r="1350" spans="5:54" x14ac:dyDescent="0.35">
      <c r="E1350" s="83"/>
      <c r="F1350" s="83"/>
      <c r="G1350" s="76"/>
      <c r="H1350" s="76"/>
      <c r="I1350" s="76"/>
      <c r="J1350" s="76"/>
      <c r="K1350" s="76"/>
      <c r="L1350" s="76"/>
      <c r="M1350" s="76"/>
      <c r="N1350" s="76"/>
      <c r="O1350" s="76"/>
      <c r="P1350" s="76"/>
      <c r="Q1350" s="76"/>
      <c r="R1350" s="76"/>
      <c r="S1350" s="76"/>
      <c r="T1350" s="76"/>
      <c r="U1350" s="76"/>
      <c r="V1350" s="76"/>
      <c r="W1350" s="76"/>
      <c r="X1350" s="76"/>
      <c r="Y1350" s="76"/>
      <c r="Z1350" s="76"/>
      <c r="AA1350" s="76"/>
      <c r="AB1350" s="76"/>
      <c r="AC1350" s="76"/>
      <c r="AD1350" s="76"/>
      <c r="AE1350" s="76"/>
      <c r="AF1350" s="76"/>
      <c r="AG1350" s="76"/>
      <c r="AH1350" s="76"/>
      <c r="AI1350" s="76"/>
      <c r="AJ1350" s="76"/>
      <c r="AK1350" s="76"/>
      <c r="AL1350" s="76"/>
      <c r="AM1350" s="76"/>
      <c r="AN1350" s="76"/>
      <c r="AO1350" s="76"/>
      <c r="AP1350" s="76"/>
      <c r="AQ1350" s="76"/>
      <c r="AR1350" s="76"/>
      <c r="AS1350" s="76"/>
      <c r="AT1350" s="76"/>
      <c r="AU1350" s="76"/>
      <c r="AV1350" s="76"/>
      <c r="AW1350" s="76"/>
      <c r="AX1350" s="76"/>
      <c r="AY1350" s="76"/>
      <c r="AZ1350" s="76"/>
      <c r="BA1350" s="76"/>
      <c r="BB1350" s="76"/>
    </row>
    <row r="1351" spans="5:54" x14ac:dyDescent="0.35">
      <c r="E1351" s="83"/>
      <c r="F1351" s="83"/>
      <c r="G1351" s="76"/>
      <c r="H1351" s="76"/>
      <c r="I1351" s="76"/>
      <c r="J1351" s="76"/>
      <c r="K1351" s="76"/>
      <c r="L1351" s="76"/>
      <c r="M1351" s="76"/>
      <c r="N1351" s="76"/>
      <c r="O1351" s="76"/>
      <c r="P1351" s="76"/>
      <c r="Q1351" s="76"/>
      <c r="R1351" s="76"/>
      <c r="S1351" s="76"/>
      <c r="T1351" s="76"/>
      <c r="U1351" s="76"/>
      <c r="V1351" s="76"/>
      <c r="W1351" s="76"/>
      <c r="X1351" s="76"/>
      <c r="Y1351" s="76"/>
      <c r="Z1351" s="76"/>
      <c r="AA1351" s="76"/>
      <c r="AB1351" s="76"/>
      <c r="AC1351" s="76"/>
      <c r="AD1351" s="76"/>
      <c r="AE1351" s="76"/>
      <c r="AF1351" s="76"/>
      <c r="AG1351" s="76"/>
      <c r="AH1351" s="76"/>
      <c r="AI1351" s="76"/>
      <c r="AJ1351" s="76"/>
      <c r="AK1351" s="76"/>
      <c r="AL1351" s="76"/>
      <c r="AM1351" s="76"/>
      <c r="AN1351" s="76"/>
      <c r="AO1351" s="76"/>
      <c r="AP1351" s="76"/>
      <c r="AQ1351" s="76"/>
      <c r="AR1351" s="76"/>
      <c r="AS1351" s="76"/>
      <c r="AT1351" s="76"/>
      <c r="AU1351" s="76"/>
      <c r="AV1351" s="76"/>
      <c r="AW1351" s="76"/>
      <c r="AX1351" s="76"/>
      <c r="AY1351" s="76"/>
      <c r="AZ1351" s="76"/>
      <c r="BA1351" s="76"/>
      <c r="BB1351" s="76"/>
    </row>
    <row r="1352" spans="5:54" x14ac:dyDescent="0.35">
      <c r="E1352" s="83"/>
      <c r="F1352" s="83"/>
      <c r="G1352" s="76"/>
      <c r="H1352" s="76"/>
      <c r="I1352" s="76"/>
      <c r="J1352" s="76"/>
      <c r="K1352" s="76"/>
      <c r="L1352" s="76"/>
      <c r="M1352" s="76"/>
      <c r="N1352" s="76"/>
      <c r="O1352" s="76"/>
      <c r="P1352" s="76"/>
      <c r="Q1352" s="76"/>
      <c r="R1352" s="76"/>
      <c r="S1352" s="76"/>
      <c r="T1352" s="76"/>
      <c r="U1352" s="76"/>
      <c r="V1352" s="76"/>
      <c r="W1352" s="76"/>
      <c r="X1352" s="76"/>
      <c r="Y1352" s="76"/>
      <c r="Z1352" s="76"/>
      <c r="AA1352" s="76"/>
      <c r="AB1352" s="76"/>
      <c r="AC1352" s="76"/>
      <c r="AD1352" s="76"/>
      <c r="AE1352" s="76"/>
      <c r="AF1352" s="76"/>
      <c r="AG1352" s="76"/>
      <c r="AH1352" s="76"/>
      <c r="AI1352" s="76"/>
      <c r="AJ1352" s="76"/>
      <c r="AK1352" s="76"/>
      <c r="AL1352" s="76"/>
      <c r="AM1352" s="76"/>
      <c r="AN1352" s="76"/>
      <c r="AO1352" s="76"/>
      <c r="AP1352" s="76"/>
      <c r="AQ1352" s="76"/>
      <c r="AR1352" s="76"/>
      <c r="AS1352" s="76"/>
      <c r="AT1352" s="76"/>
      <c r="AU1352" s="76"/>
      <c r="AV1352" s="76"/>
      <c r="AW1352" s="76"/>
      <c r="AX1352" s="76"/>
      <c r="AY1352" s="76"/>
      <c r="AZ1352" s="76"/>
      <c r="BA1352" s="76"/>
      <c r="BB1352" s="76"/>
    </row>
    <row r="1353" spans="5:54" x14ac:dyDescent="0.35">
      <c r="E1353" s="83"/>
      <c r="F1353" s="83"/>
      <c r="G1353" s="76"/>
      <c r="H1353" s="76"/>
      <c r="I1353" s="76"/>
      <c r="J1353" s="76"/>
      <c r="K1353" s="76"/>
      <c r="L1353" s="76"/>
      <c r="M1353" s="76"/>
      <c r="N1353" s="76"/>
      <c r="O1353" s="76"/>
      <c r="P1353" s="76"/>
      <c r="Q1353" s="76"/>
      <c r="R1353" s="76"/>
      <c r="S1353" s="76"/>
      <c r="T1353" s="76"/>
      <c r="U1353" s="76"/>
      <c r="V1353" s="76"/>
      <c r="W1353" s="76"/>
      <c r="X1353" s="76"/>
      <c r="Y1353" s="76"/>
      <c r="Z1353" s="76"/>
      <c r="AA1353" s="76"/>
      <c r="AB1353" s="76"/>
      <c r="AC1353" s="76"/>
      <c r="AD1353" s="76"/>
      <c r="AE1353" s="76"/>
      <c r="AF1353" s="76"/>
      <c r="AG1353" s="76"/>
      <c r="AH1353" s="76"/>
      <c r="AI1353" s="76"/>
      <c r="AJ1353" s="76"/>
      <c r="AK1353" s="76"/>
      <c r="AL1353" s="76"/>
      <c r="AM1353" s="76"/>
      <c r="AN1353" s="76"/>
      <c r="AO1353" s="76"/>
      <c r="AP1353" s="76"/>
      <c r="AQ1353" s="76"/>
      <c r="AR1353" s="76"/>
      <c r="AS1353" s="76"/>
      <c r="AT1353" s="76"/>
      <c r="AU1353" s="76"/>
      <c r="AV1353" s="76"/>
      <c r="AW1353" s="76"/>
      <c r="AX1353" s="76"/>
      <c r="AY1353" s="76"/>
      <c r="AZ1353" s="76"/>
      <c r="BA1353" s="76"/>
      <c r="BB1353" s="76"/>
    </row>
    <row r="1354" spans="5:54" x14ac:dyDescent="0.35">
      <c r="E1354" s="83"/>
      <c r="F1354" s="83"/>
      <c r="G1354" s="76"/>
      <c r="H1354" s="76"/>
      <c r="I1354" s="76"/>
      <c r="J1354" s="76"/>
      <c r="K1354" s="76"/>
      <c r="L1354" s="76"/>
      <c r="M1354" s="76"/>
      <c r="N1354" s="76"/>
      <c r="O1354" s="76"/>
      <c r="P1354" s="76"/>
      <c r="Q1354" s="76"/>
      <c r="R1354" s="76"/>
      <c r="S1354" s="76"/>
      <c r="T1354" s="76"/>
      <c r="U1354" s="76"/>
      <c r="V1354" s="76"/>
      <c r="W1354" s="76"/>
      <c r="X1354" s="76"/>
      <c r="Y1354" s="76"/>
      <c r="Z1354" s="76"/>
      <c r="AA1354" s="76"/>
      <c r="AB1354" s="76"/>
      <c r="AC1354" s="76"/>
      <c r="AD1354" s="76"/>
      <c r="AE1354" s="76"/>
      <c r="AF1354" s="76"/>
      <c r="AG1354" s="76"/>
      <c r="AH1354" s="76"/>
      <c r="AI1354" s="76"/>
      <c r="AJ1354" s="76"/>
      <c r="AK1354" s="76"/>
      <c r="AL1354" s="76"/>
      <c r="AM1354" s="76"/>
      <c r="AN1354" s="76"/>
      <c r="AO1354" s="76"/>
      <c r="AP1354" s="76"/>
      <c r="AQ1354" s="76"/>
      <c r="AR1354" s="76"/>
      <c r="AS1354" s="76"/>
      <c r="AT1354" s="76"/>
      <c r="AU1354" s="76"/>
      <c r="AV1354" s="76"/>
      <c r="AW1354" s="76"/>
      <c r="AX1354" s="76"/>
      <c r="AY1354" s="76"/>
      <c r="AZ1354" s="76"/>
      <c r="BA1354" s="76"/>
      <c r="BB1354" s="76"/>
    </row>
    <row r="1355" spans="5:54" x14ac:dyDescent="0.35">
      <c r="E1355" s="83"/>
      <c r="F1355" s="83"/>
      <c r="G1355" s="76"/>
      <c r="H1355" s="76"/>
      <c r="I1355" s="76"/>
      <c r="J1355" s="76"/>
      <c r="K1355" s="76"/>
      <c r="L1355" s="76"/>
      <c r="M1355" s="76"/>
      <c r="N1355" s="76"/>
      <c r="O1355" s="76"/>
      <c r="P1355" s="76"/>
      <c r="Q1355" s="76"/>
      <c r="R1355" s="76"/>
      <c r="S1355" s="76"/>
      <c r="T1355" s="76"/>
      <c r="U1355" s="76"/>
      <c r="V1355" s="76"/>
      <c r="W1355" s="76"/>
      <c r="X1355" s="76"/>
      <c r="Y1355" s="76"/>
      <c r="Z1355" s="76"/>
      <c r="AA1355" s="76"/>
      <c r="AB1355" s="76"/>
      <c r="AC1355" s="76"/>
      <c r="AD1355" s="76"/>
      <c r="AE1355" s="76"/>
      <c r="AF1355" s="76"/>
      <c r="AG1355" s="76"/>
      <c r="AH1355" s="76"/>
      <c r="AI1355" s="76"/>
      <c r="AJ1355" s="76"/>
      <c r="AK1355" s="76"/>
      <c r="AL1355" s="76"/>
      <c r="AM1355" s="76"/>
      <c r="AN1355" s="76"/>
      <c r="AO1355" s="76"/>
      <c r="AP1355" s="76"/>
      <c r="AQ1355" s="76"/>
      <c r="AR1355" s="76"/>
      <c r="AS1355" s="76"/>
      <c r="AT1355" s="76"/>
      <c r="AU1355" s="76"/>
      <c r="AV1355" s="76"/>
      <c r="AW1355" s="76"/>
      <c r="AX1355" s="76"/>
      <c r="AY1355" s="76"/>
      <c r="AZ1355" s="76"/>
      <c r="BA1355" s="76"/>
      <c r="BB1355" s="76"/>
    </row>
    <row r="1356" spans="5:54" x14ac:dyDescent="0.35">
      <c r="E1356" s="83"/>
      <c r="F1356" s="83"/>
      <c r="G1356" s="76"/>
      <c r="H1356" s="76"/>
      <c r="I1356" s="76"/>
      <c r="J1356" s="76"/>
      <c r="K1356" s="76"/>
      <c r="L1356" s="76"/>
      <c r="M1356" s="76"/>
      <c r="N1356" s="76"/>
      <c r="O1356" s="76"/>
      <c r="P1356" s="76"/>
      <c r="Q1356" s="76"/>
      <c r="R1356" s="76"/>
      <c r="S1356" s="76"/>
      <c r="T1356" s="76"/>
      <c r="U1356" s="76"/>
      <c r="V1356" s="76"/>
      <c r="W1356" s="76"/>
      <c r="X1356" s="76"/>
      <c r="Y1356" s="76"/>
      <c r="Z1356" s="76"/>
      <c r="AA1356" s="76"/>
      <c r="AB1356" s="76"/>
      <c r="AC1356" s="76"/>
      <c r="AD1356" s="76"/>
      <c r="AE1356" s="76"/>
      <c r="AF1356" s="76"/>
      <c r="AG1356" s="76"/>
      <c r="AH1356" s="76"/>
      <c r="AI1356" s="76"/>
      <c r="AJ1356" s="76"/>
      <c r="AK1356" s="76"/>
      <c r="AL1356" s="76"/>
      <c r="AM1356" s="76"/>
      <c r="AN1356" s="76"/>
      <c r="AO1356" s="76"/>
      <c r="AP1356" s="76"/>
      <c r="AQ1356" s="76"/>
      <c r="AR1356" s="76"/>
      <c r="AS1356" s="76"/>
      <c r="AT1356" s="76"/>
      <c r="AU1356" s="76"/>
      <c r="AV1356" s="76"/>
      <c r="AW1356" s="76"/>
      <c r="AX1356" s="76"/>
      <c r="AY1356" s="76"/>
      <c r="AZ1356" s="76"/>
      <c r="BA1356" s="76"/>
      <c r="BB1356" s="76"/>
    </row>
    <row r="1357" spans="5:54" x14ac:dyDescent="0.35">
      <c r="E1357" s="83"/>
      <c r="F1357" s="83"/>
      <c r="G1357" s="76"/>
      <c r="H1357" s="76"/>
      <c r="I1357" s="76"/>
      <c r="J1357" s="76"/>
      <c r="K1357" s="76"/>
      <c r="L1357" s="76"/>
      <c r="M1357" s="76"/>
      <c r="N1357" s="76"/>
      <c r="O1357" s="76"/>
      <c r="P1357" s="76"/>
      <c r="Q1357" s="76"/>
      <c r="R1357" s="76"/>
      <c r="S1357" s="76"/>
      <c r="T1357" s="76"/>
      <c r="U1357" s="76"/>
      <c r="V1357" s="76"/>
      <c r="W1357" s="76"/>
      <c r="X1357" s="76"/>
      <c r="Y1357" s="76"/>
      <c r="Z1357" s="76"/>
      <c r="AA1357" s="76"/>
      <c r="AB1357" s="76"/>
      <c r="AC1357" s="76"/>
      <c r="AD1357" s="76"/>
      <c r="AE1357" s="76"/>
      <c r="AF1357" s="76"/>
      <c r="AG1357" s="76"/>
      <c r="AH1357" s="76"/>
      <c r="AI1357" s="76"/>
      <c r="AJ1357" s="76"/>
      <c r="AK1357" s="76"/>
      <c r="AL1357" s="76"/>
      <c r="AM1357" s="76"/>
      <c r="AN1357" s="76"/>
      <c r="AO1357" s="76"/>
      <c r="AP1357" s="76"/>
      <c r="AQ1357" s="76"/>
      <c r="AR1357" s="76"/>
      <c r="AS1357" s="76"/>
      <c r="AT1357" s="76"/>
      <c r="AU1357" s="76"/>
      <c r="AV1357" s="76"/>
      <c r="AW1357" s="76"/>
      <c r="AX1357" s="76"/>
      <c r="AY1357" s="76"/>
      <c r="AZ1357" s="76"/>
      <c r="BA1357" s="76"/>
      <c r="BB1357" s="76"/>
    </row>
    <row r="1358" spans="5:54" x14ac:dyDescent="0.35">
      <c r="E1358" s="83"/>
      <c r="F1358" s="83"/>
      <c r="G1358" s="76"/>
      <c r="H1358" s="76"/>
      <c r="I1358" s="76"/>
      <c r="J1358" s="76"/>
      <c r="K1358" s="76"/>
      <c r="L1358" s="76"/>
      <c r="M1358" s="76"/>
      <c r="N1358" s="76"/>
      <c r="O1358" s="76"/>
      <c r="P1358" s="76"/>
      <c r="Q1358" s="76"/>
      <c r="R1358" s="76"/>
      <c r="S1358" s="76"/>
      <c r="T1358" s="76"/>
      <c r="U1358" s="76"/>
      <c r="V1358" s="76"/>
      <c r="W1358" s="76"/>
      <c r="X1358" s="76"/>
      <c r="Y1358" s="76"/>
      <c r="Z1358" s="76"/>
      <c r="AA1358" s="76"/>
      <c r="AB1358" s="76"/>
      <c r="AC1358" s="76"/>
      <c r="AD1358" s="76"/>
      <c r="AE1358" s="76"/>
      <c r="AF1358" s="76"/>
      <c r="AG1358" s="76"/>
      <c r="AH1358" s="76"/>
      <c r="AI1358" s="76"/>
      <c r="AJ1358" s="76"/>
      <c r="AK1358" s="76"/>
      <c r="AL1358" s="76"/>
      <c r="AM1358" s="76"/>
      <c r="AN1358" s="76"/>
      <c r="AO1358" s="76"/>
      <c r="AP1358" s="76"/>
      <c r="AQ1358" s="76"/>
      <c r="AR1358" s="76"/>
      <c r="AS1358" s="76"/>
      <c r="AT1358" s="76"/>
      <c r="AU1358" s="76"/>
      <c r="AV1358" s="76"/>
      <c r="AW1358" s="76"/>
      <c r="AX1358" s="76"/>
      <c r="AY1358" s="76"/>
      <c r="AZ1358" s="76"/>
      <c r="BA1358" s="76"/>
      <c r="BB1358" s="76"/>
    </row>
    <row r="1359" spans="5:54" x14ac:dyDescent="0.35">
      <c r="E1359" s="83"/>
      <c r="F1359" s="83"/>
      <c r="G1359" s="76"/>
      <c r="H1359" s="76"/>
      <c r="I1359" s="76"/>
      <c r="J1359" s="76"/>
      <c r="K1359" s="76"/>
      <c r="L1359" s="76"/>
      <c r="M1359" s="76"/>
      <c r="N1359" s="76"/>
      <c r="O1359" s="76"/>
      <c r="P1359" s="76"/>
      <c r="Q1359" s="76"/>
      <c r="R1359" s="76"/>
      <c r="S1359" s="76"/>
      <c r="T1359" s="76"/>
      <c r="U1359" s="76"/>
      <c r="V1359" s="76"/>
      <c r="W1359" s="76"/>
      <c r="X1359" s="76"/>
      <c r="Y1359" s="76"/>
      <c r="Z1359" s="76"/>
      <c r="AA1359" s="76"/>
      <c r="AB1359" s="76"/>
      <c r="AC1359" s="76"/>
      <c r="AD1359" s="76"/>
      <c r="AE1359" s="76"/>
      <c r="AF1359" s="76"/>
      <c r="AG1359" s="76"/>
      <c r="AH1359" s="76"/>
      <c r="AI1359" s="76"/>
      <c r="AJ1359" s="76"/>
      <c r="AK1359" s="76"/>
      <c r="AL1359" s="76"/>
      <c r="AM1359" s="76"/>
      <c r="AN1359" s="76"/>
      <c r="AO1359" s="76"/>
      <c r="AP1359" s="76"/>
      <c r="AQ1359" s="76"/>
      <c r="AR1359" s="76"/>
      <c r="AS1359" s="76"/>
      <c r="AT1359" s="76"/>
      <c r="AU1359" s="76"/>
      <c r="AV1359" s="76"/>
      <c r="AW1359" s="76"/>
      <c r="AX1359" s="76"/>
      <c r="AY1359" s="76"/>
      <c r="AZ1359" s="76"/>
      <c r="BA1359" s="76"/>
      <c r="BB1359" s="76"/>
    </row>
    <row r="1360" spans="5:54" x14ac:dyDescent="0.35">
      <c r="E1360" s="83"/>
      <c r="F1360" s="83"/>
      <c r="G1360" s="76"/>
      <c r="H1360" s="76"/>
      <c r="I1360" s="76"/>
      <c r="J1360" s="76"/>
      <c r="K1360" s="76"/>
      <c r="L1360" s="76"/>
      <c r="M1360" s="76"/>
      <c r="N1360" s="76"/>
      <c r="O1360" s="76"/>
      <c r="P1360" s="76"/>
      <c r="Q1360" s="76"/>
      <c r="R1360" s="76"/>
      <c r="S1360" s="76"/>
      <c r="T1360" s="76"/>
      <c r="U1360" s="76"/>
      <c r="V1360" s="76"/>
      <c r="W1360" s="76"/>
      <c r="X1360" s="76"/>
      <c r="Y1360" s="76"/>
      <c r="Z1360" s="76"/>
      <c r="AA1360" s="76"/>
      <c r="AB1360" s="76"/>
      <c r="AC1360" s="76"/>
      <c r="AD1360" s="76"/>
      <c r="AE1360" s="76"/>
      <c r="AF1360" s="76"/>
      <c r="AG1360" s="76"/>
      <c r="AH1360" s="76"/>
      <c r="AI1360" s="76"/>
      <c r="AJ1360" s="76"/>
      <c r="AK1360" s="76"/>
      <c r="AL1360" s="76"/>
      <c r="AM1360" s="76"/>
      <c r="AN1360" s="76"/>
      <c r="AO1360" s="76"/>
      <c r="AP1360" s="76"/>
      <c r="AQ1360" s="76"/>
      <c r="AR1360" s="76"/>
      <c r="AS1360" s="76"/>
      <c r="AT1360" s="76"/>
      <c r="AU1360" s="76"/>
      <c r="AV1360" s="76"/>
      <c r="AW1360" s="76"/>
      <c r="AX1360" s="76"/>
      <c r="AY1360" s="76"/>
      <c r="AZ1360" s="76"/>
      <c r="BA1360" s="76"/>
      <c r="BB1360" s="76"/>
    </row>
    <row r="1361" spans="5:54" x14ac:dyDescent="0.35">
      <c r="E1361" s="83"/>
      <c r="F1361" s="83"/>
      <c r="G1361" s="76"/>
      <c r="H1361" s="76"/>
      <c r="I1361" s="76"/>
      <c r="J1361" s="76"/>
      <c r="K1361" s="76"/>
      <c r="L1361" s="76"/>
      <c r="M1361" s="76"/>
      <c r="N1361" s="76"/>
      <c r="O1361" s="76"/>
      <c r="P1361" s="76"/>
      <c r="Q1361" s="76"/>
      <c r="R1361" s="76"/>
      <c r="S1361" s="76"/>
      <c r="T1361" s="76"/>
      <c r="U1361" s="76"/>
      <c r="V1361" s="76"/>
      <c r="W1361" s="76"/>
      <c r="X1361" s="76"/>
      <c r="Y1361" s="76"/>
      <c r="Z1361" s="76"/>
      <c r="AA1361" s="76"/>
      <c r="AB1361" s="76"/>
      <c r="AC1361" s="76"/>
      <c r="AD1361" s="76"/>
      <c r="AE1361" s="76"/>
      <c r="AF1361" s="76"/>
      <c r="AG1361" s="76"/>
      <c r="AH1361" s="76"/>
      <c r="AI1361" s="76"/>
      <c r="AJ1361" s="76"/>
      <c r="AK1361" s="76"/>
      <c r="AL1361" s="76"/>
      <c r="AM1361" s="76"/>
      <c r="AN1361" s="76"/>
      <c r="AO1361" s="76"/>
      <c r="AP1361" s="76"/>
      <c r="AQ1361" s="76"/>
      <c r="AR1361" s="76"/>
      <c r="AS1361" s="76"/>
      <c r="AT1361" s="76"/>
      <c r="AU1361" s="76"/>
      <c r="AV1361" s="76"/>
      <c r="AW1361" s="76"/>
      <c r="AX1361" s="76"/>
      <c r="AY1361" s="76"/>
      <c r="AZ1361" s="76"/>
      <c r="BA1361" s="76"/>
      <c r="BB1361" s="76"/>
    </row>
    <row r="1362" spans="5:54" x14ac:dyDescent="0.35">
      <c r="E1362" s="83"/>
      <c r="F1362" s="83"/>
      <c r="G1362" s="76"/>
      <c r="H1362" s="76"/>
      <c r="I1362" s="76"/>
      <c r="J1362" s="76"/>
      <c r="K1362" s="76"/>
      <c r="L1362" s="76"/>
      <c r="M1362" s="76"/>
      <c r="N1362" s="76"/>
      <c r="O1362" s="76"/>
      <c r="P1362" s="76"/>
      <c r="Q1362" s="76"/>
      <c r="R1362" s="76"/>
      <c r="S1362" s="76"/>
      <c r="T1362" s="76"/>
      <c r="U1362" s="76"/>
      <c r="V1362" s="76"/>
      <c r="W1362" s="76"/>
      <c r="X1362" s="76"/>
      <c r="Y1362" s="76"/>
      <c r="Z1362" s="76"/>
      <c r="AA1362" s="76"/>
      <c r="AB1362" s="76"/>
      <c r="AC1362" s="76"/>
      <c r="AD1362" s="76"/>
      <c r="AE1362" s="76"/>
      <c r="AF1362" s="76"/>
      <c r="AG1362" s="76"/>
      <c r="AH1362" s="76"/>
      <c r="AI1362" s="76"/>
      <c r="AJ1362" s="76"/>
      <c r="AK1362" s="76"/>
      <c r="AL1362" s="76"/>
      <c r="AM1362" s="76"/>
      <c r="AN1362" s="76"/>
      <c r="AO1362" s="76"/>
      <c r="AP1362" s="76"/>
      <c r="AQ1362" s="76"/>
      <c r="AR1362" s="76"/>
      <c r="AS1362" s="76"/>
      <c r="AT1362" s="76"/>
      <c r="AU1362" s="76"/>
      <c r="AV1362" s="76"/>
      <c r="AW1362" s="76"/>
      <c r="AX1362" s="76"/>
      <c r="AY1362" s="76"/>
      <c r="AZ1362" s="76"/>
      <c r="BA1362" s="76"/>
      <c r="BB1362" s="76"/>
    </row>
    <row r="1363" spans="5:54" x14ac:dyDescent="0.35">
      <c r="E1363" s="83"/>
      <c r="F1363" s="83"/>
      <c r="G1363" s="76"/>
      <c r="H1363" s="76"/>
      <c r="I1363" s="76"/>
      <c r="J1363" s="76"/>
      <c r="K1363" s="76"/>
      <c r="L1363" s="76"/>
      <c r="M1363" s="76"/>
      <c r="N1363" s="76"/>
      <c r="O1363" s="76"/>
      <c r="P1363" s="76"/>
      <c r="Q1363" s="76"/>
      <c r="R1363" s="76"/>
      <c r="S1363" s="76"/>
      <c r="T1363" s="76"/>
      <c r="U1363" s="76"/>
      <c r="V1363" s="76"/>
      <c r="W1363" s="76"/>
      <c r="X1363" s="76"/>
      <c r="Y1363" s="76"/>
      <c r="Z1363" s="76"/>
      <c r="AA1363" s="76"/>
      <c r="AB1363" s="76"/>
      <c r="AC1363" s="76"/>
      <c r="AD1363" s="76"/>
      <c r="AE1363" s="76"/>
      <c r="AF1363" s="76"/>
      <c r="AG1363" s="76"/>
      <c r="AH1363" s="76"/>
      <c r="AI1363" s="76"/>
      <c r="AJ1363" s="76"/>
      <c r="AK1363" s="76"/>
      <c r="AL1363" s="76"/>
      <c r="AM1363" s="76"/>
      <c r="AN1363" s="76"/>
      <c r="AO1363" s="76"/>
      <c r="AP1363" s="76"/>
      <c r="AQ1363" s="76"/>
      <c r="AR1363" s="76"/>
      <c r="AS1363" s="76"/>
      <c r="AT1363" s="76"/>
      <c r="AU1363" s="76"/>
      <c r="AV1363" s="76"/>
      <c r="AW1363" s="76"/>
      <c r="AX1363" s="76"/>
      <c r="AY1363" s="76"/>
      <c r="AZ1363" s="76"/>
      <c r="BA1363" s="76"/>
      <c r="BB1363" s="76"/>
    </row>
    <row r="1364" spans="5:54" x14ac:dyDescent="0.35">
      <c r="E1364" s="83"/>
      <c r="F1364" s="83"/>
      <c r="G1364" s="76"/>
      <c r="H1364" s="76"/>
      <c r="I1364" s="76"/>
      <c r="J1364" s="76"/>
      <c r="K1364" s="76"/>
      <c r="L1364" s="76"/>
      <c r="M1364" s="76"/>
      <c r="N1364" s="76"/>
      <c r="O1364" s="76"/>
      <c r="P1364" s="76"/>
      <c r="Q1364" s="76"/>
      <c r="R1364" s="76"/>
      <c r="S1364" s="76"/>
      <c r="T1364" s="76"/>
      <c r="U1364" s="76"/>
      <c r="V1364" s="76"/>
      <c r="W1364" s="76"/>
      <c r="X1364" s="76"/>
      <c r="Y1364" s="76"/>
      <c r="Z1364" s="76"/>
      <c r="AA1364" s="76"/>
      <c r="AB1364" s="76"/>
      <c r="AC1364" s="76"/>
      <c r="AD1364" s="76"/>
      <c r="AE1364" s="76"/>
      <c r="AF1364" s="76"/>
      <c r="AG1364" s="76"/>
      <c r="AH1364" s="76"/>
      <c r="AI1364" s="76"/>
      <c r="AJ1364" s="76"/>
      <c r="AK1364" s="76"/>
      <c r="AL1364" s="76"/>
      <c r="AM1364" s="76"/>
      <c r="AN1364" s="76"/>
      <c r="AO1364" s="76"/>
      <c r="AP1364" s="76"/>
      <c r="AQ1364" s="76"/>
      <c r="AR1364" s="76"/>
      <c r="AS1364" s="76"/>
      <c r="AT1364" s="76"/>
      <c r="AU1364" s="76"/>
      <c r="AV1364" s="76"/>
      <c r="AW1364" s="76"/>
      <c r="AX1364" s="76"/>
      <c r="AY1364" s="76"/>
      <c r="AZ1364" s="76"/>
      <c r="BA1364" s="76"/>
      <c r="BB1364" s="76"/>
    </row>
    <row r="1365" spans="5:54" x14ac:dyDescent="0.35">
      <c r="E1365" s="83"/>
      <c r="F1365" s="83"/>
      <c r="G1365" s="76"/>
      <c r="H1365" s="76"/>
      <c r="I1365" s="76"/>
      <c r="J1365" s="76"/>
      <c r="K1365" s="76"/>
      <c r="L1365" s="76"/>
      <c r="M1365" s="76"/>
      <c r="N1365" s="76"/>
      <c r="O1365" s="76"/>
      <c r="P1365" s="76"/>
      <c r="Q1365" s="76"/>
      <c r="R1365" s="76"/>
      <c r="S1365" s="76"/>
      <c r="T1365" s="76"/>
      <c r="U1365" s="76"/>
      <c r="V1365" s="76"/>
      <c r="W1365" s="76"/>
      <c r="X1365" s="76"/>
      <c r="Y1365" s="76"/>
      <c r="Z1365" s="76"/>
      <c r="AA1365" s="76"/>
      <c r="AB1365" s="76"/>
      <c r="AC1365" s="76"/>
      <c r="AD1365" s="76"/>
      <c r="AE1365" s="76"/>
      <c r="AF1365" s="76"/>
      <c r="AG1365" s="76"/>
      <c r="AH1365" s="76"/>
      <c r="AI1365" s="76"/>
      <c r="AJ1365" s="76"/>
      <c r="AK1365" s="76"/>
      <c r="AL1365" s="76"/>
      <c r="AM1365" s="76"/>
      <c r="AN1365" s="76"/>
      <c r="AO1365" s="76"/>
      <c r="AP1365" s="76"/>
      <c r="AQ1365" s="76"/>
      <c r="AR1365" s="76"/>
      <c r="AS1365" s="76"/>
      <c r="AT1365" s="76"/>
      <c r="AU1365" s="76"/>
      <c r="AV1365" s="76"/>
      <c r="AW1365" s="76"/>
      <c r="AX1365" s="76"/>
      <c r="AY1365" s="76"/>
      <c r="AZ1365" s="76"/>
      <c r="BA1365" s="76"/>
      <c r="BB1365" s="76"/>
    </row>
    <row r="1366" spans="5:54" x14ac:dyDescent="0.35">
      <c r="E1366" s="83"/>
      <c r="F1366" s="83"/>
      <c r="G1366" s="76"/>
      <c r="H1366" s="76"/>
      <c r="I1366" s="76"/>
      <c r="J1366" s="76"/>
      <c r="K1366" s="76"/>
      <c r="L1366" s="76"/>
      <c r="M1366" s="76"/>
      <c r="N1366" s="76"/>
      <c r="O1366" s="76"/>
      <c r="P1366" s="76"/>
      <c r="Q1366" s="76"/>
      <c r="R1366" s="76"/>
      <c r="S1366" s="76"/>
      <c r="T1366" s="76"/>
      <c r="U1366" s="76"/>
      <c r="V1366" s="76"/>
      <c r="W1366" s="76"/>
      <c r="X1366" s="76"/>
      <c r="Y1366" s="76"/>
      <c r="Z1366" s="76"/>
      <c r="AA1366" s="76"/>
      <c r="AB1366" s="76"/>
      <c r="AC1366" s="76"/>
      <c r="AD1366" s="76"/>
      <c r="AE1366" s="76"/>
      <c r="AF1366" s="76"/>
      <c r="AG1366" s="76"/>
      <c r="AH1366" s="76"/>
      <c r="AI1366" s="76"/>
      <c r="AJ1366" s="76"/>
      <c r="AK1366" s="76"/>
      <c r="AL1366" s="76"/>
      <c r="AM1366" s="76"/>
      <c r="AN1366" s="76"/>
      <c r="AO1366" s="76"/>
      <c r="AP1366" s="76"/>
      <c r="AQ1366" s="76"/>
      <c r="AR1366" s="76"/>
      <c r="AS1366" s="76"/>
      <c r="AT1366" s="76"/>
      <c r="AU1366" s="76"/>
      <c r="AV1366" s="76"/>
      <c r="AW1366" s="76"/>
      <c r="AX1366" s="76"/>
      <c r="AY1366" s="76"/>
      <c r="AZ1366" s="76"/>
      <c r="BA1366" s="76"/>
      <c r="BB1366" s="76"/>
    </row>
    <row r="1367" spans="5:54" x14ac:dyDescent="0.35">
      <c r="E1367" s="83"/>
      <c r="F1367" s="83"/>
      <c r="G1367" s="76"/>
      <c r="H1367" s="76"/>
      <c r="I1367" s="76"/>
      <c r="J1367" s="76"/>
      <c r="K1367" s="76"/>
      <c r="L1367" s="76"/>
      <c r="M1367" s="76"/>
      <c r="N1367" s="76"/>
      <c r="O1367" s="76"/>
      <c r="P1367" s="76"/>
      <c r="Q1367" s="76"/>
      <c r="R1367" s="76"/>
      <c r="S1367" s="76"/>
      <c r="T1367" s="76"/>
      <c r="U1367" s="76"/>
      <c r="V1367" s="76"/>
      <c r="W1367" s="76"/>
      <c r="X1367" s="76"/>
      <c r="Y1367" s="76"/>
      <c r="Z1367" s="76"/>
      <c r="AA1367" s="76"/>
      <c r="AB1367" s="76"/>
      <c r="AC1367" s="76"/>
      <c r="AD1367" s="76"/>
      <c r="AE1367" s="76"/>
      <c r="AF1367" s="76"/>
      <c r="AG1367" s="76"/>
      <c r="AH1367" s="76"/>
      <c r="AI1367" s="76"/>
      <c r="AJ1367" s="76"/>
      <c r="AK1367" s="76"/>
      <c r="AL1367" s="76"/>
      <c r="AM1367" s="76"/>
      <c r="AN1367" s="76"/>
      <c r="AO1367" s="76"/>
      <c r="AP1367" s="76"/>
      <c r="AQ1367" s="76"/>
      <c r="AR1367" s="76"/>
      <c r="AS1367" s="76"/>
      <c r="AT1367" s="76"/>
      <c r="AU1367" s="76"/>
      <c r="AV1367" s="76"/>
      <c r="AW1367" s="76"/>
      <c r="AX1367" s="76"/>
      <c r="AY1367" s="76"/>
      <c r="AZ1367" s="76"/>
      <c r="BA1367" s="76"/>
      <c r="BB1367" s="76"/>
    </row>
    <row r="1368" spans="5:54" x14ac:dyDescent="0.35">
      <c r="E1368" s="83"/>
      <c r="F1368" s="83"/>
      <c r="G1368" s="76"/>
      <c r="H1368" s="76"/>
      <c r="I1368" s="76"/>
      <c r="J1368" s="76"/>
      <c r="K1368" s="76"/>
      <c r="L1368" s="76"/>
      <c r="M1368" s="76"/>
      <c r="N1368" s="76"/>
      <c r="O1368" s="76"/>
      <c r="P1368" s="76"/>
      <c r="Q1368" s="76"/>
      <c r="R1368" s="76"/>
      <c r="S1368" s="76"/>
      <c r="T1368" s="76"/>
      <c r="U1368" s="76"/>
      <c r="V1368" s="76"/>
      <c r="W1368" s="76"/>
      <c r="X1368" s="76"/>
      <c r="Y1368" s="76"/>
      <c r="Z1368" s="76"/>
      <c r="AA1368" s="76"/>
      <c r="AB1368" s="76"/>
      <c r="AC1368" s="76"/>
      <c r="AD1368" s="76"/>
      <c r="AE1368" s="76"/>
      <c r="AF1368" s="76"/>
      <c r="AG1368" s="76"/>
      <c r="AH1368" s="76"/>
      <c r="AI1368" s="76"/>
      <c r="AJ1368" s="76"/>
      <c r="AK1368" s="76"/>
      <c r="AL1368" s="76"/>
      <c r="AM1368" s="76"/>
      <c r="AN1368" s="76"/>
      <c r="AO1368" s="76"/>
      <c r="AP1368" s="76"/>
      <c r="AQ1368" s="76"/>
      <c r="AR1368" s="76"/>
      <c r="AS1368" s="76"/>
      <c r="AT1368" s="76"/>
      <c r="AU1368" s="76"/>
      <c r="AV1368" s="76"/>
      <c r="AW1368" s="76"/>
      <c r="AX1368" s="76"/>
      <c r="AY1368" s="76"/>
      <c r="AZ1368" s="76"/>
      <c r="BA1368" s="76"/>
      <c r="BB1368" s="76"/>
    </row>
    <row r="1369" spans="5:54" x14ac:dyDescent="0.35">
      <c r="E1369" s="83"/>
      <c r="F1369" s="83"/>
      <c r="G1369" s="76"/>
      <c r="H1369" s="76"/>
      <c r="I1369" s="76"/>
      <c r="J1369" s="76"/>
      <c r="K1369" s="76"/>
      <c r="L1369" s="76"/>
      <c r="M1369" s="76"/>
      <c r="N1369" s="76"/>
      <c r="O1369" s="76"/>
      <c r="P1369" s="76"/>
      <c r="Q1369" s="76"/>
      <c r="R1369" s="76"/>
      <c r="S1369" s="76"/>
      <c r="T1369" s="76"/>
      <c r="U1369" s="76"/>
      <c r="V1369" s="76"/>
      <c r="W1369" s="76"/>
      <c r="X1369" s="76"/>
      <c r="Y1369" s="76"/>
      <c r="Z1369" s="76"/>
      <c r="AA1369" s="76"/>
      <c r="AB1369" s="76"/>
      <c r="AC1369" s="76"/>
      <c r="AD1369" s="76"/>
      <c r="AE1369" s="76"/>
      <c r="AF1369" s="76"/>
      <c r="AG1369" s="76"/>
      <c r="AH1369" s="76"/>
      <c r="AI1369" s="76"/>
      <c r="AJ1369" s="76"/>
      <c r="AK1369" s="76"/>
      <c r="AL1369" s="76"/>
      <c r="AM1369" s="76"/>
      <c r="AN1369" s="76"/>
      <c r="AO1369" s="76"/>
      <c r="AP1369" s="76"/>
      <c r="AQ1369" s="76"/>
      <c r="AR1369" s="76"/>
      <c r="AS1369" s="76"/>
      <c r="AT1369" s="76"/>
      <c r="AU1369" s="76"/>
      <c r="AV1369" s="76"/>
      <c r="AW1369" s="76"/>
      <c r="AX1369" s="76"/>
      <c r="AY1369" s="76"/>
      <c r="AZ1369" s="76"/>
      <c r="BA1369" s="76"/>
      <c r="BB1369" s="76"/>
    </row>
    <row r="1370" spans="5:54" x14ac:dyDescent="0.35">
      <c r="E1370" s="83"/>
      <c r="F1370" s="83"/>
      <c r="G1370" s="76"/>
      <c r="H1370" s="76"/>
      <c r="I1370" s="76"/>
      <c r="J1370" s="76"/>
      <c r="K1370" s="76"/>
      <c r="L1370" s="76"/>
      <c r="M1370" s="76"/>
      <c r="N1370" s="76"/>
      <c r="O1370" s="76"/>
      <c r="P1370" s="76"/>
      <c r="Q1370" s="76"/>
      <c r="R1370" s="76"/>
      <c r="S1370" s="76"/>
      <c r="T1370" s="76"/>
      <c r="U1370" s="76"/>
      <c r="V1370" s="76"/>
      <c r="W1370" s="76"/>
      <c r="X1370" s="76"/>
      <c r="Y1370" s="76"/>
      <c r="Z1370" s="76"/>
      <c r="AA1370" s="76"/>
      <c r="AB1370" s="76"/>
      <c r="AC1370" s="76"/>
      <c r="AD1370" s="76"/>
      <c r="AE1370" s="76"/>
      <c r="AF1370" s="76"/>
      <c r="AG1370" s="76"/>
      <c r="AH1370" s="76"/>
      <c r="AI1370" s="76"/>
      <c r="AJ1370" s="76"/>
      <c r="AK1370" s="76"/>
      <c r="AL1370" s="76"/>
      <c r="AM1370" s="76"/>
      <c r="AN1370" s="76"/>
      <c r="AO1370" s="76"/>
      <c r="AP1370" s="76"/>
      <c r="AQ1370" s="76"/>
      <c r="AR1370" s="76"/>
      <c r="AS1370" s="76"/>
      <c r="AT1370" s="76"/>
      <c r="AU1370" s="76"/>
      <c r="AV1370" s="76"/>
      <c r="AW1370" s="76"/>
      <c r="AX1370" s="76"/>
      <c r="AY1370" s="76"/>
      <c r="AZ1370" s="76"/>
      <c r="BA1370" s="76"/>
      <c r="BB1370" s="76"/>
    </row>
    <row r="1371" spans="5:54" x14ac:dyDescent="0.35">
      <c r="E1371" s="83"/>
      <c r="F1371" s="83"/>
      <c r="G1371" s="76"/>
      <c r="H1371" s="76"/>
      <c r="I1371" s="76"/>
      <c r="J1371" s="76"/>
      <c r="K1371" s="76"/>
      <c r="L1371" s="76"/>
      <c r="M1371" s="76"/>
      <c r="N1371" s="76"/>
      <c r="O1371" s="76"/>
      <c r="P1371" s="76"/>
      <c r="Q1371" s="76"/>
      <c r="R1371" s="76"/>
      <c r="S1371" s="76"/>
      <c r="T1371" s="76"/>
      <c r="U1371" s="76"/>
      <c r="V1371" s="76"/>
      <c r="W1371" s="76"/>
      <c r="X1371" s="76"/>
      <c r="Y1371" s="76"/>
      <c r="Z1371" s="76"/>
      <c r="AA1371" s="76"/>
      <c r="AB1371" s="76"/>
      <c r="AC1371" s="76"/>
      <c r="AD1371" s="76"/>
      <c r="AE1371" s="76"/>
      <c r="AF1371" s="76"/>
      <c r="AG1371" s="76"/>
      <c r="AH1371" s="76"/>
      <c r="AI1371" s="76"/>
      <c r="AJ1371" s="76"/>
      <c r="AK1371" s="76"/>
      <c r="AL1371" s="76"/>
      <c r="AM1371" s="76"/>
      <c r="AN1371" s="76"/>
      <c r="AO1371" s="76"/>
      <c r="AP1371" s="76"/>
      <c r="AQ1371" s="76"/>
      <c r="AR1371" s="76"/>
      <c r="AS1371" s="76"/>
      <c r="AT1371" s="76"/>
      <c r="AU1371" s="76"/>
      <c r="AV1371" s="76"/>
      <c r="AW1371" s="76"/>
      <c r="AX1371" s="76"/>
      <c r="AY1371" s="76"/>
      <c r="AZ1371" s="76"/>
      <c r="BA1371" s="76"/>
      <c r="BB1371" s="76"/>
    </row>
    <row r="1372" spans="5:54" x14ac:dyDescent="0.35">
      <c r="E1372" s="83"/>
      <c r="F1372" s="83"/>
      <c r="G1372" s="76"/>
      <c r="H1372" s="76"/>
      <c r="I1372" s="76"/>
      <c r="J1372" s="76"/>
      <c r="K1372" s="76"/>
      <c r="L1372" s="76"/>
      <c r="M1372" s="76"/>
      <c r="N1372" s="76"/>
      <c r="O1372" s="76"/>
      <c r="P1372" s="76"/>
      <c r="Q1372" s="76"/>
      <c r="R1372" s="76"/>
      <c r="S1372" s="76"/>
      <c r="T1372" s="76"/>
      <c r="U1372" s="76"/>
      <c r="V1372" s="76"/>
      <c r="W1372" s="76"/>
      <c r="X1372" s="76"/>
      <c r="Y1372" s="76"/>
      <c r="Z1372" s="76"/>
      <c r="AA1372" s="76"/>
      <c r="AB1372" s="76"/>
      <c r="AC1372" s="76"/>
      <c r="AD1372" s="76"/>
      <c r="AE1372" s="76"/>
      <c r="AF1372" s="76"/>
      <c r="AG1372" s="76"/>
      <c r="AH1372" s="76"/>
      <c r="AI1372" s="76"/>
      <c r="AJ1372" s="76"/>
      <c r="AK1372" s="76"/>
      <c r="AL1372" s="76"/>
      <c r="AM1372" s="76"/>
      <c r="AN1372" s="76"/>
      <c r="AO1372" s="76"/>
      <c r="AP1372" s="76"/>
      <c r="AQ1372" s="76"/>
      <c r="AR1372" s="76"/>
      <c r="AS1372" s="76"/>
      <c r="AT1372" s="76"/>
      <c r="AU1372" s="76"/>
      <c r="AV1372" s="76"/>
      <c r="AW1372" s="76"/>
      <c r="AX1372" s="76"/>
      <c r="AY1372" s="76"/>
      <c r="AZ1372" s="76"/>
      <c r="BA1372" s="76"/>
      <c r="BB1372" s="76"/>
    </row>
    <row r="1373" spans="5:54" x14ac:dyDescent="0.35">
      <c r="E1373" s="83"/>
      <c r="F1373" s="83"/>
      <c r="G1373" s="76"/>
      <c r="H1373" s="76"/>
      <c r="I1373" s="76"/>
      <c r="J1373" s="76"/>
      <c r="K1373" s="76"/>
      <c r="L1373" s="76"/>
      <c r="M1373" s="76"/>
      <c r="N1373" s="76"/>
      <c r="O1373" s="76"/>
      <c r="P1373" s="76"/>
      <c r="Q1373" s="76"/>
      <c r="R1373" s="76"/>
      <c r="S1373" s="76"/>
      <c r="T1373" s="76"/>
      <c r="U1373" s="76"/>
      <c r="V1373" s="76"/>
      <c r="W1373" s="76"/>
      <c r="X1373" s="76"/>
      <c r="Y1373" s="76"/>
      <c r="Z1373" s="76"/>
      <c r="AA1373" s="76"/>
      <c r="AB1373" s="76"/>
      <c r="AC1373" s="76"/>
      <c r="AD1373" s="76"/>
      <c r="AE1373" s="76"/>
      <c r="AF1373" s="76"/>
      <c r="AG1373" s="76"/>
      <c r="AH1373" s="76"/>
      <c r="AI1373" s="76"/>
      <c r="AJ1373" s="76"/>
      <c r="AK1373" s="76"/>
      <c r="AL1373" s="76"/>
      <c r="AM1373" s="76"/>
      <c r="AN1373" s="76"/>
      <c r="AO1373" s="76"/>
      <c r="AP1373" s="76"/>
      <c r="AQ1373" s="76"/>
      <c r="AR1373" s="76"/>
      <c r="AS1373" s="76"/>
      <c r="AT1373" s="76"/>
      <c r="AU1373" s="76"/>
      <c r="AV1373" s="76"/>
      <c r="AW1373" s="76"/>
      <c r="AX1373" s="76"/>
      <c r="AY1373" s="76"/>
      <c r="AZ1373" s="76"/>
      <c r="BA1373" s="76"/>
      <c r="BB1373" s="76"/>
    </row>
    <row r="1374" spans="5:54" x14ac:dyDescent="0.35">
      <c r="E1374" s="83"/>
      <c r="F1374" s="83"/>
      <c r="G1374" s="76"/>
      <c r="H1374" s="76"/>
      <c r="I1374" s="76"/>
      <c r="J1374" s="76"/>
      <c r="K1374" s="76"/>
      <c r="L1374" s="76"/>
      <c r="M1374" s="76"/>
      <c r="N1374" s="76"/>
      <c r="O1374" s="76"/>
      <c r="P1374" s="76"/>
      <c r="Q1374" s="76"/>
      <c r="R1374" s="76"/>
      <c r="S1374" s="76"/>
      <c r="T1374" s="76"/>
      <c r="U1374" s="76"/>
      <c r="V1374" s="76"/>
      <c r="W1374" s="76"/>
      <c r="X1374" s="76"/>
      <c r="Y1374" s="76"/>
      <c r="Z1374" s="76"/>
      <c r="AA1374" s="76"/>
      <c r="AB1374" s="76"/>
      <c r="AC1374" s="76"/>
      <c r="AD1374" s="76"/>
      <c r="AE1374" s="76"/>
      <c r="AF1374" s="76"/>
      <c r="AG1374" s="76"/>
      <c r="AH1374" s="76"/>
      <c r="AI1374" s="76"/>
      <c r="AJ1374" s="76"/>
      <c r="AK1374" s="76"/>
      <c r="AL1374" s="76"/>
      <c r="AM1374" s="76"/>
      <c r="AN1374" s="76"/>
      <c r="AO1374" s="76"/>
      <c r="AP1374" s="76"/>
      <c r="AQ1374" s="76"/>
      <c r="AR1374" s="76"/>
      <c r="AS1374" s="76"/>
      <c r="AT1374" s="76"/>
      <c r="AU1374" s="76"/>
      <c r="AV1374" s="76"/>
      <c r="AW1374" s="76"/>
      <c r="AX1374" s="76"/>
      <c r="AY1374" s="76"/>
      <c r="AZ1374" s="76"/>
      <c r="BA1374" s="76"/>
      <c r="BB1374" s="76"/>
    </row>
    <row r="1375" spans="5:54" x14ac:dyDescent="0.35">
      <c r="E1375" s="83"/>
      <c r="F1375" s="83"/>
      <c r="G1375" s="76"/>
      <c r="H1375" s="76"/>
      <c r="I1375" s="76"/>
      <c r="J1375" s="76"/>
      <c r="K1375" s="76"/>
      <c r="L1375" s="76"/>
      <c r="M1375" s="76"/>
      <c r="N1375" s="76"/>
      <c r="O1375" s="76"/>
      <c r="P1375" s="76"/>
      <c r="Q1375" s="76"/>
      <c r="R1375" s="76"/>
      <c r="S1375" s="76"/>
      <c r="T1375" s="76"/>
      <c r="U1375" s="76"/>
      <c r="V1375" s="76"/>
      <c r="W1375" s="76"/>
      <c r="X1375" s="76"/>
      <c r="Y1375" s="76"/>
      <c r="Z1375" s="76"/>
      <c r="AA1375" s="76"/>
      <c r="AB1375" s="76"/>
      <c r="AC1375" s="76"/>
      <c r="AD1375" s="76"/>
      <c r="AE1375" s="76"/>
      <c r="AF1375" s="76"/>
      <c r="AG1375" s="76"/>
      <c r="AH1375" s="76"/>
      <c r="AI1375" s="76"/>
      <c r="AJ1375" s="76"/>
      <c r="AK1375" s="76"/>
      <c r="AL1375" s="76"/>
      <c r="AM1375" s="76"/>
      <c r="AN1375" s="76"/>
      <c r="AO1375" s="76"/>
      <c r="AP1375" s="76"/>
      <c r="AQ1375" s="76"/>
      <c r="AR1375" s="76"/>
      <c r="AS1375" s="76"/>
      <c r="AT1375" s="76"/>
      <c r="AU1375" s="76"/>
      <c r="AV1375" s="76"/>
      <c r="AW1375" s="76"/>
      <c r="AX1375" s="76"/>
      <c r="AY1375" s="76"/>
      <c r="AZ1375" s="76"/>
      <c r="BA1375" s="76"/>
      <c r="BB1375" s="76"/>
    </row>
    <row r="1376" spans="5:54" x14ac:dyDescent="0.35">
      <c r="E1376" s="83"/>
      <c r="F1376" s="83"/>
      <c r="G1376" s="76"/>
      <c r="H1376" s="76"/>
      <c r="I1376" s="76"/>
      <c r="J1376" s="76"/>
      <c r="K1376" s="76"/>
      <c r="L1376" s="76"/>
      <c r="M1376" s="76"/>
      <c r="N1376" s="76"/>
      <c r="O1376" s="76"/>
      <c r="P1376" s="76"/>
      <c r="Q1376" s="76"/>
      <c r="R1376" s="76"/>
      <c r="S1376" s="76"/>
      <c r="T1376" s="76"/>
      <c r="U1376" s="76"/>
      <c r="V1376" s="76"/>
      <c r="W1376" s="76"/>
      <c r="X1376" s="76"/>
      <c r="Y1376" s="76"/>
      <c r="Z1376" s="76"/>
      <c r="AA1376" s="76"/>
      <c r="AB1376" s="76"/>
      <c r="AC1376" s="76"/>
      <c r="AD1376" s="76"/>
      <c r="AE1376" s="76"/>
      <c r="AF1376" s="76"/>
      <c r="AG1376" s="76"/>
      <c r="AH1376" s="76"/>
      <c r="AI1376" s="76"/>
      <c r="AJ1376" s="76"/>
      <c r="AK1376" s="76"/>
      <c r="AL1376" s="76"/>
      <c r="AM1376" s="76"/>
      <c r="AN1376" s="76"/>
      <c r="AO1376" s="76"/>
      <c r="AP1376" s="76"/>
      <c r="AQ1376" s="76"/>
      <c r="AR1376" s="76"/>
      <c r="AS1376" s="76"/>
      <c r="AT1376" s="76"/>
      <c r="AU1376" s="76"/>
      <c r="AV1376" s="76"/>
      <c r="AW1376" s="76"/>
      <c r="AX1376" s="76"/>
      <c r="AY1376" s="76"/>
      <c r="AZ1376" s="76"/>
      <c r="BA1376" s="76"/>
      <c r="BB1376" s="76"/>
    </row>
    <row r="1377" spans="5:54" x14ac:dyDescent="0.35">
      <c r="E1377" s="83"/>
      <c r="F1377" s="83"/>
      <c r="G1377" s="76"/>
      <c r="H1377" s="76"/>
      <c r="I1377" s="76"/>
      <c r="J1377" s="76"/>
      <c r="K1377" s="76"/>
      <c r="L1377" s="76"/>
      <c r="M1377" s="76"/>
      <c r="N1377" s="76"/>
      <c r="O1377" s="76"/>
      <c r="P1377" s="76"/>
      <c r="Q1377" s="76"/>
      <c r="R1377" s="76"/>
      <c r="S1377" s="76"/>
      <c r="T1377" s="76"/>
      <c r="U1377" s="76"/>
      <c r="V1377" s="76"/>
      <c r="W1377" s="76"/>
      <c r="X1377" s="76"/>
      <c r="Y1377" s="76"/>
      <c r="Z1377" s="76"/>
      <c r="AA1377" s="76"/>
      <c r="AB1377" s="76"/>
      <c r="AC1377" s="76"/>
      <c r="AD1377" s="76"/>
      <c r="AE1377" s="76"/>
      <c r="AF1377" s="76"/>
      <c r="AG1377" s="76"/>
      <c r="AH1377" s="76"/>
      <c r="AI1377" s="76"/>
      <c r="AJ1377" s="76"/>
      <c r="AK1377" s="76"/>
      <c r="AL1377" s="76"/>
      <c r="AM1377" s="76"/>
      <c r="AN1377" s="76"/>
      <c r="AO1377" s="76"/>
      <c r="AP1377" s="76"/>
      <c r="AQ1377" s="76"/>
      <c r="AR1377" s="76"/>
      <c r="AS1377" s="76"/>
      <c r="AT1377" s="76"/>
      <c r="AU1377" s="76"/>
      <c r="AV1377" s="76"/>
      <c r="AW1377" s="76"/>
      <c r="AX1377" s="76"/>
      <c r="AY1377" s="76"/>
      <c r="AZ1377" s="76"/>
      <c r="BA1377" s="76"/>
      <c r="BB1377" s="76"/>
    </row>
    <row r="1378" spans="5:54" x14ac:dyDescent="0.35">
      <c r="E1378" s="83"/>
      <c r="F1378" s="83"/>
      <c r="G1378" s="76"/>
      <c r="H1378" s="76"/>
      <c r="I1378" s="76"/>
      <c r="J1378" s="76"/>
      <c r="K1378" s="76"/>
      <c r="L1378" s="76"/>
      <c r="M1378" s="76"/>
      <c r="N1378" s="76"/>
      <c r="O1378" s="76"/>
      <c r="P1378" s="76"/>
      <c r="Q1378" s="76"/>
      <c r="R1378" s="76"/>
      <c r="S1378" s="76"/>
      <c r="T1378" s="76"/>
      <c r="U1378" s="76"/>
      <c r="V1378" s="76"/>
      <c r="W1378" s="76"/>
      <c r="X1378" s="76"/>
      <c r="Y1378" s="76"/>
      <c r="Z1378" s="76"/>
      <c r="AA1378" s="76"/>
      <c r="AB1378" s="76"/>
      <c r="AC1378" s="76"/>
      <c r="AD1378" s="76"/>
      <c r="AE1378" s="76"/>
      <c r="AF1378" s="76"/>
      <c r="AG1378" s="76"/>
      <c r="AH1378" s="76"/>
      <c r="AI1378" s="76"/>
      <c r="AJ1378" s="76"/>
      <c r="AK1378" s="76"/>
      <c r="AL1378" s="76"/>
      <c r="AM1378" s="76"/>
      <c r="AN1378" s="76"/>
      <c r="AO1378" s="76"/>
      <c r="AP1378" s="76"/>
      <c r="AQ1378" s="76"/>
      <c r="AR1378" s="76"/>
      <c r="AS1378" s="76"/>
      <c r="AT1378" s="76"/>
      <c r="AU1378" s="76"/>
      <c r="AV1378" s="76"/>
      <c r="AW1378" s="76"/>
      <c r="AX1378" s="76"/>
      <c r="AY1378" s="76"/>
      <c r="AZ1378" s="76"/>
      <c r="BA1378" s="76"/>
      <c r="BB1378" s="76"/>
    </row>
    <row r="1379" spans="5:54" x14ac:dyDescent="0.35">
      <c r="E1379" s="83"/>
      <c r="F1379" s="83"/>
      <c r="G1379" s="76"/>
      <c r="H1379" s="76"/>
      <c r="I1379" s="76"/>
      <c r="J1379" s="76"/>
      <c r="K1379" s="76"/>
      <c r="L1379" s="76"/>
      <c r="M1379" s="76"/>
      <c r="N1379" s="76"/>
      <c r="O1379" s="76"/>
      <c r="P1379" s="76"/>
      <c r="Q1379" s="76"/>
      <c r="R1379" s="76"/>
      <c r="S1379" s="76"/>
      <c r="T1379" s="76"/>
      <c r="U1379" s="76"/>
      <c r="V1379" s="76"/>
      <c r="W1379" s="76"/>
      <c r="X1379" s="76"/>
      <c r="Y1379" s="76"/>
      <c r="Z1379" s="76"/>
      <c r="AA1379" s="76"/>
      <c r="AB1379" s="76"/>
      <c r="AC1379" s="76"/>
      <c r="AD1379" s="76"/>
      <c r="AE1379" s="76"/>
      <c r="AF1379" s="76"/>
      <c r="AG1379" s="76"/>
      <c r="AH1379" s="76"/>
      <c r="AI1379" s="76"/>
      <c r="AJ1379" s="76"/>
      <c r="AK1379" s="76"/>
      <c r="AL1379" s="76"/>
      <c r="AM1379" s="76"/>
      <c r="AN1379" s="76"/>
      <c r="AO1379" s="76"/>
      <c r="AP1379" s="76"/>
      <c r="AQ1379" s="76"/>
      <c r="AR1379" s="76"/>
      <c r="AS1379" s="76"/>
      <c r="AT1379" s="76"/>
      <c r="AU1379" s="76"/>
      <c r="AV1379" s="76"/>
      <c r="AW1379" s="76"/>
      <c r="AX1379" s="76"/>
      <c r="AY1379" s="76"/>
      <c r="AZ1379" s="76"/>
      <c r="BA1379" s="76"/>
      <c r="BB1379" s="76"/>
    </row>
    <row r="1380" spans="5:54" x14ac:dyDescent="0.35">
      <c r="E1380" s="83"/>
      <c r="F1380" s="83"/>
      <c r="G1380" s="76"/>
      <c r="H1380" s="76"/>
      <c r="I1380" s="76"/>
      <c r="J1380" s="76"/>
      <c r="K1380" s="76"/>
      <c r="L1380" s="76"/>
      <c r="M1380" s="76"/>
      <c r="N1380" s="76"/>
      <c r="O1380" s="76"/>
      <c r="P1380" s="76"/>
      <c r="Q1380" s="76"/>
      <c r="R1380" s="76"/>
      <c r="S1380" s="76"/>
      <c r="T1380" s="76"/>
      <c r="U1380" s="76"/>
      <c r="V1380" s="76"/>
      <c r="W1380" s="76"/>
      <c r="X1380" s="76"/>
      <c r="Y1380" s="76"/>
      <c r="Z1380" s="76"/>
      <c r="AA1380" s="76"/>
      <c r="AB1380" s="76"/>
      <c r="AC1380" s="76"/>
      <c r="AD1380" s="76"/>
      <c r="AE1380" s="76"/>
      <c r="AF1380" s="76"/>
      <c r="AG1380" s="76"/>
      <c r="AH1380" s="76"/>
      <c r="AI1380" s="76"/>
      <c r="AJ1380" s="76"/>
      <c r="AK1380" s="76"/>
      <c r="AL1380" s="76"/>
      <c r="AM1380" s="76"/>
      <c r="AN1380" s="76"/>
      <c r="AO1380" s="76"/>
      <c r="AP1380" s="76"/>
      <c r="AQ1380" s="76"/>
      <c r="AR1380" s="76"/>
      <c r="AS1380" s="76"/>
      <c r="AT1380" s="76"/>
      <c r="AU1380" s="76"/>
      <c r="AV1380" s="76"/>
      <c r="AW1380" s="76"/>
      <c r="AX1380" s="76"/>
      <c r="AY1380" s="76"/>
      <c r="AZ1380" s="76"/>
      <c r="BA1380" s="76"/>
      <c r="BB1380" s="76"/>
    </row>
    <row r="1381" spans="5:54" x14ac:dyDescent="0.35">
      <c r="E1381" s="83"/>
      <c r="F1381" s="83"/>
      <c r="G1381" s="76"/>
      <c r="H1381" s="76"/>
      <c r="I1381" s="76"/>
      <c r="J1381" s="76"/>
      <c r="K1381" s="76"/>
      <c r="L1381" s="76"/>
      <c r="M1381" s="76"/>
      <c r="N1381" s="76"/>
      <c r="O1381" s="76"/>
      <c r="P1381" s="76"/>
      <c r="Q1381" s="76"/>
      <c r="R1381" s="76"/>
      <c r="S1381" s="76"/>
      <c r="T1381" s="76"/>
      <c r="U1381" s="76"/>
      <c r="V1381" s="76"/>
      <c r="W1381" s="76"/>
      <c r="X1381" s="76"/>
      <c r="Y1381" s="76"/>
      <c r="Z1381" s="76"/>
      <c r="AA1381" s="76"/>
      <c r="AB1381" s="76"/>
      <c r="AC1381" s="76"/>
      <c r="AD1381" s="76"/>
      <c r="AE1381" s="76"/>
      <c r="AF1381" s="76"/>
      <c r="AG1381" s="76"/>
      <c r="AH1381" s="76"/>
      <c r="AI1381" s="76"/>
      <c r="AJ1381" s="76"/>
      <c r="AK1381" s="76"/>
      <c r="AL1381" s="76"/>
      <c r="AM1381" s="76"/>
      <c r="AN1381" s="76"/>
      <c r="AO1381" s="76"/>
      <c r="AP1381" s="76"/>
      <c r="AQ1381" s="76"/>
      <c r="AR1381" s="76"/>
      <c r="AS1381" s="76"/>
      <c r="AT1381" s="76"/>
      <c r="AU1381" s="76"/>
      <c r="AV1381" s="76"/>
      <c r="AW1381" s="76"/>
      <c r="AX1381" s="76"/>
      <c r="AY1381" s="76"/>
      <c r="AZ1381" s="76"/>
      <c r="BA1381" s="76"/>
      <c r="BB1381" s="76"/>
    </row>
    <row r="1382" spans="5:54" x14ac:dyDescent="0.35">
      <c r="E1382" s="83"/>
      <c r="F1382" s="83"/>
      <c r="G1382" s="76"/>
      <c r="H1382" s="76"/>
      <c r="I1382" s="76"/>
      <c r="J1382" s="76"/>
      <c r="K1382" s="76"/>
      <c r="L1382" s="76"/>
      <c r="M1382" s="76"/>
      <c r="N1382" s="76"/>
      <c r="O1382" s="76"/>
      <c r="P1382" s="76"/>
      <c r="Q1382" s="76"/>
      <c r="R1382" s="76"/>
      <c r="S1382" s="76"/>
      <c r="T1382" s="76"/>
      <c r="U1382" s="76"/>
      <c r="V1382" s="76"/>
      <c r="W1382" s="76"/>
      <c r="X1382" s="76"/>
      <c r="Y1382" s="76"/>
      <c r="Z1382" s="76"/>
      <c r="AA1382" s="76"/>
      <c r="AB1382" s="76"/>
      <c r="AC1382" s="76"/>
      <c r="AD1382" s="76"/>
      <c r="AE1382" s="76"/>
      <c r="AF1382" s="76"/>
      <c r="AG1382" s="76"/>
      <c r="AH1382" s="76"/>
      <c r="AI1382" s="76"/>
      <c r="AJ1382" s="76"/>
      <c r="AK1382" s="76"/>
      <c r="AL1382" s="76"/>
      <c r="AM1382" s="76"/>
      <c r="AN1382" s="76"/>
      <c r="AO1382" s="76"/>
      <c r="AP1382" s="76"/>
      <c r="AQ1382" s="76"/>
      <c r="AR1382" s="76"/>
      <c r="AS1382" s="76"/>
      <c r="AT1382" s="76"/>
      <c r="AU1382" s="76"/>
      <c r="AV1382" s="76"/>
      <c r="AW1382" s="76"/>
      <c r="AX1382" s="76"/>
      <c r="AY1382" s="76"/>
      <c r="AZ1382" s="76"/>
      <c r="BA1382" s="76"/>
      <c r="BB1382" s="76"/>
    </row>
    <row r="1383" spans="5:54" x14ac:dyDescent="0.35">
      <c r="E1383" s="83"/>
      <c r="F1383" s="83"/>
      <c r="G1383" s="76"/>
      <c r="H1383" s="76"/>
      <c r="I1383" s="76"/>
      <c r="J1383" s="76"/>
      <c r="K1383" s="76"/>
      <c r="L1383" s="76"/>
      <c r="M1383" s="76"/>
      <c r="N1383" s="76"/>
      <c r="O1383" s="76"/>
      <c r="P1383" s="76"/>
      <c r="Q1383" s="76"/>
      <c r="R1383" s="76"/>
      <c r="S1383" s="76"/>
      <c r="T1383" s="76"/>
      <c r="U1383" s="76"/>
      <c r="V1383" s="76"/>
      <c r="W1383" s="76"/>
      <c r="X1383" s="76"/>
      <c r="Y1383" s="76"/>
      <c r="Z1383" s="76"/>
      <c r="AA1383" s="76"/>
      <c r="AB1383" s="76"/>
      <c r="AC1383" s="76"/>
      <c r="AD1383" s="76"/>
      <c r="AE1383" s="76"/>
      <c r="AF1383" s="76"/>
      <c r="AG1383" s="76"/>
      <c r="AH1383" s="76"/>
      <c r="AI1383" s="76"/>
      <c r="AJ1383" s="76"/>
      <c r="AK1383" s="76"/>
      <c r="AL1383" s="76"/>
      <c r="AM1383" s="76"/>
      <c r="AN1383" s="76"/>
      <c r="AO1383" s="76"/>
      <c r="AP1383" s="76"/>
      <c r="AQ1383" s="76"/>
      <c r="AR1383" s="76"/>
      <c r="AS1383" s="76"/>
      <c r="AT1383" s="76"/>
      <c r="AU1383" s="76"/>
      <c r="AV1383" s="76"/>
      <c r="AW1383" s="76"/>
      <c r="AX1383" s="76"/>
      <c r="AY1383" s="76"/>
      <c r="AZ1383" s="76"/>
      <c r="BA1383" s="76"/>
      <c r="BB1383" s="76"/>
    </row>
    <row r="1384" spans="5:54" x14ac:dyDescent="0.35">
      <c r="E1384" s="83"/>
      <c r="F1384" s="83"/>
      <c r="G1384" s="76"/>
      <c r="H1384" s="76"/>
      <c r="I1384" s="76"/>
      <c r="J1384" s="76"/>
      <c r="K1384" s="76"/>
      <c r="L1384" s="76"/>
      <c r="M1384" s="76"/>
      <c r="N1384" s="76"/>
      <c r="O1384" s="76"/>
      <c r="P1384" s="76"/>
      <c r="Q1384" s="76"/>
      <c r="R1384" s="76"/>
      <c r="S1384" s="76"/>
      <c r="T1384" s="76"/>
      <c r="U1384" s="76"/>
      <c r="V1384" s="76"/>
      <c r="W1384" s="76"/>
      <c r="X1384" s="76"/>
      <c r="Y1384" s="76"/>
      <c r="Z1384" s="76"/>
      <c r="AA1384" s="76"/>
      <c r="AB1384" s="76"/>
      <c r="AC1384" s="76"/>
      <c r="AD1384" s="76"/>
      <c r="AE1384" s="76"/>
      <c r="AF1384" s="76"/>
      <c r="AG1384" s="76"/>
      <c r="AH1384" s="76"/>
      <c r="AI1384" s="76"/>
      <c r="AJ1384" s="76"/>
      <c r="AK1384" s="76"/>
      <c r="AL1384" s="76"/>
      <c r="AM1384" s="76"/>
      <c r="AN1384" s="76"/>
      <c r="AO1384" s="76"/>
      <c r="AP1384" s="76"/>
      <c r="AQ1384" s="76"/>
      <c r="AR1384" s="76"/>
      <c r="AS1384" s="76"/>
      <c r="AT1384" s="76"/>
      <c r="AU1384" s="76"/>
      <c r="AV1384" s="76"/>
      <c r="AW1384" s="76"/>
      <c r="AX1384" s="76"/>
      <c r="AY1384" s="76"/>
      <c r="AZ1384" s="76"/>
      <c r="BA1384" s="76"/>
      <c r="BB1384" s="76"/>
    </row>
    <row r="1385" spans="5:54" x14ac:dyDescent="0.35">
      <c r="E1385" s="83"/>
      <c r="F1385" s="83"/>
      <c r="G1385" s="76"/>
      <c r="H1385" s="76"/>
      <c r="I1385" s="76"/>
      <c r="J1385" s="76"/>
      <c r="K1385" s="76"/>
      <c r="L1385" s="76"/>
      <c r="M1385" s="76"/>
      <c r="N1385" s="76"/>
      <c r="O1385" s="76"/>
      <c r="P1385" s="76"/>
      <c r="Q1385" s="76"/>
      <c r="R1385" s="76"/>
      <c r="S1385" s="76"/>
      <c r="T1385" s="76"/>
      <c r="U1385" s="76"/>
      <c r="V1385" s="76"/>
      <c r="W1385" s="76"/>
      <c r="X1385" s="76"/>
      <c r="Y1385" s="76"/>
      <c r="Z1385" s="76"/>
      <c r="AA1385" s="76"/>
      <c r="AB1385" s="76"/>
      <c r="AC1385" s="76"/>
      <c r="AD1385" s="76"/>
      <c r="AE1385" s="76"/>
      <c r="AF1385" s="76"/>
      <c r="AG1385" s="76"/>
      <c r="AH1385" s="76"/>
      <c r="AI1385" s="76"/>
      <c r="AJ1385" s="76"/>
      <c r="AK1385" s="76"/>
      <c r="AL1385" s="76"/>
      <c r="AM1385" s="76"/>
      <c r="AN1385" s="76"/>
      <c r="AO1385" s="76"/>
      <c r="AP1385" s="76"/>
      <c r="AQ1385" s="76"/>
      <c r="AR1385" s="76"/>
      <c r="AS1385" s="76"/>
      <c r="AT1385" s="76"/>
      <c r="AU1385" s="76"/>
      <c r="AV1385" s="76"/>
      <c r="AW1385" s="76"/>
      <c r="AX1385" s="76"/>
      <c r="AY1385" s="76"/>
      <c r="AZ1385" s="76"/>
      <c r="BA1385" s="76"/>
      <c r="BB1385" s="76"/>
    </row>
    <row r="1386" spans="5:54" x14ac:dyDescent="0.35">
      <c r="E1386" s="83"/>
      <c r="F1386" s="83"/>
      <c r="G1386" s="76"/>
      <c r="H1386" s="76"/>
      <c r="I1386" s="76"/>
      <c r="J1386" s="76"/>
      <c r="K1386" s="76"/>
      <c r="L1386" s="76"/>
      <c r="M1386" s="76"/>
      <c r="N1386" s="76"/>
      <c r="O1386" s="76"/>
      <c r="P1386" s="76"/>
      <c r="Q1386" s="76"/>
      <c r="R1386" s="76"/>
      <c r="S1386" s="76"/>
      <c r="T1386" s="76"/>
      <c r="U1386" s="76"/>
      <c r="V1386" s="76"/>
      <c r="W1386" s="76"/>
      <c r="X1386" s="76"/>
      <c r="Y1386" s="76"/>
      <c r="Z1386" s="76"/>
      <c r="AA1386" s="76"/>
      <c r="AB1386" s="76"/>
      <c r="AC1386" s="76"/>
      <c r="AD1386" s="76"/>
      <c r="AE1386" s="76"/>
      <c r="AF1386" s="76"/>
      <c r="AG1386" s="76"/>
      <c r="AH1386" s="76"/>
      <c r="AI1386" s="76"/>
      <c r="AJ1386" s="76"/>
      <c r="AK1386" s="76"/>
      <c r="AL1386" s="76"/>
      <c r="AM1386" s="76"/>
      <c r="AN1386" s="76"/>
      <c r="AO1386" s="76"/>
      <c r="AP1386" s="76"/>
      <c r="AQ1386" s="76"/>
      <c r="AR1386" s="76"/>
      <c r="AS1386" s="76"/>
      <c r="AT1386" s="76"/>
      <c r="AU1386" s="76"/>
      <c r="AV1386" s="76"/>
      <c r="AW1386" s="76"/>
      <c r="AX1386" s="76"/>
      <c r="AY1386" s="76"/>
      <c r="AZ1386" s="76"/>
      <c r="BA1386" s="76"/>
      <c r="BB1386" s="76"/>
    </row>
    <row r="1387" spans="5:54" x14ac:dyDescent="0.35">
      <c r="E1387" s="83"/>
      <c r="F1387" s="83"/>
      <c r="G1387" s="76"/>
      <c r="H1387" s="76"/>
      <c r="I1387" s="76"/>
      <c r="J1387" s="76"/>
      <c r="K1387" s="76"/>
      <c r="L1387" s="76"/>
      <c r="M1387" s="76"/>
      <c r="N1387" s="76"/>
      <c r="O1387" s="76"/>
      <c r="P1387" s="76"/>
      <c r="Q1387" s="76"/>
      <c r="R1387" s="76"/>
      <c r="S1387" s="76"/>
      <c r="T1387" s="76"/>
      <c r="U1387" s="76"/>
      <c r="V1387" s="76"/>
      <c r="W1387" s="76"/>
      <c r="X1387" s="76"/>
      <c r="Y1387" s="76"/>
      <c r="Z1387" s="76"/>
      <c r="AA1387" s="76"/>
      <c r="AB1387" s="76"/>
      <c r="AC1387" s="76"/>
      <c r="AD1387" s="76"/>
      <c r="AE1387" s="76"/>
      <c r="AF1387" s="76"/>
      <c r="AG1387" s="76"/>
      <c r="AH1387" s="76"/>
      <c r="AI1387" s="76"/>
      <c r="AJ1387" s="76"/>
      <c r="AK1387" s="76"/>
      <c r="AL1387" s="76"/>
      <c r="AM1387" s="76"/>
      <c r="AN1387" s="76"/>
      <c r="AO1387" s="76"/>
      <c r="AP1387" s="76"/>
      <c r="AQ1387" s="76"/>
      <c r="AR1387" s="76"/>
      <c r="AS1387" s="76"/>
      <c r="AT1387" s="76"/>
      <c r="AU1387" s="76"/>
      <c r="AV1387" s="76"/>
      <c r="AW1387" s="76"/>
      <c r="AX1387" s="76"/>
      <c r="AY1387" s="76"/>
      <c r="AZ1387" s="76"/>
      <c r="BA1387" s="76"/>
      <c r="BB1387" s="76"/>
    </row>
    <row r="1388" spans="5:54" x14ac:dyDescent="0.35">
      <c r="E1388" s="83"/>
      <c r="F1388" s="83"/>
      <c r="G1388" s="76"/>
      <c r="H1388" s="76"/>
      <c r="I1388" s="76"/>
      <c r="J1388" s="76"/>
      <c r="K1388" s="76"/>
      <c r="L1388" s="76"/>
      <c r="M1388" s="76"/>
      <c r="N1388" s="76"/>
      <c r="O1388" s="76"/>
      <c r="P1388" s="76"/>
      <c r="Q1388" s="76"/>
      <c r="R1388" s="76"/>
      <c r="S1388" s="76"/>
      <c r="T1388" s="76"/>
      <c r="U1388" s="76"/>
      <c r="V1388" s="76"/>
      <c r="W1388" s="76"/>
      <c r="X1388" s="76"/>
      <c r="Y1388" s="76"/>
      <c r="Z1388" s="76"/>
      <c r="AA1388" s="76"/>
      <c r="AB1388" s="76"/>
      <c r="AC1388" s="76"/>
      <c r="AD1388" s="76"/>
      <c r="AE1388" s="76"/>
      <c r="AF1388" s="76"/>
      <c r="AG1388" s="76"/>
      <c r="AH1388" s="76"/>
      <c r="AI1388" s="76"/>
      <c r="AJ1388" s="76"/>
      <c r="AK1388" s="76"/>
      <c r="AL1388" s="76"/>
      <c r="AM1388" s="76"/>
      <c r="AN1388" s="76"/>
      <c r="AO1388" s="76"/>
      <c r="AP1388" s="76"/>
      <c r="AQ1388" s="76"/>
      <c r="AR1388" s="76"/>
      <c r="AS1388" s="76"/>
      <c r="AT1388" s="76"/>
      <c r="AU1388" s="76"/>
      <c r="AV1388" s="76"/>
      <c r="AW1388" s="76"/>
      <c r="AX1388" s="76"/>
      <c r="AY1388" s="76"/>
      <c r="AZ1388" s="76"/>
      <c r="BA1388" s="76"/>
      <c r="BB1388" s="76"/>
    </row>
    <row r="1389" spans="5:54" x14ac:dyDescent="0.35">
      <c r="E1389" s="83"/>
      <c r="F1389" s="83"/>
      <c r="G1389" s="76"/>
      <c r="H1389" s="76"/>
      <c r="I1389" s="76"/>
      <c r="J1389" s="76"/>
      <c r="K1389" s="76"/>
      <c r="L1389" s="76"/>
      <c r="M1389" s="76"/>
      <c r="N1389" s="76"/>
      <c r="O1389" s="76"/>
      <c r="P1389" s="76"/>
      <c r="Q1389" s="76"/>
      <c r="R1389" s="76"/>
      <c r="S1389" s="76"/>
      <c r="T1389" s="76"/>
      <c r="U1389" s="76"/>
      <c r="V1389" s="76"/>
      <c r="W1389" s="76"/>
      <c r="X1389" s="76"/>
      <c r="Y1389" s="76"/>
      <c r="Z1389" s="76"/>
      <c r="AA1389" s="76"/>
      <c r="AB1389" s="76"/>
      <c r="AC1389" s="76"/>
      <c r="AD1389" s="76"/>
      <c r="AE1389" s="76"/>
      <c r="AF1389" s="76"/>
      <c r="AG1389" s="76"/>
      <c r="AH1389" s="76"/>
      <c r="AI1389" s="76"/>
      <c r="AJ1389" s="76"/>
      <c r="AK1389" s="76"/>
      <c r="AL1389" s="76"/>
      <c r="AM1389" s="76"/>
      <c r="AN1389" s="76"/>
      <c r="AO1389" s="76"/>
      <c r="AP1389" s="76"/>
      <c r="AQ1389" s="76"/>
      <c r="AR1389" s="76"/>
      <c r="AS1389" s="76"/>
      <c r="AT1389" s="76"/>
      <c r="AU1389" s="76"/>
      <c r="AV1389" s="76"/>
      <c r="AW1389" s="76"/>
      <c r="AX1389" s="76"/>
      <c r="AY1389" s="76"/>
      <c r="AZ1389" s="76"/>
      <c r="BA1389" s="76"/>
      <c r="BB1389" s="76"/>
    </row>
    <row r="1390" spans="5:54" x14ac:dyDescent="0.35">
      <c r="E1390" s="83"/>
      <c r="F1390" s="83"/>
      <c r="G1390" s="76"/>
      <c r="H1390" s="76"/>
      <c r="I1390" s="76"/>
      <c r="J1390" s="76"/>
      <c r="K1390" s="76"/>
      <c r="L1390" s="76"/>
      <c r="M1390" s="76"/>
      <c r="N1390" s="76"/>
      <c r="O1390" s="76"/>
      <c r="P1390" s="76"/>
      <c r="Q1390" s="76"/>
      <c r="R1390" s="76"/>
      <c r="S1390" s="76"/>
      <c r="T1390" s="76"/>
      <c r="U1390" s="76"/>
      <c r="V1390" s="76"/>
      <c r="W1390" s="76"/>
      <c r="X1390" s="76"/>
      <c r="Y1390" s="76"/>
      <c r="Z1390" s="76"/>
      <c r="AA1390" s="76"/>
      <c r="AB1390" s="76"/>
      <c r="AC1390" s="76"/>
      <c r="AD1390" s="76"/>
      <c r="AE1390" s="76"/>
      <c r="AF1390" s="76"/>
      <c r="AG1390" s="76"/>
      <c r="AH1390" s="76"/>
      <c r="AI1390" s="76"/>
      <c r="AJ1390" s="76"/>
      <c r="AK1390" s="76"/>
      <c r="AL1390" s="76"/>
      <c r="AM1390" s="76"/>
      <c r="AN1390" s="76"/>
      <c r="AO1390" s="76"/>
      <c r="AP1390" s="76"/>
      <c r="AQ1390" s="76"/>
      <c r="AR1390" s="76"/>
      <c r="AS1390" s="76"/>
      <c r="AT1390" s="76"/>
      <c r="AU1390" s="76"/>
      <c r="AV1390" s="76"/>
      <c r="AW1390" s="76"/>
      <c r="AX1390" s="76"/>
      <c r="AY1390" s="76"/>
      <c r="AZ1390" s="76"/>
      <c r="BA1390" s="76"/>
      <c r="BB1390" s="76"/>
    </row>
    <row r="1391" spans="5:54" x14ac:dyDescent="0.35">
      <c r="E1391" s="83"/>
      <c r="F1391" s="83"/>
      <c r="G1391" s="76"/>
      <c r="H1391" s="76"/>
      <c r="I1391" s="76"/>
      <c r="J1391" s="76"/>
      <c r="K1391" s="76"/>
      <c r="L1391" s="76"/>
      <c r="M1391" s="76"/>
      <c r="N1391" s="76"/>
      <c r="O1391" s="76"/>
      <c r="P1391" s="76"/>
      <c r="Q1391" s="76"/>
      <c r="R1391" s="76"/>
      <c r="S1391" s="76"/>
      <c r="T1391" s="76"/>
      <c r="U1391" s="76"/>
      <c r="V1391" s="76"/>
      <c r="W1391" s="76"/>
      <c r="X1391" s="76"/>
      <c r="Y1391" s="76"/>
      <c r="Z1391" s="76"/>
      <c r="AA1391" s="76"/>
      <c r="AB1391" s="76"/>
      <c r="AC1391" s="76"/>
      <c r="AD1391" s="76"/>
      <c r="AE1391" s="76"/>
      <c r="AF1391" s="76"/>
      <c r="AG1391" s="76"/>
      <c r="AH1391" s="76"/>
      <c r="AI1391" s="76"/>
      <c r="AJ1391" s="76"/>
      <c r="AK1391" s="76"/>
      <c r="AL1391" s="76"/>
      <c r="AM1391" s="76"/>
      <c r="AN1391" s="76"/>
      <c r="AO1391" s="76"/>
      <c r="AP1391" s="76"/>
      <c r="AQ1391" s="76"/>
      <c r="AR1391" s="76"/>
      <c r="AS1391" s="76"/>
      <c r="AT1391" s="76"/>
      <c r="AU1391" s="76"/>
      <c r="AV1391" s="76"/>
      <c r="AW1391" s="76"/>
      <c r="AX1391" s="76"/>
      <c r="AY1391" s="76"/>
      <c r="AZ1391" s="76"/>
      <c r="BA1391" s="76"/>
      <c r="BB1391" s="76"/>
    </row>
    <row r="1392" spans="5:54" x14ac:dyDescent="0.35">
      <c r="E1392" s="83"/>
      <c r="F1392" s="83"/>
      <c r="G1392" s="76"/>
      <c r="H1392" s="76"/>
      <c r="I1392" s="76"/>
      <c r="J1392" s="76"/>
      <c r="K1392" s="76"/>
      <c r="L1392" s="76"/>
      <c r="M1392" s="76"/>
      <c r="N1392" s="76"/>
      <c r="O1392" s="76"/>
      <c r="P1392" s="76"/>
      <c r="Q1392" s="76"/>
      <c r="R1392" s="76"/>
      <c r="S1392" s="76"/>
      <c r="T1392" s="76"/>
      <c r="U1392" s="76"/>
      <c r="V1392" s="76"/>
      <c r="W1392" s="76"/>
      <c r="X1392" s="76"/>
      <c r="Y1392" s="76"/>
      <c r="Z1392" s="76"/>
      <c r="AA1392" s="76"/>
      <c r="AB1392" s="76"/>
      <c r="AC1392" s="76"/>
      <c r="AD1392" s="76"/>
      <c r="AE1392" s="76"/>
      <c r="AF1392" s="76"/>
      <c r="AG1392" s="76"/>
      <c r="AH1392" s="76"/>
      <c r="AI1392" s="76"/>
      <c r="AJ1392" s="76"/>
      <c r="AK1392" s="76"/>
      <c r="AL1392" s="76"/>
      <c r="AM1392" s="76"/>
      <c r="AN1392" s="76"/>
      <c r="AO1392" s="76"/>
      <c r="AP1392" s="76"/>
      <c r="AQ1392" s="76"/>
      <c r="AR1392" s="76"/>
      <c r="AS1392" s="76"/>
      <c r="AT1392" s="76"/>
      <c r="AU1392" s="76"/>
      <c r="AV1392" s="76"/>
      <c r="AW1392" s="76"/>
      <c r="AX1392" s="76"/>
      <c r="AY1392" s="76"/>
      <c r="AZ1392" s="76"/>
      <c r="BA1392" s="76"/>
      <c r="BB1392" s="76"/>
    </row>
    <row r="1393" spans="5:54" x14ac:dyDescent="0.35">
      <c r="E1393" s="83"/>
      <c r="F1393" s="83"/>
      <c r="G1393" s="76"/>
      <c r="H1393" s="76"/>
      <c r="I1393" s="76"/>
      <c r="J1393" s="76"/>
      <c r="K1393" s="76"/>
      <c r="L1393" s="76"/>
      <c r="M1393" s="76"/>
      <c r="N1393" s="76"/>
      <c r="O1393" s="76"/>
      <c r="P1393" s="76"/>
      <c r="Q1393" s="76"/>
      <c r="R1393" s="76"/>
      <c r="S1393" s="76"/>
      <c r="T1393" s="76"/>
      <c r="U1393" s="76"/>
      <c r="V1393" s="76"/>
      <c r="W1393" s="76"/>
      <c r="X1393" s="76"/>
      <c r="Y1393" s="76"/>
      <c r="Z1393" s="76"/>
      <c r="AA1393" s="76"/>
      <c r="AB1393" s="76"/>
      <c r="AC1393" s="76"/>
      <c r="AD1393" s="76"/>
      <c r="AE1393" s="76"/>
      <c r="AF1393" s="76"/>
      <c r="AG1393" s="76"/>
      <c r="AH1393" s="76"/>
      <c r="AI1393" s="76"/>
      <c r="AJ1393" s="76"/>
      <c r="AK1393" s="76"/>
      <c r="AL1393" s="76"/>
      <c r="AM1393" s="76"/>
      <c r="AN1393" s="76"/>
      <c r="AO1393" s="76"/>
      <c r="AP1393" s="76"/>
      <c r="AQ1393" s="76"/>
      <c r="AR1393" s="76"/>
      <c r="AS1393" s="76"/>
      <c r="AT1393" s="76"/>
      <c r="AU1393" s="76"/>
      <c r="AV1393" s="76"/>
      <c r="AW1393" s="76"/>
      <c r="AX1393" s="76"/>
      <c r="AY1393" s="76"/>
      <c r="AZ1393" s="76"/>
      <c r="BA1393" s="76"/>
      <c r="BB1393" s="76"/>
    </row>
    <row r="1394" spans="5:54" x14ac:dyDescent="0.35">
      <c r="E1394" s="83"/>
      <c r="F1394" s="83"/>
      <c r="G1394" s="76"/>
      <c r="H1394" s="76"/>
      <c r="I1394" s="76"/>
      <c r="J1394" s="76"/>
      <c r="K1394" s="76"/>
      <c r="L1394" s="76"/>
      <c r="M1394" s="76"/>
      <c r="N1394" s="76"/>
      <c r="O1394" s="76"/>
      <c r="P1394" s="76"/>
      <c r="Q1394" s="76"/>
      <c r="R1394" s="76"/>
      <c r="S1394" s="76"/>
      <c r="T1394" s="76"/>
      <c r="U1394" s="76"/>
      <c r="V1394" s="76"/>
      <c r="W1394" s="76"/>
      <c r="X1394" s="76"/>
      <c r="Y1394" s="76"/>
      <c r="Z1394" s="76"/>
      <c r="AA1394" s="76"/>
      <c r="AB1394" s="76"/>
      <c r="AC1394" s="76"/>
      <c r="AD1394" s="76"/>
      <c r="AE1394" s="76"/>
      <c r="AF1394" s="76"/>
      <c r="AG1394" s="76"/>
      <c r="AH1394" s="76"/>
      <c r="AI1394" s="76"/>
      <c r="AJ1394" s="76"/>
      <c r="AK1394" s="76"/>
      <c r="AL1394" s="76"/>
      <c r="AM1394" s="76"/>
      <c r="AN1394" s="76"/>
      <c r="AO1394" s="76"/>
      <c r="AP1394" s="76"/>
      <c r="AQ1394" s="76"/>
      <c r="AR1394" s="76"/>
      <c r="AS1394" s="76"/>
      <c r="AT1394" s="76"/>
      <c r="AU1394" s="76"/>
      <c r="AV1394" s="76"/>
      <c r="AW1394" s="76"/>
      <c r="AX1394" s="76"/>
      <c r="AY1394" s="76"/>
      <c r="AZ1394" s="76"/>
      <c r="BA1394" s="76"/>
      <c r="BB1394" s="76"/>
    </row>
    <row r="1395" spans="5:54" x14ac:dyDescent="0.35">
      <c r="E1395" s="83"/>
      <c r="F1395" s="83"/>
      <c r="G1395" s="76"/>
      <c r="H1395" s="76"/>
      <c r="I1395" s="76"/>
      <c r="J1395" s="76"/>
      <c r="K1395" s="76"/>
      <c r="L1395" s="76"/>
      <c r="M1395" s="76"/>
      <c r="N1395" s="76"/>
      <c r="O1395" s="76"/>
      <c r="P1395" s="76"/>
      <c r="Q1395" s="76"/>
      <c r="R1395" s="76"/>
      <c r="S1395" s="76"/>
      <c r="T1395" s="76"/>
      <c r="U1395" s="76"/>
      <c r="V1395" s="76"/>
      <c r="W1395" s="76"/>
      <c r="X1395" s="76"/>
      <c r="Y1395" s="76"/>
      <c r="Z1395" s="76"/>
      <c r="AA1395" s="76"/>
      <c r="AB1395" s="76"/>
      <c r="AC1395" s="76"/>
      <c r="AD1395" s="76"/>
      <c r="AE1395" s="76"/>
      <c r="AF1395" s="76"/>
      <c r="AG1395" s="76"/>
      <c r="AH1395" s="76"/>
      <c r="AI1395" s="76"/>
      <c r="AJ1395" s="76"/>
      <c r="AK1395" s="76"/>
      <c r="AL1395" s="76"/>
      <c r="AM1395" s="76"/>
      <c r="AN1395" s="76"/>
      <c r="AO1395" s="76"/>
      <c r="AP1395" s="76"/>
      <c r="AQ1395" s="76"/>
      <c r="AR1395" s="76"/>
      <c r="AS1395" s="76"/>
      <c r="AT1395" s="76"/>
      <c r="AU1395" s="76"/>
      <c r="AV1395" s="76"/>
      <c r="AW1395" s="76"/>
      <c r="AX1395" s="76"/>
      <c r="AY1395" s="76"/>
      <c r="AZ1395" s="76"/>
      <c r="BA1395" s="76"/>
      <c r="BB1395" s="76"/>
    </row>
    <row r="1396" spans="5:54" x14ac:dyDescent="0.35">
      <c r="E1396" s="83"/>
      <c r="F1396" s="83"/>
      <c r="G1396" s="76"/>
      <c r="H1396" s="76"/>
      <c r="I1396" s="76"/>
      <c r="J1396" s="76"/>
      <c r="K1396" s="76"/>
      <c r="L1396" s="76"/>
      <c r="M1396" s="76"/>
      <c r="N1396" s="76"/>
      <c r="O1396" s="76"/>
      <c r="P1396" s="76"/>
      <c r="Q1396" s="76"/>
      <c r="R1396" s="76"/>
      <c r="S1396" s="76"/>
      <c r="T1396" s="76"/>
      <c r="U1396" s="76"/>
      <c r="V1396" s="76"/>
      <c r="W1396" s="76"/>
      <c r="X1396" s="76"/>
      <c r="Y1396" s="76"/>
      <c r="Z1396" s="76"/>
      <c r="AA1396" s="76"/>
      <c r="AB1396" s="76"/>
      <c r="AC1396" s="76"/>
      <c r="AD1396" s="76"/>
      <c r="AE1396" s="76"/>
      <c r="AF1396" s="76"/>
      <c r="AG1396" s="76"/>
      <c r="AH1396" s="76"/>
      <c r="AI1396" s="76"/>
      <c r="AJ1396" s="76"/>
      <c r="AK1396" s="76"/>
      <c r="AL1396" s="76"/>
      <c r="AM1396" s="76"/>
      <c r="AN1396" s="76"/>
      <c r="AO1396" s="76"/>
      <c r="AP1396" s="76"/>
      <c r="AQ1396" s="76"/>
      <c r="AR1396" s="76"/>
      <c r="AS1396" s="76"/>
      <c r="AT1396" s="76"/>
      <c r="AU1396" s="76"/>
      <c r="AV1396" s="76"/>
      <c r="AW1396" s="76"/>
      <c r="AX1396" s="76"/>
      <c r="AY1396" s="76"/>
      <c r="AZ1396" s="76"/>
      <c r="BA1396" s="76"/>
      <c r="BB1396" s="76"/>
    </row>
    <row r="1397" spans="5:54" x14ac:dyDescent="0.35">
      <c r="E1397" s="83"/>
      <c r="F1397" s="83"/>
      <c r="G1397" s="76"/>
      <c r="H1397" s="76"/>
      <c r="I1397" s="76"/>
      <c r="J1397" s="76"/>
      <c r="K1397" s="76"/>
      <c r="L1397" s="76"/>
      <c r="M1397" s="76"/>
      <c r="N1397" s="76"/>
      <c r="O1397" s="76"/>
      <c r="P1397" s="76"/>
      <c r="Q1397" s="76"/>
      <c r="R1397" s="76"/>
      <c r="S1397" s="76"/>
      <c r="T1397" s="76"/>
      <c r="U1397" s="76"/>
      <c r="V1397" s="76"/>
      <c r="W1397" s="76"/>
      <c r="X1397" s="76"/>
      <c r="Y1397" s="76"/>
      <c r="Z1397" s="76"/>
      <c r="AA1397" s="76"/>
      <c r="AB1397" s="76"/>
      <c r="AC1397" s="76"/>
      <c r="AD1397" s="76"/>
      <c r="AE1397" s="76"/>
      <c r="AF1397" s="76"/>
      <c r="AG1397" s="76"/>
      <c r="AH1397" s="76"/>
      <c r="AI1397" s="76"/>
      <c r="AJ1397" s="76"/>
      <c r="AK1397" s="76"/>
      <c r="AL1397" s="76"/>
      <c r="AM1397" s="76"/>
      <c r="AN1397" s="76"/>
      <c r="AO1397" s="76"/>
      <c r="AP1397" s="76"/>
      <c r="AQ1397" s="76"/>
      <c r="AR1397" s="76"/>
      <c r="AS1397" s="76"/>
      <c r="AT1397" s="76"/>
      <c r="AU1397" s="76"/>
      <c r="AV1397" s="76"/>
      <c r="AW1397" s="76"/>
      <c r="AX1397" s="76"/>
      <c r="AY1397" s="76"/>
      <c r="AZ1397" s="76"/>
      <c r="BA1397" s="76"/>
      <c r="BB1397" s="76"/>
    </row>
    <row r="1398" spans="5:54" x14ac:dyDescent="0.35">
      <c r="E1398" s="83"/>
      <c r="F1398" s="83"/>
      <c r="G1398" s="76"/>
      <c r="H1398" s="76"/>
      <c r="I1398" s="76"/>
      <c r="J1398" s="76"/>
      <c r="K1398" s="76"/>
      <c r="L1398" s="76"/>
      <c r="M1398" s="76"/>
      <c r="N1398" s="76"/>
      <c r="O1398" s="76"/>
      <c r="P1398" s="76"/>
      <c r="Q1398" s="76"/>
      <c r="R1398" s="76"/>
      <c r="S1398" s="76"/>
      <c r="T1398" s="76"/>
      <c r="U1398" s="76"/>
      <c r="V1398" s="76"/>
      <c r="W1398" s="76"/>
      <c r="X1398" s="76"/>
      <c r="Y1398" s="76"/>
      <c r="Z1398" s="76"/>
      <c r="AA1398" s="76"/>
      <c r="AB1398" s="76"/>
      <c r="AC1398" s="76"/>
      <c r="AD1398" s="76"/>
      <c r="AE1398" s="76"/>
      <c r="AF1398" s="76"/>
      <c r="AG1398" s="76"/>
      <c r="AH1398" s="76"/>
      <c r="AI1398" s="76"/>
      <c r="AJ1398" s="76"/>
      <c r="AK1398" s="76"/>
      <c r="AL1398" s="76"/>
      <c r="AM1398" s="76"/>
      <c r="AN1398" s="76"/>
      <c r="AO1398" s="76"/>
      <c r="AP1398" s="76"/>
      <c r="AQ1398" s="76"/>
      <c r="AR1398" s="76"/>
      <c r="AS1398" s="76"/>
      <c r="AT1398" s="76"/>
      <c r="AU1398" s="76"/>
      <c r="AV1398" s="76"/>
      <c r="AW1398" s="76"/>
      <c r="AX1398" s="76"/>
      <c r="AY1398" s="76"/>
      <c r="AZ1398" s="76"/>
      <c r="BA1398" s="76"/>
      <c r="BB1398" s="76"/>
    </row>
    <row r="1399" spans="5:54" x14ac:dyDescent="0.35">
      <c r="E1399" s="83"/>
      <c r="F1399" s="83"/>
      <c r="G1399" s="76"/>
      <c r="H1399" s="76"/>
      <c r="I1399" s="76"/>
      <c r="J1399" s="76"/>
      <c r="K1399" s="76"/>
      <c r="L1399" s="76"/>
      <c r="M1399" s="76"/>
      <c r="N1399" s="76"/>
      <c r="O1399" s="76"/>
      <c r="P1399" s="76"/>
      <c r="Q1399" s="76"/>
      <c r="R1399" s="76"/>
      <c r="S1399" s="76"/>
      <c r="T1399" s="76"/>
      <c r="U1399" s="76"/>
      <c r="V1399" s="76"/>
      <c r="W1399" s="76"/>
      <c r="X1399" s="76"/>
      <c r="Y1399" s="76"/>
      <c r="Z1399" s="76"/>
      <c r="AA1399" s="76"/>
      <c r="AB1399" s="76"/>
      <c r="AC1399" s="76"/>
      <c r="AD1399" s="76"/>
      <c r="AE1399" s="76"/>
      <c r="AF1399" s="76"/>
      <c r="AG1399" s="76"/>
      <c r="AH1399" s="76"/>
      <c r="AI1399" s="76"/>
      <c r="AJ1399" s="76"/>
      <c r="AK1399" s="76"/>
      <c r="AL1399" s="76"/>
      <c r="AM1399" s="76"/>
      <c r="AN1399" s="76"/>
      <c r="AO1399" s="76"/>
      <c r="AP1399" s="76"/>
      <c r="AQ1399" s="76"/>
      <c r="AR1399" s="76"/>
      <c r="AS1399" s="76"/>
      <c r="AT1399" s="76"/>
      <c r="AU1399" s="76"/>
      <c r="AV1399" s="76"/>
      <c r="AW1399" s="76"/>
      <c r="AX1399" s="76"/>
      <c r="AY1399" s="76"/>
      <c r="AZ1399" s="76"/>
      <c r="BA1399" s="76"/>
      <c r="BB1399" s="76"/>
    </row>
    <row r="1400" spans="5:54" x14ac:dyDescent="0.35">
      <c r="E1400" s="83"/>
      <c r="F1400" s="83"/>
      <c r="G1400" s="76"/>
      <c r="H1400" s="76"/>
      <c r="I1400" s="76"/>
      <c r="J1400" s="76"/>
      <c r="K1400" s="76"/>
      <c r="L1400" s="76"/>
      <c r="M1400" s="76"/>
      <c r="N1400" s="76"/>
      <c r="O1400" s="76"/>
      <c r="P1400" s="76"/>
      <c r="Q1400" s="76"/>
      <c r="R1400" s="76"/>
      <c r="S1400" s="76"/>
      <c r="T1400" s="76"/>
      <c r="U1400" s="76"/>
      <c r="V1400" s="76"/>
      <c r="W1400" s="76"/>
      <c r="X1400" s="76"/>
      <c r="Y1400" s="76"/>
      <c r="Z1400" s="76"/>
      <c r="AA1400" s="76"/>
      <c r="AB1400" s="76"/>
      <c r="AC1400" s="76"/>
      <c r="AD1400" s="76"/>
      <c r="AE1400" s="76"/>
      <c r="AF1400" s="76"/>
      <c r="AG1400" s="76"/>
      <c r="AH1400" s="76"/>
      <c r="AI1400" s="76"/>
      <c r="AJ1400" s="76"/>
      <c r="AK1400" s="76"/>
      <c r="AL1400" s="76"/>
      <c r="AM1400" s="76"/>
      <c r="AN1400" s="76"/>
      <c r="AO1400" s="76"/>
      <c r="AP1400" s="76"/>
      <c r="AQ1400" s="76"/>
      <c r="AR1400" s="76"/>
      <c r="AS1400" s="76"/>
      <c r="AT1400" s="76"/>
      <c r="AU1400" s="76"/>
      <c r="AV1400" s="76"/>
      <c r="AW1400" s="76"/>
      <c r="AX1400" s="76"/>
      <c r="AY1400" s="76"/>
      <c r="AZ1400" s="76"/>
      <c r="BA1400" s="76"/>
      <c r="BB1400" s="76"/>
    </row>
    <row r="1401" spans="5:54" x14ac:dyDescent="0.35">
      <c r="E1401" s="83"/>
      <c r="F1401" s="83"/>
      <c r="G1401" s="76"/>
      <c r="H1401" s="76"/>
      <c r="I1401" s="76"/>
      <c r="J1401" s="76"/>
      <c r="K1401" s="76"/>
      <c r="L1401" s="76"/>
      <c r="M1401" s="76"/>
      <c r="N1401" s="76"/>
      <c r="O1401" s="76"/>
      <c r="P1401" s="76"/>
      <c r="Q1401" s="76"/>
      <c r="R1401" s="76"/>
      <c r="S1401" s="76"/>
      <c r="T1401" s="76"/>
      <c r="U1401" s="76"/>
      <c r="V1401" s="76"/>
      <c r="W1401" s="76"/>
      <c r="X1401" s="76"/>
      <c r="Y1401" s="76"/>
      <c r="Z1401" s="76"/>
      <c r="AA1401" s="76"/>
      <c r="AB1401" s="76"/>
      <c r="AC1401" s="76"/>
      <c r="AD1401" s="76"/>
      <c r="AE1401" s="76"/>
      <c r="AF1401" s="76"/>
      <c r="AG1401" s="76"/>
      <c r="AH1401" s="76"/>
      <c r="AI1401" s="76"/>
      <c r="AJ1401" s="76"/>
      <c r="AK1401" s="76"/>
      <c r="AL1401" s="76"/>
      <c r="AM1401" s="76"/>
      <c r="AN1401" s="76"/>
      <c r="AO1401" s="76"/>
      <c r="AP1401" s="76"/>
      <c r="AQ1401" s="76"/>
      <c r="AR1401" s="76"/>
      <c r="AS1401" s="76"/>
      <c r="AT1401" s="76"/>
      <c r="AU1401" s="76"/>
      <c r="AV1401" s="76"/>
      <c r="AW1401" s="76"/>
      <c r="AX1401" s="76"/>
      <c r="AY1401" s="76"/>
      <c r="AZ1401" s="76"/>
      <c r="BA1401" s="76"/>
      <c r="BB1401" s="76"/>
    </row>
    <row r="1402" spans="5:54" x14ac:dyDescent="0.35">
      <c r="E1402" s="83"/>
      <c r="F1402" s="83"/>
      <c r="G1402" s="76"/>
      <c r="H1402" s="76"/>
      <c r="I1402" s="76"/>
      <c r="J1402" s="76"/>
      <c r="K1402" s="76"/>
      <c r="L1402" s="76"/>
      <c r="M1402" s="76"/>
      <c r="N1402" s="76"/>
      <c r="O1402" s="76"/>
      <c r="P1402" s="76"/>
      <c r="Q1402" s="76"/>
      <c r="R1402" s="76"/>
      <c r="S1402" s="76"/>
      <c r="T1402" s="76"/>
      <c r="U1402" s="76"/>
      <c r="V1402" s="76"/>
      <c r="W1402" s="76"/>
      <c r="X1402" s="76"/>
      <c r="Y1402" s="76"/>
      <c r="Z1402" s="76"/>
      <c r="AA1402" s="76"/>
      <c r="AB1402" s="76"/>
      <c r="AC1402" s="76"/>
      <c r="AD1402" s="76"/>
      <c r="AE1402" s="76"/>
      <c r="AF1402" s="76"/>
      <c r="AG1402" s="76"/>
      <c r="AH1402" s="76"/>
      <c r="AI1402" s="76"/>
      <c r="AJ1402" s="76"/>
      <c r="AK1402" s="76"/>
      <c r="AL1402" s="76"/>
      <c r="AM1402" s="76"/>
      <c r="AN1402" s="76"/>
      <c r="AO1402" s="76"/>
      <c r="AP1402" s="76"/>
      <c r="AQ1402" s="76"/>
      <c r="AR1402" s="76"/>
      <c r="AS1402" s="76"/>
      <c r="AT1402" s="76"/>
      <c r="AU1402" s="76"/>
      <c r="AV1402" s="76"/>
      <c r="AW1402" s="76"/>
      <c r="AX1402" s="76"/>
      <c r="AY1402" s="76"/>
      <c r="AZ1402" s="76"/>
      <c r="BA1402" s="76"/>
      <c r="BB1402" s="76"/>
    </row>
    <row r="1403" spans="5:54" x14ac:dyDescent="0.35">
      <c r="E1403" s="83"/>
      <c r="F1403" s="83"/>
      <c r="G1403" s="76"/>
      <c r="H1403" s="76"/>
      <c r="I1403" s="76"/>
      <c r="J1403" s="76"/>
      <c r="K1403" s="76"/>
      <c r="L1403" s="76"/>
      <c r="M1403" s="76"/>
      <c r="N1403" s="76"/>
      <c r="O1403" s="76"/>
      <c r="P1403" s="76"/>
      <c r="Q1403" s="76"/>
      <c r="R1403" s="76"/>
      <c r="S1403" s="76"/>
      <c r="T1403" s="76"/>
      <c r="U1403" s="76"/>
      <c r="V1403" s="76"/>
      <c r="W1403" s="76"/>
      <c r="X1403" s="76"/>
      <c r="Y1403" s="76"/>
      <c r="Z1403" s="76"/>
      <c r="AA1403" s="76"/>
      <c r="AB1403" s="76"/>
      <c r="AC1403" s="76"/>
      <c r="AD1403" s="76"/>
      <c r="AE1403" s="76"/>
      <c r="AF1403" s="76"/>
      <c r="AG1403" s="76"/>
      <c r="AH1403" s="76"/>
      <c r="AI1403" s="76"/>
      <c r="AJ1403" s="76"/>
      <c r="AK1403" s="76"/>
      <c r="AL1403" s="76"/>
      <c r="AM1403" s="76"/>
      <c r="AN1403" s="76"/>
      <c r="AO1403" s="76"/>
      <c r="AP1403" s="76"/>
      <c r="AQ1403" s="76"/>
      <c r="AR1403" s="76"/>
      <c r="AS1403" s="76"/>
      <c r="AT1403" s="76"/>
      <c r="AU1403" s="76"/>
      <c r="AV1403" s="76"/>
      <c r="AW1403" s="76"/>
      <c r="AX1403" s="76"/>
      <c r="AY1403" s="76"/>
      <c r="AZ1403" s="76"/>
      <c r="BA1403" s="76"/>
      <c r="BB1403" s="76"/>
    </row>
    <row r="1404" spans="5:54" x14ac:dyDescent="0.35">
      <c r="E1404" s="83"/>
      <c r="F1404" s="83"/>
      <c r="G1404" s="76"/>
      <c r="H1404" s="76"/>
      <c r="I1404" s="76"/>
      <c r="J1404" s="76"/>
      <c r="K1404" s="76"/>
      <c r="L1404" s="76"/>
      <c r="M1404" s="76"/>
      <c r="N1404" s="76"/>
      <c r="O1404" s="76"/>
      <c r="P1404" s="76"/>
      <c r="Q1404" s="76"/>
      <c r="R1404" s="76"/>
      <c r="S1404" s="76"/>
      <c r="T1404" s="76"/>
      <c r="U1404" s="76"/>
      <c r="V1404" s="76"/>
      <c r="W1404" s="76"/>
      <c r="X1404" s="76"/>
      <c r="Y1404" s="76"/>
      <c r="Z1404" s="76"/>
      <c r="AA1404" s="76"/>
      <c r="AB1404" s="76"/>
      <c r="AC1404" s="76"/>
      <c r="AD1404" s="76"/>
      <c r="AE1404" s="76"/>
      <c r="AF1404" s="76"/>
      <c r="AG1404" s="76"/>
      <c r="AH1404" s="76"/>
      <c r="AI1404" s="76"/>
      <c r="AJ1404" s="76"/>
      <c r="AK1404" s="76"/>
      <c r="AL1404" s="76"/>
      <c r="AM1404" s="76"/>
      <c r="AN1404" s="76"/>
      <c r="AO1404" s="76"/>
      <c r="AP1404" s="76"/>
      <c r="AQ1404" s="76"/>
      <c r="AR1404" s="76"/>
      <c r="AS1404" s="76"/>
      <c r="AT1404" s="76"/>
      <c r="AU1404" s="76"/>
      <c r="AV1404" s="76"/>
      <c r="AW1404" s="76"/>
      <c r="AX1404" s="76"/>
      <c r="AY1404" s="76"/>
      <c r="AZ1404" s="76"/>
      <c r="BA1404" s="76"/>
      <c r="BB1404" s="76"/>
    </row>
    <row r="1405" spans="5:54" x14ac:dyDescent="0.35">
      <c r="E1405" s="83"/>
      <c r="F1405" s="83"/>
      <c r="G1405" s="76"/>
      <c r="H1405" s="76"/>
      <c r="I1405" s="76"/>
      <c r="J1405" s="76"/>
      <c r="K1405" s="76"/>
      <c r="L1405" s="76"/>
      <c r="M1405" s="76"/>
      <c r="N1405" s="76"/>
      <c r="O1405" s="76"/>
      <c r="P1405" s="76"/>
      <c r="Q1405" s="76"/>
      <c r="R1405" s="76"/>
      <c r="S1405" s="76"/>
      <c r="T1405" s="76"/>
      <c r="U1405" s="76"/>
      <c r="V1405" s="76"/>
      <c r="W1405" s="76"/>
      <c r="X1405" s="76"/>
      <c r="Y1405" s="76"/>
      <c r="Z1405" s="76"/>
      <c r="AA1405" s="76"/>
      <c r="AB1405" s="76"/>
      <c r="AC1405" s="76"/>
      <c r="AD1405" s="76"/>
      <c r="AE1405" s="76"/>
      <c r="AF1405" s="76"/>
      <c r="AG1405" s="76"/>
      <c r="AH1405" s="76"/>
      <c r="AI1405" s="76"/>
      <c r="AJ1405" s="76"/>
      <c r="AK1405" s="76"/>
      <c r="AL1405" s="76"/>
      <c r="AM1405" s="76"/>
      <c r="AN1405" s="76"/>
      <c r="AO1405" s="76"/>
      <c r="AP1405" s="76"/>
      <c r="AQ1405" s="76"/>
      <c r="AR1405" s="76"/>
      <c r="AS1405" s="76"/>
      <c r="AT1405" s="76"/>
      <c r="AU1405" s="76"/>
      <c r="AV1405" s="76"/>
      <c r="AW1405" s="76"/>
      <c r="AX1405" s="76"/>
      <c r="AY1405" s="76"/>
      <c r="AZ1405" s="76"/>
      <c r="BA1405" s="76"/>
      <c r="BB1405" s="76"/>
    </row>
    <row r="1406" spans="5:54" x14ac:dyDescent="0.35">
      <c r="E1406" s="83"/>
      <c r="F1406" s="83"/>
      <c r="G1406" s="76"/>
      <c r="H1406" s="76"/>
      <c r="I1406" s="76"/>
      <c r="J1406" s="76"/>
      <c r="K1406" s="76"/>
      <c r="L1406" s="76"/>
      <c r="M1406" s="76"/>
      <c r="N1406" s="76"/>
      <c r="O1406" s="76"/>
      <c r="P1406" s="76"/>
      <c r="Q1406" s="76"/>
      <c r="R1406" s="76"/>
      <c r="S1406" s="76"/>
      <c r="T1406" s="76"/>
      <c r="U1406" s="76"/>
      <c r="V1406" s="76"/>
      <c r="W1406" s="76"/>
      <c r="X1406" s="76"/>
      <c r="Y1406" s="76"/>
      <c r="Z1406" s="76"/>
      <c r="AA1406" s="76"/>
      <c r="AB1406" s="76"/>
      <c r="AC1406" s="76"/>
      <c r="AD1406" s="76"/>
      <c r="AE1406" s="76"/>
      <c r="AF1406" s="76"/>
      <c r="AG1406" s="76"/>
      <c r="AH1406" s="76"/>
      <c r="AI1406" s="76"/>
      <c r="AJ1406" s="76"/>
      <c r="AK1406" s="76"/>
      <c r="AL1406" s="76"/>
      <c r="AM1406" s="76"/>
      <c r="AN1406" s="76"/>
      <c r="AO1406" s="76"/>
      <c r="AP1406" s="76"/>
      <c r="AQ1406" s="76"/>
      <c r="AR1406" s="76"/>
      <c r="AS1406" s="76"/>
      <c r="AT1406" s="76"/>
      <c r="AU1406" s="76"/>
      <c r="AV1406" s="76"/>
      <c r="AW1406" s="76"/>
      <c r="AX1406" s="76"/>
      <c r="AY1406" s="76"/>
      <c r="AZ1406" s="76"/>
      <c r="BA1406" s="76"/>
      <c r="BB1406" s="76"/>
    </row>
    <row r="1407" spans="5:54" x14ac:dyDescent="0.35">
      <c r="E1407" s="83"/>
      <c r="F1407" s="83"/>
      <c r="G1407" s="76"/>
      <c r="H1407" s="76"/>
      <c r="I1407" s="76"/>
      <c r="J1407" s="76"/>
      <c r="K1407" s="76"/>
      <c r="L1407" s="76"/>
      <c r="M1407" s="76"/>
      <c r="N1407" s="76"/>
      <c r="O1407" s="76"/>
      <c r="P1407" s="76"/>
      <c r="Q1407" s="76"/>
      <c r="R1407" s="76"/>
      <c r="S1407" s="76"/>
      <c r="T1407" s="76"/>
      <c r="U1407" s="76"/>
      <c r="V1407" s="76"/>
      <c r="W1407" s="76"/>
      <c r="X1407" s="76"/>
      <c r="Y1407" s="76"/>
      <c r="Z1407" s="76"/>
      <c r="AA1407" s="76"/>
      <c r="AB1407" s="76"/>
      <c r="AC1407" s="76"/>
      <c r="AD1407" s="76"/>
      <c r="AE1407" s="76"/>
      <c r="AF1407" s="76"/>
      <c r="AG1407" s="76"/>
      <c r="AH1407" s="76"/>
      <c r="AI1407" s="76"/>
      <c r="AJ1407" s="76"/>
      <c r="AK1407" s="76"/>
      <c r="AL1407" s="76"/>
      <c r="AM1407" s="76"/>
      <c r="AN1407" s="76"/>
      <c r="AO1407" s="76"/>
      <c r="AP1407" s="76"/>
      <c r="AQ1407" s="76"/>
      <c r="AR1407" s="76"/>
      <c r="AS1407" s="76"/>
      <c r="AT1407" s="76"/>
      <c r="AU1407" s="76"/>
      <c r="AV1407" s="76"/>
      <c r="AW1407" s="76"/>
      <c r="AX1407" s="76"/>
      <c r="AY1407" s="76"/>
      <c r="AZ1407" s="76"/>
      <c r="BA1407" s="76"/>
      <c r="BB1407" s="76"/>
    </row>
    <row r="1408" spans="5:54" x14ac:dyDescent="0.35">
      <c r="E1408" s="83"/>
      <c r="F1408" s="83"/>
      <c r="G1408" s="76"/>
      <c r="H1408" s="76"/>
      <c r="I1408" s="76"/>
      <c r="J1408" s="76"/>
      <c r="K1408" s="76"/>
      <c r="L1408" s="76"/>
      <c r="M1408" s="76"/>
      <c r="N1408" s="76"/>
      <c r="O1408" s="76"/>
      <c r="P1408" s="76"/>
      <c r="Q1408" s="76"/>
      <c r="R1408" s="76"/>
      <c r="S1408" s="76"/>
      <c r="T1408" s="76"/>
      <c r="U1408" s="76"/>
      <c r="V1408" s="76"/>
      <c r="W1408" s="76"/>
      <c r="X1408" s="76"/>
      <c r="Y1408" s="76"/>
      <c r="Z1408" s="76"/>
      <c r="AA1408" s="76"/>
      <c r="AB1408" s="76"/>
      <c r="AC1408" s="76"/>
      <c r="AD1408" s="76"/>
      <c r="AE1408" s="76"/>
      <c r="AF1408" s="76"/>
      <c r="AG1408" s="76"/>
      <c r="AH1408" s="76"/>
      <c r="AI1408" s="76"/>
      <c r="AJ1408" s="76"/>
      <c r="AK1408" s="76"/>
      <c r="AL1408" s="76"/>
      <c r="AM1408" s="76"/>
      <c r="AN1408" s="76"/>
      <c r="AO1408" s="76"/>
      <c r="AP1408" s="76"/>
      <c r="AQ1408" s="76"/>
      <c r="AR1408" s="76"/>
      <c r="AS1408" s="76"/>
      <c r="AT1408" s="76"/>
      <c r="AU1408" s="76"/>
      <c r="AV1408" s="76"/>
      <c r="AW1408" s="76"/>
      <c r="AX1408" s="76"/>
      <c r="AY1408" s="76"/>
      <c r="AZ1408" s="76"/>
      <c r="BA1408" s="76"/>
      <c r="BB1408" s="76"/>
    </row>
    <row r="1409" spans="5:54" x14ac:dyDescent="0.35">
      <c r="E1409" s="83"/>
      <c r="F1409" s="83"/>
      <c r="G1409" s="76"/>
      <c r="H1409" s="76"/>
      <c r="I1409" s="76"/>
      <c r="J1409" s="76"/>
      <c r="K1409" s="76"/>
      <c r="L1409" s="76"/>
      <c r="M1409" s="76"/>
      <c r="N1409" s="76"/>
      <c r="O1409" s="76"/>
      <c r="P1409" s="76"/>
      <c r="Q1409" s="76"/>
      <c r="R1409" s="76"/>
      <c r="S1409" s="76"/>
      <c r="T1409" s="76"/>
      <c r="U1409" s="76"/>
      <c r="V1409" s="76"/>
      <c r="W1409" s="76"/>
      <c r="X1409" s="76"/>
      <c r="Y1409" s="76"/>
      <c r="Z1409" s="76"/>
      <c r="AA1409" s="76"/>
      <c r="AB1409" s="76"/>
      <c r="AC1409" s="76"/>
      <c r="AD1409" s="76"/>
      <c r="AE1409" s="76"/>
      <c r="AF1409" s="76"/>
      <c r="AG1409" s="76"/>
      <c r="AH1409" s="76"/>
      <c r="AI1409" s="76"/>
      <c r="AJ1409" s="76"/>
      <c r="AK1409" s="76"/>
      <c r="AL1409" s="76"/>
      <c r="AM1409" s="76"/>
      <c r="AN1409" s="76"/>
      <c r="AO1409" s="76"/>
      <c r="AP1409" s="76"/>
      <c r="AQ1409" s="76"/>
      <c r="AR1409" s="76"/>
      <c r="AS1409" s="76"/>
      <c r="AT1409" s="76"/>
      <c r="AU1409" s="76"/>
      <c r="AV1409" s="76"/>
      <c r="AW1409" s="76"/>
      <c r="AX1409" s="76"/>
      <c r="AY1409" s="76"/>
      <c r="AZ1409" s="76"/>
      <c r="BA1409" s="76"/>
      <c r="BB1409" s="76"/>
    </row>
    <row r="1410" spans="5:54" x14ac:dyDescent="0.35">
      <c r="E1410" s="83"/>
      <c r="F1410" s="83"/>
      <c r="G1410" s="76"/>
      <c r="H1410" s="76"/>
      <c r="I1410" s="76"/>
      <c r="J1410" s="76"/>
      <c r="K1410" s="76"/>
      <c r="L1410" s="76"/>
      <c r="M1410" s="76"/>
      <c r="N1410" s="76"/>
      <c r="O1410" s="76"/>
      <c r="P1410" s="76"/>
      <c r="Q1410" s="76"/>
      <c r="R1410" s="76"/>
      <c r="S1410" s="76"/>
      <c r="T1410" s="76"/>
      <c r="U1410" s="76"/>
      <c r="V1410" s="76"/>
      <c r="W1410" s="76"/>
      <c r="X1410" s="76"/>
      <c r="Y1410" s="76"/>
      <c r="Z1410" s="76"/>
      <c r="AA1410" s="76"/>
      <c r="AB1410" s="76"/>
      <c r="AC1410" s="76"/>
      <c r="AD1410" s="76"/>
      <c r="AE1410" s="76"/>
      <c r="AF1410" s="76"/>
      <c r="AG1410" s="76"/>
      <c r="AH1410" s="76"/>
      <c r="AI1410" s="76"/>
      <c r="AJ1410" s="76"/>
      <c r="AK1410" s="76"/>
      <c r="AL1410" s="76"/>
      <c r="AM1410" s="76"/>
      <c r="AN1410" s="76"/>
      <c r="AO1410" s="76"/>
      <c r="AP1410" s="76"/>
      <c r="AQ1410" s="76"/>
      <c r="AR1410" s="76"/>
      <c r="AS1410" s="76"/>
      <c r="AT1410" s="76"/>
      <c r="AU1410" s="76"/>
      <c r="AV1410" s="76"/>
      <c r="AW1410" s="76"/>
      <c r="AX1410" s="76"/>
      <c r="AY1410" s="76"/>
      <c r="AZ1410" s="76"/>
      <c r="BA1410" s="76"/>
      <c r="BB1410" s="76"/>
    </row>
    <row r="1411" spans="5:54" x14ac:dyDescent="0.35">
      <c r="E1411" s="83"/>
      <c r="F1411" s="83"/>
      <c r="G1411" s="76"/>
      <c r="H1411" s="76"/>
      <c r="I1411" s="76"/>
      <c r="J1411" s="76"/>
      <c r="K1411" s="76"/>
      <c r="L1411" s="76"/>
      <c r="M1411" s="76"/>
      <c r="N1411" s="76"/>
      <c r="O1411" s="76"/>
      <c r="P1411" s="76"/>
      <c r="Q1411" s="76"/>
      <c r="R1411" s="76"/>
      <c r="S1411" s="76"/>
      <c r="T1411" s="76"/>
      <c r="U1411" s="76"/>
      <c r="V1411" s="76"/>
      <c r="W1411" s="76"/>
      <c r="X1411" s="76"/>
      <c r="Y1411" s="76"/>
      <c r="Z1411" s="76"/>
      <c r="AA1411" s="76"/>
      <c r="AB1411" s="76"/>
      <c r="AC1411" s="76"/>
      <c r="AD1411" s="76"/>
      <c r="AE1411" s="76"/>
      <c r="AF1411" s="76"/>
      <c r="AG1411" s="76"/>
      <c r="AH1411" s="76"/>
      <c r="AI1411" s="76"/>
      <c r="AJ1411" s="76"/>
      <c r="AK1411" s="76"/>
      <c r="AL1411" s="76"/>
      <c r="AM1411" s="76"/>
      <c r="AN1411" s="76"/>
      <c r="AO1411" s="76"/>
      <c r="AP1411" s="76"/>
      <c r="AQ1411" s="76"/>
      <c r="AR1411" s="76"/>
      <c r="AS1411" s="76"/>
      <c r="AT1411" s="76"/>
      <c r="AU1411" s="76"/>
      <c r="AV1411" s="76"/>
      <c r="AW1411" s="76"/>
      <c r="AX1411" s="76"/>
      <c r="AY1411" s="76"/>
      <c r="AZ1411" s="76"/>
      <c r="BA1411" s="76"/>
      <c r="BB1411" s="76"/>
    </row>
    <row r="1412" spans="5:54" x14ac:dyDescent="0.35">
      <c r="E1412" s="83"/>
      <c r="F1412" s="83"/>
      <c r="G1412" s="76"/>
      <c r="H1412" s="76"/>
      <c r="I1412" s="76"/>
      <c r="J1412" s="76"/>
      <c r="K1412" s="76"/>
      <c r="L1412" s="76"/>
      <c r="M1412" s="76"/>
      <c r="N1412" s="76"/>
      <c r="O1412" s="76"/>
      <c r="P1412" s="76"/>
      <c r="Q1412" s="76"/>
      <c r="R1412" s="76"/>
      <c r="S1412" s="76"/>
      <c r="T1412" s="76"/>
      <c r="U1412" s="76"/>
      <c r="V1412" s="76"/>
      <c r="W1412" s="76"/>
      <c r="X1412" s="76"/>
      <c r="Y1412" s="76"/>
      <c r="Z1412" s="76"/>
      <c r="AA1412" s="76"/>
      <c r="AB1412" s="76"/>
      <c r="AC1412" s="76"/>
      <c r="AD1412" s="76"/>
      <c r="AE1412" s="76"/>
      <c r="AF1412" s="76"/>
      <c r="AG1412" s="76"/>
      <c r="AH1412" s="76"/>
      <c r="AI1412" s="76"/>
      <c r="AJ1412" s="76"/>
      <c r="AK1412" s="76"/>
      <c r="AL1412" s="76"/>
      <c r="AM1412" s="76"/>
      <c r="AN1412" s="76"/>
      <c r="AO1412" s="76"/>
      <c r="AP1412" s="76"/>
      <c r="AQ1412" s="76"/>
      <c r="AR1412" s="76"/>
      <c r="AS1412" s="76"/>
      <c r="AT1412" s="76"/>
      <c r="AU1412" s="76"/>
      <c r="AV1412" s="76"/>
      <c r="AW1412" s="76"/>
      <c r="AX1412" s="76"/>
      <c r="AY1412" s="76"/>
      <c r="AZ1412" s="76"/>
      <c r="BA1412" s="76"/>
      <c r="BB1412" s="76"/>
    </row>
    <row r="1413" spans="5:54" x14ac:dyDescent="0.35">
      <c r="E1413" s="83"/>
      <c r="F1413" s="83"/>
      <c r="G1413" s="76"/>
      <c r="H1413" s="76"/>
      <c r="I1413" s="76"/>
      <c r="J1413" s="76"/>
      <c r="K1413" s="76"/>
      <c r="L1413" s="76"/>
      <c r="M1413" s="76"/>
      <c r="N1413" s="76"/>
      <c r="O1413" s="76"/>
      <c r="P1413" s="76"/>
      <c r="Q1413" s="76"/>
      <c r="R1413" s="76"/>
      <c r="S1413" s="76"/>
      <c r="T1413" s="76"/>
      <c r="U1413" s="76"/>
      <c r="V1413" s="76"/>
      <c r="W1413" s="76"/>
      <c r="X1413" s="76"/>
      <c r="Y1413" s="76"/>
      <c r="Z1413" s="76"/>
      <c r="AA1413" s="76"/>
      <c r="AB1413" s="76"/>
      <c r="AC1413" s="76"/>
      <c r="AD1413" s="76"/>
      <c r="AE1413" s="76"/>
      <c r="AF1413" s="76"/>
      <c r="AG1413" s="76"/>
      <c r="AH1413" s="76"/>
      <c r="AI1413" s="76"/>
      <c r="AJ1413" s="76"/>
      <c r="AK1413" s="76"/>
      <c r="AL1413" s="76"/>
      <c r="AM1413" s="76"/>
      <c r="AN1413" s="76"/>
      <c r="AO1413" s="76"/>
      <c r="AP1413" s="76"/>
      <c r="AQ1413" s="76"/>
      <c r="AR1413" s="76"/>
      <c r="AS1413" s="76"/>
      <c r="AT1413" s="76"/>
      <c r="AU1413" s="76"/>
      <c r="AV1413" s="76"/>
      <c r="AW1413" s="76"/>
      <c r="AX1413" s="76"/>
      <c r="AY1413" s="76"/>
      <c r="AZ1413" s="76"/>
      <c r="BA1413" s="76"/>
      <c r="BB1413" s="76"/>
    </row>
    <row r="1414" spans="5:54" x14ac:dyDescent="0.35">
      <c r="E1414" s="83"/>
      <c r="F1414" s="83"/>
      <c r="G1414" s="76"/>
      <c r="H1414" s="76"/>
      <c r="I1414" s="76"/>
      <c r="J1414" s="76"/>
      <c r="K1414" s="76"/>
      <c r="L1414" s="76"/>
      <c r="M1414" s="76"/>
      <c r="N1414" s="76"/>
      <c r="O1414" s="76"/>
      <c r="P1414" s="76"/>
      <c r="Q1414" s="76"/>
      <c r="R1414" s="76"/>
      <c r="S1414" s="76"/>
      <c r="T1414" s="76"/>
      <c r="U1414" s="76"/>
      <c r="V1414" s="76"/>
      <c r="W1414" s="76"/>
      <c r="X1414" s="76"/>
      <c r="Y1414" s="76"/>
      <c r="Z1414" s="76"/>
      <c r="AA1414" s="76"/>
      <c r="AB1414" s="76"/>
      <c r="AC1414" s="76"/>
      <c r="AD1414" s="76"/>
      <c r="AE1414" s="76"/>
      <c r="AF1414" s="76"/>
      <c r="AG1414" s="76"/>
      <c r="AH1414" s="76"/>
      <c r="AI1414" s="76"/>
      <c r="AJ1414" s="76"/>
      <c r="AK1414" s="76"/>
      <c r="AL1414" s="76"/>
      <c r="AM1414" s="76"/>
      <c r="AN1414" s="76"/>
      <c r="AO1414" s="76"/>
      <c r="AP1414" s="76"/>
      <c r="AQ1414" s="76"/>
      <c r="AR1414" s="76"/>
      <c r="AS1414" s="76"/>
      <c r="AT1414" s="76"/>
      <c r="AU1414" s="76"/>
      <c r="AV1414" s="76"/>
      <c r="AW1414" s="76"/>
      <c r="AX1414" s="76"/>
      <c r="AY1414" s="76"/>
      <c r="AZ1414" s="76"/>
      <c r="BA1414" s="76"/>
      <c r="BB1414" s="76"/>
    </row>
    <row r="1415" spans="5:54" x14ac:dyDescent="0.35">
      <c r="E1415" s="83"/>
      <c r="F1415" s="83"/>
      <c r="G1415" s="76"/>
      <c r="H1415" s="76"/>
      <c r="I1415" s="76"/>
      <c r="J1415" s="76"/>
      <c r="K1415" s="76"/>
      <c r="L1415" s="76"/>
      <c r="M1415" s="76"/>
      <c r="N1415" s="76"/>
      <c r="O1415" s="76"/>
      <c r="P1415" s="76"/>
      <c r="Q1415" s="76"/>
      <c r="R1415" s="76"/>
      <c r="S1415" s="76"/>
      <c r="T1415" s="76"/>
      <c r="U1415" s="76"/>
      <c r="V1415" s="76"/>
      <c r="W1415" s="76"/>
      <c r="X1415" s="76"/>
      <c r="Y1415" s="76"/>
      <c r="Z1415" s="76"/>
      <c r="AA1415" s="76"/>
      <c r="AB1415" s="76"/>
      <c r="AC1415" s="76"/>
      <c r="AD1415" s="76"/>
      <c r="AE1415" s="76"/>
      <c r="AF1415" s="76"/>
      <c r="AG1415" s="76"/>
      <c r="AH1415" s="76"/>
      <c r="AI1415" s="76"/>
      <c r="AJ1415" s="76"/>
      <c r="AK1415" s="76"/>
      <c r="AL1415" s="76"/>
      <c r="AM1415" s="76"/>
      <c r="AN1415" s="76"/>
      <c r="AO1415" s="76"/>
      <c r="AP1415" s="76"/>
      <c r="AQ1415" s="76"/>
      <c r="AR1415" s="76"/>
      <c r="AS1415" s="76"/>
      <c r="AT1415" s="76"/>
      <c r="AU1415" s="76"/>
      <c r="AV1415" s="76"/>
      <c r="AW1415" s="76"/>
      <c r="AX1415" s="76"/>
      <c r="AY1415" s="76"/>
      <c r="AZ1415" s="76"/>
      <c r="BA1415" s="76"/>
      <c r="BB1415" s="76"/>
    </row>
    <row r="1416" spans="5:54" x14ac:dyDescent="0.35">
      <c r="E1416" s="83"/>
      <c r="F1416" s="83"/>
      <c r="G1416" s="76"/>
      <c r="H1416" s="76"/>
      <c r="I1416" s="76"/>
      <c r="J1416" s="76"/>
      <c r="K1416" s="76"/>
      <c r="L1416" s="76"/>
      <c r="M1416" s="76"/>
      <c r="N1416" s="76"/>
      <c r="O1416" s="76"/>
      <c r="P1416" s="76"/>
      <c r="Q1416" s="76"/>
      <c r="R1416" s="76"/>
      <c r="S1416" s="76"/>
      <c r="T1416" s="76"/>
      <c r="U1416" s="76"/>
      <c r="V1416" s="76"/>
      <c r="W1416" s="76"/>
      <c r="X1416" s="76"/>
      <c r="Y1416" s="76"/>
      <c r="Z1416" s="76"/>
      <c r="AA1416" s="76"/>
      <c r="AB1416" s="76"/>
      <c r="AC1416" s="76"/>
      <c r="AD1416" s="76"/>
      <c r="AE1416" s="76"/>
      <c r="AF1416" s="76"/>
      <c r="AG1416" s="76"/>
      <c r="AH1416" s="76"/>
      <c r="AI1416" s="76"/>
      <c r="AJ1416" s="76"/>
      <c r="AK1416" s="76"/>
      <c r="AL1416" s="76"/>
      <c r="AM1416" s="76"/>
      <c r="AN1416" s="76"/>
      <c r="AO1416" s="76"/>
      <c r="AP1416" s="76"/>
      <c r="AQ1416" s="76"/>
      <c r="AR1416" s="76"/>
      <c r="AS1416" s="76"/>
      <c r="AT1416" s="76"/>
      <c r="AU1416" s="76"/>
      <c r="AV1416" s="76"/>
      <c r="AW1416" s="76"/>
      <c r="AX1416" s="76"/>
      <c r="AY1416" s="76"/>
      <c r="AZ1416" s="76"/>
      <c r="BA1416" s="76"/>
      <c r="BB1416" s="76"/>
    </row>
    <row r="1417" spans="5:54" x14ac:dyDescent="0.35">
      <c r="E1417" s="83"/>
      <c r="F1417" s="83"/>
      <c r="G1417" s="76"/>
      <c r="H1417" s="76"/>
      <c r="I1417" s="76"/>
      <c r="J1417" s="76"/>
      <c r="K1417" s="76"/>
      <c r="L1417" s="76"/>
      <c r="M1417" s="76"/>
      <c r="N1417" s="76"/>
      <c r="O1417" s="76"/>
      <c r="P1417" s="76"/>
      <c r="Q1417" s="76"/>
      <c r="R1417" s="76"/>
      <c r="S1417" s="76"/>
      <c r="T1417" s="76"/>
      <c r="U1417" s="76"/>
      <c r="V1417" s="76"/>
      <c r="W1417" s="76"/>
      <c r="X1417" s="76"/>
      <c r="Y1417" s="76"/>
      <c r="Z1417" s="76"/>
      <c r="AA1417" s="76"/>
      <c r="AB1417" s="76"/>
      <c r="AC1417" s="76"/>
      <c r="AD1417" s="76"/>
      <c r="AE1417" s="76"/>
      <c r="AF1417" s="76"/>
      <c r="AG1417" s="76"/>
      <c r="AH1417" s="76"/>
      <c r="AI1417" s="76"/>
      <c r="AJ1417" s="76"/>
      <c r="AK1417" s="76"/>
      <c r="AL1417" s="76"/>
      <c r="AM1417" s="76"/>
      <c r="AN1417" s="76"/>
      <c r="AO1417" s="76"/>
      <c r="AP1417" s="76"/>
      <c r="AQ1417" s="76"/>
      <c r="AR1417" s="76"/>
      <c r="AS1417" s="76"/>
      <c r="AT1417" s="76"/>
      <c r="AU1417" s="76"/>
      <c r="AV1417" s="76"/>
      <c r="AW1417" s="76"/>
      <c r="AX1417" s="76"/>
      <c r="AY1417" s="76"/>
      <c r="AZ1417" s="76"/>
      <c r="BA1417" s="76"/>
      <c r="BB1417" s="76"/>
    </row>
    <row r="1418" spans="5:54" x14ac:dyDescent="0.35">
      <c r="E1418" s="83"/>
      <c r="F1418" s="83"/>
      <c r="G1418" s="76"/>
      <c r="H1418" s="76"/>
      <c r="I1418" s="76"/>
      <c r="J1418" s="76"/>
      <c r="K1418" s="76"/>
      <c r="L1418" s="76"/>
      <c r="M1418" s="76"/>
      <c r="N1418" s="76"/>
      <c r="O1418" s="76"/>
      <c r="P1418" s="76"/>
      <c r="Q1418" s="76"/>
      <c r="R1418" s="76"/>
      <c r="S1418" s="76"/>
      <c r="T1418" s="76"/>
      <c r="U1418" s="76"/>
      <c r="V1418" s="76"/>
      <c r="W1418" s="76"/>
      <c r="X1418" s="76"/>
      <c r="Y1418" s="76"/>
      <c r="Z1418" s="76"/>
      <c r="AA1418" s="76"/>
      <c r="AB1418" s="76"/>
      <c r="AC1418" s="76"/>
      <c r="AD1418" s="76"/>
      <c r="AE1418" s="76"/>
      <c r="AF1418" s="76"/>
      <c r="AG1418" s="76"/>
      <c r="AH1418" s="76"/>
      <c r="AI1418" s="76"/>
      <c r="AJ1418" s="76"/>
      <c r="AK1418" s="76"/>
      <c r="AL1418" s="76"/>
      <c r="AM1418" s="76"/>
      <c r="AN1418" s="76"/>
      <c r="AO1418" s="76"/>
      <c r="AP1418" s="76"/>
      <c r="AQ1418" s="76"/>
      <c r="AR1418" s="76"/>
      <c r="AS1418" s="76"/>
      <c r="AT1418" s="76"/>
      <c r="AU1418" s="76"/>
      <c r="AV1418" s="76"/>
      <c r="AW1418" s="76"/>
      <c r="AX1418" s="76"/>
      <c r="AY1418" s="76"/>
      <c r="AZ1418" s="76"/>
      <c r="BA1418" s="76"/>
      <c r="BB1418" s="76"/>
    </row>
    <row r="1419" spans="5:54" x14ac:dyDescent="0.35">
      <c r="E1419" s="83"/>
      <c r="F1419" s="83"/>
      <c r="G1419" s="76"/>
      <c r="H1419" s="76"/>
      <c r="I1419" s="76"/>
      <c r="J1419" s="76"/>
      <c r="K1419" s="76"/>
      <c r="L1419" s="76"/>
      <c r="M1419" s="76"/>
      <c r="N1419" s="76"/>
      <c r="O1419" s="76"/>
      <c r="P1419" s="76"/>
      <c r="Q1419" s="76"/>
      <c r="R1419" s="76"/>
      <c r="S1419" s="76"/>
      <c r="T1419" s="76"/>
      <c r="U1419" s="76"/>
      <c r="V1419" s="76"/>
      <c r="W1419" s="76"/>
      <c r="X1419" s="76"/>
      <c r="Y1419" s="76"/>
      <c r="Z1419" s="76"/>
      <c r="AA1419" s="76"/>
      <c r="AB1419" s="76"/>
      <c r="AC1419" s="76"/>
      <c r="AD1419" s="76"/>
      <c r="AE1419" s="76"/>
      <c r="AF1419" s="76"/>
      <c r="AG1419" s="76"/>
      <c r="AH1419" s="76"/>
      <c r="AI1419" s="76"/>
      <c r="AJ1419" s="76"/>
      <c r="AK1419" s="76"/>
      <c r="AL1419" s="76"/>
      <c r="AM1419" s="76"/>
      <c r="AN1419" s="76"/>
      <c r="AO1419" s="76"/>
      <c r="AP1419" s="76"/>
      <c r="AQ1419" s="76"/>
      <c r="AR1419" s="76"/>
      <c r="AS1419" s="76"/>
      <c r="AT1419" s="76"/>
      <c r="AU1419" s="76"/>
      <c r="AV1419" s="76"/>
      <c r="AW1419" s="76"/>
      <c r="AX1419" s="76"/>
      <c r="AY1419" s="76"/>
      <c r="AZ1419" s="76"/>
      <c r="BA1419" s="76"/>
      <c r="BB1419" s="76"/>
    </row>
    <row r="1420" spans="5:54" x14ac:dyDescent="0.35">
      <c r="E1420" s="83"/>
      <c r="F1420" s="83"/>
      <c r="G1420" s="76"/>
      <c r="H1420" s="76"/>
      <c r="I1420" s="76"/>
      <c r="J1420" s="76"/>
      <c r="K1420" s="76"/>
      <c r="L1420" s="76"/>
      <c r="M1420" s="76"/>
      <c r="N1420" s="76"/>
      <c r="O1420" s="76"/>
      <c r="P1420" s="76"/>
      <c r="Q1420" s="76"/>
      <c r="R1420" s="76"/>
      <c r="S1420" s="76"/>
      <c r="T1420" s="76"/>
      <c r="U1420" s="76"/>
      <c r="V1420" s="76"/>
      <c r="W1420" s="76"/>
      <c r="X1420" s="76"/>
      <c r="Y1420" s="76"/>
      <c r="Z1420" s="76"/>
      <c r="AA1420" s="76"/>
      <c r="AB1420" s="76"/>
      <c r="AC1420" s="76"/>
      <c r="AD1420" s="76"/>
      <c r="AE1420" s="76"/>
      <c r="AF1420" s="76"/>
      <c r="AG1420" s="76"/>
      <c r="AH1420" s="76"/>
      <c r="AI1420" s="76"/>
      <c r="AJ1420" s="76"/>
      <c r="AK1420" s="76"/>
      <c r="AL1420" s="76"/>
      <c r="AM1420" s="76"/>
      <c r="AN1420" s="76"/>
      <c r="AO1420" s="76"/>
      <c r="AP1420" s="76"/>
      <c r="AQ1420" s="76"/>
      <c r="AR1420" s="76"/>
      <c r="AS1420" s="76"/>
      <c r="AT1420" s="76"/>
      <c r="AU1420" s="76"/>
      <c r="AV1420" s="76"/>
      <c r="AW1420" s="76"/>
      <c r="AX1420" s="76"/>
      <c r="AY1420" s="76"/>
      <c r="AZ1420" s="76"/>
      <c r="BA1420" s="76"/>
      <c r="BB1420" s="76"/>
    </row>
    <row r="1421" spans="5:54" x14ac:dyDescent="0.35">
      <c r="E1421" s="83"/>
      <c r="F1421" s="83"/>
      <c r="G1421" s="76"/>
      <c r="H1421" s="76"/>
      <c r="I1421" s="76"/>
      <c r="J1421" s="76"/>
      <c r="K1421" s="76"/>
      <c r="L1421" s="76"/>
      <c r="M1421" s="76"/>
      <c r="N1421" s="76"/>
      <c r="O1421" s="76"/>
      <c r="P1421" s="76"/>
      <c r="Q1421" s="76"/>
      <c r="R1421" s="76"/>
      <c r="S1421" s="76"/>
      <c r="T1421" s="76"/>
      <c r="U1421" s="76"/>
      <c r="V1421" s="76"/>
      <c r="W1421" s="76"/>
      <c r="X1421" s="76"/>
      <c r="Y1421" s="76"/>
      <c r="Z1421" s="76"/>
      <c r="AA1421" s="76"/>
      <c r="AB1421" s="76"/>
      <c r="AC1421" s="76"/>
      <c r="AD1421" s="76"/>
      <c r="AE1421" s="76"/>
      <c r="AF1421" s="76"/>
      <c r="AG1421" s="76"/>
      <c r="AH1421" s="76"/>
      <c r="AI1421" s="76"/>
      <c r="AJ1421" s="76"/>
      <c r="AK1421" s="76"/>
      <c r="AL1421" s="76"/>
      <c r="AM1421" s="76"/>
      <c r="AN1421" s="76"/>
      <c r="AO1421" s="76"/>
      <c r="AP1421" s="76"/>
      <c r="AQ1421" s="76"/>
      <c r="AR1421" s="76"/>
      <c r="AS1421" s="76"/>
      <c r="AT1421" s="76"/>
      <c r="AU1421" s="76"/>
      <c r="AV1421" s="76"/>
      <c r="AW1421" s="76"/>
      <c r="AX1421" s="76"/>
      <c r="AY1421" s="76"/>
      <c r="AZ1421" s="76"/>
      <c r="BA1421" s="76"/>
      <c r="BB1421" s="76"/>
    </row>
    <row r="1422" spans="5:54" x14ac:dyDescent="0.35">
      <c r="E1422" s="83"/>
      <c r="F1422" s="83"/>
      <c r="G1422" s="76"/>
      <c r="H1422" s="76"/>
      <c r="I1422" s="76"/>
      <c r="J1422" s="76"/>
      <c r="K1422" s="76"/>
      <c r="L1422" s="76"/>
      <c r="M1422" s="76"/>
      <c r="N1422" s="76"/>
      <c r="O1422" s="76"/>
      <c r="P1422" s="76"/>
      <c r="Q1422" s="76"/>
      <c r="R1422" s="76"/>
      <c r="S1422" s="76"/>
      <c r="T1422" s="76"/>
      <c r="U1422" s="76"/>
      <c r="V1422" s="76"/>
      <c r="W1422" s="76"/>
      <c r="X1422" s="76"/>
      <c r="Y1422" s="76"/>
      <c r="Z1422" s="76"/>
      <c r="AA1422" s="76"/>
      <c r="AB1422" s="76"/>
      <c r="AC1422" s="76"/>
      <c r="AD1422" s="76"/>
      <c r="AE1422" s="76"/>
      <c r="AF1422" s="76"/>
      <c r="AG1422" s="76"/>
      <c r="AH1422" s="76"/>
      <c r="AI1422" s="76"/>
      <c r="AJ1422" s="76"/>
      <c r="AK1422" s="76"/>
      <c r="AL1422" s="76"/>
      <c r="AM1422" s="76"/>
      <c r="AN1422" s="76"/>
      <c r="AO1422" s="76"/>
      <c r="AP1422" s="76"/>
      <c r="AQ1422" s="76"/>
      <c r="AR1422" s="76"/>
      <c r="AS1422" s="76"/>
      <c r="AT1422" s="76"/>
      <c r="AU1422" s="76"/>
      <c r="AV1422" s="76"/>
      <c r="AW1422" s="76"/>
      <c r="AX1422" s="76"/>
      <c r="AY1422" s="76"/>
      <c r="AZ1422" s="76"/>
      <c r="BA1422" s="76"/>
      <c r="BB1422" s="76"/>
    </row>
    <row r="1423" spans="5:54" x14ac:dyDescent="0.35">
      <c r="E1423" s="83"/>
      <c r="F1423" s="83"/>
      <c r="G1423" s="76"/>
      <c r="H1423" s="76"/>
      <c r="I1423" s="76"/>
      <c r="J1423" s="76"/>
      <c r="K1423" s="76"/>
      <c r="L1423" s="76"/>
      <c r="M1423" s="76"/>
      <c r="N1423" s="76"/>
      <c r="O1423" s="76"/>
      <c r="P1423" s="76"/>
      <c r="Q1423" s="76"/>
      <c r="R1423" s="76"/>
      <c r="S1423" s="76"/>
      <c r="T1423" s="76"/>
      <c r="U1423" s="76"/>
      <c r="V1423" s="76"/>
      <c r="W1423" s="76"/>
      <c r="X1423" s="76"/>
      <c r="Y1423" s="76"/>
      <c r="Z1423" s="76"/>
      <c r="AA1423" s="76"/>
      <c r="AB1423" s="76"/>
      <c r="AC1423" s="76"/>
      <c r="AD1423" s="76"/>
      <c r="AE1423" s="76"/>
      <c r="AF1423" s="76"/>
      <c r="AG1423" s="76"/>
      <c r="AH1423" s="76"/>
      <c r="AI1423" s="76"/>
      <c r="AJ1423" s="76"/>
      <c r="AK1423" s="76"/>
      <c r="AL1423" s="76"/>
      <c r="AM1423" s="76"/>
      <c r="AN1423" s="76"/>
      <c r="AO1423" s="76"/>
      <c r="AP1423" s="76"/>
      <c r="AQ1423" s="76"/>
      <c r="AR1423" s="76"/>
      <c r="AS1423" s="76"/>
      <c r="AT1423" s="76"/>
      <c r="AU1423" s="76"/>
      <c r="AV1423" s="76"/>
      <c r="AW1423" s="76"/>
      <c r="AX1423" s="76"/>
      <c r="AY1423" s="76"/>
      <c r="AZ1423" s="76"/>
      <c r="BA1423" s="76"/>
      <c r="BB1423" s="76"/>
    </row>
    <row r="1424" spans="5:54" x14ac:dyDescent="0.35">
      <c r="E1424" s="83"/>
      <c r="F1424" s="83"/>
      <c r="G1424" s="76"/>
      <c r="H1424" s="76"/>
      <c r="I1424" s="76"/>
      <c r="J1424" s="76"/>
      <c r="K1424" s="76"/>
      <c r="L1424" s="76"/>
      <c r="M1424" s="76"/>
      <c r="N1424" s="76"/>
      <c r="O1424" s="76"/>
      <c r="P1424" s="76"/>
      <c r="Q1424" s="76"/>
      <c r="R1424" s="76"/>
      <c r="S1424" s="76"/>
      <c r="T1424" s="76"/>
      <c r="U1424" s="76"/>
      <c r="V1424" s="76"/>
      <c r="W1424" s="76"/>
      <c r="X1424" s="76"/>
      <c r="Y1424" s="76"/>
      <c r="Z1424" s="76"/>
      <c r="AA1424" s="76"/>
      <c r="AB1424" s="76"/>
      <c r="AC1424" s="76"/>
      <c r="AD1424" s="76"/>
      <c r="AE1424" s="76"/>
      <c r="AF1424" s="76"/>
      <c r="AG1424" s="76"/>
      <c r="AH1424" s="76"/>
      <c r="AI1424" s="76"/>
      <c r="AJ1424" s="76"/>
      <c r="AK1424" s="76"/>
      <c r="AL1424" s="76"/>
      <c r="AM1424" s="76"/>
      <c r="AN1424" s="76"/>
      <c r="AO1424" s="76"/>
      <c r="AP1424" s="76"/>
      <c r="AQ1424" s="76"/>
      <c r="AR1424" s="76"/>
      <c r="AS1424" s="76"/>
      <c r="AT1424" s="76"/>
      <c r="AU1424" s="76"/>
      <c r="AV1424" s="76"/>
      <c r="AW1424" s="76"/>
      <c r="AX1424" s="76"/>
      <c r="AY1424" s="76"/>
      <c r="AZ1424" s="76"/>
      <c r="BA1424" s="76"/>
      <c r="BB1424" s="76"/>
    </row>
    <row r="1425" spans="5:54" x14ac:dyDescent="0.35">
      <c r="E1425" s="83"/>
      <c r="F1425" s="83"/>
      <c r="G1425" s="76"/>
      <c r="H1425" s="76"/>
      <c r="I1425" s="76"/>
      <c r="J1425" s="76"/>
      <c r="K1425" s="76"/>
      <c r="L1425" s="76"/>
      <c r="M1425" s="76"/>
      <c r="N1425" s="76"/>
      <c r="O1425" s="76"/>
      <c r="P1425" s="76"/>
      <c r="Q1425" s="76"/>
      <c r="R1425" s="76"/>
      <c r="S1425" s="76"/>
      <c r="T1425" s="76"/>
      <c r="U1425" s="76"/>
      <c r="V1425" s="76"/>
      <c r="W1425" s="76"/>
      <c r="X1425" s="76"/>
      <c r="Y1425" s="76"/>
      <c r="Z1425" s="76"/>
      <c r="AA1425" s="76"/>
      <c r="AB1425" s="76"/>
      <c r="AC1425" s="76"/>
      <c r="AD1425" s="76"/>
      <c r="AE1425" s="76"/>
      <c r="AF1425" s="76"/>
      <c r="AG1425" s="76"/>
      <c r="AH1425" s="76"/>
      <c r="AI1425" s="76"/>
      <c r="AJ1425" s="76"/>
      <c r="AK1425" s="76"/>
      <c r="AL1425" s="76"/>
      <c r="AM1425" s="76"/>
      <c r="AN1425" s="76"/>
      <c r="AO1425" s="76"/>
      <c r="AP1425" s="76"/>
      <c r="AQ1425" s="76"/>
      <c r="AR1425" s="76"/>
      <c r="AS1425" s="76"/>
      <c r="AT1425" s="76"/>
      <c r="AU1425" s="76"/>
      <c r="AV1425" s="76"/>
      <c r="AW1425" s="76"/>
      <c r="AX1425" s="76"/>
      <c r="AY1425" s="76"/>
      <c r="AZ1425" s="76"/>
      <c r="BA1425" s="76"/>
      <c r="BB1425" s="76"/>
    </row>
    <row r="1426" spans="5:54" x14ac:dyDescent="0.35">
      <c r="E1426" s="83"/>
      <c r="F1426" s="83"/>
      <c r="G1426" s="76"/>
      <c r="H1426" s="76"/>
      <c r="I1426" s="76"/>
      <c r="J1426" s="76"/>
      <c r="K1426" s="76"/>
      <c r="L1426" s="76"/>
      <c r="M1426" s="76"/>
      <c r="N1426" s="76"/>
      <c r="O1426" s="76"/>
      <c r="P1426" s="76"/>
      <c r="Q1426" s="76"/>
      <c r="R1426" s="76"/>
      <c r="S1426" s="76"/>
      <c r="T1426" s="76"/>
      <c r="U1426" s="76"/>
      <c r="V1426" s="76"/>
      <c r="W1426" s="76"/>
      <c r="X1426" s="76"/>
      <c r="Y1426" s="76"/>
      <c r="Z1426" s="76"/>
      <c r="AA1426" s="76"/>
      <c r="AB1426" s="76"/>
      <c r="AC1426" s="76"/>
      <c r="AD1426" s="76"/>
      <c r="AE1426" s="76"/>
      <c r="AF1426" s="76"/>
      <c r="AG1426" s="76"/>
      <c r="AH1426" s="76"/>
      <c r="AI1426" s="76"/>
      <c r="AJ1426" s="76"/>
      <c r="AK1426" s="76"/>
      <c r="AL1426" s="76"/>
      <c r="AM1426" s="76"/>
      <c r="AN1426" s="76"/>
      <c r="AO1426" s="76"/>
      <c r="AP1426" s="76"/>
      <c r="AQ1426" s="76"/>
      <c r="AR1426" s="76"/>
      <c r="AS1426" s="76"/>
      <c r="AT1426" s="76"/>
      <c r="AU1426" s="76"/>
      <c r="AV1426" s="76"/>
      <c r="AW1426" s="76"/>
      <c r="AX1426" s="76"/>
      <c r="AY1426" s="76"/>
      <c r="AZ1426" s="76"/>
      <c r="BA1426" s="76"/>
      <c r="BB1426" s="76"/>
    </row>
    <row r="1427" spans="5:54" x14ac:dyDescent="0.35">
      <c r="E1427" s="83"/>
      <c r="F1427" s="83"/>
      <c r="G1427" s="76"/>
      <c r="H1427" s="76"/>
      <c r="I1427" s="76"/>
      <c r="J1427" s="76"/>
      <c r="K1427" s="76"/>
      <c r="L1427" s="76"/>
      <c r="M1427" s="76"/>
      <c r="N1427" s="76"/>
      <c r="O1427" s="76"/>
      <c r="P1427" s="76"/>
      <c r="Q1427" s="76"/>
      <c r="R1427" s="76"/>
      <c r="S1427" s="76"/>
      <c r="T1427" s="76"/>
      <c r="U1427" s="76"/>
      <c r="V1427" s="76"/>
      <c r="W1427" s="76"/>
      <c r="X1427" s="76"/>
      <c r="Y1427" s="76"/>
      <c r="Z1427" s="76"/>
      <c r="AA1427" s="76"/>
      <c r="AB1427" s="76"/>
      <c r="AC1427" s="76"/>
      <c r="AD1427" s="76"/>
      <c r="AE1427" s="76"/>
      <c r="AF1427" s="76"/>
      <c r="AG1427" s="76"/>
      <c r="AH1427" s="76"/>
      <c r="AI1427" s="76"/>
      <c r="AJ1427" s="76"/>
      <c r="AK1427" s="76"/>
      <c r="AL1427" s="76"/>
      <c r="AM1427" s="76"/>
      <c r="AN1427" s="76"/>
      <c r="AO1427" s="76"/>
      <c r="AP1427" s="76"/>
      <c r="AQ1427" s="76"/>
      <c r="AR1427" s="76"/>
      <c r="AS1427" s="76"/>
      <c r="AT1427" s="76"/>
      <c r="AU1427" s="76"/>
      <c r="AV1427" s="76"/>
      <c r="AW1427" s="76"/>
      <c r="AX1427" s="76"/>
      <c r="AY1427" s="76"/>
      <c r="AZ1427" s="76"/>
      <c r="BA1427" s="76"/>
      <c r="BB1427" s="76"/>
    </row>
    <row r="1428" spans="5:54" x14ac:dyDescent="0.35">
      <c r="E1428" s="83"/>
      <c r="F1428" s="83"/>
      <c r="G1428" s="76"/>
      <c r="H1428" s="76"/>
      <c r="I1428" s="76"/>
      <c r="J1428" s="76"/>
      <c r="K1428" s="76"/>
      <c r="L1428" s="76"/>
      <c r="M1428" s="76"/>
      <c r="N1428" s="76"/>
      <c r="O1428" s="76"/>
      <c r="P1428" s="76"/>
      <c r="Q1428" s="76"/>
      <c r="R1428" s="76"/>
      <c r="S1428" s="76"/>
      <c r="T1428" s="76"/>
      <c r="U1428" s="76"/>
      <c r="V1428" s="76"/>
      <c r="W1428" s="76"/>
      <c r="X1428" s="76"/>
      <c r="Y1428" s="76"/>
      <c r="Z1428" s="76"/>
      <c r="AA1428" s="76"/>
      <c r="AB1428" s="76"/>
      <c r="AC1428" s="76"/>
      <c r="AD1428" s="76"/>
      <c r="AE1428" s="76"/>
      <c r="AF1428" s="76"/>
      <c r="AG1428" s="76"/>
      <c r="AH1428" s="76"/>
      <c r="AI1428" s="76"/>
      <c r="AJ1428" s="76"/>
      <c r="AK1428" s="76"/>
      <c r="AL1428" s="76"/>
      <c r="AM1428" s="76"/>
      <c r="AN1428" s="76"/>
      <c r="AO1428" s="76"/>
      <c r="AP1428" s="76"/>
      <c r="AQ1428" s="76"/>
      <c r="AR1428" s="76"/>
      <c r="AS1428" s="76"/>
      <c r="AT1428" s="76"/>
      <c r="AU1428" s="76"/>
      <c r="AV1428" s="76"/>
      <c r="AW1428" s="76"/>
      <c r="AX1428" s="76"/>
      <c r="AY1428" s="76"/>
      <c r="AZ1428" s="76"/>
      <c r="BA1428" s="76"/>
      <c r="BB1428" s="76"/>
    </row>
    <row r="1429" spans="5:54" x14ac:dyDescent="0.35">
      <c r="E1429" s="83"/>
      <c r="F1429" s="83"/>
      <c r="G1429" s="76"/>
      <c r="H1429" s="76"/>
      <c r="I1429" s="76"/>
      <c r="J1429" s="76"/>
      <c r="K1429" s="76"/>
      <c r="L1429" s="76"/>
      <c r="M1429" s="76"/>
      <c r="N1429" s="76"/>
      <c r="O1429" s="76"/>
      <c r="P1429" s="76"/>
      <c r="Q1429" s="76"/>
      <c r="R1429" s="76"/>
      <c r="S1429" s="76"/>
      <c r="T1429" s="76"/>
      <c r="U1429" s="76"/>
      <c r="V1429" s="76"/>
      <c r="W1429" s="76"/>
      <c r="X1429" s="76"/>
      <c r="Y1429" s="76"/>
      <c r="Z1429" s="76"/>
      <c r="AA1429" s="76"/>
      <c r="AB1429" s="76"/>
      <c r="AC1429" s="76"/>
      <c r="AD1429" s="76"/>
      <c r="AE1429" s="76"/>
      <c r="AF1429" s="76"/>
      <c r="AG1429" s="76"/>
      <c r="AH1429" s="76"/>
      <c r="AI1429" s="76"/>
      <c r="AJ1429" s="76"/>
      <c r="AK1429" s="76"/>
      <c r="AL1429" s="76"/>
      <c r="AM1429" s="76"/>
      <c r="AN1429" s="76"/>
      <c r="AO1429" s="76"/>
      <c r="AP1429" s="76"/>
      <c r="AQ1429" s="76"/>
      <c r="AR1429" s="76"/>
      <c r="AS1429" s="76"/>
      <c r="AT1429" s="76"/>
      <c r="AU1429" s="76"/>
      <c r="AV1429" s="76"/>
      <c r="AW1429" s="76"/>
      <c r="AX1429" s="76"/>
      <c r="AY1429" s="76"/>
      <c r="AZ1429" s="76"/>
      <c r="BA1429" s="76"/>
      <c r="BB1429" s="76"/>
    </row>
    <row r="1430" spans="5:54" x14ac:dyDescent="0.35">
      <c r="E1430" s="83"/>
      <c r="F1430" s="83"/>
      <c r="G1430" s="76"/>
      <c r="H1430" s="76"/>
      <c r="I1430" s="76"/>
      <c r="J1430" s="76"/>
      <c r="K1430" s="76"/>
      <c r="L1430" s="76"/>
      <c r="M1430" s="76"/>
      <c r="N1430" s="76"/>
      <c r="O1430" s="76"/>
      <c r="P1430" s="76"/>
      <c r="Q1430" s="76"/>
      <c r="R1430" s="76"/>
      <c r="S1430" s="76"/>
      <c r="T1430" s="76"/>
      <c r="U1430" s="76"/>
      <c r="V1430" s="76"/>
      <c r="W1430" s="76"/>
      <c r="X1430" s="76"/>
      <c r="Y1430" s="76"/>
      <c r="Z1430" s="76"/>
      <c r="AA1430" s="76"/>
      <c r="AB1430" s="76"/>
      <c r="AC1430" s="76"/>
      <c r="AD1430" s="76"/>
      <c r="AE1430" s="76"/>
      <c r="AF1430" s="76"/>
      <c r="AG1430" s="76"/>
      <c r="AH1430" s="76"/>
      <c r="AI1430" s="76"/>
      <c r="AJ1430" s="76"/>
      <c r="AK1430" s="76"/>
      <c r="AL1430" s="76"/>
      <c r="AM1430" s="76"/>
      <c r="AN1430" s="76"/>
      <c r="AO1430" s="76"/>
      <c r="AP1430" s="76"/>
      <c r="AQ1430" s="76"/>
      <c r="AR1430" s="76"/>
      <c r="AS1430" s="76"/>
      <c r="AT1430" s="76"/>
      <c r="AU1430" s="76"/>
      <c r="AV1430" s="76"/>
      <c r="AW1430" s="76"/>
      <c r="AX1430" s="76"/>
      <c r="AY1430" s="76"/>
      <c r="AZ1430" s="76"/>
      <c r="BA1430" s="76"/>
      <c r="BB1430" s="76"/>
    </row>
    <row r="1431" spans="5:54" x14ac:dyDescent="0.35">
      <c r="E1431" s="83"/>
      <c r="F1431" s="83"/>
      <c r="G1431" s="76"/>
      <c r="H1431" s="76"/>
      <c r="I1431" s="76"/>
      <c r="J1431" s="76"/>
      <c r="K1431" s="76"/>
      <c r="L1431" s="76"/>
      <c r="M1431" s="76"/>
      <c r="N1431" s="76"/>
      <c r="O1431" s="76"/>
      <c r="P1431" s="76"/>
      <c r="Q1431" s="76"/>
      <c r="R1431" s="76"/>
      <c r="S1431" s="76"/>
      <c r="T1431" s="76"/>
      <c r="U1431" s="76"/>
      <c r="V1431" s="76"/>
      <c r="W1431" s="76"/>
      <c r="X1431" s="76"/>
      <c r="Y1431" s="76"/>
      <c r="Z1431" s="76"/>
      <c r="AA1431" s="76"/>
      <c r="AB1431" s="76"/>
      <c r="AC1431" s="76"/>
      <c r="AD1431" s="76"/>
      <c r="AE1431" s="76"/>
      <c r="AF1431" s="76"/>
      <c r="AG1431" s="76"/>
      <c r="AH1431" s="76"/>
      <c r="AI1431" s="76"/>
      <c r="AJ1431" s="76"/>
      <c r="AK1431" s="76"/>
      <c r="AL1431" s="76"/>
      <c r="AM1431" s="76"/>
      <c r="AN1431" s="76"/>
      <c r="AO1431" s="76"/>
      <c r="AP1431" s="76"/>
      <c r="AQ1431" s="76"/>
      <c r="AR1431" s="76"/>
      <c r="AS1431" s="76"/>
      <c r="AT1431" s="76"/>
      <c r="AU1431" s="76"/>
      <c r="AV1431" s="76"/>
      <c r="AW1431" s="76"/>
      <c r="AX1431" s="76"/>
      <c r="AY1431" s="76"/>
      <c r="AZ1431" s="76"/>
      <c r="BA1431" s="76"/>
      <c r="BB1431" s="76"/>
    </row>
    <row r="1432" spans="5:54" x14ac:dyDescent="0.35">
      <c r="E1432" s="83"/>
      <c r="F1432" s="83"/>
      <c r="G1432" s="76"/>
      <c r="H1432" s="76"/>
      <c r="I1432" s="76"/>
      <c r="J1432" s="76"/>
      <c r="K1432" s="76"/>
      <c r="L1432" s="76"/>
      <c r="M1432" s="76"/>
      <c r="N1432" s="76"/>
      <c r="O1432" s="76"/>
      <c r="P1432" s="76"/>
      <c r="Q1432" s="76"/>
      <c r="R1432" s="76"/>
      <c r="S1432" s="76"/>
      <c r="T1432" s="76"/>
      <c r="U1432" s="76"/>
      <c r="V1432" s="76"/>
      <c r="W1432" s="76"/>
      <c r="X1432" s="76"/>
      <c r="Y1432" s="76"/>
      <c r="Z1432" s="76"/>
      <c r="AA1432" s="76"/>
      <c r="AB1432" s="76"/>
      <c r="AC1432" s="76"/>
      <c r="AD1432" s="76"/>
      <c r="AE1432" s="76"/>
      <c r="AF1432" s="76"/>
      <c r="AG1432" s="76"/>
      <c r="AH1432" s="76"/>
      <c r="AI1432" s="76"/>
      <c r="AJ1432" s="76"/>
      <c r="AK1432" s="76"/>
      <c r="AL1432" s="76"/>
      <c r="AM1432" s="76"/>
      <c r="AN1432" s="76"/>
      <c r="AO1432" s="76"/>
      <c r="AP1432" s="76"/>
      <c r="AQ1432" s="76"/>
      <c r="AR1432" s="76"/>
      <c r="AS1432" s="76"/>
      <c r="AT1432" s="76"/>
      <c r="AU1432" s="76"/>
      <c r="AV1432" s="76"/>
      <c r="AW1432" s="76"/>
      <c r="AX1432" s="76"/>
      <c r="AY1432" s="76"/>
      <c r="AZ1432" s="76"/>
      <c r="BA1432" s="76"/>
      <c r="BB1432" s="76"/>
    </row>
    <row r="1433" spans="5:54" x14ac:dyDescent="0.35">
      <c r="E1433" s="83"/>
      <c r="F1433" s="83"/>
      <c r="G1433" s="76"/>
      <c r="H1433" s="76"/>
      <c r="I1433" s="76"/>
      <c r="J1433" s="76"/>
      <c r="K1433" s="76"/>
      <c r="L1433" s="76"/>
      <c r="M1433" s="76"/>
      <c r="N1433" s="76"/>
      <c r="O1433" s="76"/>
      <c r="P1433" s="76"/>
      <c r="Q1433" s="76"/>
      <c r="R1433" s="76"/>
      <c r="S1433" s="76"/>
      <c r="T1433" s="76"/>
      <c r="U1433" s="76"/>
      <c r="V1433" s="76"/>
      <c r="W1433" s="76"/>
      <c r="X1433" s="76"/>
      <c r="Y1433" s="76"/>
      <c r="Z1433" s="76"/>
      <c r="AA1433" s="76"/>
      <c r="AB1433" s="76"/>
      <c r="AC1433" s="76"/>
      <c r="AD1433" s="76"/>
      <c r="AE1433" s="76"/>
      <c r="AF1433" s="76"/>
      <c r="AG1433" s="76"/>
      <c r="AH1433" s="76"/>
      <c r="AI1433" s="76"/>
      <c r="AJ1433" s="76"/>
      <c r="AK1433" s="76"/>
      <c r="AL1433" s="76"/>
      <c r="AM1433" s="76"/>
      <c r="AN1433" s="76"/>
      <c r="AO1433" s="76"/>
      <c r="AP1433" s="76"/>
      <c r="AQ1433" s="76"/>
      <c r="AR1433" s="76"/>
      <c r="AS1433" s="76"/>
      <c r="AT1433" s="76"/>
      <c r="AU1433" s="76"/>
      <c r="AV1433" s="76"/>
      <c r="AW1433" s="76"/>
      <c r="AX1433" s="76"/>
      <c r="AY1433" s="76"/>
      <c r="AZ1433" s="76"/>
      <c r="BA1433" s="76"/>
      <c r="BB1433" s="76"/>
    </row>
    <row r="1434" spans="5:54" x14ac:dyDescent="0.35">
      <c r="E1434" s="83"/>
      <c r="F1434" s="83"/>
      <c r="G1434" s="76"/>
      <c r="H1434" s="76"/>
      <c r="I1434" s="76"/>
      <c r="J1434" s="76"/>
      <c r="K1434" s="76"/>
      <c r="L1434" s="76"/>
      <c r="M1434" s="76"/>
      <c r="N1434" s="76"/>
      <c r="O1434" s="76"/>
      <c r="P1434" s="76"/>
      <c r="Q1434" s="76"/>
      <c r="R1434" s="76"/>
      <c r="S1434" s="76"/>
      <c r="T1434" s="76"/>
      <c r="U1434" s="76"/>
      <c r="V1434" s="76"/>
      <c r="W1434" s="76"/>
      <c r="X1434" s="76"/>
      <c r="Y1434" s="76"/>
      <c r="Z1434" s="76"/>
      <c r="AA1434" s="76"/>
      <c r="AB1434" s="76"/>
      <c r="AC1434" s="76"/>
      <c r="AD1434" s="76"/>
      <c r="AE1434" s="76"/>
      <c r="AF1434" s="76"/>
      <c r="AG1434" s="76"/>
      <c r="AH1434" s="76"/>
      <c r="AI1434" s="76"/>
      <c r="AJ1434" s="76"/>
      <c r="AK1434" s="76"/>
      <c r="AL1434" s="76"/>
      <c r="AM1434" s="76"/>
      <c r="AN1434" s="76"/>
      <c r="AO1434" s="76"/>
      <c r="AP1434" s="76"/>
      <c r="AQ1434" s="76"/>
      <c r="AR1434" s="76"/>
      <c r="AS1434" s="76"/>
      <c r="AT1434" s="76"/>
      <c r="AU1434" s="76"/>
      <c r="AV1434" s="76"/>
      <c r="AW1434" s="76"/>
      <c r="AX1434" s="76"/>
      <c r="AY1434" s="76"/>
      <c r="AZ1434" s="76"/>
      <c r="BA1434" s="76"/>
      <c r="BB1434" s="76"/>
    </row>
    <row r="1435" spans="5:54" x14ac:dyDescent="0.35">
      <c r="E1435" s="83"/>
      <c r="F1435" s="83"/>
      <c r="G1435" s="76"/>
      <c r="H1435" s="76"/>
      <c r="I1435" s="76"/>
      <c r="J1435" s="76"/>
      <c r="K1435" s="76"/>
      <c r="L1435" s="76"/>
      <c r="M1435" s="76"/>
      <c r="N1435" s="76"/>
      <c r="O1435" s="76"/>
      <c r="P1435" s="76"/>
      <c r="Q1435" s="76"/>
      <c r="R1435" s="76"/>
      <c r="S1435" s="76"/>
      <c r="T1435" s="76"/>
      <c r="U1435" s="76"/>
      <c r="V1435" s="76"/>
      <c r="W1435" s="76"/>
      <c r="X1435" s="76"/>
      <c r="Y1435" s="76"/>
      <c r="Z1435" s="76"/>
      <c r="AA1435" s="76"/>
      <c r="AB1435" s="76"/>
      <c r="AC1435" s="76"/>
      <c r="AD1435" s="76"/>
      <c r="AE1435" s="76"/>
      <c r="AF1435" s="76"/>
      <c r="AG1435" s="76"/>
      <c r="AH1435" s="76"/>
      <c r="AI1435" s="76"/>
      <c r="AJ1435" s="76"/>
      <c r="AK1435" s="76"/>
      <c r="AL1435" s="76"/>
      <c r="AM1435" s="76"/>
      <c r="AN1435" s="76"/>
      <c r="AO1435" s="76"/>
      <c r="AP1435" s="76"/>
      <c r="AQ1435" s="76"/>
      <c r="AR1435" s="76"/>
      <c r="AS1435" s="76"/>
      <c r="AT1435" s="76"/>
      <c r="AU1435" s="76"/>
      <c r="AV1435" s="76"/>
      <c r="AW1435" s="76"/>
      <c r="AX1435" s="76"/>
      <c r="AY1435" s="76"/>
      <c r="AZ1435" s="76"/>
      <c r="BA1435" s="76"/>
      <c r="BB1435" s="76"/>
    </row>
    <row r="1436" spans="5:54" x14ac:dyDescent="0.35">
      <c r="E1436" s="83"/>
      <c r="F1436" s="83"/>
      <c r="G1436" s="76"/>
      <c r="H1436" s="76"/>
      <c r="I1436" s="76"/>
      <c r="J1436" s="76"/>
      <c r="K1436" s="76"/>
      <c r="L1436" s="76"/>
      <c r="M1436" s="76"/>
      <c r="N1436" s="76"/>
      <c r="O1436" s="76"/>
      <c r="P1436" s="76"/>
      <c r="Q1436" s="76"/>
      <c r="R1436" s="76"/>
      <c r="S1436" s="76"/>
      <c r="T1436" s="76"/>
      <c r="U1436" s="76"/>
      <c r="V1436" s="76"/>
      <c r="W1436" s="76"/>
      <c r="X1436" s="76"/>
      <c r="Y1436" s="76"/>
      <c r="Z1436" s="76"/>
      <c r="AA1436" s="76"/>
      <c r="AB1436" s="76"/>
      <c r="AC1436" s="76"/>
      <c r="AD1436" s="76"/>
      <c r="AE1436" s="76"/>
      <c r="AF1436" s="76"/>
      <c r="AG1436" s="76"/>
      <c r="AH1436" s="76"/>
      <c r="AI1436" s="76"/>
      <c r="AJ1436" s="76"/>
      <c r="AK1436" s="76"/>
      <c r="AL1436" s="76"/>
      <c r="AM1436" s="76"/>
      <c r="AN1436" s="76"/>
      <c r="AO1436" s="76"/>
      <c r="AP1436" s="76"/>
      <c r="AQ1436" s="76"/>
      <c r="AR1436" s="76"/>
      <c r="AS1436" s="76"/>
      <c r="AT1436" s="76"/>
      <c r="AU1436" s="76"/>
      <c r="AV1436" s="76"/>
      <c r="AW1436" s="76"/>
      <c r="AX1436" s="76"/>
      <c r="AY1436" s="76"/>
      <c r="AZ1436" s="76"/>
      <c r="BA1436" s="76"/>
      <c r="BB1436" s="76"/>
    </row>
    <row r="1437" spans="5:54" x14ac:dyDescent="0.35">
      <c r="E1437" s="83"/>
      <c r="F1437" s="83"/>
      <c r="G1437" s="76"/>
      <c r="H1437" s="76"/>
      <c r="I1437" s="76"/>
      <c r="J1437" s="76"/>
      <c r="K1437" s="76"/>
      <c r="L1437" s="76"/>
      <c r="M1437" s="76"/>
      <c r="N1437" s="76"/>
      <c r="O1437" s="76"/>
      <c r="P1437" s="76"/>
      <c r="Q1437" s="76"/>
      <c r="R1437" s="76"/>
      <c r="S1437" s="76"/>
      <c r="T1437" s="76"/>
      <c r="U1437" s="76"/>
      <c r="V1437" s="76"/>
      <c r="W1437" s="76"/>
      <c r="X1437" s="76"/>
      <c r="Y1437" s="76"/>
      <c r="Z1437" s="76"/>
      <c r="AA1437" s="76"/>
      <c r="AB1437" s="76"/>
      <c r="AC1437" s="76"/>
      <c r="AD1437" s="76"/>
      <c r="AE1437" s="76"/>
      <c r="AF1437" s="76"/>
      <c r="AG1437" s="76"/>
      <c r="AH1437" s="76"/>
      <c r="AI1437" s="76"/>
      <c r="AJ1437" s="76"/>
      <c r="AK1437" s="76"/>
      <c r="AL1437" s="76"/>
      <c r="AM1437" s="76"/>
      <c r="AN1437" s="76"/>
      <c r="AO1437" s="76"/>
      <c r="AP1437" s="76"/>
      <c r="AQ1437" s="76"/>
      <c r="AR1437" s="76"/>
      <c r="AS1437" s="76"/>
      <c r="AT1437" s="76"/>
      <c r="AU1437" s="76"/>
      <c r="AV1437" s="76"/>
      <c r="AW1437" s="76"/>
      <c r="AX1437" s="76"/>
      <c r="AY1437" s="76"/>
      <c r="AZ1437" s="76"/>
      <c r="BA1437" s="76"/>
      <c r="BB1437" s="76"/>
    </row>
    <row r="1438" spans="5:54" x14ac:dyDescent="0.35">
      <c r="E1438" s="83"/>
      <c r="F1438" s="83"/>
      <c r="G1438" s="76"/>
      <c r="H1438" s="76"/>
      <c r="I1438" s="76"/>
      <c r="J1438" s="76"/>
      <c r="K1438" s="76"/>
      <c r="L1438" s="76"/>
      <c r="M1438" s="76"/>
      <c r="N1438" s="76"/>
      <c r="O1438" s="76"/>
      <c r="P1438" s="76"/>
      <c r="Q1438" s="76"/>
      <c r="R1438" s="76"/>
      <c r="S1438" s="76"/>
      <c r="T1438" s="76"/>
      <c r="U1438" s="76"/>
      <c r="V1438" s="76"/>
      <c r="W1438" s="76"/>
      <c r="X1438" s="76"/>
      <c r="Y1438" s="76"/>
      <c r="Z1438" s="76"/>
      <c r="AA1438" s="76"/>
      <c r="AB1438" s="76"/>
      <c r="AC1438" s="76"/>
      <c r="AD1438" s="76"/>
      <c r="AE1438" s="76"/>
      <c r="AF1438" s="76"/>
      <c r="AG1438" s="76"/>
      <c r="AH1438" s="76"/>
      <c r="AI1438" s="76"/>
      <c r="AJ1438" s="76"/>
      <c r="AK1438" s="76"/>
      <c r="AL1438" s="76"/>
      <c r="AM1438" s="76"/>
      <c r="AN1438" s="76"/>
      <c r="AO1438" s="76"/>
      <c r="AP1438" s="76"/>
      <c r="AQ1438" s="76"/>
      <c r="AR1438" s="76"/>
      <c r="AS1438" s="76"/>
      <c r="AT1438" s="76"/>
      <c r="AU1438" s="76"/>
      <c r="AV1438" s="76"/>
      <c r="AW1438" s="76"/>
      <c r="AX1438" s="76"/>
      <c r="AY1438" s="76"/>
      <c r="AZ1438" s="76"/>
      <c r="BA1438" s="76"/>
      <c r="BB1438" s="76"/>
    </row>
    <row r="1439" spans="5:54" x14ac:dyDescent="0.35">
      <c r="E1439" s="83"/>
      <c r="F1439" s="83"/>
      <c r="G1439" s="76"/>
      <c r="H1439" s="76"/>
      <c r="I1439" s="76"/>
      <c r="J1439" s="76"/>
      <c r="K1439" s="76"/>
      <c r="L1439" s="76"/>
      <c r="M1439" s="76"/>
      <c r="N1439" s="76"/>
      <c r="O1439" s="76"/>
      <c r="P1439" s="76"/>
      <c r="Q1439" s="76"/>
      <c r="R1439" s="76"/>
      <c r="S1439" s="76"/>
      <c r="T1439" s="76"/>
      <c r="U1439" s="76"/>
      <c r="V1439" s="76"/>
      <c r="W1439" s="76"/>
      <c r="X1439" s="76"/>
      <c r="Y1439" s="76"/>
      <c r="Z1439" s="76"/>
      <c r="AA1439" s="76"/>
      <c r="AB1439" s="76"/>
      <c r="AC1439" s="76"/>
      <c r="AD1439" s="76"/>
      <c r="AE1439" s="76"/>
      <c r="AF1439" s="76"/>
      <c r="AG1439" s="76"/>
      <c r="AH1439" s="76"/>
      <c r="AI1439" s="76"/>
      <c r="AJ1439" s="76"/>
      <c r="AK1439" s="76"/>
      <c r="AL1439" s="76"/>
      <c r="AM1439" s="76"/>
      <c r="AN1439" s="76"/>
      <c r="AO1439" s="76"/>
      <c r="AP1439" s="76"/>
      <c r="AQ1439" s="76"/>
      <c r="AR1439" s="76"/>
      <c r="AS1439" s="76"/>
      <c r="AT1439" s="76"/>
      <c r="AU1439" s="76"/>
      <c r="AV1439" s="76"/>
      <c r="AW1439" s="76"/>
      <c r="AX1439" s="76"/>
      <c r="AY1439" s="76"/>
      <c r="AZ1439" s="76"/>
      <c r="BA1439" s="76"/>
      <c r="BB1439" s="76"/>
    </row>
    <row r="1440" spans="5:54" x14ac:dyDescent="0.35">
      <c r="E1440" s="83"/>
      <c r="F1440" s="83"/>
      <c r="G1440" s="76"/>
      <c r="H1440" s="76"/>
      <c r="I1440" s="76"/>
      <c r="J1440" s="76"/>
      <c r="K1440" s="76"/>
      <c r="L1440" s="76"/>
      <c r="M1440" s="76"/>
      <c r="N1440" s="76"/>
      <c r="O1440" s="76"/>
      <c r="P1440" s="76"/>
      <c r="Q1440" s="76"/>
      <c r="R1440" s="76"/>
      <c r="S1440" s="76"/>
      <c r="T1440" s="76"/>
      <c r="U1440" s="76"/>
      <c r="V1440" s="76"/>
      <c r="W1440" s="76"/>
      <c r="X1440" s="76"/>
      <c r="Y1440" s="76"/>
      <c r="Z1440" s="76"/>
      <c r="AA1440" s="76"/>
      <c r="AB1440" s="76"/>
      <c r="AC1440" s="76"/>
      <c r="AD1440" s="76"/>
      <c r="AE1440" s="76"/>
      <c r="AF1440" s="76"/>
      <c r="AG1440" s="76"/>
      <c r="AH1440" s="76"/>
      <c r="AI1440" s="76"/>
      <c r="AJ1440" s="76"/>
      <c r="AK1440" s="76"/>
      <c r="AL1440" s="76"/>
      <c r="AM1440" s="76"/>
      <c r="AN1440" s="76"/>
      <c r="AO1440" s="76"/>
      <c r="AP1440" s="76"/>
      <c r="AQ1440" s="76"/>
      <c r="AR1440" s="76"/>
      <c r="AS1440" s="76"/>
      <c r="AT1440" s="76"/>
      <c r="AU1440" s="76"/>
      <c r="AV1440" s="76"/>
      <c r="AW1440" s="76"/>
      <c r="AX1440" s="76"/>
      <c r="AY1440" s="76"/>
      <c r="AZ1440" s="76"/>
      <c r="BA1440" s="76"/>
      <c r="BB1440" s="76"/>
    </row>
    <row r="1441" spans="5:54" x14ac:dyDescent="0.35">
      <c r="E1441" s="83"/>
      <c r="F1441" s="83"/>
      <c r="G1441" s="76"/>
      <c r="H1441" s="76"/>
      <c r="I1441" s="76"/>
      <c r="J1441" s="76"/>
      <c r="K1441" s="76"/>
      <c r="L1441" s="76"/>
      <c r="M1441" s="76"/>
      <c r="N1441" s="76"/>
      <c r="O1441" s="76"/>
      <c r="P1441" s="76"/>
      <c r="Q1441" s="76"/>
      <c r="R1441" s="76"/>
      <c r="S1441" s="76"/>
      <c r="T1441" s="76"/>
      <c r="U1441" s="76"/>
      <c r="V1441" s="76"/>
      <c r="W1441" s="76"/>
      <c r="X1441" s="76"/>
      <c r="Y1441" s="76"/>
      <c r="Z1441" s="76"/>
      <c r="AA1441" s="76"/>
      <c r="AB1441" s="76"/>
      <c r="AC1441" s="76"/>
      <c r="AD1441" s="76"/>
      <c r="AE1441" s="76"/>
      <c r="AF1441" s="76"/>
      <c r="AG1441" s="76"/>
      <c r="AH1441" s="76"/>
      <c r="AI1441" s="76"/>
      <c r="AJ1441" s="76"/>
      <c r="AK1441" s="76"/>
      <c r="AL1441" s="76"/>
      <c r="AM1441" s="76"/>
      <c r="AN1441" s="76"/>
      <c r="AO1441" s="76"/>
      <c r="AP1441" s="76"/>
      <c r="AQ1441" s="76"/>
      <c r="AR1441" s="76"/>
      <c r="AS1441" s="76"/>
      <c r="AT1441" s="76"/>
      <c r="AU1441" s="76"/>
      <c r="AV1441" s="76"/>
      <c r="AW1441" s="76"/>
      <c r="AX1441" s="76"/>
      <c r="AY1441" s="76"/>
      <c r="AZ1441" s="76"/>
      <c r="BA1441" s="76"/>
      <c r="BB1441" s="76"/>
    </row>
    <row r="1442" spans="5:54" x14ac:dyDescent="0.35">
      <c r="E1442" s="83"/>
      <c r="F1442" s="83"/>
      <c r="G1442" s="76"/>
      <c r="H1442" s="76"/>
      <c r="I1442" s="76"/>
      <c r="J1442" s="76"/>
      <c r="K1442" s="76"/>
      <c r="L1442" s="76"/>
      <c r="M1442" s="76"/>
      <c r="N1442" s="76"/>
      <c r="O1442" s="76"/>
      <c r="P1442" s="76"/>
      <c r="Q1442" s="76"/>
      <c r="R1442" s="76"/>
      <c r="S1442" s="76"/>
      <c r="T1442" s="76"/>
      <c r="U1442" s="76"/>
      <c r="V1442" s="76"/>
      <c r="W1442" s="76"/>
      <c r="X1442" s="76"/>
      <c r="Y1442" s="76"/>
      <c r="Z1442" s="76"/>
      <c r="AA1442" s="76"/>
      <c r="AB1442" s="76"/>
      <c r="AC1442" s="76"/>
      <c r="AD1442" s="76"/>
      <c r="AE1442" s="76"/>
      <c r="AF1442" s="76"/>
      <c r="AG1442" s="76"/>
      <c r="AH1442" s="76"/>
      <c r="AI1442" s="76"/>
      <c r="AJ1442" s="76"/>
      <c r="AK1442" s="76"/>
      <c r="AL1442" s="76"/>
      <c r="AM1442" s="76"/>
      <c r="AN1442" s="76"/>
      <c r="AO1442" s="76"/>
      <c r="AP1442" s="76"/>
      <c r="AQ1442" s="76"/>
      <c r="AR1442" s="76"/>
      <c r="AS1442" s="76"/>
      <c r="AT1442" s="76"/>
      <c r="AU1442" s="76"/>
      <c r="AV1442" s="76"/>
      <c r="AW1442" s="76"/>
      <c r="AX1442" s="76"/>
      <c r="AY1442" s="76"/>
      <c r="AZ1442" s="76"/>
      <c r="BA1442" s="76"/>
      <c r="BB1442" s="76"/>
    </row>
    <row r="1443" spans="5:54" x14ac:dyDescent="0.35">
      <c r="E1443" s="83"/>
      <c r="F1443" s="83"/>
      <c r="G1443" s="76"/>
      <c r="H1443" s="76"/>
      <c r="I1443" s="76"/>
      <c r="J1443" s="76"/>
      <c r="K1443" s="76"/>
      <c r="L1443" s="76"/>
      <c r="M1443" s="76"/>
      <c r="N1443" s="76"/>
      <c r="O1443" s="76"/>
      <c r="P1443" s="76"/>
      <c r="Q1443" s="76"/>
      <c r="R1443" s="76"/>
      <c r="S1443" s="76"/>
      <c r="T1443" s="76"/>
      <c r="U1443" s="76"/>
      <c r="V1443" s="76"/>
      <c r="W1443" s="76"/>
      <c r="X1443" s="76"/>
      <c r="Y1443" s="76"/>
      <c r="Z1443" s="76"/>
      <c r="AA1443" s="76"/>
      <c r="AB1443" s="76"/>
      <c r="AC1443" s="76"/>
      <c r="AD1443" s="76"/>
      <c r="AE1443" s="76"/>
      <c r="AF1443" s="76"/>
      <c r="AG1443" s="76"/>
      <c r="AH1443" s="76"/>
      <c r="AI1443" s="76"/>
      <c r="AJ1443" s="76"/>
      <c r="AK1443" s="76"/>
      <c r="AL1443" s="76"/>
      <c r="AM1443" s="76"/>
      <c r="AN1443" s="76"/>
      <c r="AO1443" s="76"/>
      <c r="AP1443" s="76"/>
      <c r="AQ1443" s="76"/>
      <c r="AR1443" s="76"/>
      <c r="AS1443" s="76"/>
      <c r="AT1443" s="76"/>
      <c r="AU1443" s="76"/>
      <c r="AV1443" s="76"/>
      <c r="AW1443" s="76"/>
      <c r="AX1443" s="76"/>
      <c r="AY1443" s="76"/>
      <c r="AZ1443" s="76"/>
      <c r="BA1443" s="76"/>
      <c r="BB1443" s="76"/>
    </row>
    <row r="1444" spans="5:54" x14ac:dyDescent="0.35">
      <c r="E1444" s="83"/>
      <c r="F1444" s="83"/>
      <c r="G1444" s="76"/>
      <c r="H1444" s="76"/>
      <c r="I1444" s="76"/>
      <c r="J1444" s="76"/>
      <c r="K1444" s="76"/>
      <c r="L1444" s="76"/>
      <c r="M1444" s="76"/>
      <c r="N1444" s="76"/>
      <c r="O1444" s="76"/>
      <c r="P1444" s="76"/>
      <c r="Q1444" s="76"/>
      <c r="R1444" s="76"/>
      <c r="S1444" s="76"/>
      <c r="T1444" s="76"/>
      <c r="U1444" s="76"/>
      <c r="V1444" s="76"/>
      <c r="W1444" s="76"/>
      <c r="X1444" s="76"/>
      <c r="Y1444" s="76"/>
      <c r="Z1444" s="76"/>
      <c r="AA1444" s="76"/>
      <c r="AB1444" s="76"/>
      <c r="AC1444" s="76"/>
      <c r="AD1444" s="76"/>
      <c r="AE1444" s="76"/>
      <c r="AF1444" s="76"/>
      <c r="AG1444" s="76"/>
      <c r="AH1444" s="76"/>
      <c r="AI1444" s="76"/>
      <c r="AJ1444" s="76"/>
      <c r="AK1444" s="76"/>
      <c r="AL1444" s="76"/>
      <c r="AM1444" s="76"/>
      <c r="AN1444" s="76"/>
      <c r="AO1444" s="76"/>
      <c r="AP1444" s="76"/>
      <c r="AQ1444" s="76"/>
      <c r="AR1444" s="76"/>
      <c r="AS1444" s="76"/>
      <c r="AT1444" s="76"/>
      <c r="AU1444" s="76"/>
      <c r="AV1444" s="76"/>
      <c r="AW1444" s="76"/>
      <c r="AX1444" s="76"/>
      <c r="AY1444" s="76"/>
      <c r="AZ1444" s="76"/>
      <c r="BA1444" s="76"/>
      <c r="BB1444" s="76"/>
    </row>
    <row r="1445" spans="5:54" x14ac:dyDescent="0.35">
      <c r="E1445" s="83"/>
      <c r="F1445" s="83"/>
      <c r="G1445" s="76"/>
      <c r="H1445" s="76"/>
      <c r="I1445" s="76"/>
      <c r="J1445" s="76"/>
      <c r="K1445" s="76"/>
      <c r="L1445" s="76"/>
      <c r="M1445" s="76"/>
      <c r="N1445" s="76"/>
      <c r="O1445" s="76"/>
      <c r="P1445" s="76"/>
      <c r="Q1445" s="76"/>
      <c r="R1445" s="76"/>
      <c r="S1445" s="76"/>
      <c r="T1445" s="76"/>
      <c r="U1445" s="76"/>
      <c r="V1445" s="76"/>
      <c r="W1445" s="76"/>
      <c r="X1445" s="76"/>
      <c r="Y1445" s="76"/>
      <c r="Z1445" s="76"/>
      <c r="AA1445" s="76"/>
      <c r="AB1445" s="76"/>
      <c r="AC1445" s="76"/>
      <c r="AD1445" s="76"/>
      <c r="AE1445" s="76"/>
      <c r="AF1445" s="76"/>
      <c r="AG1445" s="76"/>
      <c r="AH1445" s="76"/>
      <c r="AI1445" s="76"/>
      <c r="AJ1445" s="76"/>
      <c r="AK1445" s="76"/>
      <c r="AL1445" s="76"/>
      <c r="AM1445" s="76"/>
      <c r="AN1445" s="76"/>
      <c r="AO1445" s="76"/>
      <c r="AP1445" s="76"/>
      <c r="AQ1445" s="76"/>
      <c r="AR1445" s="76"/>
      <c r="AS1445" s="76"/>
      <c r="AT1445" s="76"/>
      <c r="AU1445" s="76"/>
      <c r="AV1445" s="76"/>
      <c r="AW1445" s="76"/>
      <c r="AX1445" s="76"/>
      <c r="AY1445" s="76"/>
      <c r="AZ1445" s="76"/>
      <c r="BA1445" s="76"/>
      <c r="BB1445" s="76"/>
    </row>
    <row r="1446" spans="5:54" x14ac:dyDescent="0.35">
      <c r="E1446" s="83"/>
      <c r="F1446" s="83"/>
      <c r="G1446" s="76"/>
      <c r="H1446" s="76"/>
      <c r="I1446" s="76"/>
      <c r="J1446" s="76"/>
      <c r="K1446" s="76"/>
      <c r="L1446" s="76"/>
      <c r="M1446" s="76"/>
      <c r="N1446" s="76"/>
      <c r="O1446" s="76"/>
      <c r="P1446" s="76"/>
      <c r="Q1446" s="76"/>
      <c r="R1446" s="76"/>
      <c r="S1446" s="76"/>
      <c r="T1446" s="76"/>
      <c r="U1446" s="76"/>
      <c r="V1446" s="76"/>
      <c r="W1446" s="76"/>
      <c r="X1446" s="76"/>
      <c r="Y1446" s="76"/>
      <c r="Z1446" s="76"/>
      <c r="AA1446" s="76"/>
      <c r="AB1446" s="76"/>
      <c r="AC1446" s="76"/>
      <c r="AD1446" s="76"/>
      <c r="AE1446" s="76"/>
      <c r="AF1446" s="76"/>
      <c r="AG1446" s="76"/>
      <c r="AH1446" s="76"/>
      <c r="AI1446" s="76"/>
      <c r="AJ1446" s="76"/>
      <c r="AK1446" s="76"/>
      <c r="AL1446" s="76"/>
      <c r="AM1446" s="76"/>
      <c r="AN1446" s="76"/>
      <c r="AO1446" s="76"/>
      <c r="AP1446" s="76"/>
      <c r="AQ1446" s="76"/>
      <c r="AR1446" s="76"/>
      <c r="AS1446" s="76"/>
      <c r="AT1446" s="76"/>
      <c r="AU1446" s="76"/>
      <c r="AV1446" s="76"/>
      <c r="AW1446" s="76"/>
      <c r="AX1446" s="76"/>
      <c r="AY1446" s="76"/>
      <c r="AZ1446" s="76"/>
      <c r="BA1446" s="76"/>
      <c r="BB1446" s="76"/>
    </row>
    <row r="1447" spans="5:54" x14ac:dyDescent="0.35">
      <c r="E1447" s="83"/>
      <c r="F1447" s="83"/>
      <c r="G1447" s="76"/>
      <c r="H1447" s="76"/>
      <c r="I1447" s="76"/>
      <c r="J1447" s="76"/>
      <c r="K1447" s="76"/>
      <c r="L1447" s="76"/>
      <c r="M1447" s="76"/>
      <c r="N1447" s="76"/>
      <c r="O1447" s="76"/>
      <c r="P1447" s="76"/>
      <c r="Q1447" s="76"/>
      <c r="R1447" s="76"/>
      <c r="S1447" s="76"/>
      <c r="T1447" s="76"/>
      <c r="U1447" s="76"/>
      <c r="V1447" s="76"/>
      <c r="W1447" s="76"/>
      <c r="X1447" s="76"/>
      <c r="Y1447" s="76"/>
      <c r="Z1447" s="76"/>
      <c r="AA1447" s="76"/>
      <c r="AB1447" s="76"/>
      <c r="AC1447" s="76"/>
      <c r="AD1447" s="76"/>
      <c r="AE1447" s="76"/>
      <c r="AF1447" s="76"/>
      <c r="AG1447" s="76"/>
      <c r="AH1447" s="76"/>
      <c r="AI1447" s="76"/>
      <c r="AJ1447" s="76"/>
      <c r="AK1447" s="76"/>
      <c r="AL1447" s="76"/>
      <c r="AM1447" s="76"/>
      <c r="AN1447" s="76"/>
      <c r="AO1447" s="76"/>
      <c r="AP1447" s="76"/>
      <c r="AQ1447" s="76"/>
      <c r="AR1447" s="76"/>
      <c r="AS1447" s="76"/>
      <c r="AT1447" s="76"/>
      <c r="AU1447" s="76"/>
      <c r="AV1447" s="76"/>
      <c r="AW1447" s="76"/>
      <c r="AX1447" s="76"/>
      <c r="AY1447" s="76"/>
      <c r="AZ1447" s="76"/>
      <c r="BA1447" s="76"/>
      <c r="BB1447" s="76"/>
    </row>
    <row r="1448" spans="5:54" x14ac:dyDescent="0.35">
      <c r="E1448" s="83"/>
      <c r="F1448" s="83"/>
      <c r="G1448" s="76"/>
      <c r="H1448" s="76"/>
      <c r="I1448" s="76"/>
      <c r="J1448" s="76"/>
      <c r="K1448" s="76"/>
      <c r="L1448" s="76"/>
      <c r="M1448" s="76"/>
      <c r="N1448" s="76"/>
      <c r="O1448" s="76"/>
      <c r="P1448" s="76"/>
      <c r="Q1448" s="76"/>
      <c r="R1448" s="76"/>
      <c r="S1448" s="76"/>
      <c r="T1448" s="76"/>
      <c r="U1448" s="76"/>
      <c r="V1448" s="76"/>
      <c r="W1448" s="76"/>
      <c r="X1448" s="76"/>
      <c r="Y1448" s="76"/>
      <c r="Z1448" s="76"/>
      <c r="AA1448" s="76"/>
      <c r="AB1448" s="76"/>
      <c r="AC1448" s="76"/>
      <c r="AD1448" s="76"/>
      <c r="AE1448" s="76"/>
      <c r="AF1448" s="76"/>
      <c r="AG1448" s="76"/>
      <c r="AH1448" s="76"/>
      <c r="AI1448" s="76"/>
      <c r="AJ1448" s="76"/>
      <c r="AK1448" s="76"/>
      <c r="AL1448" s="76"/>
      <c r="AM1448" s="76"/>
      <c r="AN1448" s="76"/>
      <c r="AO1448" s="76"/>
      <c r="AP1448" s="76"/>
      <c r="AQ1448" s="76"/>
      <c r="AR1448" s="76"/>
      <c r="AS1448" s="76"/>
      <c r="AT1448" s="76"/>
      <c r="AU1448" s="76"/>
      <c r="AV1448" s="76"/>
      <c r="AW1448" s="76"/>
      <c r="AX1448" s="76"/>
      <c r="AY1448" s="76"/>
      <c r="AZ1448" s="76"/>
      <c r="BA1448" s="76"/>
      <c r="BB1448" s="76"/>
    </row>
    <row r="1449" spans="5:54" x14ac:dyDescent="0.35">
      <c r="E1449" s="83"/>
      <c r="F1449" s="83"/>
      <c r="G1449" s="76"/>
      <c r="H1449" s="76"/>
      <c r="I1449" s="76"/>
      <c r="J1449" s="76"/>
      <c r="K1449" s="76"/>
      <c r="L1449" s="76"/>
      <c r="M1449" s="76"/>
      <c r="N1449" s="76"/>
      <c r="O1449" s="76"/>
      <c r="P1449" s="76"/>
      <c r="Q1449" s="76"/>
      <c r="R1449" s="76"/>
      <c r="S1449" s="76"/>
      <c r="T1449" s="76"/>
      <c r="U1449" s="76"/>
      <c r="V1449" s="76"/>
      <c r="W1449" s="76"/>
      <c r="X1449" s="76"/>
      <c r="Y1449" s="76"/>
      <c r="Z1449" s="76"/>
      <c r="AA1449" s="76"/>
      <c r="AB1449" s="76"/>
      <c r="AC1449" s="76"/>
      <c r="AD1449" s="76"/>
      <c r="AE1449" s="76"/>
      <c r="AF1449" s="76"/>
      <c r="AG1449" s="76"/>
      <c r="AH1449" s="76"/>
      <c r="AI1449" s="76"/>
      <c r="AJ1449" s="76"/>
      <c r="AK1449" s="76"/>
      <c r="AL1449" s="76"/>
      <c r="AM1449" s="76"/>
      <c r="AN1449" s="76"/>
      <c r="AO1449" s="76"/>
      <c r="AP1449" s="76"/>
      <c r="AQ1449" s="76"/>
      <c r="AR1449" s="76"/>
      <c r="AS1449" s="76"/>
      <c r="AT1449" s="76"/>
      <c r="AU1449" s="76"/>
      <c r="AV1449" s="76"/>
      <c r="AW1449" s="76"/>
      <c r="AX1449" s="76"/>
      <c r="AY1449" s="76"/>
      <c r="AZ1449" s="76"/>
      <c r="BA1449" s="76"/>
      <c r="BB1449" s="76"/>
    </row>
    <row r="1450" spans="5:54" x14ac:dyDescent="0.35">
      <c r="E1450" s="83"/>
      <c r="F1450" s="83"/>
      <c r="G1450" s="76"/>
      <c r="H1450" s="76"/>
      <c r="I1450" s="76"/>
      <c r="J1450" s="76"/>
      <c r="K1450" s="76"/>
      <c r="L1450" s="76"/>
      <c r="M1450" s="76"/>
      <c r="N1450" s="76"/>
      <c r="O1450" s="76"/>
      <c r="P1450" s="76"/>
      <c r="Q1450" s="76"/>
      <c r="R1450" s="76"/>
      <c r="S1450" s="76"/>
      <c r="T1450" s="76"/>
      <c r="U1450" s="76"/>
      <c r="V1450" s="76"/>
      <c r="W1450" s="76"/>
      <c r="X1450" s="76"/>
      <c r="Y1450" s="76"/>
      <c r="Z1450" s="76"/>
      <c r="AA1450" s="76"/>
      <c r="AB1450" s="76"/>
      <c r="AC1450" s="76"/>
      <c r="AD1450" s="76"/>
      <c r="AE1450" s="76"/>
      <c r="AF1450" s="76"/>
      <c r="AG1450" s="76"/>
      <c r="AH1450" s="76"/>
      <c r="AI1450" s="76"/>
      <c r="AJ1450" s="76"/>
      <c r="AK1450" s="76"/>
      <c r="AL1450" s="76"/>
      <c r="AM1450" s="76"/>
      <c r="AN1450" s="76"/>
      <c r="AO1450" s="76"/>
      <c r="AP1450" s="76"/>
      <c r="AQ1450" s="76"/>
      <c r="AR1450" s="76"/>
      <c r="AS1450" s="76"/>
      <c r="AT1450" s="76"/>
      <c r="AU1450" s="76"/>
      <c r="AV1450" s="76"/>
      <c r="AW1450" s="76"/>
      <c r="AX1450" s="76"/>
      <c r="AY1450" s="76"/>
      <c r="AZ1450" s="76"/>
      <c r="BA1450" s="76"/>
      <c r="BB1450" s="76"/>
    </row>
    <row r="1451" spans="5:54" x14ac:dyDescent="0.35">
      <c r="E1451" s="83"/>
      <c r="F1451" s="83"/>
      <c r="G1451" s="76"/>
      <c r="H1451" s="76"/>
      <c r="I1451" s="76"/>
      <c r="J1451" s="76"/>
      <c r="K1451" s="76"/>
      <c r="L1451" s="76"/>
      <c r="M1451" s="76"/>
      <c r="N1451" s="76"/>
      <c r="O1451" s="76"/>
      <c r="P1451" s="76"/>
      <c r="Q1451" s="76"/>
      <c r="R1451" s="76"/>
      <c r="S1451" s="76"/>
      <c r="T1451" s="76"/>
      <c r="U1451" s="76"/>
      <c r="V1451" s="76"/>
      <c r="W1451" s="76"/>
      <c r="X1451" s="76"/>
      <c r="Y1451" s="76"/>
      <c r="Z1451" s="76"/>
      <c r="AA1451" s="76"/>
      <c r="AB1451" s="76"/>
      <c r="AC1451" s="76"/>
      <c r="AD1451" s="76"/>
      <c r="AE1451" s="76"/>
      <c r="AF1451" s="76"/>
      <c r="AG1451" s="76"/>
      <c r="AH1451" s="76"/>
      <c r="AI1451" s="76"/>
      <c r="AJ1451" s="76"/>
      <c r="AK1451" s="76"/>
      <c r="AL1451" s="76"/>
      <c r="AM1451" s="76"/>
      <c r="AN1451" s="76"/>
      <c r="AO1451" s="76"/>
      <c r="AP1451" s="76"/>
      <c r="AQ1451" s="76"/>
      <c r="AR1451" s="76"/>
      <c r="AS1451" s="76"/>
      <c r="AT1451" s="76"/>
      <c r="AU1451" s="76"/>
      <c r="AV1451" s="76"/>
      <c r="AW1451" s="76"/>
      <c r="AX1451" s="76"/>
      <c r="AY1451" s="76"/>
      <c r="AZ1451" s="76"/>
      <c r="BA1451" s="76"/>
      <c r="BB1451" s="76"/>
    </row>
    <row r="1452" spans="5:54" x14ac:dyDescent="0.35">
      <c r="E1452" s="83"/>
      <c r="F1452" s="83"/>
      <c r="G1452" s="76"/>
      <c r="H1452" s="76"/>
      <c r="I1452" s="76"/>
      <c r="J1452" s="76"/>
      <c r="K1452" s="76"/>
      <c r="L1452" s="76"/>
      <c r="M1452" s="76"/>
      <c r="N1452" s="76"/>
      <c r="O1452" s="76"/>
      <c r="P1452" s="76"/>
      <c r="Q1452" s="76"/>
      <c r="R1452" s="76"/>
      <c r="S1452" s="76"/>
      <c r="T1452" s="76"/>
      <c r="U1452" s="76"/>
      <c r="V1452" s="76"/>
      <c r="W1452" s="76"/>
      <c r="X1452" s="76"/>
      <c r="Y1452" s="76"/>
      <c r="Z1452" s="76"/>
      <c r="AA1452" s="76"/>
      <c r="AB1452" s="76"/>
      <c r="AC1452" s="76"/>
      <c r="AD1452" s="76"/>
      <c r="AE1452" s="76"/>
      <c r="AF1452" s="76"/>
      <c r="AG1452" s="76"/>
      <c r="AH1452" s="76"/>
      <c r="AI1452" s="76"/>
      <c r="AJ1452" s="76"/>
      <c r="AK1452" s="76"/>
      <c r="AL1452" s="76"/>
      <c r="AM1452" s="76"/>
      <c r="AN1452" s="76"/>
      <c r="AO1452" s="76"/>
      <c r="AP1452" s="76"/>
      <c r="AQ1452" s="76"/>
      <c r="AR1452" s="76"/>
      <c r="AS1452" s="76"/>
      <c r="AT1452" s="76"/>
      <c r="AU1452" s="76"/>
      <c r="AV1452" s="76"/>
      <c r="AW1452" s="76"/>
      <c r="AX1452" s="76"/>
      <c r="AY1452" s="76"/>
      <c r="AZ1452" s="76"/>
      <c r="BA1452" s="76"/>
      <c r="BB1452" s="76"/>
    </row>
    <row r="1453" spans="5:54" x14ac:dyDescent="0.35">
      <c r="E1453" s="83"/>
      <c r="F1453" s="83"/>
      <c r="G1453" s="76"/>
      <c r="H1453" s="76"/>
      <c r="I1453" s="76"/>
      <c r="J1453" s="76"/>
      <c r="K1453" s="76"/>
      <c r="L1453" s="76"/>
      <c r="M1453" s="76"/>
      <c r="N1453" s="76"/>
      <c r="O1453" s="76"/>
      <c r="P1453" s="76"/>
      <c r="Q1453" s="76"/>
      <c r="R1453" s="76"/>
      <c r="S1453" s="76"/>
      <c r="T1453" s="76"/>
      <c r="U1453" s="76"/>
      <c r="V1453" s="76"/>
      <c r="W1453" s="76"/>
      <c r="X1453" s="76"/>
      <c r="Y1453" s="76"/>
      <c r="Z1453" s="76"/>
      <c r="AA1453" s="76"/>
      <c r="AB1453" s="76"/>
      <c r="AC1453" s="76"/>
      <c r="AD1453" s="76"/>
      <c r="AE1453" s="76"/>
      <c r="AF1453" s="76"/>
      <c r="AG1453" s="76"/>
      <c r="AH1453" s="76"/>
      <c r="AI1453" s="76"/>
      <c r="AJ1453" s="76"/>
      <c r="AK1453" s="76"/>
      <c r="AL1453" s="76"/>
      <c r="AM1453" s="76"/>
      <c r="AN1453" s="76"/>
      <c r="AO1453" s="76"/>
      <c r="AP1453" s="76"/>
      <c r="AQ1453" s="76"/>
      <c r="AR1453" s="76"/>
      <c r="AS1453" s="76"/>
      <c r="AT1453" s="76"/>
      <c r="AU1453" s="76"/>
      <c r="AV1453" s="76"/>
      <c r="AW1453" s="76"/>
      <c r="AX1453" s="76"/>
      <c r="AY1453" s="76"/>
      <c r="AZ1453" s="76"/>
      <c r="BA1453" s="76"/>
      <c r="BB1453" s="76"/>
    </row>
    <row r="1454" spans="5:54" x14ac:dyDescent="0.35">
      <c r="E1454" s="83"/>
      <c r="F1454" s="83"/>
      <c r="G1454" s="76"/>
      <c r="H1454" s="76"/>
      <c r="I1454" s="76"/>
      <c r="J1454" s="76"/>
      <c r="K1454" s="76"/>
      <c r="L1454" s="76"/>
      <c r="M1454" s="76"/>
      <c r="N1454" s="76"/>
      <c r="O1454" s="76"/>
      <c r="P1454" s="76"/>
      <c r="Q1454" s="76"/>
      <c r="R1454" s="76"/>
      <c r="S1454" s="76"/>
      <c r="T1454" s="76"/>
      <c r="U1454" s="76"/>
      <c r="V1454" s="76"/>
      <c r="W1454" s="76"/>
      <c r="X1454" s="76"/>
      <c r="Y1454" s="76"/>
      <c r="Z1454" s="76"/>
      <c r="AA1454" s="76"/>
      <c r="AB1454" s="76"/>
      <c r="AC1454" s="76"/>
      <c r="AD1454" s="76"/>
      <c r="AE1454" s="76"/>
      <c r="AF1454" s="76"/>
      <c r="AG1454" s="76"/>
      <c r="AH1454" s="76"/>
      <c r="AI1454" s="76"/>
      <c r="AJ1454" s="76"/>
      <c r="AK1454" s="76"/>
      <c r="AL1454" s="76"/>
      <c r="AM1454" s="76"/>
      <c r="AN1454" s="76"/>
      <c r="AO1454" s="76"/>
      <c r="AP1454" s="76"/>
      <c r="AQ1454" s="76"/>
      <c r="AR1454" s="76"/>
      <c r="AS1454" s="76"/>
      <c r="AT1454" s="76"/>
      <c r="AU1454" s="76"/>
      <c r="AV1454" s="76"/>
      <c r="AW1454" s="76"/>
      <c r="AX1454" s="76"/>
      <c r="AY1454" s="76"/>
      <c r="AZ1454" s="76"/>
      <c r="BA1454" s="76"/>
      <c r="BB1454" s="76"/>
    </row>
    <row r="1455" spans="5:54" x14ac:dyDescent="0.35">
      <c r="E1455" s="83"/>
      <c r="F1455" s="83"/>
      <c r="G1455" s="76"/>
      <c r="H1455" s="76"/>
      <c r="I1455" s="76"/>
      <c r="J1455" s="76"/>
      <c r="K1455" s="76"/>
      <c r="L1455" s="76"/>
      <c r="M1455" s="76"/>
      <c r="N1455" s="76"/>
      <c r="O1455" s="76"/>
      <c r="P1455" s="76"/>
      <c r="Q1455" s="76"/>
      <c r="R1455" s="76"/>
      <c r="S1455" s="76"/>
      <c r="T1455" s="76"/>
      <c r="U1455" s="76"/>
      <c r="V1455" s="76"/>
      <c r="W1455" s="76"/>
      <c r="X1455" s="76"/>
      <c r="Y1455" s="76"/>
      <c r="Z1455" s="76"/>
      <c r="AA1455" s="76"/>
      <c r="AB1455" s="76"/>
      <c r="AC1455" s="76"/>
      <c r="AD1455" s="76"/>
      <c r="AE1455" s="76"/>
      <c r="AF1455" s="76"/>
      <c r="AG1455" s="76"/>
      <c r="AH1455" s="76"/>
      <c r="AI1455" s="76"/>
      <c r="AJ1455" s="76"/>
      <c r="AK1455" s="76"/>
      <c r="AL1455" s="76"/>
      <c r="AM1455" s="76"/>
      <c r="AN1455" s="76"/>
      <c r="AO1455" s="76"/>
      <c r="AP1455" s="76"/>
      <c r="AQ1455" s="76"/>
      <c r="AR1455" s="76"/>
      <c r="AS1455" s="76"/>
      <c r="AT1455" s="76"/>
      <c r="AU1455" s="76"/>
      <c r="AV1455" s="76"/>
      <c r="AW1455" s="76"/>
      <c r="AX1455" s="76"/>
      <c r="AY1455" s="76"/>
      <c r="AZ1455" s="76"/>
      <c r="BA1455" s="76"/>
      <c r="BB1455" s="76"/>
    </row>
    <row r="1456" spans="5:54" x14ac:dyDescent="0.35">
      <c r="E1456" s="83"/>
      <c r="F1456" s="83"/>
      <c r="G1456" s="76"/>
      <c r="H1456" s="76"/>
      <c r="I1456" s="76"/>
      <c r="J1456" s="76"/>
      <c r="K1456" s="76"/>
      <c r="L1456" s="76"/>
      <c r="M1456" s="76"/>
      <c r="N1456" s="76"/>
      <c r="O1456" s="76"/>
      <c r="P1456" s="76"/>
      <c r="Q1456" s="76"/>
      <c r="R1456" s="76"/>
      <c r="S1456" s="76"/>
      <c r="T1456" s="76"/>
      <c r="U1456" s="76"/>
      <c r="V1456" s="76"/>
      <c r="W1456" s="76"/>
      <c r="X1456" s="76"/>
      <c r="Y1456" s="76"/>
      <c r="Z1456" s="76"/>
      <c r="AA1456" s="76"/>
      <c r="AB1456" s="76"/>
      <c r="AC1456" s="76"/>
      <c r="AD1456" s="76"/>
      <c r="AE1456" s="76"/>
      <c r="AF1456" s="76"/>
      <c r="AG1456" s="76"/>
      <c r="AH1456" s="76"/>
      <c r="AI1456" s="76"/>
      <c r="AJ1456" s="76"/>
      <c r="AK1456" s="76"/>
      <c r="AL1456" s="76"/>
      <c r="AM1456" s="76"/>
      <c r="AN1456" s="76"/>
      <c r="AO1456" s="76"/>
      <c r="AP1456" s="76"/>
      <c r="AQ1456" s="76"/>
      <c r="AR1456" s="76"/>
      <c r="AS1456" s="76"/>
      <c r="AT1456" s="76"/>
      <c r="AU1456" s="76"/>
      <c r="AV1456" s="76"/>
      <c r="AW1456" s="76"/>
      <c r="AX1456" s="76"/>
      <c r="AY1456" s="76"/>
      <c r="AZ1456" s="76"/>
      <c r="BA1456" s="76"/>
      <c r="BB1456" s="76"/>
    </row>
    <row r="1457" spans="5:54" x14ac:dyDescent="0.35">
      <c r="E1457" s="83"/>
      <c r="F1457" s="83"/>
      <c r="G1457" s="76"/>
      <c r="H1457" s="76"/>
      <c r="I1457" s="76"/>
      <c r="J1457" s="76"/>
      <c r="K1457" s="76"/>
      <c r="L1457" s="76"/>
      <c r="M1457" s="76"/>
      <c r="N1457" s="76"/>
      <c r="O1457" s="76"/>
      <c r="P1457" s="76"/>
      <c r="Q1457" s="76"/>
      <c r="R1457" s="76"/>
      <c r="S1457" s="76"/>
      <c r="T1457" s="76"/>
      <c r="U1457" s="76"/>
      <c r="V1457" s="76"/>
      <c r="W1457" s="76"/>
      <c r="X1457" s="76"/>
      <c r="Y1457" s="76"/>
      <c r="Z1457" s="76"/>
      <c r="AA1457" s="76"/>
      <c r="AB1457" s="76"/>
      <c r="AC1457" s="76"/>
      <c r="AD1457" s="76"/>
      <c r="AE1457" s="76"/>
      <c r="AF1457" s="76"/>
      <c r="AG1457" s="76"/>
      <c r="AH1457" s="76"/>
      <c r="AI1457" s="76"/>
      <c r="AJ1457" s="76"/>
      <c r="AK1457" s="76"/>
      <c r="AL1457" s="76"/>
      <c r="AM1457" s="76"/>
      <c r="AN1457" s="76"/>
      <c r="AO1457" s="76"/>
      <c r="AP1457" s="76"/>
      <c r="AQ1457" s="76"/>
      <c r="AR1457" s="76"/>
      <c r="AS1457" s="76"/>
      <c r="AT1457" s="76"/>
      <c r="AU1457" s="76"/>
      <c r="AV1457" s="76"/>
      <c r="AW1457" s="76"/>
      <c r="AX1457" s="76"/>
      <c r="AY1457" s="76"/>
      <c r="AZ1457" s="76"/>
      <c r="BA1457" s="76"/>
      <c r="BB1457" s="76"/>
    </row>
    <row r="1458" spans="5:54" x14ac:dyDescent="0.35">
      <c r="E1458" s="83"/>
      <c r="F1458" s="83"/>
      <c r="G1458" s="76"/>
      <c r="H1458" s="76"/>
      <c r="I1458" s="76"/>
      <c r="J1458" s="76"/>
      <c r="K1458" s="76"/>
      <c r="L1458" s="76"/>
      <c r="M1458" s="76"/>
      <c r="N1458" s="76"/>
      <c r="O1458" s="76"/>
      <c r="P1458" s="76"/>
      <c r="Q1458" s="76"/>
      <c r="R1458" s="76"/>
      <c r="S1458" s="76"/>
      <c r="T1458" s="76"/>
      <c r="U1458" s="76"/>
      <c r="V1458" s="76"/>
      <c r="W1458" s="76"/>
      <c r="X1458" s="76"/>
      <c r="Y1458" s="76"/>
      <c r="Z1458" s="76"/>
      <c r="AA1458" s="76"/>
      <c r="AB1458" s="76"/>
      <c r="AC1458" s="76"/>
      <c r="AD1458" s="76"/>
      <c r="AE1458" s="76"/>
      <c r="AF1458" s="76"/>
      <c r="AG1458" s="76"/>
      <c r="AH1458" s="76"/>
      <c r="AI1458" s="76"/>
      <c r="AJ1458" s="76"/>
      <c r="AK1458" s="76"/>
      <c r="AL1458" s="76"/>
      <c r="AM1458" s="76"/>
      <c r="AN1458" s="76"/>
      <c r="AO1458" s="76"/>
      <c r="AP1458" s="76"/>
      <c r="AQ1458" s="76"/>
      <c r="AR1458" s="76"/>
      <c r="AS1458" s="76"/>
      <c r="AT1458" s="76"/>
      <c r="AU1458" s="76"/>
      <c r="AV1458" s="76"/>
      <c r="AW1458" s="76"/>
      <c r="AX1458" s="76"/>
      <c r="AY1458" s="76"/>
      <c r="AZ1458" s="76"/>
      <c r="BA1458" s="76"/>
      <c r="BB1458" s="76"/>
    </row>
    <row r="1459" spans="5:54" x14ac:dyDescent="0.35">
      <c r="E1459" s="83"/>
      <c r="F1459" s="83"/>
      <c r="G1459" s="76"/>
      <c r="H1459" s="76"/>
      <c r="I1459" s="76"/>
      <c r="J1459" s="76"/>
      <c r="K1459" s="76"/>
      <c r="L1459" s="76"/>
      <c r="M1459" s="76"/>
      <c r="N1459" s="76"/>
      <c r="O1459" s="76"/>
      <c r="P1459" s="76"/>
      <c r="Q1459" s="76"/>
      <c r="R1459" s="76"/>
      <c r="S1459" s="76"/>
      <c r="T1459" s="76"/>
      <c r="U1459" s="76"/>
      <c r="V1459" s="76"/>
      <c r="W1459" s="76"/>
      <c r="X1459" s="76"/>
      <c r="Y1459" s="76"/>
      <c r="Z1459" s="76"/>
      <c r="AA1459" s="76"/>
      <c r="AB1459" s="76"/>
      <c r="AC1459" s="76"/>
      <c r="AD1459" s="76"/>
      <c r="AE1459" s="76"/>
      <c r="AF1459" s="76"/>
      <c r="AG1459" s="76"/>
      <c r="AH1459" s="76"/>
      <c r="AI1459" s="76"/>
      <c r="AJ1459" s="76"/>
      <c r="AK1459" s="76"/>
      <c r="AL1459" s="76"/>
      <c r="AM1459" s="76"/>
      <c r="AN1459" s="76"/>
      <c r="AO1459" s="76"/>
      <c r="AP1459" s="76"/>
      <c r="AQ1459" s="76"/>
      <c r="AR1459" s="76"/>
      <c r="AS1459" s="76"/>
      <c r="AT1459" s="76"/>
      <c r="AU1459" s="76"/>
      <c r="AV1459" s="76"/>
      <c r="AW1459" s="76"/>
      <c r="AX1459" s="76"/>
      <c r="AY1459" s="76"/>
      <c r="AZ1459" s="76"/>
      <c r="BA1459" s="76"/>
      <c r="BB1459" s="76"/>
    </row>
    <row r="1460" spans="5:54" x14ac:dyDescent="0.35">
      <c r="E1460" s="83"/>
      <c r="F1460" s="83"/>
      <c r="G1460" s="76"/>
      <c r="H1460" s="76"/>
      <c r="I1460" s="76"/>
      <c r="J1460" s="76"/>
      <c r="K1460" s="76"/>
      <c r="L1460" s="76"/>
      <c r="M1460" s="76"/>
      <c r="N1460" s="76"/>
      <c r="O1460" s="76"/>
      <c r="P1460" s="76"/>
      <c r="Q1460" s="76"/>
      <c r="R1460" s="76"/>
      <c r="S1460" s="76"/>
      <c r="T1460" s="76"/>
      <c r="U1460" s="76"/>
      <c r="V1460" s="76"/>
      <c r="W1460" s="76"/>
      <c r="X1460" s="76"/>
      <c r="Y1460" s="76"/>
      <c r="Z1460" s="76"/>
      <c r="AA1460" s="76"/>
      <c r="AB1460" s="76"/>
      <c r="AC1460" s="76"/>
      <c r="AD1460" s="76"/>
      <c r="AE1460" s="76"/>
      <c r="AF1460" s="76"/>
      <c r="AG1460" s="76"/>
      <c r="AH1460" s="76"/>
      <c r="AI1460" s="76"/>
      <c r="AJ1460" s="76"/>
      <c r="AK1460" s="76"/>
      <c r="AL1460" s="76"/>
      <c r="AM1460" s="76"/>
      <c r="AN1460" s="76"/>
      <c r="AO1460" s="76"/>
      <c r="AP1460" s="76"/>
      <c r="AQ1460" s="76"/>
      <c r="AR1460" s="76"/>
      <c r="AS1460" s="76"/>
      <c r="AT1460" s="76"/>
      <c r="AU1460" s="76"/>
      <c r="AV1460" s="76"/>
      <c r="AW1460" s="76"/>
      <c r="AX1460" s="76"/>
      <c r="AY1460" s="76"/>
      <c r="AZ1460" s="76"/>
      <c r="BA1460" s="76"/>
      <c r="BB1460" s="76"/>
    </row>
    <row r="1461" spans="5:54" x14ac:dyDescent="0.35">
      <c r="E1461" s="83"/>
      <c r="F1461" s="83"/>
      <c r="G1461" s="76"/>
      <c r="H1461" s="76"/>
      <c r="I1461" s="76"/>
      <c r="J1461" s="76"/>
      <c r="K1461" s="76"/>
      <c r="L1461" s="76"/>
      <c r="M1461" s="76"/>
      <c r="N1461" s="76"/>
      <c r="O1461" s="76"/>
      <c r="P1461" s="76"/>
      <c r="Q1461" s="76"/>
      <c r="R1461" s="76"/>
      <c r="S1461" s="76"/>
      <c r="T1461" s="76"/>
      <c r="U1461" s="76"/>
      <c r="V1461" s="76"/>
      <c r="W1461" s="76"/>
      <c r="X1461" s="76"/>
      <c r="Y1461" s="76"/>
      <c r="Z1461" s="76"/>
      <c r="AA1461" s="76"/>
      <c r="AB1461" s="76"/>
      <c r="AC1461" s="76"/>
      <c r="AD1461" s="76"/>
      <c r="AE1461" s="76"/>
      <c r="AF1461" s="76"/>
      <c r="AG1461" s="76"/>
      <c r="AH1461" s="76"/>
      <c r="AI1461" s="76"/>
      <c r="AJ1461" s="76"/>
      <c r="AK1461" s="76"/>
      <c r="AL1461" s="76"/>
      <c r="AM1461" s="76"/>
      <c r="AN1461" s="76"/>
      <c r="AO1461" s="76"/>
      <c r="AP1461" s="76"/>
      <c r="AQ1461" s="76"/>
      <c r="AR1461" s="76"/>
      <c r="AS1461" s="76"/>
      <c r="AT1461" s="76"/>
      <c r="AU1461" s="76"/>
      <c r="AV1461" s="76"/>
      <c r="AW1461" s="76"/>
      <c r="AX1461" s="76"/>
      <c r="AY1461" s="76"/>
      <c r="AZ1461" s="76"/>
      <c r="BA1461" s="76"/>
      <c r="BB1461" s="76"/>
    </row>
    <row r="1462" spans="5:54" x14ac:dyDescent="0.35">
      <c r="E1462" s="83"/>
      <c r="F1462" s="83"/>
      <c r="G1462" s="76"/>
      <c r="H1462" s="76"/>
      <c r="I1462" s="76"/>
      <c r="J1462" s="76"/>
      <c r="K1462" s="76"/>
      <c r="L1462" s="76"/>
      <c r="M1462" s="76"/>
      <c r="N1462" s="76"/>
      <c r="O1462" s="76"/>
      <c r="P1462" s="76"/>
      <c r="Q1462" s="76"/>
      <c r="R1462" s="76"/>
      <c r="S1462" s="76"/>
      <c r="T1462" s="76"/>
      <c r="U1462" s="76"/>
      <c r="V1462" s="76"/>
      <c r="W1462" s="76"/>
      <c r="X1462" s="76"/>
      <c r="Y1462" s="76"/>
      <c r="Z1462" s="76"/>
      <c r="AA1462" s="76"/>
      <c r="AB1462" s="76"/>
      <c r="AC1462" s="76"/>
      <c r="AD1462" s="76"/>
      <c r="AE1462" s="76"/>
      <c r="AF1462" s="76"/>
      <c r="AG1462" s="76"/>
      <c r="AH1462" s="76"/>
      <c r="AI1462" s="76"/>
      <c r="AJ1462" s="76"/>
      <c r="AK1462" s="76"/>
      <c r="AL1462" s="76"/>
      <c r="AM1462" s="76"/>
      <c r="AN1462" s="76"/>
      <c r="AO1462" s="76"/>
      <c r="AP1462" s="76"/>
      <c r="AQ1462" s="76"/>
      <c r="AR1462" s="76"/>
      <c r="AS1462" s="76"/>
      <c r="AT1462" s="76"/>
      <c r="AU1462" s="76"/>
      <c r="AV1462" s="76"/>
      <c r="AW1462" s="76"/>
      <c r="AX1462" s="76"/>
      <c r="AY1462" s="76"/>
      <c r="AZ1462" s="76"/>
      <c r="BA1462" s="76"/>
      <c r="BB1462" s="76"/>
    </row>
    <row r="1463" spans="5:54" x14ac:dyDescent="0.35">
      <c r="E1463" s="83"/>
      <c r="F1463" s="83"/>
      <c r="G1463" s="76"/>
      <c r="H1463" s="76"/>
      <c r="I1463" s="76"/>
      <c r="J1463" s="76"/>
      <c r="K1463" s="76"/>
      <c r="L1463" s="76"/>
      <c r="M1463" s="76"/>
      <c r="N1463" s="76"/>
      <c r="O1463" s="76"/>
      <c r="P1463" s="76"/>
      <c r="Q1463" s="76"/>
      <c r="R1463" s="76"/>
      <c r="S1463" s="76"/>
      <c r="T1463" s="76"/>
      <c r="U1463" s="76"/>
      <c r="V1463" s="76"/>
      <c r="W1463" s="76"/>
      <c r="X1463" s="76"/>
      <c r="Y1463" s="76"/>
      <c r="Z1463" s="76"/>
      <c r="AA1463" s="76"/>
      <c r="AB1463" s="76"/>
      <c r="AC1463" s="76"/>
      <c r="AD1463" s="76"/>
      <c r="AE1463" s="76"/>
      <c r="AF1463" s="76"/>
      <c r="AG1463" s="76"/>
      <c r="AH1463" s="76"/>
      <c r="AI1463" s="76"/>
      <c r="AJ1463" s="76"/>
      <c r="AK1463" s="76"/>
      <c r="AL1463" s="76"/>
      <c r="AM1463" s="76"/>
      <c r="AN1463" s="76"/>
      <c r="AO1463" s="76"/>
      <c r="AP1463" s="76"/>
      <c r="AQ1463" s="76"/>
      <c r="AR1463" s="76"/>
      <c r="AS1463" s="76"/>
      <c r="AT1463" s="76"/>
      <c r="AU1463" s="76"/>
      <c r="AV1463" s="76"/>
      <c r="AW1463" s="76"/>
      <c r="AX1463" s="76"/>
      <c r="AY1463" s="76"/>
      <c r="AZ1463" s="76"/>
      <c r="BA1463" s="76"/>
      <c r="BB1463" s="76"/>
    </row>
    <row r="1464" spans="5:54" x14ac:dyDescent="0.35">
      <c r="E1464" s="83"/>
      <c r="F1464" s="83"/>
      <c r="G1464" s="76"/>
      <c r="H1464" s="76"/>
      <c r="I1464" s="76"/>
      <c r="J1464" s="76"/>
      <c r="K1464" s="76"/>
      <c r="L1464" s="76"/>
      <c r="M1464" s="76"/>
      <c r="N1464" s="76"/>
      <c r="O1464" s="76"/>
      <c r="P1464" s="76"/>
      <c r="Q1464" s="76"/>
      <c r="R1464" s="76"/>
      <c r="S1464" s="76"/>
      <c r="T1464" s="76"/>
      <c r="U1464" s="76"/>
      <c r="V1464" s="76"/>
      <c r="W1464" s="76"/>
      <c r="X1464" s="76"/>
      <c r="Y1464" s="76"/>
      <c r="Z1464" s="76"/>
      <c r="AA1464" s="76"/>
      <c r="AB1464" s="76"/>
      <c r="AC1464" s="76"/>
      <c r="AD1464" s="76"/>
      <c r="AE1464" s="76"/>
      <c r="AF1464" s="76"/>
      <c r="AG1464" s="76"/>
      <c r="AH1464" s="76"/>
      <c r="AI1464" s="76"/>
      <c r="AJ1464" s="76"/>
      <c r="AK1464" s="76"/>
      <c r="AL1464" s="76"/>
      <c r="AM1464" s="76"/>
      <c r="AN1464" s="76"/>
      <c r="AO1464" s="76"/>
      <c r="AP1464" s="76"/>
      <c r="AQ1464" s="76"/>
      <c r="AR1464" s="76"/>
      <c r="AS1464" s="76"/>
      <c r="AT1464" s="76"/>
      <c r="AU1464" s="76"/>
      <c r="AV1464" s="76"/>
      <c r="AW1464" s="76"/>
      <c r="AX1464" s="76"/>
      <c r="AY1464" s="76"/>
      <c r="AZ1464" s="76"/>
      <c r="BA1464" s="76"/>
      <c r="BB1464" s="76"/>
    </row>
    <row r="1465" spans="5:54" x14ac:dyDescent="0.35">
      <c r="E1465" s="83"/>
      <c r="F1465" s="83"/>
      <c r="G1465" s="76"/>
      <c r="H1465" s="76"/>
      <c r="I1465" s="76"/>
      <c r="J1465" s="76"/>
      <c r="K1465" s="76"/>
      <c r="L1465" s="76"/>
      <c r="M1465" s="76"/>
      <c r="N1465" s="76"/>
      <c r="O1465" s="76"/>
      <c r="P1465" s="76"/>
      <c r="Q1465" s="76"/>
      <c r="R1465" s="76"/>
      <c r="S1465" s="76"/>
      <c r="T1465" s="76"/>
      <c r="U1465" s="76"/>
      <c r="V1465" s="76"/>
      <c r="W1465" s="76"/>
      <c r="X1465" s="76"/>
      <c r="Y1465" s="76"/>
      <c r="Z1465" s="76"/>
      <c r="AA1465" s="76"/>
      <c r="AB1465" s="76"/>
      <c r="AC1465" s="76"/>
      <c r="AD1465" s="76"/>
      <c r="AE1465" s="76"/>
      <c r="AF1465" s="76"/>
      <c r="AG1465" s="76"/>
      <c r="AH1465" s="76"/>
      <c r="AI1465" s="76"/>
      <c r="AJ1465" s="76"/>
      <c r="AK1465" s="76"/>
      <c r="AL1465" s="76"/>
      <c r="AM1465" s="76"/>
      <c r="AN1465" s="76"/>
      <c r="AO1465" s="76"/>
      <c r="AP1465" s="76"/>
      <c r="AQ1465" s="76"/>
      <c r="AR1465" s="76"/>
      <c r="AS1465" s="76"/>
      <c r="AT1465" s="76"/>
      <c r="AU1465" s="76"/>
      <c r="AV1465" s="76"/>
      <c r="AW1465" s="76"/>
      <c r="AX1465" s="76"/>
      <c r="AY1465" s="76"/>
      <c r="AZ1465" s="76"/>
      <c r="BA1465" s="76"/>
      <c r="BB1465" s="76"/>
    </row>
    <row r="1466" spans="5:54" x14ac:dyDescent="0.35">
      <c r="E1466" s="83"/>
      <c r="F1466" s="83"/>
      <c r="G1466" s="76"/>
      <c r="H1466" s="76"/>
      <c r="I1466" s="76"/>
      <c r="J1466" s="76"/>
      <c r="K1466" s="76"/>
      <c r="L1466" s="76"/>
      <c r="M1466" s="76"/>
      <c r="N1466" s="76"/>
      <c r="O1466" s="76"/>
      <c r="P1466" s="76"/>
      <c r="Q1466" s="76"/>
      <c r="R1466" s="76"/>
      <c r="S1466" s="76"/>
      <c r="T1466" s="76"/>
      <c r="U1466" s="76"/>
      <c r="V1466" s="76"/>
      <c r="W1466" s="76"/>
      <c r="X1466" s="76"/>
      <c r="Y1466" s="76"/>
      <c r="Z1466" s="76"/>
      <c r="AA1466" s="76"/>
      <c r="AB1466" s="76"/>
      <c r="AC1466" s="76"/>
      <c r="AD1466" s="76"/>
      <c r="AE1466" s="76"/>
      <c r="AF1466" s="76"/>
      <c r="AG1466" s="76"/>
      <c r="AH1466" s="76"/>
      <c r="AI1466" s="76"/>
      <c r="AJ1466" s="76"/>
      <c r="AK1466" s="76"/>
      <c r="AL1466" s="76"/>
      <c r="AM1466" s="76"/>
      <c r="AN1466" s="76"/>
      <c r="AO1466" s="76"/>
      <c r="AP1466" s="76"/>
      <c r="AQ1466" s="76"/>
      <c r="AR1466" s="76"/>
      <c r="AS1466" s="76"/>
      <c r="AT1466" s="76"/>
      <c r="AU1466" s="76"/>
      <c r="AV1466" s="76"/>
      <c r="AW1466" s="76"/>
      <c r="AX1466" s="76"/>
      <c r="AY1466" s="76"/>
      <c r="AZ1466" s="76"/>
      <c r="BA1466" s="76"/>
      <c r="BB1466" s="76"/>
    </row>
    <row r="1467" spans="5:54" x14ac:dyDescent="0.35">
      <c r="E1467" s="83"/>
      <c r="F1467" s="83"/>
      <c r="G1467" s="76"/>
      <c r="H1467" s="76"/>
      <c r="I1467" s="76"/>
      <c r="J1467" s="76"/>
      <c r="K1467" s="76"/>
      <c r="L1467" s="76"/>
      <c r="M1467" s="76"/>
      <c r="N1467" s="76"/>
      <c r="O1467" s="76"/>
      <c r="P1467" s="76"/>
      <c r="Q1467" s="76"/>
      <c r="R1467" s="76"/>
      <c r="S1467" s="76"/>
      <c r="T1467" s="76"/>
      <c r="U1467" s="76"/>
      <c r="V1467" s="76"/>
      <c r="W1467" s="76"/>
      <c r="X1467" s="76"/>
      <c r="Y1467" s="76"/>
      <c r="Z1467" s="76"/>
      <c r="AA1467" s="76"/>
      <c r="AB1467" s="76"/>
      <c r="AC1467" s="76"/>
      <c r="AD1467" s="76"/>
      <c r="AE1467" s="76"/>
      <c r="AF1467" s="76"/>
      <c r="AG1467" s="76"/>
      <c r="AH1467" s="76"/>
      <c r="AI1467" s="76"/>
      <c r="AJ1467" s="76"/>
      <c r="AK1467" s="76"/>
      <c r="AL1467" s="76"/>
      <c r="AM1467" s="76"/>
      <c r="AN1467" s="76"/>
      <c r="AO1467" s="76"/>
      <c r="AP1467" s="76"/>
      <c r="AQ1467" s="76"/>
      <c r="AR1467" s="76"/>
      <c r="AS1467" s="76"/>
      <c r="AT1467" s="76"/>
      <c r="AU1467" s="76"/>
      <c r="AV1467" s="76"/>
      <c r="AW1467" s="76"/>
      <c r="AX1467" s="76"/>
      <c r="AY1467" s="76"/>
      <c r="AZ1467" s="76"/>
      <c r="BA1467" s="76"/>
      <c r="BB1467" s="76"/>
    </row>
    <row r="1468" spans="5:54" x14ac:dyDescent="0.35">
      <c r="E1468" s="83"/>
      <c r="F1468" s="83"/>
      <c r="G1468" s="76"/>
      <c r="H1468" s="76"/>
      <c r="I1468" s="76"/>
      <c r="J1468" s="76"/>
      <c r="K1468" s="76"/>
      <c r="L1468" s="76"/>
      <c r="M1468" s="76"/>
      <c r="N1468" s="76"/>
      <c r="O1468" s="76"/>
      <c r="P1468" s="76"/>
      <c r="Q1468" s="76"/>
      <c r="R1468" s="76"/>
      <c r="S1468" s="76"/>
      <c r="T1468" s="76"/>
      <c r="U1468" s="76"/>
      <c r="V1468" s="76"/>
      <c r="W1468" s="76"/>
      <c r="X1468" s="76"/>
      <c r="Y1468" s="76"/>
      <c r="Z1468" s="76"/>
      <c r="AA1468" s="76"/>
      <c r="AB1468" s="76"/>
      <c r="AC1468" s="76"/>
      <c r="AD1468" s="76"/>
      <c r="AE1468" s="76"/>
      <c r="AF1468" s="76"/>
      <c r="AG1468" s="76"/>
      <c r="AH1468" s="76"/>
      <c r="AI1468" s="76"/>
      <c r="AJ1468" s="76"/>
      <c r="AK1468" s="76"/>
      <c r="AL1468" s="76"/>
      <c r="AM1468" s="76"/>
      <c r="AN1468" s="76"/>
      <c r="AO1468" s="76"/>
      <c r="AP1468" s="76"/>
      <c r="AQ1468" s="76"/>
      <c r="AR1468" s="76"/>
      <c r="AS1468" s="76"/>
      <c r="AT1468" s="76"/>
      <c r="AU1468" s="76"/>
      <c r="AV1468" s="76"/>
      <c r="AW1468" s="76"/>
      <c r="AX1468" s="76"/>
      <c r="AY1468" s="76"/>
      <c r="AZ1468" s="76"/>
      <c r="BA1468" s="76"/>
      <c r="BB1468" s="76"/>
    </row>
    <row r="1469" spans="5:54" x14ac:dyDescent="0.35">
      <c r="E1469" s="83"/>
      <c r="F1469" s="83"/>
      <c r="G1469" s="76"/>
      <c r="H1469" s="76"/>
      <c r="I1469" s="76"/>
      <c r="J1469" s="76"/>
      <c r="K1469" s="76"/>
      <c r="L1469" s="76"/>
      <c r="M1469" s="76"/>
      <c r="N1469" s="76"/>
      <c r="O1469" s="76"/>
      <c r="P1469" s="76"/>
      <c r="Q1469" s="76"/>
      <c r="R1469" s="76"/>
      <c r="S1469" s="76"/>
      <c r="T1469" s="76"/>
      <c r="U1469" s="76"/>
      <c r="V1469" s="76"/>
      <c r="W1469" s="76"/>
      <c r="X1469" s="76"/>
      <c r="Y1469" s="76"/>
      <c r="Z1469" s="76"/>
      <c r="AA1469" s="76"/>
      <c r="AB1469" s="76"/>
      <c r="AC1469" s="76"/>
      <c r="AD1469" s="76"/>
      <c r="AE1469" s="76"/>
      <c r="AF1469" s="76"/>
      <c r="AG1469" s="76"/>
      <c r="AH1469" s="76"/>
      <c r="AI1469" s="76"/>
      <c r="AJ1469" s="76"/>
      <c r="AK1469" s="76"/>
      <c r="AL1469" s="76"/>
      <c r="AM1469" s="76"/>
      <c r="AN1469" s="76"/>
      <c r="AO1469" s="76"/>
      <c r="AP1469" s="76"/>
      <c r="AQ1469" s="76"/>
      <c r="AR1469" s="76"/>
      <c r="AS1469" s="76"/>
      <c r="AT1469" s="76"/>
      <c r="AU1469" s="76"/>
      <c r="AV1469" s="76"/>
      <c r="AW1469" s="76"/>
      <c r="AX1469" s="76"/>
      <c r="AY1469" s="76"/>
      <c r="AZ1469" s="76"/>
      <c r="BA1469" s="76"/>
      <c r="BB1469" s="76"/>
    </row>
    <row r="1470" spans="5:54" x14ac:dyDescent="0.35">
      <c r="E1470" s="83"/>
      <c r="F1470" s="83"/>
      <c r="G1470" s="76"/>
      <c r="H1470" s="76"/>
      <c r="I1470" s="76"/>
      <c r="J1470" s="76"/>
      <c r="K1470" s="76"/>
      <c r="L1470" s="76"/>
      <c r="M1470" s="76"/>
      <c r="N1470" s="76"/>
      <c r="O1470" s="76"/>
      <c r="P1470" s="76"/>
      <c r="Q1470" s="76"/>
      <c r="R1470" s="76"/>
      <c r="S1470" s="76"/>
      <c r="T1470" s="76"/>
      <c r="U1470" s="76"/>
      <c r="V1470" s="76"/>
      <c r="W1470" s="76"/>
      <c r="X1470" s="76"/>
      <c r="Y1470" s="76"/>
      <c r="Z1470" s="76"/>
      <c r="AA1470" s="76"/>
      <c r="AB1470" s="76"/>
      <c r="AC1470" s="76"/>
      <c r="AD1470" s="76"/>
      <c r="AE1470" s="76"/>
      <c r="AF1470" s="76"/>
      <c r="AG1470" s="76"/>
      <c r="AH1470" s="76"/>
      <c r="AI1470" s="76"/>
      <c r="AJ1470" s="76"/>
      <c r="AK1470" s="76"/>
      <c r="AL1470" s="76"/>
      <c r="AM1470" s="76"/>
      <c r="AN1470" s="76"/>
      <c r="AO1470" s="76"/>
      <c r="AP1470" s="76"/>
      <c r="AQ1470" s="76"/>
      <c r="AR1470" s="76"/>
      <c r="AS1470" s="76"/>
      <c r="AT1470" s="76"/>
      <c r="AU1470" s="76"/>
      <c r="AV1470" s="76"/>
      <c r="AW1470" s="76"/>
      <c r="AX1470" s="76"/>
      <c r="AY1470" s="76"/>
      <c r="AZ1470" s="76"/>
      <c r="BA1470" s="76"/>
      <c r="BB1470" s="76"/>
    </row>
    <row r="1471" spans="5:54" x14ac:dyDescent="0.35">
      <c r="E1471" s="83"/>
      <c r="F1471" s="83"/>
      <c r="G1471" s="76"/>
      <c r="H1471" s="76"/>
      <c r="I1471" s="76"/>
      <c r="J1471" s="76"/>
      <c r="K1471" s="76"/>
      <c r="L1471" s="76"/>
      <c r="M1471" s="76"/>
      <c r="N1471" s="76"/>
      <c r="O1471" s="76"/>
      <c r="P1471" s="76"/>
      <c r="Q1471" s="76"/>
      <c r="R1471" s="76"/>
      <c r="S1471" s="76"/>
      <c r="T1471" s="76"/>
      <c r="U1471" s="76"/>
      <c r="V1471" s="76"/>
      <c r="W1471" s="76"/>
      <c r="X1471" s="76"/>
      <c r="Y1471" s="76"/>
      <c r="Z1471" s="76"/>
      <c r="AA1471" s="76"/>
      <c r="AB1471" s="76"/>
      <c r="AC1471" s="76"/>
      <c r="AD1471" s="76"/>
      <c r="AE1471" s="76"/>
      <c r="AF1471" s="76"/>
      <c r="AG1471" s="76"/>
      <c r="AH1471" s="76"/>
      <c r="AI1471" s="76"/>
      <c r="AJ1471" s="76"/>
      <c r="AK1471" s="76"/>
      <c r="AL1471" s="76"/>
      <c r="AM1471" s="76"/>
      <c r="AN1471" s="76"/>
      <c r="AO1471" s="76"/>
      <c r="AP1471" s="76"/>
      <c r="AQ1471" s="76"/>
      <c r="AR1471" s="76"/>
      <c r="AS1471" s="76"/>
      <c r="AT1471" s="76"/>
      <c r="AU1471" s="76"/>
      <c r="AV1471" s="76"/>
      <c r="AW1471" s="76"/>
      <c r="AX1471" s="76"/>
      <c r="AY1471" s="76"/>
      <c r="AZ1471" s="76"/>
      <c r="BA1471" s="76"/>
      <c r="BB1471" s="76"/>
    </row>
    <row r="1472" spans="5:54" x14ac:dyDescent="0.35">
      <c r="E1472" s="83"/>
      <c r="F1472" s="83"/>
      <c r="G1472" s="76"/>
      <c r="H1472" s="76"/>
      <c r="I1472" s="76"/>
      <c r="J1472" s="76"/>
      <c r="K1472" s="76"/>
      <c r="L1472" s="76"/>
      <c r="M1472" s="76"/>
      <c r="N1472" s="76"/>
      <c r="O1472" s="76"/>
      <c r="P1472" s="76"/>
      <c r="Q1472" s="76"/>
      <c r="R1472" s="76"/>
      <c r="S1472" s="76"/>
      <c r="T1472" s="76"/>
      <c r="U1472" s="76"/>
      <c r="V1472" s="76"/>
      <c r="W1472" s="76"/>
      <c r="X1472" s="76"/>
      <c r="Y1472" s="76"/>
      <c r="Z1472" s="76"/>
      <c r="AA1472" s="76"/>
      <c r="AB1472" s="76"/>
      <c r="AC1472" s="76"/>
      <c r="AD1472" s="76"/>
      <c r="AE1472" s="76"/>
      <c r="AF1472" s="76"/>
      <c r="AG1472" s="76"/>
      <c r="AH1472" s="76"/>
      <c r="AI1472" s="76"/>
      <c r="AJ1472" s="76"/>
      <c r="AK1472" s="76"/>
      <c r="AL1472" s="76"/>
      <c r="AM1472" s="76"/>
      <c r="AN1472" s="76"/>
      <c r="AO1472" s="76"/>
      <c r="AP1472" s="76"/>
      <c r="AQ1472" s="76"/>
      <c r="AR1472" s="76"/>
      <c r="AS1472" s="76"/>
      <c r="AT1472" s="76"/>
      <c r="AU1472" s="76"/>
      <c r="AV1472" s="76"/>
      <c r="AW1472" s="76"/>
      <c r="AX1472" s="76"/>
      <c r="AY1472" s="76"/>
      <c r="AZ1472" s="76"/>
      <c r="BA1472" s="76"/>
      <c r="BB1472" s="76"/>
    </row>
    <row r="1473" spans="5:54" x14ac:dyDescent="0.35">
      <c r="E1473" s="83"/>
      <c r="F1473" s="83"/>
      <c r="G1473" s="76"/>
      <c r="H1473" s="76"/>
      <c r="I1473" s="76"/>
      <c r="J1473" s="76"/>
      <c r="K1473" s="76"/>
      <c r="L1473" s="76"/>
      <c r="M1473" s="76"/>
      <c r="N1473" s="76"/>
      <c r="O1473" s="76"/>
      <c r="P1473" s="76"/>
      <c r="Q1473" s="76"/>
      <c r="R1473" s="76"/>
      <c r="S1473" s="76"/>
      <c r="T1473" s="76"/>
      <c r="U1473" s="76"/>
      <c r="V1473" s="76"/>
      <c r="W1473" s="76"/>
      <c r="X1473" s="76"/>
      <c r="Y1473" s="76"/>
      <c r="Z1473" s="76"/>
      <c r="AA1473" s="76"/>
      <c r="AB1473" s="76"/>
      <c r="AC1473" s="76"/>
      <c r="AD1473" s="76"/>
      <c r="AE1473" s="76"/>
      <c r="AF1473" s="76"/>
      <c r="AG1473" s="76"/>
      <c r="AH1473" s="76"/>
      <c r="AI1473" s="76"/>
      <c r="AJ1473" s="76"/>
      <c r="AK1473" s="76"/>
      <c r="AL1473" s="76"/>
      <c r="AM1473" s="76"/>
      <c r="AN1473" s="76"/>
      <c r="AO1473" s="76"/>
      <c r="AP1473" s="76"/>
      <c r="AQ1473" s="76"/>
      <c r="AR1473" s="76"/>
      <c r="AS1473" s="76"/>
      <c r="AT1473" s="76"/>
      <c r="AU1473" s="76"/>
      <c r="AV1473" s="76"/>
      <c r="AW1473" s="76"/>
      <c r="AX1473" s="76"/>
      <c r="AY1473" s="76"/>
      <c r="AZ1473" s="76"/>
      <c r="BA1473" s="76"/>
      <c r="BB1473" s="76"/>
    </row>
    <row r="1474" spans="5:54" x14ac:dyDescent="0.35">
      <c r="E1474" s="83"/>
      <c r="F1474" s="83"/>
      <c r="G1474" s="76"/>
      <c r="H1474" s="76"/>
      <c r="I1474" s="76"/>
      <c r="J1474" s="76"/>
      <c r="K1474" s="76"/>
      <c r="L1474" s="76"/>
      <c r="M1474" s="76"/>
      <c r="N1474" s="76"/>
      <c r="O1474" s="76"/>
      <c r="P1474" s="76"/>
      <c r="Q1474" s="76"/>
      <c r="R1474" s="76"/>
      <c r="S1474" s="76"/>
      <c r="T1474" s="76"/>
      <c r="U1474" s="76"/>
      <c r="V1474" s="76"/>
      <c r="W1474" s="76"/>
      <c r="X1474" s="76"/>
      <c r="Y1474" s="76"/>
      <c r="Z1474" s="76"/>
      <c r="AA1474" s="76"/>
      <c r="AB1474" s="76"/>
      <c r="AC1474" s="76"/>
      <c r="AD1474" s="76"/>
      <c r="AE1474" s="76"/>
      <c r="AF1474" s="76"/>
      <c r="AG1474" s="76"/>
      <c r="AH1474" s="76"/>
      <c r="AI1474" s="76"/>
      <c r="AJ1474" s="76"/>
      <c r="AK1474" s="76"/>
      <c r="AL1474" s="76"/>
      <c r="AM1474" s="76"/>
      <c r="AN1474" s="76"/>
      <c r="AO1474" s="76"/>
      <c r="AP1474" s="76"/>
      <c r="AQ1474" s="76"/>
      <c r="AR1474" s="76"/>
      <c r="AS1474" s="76"/>
      <c r="AT1474" s="76"/>
      <c r="AU1474" s="76"/>
      <c r="AV1474" s="76"/>
      <c r="AW1474" s="76"/>
      <c r="AX1474" s="76"/>
      <c r="AY1474" s="76"/>
      <c r="AZ1474" s="76"/>
      <c r="BA1474" s="76"/>
      <c r="BB1474" s="76"/>
    </row>
    <row r="1475" spans="5:54" x14ac:dyDescent="0.35">
      <c r="E1475" s="83"/>
      <c r="F1475" s="83"/>
      <c r="G1475" s="76"/>
      <c r="H1475" s="76"/>
      <c r="I1475" s="76"/>
      <c r="J1475" s="76"/>
      <c r="K1475" s="76"/>
      <c r="L1475" s="76"/>
      <c r="M1475" s="76"/>
      <c r="N1475" s="76"/>
      <c r="O1475" s="76"/>
      <c r="P1475" s="76"/>
      <c r="Q1475" s="76"/>
      <c r="R1475" s="76"/>
      <c r="S1475" s="76"/>
      <c r="T1475" s="76"/>
      <c r="U1475" s="76"/>
      <c r="V1475" s="76"/>
      <c r="W1475" s="76"/>
      <c r="X1475" s="76"/>
      <c r="Y1475" s="76"/>
      <c r="Z1475" s="76"/>
      <c r="AA1475" s="76"/>
      <c r="AB1475" s="76"/>
      <c r="AC1475" s="76"/>
      <c r="AD1475" s="76"/>
      <c r="AE1475" s="76"/>
      <c r="AF1475" s="76"/>
      <c r="AG1475" s="76"/>
      <c r="AH1475" s="76"/>
      <c r="AI1475" s="76"/>
      <c r="AJ1475" s="76"/>
      <c r="AK1475" s="76"/>
      <c r="AL1475" s="76"/>
      <c r="AM1475" s="76"/>
      <c r="AN1475" s="76"/>
      <c r="AO1475" s="76"/>
      <c r="AP1475" s="76"/>
      <c r="AQ1475" s="76"/>
      <c r="AR1475" s="76"/>
      <c r="AS1475" s="76"/>
      <c r="AT1475" s="76"/>
      <c r="AU1475" s="76"/>
      <c r="AV1475" s="76"/>
      <c r="AW1475" s="76"/>
      <c r="AX1475" s="76"/>
      <c r="AY1475" s="76"/>
      <c r="AZ1475" s="76"/>
      <c r="BA1475" s="76"/>
      <c r="BB1475" s="76"/>
    </row>
    <row r="1476" spans="5:54" x14ac:dyDescent="0.35">
      <c r="E1476" s="83"/>
      <c r="F1476" s="83"/>
      <c r="G1476" s="76"/>
      <c r="H1476" s="76"/>
      <c r="I1476" s="76"/>
      <c r="J1476" s="76"/>
      <c r="K1476" s="76"/>
      <c r="L1476" s="76"/>
      <c r="M1476" s="76"/>
      <c r="N1476" s="76"/>
      <c r="O1476" s="76"/>
      <c r="P1476" s="76"/>
      <c r="Q1476" s="76"/>
      <c r="R1476" s="76"/>
      <c r="S1476" s="76"/>
      <c r="T1476" s="76"/>
      <c r="U1476" s="76"/>
      <c r="V1476" s="76"/>
      <c r="W1476" s="76"/>
      <c r="X1476" s="76"/>
      <c r="Y1476" s="76"/>
      <c r="Z1476" s="76"/>
      <c r="AA1476" s="76"/>
      <c r="AB1476" s="76"/>
      <c r="AC1476" s="76"/>
      <c r="AD1476" s="76"/>
      <c r="AE1476" s="76"/>
      <c r="AF1476" s="76"/>
      <c r="AG1476" s="76"/>
      <c r="AH1476" s="76"/>
      <c r="AI1476" s="76"/>
      <c r="AJ1476" s="76"/>
      <c r="AK1476" s="76"/>
      <c r="AL1476" s="76"/>
      <c r="AM1476" s="76"/>
      <c r="AN1476" s="76"/>
      <c r="AO1476" s="76"/>
      <c r="AP1476" s="76"/>
      <c r="AQ1476" s="76"/>
      <c r="AR1476" s="76"/>
      <c r="AS1476" s="76"/>
      <c r="AT1476" s="76"/>
      <c r="AU1476" s="76"/>
      <c r="AV1476" s="76"/>
      <c r="AW1476" s="76"/>
      <c r="AX1476" s="76"/>
      <c r="AY1476" s="76"/>
      <c r="AZ1476" s="76"/>
      <c r="BA1476" s="76"/>
      <c r="BB1476" s="76"/>
    </row>
    <row r="1477" spans="5:54" x14ac:dyDescent="0.35">
      <c r="E1477" s="83"/>
      <c r="F1477" s="83"/>
      <c r="G1477" s="76"/>
      <c r="H1477" s="76"/>
      <c r="I1477" s="76"/>
      <c r="J1477" s="76"/>
      <c r="K1477" s="76"/>
      <c r="L1477" s="76"/>
      <c r="M1477" s="76"/>
      <c r="N1477" s="76"/>
      <c r="O1477" s="76"/>
      <c r="P1477" s="76"/>
      <c r="Q1477" s="76"/>
      <c r="R1477" s="76"/>
      <c r="S1477" s="76"/>
      <c r="T1477" s="76"/>
      <c r="U1477" s="76"/>
      <c r="V1477" s="76"/>
      <c r="W1477" s="76"/>
      <c r="X1477" s="76"/>
      <c r="Y1477" s="76"/>
      <c r="Z1477" s="76"/>
      <c r="AA1477" s="76"/>
      <c r="AB1477" s="76"/>
      <c r="AC1477" s="76"/>
      <c r="AD1477" s="76"/>
      <c r="AE1477" s="76"/>
      <c r="AF1477" s="76"/>
      <c r="AG1477" s="76"/>
      <c r="AH1477" s="76"/>
      <c r="AI1477" s="76"/>
      <c r="AJ1477" s="76"/>
      <c r="AK1477" s="76"/>
      <c r="AL1477" s="76"/>
      <c r="AM1477" s="76"/>
      <c r="AN1477" s="76"/>
      <c r="AO1477" s="76"/>
      <c r="AP1477" s="76"/>
      <c r="AQ1477" s="76"/>
      <c r="AR1477" s="76"/>
      <c r="AS1477" s="76"/>
      <c r="AT1477" s="76"/>
      <c r="AU1477" s="76"/>
      <c r="AV1477" s="76"/>
      <c r="AW1477" s="76"/>
      <c r="AX1477" s="76"/>
      <c r="AY1477" s="76"/>
      <c r="AZ1477" s="76"/>
      <c r="BA1477" s="76"/>
      <c r="BB1477" s="76"/>
    </row>
    <row r="1478" spans="5:54" x14ac:dyDescent="0.35">
      <c r="E1478" s="83"/>
      <c r="F1478" s="83"/>
      <c r="G1478" s="76"/>
      <c r="H1478" s="76"/>
      <c r="I1478" s="76"/>
      <c r="J1478" s="76"/>
      <c r="K1478" s="76"/>
      <c r="L1478" s="76"/>
      <c r="M1478" s="76"/>
      <c r="N1478" s="76"/>
      <c r="O1478" s="76"/>
      <c r="P1478" s="76"/>
      <c r="Q1478" s="76"/>
      <c r="R1478" s="76"/>
      <c r="S1478" s="76"/>
      <c r="T1478" s="76"/>
      <c r="U1478" s="76"/>
      <c r="V1478" s="76"/>
      <c r="W1478" s="76"/>
      <c r="X1478" s="76"/>
      <c r="Y1478" s="76"/>
      <c r="Z1478" s="76"/>
      <c r="AA1478" s="76"/>
      <c r="AB1478" s="76"/>
      <c r="AC1478" s="76"/>
      <c r="AD1478" s="76"/>
      <c r="AE1478" s="76"/>
      <c r="AF1478" s="76"/>
      <c r="AG1478" s="76"/>
      <c r="AH1478" s="76"/>
      <c r="AI1478" s="76"/>
      <c r="AJ1478" s="76"/>
      <c r="AK1478" s="76"/>
      <c r="AL1478" s="76"/>
      <c r="AM1478" s="76"/>
      <c r="AN1478" s="76"/>
      <c r="AO1478" s="76"/>
      <c r="AP1478" s="76"/>
      <c r="AQ1478" s="76"/>
      <c r="AR1478" s="76"/>
      <c r="AS1478" s="76"/>
      <c r="AT1478" s="76"/>
      <c r="AU1478" s="76"/>
      <c r="AV1478" s="76"/>
      <c r="AW1478" s="76"/>
      <c r="AX1478" s="76"/>
      <c r="AY1478" s="76"/>
      <c r="AZ1478" s="76"/>
      <c r="BA1478" s="76"/>
      <c r="BB1478" s="76"/>
    </row>
    <row r="1479" spans="5:54" x14ac:dyDescent="0.35">
      <c r="E1479" s="83"/>
      <c r="F1479" s="83"/>
      <c r="G1479" s="76"/>
      <c r="H1479" s="76"/>
      <c r="I1479" s="76"/>
      <c r="J1479" s="76"/>
      <c r="K1479" s="76"/>
      <c r="L1479" s="76"/>
      <c r="M1479" s="76"/>
      <c r="N1479" s="76"/>
      <c r="O1479" s="76"/>
      <c r="P1479" s="76"/>
      <c r="Q1479" s="76"/>
      <c r="R1479" s="76"/>
      <c r="S1479" s="76"/>
      <c r="T1479" s="76"/>
      <c r="U1479" s="76"/>
      <c r="V1479" s="76"/>
      <c r="W1479" s="76"/>
      <c r="X1479" s="76"/>
      <c r="Y1479" s="76"/>
      <c r="Z1479" s="76"/>
      <c r="AA1479" s="76"/>
      <c r="AB1479" s="76"/>
      <c r="AC1479" s="76"/>
      <c r="AD1479" s="76"/>
      <c r="AE1479" s="76"/>
      <c r="AF1479" s="76"/>
      <c r="AG1479" s="76"/>
      <c r="AH1479" s="76"/>
      <c r="AI1479" s="76"/>
      <c r="AJ1479" s="76"/>
      <c r="AK1479" s="76"/>
      <c r="AL1479" s="76"/>
      <c r="AM1479" s="76"/>
      <c r="AN1479" s="76"/>
      <c r="AO1479" s="76"/>
      <c r="AP1479" s="76"/>
      <c r="AQ1479" s="76"/>
      <c r="AR1479" s="76"/>
      <c r="AS1479" s="76"/>
      <c r="AT1479" s="76"/>
      <c r="AU1479" s="76"/>
      <c r="AV1479" s="76"/>
      <c r="AW1479" s="76"/>
      <c r="AX1479" s="76"/>
      <c r="AY1479" s="76"/>
      <c r="AZ1479" s="76"/>
      <c r="BA1479" s="76"/>
      <c r="BB1479" s="76"/>
    </row>
    <row r="1480" spans="5:54" x14ac:dyDescent="0.35">
      <c r="E1480" s="83"/>
      <c r="F1480" s="83"/>
      <c r="G1480" s="76"/>
      <c r="H1480" s="76"/>
      <c r="I1480" s="76"/>
      <c r="J1480" s="76"/>
      <c r="K1480" s="76"/>
      <c r="L1480" s="76"/>
      <c r="M1480" s="76"/>
      <c r="N1480" s="76"/>
      <c r="O1480" s="76"/>
      <c r="P1480" s="76"/>
      <c r="Q1480" s="76"/>
      <c r="R1480" s="76"/>
      <c r="S1480" s="76"/>
      <c r="T1480" s="76"/>
      <c r="U1480" s="76"/>
      <c r="V1480" s="76"/>
      <c r="W1480" s="76"/>
      <c r="X1480" s="76"/>
      <c r="Y1480" s="76"/>
      <c r="Z1480" s="76"/>
      <c r="AA1480" s="76"/>
      <c r="AB1480" s="76"/>
      <c r="AC1480" s="76"/>
      <c r="AD1480" s="76"/>
      <c r="AE1480" s="76"/>
      <c r="AF1480" s="76"/>
      <c r="AG1480" s="76"/>
      <c r="AH1480" s="76"/>
      <c r="AI1480" s="76"/>
      <c r="AJ1480" s="76"/>
      <c r="AK1480" s="76"/>
      <c r="AL1480" s="76"/>
      <c r="AM1480" s="76"/>
      <c r="AN1480" s="76"/>
      <c r="AO1480" s="76"/>
      <c r="AP1480" s="76"/>
      <c r="AQ1480" s="76"/>
      <c r="AR1480" s="76"/>
      <c r="AS1480" s="76"/>
      <c r="AT1480" s="76"/>
      <c r="AU1480" s="76"/>
      <c r="AV1480" s="76"/>
      <c r="AW1480" s="76"/>
      <c r="AX1480" s="76"/>
      <c r="AY1480" s="76"/>
      <c r="AZ1480" s="76"/>
      <c r="BA1480" s="76"/>
      <c r="BB1480" s="76"/>
    </row>
    <row r="1481" spans="5:54" x14ac:dyDescent="0.35">
      <c r="E1481" s="83"/>
      <c r="F1481" s="83"/>
      <c r="G1481" s="76"/>
      <c r="H1481" s="76"/>
      <c r="I1481" s="76"/>
      <c r="J1481" s="76"/>
      <c r="K1481" s="76"/>
      <c r="L1481" s="76"/>
      <c r="M1481" s="76"/>
      <c r="N1481" s="76"/>
      <c r="O1481" s="76"/>
      <c r="P1481" s="76"/>
      <c r="Q1481" s="76"/>
      <c r="R1481" s="76"/>
      <c r="S1481" s="76"/>
      <c r="T1481" s="76"/>
      <c r="U1481" s="76"/>
      <c r="V1481" s="76"/>
      <c r="W1481" s="76"/>
      <c r="X1481" s="76"/>
      <c r="Y1481" s="76"/>
      <c r="Z1481" s="76"/>
      <c r="AA1481" s="76"/>
      <c r="AB1481" s="76"/>
      <c r="AC1481" s="76"/>
      <c r="AD1481" s="76"/>
      <c r="AE1481" s="76"/>
      <c r="AF1481" s="76"/>
      <c r="AG1481" s="76"/>
      <c r="AH1481" s="76"/>
      <c r="AI1481" s="76"/>
      <c r="AJ1481" s="76"/>
      <c r="AK1481" s="76"/>
      <c r="AL1481" s="76"/>
      <c r="AM1481" s="76"/>
      <c r="AN1481" s="76"/>
      <c r="AO1481" s="76"/>
      <c r="AP1481" s="76"/>
      <c r="AQ1481" s="76"/>
      <c r="AR1481" s="76"/>
      <c r="AS1481" s="76"/>
      <c r="AT1481" s="76"/>
      <c r="AU1481" s="76"/>
      <c r="AV1481" s="76"/>
      <c r="AW1481" s="76"/>
      <c r="AX1481" s="76"/>
      <c r="AY1481" s="76"/>
      <c r="AZ1481" s="76"/>
      <c r="BA1481" s="76"/>
      <c r="BB1481" s="76"/>
    </row>
    <row r="1482" spans="5:54" x14ac:dyDescent="0.35">
      <c r="E1482" s="83"/>
      <c r="F1482" s="83"/>
      <c r="G1482" s="76"/>
      <c r="H1482" s="76"/>
      <c r="I1482" s="76"/>
      <c r="J1482" s="76"/>
      <c r="K1482" s="76"/>
      <c r="L1482" s="76"/>
      <c r="M1482" s="76"/>
      <c r="N1482" s="76"/>
      <c r="O1482" s="76"/>
      <c r="P1482" s="76"/>
      <c r="Q1482" s="76"/>
      <c r="R1482" s="76"/>
      <c r="S1482" s="76"/>
      <c r="T1482" s="76"/>
      <c r="U1482" s="76"/>
      <c r="V1482" s="76"/>
      <c r="W1482" s="76"/>
      <c r="X1482" s="76"/>
      <c r="Y1482" s="76"/>
      <c r="Z1482" s="76"/>
      <c r="AA1482" s="76"/>
      <c r="AB1482" s="76"/>
      <c r="AC1482" s="76"/>
      <c r="AD1482" s="76"/>
      <c r="AE1482" s="76"/>
      <c r="AF1482" s="76"/>
      <c r="AG1482" s="76"/>
      <c r="AH1482" s="76"/>
      <c r="AI1482" s="76"/>
      <c r="AJ1482" s="76"/>
      <c r="AK1482" s="76"/>
      <c r="AL1482" s="76"/>
      <c r="AM1482" s="76"/>
      <c r="AN1482" s="76"/>
      <c r="AO1482" s="76"/>
      <c r="AP1482" s="76"/>
      <c r="AQ1482" s="76"/>
      <c r="AR1482" s="76"/>
      <c r="AS1482" s="76"/>
      <c r="AT1482" s="76"/>
      <c r="AU1482" s="76"/>
      <c r="AV1482" s="76"/>
      <c r="AW1482" s="76"/>
      <c r="AX1482" s="76"/>
      <c r="AY1482" s="76"/>
      <c r="AZ1482" s="76"/>
      <c r="BA1482" s="76"/>
      <c r="BB1482" s="76"/>
    </row>
    <row r="1483" spans="5:54" x14ac:dyDescent="0.35">
      <c r="E1483" s="83"/>
      <c r="F1483" s="83"/>
      <c r="G1483" s="76"/>
      <c r="H1483" s="76"/>
      <c r="I1483" s="76"/>
      <c r="J1483" s="76"/>
      <c r="K1483" s="76"/>
      <c r="L1483" s="76"/>
      <c r="M1483" s="76"/>
      <c r="N1483" s="76"/>
      <c r="O1483" s="76"/>
      <c r="P1483" s="76"/>
      <c r="Q1483" s="76"/>
      <c r="R1483" s="76"/>
      <c r="S1483" s="76"/>
      <c r="T1483" s="76"/>
      <c r="U1483" s="76"/>
      <c r="V1483" s="76"/>
      <c r="W1483" s="76"/>
      <c r="X1483" s="76"/>
      <c r="Y1483" s="76"/>
      <c r="Z1483" s="76"/>
      <c r="AA1483" s="76"/>
      <c r="AB1483" s="76"/>
      <c r="AC1483" s="76"/>
      <c r="AD1483" s="76"/>
      <c r="AE1483" s="76"/>
      <c r="AF1483" s="76"/>
      <c r="AG1483" s="76"/>
      <c r="AH1483" s="76"/>
      <c r="AI1483" s="76"/>
      <c r="AJ1483" s="76"/>
      <c r="AK1483" s="76"/>
      <c r="AL1483" s="76"/>
      <c r="AM1483" s="76"/>
      <c r="AN1483" s="76"/>
      <c r="AO1483" s="76"/>
      <c r="AP1483" s="76"/>
      <c r="AQ1483" s="76"/>
      <c r="AR1483" s="76"/>
      <c r="AS1483" s="76"/>
      <c r="AT1483" s="76"/>
      <c r="AU1483" s="76"/>
      <c r="AV1483" s="76"/>
      <c r="AW1483" s="76"/>
      <c r="AX1483" s="76"/>
      <c r="AY1483" s="76"/>
      <c r="AZ1483" s="76"/>
      <c r="BA1483" s="76"/>
      <c r="BB1483" s="76"/>
    </row>
    <row r="1484" spans="5:54" x14ac:dyDescent="0.35">
      <c r="E1484" s="83"/>
      <c r="F1484" s="83"/>
      <c r="G1484" s="76"/>
      <c r="H1484" s="76"/>
      <c r="I1484" s="76"/>
      <c r="J1484" s="76"/>
      <c r="K1484" s="76"/>
      <c r="L1484" s="76"/>
      <c r="M1484" s="76"/>
      <c r="N1484" s="76"/>
      <c r="O1484" s="76"/>
      <c r="P1484" s="76"/>
      <c r="Q1484" s="76"/>
      <c r="R1484" s="76"/>
      <c r="S1484" s="76"/>
      <c r="T1484" s="76"/>
      <c r="U1484" s="76"/>
      <c r="V1484" s="76"/>
      <c r="W1484" s="76"/>
      <c r="X1484" s="76"/>
      <c r="Y1484" s="76"/>
      <c r="Z1484" s="76"/>
      <c r="AA1484" s="76"/>
      <c r="AB1484" s="76"/>
      <c r="AC1484" s="76"/>
      <c r="AD1484" s="76"/>
      <c r="AE1484" s="76"/>
      <c r="AF1484" s="76"/>
      <c r="AG1484" s="76"/>
      <c r="AH1484" s="76"/>
      <c r="AI1484" s="76"/>
      <c r="AJ1484" s="76"/>
      <c r="AK1484" s="76"/>
      <c r="AL1484" s="76"/>
      <c r="AM1484" s="76"/>
      <c r="AN1484" s="76"/>
      <c r="AO1484" s="76"/>
      <c r="AP1484" s="76"/>
      <c r="AQ1484" s="76"/>
      <c r="AR1484" s="76"/>
      <c r="AS1484" s="76"/>
      <c r="AT1484" s="76"/>
      <c r="AU1484" s="76"/>
      <c r="AV1484" s="76"/>
      <c r="AW1484" s="76"/>
      <c r="AX1484" s="76"/>
      <c r="AY1484" s="76"/>
      <c r="AZ1484" s="76"/>
      <c r="BA1484" s="76"/>
      <c r="BB1484" s="76"/>
    </row>
    <row r="1485" spans="5:54" x14ac:dyDescent="0.35">
      <c r="E1485" s="83"/>
      <c r="F1485" s="83"/>
      <c r="G1485" s="76"/>
      <c r="H1485" s="76"/>
      <c r="I1485" s="76"/>
      <c r="J1485" s="76"/>
      <c r="K1485" s="76"/>
      <c r="L1485" s="76"/>
      <c r="M1485" s="76"/>
      <c r="N1485" s="76"/>
      <c r="O1485" s="76"/>
      <c r="P1485" s="76"/>
      <c r="Q1485" s="76"/>
      <c r="R1485" s="76"/>
      <c r="S1485" s="76"/>
      <c r="T1485" s="76"/>
      <c r="U1485" s="76"/>
      <c r="V1485" s="76"/>
      <c r="W1485" s="76"/>
      <c r="X1485" s="76"/>
      <c r="Y1485" s="76"/>
      <c r="Z1485" s="76"/>
      <c r="AA1485" s="76"/>
      <c r="AB1485" s="76"/>
      <c r="AC1485" s="76"/>
      <c r="AD1485" s="76"/>
      <c r="AE1485" s="76"/>
      <c r="AF1485" s="76"/>
      <c r="AG1485" s="76"/>
      <c r="AH1485" s="76"/>
      <c r="AI1485" s="76"/>
      <c r="AJ1485" s="76"/>
      <c r="AK1485" s="76"/>
      <c r="AL1485" s="76"/>
      <c r="AM1485" s="76"/>
      <c r="AN1485" s="76"/>
      <c r="AO1485" s="76"/>
      <c r="AP1485" s="76"/>
      <c r="AQ1485" s="76"/>
      <c r="AR1485" s="76"/>
      <c r="AS1485" s="76"/>
      <c r="AT1485" s="76"/>
      <c r="AU1485" s="76"/>
      <c r="AV1485" s="76"/>
      <c r="AW1485" s="76"/>
      <c r="AX1485" s="76"/>
      <c r="AY1485" s="76"/>
      <c r="AZ1485" s="76"/>
      <c r="BA1485" s="76"/>
      <c r="BB1485" s="76"/>
    </row>
    <row r="1486" spans="5:54" x14ac:dyDescent="0.35">
      <c r="E1486" s="83"/>
      <c r="F1486" s="83"/>
      <c r="G1486" s="76"/>
      <c r="H1486" s="76"/>
      <c r="I1486" s="76"/>
      <c r="J1486" s="76"/>
      <c r="K1486" s="76"/>
      <c r="L1486" s="76"/>
      <c r="M1486" s="76"/>
      <c r="N1486" s="76"/>
      <c r="O1486" s="76"/>
      <c r="P1486" s="76"/>
      <c r="Q1486" s="76"/>
      <c r="R1486" s="76"/>
      <c r="S1486" s="76"/>
      <c r="T1486" s="76"/>
      <c r="U1486" s="76"/>
      <c r="V1486" s="76"/>
      <c r="W1486" s="76"/>
      <c r="X1486" s="76"/>
      <c r="Y1486" s="76"/>
      <c r="Z1486" s="76"/>
      <c r="AA1486" s="76"/>
      <c r="AB1486" s="76"/>
      <c r="AC1486" s="76"/>
      <c r="AD1486" s="76"/>
      <c r="AE1486" s="76"/>
      <c r="AF1486" s="76"/>
      <c r="AG1486" s="76"/>
      <c r="AH1486" s="76"/>
      <c r="AI1486" s="76"/>
      <c r="AJ1486" s="76"/>
      <c r="AK1486" s="76"/>
      <c r="AL1486" s="76"/>
      <c r="AM1486" s="76"/>
      <c r="AN1486" s="76"/>
      <c r="AO1486" s="76"/>
      <c r="AP1486" s="76"/>
      <c r="AQ1486" s="76"/>
      <c r="AR1486" s="76"/>
      <c r="AS1486" s="76"/>
      <c r="AT1486" s="76"/>
      <c r="AU1486" s="76"/>
      <c r="AV1486" s="76"/>
      <c r="AW1486" s="76"/>
      <c r="AX1486" s="76"/>
      <c r="AY1486" s="76"/>
      <c r="AZ1486" s="76"/>
      <c r="BA1486" s="76"/>
      <c r="BB1486" s="76"/>
    </row>
    <row r="1487" spans="5:54" x14ac:dyDescent="0.35">
      <c r="E1487" s="83"/>
      <c r="F1487" s="83"/>
      <c r="G1487" s="76"/>
      <c r="H1487" s="76"/>
      <c r="I1487" s="76"/>
      <c r="J1487" s="76"/>
      <c r="K1487" s="76"/>
      <c r="L1487" s="76"/>
      <c r="M1487" s="76"/>
      <c r="N1487" s="76"/>
      <c r="O1487" s="76"/>
      <c r="P1487" s="76"/>
      <c r="Q1487" s="76"/>
      <c r="R1487" s="76"/>
      <c r="S1487" s="76"/>
      <c r="T1487" s="76"/>
      <c r="U1487" s="76"/>
      <c r="V1487" s="76"/>
      <c r="W1487" s="76"/>
      <c r="X1487" s="76"/>
      <c r="Y1487" s="76"/>
      <c r="Z1487" s="76"/>
      <c r="AA1487" s="76"/>
      <c r="AB1487" s="76"/>
      <c r="AC1487" s="76"/>
      <c r="AD1487" s="76"/>
      <c r="AE1487" s="76"/>
      <c r="AF1487" s="76"/>
      <c r="AG1487" s="76"/>
      <c r="AH1487" s="76"/>
      <c r="AI1487" s="76"/>
      <c r="AJ1487" s="76"/>
      <c r="AK1487" s="76"/>
      <c r="AL1487" s="76"/>
      <c r="AM1487" s="76"/>
      <c r="AN1487" s="76"/>
      <c r="AO1487" s="76"/>
      <c r="AP1487" s="76"/>
      <c r="AQ1487" s="76"/>
      <c r="AR1487" s="76"/>
      <c r="AS1487" s="76"/>
      <c r="AT1487" s="76"/>
      <c r="AU1487" s="76"/>
      <c r="AV1487" s="76"/>
      <c r="AW1487" s="76"/>
      <c r="AX1487" s="76"/>
      <c r="AY1487" s="76"/>
      <c r="AZ1487" s="76"/>
      <c r="BA1487" s="76"/>
      <c r="BB1487" s="76"/>
    </row>
    <row r="1488" spans="5:54" x14ac:dyDescent="0.35">
      <c r="E1488" s="83"/>
      <c r="F1488" s="83"/>
      <c r="G1488" s="76"/>
      <c r="H1488" s="76"/>
      <c r="I1488" s="76"/>
      <c r="J1488" s="76"/>
      <c r="K1488" s="76"/>
      <c r="L1488" s="76"/>
      <c r="M1488" s="76"/>
      <c r="N1488" s="76"/>
      <c r="O1488" s="76"/>
      <c r="P1488" s="76"/>
      <c r="Q1488" s="76"/>
      <c r="R1488" s="76"/>
      <c r="S1488" s="76"/>
      <c r="T1488" s="76"/>
      <c r="U1488" s="76"/>
      <c r="V1488" s="76"/>
      <c r="W1488" s="76"/>
      <c r="X1488" s="76"/>
      <c r="Y1488" s="76"/>
      <c r="Z1488" s="76"/>
      <c r="AA1488" s="76"/>
      <c r="AB1488" s="76"/>
      <c r="AC1488" s="76"/>
      <c r="AD1488" s="76"/>
      <c r="AE1488" s="76"/>
      <c r="AF1488" s="76"/>
      <c r="AG1488" s="76"/>
      <c r="AH1488" s="76"/>
      <c r="AI1488" s="76"/>
      <c r="AJ1488" s="76"/>
      <c r="AK1488" s="76"/>
      <c r="AL1488" s="76"/>
      <c r="AM1488" s="76"/>
      <c r="AN1488" s="76"/>
      <c r="AO1488" s="76"/>
      <c r="AP1488" s="76"/>
      <c r="AQ1488" s="76"/>
      <c r="AR1488" s="76"/>
      <c r="AS1488" s="76"/>
      <c r="AT1488" s="76"/>
      <c r="AU1488" s="76"/>
      <c r="AV1488" s="76"/>
      <c r="AW1488" s="76"/>
      <c r="AX1488" s="76"/>
      <c r="AY1488" s="76"/>
      <c r="AZ1488" s="76"/>
      <c r="BA1488" s="76"/>
      <c r="BB1488" s="76"/>
    </row>
    <row r="1489" spans="5:54" x14ac:dyDescent="0.35">
      <c r="E1489" s="83"/>
      <c r="F1489" s="83"/>
      <c r="G1489" s="76"/>
      <c r="H1489" s="76"/>
      <c r="I1489" s="76"/>
      <c r="J1489" s="76"/>
      <c r="K1489" s="76"/>
      <c r="L1489" s="76"/>
      <c r="M1489" s="76"/>
      <c r="N1489" s="76"/>
      <c r="O1489" s="76"/>
      <c r="P1489" s="76"/>
      <c r="Q1489" s="76"/>
      <c r="R1489" s="76"/>
      <c r="S1489" s="76"/>
      <c r="T1489" s="76"/>
      <c r="U1489" s="76"/>
      <c r="V1489" s="76"/>
      <c r="W1489" s="76"/>
      <c r="X1489" s="76"/>
      <c r="Y1489" s="76"/>
      <c r="Z1489" s="76"/>
      <c r="AA1489" s="76"/>
      <c r="AB1489" s="76"/>
      <c r="AC1489" s="76"/>
      <c r="AD1489" s="76"/>
      <c r="AE1489" s="76"/>
      <c r="AF1489" s="76"/>
      <c r="AG1489" s="76"/>
      <c r="AH1489" s="76"/>
      <c r="AI1489" s="76"/>
      <c r="AJ1489" s="76"/>
      <c r="AK1489" s="76"/>
      <c r="AL1489" s="76"/>
      <c r="AM1489" s="76"/>
      <c r="AN1489" s="76"/>
      <c r="AO1489" s="76"/>
      <c r="AP1489" s="76"/>
      <c r="AQ1489" s="76"/>
      <c r="AR1489" s="76"/>
      <c r="AS1489" s="76"/>
      <c r="AT1489" s="76"/>
      <c r="AU1489" s="76"/>
      <c r="AV1489" s="76"/>
      <c r="AW1489" s="76"/>
      <c r="AX1489" s="76"/>
      <c r="AY1489" s="76"/>
      <c r="AZ1489" s="76"/>
      <c r="BA1489" s="76"/>
      <c r="BB1489" s="76"/>
    </row>
    <row r="1490" spans="5:54" x14ac:dyDescent="0.35">
      <c r="E1490" s="83"/>
      <c r="F1490" s="83"/>
      <c r="G1490" s="76"/>
      <c r="H1490" s="76"/>
      <c r="I1490" s="76"/>
      <c r="J1490" s="76"/>
      <c r="K1490" s="76"/>
      <c r="L1490" s="76"/>
      <c r="M1490" s="76"/>
      <c r="N1490" s="76"/>
      <c r="O1490" s="76"/>
      <c r="P1490" s="76"/>
      <c r="Q1490" s="76"/>
      <c r="R1490" s="76"/>
      <c r="S1490" s="76"/>
      <c r="T1490" s="76"/>
      <c r="U1490" s="76"/>
      <c r="V1490" s="76"/>
      <c r="W1490" s="76"/>
      <c r="X1490" s="76"/>
      <c r="Y1490" s="76"/>
      <c r="Z1490" s="76"/>
      <c r="AA1490" s="76"/>
      <c r="AB1490" s="76"/>
      <c r="AC1490" s="76"/>
      <c r="AD1490" s="76"/>
      <c r="AE1490" s="76"/>
      <c r="AF1490" s="76"/>
      <c r="AG1490" s="76"/>
      <c r="AH1490" s="76"/>
      <c r="AI1490" s="76"/>
      <c r="AJ1490" s="76"/>
      <c r="AK1490" s="76"/>
      <c r="AL1490" s="76"/>
      <c r="AM1490" s="76"/>
      <c r="AN1490" s="76"/>
      <c r="AO1490" s="76"/>
      <c r="AP1490" s="76"/>
      <c r="AQ1490" s="76"/>
      <c r="AR1490" s="76"/>
      <c r="AS1490" s="76"/>
      <c r="AT1490" s="76"/>
      <c r="AU1490" s="76"/>
      <c r="AV1490" s="76"/>
      <c r="AW1490" s="76"/>
      <c r="AX1490" s="76"/>
      <c r="AY1490" s="76"/>
      <c r="AZ1490" s="76"/>
      <c r="BA1490" s="76"/>
      <c r="BB1490" s="76"/>
    </row>
    <row r="1491" spans="5:54" x14ac:dyDescent="0.35">
      <c r="E1491" s="83"/>
      <c r="F1491" s="83"/>
      <c r="G1491" s="76"/>
      <c r="H1491" s="76"/>
      <c r="I1491" s="76"/>
      <c r="J1491" s="76"/>
      <c r="K1491" s="76"/>
      <c r="L1491" s="76"/>
      <c r="M1491" s="76"/>
      <c r="N1491" s="76"/>
      <c r="O1491" s="76"/>
      <c r="P1491" s="76"/>
      <c r="Q1491" s="76"/>
      <c r="R1491" s="76"/>
      <c r="S1491" s="76"/>
      <c r="T1491" s="76"/>
      <c r="U1491" s="76"/>
      <c r="V1491" s="76"/>
      <c r="W1491" s="76"/>
      <c r="X1491" s="76"/>
      <c r="Y1491" s="76"/>
      <c r="Z1491" s="76"/>
      <c r="AA1491" s="76"/>
      <c r="AB1491" s="76"/>
      <c r="AC1491" s="76"/>
      <c r="AD1491" s="76"/>
      <c r="AE1491" s="76"/>
      <c r="AF1491" s="76"/>
      <c r="AG1491" s="76"/>
      <c r="AH1491" s="76"/>
      <c r="AI1491" s="76"/>
      <c r="AJ1491" s="76"/>
      <c r="AK1491" s="76"/>
      <c r="AL1491" s="76"/>
      <c r="AM1491" s="76"/>
      <c r="AN1491" s="76"/>
      <c r="AO1491" s="76"/>
      <c r="AP1491" s="76"/>
      <c r="AQ1491" s="76"/>
      <c r="AR1491" s="76"/>
      <c r="AS1491" s="76"/>
      <c r="AT1491" s="76"/>
      <c r="AU1491" s="76"/>
      <c r="AV1491" s="76"/>
      <c r="AW1491" s="76"/>
      <c r="AX1491" s="76"/>
      <c r="AY1491" s="76"/>
      <c r="AZ1491" s="76"/>
      <c r="BA1491" s="76"/>
      <c r="BB1491" s="76"/>
    </row>
    <row r="1492" spans="5:54" x14ac:dyDescent="0.35">
      <c r="E1492" s="83"/>
      <c r="F1492" s="83"/>
      <c r="G1492" s="76"/>
      <c r="H1492" s="76"/>
      <c r="I1492" s="76"/>
      <c r="J1492" s="76"/>
      <c r="K1492" s="76"/>
      <c r="L1492" s="76"/>
      <c r="M1492" s="76"/>
      <c r="N1492" s="76"/>
      <c r="O1492" s="76"/>
      <c r="P1492" s="76"/>
      <c r="Q1492" s="76"/>
      <c r="R1492" s="76"/>
      <c r="S1492" s="76"/>
      <c r="T1492" s="76"/>
      <c r="U1492" s="76"/>
      <c r="V1492" s="76"/>
      <c r="W1492" s="76"/>
      <c r="X1492" s="76"/>
      <c r="Y1492" s="76"/>
      <c r="Z1492" s="76"/>
      <c r="AA1492" s="76"/>
      <c r="AB1492" s="76"/>
      <c r="AC1492" s="76"/>
      <c r="AD1492" s="76"/>
      <c r="AE1492" s="76"/>
      <c r="AF1492" s="76"/>
      <c r="AG1492" s="76"/>
      <c r="AH1492" s="76"/>
      <c r="AI1492" s="76"/>
      <c r="AJ1492" s="76"/>
      <c r="AK1492" s="76"/>
      <c r="AL1492" s="76"/>
      <c r="AM1492" s="76"/>
      <c r="AN1492" s="76"/>
      <c r="AO1492" s="76"/>
      <c r="AP1492" s="76"/>
      <c r="AQ1492" s="76"/>
      <c r="AR1492" s="76"/>
      <c r="AS1492" s="76"/>
      <c r="AT1492" s="76"/>
      <c r="AU1492" s="76"/>
      <c r="AV1492" s="76"/>
      <c r="AW1492" s="76"/>
      <c r="AX1492" s="76"/>
      <c r="AY1492" s="76"/>
      <c r="AZ1492" s="76"/>
      <c r="BA1492" s="76"/>
      <c r="BB1492" s="76"/>
    </row>
    <row r="1493" spans="5:54" x14ac:dyDescent="0.35">
      <c r="E1493" s="83"/>
      <c r="F1493" s="83"/>
      <c r="G1493" s="76"/>
      <c r="H1493" s="76"/>
      <c r="I1493" s="76"/>
      <c r="J1493" s="76"/>
      <c r="K1493" s="76"/>
      <c r="L1493" s="76"/>
      <c r="M1493" s="76"/>
      <c r="N1493" s="76"/>
      <c r="O1493" s="76"/>
      <c r="P1493" s="76"/>
      <c r="Q1493" s="76"/>
      <c r="R1493" s="76"/>
      <c r="S1493" s="76"/>
      <c r="T1493" s="76"/>
      <c r="U1493" s="76"/>
      <c r="V1493" s="76"/>
      <c r="W1493" s="76"/>
      <c r="X1493" s="76"/>
      <c r="Y1493" s="76"/>
      <c r="Z1493" s="76"/>
      <c r="AA1493" s="76"/>
      <c r="AB1493" s="76"/>
      <c r="AC1493" s="76"/>
      <c r="AD1493" s="76"/>
      <c r="AE1493" s="76"/>
      <c r="AF1493" s="76"/>
      <c r="AG1493" s="76"/>
      <c r="AH1493" s="76"/>
      <c r="AI1493" s="76"/>
      <c r="AJ1493" s="76"/>
      <c r="AK1493" s="76"/>
      <c r="AL1493" s="76"/>
      <c r="AM1493" s="76"/>
      <c r="AN1493" s="76"/>
      <c r="AO1493" s="76"/>
      <c r="AP1493" s="76"/>
      <c r="AQ1493" s="76"/>
      <c r="AR1493" s="76"/>
      <c r="AS1493" s="76"/>
      <c r="AT1493" s="76"/>
      <c r="AU1493" s="76"/>
      <c r="AV1493" s="76"/>
      <c r="AW1493" s="76"/>
      <c r="AX1493" s="76"/>
      <c r="AY1493" s="76"/>
      <c r="AZ1493" s="76"/>
      <c r="BA1493" s="76"/>
      <c r="BB1493" s="76"/>
    </row>
    <row r="1494" spans="5:54" x14ac:dyDescent="0.35">
      <c r="E1494" s="83"/>
      <c r="F1494" s="83"/>
      <c r="G1494" s="76"/>
      <c r="H1494" s="76"/>
      <c r="I1494" s="76"/>
      <c r="J1494" s="76"/>
      <c r="K1494" s="76"/>
      <c r="L1494" s="76"/>
      <c r="M1494" s="76"/>
      <c r="N1494" s="76"/>
      <c r="O1494" s="76"/>
      <c r="P1494" s="76"/>
      <c r="Q1494" s="76"/>
      <c r="R1494" s="76"/>
      <c r="S1494" s="76"/>
      <c r="T1494" s="76"/>
      <c r="U1494" s="76"/>
      <c r="V1494" s="76"/>
      <c r="W1494" s="76"/>
      <c r="X1494" s="76"/>
      <c r="Y1494" s="76"/>
      <c r="Z1494" s="76"/>
      <c r="AA1494" s="76"/>
      <c r="AB1494" s="76"/>
      <c r="AC1494" s="76"/>
      <c r="AD1494" s="76"/>
      <c r="AE1494" s="76"/>
      <c r="AF1494" s="76"/>
      <c r="AG1494" s="76"/>
      <c r="AH1494" s="76"/>
      <c r="AI1494" s="76"/>
      <c r="AJ1494" s="76"/>
      <c r="AK1494" s="76"/>
      <c r="AL1494" s="76"/>
      <c r="AM1494" s="76"/>
      <c r="AN1494" s="76"/>
      <c r="AO1494" s="76"/>
      <c r="AP1494" s="76"/>
      <c r="AQ1494" s="76"/>
      <c r="AR1494" s="76"/>
      <c r="AS1494" s="76"/>
      <c r="AT1494" s="76"/>
      <c r="AU1494" s="76"/>
      <c r="AV1494" s="76"/>
      <c r="AW1494" s="76"/>
      <c r="AX1494" s="76"/>
      <c r="AY1494" s="76"/>
      <c r="AZ1494" s="76"/>
      <c r="BA1494" s="76"/>
      <c r="BB1494" s="76"/>
    </row>
    <row r="1495" spans="5:54" x14ac:dyDescent="0.35">
      <c r="E1495" s="83"/>
      <c r="F1495" s="83"/>
      <c r="G1495" s="76"/>
      <c r="H1495" s="76"/>
      <c r="I1495" s="76"/>
      <c r="J1495" s="76"/>
      <c r="K1495" s="76"/>
      <c r="L1495" s="76"/>
      <c r="M1495" s="76"/>
      <c r="N1495" s="76"/>
      <c r="O1495" s="76"/>
      <c r="P1495" s="76"/>
      <c r="Q1495" s="76"/>
      <c r="R1495" s="76"/>
      <c r="S1495" s="76"/>
      <c r="T1495" s="76"/>
      <c r="U1495" s="76"/>
      <c r="V1495" s="76"/>
      <c r="W1495" s="76"/>
      <c r="X1495" s="76"/>
      <c r="Y1495" s="76"/>
      <c r="Z1495" s="76"/>
      <c r="AA1495" s="76"/>
      <c r="AB1495" s="76"/>
      <c r="AC1495" s="76"/>
      <c r="AD1495" s="76"/>
      <c r="AE1495" s="76"/>
      <c r="AF1495" s="76"/>
      <c r="AG1495" s="76"/>
      <c r="AH1495" s="76"/>
      <c r="AI1495" s="76"/>
      <c r="AJ1495" s="76"/>
      <c r="AK1495" s="76"/>
      <c r="AL1495" s="76"/>
      <c r="AM1495" s="76"/>
      <c r="AN1495" s="76"/>
      <c r="AO1495" s="76"/>
      <c r="AP1495" s="76"/>
      <c r="AQ1495" s="76"/>
      <c r="AR1495" s="76"/>
      <c r="AS1495" s="76"/>
      <c r="AT1495" s="76"/>
      <c r="AU1495" s="76"/>
      <c r="AV1495" s="76"/>
      <c r="AW1495" s="76"/>
      <c r="AX1495" s="76"/>
      <c r="AY1495" s="76"/>
      <c r="AZ1495" s="76"/>
      <c r="BA1495" s="76"/>
      <c r="BB1495" s="76"/>
    </row>
    <row r="1496" spans="5:54" x14ac:dyDescent="0.35">
      <c r="E1496" s="83"/>
      <c r="F1496" s="83"/>
      <c r="G1496" s="76"/>
      <c r="H1496" s="76"/>
      <c r="I1496" s="76"/>
      <c r="J1496" s="76"/>
      <c r="K1496" s="76"/>
      <c r="L1496" s="76"/>
      <c r="M1496" s="76"/>
      <c r="N1496" s="76"/>
      <c r="O1496" s="76"/>
      <c r="P1496" s="76"/>
      <c r="Q1496" s="76"/>
      <c r="R1496" s="76"/>
      <c r="S1496" s="76"/>
      <c r="T1496" s="76"/>
      <c r="U1496" s="76"/>
      <c r="V1496" s="76"/>
      <c r="W1496" s="76"/>
      <c r="X1496" s="76"/>
      <c r="Y1496" s="76"/>
      <c r="Z1496" s="76"/>
      <c r="AA1496" s="76"/>
      <c r="AB1496" s="76"/>
      <c r="AC1496" s="76"/>
      <c r="AD1496" s="76"/>
      <c r="AE1496" s="76"/>
      <c r="AF1496" s="76"/>
      <c r="AG1496" s="76"/>
      <c r="AH1496" s="76"/>
      <c r="AI1496" s="76"/>
      <c r="AJ1496" s="76"/>
      <c r="AK1496" s="76"/>
      <c r="AL1496" s="76"/>
      <c r="AM1496" s="76"/>
      <c r="AN1496" s="76"/>
      <c r="AO1496" s="76"/>
      <c r="AP1496" s="76"/>
      <c r="AQ1496" s="76"/>
      <c r="AR1496" s="76"/>
      <c r="AS1496" s="76"/>
      <c r="AT1496" s="76"/>
      <c r="AU1496" s="76"/>
      <c r="AV1496" s="76"/>
      <c r="AW1496" s="76"/>
      <c r="AX1496" s="76"/>
      <c r="AY1496" s="76"/>
      <c r="AZ1496" s="76"/>
      <c r="BA1496" s="76"/>
      <c r="BB1496" s="76"/>
    </row>
    <row r="1497" spans="5:54" x14ac:dyDescent="0.35">
      <c r="E1497" s="83"/>
      <c r="F1497" s="83"/>
      <c r="G1497" s="76"/>
      <c r="H1497" s="76"/>
      <c r="I1497" s="76"/>
      <c r="J1497" s="76"/>
      <c r="K1497" s="76"/>
      <c r="L1497" s="76"/>
      <c r="M1497" s="76"/>
      <c r="N1497" s="76"/>
      <c r="O1497" s="76"/>
      <c r="P1497" s="76"/>
      <c r="Q1497" s="76"/>
      <c r="R1497" s="76"/>
      <c r="S1497" s="76"/>
      <c r="T1497" s="76"/>
      <c r="U1497" s="76"/>
      <c r="V1497" s="76"/>
      <c r="W1497" s="76"/>
      <c r="X1497" s="76"/>
      <c r="Y1497" s="76"/>
      <c r="Z1497" s="76"/>
      <c r="AA1497" s="76"/>
      <c r="AB1497" s="76"/>
      <c r="AC1497" s="76"/>
      <c r="AD1497" s="76"/>
      <c r="AE1497" s="76"/>
      <c r="AF1497" s="76"/>
      <c r="AG1497" s="76"/>
      <c r="AH1497" s="76"/>
      <c r="AI1497" s="76"/>
      <c r="AJ1497" s="76"/>
      <c r="AK1497" s="76"/>
      <c r="AL1497" s="76"/>
      <c r="AM1497" s="76"/>
      <c r="AN1497" s="76"/>
      <c r="AO1497" s="76"/>
      <c r="AP1497" s="76"/>
      <c r="AQ1497" s="76"/>
      <c r="AR1497" s="76"/>
      <c r="AS1497" s="76"/>
      <c r="AT1497" s="76"/>
      <c r="AU1497" s="76"/>
      <c r="AV1497" s="76"/>
      <c r="AW1497" s="76"/>
      <c r="AX1497" s="76"/>
      <c r="AY1497" s="76"/>
      <c r="AZ1497" s="76"/>
      <c r="BA1497" s="76"/>
      <c r="BB1497" s="76"/>
    </row>
    <row r="1498" spans="5:54" x14ac:dyDescent="0.35">
      <c r="E1498" s="83"/>
      <c r="F1498" s="83"/>
      <c r="G1498" s="76"/>
      <c r="H1498" s="76"/>
      <c r="I1498" s="76"/>
      <c r="J1498" s="76"/>
      <c r="K1498" s="76"/>
      <c r="L1498" s="76"/>
      <c r="M1498" s="76"/>
      <c r="N1498" s="76"/>
      <c r="O1498" s="76"/>
      <c r="P1498" s="76"/>
      <c r="Q1498" s="76"/>
      <c r="R1498" s="76"/>
      <c r="S1498" s="76"/>
      <c r="T1498" s="76"/>
      <c r="U1498" s="76"/>
      <c r="V1498" s="76"/>
      <c r="W1498" s="76"/>
      <c r="X1498" s="76"/>
      <c r="Y1498" s="76"/>
      <c r="Z1498" s="76"/>
      <c r="AA1498" s="76"/>
      <c r="AB1498" s="76"/>
      <c r="AC1498" s="76"/>
      <c r="AD1498" s="76"/>
      <c r="AE1498" s="76"/>
      <c r="AF1498" s="76"/>
      <c r="AG1498" s="76"/>
      <c r="AH1498" s="76"/>
      <c r="AI1498" s="76"/>
      <c r="AJ1498" s="76"/>
      <c r="AK1498" s="76"/>
      <c r="AL1498" s="76"/>
      <c r="AM1498" s="76"/>
      <c r="AN1498" s="76"/>
      <c r="AO1498" s="76"/>
      <c r="AP1498" s="76"/>
      <c r="AQ1498" s="76"/>
      <c r="AR1498" s="76"/>
      <c r="AS1498" s="76"/>
      <c r="AT1498" s="76"/>
      <c r="AU1498" s="76"/>
      <c r="AV1498" s="76"/>
      <c r="AW1498" s="76"/>
      <c r="AX1498" s="76"/>
      <c r="AY1498" s="76"/>
      <c r="AZ1498" s="76"/>
      <c r="BA1498" s="76"/>
      <c r="BB1498" s="76"/>
    </row>
    <row r="1499" spans="5:54" x14ac:dyDescent="0.35">
      <c r="E1499" s="83"/>
      <c r="F1499" s="83"/>
      <c r="G1499" s="76"/>
      <c r="H1499" s="76"/>
      <c r="I1499" s="76"/>
      <c r="J1499" s="76"/>
      <c r="K1499" s="76"/>
      <c r="L1499" s="76"/>
      <c r="M1499" s="76"/>
      <c r="N1499" s="76"/>
      <c r="O1499" s="76"/>
      <c r="P1499" s="76"/>
      <c r="Q1499" s="76"/>
      <c r="R1499" s="76"/>
      <c r="S1499" s="76"/>
      <c r="T1499" s="76"/>
      <c r="U1499" s="76"/>
      <c r="V1499" s="76"/>
      <c r="W1499" s="76"/>
      <c r="X1499" s="76"/>
      <c r="Y1499" s="76"/>
      <c r="Z1499" s="76"/>
      <c r="AA1499" s="76"/>
      <c r="AB1499" s="76"/>
      <c r="AC1499" s="76"/>
      <c r="AD1499" s="76"/>
      <c r="AE1499" s="76"/>
      <c r="AF1499" s="76"/>
      <c r="AG1499" s="76"/>
      <c r="AH1499" s="76"/>
      <c r="AI1499" s="76"/>
      <c r="AJ1499" s="76"/>
      <c r="AK1499" s="76"/>
      <c r="AL1499" s="76"/>
      <c r="AM1499" s="76"/>
      <c r="AN1499" s="76"/>
      <c r="AO1499" s="76"/>
      <c r="AP1499" s="76"/>
      <c r="AQ1499" s="76"/>
      <c r="AR1499" s="76"/>
      <c r="AS1499" s="76"/>
      <c r="AT1499" s="76"/>
      <c r="AU1499" s="76"/>
      <c r="AV1499" s="76"/>
      <c r="AW1499" s="76"/>
      <c r="AX1499" s="76"/>
      <c r="AY1499" s="76"/>
      <c r="AZ1499" s="76"/>
      <c r="BA1499" s="76"/>
      <c r="BB1499" s="76"/>
    </row>
    <row r="1500" spans="5:54" x14ac:dyDescent="0.35">
      <c r="E1500" s="83"/>
      <c r="F1500" s="83"/>
      <c r="G1500" s="76"/>
      <c r="H1500" s="76"/>
      <c r="I1500" s="76"/>
      <c r="J1500" s="76"/>
      <c r="K1500" s="76"/>
      <c r="L1500" s="76"/>
      <c r="M1500" s="76"/>
      <c r="N1500" s="76"/>
      <c r="O1500" s="76"/>
      <c r="P1500" s="76"/>
      <c r="Q1500" s="76"/>
      <c r="R1500" s="76"/>
      <c r="S1500" s="76"/>
      <c r="T1500" s="76"/>
      <c r="U1500" s="76"/>
      <c r="V1500" s="76"/>
      <c r="W1500" s="76"/>
      <c r="X1500" s="76"/>
      <c r="Y1500" s="76"/>
      <c r="Z1500" s="76"/>
      <c r="AA1500" s="76"/>
      <c r="AB1500" s="76"/>
      <c r="AC1500" s="76"/>
      <c r="AD1500" s="76"/>
      <c r="AE1500" s="76"/>
      <c r="AF1500" s="76"/>
      <c r="AG1500" s="76"/>
      <c r="AH1500" s="76"/>
      <c r="AI1500" s="76"/>
      <c r="AJ1500" s="76"/>
      <c r="AK1500" s="76"/>
      <c r="AL1500" s="76"/>
      <c r="AM1500" s="76"/>
      <c r="AN1500" s="76"/>
      <c r="AO1500" s="76"/>
      <c r="AP1500" s="76"/>
      <c r="AQ1500" s="76"/>
      <c r="AR1500" s="76"/>
      <c r="AS1500" s="76"/>
      <c r="AT1500" s="76"/>
      <c r="AU1500" s="76"/>
      <c r="AV1500" s="76"/>
      <c r="AW1500" s="76"/>
      <c r="AX1500" s="76"/>
      <c r="AY1500" s="76"/>
      <c r="AZ1500" s="76"/>
      <c r="BA1500" s="76"/>
      <c r="BB1500" s="76"/>
    </row>
    <row r="1501" spans="5:54" x14ac:dyDescent="0.35">
      <c r="E1501" s="83"/>
      <c r="F1501" s="83"/>
      <c r="G1501" s="76"/>
      <c r="H1501" s="76"/>
      <c r="I1501" s="76"/>
      <c r="J1501" s="76"/>
      <c r="K1501" s="76"/>
      <c r="L1501" s="76"/>
      <c r="M1501" s="76"/>
      <c r="N1501" s="76"/>
      <c r="O1501" s="76"/>
      <c r="P1501" s="76"/>
      <c r="Q1501" s="76"/>
      <c r="R1501" s="76"/>
      <c r="S1501" s="76"/>
      <c r="T1501" s="76"/>
      <c r="U1501" s="76"/>
      <c r="V1501" s="76"/>
      <c r="W1501" s="76"/>
      <c r="X1501" s="76"/>
      <c r="Y1501" s="76"/>
      <c r="Z1501" s="76"/>
      <c r="AA1501" s="76"/>
      <c r="AB1501" s="76"/>
      <c r="AC1501" s="76"/>
      <c r="AD1501" s="76"/>
      <c r="AE1501" s="76"/>
      <c r="AF1501" s="76"/>
      <c r="AG1501" s="76"/>
      <c r="AH1501" s="76"/>
      <c r="AI1501" s="76"/>
      <c r="AJ1501" s="76"/>
      <c r="AK1501" s="76"/>
      <c r="AL1501" s="76"/>
      <c r="AM1501" s="76"/>
      <c r="AN1501" s="76"/>
      <c r="AO1501" s="76"/>
      <c r="AP1501" s="76"/>
      <c r="AQ1501" s="76"/>
      <c r="AR1501" s="76"/>
      <c r="AS1501" s="76"/>
      <c r="AT1501" s="76"/>
      <c r="AU1501" s="76"/>
      <c r="AV1501" s="76"/>
      <c r="AW1501" s="76"/>
      <c r="AX1501" s="76"/>
      <c r="AY1501" s="76"/>
      <c r="AZ1501" s="76"/>
      <c r="BA1501" s="76"/>
      <c r="BB1501" s="76"/>
    </row>
    <row r="1502" spans="5:54" x14ac:dyDescent="0.35">
      <c r="E1502" s="83"/>
      <c r="F1502" s="83"/>
      <c r="G1502" s="76"/>
      <c r="H1502" s="76"/>
      <c r="I1502" s="76"/>
      <c r="J1502" s="76"/>
      <c r="K1502" s="76"/>
      <c r="L1502" s="76"/>
      <c r="M1502" s="76"/>
      <c r="N1502" s="76"/>
      <c r="O1502" s="76"/>
      <c r="P1502" s="76"/>
      <c r="Q1502" s="76"/>
      <c r="R1502" s="76"/>
      <c r="S1502" s="76"/>
      <c r="T1502" s="76"/>
      <c r="U1502" s="76"/>
      <c r="V1502" s="76"/>
      <c r="W1502" s="76"/>
      <c r="X1502" s="76"/>
      <c r="Y1502" s="76"/>
      <c r="Z1502" s="76"/>
      <c r="AA1502" s="76"/>
      <c r="AB1502" s="76"/>
      <c r="AC1502" s="76"/>
      <c r="AD1502" s="76"/>
      <c r="AE1502" s="76"/>
      <c r="AF1502" s="76"/>
      <c r="AG1502" s="76"/>
      <c r="AH1502" s="76"/>
      <c r="AI1502" s="76"/>
      <c r="AJ1502" s="76"/>
      <c r="AK1502" s="76"/>
      <c r="AL1502" s="76"/>
      <c r="AM1502" s="76"/>
      <c r="AN1502" s="76"/>
      <c r="AO1502" s="76"/>
      <c r="AP1502" s="76"/>
      <c r="AQ1502" s="76"/>
      <c r="AR1502" s="76"/>
      <c r="AS1502" s="76"/>
      <c r="AT1502" s="76"/>
      <c r="AU1502" s="76"/>
      <c r="AV1502" s="76"/>
      <c r="AW1502" s="76"/>
      <c r="AX1502" s="76"/>
      <c r="AY1502" s="76"/>
      <c r="AZ1502" s="76"/>
      <c r="BA1502" s="76"/>
      <c r="BB1502" s="76"/>
    </row>
    <row r="1503" spans="5:54" x14ac:dyDescent="0.35">
      <c r="E1503" s="83"/>
      <c r="F1503" s="83"/>
      <c r="G1503" s="76"/>
      <c r="H1503" s="76"/>
      <c r="I1503" s="76"/>
      <c r="J1503" s="76"/>
      <c r="K1503" s="76"/>
      <c r="L1503" s="76"/>
      <c r="M1503" s="76"/>
      <c r="N1503" s="76"/>
      <c r="O1503" s="76"/>
      <c r="P1503" s="76"/>
      <c r="Q1503" s="76"/>
      <c r="R1503" s="76"/>
      <c r="S1503" s="76"/>
      <c r="T1503" s="76"/>
      <c r="U1503" s="76"/>
      <c r="V1503" s="76"/>
      <c r="W1503" s="76"/>
      <c r="X1503" s="76"/>
      <c r="Y1503" s="76"/>
      <c r="Z1503" s="76"/>
      <c r="AA1503" s="76"/>
      <c r="AB1503" s="76"/>
      <c r="AC1503" s="76"/>
      <c r="AD1503" s="76"/>
      <c r="AE1503" s="76"/>
      <c r="AF1503" s="76"/>
      <c r="AG1503" s="76"/>
      <c r="AH1503" s="76"/>
      <c r="AI1503" s="76"/>
      <c r="AJ1503" s="76"/>
      <c r="AK1503" s="76"/>
      <c r="AL1503" s="76"/>
      <c r="AM1503" s="76"/>
      <c r="AN1503" s="76"/>
      <c r="AO1503" s="76"/>
      <c r="AP1503" s="76"/>
      <c r="AQ1503" s="76"/>
      <c r="AR1503" s="76"/>
      <c r="AS1503" s="76"/>
      <c r="AT1503" s="76"/>
      <c r="AU1503" s="76"/>
      <c r="AV1503" s="76"/>
      <c r="AW1503" s="76"/>
      <c r="AX1503" s="76"/>
      <c r="AY1503" s="76"/>
      <c r="AZ1503" s="76"/>
      <c r="BA1503" s="76"/>
      <c r="BB1503" s="76"/>
    </row>
    <row r="1504" spans="5:54" x14ac:dyDescent="0.35">
      <c r="E1504" s="83"/>
      <c r="F1504" s="83"/>
      <c r="G1504" s="76"/>
      <c r="H1504" s="76"/>
      <c r="I1504" s="76"/>
      <c r="J1504" s="76"/>
      <c r="K1504" s="76"/>
      <c r="L1504" s="76"/>
      <c r="M1504" s="76"/>
      <c r="N1504" s="76"/>
      <c r="O1504" s="76"/>
      <c r="P1504" s="76"/>
      <c r="Q1504" s="76"/>
      <c r="R1504" s="76"/>
      <c r="S1504" s="76"/>
      <c r="T1504" s="76"/>
      <c r="U1504" s="76"/>
      <c r="V1504" s="76"/>
      <c r="W1504" s="76"/>
      <c r="X1504" s="76"/>
      <c r="Y1504" s="76"/>
      <c r="Z1504" s="76"/>
      <c r="AA1504" s="76"/>
      <c r="AB1504" s="76"/>
      <c r="AC1504" s="76"/>
      <c r="AD1504" s="76"/>
      <c r="AE1504" s="76"/>
      <c r="AF1504" s="76"/>
      <c r="AG1504" s="76"/>
      <c r="AH1504" s="76"/>
      <c r="AI1504" s="76"/>
      <c r="AJ1504" s="76"/>
      <c r="AK1504" s="76"/>
      <c r="AL1504" s="76"/>
      <c r="AM1504" s="76"/>
      <c r="AN1504" s="76"/>
      <c r="AO1504" s="76"/>
      <c r="AP1504" s="76"/>
      <c r="AQ1504" s="76"/>
      <c r="AR1504" s="76"/>
      <c r="AS1504" s="76"/>
      <c r="AT1504" s="76"/>
      <c r="AU1504" s="76"/>
      <c r="AV1504" s="76"/>
      <c r="AW1504" s="76"/>
      <c r="AX1504" s="76"/>
      <c r="AY1504" s="76"/>
      <c r="AZ1504" s="76"/>
      <c r="BA1504" s="76"/>
      <c r="BB1504" s="76"/>
    </row>
    <row r="1505" spans="5:54" x14ac:dyDescent="0.35">
      <c r="E1505" s="83"/>
      <c r="F1505" s="83"/>
      <c r="G1505" s="76"/>
      <c r="H1505" s="76"/>
      <c r="I1505" s="76"/>
      <c r="J1505" s="76"/>
      <c r="K1505" s="76"/>
      <c r="L1505" s="76"/>
      <c r="M1505" s="76"/>
      <c r="N1505" s="76"/>
      <c r="O1505" s="76"/>
      <c r="P1505" s="76"/>
      <c r="Q1505" s="76"/>
      <c r="R1505" s="76"/>
      <c r="S1505" s="76"/>
      <c r="T1505" s="76"/>
      <c r="U1505" s="76"/>
      <c r="V1505" s="76"/>
      <c r="W1505" s="76"/>
      <c r="X1505" s="76"/>
      <c r="Y1505" s="76"/>
      <c r="Z1505" s="76"/>
      <c r="AA1505" s="76"/>
      <c r="AB1505" s="76"/>
      <c r="AC1505" s="76"/>
      <c r="AD1505" s="76"/>
      <c r="AE1505" s="76"/>
      <c r="AF1505" s="76"/>
      <c r="AG1505" s="76"/>
      <c r="AH1505" s="76"/>
      <c r="AI1505" s="76"/>
      <c r="AJ1505" s="76"/>
      <c r="AK1505" s="76"/>
      <c r="AL1505" s="76"/>
      <c r="AM1505" s="76"/>
      <c r="AN1505" s="76"/>
      <c r="AO1505" s="76"/>
      <c r="AP1505" s="76"/>
      <c r="AQ1505" s="76"/>
      <c r="AR1505" s="76"/>
      <c r="AS1505" s="76"/>
      <c r="AT1505" s="76"/>
      <c r="AU1505" s="76"/>
      <c r="AV1505" s="76"/>
      <c r="AW1505" s="76"/>
      <c r="AX1505" s="76"/>
      <c r="AY1505" s="76"/>
      <c r="AZ1505" s="76"/>
      <c r="BA1505" s="76"/>
      <c r="BB1505" s="76"/>
    </row>
    <row r="1506" spans="5:54" x14ac:dyDescent="0.35">
      <c r="E1506" s="83"/>
      <c r="F1506" s="83"/>
      <c r="G1506" s="76"/>
      <c r="H1506" s="76"/>
      <c r="I1506" s="76"/>
      <c r="J1506" s="76"/>
      <c r="K1506" s="76"/>
      <c r="L1506" s="76"/>
      <c r="M1506" s="76"/>
      <c r="N1506" s="76"/>
      <c r="O1506" s="76"/>
      <c r="P1506" s="76"/>
      <c r="Q1506" s="76"/>
      <c r="R1506" s="76"/>
      <c r="S1506" s="76"/>
      <c r="T1506" s="76"/>
      <c r="U1506" s="76"/>
      <c r="V1506" s="76"/>
      <c r="W1506" s="76"/>
      <c r="X1506" s="76"/>
      <c r="Y1506" s="76"/>
      <c r="Z1506" s="76"/>
      <c r="AA1506" s="76"/>
      <c r="AB1506" s="76"/>
      <c r="AC1506" s="76"/>
      <c r="AD1506" s="76"/>
      <c r="AE1506" s="76"/>
      <c r="AF1506" s="76"/>
      <c r="AG1506" s="76"/>
      <c r="AH1506" s="76"/>
      <c r="AI1506" s="76"/>
      <c r="AJ1506" s="76"/>
      <c r="AK1506" s="76"/>
      <c r="AL1506" s="76"/>
      <c r="AM1506" s="76"/>
      <c r="AN1506" s="76"/>
      <c r="AO1506" s="76"/>
      <c r="AP1506" s="76"/>
      <c r="AQ1506" s="76"/>
      <c r="AR1506" s="76"/>
      <c r="AS1506" s="76"/>
      <c r="AT1506" s="76"/>
      <c r="AU1506" s="76"/>
      <c r="AV1506" s="76"/>
      <c r="AW1506" s="76"/>
      <c r="AX1506" s="76"/>
      <c r="AY1506" s="76"/>
      <c r="AZ1506" s="76"/>
      <c r="BA1506" s="76"/>
      <c r="BB1506" s="76"/>
    </row>
    <row r="1507" spans="5:54" x14ac:dyDescent="0.35">
      <c r="E1507" s="83"/>
      <c r="F1507" s="83"/>
      <c r="G1507" s="76"/>
      <c r="H1507" s="76"/>
      <c r="I1507" s="76"/>
      <c r="J1507" s="76"/>
      <c r="K1507" s="76"/>
      <c r="L1507" s="76"/>
      <c r="M1507" s="76"/>
      <c r="N1507" s="76"/>
      <c r="O1507" s="76"/>
      <c r="P1507" s="76"/>
      <c r="Q1507" s="76"/>
      <c r="R1507" s="76"/>
      <c r="S1507" s="76"/>
      <c r="T1507" s="76"/>
      <c r="U1507" s="76"/>
      <c r="V1507" s="76"/>
      <c r="W1507" s="76"/>
      <c r="X1507" s="76"/>
      <c r="Y1507" s="76"/>
      <c r="Z1507" s="76"/>
      <c r="AA1507" s="76"/>
      <c r="AB1507" s="76"/>
      <c r="AC1507" s="76"/>
      <c r="AD1507" s="76"/>
      <c r="AE1507" s="76"/>
      <c r="AF1507" s="76"/>
      <c r="AG1507" s="76"/>
      <c r="AH1507" s="76"/>
      <c r="AI1507" s="76"/>
      <c r="AJ1507" s="76"/>
      <c r="AK1507" s="76"/>
      <c r="AL1507" s="76"/>
      <c r="AM1507" s="76"/>
      <c r="AN1507" s="76"/>
      <c r="AO1507" s="76"/>
      <c r="AP1507" s="76"/>
      <c r="AQ1507" s="76"/>
      <c r="AR1507" s="76"/>
      <c r="AS1507" s="76"/>
      <c r="AT1507" s="76"/>
      <c r="AU1507" s="76"/>
      <c r="AV1507" s="76"/>
      <c r="AW1507" s="76"/>
      <c r="AX1507" s="76"/>
      <c r="AY1507" s="76"/>
      <c r="AZ1507" s="76"/>
      <c r="BA1507" s="76"/>
      <c r="BB1507" s="76"/>
    </row>
    <row r="1508" spans="5:54" x14ac:dyDescent="0.35">
      <c r="E1508" s="83"/>
      <c r="F1508" s="83"/>
      <c r="G1508" s="76"/>
      <c r="H1508" s="76"/>
      <c r="I1508" s="76"/>
      <c r="J1508" s="76"/>
      <c r="K1508" s="76"/>
      <c r="L1508" s="76"/>
      <c r="M1508" s="76"/>
      <c r="N1508" s="76"/>
      <c r="O1508" s="76"/>
      <c r="P1508" s="76"/>
      <c r="Q1508" s="76"/>
      <c r="R1508" s="76"/>
      <c r="S1508" s="76"/>
      <c r="T1508" s="76"/>
      <c r="U1508" s="76"/>
      <c r="V1508" s="76"/>
      <c r="W1508" s="76"/>
      <c r="X1508" s="76"/>
      <c r="Y1508" s="76"/>
      <c r="Z1508" s="76"/>
      <c r="AA1508" s="76"/>
      <c r="AB1508" s="76"/>
      <c r="AC1508" s="76"/>
      <c r="AD1508" s="76"/>
      <c r="AE1508" s="76"/>
      <c r="AF1508" s="76"/>
      <c r="AG1508" s="76"/>
      <c r="AH1508" s="76"/>
      <c r="AI1508" s="76"/>
      <c r="AJ1508" s="76"/>
      <c r="AK1508" s="76"/>
      <c r="AL1508" s="76"/>
      <c r="AM1508" s="76"/>
      <c r="AN1508" s="76"/>
      <c r="AO1508" s="76"/>
      <c r="AP1508" s="76"/>
      <c r="AQ1508" s="76"/>
      <c r="AR1508" s="76"/>
      <c r="AS1508" s="76"/>
      <c r="AT1508" s="76"/>
      <c r="AU1508" s="76"/>
      <c r="AV1508" s="76"/>
      <c r="AW1508" s="76"/>
      <c r="AX1508" s="76"/>
      <c r="AY1508" s="76"/>
      <c r="AZ1508" s="76"/>
      <c r="BA1508" s="76"/>
      <c r="BB1508" s="76"/>
    </row>
    <row r="1509" spans="5:54" x14ac:dyDescent="0.35">
      <c r="E1509" s="83"/>
      <c r="F1509" s="83"/>
      <c r="G1509" s="76"/>
      <c r="H1509" s="76"/>
      <c r="I1509" s="76"/>
      <c r="J1509" s="76"/>
      <c r="K1509" s="76"/>
      <c r="L1509" s="76"/>
      <c r="M1509" s="76"/>
      <c r="N1509" s="76"/>
      <c r="O1509" s="76"/>
      <c r="P1509" s="76"/>
      <c r="Q1509" s="76"/>
      <c r="R1509" s="76"/>
      <c r="S1509" s="76"/>
      <c r="T1509" s="76"/>
      <c r="U1509" s="76"/>
      <c r="V1509" s="76"/>
      <c r="W1509" s="76"/>
      <c r="X1509" s="76"/>
      <c r="Y1509" s="76"/>
      <c r="Z1509" s="76"/>
      <c r="AA1509" s="76"/>
      <c r="AB1509" s="76"/>
      <c r="AC1509" s="76"/>
      <c r="AD1509" s="76"/>
      <c r="AE1509" s="76"/>
      <c r="AF1509" s="76"/>
      <c r="AG1509" s="76"/>
      <c r="AH1509" s="76"/>
      <c r="AI1509" s="76"/>
      <c r="AJ1509" s="76"/>
      <c r="AK1509" s="76"/>
      <c r="AL1509" s="76"/>
      <c r="AM1509" s="76"/>
      <c r="AN1509" s="76"/>
      <c r="AO1509" s="76"/>
      <c r="AP1509" s="76"/>
      <c r="AQ1509" s="76"/>
      <c r="AR1509" s="76"/>
      <c r="AS1509" s="76"/>
      <c r="AT1509" s="76"/>
      <c r="AU1509" s="76"/>
      <c r="AV1509" s="76"/>
      <c r="AW1509" s="76"/>
      <c r="AX1509" s="76"/>
      <c r="AY1509" s="76"/>
      <c r="AZ1509" s="76"/>
      <c r="BA1509" s="76"/>
      <c r="BB1509" s="76"/>
    </row>
    <row r="1510" spans="5:54" x14ac:dyDescent="0.35">
      <c r="E1510" s="83"/>
      <c r="F1510" s="83"/>
      <c r="G1510" s="76"/>
      <c r="H1510" s="76"/>
      <c r="I1510" s="76"/>
      <c r="J1510" s="76"/>
      <c r="K1510" s="76"/>
      <c r="L1510" s="76"/>
      <c r="M1510" s="76"/>
      <c r="N1510" s="76"/>
      <c r="O1510" s="76"/>
      <c r="P1510" s="76"/>
      <c r="Q1510" s="76"/>
      <c r="R1510" s="76"/>
      <c r="S1510" s="76"/>
      <c r="T1510" s="76"/>
      <c r="U1510" s="76"/>
      <c r="V1510" s="76"/>
      <c r="W1510" s="76"/>
      <c r="X1510" s="76"/>
      <c r="Y1510" s="76"/>
      <c r="Z1510" s="76"/>
      <c r="AA1510" s="76"/>
      <c r="AB1510" s="76"/>
      <c r="AC1510" s="76"/>
      <c r="AD1510" s="76"/>
      <c r="AE1510" s="76"/>
      <c r="AF1510" s="76"/>
      <c r="AG1510" s="76"/>
      <c r="AH1510" s="76"/>
      <c r="AI1510" s="76"/>
      <c r="AJ1510" s="76"/>
      <c r="AK1510" s="76"/>
      <c r="AL1510" s="76"/>
      <c r="AM1510" s="76"/>
      <c r="AN1510" s="76"/>
      <c r="AO1510" s="76"/>
      <c r="AP1510" s="76"/>
      <c r="AQ1510" s="76"/>
      <c r="AR1510" s="76"/>
      <c r="AS1510" s="76"/>
      <c r="AT1510" s="76"/>
      <c r="AU1510" s="76"/>
      <c r="AV1510" s="76"/>
      <c r="AW1510" s="76"/>
      <c r="AX1510" s="76"/>
      <c r="AY1510" s="76"/>
      <c r="AZ1510" s="76"/>
      <c r="BA1510" s="76"/>
      <c r="BB1510" s="76"/>
    </row>
    <row r="1511" spans="5:54" x14ac:dyDescent="0.35">
      <c r="E1511" s="83"/>
      <c r="F1511" s="83"/>
      <c r="G1511" s="76"/>
      <c r="H1511" s="76"/>
      <c r="I1511" s="76"/>
      <c r="J1511" s="76"/>
      <c r="K1511" s="76"/>
      <c r="L1511" s="76"/>
      <c r="M1511" s="76"/>
      <c r="N1511" s="76"/>
      <c r="O1511" s="76"/>
      <c r="P1511" s="76"/>
      <c r="Q1511" s="76"/>
      <c r="R1511" s="76"/>
      <c r="S1511" s="76"/>
      <c r="T1511" s="76"/>
      <c r="U1511" s="76"/>
      <c r="V1511" s="76"/>
      <c r="W1511" s="76"/>
      <c r="X1511" s="76"/>
      <c r="Y1511" s="76"/>
      <c r="Z1511" s="76"/>
      <c r="AA1511" s="76"/>
      <c r="AB1511" s="76"/>
      <c r="AC1511" s="76"/>
      <c r="AD1511" s="76"/>
      <c r="AE1511" s="76"/>
      <c r="AF1511" s="76"/>
      <c r="AG1511" s="76"/>
      <c r="AH1511" s="76"/>
      <c r="AI1511" s="76"/>
      <c r="AJ1511" s="76"/>
      <c r="AK1511" s="76"/>
      <c r="AL1511" s="76"/>
      <c r="AM1511" s="76"/>
      <c r="AN1511" s="76"/>
      <c r="AO1511" s="76"/>
      <c r="AP1511" s="76"/>
      <c r="AQ1511" s="76"/>
      <c r="AR1511" s="76"/>
      <c r="AS1511" s="76"/>
      <c r="AT1511" s="76"/>
      <c r="AU1511" s="76"/>
      <c r="AV1511" s="76"/>
      <c r="AW1511" s="76"/>
      <c r="AX1511" s="76"/>
      <c r="AY1511" s="76"/>
      <c r="AZ1511" s="76"/>
      <c r="BA1511" s="76"/>
      <c r="BB1511" s="76"/>
    </row>
    <row r="1512" spans="5:54" x14ac:dyDescent="0.35">
      <c r="E1512" s="83"/>
      <c r="F1512" s="83"/>
      <c r="G1512" s="76"/>
      <c r="H1512" s="76"/>
      <c r="I1512" s="76"/>
      <c r="J1512" s="76"/>
      <c r="K1512" s="76"/>
      <c r="L1512" s="76"/>
      <c r="M1512" s="76"/>
      <c r="N1512" s="76"/>
      <c r="O1512" s="76"/>
      <c r="P1512" s="76"/>
      <c r="Q1512" s="76"/>
      <c r="R1512" s="76"/>
      <c r="S1512" s="76"/>
      <c r="T1512" s="76"/>
      <c r="U1512" s="76"/>
      <c r="V1512" s="76"/>
      <c r="W1512" s="76"/>
      <c r="X1512" s="76"/>
      <c r="Y1512" s="76"/>
      <c r="Z1512" s="76"/>
      <c r="AA1512" s="76"/>
      <c r="AB1512" s="76"/>
      <c r="AC1512" s="76"/>
      <c r="AD1512" s="76"/>
      <c r="AE1512" s="76"/>
      <c r="AF1512" s="76"/>
      <c r="AG1512" s="76"/>
      <c r="AH1512" s="76"/>
      <c r="AI1512" s="76"/>
      <c r="AJ1512" s="76"/>
      <c r="AK1512" s="76"/>
      <c r="AL1512" s="76"/>
      <c r="AM1512" s="76"/>
      <c r="AN1512" s="76"/>
      <c r="AO1512" s="76"/>
      <c r="AP1512" s="76"/>
      <c r="AQ1512" s="76"/>
      <c r="AR1512" s="76"/>
      <c r="AS1512" s="76"/>
      <c r="AT1512" s="76"/>
      <c r="AU1512" s="76"/>
      <c r="AV1512" s="76"/>
      <c r="AW1512" s="76"/>
      <c r="AX1512" s="76"/>
      <c r="AY1512" s="76"/>
      <c r="AZ1512" s="76"/>
      <c r="BA1512" s="76"/>
      <c r="BB1512" s="76"/>
    </row>
    <row r="1513" spans="5:54" x14ac:dyDescent="0.35">
      <c r="E1513" s="83"/>
      <c r="F1513" s="83"/>
      <c r="G1513" s="76"/>
      <c r="H1513" s="76"/>
      <c r="I1513" s="76"/>
      <c r="J1513" s="76"/>
      <c r="K1513" s="76"/>
      <c r="L1513" s="76"/>
      <c r="M1513" s="76"/>
      <c r="N1513" s="76"/>
      <c r="O1513" s="76"/>
      <c r="P1513" s="76"/>
      <c r="Q1513" s="76"/>
      <c r="R1513" s="76"/>
      <c r="S1513" s="76"/>
      <c r="T1513" s="76"/>
      <c r="U1513" s="76"/>
      <c r="V1513" s="76"/>
      <c r="W1513" s="76"/>
      <c r="X1513" s="76"/>
      <c r="Y1513" s="76"/>
      <c r="Z1513" s="76"/>
      <c r="AA1513" s="76"/>
      <c r="AB1513" s="76"/>
      <c r="AC1513" s="76"/>
      <c r="AD1513" s="76"/>
      <c r="AE1513" s="76"/>
      <c r="AF1513" s="76"/>
      <c r="AG1513" s="76"/>
      <c r="AH1513" s="76"/>
      <c r="AI1513" s="76"/>
      <c r="AJ1513" s="76"/>
      <c r="AK1513" s="76"/>
      <c r="AL1513" s="76"/>
      <c r="AM1513" s="76"/>
      <c r="AN1513" s="76"/>
      <c r="AO1513" s="76"/>
      <c r="AP1513" s="76"/>
      <c r="AQ1513" s="76"/>
      <c r="AR1513" s="76"/>
      <c r="AS1513" s="76"/>
      <c r="AT1513" s="76"/>
      <c r="AU1513" s="76"/>
      <c r="AV1513" s="76"/>
      <c r="AW1513" s="76"/>
      <c r="AX1513" s="76"/>
      <c r="AY1513" s="76"/>
      <c r="AZ1513" s="76"/>
      <c r="BA1513" s="76"/>
      <c r="BB1513" s="76"/>
    </row>
    <row r="1514" spans="5:54" x14ac:dyDescent="0.35">
      <c r="E1514" s="83"/>
      <c r="F1514" s="83"/>
      <c r="G1514" s="76"/>
      <c r="H1514" s="76"/>
      <c r="I1514" s="76"/>
      <c r="J1514" s="76"/>
      <c r="K1514" s="76"/>
      <c r="L1514" s="76"/>
      <c r="M1514" s="76"/>
      <c r="N1514" s="76"/>
      <c r="O1514" s="76"/>
      <c r="P1514" s="76"/>
      <c r="Q1514" s="76"/>
      <c r="R1514" s="76"/>
      <c r="S1514" s="76"/>
      <c r="T1514" s="76"/>
      <c r="U1514" s="76"/>
      <c r="V1514" s="76"/>
      <c r="W1514" s="76"/>
      <c r="X1514" s="76"/>
      <c r="Y1514" s="76"/>
      <c r="Z1514" s="76"/>
      <c r="AA1514" s="76"/>
      <c r="AB1514" s="76"/>
      <c r="AC1514" s="76"/>
      <c r="AD1514" s="76"/>
      <c r="AE1514" s="76"/>
      <c r="AF1514" s="76"/>
      <c r="AG1514" s="76"/>
      <c r="AH1514" s="76"/>
      <c r="AI1514" s="76"/>
      <c r="AJ1514" s="76"/>
      <c r="AK1514" s="76"/>
      <c r="AL1514" s="76"/>
      <c r="AM1514" s="76"/>
      <c r="AN1514" s="76"/>
      <c r="AO1514" s="76"/>
      <c r="AP1514" s="76"/>
      <c r="AQ1514" s="76"/>
      <c r="AR1514" s="76"/>
      <c r="AS1514" s="76"/>
      <c r="AT1514" s="76"/>
      <c r="AU1514" s="76"/>
      <c r="AV1514" s="76"/>
      <c r="AW1514" s="76"/>
      <c r="AX1514" s="76"/>
      <c r="AY1514" s="76"/>
      <c r="AZ1514" s="76"/>
      <c r="BA1514" s="76"/>
      <c r="BB1514" s="76"/>
    </row>
    <row r="1515" spans="5:54" x14ac:dyDescent="0.35">
      <c r="E1515" s="83"/>
      <c r="F1515" s="83"/>
      <c r="G1515" s="76"/>
      <c r="H1515" s="76"/>
      <c r="I1515" s="76"/>
      <c r="J1515" s="76"/>
      <c r="K1515" s="76"/>
      <c r="L1515" s="76"/>
      <c r="M1515" s="76"/>
      <c r="N1515" s="76"/>
      <c r="O1515" s="76"/>
      <c r="P1515" s="76"/>
      <c r="Q1515" s="76"/>
      <c r="R1515" s="76"/>
      <c r="S1515" s="76"/>
      <c r="T1515" s="76"/>
      <c r="U1515" s="76"/>
      <c r="V1515" s="76"/>
      <c r="W1515" s="76"/>
      <c r="X1515" s="76"/>
      <c r="Y1515" s="76"/>
      <c r="Z1515" s="76"/>
      <c r="AA1515" s="76"/>
      <c r="AB1515" s="76"/>
      <c r="AC1515" s="76"/>
      <c r="AD1515" s="76"/>
      <c r="AE1515" s="76"/>
      <c r="AF1515" s="76"/>
      <c r="AG1515" s="76"/>
      <c r="AH1515" s="76"/>
      <c r="AI1515" s="76"/>
      <c r="AJ1515" s="76"/>
      <c r="AK1515" s="76"/>
      <c r="AL1515" s="76"/>
      <c r="AM1515" s="76"/>
      <c r="AN1515" s="76"/>
      <c r="AO1515" s="76"/>
      <c r="AP1515" s="76"/>
      <c r="AQ1515" s="76"/>
      <c r="AR1515" s="76"/>
      <c r="AS1515" s="76"/>
      <c r="AT1515" s="76"/>
      <c r="AU1515" s="76"/>
      <c r="AV1515" s="76"/>
      <c r="AW1515" s="76"/>
      <c r="AX1515" s="76"/>
      <c r="AY1515" s="76"/>
      <c r="AZ1515" s="76"/>
      <c r="BA1515" s="76"/>
      <c r="BB1515" s="76"/>
    </row>
    <row r="1516" spans="5:54" x14ac:dyDescent="0.35">
      <c r="E1516" s="83"/>
      <c r="F1516" s="83"/>
      <c r="G1516" s="76"/>
      <c r="H1516" s="76"/>
      <c r="I1516" s="76"/>
      <c r="J1516" s="76"/>
      <c r="K1516" s="76"/>
      <c r="L1516" s="76"/>
      <c r="M1516" s="76"/>
      <c r="N1516" s="76"/>
      <c r="O1516" s="76"/>
      <c r="P1516" s="76"/>
      <c r="Q1516" s="76"/>
      <c r="R1516" s="76"/>
      <c r="S1516" s="76"/>
      <c r="T1516" s="76"/>
      <c r="U1516" s="76"/>
      <c r="V1516" s="76"/>
      <c r="W1516" s="76"/>
      <c r="X1516" s="76"/>
      <c r="Y1516" s="76"/>
      <c r="Z1516" s="76"/>
      <c r="AA1516" s="76"/>
      <c r="AB1516" s="76"/>
      <c r="AC1516" s="76"/>
      <c r="AD1516" s="76"/>
      <c r="AE1516" s="76"/>
      <c r="AF1516" s="76"/>
      <c r="AG1516" s="76"/>
      <c r="AH1516" s="76"/>
      <c r="AI1516" s="76"/>
      <c r="AJ1516" s="76"/>
      <c r="AK1516" s="76"/>
      <c r="AL1516" s="76"/>
      <c r="AM1516" s="76"/>
      <c r="AN1516" s="76"/>
      <c r="AO1516" s="76"/>
      <c r="AP1516" s="76"/>
      <c r="AQ1516" s="76"/>
      <c r="AR1516" s="76"/>
      <c r="AS1516" s="76"/>
      <c r="AT1516" s="76"/>
      <c r="AU1516" s="76"/>
      <c r="AV1516" s="76"/>
      <c r="AW1516" s="76"/>
      <c r="AX1516" s="76"/>
      <c r="AY1516" s="76"/>
      <c r="AZ1516" s="76"/>
      <c r="BA1516" s="76"/>
      <c r="BB1516" s="76"/>
    </row>
    <row r="1517" spans="5:54" x14ac:dyDescent="0.35">
      <c r="E1517" s="83"/>
      <c r="F1517" s="83"/>
      <c r="G1517" s="76"/>
      <c r="H1517" s="76"/>
      <c r="I1517" s="76"/>
      <c r="J1517" s="76"/>
      <c r="K1517" s="76"/>
      <c r="L1517" s="76"/>
      <c r="M1517" s="76"/>
      <c r="N1517" s="76"/>
      <c r="O1517" s="76"/>
      <c r="P1517" s="76"/>
      <c r="Q1517" s="76"/>
      <c r="R1517" s="76"/>
      <c r="S1517" s="76"/>
      <c r="T1517" s="76"/>
      <c r="U1517" s="76"/>
      <c r="V1517" s="76"/>
      <c r="W1517" s="76"/>
      <c r="X1517" s="76"/>
      <c r="Y1517" s="76"/>
      <c r="Z1517" s="76"/>
      <c r="AA1517" s="76"/>
      <c r="AB1517" s="76"/>
      <c r="AC1517" s="76"/>
      <c r="AD1517" s="76"/>
      <c r="AE1517" s="76"/>
      <c r="AF1517" s="76"/>
      <c r="AG1517" s="76"/>
      <c r="AH1517" s="76"/>
      <c r="AI1517" s="76"/>
      <c r="AJ1517" s="76"/>
      <c r="AK1517" s="76"/>
      <c r="AL1517" s="76"/>
      <c r="AM1517" s="76"/>
      <c r="AN1517" s="76"/>
      <c r="AO1517" s="76"/>
      <c r="AP1517" s="76"/>
      <c r="AQ1517" s="76"/>
      <c r="AR1517" s="76"/>
      <c r="AS1517" s="76"/>
      <c r="AT1517" s="76"/>
      <c r="AU1517" s="76"/>
      <c r="AV1517" s="76"/>
      <c r="AW1517" s="76"/>
      <c r="AX1517" s="76"/>
      <c r="AY1517" s="76"/>
      <c r="AZ1517" s="76"/>
      <c r="BA1517" s="76"/>
      <c r="BB1517" s="76"/>
    </row>
    <row r="1518" spans="5:54" x14ac:dyDescent="0.35">
      <c r="E1518" s="83"/>
      <c r="F1518" s="83"/>
      <c r="G1518" s="76"/>
      <c r="H1518" s="76"/>
      <c r="I1518" s="76"/>
      <c r="J1518" s="76"/>
      <c r="K1518" s="76"/>
      <c r="L1518" s="76"/>
      <c r="M1518" s="76"/>
      <c r="N1518" s="76"/>
      <c r="O1518" s="76"/>
      <c r="P1518" s="76"/>
      <c r="Q1518" s="76"/>
      <c r="R1518" s="76"/>
      <c r="S1518" s="76"/>
      <c r="T1518" s="76"/>
      <c r="U1518" s="76"/>
      <c r="V1518" s="76"/>
      <c r="W1518" s="76"/>
      <c r="X1518" s="76"/>
      <c r="Y1518" s="76"/>
      <c r="Z1518" s="76"/>
      <c r="AA1518" s="76"/>
      <c r="AB1518" s="76"/>
      <c r="AC1518" s="76"/>
      <c r="AD1518" s="76"/>
      <c r="AE1518" s="76"/>
      <c r="AF1518" s="76"/>
      <c r="AG1518" s="76"/>
      <c r="AH1518" s="76"/>
      <c r="AI1518" s="76"/>
      <c r="AJ1518" s="76"/>
      <c r="AK1518" s="76"/>
      <c r="AL1518" s="76"/>
      <c r="AM1518" s="76"/>
      <c r="AN1518" s="76"/>
      <c r="AO1518" s="76"/>
      <c r="AP1518" s="76"/>
      <c r="AQ1518" s="76"/>
      <c r="AR1518" s="76"/>
      <c r="AS1518" s="76"/>
      <c r="AT1518" s="76"/>
      <c r="AU1518" s="76"/>
      <c r="AV1518" s="76"/>
      <c r="AW1518" s="76"/>
      <c r="AX1518" s="76"/>
      <c r="AY1518" s="76"/>
      <c r="AZ1518" s="76"/>
      <c r="BA1518" s="76"/>
      <c r="BB1518" s="76"/>
    </row>
    <row r="1519" spans="5:54" x14ac:dyDescent="0.35">
      <c r="E1519" s="83"/>
      <c r="F1519" s="83"/>
      <c r="G1519" s="76"/>
      <c r="H1519" s="76"/>
      <c r="I1519" s="76"/>
      <c r="J1519" s="76"/>
      <c r="K1519" s="76"/>
      <c r="L1519" s="76"/>
      <c r="M1519" s="76"/>
      <c r="N1519" s="76"/>
      <c r="O1519" s="76"/>
      <c r="P1519" s="76"/>
      <c r="Q1519" s="76"/>
      <c r="R1519" s="76"/>
      <c r="S1519" s="76"/>
      <c r="T1519" s="76"/>
      <c r="U1519" s="76"/>
      <c r="V1519" s="76"/>
      <c r="W1519" s="76"/>
      <c r="X1519" s="76"/>
      <c r="Y1519" s="76"/>
      <c r="Z1519" s="76"/>
      <c r="AA1519" s="76"/>
      <c r="AB1519" s="76"/>
      <c r="AC1519" s="76"/>
      <c r="AD1519" s="76"/>
      <c r="AE1519" s="76"/>
      <c r="AF1519" s="76"/>
      <c r="AG1519" s="76"/>
      <c r="AH1519" s="76"/>
      <c r="AI1519" s="76"/>
      <c r="AJ1519" s="76"/>
      <c r="AK1519" s="76"/>
      <c r="AL1519" s="76"/>
      <c r="AM1519" s="76"/>
      <c r="AN1519" s="76"/>
      <c r="AO1519" s="76"/>
      <c r="AP1519" s="76"/>
      <c r="AQ1519" s="76"/>
      <c r="AR1519" s="76"/>
      <c r="AS1519" s="76"/>
      <c r="AT1519" s="76"/>
      <c r="AU1519" s="76"/>
      <c r="AV1519" s="76"/>
      <c r="AW1519" s="76"/>
      <c r="AX1519" s="76"/>
      <c r="AY1519" s="76"/>
      <c r="AZ1519" s="76"/>
      <c r="BA1519" s="76"/>
      <c r="BB1519" s="76"/>
    </row>
    <row r="1520" spans="5:54" x14ac:dyDescent="0.35">
      <c r="E1520" s="83"/>
      <c r="F1520" s="83"/>
      <c r="G1520" s="76"/>
      <c r="H1520" s="76"/>
      <c r="I1520" s="76"/>
      <c r="J1520" s="76"/>
      <c r="K1520" s="76"/>
      <c r="L1520" s="76"/>
      <c r="M1520" s="76"/>
      <c r="N1520" s="76"/>
      <c r="O1520" s="76"/>
      <c r="P1520" s="76"/>
      <c r="Q1520" s="76"/>
      <c r="R1520" s="76"/>
      <c r="S1520" s="76"/>
      <c r="T1520" s="76"/>
      <c r="U1520" s="76"/>
      <c r="V1520" s="76"/>
      <c r="W1520" s="76"/>
      <c r="X1520" s="76"/>
      <c r="Y1520" s="76"/>
      <c r="Z1520" s="76"/>
      <c r="AA1520" s="76"/>
      <c r="AB1520" s="76"/>
      <c r="AC1520" s="76"/>
      <c r="AD1520" s="76"/>
      <c r="AE1520" s="76"/>
      <c r="AF1520" s="76"/>
      <c r="AG1520" s="76"/>
      <c r="AH1520" s="76"/>
      <c r="AI1520" s="76"/>
      <c r="AJ1520" s="76"/>
      <c r="AK1520" s="76"/>
      <c r="AL1520" s="76"/>
      <c r="AM1520" s="76"/>
      <c r="AN1520" s="76"/>
      <c r="AO1520" s="76"/>
      <c r="AP1520" s="76"/>
      <c r="AQ1520" s="76"/>
      <c r="AR1520" s="76"/>
      <c r="AS1520" s="76"/>
      <c r="AT1520" s="76"/>
      <c r="AU1520" s="76"/>
      <c r="AV1520" s="76"/>
      <c r="AW1520" s="76"/>
      <c r="AX1520" s="76"/>
      <c r="AY1520" s="76"/>
      <c r="AZ1520" s="76"/>
      <c r="BA1520" s="76"/>
      <c r="BB1520" s="76"/>
    </row>
    <row r="1521" spans="5:54" x14ac:dyDescent="0.35">
      <c r="E1521" s="83"/>
      <c r="F1521" s="83"/>
      <c r="G1521" s="76"/>
      <c r="H1521" s="76"/>
      <c r="I1521" s="76"/>
      <c r="J1521" s="76"/>
      <c r="K1521" s="76"/>
      <c r="L1521" s="76"/>
      <c r="M1521" s="76"/>
      <c r="N1521" s="76"/>
      <c r="O1521" s="76"/>
      <c r="P1521" s="76"/>
      <c r="Q1521" s="76"/>
      <c r="R1521" s="76"/>
      <c r="S1521" s="76"/>
      <c r="T1521" s="76"/>
      <c r="U1521" s="76"/>
      <c r="V1521" s="76"/>
      <c r="W1521" s="76"/>
      <c r="X1521" s="76"/>
      <c r="Y1521" s="76"/>
      <c r="Z1521" s="76"/>
      <c r="AA1521" s="76"/>
      <c r="AB1521" s="76"/>
      <c r="AC1521" s="76"/>
      <c r="AD1521" s="76"/>
      <c r="AE1521" s="76"/>
      <c r="AF1521" s="76"/>
      <c r="AG1521" s="76"/>
      <c r="AH1521" s="76"/>
      <c r="AI1521" s="76"/>
      <c r="AJ1521" s="76"/>
      <c r="AK1521" s="76"/>
      <c r="AL1521" s="76"/>
      <c r="AM1521" s="76"/>
      <c r="AN1521" s="76"/>
      <c r="AO1521" s="76"/>
      <c r="AP1521" s="76"/>
      <c r="AQ1521" s="76"/>
      <c r="AR1521" s="76"/>
      <c r="AS1521" s="76"/>
      <c r="AT1521" s="76"/>
      <c r="AU1521" s="76"/>
      <c r="AV1521" s="76"/>
      <c r="AW1521" s="76"/>
      <c r="AX1521" s="76"/>
      <c r="AY1521" s="76"/>
      <c r="AZ1521" s="76"/>
      <c r="BA1521" s="76"/>
      <c r="BB1521" s="76"/>
    </row>
    <row r="1522" spans="5:54" x14ac:dyDescent="0.35">
      <c r="E1522" s="83"/>
      <c r="F1522" s="83"/>
      <c r="G1522" s="76"/>
      <c r="H1522" s="76"/>
      <c r="I1522" s="76"/>
      <c r="J1522" s="76"/>
      <c r="K1522" s="76"/>
      <c r="L1522" s="76"/>
      <c r="M1522" s="76"/>
      <c r="N1522" s="76"/>
      <c r="O1522" s="76"/>
      <c r="P1522" s="76"/>
      <c r="Q1522" s="76"/>
      <c r="R1522" s="76"/>
      <c r="S1522" s="76"/>
      <c r="T1522" s="76"/>
      <c r="U1522" s="76"/>
      <c r="V1522" s="76"/>
      <c r="W1522" s="76"/>
      <c r="X1522" s="76"/>
      <c r="Y1522" s="76"/>
      <c r="Z1522" s="76"/>
      <c r="AA1522" s="76"/>
      <c r="AB1522" s="76"/>
      <c r="AC1522" s="76"/>
      <c r="AD1522" s="76"/>
      <c r="AE1522" s="76"/>
      <c r="AF1522" s="76"/>
      <c r="AG1522" s="76"/>
      <c r="AH1522" s="76"/>
      <c r="AI1522" s="76"/>
      <c r="AJ1522" s="76"/>
      <c r="AK1522" s="76"/>
      <c r="AL1522" s="76"/>
      <c r="AM1522" s="76"/>
      <c r="AN1522" s="76"/>
      <c r="AO1522" s="76"/>
      <c r="AP1522" s="76"/>
      <c r="AQ1522" s="76"/>
      <c r="AR1522" s="76"/>
      <c r="AS1522" s="76"/>
      <c r="AT1522" s="76"/>
      <c r="AU1522" s="76"/>
      <c r="AV1522" s="76"/>
      <c r="AW1522" s="76"/>
      <c r="AX1522" s="76"/>
      <c r="AY1522" s="76"/>
      <c r="AZ1522" s="76"/>
      <c r="BA1522" s="76"/>
      <c r="BB1522" s="76"/>
    </row>
    <row r="1523" spans="5:54" x14ac:dyDescent="0.35">
      <c r="E1523" s="83"/>
      <c r="F1523" s="83"/>
      <c r="G1523" s="76"/>
      <c r="H1523" s="76"/>
      <c r="I1523" s="76"/>
      <c r="J1523" s="76"/>
      <c r="K1523" s="76"/>
      <c r="L1523" s="76"/>
      <c r="M1523" s="76"/>
      <c r="N1523" s="76"/>
      <c r="O1523" s="76"/>
      <c r="P1523" s="76"/>
      <c r="Q1523" s="76"/>
      <c r="R1523" s="76"/>
      <c r="S1523" s="76"/>
      <c r="T1523" s="76"/>
      <c r="U1523" s="76"/>
      <c r="V1523" s="76"/>
      <c r="W1523" s="76"/>
      <c r="X1523" s="76"/>
      <c r="Y1523" s="76"/>
      <c r="Z1523" s="76"/>
      <c r="AA1523" s="76"/>
      <c r="AB1523" s="76"/>
      <c r="AC1523" s="76"/>
      <c r="AD1523" s="76"/>
      <c r="AE1523" s="76"/>
      <c r="AF1523" s="76"/>
      <c r="AG1523" s="76"/>
      <c r="AH1523" s="76"/>
      <c r="AI1523" s="76"/>
      <c r="AJ1523" s="76"/>
      <c r="AK1523" s="76"/>
      <c r="AL1523" s="76"/>
      <c r="AM1523" s="76"/>
      <c r="AN1523" s="76"/>
      <c r="AO1523" s="76"/>
      <c r="AP1523" s="76"/>
      <c r="AQ1523" s="76"/>
      <c r="AR1523" s="76"/>
      <c r="AS1523" s="76"/>
      <c r="AT1523" s="76"/>
      <c r="AU1523" s="76"/>
      <c r="AV1523" s="76"/>
      <c r="AW1523" s="76"/>
      <c r="AX1523" s="76"/>
      <c r="AY1523" s="76"/>
      <c r="AZ1523" s="76"/>
      <c r="BA1523" s="76"/>
      <c r="BB1523" s="76"/>
    </row>
    <row r="1524" spans="5:54" x14ac:dyDescent="0.35">
      <c r="E1524" s="83"/>
      <c r="F1524" s="83"/>
      <c r="G1524" s="76"/>
      <c r="H1524" s="76"/>
      <c r="I1524" s="76"/>
      <c r="J1524" s="76"/>
      <c r="K1524" s="76"/>
      <c r="L1524" s="76"/>
      <c r="M1524" s="76"/>
      <c r="N1524" s="76"/>
      <c r="O1524" s="76"/>
      <c r="P1524" s="76"/>
      <c r="Q1524" s="76"/>
      <c r="R1524" s="76"/>
      <c r="S1524" s="76"/>
      <c r="T1524" s="76"/>
      <c r="U1524" s="76"/>
      <c r="V1524" s="76"/>
      <c r="W1524" s="76"/>
      <c r="X1524" s="76"/>
      <c r="Y1524" s="76"/>
      <c r="Z1524" s="76"/>
      <c r="AA1524" s="76"/>
      <c r="AB1524" s="76"/>
      <c r="AC1524" s="76"/>
      <c r="AD1524" s="76"/>
      <c r="AE1524" s="76"/>
      <c r="AF1524" s="76"/>
      <c r="AG1524" s="76"/>
      <c r="AH1524" s="76"/>
      <c r="AI1524" s="76"/>
      <c r="AJ1524" s="76"/>
      <c r="AK1524" s="76"/>
      <c r="AL1524" s="76"/>
      <c r="AM1524" s="76"/>
      <c r="AN1524" s="76"/>
      <c r="AO1524" s="76"/>
      <c r="AP1524" s="76"/>
      <c r="AQ1524" s="76"/>
      <c r="AR1524" s="76"/>
      <c r="AS1524" s="76"/>
      <c r="AT1524" s="76"/>
      <c r="AU1524" s="76"/>
      <c r="AV1524" s="76"/>
      <c r="AW1524" s="76"/>
      <c r="AX1524" s="76"/>
      <c r="AY1524" s="76"/>
      <c r="AZ1524" s="76"/>
      <c r="BA1524" s="76"/>
      <c r="BB1524" s="76"/>
    </row>
    <row r="1525" spans="5:54" x14ac:dyDescent="0.35">
      <c r="E1525" s="83"/>
      <c r="F1525" s="83"/>
      <c r="G1525" s="76"/>
      <c r="H1525" s="76"/>
      <c r="I1525" s="76"/>
      <c r="J1525" s="76"/>
      <c r="K1525" s="76"/>
      <c r="L1525" s="76"/>
      <c r="M1525" s="76"/>
      <c r="N1525" s="76"/>
      <c r="O1525" s="76"/>
      <c r="P1525" s="76"/>
      <c r="Q1525" s="76"/>
      <c r="R1525" s="76"/>
      <c r="S1525" s="76"/>
      <c r="T1525" s="76"/>
      <c r="U1525" s="76"/>
      <c r="V1525" s="76"/>
      <c r="W1525" s="76"/>
      <c r="X1525" s="76"/>
      <c r="Y1525" s="76"/>
      <c r="Z1525" s="76"/>
      <c r="AA1525" s="76"/>
      <c r="AB1525" s="76"/>
      <c r="AC1525" s="76"/>
      <c r="AD1525" s="76"/>
      <c r="AE1525" s="76"/>
      <c r="AF1525" s="76"/>
      <c r="AG1525" s="76"/>
      <c r="AH1525" s="76"/>
      <c r="AI1525" s="76"/>
      <c r="AJ1525" s="76"/>
      <c r="AK1525" s="76"/>
      <c r="AL1525" s="76"/>
      <c r="AM1525" s="76"/>
      <c r="AN1525" s="76"/>
      <c r="AO1525" s="76"/>
      <c r="AP1525" s="76"/>
      <c r="AQ1525" s="76"/>
      <c r="AR1525" s="76"/>
      <c r="AS1525" s="76"/>
      <c r="AT1525" s="76"/>
      <c r="AU1525" s="76"/>
      <c r="AV1525" s="76"/>
      <c r="AW1525" s="76"/>
      <c r="AX1525" s="76"/>
      <c r="AY1525" s="76"/>
      <c r="AZ1525" s="76"/>
      <c r="BA1525" s="76"/>
      <c r="BB1525" s="76"/>
    </row>
    <row r="1526" spans="5:54" x14ac:dyDescent="0.35">
      <c r="E1526" s="83"/>
      <c r="F1526" s="83"/>
      <c r="G1526" s="76"/>
      <c r="H1526" s="76"/>
      <c r="I1526" s="76"/>
      <c r="J1526" s="76"/>
      <c r="K1526" s="76"/>
      <c r="L1526" s="76"/>
      <c r="M1526" s="76"/>
      <c r="N1526" s="76"/>
      <c r="O1526" s="76"/>
      <c r="P1526" s="76"/>
      <c r="Q1526" s="76"/>
      <c r="R1526" s="76"/>
      <c r="S1526" s="76"/>
      <c r="T1526" s="76"/>
      <c r="U1526" s="76"/>
      <c r="V1526" s="76"/>
      <c r="W1526" s="76"/>
      <c r="X1526" s="76"/>
      <c r="Y1526" s="76"/>
      <c r="Z1526" s="76"/>
      <c r="AA1526" s="76"/>
      <c r="AB1526" s="76"/>
      <c r="AC1526" s="76"/>
      <c r="AD1526" s="76"/>
      <c r="AE1526" s="76"/>
      <c r="AF1526" s="76"/>
      <c r="AG1526" s="76"/>
      <c r="AH1526" s="76"/>
      <c r="AI1526" s="76"/>
      <c r="AJ1526" s="76"/>
      <c r="AK1526" s="76"/>
      <c r="AL1526" s="76"/>
      <c r="AM1526" s="76"/>
      <c r="AN1526" s="76"/>
      <c r="AO1526" s="76"/>
      <c r="AP1526" s="76"/>
      <c r="AQ1526" s="76"/>
      <c r="AR1526" s="76"/>
      <c r="AS1526" s="76"/>
      <c r="AT1526" s="76"/>
      <c r="AU1526" s="76"/>
      <c r="AV1526" s="76"/>
      <c r="AW1526" s="76"/>
      <c r="AX1526" s="76"/>
      <c r="AY1526" s="76"/>
      <c r="AZ1526" s="76"/>
      <c r="BA1526" s="76"/>
      <c r="BB1526" s="76"/>
    </row>
    <row r="1527" spans="5:54" x14ac:dyDescent="0.35">
      <c r="E1527" s="83"/>
      <c r="F1527" s="83"/>
      <c r="G1527" s="76"/>
      <c r="H1527" s="76"/>
      <c r="I1527" s="76"/>
      <c r="J1527" s="76"/>
      <c r="K1527" s="76"/>
      <c r="L1527" s="76"/>
      <c r="M1527" s="76"/>
      <c r="N1527" s="76"/>
      <c r="O1527" s="76"/>
      <c r="P1527" s="76"/>
      <c r="Q1527" s="76"/>
      <c r="R1527" s="76"/>
      <c r="S1527" s="76"/>
      <c r="T1527" s="76"/>
      <c r="U1527" s="76"/>
      <c r="V1527" s="76"/>
      <c r="W1527" s="76"/>
      <c r="X1527" s="76"/>
      <c r="Y1527" s="76"/>
      <c r="Z1527" s="76"/>
      <c r="AA1527" s="76"/>
      <c r="AB1527" s="76"/>
      <c r="AC1527" s="76"/>
      <c r="AD1527" s="76"/>
      <c r="AE1527" s="76"/>
      <c r="AF1527" s="76"/>
      <c r="AG1527" s="76"/>
      <c r="AH1527" s="76"/>
      <c r="AI1527" s="76"/>
      <c r="AJ1527" s="76"/>
      <c r="AK1527" s="76"/>
      <c r="AL1527" s="76"/>
      <c r="AM1527" s="76"/>
      <c r="AN1527" s="76"/>
      <c r="AO1527" s="76"/>
      <c r="AP1527" s="76"/>
      <c r="AQ1527" s="76"/>
      <c r="AR1527" s="76"/>
      <c r="AS1527" s="76"/>
      <c r="AT1527" s="76"/>
      <c r="AU1527" s="76"/>
      <c r="AV1527" s="76"/>
      <c r="AW1527" s="76"/>
      <c r="AX1527" s="76"/>
      <c r="AY1527" s="76"/>
      <c r="AZ1527" s="76"/>
      <c r="BA1527" s="76"/>
      <c r="BB1527" s="76"/>
    </row>
    <row r="1528" spans="5:54" x14ac:dyDescent="0.35">
      <c r="E1528" s="83"/>
      <c r="F1528" s="83"/>
      <c r="G1528" s="76"/>
      <c r="H1528" s="76"/>
      <c r="I1528" s="76"/>
      <c r="J1528" s="76"/>
      <c r="K1528" s="76"/>
      <c r="L1528" s="76"/>
      <c r="M1528" s="76"/>
      <c r="N1528" s="76"/>
      <c r="O1528" s="76"/>
      <c r="P1528" s="76"/>
      <c r="Q1528" s="76"/>
      <c r="R1528" s="76"/>
      <c r="S1528" s="76"/>
      <c r="T1528" s="76"/>
      <c r="U1528" s="76"/>
      <c r="V1528" s="76"/>
      <c r="W1528" s="76"/>
      <c r="X1528" s="76"/>
      <c r="Y1528" s="76"/>
      <c r="Z1528" s="76"/>
      <c r="AA1528" s="76"/>
      <c r="AB1528" s="76"/>
      <c r="AC1528" s="76"/>
      <c r="AD1528" s="76"/>
      <c r="AE1528" s="76"/>
      <c r="AF1528" s="76"/>
      <c r="AG1528" s="76"/>
      <c r="AH1528" s="76"/>
      <c r="AI1528" s="76"/>
      <c r="AJ1528" s="76"/>
      <c r="AK1528" s="76"/>
      <c r="AL1528" s="76"/>
      <c r="AM1528" s="76"/>
      <c r="AN1528" s="76"/>
      <c r="AO1528" s="76"/>
      <c r="AP1528" s="76"/>
      <c r="AQ1528" s="76"/>
      <c r="AR1528" s="76"/>
      <c r="AS1528" s="76"/>
      <c r="AT1528" s="76"/>
      <c r="AU1528" s="76"/>
      <c r="AV1528" s="76"/>
      <c r="AW1528" s="76"/>
      <c r="AX1528" s="76"/>
      <c r="AY1528" s="76"/>
      <c r="AZ1528" s="76"/>
      <c r="BA1528" s="76"/>
      <c r="BB1528" s="76"/>
    </row>
    <row r="1529" spans="5:54" x14ac:dyDescent="0.35">
      <c r="E1529" s="83"/>
      <c r="F1529" s="83"/>
      <c r="G1529" s="76"/>
      <c r="H1529" s="76"/>
      <c r="I1529" s="76"/>
      <c r="J1529" s="76"/>
      <c r="K1529" s="76"/>
      <c r="L1529" s="76"/>
      <c r="M1529" s="76"/>
      <c r="N1529" s="76"/>
      <c r="O1529" s="76"/>
      <c r="P1529" s="76"/>
      <c r="Q1529" s="76"/>
      <c r="R1529" s="76"/>
      <c r="S1529" s="76"/>
      <c r="T1529" s="76"/>
      <c r="U1529" s="76"/>
      <c r="V1529" s="76"/>
      <c r="W1529" s="76"/>
      <c r="X1529" s="76"/>
      <c r="Y1529" s="76"/>
      <c r="Z1529" s="76"/>
      <c r="AA1529" s="76"/>
      <c r="AB1529" s="76"/>
      <c r="AC1529" s="76"/>
      <c r="AD1529" s="76"/>
      <c r="AE1529" s="76"/>
      <c r="AF1529" s="76"/>
      <c r="AG1529" s="76"/>
      <c r="AH1529" s="76"/>
      <c r="AI1529" s="76"/>
      <c r="AJ1529" s="76"/>
      <c r="AK1529" s="76"/>
      <c r="AL1529" s="76"/>
      <c r="AM1529" s="76"/>
      <c r="AN1529" s="76"/>
      <c r="AO1529" s="76"/>
      <c r="AP1529" s="76"/>
      <c r="AQ1529" s="76"/>
      <c r="AR1529" s="76"/>
      <c r="AS1529" s="76"/>
      <c r="AT1529" s="76"/>
      <c r="AU1529" s="76"/>
      <c r="AV1529" s="76"/>
      <c r="AW1529" s="76"/>
      <c r="AX1529" s="76"/>
      <c r="AY1529" s="76"/>
      <c r="AZ1529" s="76"/>
      <c r="BA1529" s="76"/>
      <c r="BB1529" s="76"/>
    </row>
    <row r="1530" spans="5:54" x14ac:dyDescent="0.35">
      <c r="E1530" s="83"/>
      <c r="F1530" s="83"/>
      <c r="G1530" s="76"/>
      <c r="H1530" s="76"/>
      <c r="I1530" s="76"/>
      <c r="J1530" s="76"/>
      <c r="K1530" s="76"/>
      <c r="L1530" s="76"/>
      <c r="M1530" s="76"/>
      <c r="N1530" s="76"/>
      <c r="O1530" s="76"/>
      <c r="P1530" s="76"/>
      <c r="Q1530" s="76"/>
      <c r="R1530" s="76"/>
      <c r="S1530" s="76"/>
      <c r="T1530" s="76"/>
      <c r="U1530" s="76"/>
      <c r="V1530" s="76"/>
      <c r="W1530" s="76"/>
      <c r="X1530" s="76"/>
      <c r="Y1530" s="76"/>
      <c r="Z1530" s="76"/>
      <c r="AA1530" s="76"/>
      <c r="AB1530" s="76"/>
      <c r="AC1530" s="76"/>
      <c r="AD1530" s="76"/>
      <c r="AE1530" s="76"/>
      <c r="AF1530" s="76"/>
      <c r="AG1530" s="76"/>
      <c r="AH1530" s="76"/>
      <c r="AI1530" s="76"/>
      <c r="AJ1530" s="76"/>
      <c r="AK1530" s="76"/>
      <c r="AL1530" s="76"/>
      <c r="AM1530" s="76"/>
      <c r="AN1530" s="76"/>
      <c r="AO1530" s="76"/>
      <c r="AP1530" s="76"/>
      <c r="AQ1530" s="76"/>
      <c r="AR1530" s="76"/>
      <c r="AS1530" s="76"/>
      <c r="AT1530" s="76"/>
      <c r="AU1530" s="76"/>
      <c r="AV1530" s="76"/>
      <c r="AW1530" s="76"/>
      <c r="AX1530" s="76"/>
      <c r="AY1530" s="76"/>
      <c r="AZ1530" s="76"/>
      <c r="BA1530" s="76"/>
      <c r="BB1530" s="76"/>
    </row>
    <row r="1531" spans="5:54" x14ac:dyDescent="0.35">
      <c r="E1531" s="83"/>
      <c r="F1531" s="83"/>
      <c r="G1531" s="76"/>
      <c r="H1531" s="76"/>
      <c r="I1531" s="76"/>
      <c r="J1531" s="76"/>
      <c r="K1531" s="76"/>
      <c r="L1531" s="76"/>
      <c r="M1531" s="76"/>
      <c r="N1531" s="76"/>
      <c r="O1531" s="76"/>
      <c r="P1531" s="76"/>
      <c r="Q1531" s="76"/>
      <c r="R1531" s="76"/>
      <c r="S1531" s="76"/>
      <c r="T1531" s="76"/>
      <c r="U1531" s="76"/>
      <c r="V1531" s="76"/>
      <c r="W1531" s="76"/>
      <c r="X1531" s="76"/>
      <c r="Y1531" s="76"/>
      <c r="Z1531" s="76"/>
      <c r="AA1531" s="76"/>
      <c r="AB1531" s="76"/>
      <c r="AC1531" s="76"/>
      <c r="AD1531" s="76"/>
      <c r="AE1531" s="76"/>
      <c r="AF1531" s="76"/>
      <c r="AG1531" s="76"/>
      <c r="AH1531" s="76"/>
      <c r="AI1531" s="76"/>
      <c r="AJ1531" s="76"/>
      <c r="AK1531" s="76"/>
      <c r="AL1531" s="76"/>
      <c r="AM1531" s="76"/>
      <c r="AN1531" s="76"/>
      <c r="AO1531" s="76"/>
      <c r="AP1531" s="76"/>
      <c r="AQ1531" s="76"/>
      <c r="AR1531" s="76"/>
      <c r="AS1531" s="76"/>
      <c r="AT1531" s="76"/>
      <c r="AU1531" s="76"/>
      <c r="AV1531" s="76"/>
      <c r="AW1531" s="76"/>
      <c r="AX1531" s="76"/>
      <c r="AY1531" s="76"/>
      <c r="AZ1531" s="76"/>
      <c r="BA1531" s="76"/>
      <c r="BB1531" s="76"/>
    </row>
    <row r="1532" spans="5:54" x14ac:dyDescent="0.35">
      <c r="E1532" s="83"/>
      <c r="F1532" s="83"/>
      <c r="G1532" s="76"/>
      <c r="H1532" s="76"/>
      <c r="I1532" s="76"/>
      <c r="J1532" s="76"/>
      <c r="K1532" s="76"/>
      <c r="L1532" s="76"/>
      <c r="M1532" s="76"/>
      <c r="N1532" s="76"/>
      <c r="O1532" s="76"/>
      <c r="P1532" s="76"/>
      <c r="Q1532" s="76"/>
      <c r="R1532" s="76"/>
      <c r="S1532" s="76"/>
      <c r="T1532" s="76"/>
      <c r="U1532" s="76"/>
      <c r="V1532" s="76"/>
      <c r="W1532" s="76"/>
      <c r="X1532" s="76"/>
      <c r="Y1532" s="76"/>
      <c r="Z1532" s="76"/>
      <c r="AA1532" s="76"/>
      <c r="AB1532" s="76"/>
      <c r="AC1532" s="76"/>
      <c r="AD1532" s="76"/>
      <c r="AE1532" s="76"/>
      <c r="AF1532" s="76"/>
      <c r="AG1532" s="76"/>
      <c r="AH1532" s="76"/>
      <c r="AI1532" s="76"/>
      <c r="AJ1532" s="76"/>
      <c r="AK1532" s="76"/>
      <c r="AL1532" s="76"/>
      <c r="AM1532" s="76"/>
      <c r="AN1532" s="76"/>
      <c r="AO1532" s="76"/>
      <c r="AP1532" s="76"/>
      <c r="AQ1532" s="76"/>
      <c r="AR1532" s="76"/>
      <c r="AS1532" s="76"/>
      <c r="AT1532" s="76"/>
      <c r="AU1532" s="76"/>
      <c r="AV1532" s="76"/>
      <c r="AW1532" s="76"/>
      <c r="AX1532" s="76"/>
      <c r="AY1532" s="76"/>
      <c r="AZ1532" s="76"/>
      <c r="BA1532" s="76"/>
      <c r="BB1532" s="76"/>
    </row>
    <row r="1533" spans="5:54" x14ac:dyDescent="0.35">
      <c r="E1533" s="83"/>
      <c r="F1533" s="83"/>
      <c r="G1533" s="76"/>
      <c r="H1533" s="76"/>
      <c r="I1533" s="76"/>
      <c r="J1533" s="76"/>
      <c r="K1533" s="76"/>
      <c r="L1533" s="76"/>
      <c r="M1533" s="76"/>
      <c r="N1533" s="76"/>
      <c r="O1533" s="76"/>
      <c r="P1533" s="76"/>
      <c r="Q1533" s="76"/>
      <c r="R1533" s="76"/>
      <c r="S1533" s="76"/>
      <c r="T1533" s="76"/>
      <c r="U1533" s="76"/>
      <c r="V1533" s="76"/>
      <c r="W1533" s="76"/>
      <c r="X1533" s="76"/>
      <c r="Y1533" s="76"/>
      <c r="Z1533" s="76"/>
      <c r="AA1533" s="76"/>
      <c r="AB1533" s="76"/>
      <c r="AC1533" s="76"/>
      <c r="AD1533" s="76"/>
      <c r="AE1533" s="76"/>
      <c r="AF1533" s="76"/>
      <c r="AG1533" s="76"/>
      <c r="AH1533" s="76"/>
      <c r="AI1533" s="76"/>
      <c r="AJ1533" s="76"/>
      <c r="AK1533" s="76"/>
      <c r="AL1533" s="76"/>
      <c r="AM1533" s="76"/>
      <c r="AN1533" s="76"/>
      <c r="AO1533" s="76"/>
      <c r="AP1533" s="76"/>
      <c r="AQ1533" s="76"/>
      <c r="AR1533" s="76"/>
      <c r="AS1533" s="76"/>
      <c r="AT1533" s="76"/>
      <c r="AU1533" s="76"/>
      <c r="AV1533" s="76"/>
      <c r="AW1533" s="76"/>
      <c r="AX1533" s="76"/>
      <c r="AY1533" s="76"/>
      <c r="AZ1533" s="76"/>
      <c r="BA1533" s="76"/>
      <c r="BB1533" s="76"/>
    </row>
    <row r="1534" spans="5:54" x14ac:dyDescent="0.35">
      <c r="E1534" s="83"/>
      <c r="F1534" s="83"/>
      <c r="G1534" s="76"/>
      <c r="H1534" s="76"/>
      <c r="I1534" s="76"/>
      <c r="J1534" s="76"/>
      <c r="K1534" s="76"/>
      <c r="L1534" s="76"/>
      <c r="M1534" s="76"/>
      <c r="N1534" s="76"/>
      <c r="O1534" s="76"/>
      <c r="P1534" s="76"/>
      <c r="Q1534" s="76"/>
      <c r="R1534" s="76"/>
      <c r="S1534" s="76"/>
      <c r="T1534" s="76"/>
      <c r="U1534" s="76"/>
      <c r="V1534" s="76"/>
      <c r="W1534" s="76"/>
      <c r="X1534" s="76"/>
      <c r="Y1534" s="76"/>
      <c r="Z1534" s="76"/>
      <c r="AA1534" s="76"/>
      <c r="AB1534" s="76"/>
      <c r="AC1534" s="76"/>
      <c r="AD1534" s="76"/>
      <c r="AE1534" s="76"/>
      <c r="AF1534" s="76"/>
      <c r="AG1534" s="76"/>
      <c r="AH1534" s="76"/>
      <c r="AI1534" s="76"/>
      <c r="AJ1534" s="76"/>
      <c r="AK1534" s="76"/>
      <c r="AL1534" s="76"/>
      <c r="AM1534" s="76"/>
      <c r="AN1534" s="76"/>
      <c r="AO1534" s="76"/>
      <c r="AP1534" s="76"/>
      <c r="AQ1534" s="76"/>
      <c r="AR1534" s="76"/>
      <c r="AS1534" s="76"/>
      <c r="AT1534" s="76"/>
      <c r="AU1534" s="76"/>
      <c r="AV1534" s="76"/>
      <c r="AW1534" s="76"/>
      <c r="AX1534" s="76"/>
      <c r="AY1534" s="76"/>
      <c r="AZ1534" s="76"/>
      <c r="BA1534" s="76"/>
      <c r="BB1534" s="76"/>
    </row>
    <row r="1535" spans="5:54" x14ac:dyDescent="0.35">
      <c r="E1535" s="83"/>
      <c r="F1535" s="83"/>
      <c r="G1535" s="76"/>
      <c r="H1535" s="76"/>
      <c r="I1535" s="76"/>
      <c r="J1535" s="76"/>
      <c r="K1535" s="76"/>
      <c r="L1535" s="76"/>
      <c r="M1535" s="76"/>
      <c r="N1535" s="76"/>
      <c r="O1535" s="76"/>
      <c r="P1535" s="76"/>
      <c r="Q1535" s="76"/>
      <c r="R1535" s="76"/>
      <c r="S1535" s="76"/>
      <c r="T1535" s="76"/>
      <c r="U1535" s="76"/>
      <c r="V1535" s="76"/>
      <c r="W1535" s="76"/>
      <c r="X1535" s="76"/>
      <c r="Y1535" s="76"/>
      <c r="Z1535" s="76"/>
      <c r="AA1535" s="76"/>
      <c r="AB1535" s="76"/>
      <c r="AC1535" s="76"/>
      <c r="AD1535" s="76"/>
      <c r="AE1535" s="76"/>
      <c r="AF1535" s="76"/>
      <c r="AG1535" s="76"/>
      <c r="AH1535" s="76"/>
      <c r="AI1535" s="76"/>
      <c r="AJ1535" s="76"/>
      <c r="AK1535" s="76"/>
      <c r="AL1535" s="76"/>
      <c r="AM1535" s="76"/>
      <c r="AN1535" s="76"/>
      <c r="AO1535" s="76"/>
      <c r="AP1535" s="76"/>
      <c r="AQ1535" s="76"/>
      <c r="AR1535" s="76"/>
      <c r="AS1535" s="76"/>
      <c r="AT1535" s="76"/>
      <c r="AU1535" s="76"/>
      <c r="AV1535" s="76"/>
      <c r="AW1535" s="76"/>
      <c r="AX1535" s="76"/>
      <c r="AY1535" s="76"/>
      <c r="AZ1535" s="76"/>
      <c r="BA1535" s="76"/>
      <c r="BB1535" s="76"/>
    </row>
    <row r="1536" spans="5:54" x14ac:dyDescent="0.35">
      <c r="E1536" s="83"/>
      <c r="F1536" s="83"/>
      <c r="G1536" s="76"/>
      <c r="H1536" s="76"/>
      <c r="I1536" s="76"/>
      <c r="J1536" s="76"/>
      <c r="K1536" s="76"/>
      <c r="L1536" s="76"/>
      <c r="M1536" s="76"/>
      <c r="N1536" s="76"/>
      <c r="O1536" s="76"/>
      <c r="P1536" s="76"/>
      <c r="Q1536" s="76"/>
      <c r="R1536" s="76"/>
      <c r="S1536" s="76"/>
      <c r="T1536" s="76"/>
      <c r="U1536" s="76"/>
      <c r="V1536" s="76"/>
      <c r="W1536" s="76"/>
      <c r="X1536" s="76"/>
      <c r="Y1536" s="76"/>
      <c r="Z1536" s="76"/>
      <c r="AA1536" s="76"/>
      <c r="AB1536" s="76"/>
      <c r="AC1536" s="76"/>
      <c r="AD1536" s="76"/>
      <c r="AE1536" s="76"/>
      <c r="AF1536" s="76"/>
      <c r="AG1536" s="76"/>
      <c r="AH1536" s="76"/>
      <c r="AI1536" s="76"/>
      <c r="AJ1536" s="76"/>
      <c r="AK1536" s="76"/>
      <c r="AL1536" s="76"/>
      <c r="AM1536" s="76"/>
      <c r="AN1536" s="76"/>
      <c r="AO1536" s="76"/>
      <c r="AP1536" s="76"/>
      <c r="AQ1536" s="76"/>
      <c r="AR1536" s="76"/>
      <c r="AS1536" s="76"/>
      <c r="AT1536" s="76"/>
      <c r="AU1536" s="76"/>
      <c r="AV1536" s="76"/>
      <c r="AW1536" s="76"/>
      <c r="AX1536" s="76"/>
      <c r="AY1536" s="76"/>
      <c r="AZ1536" s="76"/>
      <c r="BA1536" s="76"/>
      <c r="BB1536" s="76"/>
    </row>
    <row r="1537" spans="5:54" x14ac:dyDescent="0.35">
      <c r="E1537" s="83"/>
      <c r="F1537" s="83"/>
      <c r="G1537" s="76"/>
      <c r="H1537" s="76"/>
      <c r="I1537" s="76"/>
      <c r="J1537" s="76"/>
      <c r="K1537" s="76"/>
      <c r="L1537" s="76"/>
      <c r="M1537" s="76"/>
      <c r="N1537" s="76"/>
      <c r="O1537" s="76"/>
      <c r="P1537" s="76"/>
      <c r="Q1537" s="76"/>
      <c r="R1537" s="76"/>
      <c r="S1537" s="76"/>
      <c r="T1537" s="76"/>
      <c r="U1537" s="76"/>
      <c r="V1537" s="76"/>
      <c r="W1537" s="76"/>
      <c r="X1537" s="76"/>
      <c r="Y1537" s="76"/>
      <c r="Z1537" s="76"/>
      <c r="AA1537" s="76"/>
      <c r="AB1537" s="76"/>
      <c r="AC1537" s="76"/>
      <c r="AD1537" s="76"/>
      <c r="AE1537" s="76"/>
      <c r="AF1537" s="76"/>
      <c r="AG1537" s="76"/>
      <c r="AH1537" s="76"/>
      <c r="AI1537" s="76"/>
      <c r="AJ1537" s="76"/>
      <c r="AK1537" s="76"/>
      <c r="AL1537" s="76"/>
      <c r="AM1537" s="76"/>
      <c r="AN1537" s="76"/>
      <c r="AO1537" s="76"/>
      <c r="AP1537" s="76"/>
      <c r="AQ1537" s="76"/>
      <c r="AR1537" s="76"/>
      <c r="AS1537" s="76"/>
      <c r="AT1537" s="76"/>
      <c r="AU1537" s="76"/>
      <c r="AV1537" s="76"/>
      <c r="AW1537" s="76"/>
      <c r="AX1537" s="76"/>
      <c r="AY1537" s="76"/>
      <c r="AZ1537" s="76"/>
      <c r="BA1537" s="76"/>
      <c r="BB1537" s="76"/>
    </row>
    <row r="1538" spans="5:54" x14ac:dyDescent="0.35">
      <c r="E1538" s="83"/>
      <c r="F1538" s="83"/>
      <c r="G1538" s="76"/>
      <c r="H1538" s="76"/>
      <c r="I1538" s="76"/>
      <c r="J1538" s="76"/>
      <c r="K1538" s="76"/>
      <c r="L1538" s="76"/>
      <c r="M1538" s="76"/>
      <c r="N1538" s="76"/>
      <c r="O1538" s="76"/>
      <c r="P1538" s="76"/>
      <c r="Q1538" s="76"/>
      <c r="R1538" s="76"/>
      <c r="S1538" s="76"/>
      <c r="T1538" s="76"/>
      <c r="U1538" s="76"/>
      <c r="V1538" s="76"/>
      <c r="W1538" s="76"/>
      <c r="X1538" s="76"/>
      <c r="Y1538" s="76"/>
      <c r="Z1538" s="76"/>
      <c r="AA1538" s="76"/>
      <c r="AB1538" s="76"/>
      <c r="AC1538" s="76"/>
      <c r="AD1538" s="76"/>
      <c r="AE1538" s="76"/>
      <c r="AF1538" s="76"/>
      <c r="AG1538" s="76"/>
      <c r="AH1538" s="76"/>
      <c r="AI1538" s="76"/>
      <c r="AJ1538" s="76"/>
      <c r="AK1538" s="76"/>
      <c r="AL1538" s="76"/>
      <c r="AM1538" s="76"/>
      <c r="AN1538" s="76"/>
      <c r="AO1538" s="76"/>
      <c r="AP1538" s="76"/>
      <c r="AQ1538" s="76"/>
      <c r="AR1538" s="76"/>
      <c r="AS1538" s="76"/>
      <c r="AT1538" s="76"/>
      <c r="AU1538" s="76"/>
      <c r="AV1538" s="76"/>
      <c r="AW1538" s="76"/>
      <c r="AX1538" s="76"/>
      <c r="AY1538" s="76"/>
      <c r="AZ1538" s="76"/>
      <c r="BA1538" s="76"/>
      <c r="BB1538" s="76"/>
    </row>
    <row r="1539" spans="5:54" x14ac:dyDescent="0.35">
      <c r="E1539" s="83"/>
      <c r="F1539" s="83"/>
      <c r="G1539" s="76"/>
      <c r="H1539" s="76"/>
      <c r="I1539" s="76"/>
      <c r="J1539" s="76"/>
      <c r="K1539" s="76"/>
      <c r="L1539" s="76"/>
      <c r="M1539" s="76"/>
      <c r="N1539" s="76"/>
      <c r="O1539" s="76"/>
      <c r="P1539" s="76"/>
      <c r="Q1539" s="76"/>
      <c r="R1539" s="76"/>
      <c r="S1539" s="76"/>
      <c r="T1539" s="76"/>
      <c r="U1539" s="76"/>
      <c r="V1539" s="76"/>
      <c r="W1539" s="76"/>
      <c r="X1539" s="76"/>
      <c r="Y1539" s="76"/>
      <c r="Z1539" s="76"/>
      <c r="AA1539" s="76"/>
      <c r="AB1539" s="76"/>
      <c r="AC1539" s="76"/>
      <c r="AD1539" s="76"/>
      <c r="AE1539" s="76"/>
      <c r="AF1539" s="76"/>
      <c r="AG1539" s="76"/>
      <c r="AH1539" s="76"/>
      <c r="AI1539" s="76"/>
      <c r="AJ1539" s="76"/>
      <c r="AK1539" s="76"/>
      <c r="AL1539" s="76"/>
      <c r="AM1539" s="76"/>
      <c r="AN1539" s="76"/>
      <c r="AO1539" s="76"/>
      <c r="AP1539" s="76"/>
      <c r="AQ1539" s="76"/>
      <c r="AR1539" s="76"/>
      <c r="AS1539" s="76"/>
      <c r="AT1539" s="76"/>
      <c r="AU1539" s="76"/>
      <c r="AV1539" s="76"/>
      <c r="AW1539" s="76"/>
      <c r="AX1539" s="76"/>
      <c r="AY1539" s="76"/>
      <c r="AZ1539" s="76"/>
      <c r="BA1539" s="76"/>
      <c r="BB1539" s="76"/>
    </row>
    <row r="1540" spans="5:54" x14ac:dyDescent="0.35">
      <c r="E1540" s="83"/>
      <c r="F1540" s="83"/>
      <c r="G1540" s="76"/>
      <c r="H1540" s="76"/>
      <c r="I1540" s="76"/>
      <c r="J1540" s="76"/>
      <c r="K1540" s="76"/>
      <c r="L1540" s="76"/>
      <c r="M1540" s="76"/>
      <c r="N1540" s="76"/>
      <c r="O1540" s="76"/>
      <c r="P1540" s="76"/>
      <c r="Q1540" s="76"/>
      <c r="R1540" s="76"/>
      <c r="S1540" s="76"/>
      <c r="T1540" s="76"/>
      <c r="U1540" s="76"/>
      <c r="V1540" s="76"/>
      <c r="W1540" s="76"/>
      <c r="X1540" s="76"/>
      <c r="Y1540" s="76"/>
      <c r="Z1540" s="76"/>
      <c r="AA1540" s="76"/>
      <c r="AB1540" s="76"/>
      <c r="AC1540" s="76"/>
      <c r="AD1540" s="76"/>
      <c r="AE1540" s="76"/>
      <c r="AF1540" s="76"/>
      <c r="AG1540" s="76"/>
      <c r="AH1540" s="76"/>
      <c r="AI1540" s="76"/>
      <c r="AJ1540" s="76"/>
      <c r="AK1540" s="76"/>
      <c r="AL1540" s="76"/>
      <c r="AM1540" s="76"/>
      <c r="AN1540" s="76"/>
      <c r="AO1540" s="76"/>
      <c r="AP1540" s="76"/>
      <c r="AQ1540" s="76"/>
      <c r="AR1540" s="76"/>
      <c r="AS1540" s="76"/>
      <c r="AT1540" s="76"/>
      <c r="AU1540" s="76"/>
      <c r="AV1540" s="76"/>
      <c r="AW1540" s="76"/>
      <c r="AX1540" s="76"/>
      <c r="AY1540" s="76"/>
      <c r="AZ1540" s="76"/>
      <c r="BA1540" s="76"/>
      <c r="BB1540" s="76"/>
    </row>
    <row r="1541" spans="5:54" x14ac:dyDescent="0.35">
      <c r="E1541" s="83"/>
      <c r="F1541" s="83"/>
      <c r="G1541" s="76"/>
      <c r="H1541" s="76"/>
      <c r="I1541" s="76"/>
      <c r="J1541" s="76"/>
      <c r="K1541" s="76"/>
      <c r="L1541" s="76"/>
      <c r="M1541" s="76"/>
      <c r="N1541" s="76"/>
      <c r="O1541" s="76"/>
      <c r="P1541" s="76"/>
      <c r="Q1541" s="76"/>
      <c r="R1541" s="76"/>
      <c r="S1541" s="76"/>
      <c r="T1541" s="76"/>
      <c r="U1541" s="76"/>
      <c r="V1541" s="76"/>
      <c r="W1541" s="76"/>
      <c r="X1541" s="76"/>
      <c r="Y1541" s="76"/>
      <c r="Z1541" s="76"/>
      <c r="AA1541" s="76"/>
      <c r="AB1541" s="76"/>
      <c r="AC1541" s="76"/>
      <c r="AD1541" s="76"/>
      <c r="AE1541" s="76"/>
      <c r="AF1541" s="76"/>
      <c r="AG1541" s="76"/>
      <c r="AH1541" s="76"/>
      <c r="AI1541" s="76"/>
      <c r="AJ1541" s="76"/>
      <c r="AK1541" s="76"/>
      <c r="AL1541" s="76"/>
      <c r="AM1541" s="76"/>
      <c r="AN1541" s="76"/>
      <c r="AO1541" s="76"/>
      <c r="AP1541" s="76"/>
      <c r="AQ1541" s="76"/>
      <c r="AR1541" s="76"/>
      <c r="AS1541" s="76"/>
      <c r="AT1541" s="76"/>
      <c r="AU1541" s="76"/>
      <c r="AV1541" s="76"/>
      <c r="AW1541" s="76"/>
      <c r="AX1541" s="76"/>
      <c r="AY1541" s="76"/>
      <c r="AZ1541" s="76"/>
      <c r="BA1541" s="76"/>
      <c r="BB1541" s="76"/>
    </row>
    <row r="1542" spans="5:54" x14ac:dyDescent="0.35">
      <c r="E1542" s="83"/>
      <c r="F1542" s="83"/>
      <c r="G1542" s="76"/>
      <c r="H1542" s="76"/>
      <c r="I1542" s="76"/>
      <c r="J1542" s="76"/>
      <c r="K1542" s="76"/>
      <c r="L1542" s="76"/>
      <c r="M1542" s="76"/>
      <c r="N1542" s="76"/>
      <c r="O1542" s="76"/>
      <c r="P1542" s="76"/>
      <c r="Q1542" s="76"/>
      <c r="R1542" s="76"/>
      <c r="S1542" s="76"/>
      <c r="T1542" s="76"/>
      <c r="U1542" s="76"/>
      <c r="V1542" s="76"/>
      <c r="W1542" s="76"/>
      <c r="X1542" s="76"/>
      <c r="Y1542" s="76"/>
      <c r="Z1542" s="76"/>
      <c r="AA1542" s="76"/>
      <c r="AB1542" s="76"/>
      <c r="AC1542" s="76"/>
      <c r="AD1542" s="76"/>
      <c r="AE1542" s="76"/>
      <c r="AF1542" s="76"/>
      <c r="AG1542" s="76"/>
      <c r="AH1542" s="76"/>
      <c r="AI1542" s="76"/>
      <c r="AJ1542" s="76"/>
      <c r="AK1542" s="76"/>
      <c r="AL1542" s="76"/>
      <c r="AM1542" s="76"/>
      <c r="AN1542" s="76"/>
      <c r="AO1542" s="76"/>
      <c r="AP1542" s="76"/>
      <c r="AQ1542" s="76"/>
      <c r="AR1542" s="76"/>
      <c r="AS1542" s="76"/>
      <c r="AT1542" s="76"/>
      <c r="AU1542" s="76"/>
      <c r="AV1542" s="76"/>
      <c r="AW1542" s="76"/>
      <c r="AX1542" s="76"/>
      <c r="AY1542" s="76"/>
      <c r="AZ1542" s="76"/>
      <c r="BA1542" s="76"/>
      <c r="BB1542" s="76"/>
    </row>
    <row r="1543" spans="5:54" x14ac:dyDescent="0.35">
      <c r="E1543" s="83"/>
      <c r="F1543" s="83"/>
      <c r="G1543" s="76"/>
      <c r="H1543" s="76"/>
      <c r="I1543" s="76"/>
      <c r="J1543" s="76"/>
      <c r="K1543" s="76"/>
      <c r="L1543" s="76"/>
      <c r="M1543" s="76"/>
      <c r="N1543" s="76"/>
      <c r="O1543" s="76"/>
      <c r="P1543" s="76"/>
      <c r="Q1543" s="76"/>
      <c r="R1543" s="76"/>
      <c r="S1543" s="76"/>
      <c r="T1543" s="76"/>
      <c r="U1543" s="76"/>
      <c r="V1543" s="76"/>
      <c r="W1543" s="76"/>
      <c r="X1543" s="76"/>
      <c r="Y1543" s="76"/>
      <c r="Z1543" s="76"/>
      <c r="AA1543" s="76"/>
      <c r="AB1543" s="76"/>
      <c r="AC1543" s="76"/>
      <c r="AD1543" s="76"/>
      <c r="AE1543" s="76"/>
      <c r="AF1543" s="76"/>
      <c r="AG1543" s="76"/>
      <c r="AH1543" s="76"/>
      <c r="AI1543" s="76"/>
      <c r="AJ1543" s="76"/>
      <c r="AK1543" s="76"/>
      <c r="AL1543" s="76"/>
      <c r="AM1543" s="76"/>
      <c r="AN1543" s="76"/>
      <c r="AO1543" s="76"/>
      <c r="AP1543" s="76"/>
      <c r="AQ1543" s="76"/>
      <c r="AR1543" s="76"/>
      <c r="AS1543" s="76"/>
      <c r="AT1543" s="76"/>
      <c r="AU1543" s="76"/>
      <c r="AV1543" s="76"/>
      <c r="AW1543" s="76"/>
      <c r="AX1543" s="76"/>
      <c r="AY1543" s="76"/>
      <c r="AZ1543" s="76"/>
      <c r="BA1543" s="76"/>
      <c r="BB1543" s="76"/>
    </row>
    <row r="1544" spans="5:54" x14ac:dyDescent="0.35">
      <c r="E1544" s="83"/>
      <c r="F1544" s="83"/>
      <c r="G1544" s="76"/>
      <c r="H1544" s="76"/>
      <c r="I1544" s="76"/>
      <c r="J1544" s="76"/>
      <c r="K1544" s="76"/>
      <c r="L1544" s="76"/>
      <c r="M1544" s="76"/>
      <c r="N1544" s="76"/>
      <c r="O1544" s="76"/>
      <c r="P1544" s="76"/>
      <c r="Q1544" s="76"/>
      <c r="R1544" s="76"/>
      <c r="S1544" s="76"/>
      <c r="T1544" s="76"/>
      <c r="U1544" s="76"/>
      <c r="V1544" s="76"/>
      <c r="W1544" s="76"/>
      <c r="X1544" s="76"/>
      <c r="Y1544" s="76"/>
      <c r="Z1544" s="76"/>
      <c r="AA1544" s="76"/>
      <c r="AB1544" s="76"/>
      <c r="AC1544" s="76"/>
      <c r="AD1544" s="76"/>
      <c r="AE1544" s="76"/>
      <c r="AF1544" s="76"/>
      <c r="AG1544" s="76"/>
      <c r="AH1544" s="76"/>
      <c r="AI1544" s="76"/>
      <c r="AJ1544" s="76"/>
      <c r="AK1544" s="76"/>
      <c r="AL1544" s="76"/>
      <c r="AM1544" s="76"/>
      <c r="AN1544" s="76"/>
      <c r="AO1544" s="76"/>
      <c r="AP1544" s="76"/>
      <c r="AQ1544" s="76"/>
      <c r="AR1544" s="76"/>
      <c r="AS1544" s="76"/>
      <c r="AT1544" s="76"/>
      <c r="AU1544" s="76"/>
      <c r="AV1544" s="76"/>
      <c r="AW1544" s="76"/>
      <c r="AX1544" s="76"/>
      <c r="AY1544" s="76"/>
      <c r="AZ1544" s="76"/>
      <c r="BA1544" s="76"/>
      <c r="BB1544" s="76"/>
    </row>
    <row r="1545" spans="5:54" x14ac:dyDescent="0.35">
      <c r="E1545" s="83"/>
      <c r="F1545" s="83"/>
      <c r="G1545" s="76"/>
      <c r="H1545" s="76"/>
      <c r="I1545" s="76"/>
      <c r="J1545" s="76"/>
      <c r="K1545" s="76"/>
      <c r="L1545" s="76"/>
      <c r="M1545" s="76"/>
      <c r="N1545" s="76"/>
      <c r="O1545" s="76"/>
      <c r="P1545" s="76"/>
      <c r="Q1545" s="76"/>
      <c r="R1545" s="76"/>
      <c r="S1545" s="76"/>
      <c r="T1545" s="76"/>
      <c r="U1545" s="76"/>
      <c r="V1545" s="76"/>
      <c r="W1545" s="76"/>
      <c r="X1545" s="76"/>
      <c r="Y1545" s="76"/>
      <c r="Z1545" s="76"/>
      <c r="AA1545" s="76"/>
      <c r="AB1545" s="76"/>
      <c r="AC1545" s="76"/>
      <c r="AD1545" s="76"/>
      <c r="AE1545" s="76"/>
      <c r="AF1545" s="76"/>
      <c r="AG1545" s="76"/>
      <c r="AH1545" s="76"/>
      <c r="AI1545" s="76"/>
      <c r="AJ1545" s="76"/>
      <c r="AK1545" s="76"/>
      <c r="AL1545" s="76"/>
      <c r="AM1545" s="76"/>
      <c r="AN1545" s="76"/>
      <c r="AO1545" s="76"/>
      <c r="AP1545" s="76"/>
      <c r="AQ1545" s="76"/>
      <c r="AR1545" s="76"/>
      <c r="AS1545" s="76"/>
      <c r="AT1545" s="76"/>
      <c r="AU1545" s="76"/>
      <c r="AV1545" s="76"/>
      <c r="AW1545" s="76"/>
      <c r="AX1545" s="76"/>
      <c r="AY1545" s="76"/>
      <c r="AZ1545" s="76"/>
      <c r="BA1545" s="76"/>
      <c r="BB1545" s="76"/>
    </row>
    <row r="1546" spans="5:54" x14ac:dyDescent="0.35">
      <c r="E1546" s="83"/>
      <c r="F1546" s="83"/>
      <c r="G1546" s="76"/>
      <c r="H1546" s="76"/>
      <c r="I1546" s="76"/>
      <c r="J1546" s="76"/>
      <c r="K1546" s="76"/>
      <c r="L1546" s="76"/>
      <c r="M1546" s="76"/>
      <c r="N1546" s="76"/>
      <c r="O1546" s="76"/>
      <c r="P1546" s="76"/>
      <c r="Q1546" s="76"/>
      <c r="R1546" s="76"/>
      <c r="S1546" s="76"/>
      <c r="T1546" s="76"/>
      <c r="U1546" s="76"/>
      <c r="V1546" s="76"/>
      <c r="W1546" s="76"/>
      <c r="X1546" s="76"/>
      <c r="Y1546" s="76"/>
      <c r="Z1546" s="76"/>
      <c r="AA1546" s="76"/>
      <c r="AB1546" s="76"/>
      <c r="AC1546" s="76"/>
      <c r="AD1546" s="76"/>
      <c r="AE1546" s="76"/>
      <c r="AF1546" s="76"/>
      <c r="AG1546" s="76"/>
      <c r="AH1546" s="76"/>
      <c r="AI1546" s="76"/>
      <c r="AJ1546" s="76"/>
      <c r="AK1546" s="76"/>
      <c r="AL1546" s="76"/>
      <c r="AM1546" s="76"/>
      <c r="AN1546" s="76"/>
      <c r="AO1546" s="76"/>
      <c r="AP1546" s="76"/>
      <c r="AQ1546" s="76"/>
      <c r="AR1546" s="76"/>
      <c r="AS1546" s="76"/>
      <c r="AT1546" s="76"/>
      <c r="AU1546" s="76"/>
      <c r="AV1546" s="76"/>
      <c r="AW1546" s="76"/>
      <c r="AX1546" s="76"/>
      <c r="AY1546" s="76"/>
      <c r="AZ1546" s="76"/>
      <c r="BA1546" s="76"/>
      <c r="BB1546" s="76"/>
    </row>
    <row r="1547" spans="5:54" x14ac:dyDescent="0.35">
      <c r="E1547" s="83"/>
      <c r="F1547" s="83"/>
      <c r="G1547" s="76"/>
      <c r="H1547" s="76"/>
      <c r="I1547" s="76"/>
      <c r="J1547" s="76"/>
      <c r="K1547" s="76"/>
      <c r="L1547" s="76"/>
      <c r="M1547" s="76"/>
      <c r="N1547" s="76"/>
      <c r="O1547" s="76"/>
      <c r="P1547" s="76"/>
      <c r="Q1547" s="76"/>
      <c r="R1547" s="76"/>
      <c r="S1547" s="76"/>
      <c r="T1547" s="76"/>
      <c r="U1547" s="76"/>
      <c r="V1547" s="76"/>
      <c r="W1547" s="76"/>
      <c r="X1547" s="76"/>
      <c r="Y1547" s="76"/>
      <c r="Z1547" s="76"/>
      <c r="AA1547" s="76"/>
      <c r="AB1547" s="76"/>
      <c r="AC1547" s="76"/>
      <c r="AD1547" s="76"/>
      <c r="AE1547" s="76"/>
      <c r="AF1547" s="76"/>
      <c r="AG1547" s="76"/>
      <c r="AH1547" s="76"/>
      <c r="AI1547" s="76"/>
      <c r="AJ1547" s="76"/>
      <c r="AK1547" s="76"/>
      <c r="AL1547" s="76"/>
      <c r="AM1547" s="76"/>
      <c r="AN1547" s="76"/>
      <c r="AO1547" s="76"/>
      <c r="AP1547" s="76"/>
      <c r="AQ1547" s="76"/>
      <c r="AR1547" s="76"/>
      <c r="AS1547" s="76"/>
      <c r="AT1547" s="76"/>
      <c r="AU1547" s="76"/>
      <c r="AV1547" s="76"/>
      <c r="AW1547" s="76"/>
      <c r="AX1547" s="76"/>
      <c r="AY1547" s="76"/>
      <c r="AZ1547" s="76"/>
      <c r="BA1547" s="76"/>
      <c r="BB1547" s="76"/>
    </row>
    <row r="1548" spans="5:54" x14ac:dyDescent="0.35">
      <c r="E1548" s="83"/>
      <c r="F1548" s="83"/>
      <c r="G1548" s="76"/>
      <c r="H1548" s="76"/>
      <c r="I1548" s="76"/>
      <c r="J1548" s="76"/>
      <c r="K1548" s="76"/>
      <c r="L1548" s="76"/>
      <c r="M1548" s="76"/>
      <c r="N1548" s="76"/>
      <c r="O1548" s="76"/>
      <c r="P1548" s="76"/>
      <c r="Q1548" s="76"/>
      <c r="R1548" s="76"/>
      <c r="S1548" s="76"/>
      <c r="T1548" s="76"/>
      <c r="U1548" s="76"/>
      <c r="V1548" s="76"/>
      <c r="W1548" s="76"/>
      <c r="X1548" s="76"/>
      <c r="Y1548" s="76"/>
      <c r="Z1548" s="76"/>
      <c r="AA1548" s="76"/>
      <c r="AB1548" s="76"/>
      <c r="AC1548" s="76"/>
      <c r="AD1548" s="76"/>
      <c r="AE1548" s="76"/>
      <c r="AF1548" s="76"/>
      <c r="AG1548" s="76"/>
      <c r="AH1548" s="76"/>
      <c r="AI1548" s="76"/>
      <c r="AJ1548" s="76"/>
      <c r="AK1548" s="76"/>
      <c r="AL1548" s="76"/>
      <c r="AM1548" s="76"/>
      <c r="AN1548" s="76"/>
      <c r="AO1548" s="76"/>
      <c r="AP1548" s="76"/>
      <c r="AQ1548" s="76"/>
      <c r="AR1548" s="76"/>
      <c r="AS1548" s="76"/>
      <c r="AT1548" s="76"/>
      <c r="AU1548" s="76"/>
      <c r="AV1548" s="76"/>
      <c r="AW1548" s="76"/>
      <c r="AX1548" s="76"/>
      <c r="AY1548" s="76"/>
      <c r="AZ1548" s="76"/>
      <c r="BA1548" s="76"/>
      <c r="BB1548" s="76"/>
    </row>
    <row r="1549" spans="5:54" x14ac:dyDescent="0.35">
      <c r="E1549" s="83"/>
      <c r="F1549" s="83"/>
      <c r="G1549" s="76"/>
      <c r="H1549" s="76"/>
      <c r="I1549" s="76"/>
      <c r="J1549" s="76"/>
      <c r="K1549" s="76"/>
      <c r="L1549" s="76"/>
      <c r="M1549" s="76"/>
      <c r="N1549" s="76"/>
      <c r="O1549" s="76"/>
      <c r="P1549" s="76"/>
      <c r="Q1549" s="76"/>
      <c r="R1549" s="76"/>
      <c r="S1549" s="76"/>
      <c r="T1549" s="76"/>
      <c r="U1549" s="76"/>
      <c r="V1549" s="76"/>
      <c r="W1549" s="76"/>
      <c r="X1549" s="76"/>
      <c r="Y1549" s="76"/>
      <c r="Z1549" s="76"/>
      <c r="AA1549" s="76"/>
      <c r="AB1549" s="76"/>
      <c r="AC1549" s="76"/>
      <c r="AD1549" s="76"/>
      <c r="AE1549" s="76"/>
      <c r="AF1549" s="76"/>
      <c r="AG1549" s="76"/>
      <c r="AH1549" s="76"/>
      <c r="AI1549" s="76"/>
      <c r="AJ1549" s="76"/>
      <c r="AK1549" s="76"/>
      <c r="AL1549" s="76"/>
      <c r="AM1549" s="76"/>
      <c r="AN1549" s="76"/>
      <c r="AO1549" s="76"/>
      <c r="AP1549" s="76"/>
      <c r="AQ1549" s="76"/>
      <c r="AR1549" s="76"/>
      <c r="AS1549" s="76"/>
      <c r="AT1549" s="76"/>
      <c r="AU1549" s="76"/>
      <c r="AV1549" s="76"/>
      <c r="AW1549" s="76"/>
      <c r="AX1549" s="76"/>
      <c r="AY1549" s="76"/>
      <c r="AZ1549" s="76"/>
      <c r="BA1549" s="76"/>
      <c r="BB1549" s="76"/>
    </row>
    <row r="1550" spans="5:54" x14ac:dyDescent="0.35">
      <c r="E1550" s="83"/>
      <c r="F1550" s="83"/>
      <c r="G1550" s="76"/>
      <c r="H1550" s="76"/>
      <c r="I1550" s="76"/>
      <c r="J1550" s="76"/>
      <c r="K1550" s="76"/>
      <c r="L1550" s="76"/>
      <c r="M1550" s="76"/>
      <c r="N1550" s="76"/>
      <c r="O1550" s="76"/>
      <c r="P1550" s="76"/>
      <c r="Q1550" s="76"/>
      <c r="R1550" s="76"/>
      <c r="S1550" s="76"/>
      <c r="T1550" s="76"/>
      <c r="U1550" s="76"/>
      <c r="V1550" s="76"/>
      <c r="W1550" s="76"/>
      <c r="X1550" s="76"/>
      <c r="Y1550" s="76"/>
      <c r="Z1550" s="76"/>
      <c r="AA1550" s="76"/>
      <c r="AB1550" s="76"/>
      <c r="AC1550" s="76"/>
      <c r="AD1550" s="76"/>
      <c r="AE1550" s="76"/>
      <c r="AF1550" s="76"/>
      <c r="AG1550" s="76"/>
      <c r="AH1550" s="76"/>
      <c r="AI1550" s="76"/>
      <c r="AJ1550" s="76"/>
      <c r="AK1550" s="76"/>
      <c r="AL1550" s="76"/>
      <c r="AM1550" s="76"/>
      <c r="AN1550" s="76"/>
      <c r="AO1550" s="76"/>
      <c r="AP1550" s="76"/>
      <c r="AQ1550" s="76"/>
      <c r="AR1550" s="76"/>
      <c r="AS1550" s="76"/>
      <c r="AT1550" s="76"/>
      <c r="AU1550" s="76"/>
      <c r="AV1550" s="76"/>
      <c r="AW1550" s="76"/>
      <c r="AX1550" s="76"/>
      <c r="AY1550" s="76"/>
      <c r="AZ1550" s="76"/>
      <c r="BA1550" s="76"/>
      <c r="BB1550" s="76"/>
    </row>
    <row r="1551" spans="5:54" x14ac:dyDescent="0.35">
      <c r="E1551" s="83"/>
      <c r="F1551" s="83"/>
      <c r="G1551" s="76"/>
      <c r="H1551" s="76"/>
      <c r="I1551" s="76"/>
      <c r="J1551" s="76"/>
      <c r="K1551" s="76"/>
      <c r="L1551" s="76"/>
      <c r="M1551" s="76"/>
      <c r="N1551" s="76"/>
      <c r="O1551" s="76"/>
      <c r="P1551" s="76"/>
      <c r="Q1551" s="76"/>
      <c r="R1551" s="76"/>
      <c r="S1551" s="76"/>
      <c r="T1551" s="76"/>
      <c r="U1551" s="76"/>
      <c r="V1551" s="76"/>
      <c r="W1551" s="76"/>
      <c r="X1551" s="76"/>
      <c r="Y1551" s="76"/>
      <c r="Z1551" s="76"/>
      <c r="AA1551" s="76"/>
      <c r="AB1551" s="76"/>
      <c r="AC1551" s="76"/>
      <c r="AD1551" s="76"/>
      <c r="AE1551" s="76"/>
      <c r="AF1551" s="76"/>
      <c r="AG1551" s="76"/>
      <c r="AH1551" s="76"/>
      <c r="AI1551" s="76"/>
      <c r="AJ1551" s="76"/>
      <c r="AK1551" s="76"/>
      <c r="AL1551" s="76"/>
      <c r="AM1551" s="76"/>
      <c r="AN1551" s="76"/>
      <c r="AO1551" s="76"/>
      <c r="AP1551" s="76"/>
      <c r="AQ1551" s="76"/>
      <c r="AR1551" s="76"/>
      <c r="AS1551" s="76"/>
      <c r="AT1551" s="76"/>
      <c r="AU1551" s="76"/>
      <c r="AV1551" s="76"/>
      <c r="AW1551" s="76"/>
      <c r="AX1551" s="76"/>
      <c r="AY1551" s="76"/>
      <c r="AZ1551" s="76"/>
      <c r="BA1551" s="76"/>
      <c r="BB1551" s="76"/>
    </row>
    <row r="1552" spans="5:54" x14ac:dyDescent="0.35">
      <c r="E1552" s="83"/>
      <c r="F1552" s="83"/>
      <c r="G1552" s="76"/>
      <c r="H1552" s="76"/>
      <c r="I1552" s="76"/>
      <c r="J1552" s="76"/>
      <c r="K1552" s="76"/>
      <c r="L1552" s="76"/>
      <c r="M1552" s="76"/>
      <c r="N1552" s="76"/>
      <c r="O1552" s="76"/>
      <c r="P1552" s="76"/>
      <c r="Q1552" s="76"/>
      <c r="R1552" s="76"/>
      <c r="S1552" s="76"/>
      <c r="T1552" s="76"/>
      <c r="U1552" s="76"/>
      <c r="V1552" s="76"/>
      <c r="W1552" s="76"/>
      <c r="X1552" s="76"/>
      <c r="Y1552" s="76"/>
      <c r="Z1552" s="76"/>
      <c r="AA1552" s="76"/>
      <c r="AB1552" s="76"/>
      <c r="AC1552" s="76"/>
      <c r="AD1552" s="76"/>
      <c r="AE1552" s="76"/>
      <c r="AF1552" s="76"/>
      <c r="AG1552" s="76"/>
      <c r="AH1552" s="76"/>
      <c r="AI1552" s="76"/>
      <c r="AJ1552" s="76"/>
      <c r="AK1552" s="76"/>
      <c r="AL1552" s="76"/>
      <c r="AM1552" s="76"/>
      <c r="AN1552" s="76"/>
      <c r="AO1552" s="76"/>
      <c r="AP1552" s="76"/>
      <c r="AQ1552" s="76"/>
      <c r="AR1552" s="76"/>
      <c r="AS1552" s="76"/>
      <c r="AT1552" s="76"/>
      <c r="AU1552" s="76"/>
      <c r="AV1552" s="76"/>
      <c r="AW1552" s="76"/>
      <c r="AX1552" s="76"/>
      <c r="AY1552" s="76"/>
      <c r="AZ1552" s="76"/>
      <c r="BA1552" s="76"/>
      <c r="BB1552" s="76"/>
    </row>
    <row r="1553" spans="5:54" x14ac:dyDescent="0.35">
      <c r="E1553" s="83"/>
      <c r="F1553" s="83"/>
      <c r="G1553" s="76"/>
      <c r="H1553" s="76"/>
      <c r="I1553" s="76"/>
      <c r="J1553" s="76"/>
      <c r="K1553" s="76"/>
      <c r="L1553" s="76"/>
      <c r="M1553" s="76"/>
      <c r="N1553" s="76"/>
      <c r="O1553" s="76"/>
      <c r="P1553" s="76"/>
      <c r="Q1553" s="76"/>
      <c r="R1553" s="76"/>
      <c r="S1553" s="76"/>
      <c r="T1553" s="76"/>
      <c r="U1553" s="76"/>
      <c r="V1553" s="76"/>
      <c r="W1553" s="76"/>
      <c r="X1553" s="76"/>
      <c r="Y1553" s="76"/>
      <c r="Z1553" s="76"/>
      <c r="AA1553" s="76"/>
      <c r="AB1553" s="76"/>
      <c r="AC1553" s="76"/>
      <c r="AD1553" s="76"/>
      <c r="AE1553" s="76"/>
      <c r="AF1553" s="76"/>
      <c r="AG1553" s="76"/>
      <c r="AH1553" s="76"/>
      <c r="AI1553" s="76"/>
      <c r="AJ1553" s="76"/>
      <c r="AK1553" s="76"/>
      <c r="AL1553" s="76"/>
      <c r="AM1553" s="76"/>
      <c r="AN1553" s="76"/>
      <c r="AO1553" s="76"/>
      <c r="AP1553" s="76"/>
      <c r="AQ1553" s="76"/>
      <c r="AR1553" s="76"/>
      <c r="AS1553" s="76"/>
      <c r="AT1553" s="76"/>
      <c r="AU1553" s="76"/>
      <c r="AV1553" s="76"/>
      <c r="AW1553" s="76"/>
      <c r="AX1553" s="76"/>
      <c r="AY1553" s="76"/>
      <c r="AZ1553" s="76"/>
      <c r="BA1553" s="76"/>
      <c r="BB1553" s="76"/>
    </row>
    <row r="1554" spans="5:54" x14ac:dyDescent="0.35">
      <c r="E1554" s="83"/>
      <c r="F1554" s="83"/>
      <c r="G1554" s="76"/>
      <c r="H1554" s="76"/>
      <c r="I1554" s="76"/>
      <c r="J1554" s="76"/>
      <c r="K1554" s="76"/>
      <c r="L1554" s="76"/>
      <c r="M1554" s="76"/>
      <c r="N1554" s="76"/>
      <c r="O1554" s="76"/>
      <c r="P1554" s="76"/>
      <c r="Q1554" s="76"/>
      <c r="R1554" s="76"/>
      <c r="S1554" s="76"/>
      <c r="T1554" s="76"/>
      <c r="U1554" s="76"/>
      <c r="V1554" s="76"/>
      <c r="W1554" s="76"/>
      <c r="X1554" s="76"/>
      <c r="Y1554" s="76"/>
      <c r="Z1554" s="76"/>
      <c r="AA1554" s="76"/>
      <c r="AB1554" s="76"/>
      <c r="AC1554" s="76"/>
      <c r="AD1554" s="76"/>
      <c r="AE1554" s="76"/>
      <c r="AF1554" s="76"/>
      <c r="AG1554" s="76"/>
      <c r="AH1554" s="76"/>
      <c r="AI1554" s="76"/>
      <c r="AJ1554" s="76"/>
      <c r="AK1554" s="76"/>
      <c r="AL1554" s="76"/>
      <c r="AM1554" s="76"/>
      <c r="AN1554" s="76"/>
      <c r="AO1554" s="76"/>
      <c r="AP1554" s="76"/>
      <c r="AQ1554" s="76"/>
      <c r="AR1554" s="76"/>
      <c r="AS1554" s="76"/>
      <c r="AT1554" s="76"/>
      <c r="AU1554" s="76"/>
      <c r="AV1554" s="76"/>
      <c r="AW1554" s="76"/>
      <c r="AX1554" s="76"/>
      <c r="AY1554" s="76"/>
      <c r="AZ1554" s="76"/>
      <c r="BA1554" s="76"/>
      <c r="BB1554" s="76"/>
    </row>
    <row r="1555" spans="5:54" x14ac:dyDescent="0.35">
      <c r="E1555" s="83"/>
      <c r="F1555" s="83"/>
      <c r="G1555" s="76"/>
      <c r="H1555" s="76"/>
      <c r="I1555" s="76"/>
      <c r="J1555" s="76"/>
      <c r="K1555" s="76"/>
      <c r="L1555" s="76"/>
      <c r="M1555" s="76"/>
      <c r="N1555" s="76"/>
      <c r="O1555" s="76"/>
      <c r="P1555" s="76"/>
      <c r="Q1555" s="76"/>
      <c r="R1555" s="76"/>
      <c r="S1555" s="76"/>
      <c r="T1555" s="76"/>
      <c r="U1555" s="76"/>
      <c r="V1555" s="76"/>
      <c r="W1555" s="76"/>
      <c r="X1555" s="76"/>
      <c r="Y1555" s="76"/>
      <c r="Z1555" s="76"/>
      <c r="AA1555" s="76"/>
      <c r="AB1555" s="76"/>
      <c r="AC1555" s="76"/>
      <c r="AD1555" s="76"/>
      <c r="AE1555" s="76"/>
      <c r="AF1555" s="76"/>
      <c r="AG1555" s="76"/>
      <c r="AH1555" s="76"/>
      <c r="AI1555" s="76"/>
      <c r="AJ1555" s="76"/>
      <c r="AK1555" s="76"/>
      <c r="AL1555" s="76"/>
      <c r="AM1555" s="76"/>
      <c r="AN1555" s="76"/>
      <c r="AO1555" s="76"/>
      <c r="AP1555" s="76"/>
      <c r="AQ1555" s="76"/>
      <c r="AR1555" s="76"/>
      <c r="AS1555" s="76"/>
      <c r="AT1555" s="76"/>
      <c r="AU1555" s="76"/>
      <c r="AV1555" s="76"/>
      <c r="AW1555" s="76"/>
      <c r="AX1555" s="76"/>
      <c r="AY1555" s="76"/>
      <c r="AZ1555" s="76"/>
      <c r="BA1555" s="76"/>
      <c r="BB1555" s="76"/>
    </row>
    <row r="1556" spans="5:54" x14ac:dyDescent="0.35">
      <c r="E1556" s="83"/>
      <c r="F1556" s="83"/>
      <c r="G1556" s="76"/>
      <c r="H1556" s="76"/>
      <c r="I1556" s="76"/>
      <c r="J1556" s="76"/>
      <c r="K1556" s="76"/>
      <c r="L1556" s="76"/>
      <c r="M1556" s="76"/>
      <c r="N1556" s="76"/>
      <c r="O1556" s="76"/>
      <c r="P1556" s="76"/>
      <c r="Q1556" s="76"/>
      <c r="R1556" s="76"/>
      <c r="S1556" s="76"/>
      <c r="T1556" s="76"/>
      <c r="U1556" s="76"/>
      <c r="V1556" s="76"/>
      <c r="W1556" s="76"/>
      <c r="X1556" s="76"/>
      <c r="Y1556" s="76"/>
      <c r="Z1556" s="76"/>
      <c r="AA1556" s="76"/>
      <c r="AB1556" s="76"/>
      <c r="AC1556" s="76"/>
      <c r="AD1556" s="76"/>
      <c r="AE1556" s="76"/>
      <c r="AF1556" s="76"/>
      <c r="AG1556" s="76"/>
      <c r="AH1556" s="76"/>
      <c r="AI1556" s="76"/>
      <c r="AJ1556" s="76"/>
      <c r="AK1556" s="76"/>
      <c r="AL1556" s="76"/>
      <c r="AM1556" s="76"/>
      <c r="AN1556" s="76"/>
      <c r="AO1556" s="76"/>
      <c r="AP1556" s="76"/>
      <c r="AQ1556" s="76"/>
      <c r="AR1556" s="76"/>
      <c r="AS1556" s="76"/>
      <c r="AT1556" s="76"/>
      <c r="AU1556" s="76"/>
      <c r="AV1556" s="76"/>
      <c r="AW1556" s="76"/>
      <c r="AX1556" s="76"/>
      <c r="AY1556" s="76"/>
      <c r="AZ1556" s="76"/>
      <c r="BA1556" s="76"/>
      <c r="BB1556" s="76"/>
    </row>
    <row r="1557" spans="5:54" x14ac:dyDescent="0.35">
      <c r="E1557" s="83"/>
      <c r="F1557" s="83"/>
      <c r="G1557" s="76"/>
      <c r="H1557" s="76"/>
      <c r="I1557" s="76"/>
      <c r="J1557" s="76"/>
      <c r="K1557" s="76"/>
      <c r="L1557" s="76"/>
      <c r="M1557" s="76"/>
      <c r="N1557" s="76"/>
      <c r="O1557" s="76"/>
      <c r="P1557" s="76"/>
      <c r="Q1557" s="76"/>
      <c r="R1557" s="76"/>
      <c r="S1557" s="76"/>
      <c r="T1557" s="76"/>
      <c r="U1557" s="76"/>
      <c r="V1557" s="76"/>
      <c r="W1557" s="76"/>
      <c r="X1557" s="76"/>
      <c r="Y1557" s="76"/>
      <c r="Z1557" s="76"/>
      <c r="AA1557" s="76"/>
      <c r="AB1557" s="76"/>
      <c r="AC1557" s="76"/>
      <c r="AD1557" s="76"/>
      <c r="AE1557" s="76"/>
      <c r="AF1557" s="76"/>
      <c r="AG1557" s="76"/>
      <c r="AH1557" s="76"/>
      <c r="AI1557" s="76"/>
      <c r="AJ1557" s="76"/>
      <c r="AK1557" s="76"/>
      <c r="AL1557" s="76"/>
      <c r="AM1557" s="76"/>
      <c r="AN1557" s="76"/>
      <c r="AO1557" s="76"/>
      <c r="AP1557" s="76"/>
      <c r="AQ1557" s="76"/>
      <c r="AR1557" s="76"/>
      <c r="AS1557" s="76"/>
      <c r="AT1557" s="76"/>
      <c r="AU1557" s="76"/>
      <c r="AV1557" s="76"/>
      <c r="AW1557" s="76"/>
      <c r="AX1557" s="76"/>
      <c r="AY1557" s="76"/>
      <c r="AZ1557" s="76"/>
      <c r="BA1557" s="76"/>
      <c r="BB1557" s="76"/>
    </row>
    <row r="1558" spans="5:54" x14ac:dyDescent="0.35">
      <c r="E1558" s="83"/>
      <c r="F1558" s="83"/>
      <c r="G1558" s="76"/>
      <c r="H1558" s="76"/>
      <c r="I1558" s="76"/>
      <c r="J1558" s="76"/>
      <c r="K1558" s="76"/>
      <c r="L1558" s="76"/>
      <c r="M1558" s="76"/>
      <c r="N1558" s="76"/>
      <c r="O1558" s="76"/>
      <c r="P1558" s="76"/>
      <c r="Q1558" s="76"/>
      <c r="R1558" s="76"/>
      <c r="S1558" s="76"/>
      <c r="T1558" s="76"/>
      <c r="U1558" s="76"/>
      <c r="V1558" s="76"/>
      <c r="W1558" s="76"/>
      <c r="X1558" s="76"/>
      <c r="Y1558" s="76"/>
      <c r="Z1558" s="76"/>
      <c r="AA1558" s="76"/>
      <c r="AB1558" s="76"/>
      <c r="AC1558" s="76"/>
      <c r="AD1558" s="76"/>
      <c r="AE1558" s="76"/>
      <c r="AF1558" s="76"/>
      <c r="AG1558" s="76"/>
      <c r="AH1558" s="76"/>
      <c r="AI1558" s="76"/>
      <c r="AJ1558" s="76"/>
      <c r="AK1558" s="76"/>
      <c r="AL1558" s="76"/>
      <c r="AM1558" s="76"/>
      <c r="AN1558" s="76"/>
      <c r="AO1558" s="76"/>
      <c r="AP1558" s="76"/>
      <c r="AQ1558" s="76"/>
      <c r="AR1558" s="76"/>
      <c r="AS1558" s="76"/>
      <c r="AT1558" s="76"/>
      <c r="AU1558" s="76"/>
      <c r="AV1558" s="76"/>
      <c r="AW1558" s="76"/>
      <c r="AX1558" s="76"/>
      <c r="AY1558" s="76"/>
      <c r="AZ1558" s="76"/>
      <c r="BA1558" s="76"/>
      <c r="BB1558" s="76"/>
    </row>
    <row r="1559" spans="5:54" x14ac:dyDescent="0.35">
      <c r="E1559" s="83"/>
      <c r="F1559" s="83"/>
      <c r="G1559" s="76"/>
      <c r="H1559" s="76"/>
      <c r="I1559" s="76"/>
      <c r="J1559" s="76"/>
      <c r="K1559" s="76"/>
      <c r="L1559" s="76"/>
      <c r="M1559" s="76"/>
      <c r="N1559" s="76"/>
      <c r="O1559" s="76"/>
      <c r="P1559" s="76"/>
      <c r="Q1559" s="76"/>
      <c r="R1559" s="76"/>
      <c r="S1559" s="76"/>
      <c r="T1559" s="76"/>
      <c r="U1559" s="76"/>
      <c r="V1559" s="76"/>
      <c r="W1559" s="76"/>
      <c r="X1559" s="76"/>
      <c r="Y1559" s="76"/>
      <c r="Z1559" s="76"/>
      <c r="AA1559" s="76"/>
      <c r="AB1559" s="76"/>
      <c r="AC1559" s="76"/>
      <c r="AD1559" s="76"/>
      <c r="AE1559" s="76"/>
      <c r="AF1559" s="76"/>
      <c r="AG1559" s="76"/>
      <c r="AH1559" s="76"/>
      <c r="AI1559" s="76"/>
      <c r="AJ1559" s="76"/>
      <c r="AK1559" s="76"/>
      <c r="AL1559" s="76"/>
      <c r="AM1559" s="76"/>
      <c r="AN1559" s="76"/>
      <c r="AO1559" s="76"/>
      <c r="AP1559" s="76"/>
      <c r="AQ1559" s="76"/>
      <c r="AR1559" s="76"/>
      <c r="AS1559" s="76"/>
      <c r="AT1559" s="76"/>
      <c r="AU1559" s="76"/>
      <c r="AV1559" s="76"/>
      <c r="AW1559" s="76"/>
      <c r="AX1559" s="76"/>
      <c r="AY1559" s="76"/>
      <c r="AZ1559" s="76"/>
      <c r="BA1559" s="76"/>
      <c r="BB1559" s="76"/>
    </row>
    <row r="1560" spans="5:54" x14ac:dyDescent="0.35">
      <c r="E1560" s="83"/>
      <c r="F1560" s="83"/>
      <c r="G1560" s="76"/>
      <c r="H1560" s="76"/>
      <c r="I1560" s="76"/>
      <c r="J1560" s="76"/>
      <c r="K1560" s="76"/>
      <c r="L1560" s="76"/>
      <c r="M1560" s="76"/>
      <c r="N1560" s="76"/>
      <c r="O1560" s="76"/>
      <c r="P1560" s="76"/>
      <c r="Q1560" s="76"/>
      <c r="R1560" s="76"/>
      <c r="S1560" s="76"/>
      <c r="T1560" s="76"/>
      <c r="U1560" s="76"/>
      <c r="V1560" s="76"/>
      <c r="W1560" s="76"/>
      <c r="X1560" s="76"/>
      <c r="Y1560" s="76"/>
      <c r="Z1560" s="76"/>
      <c r="AA1560" s="76"/>
      <c r="AB1560" s="76"/>
      <c r="AC1560" s="76"/>
      <c r="AD1560" s="76"/>
      <c r="AE1560" s="76"/>
      <c r="AF1560" s="76"/>
      <c r="AG1560" s="76"/>
      <c r="AH1560" s="76"/>
      <c r="AI1560" s="76"/>
      <c r="AJ1560" s="76"/>
      <c r="AK1560" s="76"/>
      <c r="AL1560" s="76"/>
      <c r="AM1560" s="76"/>
      <c r="AN1560" s="76"/>
      <c r="AO1560" s="76"/>
      <c r="AP1560" s="76"/>
      <c r="AQ1560" s="76"/>
      <c r="AR1560" s="76"/>
      <c r="AS1560" s="76"/>
      <c r="AT1560" s="76"/>
      <c r="AU1560" s="76"/>
      <c r="AV1560" s="76"/>
      <c r="AW1560" s="76"/>
      <c r="AX1560" s="76"/>
      <c r="AY1560" s="76"/>
      <c r="AZ1560" s="76"/>
      <c r="BA1560" s="76"/>
      <c r="BB1560" s="76"/>
    </row>
    <row r="1561" spans="5:54" x14ac:dyDescent="0.35">
      <c r="E1561" s="83"/>
      <c r="F1561" s="83"/>
      <c r="G1561" s="76"/>
      <c r="H1561" s="76"/>
      <c r="I1561" s="76"/>
      <c r="J1561" s="76"/>
      <c r="K1561" s="76"/>
      <c r="L1561" s="76"/>
      <c r="M1561" s="76"/>
      <c r="N1561" s="76"/>
      <c r="O1561" s="76"/>
      <c r="P1561" s="76"/>
      <c r="Q1561" s="76"/>
      <c r="R1561" s="76"/>
      <c r="S1561" s="76"/>
      <c r="T1561" s="76"/>
      <c r="U1561" s="76"/>
      <c r="V1561" s="76"/>
      <c r="W1561" s="76"/>
      <c r="X1561" s="76"/>
      <c r="Y1561" s="76"/>
      <c r="Z1561" s="76"/>
      <c r="AA1561" s="76"/>
      <c r="AB1561" s="76"/>
      <c r="AC1561" s="76"/>
      <c r="AD1561" s="76"/>
      <c r="AE1561" s="76"/>
      <c r="AF1561" s="76"/>
      <c r="AG1561" s="76"/>
      <c r="AH1561" s="76"/>
      <c r="AI1561" s="76"/>
      <c r="AJ1561" s="76"/>
      <c r="AK1561" s="76"/>
      <c r="AL1561" s="76"/>
      <c r="AM1561" s="76"/>
      <c r="AN1561" s="76"/>
      <c r="AO1561" s="76"/>
      <c r="AP1561" s="76"/>
      <c r="AQ1561" s="76"/>
      <c r="AR1561" s="76"/>
      <c r="AS1561" s="76"/>
      <c r="AT1561" s="76"/>
      <c r="AU1561" s="76"/>
      <c r="AV1561" s="76"/>
      <c r="AW1561" s="76"/>
      <c r="AX1561" s="76"/>
      <c r="AY1561" s="76"/>
      <c r="AZ1561" s="76"/>
      <c r="BA1561" s="76"/>
      <c r="BB1561" s="76"/>
    </row>
    <row r="1562" spans="5:54" x14ac:dyDescent="0.35">
      <c r="E1562" s="83"/>
      <c r="F1562" s="83"/>
      <c r="G1562" s="76"/>
      <c r="H1562" s="76"/>
      <c r="I1562" s="76"/>
      <c r="J1562" s="76"/>
      <c r="K1562" s="76"/>
      <c r="L1562" s="76"/>
      <c r="M1562" s="76"/>
      <c r="N1562" s="76"/>
      <c r="O1562" s="76"/>
      <c r="P1562" s="76"/>
      <c r="Q1562" s="76"/>
      <c r="R1562" s="76"/>
      <c r="S1562" s="76"/>
      <c r="T1562" s="76"/>
      <c r="U1562" s="76"/>
      <c r="V1562" s="76"/>
      <c r="W1562" s="76"/>
      <c r="X1562" s="76"/>
      <c r="Y1562" s="76"/>
      <c r="Z1562" s="76"/>
      <c r="AA1562" s="76"/>
      <c r="AB1562" s="76"/>
      <c r="AC1562" s="76"/>
      <c r="AD1562" s="76"/>
      <c r="AE1562" s="76"/>
      <c r="AF1562" s="76"/>
      <c r="AG1562" s="76"/>
      <c r="AH1562" s="76"/>
      <c r="AI1562" s="76"/>
      <c r="AJ1562" s="76"/>
      <c r="AK1562" s="76"/>
      <c r="AL1562" s="76"/>
      <c r="AM1562" s="76"/>
      <c r="AN1562" s="76"/>
      <c r="AO1562" s="76"/>
      <c r="AP1562" s="76"/>
      <c r="AQ1562" s="76"/>
      <c r="AR1562" s="76"/>
      <c r="AS1562" s="76"/>
      <c r="AT1562" s="76"/>
      <c r="AU1562" s="76"/>
      <c r="AV1562" s="76"/>
      <c r="AW1562" s="76"/>
      <c r="AX1562" s="76"/>
      <c r="AY1562" s="76"/>
      <c r="AZ1562" s="76"/>
      <c r="BA1562" s="76"/>
      <c r="BB1562" s="76"/>
    </row>
    <row r="1563" spans="5:54" x14ac:dyDescent="0.35">
      <c r="E1563" s="83"/>
      <c r="F1563" s="83"/>
      <c r="G1563" s="76"/>
      <c r="H1563" s="76"/>
      <c r="I1563" s="76"/>
      <c r="J1563" s="76"/>
      <c r="K1563" s="76"/>
      <c r="L1563" s="76"/>
      <c r="M1563" s="76"/>
      <c r="N1563" s="76"/>
      <c r="O1563" s="76"/>
      <c r="P1563" s="76"/>
      <c r="Q1563" s="76"/>
      <c r="R1563" s="76"/>
      <c r="S1563" s="76"/>
      <c r="T1563" s="76"/>
      <c r="U1563" s="76"/>
      <c r="V1563" s="76"/>
      <c r="W1563" s="76"/>
      <c r="X1563" s="76"/>
      <c r="Y1563" s="76"/>
      <c r="Z1563" s="76"/>
      <c r="AA1563" s="76"/>
      <c r="AB1563" s="76"/>
      <c r="AC1563" s="76"/>
      <c r="AD1563" s="76"/>
      <c r="AE1563" s="76"/>
      <c r="AF1563" s="76"/>
      <c r="AG1563" s="76"/>
      <c r="AH1563" s="76"/>
      <c r="AI1563" s="76"/>
      <c r="AJ1563" s="76"/>
      <c r="AK1563" s="76"/>
      <c r="AL1563" s="76"/>
      <c r="AM1563" s="76"/>
      <c r="AN1563" s="76"/>
      <c r="AO1563" s="76"/>
      <c r="AP1563" s="76"/>
      <c r="AQ1563" s="76"/>
      <c r="AR1563" s="76"/>
      <c r="AS1563" s="76"/>
      <c r="AT1563" s="76"/>
      <c r="AU1563" s="76"/>
      <c r="AV1563" s="76"/>
      <c r="AW1563" s="76"/>
      <c r="AX1563" s="76"/>
      <c r="AY1563" s="76"/>
      <c r="AZ1563" s="76"/>
      <c r="BA1563" s="76"/>
      <c r="BB1563" s="76"/>
    </row>
    <row r="1564" spans="5:54" x14ac:dyDescent="0.35">
      <c r="E1564" s="83"/>
      <c r="F1564" s="83"/>
      <c r="G1564" s="76"/>
      <c r="H1564" s="76"/>
      <c r="I1564" s="76"/>
      <c r="J1564" s="76"/>
      <c r="K1564" s="76"/>
      <c r="L1564" s="76"/>
      <c r="M1564" s="76"/>
      <c r="N1564" s="76"/>
      <c r="O1564" s="76"/>
      <c r="P1564" s="76"/>
      <c r="Q1564" s="76"/>
      <c r="R1564" s="76"/>
      <c r="S1564" s="76"/>
      <c r="T1564" s="76"/>
      <c r="U1564" s="76"/>
      <c r="V1564" s="76"/>
      <c r="W1564" s="76"/>
      <c r="X1564" s="76"/>
      <c r="Y1564" s="76"/>
      <c r="Z1564" s="76"/>
      <c r="AA1564" s="76"/>
      <c r="AB1564" s="76"/>
      <c r="AC1564" s="76"/>
      <c r="AD1564" s="76"/>
      <c r="AE1564" s="76"/>
      <c r="AF1564" s="76"/>
      <c r="AG1564" s="76"/>
      <c r="AH1564" s="76"/>
      <c r="AI1564" s="76"/>
      <c r="AJ1564" s="76"/>
      <c r="AK1564" s="76"/>
      <c r="AL1564" s="76"/>
      <c r="AM1564" s="76"/>
      <c r="AN1564" s="76"/>
      <c r="AO1564" s="76"/>
      <c r="AP1564" s="76"/>
      <c r="AQ1564" s="76"/>
      <c r="AR1564" s="76"/>
      <c r="AS1564" s="76"/>
      <c r="AT1564" s="76"/>
      <c r="AU1564" s="76"/>
      <c r="AV1564" s="76"/>
      <c r="AW1564" s="76"/>
      <c r="AX1564" s="76"/>
      <c r="AY1564" s="76"/>
      <c r="AZ1564" s="76"/>
      <c r="BA1564" s="76"/>
      <c r="BB1564" s="76"/>
    </row>
    <row r="1565" spans="5:54" x14ac:dyDescent="0.35">
      <c r="E1565" s="83"/>
      <c r="F1565" s="83"/>
      <c r="G1565" s="76"/>
      <c r="H1565" s="76"/>
      <c r="I1565" s="76"/>
      <c r="J1565" s="76"/>
      <c r="K1565" s="76"/>
      <c r="L1565" s="76"/>
      <c r="M1565" s="76"/>
      <c r="N1565" s="76"/>
      <c r="O1565" s="76"/>
      <c r="P1565" s="76"/>
      <c r="Q1565" s="76"/>
      <c r="R1565" s="76"/>
      <c r="S1565" s="76"/>
      <c r="T1565" s="76"/>
      <c r="U1565" s="76"/>
      <c r="V1565" s="76"/>
      <c r="W1565" s="76"/>
      <c r="X1565" s="76"/>
      <c r="Y1565" s="76"/>
      <c r="Z1565" s="76"/>
      <c r="AA1565" s="76"/>
      <c r="AB1565" s="76"/>
      <c r="AC1565" s="76"/>
      <c r="AD1565" s="76"/>
      <c r="AE1565" s="76"/>
      <c r="AF1565" s="76"/>
      <c r="AG1565" s="76"/>
      <c r="AH1565" s="76"/>
      <c r="AI1565" s="76"/>
      <c r="AJ1565" s="76"/>
      <c r="AK1565" s="76"/>
      <c r="AL1565" s="76"/>
      <c r="AM1565" s="76"/>
      <c r="AN1565" s="76"/>
      <c r="AO1565" s="76"/>
      <c r="AP1565" s="76"/>
      <c r="AQ1565" s="76"/>
      <c r="AR1565" s="76"/>
      <c r="AS1565" s="76"/>
      <c r="AT1565" s="76"/>
      <c r="AU1565" s="76"/>
      <c r="AV1565" s="76"/>
      <c r="AW1565" s="76"/>
      <c r="AX1565" s="76"/>
      <c r="AY1565" s="76"/>
      <c r="AZ1565" s="76"/>
      <c r="BA1565" s="76"/>
      <c r="BB1565" s="76"/>
    </row>
    <row r="1566" spans="5:54" x14ac:dyDescent="0.35">
      <c r="E1566" s="83"/>
      <c r="F1566" s="83"/>
      <c r="G1566" s="76"/>
      <c r="H1566" s="76"/>
      <c r="I1566" s="76"/>
      <c r="J1566" s="76"/>
      <c r="K1566" s="76"/>
      <c r="L1566" s="76"/>
      <c r="M1566" s="76"/>
      <c r="N1566" s="76"/>
      <c r="O1566" s="76"/>
      <c r="P1566" s="76"/>
      <c r="Q1566" s="76"/>
      <c r="R1566" s="76"/>
      <c r="S1566" s="76"/>
      <c r="T1566" s="76"/>
      <c r="U1566" s="76"/>
      <c r="V1566" s="76"/>
      <c r="W1566" s="76"/>
      <c r="X1566" s="76"/>
      <c r="Y1566" s="76"/>
      <c r="Z1566" s="76"/>
      <c r="AA1566" s="76"/>
      <c r="AB1566" s="76"/>
      <c r="AC1566" s="76"/>
      <c r="AD1566" s="76"/>
      <c r="AE1566" s="76"/>
      <c r="AF1566" s="76"/>
      <c r="AG1566" s="76"/>
      <c r="AH1566" s="76"/>
      <c r="AI1566" s="76"/>
      <c r="AJ1566" s="76"/>
      <c r="AK1566" s="76"/>
      <c r="AL1566" s="76"/>
      <c r="AM1566" s="76"/>
      <c r="AN1566" s="76"/>
      <c r="AO1566" s="76"/>
      <c r="AP1566" s="76"/>
      <c r="AQ1566" s="76"/>
      <c r="AR1566" s="76"/>
      <c r="AS1566" s="76"/>
      <c r="AT1566" s="76"/>
      <c r="AU1566" s="76"/>
      <c r="AV1566" s="76"/>
      <c r="AW1566" s="76"/>
      <c r="AX1566" s="76"/>
      <c r="AY1566" s="76"/>
      <c r="AZ1566" s="76"/>
      <c r="BA1566" s="76"/>
      <c r="BB1566" s="76"/>
    </row>
    <row r="1567" spans="5:54" x14ac:dyDescent="0.35">
      <c r="E1567" s="83"/>
      <c r="F1567" s="83"/>
      <c r="G1567" s="76"/>
      <c r="H1567" s="76"/>
      <c r="I1567" s="76"/>
      <c r="J1567" s="76"/>
      <c r="K1567" s="76"/>
      <c r="L1567" s="76"/>
      <c r="M1567" s="76"/>
      <c r="N1567" s="76"/>
      <c r="O1567" s="76"/>
      <c r="P1567" s="76"/>
      <c r="Q1567" s="76"/>
      <c r="R1567" s="76"/>
      <c r="S1567" s="76"/>
      <c r="T1567" s="76"/>
      <c r="U1567" s="76"/>
      <c r="V1567" s="76"/>
      <c r="W1567" s="76"/>
      <c r="X1567" s="76"/>
      <c r="Y1567" s="76"/>
      <c r="Z1567" s="76"/>
      <c r="AA1567" s="76"/>
      <c r="AB1567" s="76"/>
      <c r="AC1567" s="76"/>
      <c r="AD1567" s="76"/>
      <c r="AE1567" s="76"/>
      <c r="AF1567" s="76"/>
      <c r="AG1567" s="76"/>
      <c r="AH1567" s="76"/>
      <c r="AI1567" s="76"/>
      <c r="AJ1567" s="76"/>
      <c r="AK1567" s="76"/>
      <c r="AL1567" s="76"/>
      <c r="AM1567" s="76"/>
      <c r="AN1567" s="76"/>
      <c r="AO1567" s="76"/>
      <c r="AP1567" s="76"/>
      <c r="AQ1567" s="76"/>
      <c r="AR1567" s="76"/>
      <c r="AS1567" s="76"/>
      <c r="AT1567" s="76"/>
      <c r="AU1567" s="76"/>
      <c r="AV1567" s="76"/>
      <c r="AW1567" s="76"/>
      <c r="AX1567" s="76"/>
      <c r="AY1567" s="76"/>
      <c r="AZ1567" s="76"/>
      <c r="BA1567" s="76"/>
      <c r="BB1567" s="76"/>
    </row>
    <row r="1568" spans="5:54" x14ac:dyDescent="0.35">
      <c r="E1568" s="83"/>
      <c r="F1568" s="83"/>
      <c r="G1568" s="76"/>
      <c r="H1568" s="76"/>
      <c r="I1568" s="76"/>
      <c r="J1568" s="76"/>
      <c r="K1568" s="76"/>
      <c r="L1568" s="76"/>
      <c r="M1568" s="76"/>
      <c r="N1568" s="76"/>
      <c r="O1568" s="76"/>
      <c r="P1568" s="76"/>
      <c r="Q1568" s="76"/>
      <c r="R1568" s="76"/>
      <c r="S1568" s="76"/>
      <c r="T1568" s="76"/>
      <c r="U1568" s="76"/>
      <c r="V1568" s="76"/>
      <c r="W1568" s="76"/>
      <c r="X1568" s="76"/>
      <c r="Y1568" s="76"/>
      <c r="Z1568" s="76"/>
      <c r="AA1568" s="76"/>
      <c r="AB1568" s="76"/>
      <c r="AC1568" s="76"/>
      <c r="AD1568" s="76"/>
      <c r="AE1568" s="76"/>
      <c r="AF1568" s="76"/>
      <c r="AG1568" s="76"/>
      <c r="AH1568" s="76"/>
      <c r="AI1568" s="76"/>
      <c r="AJ1568" s="76"/>
      <c r="AK1568" s="76"/>
      <c r="AL1568" s="76"/>
      <c r="AM1568" s="76"/>
      <c r="AN1568" s="76"/>
      <c r="AO1568" s="76"/>
      <c r="AP1568" s="76"/>
      <c r="AQ1568" s="76"/>
      <c r="AR1568" s="76"/>
      <c r="AS1568" s="76"/>
      <c r="AT1568" s="76"/>
      <c r="AU1568" s="76"/>
      <c r="AV1568" s="76"/>
      <c r="AW1568" s="76"/>
      <c r="AX1568" s="76"/>
      <c r="AY1568" s="76"/>
      <c r="AZ1568" s="76"/>
      <c r="BA1568" s="76"/>
      <c r="BB1568" s="76"/>
    </row>
    <row r="1569" spans="5:54" x14ac:dyDescent="0.35">
      <c r="E1569" s="83"/>
      <c r="F1569" s="83"/>
      <c r="G1569" s="76"/>
      <c r="H1569" s="76"/>
      <c r="I1569" s="76"/>
      <c r="J1569" s="76"/>
      <c r="K1569" s="76"/>
      <c r="L1569" s="76"/>
      <c r="M1569" s="76"/>
      <c r="N1569" s="76"/>
      <c r="O1569" s="76"/>
      <c r="P1569" s="76"/>
      <c r="Q1569" s="76"/>
      <c r="R1569" s="76"/>
      <c r="S1569" s="76"/>
      <c r="T1569" s="76"/>
      <c r="U1569" s="76"/>
      <c r="V1569" s="76"/>
      <c r="W1569" s="76"/>
      <c r="X1569" s="76"/>
      <c r="Y1569" s="76"/>
      <c r="Z1569" s="76"/>
      <c r="AA1569" s="76"/>
      <c r="AB1569" s="76"/>
      <c r="AC1569" s="76"/>
      <c r="AD1569" s="76"/>
      <c r="AE1569" s="76"/>
      <c r="AF1569" s="76"/>
      <c r="AG1569" s="76"/>
      <c r="AH1569" s="76"/>
      <c r="AI1569" s="76"/>
      <c r="AJ1569" s="76"/>
      <c r="AK1569" s="76"/>
      <c r="AL1569" s="76"/>
      <c r="AM1569" s="76"/>
      <c r="AN1569" s="76"/>
      <c r="AO1569" s="76"/>
      <c r="AP1569" s="76"/>
      <c r="AQ1569" s="76"/>
      <c r="AR1569" s="76"/>
      <c r="AS1569" s="76"/>
      <c r="AT1569" s="76"/>
      <c r="AU1569" s="76"/>
      <c r="AV1569" s="76"/>
      <c r="AW1569" s="76"/>
      <c r="AX1569" s="76"/>
      <c r="AY1569" s="76"/>
      <c r="AZ1569" s="76"/>
      <c r="BA1569" s="76"/>
      <c r="BB1569" s="76"/>
    </row>
    <row r="1570" spans="5:54" x14ac:dyDescent="0.35">
      <c r="E1570" s="83"/>
      <c r="F1570" s="83"/>
      <c r="G1570" s="76"/>
      <c r="H1570" s="76"/>
      <c r="I1570" s="76"/>
      <c r="J1570" s="76"/>
      <c r="K1570" s="76"/>
      <c r="L1570" s="76"/>
      <c r="M1570" s="76"/>
      <c r="N1570" s="76"/>
      <c r="O1570" s="76"/>
      <c r="P1570" s="76"/>
      <c r="Q1570" s="76"/>
      <c r="R1570" s="76"/>
      <c r="S1570" s="76"/>
      <c r="T1570" s="76"/>
      <c r="U1570" s="76"/>
      <c r="V1570" s="76"/>
      <c r="W1570" s="76"/>
      <c r="X1570" s="76"/>
      <c r="Y1570" s="76"/>
      <c r="Z1570" s="76"/>
      <c r="AA1570" s="76"/>
      <c r="AB1570" s="76"/>
      <c r="AC1570" s="76"/>
      <c r="AD1570" s="76"/>
      <c r="AE1570" s="76"/>
      <c r="AF1570" s="76"/>
      <c r="AG1570" s="76"/>
      <c r="AH1570" s="76"/>
      <c r="AI1570" s="76"/>
      <c r="AJ1570" s="76"/>
      <c r="AK1570" s="76"/>
      <c r="AL1570" s="76"/>
      <c r="AM1570" s="76"/>
      <c r="AN1570" s="76"/>
      <c r="AO1570" s="76"/>
      <c r="AP1570" s="76"/>
      <c r="AQ1570" s="76"/>
      <c r="AR1570" s="76"/>
      <c r="AS1570" s="76"/>
      <c r="AT1570" s="76"/>
      <c r="AU1570" s="76"/>
      <c r="AV1570" s="76"/>
      <c r="AW1570" s="76"/>
      <c r="AX1570" s="76"/>
      <c r="AY1570" s="76"/>
      <c r="AZ1570" s="76"/>
      <c r="BA1570" s="76"/>
      <c r="BB1570" s="76"/>
    </row>
    <row r="1571" spans="5:54" x14ac:dyDescent="0.35">
      <c r="E1571" s="83"/>
      <c r="F1571" s="83"/>
      <c r="G1571" s="76"/>
      <c r="H1571" s="76"/>
      <c r="I1571" s="76"/>
      <c r="J1571" s="76"/>
      <c r="K1571" s="76"/>
      <c r="L1571" s="76"/>
      <c r="M1571" s="76"/>
      <c r="N1571" s="76"/>
      <c r="O1571" s="76"/>
      <c r="P1571" s="76"/>
      <c r="Q1571" s="76"/>
      <c r="R1571" s="76"/>
      <c r="S1571" s="76"/>
      <c r="T1571" s="76"/>
      <c r="U1571" s="76"/>
      <c r="V1571" s="76"/>
      <c r="W1571" s="76"/>
      <c r="X1571" s="76"/>
      <c r="Y1571" s="76"/>
      <c r="Z1571" s="76"/>
      <c r="AA1571" s="76"/>
      <c r="AB1571" s="76"/>
      <c r="AC1571" s="76"/>
      <c r="AD1571" s="76"/>
      <c r="AE1571" s="76"/>
      <c r="AF1571" s="76"/>
      <c r="AG1571" s="76"/>
      <c r="AH1571" s="76"/>
      <c r="AI1571" s="76"/>
      <c r="AJ1571" s="76"/>
      <c r="AK1571" s="76"/>
      <c r="AL1571" s="76"/>
      <c r="AM1571" s="76"/>
      <c r="AN1571" s="76"/>
      <c r="AO1571" s="76"/>
      <c r="AP1571" s="76"/>
      <c r="AQ1571" s="76"/>
      <c r="AR1571" s="76"/>
      <c r="AS1571" s="76"/>
      <c r="AT1571" s="76"/>
      <c r="AU1571" s="76"/>
      <c r="AV1571" s="76"/>
      <c r="AW1571" s="76"/>
      <c r="AX1571" s="76"/>
      <c r="AY1571" s="76"/>
      <c r="AZ1571" s="76"/>
      <c r="BA1571" s="76"/>
      <c r="BB1571" s="76"/>
    </row>
    <row r="1572" spans="5:54" x14ac:dyDescent="0.35">
      <c r="E1572" s="83"/>
      <c r="F1572" s="83"/>
      <c r="G1572" s="76"/>
      <c r="H1572" s="76"/>
      <c r="I1572" s="76"/>
      <c r="J1572" s="76"/>
      <c r="K1572" s="76"/>
      <c r="L1572" s="76"/>
      <c r="M1572" s="76"/>
      <c r="N1572" s="76"/>
      <c r="O1572" s="76"/>
      <c r="P1572" s="76"/>
      <c r="Q1572" s="76"/>
      <c r="R1572" s="76"/>
      <c r="S1572" s="76"/>
      <c r="T1572" s="76"/>
      <c r="U1572" s="76"/>
      <c r="V1572" s="76"/>
      <c r="W1572" s="76"/>
      <c r="X1572" s="76"/>
      <c r="Y1572" s="76"/>
      <c r="Z1572" s="76"/>
      <c r="AA1572" s="76"/>
      <c r="AB1572" s="76"/>
      <c r="AC1572" s="76"/>
      <c r="AD1572" s="76"/>
      <c r="AE1572" s="76"/>
      <c r="AF1572" s="76"/>
      <c r="AG1572" s="76"/>
      <c r="AH1572" s="76"/>
      <c r="AI1572" s="76"/>
      <c r="AJ1572" s="76"/>
      <c r="AK1572" s="76"/>
      <c r="AL1572" s="76"/>
      <c r="AM1572" s="76"/>
      <c r="AN1572" s="76"/>
      <c r="AO1572" s="76"/>
      <c r="AP1572" s="76"/>
      <c r="AQ1572" s="76"/>
      <c r="AR1572" s="76"/>
      <c r="AS1572" s="76"/>
      <c r="AT1572" s="76"/>
      <c r="AU1572" s="76"/>
      <c r="AV1572" s="76"/>
      <c r="AW1572" s="76"/>
      <c r="AX1572" s="76"/>
      <c r="AY1572" s="76"/>
      <c r="AZ1572" s="76"/>
      <c r="BA1572" s="76"/>
      <c r="BB1572" s="76"/>
    </row>
    <row r="1573" spans="5:54" x14ac:dyDescent="0.35">
      <c r="E1573" s="83"/>
      <c r="F1573" s="83"/>
      <c r="G1573" s="76"/>
      <c r="H1573" s="76"/>
      <c r="I1573" s="76"/>
      <c r="J1573" s="76"/>
      <c r="K1573" s="76"/>
      <c r="L1573" s="76"/>
      <c r="M1573" s="76"/>
      <c r="N1573" s="76"/>
      <c r="O1573" s="76"/>
      <c r="P1573" s="76"/>
      <c r="Q1573" s="76"/>
      <c r="R1573" s="76"/>
      <c r="S1573" s="76"/>
      <c r="T1573" s="76"/>
      <c r="U1573" s="76"/>
      <c r="V1573" s="76"/>
      <c r="W1573" s="76"/>
      <c r="X1573" s="76"/>
      <c r="Y1573" s="76"/>
      <c r="Z1573" s="76"/>
      <c r="AA1573" s="76"/>
      <c r="AB1573" s="76"/>
      <c r="AC1573" s="76"/>
      <c r="AD1573" s="76"/>
      <c r="AE1573" s="76"/>
      <c r="AF1573" s="76"/>
      <c r="AG1573" s="76"/>
      <c r="AH1573" s="76"/>
      <c r="AI1573" s="76"/>
      <c r="AJ1573" s="76"/>
      <c r="AK1573" s="76"/>
      <c r="AL1573" s="76"/>
      <c r="AM1573" s="76"/>
      <c r="AN1573" s="76"/>
      <c r="AO1573" s="76"/>
      <c r="AP1573" s="76"/>
      <c r="AQ1573" s="76"/>
      <c r="AR1573" s="76"/>
      <c r="AS1573" s="76"/>
      <c r="AT1573" s="76"/>
      <c r="AU1573" s="76"/>
      <c r="AV1573" s="76"/>
      <c r="AW1573" s="76"/>
      <c r="AX1573" s="76"/>
      <c r="AY1573" s="76"/>
      <c r="AZ1573" s="76"/>
      <c r="BA1573" s="76"/>
      <c r="BB1573" s="76"/>
    </row>
    <row r="1574" spans="5:54" x14ac:dyDescent="0.35">
      <c r="E1574" s="83"/>
      <c r="F1574" s="83"/>
      <c r="G1574" s="76"/>
      <c r="H1574" s="76"/>
      <c r="I1574" s="76"/>
      <c r="J1574" s="76"/>
      <c r="K1574" s="76"/>
      <c r="L1574" s="76"/>
      <c r="M1574" s="76"/>
      <c r="N1574" s="76"/>
      <c r="O1574" s="76"/>
      <c r="P1574" s="76"/>
      <c r="Q1574" s="76"/>
      <c r="R1574" s="76"/>
      <c r="S1574" s="76"/>
      <c r="T1574" s="76"/>
      <c r="U1574" s="76"/>
      <c r="V1574" s="76"/>
      <c r="W1574" s="76"/>
      <c r="X1574" s="76"/>
      <c r="Y1574" s="76"/>
      <c r="Z1574" s="76"/>
      <c r="AA1574" s="76"/>
      <c r="AB1574" s="76"/>
      <c r="AC1574" s="76"/>
      <c r="AD1574" s="76"/>
      <c r="AE1574" s="76"/>
      <c r="AF1574" s="76"/>
      <c r="AG1574" s="76"/>
      <c r="AH1574" s="76"/>
      <c r="AI1574" s="76"/>
      <c r="AJ1574" s="76"/>
      <c r="AK1574" s="76"/>
      <c r="AL1574" s="76"/>
      <c r="AM1574" s="76"/>
      <c r="AN1574" s="76"/>
      <c r="AO1574" s="76"/>
      <c r="AP1574" s="76"/>
      <c r="AQ1574" s="76"/>
      <c r="AR1574" s="76"/>
      <c r="AS1574" s="76"/>
      <c r="AT1574" s="76"/>
      <c r="AU1574" s="76"/>
      <c r="AV1574" s="76"/>
      <c r="AW1574" s="76"/>
      <c r="AX1574" s="76"/>
      <c r="AY1574" s="76"/>
      <c r="AZ1574" s="76"/>
      <c r="BA1574" s="76"/>
      <c r="BB1574" s="76"/>
    </row>
    <row r="1575" spans="5:54" x14ac:dyDescent="0.35">
      <c r="E1575" s="83"/>
      <c r="F1575" s="83"/>
      <c r="G1575" s="76"/>
      <c r="H1575" s="76"/>
      <c r="I1575" s="76"/>
      <c r="J1575" s="76"/>
      <c r="K1575" s="76"/>
      <c r="L1575" s="76"/>
      <c r="M1575" s="76"/>
      <c r="N1575" s="76"/>
      <c r="O1575" s="76"/>
      <c r="P1575" s="76"/>
      <c r="Q1575" s="76"/>
      <c r="R1575" s="76"/>
      <c r="S1575" s="76"/>
      <c r="T1575" s="76"/>
      <c r="U1575" s="76"/>
      <c r="V1575" s="76"/>
      <c r="W1575" s="76"/>
      <c r="X1575" s="76"/>
      <c r="Y1575" s="76"/>
      <c r="Z1575" s="76"/>
      <c r="AA1575" s="76"/>
      <c r="AB1575" s="76"/>
      <c r="AC1575" s="76"/>
      <c r="AD1575" s="76"/>
      <c r="AE1575" s="76"/>
      <c r="AF1575" s="76"/>
      <c r="AG1575" s="76"/>
      <c r="AH1575" s="76"/>
      <c r="AI1575" s="76"/>
      <c r="AJ1575" s="76"/>
      <c r="AK1575" s="76"/>
      <c r="AL1575" s="76"/>
      <c r="AM1575" s="76"/>
      <c r="AN1575" s="76"/>
      <c r="AO1575" s="76"/>
      <c r="AP1575" s="76"/>
      <c r="AQ1575" s="76"/>
      <c r="AR1575" s="76"/>
      <c r="AS1575" s="76"/>
      <c r="AT1575" s="76"/>
      <c r="AU1575" s="76"/>
      <c r="AV1575" s="76"/>
      <c r="AW1575" s="76"/>
      <c r="AX1575" s="76"/>
      <c r="AY1575" s="76"/>
      <c r="AZ1575" s="76"/>
      <c r="BA1575" s="76"/>
      <c r="BB1575" s="76"/>
    </row>
    <row r="1576" spans="5:54" x14ac:dyDescent="0.35">
      <c r="E1576" s="83"/>
      <c r="F1576" s="83"/>
      <c r="G1576" s="76"/>
      <c r="H1576" s="76"/>
      <c r="I1576" s="76"/>
      <c r="J1576" s="76"/>
      <c r="K1576" s="76"/>
      <c r="L1576" s="76"/>
      <c r="M1576" s="76"/>
      <c r="N1576" s="76"/>
      <c r="O1576" s="76"/>
      <c r="P1576" s="76"/>
      <c r="Q1576" s="76"/>
      <c r="R1576" s="76"/>
      <c r="S1576" s="76"/>
      <c r="T1576" s="76"/>
      <c r="U1576" s="76"/>
      <c r="V1576" s="76"/>
      <c r="W1576" s="76"/>
      <c r="X1576" s="76"/>
      <c r="Y1576" s="76"/>
      <c r="Z1576" s="76"/>
      <c r="AA1576" s="76"/>
      <c r="AB1576" s="76"/>
      <c r="AC1576" s="76"/>
      <c r="AD1576" s="76"/>
      <c r="AE1576" s="76"/>
      <c r="AF1576" s="76"/>
      <c r="AG1576" s="76"/>
      <c r="AH1576" s="76"/>
      <c r="AI1576" s="76"/>
      <c r="AJ1576" s="76"/>
      <c r="AK1576" s="76"/>
      <c r="AL1576" s="76"/>
      <c r="AM1576" s="76"/>
      <c r="AN1576" s="76"/>
      <c r="AO1576" s="76"/>
      <c r="AP1576" s="76"/>
      <c r="AQ1576" s="76"/>
      <c r="AR1576" s="76"/>
      <c r="AS1576" s="76"/>
      <c r="AT1576" s="76"/>
      <c r="AU1576" s="76"/>
      <c r="AV1576" s="76"/>
      <c r="AW1576" s="76"/>
      <c r="AX1576" s="76"/>
      <c r="AY1576" s="76"/>
      <c r="AZ1576" s="76"/>
      <c r="BA1576" s="76"/>
      <c r="BB1576" s="76"/>
    </row>
    <row r="1577" spans="5:54" x14ac:dyDescent="0.35">
      <c r="E1577" s="83"/>
      <c r="F1577" s="83"/>
      <c r="G1577" s="76"/>
      <c r="H1577" s="76"/>
      <c r="I1577" s="76"/>
      <c r="J1577" s="76"/>
      <c r="K1577" s="76"/>
      <c r="L1577" s="76"/>
      <c r="M1577" s="76"/>
      <c r="N1577" s="76"/>
      <c r="O1577" s="76"/>
      <c r="P1577" s="76"/>
      <c r="Q1577" s="76"/>
      <c r="R1577" s="76"/>
      <c r="S1577" s="76"/>
      <c r="T1577" s="76"/>
      <c r="U1577" s="76"/>
      <c r="V1577" s="76"/>
      <c r="W1577" s="76"/>
      <c r="X1577" s="76"/>
      <c r="Y1577" s="76"/>
      <c r="Z1577" s="76"/>
      <c r="AA1577" s="76"/>
      <c r="AB1577" s="76"/>
      <c r="AC1577" s="76"/>
      <c r="AD1577" s="76"/>
      <c r="AE1577" s="76"/>
      <c r="AF1577" s="76"/>
      <c r="AG1577" s="76"/>
      <c r="AH1577" s="76"/>
      <c r="AI1577" s="76"/>
      <c r="AJ1577" s="76"/>
      <c r="AK1577" s="76"/>
      <c r="AL1577" s="76"/>
      <c r="AM1577" s="76"/>
      <c r="AN1577" s="76"/>
      <c r="AO1577" s="76"/>
      <c r="AP1577" s="76"/>
      <c r="AQ1577" s="76"/>
      <c r="AR1577" s="76"/>
      <c r="AS1577" s="76"/>
      <c r="AT1577" s="76"/>
      <c r="AU1577" s="76"/>
      <c r="AV1577" s="76"/>
      <c r="AW1577" s="76"/>
      <c r="AX1577" s="76"/>
      <c r="AY1577" s="76"/>
      <c r="AZ1577" s="76"/>
      <c r="BA1577" s="76"/>
      <c r="BB1577" s="76"/>
    </row>
    <row r="1578" spans="5:54" x14ac:dyDescent="0.35">
      <c r="E1578" s="83"/>
      <c r="F1578" s="83"/>
      <c r="G1578" s="76"/>
      <c r="H1578" s="76"/>
      <c r="I1578" s="76"/>
      <c r="J1578" s="76"/>
      <c r="K1578" s="76"/>
      <c r="L1578" s="76"/>
      <c r="M1578" s="76"/>
      <c r="N1578" s="76"/>
      <c r="O1578" s="76"/>
      <c r="P1578" s="76"/>
      <c r="Q1578" s="76"/>
      <c r="R1578" s="76"/>
      <c r="S1578" s="76"/>
      <c r="T1578" s="76"/>
      <c r="U1578" s="76"/>
      <c r="V1578" s="76"/>
      <c r="W1578" s="76"/>
      <c r="X1578" s="76"/>
      <c r="Y1578" s="76"/>
      <c r="Z1578" s="76"/>
      <c r="AA1578" s="76"/>
      <c r="AB1578" s="76"/>
      <c r="AC1578" s="76"/>
      <c r="AD1578" s="76"/>
      <c r="AE1578" s="76"/>
      <c r="AF1578" s="76"/>
      <c r="AG1578" s="76"/>
      <c r="AH1578" s="76"/>
      <c r="AI1578" s="76"/>
      <c r="AJ1578" s="76"/>
      <c r="AK1578" s="76"/>
      <c r="AL1578" s="76"/>
      <c r="AM1578" s="76"/>
      <c r="AN1578" s="76"/>
      <c r="AO1578" s="76"/>
      <c r="AP1578" s="76"/>
      <c r="AQ1578" s="76"/>
      <c r="AR1578" s="76"/>
      <c r="AS1578" s="76"/>
      <c r="AT1578" s="76"/>
      <c r="AU1578" s="76"/>
      <c r="AV1578" s="76"/>
      <c r="AW1578" s="76"/>
      <c r="AX1578" s="76"/>
      <c r="AY1578" s="76"/>
      <c r="AZ1578" s="76"/>
      <c r="BA1578" s="76"/>
      <c r="BB1578" s="76"/>
    </row>
    <row r="1579" spans="5:54" x14ac:dyDescent="0.35">
      <c r="E1579" s="83"/>
      <c r="F1579" s="83"/>
      <c r="G1579" s="76"/>
      <c r="H1579" s="76"/>
      <c r="I1579" s="76"/>
      <c r="J1579" s="76"/>
      <c r="K1579" s="76"/>
      <c r="L1579" s="76"/>
      <c r="M1579" s="76"/>
      <c r="N1579" s="76"/>
      <c r="O1579" s="76"/>
      <c r="P1579" s="76"/>
      <c r="Q1579" s="76"/>
      <c r="R1579" s="76"/>
      <c r="S1579" s="76"/>
      <c r="T1579" s="76"/>
      <c r="U1579" s="76"/>
      <c r="V1579" s="76"/>
      <c r="W1579" s="76"/>
      <c r="X1579" s="76"/>
      <c r="Y1579" s="76"/>
      <c r="Z1579" s="76"/>
      <c r="AA1579" s="76"/>
      <c r="AB1579" s="76"/>
      <c r="AC1579" s="76"/>
      <c r="AD1579" s="76"/>
      <c r="AE1579" s="76"/>
      <c r="AF1579" s="76"/>
      <c r="AG1579" s="76"/>
      <c r="AH1579" s="76"/>
      <c r="AI1579" s="76"/>
      <c r="AJ1579" s="76"/>
      <c r="AK1579" s="76"/>
      <c r="AL1579" s="76"/>
      <c r="AM1579" s="76"/>
      <c r="AN1579" s="76"/>
      <c r="AO1579" s="76"/>
      <c r="AP1579" s="76"/>
      <c r="AQ1579" s="76"/>
      <c r="AR1579" s="76"/>
      <c r="AS1579" s="76"/>
      <c r="AT1579" s="76"/>
      <c r="AU1579" s="76"/>
      <c r="AV1579" s="76"/>
      <c r="AW1579" s="76"/>
      <c r="AX1579" s="76"/>
      <c r="AY1579" s="76"/>
      <c r="AZ1579" s="76"/>
      <c r="BA1579" s="76"/>
      <c r="BB1579" s="76"/>
    </row>
    <row r="1580" spans="5:54" x14ac:dyDescent="0.35">
      <c r="E1580" s="83"/>
      <c r="F1580" s="83"/>
      <c r="G1580" s="76"/>
      <c r="H1580" s="76"/>
      <c r="I1580" s="76"/>
      <c r="J1580" s="76"/>
      <c r="K1580" s="76"/>
      <c r="L1580" s="76"/>
      <c r="M1580" s="76"/>
      <c r="N1580" s="76"/>
      <c r="O1580" s="76"/>
      <c r="P1580" s="76"/>
      <c r="Q1580" s="76"/>
      <c r="R1580" s="76"/>
      <c r="S1580" s="76"/>
      <c r="T1580" s="76"/>
      <c r="U1580" s="76"/>
      <c r="V1580" s="76"/>
      <c r="W1580" s="76"/>
      <c r="X1580" s="76"/>
      <c r="Y1580" s="76"/>
      <c r="Z1580" s="76"/>
      <c r="AA1580" s="76"/>
      <c r="AB1580" s="76"/>
      <c r="AC1580" s="76"/>
      <c r="AD1580" s="76"/>
      <c r="AE1580" s="76"/>
      <c r="AF1580" s="76"/>
      <c r="AG1580" s="76"/>
      <c r="AH1580" s="76"/>
      <c r="AI1580" s="76"/>
      <c r="AJ1580" s="76"/>
      <c r="AK1580" s="76"/>
      <c r="AL1580" s="76"/>
      <c r="AM1580" s="76"/>
      <c r="AN1580" s="76"/>
      <c r="AO1580" s="76"/>
      <c r="AP1580" s="76"/>
      <c r="AQ1580" s="76"/>
      <c r="AR1580" s="76"/>
      <c r="AS1580" s="76"/>
      <c r="AT1580" s="76"/>
      <c r="AU1580" s="76"/>
      <c r="AV1580" s="76"/>
      <c r="AW1580" s="76"/>
      <c r="AX1580" s="76"/>
      <c r="AY1580" s="76"/>
      <c r="AZ1580" s="76"/>
      <c r="BA1580" s="76"/>
      <c r="BB1580" s="76"/>
    </row>
    <row r="1581" spans="5:54" x14ac:dyDescent="0.35">
      <c r="E1581" s="83"/>
      <c r="F1581" s="83"/>
      <c r="G1581" s="76"/>
      <c r="H1581" s="76"/>
      <c r="I1581" s="76"/>
      <c r="J1581" s="76"/>
      <c r="K1581" s="76"/>
      <c r="L1581" s="76"/>
      <c r="M1581" s="76"/>
      <c r="N1581" s="76"/>
      <c r="O1581" s="76"/>
      <c r="P1581" s="76"/>
      <c r="Q1581" s="76"/>
      <c r="R1581" s="76"/>
      <c r="S1581" s="76"/>
      <c r="T1581" s="76"/>
      <c r="U1581" s="76"/>
      <c r="V1581" s="76"/>
      <c r="W1581" s="76"/>
      <c r="X1581" s="76"/>
      <c r="Y1581" s="76"/>
      <c r="Z1581" s="76"/>
      <c r="AA1581" s="76"/>
      <c r="AB1581" s="76"/>
      <c r="AC1581" s="76"/>
      <c r="AD1581" s="76"/>
      <c r="AE1581" s="76"/>
      <c r="AF1581" s="76"/>
      <c r="AG1581" s="76"/>
      <c r="AH1581" s="76"/>
      <c r="AI1581" s="76"/>
      <c r="AJ1581" s="76"/>
      <c r="AK1581" s="76"/>
      <c r="AL1581" s="76"/>
      <c r="AM1581" s="76"/>
      <c r="AN1581" s="76"/>
      <c r="AO1581" s="76"/>
      <c r="AP1581" s="76"/>
      <c r="AQ1581" s="76"/>
      <c r="AR1581" s="76"/>
      <c r="AS1581" s="76"/>
      <c r="AT1581" s="76"/>
      <c r="AU1581" s="76"/>
      <c r="AV1581" s="76"/>
      <c r="AW1581" s="76"/>
      <c r="AX1581" s="76"/>
      <c r="AY1581" s="76"/>
      <c r="AZ1581" s="76"/>
      <c r="BA1581" s="76"/>
      <c r="BB1581" s="76"/>
    </row>
    <row r="1582" spans="5:54" x14ac:dyDescent="0.35">
      <c r="E1582" s="83"/>
      <c r="F1582" s="83"/>
      <c r="G1582" s="76"/>
      <c r="H1582" s="76"/>
      <c r="I1582" s="76"/>
      <c r="J1582" s="76"/>
      <c r="K1582" s="76"/>
      <c r="L1582" s="76"/>
      <c r="M1582" s="76"/>
      <c r="N1582" s="76"/>
      <c r="O1582" s="76"/>
      <c r="P1582" s="76"/>
      <c r="Q1582" s="76"/>
      <c r="R1582" s="76"/>
      <c r="S1582" s="76"/>
      <c r="T1582" s="76"/>
      <c r="U1582" s="76"/>
      <c r="V1582" s="76"/>
      <c r="W1582" s="76"/>
      <c r="X1582" s="76"/>
      <c r="Y1582" s="76"/>
      <c r="Z1582" s="76"/>
      <c r="AA1582" s="76"/>
      <c r="AB1582" s="76"/>
      <c r="AC1582" s="76"/>
      <c r="AD1582" s="76"/>
      <c r="AE1582" s="76"/>
      <c r="AF1582" s="76"/>
      <c r="AG1582" s="76"/>
      <c r="AH1582" s="76"/>
      <c r="AI1582" s="76"/>
      <c r="AJ1582" s="76"/>
      <c r="AK1582" s="76"/>
      <c r="AL1582" s="76"/>
      <c r="AM1582" s="76"/>
      <c r="AN1582" s="76"/>
      <c r="AO1582" s="76"/>
      <c r="AP1582" s="76"/>
      <c r="AQ1582" s="76"/>
      <c r="AR1582" s="76"/>
      <c r="AS1582" s="76"/>
      <c r="AT1582" s="76"/>
      <c r="AU1582" s="76"/>
      <c r="AV1582" s="76"/>
      <c r="AW1582" s="76"/>
      <c r="AX1582" s="76"/>
      <c r="AY1582" s="76"/>
      <c r="AZ1582" s="76"/>
      <c r="BA1582" s="76"/>
      <c r="BB1582" s="76"/>
    </row>
    <row r="1583" spans="5:54" x14ac:dyDescent="0.35">
      <c r="E1583" s="83"/>
      <c r="F1583" s="83"/>
      <c r="G1583" s="76"/>
      <c r="H1583" s="76"/>
      <c r="I1583" s="76"/>
      <c r="J1583" s="76"/>
      <c r="K1583" s="76"/>
      <c r="L1583" s="76"/>
      <c r="M1583" s="76"/>
      <c r="N1583" s="76"/>
      <c r="O1583" s="76"/>
      <c r="P1583" s="76"/>
      <c r="Q1583" s="76"/>
      <c r="R1583" s="76"/>
      <c r="S1583" s="76"/>
      <c r="T1583" s="76"/>
      <c r="U1583" s="76"/>
      <c r="V1583" s="76"/>
      <c r="W1583" s="76"/>
      <c r="X1583" s="76"/>
      <c r="Y1583" s="76"/>
      <c r="Z1583" s="76"/>
      <c r="AA1583" s="76"/>
      <c r="AB1583" s="76"/>
      <c r="AC1583" s="76"/>
      <c r="AD1583" s="76"/>
      <c r="AE1583" s="76"/>
      <c r="AF1583" s="76"/>
      <c r="AG1583" s="76"/>
      <c r="AH1583" s="76"/>
      <c r="AI1583" s="76"/>
      <c r="AJ1583" s="76"/>
      <c r="AK1583" s="76"/>
      <c r="AL1583" s="76"/>
      <c r="AM1583" s="76"/>
      <c r="AN1583" s="76"/>
      <c r="AO1583" s="76"/>
      <c r="AP1583" s="76"/>
      <c r="AQ1583" s="76"/>
      <c r="AR1583" s="76"/>
      <c r="AS1583" s="76"/>
      <c r="AT1583" s="76"/>
      <c r="AU1583" s="76"/>
      <c r="AV1583" s="76"/>
      <c r="AW1583" s="76"/>
      <c r="AX1583" s="76"/>
      <c r="AY1583" s="76"/>
      <c r="AZ1583" s="76"/>
      <c r="BA1583" s="76"/>
      <c r="BB1583" s="76"/>
    </row>
    <row r="1584" spans="5:54" x14ac:dyDescent="0.35">
      <c r="E1584" s="83"/>
      <c r="F1584" s="83"/>
      <c r="G1584" s="76"/>
      <c r="H1584" s="76"/>
      <c r="I1584" s="76"/>
      <c r="J1584" s="76"/>
      <c r="K1584" s="76"/>
      <c r="L1584" s="76"/>
      <c r="M1584" s="76"/>
      <c r="N1584" s="76"/>
      <c r="O1584" s="76"/>
      <c r="P1584" s="76"/>
      <c r="Q1584" s="76"/>
      <c r="R1584" s="76"/>
      <c r="S1584" s="76"/>
      <c r="T1584" s="76"/>
      <c r="U1584" s="76"/>
      <c r="V1584" s="76"/>
      <c r="W1584" s="76"/>
      <c r="X1584" s="76"/>
      <c r="Y1584" s="76"/>
      <c r="Z1584" s="76"/>
      <c r="AA1584" s="76"/>
      <c r="AB1584" s="76"/>
      <c r="AC1584" s="76"/>
      <c r="AD1584" s="76"/>
      <c r="AE1584" s="76"/>
      <c r="AF1584" s="76"/>
      <c r="AG1584" s="76"/>
      <c r="AH1584" s="76"/>
      <c r="AI1584" s="76"/>
      <c r="AJ1584" s="76"/>
      <c r="AK1584" s="76"/>
      <c r="AL1584" s="76"/>
      <c r="AM1584" s="76"/>
      <c r="AN1584" s="76"/>
      <c r="AO1584" s="76"/>
      <c r="AP1584" s="76"/>
      <c r="AQ1584" s="76"/>
      <c r="AR1584" s="76"/>
      <c r="AS1584" s="76"/>
      <c r="AT1584" s="76"/>
      <c r="AU1584" s="76"/>
      <c r="AV1584" s="76"/>
      <c r="AW1584" s="76"/>
      <c r="AX1584" s="76"/>
      <c r="AY1584" s="76"/>
      <c r="AZ1584" s="76"/>
      <c r="BA1584" s="76"/>
      <c r="BB1584" s="76"/>
    </row>
    <row r="1585" spans="5:54" x14ac:dyDescent="0.35">
      <c r="E1585" s="83"/>
      <c r="F1585" s="83"/>
      <c r="G1585" s="76"/>
      <c r="H1585" s="76"/>
      <c r="I1585" s="76"/>
      <c r="J1585" s="76"/>
      <c r="K1585" s="76"/>
      <c r="L1585" s="76"/>
      <c r="M1585" s="76"/>
      <c r="N1585" s="76"/>
      <c r="O1585" s="76"/>
      <c r="P1585" s="76"/>
      <c r="Q1585" s="76"/>
      <c r="R1585" s="76"/>
      <c r="S1585" s="76"/>
      <c r="T1585" s="76"/>
      <c r="U1585" s="76"/>
      <c r="V1585" s="76"/>
      <c r="W1585" s="76"/>
      <c r="X1585" s="76"/>
      <c r="Y1585" s="76"/>
      <c r="Z1585" s="76"/>
      <c r="AA1585" s="76"/>
      <c r="AB1585" s="76"/>
      <c r="AC1585" s="76"/>
      <c r="AD1585" s="76"/>
      <c r="AE1585" s="76"/>
      <c r="AF1585" s="76"/>
      <c r="AG1585" s="76"/>
      <c r="AH1585" s="76"/>
      <c r="AI1585" s="76"/>
      <c r="AJ1585" s="76"/>
      <c r="AK1585" s="76"/>
      <c r="AL1585" s="76"/>
      <c r="AM1585" s="76"/>
      <c r="AN1585" s="76"/>
      <c r="AO1585" s="76"/>
      <c r="AP1585" s="76"/>
      <c r="AQ1585" s="76"/>
      <c r="AR1585" s="76"/>
      <c r="AS1585" s="76"/>
      <c r="AT1585" s="76"/>
      <c r="AU1585" s="76"/>
      <c r="AV1585" s="76"/>
      <c r="AW1585" s="76"/>
      <c r="AX1585" s="76"/>
      <c r="AY1585" s="76"/>
      <c r="AZ1585" s="76"/>
      <c r="BA1585" s="76"/>
      <c r="BB1585" s="76"/>
    </row>
    <row r="1586" spans="5:54" x14ac:dyDescent="0.35">
      <c r="E1586" s="83"/>
      <c r="F1586" s="83"/>
      <c r="G1586" s="76"/>
      <c r="H1586" s="76"/>
      <c r="I1586" s="76"/>
      <c r="J1586" s="76"/>
      <c r="K1586" s="76"/>
      <c r="L1586" s="76"/>
      <c r="M1586" s="76"/>
      <c r="N1586" s="76"/>
      <c r="O1586" s="76"/>
      <c r="P1586" s="76"/>
      <c r="Q1586" s="76"/>
      <c r="R1586" s="76"/>
      <c r="S1586" s="76"/>
      <c r="T1586" s="76"/>
      <c r="U1586" s="76"/>
      <c r="V1586" s="76"/>
      <c r="W1586" s="76"/>
      <c r="X1586" s="76"/>
      <c r="Y1586" s="76"/>
      <c r="Z1586" s="76"/>
      <c r="AA1586" s="76"/>
      <c r="AB1586" s="76"/>
      <c r="AC1586" s="76"/>
      <c r="AD1586" s="76"/>
      <c r="AE1586" s="76"/>
      <c r="AF1586" s="76"/>
      <c r="AG1586" s="76"/>
      <c r="AH1586" s="76"/>
      <c r="AI1586" s="76"/>
      <c r="AJ1586" s="76"/>
      <c r="AK1586" s="76"/>
      <c r="AL1586" s="76"/>
      <c r="AM1586" s="76"/>
      <c r="AN1586" s="76"/>
      <c r="AO1586" s="76"/>
      <c r="AP1586" s="76"/>
      <c r="AQ1586" s="76"/>
      <c r="AR1586" s="76"/>
      <c r="AS1586" s="76"/>
      <c r="AT1586" s="76"/>
      <c r="AU1586" s="76"/>
      <c r="AV1586" s="76"/>
      <c r="AW1586" s="76"/>
      <c r="AX1586" s="76"/>
      <c r="AY1586" s="76"/>
      <c r="AZ1586" s="76"/>
      <c r="BA1586" s="76"/>
      <c r="BB1586" s="76"/>
    </row>
    <row r="1587" spans="5:54" x14ac:dyDescent="0.35">
      <c r="E1587" s="83"/>
      <c r="F1587" s="83"/>
      <c r="G1587" s="76"/>
      <c r="H1587" s="76"/>
      <c r="I1587" s="76"/>
      <c r="J1587" s="76"/>
      <c r="K1587" s="76"/>
      <c r="L1587" s="76"/>
      <c r="M1587" s="76"/>
      <c r="N1587" s="76"/>
      <c r="O1587" s="76"/>
      <c r="P1587" s="76"/>
      <c r="Q1587" s="76"/>
      <c r="R1587" s="76"/>
      <c r="S1587" s="76"/>
      <c r="T1587" s="76"/>
      <c r="U1587" s="76"/>
      <c r="V1587" s="76"/>
      <c r="W1587" s="76"/>
      <c r="X1587" s="76"/>
      <c r="Y1587" s="76"/>
      <c r="Z1587" s="76"/>
      <c r="AA1587" s="76"/>
      <c r="AB1587" s="76"/>
      <c r="AC1587" s="76"/>
      <c r="AD1587" s="76"/>
      <c r="AE1587" s="76"/>
      <c r="AF1587" s="76"/>
      <c r="AG1587" s="76"/>
      <c r="AH1587" s="76"/>
      <c r="AI1587" s="76"/>
      <c r="AJ1587" s="76"/>
      <c r="AK1587" s="76"/>
      <c r="AL1587" s="76"/>
      <c r="AM1587" s="76"/>
      <c r="AN1587" s="76"/>
      <c r="AO1587" s="76"/>
      <c r="AP1587" s="76"/>
      <c r="AQ1587" s="76"/>
      <c r="AR1587" s="76"/>
      <c r="AS1587" s="76"/>
      <c r="AT1587" s="76"/>
      <c r="AU1587" s="76"/>
      <c r="AV1587" s="76"/>
      <c r="AW1587" s="76"/>
      <c r="AX1587" s="76"/>
      <c r="AY1587" s="76"/>
      <c r="AZ1587" s="76"/>
      <c r="BA1587" s="76"/>
      <c r="BB1587" s="76"/>
    </row>
    <row r="1588" spans="5:54" x14ac:dyDescent="0.35">
      <c r="E1588" s="83"/>
      <c r="F1588" s="83"/>
      <c r="G1588" s="76"/>
      <c r="H1588" s="76"/>
      <c r="I1588" s="76"/>
      <c r="J1588" s="76"/>
      <c r="K1588" s="76"/>
      <c r="L1588" s="76"/>
      <c r="M1588" s="76"/>
      <c r="N1588" s="76"/>
      <c r="O1588" s="76"/>
      <c r="P1588" s="76"/>
      <c r="Q1588" s="76"/>
      <c r="R1588" s="76"/>
      <c r="S1588" s="76"/>
      <c r="T1588" s="76"/>
      <c r="U1588" s="76"/>
      <c r="V1588" s="76"/>
      <c r="W1588" s="76"/>
      <c r="X1588" s="76"/>
      <c r="Y1588" s="76"/>
      <c r="Z1588" s="76"/>
      <c r="AA1588" s="76"/>
      <c r="AB1588" s="76"/>
      <c r="AC1588" s="76"/>
      <c r="AD1588" s="76"/>
      <c r="AE1588" s="76"/>
      <c r="AF1588" s="76"/>
      <c r="AG1588" s="76"/>
      <c r="AH1588" s="76"/>
      <c r="AI1588" s="76"/>
      <c r="AJ1588" s="76"/>
      <c r="AK1588" s="76"/>
      <c r="AL1588" s="76"/>
      <c r="AM1588" s="76"/>
      <c r="AN1588" s="76"/>
      <c r="AO1588" s="76"/>
      <c r="AP1588" s="76"/>
      <c r="AQ1588" s="76"/>
      <c r="AR1588" s="76"/>
      <c r="AS1588" s="76"/>
      <c r="AT1588" s="76"/>
      <c r="AU1588" s="76"/>
      <c r="AV1588" s="76"/>
      <c r="AW1588" s="76"/>
      <c r="AX1588" s="76"/>
      <c r="AY1588" s="76"/>
      <c r="AZ1588" s="76"/>
      <c r="BA1588" s="76"/>
      <c r="BB1588" s="76"/>
    </row>
    <row r="1589" spans="5:54" x14ac:dyDescent="0.35">
      <c r="E1589" s="83"/>
      <c r="F1589" s="83"/>
      <c r="G1589" s="76"/>
      <c r="H1589" s="76"/>
      <c r="I1589" s="76"/>
      <c r="J1589" s="76"/>
      <c r="K1589" s="76"/>
      <c r="L1589" s="76"/>
      <c r="M1589" s="76"/>
      <c r="N1589" s="76"/>
      <c r="O1589" s="76"/>
      <c r="P1589" s="76"/>
      <c r="Q1589" s="76"/>
      <c r="R1589" s="76"/>
      <c r="S1589" s="76"/>
      <c r="T1589" s="76"/>
      <c r="U1589" s="76"/>
      <c r="V1589" s="76"/>
      <c r="W1589" s="76"/>
      <c r="X1589" s="76"/>
      <c r="Y1589" s="76"/>
      <c r="Z1589" s="76"/>
      <c r="AA1589" s="76"/>
      <c r="AB1589" s="76"/>
      <c r="AC1589" s="76"/>
      <c r="AD1589" s="76"/>
      <c r="AE1589" s="76"/>
      <c r="AF1589" s="76"/>
      <c r="AG1589" s="76"/>
      <c r="AH1589" s="76"/>
      <c r="AI1589" s="76"/>
      <c r="AJ1589" s="76"/>
      <c r="AK1589" s="76"/>
      <c r="AL1589" s="76"/>
      <c r="AM1589" s="76"/>
      <c r="AN1589" s="76"/>
      <c r="AO1589" s="76"/>
      <c r="AP1589" s="76"/>
      <c r="AQ1589" s="76"/>
      <c r="AR1589" s="76"/>
      <c r="AS1589" s="76"/>
      <c r="AT1589" s="76"/>
      <c r="AU1589" s="76"/>
      <c r="AV1589" s="76"/>
      <c r="AW1589" s="76"/>
      <c r="AX1589" s="76"/>
      <c r="AY1589" s="76"/>
      <c r="AZ1589" s="76"/>
      <c r="BA1589" s="76"/>
      <c r="BB1589" s="76"/>
    </row>
    <row r="1590" spans="5:54" x14ac:dyDescent="0.35">
      <c r="E1590" s="83"/>
      <c r="F1590" s="83"/>
      <c r="G1590" s="76"/>
      <c r="H1590" s="76"/>
      <c r="I1590" s="76"/>
      <c r="J1590" s="76"/>
      <c r="K1590" s="76"/>
      <c r="L1590" s="76"/>
      <c r="M1590" s="76"/>
      <c r="N1590" s="76"/>
      <c r="O1590" s="76"/>
      <c r="P1590" s="76"/>
      <c r="Q1590" s="76"/>
      <c r="R1590" s="76"/>
      <c r="S1590" s="76"/>
      <c r="T1590" s="76"/>
      <c r="U1590" s="76"/>
      <c r="V1590" s="76"/>
      <c r="W1590" s="76"/>
      <c r="X1590" s="76"/>
      <c r="Y1590" s="76"/>
      <c r="Z1590" s="76"/>
      <c r="AA1590" s="76"/>
      <c r="AB1590" s="76"/>
      <c r="AC1590" s="76"/>
      <c r="AD1590" s="76"/>
      <c r="AE1590" s="76"/>
      <c r="AF1590" s="76"/>
      <c r="AG1590" s="76"/>
      <c r="AH1590" s="76"/>
      <c r="AI1590" s="76"/>
      <c r="AJ1590" s="76"/>
      <c r="AK1590" s="76"/>
      <c r="AL1590" s="76"/>
      <c r="AM1590" s="76"/>
      <c r="AN1590" s="76"/>
      <c r="AO1590" s="76"/>
      <c r="AP1590" s="76"/>
      <c r="AQ1590" s="76"/>
      <c r="AR1590" s="76"/>
      <c r="AS1590" s="76"/>
      <c r="AT1590" s="76"/>
      <c r="AU1590" s="76"/>
      <c r="AV1590" s="76"/>
      <c r="AW1590" s="76"/>
      <c r="AX1590" s="76"/>
      <c r="AY1590" s="76"/>
      <c r="AZ1590" s="76"/>
      <c r="BA1590" s="76"/>
      <c r="BB1590" s="76"/>
    </row>
    <row r="1591" spans="5:54" x14ac:dyDescent="0.35">
      <c r="E1591" s="83"/>
      <c r="F1591" s="83"/>
      <c r="G1591" s="76"/>
      <c r="H1591" s="76"/>
      <c r="I1591" s="76"/>
      <c r="J1591" s="76"/>
      <c r="K1591" s="76"/>
      <c r="L1591" s="76"/>
      <c r="M1591" s="76"/>
      <c r="N1591" s="76"/>
      <c r="O1591" s="76"/>
      <c r="P1591" s="76"/>
      <c r="Q1591" s="76"/>
      <c r="R1591" s="76"/>
      <c r="S1591" s="76"/>
      <c r="T1591" s="76"/>
      <c r="U1591" s="76"/>
      <c r="V1591" s="76"/>
      <c r="W1591" s="76"/>
      <c r="X1591" s="76"/>
      <c r="Y1591" s="76"/>
      <c r="Z1591" s="76"/>
      <c r="AA1591" s="76"/>
      <c r="AB1591" s="76"/>
      <c r="AC1591" s="76"/>
      <c r="AD1591" s="76"/>
      <c r="AE1591" s="76"/>
      <c r="AF1591" s="76"/>
      <c r="AG1591" s="76"/>
      <c r="AH1591" s="76"/>
      <c r="AI1591" s="76"/>
      <c r="AJ1591" s="76"/>
      <c r="AK1591" s="76"/>
      <c r="AL1591" s="76"/>
      <c r="AM1591" s="76"/>
      <c r="AN1591" s="76"/>
      <c r="AO1591" s="76"/>
      <c r="AP1591" s="76"/>
      <c r="AQ1591" s="76"/>
      <c r="AR1591" s="76"/>
      <c r="AS1591" s="76"/>
      <c r="AT1591" s="76"/>
      <c r="AU1591" s="76"/>
      <c r="AV1591" s="76"/>
      <c r="AW1591" s="76"/>
      <c r="AX1591" s="76"/>
      <c r="AY1591" s="76"/>
      <c r="AZ1591" s="76"/>
      <c r="BA1591" s="76"/>
      <c r="BB1591" s="76"/>
    </row>
    <row r="1592" spans="5:54" x14ac:dyDescent="0.35">
      <c r="E1592" s="83"/>
      <c r="F1592" s="83"/>
      <c r="G1592" s="76"/>
      <c r="H1592" s="76"/>
      <c r="I1592" s="76"/>
      <c r="J1592" s="76"/>
      <c r="K1592" s="76"/>
      <c r="L1592" s="76"/>
      <c r="M1592" s="76"/>
      <c r="N1592" s="76"/>
      <c r="O1592" s="76"/>
      <c r="P1592" s="76"/>
      <c r="Q1592" s="76"/>
      <c r="R1592" s="76"/>
      <c r="S1592" s="76"/>
      <c r="T1592" s="76"/>
      <c r="U1592" s="76"/>
      <c r="V1592" s="76"/>
      <c r="W1592" s="76"/>
      <c r="X1592" s="76"/>
      <c r="Y1592" s="76"/>
      <c r="Z1592" s="76"/>
      <c r="AA1592" s="76"/>
      <c r="AB1592" s="76"/>
      <c r="AC1592" s="76"/>
      <c r="AD1592" s="76"/>
      <c r="AE1592" s="76"/>
      <c r="AF1592" s="76"/>
      <c r="AG1592" s="76"/>
      <c r="AH1592" s="76"/>
      <c r="AI1592" s="76"/>
      <c r="AJ1592" s="76"/>
      <c r="AK1592" s="76"/>
      <c r="AL1592" s="76"/>
      <c r="AM1592" s="76"/>
      <c r="AN1592" s="76"/>
      <c r="AO1592" s="76"/>
      <c r="AP1592" s="76"/>
      <c r="AQ1592" s="76"/>
      <c r="AR1592" s="76"/>
      <c r="AS1592" s="76"/>
      <c r="AT1592" s="76"/>
      <c r="AU1592" s="76"/>
      <c r="AV1592" s="76"/>
      <c r="AW1592" s="76"/>
      <c r="AX1592" s="76"/>
      <c r="AY1592" s="76"/>
      <c r="AZ1592" s="76"/>
      <c r="BA1592" s="76"/>
      <c r="BB1592" s="76"/>
    </row>
    <row r="1593" spans="5:54" x14ac:dyDescent="0.35">
      <c r="E1593" s="83"/>
      <c r="F1593" s="83"/>
      <c r="G1593" s="76"/>
      <c r="H1593" s="76"/>
      <c r="I1593" s="76"/>
      <c r="J1593" s="76"/>
      <c r="K1593" s="76"/>
      <c r="L1593" s="76"/>
      <c r="M1593" s="76"/>
      <c r="N1593" s="76"/>
      <c r="O1593" s="76"/>
      <c r="P1593" s="76"/>
      <c r="Q1593" s="76"/>
      <c r="R1593" s="76"/>
      <c r="S1593" s="76"/>
      <c r="T1593" s="76"/>
      <c r="U1593" s="76"/>
      <c r="V1593" s="76"/>
      <c r="W1593" s="76"/>
      <c r="X1593" s="76"/>
      <c r="Y1593" s="76"/>
      <c r="Z1593" s="76"/>
      <c r="AA1593" s="76"/>
      <c r="AB1593" s="76"/>
      <c r="AC1593" s="76"/>
      <c r="AD1593" s="76"/>
      <c r="AE1593" s="76"/>
      <c r="AF1593" s="76"/>
      <c r="AG1593" s="76"/>
      <c r="AH1593" s="76"/>
      <c r="AI1593" s="76"/>
      <c r="AJ1593" s="76"/>
      <c r="AK1593" s="76"/>
      <c r="AL1593" s="76"/>
      <c r="AM1593" s="76"/>
      <c r="AN1593" s="76"/>
      <c r="AO1593" s="76"/>
      <c r="AP1593" s="76"/>
      <c r="AQ1593" s="76"/>
      <c r="AR1593" s="76"/>
      <c r="AS1593" s="76"/>
      <c r="AT1593" s="76"/>
      <c r="AU1593" s="76"/>
      <c r="AV1593" s="76"/>
      <c r="AW1593" s="76"/>
      <c r="AX1593" s="76"/>
      <c r="AY1593" s="76"/>
      <c r="AZ1593" s="76"/>
      <c r="BA1593" s="76"/>
      <c r="BB1593" s="76"/>
    </row>
    <row r="1594" spans="5:54" x14ac:dyDescent="0.35">
      <c r="E1594" s="83"/>
      <c r="F1594" s="83"/>
      <c r="G1594" s="76"/>
      <c r="H1594" s="76"/>
      <c r="I1594" s="76"/>
      <c r="J1594" s="76"/>
      <c r="K1594" s="76"/>
      <c r="L1594" s="76"/>
      <c r="M1594" s="76"/>
      <c r="N1594" s="76"/>
      <c r="O1594" s="76"/>
      <c r="P1594" s="76"/>
      <c r="Q1594" s="76"/>
      <c r="R1594" s="76"/>
      <c r="S1594" s="76"/>
      <c r="T1594" s="76"/>
      <c r="U1594" s="76"/>
      <c r="V1594" s="76"/>
      <c r="W1594" s="76"/>
      <c r="X1594" s="76"/>
      <c r="Y1594" s="76"/>
      <c r="Z1594" s="76"/>
      <c r="AA1594" s="76"/>
      <c r="AB1594" s="76"/>
      <c r="AC1594" s="76"/>
      <c r="AD1594" s="76"/>
      <c r="AE1594" s="76"/>
      <c r="AF1594" s="76"/>
      <c r="AG1594" s="76"/>
      <c r="AH1594" s="76"/>
      <c r="AI1594" s="76"/>
      <c r="AJ1594" s="76"/>
      <c r="AK1594" s="76"/>
      <c r="AL1594" s="76"/>
      <c r="AM1594" s="76"/>
      <c r="AN1594" s="76"/>
      <c r="AO1594" s="76"/>
      <c r="AP1594" s="76"/>
      <c r="AQ1594" s="76"/>
      <c r="AR1594" s="76"/>
      <c r="AS1594" s="76"/>
      <c r="AT1594" s="76"/>
      <c r="AU1594" s="76"/>
      <c r="AV1594" s="76"/>
      <c r="AW1594" s="76"/>
      <c r="AX1594" s="76"/>
      <c r="AY1594" s="76"/>
      <c r="AZ1594" s="76"/>
      <c r="BA1594" s="76"/>
      <c r="BB1594" s="76"/>
    </row>
    <row r="1595" spans="5:54" x14ac:dyDescent="0.35">
      <c r="E1595" s="83"/>
      <c r="F1595" s="83"/>
      <c r="G1595" s="76"/>
      <c r="H1595" s="76"/>
      <c r="I1595" s="76"/>
      <c r="J1595" s="76"/>
      <c r="K1595" s="76"/>
      <c r="L1595" s="76"/>
      <c r="M1595" s="76"/>
      <c r="N1595" s="76"/>
      <c r="O1595" s="76"/>
      <c r="P1595" s="76"/>
      <c r="Q1595" s="76"/>
      <c r="R1595" s="76"/>
      <c r="S1595" s="76"/>
      <c r="T1595" s="76"/>
      <c r="U1595" s="76"/>
      <c r="V1595" s="76"/>
      <c r="W1595" s="76"/>
      <c r="X1595" s="76"/>
      <c r="Y1595" s="76"/>
      <c r="Z1595" s="76"/>
      <c r="AA1595" s="76"/>
      <c r="AB1595" s="76"/>
      <c r="AC1595" s="76"/>
      <c r="AD1595" s="76"/>
      <c r="AE1595" s="76"/>
      <c r="AF1595" s="76"/>
      <c r="AG1595" s="76"/>
      <c r="AH1595" s="76"/>
      <c r="AI1595" s="76"/>
      <c r="AJ1595" s="76"/>
      <c r="AK1595" s="76"/>
      <c r="AL1595" s="76"/>
      <c r="AM1595" s="76"/>
      <c r="AN1595" s="76"/>
      <c r="AO1595" s="76"/>
      <c r="AP1595" s="76"/>
      <c r="AQ1595" s="76"/>
      <c r="AR1595" s="76"/>
      <c r="AS1595" s="76"/>
      <c r="AT1595" s="76"/>
      <c r="AU1595" s="76"/>
      <c r="AV1595" s="76"/>
      <c r="AW1595" s="76"/>
      <c r="AX1595" s="76"/>
      <c r="AY1595" s="76"/>
      <c r="AZ1595" s="76"/>
      <c r="BA1595" s="76"/>
      <c r="BB1595" s="76"/>
    </row>
    <row r="1596" spans="5:54" x14ac:dyDescent="0.35">
      <c r="E1596" s="83"/>
      <c r="F1596" s="83"/>
      <c r="G1596" s="76"/>
      <c r="H1596" s="76"/>
      <c r="I1596" s="76"/>
      <c r="J1596" s="76"/>
      <c r="K1596" s="76"/>
      <c r="L1596" s="76"/>
      <c r="M1596" s="76"/>
      <c r="N1596" s="76"/>
      <c r="O1596" s="76"/>
      <c r="P1596" s="76"/>
      <c r="Q1596" s="76"/>
      <c r="R1596" s="76"/>
      <c r="S1596" s="76"/>
      <c r="T1596" s="76"/>
      <c r="U1596" s="76"/>
      <c r="V1596" s="76"/>
      <c r="W1596" s="76"/>
      <c r="X1596" s="76"/>
      <c r="Y1596" s="76"/>
      <c r="Z1596" s="76"/>
      <c r="AA1596" s="76"/>
      <c r="AB1596" s="76"/>
      <c r="AC1596" s="76"/>
      <c r="AD1596" s="76"/>
      <c r="AE1596" s="76"/>
      <c r="AF1596" s="76"/>
      <c r="AG1596" s="76"/>
      <c r="AH1596" s="76"/>
      <c r="AI1596" s="76"/>
      <c r="AJ1596" s="76"/>
      <c r="AK1596" s="76"/>
      <c r="AL1596" s="76"/>
      <c r="AM1596" s="76"/>
      <c r="AN1596" s="76"/>
      <c r="AO1596" s="76"/>
      <c r="AP1596" s="76"/>
      <c r="AQ1596" s="76"/>
      <c r="AR1596" s="76"/>
      <c r="AS1596" s="76"/>
      <c r="AT1596" s="76"/>
      <c r="AU1596" s="76"/>
      <c r="AV1596" s="76"/>
      <c r="AW1596" s="76"/>
      <c r="AX1596" s="76"/>
      <c r="AY1596" s="76"/>
      <c r="AZ1596" s="76"/>
      <c r="BA1596" s="76"/>
      <c r="BB1596" s="76"/>
    </row>
    <row r="1597" spans="5:54" x14ac:dyDescent="0.35">
      <c r="E1597" s="83"/>
      <c r="F1597" s="83"/>
      <c r="G1597" s="76"/>
      <c r="H1597" s="76"/>
      <c r="I1597" s="76"/>
      <c r="J1597" s="76"/>
      <c r="K1597" s="76"/>
      <c r="L1597" s="76"/>
      <c r="M1597" s="76"/>
      <c r="N1597" s="76"/>
      <c r="O1597" s="76"/>
      <c r="P1597" s="76"/>
      <c r="Q1597" s="76"/>
      <c r="R1597" s="76"/>
      <c r="S1597" s="76"/>
      <c r="T1597" s="76"/>
      <c r="U1597" s="76"/>
      <c r="V1597" s="76"/>
      <c r="W1597" s="76"/>
      <c r="X1597" s="76"/>
      <c r="Y1597" s="76"/>
      <c r="Z1597" s="76"/>
      <c r="AA1597" s="76"/>
      <c r="AB1597" s="76"/>
      <c r="AC1597" s="76"/>
      <c r="AD1597" s="76"/>
      <c r="AE1597" s="76"/>
      <c r="AF1597" s="76"/>
      <c r="AG1597" s="76"/>
      <c r="AH1597" s="76"/>
      <c r="AI1597" s="76"/>
      <c r="AJ1597" s="76"/>
      <c r="AK1597" s="76"/>
      <c r="AL1597" s="76"/>
      <c r="AM1597" s="76"/>
      <c r="AN1597" s="76"/>
      <c r="AO1597" s="76"/>
      <c r="AP1597" s="76"/>
      <c r="AQ1597" s="76"/>
      <c r="AR1597" s="76"/>
      <c r="AS1597" s="76"/>
      <c r="AT1597" s="76"/>
      <c r="AU1597" s="76"/>
      <c r="AV1597" s="76"/>
      <c r="AW1597" s="76"/>
      <c r="AX1597" s="76"/>
      <c r="AY1597" s="76"/>
      <c r="AZ1597" s="76"/>
      <c r="BA1597" s="76"/>
      <c r="BB1597" s="76"/>
    </row>
    <row r="1598" spans="5:54" x14ac:dyDescent="0.35">
      <c r="E1598" s="83"/>
      <c r="F1598" s="83"/>
      <c r="G1598" s="76"/>
      <c r="H1598" s="76"/>
      <c r="I1598" s="76"/>
      <c r="J1598" s="76"/>
      <c r="K1598" s="76"/>
      <c r="L1598" s="76"/>
      <c r="M1598" s="76"/>
      <c r="N1598" s="76"/>
      <c r="O1598" s="76"/>
      <c r="P1598" s="76"/>
      <c r="Q1598" s="76"/>
      <c r="R1598" s="76"/>
      <c r="S1598" s="76"/>
      <c r="T1598" s="76"/>
      <c r="U1598" s="76"/>
      <c r="V1598" s="76"/>
      <c r="W1598" s="76"/>
      <c r="X1598" s="76"/>
      <c r="Y1598" s="76"/>
      <c r="Z1598" s="76"/>
      <c r="AA1598" s="76"/>
      <c r="AB1598" s="76"/>
      <c r="AC1598" s="76"/>
      <c r="AD1598" s="76"/>
      <c r="AE1598" s="76"/>
      <c r="AF1598" s="76"/>
      <c r="AG1598" s="76"/>
      <c r="AH1598" s="76"/>
      <c r="AI1598" s="76"/>
      <c r="AJ1598" s="76"/>
      <c r="AK1598" s="76"/>
      <c r="AL1598" s="76"/>
      <c r="AM1598" s="76"/>
      <c r="AN1598" s="76"/>
      <c r="AO1598" s="76"/>
      <c r="AP1598" s="76"/>
      <c r="AQ1598" s="76"/>
      <c r="AR1598" s="76"/>
      <c r="AS1598" s="76"/>
      <c r="AT1598" s="76"/>
      <c r="AU1598" s="76"/>
      <c r="AV1598" s="76"/>
      <c r="AW1598" s="76"/>
      <c r="AX1598" s="76"/>
      <c r="AY1598" s="76"/>
      <c r="AZ1598" s="76"/>
      <c r="BA1598" s="76"/>
      <c r="BB1598" s="76"/>
    </row>
    <row r="1599" spans="5:54" x14ac:dyDescent="0.35">
      <c r="E1599" s="83"/>
      <c r="F1599" s="83"/>
      <c r="G1599" s="76"/>
      <c r="H1599" s="76"/>
      <c r="I1599" s="76"/>
      <c r="J1599" s="76"/>
      <c r="K1599" s="76"/>
      <c r="L1599" s="76"/>
      <c r="M1599" s="76"/>
      <c r="N1599" s="76"/>
      <c r="O1599" s="76"/>
      <c r="P1599" s="76"/>
      <c r="Q1599" s="76"/>
      <c r="R1599" s="76"/>
      <c r="S1599" s="76"/>
      <c r="T1599" s="76"/>
      <c r="U1599" s="76"/>
      <c r="V1599" s="76"/>
      <c r="W1599" s="76"/>
      <c r="X1599" s="76"/>
      <c r="Y1599" s="76"/>
      <c r="Z1599" s="76"/>
      <c r="AA1599" s="76"/>
      <c r="AB1599" s="76"/>
      <c r="AC1599" s="76"/>
      <c r="AD1599" s="76"/>
      <c r="AE1599" s="76"/>
      <c r="AF1599" s="76"/>
      <c r="AG1599" s="76"/>
      <c r="AH1599" s="76"/>
      <c r="AI1599" s="76"/>
      <c r="AJ1599" s="76"/>
      <c r="AK1599" s="76"/>
      <c r="AL1599" s="76"/>
      <c r="AM1599" s="76"/>
      <c r="AN1599" s="76"/>
      <c r="AO1599" s="76"/>
      <c r="AP1599" s="76"/>
      <c r="AQ1599" s="76"/>
      <c r="AR1599" s="76"/>
      <c r="AS1599" s="76"/>
      <c r="AT1599" s="76"/>
      <c r="AU1599" s="76"/>
      <c r="AV1599" s="76"/>
      <c r="AW1599" s="76"/>
      <c r="AX1599" s="76"/>
      <c r="AY1599" s="76"/>
      <c r="AZ1599" s="76"/>
      <c r="BA1599" s="76"/>
      <c r="BB1599" s="76"/>
    </row>
    <row r="1600" spans="5:54" x14ac:dyDescent="0.35">
      <c r="E1600" s="83"/>
      <c r="F1600" s="83"/>
      <c r="G1600" s="76"/>
      <c r="H1600" s="76"/>
      <c r="I1600" s="76"/>
      <c r="J1600" s="76"/>
      <c r="K1600" s="76"/>
      <c r="L1600" s="76"/>
      <c r="M1600" s="76"/>
      <c r="N1600" s="76"/>
      <c r="O1600" s="76"/>
      <c r="P1600" s="76"/>
      <c r="Q1600" s="76"/>
      <c r="R1600" s="76"/>
      <c r="S1600" s="76"/>
      <c r="T1600" s="76"/>
      <c r="U1600" s="76"/>
      <c r="V1600" s="76"/>
      <c r="W1600" s="76"/>
      <c r="X1600" s="76"/>
      <c r="Y1600" s="76"/>
      <c r="Z1600" s="76"/>
      <c r="AA1600" s="76"/>
      <c r="AB1600" s="76"/>
      <c r="AC1600" s="76"/>
      <c r="AD1600" s="76"/>
      <c r="AE1600" s="76"/>
      <c r="AF1600" s="76"/>
      <c r="AG1600" s="76"/>
      <c r="AH1600" s="76"/>
      <c r="AI1600" s="76"/>
      <c r="AJ1600" s="76"/>
      <c r="AK1600" s="76"/>
      <c r="AL1600" s="76"/>
      <c r="AM1600" s="76"/>
      <c r="AN1600" s="76"/>
      <c r="AO1600" s="76"/>
      <c r="AP1600" s="76"/>
      <c r="AQ1600" s="76"/>
      <c r="AR1600" s="76"/>
      <c r="AS1600" s="76"/>
      <c r="AT1600" s="76"/>
      <c r="AU1600" s="76"/>
      <c r="AV1600" s="76"/>
      <c r="AW1600" s="76"/>
      <c r="AX1600" s="76"/>
      <c r="AY1600" s="76"/>
      <c r="AZ1600" s="76"/>
      <c r="BA1600" s="76"/>
      <c r="BB1600" s="76"/>
    </row>
    <row r="1601" spans="5:54" x14ac:dyDescent="0.35">
      <c r="E1601" s="83"/>
      <c r="F1601" s="83"/>
      <c r="G1601" s="76"/>
      <c r="H1601" s="76"/>
      <c r="I1601" s="76"/>
      <c r="J1601" s="76"/>
      <c r="K1601" s="76"/>
      <c r="L1601" s="76"/>
      <c r="M1601" s="76"/>
      <c r="N1601" s="76"/>
      <c r="O1601" s="76"/>
      <c r="P1601" s="76"/>
      <c r="Q1601" s="76"/>
      <c r="R1601" s="76"/>
      <c r="S1601" s="76"/>
      <c r="T1601" s="76"/>
      <c r="U1601" s="76"/>
      <c r="V1601" s="76"/>
      <c r="W1601" s="76"/>
      <c r="X1601" s="76"/>
      <c r="Y1601" s="76"/>
      <c r="Z1601" s="76"/>
      <c r="AA1601" s="76"/>
      <c r="AB1601" s="76"/>
      <c r="AC1601" s="76"/>
      <c r="AD1601" s="76"/>
      <c r="AE1601" s="76"/>
      <c r="AF1601" s="76"/>
      <c r="AG1601" s="76"/>
      <c r="AH1601" s="76"/>
      <c r="AI1601" s="76"/>
      <c r="AJ1601" s="76"/>
      <c r="AK1601" s="76"/>
      <c r="AL1601" s="76"/>
      <c r="AM1601" s="76"/>
      <c r="AN1601" s="76"/>
      <c r="AO1601" s="76"/>
      <c r="AP1601" s="76"/>
      <c r="AQ1601" s="76"/>
      <c r="AR1601" s="76"/>
      <c r="AS1601" s="76"/>
      <c r="AT1601" s="76"/>
      <c r="AU1601" s="76"/>
      <c r="AV1601" s="76"/>
      <c r="AW1601" s="76"/>
      <c r="AX1601" s="76"/>
      <c r="AY1601" s="76"/>
      <c r="AZ1601" s="76"/>
      <c r="BA1601" s="76"/>
      <c r="BB1601" s="76"/>
    </row>
    <row r="1602" spans="5:54" x14ac:dyDescent="0.35">
      <c r="E1602" s="83"/>
      <c r="F1602" s="83"/>
      <c r="G1602" s="76"/>
      <c r="H1602" s="76"/>
      <c r="I1602" s="76"/>
      <c r="J1602" s="76"/>
      <c r="K1602" s="76"/>
      <c r="L1602" s="76"/>
      <c r="M1602" s="76"/>
      <c r="N1602" s="76"/>
      <c r="O1602" s="76"/>
      <c r="P1602" s="76"/>
      <c r="Q1602" s="76"/>
      <c r="R1602" s="76"/>
      <c r="S1602" s="76"/>
      <c r="T1602" s="76"/>
      <c r="U1602" s="76"/>
      <c r="V1602" s="76"/>
      <c r="W1602" s="76"/>
      <c r="X1602" s="76"/>
      <c r="Y1602" s="76"/>
      <c r="Z1602" s="76"/>
      <c r="AA1602" s="76"/>
      <c r="AB1602" s="76"/>
      <c r="AC1602" s="76"/>
      <c r="AD1602" s="76"/>
      <c r="AE1602" s="76"/>
      <c r="AF1602" s="76"/>
      <c r="AG1602" s="76"/>
      <c r="AH1602" s="76"/>
      <c r="AI1602" s="76"/>
      <c r="AJ1602" s="76"/>
      <c r="AK1602" s="76"/>
      <c r="AL1602" s="76"/>
      <c r="AM1602" s="76"/>
      <c r="AN1602" s="76"/>
      <c r="AO1602" s="76"/>
      <c r="AP1602" s="76"/>
      <c r="AQ1602" s="76"/>
      <c r="AR1602" s="76"/>
      <c r="AS1602" s="76"/>
      <c r="AT1602" s="76"/>
      <c r="AU1602" s="76"/>
      <c r="AV1602" s="76"/>
      <c r="AW1602" s="76"/>
      <c r="AX1602" s="76"/>
      <c r="AY1602" s="76"/>
      <c r="AZ1602" s="76"/>
      <c r="BA1602" s="76"/>
      <c r="BB1602" s="76"/>
    </row>
    <row r="1603" spans="5:54" x14ac:dyDescent="0.35">
      <c r="E1603" s="83"/>
      <c r="F1603" s="83"/>
      <c r="G1603" s="76"/>
      <c r="H1603" s="76"/>
      <c r="I1603" s="76"/>
      <c r="J1603" s="76"/>
      <c r="K1603" s="76"/>
      <c r="L1603" s="76"/>
      <c r="M1603" s="76"/>
      <c r="N1603" s="76"/>
      <c r="O1603" s="76"/>
      <c r="P1603" s="76"/>
      <c r="Q1603" s="76"/>
      <c r="R1603" s="76"/>
      <c r="S1603" s="76"/>
      <c r="T1603" s="76"/>
      <c r="U1603" s="76"/>
      <c r="V1603" s="76"/>
      <c r="W1603" s="76"/>
      <c r="X1603" s="76"/>
      <c r="Y1603" s="76"/>
      <c r="Z1603" s="76"/>
      <c r="AA1603" s="76"/>
      <c r="AB1603" s="76"/>
      <c r="AC1603" s="76"/>
      <c r="AD1603" s="76"/>
      <c r="AE1603" s="76"/>
      <c r="AF1603" s="76"/>
      <c r="AG1603" s="76"/>
      <c r="AH1603" s="76"/>
      <c r="AI1603" s="76"/>
      <c r="AJ1603" s="76"/>
      <c r="AK1603" s="76"/>
      <c r="AL1603" s="76"/>
      <c r="AM1603" s="76"/>
      <c r="AN1603" s="76"/>
      <c r="AO1603" s="76"/>
      <c r="AP1603" s="76"/>
      <c r="AQ1603" s="76"/>
      <c r="AR1603" s="76"/>
      <c r="AS1603" s="76"/>
      <c r="AT1603" s="76"/>
      <c r="AU1603" s="76"/>
      <c r="AV1603" s="76"/>
      <c r="AW1603" s="76"/>
      <c r="AX1603" s="76"/>
      <c r="AY1603" s="76"/>
      <c r="AZ1603" s="76"/>
      <c r="BA1603" s="76"/>
      <c r="BB1603" s="76"/>
    </row>
    <row r="1604" spans="5:54" x14ac:dyDescent="0.35">
      <c r="E1604" s="83"/>
      <c r="F1604" s="83"/>
      <c r="G1604" s="76"/>
      <c r="H1604" s="76"/>
      <c r="I1604" s="76"/>
      <c r="J1604" s="76"/>
      <c r="K1604" s="76"/>
      <c r="L1604" s="76"/>
      <c r="M1604" s="76"/>
      <c r="N1604" s="76"/>
      <c r="O1604" s="76"/>
      <c r="P1604" s="76"/>
      <c r="Q1604" s="76"/>
      <c r="R1604" s="76"/>
      <c r="S1604" s="76"/>
      <c r="T1604" s="76"/>
      <c r="U1604" s="76"/>
      <c r="V1604" s="76"/>
      <c r="W1604" s="76"/>
      <c r="X1604" s="76"/>
      <c r="Y1604" s="76"/>
      <c r="Z1604" s="76"/>
      <c r="AA1604" s="76"/>
      <c r="AB1604" s="76"/>
      <c r="AC1604" s="76"/>
      <c r="AD1604" s="76"/>
      <c r="AE1604" s="76"/>
      <c r="AF1604" s="76"/>
      <c r="AG1604" s="76"/>
      <c r="AH1604" s="76"/>
      <c r="AI1604" s="76"/>
      <c r="AJ1604" s="76"/>
      <c r="AK1604" s="76"/>
      <c r="AL1604" s="76"/>
      <c r="AM1604" s="76"/>
      <c r="AN1604" s="76"/>
      <c r="AO1604" s="76"/>
      <c r="AP1604" s="76"/>
      <c r="AQ1604" s="76"/>
      <c r="AR1604" s="76"/>
      <c r="AS1604" s="76"/>
      <c r="AT1604" s="76"/>
      <c r="AU1604" s="76"/>
      <c r="AV1604" s="76"/>
      <c r="AW1604" s="76"/>
      <c r="AX1604" s="76"/>
      <c r="AY1604" s="76"/>
      <c r="AZ1604" s="76"/>
      <c r="BA1604" s="76"/>
      <c r="BB1604" s="76"/>
    </row>
    <row r="1605" spans="5:54" x14ac:dyDescent="0.35">
      <c r="E1605" s="83"/>
      <c r="F1605" s="83"/>
      <c r="G1605" s="76"/>
      <c r="H1605" s="76"/>
      <c r="I1605" s="76"/>
      <c r="J1605" s="76"/>
      <c r="K1605" s="76"/>
      <c r="L1605" s="76"/>
      <c r="M1605" s="76"/>
      <c r="N1605" s="76"/>
      <c r="O1605" s="76"/>
      <c r="P1605" s="76"/>
      <c r="Q1605" s="76"/>
      <c r="R1605" s="76"/>
      <c r="S1605" s="76"/>
      <c r="T1605" s="76"/>
      <c r="U1605" s="76"/>
      <c r="V1605" s="76"/>
      <c r="W1605" s="76"/>
      <c r="X1605" s="76"/>
      <c r="Y1605" s="76"/>
      <c r="Z1605" s="76"/>
      <c r="AA1605" s="76"/>
      <c r="AB1605" s="76"/>
      <c r="AC1605" s="76"/>
      <c r="AD1605" s="76"/>
      <c r="AE1605" s="76"/>
      <c r="AF1605" s="76"/>
      <c r="AG1605" s="76"/>
      <c r="AH1605" s="76"/>
      <c r="AI1605" s="76"/>
      <c r="AJ1605" s="76"/>
      <c r="AK1605" s="76"/>
      <c r="AL1605" s="76"/>
      <c r="AM1605" s="76"/>
      <c r="AN1605" s="76"/>
      <c r="AO1605" s="76"/>
      <c r="AP1605" s="76"/>
      <c r="AQ1605" s="76"/>
      <c r="AR1605" s="76"/>
      <c r="AS1605" s="76"/>
      <c r="AT1605" s="76"/>
      <c r="AU1605" s="76"/>
      <c r="AV1605" s="76"/>
      <c r="AW1605" s="76"/>
      <c r="AX1605" s="76"/>
      <c r="AY1605" s="76"/>
      <c r="AZ1605" s="76"/>
      <c r="BA1605" s="76"/>
      <c r="BB1605" s="76"/>
    </row>
    <row r="1606" spans="5:54" x14ac:dyDescent="0.35">
      <c r="E1606" s="83"/>
      <c r="F1606" s="83"/>
      <c r="G1606" s="76"/>
      <c r="H1606" s="76"/>
      <c r="I1606" s="76"/>
      <c r="J1606" s="76"/>
      <c r="K1606" s="76"/>
      <c r="L1606" s="76"/>
      <c r="M1606" s="76"/>
      <c r="N1606" s="76"/>
      <c r="O1606" s="76"/>
      <c r="P1606" s="76"/>
      <c r="Q1606" s="76"/>
      <c r="R1606" s="76"/>
      <c r="S1606" s="76"/>
      <c r="T1606" s="76"/>
      <c r="U1606" s="76"/>
      <c r="V1606" s="76"/>
      <c r="W1606" s="76"/>
      <c r="X1606" s="76"/>
      <c r="Y1606" s="76"/>
      <c r="Z1606" s="76"/>
      <c r="AA1606" s="76"/>
      <c r="AB1606" s="76"/>
      <c r="AC1606" s="76"/>
      <c r="AD1606" s="76"/>
      <c r="AE1606" s="76"/>
      <c r="AF1606" s="76"/>
      <c r="AG1606" s="76"/>
      <c r="AH1606" s="76"/>
      <c r="AI1606" s="76"/>
      <c r="AJ1606" s="76"/>
      <c r="AK1606" s="76"/>
      <c r="AL1606" s="76"/>
      <c r="AM1606" s="76"/>
      <c r="AN1606" s="76"/>
      <c r="AO1606" s="76"/>
      <c r="AP1606" s="76"/>
      <c r="AQ1606" s="76"/>
      <c r="AR1606" s="76"/>
      <c r="AS1606" s="76"/>
      <c r="AT1606" s="76"/>
      <c r="AU1606" s="76"/>
      <c r="AV1606" s="76"/>
      <c r="AW1606" s="76"/>
      <c r="AX1606" s="76"/>
      <c r="AY1606" s="76"/>
      <c r="AZ1606" s="76"/>
      <c r="BA1606" s="76"/>
      <c r="BB1606" s="76"/>
    </row>
    <row r="1607" spans="5:54" x14ac:dyDescent="0.35">
      <c r="E1607" s="83"/>
      <c r="F1607" s="83"/>
      <c r="G1607" s="76"/>
      <c r="H1607" s="76"/>
      <c r="I1607" s="76"/>
      <c r="J1607" s="76"/>
      <c r="K1607" s="76"/>
      <c r="L1607" s="76"/>
      <c r="M1607" s="76"/>
      <c r="N1607" s="76"/>
      <c r="O1607" s="76"/>
      <c r="P1607" s="76"/>
      <c r="Q1607" s="76"/>
      <c r="R1607" s="76"/>
      <c r="S1607" s="76"/>
      <c r="T1607" s="76"/>
      <c r="U1607" s="76"/>
      <c r="V1607" s="76"/>
      <c r="W1607" s="76"/>
      <c r="X1607" s="76"/>
      <c r="Y1607" s="76"/>
      <c r="Z1607" s="76"/>
      <c r="AA1607" s="76"/>
      <c r="AB1607" s="76"/>
      <c r="AC1607" s="76"/>
      <c r="AD1607" s="76"/>
      <c r="AE1607" s="76"/>
      <c r="AF1607" s="76"/>
      <c r="AG1607" s="76"/>
      <c r="AH1607" s="76"/>
      <c r="AI1607" s="76"/>
      <c r="AJ1607" s="76"/>
      <c r="AK1607" s="76"/>
      <c r="AL1607" s="76"/>
      <c r="AM1607" s="76"/>
      <c r="AN1607" s="76"/>
      <c r="AO1607" s="76"/>
      <c r="AP1607" s="76"/>
      <c r="AQ1607" s="76"/>
      <c r="AR1607" s="76"/>
      <c r="AS1607" s="76"/>
      <c r="AT1607" s="76"/>
      <c r="AU1607" s="76"/>
      <c r="AV1607" s="76"/>
      <c r="AW1607" s="76"/>
      <c r="AX1607" s="76"/>
      <c r="AY1607" s="76"/>
      <c r="AZ1607" s="76"/>
      <c r="BA1607" s="76"/>
      <c r="BB1607" s="76"/>
    </row>
    <row r="1608" spans="5:54" x14ac:dyDescent="0.35">
      <c r="E1608" s="83"/>
      <c r="F1608" s="83"/>
      <c r="G1608" s="76"/>
      <c r="H1608" s="76"/>
      <c r="I1608" s="76"/>
      <c r="J1608" s="76"/>
      <c r="K1608" s="76"/>
      <c r="L1608" s="76"/>
      <c r="M1608" s="76"/>
      <c r="N1608" s="76"/>
      <c r="O1608" s="76"/>
      <c r="P1608" s="76"/>
      <c r="Q1608" s="76"/>
      <c r="R1608" s="76"/>
      <c r="S1608" s="76"/>
      <c r="T1608" s="76"/>
      <c r="U1608" s="76"/>
      <c r="V1608" s="76"/>
      <c r="W1608" s="76"/>
      <c r="X1608" s="76"/>
      <c r="Y1608" s="76"/>
      <c r="Z1608" s="76"/>
      <c r="AA1608" s="76"/>
      <c r="AB1608" s="76"/>
      <c r="AC1608" s="76"/>
      <c r="AD1608" s="76"/>
      <c r="AE1608" s="76"/>
      <c r="AF1608" s="76"/>
      <c r="AG1608" s="76"/>
      <c r="AH1608" s="76"/>
      <c r="AI1608" s="76"/>
      <c r="AJ1608" s="76"/>
      <c r="AK1608" s="76"/>
      <c r="AL1608" s="76"/>
      <c r="AM1608" s="76"/>
      <c r="AN1608" s="76"/>
      <c r="AO1608" s="76"/>
      <c r="AP1608" s="76"/>
      <c r="AQ1608" s="76"/>
      <c r="AR1608" s="76"/>
      <c r="AS1608" s="76"/>
      <c r="AT1608" s="76"/>
      <c r="AU1608" s="76"/>
      <c r="AV1608" s="76"/>
      <c r="AW1608" s="76"/>
      <c r="AX1608" s="76"/>
      <c r="AY1608" s="76"/>
      <c r="AZ1608" s="76"/>
      <c r="BA1608" s="76"/>
      <c r="BB1608" s="76"/>
    </row>
    <row r="1609" spans="5:54" x14ac:dyDescent="0.35">
      <c r="E1609" s="83"/>
      <c r="F1609" s="83"/>
      <c r="G1609" s="76"/>
      <c r="H1609" s="76"/>
      <c r="I1609" s="76"/>
      <c r="J1609" s="76"/>
      <c r="K1609" s="76"/>
      <c r="L1609" s="76"/>
      <c r="M1609" s="76"/>
      <c r="N1609" s="76"/>
      <c r="O1609" s="76"/>
      <c r="P1609" s="76"/>
      <c r="Q1609" s="76"/>
      <c r="R1609" s="76"/>
      <c r="S1609" s="76"/>
      <c r="T1609" s="76"/>
      <c r="U1609" s="76"/>
      <c r="V1609" s="76"/>
      <c r="W1609" s="76"/>
      <c r="X1609" s="76"/>
      <c r="Y1609" s="76"/>
      <c r="Z1609" s="76"/>
      <c r="AA1609" s="76"/>
      <c r="AB1609" s="76"/>
      <c r="AC1609" s="76"/>
      <c r="AD1609" s="76"/>
      <c r="AE1609" s="76"/>
      <c r="AF1609" s="76"/>
      <c r="AG1609" s="76"/>
      <c r="AH1609" s="76"/>
      <c r="AI1609" s="76"/>
      <c r="AJ1609" s="76"/>
      <c r="AK1609" s="76"/>
      <c r="AL1609" s="76"/>
      <c r="AM1609" s="76"/>
      <c r="AN1609" s="76"/>
      <c r="AO1609" s="76"/>
      <c r="AP1609" s="76"/>
      <c r="AQ1609" s="76"/>
      <c r="AR1609" s="76"/>
      <c r="AS1609" s="76"/>
      <c r="AT1609" s="76"/>
      <c r="AU1609" s="76"/>
      <c r="AV1609" s="76"/>
      <c r="AW1609" s="76"/>
      <c r="AX1609" s="76"/>
      <c r="AY1609" s="76"/>
      <c r="AZ1609" s="76"/>
      <c r="BA1609" s="76"/>
      <c r="BB1609" s="76"/>
    </row>
    <row r="1610" spans="5:54" x14ac:dyDescent="0.35">
      <c r="E1610" s="83"/>
      <c r="F1610" s="83"/>
      <c r="G1610" s="76"/>
      <c r="H1610" s="76"/>
      <c r="I1610" s="76"/>
      <c r="J1610" s="76"/>
      <c r="K1610" s="76"/>
      <c r="L1610" s="76"/>
      <c r="M1610" s="76"/>
      <c r="N1610" s="76"/>
      <c r="O1610" s="76"/>
      <c r="P1610" s="76"/>
      <c r="Q1610" s="76"/>
      <c r="R1610" s="76"/>
      <c r="S1610" s="76"/>
      <c r="T1610" s="76"/>
      <c r="U1610" s="76"/>
      <c r="V1610" s="76"/>
      <c r="W1610" s="76"/>
      <c r="X1610" s="76"/>
      <c r="Y1610" s="76"/>
      <c r="Z1610" s="76"/>
      <c r="AA1610" s="76"/>
      <c r="AB1610" s="76"/>
      <c r="AC1610" s="76"/>
      <c r="AD1610" s="76"/>
      <c r="AE1610" s="76"/>
      <c r="AF1610" s="76"/>
      <c r="AG1610" s="76"/>
      <c r="AH1610" s="76"/>
      <c r="AI1610" s="76"/>
      <c r="AJ1610" s="76"/>
      <c r="AK1610" s="76"/>
      <c r="AL1610" s="76"/>
      <c r="AM1610" s="76"/>
      <c r="AN1610" s="76"/>
      <c r="AO1610" s="76"/>
      <c r="AP1610" s="76"/>
      <c r="AQ1610" s="76"/>
      <c r="AR1610" s="76"/>
      <c r="AS1610" s="76"/>
      <c r="AT1610" s="76"/>
      <c r="AU1610" s="76"/>
      <c r="AV1610" s="76"/>
      <c r="AW1610" s="76"/>
      <c r="AX1610" s="76"/>
      <c r="AY1610" s="76"/>
      <c r="AZ1610" s="76"/>
      <c r="BA1610" s="76"/>
      <c r="BB1610" s="76"/>
    </row>
    <row r="1611" spans="5:54" x14ac:dyDescent="0.35">
      <c r="E1611" s="83"/>
      <c r="F1611" s="83"/>
      <c r="G1611" s="76"/>
      <c r="H1611" s="76"/>
      <c r="I1611" s="76"/>
      <c r="J1611" s="76"/>
      <c r="K1611" s="76"/>
      <c r="L1611" s="76"/>
      <c r="M1611" s="76"/>
      <c r="N1611" s="76"/>
      <c r="O1611" s="76"/>
      <c r="P1611" s="76"/>
      <c r="Q1611" s="76"/>
      <c r="R1611" s="76"/>
      <c r="S1611" s="76"/>
      <c r="T1611" s="76"/>
      <c r="U1611" s="76"/>
      <c r="V1611" s="76"/>
      <c r="W1611" s="76"/>
      <c r="X1611" s="76"/>
      <c r="Y1611" s="76"/>
      <c r="Z1611" s="76"/>
      <c r="AA1611" s="76"/>
      <c r="AB1611" s="76"/>
      <c r="AC1611" s="76"/>
      <c r="AD1611" s="76"/>
      <c r="AE1611" s="76"/>
      <c r="AF1611" s="76"/>
      <c r="AG1611" s="76"/>
      <c r="AH1611" s="76"/>
      <c r="AI1611" s="76"/>
      <c r="AJ1611" s="76"/>
      <c r="AK1611" s="76"/>
      <c r="AL1611" s="76"/>
      <c r="AM1611" s="76"/>
      <c r="AN1611" s="76"/>
      <c r="AO1611" s="76"/>
      <c r="AP1611" s="76"/>
      <c r="AQ1611" s="76"/>
      <c r="AR1611" s="76"/>
      <c r="AS1611" s="76"/>
      <c r="AT1611" s="76"/>
      <c r="AU1611" s="76"/>
      <c r="AV1611" s="76"/>
      <c r="AW1611" s="76"/>
      <c r="AX1611" s="76"/>
      <c r="AY1611" s="76"/>
      <c r="AZ1611" s="76"/>
      <c r="BA1611" s="76"/>
      <c r="BB1611" s="76"/>
    </row>
    <row r="1612" spans="5:54" x14ac:dyDescent="0.35">
      <c r="E1612" s="83"/>
      <c r="F1612" s="83"/>
      <c r="G1612" s="76"/>
      <c r="H1612" s="76"/>
      <c r="I1612" s="76"/>
      <c r="J1612" s="76"/>
      <c r="K1612" s="76"/>
      <c r="L1612" s="76"/>
      <c r="M1612" s="76"/>
      <c r="N1612" s="76"/>
      <c r="O1612" s="76"/>
      <c r="P1612" s="76"/>
      <c r="Q1612" s="76"/>
      <c r="R1612" s="76"/>
      <c r="S1612" s="76"/>
      <c r="T1612" s="76"/>
      <c r="U1612" s="76"/>
      <c r="V1612" s="76"/>
      <c r="W1612" s="76"/>
      <c r="X1612" s="76"/>
      <c r="Y1612" s="76"/>
      <c r="Z1612" s="76"/>
      <c r="AA1612" s="76"/>
      <c r="AB1612" s="76"/>
      <c r="AC1612" s="76"/>
      <c r="AD1612" s="76"/>
      <c r="AE1612" s="76"/>
      <c r="AF1612" s="76"/>
      <c r="AG1612" s="76"/>
      <c r="AH1612" s="76"/>
      <c r="AI1612" s="76"/>
      <c r="AJ1612" s="76"/>
      <c r="AK1612" s="76"/>
      <c r="AL1612" s="76"/>
      <c r="AM1612" s="76"/>
      <c r="AN1612" s="76"/>
      <c r="AO1612" s="76"/>
      <c r="AP1612" s="76"/>
      <c r="AQ1612" s="76"/>
      <c r="AR1612" s="76"/>
      <c r="AS1612" s="76"/>
      <c r="AT1612" s="76"/>
      <c r="AU1612" s="76"/>
      <c r="AV1612" s="76"/>
      <c r="AW1612" s="76"/>
      <c r="AX1612" s="76"/>
      <c r="AY1612" s="76"/>
      <c r="AZ1612" s="76"/>
      <c r="BA1612" s="76"/>
      <c r="BB1612" s="76"/>
    </row>
    <row r="1613" spans="5:54" x14ac:dyDescent="0.35">
      <c r="E1613" s="83"/>
      <c r="F1613" s="83"/>
      <c r="G1613" s="76"/>
      <c r="H1613" s="76"/>
      <c r="I1613" s="76"/>
      <c r="J1613" s="76"/>
      <c r="K1613" s="76"/>
      <c r="L1613" s="76"/>
      <c r="M1613" s="76"/>
      <c r="N1613" s="76"/>
      <c r="O1613" s="76"/>
      <c r="P1613" s="76"/>
      <c r="Q1613" s="76"/>
      <c r="R1613" s="76"/>
      <c r="S1613" s="76"/>
      <c r="T1613" s="76"/>
      <c r="U1613" s="76"/>
      <c r="V1613" s="76"/>
      <c r="W1613" s="76"/>
      <c r="X1613" s="76"/>
      <c r="Y1613" s="76"/>
      <c r="Z1613" s="76"/>
      <c r="AA1613" s="76"/>
      <c r="AB1613" s="76"/>
      <c r="AC1613" s="76"/>
      <c r="AD1613" s="76"/>
      <c r="AE1613" s="76"/>
      <c r="AF1613" s="76"/>
      <c r="AG1613" s="76"/>
      <c r="AH1613" s="76"/>
      <c r="AI1613" s="76"/>
      <c r="AJ1613" s="76"/>
      <c r="AK1613" s="76"/>
      <c r="AL1613" s="76"/>
      <c r="AM1613" s="76"/>
      <c r="AN1613" s="76"/>
      <c r="AO1613" s="76"/>
      <c r="AP1613" s="76"/>
      <c r="AQ1613" s="76"/>
      <c r="AR1613" s="76"/>
      <c r="AS1613" s="76"/>
      <c r="AT1613" s="76"/>
      <c r="AU1613" s="76"/>
      <c r="AV1613" s="76"/>
      <c r="AW1613" s="76"/>
      <c r="AX1613" s="76"/>
      <c r="AY1613" s="76"/>
      <c r="AZ1613" s="76"/>
      <c r="BA1613" s="76"/>
      <c r="BB1613" s="76"/>
    </row>
    <row r="1614" spans="5:54" x14ac:dyDescent="0.35">
      <c r="E1614" s="83"/>
      <c r="F1614" s="83"/>
      <c r="G1614" s="76"/>
      <c r="H1614" s="76"/>
      <c r="I1614" s="76"/>
      <c r="J1614" s="76"/>
      <c r="K1614" s="76"/>
      <c r="L1614" s="76"/>
      <c r="M1614" s="76"/>
      <c r="N1614" s="76"/>
      <c r="O1614" s="76"/>
      <c r="P1614" s="76"/>
      <c r="Q1614" s="76"/>
      <c r="R1614" s="76"/>
      <c r="S1614" s="76"/>
      <c r="T1614" s="76"/>
      <c r="U1614" s="76"/>
      <c r="V1614" s="76"/>
      <c r="W1614" s="76"/>
      <c r="X1614" s="76"/>
      <c r="Y1614" s="76"/>
      <c r="Z1614" s="76"/>
      <c r="AA1614" s="76"/>
      <c r="AB1614" s="76"/>
      <c r="AC1614" s="76"/>
      <c r="AD1614" s="76"/>
      <c r="AE1614" s="76"/>
      <c r="AF1614" s="76"/>
      <c r="AG1614" s="76"/>
      <c r="AH1614" s="76"/>
      <c r="AI1614" s="76"/>
      <c r="AJ1614" s="76"/>
      <c r="AK1614" s="76"/>
      <c r="AL1614" s="76"/>
      <c r="AM1614" s="76"/>
      <c r="AN1614" s="76"/>
      <c r="AO1614" s="76"/>
      <c r="AP1614" s="76"/>
      <c r="AQ1614" s="76"/>
      <c r="AR1614" s="76"/>
      <c r="AS1614" s="76"/>
      <c r="AT1614" s="76"/>
      <c r="AU1614" s="76"/>
      <c r="AV1614" s="76"/>
      <c r="AW1614" s="76"/>
      <c r="AX1614" s="76"/>
      <c r="AY1614" s="76"/>
      <c r="AZ1614" s="76"/>
      <c r="BA1614" s="76"/>
      <c r="BB1614" s="76"/>
    </row>
    <row r="1615" spans="5:54" x14ac:dyDescent="0.35">
      <c r="E1615" s="83"/>
      <c r="F1615" s="83"/>
      <c r="G1615" s="76"/>
      <c r="H1615" s="76"/>
      <c r="I1615" s="76"/>
      <c r="J1615" s="76"/>
      <c r="K1615" s="76"/>
      <c r="L1615" s="76"/>
      <c r="M1615" s="76"/>
      <c r="N1615" s="76"/>
      <c r="O1615" s="76"/>
      <c r="P1615" s="76"/>
      <c r="Q1615" s="76"/>
      <c r="R1615" s="76"/>
      <c r="S1615" s="76"/>
      <c r="T1615" s="76"/>
      <c r="U1615" s="76"/>
      <c r="V1615" s="76"/>
      <c r="W1615" s="76"/>
      <c r="X1615" s="76"/>
      <c r="Y1615" s="76"/>
      <c r="Z1615" s="76"/>
      <c r="AA1615" s="76"/>
      <c r="AB1615" s="76"/>
      <c r="AC1615" s="76"/>
      <c r="AD1615" s="76"/>
      <c r="AE1615" s="76"/>
      <c r="AF1615" s="76"/>
      <c r="AG1615" s="76"/>
      <c r="AH1615" s="76"/>
      <c r="AI1615" s="76"/>
      <c r="AJ1615" s="76"/>
      <c r="AK1615" s="76"/>
      <c r="AL1615" s="76"/>
      <c r="AM1615" s="76"/>
      <c r="AN1615" s="76"/>
      <c r="AO1615" s="76"/>
      <c r="AP1615" s="76"/>
      <c r="AQ1615" s="76"/>
      <c r="AR1615" s="76"/>
      <c r="AS1615" s="76"/>
      <c r="AT1615" s="76"/>
      <c r="AU1615" s="76"/>
      <c r="AV1615" s="76"/>
      <c r="AW1615" s="76"/>
      <c r="AX1615" s="76"/>
      <c r="AY1615" s="76"/>
      <c r="AZ1615" s="76"/>
      <c r="BA1615" s="76"/>
      <c r="BB1615" s="76"/>
    </row>
    <row r="1616" spans="5:54" x14ac:dyDescent="0.35">
      <c r="E1616" s="83"/>
      <c r="F1616" s="83"/>
      <c r="G1616" s="76"/>
      <c r="H1616" s="76"/>
      <c r="I1616" s="76"/>
      <c r="J1616" s="76"/>
      <c r="K1616" s="76"/>
      <c r="L1616" s="76"/>
      <c r="M1616" s="76"/>
      <c r="N1616" s="76"/>
      <c r="O1616" s="76"/>
      <c r="P1616" s="76"/>
      <c r="Q1616" s="76"/>
      <c r="R1616" s="76"/>
      <c r="S1616" s="76"/>
      <c r="T1616" s="76"/>
      <c r="U1616" s="76"/>
      <c r="V1616" s="76"/>
      <c r="W1616" s="76"/>
      <c r="X1616" s="76"/>
      <c r="Y1616" s="76"/>
      <c r="Z1616" s="76"/>
      <c r="AA1616" s="76"/>
      <c r="AB1616" s="76"/>
      <c r="AC1616" s="76"/>
      <c r="AD1616" s="76"/>
      <c r="AE1616" s="76"/>
      <c r="AF1616" s="76"/>
      <c r="AG1616" s="76"/>
      <c r="AH1616" s="76"/>
      <c r="AI1616" s="76"/>
      <c r="AJ1616" s="76"/>
      <c r="AK1616" s="76"/>
      <c r="AL1616" s="76"/>
      <c r="AM1616" s="76"/>
      <c r="AN1616" s="76"/>
      <c r="AO1616" s="76"/>
      <c r="AP1616" s="76"/>
      <c r="AQ1616" s="76"/>
      <c r="AR1616" s="76"/>
      <c r="AS1616" s="76"/>
      <c r="AT1616" s="76"/>
      <c r="AU1616" s="76"/>
      <c r="AV1616" s="76"/>
      <c r="AW1616" s="76"/>
      <c r="AX1616" s="76"/>
      <c r="AY1616" s="76"/>
      <c r="AZ1616" s="76"/>
      <c r="BA1616" s="76"/>
      <c r="BB1616" s="76"/>
    </row>
    <row r="1617" spans="5:54" x14ac:dyDescent="0.35">
      <c r="E1617" s="83"/>
      <c r="F1617" s="83"/>
      <c r="G1617" s="76"/>
      <c r="H1617" s="76"/>
      <c r="I1617" s="76"/>
      <c r="J1617" s="76"/>
      <c r="K1617" s="76"/>
      <c r="L1617" s="76"/>
      <c r="M1617" s="76"/>
      <c r="N1617" s="76"/>
      <c r="O1617" s="76"/>
      <c r="P1617" s="76"/>
      <c r="Q1617" s="76"/>
      <c r="R1617" s="76"/>
      <c r="S1617" s="76"/>
      <c r="T1617" s="76"/>
      <c r="U1617" s="76"/>
      <c r="V1617" s="76"/>
      <c r="W1617" s="76"/>
      <c r="X1617" s="76"/>
      <c r="Y1617" s="76"/>
      <c r="Z1617" s="76"/>
      <c r="AA1617" s="76"/>
      <c r="AB1617" s="76"/>
      <c r="AC1617" s="76"/>
      <c r="AD1617" s="76"/>
      <c r="AE1617" s="76"/>
      <c r="AF1617" s="76"/>
      <c r="AG1617" s="76"/>
      <c r="AH1617" s="76"/>
      <c r="AI1617" s="76"/>
      <c r="AJ1617" s="76"/>
      <c r="AK1617" s="76"/>
      <c r="AL1617" s="76"/>
      <c r="AM1617" s="76"/>
      <c r="AN1617" s="76"/>
      <c r="AO1617" s="76"/>
      <c r="AP1617" s="76"/>
      <c r="AQ1617" s="76"/>
      <c r="AR1617" s="76"/>
      <c r="AS1617" s="76"/>
      <c r="AT1617" s="76"/>
      <c r="AU1617" s="76"/>
      <c r="AV1617" s="76"/>
      <c r="AW1617" s="76"/>
      <c r="AX1617" s="76"/>
      <c r="AY1617" s="76"/>
      <c r="AZ1617" s="76"/>
      <c r="BA1617" s="76"/>
      <c r="BB1617" s="76"/>
    </row>
    <row r="1618" spans="5:54" x14ac:dyDescent="0.35">
      <c r="E1618" s="83"/>
      <c r="F1618" s="83"/>
      <c r="G1618" s="76"/>
      <c r="H1618" s="76"/>
      <c r="I1618" s="76"/>
      <c r="J1618" s="76"/>
      <c r="K1618" s="76"/>
      <c r="L1618" s="76"/>
      <c r="M1618" s="76"/>
      <c r="N1618" s="76"/>
      <c r="O1618" s="76"/>
      <c r="P1618" s="76"/>
      <c r="Q1618" s="76"/>
      <c r="R1618" s="76"/>
      <c r="S1618" s="76"/>
      <c r="T1618" s="76"/>
      <c r="U1618" s="76"/>
      <c r="V1618" s="76"/>
      <c r="W1618" s="76"/>
      <c r="X1618" s="76"/>
      <c r="Y1618" s="76"/>
      <c r="Z1618" s="76"/>
      <c r="AA1618" s="76"/>
      <c r="AB1618" s="76"/>
      <c r="AC1618" s="76"/>
      <c r="AD1618" s="76"/>
      <c r="AE1618" s="76"/>
      <c r="AF1618" s="76"/>
      <c r="AG1618" s="76"/>
      <c r="AH1618" s="76"/>
      <c r="AI1618" s="76"/>
      <c r="AJ1618" s="76"/>
      <c r="AK1618" s="76"/>
      <c r="AL1618" s="76"/>
      <c r="AM1618" s="76"/>
      <c r="AN1618" s="76"/>
      <c r="AO1618" s="76"/>
      <c r="AP1618" s="76"/>
      <c r="AQ1618" s="76"/>
      <c r="AR1618" s="76"/>
      <c r="AS1618" s="76"/>
      <c r="AT1618" s="76"/>
      <c r="AU1618" s="76"/>
      <c r="AV1618" s="76"/>
      <c r="AW1618" s="76"/>
      <c r="AX1618" s="76"/>
      <c r="AY1618" s="76"/>
      <c r="AZ1618" s="76"/>
      <c r="BA1618" s="76"/>
      <c r="BB1618" s="76"/>
    </row>
    <row r="1619" spans="5:54" x14ac:dyDescent="0.35">
      <c r="E1619" s="83"/>
      <c r="F1619" s="83"/>
      <c r="G1619" s="76"/>
      <c r="H1619" s="76"/>
      <c r="I1619" s="76"/>
      <c r="J1619" s="76"/>
      <c r="K1619" s="76"/>
      <c r="L1619" s="76"/>
      <c r="M1619" s="76"/>
      <c r="N1619" s="76"/>
      <c r="O1619" s="76"/>
      <c r="P1619" s="76"/>
      <c r="Q1619" s="76"/>
      <c r="R1619" s="76"/>
      <c r="S1619" s="76"/>
      <c r="T1619" s="76"/>
      <c r="U1619" s="76"/>
      <c r="V1619" s="76"/>
      <c r="W1619" s="76"/>
      <c r="X1619" s="76"/>
      <c r="Y1619" s="76"/>
      <c r="Z1619" s="76"/>
      <c r="AA1619" s="76"/>
      <c r="AB1619" s="76"/>
      <c r="AC1619" s="76"/>
      <c r="AD1619" s="76"/>
      <c r="AE1619" s="76"/>
      <c r="AF1619" s="76"/>
      <c r="AG1619" s="76"/>
      <c r="AH1619" s="76"/>
      <c r="AI1619" s="76"/>
      <c r="AJ1619" s="76"/>
      <c r="AK1619" s="76"/>
      <c r="AL1619" s="76"/>
      <c r="AM1619" s="76"/>
      <c r="AN1619" s="76"/>
      <c r="AO1619" s="76"/>
      <c r="AP1619" s="76"/>
      <c r="AQ1619" s="76"/>
      <c r="AR1619" s="76"/>
      <c r="AS1619" s="76"/>
      <c r="AT1619" s="76"/>
      <c r="AU1619" s="76"/>
      <c r="AV1619" s="76"/>
      <c r="AW1619" s="76"/>
      <c r="AX1619" s="76"/>
      <c r="AY1619" s="76"/>
      <c r="AZ1619" s="76"/>
      <c r="BA1619" s="76"/>
      <c r="BB1619" s="76"/>
    </row>
    <row r="1620" spans="5:54" x14ac:dyDescent="0.35">
      <c r="E1620" s="83"/>
      <c r="F1620" s="83"/>
      <c r="G1620" s="76"/>
      <c r="H1620" s="76"/>
      <c r="I1620" s="76"/>
      <c r="J1620" s="76"/>
      <c r="K1620" s="76"/>
      <c r="L1620" s="76"/>
      <c r="M1620" s="76"/>
      <c r="N1620" s="76"/>
      <c r="O1620" s="76"/>
      <c r="P1620" s="76"/>
      <c r="Q1620" s="76"/>
      <c r="R1620" s="76"/>
      <c r="S1620" s="76"/>
      <c r="T1620" s="76"/>
      <c r="U1620" s="76"/>
      <c r="V1620" s="76"/>
      <c r="W1620" s="76"/>
      <c r="X1620" s="76"/>
      <c r="Y1620" s="76"/>
      <c r="Z1620" s="76"/>
      <c r="AA1620" s="76"/>
      <c r="AB1620" s="76"/>
      <c r="AC1620" s="76"/>
      <c r="AD1620" s="76"/>
      <c r="AE1620" s="76"/>
      <c r="AF1620" s="76"/>
      <c r="AG1620" s="76"/>
      <c r="AH1620" s="76"/>
      <c r="AI1620" s="76"/>
      <c r="AJ1620" s="76"/>
      <c r="AK1620" s="76"/>
      <c r="AL1620" s="76"/>
      <c r="AM1620" s="76"/>
      <c r="AN1620" s="76"/>
      <c r="AO1620" s="76"/>
      <c r="AP1620" s="76"/>
      <c r="AQ1620" s="76"/>
      <c r="AR1620" s="76"/>
      <c r="AS1620" s="76"/>
      <c r="AT1620" s="76"/>
      <c r="AU1620" s="76"/>
      <c r="AV1620" s="76"/>
      <c r="AW1620" s="76"/>
      <c r="AX1620" s="76"/>
      <c r="AY1620" s="76"/>
      <c r="AZ1620" s="76"/>
      <c r="BA1620" s="76"/>
      <c r="BB1620" s="76"/>
    </row>
    <row r="1621" spans="5:54" x14ac:dyDescent="0.35">
      <c r="E1621" s="83"/>
      <c r="F1621" s="83"/>
      <c r="G1621" s="76"/>
      <c r="H1621" s="76"/>
      <c r="I1621" s="76"/>
      <c r="J1621" s="76"/>
      <c r="K1621" s="76"/>
      <c r="L1621" s="76"/>
      <c r="M1621" s="76"/>
      <c r="N1621" s="76"/>
      <c r="O1621" s="76"/>
      <c r="P1621" s="76"/>
      <c r="Q1621" s="76"/>
      <c r="R1621" s="76"/>
      <c r="S1621" s="76"/>
      <c r="T1621" s="76"/>
      <c r="U1621" s="76"/>
      <c r="V1621" s="76"/>
      <c r="W1621" s="76"/>
      <c r="X1621" s="76"/>
      <c r="Y1621" s="76"/>
      <c r="Z1621" s="76"/>
      <c r="AA1621" s="76"/>
      <c r="AB1621" s="76"/>
      <c r="AC1621" s="76"/>
      <c r="AD1621" s="76"/>
      <c r="AE1621" s="76"/>
      <c r="AF1621" s="76"/>
      <c r="AG1621" s="76"/>
      <c r="AH1621" s="76"/>
      <c r="AI1621" s="76"/>
      <c r="AJ1621" s="76"/>
      <c r="AK1621" s="76"/>
      <c r="AL1621" s="76"/>
      <c r="AM1621" s="76"/>
      <c r="AN1621" s="76"/>
      <c r="AO1621" s="76"/>
      <c r="AP1621" s="76"/>
      <c r="AQ1621" s="76"/>
      <c r="AR1621" s="76"/>
      <c r="AS1621" s="76"/>
      <c r="AT1621" s="76"/>
      <c r="AU1621" s="76"/>
      <c r="AV1621" s="76"/>
      <c r="AW1621" s="76"/>
      <c r="AX1621" s="76"/>
      <c r="AY1621" s="76"/>
      <c r="AZ1621" s="76"/>
      <c r="BA1621" s="76"/>
      <c r="BB1621" s="76"/>
    </row>
    <row r="1622" spans="5:54" x14ac:dyDescent="0.35">
      <c r="E1622" s="83"/>
      <c r="F1622" s="83"/>
      <c r="G1622" s="76"/>
      <c r="H1622" s="76"/>
      <c r="I1622" s="76"/>
      <c r="J1622" s="76"/>
      <c r="K1622" s="76"/>
      <c r="L1622" s="76"/>
      <c r="M1622" s="76"/>
      <c r="N1622" s="76"/>
      <c r="O1622" s="76"/>
      <c r="P1622" s="76"/>
      <c r="Q1622" s="76"/>
      <c r="R1622" s="76"/>
      <c r="S1622" s="76"/>
      <c r="T1622" s="76"/>
      <c r="U1622" s="76"/>
      <c r="V1622" s="76"/>
      <c r="W1622" s="76"/>
      <c r="X1622" s="76"/>
      <c r="Y1622" s="76"/>
      <c r="Z1622" s="76"/>
      <c r="AA1622" s="76"/>
      <c r="AB1622" s="76"/>
      <c r="AC1622" s="76"/>
      <c r="AD1622" s="76"/>
      <c r="AE1622" s="76"/>
      <c r="AF1622" s="76"/>
      <c r="AG1622" s="76"/>
      <c r="AH1622" s="76"/>
      <c r="AI1622" s="76"/>
      <c r="AJ1622" s="76"/>
      <c r="AK1622" s="76"/>
      <c r="AL1622" s="76"/>
      <c r="AM1622" s="76"/>
      <c r="AN1622" s="76"/>
      <c r="AO1622" s="76"/>
      <c r="AP1622" s="76"/>
      <c r="AQ1622" s="76"/>
      <c r="AR1622" s="76"/>
      <c r="AS1622" s="76"/>
      <c r="AT1622" s="76"/>
      <c r="AU1622" s="76"/>
      <c r="AV1622" s="76"/>
      <c r="AW1622" s="76"/>
      <c r="AX1622" s="76"/>
      <c r="AY1622" s="76"/>
      <c r="AZ1622" s="76"/>
      <c r="BA1622" s="76"/>
      <c r="BB1622" s="76"/>
    </row>
    <row r="1623" spans="5:54" x14ac:dyDescent="0.35">
      <c r="E1623" s="83"/>
      <c r="F1623" s="83"/>
      <c r="G1623" s="76"/>
      <c r="H1623" s="76"/>
      <c r="I1623" s="76"/>
      <c r="J1623" s="76"/>
      <c r="K1623" s="76"/>
      <c r="L1623" s="76"/>
      <c r="M1623" s="76"/>
      <c r="N1623" s="76"/>
      <c r="O1623" s="76"/>
      <c r="P1623" s="76"/>
      <c r="Q1623" s="76"/>
      <c r="R1623" s="76"/>
      <c r="S1623" s="76"/>
      <c r="T1623" s="76"/>
      <c r="U1623" s="76"/>
      <c r="V1623" s="76"/>
      <c r="W1623" s="76"/>
      <c r="X1623" s="76"/>
      <c r="Y1623" s="76"/>
      <c r="Z1623" s="76"/>
      <c r="AA1623" s="76"/>
      <c r="AB1623" s="76"/>
      <c r="AC1623" s="76"/>
      <c r="AD1623" s="76"/>
      <c r="AE1623" s="76"/>
      <c r="AF1623" s="76"/>
      <c r="AG1623" s="76"/>
      <c r="AH1623" s="76"/>
      <c r="AI1623" s="76"/>
      <c r="AJ1623" s="76"/>
      <c r="AK1623" s="76"/>
      <c r="AL1623" s="76"/>
      <c r="AM1623" s="76"/>
      <c r="AN1623" s="76"/>
      <c r="AO1623" s="76"/>
      <c r="AP1623" s="76"/>
      <c r="AQ1623" s="76"/>
      <c r="AR1623" s="76"/>
      <c r="AS1623" s="76"/>
      <c r="AT1623" s="76"/>
      <c r="AU1623" s="76"/>
      <c r="AV1623" s="76"/>
      <c r="AW1623" s="76"/>
      <c r="AX1623" s="76"/>
      <c r="AY1623" s="76"/>
      <c r="AZ1623" s="76"/>
      <c r="BA1623" s="76"/>
      <c r="BB1623" s="76"/>
    </row>
    <row r="1624" spans="5:54" x14ac:dyDescent="0.35">
      <c r="E1624" s="83"/>
      <c r="F1624" s="83"/>
      <c r="G1624" s="76"/>
      <c r="H1624" s="76"/>
      <c r="I1624" s="76"/>
      <c r="J1624" s="76"/>
      <c r="K1624" s="76"/>
      <c r="L1624" s="76"/>
      <c r="M1624" s="76"/>
      <c r="N1624" s="76"/>
      <c r="O1624" s="76"/>
      <c r="P1624" s="76"/>
      <c r="Q1624" s="76"/>
      <c r="R1624" s="76"/>
      <c r="S1624" s="76"/>
      <c r="T1624" s="76"/>
      <c r="U1624" s="76"/>
      <c r="V1624" s="76"/>
      <c r="W1624" s="76"/>
      <c r="X1624" s="76"/>
      <c r="Y1624" s="76"/>
      <c r="Z1624" s="76"/>
      <c r="AA1624" s="76"/>
      <c r="AB1624" s="76"/>
      <c r="AC1624" s="76"/>
      <c r="AD1624" s="76"/>
      <c r="AE1624" s="76"/>
      <c r="AF1624" s="76"/>
      <c r="AG1624" s="76"/>
      <c r="AH1624" s="76"/>
      <c r="AI1624" s="76"/>
      <c r="AJ1624" s="76"/>
      <c r="AK1624" s="76"/>
      <c r="AL1624" s="76"/>
      <c r="AM1624" s="76"/>
      <c r="AN1624" s="76"/>
      <c r="AO1624" s="76"/>
      <c r="AP1624" s="76"/>
      <c r="AQ1624" s="76"/>
      <c r="AR1624" s="76"/>
      <c r="AS1624" s="76"/>
      <c r="AT1624" s="76"/>
      <c r="AU1624" s="76"/>
      <c r="AV1624" s="76"/>
      <c r="AW1624" s="76"/>
      <c r="AX1624" s="76"/>
      <c r="AY1624" s="76"/>
      <c r="AZ1624" s="76"/>
      <c r="BA1624" s="76"/>
      <c r="BB1624" s="76"/>
    </row>
    <row r="1625" spans="5:54" x14ac:dyDescent="0.35">
      <c r="E1625" s="83"/>
      <c r="F1625" s="83"/>
      <c r="G1625" s="76"/>
      <c r="H1625" s="76"/>
      <c r="I1625" s="76"/>
      <c r="J1625" s="76"/>
      <c r="K1625" s="76"/>
      <c r="L1625" s="76"/>
      <c r="M1625" s="76"/>
      <c r="N1625" s="76"/>
      <c r="O1625" s="76"/>
      <c r="P1625" s="76"/>
      <c r="Q1625" s="76"/>
      <c r="R1625" s="76"/>
      <c r="S1625" s="76"/>
      <c r="T1625" s="76"/>
      <c r="U1625" s="76"/>
      <c r="V1625" s="76"/>
      <c r="W1625" s="76"/>
      <c r="X1625" s="76"/>
      <c r="Y1625" s="76"/>
      <c r="Z1625" s="76"/>
      <c r="AA1625" s="76"/>
      <c r="AB1625" s="76"/>
      <c r="AC1625" s="76"/>
      <c r="AD1625" s="76"/>
      <c r="AE1625" s="76"/>
      <c r="AF1625" s="76"/>
      <c r="AG1625" s="76"/>
      <c r="AH1625" s="76"/>
      <c r="AI1625" s="76"/>
      <c r="AJ1625" s="76"/>
      <c r="AK1625" s="76"/>
      <c r="AL1625" s="76"/>
      <c r="AM1625" s="76"/>
      <c r="AN1625" s="76"/>
      <c r="AO1625" s="76"/>
      <c r="AP1625" s="76"/>
      <c r="AQ1625" s="76"/>
      <c r="AR1625" s="76"/>
      <c r="AS1625" s="76"/>
      <c r="AT1625" s="76"/>
      <c r="AU1625" s="76"/>
      <c r="AV1625" s="76"/>
      <c r="AW1625" s="76"/>
      <c r="AX1625" s="76"/>
      <c r="AY1625" s="76"/>
      <c r="AZ1625" s="76"/>
      <c r="BA1625" s="76"/>
      <c r="BB1625" s="76"/>
    </row>
    <row r="1626" spans="5:54" x14ac:dyDescent="0.35">
      <c r="E1626" s="83"/>
      <c r="F1626" s="83"/>
      <c r="G1626" s="76"/>
      <c r="H1626" s="76"/>
      <c r="I1626" s="76"/>
      <c r="J1626" s="76"/>
      <c r="K1626" s="76"/>
      <c r="L1626" s="76"/>
      <c r="M1626" s="76"/>
      <c r="N1626" s="76"/>
      <c r="O1626" s="76"/>
      <c r="P1626" s="76"/>
      <c r="Q1626" s="76"/>
      <c r="R1626" s="76"/>
      <c r="S1626" s="76"/>
      <c r="T1626" s="76"/>
      <c r="U1626" s="76"/>
      <c r="V1626" s="76"/>
      <c r="W1626" s="76"/>
      <c r="X1626" s="76"/>
      <c r="Y1626" s="76"/>
      <c r="Z1626" s="76"/>
      <c r="AA1626" s="76"/>
      <c r="AB1626" s="76"/>
      <c r="AC1626" s="76"/>
      <c r="AD1626" s="76"/>
      <c r="AE1626" s="76"/>
      <c r="AF1626" s="76"/>
      <c r="AG1626" s="76"/>
      <c r="AH1626" s="76"/>
      <c r="AI1626" s="76"/>
      <c r="AJ1626" s="76"/>
      <c r="AK1626" s="76"/>
      <c r="AL1626" s="76"/>
      <c r="AM1626" s="76"/>
      <c r="AN1626" s="76"/>
      <c r="AO1626" s="76"/>
      <c r="AP1626" s="76"/>
      <c r="AQ1626" s="76"/>
      <c r="AR1626" s="76"/>
      <c r="AS1626" s="76"/>
      <c r="AT1626" s="76"/>
      <c r="AU1626" s="76"/>
      <c r="AV1626" s="76"/>
      <c r="AW1626" s="76"/>
      <c r="AX1626" s="76"/>
      <c r="AY1626" s="76"/>
      <c r="AZ1626" s="76"/>
      <c r="BA1626" s="76"/>
      <c r="BB1626" s="76"/>
    </row>
    <row r="1627" spans="5:54" x14ac:dyDescent="0.35">
      <c r="E1627" s="83"/>
      <c r="F1627" s="83"/>
      <c r="G1627" s="76"/>
      <c r="H1627" s="76"/>
      <c r="I1627" s="76"/>
      <c r="J1627" s="76"/>
      <c r="K1627" s="76"/>
      <c r="L1627" s="76"/>
      <c r="M1627" s="76"/>
      <c r="N1627" s="76"/>
      <c r="O1627" s="76"/>
      <c r="P1627" s="76"/>
      <c r="Q1627" s="76"/>
      <c r="R1627" s="76"/>
      <c r="S1627" s="76"/>
      <c r="T1627" s="76"/>
      <c r="U1627" s="76"/>
      <c r="V1627" s="76"/>
      <c r="W1627" s="76"/>
      <c r="X1627" s="76"/>
      <c r="Y1627" s="76"/>
      <c r="Z1627" s="76"/>
      <c r="AA1627" s="76"/>
      <c r="AB1627" s="76"/>
      <c r="AC1627" s="76"/>
      <c r="AD1627" s="76"/>
      <c r="AE1627" s="76"/>
      <c r="AF1627" s="76"/>
      <c r="AG1627" s="76"/>
      <c r="AH1627" s="76"/>
      <c r="AI1627" s="76"/>
      <c r="AJ1627" s="76"/>
      <c r="AK1627" s="76"/>
      <c r="AL1627" s="76"/>
      <c r="AM1627" s="76"/>
      <c r="AN1627" s="76"/>
      <c r="AO1627" s="76"/>
      <c r="AP1627" s="76"/>
      <c r="AQ1627" s="76"/>
      <c r="AR1627" s="76"/>
      <c r="AS1627" s="76"/>
      <c r="AT1627" s="76"/>
      <c r="AU1627" s="76"/>
      <c r="AV1627" s="76"/>
      <c r="AW1627" s="76"/>
      <c r="AX1627" s="76"/>
      <c r="AY1627" s="76"/>
      <c r="AZ1627" s="76"/>
      <c r="BA1627" s="76"/>
      <c r="BB1627" s="76"/>
    </row>
    <row r="1628" spans="5:54" x14ac:dyDescent="0.35">
      <c r="E1628" s="83"/>
      <c r="F1628" s="83"/>
      <c r="G1628" s="76"/>
      <c r="H1628" s="76"/>
      <c r="I1628" s="76"/>
      <c r="J1628" s="76"/>
      <c r="K1628" s="76"/>
      <c r="L1628" s="76"/>
      <c r="M1628" s="76"/>
      <c r="N1628" s="76"/>
      <c r="O1628" s="76"/>
      <c r="P1628" s="76"/>
      <c r="Q1628" s="76"/>
      <c r="R1628" s="76"/>
      <c r="S1628" s="76"/>
      <c r="T1628" s="76"/>
      <c r="U1628" s="76"/>
      <c r="V1628" s="76"/>
      <c r="W1628" s="76"/>
      <c r="X1628" s="76"/>
      <c r="Y1628" s="76"/>
      <c r="Z1628" s="76"/>
      <c r="AA1628" s="76"/>
      <c r="AB1628" s="76"/>
      <c r="AC1628" s="76"/>
      <c r="AD1628" s="76"/>
      <c r="AE1628" s="76"/>
      <c r="AF1628" s="76"/>
      <c r="AG1628" s="76"/>
      <c r="AH1628" s="76"/>
      <c r="AI1628" s="76"/>
      <c r="AJ1628" s="76"/>
      <c r="AK1628" s="76"/>
      <c r="AL1628" s="76"/>
      <c r="AM1628" s="76"/>
      <c r="AN1628" s="76"/>
      <c r="AO1628" s="76"/>
      <c r="AP1628" s="76"/>
      <c r="AQ1628" s="76"/>
      <c r="AR1628" s="76"/>
      <c r="AS1628" s="76"/>
      <c r="AT1628" s="76"/>
      <c r="AU1628" s="76"/>
      <c r="AV1628" s="76"/>
      <c r="AW1628" s="76"/>
      <c r="AX1628" s="76"/>
      <c r="AY1628" s="76"/>
      <c r="AZ1628" s="76"/>
      <c r="BA1628" s="76"/>
      <c r="BB1628" s="76"/>
    </row>
    <row r="1629" spans="5:54" x14ac:dyDescent="0.35">
      <c r="E1629" s="83"/>
      <c r="F1629" s="83"/>
      <c r="G1629" s="76"/>
      <c r="H1629" s="76"/>
      <c r="I1629" s="76"/>
      <c r="J1629" s="76"/>
      <c r="K1629" s="76"/>
      <c r="L1629" s="76"/>
      <c r="M1629" s="76"/>
      <c r="N1629" s="76"/>
      <c r="O1629" s="76"/>
      <c r="P1629" s="76"/>
      <c r="Q1629" s="76"/>
      <c r="R1629" s="76"/>
      <c r="S1629" s="76"/>
      <c r="T1629" s="76"/>
      <c r="U1629" s="76"/>
      <c r="V1629" s="76"/>
      <c r="W1629" s="76"/>
      <c r="X1629" s="76"/>
      <c r="Y1629" s="76"/>
      <c r="Z1629" s="76"/>
      <c r="AA1629" s="76"/>
      <c r="AB1629" s="76"/>
      <c r="AC1629" s="76"/>
      <c r="AD1629" s="76"/>
      <c r="AE1629" s="76"/>
      <c r="AF1629" s="76"/>
      <c r="AG1629" s="76"/>
      <c r="AH1629" s="76"/>
      <c r="AI1629" s="76"/>
      <c r="AJ1629" s="76"/>
      <c r="AK1629" s="76"/>
      <c r="AL1629" s="76"/>
      <c r="AM1629" s="76"/>
      <c r="AN1629" s="76"/>
      <c r="AO1629" s="76"/>
      <c r="AP1629" s="76"/>
      <c r="AQ1629" s="76"/>
      <c r="AR1629" s="76"/>
      <c r="AS1629" s="76"/>
      <c r="AT1629" s="76"/>
      <c r="AU1629" s="76"/>
      <c r="AV1629" s="76"/>
      <c r="AW1629" s="76"/>
      <c r="AX1629" s="76"/>
      <c r="AY1629" s="76"/>
      <c r="AZ1629" s="76"/>
      <c r="BA1629" s="76"/>
      <c r="BB1629" s="76"/>
    </row>
    <row r="1630" spans="5:54" x14ac:dyDescent="0.35">
      <c r="E1630" s="83"/>
      <c r="F1630" s="83"/>
      <c r="G1630" s="76"/>
      <c r="H1630" s="76"/>
      <c r="I1630" s="76"/>
      <c r="J1630" s="76"/>
      <c r="K1630" s="76"/>
      <c r="L1630" s="76"/>
      <c r="M1630" s="76"/>
      <c r="N1630" s="76"/>
      <c r="O1630" s="76"/>
      <c r="P1630" s="76"/>
      <c r="Q1630" s="76"/>
      <c r="R1630" s="76"/>
      <c r="S1630" s="76"/>
      <c r="T1630" s="76"/>
      <c r="U1630" s="76"/>
      <c r="V1630" s="76"/>
      <c r="W1630" s="76"/>
      <c r="X1630" s="76"/>
      <c r="Y1630" s="76"/>
      <c r="Z1630" s="76"/>
      <c r="AA1630" s="76"/>
      <c r="AB1630" s="76"/>
      <c r="AC1630" s="76"/>
      <c r="AD1630" s="76"/>
      <c r="AE1630" s="76"/>
      <c r="AF1630" s="76"/>
      <c r="AG1630" s="76"/>
      <c r="AH1630" s="76"/>
      <c r="AI1630" s="76"/>
      <c r="AJ1630" s="76"/>
      <c r="AK1630" s="76"/>
      <c r="AL1630" s="76"/>
      <c r="AM1630" s="76"/>
      <c r="AN1630" s="76"/>
      <c r="AO1630" s="76"/>
      <c r="AP1630" s="76"/>
      <c r="AQ1630" s="76"/>
      <c r="AR1630" s="76"/>
      <c r="AS1630" s="76"/>
      <c r="AT1630" s="76"/>
      <c r="AU1630" s="76"/>
      <c r="AV1630" s="76"/>
      <c r="AW1630" s="76"/>
      <c r="AX1630" s="76"/>
      <c r="AY1630" s="76"/>
      <c r="AZ1630" s="76"/>
      <c r="BA1630" s="76"/>
      <c r="BB1630" s="76"/>
    </row>
    <row r="1631" spans="5:54" x14ac:dyDescent="0.35">
      <c r="E1631" s="83"/>
      <c r="F1631" s="83"/>
      <c r="G1631" s="76"/>
      <c r="H1631" s="76"/>
      <c r="I1631" s="76"/>
      <c r="J1631" s="76"/>
      <c r="K1631" s="76"/>
      <c r="L1631" s="76"/>
      <c r="M1631" s="76"/>
      <c r="N1631" s="76"/>
      <c r="O1631" s="76"/>
      <c r="P1631" s="76"/>
      <c r="Q1631" s="76"/>
      <c r="R1631" s="76"/>
      <c r="S1631" s="76"/>
      <c r="T1631" s="76"/>
      <c r="U1631" s="76"/>
      <c r="V1631" s="76"/>
      <c r="W1631" s="76"/>
      <c r="X1631" s="76"/>
      <c r="Y1631" s="76"/>
      <c r="Z1631" s="76"/>
      <c r="AA1631" s="76"/>
      <c r="AB1631" s="76"/>
      <c r="AC1631" s="76"/>
      <c r="AD1631" s="76"/>
      <c r="AE1631" s="76"/>
      <c r="AF1631" s="76"/>
      <c r="AG1631" s="76"/>
      <c r="AH1631" s="76"/>
      <c r="AI1631" s="76"/>
      <c r="AJ1631" s="76"/>
      <c r="AK1631" s="76"/>
      <c r="AL1631" s="76"/>
      <c r="AM1631" s="76"/>
      <c r="AN1631" s="76"/>
      <c r="AO1631" s="76"/>
      <c r="AP1631" s="76"/>
      <c r="AQ1631" s="76"/>
      <c r="AR1631" s="76"/>
      <c r="AS1631" s="76"/>
      <c r="AT1631" s="76"/>
      <c r="AU1631" s="76"/>
      <c r="AV1631" s="76"/>
      <c r="AW1631" s="76"/>
      <c r="AX1631" s="76"/>
      <c r="AY1631" s="76"/>
      <c r="AZ1631" s="76"/>
      <c r="BA1631" s="76"/>
      <c r="BB1631" s="76"/>
    </row>
    <row r="1632" spans="5:54" x14ac:dyDescent="0.35">
      <c r="E1632" s="83"/>
      <c r="F1632" s="83"/>
      <c r="G1632" s="76"/>
      <c r="H1632" s="76"/>
      <c r="I1632" s="76"/>
      <c r="J1632" s="76"/>
      <c r="K1632" s="76"/>
      <c r="L1632" s="76"/>
      <c r="M1632" s="76"/>
      <c r="N1632" s="76"/>
      <c r="O1632" s="76"/>
      <c r="P1632" s="76"/>
      <c r="Q1632" s="76"/>
      <c r="R1632" s="76"/>
      <c r="S1632" s="76"/>
      <c r="T1632" s="76"/>
      <c r="U1632" s="76"/>
      <c r="V1632" s="76"/>
      <c r="W1632" s="76"/>
      <c r="X1632" s="76"/>
      <c r="Y1632" s="76"/>
      <c r="Z1632" s="76"/>
      <c r="AA1632" s="76"/>
      <c r="AB1632" s="76"/>
      <c r="AC1632" s="76"/>
      <c r="AD1632" s="76"/>
      <c r="AE1632" s="76"/>
      <c r="AF1632" s="76"/>
      <c r="AG1632" s="76"/>
      <c r="AH1632" s="76"/>
      <c r="AI1632" s="76"/>
      <c r="AJ1632" s="76"/>
      <c r="AK1632" s="76"/>
      <c r="AL1632" s="76"/>
      <c r="AM1632" s="76"/>
      <c r="AN1632" s="76"/>
      <c r="AO1632" s="76"/>
      <c r="AP1632" s="76"/>
      <c r="AQ1632" s="76"/>
      <c r="AR1632" s="76"/>
      <c r="AS1632" s="76"/>
      <c r="AT1632" s="76"/>
      <c r="AU1632" s="76"/>
      <c r="AV1632" s="76"/>
      <c r="AW1632" s="76"/>
      <c r="AX1632" s="76"/>
      <c r="AY1632" s="76"/>
      <c r="AZ1632" s="76"/>
      <c r="BA1632" s="76"/>
      <c r="BB1632" s="76"/>
    </row>
    <row r="1633" spans="5:54" x14ac:dyDescent="0.35">
      <c r="E1633" s="83"/>
      <c r="F1633" s="83"/>
      <c r="G1633" s="76"/>
      <c r="H1633" s="76"/>
      <c r="I1633" s="76"/>
      <c r="J1633" s="76"/>
      <c r="K1633" s="76"/>
      <c r="L1633" s="76"/>
      <c r="M1633" s="76"/>
      <c r="N1633" s="76"/>
      <c r="O1633" s="76"/>
      <c r="P1633" s="76"/>
      <c r="Q1633" s="76"/>
      <c r="R1633" s="76"/>
      <c r="S1633" s="76"/>
      <c r="T1633" s="76"/>
      <c r="U1633" s="76"/>
      <c r="V1633" s="76"/>
      <c r="W1633" s="76"/>
      <c r="X1633" s="76"/>
      <c r="Y1633" s="76"/>
      <c r="Z1633" s="76"/>
      <c r="AA1633" s="76"/>
      <c r="AB1633" s="76"/>
      <c r="AC1633" s="76"/>
      <c r="AD1633" s="76"/>
      <c r="AE1633" s="76"/>
      <c r="AF1633" s="76"/>
      <c r="AG1633" s="76"/>
      <c r="AH1633" s="76"/>
      <c r="AI1633" s="76"/>
      <c r="AJ1633" s="76"/>
      <c r="AK1633" s="76"/>
      <c r="AL1633" s="76"/>
      <c r="AM1633" s="76"/>
      <c r="AN1633" s="76"/>
      <c r="AO1633" s="76"/>
      <c r="AP1633" s="76"/>
      <c r="AQ1633" s="76"/>
      <c r="AR1633" s="76"/>
      <c r="AS1633" s="76"/>
      <c r="AT1633" s="76"/>
      <c r="AU1633" s="76"/>
      <c r="AV1633" s="76"/>
      <c r="AW1633" s="76"/>
      <c r="AX1633" s="76"/>
      <c r="AY1633" s="76"/>
      <c r="AZ1633" s="76"/>
      <c r="BA1633" s="76"/>
      <c r="BB1633" s="76"/>
    </row>
    <row r="1634" spans="5:54" x14ac:dyDescent="0.35">
      <c r="E1634" s="83"/>
      <c r="F1634" s="83"/>
      <c r="G1634" s="76"/>
      <c r="H1634" s="76"/>
      <c r="I1634" s="76"/>
      <c r="J1634" s="76"/>
      <c r="K1634" s="76"/>
      <c r="L1634" s="76"/>
      <c r="M1634" s="76"/>
      <c r="N1634" s="76"/>
      <c r="O1634" s="76"/>
      <c r="P1634" s="76"/>
      <c r="Q1634" s="76"/>
      <c r="R1634" s="76"/>
      <c r="S1634" s="76"/>
      <c r="T1634" s="76"/>
      <c r="U1634" s="76"/>
      <c r="V1634" s="76"/>
      <c r="W1634" s="76"/>
      <c r="X1634" s="76"/>
      <c r="Y1634" s="76"/>
      <c r="Z1634" s="76"/>
      <c r="AA1634" s="76"/>
      <c r="AB1634" s="76"/>
      <c r="AC1634" s="76"/>
      <c r="AD1634" s="76"/>
      <c r="AE1634" s="76"/>
      <c r="AF1634" s="76"/>
      <c r="AG1634" s="76"/>
      <c r="AH1634" s="76"/>
      <c r="AI1634" s="76"/>
      <c r="AJ1634" s="76"/>
      <c r="AK1634" s="76"/>
      <c r="AL1634" s="76"/>
      <c r="AM1634" s="76"/>
      <c r="AN1634" s="76"/>
      <c r="AO1634" s="76"/>
      <c r="AP1634" s="76"/>
      <c r="AQ1634" s="76"/>
      <c r="AR1634" s="76"/>
      <c r="AS1634" s="76"/>
      <c r="AT1634" s="76"/>
      <c r="AU1634" s="76"/>
      <c r="AV1634" s="76"/>
      <c r="AW1634" s="76"/>
      <c r="AX1634" s="76"/>
      <c r="AY1634" s="76"/>
      <c r="AZ1634" s="76"/>
      <c r="BA1634" s="76"/>
      <c r="BB1634" s="76"/>
    </row>
    <row r="1635" spans="5:54" x14ac:dyDescent="0.35">
      <c r="E1635" s="83"/>
      <c r="F1635" s="83"/>
      <c r="G1635" s="76"/>
      <c r="H1635" s="76"/>
      <c r="I1635" s="76"/>
      <c r="J1635" s="76"/>
      <c r="K1635" s="76"/>
      <c r="L1635" s="76"/>
      <c r="M1635" s="76"/>
      <c r="N1635" s="76"/>
      <c r="O1635" s="76"/>
      <c r="P1635" s="76"/>
      <c r="Q1635" s="76"/>
      <c r="R1635" s="76"/>
      <c r="S1635" s="76"/>
      <c r="T1635" s="76"/>
      <c r="U1635" s="76"/>
      <c r="V1635" s="76"/>
      <c r="W1635" s="76"/>
      <c r="X1635" s="76"/>
      <c r="Y1635" s="76"/>
      <c r="Z1635" s="76"/>
      <c r="AA1635" s="76"/>
      <c r="AB1635" s="76"/>
      <c r="AC1635" s="76"/>
      <c r="AD1635" s="76"/>
      <c r="AE1635" s="76"/>
      <c r="AF1635" s="76"/>
      <c r="AG1635" s="76"/>
      <c r="AH1635" s="76"/>
      <c r="AI1635" s="76"/>
      <c r="AJ1635" s="76"/>
      <c r="AK1635" s="76"/>
      <c r="AL1635" s="76"/>
      <c r="AM1635" s="76"/>
      <c r="AN1635" s="76"/>
      <c r="AO1635" s="76"/>
      <c r="AP1635" s="76"/>
      <c r="AQ1635" s="76"/>
      <c r="AR1635" s="76"/>
      <c r="AS1635" s="76"/>
      <c r="AT1635" s="76"/>
      <c r="AU1635" s="76"/>
      <c r="AV1635" s="76"/>
      <c r="AW1635" s="76"/>
      <c r="AX1635" s="76"/>
      <c r="AY1635" s="76"/>
      <c r="AZ1635" s="76"/>
      <c r="BA1635" s="76"/>
      <c r="BB1635" s="76"/>
    </row>
    <row r="1636" spans="5:54" x14ac:dyDescent="0.35">
      <c r="E1636" s="83"/>
      <c r="F1636" s="83"/>
      <c r="G1636" s="76"/>
      <c r="H1636" s="76"/>
      <c r="I1636" s="76"/>
      <c r="J1636" s="76"/>
      <c r="K1636" s="76"/>
      <c r="L1636" s="76"/>
      <c r="M1636" s="76"/>
      <c r="N1636" s="76"/>
      <c r="O1636" s="76"/>
      <c r="P1636" s="76"/>
      <c r="Q1636" s="76"/>
      <c r="R1636" s="76"/>
      <c r="S1636" s="76"/>
      <c r="T1636" s="76"/>
      <c r="U1636" s="76"/>
      <c r="V1636" s="76"/>
      <c r="W1636" s="76"/>
      <c r="X1636" s="76"/>
      <c r="Y1636" s="76"/>
      <c r="Z1636" s="76"/>
      <c r="AA1636" s="76"/>
      <c r="AB1636" s="76"/>
      <c r="AC1636" s="76"/>
      <c r="AD1636" s="76"/>
      <c r="AE1636" s="76"/>
      <c r="AF1636" s="76"/>
      <c r="AG1636" s="76"/>
      <c r="AH1636" s="76"/>
      <c r="AI1636" s="76"/>
      <c r="AJ1636" s="76"/>
      <c r="AK1636" s="76"/>
      <c r="AL1636" s="76"/>
      <c r="AM1636" s="76"/>
      <c r="AN1636" s="76"/>
      <c r="AO1636" s="76"/>
      <c r="AP1636" s="76"/>
      <c r="AQ1636" s="76"/>
      <c r="AR1636" s="76"/>
      <c r="AS1636" s="76"/>
      <c r="AT1636" s="76"/>
      <c r="AU1636" s="76"/>
      <c r="AV1636" s="76"/>
      <c r="AW1636" s="76"/>
      <c r="AX1636" s="76"/>
      <c r="AY1636" s="76"/>
      <c r="AZ1636" s="76"/>
      <c r="BA1636" s="76"/>
      <c r="BB1636" s="76"/>
    </row>
    <row r="1637" spans="5:54" x14ac:dyDescent="0.35">
      <c r="E1637" s="83"/>
      <c r="F1637" s="83"/>
      <c r="G1637" s="76"/>
      <c r="H1637" s="76"/>
      <c r="I1637" s="76"/>
      <c r="J1637" s="76"/>
      <c r="K1637" s="76"/>
      <c r="L1637" s="76"/>
      <c r="M1637" s="76"/>
      <c r="N1637" s="76"/>
      <c r="O1637" s="76"/>
      <c r="P1637" s="76"/>
      <c r="Q1637" s="76"/>
      <c r="R1637" s="76"/>
      <c r="S1637" s="76"/>
      <c r="T1637" s="76"/>
      <c r="U1637" s="76"/>
      <c r="V1637" s="76"/>
      <c r="W1637" s="76"/>
      <c r="X1637" s="76"/>
      <c r="Y1637" s="76"/>
      <c r="Z1637" s="76"/>
      <c r="AA1637" s="76"/>
      <c r="AB1637" s="76"/>
      <c r="AC1637" s="76"/>
      <c r="AD1637" s="76"/>
      <c r="AE1637" s="76"/>
      <c r="AF1637" s="76"/>
      <c r="AG1637" s="76"/>
      <c r="AH1637" s="76"/>
      <c r="AI1637" s="76"/>
      <c r="AJ1637" s="76"/>
      <c r="AK1637" s="76"/>
      <c r="AL1637" s="76"/>
      <c r="AM1637" s="76"/>
      <c r="AN1637" s="76"/>
      <c r="AO1637" s="76"/>
      <c r="AP1637" s="76"/>
      <c r="AQ1637" s="76"/>
      <c r="AR1637" s="76"/>
      <c r="AS1637" s="76"/>
      <c r="AT1637" s="76"/>
      <c r="AU1637" s="76"/>
      <c r="AV1637" s="76"/>
      <c r="AW1637" s="76"/>
      <c r="AX1637" s="76"/>
      <c r="AY1637" s="76"/>
      <c r="AZ1637" s="76"/>
      <c r="BA1637" s="76"/>
      <c r="BB1637" s="76"/>
    </row>
    <row r="1638" spans="5:54" x14ac:dyDescent="0.35">
      <c r="E1638" s="83"/>
      <c r="F1638" s="83"/>
      <c r="G1638" s="76"/>
      <c r="H1638" s="76"/>
      <c r="I1638" s="76"/>
      <c r="J1638" s="76"/>
      <c r="K1638" s="76"/>
      <c r="L1638" s="76"/>
      <c r="M1638" s="76"/>
      <c r="N1638" s="76"/>
      <c r="O1638" s="76"/>
      <c r="P1638" s="76"/>
      <c r="Q1638" s="76"/>
      <c r="R1638" s="76"/>
      <c r="S1638" s="76"/>
      <c r="T1638" s="76"/>
      <c r="U1638" s="76"/>
      <c r="V1638" s="76"/>
      <c r="W1638" s="76"/>
      <c r="X1638" s="76"/>
      <c r="Y1638" s="76"/>
      <c r="Z1638" s="76"/>
      <c r="AA1638" s="76"/>
      <c r="AB1638" s="76"/>
      <c r="AC1638" s="76"/>
      <c r="AD1638" s="76"/>
      <c r="AE1638" s="76"/>
      <c r="AF1638" s="76"/>
      <c r="AG1638" s="76"/>
      <c r="AH1638" s="76"/>
      <c r="AI1638" s="76"/>
      <c r="AJ1638" s="76"/>
      <c r="AK1638" s="76"/>
      <c r="AL1638" s="76"/>
      <c r="AM1638" s="76"/>
      <c r="AN1638" s="76"/>
      <c r="AO1638" s="76"/>
      <c r="AP1638" s="76"/>
      <c r="AQ1638" s="76"/>
      <c r="AR1638" s="76"/>
      <c r="AS1638" s="76"/>
      <c r="AT1638" s="76"/>
      <c r="AU1638" s="76"/>
      <c r="AV1638" s="76"/>
      <c r="AW1638" s="76"/>
      <c r="AX1638" s="76"/>
      <c r="AY1638" s="76"/>
      <c r="AZ1638" s="76"/>
      <c r="BA1638" s="76"/>
      <c r="BB1638" s="76"/>
    </row>
    <row r="1639" spans="5:54" x14ac:dyDescent="0.35">
      <c r="E1639" s="83"/>
      <c r="F1639" s="83"/>
      <c r="G1639" s="76"/>
      <c r="H1639" s="76"/>
      <c r="I1639" s="76"/>
      <c r="J1639" s="76"/>
      <c r="K1639" s="76"/>
      <c r="L1639" s="76"/>
      <c r="M1639" s="76"/>
      <c r="N1639" s="76"/>
      <c r="O1639" s="76"/>
      <c r="P1639" s="76"/>
      <c r="Q1639" s="76"/>
      <c r="R1639" s="76"/>
      <c r="S1639" s="76"/>
      <c r="T1639" s="76"/>
      <c r="U1639" s="76"/>
      <c r="V1639" s="76"/>
      <c r="W1639" s="76"/>
      <c r="X1639" s="76"/>
      <c r="Y1639" s="76"/>
      <c r="Z1639" s="76"/>
      <c r="AA1639" s="76"/>
      <c r="AB1639" s="76"/>
      <c r="AC1639" s="76"/>
      <c r="AD1639" s="76"/>
      <c r="AE1639" s="76"/>
      <c r="AF1639" s="76"/>
      <c r="AG1639" s="76"/>
      <c r="AH1639" s="76"/>
      <c r="AI1639" s="76"/>
      <c r="AJ1639" s="76"/>
      <c r="AK1639" s="76"/>
      <c r="AL1639" s="76"/>
      <c r="AM1639" s="76"/>
      <c r="AN1639" s="76"/>
      <c r="AO1639" s="76"/>
      <c r="AP1639" s="76"/>
      <c r="AQ1639" s="76"/>
      <c r="AR1639" s="76"/>
      <c r="AS1639" s="76"/>
      <c r="AT1639" s="76"/>
      <c r="AU1639" s="76"/>
      <c r="AV1639" s="76"/>
      <c r="AW1639" s="76"/>
      <c r="AX1639" s="76"/>
      <c r="AY1639" s="76"/>
      <c r="AZ1639" s="76"/>
      <c r="BA1639" s="76"/>
      <c r="BB1639" s="76"/>
    </row>
    <row r="1640" spans="5:54" x14ac:dyDescent="0.35">
      <c r="E1640" s="83"/>
      <c r="F1640" s="83"/>
      <c r="G1640" s="76"/>
      <c r="H1640" s="76"/>
      <c r="I1640" s="76"/>
      <c r="J1640" s="76"/>
      <c r="K1640" s="76"/>
      <c r="L1640" s="76"/>
      <c r="M1640" s="76"/>
      <c r="N1640" s="76"/>
      <c r="O1640" s="76"/>
      <c r="P1640" s="76"/>
      <c r="Q1640" s="76"/>
      <c r="R1640" s="76"/>
      <c r="S1640" s="76"/>
      <c r="T1640" s="76"/>
      <c r="U1640" s="76"/>
      <c r="V1640" s="76"/>
      <c r="W1640" s="76"/>
      <c r="X1640" s="76"/>
      <c r="Y1640" s="76"/>
      <c r="Z1640" s="76"/>
      <c r="AA1640" s="76"/>
      <c r="AB1640" s="76"/>
      <c r="AC1640" s="76"/>
      <c r="AD1640" s="76"/>
      <c r="AE1640" s="76"/>
      <c r="AF1640" s="76"/>
      <c r="AG1640" s="76"/>
      <c r="AH1640" s="76"/>
      <c r="AI1640" s="76"/>
      <c r="AJ1640" s="76"/>
      <c r="AK1640" s="76"/>
      <c r="AL1640" s="76"/>
      <c r="AM1640" s="76"/>
      <c r="AN1640" s="76"/>
      <c r="AO1640" s="76"/>
      <c r="AP1640" s="76"/>
      <c r="AQ1640" s="76"/>
      <c r="AR1640" s="76"/>
      <c r="AS1640" s="76"/>
      <c r="AT1640" s="76"/>
      <c r="AU1640" s="76"/>
      <c r="AV1640" s="76"/>
      <c r="AW1640" s="76"/>
      <c r="AX1640" s="76"/>
      <c r="AY1640" s="76"/>
      <c r="AZ1640" s="76"/>
      <c r="BA1640" s="76"/>
      <c r="BB1640" s="76"/>
    </row>
    <row r="1641" spans="5:54" x14ac:dyDescent="0.35">
      <c r="E1641" s="83"/>
      <c r="F1641" s="83"/>
      <c r="G1641" s="76"/>
      <c r="H1641" s="76"/>
      <c r="I1641" s="76"/>
      <c r="J1641" s="76"/>
      <c r="K1641" s="76"/>
      <c r="L1641" s="76"/>
      <c r="M1641" s="76"/>
      <c r="N1641" s="76"/>
      <c r="O1641" s="76"/>
      <c r="P1641" s="76"/>
      <c r="Q1641" s="76"/>
      <c r="R1641" s="76"/>
      <c r="S1641" s="76"/>
      <c r="T1641" s="76"/>
      <c r="U1641" s="76"/>
      <c r="V1641" s="76"/>
      <c r="W1641" s="76"/>
      <c r="X1641" s="76"/>
      <c r="Y1641" s="76"/>
      <c r="Z1641" s="76"/>
      <c r="AA1641" s="76"/>
      <c r="AB1641" s="76"/>
      <c r="AC1641" s="76"/>
      <c r="AD1641" s="76"/>
      <c r="AE1641" s="76"/>
      <c r="AF1641" s="76"/>
      <c r="AG1641" s="76"/>
      <c r="AH1641" s="76"/>
      <c r="AI1641" s="76"/>
      <c r="AJ1641" s="76"/>
      <c r="AK1641" s="76"/>
      <c r="AL1641" s="76"/>
      <c r="AM1641" s="76"/>
      <c r="AN1641" s="76"/>
      <c r="AO1641" s="76"/>
      <c r="AP1641" s="76"/>
      <c r="AQ1641" s="76"/>
      <c r="AR1641" s="76"/>
      <c r="AS1641" s="76"/>
      <c r="AT1641" s="76"/>
      <c r="AU1641" s="76"/>
      <c r="AV1641" s="76"/>
      <c r="AW1641" s="76"/>
      <c r="AX1641" s="76"/>
      <c r="AY1641" s="76"/>
      <c r="AZ1641" s="76"/>
      <c r="BA1641" s="76"/>
      <c r="BB1641" s="76"/>
    </row>
    <row r="1642" spans="5:54" x14ac:dyDescent="0.35">
      <c r="E1642" s="83"/>
      <c r="F1642" s="83"/>
      <c r="G1642" s="76"/>
      <c r="H1642" s="76"/>
      <c r="I1642" s="76"/>
      <c r="J1642" s="76"/>
      <c r="K1642" s="76"/>
      <c r="L1642" s="76"/>
      <c r="M1642" s="76"/>
      <c r="N1642" s="76"/>
      <c r="O1642" s="76"/>
      <c r="P1642" s="76"/>
      <c r="Q1642" s="76"/>
      <c r="R1642" s="76"/>
      <c r="S1642" s="76"/>
      <c r="T1642" s="76"/>
      <c r="U1642" s="76"/>
      <c r="V1642" s="76"/>
      <c r="W1642" s="76"/>
      <c r="X1642" s="76"/>
      <c r="Y1642" s="76"/>
      <c r="Z1642" s="76"/>
      <c r="AA1642" s="76"/>
      <c r="AB1642" s="76"/>
      <c r="AC1642" s="76"/>
      <c r="AD1642" s="76"/>
      <c r="AE1642" s="76"/>
      <c r="AF1642" s="76"/>
      <c r="AG1642" s="76"/>
      <c r="AH1642" s="76"/>
      <c r="AI1642" s="76"/>
      <c r="AJ1642" s="76"/>
      <c r="AK1642" s="76"/>
      <c r="AL1642" s="76"/>
      <c r="AM1642" s="76"/>
      <c r="AN1642" s="76"/>
      <c r="AO1642" s="76"/>
      <c r="AP1642" s="76"/>
      <c r="AQ1642" s="76"/>
      <c r="AR1642" s="76"/>
      <c r="AS1642" s="76"/>
      <c r="AT1642" s="76"/>
      <c r="AU1642" s="76"/>
      <c r="AV1642" s="76"/>
      <c r="AW1642" s="76"/>
      <c r="AX1642" s="76"/>
      <c r="AY1642" s="76"/>
      <c r="AZ1642" s="76"/>
      <c r="BA1642" s="76"/>
      <c r="BB1642" s="76"/>
    </row>
    <row r="1643" spans="5:54" x14ac:dyDescent="0.35">
      <c r="E1643" s="83"/>
      <c r="F1643" s="83"/>
      <c r="G1643" s="76"/>
      <c r="H1643" s="76"/>
      <c r="I1643" s="76"/>
      <c r="J1643" s="76"/>
      <c r="K1643" s="76"/>
      <c r="L1643" s="76"/>
      <c r="M1643" s="76"/>
      <c r="N1643" s="76"/>
      <c r="O1643" s="76"/>
      <c r="P1643" s="76"/>
      <c r="Q1643" s="76"/>
      <c r="R1643" s="76"/>
      <c r="S1643" s="76"/>
      <c r="T1643" s="76"/>
      <c r="U1643" s="76"/>
      <c r="V1643" s="76"/>
      <c r="W1643" s="76"/>
      <c r="X1643" s="76"/>
      <c r="Y1643" s="76"/>
      <c r="Z1643" s="76"/>
      <c r="AA1643" s="76"/>
      <c r="AB1643" s="76"/>
      <c r="AC1643" s="76"/>
      <c r="AD1643" s="76"/>
      <c r="AE1643" s="76"/>
      <c r="AF1643" s="76"/>
      <c r="AG1643" s="76"/>
      <c r="AH1643" s="76"/>
      <c r="AI1643" s="76"/>
      <c r="AJ1643" s="76"/>
      <c r="AK1643" s="76"/>
      <c r="AL1643" s="76"/>
      <c r="AM1643" s="76"/>
      <c r="AN1643" s="76"/>
      <c r="AO1643" s="76"/>
      <c r="AP1643" s="76"/>
      <c r="AQ1643" s="76"/>
      <c r="AR1643" s="76"/>
      <c r="AS1643" s="76"/>
      <c r="AT1643" s="76"/>
      <c r="AU1643" s="76"/>
      <c r="AV1643" s="76"/>
      <c r="AW1643" s="76"/>
      <c r="AX1643" s="76"/>
      <c r="AY1643" s="76"/>
      <c r="AZ1643" s="76"/>
      <c r="BA1643" s="76"/>
      <c r="BB1643" s="76"/>
    </row>
    <row r="1644" spans="5:54" x14ac:dyDescent="0.35">
      <c r="E1644" s="83"/>
      <c r="F1644" s="83"/>
      <c r="G1644" s="76"/>
      <c r="H1644" s="76"/>
      <c r="I1644" s="76"/>
      <c r="J1644" s="76"/>
      <c r="K1644" s="76"/>
      <c r="L1644" s="76"/>
      <c r="M1644" s="76"/>
      <c r="N1644" s="76"/>
      <c r="O1644" s="76"/>
      <c r="P1644" s="76"/>
      <c r="Q1644" s="76"/>
      <c r="R1644" s="76"/>
      <c r="S1644" s="76"/>
      <c r="T1644" s="76"/>
      <c r="U1644" s="76"/>
      <c r="V1644" s="76"/>
      <c r="W1644" s="76"/>
      <c r="X1644" s="76"/>
      <c r="Y1644" s="76"/>
      <c r="Z1644" s="76"/>
      <c r="AA1644" s="76"/>
      <c r="AB1644" s="76"/>
      <c r="AC1644" s="76"/>
      <c r="AD1644" s="76"/>
      <c r="AE1644" s="76"/>
      <c r="AF1644" s="76"/>
      <c r="AG1644" s="76"/>
      <c r="AH1644" s="76"/>
      <c r="AI1644" s="76"/>
      <c r="AJ1644" s="76"/>
      <c r="AK1644" s="76"/>
      <c r="AL1644" s="76"/>
      <c r="AM1644" s="76"/>
      <c r="AN1644" s="76"/>
      <c r="AO1644" s="76"/>
      <c r="AP1644" s="76"/>
      <c r="AQ1644" s="76"/>
      <c r="AR1644" s="76"/>
      <c r="AS1644" s="76"/>
      <c r="AT1644" s="76"/>
      <c r="AU1644" s="76"/>
      <c r="AV1644" s="76"/>
      <c r="AW1644" s="76"/>
      <c r="AX1644" s="76"/>
      <c r="AY1644" s="76"/>
      <c r="AZ1644" s="76"/>
      <c r="BA1644" s="76"/>
      <c r="BB1644" s="76"/>
    </row>
    <row r="1645" spans="5:54" x14ac:dyDescent="0.35">
      <c r="E1645" s="83"/>
      <c r="F1645" s="83"/>
      <c r="G1645" s="76"/>
      <c r="H1645" s="76"/>
      <c r="I1645" s="76"/>
      <c r="J1645" s="76"/>
      <c r="K1645" s="76"/>
      <c r="L1645" s="76"/>
      <c r="M1645" s="76"/>
      <c r="N1645" s="76"/>
      <c r="O1645" s="76"/>
      <c r="P1645" s="76"/>
      <c r="Q1645" s="76"/>
      <c r="R1645" s="76"/>
      <c r="S1645" s="76"/>
      <c r="T1645" s="76"/>
      <c r="U1645" s="76"/>
      <c r="V1645" s="76"/>
      <c r="W1645" s="76"/>
      <c r="X1645" s="76"/>
      <c r="Y1645" s="76"/>
      <c r="Z1645" s="76"/>
      <c r="AA1645" s="76"/>
      <c r="AB1645" s="76"/>
      <c r="AC1645" s="76"/>
      <c r="AD1645" s="76"/>
      <c r="AE1645" s="76"/>
      <c r="AF1645" s="76"/>
      <c r="AG1645" s="76"/>
      <c r="AH1645" s="76"/>
      <c r="AI1645" s="76"/>
      <c r="AJ1645" s="76"/>
      <c r="AK1645" s="76"/>
      <c r="AL1645" s="76"/>
      <c r="AM1645" s="76"/>
      <c r="AN1645" s="76"/>
      <c r="AO1645" s="76"/>
      <c r="AP1645" s="76"/>
      <c r="AQ1645" s="76"/>
      <c r="AR1645" s="76"/>
      <c r="AS1645" s="76"/>
      <c r="AT1645" s="76"/>
      <c r="AU1645" s="76"/>
      <c r="AV1645" s="76"/>
      <c r="AW1645" s="76"/>
      <c r="AX1645" s="76"/>
      <c r="AY1645" s="76"/>
      <c r="AZ1645" s="76"/>
      <c r="BA1645" s="76"/>
      <c r="BB1645" s="76"/>
    </row>
    <row r="1646" spans="5:54" x14ac:dyDescent="0.35">
      <c r="E1646" s="83"/>
      <c r="F1646" s="83"/>
      <c r="G1646" s="76"/>
      <c r="H1646" s="76"/>
      <c r="I1646" s="76"/>
      <c r="J1646" s="76"/>
      <c r="K1646" s="76"/>
      <c r="L1646" s="76"/>
      <c r="M1646" s="76"/>
      <c r="N1646" s="76"/>
      <c r="O1646" s="76"/>
      <c r="P1646" s="76"/>
      <c r="Q1646" s="76"/>
      <c r="R1646" s="76"/>
      <c r="S1646" s="76"/>
      <c r="T1646" s="76"/>
      <c r="U1646" s="76"/>
      <c r="V1646" s="76"/>
      <c r="W1646" s="76"/>
      <c r="X1646" s="76"/>
      <c r="Y1646" s="76"/>
      <c r="Z1646" s="76"/>
      <c r="AA1646" s="76"/>
      <c r="AB1646" s="76"/>
      <c r="AC1646" s="76"/>
      <c r="AD1646" s="76"/>
      <c r="AE1646" s="76"/>
      <c r="AF1646" s="76"/>
      <c r="AG1646" s="76"/>
      <c r="AH1646" s="76"/>
      <c r="AI1646" s="76"/>
      <c r="AJ1646" s="76"/>
      <c r="AK1646" s="76"/>
      <c r="AL1646" s="76"/>
      <c r="AM1646" s="76"/>
      <c r="AN1646" s="76"/>
      <c r="AO1646" s="76"/>
      <c r="AP1646" s="76"/>
      <c r="AQ1646" s="76"/>
      <c r="AR1646" s="76"/>
      <c r="AS1646" s="76"/>
      <c r="AT1646" s="76"/>
      <c r="AU1646" s="76"/>
      <c r="AV1646" s="76"/>
      <c r="AW1646" s="76"/>
      <c r="AX1646" s="76"/>
      <c r="AY1646" s="76"/>
      <c r="AZ1646" s="76"/>
      <c r="BA1646" s="76"/>
      <c r="BB1646" s="76"/>
    </row>
    <row r="1647" spans="5:54" x14ac:dyDescent="0.35">
      <c r="E1647" s="83"/>
      <c r="F1647" s="83"/>
      <c r="G1647" s="76"/>
      <c r="H1647" s="76"/>
      <c r="I1647" s="76"/>
      <c r="J1647" s="76"/>
      <c r="K1647" s="76"/>
      <c r="L1647" s="76"/>
      <c r="M1647" s="76"/>
      <c r="N1647" s="76"/>
      <c r="O1647" s="76"/>
      <c r="P1647" s="76"/>
      <c r="Q1647" s="76"/>
      <c r="R1647" s="76"/>
      <c r="S1647" s="76"/>
      <c r="T1647" s="76"/>
      <c r="U1647" s="76"/>
      <c r="V1647" s="76"/>
      <c r="W1647" s="76"/>
      <c r="X1647" s="76"/>
      <c r="Y1647" s="76"/>
      <c r="Z1647" s="76"/>
      <c r="AA1647" s="76"/>
      <c r="AB1647" s="76"/>
      <c r="AC1647" s="76"/>
      <c r="AD1647" s="76"/>
      <c r="AE1647" s="76"/>
      <c r="AF1647" s="76"/>
      <c r="AG1647" s="76"/>
      <c r="AH1647" s="76"/>
      <c r="AI1647" s="76"/>
      <c r="AJ1647" s="76"/>
      <c r="AK1647" s="76"/>
      <c r="AL1647" s="76"/>
      <c r="AM1647" s="76"/>
      <c r="AN1647" s="76"/>
      <c r="AO1647" s="76"/>
      <c r="AP1647" s="76"/>
      <c r="AQ1647" s="76"/>
      <c r="AR1647" s="76"/>
      <c r="AS1647" s="76"/>
      <c r="AT1647" s="76"/>
      <c r="AU1647" s="76"/>
      <c r="AV1647" s="76"/>
      <c r="AW1647" s="76"/>
      <c r="AX1647" s="76"/>
      <c r="AY1647" s="76"/>
      <c r="AZ1647" s="76"/>
      <c r="BA1647" s="76"/>
      <c r="BB1647" s="76"/>
    </row>
    <row r="1648" spans="5:54" x14ac:dyDescent="0.35">
      <c r="E1648" s="83"/>
      <c r="F1648" s="83"/>
      <c r="G1648" s="76"/>
      <c r="H1648" s="76"/>
      <c r="I1648" s="76"/>
      <c r="J1648" s="76"/>
      <c r="K1648" s="76"/>
      <c r="L1648" s="76"/>
      <c r="M1648" s="76"/>
      <c r="N1648" s="76"/>
      <c r="O1648" s="76"/>
      <c r="P1648" s="76"/>
      <c r="Q1648" s="76"/>
      <c r="R1648" s="76"/>
      <c r="S1648" s="76"/>
      <c r="T1648" s="76"/>
      <c r="U1648" s="76"/>
      <c r="V1648" s="76"/>
      <c r="W1648" s="76"/>
      <c r="X1648" s="76"/>
      <c r="Y1648" s="76"/>
      <c r="Z1648" s="76"/>
      <c r="AA1648" s="76"/>
      <c r="AB1648" s="76"/>
      <c r="AC1648" s="76"/>
      <c r="AD1648" s="76"/>
      <c r="AE1648" s="76"/>
      <c r="AF1648" s="76"/>
      <c r="AG1648" s="76"/>
      <c r="AH1648" s="76"/>
      <c r="AI1648" s="76"/>
      <c r="AJ1648" s="76"/>
      <c r="AK1648" s="76"/>
      <c r="AL1648" s="76"/>
      <c r="AM1648" s="76"/>
      <c r="AN1648" s="76"/>
      <c r="AO1648" s="76"/>
      <c r="AP1648" s="76"/>
      <c r="AQ1648" s="76"/>
      <c r="AR1648" s="76"/>
      <c r="AS1648" s="76"/>
      <c r="AT1648" s="76"/>
      <c r="AU1648" s="76"/>
      <c r="AV1648" s="76"/>
      <c r="AW1648" s="76"/>
      <c r="AX1648" s="76"/>
      <c r="AY1648" s="76"/>
      <c r="AZ1648" s="76"/>
      <c r="BA1648" s="76"/>
      <c r="BB1648" s="76"/>
    </row>
    <row r="1649" spans="5:54" x14ac:dyDescent="0.35">
      <c r="E1649" s="83"/>
      <c r="F1649" s="83"/>
      <c r="G1649" s="76"/>
      <c r="H1649" s="76"/>
      <c r="I1649" s="76"/>
      <c r="J1649" s="76"/>
      <c r="K1649" s="76"/>
      <c r="L1649" s="76"/>
      <c r="M1649" s="76"/>
      <c r="N1649" s="76"/>
      <c r="O1649" s="76"/>
      <c r="P1649" s="76"/>
      <c r="Q1649" s="76"/>
      <c r="R1649" s="76"/>
      <c r="S1649" s="76"/>
      <c r="T1649" s="76"/>
      <c r="U1649" s="76"/>
      <c r="V1649" s="76"/>
      <c r="W1649" s="76"/>
      <c r="X1649" s="76"/>
      <c r="Y1649" s="76"/>
      <c r="Z1649" s="76"/>
      <c r="AA1649" s="76"/>
      <c r="AB1649" s="76"/>
      <c r="AC1649" s="76"/>
      <c r="AD1649" s="76"/>
      <c r="AE1649" s="76"/>
      <c r="AF1649" s="76"/>
      <c r="AG1649" s="76"/>
      <c r="AH1649" s="76"/>
      <c r="AI1649" s="76"/>
      <c r="AJ1649" s="76"/>
      <c r="AK1649" s="76"/>
      <c r="AL1649" s="76"/>
      <c r="AM1649" s="76"/>
      <c r="AN1649" s="76"/>
      <c r="AO1649" s="76"/>
      <c r="AP1649" s="76"/>
      <c r="AQ1649" s="76"/>
      <c r="AR1649" s="76"/>
      <c r="AS1649" s="76"/>
      <c r="AT1649" s="76"/>
      <c r="AU1649" s="76"/>
      <c r="AV1649" s="76"/>
      <c r="AW1649" s="76"/>
      <c r="AX1649" s="76"/>
      <c r="AY1649" s="76"/>
      <c r="AZ1649" s="76"/>
      <c r="BA1649" s="76"/>
      <c r="BB1649" s="76"/>
    </row>
    <row r="1650" spans="5:54" x14ac:dyDescent="0.35">
      <c r="E1650" s="83"/>
      <c r="F1650" s="83"/>
      <c r="G1650" s="76"/>
      <c r="H1650" s="76"/>
      <c r="I1650" s="76"/>
      <c r="J1650" s="76"/>
      <c r="K1650" s="76"/>
      <c r="L1650" s="76"/>
      <c r="M1650" s="76"/>
      <c r="N1650" s="76"/>
      <c r="O1650" s="76"/>
      <c r="P1650" s="76"/>
      <c r="Q1650" s="76"/>
      <c r="R1650" s="76"/>
      <c r="S1650" s="76"/>
      <c r="T1650" s="76"/>
      <c r="U1650" s="76"/>
      <c r="V1650" s="76"/>
      <c r="W1650" s="76"/>
      <c r="X1650" s="76"/>
      <c r="Y1650" s="76"/>
      <c r="Z1650" s="76"/>
      <c r="AA1650" s="76"/>
      <c r="AB1650" s="76"/>
      <c r="AC1650" s="76"/>
      <c r="AD1650" s="76"/>
      <c r="AE1650" s="76"/>
      <c r="AF1650" s="76"/>
      <c r="AG1650" s="76"/>
      <c r="AH1650" s="76"/>
      <c r="AI1650" s="76"/>
      <c r="AJ1650" s="76"/>
      <c r="AK1650" s="76"/>
      <c r="AL1650" s="76"/>
      <c r="AM1650" s="76"/>
      <c r="AN1650" s="76"/>
      <c r="AO1650" s="76"/>
      <c r="AP1650" s="76"/>
      <c r="AQ1650" s="76"/>
      <c r="AR1650" s="76"/>
      <c r="AS1650" s="76"/>
      <c r="AT1650" s="76"/>
      <c r="AU1650" s="76"/>
      <c r="AV1650" s="76"/>
      <c r="AW1650" s="76"/>
      <c r="AX1650" s="76"/>
      <c r="AY1650" s="76"/>
      <c r="AZ1650" s="76"/>
      <c r="BA1650" s="76"/>
      <c r="BB1650" s="76"/>
    </row>
    <row r="1651" spans="5:54" x14ac:dyDescent="0.35">
      <c r="E1651" s="83"/>
      <c r="F1651" s="83"/>
      <c r="G1651" s="76"/>
      <c r="H1651" s="76"/>
      <c r="I1651" s="76"/>
      <c r="J1651" s="76"/>
      <c r="K1651" s="76"/>
      <c r="L1651" s="76"/>
      <c r="M1651" s="76"/>
      <c r="N1651" s="76"/>
      <c r="O1651" s="76"/>
      <c r="P1651" s="76"/>
      <c r="Q1651" s="76"/>
      <c r="R1651" s="76"/>
      <c r="S1651" s="76"/>
      <c r="T1651" s="76"/>
      <c r="U1651" s="76"/>
      <c r="V1651" s="76"/>
      <c r="W1651" s="76"/>
      <c r="X1651" s="76"/>
      <c r="Y1651" s="76"/>
      <c r="Z1651" s="76"/>
      <c r="AA1651" s="76"/>
      <c r="AB1651" s="76"/>
      <c r="AC1651" s="76"/>
      <c r="AD1651" s="76"/>
      <c r="AE1651" s="76"/>
      <c r="AF1651" s="76"/>
      <c r="AG1651" s="76"/>
      <c r="AH1651" s="76"/>
      <c r="AI1651" s="76"/>
      <c r="AJ1651" s="76"/>
      <c r="AK1651" s="76"/>
      <c r="AL1651" s="76"/>
      <c r="AM1651" s="76"/>
      <c r="AN1651" s="76"/>
      <c r="AO1651" s="76"/>
      <c r="AP1651" s="76"/>
      <c r="AQ1651" s="76"/>
      <c r="AR1651" s="76"/>
      <c r="AS1651" s="76"/>
      <c r="AT1651" s="76"/>
      <c r="AU1651" s="76"/>
      <c r="AV1651" s="76"/>
      <c r="AW1651" s="76"/>
      <c r="AX1651" s="76"/>
      <c r="AY1651" s="76"/>
      <c r="AZ1651" s="76"/>
      <c r="BA1651" s="76"/>
      <c r="BB1651" s="76"/>
    </row>
    <row r="1652" spans="5:54" x14ac:dyDescent="0.35">
      <c r="E1652" s="83"/>
      <c r="F1652" s="83"/>
      <c r="G1652" s="76"/>
      <c r="H1652" s="76"/>
      <c r="I1652" s="76"/>
      <c r="J1652" s="76"/>
      <c r="K1652" s="76"/>
      <c r="L1652" s="76"/>
      <c r="M1652" s="76"/>
      <c r="N1652" s="76"/>
      <c r="O1652" s="76"/>
      <c r="P1652" s="76"/>
      <c r="Q1652" s="76"/>
      <c r="R1652" s="76"/>
      <c r="S1652" s="76"/>
      <c r="T1652" s="76"/>
      <c r="U1652" s="76"/>
      <c r="V1652" s="76"/>
      <c r="W1652" s="76"/>
      <c r="X1652" s="76"/>
      <c r="Y1652" s="76"/>
      <c r="Z1652" s="76"/>
      <c r="AA1652" s="76"/>
      <c r="AB1652" s="76"/>
      <c r="AC1652" s="76"/>
      <c r="AD1652" s="76"/>
      <c r="AE1652" s="76"/>
      <c r="AF1652" s="76"/>
      <c r="AG1652" s="76"/>
      <c r="AH1652" s="76"/>
      <c r="AI1652" s="76"/>
      <c r="AJ1652" s="76"/>
      <c r="AK1652" s="76"/>
      <c r="AL1652" s="76"/>
      <c r="AM1652" s="76"/>
      <c r="AN1652" s="76"/>
      <c r="AO1652" s="76"/>
      <c r="AP1652" s="76"/>
      <c r="AQ1652" s="76"/>
      <c r="AR1652" s="76"/>
      <c r="AS1652" s="76"/>
      <c r="AT1652" s="76"/>
      <c r="AU1652" s="76"/>
      <c r="AV1652" s="76"/>
      <c r="AW1652" s="76"/>
      <c r="AX1652" s="76"/>
      <c r="AY1652" s="76"/>
      <c r="AZ1652" s="76"/>
      <c r="BA1652" s="76"/>
      <c r="BB1652" s="76"/>
    </row>
    <row r="1653" spans="5:54" x14ac:dyDescent="0.35">
      <c r="E1653" s="83"/>
      <c r="F1653" s="83"/>
      <c r="G1653" s="76"/>
      <c r="H1653" s="76"/>
      <c r="I1653" s="76"/>
      <c r="J1653" s="76"/>
      <c r="K1653" s="76"/>
      <c r="L1653" s="76"/>
      <c r="M1653" s="76"/>
      <c r="N1653" s="76"/>
      <c r="O1653" s="76"/>
      <c r="P1653" s="76"/>
      <c r="Q1653" s="76"/>
      <c r="R1653" s="76"/>
      <c r="S1653" s="76"/>
      <c r="T1653" s="76"/>
      <c r="U1653" s="76"/>
      <c r="V1653" s="76"/>
      <c r="W1653" s="76"/>
      <c r="X1653" s="76"/>
      <c r="Y1653" s="76"/>
      <c r="Z1653" s="76"/>
      <c r="AA1653" s="76"/>
      <c r="AB1653" s="76"/>
      <c r="AC1653" s="76"/>
      <c r="AD1653" s="76"/>
      <c r="AE1653" s="76"/>
      <c r="AF1653" s="76"/>
      <c r="AG1653" s="76"/>
      <c r="AH1653" s="76"/>
      <c r="AI1653" s="76"/>
      <c r="AJ1653" s="76"/>
      <c r="AK1653" s="76"/>
      <c r="AL1653" s="76"/>
      <c r="AM1653" s="76"/>
      <c r="AN1653" s="76"/>
      <c r="AO1653" s="76"/>
      <c r="AP1653" s="76"/>
      <c r="AQ1653" s="76"/>
      <c r="AR1653" s="76"/>
      <c r="AS1653" s="76"/>
      <c r="AT1653" s="76"/>
      <c r="AU1653" s="76"/>
      <c r="AV1653" s="76"/>
      <c r="AW1653" s="76"/>
      <c r="AX1653" s="76"/>
      <c r="AY1653" s="76"/>
      <c r="AZ1653" s="76"/>
      <c r="BA1653" s="76"/>
      <c r="BB1653" s="76"/>
    </row>
    <row r="1654" spans="5:54" x14ac:dyDescent="0.35">
      <c r="E1654" s="83"/>
      <c r="F1654" s="83"/>
      <c r="G1654" s="76"/>
      <c r="H1654" s="76"/>
      <c r="I1654" s="76"/>
      <c r="J1654" s="76"/>
      <c r="K1654" s="76"/>
      <c r="L1654" s="76"/>
      <c r="M1654" s="76"/>
      <c r="N1654" s="76"/>
      <c r="O1654" s="76"/>
      <c r="P1654" s="76"/>
      <c r="Q1654" s="76"/>
      <c r="R1654" s="76"/>
      <c r="S1654" s="76"/>
      <c r="T1654" s="76"/>
      <c r="U1654" s="76"/>
      <c r="V1654" s="76"/>
      <c r="W1654" s="76"/>
      <c r="X1654" s="76"/>
      <c r="Y1654" s="76"/>
      <c r="Z1654" s="76"/>
      <c r="AA1654" s="76"/>
      <c r="AB1654" s="76"/>
      <c r="AC1654" s="76"/>
      <c r="AD1654" s="76"/>
      <c r="AE1654" s="76"/>
      <c r="AF1654" s="76"/>
      <c r="AG1654" s="76"/>
      <c r="AH1654" s="76"/>
      <c r="AI1654" s="76"/>
      <c r="AJ1654" s="76"/>
      <c r="AK1654" s="76"/>
      <c r="AL1654" s="76"/>
      <c r="AM1654" s="76"/>
      <c r="AN1654" s="76"/>
      <c r="AO1654" s="76"/>
      <c r="AP1654" s="76"/>
      <c r="AQ1654" s="76"/>
      <c r="AR1654" s="76"/>
      <c r="AS1654" s="76"/>
      <c r="AT1654" s="76"/>
      <c r="AU1654" s="76"/>
      <c r="AV1654" s="76"/>
      <c r="AW1654" s="76"/>
      <c r="AX1654" s="76"/>
      <c r="AY1654" s="76"/>
      <c r="AZ1654" s="76"/>
      <c r="BA1654" s="76"/>
      <c r="BB1654" s="76"/>
    </row>
    <row r="1655" spans="5:54" x14ac:dyDescent="0.35">
      <c r="E1655" s="83"/>
      <c r="F1655" s="83"/>
      <c r="G1655" s="76"/>
      <c r="H1655" s="76"/>
      <c r="I1655" s="76"/>
      <c r="J1655" s="76"/>
      <c r="K1655" s="76"/>
      <c r="L1655" s="76"/>
      <c r="M1655" s="76"/>
      <c r="N1655" s="76"/>
      <c r="O1655" s="76"/>
      <c r="P1655" s="76"/>
      <c r="Q1655" s="76"/>
      <c r="R1655" s="76"/>
      <c r="S1655" s="76"/>
      <c r="T1655" s="76"/>
      <c r="U1655" s="76"/>
      <c r="V1655" s="76"/>
      <c r="W1655" s="76"/>
      <c r="X1655" s="76"/>
      <c r="Y1655" s="76"/>
      <c r="Z1655" s="76"/>
      <c r="AA1655" s="76"/>
      <c r="AB1655" s="76"/>
      <c r="AC1655" s="76"/>
      <c r="AD1655" s="76"/>
      <c r="AE1655" s="76"/>
      <c r="AF1655" s="76"/>
      <c r="AG1655" s="76"/>
      <c r="AH1655" s="76"/>
      <c r="AI1655" s="76"/>
      <c r="AJ1655" s="76"/>
      <c r="AK1655" s="76"/>
      <c r="AL1655" s="76"/>
      <c r="AM1655" s="76"/>
      <c r="AN1655" s="76"/>
      <c r="AO1655" s="76"/>
      <c r="AP1655" s="76"/>
      <c r="AQ1655" s="76"/>
      <c r="AR1655" s="76"/>
      <c r="AS1655" s="76"/>
      <c r="AT1655" s="76"/>
      <c r="AU1655" s="76"/>
      <c r="AV1655" s="76"/>
      <c r="AW1655" s="76"/>
      <c r="AX1655" s="76"/>
      <c r="AY1655" s="76"/>
      <c r="AZ1655" s="76"/>
      <c r="BA1655" s="76"/>
      <c r="BB1655" s="76"/>
    </row>
    <row r="1656" spans="5:54" x14ac:dyDescent="0.35">
      <c r="E1656" s="83"/>
      <c r="F1656" s="83"/>
      <c r="G1656" s="76"/>
      <c r="H1656" s="76"/>
      <c r="I1656" s="76"/>
      <c r="J1656" s="76"/>
      <c r="K1656" s="76"/>
      <c r="L1656" s="76"/>
      <c r="M1656" s="76"/>
      <c r="N1656" s="76"/>
      <c r="O1656" s="76"/>
      <c r="P1656" s="76"/>
      <c r="Q1656" s="76"/>
      <c r="R1656" s="76"/>
      <c r="S1656" s="76"/>
      <c r="T1656" s="76"/>
      <c r="U1656" s="76"/>
      <c r="V1656" s="76"/>
      <c r="W1656" s="76"/>
      <c r="X1656" s="76"/>
      <c r="Y1656" s="76"/>
      <c r="Z1656" s="76"/>
      <c r="AA1656" s="76"/>
      <c r="AB1656" s="76"/>
      <c r="AC1656" s="76"/>
      <c r="AD1656" s="76"/>
      <c r="AE1656" s="76"/>
      <c r="AF1656" s="76"/>
      <c r="AG1656" s="76"/>
      <c r="AH1656" s="76"/>
      <c r="AI1656" s="76"/>
      <c r="AJ1656" s="76"/>
      <c r="AK1656" s="76"/>
      <c r="AL1656" s="76"/>
      <c r="AM1656" s="76"/>
      <c r="AN1656" s="76"/>
      <c r="AO1656" s="76"/>
      <c r="AP1656" s="76"/>
      <c r="AQ1656" s="76"/>
      <c r="AR1656" s="76"/>
      <c r="AS1656" s="76"/>
      <c r="AT1656" s="76"/>
      <c r="AU1656" s="76"/>
      <c r="AV1656" s="76"/>
      <c r="AW1656" s="76"/>
      <c r="AX1656" s="76"/>
      <c r="AY1656" s="76"/>
      <c r="AZ1656" s="76"/>
      <c r="BA1656" s="76"/>
      <c r="BB1656" s="76"/>
    </row>
    <row r="1657" spans="5:54" x14ac:dyDescent="0.35">
      <c r="E1657" s="83"/>
      <c r="F1657" s="83"/>
      <c r="G1657" s="76"/>
      <c r="H1657" s="76"/>
      <c r="I1657" s="76"/>
      <c r="J1657" s="76"/>
      <c r="K1657" s="76"/>
      <c r="L1657" s="76"/>
      <c r="M1657" s="76"/>
      <c r="N1657" s="76"/>
      <c r="O1657" s="76"/>
      <c r="P1657" s="76"/>
      <c r="Q1657" s="76"/>
      <c r="R1657" s="76"/>
      <c r="S1657" s="76"/>
      <c r="T1657" s="76"/>
      <c r="U1657" s="76"/>
      <c r="V1657" s="76"/>
      <c r="W1657" s="76"/>
      <c r="X1657" s="76"/>
      <c r="Y1657" s="76"/>
      <c r="Z1657" s="76"/>
      <c r="AA1657" s="76"/>
      <c r="AB1657" s="76"/>
      <c r="AC1657" s="76"/>
      <c r="AD1657" s="76"/>
      <c r="AE1657" s="76"/>
      <c r="AF1657" s="76"/>
      <c r="AG1657" s="76"/>
      <c r="AH1657" s="76"/>
      <c r="AI1657" s="76"/>
      <c r="AJ1657" s="76"/>
      <c r="AK1657" s="76"/>
      <c r="AL1657" s="76"/>
      <c r="AM1657" s="76"/>
      <c r="AN1657" s="76"/>
      <c r="AO1657" s="76"/>
      <c r="AP1657" s="76"/>
      <c r="AQ1657" s="76"/>
      <c r="AR1657" s="76"/>
      <c r="AS1657" s="76"/>
      <c r="AT1657" s="76"/>
      <c r="AU1657" s="76"/>
      <c r="AV1657" s="76"/>
      <c r="AW1657" s="76"/>
      <c r="AX1657" s="76"/>
      <c r="AY1657" s="76"/>
      <c r="AZ1657" s="76"/>
      <c r="BA1657" s="76"/>
      <c r="BB1657" s="76"/>
    </row>
    <row r="1658" spans="5:54" x14ac:dyDescent="0.35">
      <c r="E1658" s="83"/>
      <c r="F1658" s="83"/>
      <c r="G1658" s="76"/>
      <c r="H1658" s="76"/>
      <c r="I1658" s="76"/>
      <c r="J1658" s="76"/>
      <c r="K1658" s="76"/>
      <c r="L1658" s="76"/>
      <c r="M1658" s="76"/>
      <c r="N1658" s="76"/>
      <c r="O1658" s="76"/>
      <c r="P1658" s="76"/>
      <c r="Q1658" s="76"/>
      <c r="R1658" s="76"/>
      <c r="S1658" s="76"/>
      <c r="T1658" s="76"/>
      <c r="U1658" s="76"/>
      <c r="V1658" s="76"/>
      <c r="W1658" s="76"/>
      <c r="X1658" s="76"/>
      <c r="Y1658" s="76"/>
      <c r="Z1658" s="76"/>
      <c r="AA1658" s="76"/>
      <c r="AB1658" s="76"/>
      <c r="AC1658" s="76"/>
      <c r="AD1658" s="76"/>
      <c r="AE1658" s="76"/>
      <c r="AF1658" s="76"/>
      <c r="AG1658" s="76"/>
      <c r="AH1658" s="76"/>
      <c r="AI1658" s="76"/>
      <c r="AJ1658" s="76"/>
      <c r="AK1658" s="76"/>
      <c r="AL1658" s="76"/>
      <c r="AM1658" s="76"/>
      <c r="AN1658" s="76"/>
      <c r="AO1658" s="76"/>
      <c r="AP1658" s="76"/>
      <c r="AQ1658" s="76"/>
      <c r="AR1658" s="76"/>
      <c r="AS1658" s="76"/>
      <c r="AT1658" s="76"/>
      <c r="AU1658" s="76"/>
      <c r="AV1658" s="76"/>
      <c r="AW1658" s="76"/>
      <c r="AX1658" s="76"/>
      <c r="AY1658" s="76"/>
      <c r="AZ1658" s="76"/>
      <c r="BA1658" s="76"/>
      <c r="BB1658" s="76"/>
    </row>
    <row r="1659" spans="5:54" x14ac:dyDescent="0.35">
      <c r="E1659" s="83"/>
      <c r="F1659" s="83"/>
      <c r="G1659" s="76"/>
      <c r="H1659" s="76"/>
      <c r="I1659" s="76"/>
      <c r="J1659" s="76"/>
      <c r="K1659" s="76"/>
      <c r="L1659" s="76"/>
      <c r="M1659" s="76"/>
      <c r="N1659" s="76"/>
      <c r="O1659" s="76"/>
      <c r="P1659" s="76"/>
      <c r="Q1659" s="76"/>
      <c r="R1659" s="76"/>
      <c r="S1659" s="76"/>
      <c r="T1659" s="76"/>
      <c r="U1659" s="76"/>
      <c r="V1659" s="76"/>
      <c r="W1659" s="76"/>
      <c r="X1659" s="76"/>
      <c r="Y1659" s="76"/>
      <c r="Z1659" s="76"/>
      <c r="AA1659" s="76"/>
      <c r="AB1659" s="76"/>
      <c r="AC1659" s="76"/>
      <c r="AD1659" s="76"/>
      <c r="AE1659" s="76"/>
      <c r="AF1659" s="76"/>
      <c r="AG1659" s="76"/>
      <c r="AH1659" s="76"/>
      <c r="AI1659" s="76"/>
      <c r="AJ1659" s="76"/>
      <c r="AK1659" s="76"/>
      <c r="AL1659" s="76"/>
      <c r="AM1659" s="76"/>
      <c r="AN1659" s="76"/>
      <c r="AO1659" s="76"/>
      <c r="AP1659" s="76"/>
      <c r="AQ1659" s="76"/>
      <c r="AR1659" s="76"/>
      <c r="AS1659" s="76"/>
      <c r="AT1659" s="76"/>
      <c r="AU1659" s="76"/>
      <c r="AV1659" s="76"/>
      <c r="AW1659" s="76"/>
      <c r="AX1659" s="76"/>
      <c r="AY1659" s="76"/>
      <c r="AZ1659" s="76"/>
      <c r="BA1659" s="76"/>
      <c r="BB1659" s="76"/>
    </row>
    <row r="1660" spans="5:54" x14ac:dyDescent="0.35">
      <c r="E1660" s="83"/>
      <c r="F1660" s="83"/>
      <c r="G1660" s="76"/>
      <c r="H1660" s="76"/>
      <c r="I1660" s="76"/>
      <c r="J1660" s="76"/>
      <c r="K1660" s="76"/>
      <c r="L1660" s="76"/>
      <c r="M1660" s="76"/>
      <c r="N1660" s="76"/>
      <c r="O1660" s="76"/>
      <c r="P1660" s="76"/>
      <c r="Q1660" s="76"/>
      <c r="R1660" s="76"/>
      <c r="S1660" s="76"/>
      <c r="T1660" s="76"/>
      <c r="U1660" s="76"/>
      <c r="V1660" s="76"/>
      <c r="W1660" s="76"/>
      <c r="X1660" s="76"/>
      <c r="Y1660" s="76"/>
      <c r="Z1660" s="76"/>
      <c r="AA1660" s="76"/>
      <c r="AB1660" s="76"/>
      <c r="AC1660" s="76"/>
      <c r="AD1660" s="76"/>
      <c r="AE1660" s="76"/>
      <c r="AF1660" s="76"/>
      <c r="AG1660" s="76"/>
      <c r="AH1660" s="76"/>
      <c r="AI1660" s="76"/>
      <c r="AJ1660" s="76"/>
      <c r="AK1660" s="76"/>
      <c r="AL1660" s="76"/>
      <c r="AM1660" s="76"/>
      <c r="AN1660" s="76"/>
      <c r="AO1660" s="76"/>
      <c r="AP1660" s="76"/>
      <c r="AQ1660" s="76"/>
      <c r="AR1660" s="76"/>
      <c r="AS1660" s="76"/>
      <c r="AT1660" s="76"/>
      <c r="AU1660" s="76"/>
      <c r="AV1660" s="76"/>
      <c r="AW1660" s="76"/>
      <c r="AX1660" s="76"/>
      <c r="AY1660" s="76"/>
      <c r="AZ1660" s="76"/>
      <c r="BA1660" s="76"/>
      <c r="BB1660" s="76"/>
    </row>
    <row r="1661" spans="5:54" x14ac:dyDescent="0.35">
      <c r="E1661" s="83"/>
      <c r="F1661" s="83"/>
      <c r="G1661" s="76"/>
      <c r="H1661" s="76"/>
      <c r="I1661" s="76"/>
      <c r="J1661" s="76"/>
      <c r="K1661" s="76"/>
      <c r="L1661" s="76"/>
      <c r="M1661" s="76"/>
      <c r="N1661" s="76"/>
      <c r="O1661" s="76"/>
      <c r="P1661" s="76"/>
      <c r="Q1661" s="76"/>
      <c r="R1661" s="76"/>
      <c r="S1661" s="76"/>
      <c r="T1661" s="76"/>
      <c r="U1661" s="76"/>
      <c r="V1661" s="76"/>
      <c r="W1661" s="76"/>
      <c r="X1661" s="76"/>
      <c r="Y1661" s="76"/>
      <c r="Z1661" s="76"/>
      <c r="AA1661" s="76"/>
      <c r="AB1661" s="76"/>
      <c r="AC1661" s="76"/>
      <c r="AD1661" s="76"/>
      <c r="AE1661" s="76"/>
      <c r="AF1661" s="76"/>
      <c r="AG1661" s="76"/>
      <c r="AH1661" s="76"/>
      <c r="AI1661" s="76"/>
      <c r="AJ1661" s="76"/>
      <c r="AK1661" s="76"/>
      <c r="AL1661" s="76"/>
      <c r="AM1661" s="76"/>
      <c r="AN1661" s="76"/>
      <c r="AO1661" s="76"/>
      <c r="AP1661" s="76"/>
      <c r="AQ1661" s="76"/>
      <c r="AR1661" s="76"/>
      <c r="AS1661" s="76"/>
      <c r="AT1661" s="76"/>
      <c r="AU1661" s="76"/>
      <c r="AV1661" s="76"/>
      <c r="AW1661" s="76"/>
      <c r="AX1661" s="76"/>
      <c r="AY1661" s="76"/>
      <c r="AZ1661" s="76"/>
      <c r="BA1661" s="76"/>
      <c r="BB1661" s="76"/>
    </row>
    <row r="1662" spans="5:54" x14ac:dyDescent="0.35">
      <c r="E1662" s="83"/>
      <c r="F1662" s="83"/>
      <c r="G1662" s="76"/>
      <c r="H1662" s="76"/>
      <c r="I1662" s="76"/>
      <c r="J1662" s="76"/>
      <c r="K1662" s="76"/>
      <c r="L1662" s="76"/>
      <c r="M1662" s="76"/>
      <c r="N1662" s="76"/>
      <c r="O1662" s="76"/>
      <c r="P1662" s="76"/>
      <c r="Q1662" s="76"/>
      <c r="R1662" s="76"/>
      <c r="S1662" s="76"/>
      <c r="T1662" s="76"/>
      <c r="U1662" s="76"/>
      <c r="V1662" s="76"/>
      <c r="W1662" s="76"/>
      <c r="X1662" s="76"/>
      <c r="Y1662" s="76"/>
      <c r="Z1662" s="76"/>
      <c r="AA1662" s="76"/>
      <c r="AB1662" s="76"/>
      <c r="AC1662" s="76"/>
      <c r="AD1662" s="76"/>
      <c r="AE1662" s="76"/>
      <c r="AF1662" s="76"/>
      <c r="AG1662" s="76"/>
      <c r="AH1662" s="76"/>
      <c r="AI1662" s="76"/>
      <c r="AJ1662" s="76"/>
      <c r="AK1662" s="76"/>
      <c r="AL1662" s="76"/>
      <c r="AM1662" s="76"/>
      <c r="AN1662" s="76"/>
      <c r="AO1662" s="76"/>
      <c r="AP1662" s="76"/>
      <c r="AQ1662" s="76"/>
      <c r="AR1662" s="76"/>
      <c r="AS1662" s="76"/>
      <c r="AT1662" s="76"/>
      <c r="AU1662" s="76"/>
      <c r="AV1662" s="76"/>
      <c r="AW1662" s="76"/>
      <c r="AX1662" s="76"/>
      <c r="AY1662" s="76"/>
      <c r="AZ1662" s="76"/>
      <c r="BA1662" s="76"/>
      <c r="BB1662" s="76"/>
    </row>
    <row r="1663" spans="5:54" x14ac:dyDescent="0.35">
      <c r="E1663" s="83"/>
      <c r="F1663" s="83"/>
      <c r="G1663" s="76"/>
      <c r="H1663" s="76"/>
      <c r="I1663" s="76"/>
      <c r="J1663" s="76"/>
      <c r="K1663" s="76"/>
      <c r="L1663" s="76"/>
      <c r="M1663" s="76"/>
      <c r="N1663" s="76"/>
      <c r="O1663" s="76"/>
      <c r="P1663" s="76"/>
      <c r="Q1663" s="76"/>
      <c r="R1663" s="76"/>
      <c r="S1663" s="76"/>
      <c r="T1663" s="76"/>
      <c r="U1663" s="76"/>
      <c r="V1663" s="76"/>
      <c r="W1663" s="76"/>
      <c r="X1663" s="76"/>
      <c r="Y1663" s="76"/>
      <c r="Z1663" s="76"/>
      <c r="AA1663" s="76"/>
      <c r="AB1663" s="76"/>
      <c r="AC1663" s="76"/>
      <c r="AD1663" s="76"/>
      <c r="AE1663" s="76"/>
      <c r="AF1663" s="76"/>
      <c r="AG1663" s="76"/>
      <c r="AH1663" s="76"/>
      <c r="AI1663" s="76"/>
      <c r="AJ1663" s="76"/>
      <c r="AK1663" s="76"/>
      <c r="AL1663" s="76"/>
      <c r="AM1663" s="76"/>
      <c r="AN1663" s="76"/>
      <c r="AO1663" s="76"/>
      <c r="AP1663" s="76"/>
      <c r="AQ1663" s="76"/>
      <c r="AR1663" s="76"/>
      <c r="AS1663" s="76"/>
      <c r="AT1663" s="76"/>
      <c r="AU1663" s="76"/>
      <c r="AV1663" s="76"/>
      <c r="AW1663" s="76"/>
      <c r="AX1663" s="76"/>
      <c r="AY1663" s="76"/>
      <c r="AZ1663" s="76"/>
      <c r="BA1663" s="76"/>
      <c r="BB1663" s="76"/>
    </row>
    <row r="1664" spans="5:54" x14ac:dyDescent="0.35">
      <c r="E1664" s="83"/>
      <c r="F1664" s="83"/>
      <c r="G1664" s="76"/>
      <c r="H1664" s="76"/>
      <c r="I1664" s="76"/>
      <c r="J1664" s="76"/>
      <c r="K1664" s="76"/>
      <c r="L1664" s="76"/>
      <c r="M1664" s="76"/>
      <c r="N1664" s="76"/>
      <c r="O1664" s="76"/>
      <c r="P1664" s="76"/>
      <c r="Q1664" s="76"/>
      <c r="R1664" s="76"/>
      <c r="S1664" s="76"/>
      <c r="T1664" s="76"/>
      <c r="U1664" s="76"/>
      <c r="V1664" s="76"/>
      <c r="W1664" s="76"/>
      <c r="X1664" s="76"/>
      <c r="Y1664" s="76"/>
      <c r="Z1664" s="76"/>
      <c r="AA1664" s="76"/>
      <c r="AB1664" s="76"/>
      <c r="AC1664" s="76"/>
      <c r="AD1664" s="76"/>
      <c r="AE1664" s="76"/>
      <c r="AF1664" s="76"/>
      <c r="AG1664" s="76"/>
      <c r="AH1664" s="76"/>
      <c r="AI1664" s="76"/>
      <c r="AJ1664" s="76"/>
      <c r="AK1664" s="76"/>
      <c r="AL1664" s="76"/>
      <c r="AM1664" s="76"/>
      <c r="AN1664" s="76"/>
      <c r="AO1664" s="76"/>
      <c r="AP1664" s="76"/>
      <c r="AQ1664" s="76"/>
      <c r="AR1664" s="76"/>
      <c r="AS1664" s="76"/>
      <c r="AT1664" s="76"/>
      <c r="AU1664" s="76"/>
      <c r="AV1664" s="76"/>
      <c r="AW1664" s="76"/>
      <c r="AX1664" s="76"/>
      <c r="AY1664" s="76"/>
      <c r="AZ1664" s="76"/>
      <c r="BA1664" s="76"/>
      <c r="BB1664" s="76"/>
    </row>
    <row r="1665" spans="5:54" x14ac:dyDescent="0.35">
      <c r="E1665" s="83"/>
      <c r="F1665" s="83"/>
      <c r="G1665" s="76"/>
      <c r="H1665" s="76"/>
      <c r="I1665" s="76"/>
      <c r="J1665" s="76"/>
      <c r="K1665" s="76"/>
      <c r="L1665" s="76"/>
      <c r="M1665" s="76"/>
      <c r="N1665" s="76"/>
      <c r="O1665" s="76"/>
      <c r="P1665" s="76"/>
      <c r="Q1665" s="76"/>
      <c r="R1665" s="76"/>
      <c r="S1665" s="76"/>
      <c r="T1665" s="76"/>
      <c r="U1665" s="76"/>
      <c r="V1665" s="76"/>
      <c r="W1665" s="76"/>
      <c r="X1665" s="76"/>
      <c r="Y1665" s="76"/>
      <c r="Z1665" s="76"/>
      <c r="AA1665" s="76"/>
      <c r="AB1665" s="76"/>
      <c r="AC1665" s="76"/>
      <c r="AD1665" s="76"/>
      <c r="AE1665" s="76"/>
      <c r="AF1665" s="76"/>
      <c r="AG1665" s="76"/>
      <c r="AH1665" s="76"/>
      <c r="AI1665" s="76"/>
      <c r="AJ1665" s="76"/>
      <c r="AK1665" s="76"/>
      <c r="AL1665" s="76"/>
      <c r="AM1665" s="76"/>
      <c r="AN1665" s="76"/>
      <c r="AO1665" s="76"/>
      <c r="AP1665" s="76"/>
      <c r="AQ1665" s="76"/>
      <c r="AR1665" s="76"/>
      <c r="AS1665" s="76"/>
      <c r="AT1665" s="76"/>
      <c r="AU1665" s="76"/>
      <c r="AV1665" s="76"/>
      <c r="AW1665" s="76"/>
      <c r="AX1665" s="76"/>
      <c r="AY1665" s="76"/>
      <c r="AZ1665" s="76"/>
      <c r="BA1665" s="76"/>
      <c r="BB1665" s="76"/>
    </row>
    <row r="1666" spans="5:54" x14ac:dyDescent="0.35">
      <c r="E1666" s="83"/>
      <c r="F1666" s="83"/>
      <c r="G1666" s="76"/>
      <c r="H1666" s="76"/>
      <c r="I1666" s="76"/>
      <c r="J1666" s="76"/>
      <c r="K1666" s="76"/>
      <c r="L1666" s="76"/>
      <c r="M1666" s="76"/>
      <c r="N1666" s="76"/>
      <c r="O1666" s="76"/>
      <c r="P1666" s="76"/>
      <c r="Q1666" s="76"/>
      <c r="R1666" s="76"/>
      <c r="S1666" s="76"/>
      <c r="T1666" s="76"/>
      <c r="U1666" s="76"/>
      <c r="V1666" s="76"/>
      <c r="W1666" s="76"/>
      <c r="X1666" s="76"/>
      <c r="Y1666" s="76"/>
      <c r="Z1666" s="76"/>
      <c r="AA1666" s="76"/>
      <c r="AB1666" s="76"/>
      <c r="AC1666" s="76"/>
      <c r="AD1666" s="76"/>
      <c r="AE1666" s="76"/>
      <c r="AF1666" s="76"/>
      <c r="AG1666" s="76"/>
      <c r="AH1666" s="76"/>
      <c r="AI1666" s="76"/>
      <c r="AJ1666" s="76"/>
      <c r="AK1666" s="76"/>
      <c r="AL1666" s="76"/>
      <c r="AM1666" s="76"/>
      <c r="AN1666" s="76"/>
      <c r="AO1666" s="76"/>
      <c r="AP1666" s="76"/>
      <c r="AQ1666" s="76"/>
      <c r="AR1666" s="76"/>
      <c r="AS1666" s="76"/>
      <c r="AT1666" s="76"/>
      <c r="AU1666" s="76"/>
      <c r="AV1666" s="76"/>
      <c r="AW1666" s="76"/>
      <c r="AX1666" s="76"/>
      <c r="AY1666" s="76"/>
      <c r="AZ1666" s="76"/>
      <c r="BA1666" s="76"/>
      <c r="BB1666" s="76"/>
    </row>
    <row r="1667" spans="5:54" x14ac:dyDescent="0.35">
      <c r="E1667" s="83"/>
      <c r="F1667" s="83"/>
      <c r="G1667" s="76"/>
      <c r="H1667" s="76"/>
      <c r="I1667" s="76"/>
      <c r="J1667" s="76"/>
      <c r="K1667" s="76"/>
      <c r="L1667" s="76"/>
      <c r="M1667" s="76"/>
      <c r="N1667" s="76"/>
      <c r="O1667" s="76"/>
      <c r="P1667" s="76"/>
      <c r="Q1667" s="76"/>
      <c r="R1667" s="76"/>
      <c r="S1667" s="76"/>
      <c r="T1667" s="76"/>
      <c r="U1667" s="76"/>
      <c r="V1667" s="76"/>
      <c r="W1667" s="76"/>
      <c r="X1667" s="76"/>
      <c r="Y1667" s="76"/>
      <c r="Z1667" s="76"/>
      <c r="AA1667" s="76"/>
      <c r="AB1667" s="76"/>
      <c r="AC1667" s="76"/>
      <c r="AD1667" s="76"/>
      <c r="AE1667" s="76"/>
      <c r="AF1667" s="76"/>
      <c r="AG1667" s="76"/>
      <c r="AH1667" s="76"/>
      <c r="AI1667" s="76"/>
      <c r="AJ1667" s="76"/>
      <c r="AK1667" s="76"/>
      <c r="AL1667" s="76"/>
      <c r="AM1667" s="76"/>
      <c r="AN1667" s="76"/>
      <c r="AO1667" s="76"/>
      <c r="AP1667" s="76"/>
      <c r="AQ1667" s="76"/>
      <c r="AR1667" s="76"/>
      <c r="AS1667" s="76"/>
      <c r="AT1667" s="76"/>
      <c r="AU1667" s="76"/>
      <c r="AV1667" s="76"/>
      <c r="AW1667" s="76"/>
      <c r="AX1667" s="76"/>
      <c r="AY1667" s="76"/>
      <c r="AZ1667" s="76"/>
      <c r="BA1667" s="76"/>
      <c r="BB1667" s="76"/>
    </row>
    <row r="1668" spans="5:54" x14ac:dyDescent="0.35">
      <c r="E1668" s="83"/>
      <c r="F1668" s="83"/>
      <c r="G1668" s="76"/>
      <c r="H1668" s="76"/>
      <c r="I1668" s="76"/>
      <c r="J1668" s="76"/>
      <c r="K1668" s="76"/>
      <c r="L1668" s="76"/>
      <c r="M1668" s="76"/>
      <c r="N1668" s="76"/>
      <c r="O1668" s="76"/>
      <c r="P1668" s="76"/>
      <c r="Q1668" s="76"/>
      <c r="R1668" s="76"/>
      <c r="S1668" s="76"/>
      <c r="T1668" s="76"/>
      <c r="U1668" s="76"/>
      <c r="V1668" s="76"/>
      <c r="W1668" s="76"/>
      <c r="X1668" s="76"/>
      <c r="Y1668" s="76"/>
      <c r="Z1668" s="76"/>
      <c r="AA1668" s="76"/>
      <c r="AB1668" s="76"/>
      <c r="AC1668" s="76"/>
      <c r="AD1668" s="76"/>
      <c r="AE1668" s="76"/>
      <c r="AF1668" s="76"/>
      <c r="AG1668" s="76"/>
      <c r="AH1668" s="76"/>
      <c r="AI1668" s="76"/>
      <c r="AJ1668" s="76"/>
      <c r="AK1668" s="76"/>
      <c r="AL1668" s="76"/>
      <c r="AM1668" s="76"/>
      <c r="AN1668" s="76"/>
      <c r="AO1668" s="76"/>
      <c r="AP1668" s="76"/>
      <c r="AQ1668" s="76"/>
      <c r="AR1668" s="76"/>
      <c r="AS1668" s="76"/>
      <c r="AT1668" s="76"/>
      <c r="AU1668" s="76"/>
      <c r="AV1668" s="76"/>
      <c r="AW1668" s="76"/>
      <c r="AX1668" s="76"/>
      <c r="AY1668" s="76"/>
      <c r="AZ1668" s="76"/>
      <c r="BA1668" s="76"/>
      <c r="BB1668" s="76"/>
    </row>
    <row r="1669" spans="5:54" x14ac:dyDescent="0.35">
      <c r="E1669" s="83"/>
      <c r="F1669" s="83"/>
      <c r="G1669" s="76"/>
      <c r="H1669" s="76"/>
      <c r="I1669" s="76"/>
      <c r="J1669" s="76"/>
      <c r="K1669" s="76"/>
      <c r="L1669" s="76"/>
      <c r="M1669" s="76"/>
      <c r="N1669" s="76"/>
      <c r="O1669" s="76"/>
      <c r="P1669" s="76"/>
      <c r="Q1669" s="76"/>
      <c r="R1669" s="76"/>
      <c r="S1669" s="76"/>
      <c r="T1669" s="76"/>
      <c r="U1669" s="76"/>
      <c r="V1669" s="76"/>
      <c r="W1669" s="76"/>
      <c r="X1669" s="76"/>
      <c r="Y1669" s="76"/>
      <c r="Z1669" s="76"/>
      <c r="AA1669" s="76"/>
      <c r="AB1669" s="76"/>
      <c r="AC1669" s="76"/>
      <c r="AD1669" s="76"/>
      <c r="AE1669" s="76"/>
      <c r="AF1669" s="76"/>
      <c r="AG1669" s="76"/>
      <c r="AH1669" s="76"/>
      <c r="AI1669" s="76"/>
      <c r="AJ1669" s="76"/>
      <c r="AK1669" s="76"/>
      <c r="AL1669" s="76"/>
      <c r="AM1669" s="76"/>
      <c r="AN1669" s="76"/>
      <c r="AO1669" s="76"/>
      <c r="AP1669" s="76"/>
      <c r="AQ1669" s="76"/>
      <c r="AR1669" s="76"/>
      <c r="AS1669" s="76"/>
      <c r="AT1669" s="76"/>
      <c r="AU1669" s="76"/>
      <c r="AV1669" s="76"/>
      <c r="AW1669" s="76"/>
      <c r="AX1669" s="76"/>
      <c r="AY1669" s="76"/>
      <c r="AZ1669" s="76"/>
      <c r="BA1669" s="76"/>
      <c r="BB1669" s="76"/>
    </row>
    <row r="1670" spans="5:54" x14ac:dyDescent="0.35">
      <c r="E1670" s="83"/>
      <c r="F1670" s="83"/>
      <c r="G1670" s="76"/>
      <c r="H1670" s="76"/>
      <c r="I1670" s="76"/>
      <c r="J1670" s="76"/>
      <c r="K1670" s="76"/>
      <c r="L1670" s="76"/>
      <c r="M1670" s="76"/>
      <c r="N1670" s="76"/>
      <c r="O1670" s="76"/>
      <c r="P1670" s="76"/>
      <c r="Q1670" s="76"/>
      <c r="R1670" s="76"/>
      <c r="S1670" s="76"/>
      <c r="T1670" s="76"/>
      <c r="U1670" s="76"/>
      <c r="V1670" s="76"/>
      <c r="W1670" s="76"/>
      <c r="X1670" s="76"/>
      <c r="Y1670" s="76"/>
      <c r="Z1670" s="76"/>
      <c r="AA1670" s="76"/>
      <c r="AB1670" s="76"/>
      <c r="AC1670" s="76"/>
      <c r="AD1670" s="76"/>
      <c r="AE1670" s="76"/>
      <c r="AF1670" s="76"/>
      <c r="AG1670" s="76"/>
      <c r="AH1670" s="76"/>
      <c r="AI1670" s="76"/>
      <c r="AJ1670" s="76"/>
      <c r="AK1670" s="76"/>
      <c r="AL1670" s="76"/>
      <c r="AM1670" s="76"/>
      <c r="AN1670" s="76"/>
      <c r="AO1670" s="76"/>
      <c r="AP1670" s="76"/>
      <c r="AQ1670" s="76"/>
      <c r="AR1670" s="76"/>
      <c r="AS1670" s="76"/>
      <c r="AT1670" s="76"/>
      <c r="AU1670" s="76"/>
      <c r="AV1670" s="76"/>
      <c r="AW1670" s="76"/>
      <c r="AX1670" s="76"/>
      <c r="AY1670" s="76"/>
      <c r="AZ1670" s="76"/>
      <c r="BA1670" s="76"/>
      <c r="BB1670" s="76"/>
    </row>
    <row r="1671" spans="5:54" x14ac:dyDescent="0.35">
      <c r="E1671" s="83"/>
      <c r="F1671" s="83"/>
      <c r="G1671" s="76"/>
      <c r="H1671" s="76"/>
      <c r="I1671" s="76"/>
      <c r="J1671" s="76"/>
      <c r="K1671" s="76"/>
      <c r="L1671" s="76"/>
      <c r="M1671" s="76"/>
      <c r="N1671" s="76"/>
      <c r="O1671" s="76"/>
      <c r="P1671" s="76"/>
      <c r="Q1671" s="76"/>
      <c r="R1671" s="76"/>
      <c r="S1671" s="76"/>
      <c r="T1671" s="76"/>
      <c r="U1671" s="76"/>
      <c r="V1671" s="76"/>
      <c r="W1671" s="76"/>
      <c r="X1671" s="76"/>
      <c r="Y1671" s="76"/>
      <c r="Z1671" s="76"/>
      <c r="AA1671" s="76"/>
      <c r="AB1671" s="76"/>
      <c r="AC1671" s="76"/>
      <c r="AD1671" s="76"/>
      <c r="AE1671" s="76"/>
      <c r="AF1671" s="76"/>
      <c r="AG1671" s="76"/>
      <c r="AH1671" s="76"/>
      <c r="AI1671" s="76"/>
      <c r="AJ1671" s="76"/>
      <c r="AK1671" s="76"/>
      <c r="AL1671" s="76"/>
      <c r="AM1671" s="76"/>
      <c r="AN1671" s="76"/>
      <c r="AO1671" s="76"/>
      <c r="AP1671" s="76"/>
      <c r="AQ1671" s="76"/>
      <c r="AR1671" s="76"/>
      <c r="AS1671" s="76"/>
      <c r="AT1671" s="76"/>
      <c r="AU1671" s="76"/>
      <c r="AV1671" s="76"/>
      <c r="AW1671" s="76"/>
      <c r="AX1671" s="76"/>
      <c r="AY1671" s="76"/>
      <c r="AZ1671" s="76"/>
      <c r="BA1671" s="76"/>
      <c r="BB1671" s="76"/>
    </row>
    <row r="1672" spans="5:54" x14ac:dyDescent="0.35">
      <c r="E1672" s="83"/>
      <c r="F1672" s="83"/>
      <c r="G1672" s="76"/>
      <c r="H1672" s="76"/>
      <c r="I1672" s="76"/>
      <c r="J1672" s="76"/>
      <c r="K1672" s="76"/>
      <c r="L1672" s="76"/>
      <c r="M1672" s="76"/>
      <c r="N1672" s="76"/>
      <c r="O1672" s="76"/>
      <c r="P1672" s="76"/>
      <c r="Q1672" s="76"/>
      <c r="R1672" s="76"/>
      <c r="S1672" s="76"/>
      <c r="T1672" s="76"/>
      <c r="U1672" s="76"/>
      <c r="V1672" s="76"/>
      <c r="W1672" s="76"/>
      <c r="X1672" s="76"/>
      <c r="Y1672" s="76"/>
      <c r="Z1672" s="76"/>
      <c r="AA1672" s="76"/>
      <c r="AB1672" s="76"/>
      <c r="AC1672" s="76"/>
      <c r="AD1672" s="76"/>
      <c r="AE1672" s="76"/>
      <c r="AF1672" s="76"/>
      <c r="AG1672" s="76"/>
      <c r="AH1672" s="76"/>
      <c r="AI1672" s="76"/>
      <c r="AJ1672" s="76"/>
      <c r="AK1672" s="76"/>
      <c r="AL1672" s="76"/>
      <c r="AM1672" s="76"/>
      <c r="AN1672" s="76"/>
      <c r="AO1672" s="76"/>
      <c r="AP1672" s="76"/>
      <c r="AQ1672" s="76"/>
      <c r="AR1672" s="76"/>
      <c r="AS1672" s="76"/>
      <c r="AT1672" s="76"/>
      <c r="AU1672" s="76"/>
      <c r="AV1672" s="76"/>
      <c r="AW1672" s="76"/>
      <c r="AX1672" s="76"/>
      <c r="AY1672" s="76"/>
      <c r="AZ1672" s="76"/>
      <c r="BA1672" s="76"/>
      <c r="BB1672" s="76"/>
    </row>
    <row r="1673" spans="5:54" x14ac:dyDescent="0.35">
      <c r="E1673" s="83"/>
      <c r="F1673" s="83"/>
      <c r="G1673" s="76"/>
      <c r="H1673" s="76"/>
      <c r="I1673" s="76"/>
      <c r="J1673" s="76"/>
      <c r="K1673" s="76"/>
      <c r="L1673" s="76"/>
      <c r="M1673" s="76"/>
      <c r="N1673" s="76"/>
      <c r="O1673" s="76"/>
      <c r="P1673" s="76"/>
      <c r="Q1673" s="76"/>
      <c r="R1673" s="76"/>
      <c r="S1673" s="76"/>
      <c r="T1673" s="76"/>
      <c r="U1673" s="76"/>
      <c r="V1673" s="76"/>
      <c r="W1673" s="76"/>
      <c r="X1673" s="76"/>
      <c r="Y1673" s="76"/>
      <c r="Z1673" s="76"/>
      <c r="AA1673" s="76"/>
      <c r="AB1673" s="76"/>
      <c r="AC1673" s="76"/>
      <c r="AD1673" s="76"/>
      <c r="AE1673" s="76"/>
      <c r="AF1673" s="76"/>
      <c r="AG1673" s="76"/>
      <c r="AH1673" s="76"/>
      <c r="AI1673" s="76"/>
      <c r="AJ1673" s="76"/>
      <c r="AK1673" s="76"/>
      <c r="AL1673" s="76"/>
      <c r="AM1673" s="76"/>
      <c r="AN1673" s="76"/>
      <c r="AO1673" s="76"/>
      <c r="AP1673" s="76"/>
      <c r="AQ1673" s="76"/>
      <c r="AR1673" s="76"/>
      <c r="AS1673" s="76"/>
      <c r="AT1673" s="76"/>
      <c r="AU1673" s="76"/>
      <c r="AV1673" s="76"/>
      <c r="AW1673" s="76"/>
      <c r="AX1673" s="76"/>
      <c r="AY1673" s="76"/>
      <c r="AZ1673" s="76"/>
      <c r="BA1673" s="76"/>
      <c r="BB1673" s="76"/>
    </row>
    <row r="1674" spans="5:54" x14ac:dyDescent="0.35">
      <c r="E1674" s="83"/>
      <c r="F1674" s="83"/>
      <c r="G1674" s="76"/>
      <c r="H1674" s="76"/>
      <c r="I1674" s="76"/>
      <c r="J1674" s="76"/>
      <c r="K1674" s="76"/>
      <c r="L1674" s="76"/>
      <c r="M1674" s="76"/>
      <c r="N1674" s="76"/>
      <c r="O1674" s="76"/>
      <c r="P1674" s="76"/>
      <c r="Q1674" s="76"/>
      <c r="R1674" s="76"/>
      <c r="S1674" s="76"/>
      <c r="T1674" s="76"/>
      <c r="U1674" s="76"/>
      <c r="V1674" s="76"/>
      <c r="W1674" s="76"/>
      <c r="X1674" s="76"/>
      <c r="Y1674" s="76"/>
      <c r="Z1674" s="76"/>
      <c r="AA1674" s="76"/>
      <c r="AB1674" s="76"/>
      <c r="AC1674" s="76"/>
      <c r="AD1674" s="76"/>
      <c r="AE1674" s="76"/>
      <c r="AF1674" s="76"/>
      <c r="AG1674" s="76"/>
      <c r="AH1674" s="76"/>
      <c r="AI1674" s="76"/>
      <c r="AJ1674" s="76"/>
      <c r="AK1674" s="76"/>
      <c r="AL1674" s="76"/>
      <c r="AM1674" s="76"/>
      <c r="AN1674" s="76"/>
      <c r="AO1674" s="76"/>
      <c r="AP1674" s="76"/>
      <c r="AQ1674" s="76"/>
      <c r="AR1674" s="76"/>
      <c r="AS1674" s="76"/>
      <c r="AT1674" s="76"/>
      <c r="AU1674" s="76"/>
      <c r="AV1674" s="76"/>
      <c r="AW1674" s="76"/>
      <c r="AX1674" s="76"/>
      <c r="AY1674" s="76"/>
      <c r="AZ1674" s="76"/>
      <c r="BA1674" s="76"/>
      <c r="BB1674" s="76"/>
    </row>
    <row r="1675" spans="5:54" x14ac:dyDescent="0.35">
      <c r="E1675" s="83"/>
      <c r="F1675" s="83"/>
      <c r="G1675" s="76"/>
      <c r="H1675" s="76"/>
      <c r="I1675" s="76"/>
      <c r="J1675" s="76"/>
      <c r="K1675" s="76"/>
      <c r="L1675" s="76"/>
      <c r="M1675" s="76"/>
      <c r="N1675" s="76"/>
      <c r="O1675" s="76"/>
      <c r="P1675" s="76"/>
      <c r="Q1675" s="76"/>
      <c r="R1675" s="76"/>
      <c r="S1675" s="76"/>
      <c r="T1675" s="76"/>
      <c r="U1675" s="76"/>
      <c r="V1675" s="76"/>
      <c r="W1675" s="76"/>
      <c r="X1675" s="76"/>
      <c r="Y1675" s="76"/>
      <c r="Z1675" s="76"/>
      <c r="AA1675" s="76"/>
      <c r="AB1675" s="76"/>
      <c r="AC1675" s="76"/>
      <c r="AD1675" s="76"/>
      <c r="AE1675" s="76"/>
      <c r="AF1675" s="76"/>
      <c r="AG1675" s="76"/>
      <c r="AH1675" s="76"/>
      <c r="AI1675" s="76"/>
      <c r="AJ1675" s="76"/>
      <c r="AK1675" s="76"/>
      <c r="AL1675" s="76"/>
      <c r="AM1675" s="76"/>
      <c r="AN1675" s="76"/>
      <c r="AO1675" s="76"/>
      <c r="AP1675" s="76"/>
      <c r="AQ1675" s="76"/>
      <c r="AR1675" s="76"/>
      <c r="AS1675" s="76"/>
      <c r="AT1675" s="76"/>
      <c r="AU1675" s="76"/>
      <c r="AV1675" s="76"/>
      <c r="AW1675" s="76"/>
      <c r="AX1675" s="76"/>
      <c r="AY1675" s="76"/>
      <c r="AZ1675" s="76"/>
      <c r="BA1675" s="76"/>
      <c r="BB1675" s="76"/>
    </row>
    <row r="1676" spans="5:54" x14ac:dyDescent="0.35">
      <c r="E1676" s="83"/>
      <c r="F1676" s="83"/>
      <c r="G1676" s="76"/>
      <c r="H1676" s="76"/>
      <c r="I1676" s="76"/>
      <c r="J1676" s="76"/>
      <c r="K1676" s="76"/>
      <c r="L1676" s="76"/>
      <c r="M1676" s="76"/>
      <c r="N1676" s="76"/>
      <c r="O1676" s="76"/>
      <c r="P1676" s="76"/>
      <c r="Q1676" s="76"/>
      <c r="R1676" s="76"/>
      <c r="S1676" s="76"/>
      <c r="T1676" s="76"/>
      <c r="U1676" s="76"/>
      <c r="V1676" s="76"/>
      <c r="W1676" s="76"/>
      <c r="X1676" s="76"/>
      <c r="Y1676" s="76"/>
      <c r="Z1676" s="76"/>
      <c r="AA1676" s="76"/>
      <c r="AB1676" s="76"/>
      <c r="AC1676" s="76"/>
      <c r="AD1676" s="76"/>
      <c r="AE1676" s="76"/>
      <c r="AF1676" s="76"/>
      <c r="AG1676" s="76"/>
      <c r="AH1676" s="76"/>
      <c r="AI1676" s="76"/>
      <c r="AJ1676" s="76"/>
      <c r="AK1676" s="76"/>
      <c r="AL1676" s="76"/>
      <c r="AM1676" s="76"/>
      <c r="AN1676" s="76"/>
      <c r="AO1676" s="76"/>
      <c r="AP1676" s="76"/>
      <c r="AQ1676" s="76"/>
      <c r="AR1676" s="76"/>
      <c r="AS1676" s="76"/>
      <c r="AT1676" s="76"/>
      <c r="AU1676" s="76"/>
      <c r="AV1676" s="76"/>
      <c r="AW1676" s="76"/>
      <c r="AX1676" s="76"/>
      <c r="AY1676" s="76"/>
      <c r="AZ1676" s="76"/>
      <c r="BA1676" s="76"/>
      <c r="BB1676" s="76"/>
    </row>
    <row r="1677" spans="5:54" x14ac:dyDescent="0.35">
      <c r="E1677" s="83"/>
      <c r="F1677" s="83"/>
      <c r="G1677" s="76"/>
      <c r="H1677" s="76"/>
      <c r="I1677" s="76"/>
      <c r="J1677" s="76"/>
      <c r="K1677" s="76"/>
      <c r="L1677" s="76"/>
      <c r="M1677" s="76"/>
      <c r="N1677" s="76"/>
      <c r="O1677" s="76"/>
      <c r="P1677" s="76"/>
      <c r="Q1677" s="76"/>
      <c r="R1677" s="76"/>
      <c r="S1677" s="76"/>
      <c r="T1677" s="76"/>
      <c r="U1677" s="76"/>
      <c r="V1677" s="76"/>
      <c r="W1677" s="76"/>
      <c r="X1677" s="76"/>
      <c r="Y1677" s="76"/>
      <c r="Z1677" s="76"/>
      <c r="AA1677" s="76"/>
      <c r="AB1677" s="76"/>
      <c r="AC1677" s="76"/>
      <c r="AD1677" s="76"/>
      <c r="AE1677" s="76"/>
      <c r="AF1677" s="76"/>
      <c r="AG1677" s="76"/>
      <c r="AH1677" s="76"/>
      <c r="AI1677" s="76"/>
      <c r="AJ1677" s="76"/>
      <c r="AK1677" s="76"/>
      <c r="AL1677" s="76"/>
      <c r="AM1677" s="76"/>
      <c r="AN1677" s="76"/>
      <c r="AO1677" s="76"/>
      <c r="AP1677" s="76"/>
      <c r="AQ1677" s="76"/>
      <c r="AR1677" s="76"/>
      <c r="AS1677" s="76"/>
      <c r="AT1677" s="76"/>
      <c r="AU1677" s="76"/>
      <c r="AV1677" s="76"/>
      <c r="AW1677" s="76"/>
      <c r="AX1677" s="76"/>
      <c r="AY1677" s="76"/>
      <c r="AZ1677" s="76"/>
      <c r="BA1677" s="76"/>
      <c r="BB1677" s="76"/>
    </row>
    <row r="1678" spans="5:54" x14ac:dyDescent="0.35">
      <c r="E1678" s="83"/>
      <c r="F1678" s="83"/>
      <c r="G1678" s="76"/>
      <c r="H1678" s="76"/>
      <c r="I1678" s="76"/>
      <c r="J1678" s="76"/>
      <c r="K1678" s="76"/>
      <c r="L1678" s="76"/>
      <c r="M1678" s="76"/>
      <c r="N1678" s="76"/>
      <c r="O1678" s="76"/>
      <c r="P1678" s="76"/>
      <c r="Q1678" s="76"/>
      <c r="R1678" s="76"/>
      <c r="S1678" s="76"/>
      <c r="T1678" s="76"/>
      <c r="U1678" s="76"/>
      <c r="V1678" s="76"/>
      <c r="W1678" s="76"/>
      <c r="X1678" s="76"/>
      <c r="Y1678" s="76"/>
      <c r="Z1678" s="76"/>
      <c r="AA1678" s="76"/>
      <c r="AB1678" s="76"/>
      <c r="AC1678" s="76"/>
      <c r="AD1678" s="76"/>
      <c r="AE1678" s="76"/>
      <c r="AF1678" s="76"/>
      <c r="AG1678" s="76"/>
      <c r="AH1678" s="76"/>
      <c r="AI1678" s="76"/>
      <c r="AJ1678" s="76"/>
      <c r="AK1678" s="76"/>
      <c r="AL1678" s="76"/>
      <c r="AM1678" s="76"/>
      <c r="AN1678" s="76"/>
      <c r="AO1678" s="76"/>
      <c r="AP1678" s="76"/>
      <c r="AQ1678" s="76"/>
      <c r="AR1678" s="76"/>
      <c r="AS1678" s="76"/>
      <c r="AT1678" s="76"/>
      <c r="AU1678" s="76"/>
      <c r="AV1678" s="76"/>
      <c r="AW1678" s="76"/>
      <c r="AX1678" s="76"/>
      <c r="AY1678" s="76"/>
      <c r="AZ1678" s="76"/>
      <c r="BA1678" s="76"/>
      <c r="BB1678" s="76"/>
    </row>
    <row r="1679" spans="5:54" x14ac:dyDescent="0.35">
      <c r="E1679" s="83"/>
      <c r="F1679" s="83"/>
      <c r="G1679" s="76"/>
      <c r="H1679" s="76"/>
      <c r="I1679" s="76"/>
      <c r="J1679" s="76"/>
      <c r="K1679" s="76"/>
      <c r="L1679" s="76"/>
      <c r="M1679" s="76"/>
      <c r="N1679" s="76"/>
      <c r="O1679" s="76"/>
      <c r="P1679" s="76"/>
      <c r="Q1679" s="76"/>
      <c r="R1679" s="76"/>
      <c r="S1679" s="76"/>
      <c r="T1679" s="76"/>
      <c r="U1679" s="76"/>
      <c r="V1679" s="76"/>
      <c r="W1679" s="76"/>
      <c r="X1679" s="76"/>
      <c r="Y1679" s="76"/>
      <c r="Z1679" s="76"/>
      <c r="AA1679" s="76"/>
      <c r="AB1679" s="76"/>
      <c r="AC1679" s="76"/>
      <c r="AD1679" s="76"/>
      <c r="AE1679" s="76"/>
      <c r="AF1679" s="76"/>
      <c r="AG1679" s="76"/>
      <c r="AH1679" s="76"/>
      <c r="AI1679" s="76"/>
      <c r="AJ1679" s="76"/>
      <c r="AK1679" s="76"/>
      <c r="AL1679" s="76"/>
      <c r="AM1679" s="76"/>
      <c r="AN1679" s="76"/>
      <c r="AO1679" s="76"/>
      <c r="AP1679" s="76"/>
      <c r="AQ1679" s="76"/>
      <c r="AR1679" s="76"/>
      <c r="AS1679" s="76"/>
      <c r="AT1679" s="76"/>
      <c r="AU1679" s="76"/>
      <c r="AV1679" s="76"/>
      <c r="AW1679" s="76"/>
      <c r="AX1679" s="76"/>
      <c r="AY1679" s="76"/>
      <c r="AZ1679" s="76"/>
      <c r="BA1679" s="76"/>
      <c r="BB1679" s="76"/>
    </row>
    <row r="1680" spans="5:54" x14ac:dyDescent="0.35">
      <c r="E1680" s="83"/>
      <c r="F1680" s="83"/>
      <c r="G1680" s="76"/>
      <c r="H1680" s="76"/>
      <c r="I1680" s="76"/>
      <c r="J1680" s="76"/>
      <c r="K1680" s="76"/>
      <c r="L1680" s="76"/>
      <c r="M1680" s="76"/>
      <c r="N1680" s="76"/>
      <c r="O1680" s="76"/>
      <c r="P1680" s="76"/>
      <c r="Q1680" s="76"/>
      <c r="R1680" s="76"/>
      <c r="S1680" s="76"/>
      <c r="T1680" s="76"/>
      <c r="U1680" s="76"/>
      <c r="V1680" s="76"/>
      <c r="W1680" s="76"/>
      <c r="X1680" s="76"/>
      <c r="Y1680" s="76"/>
      <c r="Z1680" s="76"/>
      <c r="AA1680" s="76"/>
      <c r="AB1680" s="76"/>
      <c r="AC1680" s="76"/>
      <c r="AD1680" s="76"/>
      <c r="AE1680" s="76"/>
      <c r="AF1680" s="76"/>
      <c r="AG1680" s="76"/>
      <c r="AH1680" s="76"/>
      <c r="AI1680" s="76"/>
      <c r="AJ1680" s="76"/>
      <c r="AK1680" s="76"/>
      <c r="AL1680" s="76"/>
      <c r="AM1680" s="76"/>
      <c r="AN1680" s="76"/>
      <c r="AO1680" s="76"/>
      <c r="AP1680" s="76"/>
      <c r="AQ1680" s="76"/>
      <c r="AR1680" s="76"/>
      <c r="AS1680" s="76"/>
      <c r="AT1680" s="76"/>
      <c r="AU1680" s="76"/>
      <c r="AV1680" s="76"/>
      <c r="AW1680" s="76"/>
      <c r="AX1680" s="76"/>
      <c r="AY1680" s="76"/>
      <c r="AZ1680" s="76"/>
      <c r="BA1680" s="76"/>
      <c r="BB1680" s="76"/>
    </row>
    <row r="1681" spans="5:54" x14ac:dyDescent="0.35">
      <c r="E1681" s="83"/>
      <c r="F1681" s="83"/>
      <c r="G1681" s="76"/>
      <c r="H1681" s="76"/>
      <c r="I1681" s="76"/>
      <c r="J1681" s="76"/>
      <c r="K1681" s="76"/>
      <c r="L1681" s="76"/>
      <c r="M1681" s="76"/>
      <c r="N1681" s="76"/>
      <c r="O1681" s="76"/>
      <c r="P1681" s="76"/>
      <c r="Q1681" s="76"/>
      <c r="R1681" s="76"/>
      <c r="S1681" s="76"/>
      <c r="T1681" s="76"/>
      <c r="U1681" s="76"/>
      <c r="V1681" s="76"/>
      <c r="W1681" s="76"/>
      <c r="X1681" s="76"/>
      <c r="Y1681" s="76"/>
      <c r="Z1681" s="76"/>
      <c r="AA1681" s="76"/>
      <c r="AB1681" s="76"/>
      <c r="AC1681" s="76"/>
      <c r="AD1681" s="76"/>
      <c r="AE1681" s="76"/>
      <c r="AF1681" s="76"/>
      <c r="AG1681" s="76"/>
      <c r="AH1681" s="76"/>
      <c r="AI1681" s="76"/>
      <c r="AJ1681" s="76"/>
      <c r="AK1681" s="76"/>
      <c r="AL1681" s="76"/>
      <c r="AM1681" s="76"/>
      <c r="AN1681" s="76"/>
      <c r="AO1681" s="76"/>
      <c r="AP1681" s="76"/>
      <c r="AQ1681" s="76"/>
      <c r="AR1681" s="76"/>
      <c r="AS1681" s="76"/>
      <c r="AT1681" s="76"/>
      <c r="AU1681" s="76"/>
      <c r="AV1681" s="76"/>
      <c r="AW1681" s="76"/>
      <c r="AX1681" s="76"/>
      <c r="AY1681" s="76"/>
      <c r="AZ1681" s="76"/>
      <c r="BA1681" s="76"/>
      <c r="BB1681" s="76"/>
    </row>
    <row r="1682" spans="5:54" x14ac:dyDescent="0.35">
      <c r="E1682" s="83"/>
      <c r="F1682" s="83"/>
      <c r="G1682" s="76"/>
      <c r="H1682" s="76"/>
      <c r="I1682" s="76"/>
      <c r="J1682" s="76"/>
      <c r="K1682" s="76"/>
      <c r="L1682" s="76"/>
      <c r="M1682" s="76"/>
      <c r="N1682" s="76"/>
      <c r="O1682" s="76"/>
      <c r="P1682" s="76"/>
      <c r="Q1682" s="76"/>
      <c r="R1682" s="76"/>
      <c r="S1682" s="76"/>
      <c r="T1682" s="76"/>
      <c r="U1682" s="76"/>
      <c r="V1682" s="76"/>
      <c r="W1682" s="76"/>
      <c r="X1682" s="76"/>
      <c r="Y1682" s="76"/>
      <c r="Z1682" s="76"/>
      <c r="AA1682" s="76"/>
      <c r="AB1682" s="76"/>
      <c r="AC1682" s="76"/>
      <c r="AD1682" s="76"/>
      <c r="AE1682" s="76"/>
      <c r="AF1682" s="76"/>
      <c r="AG1682" s="76"/>
      <c r="AH1682" s="76"/>
      <c r="AI1682" s="76"/>
      <c r="AJ1682" s="76"/>
      <c r="AK1682" s="76"/>
      <c r="AL1682" s="76"/>
      <c r="AM1682" s="76"/>
      <c r="AN1682" s="76"/>
      <c r="AO1682" s="76"/>
      <c r="AP1682" s="76"/>
      <c r="AQ1682" s="76"/>
      <c r="AR1682" s="76"/>
      <c r="AS1682" s="76"/>
      <c r="AT1682" s="76"/>
      <c r="AU1682" s="76"/>
      <c r="AV1682" s="76"/>
      <c r="AW1682" s="76"/>
      <c r="AX1682" s="76"/>
      <c r="AY1682" s="76"/>
      <c r="AZ1682" s="76"/>
      <c r="BA1682" s="76"/>
      <c r="BB1682" s="76"/>
    </row>
    <row r="1683" spans="5:54" x14ac:dyDescent="0.35">
      <c r="E1683" s="83"/>
      <c r="F1683" s="83"/>
      <c r="G1683" s="76"/>
      <c r="H1683" s="76"/>
      <c r="I1683" s="76"/>
      <c r="J1683" s="76"/>
      <c r="K1683" s="76"/>
      <c r="L1683" s="76"/>
      <c r="M1683" s="76"/>
      <c r="N1683" s="76"/>
      <c r="O1683" s="76"/>
      <c r="P1683" s="76"/>
      <c r="Q1683" s="76"/>
      <c r="R1683" s="76"/>
      <c r="S1683" s="76"/>
      <c r="T1683" s="76"/>
      <c r="U1683" s="76"/>
      <c r="V1683" s="76"/>
      <c r="W1683" s="76"/>
      <c r="X1683" s="76"/>
      <c r="Y1683" s="76"/>
      <c r="Z1683" s="76"/>
      <c r="AA1683" s="76"/>
      <c r="AB1683" s="76"/>
      <c r="AC1683" s="76"/>
      <c r="AD1683" s="76"/>
      <c r="AE1683" s="76"/>
      <c r="AF1683" s="76"/>
      <c r="AG1683" s="76"/>
      <c r="AH1683" s="76"/>
      <c r="AI1683" s="76"/>
      <c r="AJ1683" s="76"/>
      <c r="AK1683" s="76"/>
      <c r="AL1683" s="76"/>
      <c r="AM1683" s="76"/>
      <c r="AN1683" s="76"/>
      <c r="AO1683" s="76"/>
      <c r="AP1683" s="76"/>
      <c r="AQ1683" s="76"/>
      <c r="AR1683" s="76"/>
      <c r="AS1683" s="76"/>
      <c r="AT1683" s="76"/>
      <c r="AU1683" s="76"/>
      <c r="AV1683" s="76"/>
      <c r="AW1683" s="76"/>
      <c r="AX1683" s="76"/>
      <c r="AY1683" s="76"/>
      <c r="AZ1683" s="76"/>
      <c r="BA1683" s="76"/>
      <c r="BB1683" s="76"/>
    </row>
    <row r="1684" spans="5:54" x14ac:dyDescent="0.35">
      <c r="E1684" s="83"/>
      <c r="F1684" s="83"/>
      <c r="G1684" s="76"/>
      <c r="H1684" s="76"/>
      <c r="I1684" s="76"/>
      <c r="J1684" s="76"/>
      <c r="K1684" s="76"/>
      <c r="L1684" s="76"/>
      <c r="M1684" s="76"/>
      <c r="N1684" s="76"/>
      <c r="O1684" s="76"/>
      <c r="P1684" s="76"/>
      <c r="Q1684" s="76"/>
      <c r="R1684" s="76"/>
      <c r="S1684" s="76"/>
      <c r="T1684" s="76"/>
      <c r="U1684" s="76"/>
      <c r="V1684" s="76"/>
      <c r="W1684" s="76"/>
      <c r="X1684" s="76"/>
      <c r="Y1684" s="76"/>
      <c r="Z1684" s="76"/>
      <c r="AA1684" s="76"/>
      <c r="AB1684" s="76"/>
      <c r="AC1684" s="76"/>
      <c r="AD1684" s="76"/>
      <c r="AE1684" s="76"/>
      <c r="AF1684" s="76"/>
      <c r="AG1684" s="76"/>
      <c r="AH1684" s="76"/>
      <c r="AI1684" s="76"/>
      <c r="AJ1684" s="76"/>
      <c r="AK1684" s="76"/>
      <c r="AL1684" s="76"/>
      <c r="AM1684" s="76"/>
      <c r="AN1684" s="76"/>
      <c r="AO1684" s="76"/>
      <c r="AP1684" s="76"/>
      <c r="AQ1684" s="76"/>
      <c r="AR1684" s="76"/>
      <c r="AS1684" s="76"/>
      <c r="AT1684" s="76"/>
      <c r="AU1684" s="76"/>
      <c r="AV1684" s="76"/>
      <c r="AW1684" s="76"/>
      <c r="AX1684" s="76"/>
      <c r="AY1684" s="76"/>
      <c r="AZ1684" s="76"/>
      <c r="BA1684" s="76"/>
      <c r="BB1684" s="76"/>
    </row>
    <row r="1685" spans="5:54" x14ac:dyDescent="0.35">
      <c r="E1685" s="83"/>
      <c r="F1685" s="83"/>
      <c r="G1685" s="76"/>
      <c r="H1685" s="76"/>
      <c r="I1685" s="76"/>
      <c r="J1685" s="76"/>
      <c r="K1685" s="76"/>
      <c r="L1685" s="76"/>
      <c r="M1685" s="76"/>
      <c r="N1685" s="76"/>
      <c r="O1685" s="76"/>
      <c r="P1685" s="76"/>
      <c r="Q1685" s="76"/>
      <c r="R1685" s="76"/>
      <c r="S1685" s="76"/>
      <c r="T1685" s="76"/>
      <c r="U1685" s="76"/>
      <c r="V1685" s="76"/>
      <c r="W1685" s="76"/>
      <c r="X1685" s="76"/>
      <c r="Y1685" s="76"/>
      <c r="Z1685" s="76"/>
      <c r="AA1685" s="76"/>
      <c r="AB1685" s="76"/>
      <c r="AC1685" s="76"/>
      <c r="AD1685" s="76"/>
      <c r="AE1685" s="76"/>
      <c r="AF1685" s="76"/>
      <c r="AG1685" s="76"/>
      <c r="AH1685" s="76"/>
      <c r="AI1685" s="76"/>
      <c r="AJ1685" s="76"/>
      <c r="AK1685" s="76"/>
      <c r="AL1685" s="76"/>
      <c r="AM1685" s="76"/>
      <c r="AN1685" s="76"/>
      <c r="AO1685" s="76"/>
      <c r="AP1685" s="76"/>
      <c r="AQ1685" s="76"/>
      <c r="AR1685" s="76"/>
      <c r="AS1685" s="76"/>
      <c r="AT1685" s="76"/>
      <c r="AU1685" s="76"/>
      <c r="AV1685" s="76"/>
      <c r="AW1685" s="76"/>
      <c r="AX1685" s="76"/>
      <c r="AY1685" s="76"/>
      <c r="AZ1685" s="76"/>
      <c r="BA1685" s="76"/>
      <c r="BB1685" s="76"/>
    </row>
    <row r="1686" spans="5:54" x14ac:dyDescent="0.35">
      <c r="E1686" s="83"/>
      <c r="F1686" s="83"/>
      <c r="G1686" s="76"/>
      <c r="H1686" s="76"/>
      <c r="I1686" s="76"/>
      <c r="J1686" s="76"/>
      <c r="K1686" s="76"/>
      <c r="L1686" s="76"/>
      <c r="M1686" s="76"/>
      <c r="N1686" s="76"/>
      <c r="O1686" s="76"/>
      <c r="P1686" s="76"/>
      <c r="Q1686" s="76"/>
      <c r="R1686" s="76"/>
      <c r="S1686" s="76"/>
      <c r="T1686" s="76"/>
      <c r="U1686" s="76"/>
      <c r="V1686" s="76"/>
      <c r="W1686" s="76"/>
      <c r="X1686" s="76"/>
      <c r="Y1686" s="76"/>
      <c r="Z1686" s="76"/>
      <c r="AA1686" s="76"/>
      <c r="AB1686" s="76"/>
      <c r="AC1686" s="76"/>
      <c r="AD1686" s="76"/>
      <c r="AE1686" s="76"/>
      <c r="AF1686" s="76"/>
      <c r="AG1686" s="76"/>
      <c r="AH1686" s="76"/>
      <c r="AI1686" s="76"/>
      <c r="AJ1686" s="76"/>
      <c r="AK1686" s="76"/>
      <c r="AL1686" s="76"/>
      <c r="AM1686" s="76"/>
      <c r="AN1686" s="76"/>
      <c r="AO1686" s="76"/>
      <c r="AP1686" s="76"/>
      <c r="AQ1686" s="76"/>
      <c r="AR1686" s="76"/>
      <c r="AS1686" s="76"/>
      <c r="AT1686" s="76"/>
      <c r="AU1686" s="76"/>
      <c r="AV1686" s="76"/>
      <c r="AW1686" s="76"/>
      <c r="AX1686" s="76"/>
      <c r="AY1686" s="76"/>
      <c r="AZ1686" s="76"/>
      <c r="BA1686" s="76"/>
      <c r="BB1686" s="76"/>
    </row>
    <row r="1687" spans="5:54" x14ac:dyDescent="0.35">
      <c r="E1687" s="83"/>
      <c r="F1687" s="83"/>
      <c r="G1687" s="76"/>
      <c r="H1687" s="76"/>
      <c r="I1687" s="76"/>
      <c r="J1687" s="76"/>
      <c r="K1687" s="76"/>
      <c r="L1687" s="76"/>
      <c r="M1687" s="76"/>
      <c r="N1687" s="76"/>
      <c r="O1687" s="76"/>
      <c r="P1687" s="76"/>
      <c r="Q1687" s="76"/>
      <c r="R1687" s="76"/>
      <c r="S1687" s="76"/>
      <c r="T1687" s="76"/>
      <c r="U1687" s="76"/>
      <c r="V1687" s="76"/>
      <c r="W1687" s="76"/>
      <c r="X1687" s="76"/>
      <c r="Y1687" s="76"/>
      <c r="Z1687" s="76"/>
      <c r="AA1687" s="76"/>
      <c r="AB1687" s="76"/>
      <c r="AC1687" s="76"/>
      <c r="AD1687" s="76"/>
      <c r="AE1687" s="76"/>
      <c r="AF1687" s="76"/>
      <c r="AG1687" s="76"/>
      <c r="AH1687" s="76"/>
      <c r="AI1687" s="76"/>
      <c r="AJ1687" s="76"/>
      <c r="AK1687" s="76"/>
      <c r="AL1687" s="76"/>
      <c r="AM1687" s="76"/>
      <c r="AN1687" s="76"/>
      <c r="AO1687" s="76"/>
      <c r="AP1687" s="76"/>
      <c r="AQ1687" s="76"/>
      <c r="AR1687" s="76"/>
      <c r="AS1687" s="76"/>
      <c r="AT1687" s="76"/>
      <c r="AU1687" s="76"/>
      <c r="AV1687" s="76"/>
      <c r="AW1687" s="76"/>
      <c r="AX1687" s="76"/>
      <c r="AY1687" s="76"/>
      <c r="AZ1687" s="76"/>
      <c r="BA1687" s="76"/>
      <c r="BB1687" s="76"/>
    </row>
    <row r="1688" spans="5:54" x14ac:dyDescent="0.35">
      <c r="E1688" s="83"/>
      <c r="F1688" s="83"/>
      <c r="G1688" s="76"/>
      <c r="H1688" s="76"/>
      <c r="I1688" s="76"/>
      <c r="J1688" s="76"/>
      <c r="K1688" s="76"/>
      <c r="L1688" s="76"/>
      <c r="M1688" s="76"/>
      <c r="N1688" s="76"/>
      <c r="O1688" s="76"/>
      <c r="P1688" s="76"/>
      <c r="Q1688" s="76"/>
      <c r="R1688" s="76"/>
      <c r="S1688" s="76"/>
      <c r="T1688" s="76"/>
      <c r="U1688" s="76"/>
      <c r="V1688" s="76"/>
      <c r="W1688" s="76"/>
      <c r="X1688" s="76"/>
      <c r="Y1688" s="76"/>
      <c r="Z1688" s="76"/>
      <c r="AA1688" s="76"/>
      <c r="AB1688" s="76"/>
      <c r="AC1688" s="76"/>
      <c r="AD1688" s="76"/>
      <c r="AE1688" s="76"/>
      <c r="AF1688" s="76"/>
      <c r="AG1688" s="76"/>
      <c r="AH1688" s="76"/>
      <c r="AI1688" s="76"/>
      <c r="AJ1688" s="76"/>
      <c r="AK1688" s="76"/>
      <c r="AL1688" s="76"/>
      <c r="AM1688" s="76"/>
      <c r="AN1688" s="76"/>
      <c r="AO1688" s="76"/>
      <c r="AP1688" s="76"/>
      <c r="AQ1688" s="76"/>
      <c r="AR1688" s="76"/>
      <c r="AS1688" s="76"/>
      <c r="AT1688" s="76"/>
      <c r="AU1688" s="76"/>
      <c r="AV1688" s="76"/>
      <c r="AW1688" s="76"/>
      <c r="AX1688" s="76"/>
      <c r="AY1688" s="76"/>
      <c r="AZ1688" s="76"/>
      <c r="BA1688" s="76"/>
      <c r="BB1688" s="76"/>
    </row>
    <row r="1689" spans="5:54" x14ac:dyDescent="0.35">
      <c r="E1689" s="83"/>
      <c r="F1689" s="83"/>
      <c r="G1689" s="76"/>
      <c r="H1689" s="76"/>
      <c r="I1689" s="76"/>
      <c r="J1689" s="76"/>
      <c r="K1689" s="76"/>
      <c r="L1689" s="76"/>
      <c r="M1689" s="76"/>
      <c r="N1689" s="76"/>
      <c r="O1689" s="76"/>
      <c r="P1689" s="76"/>
      <c r="Q1689" s="76"/>
      <c r="R1689" s="76"/>
      <c r="S1689" s="76"/>
      <c r="T1689" s="76"/>
      <c r="U1689" s="76"/>
      <c r="V1689" s="76"/>
      <c r="W1689" s="76"/>
      <c r="X1689" s="76"/>
      <c r="Y1689" s="76"/>
      <c r="Z1689" s="76"/>
      <c r="AA1689" s="76"/>
      <c r="AB1689" s="76"/>
      <c r="AC1689" s="76"/>
      <c r="AD1689" s="76"/>
      <c r="AE1689" s="76"/>
      <c r="AF1689" s="76"/>
      <c r="AG1689" s="76"/>
      <c r="AH1689" s="76"/>
      <c r="AI1689" s="76"/>
      <c r="AJ1689" s="76"/>
      <c r="AK1689" s="76"/>
      <c r="AL1689" s="76"/>
      <c r="AM1689" s="76"/>
      <c r="AN1689" s="76"/>
      <c r="AO1689" s="76"/>
      <c r="AP1689" s="76"/>
      <c r="AQ1689" s="76"/>
      <c r="AR1689" s="76"/>
      <c r="AS1689" s="76"/>
      <c r="AT1689" s="76"/>
      <c r="AU1689" s="76"/>
      <c r="AV1689" s="76"/>
      <c r="AW1689" s="76"/>
      <c r="AX1689" s="76"/>
      <c r="AY1689" s="76"/>
      <c r="AZ1689" s="76"/>
      <c r="BA1689" s="76"/>
      <c r="BB1689" s="76"/>
    </row>
    <row r="1690" spans="5:54" x14ac:dyDescent="0.35">
      <c r="E1690" s="83"/>
      <c r="F1690" s="83"/>
      <c r="G1690" s="76"/>
      <c r="H1690" s="76"/>
      <c r="I1690" s="76"/>
      <c r="J1690" s="76"/>
      <c r="K1690" s="76"/>
      <c r="L1690" s="76"/>
      <c r="M1690" s="76"/>
      <c r="N1690" s="76"/>
      <c r="O1690" s="76"/>
      <c r="P1690" s="76"/>
      <c r="Q1690" s="76"/>
      <c r="R1690" s="76"/>
      <c r="S1690" s="76"/>
      <c r="T1690" s="76"/>
      <c r="U1690" s="76"/>
      <c r="V1690" s="76"/>
      <c r="W1690" s="76"/>
      <c r="X1690" s="76"/>
      <c r="Y1690" s="76"/>
      <c r="Z1690" s="76"/>
      <c r="AA1690" s="76"/>
      <c r="AB1690" s="76"/>
      <c r="AC1690" s="76"/>
      <c r="AD1690" s="76"/>
      <c r="AE1690" s="76"/>
      <c r="AF1690" s="76"/>
      <c r="AG1690" s="76"/>
      <c r="AH1690" s="76"/>
      <c r="AI1690" s="76"/>
      <c r="AJ1690" s="76"/>
      <c r="AK1690" s="76"/>
      <c r="AL1690" s="76"/>
      <c r="AM1690" s="76"/>
      <c r="AN1690" s="76"/>
      <c r="AO1690" s="76"/>
      <c r="AP1690" s="76"/>
      <c r="AQ1690" s="76"/>
      <c r="AR1690" s="76"/>
      <c r="AS1690" s="76"/>
      <c r="AT1690" s="76"/>
      <c r="AU1690" s="76"/>
      <c r="AV1690" s="76"/>
      <c r="AW1690" s="76"/>
      <c r="AX1690" s="76"/>
      <c r="AY1690" s="76"/>
      <c r="AZ1690" s="76"/>
      <c r="BA1690" s="76"/>
      <c r="BB1690" s="76"/>
    </row>
    <row r="1691" spans="5:54" x14ac:dyDescent="0.35">
      <c r="E1691" s="83"/>
      <c r="F1691" s="83"/>
      <c r="G1691" s="76"/>
      <c r="H1691" s="76"/>
      <c r="I1691" s="76"/>
      <c r="J1691" s="76"/>
      <c r="K1691" s="76"/>
      <c r="L1691" s="76"/>
      <c r="M1691" s="76"/>
      <c r="N1691" s="76"/>
      <c r="O1691" s="76"/>
      <c r="P1691" s="76"/>
      <c r="Q1691" s="76"/>
      <c r="R1691" s="76"/>
      <c r="S1691" s="76"/>
      <c r="T1691" s="76"/>
      <c r="U1691" s="76"/>
      <c r="V1691" s="76"/>
      <c r="W1691" s="76"/>
      <c r="X1691" s="76"/>
      <c r="Y1691" s="76"/>
      <c r="Z1691" s="76"/>
      <c r="AA1691" s="76"/>
      <c r="AB1691" s="76"/>
      <c r="AC1691" s="76"/>
      <c r="AD1691" s="76"/>
      <c r="AE1691" s="76"/>
      <c r="AF1691" s="76"/>
      <c r="AG1691" s="76"/>
      <c r="AH1691" s="76"/>
      <c r="AI1691" s="76"/>
      <c r="AJ1691" s="76"/>
      <c r="AK1691" s="76"/>
      <c r="AL1691" s="76"/>
      <c r="AM1691" s="76"/>
      <c r="AN1691" s="76"/>
      <c r="AO1691" s="76"/>
      <c r="AP1691" s="76"/>
      <c r="AQ1691" s="76"/>
      <c r="AR1691" s="76"/>
      <c r="AS1691" s="76"/>
      <c r="AT1691" s="76"/>
      <c r="AU1691" s="76"/>
      <c r="AV1691" s="76"/>
      <c r="AW1691" s="76"/>
      <c r="AX1691" s="76"/>
      <c r="AY1691" s="76"/>
      <c r="AZ1691" s="76"/>
      <c r="BA1691" s="76"/>
      <c r="BB1691" s="76"/>
    </row>
    <row r="1692" spans="5:54" x14ac:dyDescent="0.35">
      <c r="E1692" s="83"/>
      <c r="F1692" s="83"/>
      <c r="G1692" s="76"/>
      <c r="H1692" s="76"/>
      <c r="I1692" s="76"/>
      <c r="J1692" s="76"/>
      <c r="K1692" s="76"/>
      <c r="L1692" s="76"/>
      <c r="M1692" s="76"/>
      <c r="N1692" s="76"/>
      <c r="O1692" s="76"/>
      <c r="P1692" s="76"/>
      <c r="Q1692" s="76"/>
      <c r="R1692" s="76"/>
      <c r="S1692" s="76"/>
      <c r="T1692" s="76"/>
      <c r="U1692" s="76"/>
      <c r="V1692" s="76"/>
      <c r="W1692" s="76"/>
      <c r="X1692" s="76"/>
      <c r="Y1692" s="76"/>
      <c r="Z1692" s="76"/>
      <c r="AA1692" s="76"/>
      <c r="AB1692" s="76"/>
      <c r="AC1692" s="76"/>
      <c r="AD1692" s="76"/>
      <c r="AE1692" s="76"/>
      <c r="AF1692" s="76"/>
      <c r="AG1692" s="76"/>
      <c r="AH1692" s="76"/>
      <c r="AI1692" s="76"/>
      <c r="AJ1692" s="76"/>
      <c r="AK1692" s="76"/>
      <c r="AL1692" s="76"/>
      <c r="AM1692" s="76"/>
      <c r="AN1692" s="76"/>
      <c r="AO1692" s="76"/>
      <c r="AP1692" s="76"/>
      <c r="AQ1692" s="76"/>
      <c r="AR1692" s="76"/>
      <c r="AS1692" s="76"/>
      <c r="AT1692" s="76"/>
      <c r="AU1692" s="76"/>
      <c r="AV1692" s="76"/>
      <c r="AW1692" s="76"/>
      <c r="AX1692" s="76"/>
      <c r="AY1692" s="76"/>
      <c r="AZ1692" s="76"/>
      <c r="BA1692" s="76"/>
      <c r="BB1692" s="76"/>
    </row>
    <row r="1693" spans="5:54" x14ac:dyDescent="0.35">
      <c r="E1693" s="83"/>
      <c r="F1693" s="83"/>
      <c r="G1693" s="76"/>
      <c r="H1693" s="76"/>
      <c r="I1693" s="76"/>
      <c r="J1693" s="76"/>
      <c r="K1693" s="76"/>
      <c r="L1693" s="76"/>
      <c r="M1693" s="76"/>
      <c r="N1693" s="76"/>
      <c r="O1693" s="76"/>
      <c r="P1693" s="76"/>
      <c r="Q1693" s="76"/>
      <c r="R1693" s="76"/>
      <c r="S1693" s="76"/>
      <c r="T1693" s="76"/>
      <c r="U1693" s="76"/>
      <c r="V1693" s="76"/>
      <c r="W1693" s="76"/>
      <c r="X1693" s="76"/>
      <c r="Y1693" s="76"/>
      <c r="Z1693" s="76"/>
      <c r="AA1693" s="76"/>
      <c r="AB1693" s="76"/>
      <c r="AC1693" s="76"/>
      <c r="AD1693" s="76"/>
      <c r="AE1693" s="76"/>
      <c r="AF1693" s="76"/>
      <c r="AG1693" s="76"/>
      <c r="AH1693" s="76"/>
      <c r="AI1693" s="76"/>
      <c r="AJ1693" s="76"/>
      <c r="AK1693" s="76"/>
      <c r="AL1693" s="76"/>
      <c r="AM1693" s="76"/>
      <c r="AN1693" s="76"/>
      <c r="AO1693" s="76"/>
      <c r="AP1693" s="76"/>
      <c r="AQ1693" s="76"/>
      <c r="AR1693" s="76"/>
      <c r="AS1693" s="76"/>
      <c r="AT1693" s="76"/>
      <c r="AU1693" s="76"/>
      <c r="AV1693" s="76"/>
      <c r="AW1693" s="76"/>
      <c r="AX1693" s="76"/>
      <c r="AY1693" s="76"/>
      <c r="AZ1693" s="76"/>
      <c r="BA1693" s="76"/>
      <c r="BB1693" s="76"/>
    </row>
    <row r="1694" spans="5:54" x14ac:dyDescent="0.35">
      <c r="E1694" s="83"/>
      <c r="F1694" s="83"/>
      <c r="G1694" s="76"/>
      <c r="H1694" s="76"/>
      <c r="I1694" s="76"/>
      <c r="J1694" s="76"/>
      <c r="K1694" s="76"/>
      <c r="L1694" s="76"/>
      <c r="M1694" s="76"/>
      <c r="N1694" s="76"/>
      <c r="O1694" s="76"/>
      <c r="P1694" s="76"/>
      <c r="Q1694" s="76"/>
      <c r="R1694" s="76"/>
      <c r="S1694" s="76"/>
      <c r="T1694" s="76"/>
      <c r="U1694" s="76"/>
      <c r="V1694" s="76"/>
      <c r="W1694" s="76"/>
      <c r="X1694" s="76"/>
      <c r="Y1694" s="76"/>
      <c r="Z1694" s="76"/>
      <c r="AA1694" s="76"/>
      <c r="AB1694" s="76"/>
      <c r="AC1694" s="76"/>
      <c r="AD1694" s="76"/>
      <c r="AE1694" s="76"/>
      <c r="AF1694" s="76"/>
      <c r="AG1694" s="76"/>
      <c r="AH1694" s="76"/>
      <c r="AI1694" s="76"/>
      <c r="AJ1694" s="76"/>
      <c r="AK1694" s="76"/>
      <c r="AL1694" s="76"/>
      <c r="AM1694" s="76"/>
      <c r="AN1694" s="76"/>
      <c r="AO1694" s="76"/>
      <c r="AP1694" s="76"/>
      <c r="AQ1694" s="76"/>
      <c r="AR1694" s="76"/>
      <c r="AS1694" s="76"/>
      <c r="AT1694" s="76"/>
      <c r="AU1694" s="76"/>
      <c r="AV1694" s="76"/>
      <c r="AW1694" s="76"/>
      <c r="AX1694" s="76"/>
      <c r="AY1694" s="76"/>
      <c r="AZ1694" s="76"/>
      <c r="BA1694" s="76"/>
      <c r="BB1694" s="76"/>
    </row>
    <row r="1695" spans="5:54" x14ac:dyDescent="0.35">
      <c r="E1695" s="83"/>
      <c r="F1695" s="83"/>
      <c r="G1695" s="76"/>
      <c r="H1695" s="76"/>
      <c r="I1695" s="76"/>
      <c r="J1695" s="76"/>
      <c r="K1695" s="76"/>
      <c r="L1695" s="76"/>
      <c r="M1695" s="76"/>
      <c r="N1695" s="76"/>
      <c r="O1695" s="76"/>
      <c r="P1695" s="76"/>
      <c r="Q1695" s="76"/>
      <c r="R1695" s="76"/>
      <c r="S1695" s="76"/>
      <c r="T1695" s="76"/>
      <c r="U1695" s="76"/>
      <c r="V1695" s="76"/>
      <c r="W1695" s="76"/>
      <c r="X1695" s="76"/>
      <c r="Y1695" s="76"/>
      <c r="Z1695" s="76"/>
      <c r="AA1695" s="76"/>
      <c r="AB1695" s="76"/>
      <c r="AC1695" s="76"/>
      <c r="AD1695" s="76"/>
      <c r="AE1695" s="76"/>
      <c r="AF1695" s="76"/>
      <c r="AG1695" s="76"/>
      <c r="AH1695" s="76"/>
      <c r="AI1695" s="76"/>
      <c r="AJ1695" s="76"/>
      <c r="AK1695" s="76"/>
      <c r="AL1695" s="76"/>
      <c r="AM1695" s="76"/>
      <c r="AN1695" s="76"/>
      <c r="AO1695" s="76"/>
      <c r="AP1695" s="76"/>
      <c r="AQ1695" s="76"/>
      <c r="AR1695" s="76"/>
      <c r="AS1695" s="76"/>
      <c r="AT1695" s="76"/>
      <c r="AU1695" s="76"/>
      <c r="AV1695" s="76"/>
      <c r="AW1695" s="76"/>
      <c r="AX1695" s="76"/>
      <c r="AY1695" s="76"/>
      <c r="AZ1695" s="76"/>
      <c r="BA1695" s="76"/>
      <c r="BB1695" s="76"/>
    </row>
    <row r="1696" spans="5:54" x14ac:dyDescent="0.35">
      <c r="E1696" s="83"/>
      <c r="F1696" s="83"/>
      <c r="G1696" s="76"/>
      <c r="H1696" s="76"/>
      <c r="I1696" s="76"/>
      <c r="J1696" s="76"/>
      <c r="K1696" s="76"/>
      <c r="L1696" s="76"/>
      <c r="M1696" s="76"/>
      <c r="N1696" s="76"/>
      <c r="O1696" s="76"/>
      <c r="P1696" s="76"/>
      <c r="Q1696" s="76"/>
      <c r="R1696" s="76"/>
      <c r="S1696" s="76"/>
      <c r="T1696" s="76"/>
      <c r="U1696" s="76"/>
      <c r="V1696" s="76"/>
      <c r="W1696" s="76"/>
      <c r="X1696" s="76"/>
      <c r="Y1696" s="76"/>
      <c r="Z1696" s="76"/>
      <c r="AA1696" s="76"/>
      <c r="AB1696" s="76"/>
      <c r="AC1696" s="76"/>
      <c r="AD1696" s="76"/>
      <c r="AE1696" s="76"/>
      <c r="AF1696" s="76"/>
      <c r="AG1696" s="76"/>
      <c r="AH1696" s="76"/>
      <c r="AI1696" s="76"/>
      <c r="AJ1696" s="76"/>
      <c r="AK1696" s="76"/>
      <c r="AL1696" s="76"/>
      <c r="AM1696" s="76"/>
      <c r="AN1696" s="76"/>
      <c r="AO1696" s="76"/>
      <c r="AP1696" s="76"/>
      <c r="AQ1696" s="76"/>
      <c r="AR1696" s="76"/>
      <c r="AS1696" s="76"/>
      <c r="AT1696" s="76"/>
      <c r="AU1696" s="76"/>
      <c r="AV1696" s="76"/>
      <c r="AW1696" s="76"/>
      <c r="AX1696" s="76"/>
      <c r="AY1696" s="76"/>
      <c r="AZ1696" s="76"/>
      <c r="BA1696" s="76"/>
      <c r="BB1696" s="76"/>
    </row>
    <row r="1697" spans="5:54" x14ac:dyDescent="0.35">
      <c r="E1697" s="83"/>
      <c r="F1697" s="83"/>
      <c r="G1697" s="76"/>
      <c r="H1697" s="76"/>
      <c r="I1697" s="76"/>
      <c r="J1697" s="76"/>
      <c r="K1697" s="76"/>
      <c r="L1697" s="76"/>
      <c r="M1697" s="76"/>
      <c r="N1697" s="76"/>
      <c r="O1697" s="76"/>
      <c r="P1697" s="76"/>
      <c r="Q1697" s="76"/>
      <c r="R1697" s="76"/>
      <c r="S1697" s="76"/>
      <c r="T1697" s="76"/>
      <c r="U1697" s="76"/>
      <c r="V1697" s="76"/>
      <c r="W1697" s="76"/>
      <c r="X1697" s="76"/>
      <c r="Y1697" s="76"/>
      <c r="Z1697" s="76"/>
      <c r="AA1697" s="76"/>
      <c r="AB1697" s="76"/>
      <c r="AC1697" s="76"/>
      <c r="AD1697" s="76"/>
      <c r="AE1697" s="76"/>
      <c r="AF1697" s="76"/>
      <c r="AG1697" s="76"/>
      <c r="AH1697" s="76"/>
      <c r="AI1697" s="76"/>
      <c r="AJ1697" s="76"/>
      <c r="AK1697" s="76"/>
      <c r="AL1697" s="76"/>
      <c r="AM1697" s="76"/>
      <c r="AN1697" s="76"/>
      <c r="AO1697" s="76"/>
      <c r="AP1697" s="76"/>
      <c r="AQ1697" s="76"/>
      <c r="AR1697" s="76"/>
      <c r="AS1697" s="76"/>
      <c r="AT1697" s="76"/>
      <c r="AU1697" s="76"/>
      <c r="AV1697" s="76"/>
      <c r="AW1697" s="76"/>
      <c r="AX1697" s="76"/>
      <c r="AY1697" s="76"/>
      <c r="AZ1697" s="76"/>
      <c r="BA1697" s="76"/>
      <c r="BB1697" s="76"/>
    </row>
    <row r="1698" spans="5:54" x14ac:dyDescent="0.35">
      <c r="E1698" s="83"/>
      <c r="F1698" s="83"/>
      <c r="G1698" s="76"/>
      <c r="H1698" s="76"/>
      <c r="I1698" s="76"/>
      <c r="J1698" s="76"/>
      <c r="K1698" s="76"/>
      <c r="L1698" s="76"/>
      <c r="M1698" s="76"/>
      <c r="N1698" s="76"/>
      <c r="O1698" s="76"/>
      <c r="P1698" s="76"/>
      <c r="Q1698" s="76"/>
      <c r="R1698" s="76"/>
      <c r="S1698" s="76"/>
      <c r="T1698" s="76"/>
      <c r="U1698" s="76"/>
      <c r="V1698" s="76"/>
      <c r="W1698" s="76"/>
      <c r="X1698" s="76"/>
      <c r="Y1698" s="76"/>
      <c r="Z1698" s="76"/>
      <c r="AA1698" s="76"/>
      <c r="AB1698" s="76"/>
      <c r="AC1698" s="76"/>
      <c r="AD1698" s="76"/>
      <c r="AE1698" s="76"/>
      <c r="AF1698" s="76"/>
      <c r="AG1698" s="76"/>
      <c r="AH1698" s="76"/>
      <c r="AI1698" s="76"/>
      <c r="AJ1698" s="76"/>
      <c r="AK1698" s="76"/>
      <c r="AL1698" s="76"/>
      <c r="AM1698" s="76"/>
      <c r="AN1698" s="76"/>
      <c r="AO1698" s="76"/>
      <c r="AP1698" s="76"/>
      <c r="AQ1698" s="76"/>
      <c r="AR1698" s="76"/>
      <c r="AS1698" s="76"/>
      <c r="AT1698" s="76"/>
      <c r="AU1698" s="76"/>
      <c r="AV1698" s="76"/>
      <c r="AW1698" s="76"/>
      <c r="AX1698" s="76"/>
      <c r="AY1698" s="76"/>
      <c r="AZ1698" s="76"/>
      <c r="BA1698" s="76"/>
      <c r="BB1698" s="76"/>
    </row>
    <row r="1699" spans="5:54" x14ac:dyDescent="0.35">
      <c r="E1699" s="83"/>
      <c r="F1699" s="83"/>
      <c r="G1699" s="76"/>
      <c r="H1699" s="76"/>
      <c r="I1699" s="76"/>
      <c r="J1699" s="76"/>
      <c r="K1699" s="76"/>
      <c r="L1699" s="76"/>
      <c r="M1699" s="76"/>
      <c r="N1699" s="76"/>
      <c r="O1699" s="76"/>
      <c r="P1699" s="76"/>
      <c r="Q1699" s="76"/>
      <c r="R1699" s="76"/>
      <c r="S1699" s="76"/>
      <c r="T1699" s="76"/>
      <c r="U1699" s="76"/>
      <c r="V1699" s="76"/>
      <c r="W1699" s="76"/>
      <c r="X1699" s="76"/>
      <c r="Y1699" s="76"/>
      <c r="Z1699" s="76"/>
      <c r="AA1699" s="76"/>
      <c r="AB1699" s="76"/>
      <c r="AC1699" s="76"/>
      <c r="AD1699" s="76"/>
      <c r="AE1699" s="76"/>
      <c r="AF1699" s="76"/>
      <c r="AG1699" s="76"/>
      <c r="AH1699" s="76"/>
      <c r="AI1699" s="76"/>
      <c r="AJ1699" s="76"/>
      <c r="AK1699" s="76"/>
      <c r="AL1699" s="76"/>
      <c r="AM1699" s="76"/>
      <c r="AN1699" s="76"/>
      <c r="AO1699" s="76"/>
      <c r="AP1699" s="76"/>
      <c r="AQ1699" s="76"/>
      <c r="AR1699" s="76"/>
      <c r="AS1699" s="76"/>
      <c r="AT1699" s="76"/>
      <c r="AU1699" s="76"/>
      <c r="AV1699" s="76"/>
      <c r="AW1699" s="76"/>
      <c r="AX1699" s="76"/>
      <c r="AY1699" s="76"/>
      <c r="AZ1699" s="76"/>
      <c r="BA1699" s="76"/>
      <c r="BB1699" s="76"/>
    </row>
    <row r="1700" spans="5:54" x14ac:dyDescent="0.35">
      <c r="E1700" s="83"/>
      <c r="F1700" s="83"/>
      <c r="G1700" s="76"/>
      <c r="H1700" s="76"/>
      <c r="I1700" s="76"/>
      <c r="J1700" s="76"/>
      <c r="K1700" s="76"/>
      <c r="L1700" s="76"/>
      <c r="M1700" s="76"/>
      <c r="N1700" s="76"/>
      <c r="O1700" s="76"/>
      <c r="P1700" s="76"/>
      <c r="Q1700" s="76"/>
      <c r="R1700" s="76"/>
      <c r="S1700" s="76"/>
      <c r="T1700" s="76"/>
      <c r="U1700" s="76"/>
      <c r="V1700" s="76"/>
      <c r="W1700" s="76"/>
      <c r="X1700" s="76"/>
      <c r="Y1700" s="76"/>
      <c r="Z1700" s="76"/>
      <c r="AA1700" s="76"/>
      <c r="AB1700" s="76"/>
      <c r="AC1700" s="76"/>
      <c r="AD1700" s="76"/>
      <c r="AE1700" s="76"/>
      <c r="AF1700" s="76"/>
      <c r="AG1700" s="76"/>
      <c r="AH1700" s="76"/>
      <c r="AI1700" s="76"/>
      <c r="AJ1700" s="76"/>
      <c r="AK1700" s="76"/>
      <c r="AL1700" s="76"/>
      <c r="AM1700" s="76"/>
      <c r="AN1700" s="76"/>
      <c r="AO1700" s="76"/>
      <c r="AP1700" s="76"/>
      <c r="AQ1700" s="76"/>
      <c r="AR1700" s="76"/>
      <c r="AS1700" s="76"/>
      <c r="AT1700" s="76"/>
      <c r="AU1700" s="76"/>
      <c r="AV1700" s="76"/>
      <c r="AW1700" s="76"/>
      <c r="AX1700" s="76"/>
      <c r="AY1700" s="76"/>
      <c r="AZ1700" s="76"/>
      <c r="BA1700" s="76"/>
      <c r="BB1700" s="76"/>
    </row>
    <row r="1701" spans="5:54" x14ac:dyDescent="0.35">
      <c r="E1701" s="83"/>
      <c r="F1701" s="83"/>
      <c r="G1701" s="76"/>
      <c r="H1701" s="76"/>
      <c r="I1701" s="76"/>
      <c r="J1701" s="76"/>
      <c r="K1701" s="76"/>
      <c r="L1701" s="76"/>
      <c r="M1701" s="76"/>
      <c r="N1701" s="76"/>
      <c r="O1701" s="76"/>
      <c r="P1701" s="76"/>
      <c r="Q1701" s="76"/>
      <c r="R1701" s="76"/>
      <c r="S1701" s="76"/>
      <c r="T1701" s="76"/>
      <c r="U1701" s="76"/>
      <c r="V1701" s="76"/>
      <c r="W1701" s="76"/>
      <c r="X1701" s="76"/>
      <c r="Y1701" s="76"/>
      <c r="Z1701" s="76"/>
      <c r="AA1701" s="76"/>
      <c r="AB1701" s="76"/>
      <c r="AC1701" s="76"/>
      <c r="AD1701" s="76"/>
      <c r="AE1701" s="76"/>
      <c r="AF1701" s="76"/>
      <c r="AG1701" s="76"/>
      <c r="AH1701" s="76"/>
      <c r="AI1701" s="76"/>
      <c r="AJ1701" s="76"/>
      <c r="AK1701" s="76"/>
      <c r="AL1701" s="76"/>
      <c r="AM1701" s="76"/>
      <c r="AN1701" s="76"/>
      <c r="AO1701" s="76"/>
      <c r="AP1701" s="76"/>
      <c r="AQ1701" s="76"/>
      <c r="AR1701" s="76"/>
      <c r="AS1701" s="76"/>
      <c r="AT1701" s="76"/>
      <c r="AU1701" s="76"/>
      <c r="AV1701" s="76"/>
      <c r="AW1701" s="76"/>
      <c r="AX1701" s="76"/>
      <c r="AY1701" s="76"/>
      <c r="AZ1701" s="76"/>
      <c r="BA1701" s="76"/>
      <c r="BB1701" s="76"/>
    </row>
    <row r="1702" spans="5:54" x14ac:dyDescent="0.35">
      <c r="E1702" s="83"/>
      <c r="F1702" s="83"/>
      <c r="G1702" s="76"/>
      <c r="H1702" s="76"/>
      <c r="I1702" s="76"/>
      <c r="J1702" s="76"/>
      <c r="K1702" s="76"/>
      <c r="L1702" s="76"/>
      <c r="M1702" s="76"/>
      <c r="N1702" s="76"/>
      <c r="O1702" s="76"/>
      <c r="P1702" s="76"/>
      <c r="Q1702" s="76"/>
      <c r="R1702" s="76"/>
      <c r="S1702" s="76"/>
      <c r="T1702" s="76"/>
      <c r="U1702" s="76"/>
      <c r="V1702" s="76"/>
      <c r="W1702" s="76"/>
      <c r="X1702" s="76"/>
      <c r="Y1702" s="76"/>
      <c r="Z1702" s="76"/>
      <c r="AA1702" s="76"/>
      <c r="AB1702" s="76"/>
      <c r="AC1702" s="76"/>
      <c r="AD1702" s="76"/>
      <c r="AE1702" s="76"/>
      <c r="AF1702" s="76"/>
      <c r="AG1702" s="76"/>
      <c r="AH1702" s="76"/>
      <c r="AI1702" s="76"/>
      <c r="AJ1702" s="76"/>
      <c r="AK1702" s="76"/>
      <c r="AL1702" s="76"/>
      <c r="AM1702" s="76"/>
      <c r="AN1702" s="76"/>
      <c r="AO1702" s="76"/>
      <c r="AP1702" s="76"/>
      <c r="AQ1702" s="76"/>
      <c r="AR1702" s="76"/>
      <c r="AS1702" s="76"/>
      <c r="AT1702" s="76"/>
      <c r="AU1702" s="76"/>
      <c r="AV1702" s="76"/>
      <c r="AW1702" s="76"/>
      <c r="AX1702" s="76"/>
      <c r="AY1702" s="76"/>
      <c r="AZ1702" s="76"/>
      <c r="BA1702" s="76"/>
      <c r="BB1702" s="76"/>
    </row>
    <row r="1703" spans="5:54" x14ac:dyDescent="0.35">
      <c r="E1703" s="83"/>
      <c r="F1703" s="83"/>
      <c r="G1703" s="76"/>
      <c r="H1703" s="76"/>
      <c r="I1703" s="76"/>
      <c r="J1703" s="76"/>
      <c r="K1703" s="76"/>
      <c r="L1703" s="76"/>
      <c r="M1703" s="76"/>
      <c r="N1703" s="76"/>
      <c r="O1703" s="76"/>
      <c r="P1703" s="76"/>
      <c r="Q1703" s="76"/>
      <c r="R1703" s="76"/>
      <c r="S1703" s="76"/>
      <c r="T1703" s="76"/>
      <c r="U1703" s="76"/>
      <c r="V1703" s="76"/>
      <c r="W1703" s="76"/>
      <c r="X1703" s="76"/>
      <c r="Y1703" s="76"/>
      <c r="Z1703" s="76"/>
      <c r="AA1703" s="76"/>
      <c r="AB1703" s="76"/>
      <c r="AC1703" s="76"/>
      <c r="AD1703" s="76"/>
      <c r="AE1703" s="76"/>
      <c r="AF1703" s="76"/>
      <c r="AG1703" s="76"/>
      <c r="AH1703" s="76"/>
      <c r="AI1703" s="76"/>
      <c r="AJ1703" s="76"/>
      <c r="AK1703" s="76"/>
      <c r="AL1703" s="76"/>
      <c r="AM1703" s="76"/>
      <c r="AN1703" s="76"/>
      <c r="AO1703" s="76"/>
      <c r="AP1703" s="76"/>
      <c r="AQ1703" s="76"/>
      <c r="AR1703" s="76"/>
      <c r="AS1703" s="76"/>
      <c r="AT1703" s="76"/>
      <c r="AU1703" s="76"/>
      <c r="AV1703" s="76"/>
      <c r="AW1703" s="76"/>
      <c r="AX1703" s="76"/>
      <c r="AY1703" s="76"/>
      <c r="AZ1703" s="76"/>
      <c r="BA1703" s="76"/>
      <c r="BB1703" s="76"/>
    </row>
    <row r="1704" spans="5:54" x14ac:dyDescent="0.35">
      <c r="E1704" s="83"/>
      <c r="F1704" s="83"/>
      <c r="G1704" s="76"/>
      <c r="H1704" s="76"/>
      <c r="I1704" s="76"/>
      <c r="J1704" s="76"/>
      <c r="K1704" s="76"/>
      <c r="L1704" s="76"/>
      <c r="M1704" s="76"/>
      <c r="N1704" s="76"/>
      <c r="O1704" s="76"/>
      <c r="P1704" s="76"/>
      <c r="Q1704" s="76"/>
      <c r="R1704" s="76"/>
      <c r="S1704" s="76"/>
      <c r="T1704" s="76"/>
      <c r="U1704" s="76"/>
      <c r="V1704" s="76"/>
      <c r="W1704" s="76"/>
      <c r="X1704" s="76"/>
      <c r="Y1704" s="76"/>
      <c r="Z1704" s="76"/>
      <c r="AA1704" s="76"/>
      <c r="AB1704" s="76"/>
      <c r="AC1704" s="76"/>
      <c r="AD1704" s="76"/>
      <c r="AE1704" s="76"/>
      <c r="AF1704" s="76"/>
      <c r="AG1704" s="76"/>
      <c r="AH1704" s="76"/>
      <c r="AI1704" s="76"/>
      <c r="AJ1704" s="76"/>
      <c r="AK1704" s="76"/>
      <c r="AL1704" s="76"/>
      <c r="AM1704" s="76"/>
      <c r="AN1704" s="76"/>
      <c r="AO1704" s="76"/>
      <c r="AP1704" s="76"/>
      <c r="AQ1704" s="76"/>
      <c r="AR1704" s="76"/>
      <c r="AS1704" s="76"/>
      <c r="AT1704" s="76"/>
      <c r="AU1704" s="76"/>
      <c r="AV1704" s="76"/>
      <c r="AW1704" s="76"/>
      <c r="AX1704" s="76"/>
      <c r="AY1704" s="76"/>
      <c r="AZ1704" s="76"/>
      <c r="BA1704" s="76"/>
      <c r="BB1704" s="76"/>
    </row>
    <row r="1705" spans="5:54" x14ac:dyDescent="0.35">
      <c r="E1705" s="83"/>
      <c r="F1705" s="83"/>
      <c r="G1705" s="76"/>
      <c r="H1705" s="76"/>
      <c r="I1705" s="76"/>
      <c r="J1705" s="76"/>
      <c r="K1705" s="76"/>
      <c r="L1705" s="76"/>
      <c r="M1705" s="76"/>
      <c r="N1705" s="76"/>
      <c r="O1705" s="76"/>
      <c r="P1705" s="76"/>
      <c r="Q1705" s="76"/>
      <c r="R1705" s="76"/>
      <c r="S1705" s="76"/>
      <c r="T1705" s="76"/>
      <c r="U1705" s="76"/>
      <c r="V1705" s="76"/>
      <c r="W1705" s="76"/>
      <c r="X1705" s="76"/>
      <c r="Y1705" s="76"/>
      <c r="Z1705" s="76"/>
      <c r="AA1705" s="76"/>
      <c r="AB1705" s="76"/>
      <c r="AC1705" s="76"/>
      <c r="AD1705" s="76"/>
      <c r="AE1705" s="76"/>
      <c r="AF1705" s="76"/>
      <c r="AG1705" s="76"/>
      <c r="AH1705" s="76"/>
      <c r="AI1705" s="76"/>
      <c r="AJ1705" s="76"/>
      <c r="AK1705" s="76"/>
      <c r="AL1705" s="76"/>
      <c r="AM1705" s="76"/>
      <c r="AN1705" s="76"/>
      <c r="AO1705" s="76"/>
      <c r="AP1705" s="76"/>
      <c r="AQ1705" s="76"/>
      <c r="AR1705" s="76"/>
      <c r="AS1705" s="76"/>
      <c r="AT1705" s="76"/>
      <c r="AU1705" s="76"/>
      <c r="AV1705" s="76"/>
      <c r="AW1705" s="76"/>
      <c r="AX1705" s="76"/>
      <c r="AY1705" s="76"/>
      <c r="AZ1705" s="76"/>
      <c r="BA1705" s="76"/>
      <c r="BB1705" s="76"/>
    </row>
    <row r="1706" spans="5:54" x14ac:dyDescent="0.35">
      <c r="E1706" s="83"/>
      <c r="F1706" s="83"/>
      <c r="G1706" s="76"/>
      <c r="H1706" s="76"/>
      <c r="I1706" s="76"/>
      <c r="J1706" s="76"/>
      <c r="K1706" s="76"/>
      <c r="L1706" s="76"/>
      <c r="M1706" s="76"/>
      <c r="N1706" s="76"/>
      <c r="O1706" s="76"/>
      <c r="P1706" s="76"/>
      <c r="Q1706" s="76"/>
      <c r="R1706" s="76"/>
      <c r="S1706" s="76"/>
      <c r="T1706" s="76"/>
      <c r="U1706" s="76"/>
      <c r="V1706" s="76"/>
      <c r="W1706" s="76"/>
      <c r="X1706" s="76"/>
      <c r="Y1706" s="76"/>
      <c r="Z1706" s="76"/>
      <c r="AA1706" s="76"/>
      <c r="AB1706" s="76"/>
      <c r="AC1706" s="76"/>
      <c r="AD1706" s="76"/>
      <c r="AE1706" s="76"/>
      <c r="AF1706" s="76"/>
      <c r="AG1706" s="76"/>
      <c r="AH1706" s="76"/>
      <c r="AI1706" s="76"/>
      <c r="AJ1706" s="76"/>
      <c r="AK1706" s="76"/>
      <c r="AL1706" s="76"/>
      <c r="AM1706" s="76"/>
      <c r="AN1706" s="76"/>
      <c r="AO1706" s="76"/>
      <c r="AP1706" s="76"/>
      <c r="AQ1706" s="76"/>
      <c r="AR1706" s="76"/>
      <c r="AS1706" s="76"/>
      <c r="AT1706" s="76"/>
      <c r="AU1706" s="76"/>
      <c r="AV1706" s="76"/>
      <c r="AW1706" s="76"/>
      <c r="AX1706" s="76"/>
      <c r="AY1706" s="76"/>
      <c r="AZ1706" s="76"/>
      <c r="BA1706" s="76"/>
      <c r="BB1706" s="76"/>
    </row>
    <row r="1707" spans="5:54" x14ac:dyDescent="0.35">
      <c r="E1707" s="83"/>
      <c r="F1707" s="83"/>
      <c r="G1707" s="76"/>
      <c r="H1707" s="76"/>
      <c r="I1707" s="76"/>
      <c r="J1707" s="76"/>
      <c r="K1707" s="76"/>
      <c r="L1707" s="76"/>
      <c r="M1707" s="76"/>
      <c r="N1707" s="76"/>
      <c r="O1707" s="76"/>
      <c r="P1707" s="76"/>
      <c r="Q1707" s="76"/>
      <c r="R1707" s="76"/>
      <c r="S1707" s="76"/>
      <c r="T1707" s="76"/>
      <c r="U1707" s="76"/>
      <c r="V1707" s="76"/>
      <c r="W1707" s="76"/>
      <c r="X1707" s="76"/>
      <c r="Y1707" s="76"/>
      <c r="Z1707" s="76"/>
      <c r="AA1707" s="76"/>
      <c r="AB1707" s="76"/>
      <c r="AC1707" s="76"/>
      <c r="AD1707" s="76"/>
      <c r="AE1707" s="76"/>
      <c r="AF1707" s="76"/>
      <c r="AG1707" s="76"/>
      <c r="AH1707" s="76"/>
      <c r="AI1707" s="76"/>
      <c r="AJ1707" s="76"/>
      <c r="AK1707" s="76"/>
      <c r="AL1707" s="76"/>
      <c r="AM1707" s="76"/>
      <c r="AN1707" s="76"/>
      <c r="AO1707" s="76"/>
      <c r="AP1707" s="76"/>
      <c r="AQ1707" s="76"/>
      <c r="AR1707" s="76"/>
      <c r="AS1707" s="76"/>
      <c r="AT1707" s="76"/>
      <c r="AU1707" s="76"/>
      <c r="AV1707" s="76"/>
      <c r="AW1707" s="76"/>
      <c r="AX1707" s="76"/>
      <c r="AY1707" s="76"/>
      <c r="AZ1707" s="76"/>
      <c r="BA1707" s="76"/>
      <c r="BB1707" s="76"/>
    </row>
    <row r="1708" spans="5:54" x14ac:dyDescent="0.35">
      <c r="E1708" s="83"/>
      <c r="F1708" s="83"/>
      <c r="G1708" s="76"/>
      <c r="H1708" s="76"/>
      <c r="I1708" s="76"/>
      <c r="J1708" s="76"/>
      <c r="K1708" s="76"/>
      <c r="L1708" s="76"/>
      <c r="M1708" s="76"/>
      <c r="N1708" s="76"/>
      <c r="O1708" s="76"/>
      <c r="P1708" s="76"/>
      <c r="Q1708" s="76"/>
      <c r="R1708" s="76"/>
      <c r="S1708" s="76"/>
      <c r="T1708" s="76"/>
      <c r="U1708" s="76"/>
      <c r="V1708" s="76"/>
      <c r="W1708" s="76"/>
      <c r="X1708" s="76"/>
      <c r="Y1708" s="76"/>
      <c r="Z1708" s="76"/>
      <c r="AA1708" s="76"/>
      <c r="AB1708" s="76"/>
      <c r="AC1708" s="76"/>
      <c r="AD1708" s="76"/>
      <c r="AE1708" s="76"/>
      <c r="AF1708" s="76"/>
      <c r="AG1708" s="76"/>
      <c r="AH1708" s="76"/>
      <c r="AI1708" s="76"/>
      <c r="AJ1708" s="76"/>
      <c r="AK1708" s="76"/>
      <c r="AL1708" s="76"/>
      <c r="AM1708" s="76"/>
      <c r="AN1708" s="76"/>
      <c r="AO1708" s="76"/>
      <c r="AP1708" s="76"/>
      <c r="AQ1708" s="76"/>
      <c r="AR1708" s="76"/>
      <c r="AS1708" s="76"/>
      <c r="AT1708" s="76"/>
      <c r="AU1708" s="76"/>
      <c r="AV1708" s="76"/>
      <c r="AW1708" s="76"/>
      <c r="AX1708" s="76"/>
      <c r="AY1708" s="76"/>
      <c r="AZ1708" s="76"/>
      <c r="BA1708" s="76"/>
      <c r="BB1708" s="76"/>
    </row>
    <row r="1709" spans="5:54" x14ac:dyDescent="0.35">
      <c r="E1709" s="83"/>
      <c r="F1709" s="83"/>
      <c r="G1709" s="76"/>
      <c r="H1709" s="76"/>
      <c r="I1709" s="76"/>
      <c r="J1709" s="76"/>
      <c r="K1709" s="76"/>
      <c r="L1709" s="76"/>
      <c r="M1709" s="76"/>
      <c r="N1709" s="76"/>
      <c r="O1709" s="76"/>
      <c r="P1709" s="76"/>
      <c r="Q1709" s="76"/>
      <c r="R1709" s="76"/>
      <c r="S1709" s="76"/>
      <c r="T1709" s="76"/>
      <c r="U1709" s="76"/>
      <c r="V1709" s="76"/>
      <c r="W1709" s="76"/>
      <c r="X1709" s="76"/>
      <c r="Y1709" s="76"/>
      <c r="Z1709" s="76"/>
      <c r="AA1709" s="76"/>
      <c r="AB1709" s="76"/>
      <c r="AC1709" s="76"/>
      <c r="AD1709" s="76"/>
      <c r="AE1709" s="76"/>
      <c r="AF1709" s="76"/>
      <c r="AG1709" s="76"/>
      <c r="AH1709" s="76"/>
      <c r="AI1709" s="76"/>
      <c r="AJ1709" s="76"/>
      <c r="AK1709" s="76"/>
      <c r="AL1709" s="76"/>
      <c r="AM1709" s="76"/>
      <c r="AN1709" s="76"/>
      <c r="AO1709" s="76"/>
      <c r="AP1709" s="76"/>
      <c r="AQ1709" s="76"/>
      <c r="AR1709" s="76"/>
      <c r="AS1709" s="76"/>
      <c r="AT1709" s="76"/>
      <c r="AU1709" s="76"/>
      <c r="AV1709" s="76"/>
      <c r="AW1709" s="76"/>
      <c r="AX1709" s="76"/>
      <c r="AY1709" s="76"/>
      <c r="AZ1709" s="76"/>
      <c r="BA1709" s="76"/>
      <c r="BB1709" s="76"/>
    </row>
    <row r="1710" spans="5:54" x14ac:dyDescent="0.35">
      <c r="E1710" s="83"/>
      <c r="F1710" s="83"/>
      <c r="G1710" s="76"/>
      <c r="H1710" s="76"/>
      <c r="I1710" s="76"/>
      <c r="J1710" s="76"/>
      <c r="K1710" s="76"/>
      <c r="L1710" s="76"/>
      <c r="M1710" s="76"/>
      <c r="N1710" s="76"/>
      <c r="O1710" s="76"/>
      <c r="P1710" s="76"/>
      <c r="Q1710" s="76"/>
      <c r="R1710" s="76"/>
      <c r="S1710" s="76"/>
      <c r="T1710" s="76"/>
      <c r="U1710" s="76"/>
      <c r="V1710" s="76"/>
      <c r="W1710" s="76"/>
      <c r="X1710" s="76"/>
      <c r="Y1710" s="76"/>
      <c r="Z1710" s="76"/>
      <c r="AA1710" s="76"/>
      <c r="AB1710" s="76"/>
      <c r="AC1710" s="76"/>
      <c r="AD1710" s="76"/>
      <c r="AE1710" s="76"/>
      <c r="AF1710" s="76"/>
      <c r="AG1710" s="76"/>
      <c r="AH1710" s="76"/>
      <c r="AI1710" s="76"/>
      <c r="AJ1710" s="76"/>
      <c r="AK1710" s="76"/>
      <c r="AL1710" s="76"/>
      <c r="AM1710" s="76"/>
      <c r="AN1710" s="76"/>
      <c r="AO1710" s="76"/>
      <c r="AP1710" s="76"/>
      <c r="AQ1710" s="76"/>
      <c r="AR1710" s="76"/>
      <c r="AS1710" s="76"/>
      <c r="AT1710" s="76"/>
      <c r="AU1710" s="76"/>
      <c r="AV1710" s="76"/>
      <c r="AW1710" s="76"/>
      <c r="AX1710" s="76"/>
      <c r="AY1710" s="76"/>
      <c r="AZ1710" s="76"/>
      <c r="BA1710" s="76"/>
      <c r="BB1710" s="76"/>
    </row>
    <row r="1711" spans="5:54" x14ac:dyDescent="0.35">
      <c r="E1711" s="83"/>
      <c r="F1711" s="83"/>
      <c r="G1711" s="76"/>
      <c r="H1711" s="76"/>
      <c r="I1711" s="76"/>
      <c r="J1711" s="76"/>
      <c r="K1711" s="76"/>
      <c r="L1711" s="76"/>
      <c r="M1711" s="76"/>
      <c r="N1711" s="76"/>
      <c r="O1711" s="76"/>
      <c r="P1711" s="76"/>
      <c r="Q1711" s="76"/>
      <c r="R1711" s="76"/>
      <c r="S1711" s="76"/>
      <c r="T1711" s="76"/>
      <c r="U1711" s="76"/>
      <c r="V1711" s="76"/>
      <c r="W1711" s="76"/>
      <c r="X1711" s="76"/>
      <c r="Y1711" s="76"/>
      <c r="Z1711" s="76"/>
      <c r="AA1711" s="76"/>
      <c r="AB1711" s="76"/>
      <c r="AC1711" s="76"/>
      <c r="AD1711" s="76"/>
      <c r="AE1711" s="76"/>
      <c r="AF1711" s="76"/>
      <c r="AG1711" s="76"/>
      <c r="AH1711" s="76"/>
      <c r="AI1711" s="76"/>
      <c r="AJ1711" s="76"/>
      <c r="AK1711" s="76"/>
      <c r="AL1711" s="76"/>
      <c r="AM1711" s="76"/>
      <c r="AN1711" s="76"/>
      <c r="AO1711" s="76"/>
      <c r="AP1711" s="76"/>
      <c r="AQ1711" s="76"/>
      <c r="AR1711" s="76"/>
      <c r="AS1711" s="76"/>
      <c r="AT1711" s="76"/>
      <c r="AU1711" s="76"/>
      <c r="AV1711" s="76"/>
      <c r="AW1711" s="76"/>
      <c r="AX1711" s="76"/>
      <c r="AY1711" s="76"/>
      <c r="AZ1711" s="76"/>
      <c r="BA1711" s="76"/>
      <c r="BB1711" s="76"/>
    </row>
    <row r="1712" spans="5:54" x14ac:dyDescent="0.35">
      <c r="E1712" s="83"/>
      <c r="F1712" s="83"/>
      <c r="G1712" s="76"/>
      <c r="H1712" s="76"/>
      <c r="I1712" s="76"/>
      <c r="J1712" s="76"/>
      <c r="K1712" s="76"/>
      <c r="L1712" s="76"/>
      <c r="M1712" s="76"/>
      <c r="N1712" s="76"/>
      <c r="O1712" s="76"/>
      <c r="P1712" s="76"/>
      <c r="Q1712" s="76"/>
      <c r="R1712" s="76"/>
      <c r="S1712" s="76"/>
      <c r="T1712" s="76"/>
      <c r="U1712" s="76"/>
      <c r="V1712" s="76"/>
      <c r="W1712" s="76"/>
      <c r="X1712" s="76"/>
      <c r="Y1712" s="76"/>
      <c r="Z1712" s="76"/>
      <c r="AA1712" s="76"/>
      <c r="AB1712" s="76"/>
      <c r="AC1712" s="76"/>
      <c r="AD1712" s="76"/>
      <c r="AE1712" s="76"/>
      <c r="AF1712" s="76"/>
      <c r="AG1712" s="76"/>
      <c r="AH1712" s="76"/>
      <c r="AI1712" s="76"/>
      <c r="AJ1712" s="76"/>
      <c r="AK1712" s="76"/>
      <c r="AL1712" s="76"/>
      <c r="AM1712" s="76"/>
      <c r="AN1712" s="76"/>
      <c r="AO1712" s="76"/>
      <c r="AP1712" s="76"/>
      <c r="AQ1712" s="76"/>
      <c r="AR1712" s="76"/>
      <c r="AS1712" s="76"/>
      <c r="AT1712" s="76"/>
      <c r="AU1712" s="76"/>
      <c r="AV1712" s="76"/>
      <c r="AW1712" s="76"/>
      <c r="AX1712" s="76"/>
      <c r="AY1712" s="76"/>
      <c r="AZ1712" s="76"/>
      <c r="BA1712" s="76"/>
      <c r="BB1712" s="76"/>
    </row>
    <row r="1713" spans="5:54" x14ac:dyDescent="0.35">
      <c r="E1713" s="83"/>
      <c r="F1713" s="83"/>
      <c r="G1713" s="76"/>
      <c r="H1713" s="76"/>
      <c r="I1713" s="76"/>
      <c r="J1713" s="76"/>
      <c r="K1713" s="76"/>
      <c r="L1713" s="76"/>
      <c r="M1713" s="76"/>
      <c r="N1713" s="76"/>
      <c r="O1713" s="76"/>
      <c r="P1713" s="76"/>
      <c r="Q1713" s="76"/>
      <c r="R1713" s="76"/>
      <c r="S1713" s="76"/>
      <c r="T1713" s="76"/>
      <c r="U1713" s="76"/>
      <c r="V1713" s="76"/>
      <c r="W1713" s="76"/>
      <c r="X1713" s="76"/>
      <c r="Y1713" s="76"/>
      <c r="Z1713" s="76"/>
      <c r="AA1713" s="76"/>
      <c r="AB1713" s="76"/>
      <c r="AC1713" s="76"/>
      <c r="AD1713" s="76"/>
      <c r="AE1713" s="76"/>
      <c r="AF1713" s="76"/>
      <c r="AG1713" s="76"/>
      <c r="AH1713" s="76"/>
      <c r="AI1713" s="76"/>
      <c r="AJ1713" s="76"/>
      <c r="AK1713" s="76"/>
      <c r="AL1713" s="76"/>
      <c r="AM1713" s="76"/>
      <c r="AN1713" s="76"/>
      <c r="AO1713" s="76"/>
      <c r="AP1713" s="76"/>
      <c r="AQ1713" s="76"/>
      <c r="AR1713" s="76"/>
      <c r="AS1713" s="76"/>
      <c r="AT1713" s="76"/>
      <c r="AU1713" s="76"/>
      <c r="AV1713" s="76"/>
      <c r="AW1713" s="76"/>
      <c r="AX1713" s="76"/>
      <c r="AY1713" s="76"/>
      <c r="AZ1713" s="76"/>
      <c r="BA1713" s="76"/>
      <c r="BB1713" s="76"/>
    </row>
    <row r="1714" spans="5:54" x14ac:dyDescent="0.35">
      <c r="E1714" s="83"/>
      <c r="F1714" s="83"/>
      <c r="G1714" s="76"/>
      <c r="H1714" s="76"/>
      <c r="I1714" s="76"/>
      <c r="J1714" s="76"/>
      <c r="K1714" s="76"/>
      <c r="L1714" s="76"/>
      <c r="M1714" s="76"/>
      <c r="N1714" s="76"/>
      <c r="O1714" s="76"/>
      <c r="P1714" s="76"/>
      <c r="Q1714" s="76"/>
      <c r="R1714" s="76"/>
      <c r="S1714" s="76"/>
      <c r="T1714" s="76"/>
      <c r="U1714" s="76"/>
      <c r="V1714" s="76"/>
      <c r="W1714" s="76"/>
      <c r="X1714" s="76"/>
      <c r="Y1714" s="76"/>
      <c r="Z1714" s="76"/>
      <c r="AA1714" s="76"/>
      <c r="AB1714" s="76"/>
      <c r="AC1714" s="76"/>
      <c r="AD1714" s="76"/>
      <c r="AE1714" s="76"/>
      <c r="AF1714" s="76"/>
      <c r="AG1714" s="76"/>
      <c r="AH1714" s="76"/>
      <c r="AI1714" s="76"/>
      <c r="AJ1714" s="76"/>
      <c r="AK1714" s="76"/>
      <c r="AL1714" s="76"/>
      <c r="AM1714" s="76"/>
      <c r="AN1714" s="76"/>
      <c r="AO1714" s="76"/>
      <c r="AP1714" s="76"/>
      <c r="AQ1714" s="76"/>
      <c r="AR1714" s="76"/>
      <c r="AS1714" s="76"/>
      <c r="AT1714" s="76"/>
      <c r="AU1714" s="76"/>
      <c r="AV1714" s="76"/>
      <c r="AW1714" s="76"/>
      <c r="AX1714" s="76"/>
      <c r="AY1714" s="76"/>
      <c r="AZ1714" s="76"/>
      <c r="BA1714" s="76"/>
      <c r="BB1714" s="76"/>
    </row>
    <row r="1715" spans="5:54" x14ac:dyDescent="0.35">
      <c r="E1715" s="83"/>
      <c r="F1715" s="83"/>
      <c r="G1715" s="76"/>
      <c r="H1715" s="76"/>
      <c r="I1715" s="76"/>
      <c r="J1715" s="76"/>
      <c r="K1715" s="76"/>
      <c r="L1715" s="76"/>
      <c r="M1715" s="76"/>
      <c r="N1715" s="76"/>
      <c r="O1715" s="76"/>
      <c r="P1715" s="76"/>
      <c r="Q1715" s="76"/>
      <c r="R1715" s="76"/>
      <c r="S1715" s="76"/>
      <c r="T1715" s="76"/>
      <c r="U1715" s="76"/>
      <c r="V1715" s="76"/>
      <c r="W1715" s="76"/>
      <c r="X1715" s="76"/>
      <c r="Y1715" s="76"/>
      <c r="Z1715" s="76"/>
      <c r="AA1715" s="76"/>
      <c r="AB1715" s="76"/>
      <c r="AC1715" s="76"/>
      <c r="AD1715" s="76"/>
      <c r="AE1715" s="76"/>
      <c r="AF1715" s="76"/>
      <c r="AG1715" s="76"/>
      <c r="AH1715" s="76"/>
      <c r="AI1715" s="76"/>
      <c r="AJ1715" s="76"/>
      <c r="AK1715" s="76"/>
      <c r="AL1715" s="76"/>
      <c r="AM1715" s="76"/>
      <c r="AN1715" s="76"/>
      <c r="AO1715" s="76"/>
      <c r="AP1715" s="76"/>
      <c r="AQ1715" s="76"/>
      <c r="AR1715" s="76"/>
      <c r="AS1715" s="76"/>
      <c r="AT1715" s="76"/>
      <c r="AU1715" s="76"/>
      <c r="AV1715" s="76"/>
      <c r="AW1715" s="76"/>
      <c r="AX1715" s="76"/>
      <c r="AY1715" s="76"/>
      <c r="AZ1715" s="76"/>
      <c r="BA1715" s="76"/>
      <c r="BB1715" s="76"/>
    </row>
    <row r="1716" spans="5:54" x14ac:dyDescent="0.35">
      <c r="E1716" s="83"/>
      <c r="F1716" s="83"/>
      <c r="G1716" s="76"/>
      <c r="H1716" s="76"/>
      <c r="I1716" s="76"/>
      <c r="J1716" s="76"/>
      <c r="K1716" s="76"/>
      <c r="L1716" s="76"/>
      <c r="M1716" s="76"/>
      <c r="N1716" s="76"/>
      <c r="O1716" s="76"/>
      <c r="P1716" s="76"/>
      <c r="Q1716" s="76"/>
      <c r="R1716" s="76"/>
      <c r="S1716" s="76"/>
      <c r="T1716" s="76"/>
      <c r="U1716" s="76"/>
      <c r="V1716" s="76"/>
      <c r="W1716" s="76"/>
      <c r="X1716" s="76"/>
      <c r="Y1716" s="76"/>
      <c r="Z1716" s="76"/>
      <c r="AA1716" s="76"/>
      <c r="AB1716" s="76"/>
      <c r="AC1716" s="76"/>
      <c r="AD1716" s="76"/>
      <c r="AE1716" s="76"/>
      <c r="AF1716" s="76"/>
      <c r="AG1716" s="76"/>
      <c r="AH1716" s="76"/>
      <c r="AI1716" s="76"/>
      <c r="AJ1716" s="76"/>
      <c r="AK1716" s="76"/>
      <c r="AL1716" s="76"/>
      <c r="AM1716" s="76"/>
      <c r="AN1716" s="76"/>
      <c r="AO1716" s="76"/>
      <c r="AP1716" s="76"/>
      <c r="AQ1716" s="76"/>
      <c r="AR1716" s="76"/>
      <c r="AS1716" s="76"/>
      <c r="AT1716" s="76"/>
      <c r="AU1716" s="76"/>
      <c r="AV1716" s="76"/>
      <c r="AW1716" s="76"/>
      <c r="AX1716" s="76"/>
      <c r="AY1716" s="76"/>
      <c r="AZ1716" s="76"/>
      <c r="BA1716" s="76"/>
      <c r="BB1716" s="76"/>
    </row>
    <row r="1717" spans="5:54" x14ac:dyDescent="0.35">
      <c r="E1717" s="83"/>
      <c r="F1717" s="83"/>
      <c r="G1717" s="76"/>
      <c r="H1717" s="76"/>
      <c r="I1717" s="76"/>
      <c r="J1717" s="76"/>
      <c r="K1717" s="76"/>
      <c r="L1717" s="76"/>
      <c r="M1717" s="76"/>
      <c r="N1717" s="76"/>
      <c r="O1717" s="76"/>
      <c r="P1717" s="76"/>
      <c r="Q1717" s="76"/>
      <c r="R1717" s="76"/>
      <c r="S1717" s="76"/>
      <c r="T1717" s="76"/>
      <c r="U1717" s="76"/>
      <c r="V1717" s="76"/>
      <c r="W1717" s="76"/>
      <c r="X1717" s="76"/>
      <c r="Y1717" s="76"/>
      <c r="Z1717" s="76"/>
      <c r="AA1717" s="76"/>
      <c r="AB1717" s="76"/>
      <c r="AC1717" s="76"/>
      <c r="AD1717" s="76"/>
      <c r="AE1717" s="76"/>
      <c r="AF1717" s="76"/>
      <c r="AG1717" s="76"/>
      <c r="AH1717" s="76"/>
      <c r="AI1717" s="76"/>
      <c r="AJ1717" s="76"/>
      <c r="AK1717" s="76"/>
      <c r="AL1717" s="76"/>
      <c r="AM1717" s="76"/>
      <c r="AN1717" s="76"/>
      <c r="AO1717" s="76"/>
      <c r="AP1717" s="76"/>
      <c r="AQ1717" s="76"/>
      <c r="AR1717" s="76"/>
      <c r="AS1717" s="76"/>
      <c r="AT1717" s="76"/>
      <c r="AU1717" s="76"/>
      <c r="AV1717" s="76"/>
      <c r="AW1717" s="76"/>
      <c r="AX1717" s="76"/>
      <c r="AY1717" s="76"/>
      <c r="AZ1717" s="76"/>
      <c r="BA1717" s="76"/>
      <c r="BB1717" s="76"/>
    </row>
    <row r="1718" spans="5:54" x14ac:dyDescent="0.35">
      <c r="E1718" s="83"/>
      <c r="F1718" s="83"/>
      <c r="G1718" s="76"/>
      <c r="H1718" s="76"/>
      <c r="I1718" s="76"/>
      <c r="J1718" s="76"/>
      <c r="K1718" s="76"/>
      <c r="L1718" s="76"/>
      <c r="M1718" s="76"/>
      <c r="N1718" s="76"/>
      <c r="O1718" s="76"/>
      <c r="P1718" s="76"/>
      <c r="Q1718" s="76"/>
      <c r="R1718" s="76"/>
      <c r="S1718" s="76"/>
      <c r="T1718" s="76"/>
      <c r="U1718" s="76"/>
      <c r="V1718" s="76"/>
      <c r="W1718" s="76"/>
      <c r="X1718" s="76"/>
      <c r="Y1718" s="76"/>
      <c r="Z1718" s="76"/>
      <c r="AA1718" s="76"/>
      <c r="AB1718" s="76"/>
      <c r="AC1718" s="76"/>
      <c r="AD1718" s="76"/>
      <c r="AE1718" s="76"/>
      <c r="AF1718" s="76"/>
      <c r="AG1718" s="76"/>
      <c r="AH1718" s="76"/>
      <c r="AI1718" s="76"/>
      <c r="AJ1718" s="76"/>
      <c r="AK1718" s="76"/>
      <c r="AL1718" s="76"/>
      <c r="AM1718" s="76"/>
      <c r="AN1718" s="76"/>
      <c r="AO1718" s="76"/>
      <c r="AP1718" s="76"/>
      <c r="AQ1718" s="76"/>
      <c r="AR1718" s="76"/>
      <c r="AS1718" s="76"/>
      <c r="AT1718" s="76"/>
      <c r="AU1718" s="76"/>
      <c r="AV1718" s="76"/>
      <c r="AW1718" s="76"/>
      <c r="AX1718" s="76"/>
      <c r="AY1718" s="76"/>
      <c r="AZ1718" s="76"/>
      <c r="BA1718" s="76"/>
      <c r="BB1718" s="76"/>
    </row>
    <row r="1719" spans="5:54" x14ac:dyDescent="0.35">
      <c r="E1719" s="83"/>
      <c r="F1719" s="83"/>
      <c r="G1719" s="76"/>
      <c r="H1719" s="76"/>
      <c r="I1719" s="76"/>
      <c r="J1719" s="76"/>
      <c r="K1719" s="76"/>
      <c r="L1719" s="76"/>
      <c r="M1719" s="76"/>
      <c r="N1719" s="76"/>
      <c r="O1719" s="76"/>
      <c r="P1719" s="76"/>
      <c r="Q1719" s="76"/>
      <c r="R1719" s="76"/>
      <c r="S1719" s="76"/>
      <c r="T1719" s="76"/>
      <c r="U1719" s="76"/>
      <c r="V1719" s="76"/>
      <c r="W1719" s="76"/>
      <c r="X1719" s="76"/>
      <c r="Y1719" s="76"/>
      <c r="Z1719" s="76"/>
      <c r="AA1719" s="76"/>
      <c r="AB1719" s="76"/>
      <c r="AC1719" s="76"/>
      <c r="AD1719" s="76"/>
      <c r="AE1719" s="76"/>
      <c r="AF1719" s="76"/>
      <c r="AG1719" s="76"/>
      <c r="AH1719" s="76"/>
      <c r="AI1719" s="76"/>
      <c r="AJ1719" s="76"/>
      <c r="AK1719" s="76"/>
      <c r="AL1719" s="76"/>
      <c r="AM1719" s="76"/>
      <c r="AN1719" s="76"/>
      <c r="AO1719" s="76"/>
      <c r="AP1719" s="76"/>
      <c r="AQ1719" s="76"/>
      <c r="AR1719" s="76"/>
      <c r="AS1719" s="76"/>
      <c r="AT1719" s="76"/>
      <c r="AU1719" s="76"/>
      <c r="AV1719" s="76"/>
      <c r="AW1719" s="76"/>
      <c r="AX1719" s="76"/>
      <c r="AY1719" s="76"/>
      <c r="AZ1719" s="76"/>
      <c r="BA1719" s="76"/>
      <c r="BB1719" s="76"/>
    </row>
    <row r="1720" spans="5:54" x14ac:dyDescent="0.35">
      <c r="E1720" s="83"/>
      <c r="F1720" s="83"/>
      <c r="G1720" s="76"/>
      <c r="H1720" s="76"/>
      <c r="I1720" s="76"/>
      <c r="J1720" s="76"/>
      <c r="K1720" s="76"/>
      <c r="L1720" s="76"/>
      <c r="M1720" s="76"/>
      <c r="N1720" s="76"/>
      <c r="O1720" s="76"/>
      <c r="P1720" s="76"/>
      <c r="Q1720" s="76"/>
      <c r="R1720" s="76"/>
      <c r="S1720" s="76"/>
      <c r="T1720" s="76"/>
      <c r="U1720" s="76"/>
      <c r="V1720" s="76"/>
      <c r="W1720" s="76"/>
      <c r="X1720" s="76"/>
      <c r="Y1720" s="76"/>
      <c r="Z1720" s="76"/>
      <c r="AA1720" s="76"/>
      <c r="AB1720" s="76"/>
      <c r="AC1720" s="76"/>
      <c r="AD1720" s="76"/>
      <c r="AE1720" s="76"/>
      <c r="AF1720" s="76"/>
      <c r="AG1720" s="76"/>
      <c r="AH1720" s="76"/>
      <c r="AI1720" s="76"/>
      <c r="AJ1720" s="76"/>
      <c r="AK1720" s="76"/>
      <c r="AL1720" s="76"/>
      <c r="AM1720" s="76"/>
      <c r="AN1720" s="76"/>
      <c r="AO1720" s="76"/>
      <c r="AP1720" s="76"/>
      <c r="AQ1720" s="76"/>
      <c r="AR1720" s="76"/>
      <c r="AS1720" s="76"/>
      <c r="AT1720" s="76"/>
      <c r="AU1720" s="76"/>
      <c r="AV1720" s="76"/>
      <c r="AW1720" s="76"/>
      <c r="AX1720" s="76"/>
      <c r="AY1720" s="76"/>
      <c r="AZ1720" s="76"/>
      <c r="BA1720" s="76"/>
      <c r="BB1720" s="76"/>
    </row>
    <row r="1721" spans="5:54" x14ac:dyDescent="0.35">
      <c r="E1721" s="83"/>
      <c r="F1721" s="83"/>
      <c r="G1721" s="76"/>
      <c r="H1721" s="76"/>
      <c r="I1721" s="76"/>
      <c r="J1721" s="76"/>
      <c r="K1721" s="76"/>
      <c r="L1721" s="76"/>
      <c r="M1721" s="76"/>
      <c r="N1721" s="76"/>
      <c r="O1721" s="76"/>
      <c r="P1721" s="76"/>
      <c r="Q1721" s="76"/>
      <c r="R1721" s="76"/>
      <c r="S1721" s="76"/>
      <c r="T1721" s="76"/>
      <c r="U1721" s="76"/>
      <c r="V1721" s="76"/>
      <c r="W1721" s="76"/>
      <c r="X1721" s="76"/>
      <c r="Y1721" s="76"/>
      <c r="Z1721" s="76"/>
      <c r="AA1721" s="76"/>
      <c r="AB1721" s="76"/>
      <c r="AC1721" s="76"/>
      <c r="AD1721" s="76"/>
      <c r="AE1721" s="76"/>
      <c r="AF1721" s="76"/>
      <c r="AG1721" s="76"/>
      <c r="AH1721" s="76"/>
      <c r="AI1721" s="76"/>
      <c r="AJ1721" s="76"/>
      <c r="AK1721" s="76"/>
      <c r="AL1721" s="76"/>
      <c r="AM1721" s="76"/>
      <c r="AN1721" s="76"/>
      <c r="AO1721" s="76"/>
      <c r="AP1721" s="76"/>
      <c r="AQ1721" s="76"/>
      <c r="AR1721" s="76"/>
      <c r="AS1721" s="76"/>
      <c r="AT1721" s="76"/>
      <c r="AU1721" s="76"/>
      <c r="AV1721" s="76"/>
      <c r="AW1721" s="76"/>
      <c r="AX1721" s="76"/>
      <c r="AY1721" s="76"/>
      <c r="AZ1721" s="76"/>
      <c r="BA1721" s="76"/>
      <c r="BB1721" s="76"/>
    </row>
    <row r="1722" spans="5:54" x14ac:dyDescent="0.35">
      <c r="E1722" s="83"/>
      <c r="F1722" s="83"/>
      <c r="G1722" s="76"/>
      <c r="H1722" s="76"/>
      <c r="I1722" s="76"/>
      <c r="J1722" s="76"/>
      <c r="K1722" s="76"/>
      <c r="L1722" s="76"/>
      <c r="M1722" s="76"/>
      <c r="N1722" s="76"/>
      <c r="O1722" s="76"/>
      <c r="P1722" s="76"/>
      <c r="Q1722" s="76"/>
      <c r="R1722" s="76"/>
      <c r="S1722" s="76"/>
      <c r="T1722" s="76"/>
      <c r="U1722" s="76"/>
      <c r="V1722" s="76"/>
      <c r="W1722" s="76"/>
      <c r="X1722" s="76"/>
      <c r="Y1722" s="76"/>
      <c r="Z1722" s="76"/>
      <c r="AA1722" s="76"/>
      <c r="AB1722" s="76"/>
      <c r="AC1722" s="76"/>
      <c r="AD1722" s="76"/>
      <c r="AE1722" s="76"/>
      <c r="AF1722" s="76"/>
      <c r="AG1722" s="76"/>
      <c r="AH1722" s="76"/>
      <c r="AI1722" s="76"/>
      <c r="AJ1722" s="76"/>
      <c r="AK1722" s="76"/>
      <c r="AL1722" s="76"/>
      <c r="AM1722" s="76"/>
      <c r="AN1722" s="76"/>
      <c r="AO1722" s="76"/>
      <c r="AP1722" s="76"/>
      <c r="AQ1722" s="76"/>
      <c r="AR1722" s="76"/>
      <c r="AS1722" s="76"/>
      <c r="AT1722" s="76"/>
      <c r="AU1722" s="76"/>
      <c r="AV1722" s="76"/>
      <c r="AW1722" s="76"/>
      <c r="AX1722" s="76"/>
      <c r="AY1722" s="76"/>
      <c r="AZ1722" s="76"/>
      <c r="BA1722" s="76"/>
      <c r="BB1722" s="76"/>
    </row>
    <row r="1723" spans="5:54" x14ac:dyDescent="0.35">
      <c r="E1723" s="83"/>
      <c r="F1723" s="83"/>
      <c r="G1723" s="76"/>
      <c r="H1723" s="76"/>
      <c r="I1723" s="76"/>
      <c r="J1723" s="76"/>
      <c r="K1723" s="76"/>
      <c r="L1723" s="76"/>
      <c r="M1723" s="76"/>
      <c r="N1723" s="76"/>
      <c r="O1723" s="76"/>
      <c r="P1723" s="76"/>
      <c r="Q1723" s="76"/>
      <c r="R1723" s="76"/>
      <c r="S1723" s="76"/>
      <c r="T1723" s="76"/>
      <c r="U1723" s="76"/>
      <c r="V1723" s="76"/>
      <c r="W1723" s="76"/>
      <c r="X1723" s="76"/>
      <c r="Y1723" s="76"/>
      <c r="Z1723" s="76"/>
      <c r="AA1723" s="76"/>
      <c r="AB1723" s="76"/>
      <c r="AC1723" s="76"/>
      <c r="AD1723" s="76"/>
      <c r="AE1723" s="76"/>
      <c r="AF1723" s="76"/>
      <c r="AG1723" s="76"/>
      <c r="AH1723" s="76"/>
      <c r="AI1723" s="76"/>
      <c r="AJ1723" s="76"/>
      <c r="AK1723" s="76"/>
      <c r="AL1723" s="76"/>
      <c r="AM1723" s="76"/>
      <c r="AN1723" s="76"/>
      <c r="AO1723" s="76"/>
      <c r="AP1723" s="76"/>
      <c r="AQ1723" s="76"/>
      <c r="AR1723" s="76"/>
      <c r="AS1723" s="76"/>
      <c r="AT1723" s="76"/>
      <c r="AU1723" s="76"/>
      <c r="AV1723" s="76"/>
      <c r="AW1723" s="76"/>
      <c r="AX1723" s="76"/>
      <c r="AY1723" s="76"/>
      <c r="AZ1723" s="76"/>
      <c r="BA1723" s="76"/>
      <c r="BB1723" s="76"/>
    </row>
    <row r="1724" spans="5:54" x14ac:dyDescent="0.35">
      <c r="E1724" s="83"/>
      <c r="F1724" s="83"/>
      <c r="G1724" s="76"/>
      <c r="H1724" s="76"/>
      <c r="I1724" s="76"/>
      <c r="J1724" s="76"/>
      <c r="K1724" s="76"/>
      <c r="L1724" s="76"/>
      <c r="M1724" s="76"/>
      <c r="N1724" s="76"/>
      <c r="O1724" s="76"/>
      <c r="P1724" s="76"/>
      <c r="Q1724" s="76"/>
      <c r="R1724" s="76"/>
      <c r="S1724" s="76"/>
      <c r="T1724" s="76"/>
      <c r="U1724" s="76"/>
      <c r="V1724" s="76"/>
      <c r="W1724" s="76"/>
      <c r="X1724" s="76"/>
      <c r="Y1724" s="76"/>
      <c r="Z1724" s="76"/>
      <c r="AA1724" s="76"/>
      <c r="AB1724" s="76"/>
      <c r="AC1724" s="76"/>
      <c r="AD1724" s="76"/>
      <c r="AE1724" s="76"/>
      <c r="AF1724" s="76"/>
      <c r="AG1724" s="76"/>
      <c r="AH1724" s="76"/>
      <c r="AI1724" s="76"/>
      <c r="AJ1724" s="76"/>
      <c r="AK1724" s="76"/>
      <c r="AL1724" s="76"/>
      <c r="AM1724" s="76"/>
      <c r="AN1724" s="76"/>
      <c r="AO1724" s="76"/>
      <c r="AP1724" s="76"/>
      <c r="AQ1724" s="76"/>
      <c r="AR1724" s="76"/>
      <c r="AS1724" s="76"/>
      <c r="AT1724" s="76"/>
      <c r="AU1724" s="76"/>
      <c r="AV1724" s="76"/>
      <c r="AW1724" s="76"/>
      <c r="AX1724" s="76"/>
      <c r="AY1724" s="76"/>
      <c r="AZ1724" s="76"/>
      <c r="BA1724" s="76"/>
      <c r="BB1724" s="76"/>
    </row>
    <row r="1725" spans="5:54" x14ac:dyDescent="0.35">
      <c r="E1725" s="83"/>
      <c r="F1725" s="83"/>
      <c r="G1725" s="76"/>
      <c r="H1725" s="76"/>
      <c r="I1725" s="76"/>
      <c r="J1725" s="76"/>
      <c r="K1725" s="76"/>
      <c r="L1725" s="76"/>
      <c r="M1725" s="76"/>
      <c r="N1725" s="76"/>
      <c r="O1725" s="76"/>
      <c r="P1725" s="76"/>
      <c r="Q1725" s="76"/>
      <c r="R1725" s="76"/>
      <c r="S1725" s="76"/>
      <c r="T1725" s="76"/>
      <c r="U1725" s="76"/>
      <c r="V1725" s="76"/>
      <c r="W1725" s="76"/>
      <c r="X1725" s="76"/>
      <c r="Y1725" s="76"/>
      <c r="Z1725" s="76"/>
      <c r="AA1725" s="76"/>
      <c r="AB1725" s="76"/>
      <c r="AC1725" s="76"/>
      <c r="AD1725" s="76"/>
      <c r="AE1725" s="76"/>
      <c r="AF1725" s="76"/>
      <c r="AG1725" s="76"/>
      <c r="AH1725" s="76"/>
      <c r="AI1725" s="76"/>
      <c r="AJ1725" s="76"/>
      <c r="AK1725" s="76"/>
      <c r="AL1725" s="76"/>
      <c r="AM1725" s="76"/>
      <c r="AN1725" s="76"/>
      <c r="AO1725" s="76"/>
      <c r="AP1725" s="76"/>
      <c r="AQ1725" s="76"/>
      <c r="AR1725" s="76"/>
      <c r="AS1725" s="76"/>
      <c r="AT1725" s="76"/>
      <c r="AU1725" s="76"/>
      <c r="AV1725" s="76"/>
      <c r="AW1725" s="76"/>
      <c r="AX1725" s="76"/>
      <c r="AY1725" s="76"/>
      <c r="AZ1725" s="76"/>
      <c r="BA1725" s="76"/>
      <c r="BB1725" s="76"/>
    </row>
    <row r="1726" spans="5:54" x14ac:dyDescent="0.35">
      <c r="E1726" s="83"/>
      <c r="F1726" s="83"/>
      <c r="G1726" s="76"/>
      <c r="H1726" s="76"/>
      <c r="I1726" s="76"/>
      <c r="J1726" s="76"/>
      <c r="K1726" s="76"/>
      <c r="L1726" s="76"/>
      <c r="M1726" s="76"/>
      <c r="N1726" s="76"/>
      <c r="O1726" s="76"/>
      <c r="P1726" s="76"/>
      <c r="Q1726" s="76"/>
      <c r="R1726" s="76"/>
      <c r="S1726" s="76"/>
      <c r="T1726" s="76"/>
      <c r="U1726" s="76"/>
      <c r="V1726" s="76"/>
      <c r="W1726" s="76"/>
      <c r="X1726" s="76"/>
      <c r="Y1726" s="76"/>
      <c r="Z1726" s="76"/>
      <c r="AA1726" s="76"/>
      <c r="AB1726" s="76"/>
      <c r="AC1726" s="76"/>
      <c r="AD1726" s="76"/>
      <c r="AE1726" s="76"/>
      <c r="AF1726" s="76"/>
      <c r="AG1726" s="76"/>
      <c r="AH1726" s="76"/>
      <c r="AI1726" s="76"/>
      <c r="AJ1726" s="76"/>
      <c r="AK1726" s="76"/>
      <c r="AL1726" s="76"/>
      <c r="AM1726" s="76"/>
      <c r="AN1726" s="76"/>
      <c r="AO1726" s="76"/>
      <c r="AP1726" s="76"/>
      <c r="AQ1726" s="76"/>
      <c r="AR1726" s="76"/>
      <c r="AS1726" s="76"/>
      <c r="AT1726" s="76"/>
      <c r="AU1726" s="76"/>
      <c r="AV1726" s="76"/>
      <c r="AW1726" s="76"/>
      <c r="AX1726" s="76"/>
      <c r="AY1726" s="76"/>
      <c r="AZ1726" s="76"/>
      <c r="BA1726" s="76"/>
      <c r="BB1726" s="76"/>
    </row>
    <row r="1727" spans="5:54" x14ac:dyDescent="0.35">
      <c r="E1727" s="83"/>
      <c r="F1727" s="83"/>
      <c r="G1727" s="76"/>
      <c r="H1727" s="76"/>
      <c r="I1727" s="76"/>
      <c r="J1727" s="76"/>
      <c r="K1727" s="76"/>
      <c r="L1727" s="76"/>
      <c r="M1727" s="76"/>
      <c r="N1727" s="76"/>
      <c r="O1727" s="76"/>
      <c r="P1727" s="76"/>
      <c r="Q1727" s="76"/>
      <c r="R1727" s="76"/>
      <c r="S1727" s="76"/>
      <c r="T1727" s="76"/>
      <c r="U1727" s="76"/>
      <c r="V1727" s="76"/>
      <c r="W1727" s="76"/>
      <c r="X1727" s="76"/>
      <c r="Y1727" s="76"/>
      <c r="Z1727" s="76"/>
      <c r="AA1727" s="76"/>
      <c r="AB1727" s="76"/>
      <c r="AC1727" s="76"/>
      <c r="AD1727" s="76"/>
      <c r="AE1727" s="76"/>
      <c r="AF1727" s="76"/>
      <c r="AG1727" s="76"/>
      <c r="AH1727" s="76"/>
      <c r="AI1727" s="76"/>
      <c r="AJ1727" s="76"/>
      <c r="AK1727" s="76"/>
      <c r="AL1727" s="76"/>
      <c r="AM1727" s="76"/>
      <c r="AN1727" s="76"/>
      <c r="AO1727" s="76"/>
      <c r="AP1727" s="76"/>
      <c r="AQ1727" s="76"/>
      <c r="AR1727" s="76"/>
      <c r="AS1727" s="76"/>
      <c r="AT1727" s="76"/>
      <c r="AU1727" s="76"/>
      <c r="AV1727" s="76"/>
      <c r="AW1727" s="76"/>
      <c r="AX1727" s="76"/>
      <c r="AY1727" s="76"/>
      <c r="AZ1727" s="76"/>
      <c r="BA1727" s="76"/>
      <c r="BB1727" s="76"/>
    </row>
    <row r="1728" spans="5:54" x14ac:dyDescent="0.35">
      <c r="E1728" s="83"/>
      <c r="F1728" s="83"/>
      <c r="G1728" s="76"/>
      <c r="H1728" s="76"/>
      <c r="I1728" s="76"/>
      <c r="J1728" s="76"/>
      <c r="K1728" s="76"/>
      <c r="L1728" s="76"/>
      <c r="M1728" s="76"/>
      <c r="N1728" s="76"/>
      <c r="O1728" s="76"/>
      <c r="P1728" s="76"/>
      <c r="Q1728" s="76"/>
      <c r="R1728" s="76"/>
      <c r="S1728" s="76"/>
      <c r="T1728" s="76"/>
      <c r="U1728" s="76"/>
      <c r="V1728" s="76"/>
      <c r="W1728" s="76"/>
      <c r="X1728" s="76"/>
      <c r="Y1728" s="76"/>
      <c r="Z1728" s="76"/>
      <c r="AA1728" s="76"/>
      <c r="AB1728" s="76"/>
      <c r="AC1728" s="76"/>
      <c r="AD1728" s="76"/>
      <c r="AE1728" s="76"/>
      <c r="AF1728" s="76"/>
      <c r="AG1728" s="76"/>
      <c r="AH1728" s="76"/>
      <c r="AI1728" s="76"/>
      <c r="AJ1728" s="76"/>
      <c r="AK1728" s="76"/>
      <c r="AL1728" s="76"/>
      <c r="AM1728" s="76"/>
      <c r="AN1728" s="76"/>
      <c r="AO1728" s="76"/>
      <c r="AP1728" s="76"/>
      <c r="AQ1728" s="76"/>
      <c r="AR1728" s="76"/>
      <c r="AS1728" s="76"/>
      <c r="AT1728" s="76"/>
      <c r="AU1728" s="76"/>
      <c r="AV1728" s="76"/>
      <c r="AW1728" s="76"/>
      <c r="AX1728" s="76"/>
      <c r="AY1728" s="76"/>
      <c r="AZ1728" s="76"/>
      <c r="BA1728" s="76"/>
      <c r="BB1728" s="76"/>
    </row>
    <row r="1729" spans="5:54" x14ac:dyDescent="0.35">
      <c r="E1729" s="83"/>
      <c r="F1729" s="83"/>
      <c r="G1729" s="76"/>
      <c r="H1729" s="76"/>
      <c r="I1729" s="76"/>
      <c r="J1729" s="76"/>
      <c r="K1729" s="76"/>
      <c r="L1729" s="76"/>
      <c r="M1729" s="76"/>
      <c r="N1729" s="76"/>
      <c r="O1729" s="76"/>
      <c r="P1729" s="76"/>
      <c r="Q1729" s="76"/>
      <c r="R1729" s="76"/>
      <c r="S1729" s="76"/>
      <c r="T1729" s="76"/>
      <c r="U1729" s="76"/>
      <c r="V1729" s="76"/>
      <c r="W1729" s="76"/>
      <c r="X1729" s="76"/>
      <c r="Y1729" s="76"/>
      <c r="Z1729" s="76"/>
      <c r="AA1729" s="76"/>
      <c r="AB1729" s="76"/>
      <c r="AC1729" s="76"/>
      <c r="AD1729" s="76"/>
      <c r="AE1729" s="76"/>
      <c r="AF1729" s="76"/>
      <c r="AG1729" s="76"/>
      <c r="AH1729" s="76"/>
      <c r="AI1729" s="76"/>
      <c r="AJ1729" s="76"/>
      <c r="AK1729" s="76"/>
      <c r="AL1729" s="76"/>
      <c r="AM1729" s="76"/>
      <c r="AN1729" s="76"/>
      <c r="AO1729" s="76"/>
      <c r="AP1729" s="76"/>
      <c r="AQ1729" s="76"/>
      <c r="AR1729" s="76"/>
      <c r="AS1729" s="76"/>
      <c r="AT1729" s="76"/>
      <c r="AU1729" s="76"/>
      <c r="AV1729" s="76"/>
      <c r="AW1729" s="76"/>
      <c r="AX1729" s="76"/>
      <c r="AY1729" s="76"/>
      <c r="AZ1729" s="76"/>
      <c r="BA1729" s="76"/>
      <c r="BB1729" s="76"/>
    </row>
    <row r="1730" spans="5:54" x14ac:dyDescent="0.35">
      <c r="E1730" s="83"/>
      <c r="F1730" s="83"/>
      <c r="G1730" s="76"/>
      <c r="H1730" s="76"/>
      <c r="I1730" s="76"/>
      <c r="J1730" s="76"/>
      <c r="K1730" s="76"/>
      <c r="L1730" s="76"/>
      <c r="M1730" s="76"/>
      <c r="N1730" s="76"/>
      <c r="O1730" s="76"/>
      <c r="P1730" s="76"/>
      <c r="Q1730" s="76"/>
      <c r="R1730" s="76"/>
      <c r="S1730" s="76"/>
      <c r="T1730" s="76"/>
      <c r="U1730" s="76"/>
      <c r="V1730" s="76"/>
      <c r="W1730" s="76"/>
      <c r="X1730" s="76"/>
      <c r="Y1730" s="76"/>
      <c r="Z1730" s="76"/>
      <c r="AA1730" s="76"/>
      <c r="AB1730" s="76"/>
      <c r="AC1730" s="76"/>
      <c r="AD1730" s="76"/>
      <c r="AE1730" s="76"/>
      <c r="AF1730" s="76"/>
      <c r="AG1730" s="76"/>
      <c r="AH1730" s="76"/>
      <c r="AI1730" s="76"/>
      <c r="AJ1730" s="76"/>
      <c r="AK1730" s="76"/>
      <c r="AL1730" s="76"/>
      <c r="AM1730" s="76"/>
      <c r="AN1730" s="76"/>
      <c r="AO1730" s="76"/>
      <c r="AP1730" s="76"/>
      <c r="AQ1730" s="76"/>
      <c r="AR1730" s="76"/>
      <c r="AS1730" s="76"/>
      <c r="AT1730" s="76"/>
      <c r="AU1730" s="76"/>
      <c r="AV1730" s="76"/>
      <c r="AW1730" s="76"/>
      <c r="AX1730" s="76"/>
      <c r="AY1730" s="76"/>
      <c r="AZ1730" s="76"/>
      <c r="BA1730" s="76"/>
      <c r="BB1730" s="76"/>
    </row>
    <row r="1731" spans="5:54" x14ac:dyDescent="0.35">
      <c r="E1731" s="83"/>
      <c r="F1731" s="83"/>
      <c r="G1731" s="76"/>
      <c r="H1731" s="76"/>
      <c r="I1731" s="76"/>
      <c r="J1731" s="76"/>
      <c r="K1731" s="76"/>
      <c r="L1731" s="76"/>
      <c r="M1731" s="76"/>
      <c r="N1731" s="76"/>
      <c r="O1731" s="76"/>
      <c r="P1731" s="76"/>
      <c r="Q1731" s="76"/>
      <c r="R1731" s="76"/>
      <c r="S1731" s="76"/>
      <c r="T1731" s="76"/>
      <c r="U1731" s="76"/>
      <c r="V1731" s="76"/>
      <c r="W1731" s="76"/>
      <c r="X1731" s="76"/>
      <c r="Y1731" s="76"/>
      <c r="Z1731" s="76"/>
      <c r="AA1731" s="76"/>
      <c r="AB1731" s="76"/>
      <c r="AC1731" s="76"/>
      <c r="AD1731" s="76"/>
      <c r="AE1731" s="76"/>
      <c r="AF1731" s="76"/>
      <c r="AG1731" s="76"/>
      <c r="AH1731" s="76"/>
      <c r="AI1731" s="76"/>
      <c r="AJ1731" s="76"/>
      <c r="AK1731" s="76"/>
      <c r="AL1731" s="76"/>
      <c r="AM1731" s="76"/>
      <c r="AN1731" s="76"/>
      <c r="AO1731" s="76"/>
      <c r="AP1731" s="76"/>
      <c r="AQ1731" s="76"/>
      <c r="AR1731" s="76"/>
      <c r="AS1731" s="76"/>
      <c r="AT1731" s="76"/>
      <c r="AU1731" s="76"/>
      <c r="AV1731" s="76"/>
      <c r="AW1731" s="76"/>
      <c r="AX1731" s="76"/>
      <c r="AY1731" s="76"/>
      <c r="AZ1731" s="76"/>
      <c r="BA1731" s="76"/>
      <c r="BB1731" s="76"/>
    </row>
    <row r="1732" spans="5:54" x14ac:dyDescent="0.35">
      <c r="E1732" s="83"/>
      <c r="F1732" s="83"/>
      <c r="G1732" s="76"/>
      <c r="H1732" s="76"/>
      <c r="I1732" s="76"/>
      <c r="J1732" s="76"/>
      <c r="K1732" s="76"/>
      <c r="L1732" s="76"/>
      <c r="M1732" s="76"/>
      <c r="N1732" s="76"/>
      <c r="O1732" s="76"/>
      <c r="P1732" s="76"/>
      <c r="Q1732" s="76"/>
      <c r="R1732" s="76"/>
      <c r="S1732" s="76"/>
      <c r="T1732" s="76"/>
      <c r="U1732" s="76"/>
      <c r="V1732" s="76"/>
      <c r="W1732" s="76"/>
      <c r="X1732" s="76"/>
      <c r="Y1732" s="76"/>
      <c r="Z1732" s="76"/>
      <c r="AA1732" s="76"/>
      <c r="AB1732" s="76"/>
      <c r="AC1732" s="76"/>
      <c r="AD1732" s="76"/>
      <c r="AE1732" s="76"/>
      <c r="AF1732" s="76"/>
      <c r="AG1732" s="76"/>
      <c r="AH1732" s="76"/>
      <c r="AI1732" s="76"/>
      <c r="AJ1732" s="76"/>
      <c r="AK1732" s="76"/>
      <c r="AL1732" s="76"/>
      <c r="AM1732" s="76"/>
      <c r="AN1732" s="76"/>
      <c r="AO1732" s="76"/>
      <c r="AP1732" s="76"/>
      <c r="AQ1732" s="76"/>
      <c r="AR1732" s="76"/>
      <c r="AS1732" s="76"/>
      <c r="AT1732" s="76"/>
      <c r="AU1732" s="76"/>
      <c r="AV1732" s="76"/>
      <c r="AW1732" s="76"/>
      <c r="AX1732" s="76"/>
      <c r="AY1732" s="76"/>
      <c r="AZ1732" s="76"/>
      <c r="BA1732" s="76"/>
      <c r="BB1732" s="76"/>
    </row>
    <row r="1733" spans="5:54" x14ac:dyDescent="0.35">
      <c r="E1733" s="83"/>
      <c r="F1733" s="83"/>
      <c r="G1733" s="76"/>
      <c r="H1733" s="76"/>
      <c r="I1733" s="76"/>
      <c r="J1733" s="76"/>
      <c r="K1733" s="76"/>
      <c r="L1733" s="76"/>
      <c r="M1733" s="76"/>
      <c r="N1733" s="76"/>
      <c r="O1733" s="76"/>
      <c r="P1733" s="76"/>
      <c r="Q1733" s="76"/>
      <c r="R1733" s="76"/>
      <c r="S1733" s="76"/>
      <c r="T1733" s="76"/>
      <c r="U1733" s="76"/>
      <c r="V1733" s="76"/>
      <c r="W1733" s="76"/>
      <c r="X1733" s="76"/>
      <c r="Y1733" s="76"/>
      <c r="Z1733" s="76"/>
      <c r="AA1733" s="76"/>
      <c r="AB1733" s="76"/>
      <c r="AC1733" s="76"/>
      <c r="AD1733" s="76"/>
      <c r="AE1733" s="76"/>
      <c r="AF1733" s="76"/>
      <c r="AG1733" s="76"/>
      <c r="AH1733" s="76"/>
      <c r="AI1733" s="76"/>
      <c r="AJ1733" s="76"/>
      <c r="AK1733" s="76"/>
      <c r="AL1733" s="76"/>
      <c r="AM1733" s="76"/>
      <c r="AN1733" s="76"/>
      <c r="AO1733" s="76"/>
      <c r="AP1733" s="76"/>
      <c r="AQ1733" s="76"/>
      <c r="AR1733" s="76"/>
      <c r="AS1733" s="76"/>
      <c r="AT1733" s="76"/>
      <c r="AU1733" s="76"/>
      <c r="AV1733" s="76"/>
      <c r="AW1733" s="76"/>
      <c r="AX1733" s="76"/>
      <c r="AY1733" s="76"/>
      <c r="AZ1733" s="76"/>
      <c r="BA1733" s="76"/>
      <c r="BB1733" s="76"/>
    </row>
    <row r="1734" spans="5:54" x14ac:dyDescent="0.35">
      <c r="E1734" s="83"/>
      <c r="F1734" s="83"/>
      <c r="G1734" s="76"/>
      <c r="H1734" s="76"/>
      <c r="I1734" s="76"/>
      <c r="J1734" s="76"/>
      <c r="K1734" s="76"/>
      <c r="L1734" s="76"/>
      <c r="M1734" s="76"/>
      <c r="N1734" s="76"/>
      <c r="O1734" s="76"/>
      <c r="P1734" s="76"/>
      <c r="Q1734" s="76"/>
      <c r="R1734" s="76"/>
      <c r="S1734" s="76"/>
      <c r="T1734" s="76"/>
      <c r="U1734" s="76"/>
      <c r="V1734" s="76"/>
      <c r="W1734" s="76"/>
      <c r="X1734" s="76"/>
      <c r="Y1734" s="76"/>
      <c r="Z1734" s="76"/>
      <c r="AA1734" s="76"/>
      <c r="AB1734" s="76"/>
      <c r="AC1734" s="76"/>
      <c r="AD1734" s="76"/>
      <c r="AE1734" s="76"/>
      <c r="AF1734" s="76"/>
      <c r="AG1734" s="76"/>
      <c r="AH1734" s="76"/>
      <c r="AI1734" s="76"/>
      <c r="AJ1734" s="76"/>
      <c r="AK1734" s="76"/>
      <c r="AL1734" s="76"/>
      <c r="AM1734" s="76"/>
      <c r="AN1734" s="76"/>
      <c r="AO1734" s="76"/>
      <c r="AP1734" s="76"/>
      <c r="AQ1734" s="76"/>
      <c r="AR1734" s="76"/>
      <c r="AS1734" s="76"/>
      <c r="AT1734" s="76"/>
      <c r="AU1734" s="76"/>
      <c r="AV1734" s="76"/>
      <c r="AW1734" s="76"/>
      <c r="AX1734" s="76"/>
      <c r="AY1734" s="76"/>
      <c r="AZ1734" s="76"/>
      <c r="BA1734" s="76"/>
      <c r="BB1734" s="76"/>
    </row>
    <row r="1735" spans="5:54" x14ac:dyDescent="0.35">
      <c r="E1735" s="83"/>
      <c r="F1735" s="83"/>
      <c r="G1735" s="76"/>
      <c r="H1735" s="76"/>
      <c r="I1735" s="76"/>
      <c r="J1735" s="76"/>
      <c r="K1735" s="76"/>
      <c r="L1735" s="76"/>
      <c r="M1735" s="76"/>
      <c r="N1735" s="76"/>
      <c r="O1735" s="76"/>
      <c r="P1735" s="76"/>
      <c r="Q1735" s="76"/>
      <c r="R1735" s="76"/>
      <c r="S1735" s="76"/>
      <c r="T1735" s="76"/>
      <c r="U1735" s="76"/>
      <c r="V1735" s="76"/>
      <c r="W1735" s="76"/>
      <c r="X1735" s="76"/>
      <c r="Y1735" s="76"/>
      <c r="Z1735" s="76"/>
      <c r="AA1735" s="76"/>
      <c r="AB1735" s="76"/>
      <c r="AC1735" s="76"/>
      <c r="AD1735" s="76"/>
      <c r="AE1735" s="76"/>
      <c r="AF1735" s="76"/>
      <c r="AG1735" s="76"/>
      <c r="AH1735" s="76"/>
      <c r="AI1735" s="76"/>
      <c r="AJ1735" s="76"/>
      <c r="AK1735" s="76"/>
      <c r="AL1735" s="76"/>
      <c r="AM1735" s="76"/>
      <c r="AN1735" s="76"/>
      <c r="AO1735" s="76"/>
      <c r="AP1735" s="76"/>
      <c r="AQ1735" s="76"/>
      <c r="AR1735" s="76"/>
      <c r="AS1735" s="76"/>
      <c r="AT1735" s="76"/>
      <c r="AU1735" s="76"/>
      <c r="AV1735" s="76"/>
      <c r="AW1735" s="76"/>
      <c r="AX1735" s="76"/>
      <c r="AY1735" s="76"/>
      <c r="AZ1735" s="76"/>
      <c r="BA1735" s="76"/>
      <c r="BB1735" s="76"/>
    </row>
    <row r="1736" spans="5:54" x14ac:dyDescent="0.35">
      <c r="E1736" s="83"/>
      <c r="F1736" s="83"/>
      <c r="G1736" s="76"/>
      <c r="H1736" s="76"/>
      <c r="I1736" s="76"/>
      <c r="J1736" s="76"/>
      <c r="K1736" s="76"/>
      <c r="L1736" s="76"/>
      <c r="M1736" s="76"/>
      <c r="N1736" s="76"/>
      <c r="O1736" s="76"/>
      <c r="P1736" s="76"/>
      <c r="Q1736" s="76"/>
      <c r="R1736" s="76"/>
      <c r="S1736" s="76"/>
      <c r="T1736" s="76"/>
      <c r="U1736" s="76"/>
      <c r="V1736" s="76"/>
      <c r="W1736" s="76"/>
      <c r="X1736" s="76"/>
      <c r="Y1736" s="76"/>
      <c r="Z1736" s="76"/>
      <c r="AA1736" s="76"/>
      <c r="AB1736" s="76"/>
      <c r="AC1736" s="76"/>
      <c r="AD1736" s="76"/>
      <c r="AE1736" s="76"/>
      <c r="AF1736" s="76"/>
      <c r="AG1736" s="76"/>
      <c r="AH1736" s="76"/>
      <c r="AI1736" s="76"/>
      <c r="AJ1736" s="76"/>
      <c r="AK1736" s="76"/>
      <c r="AL1736" s="76"/>
      <c r="AM1736" s="76"/>
      <c r="AN1736" s="76"/>
      <c r="AO1736" s="76"/>
      <c r="AP1736" s="76"/>
      <c r="AQ1736" s="76"/>
      <c r="AR1736" s="76"/>
      <c r="AS1736" s="76"/>
      <c r="AT1736" s="76"/>
      <c r="AU1736" s="76"/>
      <c r="AV1736" s="76"/>
      <c r="AW1736" s="76"/>
      <c r="AX1736" s="76"/>
      <c r="AY1736" s="76"/>
      <c r="AZ1736" s="76"/>
      <c r="BA1736" s="76"/>
      <c r="BB1736" s="76"/>
    </row>
    <row r="1737" spans="5:54" x14ac:dyDescent="0.35">
      <c r="E1737" s="83"/>
      <c r="F1737" s="83"/>
      <c r="G1737" s="76"/>
      <c r="H1737" s="76"/>
      <c r="I1737" s="76"/>
      <c r="J1737" s="76"/>
      <c r="K1737" s="76"/>
      <c r="L1737" s="76"/>
      <c r="M1737" s="76"/>
      <c r="N1737" s="76"/>
      <c r="O1737" s="76"/>
      <c r="P1737" s="76"/>
      <c r="Q1737" s="76"/>
      <c r="R1737" s="76"/>
      <c r="S1737" s="76"/>
      <c r="T1737" s="76"/>
      <c r="U1737" s="76"/>
      <c r="V1737" s="76"/>
      <c r="W1737" s="76"/>
      <c r="X1737" s="76"/>
      <c r="Y1737" s="76"/>
      <c r="Z1737" s="76"/>
      <c r="AA1737" s="76"/>
      <c r="AB1737" s="76"/>
      <c r="AC1737" s="76"/>
      <c r="AD1737" s="76"/>
      <c r="AE1737" s="76"/>
      <c r="AF1737" s="76"/>
      <c r="AG1737" s="76"/>
      <c r="AH1737" s="76"/>
      <c r="AI1737" s="76"/>
      <c r="AJ1737" s="76"/>
      <c r="AK1737" s="76"/>
      <c r="AL1737" s="76"/>
      <c r="AM1737" s="76"/>
      <c r="AN1737" s="76"/>
      <c r="AO1737" s="76"/>
      <c r="AP1737" s="76"/>
      <c r="AQ1737" s="76"/>
      <c r="AR1737" s="76"/>
      <c r="AS1737" s="76"/>
      <c r="AT1737" s="76"/>
      <c r="AU1737" s="76"/>
      <c r="AV1737" s="76"/>
      <c r="AW1737" s="76"/>
      <c r="AX1737" s="76"/>
      <c r="AY1737" s="76"/>
      <c r="AZ1737" s="76"/>
      <c r="BA1737" s="76"/>
      <c r="BB1737" s="76"/>
    </row>
    <row r="1738" spans="5:54" x14ac:dyDescent="0.35">
      <c r="E1738" s="83"/>
      <c r="F1738" s="83"/>
      <c r="G1738" s="76"/>
      <c r="H1738" s="76"/>
      <c r="I1738" s="76"/>
      <c r="J1738" s="76"/>
      <c r="K1738" s="76"/>
      <c r="L1738" s="76"/>
      <c r="M1738" s="76"/>
      <c r="N1738" s="76"/>
      <c r="O1738" s="76"/>
      <c r="P1738" s="76"/>
      <c r="Q1738" s="76"/>
      <c r="R1738" s="76"/>
      <c r="S1738" s="76"/>
      <c r="T1738" s="76"/>
      <c r="U1738" s="76"/>
      <c r="V1738" s="76"/>
      <c r="W1738" s="76"/>
      <c r="X1738" s="76"/>
      <c r="Y1738" s="76"/>
      <c r="Z1738" s="76"/>
      <c r="AA1738" s="76"/>
      <c r="AB1738" s="76"/>
      <c r="AC1738" s="76"/>
      <c r="AD1738" s="76"/>
      <c r="AE1738" s="76"/>
      <c r="AF1738" s="76"/>
      <c r="AG1738" s="76"/>
      <c r="AH1738" s="76"/>
      <c r="AI1738" s="76"/>
      <c r="AJ1738" s="76"/>
      <c r="AK1738" s="76"/>
      <c r="AL1738" s="76"/>
      <c r="AM1738" s="76"/>
      <c r="AN1738" s="76"/>
      <c r="AO1738" s="76"/>
      <c r="AP1738" s="76"/>
      <c r="AQ1738" s="76"/>
      <c r="AR1738" s="76"/>
      <c r="AS1738" s="76"/>
      <c r="AT1738" s="76"/>
      <c r="AU1738" s="76"/>
      <c r="AV1738" s="76"/>
      <c r="AW1738" s="76"/>
      <c r="AX1738" s="76"/>
      <c r="AY1738" s="76"/>
      <c r="AZ1738" s="76"/>
      <c r="BA1738" s="76"/>
      <c r="BB1738" s="76"/>
    </row>
    <row r="1739" spans="5:54" x14ac:dyDescent="0.35">
      <c r="E1739" s="83"/>
      <c r="F1739" s="83"/>
      <c r="G1739" s="76"/>
      <c r="H1739" s="76"/>
      <c r="I1739" s="76"/>
      <c r="J1739" s="76"/>
      <c r="K1739" s="76"/>
      <c r="L1739" s="76"/>
      <c r="M1739" s="76"/>
      <c r="N1739" s="76"/>
      <c r="O1739" s="76"/>
      <c r="P1739" s="76"/>
      <c r="Q1739" s="76"/>
      <c r="R1739" s="76"/>
      <c r="S1739" s="76"/>
      <c r="T1739" s="76"/>
      <c r="U1739" s="76"/>
      <c r="V1739" s="76"/>
      <c r="W1739" s="76"/>
      <c r="X1739" s="76"/>
      <c r="Y1739" s="76"/>
      <c r="Z1739" s="76"/>
      <c r="AA1739" s="76"/>
      <c r="AB1739" s="76"/>
      <c r="AC1739" s="76"/>
      <c r="AD1739" s="76"/>
      <c r="AE1739" s="76"/>
      <c r="AF1739" s="76"/>
      <c r="AG1739" s="76"/>
      <c r="AH1739" s="76"/>
      <c r="AI1739" s="76"/>
      <c r="AJ1739" s="76"/>
      <c r="AK1739" s="76"/>
      <c r="AL1739" s="76"/>
      <c r="AM1739" s="76"/>
      <c r="AN1739" s="76"/>
      <c r="AO1739" s="76"/>
      <c r="AP1739" s="76"/>
      <c r="AQ1739" s="76"/>
      <c r="AR1739" s="76"/>
      <c r="AS1739" s="76"/>
      <c r="AT1739" s="76"/>
      <c r="AU1739" s="76"/>
      <c r="AV1739" s="76"/>
      <c r="AW1739" s="76"/>
      <c r="AX1739" s="76"/>
      <c r="AY1739" s="76"/>
      <c r="AZ1739" s="76"/>
      <c r="BA1739" s="76"/>
      <c r="BB1739" s="76"/>
    </row>
    <row r="1740" spans="5:54" x14ac:dyDescent="0.35">
      <c r="E1740" s="83"/>
      <c r="F1740" s="83"/>
      <c r="G1740" s="76"/>
      <c r="H1740" s="76"/>
      <c r="I1740" s="76"/>
      <c r="J1740" s="76"/>
      <c r="K1740" s="76"/>
      <c r="L1740" s="76"/>
      <c r="M1740" s="76"/>
      <c r="N1740" s="76"/>
      <c r="O1740" s="76"/>
      <c r="P1740" s="76"/>
      <c r="Q1740" s="76"/>
      <c r="R1740" s="76"/>
      <c r="S1740" s="76"/>
      <c r="T1740" s="76"/>
      <c r="U1740" s="76"/>
      <c r="V1740" s="76"/>
      <c r="W1740" s="76"/>
      <c r="X1740" s="76"/>
      <c r="Y1740" s="76"/>
      <c r="Z1740" s="76"/>
      <c r="AA1740" s="76"/>
      <c r="AB1740" s="76"/>
      <c r="AC1740" s="76"/>
      <c r="AD1740" s="76"/>
      <c r="AE1740" s="76"/>
      <c r="AF1740" s="76"/>
      <c r="AG1740" s="76"/>
      <c r="AH1740" s="76"/>
      <c r="AI1740" s="76"/>
      <c r="AJ1740" s="76"/>
      <c r="AK1740" s="76"/>
      <c r="AL1740" s="76"/>
      <c r="AM1740" s="76"/>
      <c r="AN1740" s="76"/>
      <c r="AO1740" s="76"/>
      <c r="AP1740" s="76"/>
      <c r="AQ1740" s="76"/>
      <c r="AR1740" s="76"/>
      <c r="AS1740" s="76"/>
      <c r="AT1740" s="76"/>
      <c r="AU1740" s="76"/>
      <c r="AV1740" s="76"/>
      <c r="AW1740" s="76"/>
      <c r="AX1740" s="76"/>
      <c r="AY1740" s="76"/>
      <c r="AZ1740" s="76"/>
      <c r="BA1740" s="76"/>
      <c r="BB1740" s="76"/>
    </row>
    <row r="1741" spans="5:54" x14ac:dyDescent="0.35">
      <c r="E1741" s="83"/>
      <c r="F1741" s="83"/>
      <c r="G1741" s="76"/>
      <c r="H1741" s="76"/>
      <c r="I1741" s="76"/>
      <c r="J1741" s="76"/>
      <c r="K1741" s="76"/>
      <c r="L1741" s="76"/>
      <c r="M1741" s="76"/>
      <c r="N1741" s="76"/>
      <c r="O1741" s="76"/>
      <c r="P1741" s="76"/>
      <c r="Q1741" s="76"/>
      <c r="R1741" s="76"/>
      <c r="S1741" s="76"/>
      <c r="T1741" s="76"/>
      <c r="U1741" s="76"/>
      <c r="V1741" s="76"/>
      <c r="W1741" s="76"/>
      <c r="X1741" s="76"/>
      <c r="Y1741" s="76"/>
      <c r="Z1741" s="76"/>
      <c r="AA1741" s="76"/>
      <c r="AB1741" s="76"/>
      <c r="AC1741" s="76"/>
      <c r="AD1741" s="76"/>
      <c r="AE1741" s="76"/>
      <c r="AF1741" s="76"/>
      <c r="AG1741" s="76"/>
      <c r="AH1741" s="76"/>
      <c r="AI1741" s="76"/>
      <c r="AJ1741" s="76"/>
      <c r="AK1741" s="76"/>
      <c r="AL1741" s="76"/>
      <c r="AM1741" s="76"/>
      <c r="AN1741" s="76"/>
      <c r="AO1741" s="76"/>
      <c r="AP1741" s="76"/>
      <c r="AQ1741" s="76"/>
      <c r="AR1741" s="76"/>
      <c r="AS1741" s="76"/>
      <c r="AT1741" s="76"/>
      <c r="AU1741" s="76"/>
      <c r="AV1741" s="76"/>
      <c r="AW1741" s="76"/>
      <c r="AX1741" s="76"/>
      <c r="AY1741" s="76"/>
      <c r="AZ1741" s="76"/>
      <c r="BA1741" s="76"/>
      <c r="BB1741" s="76"/>
    </row>
    <row r="1742" spans="5:54" x14ac:dyDescent="0.35">
      <c r="E1742" s="83"/>
      <c r="F1742" s="83"/>
      <c r="G1742" s="76"/>
      <c r="H1742" s="76"/>
      <c r="I1742" s="76"/>
      <c r="J1742" s="76"/>
      <c r="K1742" s="76"/>
      <c r="L1742" s="76"/>
      <c r="M1742" s="76"/>
      <c r="N1742" s="76"/>
      <c r="O1742" s="76"/>
      <c r="P1742" s="76"/>
      <c r="Q1742" s="76"/>
      <c r="R1742" s="76"/>
      <c r="S1742" s="76"/>
      <c r="T1742" s="76"/>
      <c r="U1742" s="76"/>
      <c r="V1742" s="76"/>
      <c r="W1742" s="76"/>
      <c r="X1742" s="76"/>
      <c r="Y1742" s="76"/>
      <c r="Z1742" s="76"/>
      <c r="AA1742" s="76"/>
      <c r="AB1742" s="76"/>
      <c r="AC1742" s="76"/>
      <c r="AD1742" s="76"/>
      <c r="AE1742" s="76"/>
      <c r="AF1742" s="76"/>
      <c r="AG1742" s="76"/>
      <c r="AH1742" s="76"/>
      <c r="AI1742" s="76"/>
      <c r="AJ1742" s="76"/>
      <c r="AK1742" s="76"/>
      <c r="AL1742" s="76"/>
      <c r="AM1742" s="76"/>
      <c r="AN1742" s="76"/>
      <c r="AO1742" s="76"/>
      <c r="AP1742" s="76"/>
      <c r="AQ1742" s="76"/>
      <c r="AR1742" s="76"/>
      <c r="AS1742" s="76"/>
      <c r="AT1742" s="76"/>
      <c r="AU1742" s="76"/>
      <c r="AV1742" s="76"/>
      <c r="AW1742" s="76"/>
      <c r="AX1742" s="76"/>
      <c r="AY1742" s="76"/>
      <c r="AZ1742" s="76"/>
      <c r="BA1742" s="76"/>
      <c r="BB1742" s="76"/>
    </row>
    <row r="1743" spans="5:54" x14ac:dyDescent="0.35">
      <c r="E1743" s="83"/>
      <c r="F1743" s="83"/>
      <c r="G1743" s="76"/>
      <c r="H1743" s="76"/>
      <c r="I1743" s="76"/>
      <c r="J1743" s="76"/>
      <c r="K1743" s="76"/>
      <c r="L1743" s="76"/>
      <c r="M1743" s="76"/>
      <c r="N1743" s="76"/>
      <c r="O1743" s="76"/>
      <c r="P1743" s="76"/>
      <c r="Q1743" s="76"/>
      <c r="R1743" s="76"/>
      <c r="S1743" s="76"/>
      <c r="T1743" s="76"/>
      <c r="U1743" s="76"/>
      <c r="V1743" s="76"/>
      <c r="W1743" s="76"/>
      <c r="X1743" s="76"/>
      <c r="Y1743" s="76"/>
      <c r="Z1743" s="76"/>
      <c r="AA1743" s="76"/>
      <c r="AB1743" s="76"/>
      <c r="AC1743" s="76"/>
      <c r="AD1743" s="76"/>
      <c r="AE1743" s="76"/>
      <c r="AF1743" s="76"/>
      <c r="AG1743" s="76"/>
      <c r="AH1743" s="76"/>
      <c r="AI1743" s="76"/>
      <c r="AJ1743" s="76"/>
      <c r="AK1743" s="76"/>
      <c r="AL1743" s="76"/>
      <c r="AM1743" s="76"/>
      <c r="AN1743" s="76"/>
      <c r="AO1743" s="76"/>
      <c r="AP1743" s="76"/>
      <c r="AQ1743" s="76"/>
      <c r="AR1743" s="76"/>
      <c r="AS1743" s="76"/>
      <c r="AT1743" s="76"/>
      <c r="AU1743" s="76"/>
      <c r="AV1743" s="76"/>
      <c r="AW1743" s="76"/>
      <c r="AX1743" s="76"/>
      <c r="AY1743" s="76"/>
      <c r="AZ1743" s="76"/>
      <c r="BA1743" s="76"/>
      <c r="BB1743" s="76"/>
    </row>
    <row r="1744" spans="5:54" x14ac:dyDescent="0.35">
      <c r="E1744" s="83"/>
      <c r="F1744" s="83"/>
      <c r="G1744" s="76"/>
      <c r="H1744" s="76"/>
      <c r="I1744" s="76"/>
      <c r="J1744" s="76"/>
      <c r="K1744" s="76"/>
      <c r="L1744" s="76"/>
      <c r="M1744" s="76"/>
      <c r="N1744" s="76"/>
      <c r="O1744" s="76"/>
      <c r="P1744" s="76"/>
      <c r="Q1744" s="76"/>
      <c r="R1744" s="76"/>
      <c r="S1744" s="76"/>
      <c r="T1744" s="76"/>
      <c r="U1744" s="76"/>
      <c r="V1744" s="76"/>
      <c r="W1744" s="76"/>
      <c r="X1744" s="76"/>
      <c r="Y1744" s="76"/>
      <c r="Z1744" s="76"/>
      <c r="AA1744" s="76"/>
      <c r="AB1744" s="76"/>
      <c r="AC1744" s="76"/>
      <c r="AD1744" s="76"/>
      <c r="AE1744" s="76"/>
      <c r="AF1744" s="76"/>
      <c r="AG1744" s="76"/>
      <c r="AH1744" s="76"/>
      <c r="AI1744" s="76"/>
      <c r="AJ1744" s="76"/>
      <c r="AK1744" s="76"/>
      <c r="AL1744" s="76"/>
      <c r="AM1744" s="76"/>
      <c r="AN1744" s="76"/>
      <c r="AO1744" s="76"/>
      <c r="AP1744" s="76"/>
      <c r="AQ1744" s="76"/>
      <c r="AR1744" s="76"/>
      <c r="AS1744" s="76"/>
      <c r="AT1744" s="76"/>
      <c r="AU1744" s="76"/>
      <c r="AV1744" s="76"/>
      <c r="AW1744" s="76"/>
      <c r="AX1744" s="76"/>
      <c r="AY1744" s="76"/>
      <c r="AZ1744" s="76"/>
      <c r="BA1744" s="76"/>
      <c r="BB1744" s="76"/>
    </row>
    <row r="1745" spans="5:54" x14ac:dyDescent="0.35">
      <c r="E1745" s="83"/>
      <c r="F1745" s="83"/>
      <c r="G1745" s="76"/>
      <c r="H1745" s="76"/>
      <c r="I1745" s="76"/>
      <c r="J1745" s="76"/>
      <c r="K1745" s="76"/>
      <c r="L1745" s="76"/>
      <c r="M1745" s="76"/>
      <c r="N1745" s="76"/>
      <c r="O1745" s="76"/>
      <c r="P1745" s="76"/>
      <c r="Q1745" s="76"/>
      <c r="R1745" s="76"/>
      <c r="S1745" s="76"/>
      <c r="T1745" s="76"/>
      <c r="U1745" s="76"/>
      <c r="V1745" s="76"/>
      <c r="W1745" s="76"/>
      <c r="X1745" s="76"/>
      <c r="Y1745" s="76"/>
      <c r="Z1745" s="76"/>
      <c r="AA1745" s="76"/>
      <c r="AB1745" s="76"/>
      <c r="AC1745" s="76"/>
      <c r="AD1745" s="76"/>
      <c r="AE1745" s="76"/>
      <c r="AF1745" s="76"/>
      <c r="AG1745" s="76"/>
      <c r="AH1745" s="76"/>
      <c r="AI1745" s="76"/>
      <c r="AJ1745" s="76"/>
      <c r="AK1745" s="76"/>
      <c r="AL1745" s="76"/>
      <c r="AM1745" s="76"/>
      <c r="AN1745" s="76"/>
      <c r="AO1745" s="76"/>
      <c r="AP1745" s="76"/>
      <c r="AQ1745" s="76"/>
      <c r="AR1745" s="76"/>
      <c r="AS1745" s="76"/>
      <c r="AT1745" s="76"/>
      <c r="AU1745" s="76"/>
      <c r="AV1745" s="76"/>
      <c r="AW1745" s="76"/>
      <c r="AX1745" s="76"/>
      <c r="AY1745" s="76"/>
      <c r="AZ1745" s="76"/>
      <c r="BA1745" s="76"/>
      <c r="BB1745" s="76"/>
    </row>
    <row r="1746" spans="5:54" x14ac:dyDescent="0.35">
      <c r="E1746" s="83"/>
      <c r="F1746" s="83"/>
      <c r="G1746" s="76"/>
      <c r="H1746" s="76"/>
      <c r="I1746" s="76"/>
      <c r="J1746" s="76"/>
      <c r="K1746" s="76"/>
      <c r="L1746" s="76"/>
      <c r="M1746" s="76"/>
      <c r="N1746" s="76"/>
      <c r="O1746" s="76"/>
      <c r="P1746" s="76"/>
      <c r="Q1746" s="76"/>
      <c r="R1746" s="76"/>
      <c r="S1746" s="76"/>
      <c r="T1746" s="76"/>
      <c r="U1746" s="76"/>
      <c r="V1746" s="76"/>
      <c r="W1746" s="76"/>
      <c r="X1746" s="76"/>
      <c r="Y1746" s="76"/>
      <c r="Z1746" s="76"/>
      <c r="AA1746" s="76"/>
      <c r="AB1746" s="76"/>
      <c r="AC1746" s="76"/>
      <c r="AD1746" s="76"/>
      <c r="AE1746" s="76"/>
      <c r="AF1746" s="76"/>
      <c r="AG1746" s="76"/>
      <c r="AH1746" s="76"/>
      <c r="AI1746" s="76"/>
      <c r="AJ1746" s="76"/>
      <c r="AK1746" s="76"/>
      <c r="AL1746" s="76"/>
      <c r="AM1746" s="76"/>
      <c r="AN1746" s="76"/>
      <c r="AO1746" s="76"/>
      <c r="AP1746" s="76"/>
      <c r="AQ1746" s="76"/>
      <c r="AR1746" s="76"/>
      <c r="AS1746" s="76"/>
      <c r="AT1746" s="76"/>
      <c r="AU1746" s="76"/>
      <c r="AV1746" s="76"/>
      <c r="AW1746" s="76"/>
      <c r="AX1746" s="76"/>
      <c r="AY1746" s="76"/>
      <c r="AZ1746" s="76"/>
      <c r="BA1746" s="76"/>
      <c r="BB1746" s="76"/>
    </row>
    <row r="1747" spans="5:54" x14ac:dyDescent="0.35">
      <c r="E1747" s="83"/>
      <c r="F1747" s="83"/>
      <c r="G1747" s="76"/>
      <c r="H1747" s="76"/>
      <c r="I1747" s="76"/>
      <c r="J1747" s="76"/>
      <c r="K1747" s="76"/>
      <c r="L1747" s="76"/>
      <c r="M1747" s="76"/>
      <c r="N1747" s="76"/>
      <c r="O1747" s="76"/>
      <c r="P1747" s="76"/>
      <c r="Q1747" s="76"/>
      <c r="R1747" s="76"/>
      <c r="S1747" s="76"/>
      <c r="T1747" s="76"/>
      <c r="U1747" s="76"/>
      <c r="V1747" s="76"/>
      <c r="W1747" s="76"/>
      <c r="X1747" s="76"/>
      <c r="Y1747" s="76"/>
      <c r="Z1747" s="76"/>
      <c r="AA1747" s="76"/>
      <c r="AB1747" s="76"/>
      <c r="AC1747" s="76"/>
      <c r="AD1747" s="76"/>
      <c r="AE1747" s="76"/>
      <c r="AF1747" s="76"/>
      <c r="AG1747" s="76"/>
      <c r="AH1747" s="76"/>
      <c r="AI1747" s="76"/>
      <c r="AJ1747" s="76"/>
      <c r="AK1747" s="76"/>
      <c r="AL1747" s="76"/>
      <c r="AM1747" s="76"/>
      <c r="AN1747" s="76"/>
      <c r="AO1747" s="76"/>
      <c r="AP1747" s="76"/>
      <c r="AQ1747" s="76"/>
      <c r="AR1747" s="76"/>
      <c r="AS1747" s="76"/>
      <c r="AT1747" s="76"/>
      <c r="AU1747" s="76"/>
      <c r="AV1747" s="76"/>
      <c r="AW1747" s="76"/>
      <c r="AX1747" s="76"/>
      <c r="AY1747" s="76"/>
      <c r="AZ1747" s="76"/>
      <c r="BA1747" s="76"/>
      <c r="BB1747" s="76"/>
    </row>
    <row r="1748" spans="5:54" x14ac:dyDescent="0.35">
      <c r="E1748" s="83"/>
      <c r="F1748" s="83"/>
      <c r="G1748" s="76"/>
      <c r="H1748" s="76"/>
      <c r="I1748" s="76"/>
      <c r="J1748" s="76"/>
      <c r="K1748" s="76"/>
      <c r="L1748" s="76"/>
      <c r="M1748" s="76"/>
      <c r="N1748" s="76"/>
      <c r="O1748" s="76"/>
      <c r="P1748" s="76"/>
      <c r="Q1748" s="76"/>
      <c r="R1748" s="76"/>
      <c r="S1748" s="76"/>
      <c r="T1748" s="76"/>
      <c r="U1748" s="76"/>
      <c r="V1748" s="76"/>
      <c r="W1748" s="76"/>
      <c r="X1748" s="76"/>
      <c r="Y1748" s="76"/>
      <c r="Z1748" s="76"/>
      <c r="AA1748" s="76"/>
      <c r="AB1748" s="76"/>
      <c r="AC1748" s="76"/>
      <c r="AD1748" s="76"/>
      <c r="AE1748" s="76"/>
      <c r="AF1748" s="76"/>
      <c r="AG1748" s="76"/>
      <c r="AH1748" s="76"/>
      <c r="AI1748" s="76"/>
      <c r="AJ1748" s="76"/>
      <c r="AK1748" s="76"/>
      <c r="AL1748" s="76"/>
      <c r="AM1748" s="76"/>
      <c r="AN1748" s="76"/>
      <c r="AO1748" s="76"/>
      <c r="AP1748" s="76"/>
      <c r="AQ1748" s="76"/>
      <c r="AR1748" s="76"/>
      <c r="AS1748" s="76"/>
      <c r="AT1748" s="76"/>
      <c r="AU1748" s="76"/>
      <c r="AV1748" s="76"/>
      <c r="AW1748" s="76"/>
      <c r="AX1748" s="76"/>
      <c r="AY1748" s="76"/>
      <c r="AZ1748" s="76"/>
      <c r="BA1748" s="76"/>
      <c r="BB1748" s="76"/>
    </row>
    <row r="1749" spans="5:54" x14ac:dyDescent="0.35">
      <c r="E1749" s="83"/>
      <c r="F1749" s="83"/>
      <c r="G1749" s="76"/>
      <c r="H1749" s="76"/>
      <c r="I1749" s="76"/>
      <c r="J1749" s="76"/>
      <c r="K1749" s="76"/>
      <c r="L1749" s="76"/>
      <c r="M1749" s="76"/>
      <c r="N1749" s="76"/>
      <c r="O1749" s="76"/>
      <c r="P1749" s="76"/>
      <c r="Q1749" s="76"/>
      <c r="R1749" s="76"/>
      <c r="S1749" s="76"/>
      <c r="T1749" s="76"/>
      <c r="U1749" s="76"/>
      <c r="V1749" s="76"/>
      <c r="W1749" s="76"/>
      <c r="X1749" s="76"/>
      <c r="Y1749" s="76"/>
      <c r="Z1749" s="76"/>
      <c r="AA1749" s="76"/>
      <c r="AB1749" s="76"/>
      <c r="AC1749" s="76"/>
      <c r="AD1749" s="76"/>
      <c r="AE1749" s="76"/>
      <c r="AF1749" s="76"/>
      <c r="AG1749" s="76"/>
      <c r="AH1749" s="76"/>
      <c r="AI1749" s="76"/>
      <c r="AJ1749" s="76"/>
      <c r="AK1749" s="76"/>
      <c r="AL1749" s="76"/>
      <c r="AM1749" s="76"/>
      <c r="AN1749" s="76"/>
      <c r="AO1749" s="76"/>
      <c r="AP1749" s="76"/>
      <c r="AQ1749" s="76"/>
      <c r="AR1749" s="76"/>
      <c r="AS1749" s="76"/>
      <c r="AT1749" s="76"/>
      <c r="AU1749" s="76"/>
      <c r="AV1749" s="76"/>
      <c r="AW1749" s="76"/>
      <c r="AX1749" s="76"/>
      <c r="AY1749" s="76"/>
      <c r="AZ1749" s="76"/>
      <c r="BA1749" s="76"/>
      <c r="BB1749" s="76"/>
    </row>
    <row r="1750" spans="5:54" x14ac:dyDescent="0.35">
      <c r="E1750" s="83"/>
      <c r="F1750" s="83"/>
      <c r="G1750" s="76"/>
      <c r="H1750" s="76"/>
      <c r="I1750" s="76"/>
      <c r="J1750" s="76"/>
      <c r="K1750" s="76"/>
      <c r="L1750" s="76"/>
      <c r="M1750" s="76"/>
      <c r="N1750" s="76"/>
      <c r="O1750" s="76"/>
      <c r="P1750" s="76"/>
      <c r="Q1750" s="76"/>
      <c r="R1750" s="76"/>
      <c r="S1750" s="76"/>
      <c r="T1750" s="76"/>
      <c r="U1750" s="76"/>
      <c r="V1750" s="76"/>
      <c r="W1750" s="76"/>
      <c r="X1750" s="76"/>
      <c r="Y1750" s="76"/>
      <c r="Z1750" s="76"/>
      <c r="AA1750" s="76"/>
      <c r="AB1750" s="76"/>
      <c r="AC1750" s="76"/>
      <c r="AD1750" s="76"/>
      <c r="AE1750" s="76"/>
      <c r="AF1750" s="76"/>
      <c r="AG1750" s="76"/>
      <c r="AH1750" s="76"/>
      <c r="AI1750" s="76"/>
      <c r="AJ1750" s="76"/>
      <c r="AK1750" s="76"/>
      <c r="AL1750" s="76"/>
      <c r="AM1750" s="76"/>
      <c r="AN1750" s="76"/>
      <c r="AO1750" s="76"/>
      <c r="AP1750" s="76"/>
      <c r="AQ1750" s="76"/>
      <c r="AR1750" s="76"/>
      <c r="AS1750" s="76"/>
      <c r="AT1750" s="76"/>
      <c r="AU1750" s="76"/>
      <c r="AV1750" s="76"/>
      <c r="AW1750" s="76"/>
      <c r="AX1750" s="76"/>
      <c r="AY1750" s="76"/>
      <c r="AZ1750" s="76"/>
      <c r="BA1750" s="76"/>
      <c r="BB1750" s="76"/>
    </row>
    <row r="1751" spans="5:54" x14ac:dyDescent="0.35">
      <c r="E1751" s="83"/>
      <c r="F1751" s="83"/>
      <c r="G1751" s="76"/>
      <c r="H1751" s="76"/>
      <c r="I1751" s="76"/>
      <c r="J1751" s="76"/>
      <c r="K1751" s="76"/>
      <c r="L1751" s="76"/>
      <c r="M1751" s="76"/>
      <c r="N1751" s="76"/>
      <c r="O1751" s="76"/>
      <c r="P1751" s="76"/>
      <c r="Q1751" s="76"/>
      <c r="R1751" s="76"/>
      <c r="S1751" s="76"/>
      <c r="T1751" s="76"/>
      <c r="U1751" s="76"/>
      <c r="V1751" s="76"/>
      <c r="W1751" s="76"/>
      <c r="X1751" s="76"/>
      <c r="Y1751" s="76"/>
      <c r="Z1751" s="76"/>
      <c r="AA1751" s="76"/>
      <c r="AB1751" s="76"/>
      <c r="AC1751" s="76"/>
      <c r="AD1751" s="76"/>
      <c r="AE1751" s="76"/>
      <c r="AF1751" s="76"/>
      <c r="AG1751" s="76"/>
      <c r="AH1751" s="76"/>
      <c r="AI1751" s="76"/>
      <c r="AJ1751" s="76"/>
      <c r="AK1751" s="76"/>
      <c r="AL1751" s="76"/>
      <c r="AM1751" s="76"/>
      <c r="AN1751" s="76"/>
      <c r="AO1751" s="76"/>
      <c r="AP1751" s="76"/>
      <c r="AQ1751" s="76"/>
      <c r="AR1751" s="76"/>
      <c r="AS1751" s="76"/>
      <c r="AT1751" s="76"/>
      <c r="AU1751" s="76"/>
      <c r="AV1751" s="76"/>
      <c r="AW1751" s="76"/>
      <c r="AX1751" s="76"/>
      <c r="AY1751" s="76"/>
      <c r="AZ1751" s="76"/>
      <c r="BA1751" s="76"/>
      <c r="BB1751" s="76"/>
    </row>
    <row r="1752" spans="5:54" x14ac:dyDescent="0.35">
      <c r="E1752" s="83"/>
      <c r="F1752" s="83"/>
      <c r="G1752" s="76"/>
      <c r="H1752" s="76"/>
      <c r="I1752" s="76"/>
      <c r="J1752" s="76"/>
      <c r="K1752" s="76"/>
      <c r="L1752" s="76"/>
      <c r="M1752" s="76"/>
      <c r="N1752" s="76"/>
      <c r="O1752" s="76"/>
      <c r="P1752" s="76"/>
      <c r="Q1752" s="76"/>
      <c r="R1752" s="76"/>
      <c r="S1752" s="76"/>
      <c r="T1752" s="76"/>
      <c r="U1752" s="76"/>
      <c r="V1752" s="76"/>
      <c r="W1752" s="76"/>
      <c r="X1752" s="76"/>
      <c r="Y1752" s="76"/>
      <c r="Z1752" s="76"/>
      <c r="AA1752" s="76"/>
      <c r="AB1752" s="76"/>
      <c r="AC1752" s="76"/>
      <c r="AD1752" s="76"/>
      <c r="AE1752" s="76"/>
      <c r="AF1752" s="76"/>
      <c r="AG1752" s="76"/>
      <c r="AH1752" s="76"/>
      <c r="AI1752" s="76"/>
      <c r="AJ1752" s="76"/>
      <c r="AK1752" s="76"/>
      <c r="AL1752" s="76"/>
      <c r="AM1752" s="76"/>
      <c r="AN1752" s="76"/>
      <c r="AO1752" s="76"/>
      <c r="AP1752" s="76"/>
      <c r="AQ1752" s="76"/>
      <c r="AR1752" s="76"/>
      <c r="AS1752" s="76"/>
      <c r="AT1752" s="76"/>
      <c r="AU1752" s="76"/>
      <c r="AV1752" s="76"/>
      <c r="AW1752" s="76"/>
      <c r="AX1752" s="76"/>
      <c r="AY1752" s="76"/>
      <c r="AZ1752" s="76"/>
      <c r="BA1752" s="76"/>
      <c r="BB1752" s="76"/>
    </row>
    <row r="1753" spans="5:54" x14ac:dyDescent="0.35">
      <c r="E1753" s="83"/>
      <c r="F1753" s="83"/>
      <c r="G1753" s="76"/>
      <c r="H1753" s="76"/>
      <c r="I1753" s="76"/>
      <c r="J1753" s="76"/>
      <c r="K1753" s="76"/>
      <c r="L1753" s="76"/>
      <c r="M1753" s="76"/>
      <c r="N1753" s="76"/>
      <c r="O1753" s="76"/>
      <c r="P1753" s="76"/>
      <c r="Q1753" s="76"/>
      <c r="R1753" s="76"/>
      <c r="S1753" s="76"/>
      <c r="T1753" s="76"/>
      <c r="U1753" s="76"/>
      <c r="V1753" s="76"/>
      <c r="W1753" s="76"/>
      <c r="X1753" s="76"/>
      <c r="Y1753" s="76"/>
      <c r="Z1753" s="76"/>
      <c r="AA1753" s="76"/>
      <c r="AB1753" s="76"/>
      <c r="AC1753" s="76"/>
      <c r="AD1753" s="76"/>
      <c r="AE1753" s="76"/>
      <c r="AF1753" s="76"/>
      <c r="AG1753" s="76"/>
      <c r="AH1753" s="76"/>
      <c r="AI1753" s="76"/>
      <c r="AJ1753" s="76"/>
      <c r="AK1753" s="76"/>
      <c r="AL1753" s="76"/>
      <c r="AM1753" s="76"/>
      <c r="AN1753" s="76"/>
      <c r="AO1753" s="76"/>
      <c r="AP1753" s="76"/>
      <c r="AQ1753" s="76"/>
      <c r="AR1753" s="76"/>
      <c r="AS1753" s="76"/>
      <c r="AT1753" s="76"/>
      <c r="AU1753" s="76"/>
      <c r="AV1753" s="76"/>
      <c r="AW1753" s="76"/>
      <c r="AX1753" s="76"/>
      <c r="AY1753" s="76"/>
      <c r="AZ1753" s="76"/>
      <c r="BA1753" s="76"/>
      <c r="BB1753" s="76"/>
    </row>
    <row r="1754" spans="5:54" x14ac:dyDescent="0.35">
      <c r="E1754" s="83"/>
      <c r="F1754" s="83"/>
      <c r="G1754" s="76"/>
      <c r="H1754" s="76"/>
      <c r="I1754" s="76"/>
      <c r="J1754" s="76"/>
      <c r="K1754" s="76"/>
      <c r="L1754" s="76"/>
      <c r="M1754" s="76"/>
      <c r="N1754" s="76"/>
      <c r="O1754" s="76"/>
      <c r="P1754" s="76"/>
      <c r="Q1754" s="76"/>
      <c r="R1754" s="76"/>
      <c r="S1754" s="76"/>
      <c r="T1754" s="76"/>
      <c r="U1754" s="76"/>
      <c r="V1754" s="76"/>
      <c r="W1754" s="76"/>
      <c r="X1754" s="76"/>
      <c r="Y1754" s="76"/>
      <c r="Z1754" s="76"/>
      <c r="AA1754" s="76"/>
      <c r="AB1754" s="76"/>
      <c r="AC1754" s="76"/>
      <c r="AD1754" s="76"/>
      <c r="AE1754" s="76"/>
      <c r="AF1754" s="76"/>
      <c r="AG1754" s="76"/>
      <c r="AH1754" s="76"/>
      <c r="AI1754" s="76"/>
      <c r="AJ1754" s="76"/>
      <c r="AK1754" s="76"/>
      <c r="AL1754" s="76"/>
      <c r="AM1754" s="76"/>
      <c r="AN1754" s="76"/>
      <c r="AO1754" s="76"/>
      <c r="AP1754" s="76"/>
      <c r="AQ1754" s="76"/>
      <c r="AR1754" s="76"/>
      <c r="AS1754" s="76"/>
      <c r="AT1754" s="76"/>
      <c r="AU1754" s="76"/>
      <c r="AV1754" s="76"/>
      <c r="AW1754" s="76"/>
      <c r="AX1754" s="76"/>
      <c r="AY1754" s="76"/>
      <c r="AZ1754" s="76"/>
      <c r="BA1754" s="76"/>
      <c r="BB1754" s="76"/>
    </row>
    <row r="1755" spans="5:54" x14ac:dyDescent="0.35">
      <c r="E1755" s="83"/>
      <c r="F1755" s="83"/>
      <c r="G1755" s="76"/>
      <c r="H1755" s="76"/>
      <c r="I1755" s="76"/>
      <c r="J1755" s="76"/>
      <c r="K1755" s="76"/>
      <c r="L1755" s="76"/>
      <c r="M1755" s="76"/>
      <c r="N1755" s="76"/>
      <c r="O1755" s="76"/>
      <c r="P1755" s="76"/>
      <c r="Q1755" s="76"/>
      <c r="R1755" s="76"/>
      <c r="S1755" s="76"/>
      <c r="T1755" s="76"/>
      <c r="U1755" s="76"/>
      <c r="V1755" s="76"/>
      <c r="W1755" s="76"/>
      <c r="X1755" s="76"/>
      <c r="Y1755" s="76"/>
      <c r="Z1755" s="76"/>
      <c r="AA1755" s="76"/>
      <c r="AB1755" s="76"/>
      <c r="AC1755" s="76"/>
      <c r="AD1755" s="76"/>
      <c r="AE1755" s="76"/>
      <c r="AF1755" s="76"/>
      <c r="AG1755" s="76"/>
      <c r="AH1755" s="76"/>
      <c r="AI1755" s="76"/>
      <c r="AJ1755" s="76"/>
      <c r="AK1755" s="76"/>
      <c r="AL1755" s="76"/>
      <c r="AM1755" s="76"/>
      <c r="AN1755" s="76"/>
      <c r="AO1755" s="76"/>
      <c r="AP1755" s="76"/>
      <c r="AQ1755" s="76"/>
      <c r="AR1755" s="76"/>
      <c r="AS1755" s="76"/>
      <c r="AT1755" s="76"/>
      <c r="AU1755" s="76"/>
      <c r="AV1755" s="76"/>
      <c r="AW1755" s="76"/>
      <c r="AX1755" s="76"/>
      <c r="AY1755" s="76"/>
      <c r="AZ1755" s="76"/>
      <c r="BA1755" s="76"/>
      <c r="BB1755" s="76"/>
    </row>
    <row r="1756" spans="5:54" x14ac:dyDescent="0.35">
      <c r="E1756" s="83"/>
      <c r="F1756" s="83"/>
      <c r="G1756" s="76"/>
      <c r="H1756" s="76"/>
      <c r="I1756" s="76"/>
      <c r="J1756" s="76"/>
      <c r="K1756" s="76"/>
      <c r="L1756" s="76"/>
      <c r="M1756" s="76"/>
      <c r="N1756" s="76"/>
      <c r="O1756" s="76"/>
      <c r="P1756" s="76"/>
      <c r="Q1756" s="76"/>
      <c r="R1756" s="76"/>
      <c r="S1756" s="76"/>
      <c r="T1756" s="76"/>
      <c r="U1756" s="76"/>
      <c r="V1756" s="76"/>
      <c r="W1756" s="76"/>
      <c r="X1756" s="76"/>
      <c r="Y1756" s="76"/>
      <c r="Z1756" s="76"/>
      <c r="AA1756" s="76"/>
      <c r="AB1756" s="76"/>
      <c r="AC1756" s="76"/>
      <c r="AD1756" s="76"/>
      <c r="AE1756" s="76"/>
      <c r="AF1756" s="76"/>
      <c r="AG1756" s="76"/>
      <c r="AH1756" s="76"/>
      <c r="AI1756" s="76"/>
      <c r="AJ1756" s="76"/>
      <c r="AK1756" s="76"/>
      <c r="AL1756" s="76"/>
      <c r="AM1756" s="76"/>
      <c r="AN1756" s="76"/>
      <c r="AO1756" s="76"/>
      <c r="AP1756" s="76"/>
      <c r="AQ1756" s="76"/>
      <c r="AR1756" s="76"/>
      <c r="AS1756" s="76"/>
      <c r="AT1756" s="76"/>
      <c r="AU1756" s="76"/>
      <c r="AV1756" s="76"/>
      <c r="AW1756" s="76"/>
      <c r="AX1756" s="76"/>
      <c r="AY1756" s="76"/>
      <c r="AZ1756" s="76"/>
      <c r="BA1756" s="76"/>
      <c r="BB1756" s="76"/>
    </row>
    <row r="1757" spans="5:54" x14ac:dyDescent="0.35">
      <c r="E1757" s="83"/>
      <c r="F1757" s="83"/>
      <c r="G1757" s="76"/>
      <c r="H1757" s="76"/>
      <c r="I1757" s="76"/>
      <c r="J1757" s="76"/>
      <c r="K1757" s="76"/>
      <c r="L1757" s="76"/>
      <c r="M1757" s="76"/>
      <c r="N1757" s="76"/>
      <c r="O1757" s="76"/>
      <c r="P1757" s="76"/>
      <c r="Q1757" s="76"/>
      <c r="R1757" s="76"/>
      <c r="S1757" s="76"/>
      <c r="T1757" s="76"/>
      <c r="U1757" s="76"/>
      <c r="V1757" s="76"/>
      <c r="W1757" s="76"/>
      <c r="X1757" s="76"/>
      <c r="Y1757" s="76"/>
      <c r="Z1757" s="76"/>
      <c r="AA1757" s="76"/>
      <c r="AB1757" s="76"/>
      <c r="AC1757" s="76"/>
      <c r="AD1757" s="76"/>
      <c r="AE1757" s="76"/>
      <c r="AF1757" s="76"/>
      <c r="AG1757" s="76"/>
      <c r="AH1757" s="76"/>
      <c r="AI1757" s="76"/>
      <c r="AJ1757" s="76"/>
      <c r="AK1757" s="76"/>
      <c r="AL1757" s="76"/>
      <c r="AM1757" s="76"/>
      <c r="AN1757" s="76"/>
      <c r="AO1757" s="76"/>
      <c r="AP1757" s="76"/>
      <c r="AQ1757" s="76"/>
      <c r="AR1757" s="76"/>
      <c r="AS1757" s="76"/>
      <c r="AT1757" s="76"/>
      <c r="AU1757" s="76"/>
      <c r="AV1757" s="76"/>
      <c r="AW1757" s="76"/>
      <c r="AX1757" s="76"/>
      <c r="AY1757" s="76"/>
      <c r="AZ1757" s="76"/>
      <c r="BA1757" s="76"/>
      <c r="BB1757" s="76"/>
    </row>
    <row r="1758" spans="5:54" x14ac:dyDescent="0.35">
      <c r="E1758" s="83"/>
      <c r="F1758" s="83"/>
      <c r="G1758" s="76"/>
      <c r="H1758" s="76"/>
      <c r="I1758" s="76"/>
      <c r="J1758" s="76"/>
      <c r="K1758" s="76"/>
      <c r="L1758" s="76"/>
      <c r="M1758" s="76"/>
      <c r="N1758" s="76"/>
      <c r="O1758" s="76"/>
      <c r="P1758" s="76"/>
      <c r="Q1758" s="76"/>
      <c r="R1758" s="76"/>
      <c r="S1758" s="76"/>
      <c r="T1758" s="76"/>
      <c r="U1758" s="76"/>
      <c r="V1758" s="76"/>
      <c r="W1758" s="76"/>
      <c r="X1758" s="76"/>
      <c r="Y1758" s="76"/>
      <c r="Z1758" s="76"/>
      <c r="AA1758" s="76"/>
      <c r="AB1758" s="76"/>
      <c r="AC1758" s="76"/>
      <c r="AD1758" s="76"/>
      <c r="AE1758" s="76"/>
      <c r="AF1758" s="76"/>
      <c r="AG1758" s="76"/>
      <c r="AH1758" s="76"/>
      <c r="AI1758" s="76"/>
      <c r="AJ1758" s="76"/>
      <c r="AK1758" s="76"/>
      <c r="AL1758" s="76"/>
      <c r="AM1758" s="76"/>
      <c r="AN1758" s="76"/>
      <c r="AO1758" s="76"/>
      <c r="AP1758" s="76"/>
      <c r="AQ1758" s="76"/>
      <c r="AR1758" s="76"/>
      <c r="AS1758" s="76"/>
      <c r="AT1758" s="76"/>
      <c r="AU1758" s="76"/>
      <c r="AV1758" s="76"/>
      <c r="AW1758" s="76"/>
      <c r="AX1758" s="76"/>
      <c r="AY1758" s="76"/>
      <c r="AZ1758" s="76"/>
      <c r="BA1758" s="76"/>
      <c r="BB1758" s="76"/>
    </row>
    <row r="1759" spans="5:54" x14ac:dyDescent="0.35">
      <c r="E1759" s="83"/>
      <c r="F1759" s="83"/>
      <c r="G1759" s="76"/>
      <c r="H1759" s="76"/>
      <c r="I1759" s="76"/>
      <c r="J1759" s="76"/>
      <c r="K1759" s="76"/>
      <c r="L1759" s="76"/>
      <c r="M1759" s="76"/>
      <c r="N1759" s="76"/>
      <c r="O1759" s="76"/>
      <c r="P1759" s="76"/>
      <c r="Q1759" s="76"/>
      <c r="R1759" s="76"/>
      <c r="S1759" s="76"/>
      <c r="T1759" s="76"/>
      <c r="U1759" s="76"/>
      <c r="V1759" s="76"/>
      <c r="W1759" s="76"/>
      <c r="X1759" s="76"/>
      <c r="Y1759" s="76"/>
      <c r="Z1759" s="76"/>
      <c r="AA1759" s="76"/>
      <c r="AB1759" s="76"/>
      <c r="AC1759" s="76"/>
      <c r="AD1759" s="76"/>
      <c r="AE1759" s="76"/>
      <c r="AF1759" s="76"/>
      <c r="AG1759" s="76"/>
      <c r="AH1759" s="76"/>
      <c r="AI1759" s="76"/>
      <c r="AJ1759" s="76"/>
      <c r="AK1759" s="76"/>
      <c r="AL1759" s="76"/>
      <c r="AM1759" s="76"/>
      <c r="AN1759" s="76"/>
      <c r="AO1759" s="76"/>
      <c r="AP1759" s="76"/>
      <c r="AQ1759" s="76"/>
      <c r="AR1759" s="76"/>
      <c r="AS1759" s="76"/>
      <c r="AT1759" s="76"/>
      <c r="AU1759" s="76"/>
      <c r="AV1759" s="76"/>
      <c r="AW1759" s="76"/>
      <c r="AX1759" s="76"/>
      <c r="AY1759" s="76"/>
      <c r="AZ1759" s="76"/>
      <c r="BA1759" s="76"/>
      <c r="BB1759" s="76"/>
    </row>
    <row r="1760" spans="5:54" x14ac:dyDescent="0.35">
      <c r="E1760" s="83"/>
      <c r="F1760" s="83"/>
      <c r="G1760" s="76"/>
      <c r="H1760" s="76"/>
      <c r="I1760" s="76"/>
      <c r="J1760" s="76"/>
      <c r="K1760" s="76"/>
      <c r="L1760" s="76"/>
      <c r="M1760" s="76"/>
      <c r="N1760" s="76"/>
      <c r="O1760" s="76"/>
      <c r="P1760" s="76"/>
      <c r="Q1760" s="76"/>
      <c r="R1760" s="76"/>
      <c r="S1760" s="76"/>
      <c r="T1760" s="76"/>
      <c r="U1760" s="76"/>
      <c r="V1760" s="76"/>
      <c r="W1760" s="76"/>
      <c r="X1760" s="76"/>
      <c r="Y1760" s="76"/>
      <c r="Z1760" s="76"/>
      <c r="AA1760" s="76"/>
      <c r="AB1760" s="76"/>
      <c r="AC1760" s="76"/>
      <c r="AD1760" s="76"/>
      <c r="AE1760" s="76"/>
      <c r="AF1760" s="76"/>
      <c r="AG1760" s="76"/>
      <c r="AH1760" s="76"/>
      <c r="AI1760" s="76"/>
      <c r="AJ1760" s="76"/>
      <c r="AK1760" s="76"/>
      <c r="AL1760" s="76"/>
      <c r="AM1760" s="76"/>
      <c r="AN1760" s="76"/>
      <c r="AO1760" s="76"/>
      <c r="AP1760" s="76"/>
      <c r="AQ1760" s="76"/>
      <c r="AR1760" s="76"/>
      <c r="AS1760" s="76"/>
      <c r="AT1760" s="76"/>
      <c r="AU1760" s="76"/>
      <c r="AV1760" s="76"/>
      <c r="AW1760" s="76"/>
      <c r="AX1760" s="76"/>
      <c r="AY1760" s="76"/>
      <c r="AZ1760" s="76"/>
      <c r="BA1760" s="76"/>
      <c r="BB1760" s="76"/>
    </row>
    <row r="1761" spans="5:54" x14ac:dyDescent="0.35">
      <c r="E1761" s="83"/>
      <c r="F1761" s="83"/>
      <c r="G1761" s="76"/>
      <c r="H1761" s="76"/>
      <c r="I1761" s="76"/>
      <c r="J1761" s="76"/>
      <c r="K1761" s="76"/>
      <c r="L1761" s="76"/>
      <c r="M1761" s="76"/>
      <c r="N1761" s="76"/>
      <c r="O1761" s="76"/>
      <c r="P1761" s="76"/>
      <c r="Q1761" s="76"/>
      <c r="R1761" s="76"/>
      <c r="S1761" s="76"/>
      <c r="T1761" s="76"/>
      <c r="U1761" s="76"/>
      <c r="V1761" s="76"/>
      <c r="W1761" s="76"/>
      <c r="X1761" s="76"/>
      <c r="Y1761" s="76"/>
      <c r="Z1761" s="76"/>
      <c r="AA1761" s="76"/>
      <c r="AB1761" s="76"/>
      <c r="AC1761" s="76"/>
      <c r="AD1761" s="76"/>
      <c r="AE1761" s="76"/>
      <c r="AF1761" s="76"/>
      <c r="AG1761" s="76"/>
      <c r="AH1761" s="76"/>
      <c r="AI1761" s="76"/>
      <c r="AJ1761" s="76"/>
      <c r="AK1761" s="76"/>
      <c r="AL1761" s="76"/>
      <c r="AM1761" s="76"/>
      <c r="AN1761" s="76"/>
      <c r="AO1761" s="76"/>
      <c r="AP1761" s="76"/>
      <c r="AQ1761" s="76"/>
      <c r="AR1761" s="76"/>
      <c r="AS1761" s="76"/>
      <c r="AT1761" s="76"/>
      <c r="AU1761" s="76"/>
      <c r="AV1761" s="76"/>
      <c r="AW1761" s="76"/>
      <c r="AX1761" s="76"/>
      <c r="AY1761" s="76"/>
      <c r="AZ1761" s="76"/>
      <c r="BA1761" s="76"/>
      <c r="BB1761" s="76"/>
    </row>
    <row r="1762" spans="5:54" x14ac:dyDescent="0.35">
      <c r="E1762" s="83"/>
      <c r="F1762" s="83"/>
      <c r="G1762" s="76"/>
      <c r="H1762" s="76"/>
      <c r="I1762" s="76"/>
      <c r="J1762" s="76"/>
      <c r="K1762" s="76"/>
      <c r="L1762" s="76"/>
      <c r="M1762" s="76"/>
      <c r="N1762" s="76"/>
      <c r="O1762" s="76"/>
      <c r="P1762" s="76"/>
      <c r="Q1762" s="76"/>
      <c r="R1762" s="76"/>
      <c r="S1762" s="76"/>
      <c r="T1762" s="76"/>
      <c r="U1762" s="76"/>
      <c r="V1762" s="76"/>
      <c r="W1762" s="76"/>
      <c r="X1762" s="76"/>
      <c r="Y1762" s="76"/>
      <c r="Z1762" s="76"/>
      <c r="AA1762" s="76"/>
      <c r="AB1762" s="76"/>
      <c r="AC1762" s="76"/>
      <c r="AD1762" s="76"/>
      <c r="AE1762" s="76"/>
      <c r="AF1762" s="76"/>
      <c r="AG1762" s="76"/>
      <c r="AH1762" s="76"/>
      <c r="AI1762" s="76"/>
      <c r="AJ1762" s="76"/>
      <c r="AK1762" s="76"/>
      <c r="AL1762" s="76"/>
      <c r="AM1762" s="76"/>
      <c r="AN1762" s="76"/>
      <c r="AO1762" s="76"/>
      <c r="AP1762" s="76"/>
      <c r="AQ1762" s="76"/>
      <c r="AR1762" s="76"/>
      <c r="AS1762" s="76"/>
      <c r="AT1762" s="76"/>
      <c r="AU1762" s="76"/>
      <c r="AV1762" s="76"/>
      <c r="AW1762" s="76"/>
      <c r="AX1762" s="76"/>
      <c r="AY1762" s="76"/>
      <c r="AZ1762" s="76"/>
      <c r="BA1762" s="76"/>
      <c r="BB1762" s="76"/>
    </row>
    <row r="1763" spans="5:54" x14ac:dyDescent="0.35">
      <c r="E1763" s="83"/>
      <c r="F1763" s="83"/>
      <c r="G1763" s="76"/>
      <c r="H1763" s="76"/>
      <c r="I1763" s="76"/>
      <c r="J1763" s="76"/>
      <c r="K1763" s="76"/>
      <c r="L1763" s="76"/>
      <c r="M1763" s="76"/>
      <c r="N1763" s="76"/>
      <c r="O1763" s="76"/>
      <c r="P1763" s="76"/>
      <c r="Q1763" s="76"/>
      <c r="R1763" s="76"/>
      <c r="S1763" s="76"/>
      <c r="T1763" s="76"/>
      <c r="U1763" s="76"/>
      <c r="V1763" s="76"/>
      <c r="W1763" s="76"/>
      <c r="X1763" s="76"/>
      <c r="Y1763" s="76"/>
      <c r="Z1763" s="76"/>
      <c r="AA1763" s="76"/>
      <c r="AB1763" s="76"/>
      <c r="AC1763" s="76"/>
      <c r="AD1763" s="76"/>
      <c r="AE1763" s="76"/>
      <c r="AF1763" s="76"/>
      <c r="AG1763" s="76"/>
      <c r="AH1763" s="76"/>
      <c r="AI1763" s="76"/>
      <c r="AJ1763" s="76"/>
      <c r="AK1763" s="76"/>
      <c r="AL1763" s="76"/>
      <c r="AM1763" s="76"/>
      <c r="AN1763" s="76"/>
      <c r="AO1763" s="76"/>
      <c r="AP1763" s="76"/>
      <c r="AQ1763" s="76"/>
      <c r="AR1763" s="76"/>
      <c r="AS1763" s="76"/>
      <c r="AT1763" s="76"/>
      <c r="AU1763" s="76"/>
      <c r="AV1763" s="76"/>
      <c r="AW1763" s="76"/>
      <c r="AX1763" s="76"/>
      <c r="AY1763" s="76"/>
      <c r="AZ1763" s="76"/>
      <c r="BA1763" s="76"/>
      <c r="BB1763" s="76"/>
    </row>
    <row r="1764" spans="5:54" x14ac:dyDescent="0.35">
      <c r="E1764" s="83"/>
      <c r="F1764" s="83"/>
      <c r="G1764" s="76"/>
      <c r="H1764" s="76"/>
      <c r="I1764" s="76"/>
      <c r="J1764" s="76"/>
      <c r="K1764" s="76"/>
      <c r="L1764" s="76"/>
      <c r="M1764" s="76"/>
      <c r="N1764" s="76"/>
      <c r="O1764" s="76"/>
      <c r="P1764" s="76"/>
      <c r="Q1764" s="76"/>
      <c r="R1764" s="76"/>
      <c r="S1764" s="76"/>
      <c r="T1764" s="76"/>
      <c r="U1764" s="76"/>
      <c r="V1764" s="76"/>
      <c r="W1764" s="76"/>
      <c r="X1764" s="76"/>
      <c r="Y1764" s="76"/>
      <c r="Z1764" s="76"/>
      <c r="AA1764" s="76"/>
      <c r="AB1764" s="76"/>
      <c r="AC1764" s="76"/>
      <c r="AD1764" s="76"/>
      <c r="AE1764" s="76"/>
      <c r="AF1764" s="76"/>
      <c r="AG1764" s="76"/>
      <c r="AH1764" s="76"/>
      <c r="AI1764" s="76"/>
      <c r="AJ1764" s="76"/>
      <c r="AK1764" s="76"/>
      <c r="AL1764" s="76"/>
      <c r="AM1764" s="76"/>
      <c r="AN1764" s="76"/>
      <c r="AO1764" s="76"/>
      <c r="AP1764" s="76"/>
      <c r="AQ1764" s="76"/>
      <c r="AR1764" s="76"/>
      <c r="AS1764" s="76"/>
      <c r="AT1764" s="76"/>
      <c r="AU1764" s="76"/>
      <c r="AV1764" s="76"/>
      <c r="AW1764" s="76"/>
      <c r="AX1764" s="76"/>
      <c r="AY1764" s="76"/>
      <c r="AZ1764" s="76"/>
      <c r="BA1764" s="76"/>
      <c r="BB1764" s="76"/>
    </row>
    <row r="1765" spans="5:54" x14ac:dyDescent="0.35">
      <c r="E1765" s="83"/>
      <c r="F1765" s="83"/>
      <c r="G1765" s="76"/>
      <c r="H1765" s="76"/>
      <c r="I1765" s="76"/>
      <c r="J1765" s="76"/>
      <c r="K1765" s="76"/>
      <c r="L1765" s="76"/>
      <c r="M1765" s="76"/>
      <c r="N1765" s="76"/>
      <c r="O1765" s="76"/>
      <c r="P1765" s="76"/>
      <c r="Q1765" s="76"/>
      <c r="R1765" s="76"/>
      <c r="S1765" s="76"/>
      <c r="T1765" s="76"/>
      <c r="U1765" s="76"/>
      <c r="V1765" s="76"/>
      <c r="W1765" s="76"/>
      <c r="X1765" s="76"/>
      <c r="Y1765" s="76"/>
      <c r="Z1765" s="76"/>
      <c r="AA1765" s="76"/>
      <c r="AB1765" s="76"/>
      <c r="AC1765" s="76"/>
      <c r="AD1765" s="76"/>
      <c r="AE1765" s="76"/>
      <c r="AF1765" s="76"/>
      <c r="AG1765" s="76"/>
      <c r="AH1765" s="76"/>
      <c r="AI1765" s="76"/>
      <c r="AJ1765" s="76"/>
      <c r="AK1765" s="76"/>
      <c r="AL1765" s="76"/>
      <c r="AM1765" s="76"/>
      <c r="AN1765" s="76"/>
      <c r="AO1765" s="76"/>
      <c r="AP1765" s="76"/>
      <c r="AQ1765" s="76"/>
      <c r="AR1765" s="76"/>
      <c r="AS1765" s="76"/>
      <c r="AT1765" s="76"/>
      <c r="AU1765" s="76"/>
      <c r="AV1765" s="76"/>
      <c r="AW1765" s="76"/>
      <c r="AX1765" s="76"/>
      <c r="AY1765" s="76"/>
      <c r="AZ1765" s="76"/>
      <c r="BA1765" s="76"/>
      <c r="BB1765" s="76"/>
    </row>
    <row r="1766" spans="5:54" x14ac:dyDescent="0.35">
      <c r="E1766" s="83"/>
      <c r="F1766" s="83"/>
      <c r="G1766" s="76"/>
      <c r="H1766" s="76"/>
      <c r="I1766" s="76"/>
      <c r="J1766" s="76"/>
      <c r="K1766" s="76"/>
      <c r="L1766" s="76"/>
      <c r="M1766" s="76"/>
      <c r="N1766" s="76"/>
      <c r="O1766" s="76"/>
      <c r="P1766" s="76"/>
      <c r="Q1766" s="76"/>
      <c r="R1766" s="76"/>
      <c r="S1766" s="76"/>
      <c r="T1766" s="76"/>
      <c r="U1766" s="76"/>
      <c r="V1766" s="76"/>
      <c r="W1766" s="76"/>
      <c r="X1766" s="76"/>
      <c r="Y1766" s="76"/>
      <c r="Z1766" s="76"/>
      <c r="AA1766" s="76"/>
      <c r="AB1766" s="76"/>
      <c r="AC1766" s="76"/>
      <c r="AD1766" s="76"/>
      <c r="AE1766" s="76"/>
      <c r="AF1766" s="76"/>
      <c r="AG1766" s="76"/>
      <c r="AH1766" s="76"/>
      <c r="AI1766" s="76"/>
      <c r="AJ1766" s="76"/>
      <c r="AK1766" s="76"/>
      <c r="AL1766" s="76"/>
      <c r="AM1766" s="76"/>
      <c r="AN1766" s="76"/>
      <c r="AO1766" s="76"/>
      <c r="AP1766" s="76"/>
      <c r="AQ1766" s="76"/>
      <c r="AR1766" s="76"/>
      <c r="AS1766" s="76"/>
      <c r="AT1766" s="76"/>
      <c r="AU1766" s="76"/>
      <c r="AV1766" s="76"/>
      <c r="AW1766" s="76"/>
      <c r="AX1766" s="76"/>
      <c r="AY1766" s="76"/>
      <c r="AZ1766" s="76"/>
      <c r="BA1766" s="76"/>
      <c r="BB1766" s="76"/>
    </row>
    <row r="1767" spans="5:54" x14ac:dyDescent="0.35">
      <c r="E1767" s="83"/>
      <c r="F1767" s="83"/>
      <c r="G1767" s="76"/>
      <c r="H1767" s="76"/>
      <c r="I1767" s="76"/>
      <c r="J1767" s="76"/>
      <c r="K1767" s="76"/>
      <c r="L1767" s="76"/>
      <c r="M1767" s="76"/>
      <c r="N1767" s="76"/>
      <c r="O1767" s="76"/>
      <c r="P1767" s="76"/>
      <c r="Q1767" s="76"/>
      <c r="R1767" s="76"/>
      <c r="S1767" s="76"/>
      <c r="T1767" s="76"/>
      <c r="U1767" s="76"/>
      <c r="V1767" s="76"/>
      <c r="W1767" s="76"/>
      <c r="X1767" s="76"/>
      <c r="Y1767" s="76"/>
      <c r="Z1767" s="76"/>
      <c r="AA1767" s="76"/>
      <c r="AB1767" s="76"/>
      <c r="AC1767" s="76"/>
      <c r="AD1767" s="76"/>
      <c r="AE1767" s="76"/>
      <c r="AF1767" s="76"/>
      <c r="AG1767" s="76"/>
      <c r="AH1767" s="76"/>
      <c r="AI1767" s="76"/>
      <c r="AJ1767" s="76"/>
      <c r="AK1767" s="76"/>
      <c r="AL1767" s="76"/>
      <c r="AM1767" s="76"/>
      <c r="AN1767" s="76"/>
      <c r="AO1767" s="76"/>
      <c r="AP1767" s="76"/>
      <c r="AQ1767" s="76"/>
      <c r="AR1767" s="76"/>
      <c r="AS1767" s="76"/>
      <c r="AT1767" s="76"/>
      <c r="AU1767" s="76"/>
      <c r="AV1767" s="76"/>
      <c r="AW1767" s="76"/>
      <c r="AX1767" s="76"/>
      <c r="AY1767" s="76"/>
      <c r="AZ1767" s="76"/>
      <c r="BA1767" s="76"/>
      <c r="BB1767" s="76"/>
    </row>
    <row r="1768" spans="5:54" x14ac:dyDescent="0.35">
      <c r="E1768" s="83"/>
      <c r="F1768" s="83"/>
      <c r="G1768" s="76"/>
      <c r="H1768" s="76"/>
      <c r="I1768" s="76"/>
      <c r="J1768" s="76"/>
      <c r="K1768" s="76"/>
      <c r="L1768" s="76"/>
      <c r="M1768" s="76"/>
      <c r="N1768" s="76"/>
      <c r="O1768" s="76"/>
      <c r="P1768" s="76"/>
      <c r="Q1768" s="76"/>
      <c r="R1768" s="76"/>
      <c r="S1768" s="76"/>
      <c r="T1768" s="76"/>
      <c r="U1768" s="76"/>
      <c r="V1768" s="76"/>
      <c r="W1768" s="76"/>
      <c r="X1768" s="76"/>
      <c r="Y1768" s="76"/>
      <c r="Z1768" s="76"/>
      <c r="AA1768" s="76"/>
      <c r="AB1768" s="76"/>
      <c r="AC1768" s="76"/>
      <c r="AD1768" s="76"/>
      <c r="AE1768" s="76"/>
      <c r="AF1768" s="76"/>
      <c r="AG1768" s="76"/>
      <c r="AH1768" s="76"/>
      <c r="AI1768" s="76"/>
      <c r="AJ1768" s="76"/>
      <c r="AK1768" s="76"/>
      <c r="AL1768" s="76"/>
      <c r="AM1768" s="76"/>
      <c r="AN1768" s="76"/>
      <c r="AO1768" s="76"/>
      <c r="AP1768" s="76"/>
      <c r="AQ1768" s="76"/>
      <c r="AR1768" s="76"/>
      <c r="AS1768" s="76"/>
      <c r="AT1768" s="76"/>
      <c r="AU1768" s="76"/>
      <c r="AV1768" s="76"/>
      <c r="AW1768" s="76"/>
      <c r="AX1768" s="76"/>
      <c r="AY1768" s="76"/>
      <c r="AZ1768" s="76"/>
      <c r="BA1768" s="76"/>
      <c r="BB1768" s="76"/>
    </row>
    <row r="1769" spans="5:54" x14ac:dyDescent="0.35">
      <c r="E1769" s="83"/>
      <c r="F1769" s="83"/>
      <c r="G1769" s="76"/>
      <c r="H1769" s="76"/>
      <c r="I1769" s="76"/>
      <c r="J1769" s="76"/>
      <c r="K1769" s="76"/>
      <c r="L1769" s="76"/>
      <c r="M1769" s="76"/>
      <c r="N1769" s="76"/>
      <c r="O1769" s="76"/>
      <c r="P1769" s="76"/>
      <c r="Q1769" s="76"/>
      <c r="R1769" s="76"/>
      <c r="S1769" s="76"/>
      <c r="T1769" s="76"/>
      <c r="U1769" s="76"/>
      <c r="V1769" s="76"/>
      <c r="W1769" s="76"/>
      <c r="X1769" s="76"/>
      <c r="Y1769" s="76"/>
      <c r="Z1769" s="76"/>
      <c r="AA1769" s="76"/>
      <c r="AB1769" s="76"/>
      <c r="AC1769" s="76"/>
      <c r="AD1769" s="76"/>
      <c r="AE1769" s="76"/>
      <c r="AF1769" s="76"/>
      <c r="AG1769" s="76"/>
      <c r="AH1769" s="76"/>
      <c r="AI1769" s="76"/>
      <c r="AJ1769" s="76"/>
      <c r="AK1769" s="76"/>
      <c r="AL1769" s="76"/>
      <c r="AM1769" s="76"/>
      <c r="AN1769" s="76"/>
      <c r="AO1769" s="76"/>
      <c r="AP1769" s="76"/>
      <c r="AQ1769" s="76"/>
      <c r="AR1769" s="76"/>
      <c r="AS1769" s="76"/>
      <c r="AT1769" s="76"/>
      <c r="AU1769" s="76"/>
      <c r="AV1769" s="76"/>
      <c r="AW1769" s="76"/>
      <c r="AX1769" s="76"/>
      <c r="AY1769" s="76"/>
      <c r="AZ1769" s="76"/>
      <c r="BA1769" s="76"/>
      <c r="BB1769" s="76"/>
    </row>
    <row r="1770" spans="5:54" x14ac:dyDescent="0.35">
      <c r="E1770" s="83"/>
      <c r="F1770" s="83"/>
      <c r="G1770" s="76"/>
      <c r="H1770" s="76"/>
      <c r="I1770" s="76"/>
      <c r="J1770" s="76"/>
      <c r="K1770" s="76"/>
      <c r="L1770" s="76"/>
      <c r="M1770" s="76"/>
      <c r="N1770" s="76"/>
      <c r="O1770" s="76"/>
      <c r="P1770" s="76"/>
      <c r="Q1770" s="76"/>
      <c r="R1770" s="76"/>
      <c r="S1770" s="76"/>
      <c r="T1770" s="76"/>
      <c r="U1770" s="76"/>
      <c r="V1770" s="76"/>
      <c r="W1770" s="76"/>
      <c r="X1770" s="76"/>
      <c r="Y1770" s="76"/>
      <c r="Z1770" s="76"/>
      <c r="AA1770" s="76"/>
      <c r="AB1770" s="76"/>
      <c r="AC1770" s="76"/>
      <c r="AD1770" s="76"/>
      <c r="AE1770" s="76"/>
      <c r="AF1770" s="76"/>
      <c r="AG1770" s="76"/>
      <c r="AH1770" s="76"/>
      <c r="AI1770" s="76"/>
      <c r="AJ1770" s="76"/>
      <c r="AK1770" s="76"/>
      <c r="AL1770" s="76"/>
      <c r="AM1770" s="76"/>
      <c r="AN1770" s="76"/>
      <c r="AO1770" s="76"/>
      <c r="AP1770" s="76"/>
      <c r="AQ1770" s="76"/>
      <c r="AR1770" s="76"/>
      <c r="AS1770" s="76"/>
      <c r="AT1770" s="76"/>
      <c r="AU1770" s="76"/>
      <c r="AV1770" s="76"/>
      <c r="AW1770" s="76"/>
      <c r="AX1770" s="76"/>
      <c r="AY1770" s="76"/>
      <c r="AZ1770" s="76"/>
      <c r="BA1770" s="76"/>
      <c r="BB1770" s="76"/>
    </row>
    <row r="1771" spans="5:54" x14ac:dyDescent="0.35">
      <c r="E1771" s="83"/>
      <c r="F1771" s="83"/>
      <c r="G1771" s="76"/>
      <c r="H1771" s="76"/>
      <c r="I1771" s="76"/>
      <c r="J1771" s="76"/>
      <c r="K1771" s="76"/>
      <c r="L1771" s="76"/>
      <c r="M1771" s="76"/>
      <c r="N1771" s="76"/>
      <c r="O1771" s="76"/>
      <c r="P1771" s="76"/>
      <c r="Q1771" s="76"/>
      <c r="R1771" s="76"/>
      <c r="S1771" s="76"/>
      <c r="T1771" s="76"/>
      <c r="U1771" s="76"/>
      <c r="V1771" s="76"/>
      <c r="W1771" s="76"/>
      <c r="X1771" s="76"/>
      <c r="Y1771" s="76"/>
      <c r="Z1771" s="76"/>
      <c r="AA1771" s="76"/>
      <c r="AB1771" s="76"/>
      <c r="AC1771" s="76"/>
      <c r="AD1771" s="76"/>
      <c r="AE1771" s="76"/>
      <c r="AF1771" s="76"/>
      <c r="AG1771" s="76"/>
      <c r="AH1771" s="76"/>
      <c r="AI1771" s="76"/>
      <c r="AJ1771" s="76"/>
      <c r="AK1771" s="76"/>
      <c r="AL1771" s="76"/>
      <c r="AM1771" s="76"/>
      <c r="AN1771" s="76"/>
      <c r="AO1771" s="76"/>
      <c r="AP1771" s="76"/>
      <c r="AQ1771" s="76"/>
      <c r="AR1771" s="76"/>
      <c r="AS1771" s="76"/>
      <c r="AT1771" s="76"/>
      <c r="AU1771" s="76"/>
      <c r="AV1771" s="76"/>
      <c r="AW1771" s="76"/>
      <c r="AX1771" s="76"/>
      <c r="AY1771" s="76"/>
      <c r="AZ1771" s="76"/>
      <c r="BA1771" s="76"/>
      <c r="BB1771" s="76"/>
    </row>
    <row r="1772" spans="5:54" x14ac:dyDescent="0.35">
      <c r="E1772" s="83"/>
      <c r="F1772" s="83"/>
      <c r="G1772" s="76"/>
      <c r="H1772" s="76"/>
      <c r="I1772" s="76"/>
      <c r="J1772" s="76"/>
      <c r="K1772" s="76"/>
      <c r="L1772" s="76"/>
      <c r="M1772" s="76"/>
      <c r="N1772" s="76"/>
      <c r="O1772" s="76"/>
      <c r="P1772" s="76"/>
      <c r="Q1772" s="76"/>
      <c r="R1772" s="76"/>
      <c r="S1772" s="76"/>
      <c r="T1772" s="76"/>
      <c r="U1772" s="76"/>
      <c r="V1772" s="76"/>
      <c r="W1772" s="76"/>
      <c r="X1772" s="76"/>
      <c r="Y1772" s="76"/>
      <c r="Z1772" s="76"/>
      <c r="AA1772" s="76"/>
      <c r="AB1772" s="76"/>
      <c r="AC1772" s="76"/>
      <c r="AD1772" s="76"/>
      <c r="AE1772" s="76"/>
      <c r="AF1772" s="76"/>
      <c r="AG1772" s="76"/>
      <c r="AH1772" s="76"/>
      <c r="AI1772" s="76"/>
      <c r="AJ1772" s="76"/>
      <c r="AK1772" s="76"/>
      <c r="AL1772" s="76"/>
      <c r="AM1772" s="76"/>
      <c r="AN1772" s="76"/>
      <c r="AO1772" s="76"/>
      <c r="AP1772" s="76"/>
      <c r="AQ1772" s="76"/>
      <c r="AR1772" s="76"/>
      <c r="AS1772" s="76"/>
      <c r="AT1772" s="76"/>
      <c r="AU1772" s="76"/>
      <c r="AV1772" s="76"/>
      <c r="AW1772" s="76"/>
      <c r="AX1772" s="76"/>
      <c r="AY1772" s="76"/>
      <c r="AZ1772" s="76"/>
      <c r="BA1772" s="76"/>
      <c r="BB1772" s="76"/>
    </row>
    <row r="1773" spans="5:54" x14ac:dyDescent="0.35">
      <c r="E1773" s="83"/>
      <c r="F1773" s="83"/>
      <c r="G1773" s="76"/>
      <c r="H1773" s="76"/>
      <c r="I1773" s="76"/>
      <c r="J1773" s="76"/>
      <c r="K1773" s="76"/>
      <c r="L1773" s="76"/>
      <c r="M1773" s="76"/>
      <c r="N1773" s="76"/>
      <c r="O1773" s="76"/>
      <c r="P1773" s="76"/>
      <c r="Q1773" s="76"/>
      <c r="R1773" s="76"/>
      <c r="S1773" s="76"/>
      <c r="T1773" s="76"/>
      <c r="U1773" s="76"/>
      <c r="V1773" s="76"/>
      <c r="W1773" s="76"/>
      <c r="X1773" s="76"/>
      <c r="Y1773" s="76"/>
      <c r="Z1773" s="76"/>
      <c r="AA1773" s="76"/>
      <c r="AB1773" s="76"/>
      <c r="AC1773" s="76"/>
      <c r="AD1773" s="76"/>
      <c r="AE1773" s="76"/>
      <c r="AF1773" s="76"/>
      <c r="AG1773" s="76"/>
      <c r="AH1773" s="76"/>
      <c r="AI1773" s="76"/>
      <c r="AJ1773" s="76"/>
      <c r="AK1773" s="76"/>
      <c r="AL1773" s="76"/>
      <c r="AM1773" s="76"/>
      <c r="AN1773" s="76"/>
      <c r="AO1773" s="76"/>
      <c r="AP1773" s="76"/>
      <c r="AQ1773" s="76"/>
      <c r="AR1773" s="76"/>
      <c r="AS1773" s="76"/>
      <c r="AT1773" s="76"/>
      <c r="AU1773" s="76"/>
      <c r="AV1773" s="76"/>
      <c r="AW1773" s="76"/>
      <c r="AX1773" s="76"/>
      <c r="AY1773" s="76"/>
      <c r="AZ1773" s="76"/>
      <c r="BA1773" s="76"/>
      <c r="BB1773" s="76"/>
    </row>
    <row r="1774" spans="5:54" x14ac:dyDescent="0.35">
      <c r="E1774" s="83"/>
      <c r="F1774" s="83"/>
      <c r="G1774" s="76"/>
      <c r="H1774" s="76"/>
      <c r="I1774" s="76"/>
      <c r="J1774" s="76"/>
      <c r="K1774" s="76"/>
      <c r="L1774" s="76"/>
      <c r="M1774" s="76"/>
      <c r="N1774" s="76"/>
      <c r="O1774" s="76"/>
      <c r="P1774" s="76"/>
      <c r="Q1774" s="76"/>
      <c r="R1774" s="76"/>
      <c r="S1774" s="76"/>
      <c r="T1774" s="76"/>
      <c r="U1774" s="76"/>
      <c r="V1774" s="76"/>
      <c r="W1774" s="76"/>
      <c r="X1774" s="76"/>
      <c r="Y1774" s="76"/>
      <c r="Z1774" s="76"/>
      <c r="AA1774" s="76"/>
      <c r="AB1774" s="76"/>
      <c r="AC1774" s="76"/>
      <c r="AD1774" s="76"/>
      <c r="AE1774" s="76"/>
      <c r="AF1774" s="76"/>
      <c r="AG1774" s="76"/>
      <c r="AH1774" s="76"/>
      <c r="AI1774" s="76"/>
      <c r="AJ1774" s="76"/>
      <c r="AK1774" s="76"/>
      <c r="AL1774" s="76"/>
      <c r="AM1774" s="76"/>
      <c r="AN1774" s="76"/>
      <c r="AO1774" s="76"/>
      <c r="AP1774" s="76"/>
      <c r="AQ1774" s="76"/>
      <c r="AR1774" s="76"/>
      <c r="AS1774" s="76"/>
      <c r="AT1774" s="76"/>
      <c r="AU1774" s="76"/>
      <c r="AV1774" s="76"/>
      <c r="AW1774" s="76"/>
      <c r="AX1774" s="76"/>
      <c r="AY1774" s="76"/>
      <c r="AZ1774" s="76"/>
      <c r="BA1774" s="76"/>
      <c r="BB1774" s="76"/>
    </row>
    <row r="1775" spans="5:54" x14ac:dyDescent="0.35">
      <c r="E1775" s="83"/>
      <c r="F1775" s="83"/>
      <c r="G1775" s="76"/>
      <c r="H1775" s="76"/>
      <c r="I1775" s="76"/>
      <c r="J1775" s="76"/>
      <c r="K1775" s="76"/>
      <c r="L1775" s="76"/>
      <c r="M1775" s="76"/>
      <c r="N1775" s="76"/>
      <c r="O1775" s="76"/>
      <c r="P1775" s="76"/>
      <c r="Q1775" s="76"/>
      <c r="R1775" s="76"/>
      <c r="S1775" s="76"/>
      <c r="T1775" s="76"/>
      <c r="U1775" s="76"/>
      <c r="V1775" s="76"/>
      <c r="W1775" s="76"/>
      <c r="X1775" s="76"/>
      <c r="Y1775" s="76"/>
      <c r="Z1775" s="76"/>
      <c r="AA1775" s="76"/>
      <c r="AB1775" s="76"/>
      <c r="AC1775" s="76"/>
      <c r="AD1775" s="76"/>
      <c r="AE1775" s="76"/>
      <c r="AF1775" s="76"/>
      <c r="AG1775" s="76"/>
      <c r="AH1775" s="76"/>
      <c r="AI1775" s="76"/>
      <c r="AJ1775" s="76"/>
      <c r="AK1775" s="76"/>
      <c r="AL1775" s="76"/>
      <c r="AM1775" s="76"/>
      <c r="AN1775" s="76"/>
      <c r="AO1775" s="76"/>
      <c r="AP1775" s="76"/>
      <c r="AQ1775" s="76"/>
      <c r="AR1775" s="76"/>
      <c r="AS1775" s="76"/>
      <c r="AT1775" s="76"/>
      <c r="AU1775" s="76"/>
      <c r="AV1775" s="76"/>
      <c r="AW1775" s="76"/>
      <c r="AX1775" s="76"/>
      <c r="AY1775" s="76"/>
      <c r="AZ1775" s="76"/>
      <c r="BA1775" s="76"/>
      <c r="BB1775" s="76"/>
    </row>
    <row r="1776" spans="5:54" x14ac:dyDescent="0.35">
      <c r="E1776" s="83"/>
      <c r="F1776" s="83"/>
      <c r="G1776" s="76"/>
      <c r="H1776" s="76"/>
      <c r="I1776" s="76"/>
      <c r="J1776" s="76"/>
      <c r="K1776" s="76"/>
      <c r="L1776" s="76"/>
      <c r="M1776" s="76"/>
      <c r="N1776" s="76"/>
      <c r="O1776" s="76"/>
      <c r="P1776" s="76"/>
      <c r="Q1776" s="76"/>
      <c r="R1776" s="76"/>
      <c r="S1776" s="76"/>
      <c r="T1776" s="76"/>
      <c r="U1776" s="76"/>
      <c r="V1776" s="76"/>
      <c r="W1776" s="76"/>
      <c r="X1776" s="76"/>
      <c r="Y1776" s="76"/>
      <c r="Z1776" s="76"/>
      <c r="AA1776" s="76"/>
      <c r="AB1776" s="76"/>
      <c r="AC1776" s="76"/>
      <c r="AD1776" s="76"/>
      <c r="AE1776" s="76"/>
      <c r="AF1776" s="76"/>
      <c r="AG1776" s="76"/>
      <c r="AH1776" s="76"/>
      <c r="AI1776" s="76"/>
      <c r="AJ1776" s="76"/>
      <c r="AK1776" s="76"/>
      <c r="AL1776" s="76"/>
      <c r="AM1776" s="76"/>
      <c r="AN1776" s="76"/>
      <c r="AO1776" s="76"/>
      <c r="AP1776" s="76"/>
      <c r="AQ1776" s="76"/>
      <c r="AR1776" s="76"/>
      <c r="AS1776" s="76"/>
      <c r="AT1776" s="76"/>
      <c r="AU1776" s="76"/>
      <c r="AV1776" s="76"/>
      <c r="AW1776" s="76"/>
      <c r="AX1776" s="76"/>
      <c r="AY1776" s="76"/>
      <c r="AZ1776" s="76"/>
      <c r="BA1776" s="76"/>
      <c r="BB1776" s="76"/>
    </row>
    <row r="1777" spans="5:54" x14ac:dyDescent="0.35">
      <c r="E1777" s="83"/>
      <c r="F1777" s="83"/>
      <c r="G1777" s="76"/>
      <c r="H1777" s="76"/>
      <c r="I1777" s="76"/>
      <c r="J1777" s="76"/>
      <c r="K1777" s="76"/>
      <c r="L1777" s="76"/>
      <c r="M1777" s="76"/>
      <c r="N1777" s="76"/>
      <c r="O1777" s="76"/>
      <c r="P1777" s="76"/>
      <c r="Q1777" s="76"/>
      <c r="R1777" s="76"/>
      <c r="S1777" s="76"/>
      <c r="T1777" s="76"/>
      <c r="U1777" s="76"/>
      <c r="V1777" s="76"/>
      <c r="W1777" s="76"/>
      <c r="X1777" s="76"/>
      <c r="Y1777" s="76"/>
      <c r="Z1777" s="76"/>
      <c r="AA1777" s="76"/>
      <c r="AB1777" s="76"/>
      <c r="AC1777" s="76"/>
      <c r="AD1777" s="76"/>
      <c r="AE1777" s="76"/>
      <c r="AF1777" s="76"/>
      <c r="AG1777" s="76"/>
      <c r="AH1777" s="76"/>
      <c r="AI1777" s="76"/>
      <c r="AJ1777" s="76"/>
      <c r="AK1777" s="76"/>
      <c r="AL1777" s="76"/>
      <c r="AM1777" s="76"/>
      <c r="AN1777" s="76"/>
      <c r="AO1777" s="76"/>
      <c r="AP1777" s="76"/>
      <c r="AQ1777" s="76"/>
      <c r="AR1777" s="76"/>
      <c r="AS1777" s="76"/>
      <c r="AT1777" s="76"/>
      <c r="AU1777" s="76"/>
      <c r="AV1777" s="76"/>
      <c r="AW1777" s="76"/>
      <c r="AX1777" s="76"/>
      <c r="AY1777" s="76"/>
      <c r="AZ1777" s="76"/>
      <c r="BA1777" s="76"/>
      <c r="BB1777" s="76"/>
    </row>
    <row r="1778" spans="5:54" x14ac:dyDescent="0.35">
      <c r="E1778" s="83"/>
      <c r="F1778" s="83"/>
      <c r="G1778" s="76"/>
      <c r="H1778" s="76"/>
      <c r="I1778" s="76"/>
      <c r="J1778" s="76"/>
      <c r="K1778" s="76"/>
      <c r="L1778" s="76"/>
      <c r="M1778" s="76"/>
      <c r="N1778" s="76"/>
      <c r="O1778" s="76"/>
      <c r="P1778" s="76"/>
      <c r="Q1778" s="76"/>
      <c r="R1778" s="76"/>
      <c r="S1778" s="76"/>
      <c r="T1778" s="76"/>
      <c r="U1778" s="76"/>
      <c r="V1778" s="76"/>
      <c r="W1778" s="76"/>
      <c r="X1778" s="76"/>
      <c r="Y1778" s="76"/>
      <c r="Z1778" s="76"/>
      <c r="AA1778" s="76"/>
      <c r="AB1778" s="76"/>
      <c r="AC1778" s="76"/>
      <c r="AD1778" s="76"/>
      <c r="AE1778" s="76"/>
      <c r="AF1778" s="76"/>
      <c r="AG1778" s="76"/>
      <c r="AH1778" s="76"/>
      <c r="AI1778" s="76"/>
      <c r="AJ1778" s="76"/>
      <c r="AK1778" s="76"/>
      <c r="AL1778" s="76"/>
      <c r="AM1778" s="76"/>
      <c r="AN1778" s="76"/>
      <c r="AO1778" s="76"/>
      <c r="AP1778" s="76"/>
      <c r="AQ1778" s="76"/>
      <c r="AR1778" s="76"/>
      <c r="AS1778" s="76"/>
      <c r="AT1778" s="76"/>
      <c r="AU1778" s="76"/>
      <c r="AV1778" s="76"/>
      <c r="AW1778" s="76"/>
      <c r="AX1778" s="76"/>
      <c r="AY1778" s="76"/>
      <c r="AZ1778" s="76"/>
      <c r="BA1778" s="76"/>
      <c r="BB1778" s="76"/>
    </row>
    <row r="1779" spans="5:54" x14ac:dyDescent="0.35">
      <c r="E1779" s="83"/>
      <c r="F1779" s="83"/>
      <c r="G1779" s="76"/>
      <c r="H1779" s="76"/>
      <c r="I1779" s="76"/>
      <c r="J1779" s="76"/>
      <c r="K1779" s="76"/>
      <c r="L1779" s="76"/>
      <c r="M1779" s="76"/>
      <c r="N1779" s="76"/>
      <c r="O1779" s="76"/>
      <c r="P1779" s="76"/>
      <c r="Q1779" s="76"/>
      <c r="R1779" s="76"/>
      <c r="S1779" s="76"/>
      <c r="T1779" s="76"/>
      <c r="U1779" s="76"/>
      <c r="V1779" s="76"/>
      <c r="W1779" s="76"/>
      <c r="X1779" s="76"/>
      <c r="Y1779" s="76"/>
      <c r="Z1779" s="76"/>
      <c r="AA1779" s="76"/>
      <c r="AB1779" s="76"/>
      <c r="AC1779" s="76"/>
      <c r="AD1779" s="76"/>
      <c r="AE1779" s="76"/>
      <c r="AF1779" s="76"/>
      <c r="AG1779" s="76"/>
      <c r="AH1779" s="76"/>
      <c r="AI1779" s="76"/>
      <c r="AJ1779" s="76"/>
      <c r="AK1779" s="76"/>
      <c r="AL1779" s="76"/>
      <c r="AM1779" s="76"/>
      <c r="AN1779" s="76"/>
      <c r="AO1779" s="76"/>
      <c r="AP1779" s="76"/>
      <c r="AQ1779" s="76"/>
      <c r="AR1779" s="76"/>
      <c r="AS1779" s="76"/>
      <c r="AT1779" s="76"/>
      <c r="AU1779" s="76"/>
      <c r="AV1779" s="76"/>
      <c r="AW1779" s="76"/>
      <c r="AX1779" s="76"/>
      <c r="AY1779" s="76"/>
      <c r="AZ1779" s="76"/>
      <c r="BA1779" s="76"/>
      <c r="BB1779" s="76"/>
    </row>
    <row r="1780" spans="5:54" x14ac:dyDescent="0.35">
      <c r="E1780" s="83"/>
      <c r="F1780" s="83"/>
      <c r="G1780" s="76"/>
      <c r="H1780" s="76"/>
      <c r="I1780" s="76"/>
      <c r="J1780" s="76"/>
      <c r="K1780" s="76"/>
      <c r="L1780" s="76"/>
      <c r="M1780" s="76"/>
      <c r="N1780" s="76"/>
      <c r="O1780" s="76"/>
      <c r="P1780" s="76"/>
      <c r="Q1780" s="76"/>
      <c r="R1780" s="76"/>
      <c r="S1780" s="76"/>
      <c r="T1780" s="76"/>
      <c r="U1780" s="76"/>
      <c r="V1780" s="76"/>
      <c r="W1780" s="76"/>
      <c r="X1780" s="76"/>
      <c r="Y1780" s="76"/>
      <c r="Z1780" s="76"/>
      <c r="AA1780" s="76"/>
      <c r="AB1780" s="76"/>
      <c r="AC1780" s="76"/>
      <c r="AD1780" s="76"/>
      <c r="AE1780" s="76"/>
      <c r="AF1780" s="76"/>
      <c r="AG1780" s="76"/>
      <c r="AH1780" s="76"/>
      <c r="AI1780" s="76"/>
      <c r="AJ1780" s="76"/>
      <c r="AK1780" s="76"/>
      <c r="AL1780" s="76"/>
      <c r="AM1780" s="76"/>
      <c r="AN1780" s="76"/>
      <c r="AO1780" s="76"/>
      <c r="AP1780" s="76"/>
      <c r="AQ1780" s="76"/>
      <c r="AR1780" s="76"/>
      <c r="AS1780" s="76"/>
      <c r="AT1780" s="76"/>
      <c r="AU1780" s="76"/>
      <c r="AV1780" s="76"/>
      <c r="AW1780" s="76"/>
      <c r="AX1780" s="76"/>
      <c r="AY1780" s="76"/>
      <c r="AZ1780" s="76"/>
      <c r="BA1780" s="76"/>
      <c r="BB1780" s="76"/>
    </row>
    <row r="1781" spans="5:54" x14ac:dyDescent="0.35">
      <c r="E1781" s="83"/>
      <c r="F1781" s="83"/>
      <c r="G1781" s="76"/>
      <c r="H1781" s="76"/>
      <c r="I1781" s="76"/>
      <c r="J1781" s="76"/>
      <c r="K1781" s="76"/>
      <c r="L1781" s="76"/>
      <c r="M1781" s="76"/>
      <c r="N1781" s="76"/>
      <c r="O1781" s="76"/>
      <c r="P1781" s="76"/>
      <c r="Q1781" s="76"/>
      <c r="R1781" s="76"/>
      <c r="S1781" s="76"/>
      <c r="T1781" s="76"/>
      <c r="U1781" s="76"/>
      <c r="V1781" s="76"/>
      <c r="W1781" s="76"/>
      <c r="X1781" s="76"/>
      <c r="Y1781" s="76"/>
      <c r="Z1781" s="76"/>
      <c r="AA1781" s="76"/>
      <c r="AB1781" s="76"/>
      <c r="AC1781" s="76"/>
      <c r="AD1781" s="76"/>
      <c r="AE1781" s="76"/>
      <c r="AF1781" s="76"/>
      <c r="AG1781" s="76"/>
      <c r="AH1781" s="76"/>
      <c r="AI1781" s="76"/>
      <c r="AJ1781" s="76"/>
      <c r="AK1781" s="76"/>
      <c r="AL1781" s="76"/>
      <c r="AM1781" s="76"/>
      <c r="AN1781" s="76"/>
      <c r="AO1781" s="76"/>
      <c r="AP1781" s="76"/>
      <c r="AQ1781" s="76"/>
      <c r="AR1781" s="76"/>
      <c r="AS1781" s="76"/>
      <c r="AT1781" s="76"/>
      <c r="AU1781" s="76"/>
      <c r="AV1781" s="76"/>
      <c r="AW1781" s="76"/>
      <c r="AX1781" s="76"/>
      <c r="AY1781" s="76"/>
      <c r="AZ1781" s="76"/>
      <c r="BA1781" s="76"/>
      <c r="BB1781" s="76"/>
    </row>
    <row r="1782" spans="5:54" x14ac:dyDescent="0.35">
      <c r="E1782" s="83"/>
      <c r="F1782" s="83"/>
      <c r="G1782" s="76"/>
      <c r="H1782" s="76"/>
      <c r="I1782" s="76"/>
      <c r="J1782" s="76"/>
      <c r="K1782" s="76"/>
      <c r="L1782" s="76"/>
      <c r="M1782" s="76"/>
      <c r="N1782" s="76"/>
      <c r="O1782" s="76"/>
      <c r="P1782" s="76"/>
      <c r="Q1782" s="76"/>
      <c r="R1782" s="76"/>
      <c r="S1782" s="76"/>
      <c r="T1782" s="76"/>
      <c r="U1782" s="76"/>
      <c r="V1782" s="76"/>
      <c r="W1782" s="76"/>
      <c r="X1782" s="76"/>
      <c r="Y1782" s="76"/>
      <c r="Z1782" s="76"/>
      <c r="AA1782" s="76"/>
      <c r="AB1782" s="76"/>
      <c r="AC1782" s="76"/>
      <c r="AD1782" s="76"/>
      <c r="AE1782" s="76"/>
      <c r="AF1782" s="76"/>
      <c r="AG1782" s="76"/>
      <c r="AH1782" s="76"/>
      <c r="AI1782" s="76"/>
      <c r="AJ1782" s="76"/>
      <c r="AK1782" s="76"/>
      <c r="AL1782" s="76"/>
      <c r="AM1782" s="76"/>
      <c r="AN1782" s="76"/>
      <c r="AO1782" s="76"/>
      <c r="AP1782" s="76"/>
      <c r="AQ1782" s="76"/>
      <c r="AR1782" s="76"/>
      <c r="AS1782" s="76"/>
      <c r="AT1782" s="76"/>
      <c r="AU1782" s="76"/>
      <c r="AV1782" s="76"/>
      <c r="AW1782" s="76"/>
      <c r="AX1782" s="76"/>
      <c r="AY1782" s="76"/>
      <c r="AZ1782" s="76"/>
      <c r="BA1782" s="76"/>
      <c r="BB1782" s="76"/>
    </row>
    <row r="1783" spans="5:54" x14ac:dyDescent="0.35">
      <c r="E1783" s="83"/>
      <c r="F1783" s="83"/>
      <c r="G1783" s="76"/>
      <c r="H1783" s="76"/>
      <c r="I1783" s="76"/>
      <c r="J1783" s="76"/>
      <c r="K1783" s="76"/>
      <c r="L1783" s="76"/>
      <c r="M1783" s="76"/>
      <c r="N1783" s="76"/>
      <c r="O1783" s="76"/>
      <c r="P1783" s="76"/>
      <c r="Q1783" s="76"/>
      <c r="R1783" s="76"/>
      <c r="S1783" s="76"/>
      <c r="T1783" s="76"/>
      <c r="U1783" s="76"/>
      <c r="V1783" s="76"/>
      <c r="W1783" s="76"/>
      <c r="X1783" s="76"/>
      <c r="Y1783" s="76"/>
      <c r="Z1783" s="76"/>
      <c r="AA1783" s="76"/>
      <c r="AB1783" s="76"/>
      <c r="AC1783" s="76"/>
      <c r="AD1783" s="76"/>
      <c r="AE1783" s="76"/>
      <c r="AF1783" s="76"/>
      <c r="AG1783" s="76"/>
      <c r="AH1783" s="76"/>
      <c r="AI1783" s="76"/>
      <c r="AJ1783" s="76"/>
      <c r="AK1783" s="76"/>
      <c r="AL1783" s="76"/>
      <c r="AM1783" s="76"/>
      <c r="AN1783" s="76"/>
      <c r="AO1783" s="76"/>
      <c r="AP1783" s="76"/>
      <c r="AQ1783" s="76"/>
      <c r="AR1783" s="76"/>
      <c r="AS1783" s="76"/>
      <c r="AT1783" s="76"/>
      <c r="AU1783" s="76"/>
      <c r="AV1783" s="76"/>
      <c r="AW1783" s="76"/>
      <c r="AX1783" s="76"/>
      <c r="AY1783" s="76"/>
      <c r="AZ1783" s="76"/>
      <c r="BA1783" s="76"/>
      <c r="BB1783" s="76"/>
    </row>
    <row r="1784" spans="5:54" x14ac:dyDescent="0.35">
      <c r="E1784" s="83"/>
      <c r="F1784" s="83"/>
      <c r="G1784" s="76"/>
      <c r="H1784" s="76"/>
      <c r="I1784" s="76"/>
      <c r="J1784" s="76"/>
      <c r="K1784" s="76"/>
      <c r="L1784" s="76"/>
      <c r="M1784" s="76"/>
      <c r="N1784" s="76"/>
      <c r="O1784" s="76"/>
      <c r="P1784" s="76"/>
      <c r="Q1784" s="76"/>
      <c r="R1784" s="76"/>
      <c r="S1784" s="76"/>
      <c r="T1784" s="76"/>
      <c r="U1784" s="76"/>
      <c r="V1784" s="76"/>
      <c r="W1784" s="76"/>
      <c r="X1784" s="76"/>
      <c r="Y1784" s="76"/>
      <c r="Z1784" s="76"/>
      <c r="AA1784" s="76"/>
      <c r="AB1784" s="76"/>
      <c r="AC1784" s="76"/>
      <c r="AD1784" s="76"/>
      <c r="AE1784" s="76"/>
      <c r="AF1784" s="76"/>
      <c r="AG1784" s="76"/>
      <c r="AH1784" s="76"/>
      <c r="AI1784" s="76"/>
      <c r="AJ1784" s="76"/>
      <c r="AK1784" s="76"/>
      <c r="AL1784" s="76"/>
      <c r="AM1784" s="76"/>
      <c r="AN1784" s="76"/>
      <c r="AO1784" s="76"/>
      <c r="AP1784" s="76"/>
      <c r="AQ1784" s="76"/>
      <c r="AR1784" s="76"/>
      <c r="AS1784" s="76"/>
      <c r="AT1784" s="76"/>
      <c r="AU1784" s="76"/>
      <c r="AV1784" s="76"/>
      <c r="AW1784" s="76"/>
      <c r="AX1784" s="76"/>
      <c r="AY1784" s="76"/>
      <c r="AZ1784" s="76"/>
      <c r="BA1784" s="76"/>
      <c r="BB1784" s="76"/>
    </row>
    <row r="1785" spans="5:54" x14ac:dyDescent="0.35">
      <c r="E1785" s="83"/>
      <c r="F1785" s="83"/>
      <c r="G1785" s="76"/>
      <c r="H1785" s="76"/>
      <c r="I1785" s="76"/>
      <c r="J1785" s="76"/>
      <c r="K1785" s="76"/>
      <c r="L1785" s="76"/>
      <c r="M1785" s="76"/>
      <c r="N1785" s="76"/>
      <c r="O1785" s="76"/>
      <c r="P1785" s="76"/>
      <c r="Q1785" s="76"/>
      <c r="R1785" s="76"/>
      <c r="S1785" s="76"/>
      <c r="T1785" s="76"/>
      <c r="U1785" s="76"/>
      <c r="V1785" s="76"/>
      <c r="W1785" s="76"/>
      <c r="X1785" s="76"/>
      <c r="Y1785" s="76"/>
      <c r="Z1785" s="76"/>
      <c r="AA1785" s="76"/>
      <c r="AB1785" s="76"/>
      <c r="AC1785" s="76"/>
      <c r="AD1785" s="76"/>
      <c r="AE1785" s="76"/>
      <c r="AF1785" s="76"/>
      <c r="AG1785" s="76"/>
      <c r="AH1785" s="76"/>
      <c r="AI1785" s="76"/>
      <c r="AJ1785" s="76"/>
      <c r="AK1785" s="76"/>
      <c r="AL1785" s="76"/>
      <c r="AM1785" s="76"/>
      <c r="AN1785" s="76"/>
      <c r="AO1785" s="76"/>
      <c r="AP1785" s="76"/>
      <c r="AQ1785" s="76"/>
      <c r="AR1785" s="76"/>
      <c r="AS1785" s="76"/>
      <c r="AT1785" s="76"/>
      <c r="AU1785" s="76"/>
      <c r="AV1785" s="76"/>
      <c r="AW1785" s="76"/>
      <c r="AX1785" s="76"/>
      <c r="AY1785" s="76"/>
      <c r="AZ1785" s="76"/>
      <c r="BA1785" s="76"/>
      <c r="BB1785" s="76"/>
    </row>
    <row r="1786" spans="5:54" x14ac:dyDescent="0.35">
      <c r="E1786" s="83"/>
      <c r="F1786" s="83"/>
      <c r="G1786" s="76"/>
      <c r="H1786" s="76"/>
      <c r="I1786" s="76"/>
      <c r="J1786" s="76"/>
      <c r="K1786" s="76"/>
      <c r="L1786" s="76"/>
      <c r="M1786" s="76"/>
      <c r="N1786" s="76"/>
      <c r="O1786" s="76"/>
      <c r="P1786" s="76"/>
      <c r="Q1786" s="76"/>
      <c r="R1786" s="76"/>
      <c r="S1786" s="76"/>
      <c r="T1786" s="76"/>
      <c r="U1786" s="76"/>
      <c r="V1786" s="76"/>
      <c r="W1786" s="76"/>
      <c r="X1786" s="76"/>
      <c r="Y1786" s="76"/>
      <c r="Z1786" s="76"/>
      <c r="AA1786" s="76"/>
      <c r="AB1786" s="76"/>
      <c r="AC1786" s="76"/>
      <c r="AD1786" s="76"/>
      <c r="AE1786" s="76"/>
      <c r="AF1786" s="76"/>
      <c r="AG1786" s="76"/>
      <c r="AH1786" s="76"/>
      <c r="AI1786" s="76"/>
      <c r="AJ1786" s="76"/>
      <c r="AK1786" s="76"/>
      <c r="AL1786" s="76"/>
      <c r="AM1786" s="76"/>
      <c r="AN1786" s="76"/>
      <c r="AO1786" s="76"/>
      <c r="AP1786" s="76"/>
      <c r="AQ1786" s="76"/>
      <c r="AR1786" s="76"/>
      <c r="AS1786" s="76"/>
      <c r="AT1786" s="76"/>
      <c r="AU1786" s="76"/>
      <c r="AV1786" s="76"/>
      <c r="AW1786" s="76"/>
      <c r="AX1786" s="76"/>
      <c r="AY1786" s="76"/>
      <c r="AZ1786" s="76"/>
      <c r="BA1786" s="76"/>
      <c r="BB1786" s="76"/>
    </row>
    <row r="1787" spans="5:54" x14ac:dyDescent="0.35">
      <c r="E1787" s="83"/>
      <c r="F1787" s="83"/>
      <c r="G1787" s="76"/>
      <c r="H1787" s="76"/>
      <c r="I1787" s="76"/>
      <c r="J1787" s="76"/>
      <c r="K1787" s="76"/>
      <c r="L1787" s="76"/>
      <c r="M1787" s="76"/>
      <c r="N1787" s="76"/>
      <c r="O1787" s="76"/>
      <c r="P1787" s="76"/>
      <c r="Q1787" s="76"/>
      <c r="R1787" s="76"/>
      <c r="S1787" s="76"/>
      <c r="T1787" s="76"/>
      <c r="U1787" s="76"/>
      <c r="V1787" s="76"/>
      <c r="W1787" s="76"/>
      <c r="X1787" s="76"/>
      <c r="Y1787" s="76"/>
      <c r="Z1787" s="76"/>
      <c r="AA1787" s="76"/>
      <c r="AB1787" s="76"/>
      <c r="AC1787" s="76"/>
      <c r="AD1787" s="76"/>
      <c r="AE1787" s="76"/>
      <c r="AF1787" s="76"/>
      <c r="AG1787" s="76"/>
      <c r="AH1787" s="76"/>
      <c r="AI1787" s="76"/>
      <c r="AJ1787" s="76"/>
      <c r="AK1787" s="76"/>
      <c r="AL1787" s="76"/>
      <c r="AM1787" s="76"/>
      <c r="AN1787" s="76"/>
      <c r="AO1787" s="76"/>
      <c r="AP1787" s="76"/>
      <c r="AQ1787" s="76"/>
      <c r="AR1787" s="76"/>
      <c r="AS1787" s="76"/>
      <c r="AT1787" s="76"/>
      <c r="AU1787" s="76"/>
      <c r="AV1787" s="76"/>
      <c r="AW1787" s="76"/>
      <c r="AX1787" s="76"/>
      <c r="AY1787" s="76"/>
      <c r="AZ1787" s="76"/>
      <c r="BA1787" s="76"/>
      <c r="BB1787" s="76"/>
    </row>
    <row r="1788" spans="5:54" x14ac:dyDescent="0.35">
      <c r="E1788" s="83"/>
      <c r="F1788" s="83"/>
      <c r="G1788" s="76"/>
      <c r="H1788" s="76"/>
      <c r="I1788" s="76"/>
      <c r="J1788" s="76"/>
      <c r="K1788" s="76"/>
      <c r="L1788" s="76"/>
      <c r="M1788" s="76"/>
      <c r="N1788" s="76"/>
      <c r="O1788" s="76"/>
      <c r="P1788" s="76"/>
      <c r="Q1788" s="76"/>
      <c r="R1788" s="76"/>
      <c r="S1788" s="76"/>
      <c r="T1788" s="76"/>
      <c r="U1788" s="76"/>
      <c r="V1788" s="76"/>
      <c r="W1788" s="76"/>
      <c r="X1788" s="76"/>
      <c r="Y1788" s="76"/>
      <c r="Z1788" s="76"/>
      <c r="AA1788" s="76"/>
      <c r="AB1788" s="76"/>
      <c r="AC1788" s="76"/>
      <c r="AD1788" s="76"/>
      <c r="AE1788" s="76"/>
      <c r="AF1788" s="76"/>
      <c r="AG1788" s="76"/>
      <c r="AH1788" s="76"/>
      <c r="AI1788" s="76"/>
      <c r="AJ1788" s="76"/>
      <c r="AK1788" s="76"/>
      <c r="AL1788" s="76"/>
      <c r="AM1788" s="76"/>
      <c r="AN1788" s="76"/>
      <c r="AO1788" s="76"/>
      <c r="AP1788" s="76"/>
      <c r="AQ1788" s="76"/>
      <c r="AR1788" s="76"/>
      <c r="AS1788" s="76"/>
      <c r="AT1788" s="76"/>
      <c r="AU1788" s="76"/>
      <c r="AV1788" s="76"/>
      <c r="AW1788" s="76"/>
      <c r="AX1788" s="76"/>
      <c r="AY1788" s="76"/>
      <c r="AZ1788" s="76"/>
      <c r="BA1788" s="76"/>
      <c r="BB1788" s="76"/>
    </row>
    <row r="1789" spans="5:54" x14ac:dyDescent="0.35">
      <c r="E1789" s="83"/>
      <c r="F1789" s="83"/>
      <c r="G1789" s="76"/>
      <c r="H1789" s="76"/>
      <c r="I1789" s="76"/>
      <c r="J1789" s="76"/>
      <c r="K1789" s="76"/>
      <c r="L1789" s="76"/>
      <c r="M1789" s="76"/>
      <c r="N1789" s="76"/>
      <c r="O1789" s="76"/>
      <c r="P1789" s="76"/>
      <c r="Q1789" s="76"/>
      <c r="R1789" s="76"/>
      <c r="S1789" s="76"/>
      <c r="T1789" s="76"/>
      <c r="U1789" s="76"/>
      <c r="V1789" s="76"/>
      <c r="W1789" s="76"/>
      <c r="X1789" s="76"/>
      <c r="Y1789" s="76"/>
      <c r="Z1789" s="76"/>
      <c r="AA1789" s="76"/>
      <c r="AB1789" s="76"/>
      <c r="AC1789" s="76"/>
      <c r="AD1789" s="76"/>
      <c r="AE1789" s="76"/>
      <c r="AF1789" s="76"/>
      <c r="AG1789" s="76"/>
      <c r="AH1789" s="76"/>
      <c r="AI1789" s="76"/>
      <c r="AJ1789" s="76"/>
      <c r="AK1789" s="76"/>
      <c r="AL1789" s="76"/>
      <c r="AM1789" s="76"/>
      <c r="AN1789" s="76"/>
      <c r="AO1789" s="76"/>
      <c r="AP1789" s="76"/>
      <c r="AQ1789" s="76"/>
      <c r="AR1789" s="76"/>
      <c r="AS1789" s="76"/>
      <c r="AT1789" s="76"/>
      <c r="AU1789" s="76"/>
      <c r="AV1789" s="76"/>
      <c r="AW1789" s="76"/>
      <c r="AX1789" s="76"/>
      <c r="AY1789" s="76"/>
      <c r="AZ1789" s="76"/>
      <c r="BA1789" s="76"/>
      <c r="BB1789" s="76"/>
    </row>
    <row r="1790" spans="5:54" x14ac:dyDescent="0.35">
      <c r="E1790" s="83"/>
      <c r="F1790" s="83"/>
      <c r="G1790" s="76"/>
      <c r="H1790" s="76"/>
      <c r="I1790" s="76"/>
      <c r="J1790" s="76"/>
      <c r="K1790" s="76"/>
      <c r="L1790" s="76"/>
      <c r="M1790" s="76"/>
      <c r="N1790" s="76"/>
      <c r="O1790" s="76"/>
      <c r="P1790" s="76"/>
      <c r="Q1790" s="76"/>
      <c r="R1790" s="76"/>
      <c r="S1790" s="76"/>
      <c r="T1790" s="76"/>
      <c r="U1790" s="76"/>
      <c r="V1790" s="76"/>
      <c r="W1790" s="76"/>
      <c r="X1790" s="76"/>
      <c r="Y1790" s="76"/>
      <c r="Z1790" s="76"/>
      <c r="AA1790" s="76"/>
      <c r="AB1790" s="76"/>
      <c r="AC1790" s="76"/>
      <c r="AD1790" s="76"/>
      <c r="AE1790" s="76"/>
      <c r="AF1790" s="76"/>
      <c r="AG1790" s="76"/>
      <c r="AH1790" s="76"/>
      <c r="AI1790" s="76"/>
      <c r="AJ1790" s="76"/>
      <c r="AK1790" s="76"/>
      <c r="AL1790" s="76"/>
      <c r="AM1790" s="76"/>
      <c r="AN1790" s="76"/>
      <c r="AO1790" s="76"/>
      <c r="AP1790" s="76"/>
      <c r="AQ1790" s="76"/>
      <c r="AR1790" s="76"/>
      <c r="AS1790" s="76"/>
      <c r="AT1790" s="76"/>
      <c r="AU1790" s="76"/>
      <c r="AV1790" s="76"/>
      <c r="AW1790" s="76"/>
      <c r="AX1790" s="76"/>
      <c r="AY1790" s="76"/>
      <c r="AZ1790" s="76"/>
      <c r="BA1790" s="76"/>
      <c r="BB1790" s="76"/>
    </row>
    <row r="1791" spans="5:54" x14ac:dyDescent="0.35">
      <c r="E1791" s="83"/>
      <c r="F1791" s="83"/>
      <c r="G1791" s="76"/>
      <c r="H1791" s="76"/>
      <c r="I1791" s="76"/>
      <c r="J1791" s="76"/>
      <c r="K1791" s="76"/>
      <c r="L1791" s="76"/>
      <c r="M1791" s="76"/>
      <c r="N1791" s="76"/>
      <c r="O1791" s="76"/>
      <c r="P1791" s="76"/>
      <c r="Q1791" s="76"/>
      <c r="R1791" s="76"/>
      <c r="S1791" s="76"/>
      <c r="T1791" s="76"/>
      <c r="U1791" s="76"/>
      <c r="V1791" s="76"/>
      <c r="W1791" s="76"/>
      <c r="X1791" s="76"/>
      <c r="Y1791" s="76"/>
      <c r="Z1791" s="76"/>
      <c r="AA1791" s="76"/>
      <c r="AB1791" s="76"/>
      <c r="AC1791" s="76"/>
      <c r="AD1791" s="76"/>
      <c r="AE1791" s="76"/>
      <c r="AF1791" s="76"/>
      <c r="AG1791" s="76"/>
      <c r="AH1791" s="76"/>
      <c r="AI1791" s="76"/>
      <c r="AJ1791" s="76"/>
      <c r="AK1791" s="76"/>
      <c r="AL1791" s="76"/>
      <c r="AM1791" s="76"/>
      <c r="AN1791" s="76"/>
      <c r="AO1791" s="76"/>
      <c r="AP1791" s="76"/>
      <c r="AQ1791" s="76"/>
      <c r="AR1791" s="76"/>
      <c r="AS1791" s="76"/>
      <c r="AT1791" s="76"/>
      <c r="AU1791" s="76"/>
      <c r="AV1791" s="76"/>
      <c r="AW1791" s="76"/>
      <c r="AX1791" s="76"/>
      <c r="AY1791" s="76"/>
      <c r="AZ1791" s="76"/>
      <c r="BA1791" s="76"/>
      <c r="BB1791" s="76"/>
    </row>
    <row r="1792" spans="5:54" x14ac:dyDescent="0.35">
      <c r="E1792" s="83"/>
      <c r="F1792" s="83"/>
      <c r="G1792" s="76"/>
      <c r="H1792" s="76"/>
      <c r="I1792" s="76"/>
      <c r="J1792" s="76"/>
      <c r="K1792" s="76"/>
      <c r="L1792" s="76"/>
      <c r="M1792" s="76"/>
      <c r="N1792" s="76"/>
      <c r="O1792" s="76"/>
      <c r="P1792" s="76"/>
      <c r="Q1792" s="76"/>
      <c r="R1792" s="76"/>
      <c r="S1792" s="76"/>
      <c r="T1792" s="76"/>
      <c r="U1792" s="76"/>
      <c r="V1792" s="76"/>
      <c r="W1792" s="76"/>
      <c r="X1792" s="76"/>
      <c r="Y1792" s="76"/>
      <c r="Z1792" s="76"/>
      <c r="AA1792" s="76"/>
      <c r="AB1792" s="76"/>
      <c r="AC1792" s="76"/>
      <c r="AD1792" s="76"/>
      <c r="AE1792" s="76"/>
      <c r="AF1792" s="76"/>
      <c r="AG1792" s="76"/>
      <c r="AH1792" s="76"/>
      <c r="AI1792" s="76"/>
      <c r="AJ1792" s="76"/>
      <c r="AK1792" s="76"/>
      <c r="AL1792" s="76"/>
      <c r="AM1792" s="76"/>
      <c r="AN1792" s="76"/>
      <c r="AO1792" s="76"/>
      <c r="AP1792" s="76"/>
      <c r="AQ1792" s="76"/>
      <c r="AR1792" s="76"/>
      <c r="AS1792" s="76"/>
      <c r="AT1792" s="76"/>
      <c r="AU1792" s="76"/>
      <c r="AV1792" s="76"/>
      <c r="AW1792" s="76"/>
      <c r="AX1792" s="76"/>
      <c r="AY1792" s="76"/>
      <c r="AZ1792" s="76"/>
      <c r="BA1792" s="76"/>
      <c r="BB1792" s="76"/>
    </row>
    <row r="1793" spans="5:54" x14ac:dyDescent="0.35">
      <c r="E1793" s="83"/>
      <c r="F1793" s="83"/>
      <c r="G1793" s="76"/>
      <c r="H1793" s="76"/>
      <c r="I1793" s="76"/>
      <c r="J1793" s="76"/>
      <c r="K1793" s="76"/>
      <c r="L1793" s="76"/>
      <c r="M1793" s="76"/>
      <c r="N1793" s="76"/>
      <c r="O1793" s="76"/>
      <c r="P1793" s="76"/>
      <c r="Q1793" s="76"/>
      <c r="R1793" s="76"/>
      <c r="S1793" s="76"/>
      <c r="T1793" s="76"/>
      <c r="U1793" s="76"/>
      <c r="V1793" s="76"/>
      <c r="W1793" s="76"/>
      <c r="X1793" s="76"/>
      <c r="Y1793" s="76"/>
      <c r="Z1793" s="76"/>
      <c r="AA1793" s="76"/>
      <c r="AB1793" s="76"/>
      <c r="AC1793" s="76"/>
      <c r="AD1793" s="76"/>
      <c r="AE1793" s="76"/>
      <c r="AF1793" s="76"/>
      <c r="AG1793" s="76"/>
      <c r="AH1793" s="76"/>
      <c r="AI1793" s="76"/>
      <c r="AJ1793" s="76"/>
      <c r="AK1793" s="76"/>
      <c r="AL1793" s="76"/>
      <c r="AM1793" s="76"/>
      <c r="AN1793" s="76"/>
      <c r="AO1793" s="76"/>
      <c r="AP1793" s="76"/>
      <c r="AQ1793" s="76"/>
      <c r="AR1793" s="76"/>
      <c r="AS1793" s="76"/>
      <c r="AT1793" s="76"/>
      <c r="AU1793" s="76"/>
      <c r="AV1793" s="76"/>
      <c r="AW1793" s="76"/>
      <c r="AX1793" s="76"/>
      <c r="AY1793" s="76"/>
      <c r="AZ1793" s="76"/>
      <c r="BA1793" s="76"/>
      <c r="BB1793" s="76"/>
    </row>
    <row r="1794" spans="5:54" x14ac:dyDescent="0.35">
      <c r="E1794" s="83"/>
      <c r="F1794" s="83"/>
      <c r="G1794" s="76"/>
      <c r="H1794" s="76"/>
      <c r="I1794" s="76"/>
      <c r="J1794" s="76"/>
      <c r="K1794" s="76"/>
      <c r="L1794" s="76"/>
      <c r="M1794" s="76"/>
      <c r="N1794" s="76"/>
      <c r="O1794" s="76"/>
      <c r="P1794" s="76"/>
      <c r="Q1794" s="76"/>
      <c r="R1794" s="76"/>
      <c r="S1794" s="76"/>
      <c r="T1794" s="76"/>
      <c r="U1794" s="76"/>
      <c r="V1794" s="76"/>
      <c r="W1794" s="76"/>
      <c r="X1794" s="76"/>
      <c r="Y1794" s="76"/>
      <c r="Z1794" s="76"/>
      <c r="AA1794" s="76"/>
      <c r="AB1794" s="76"/>
      <c r="AC1794" s="76"/>
      <c r="AD1794" s="76"/>
      <c r="AE1794" s="76"/>
      <c r="AF1794" s="76"/>
      <c r="AG1794" s="76"/>
      <c r="AH1794" s="76"/>
      <c r="AI1794" s="76"/>
      <c r="AJ1794" s="76"/>
      <c r="AK1794" s="76"/>
      <c r="AL1794" s="76"/>
      <c r="AM1794" s="76"/>
      <c r="AN1794" s="76"/>
      <c r="AO1794" s="76"/>
      <c r="AP1794" s="76"/>
      <c r="AQ1794" s="76"/>
      <c r="AR1794" s="76"/>
      <c r="AS1794" s="76"/>
      <c r="AT1794" s="76"/>
      <c r="AU1794" s="76"/>
      <c r="AV1794" s="76"/>
      <c r="AW1794" s="76"/>
      <c r="AX1794" s="76"/>
      <c r="AY1794" s="76"/>
      <c r="AZ1794" s="76"/>
      <c r="BA1794" s="76"/>
      <c r="BB1794" s="76"/>
    </row>
    <row r="1795" spans="5:54" x14ac:dyDescent="0.35">
      <c r="E1795" s="83"/>
      <c r="F1795" s="83"/>
      <c r="G1795" s="76"/>
      <c r="H1795" s="76"/>
      <c r="I1795" s="76"/>
      <c r="J1795" s="76"/>
      <c r="K1795" s="76"/>
      <c r="L1795" s="76"/>
      <c r="M1795" s="76"/>
      <c r="N1795" s="76"/>
      <c r="O1795" s="76"/>
      <c r="P1795" s="76"/>
      <c r="Q1795" s="76"/>
      <c r="R1795" s="76"/>
      <c r="S1795" s="76"/>
      <c r="T1795" s="76"/>
      <c r="U1795" s="76"/>
      <c r="V1795" s="76"/>
      <c r="W1795" s="76"/>
      <c r="X1795" s="76"/>
      <c r="Y1795" s="76"/>
      <c r="Z1795" s="76"/>
      <c r="AA1795" s="76"/>
      <c r="AB1795" s="76"/>
      <c r="AC1795" s="76"/>
      <c r="AD1795" s="76"/>
      <c r="AE1795" s="76"/>
      <c r="AF1795" s="76"/>
      <c r="AG1795" s="76"/>
      <c r="AH1795" s="76"/>
      <c r="AI1795" s="76"/>
      <c r="AJ1795" s="76"/>
      <c r="AK1795" s="76"/>
      <c r="AL1795" s="76"/>
      <c r="AM1795" s="76"/>
      <c r="AN1795" s="76"/>
      <c r="AO1795" s="76"/>
      <c r="AP1795" s="76"/>
      <c r="AQ1795" s="76"/>
      <c r="AR1795" s="76"/>
      <c r="AS1795" s="76"/>
      <c r="AT1795" s="76"/>
      <c r="AU1795" s="76"/>
      <c r="AV1795" s="76"/>
      <c r="AW1795" s="76"/>
      <c r="AX1795" s="76"/>
      <c r="AY1795" s="76"/>
      <c r="AZ1795" s="76"/>
      <c r="BA1795" s="76"/>
      <c r="BB1795" s="76"/>
    </row>
    <row r="1796" spans="5:54" x14ac:dyDescent="0.35">
      <c r="E1796" s="83"/>
      <c r="F1796" s="83"/>
      <c r="G1796" s="76"/>
      <c r="H1796" s="76"/>
      <c r="I1796" s="76"/>
      <c r="J1796" s="76"/>
      <c r="K1796" s="76"/>
      <c r="L1796" s="76"/>
      <c r="M1796" s="76"/>
      <c r="N1796" s="76"/>
      <c r="O1796" s="76"/>
      <c r="P1796" s="76"/>
      <c r="Q1796" s="76"/>
      <c r="R1796" s="76"/>
      <c r="S1796" s="76"/>
      <c r="T1796" s="76"/>
      <c r="U1796" s="76"/>
      <c r="V1796" s="76"/>
      <c r="W1796" s="76"/>
      <c r="X1796" s="76"/>
      <c r="Y1796" s="76"/>
      <c r="Z1796" s="76"/>
      <c r="AA1796" s="76"/>
      <c r="AB1796" s="76"/>
      <c r="AC1796" s="76"/>
      <c r="AD1796" s="76"/>
      <c r="AE1796" s="76"/>
      <c r="AF1796" s="76"/>
      <c r="AG1796" s="76"/>
      <c r="AH1796" s="76"/>
      <c r="AI1796" s="76"/>
      <c r="AJ1796" s="76"/>
      <c r="AK1796" s="76"/>
      <c r="AL1796" s="76"/>
      <c r="AM1796" s="76"/>
      <c r="AN1796" s="76"/>
      <c r="AO1796" s="76"/>
      <c r="AP1796" s="76"/>
      <c r="AQ1796" s="76"/>
      <c r="AR1796" s="76"/>
      <c r="AS1796" s="76"/>
      <c r="AT1796" s="76"/>
      <c r="AU1796" s="76"/>
      <c r="AV1796" s="76"/>
      <c r="AW1796" s="76"/>
      <c r="AX1796" s="76"/>
      <c r="AY1796" s="76"/>
      <c r="AZ1796" s="76"/>
      <c r="BA1796" s="76"/>
      <c r="BB1796" s="76"/>
    </row>
    <row r="1797" spans="5:54" x14ac:dyDescent="0.35">
      <c r="E1797" s="83"/>
      <c r="F1797" s="83"/>
      <c r="G1797" s="76"/>
      <c r="H1797" s="76"/>
      <c r="I1797" s="76"/>
      <c r="J1797" s="76"/>
      <c r="K1797" s="76"/>
      <c r="L1797" s="76"/>
      <c r="M1797" s="76"/>
      <c r="N1797" s="76"/>
      <c r="O1797" s="76"/>
      <c r="P1797" s="76"/>
      <c r="Q1797" s="76"/>
      <c r="R1797" s="76"/>
      <c r="S1797" s="76"/>
      <c r="T1797" s="76"/>
      <c r="U1797" s="76"/>
      <c r="V1797" s="76"/>
      <c r="W1797" s="76"/>
      <c r="X1797" s="76"/>
      <c r="Y1797" s="76"/>
      <c r="Z1797" s="76"/>
      <c r="AA1797" s="76"/>
      <c r="AB1797" s="76"/>
      <c r="AC1797" s="76"/>
      <c r="AD1797" s="76"/>
      <c r="AE1797" s="76"/>
      <c r="AF1797" s="76"/>
      <c r="AG1797" s="76"/>
      <c r="AH1797" s="76"/>
      <c r="AI1797" s="76"/>
      <c r="AJ1797" s="76"/>
      <c r="AK1797" s="76"/>
      <c r="AL1797" s="76"/>
      <c r="AM1797" s="76"/>
      <c r="AN1797" s="76"/>
      <c r="AO1797" s="76"/>
      <c r="AP1797" s="76"/>
      <c r="AQ1797" s="76"/>
      <c r="AR1797" s="76"/>
      <c r="AS1797" s="76"/>
      <c r="AT1797" s="76"/>
      <c r="AU1797" s="76"/>
      <c r="AV1797" s="76"/>
      <c r="AW1797" s="76"/>
      <c r="AX1797" s="76"/>
      <c r="AY1797" s="76"/>
      <c r="AZ1797" s="76"/>
      <c r="BA1797" s="76"/>
      <c r="BB1797" s="76"/>
    </row>
    <row r="1798" spans="5:54" x14ac:dyDescent="0.35">
      <c r="E1798" s="83"/>
      <c r="F1798" s="83"/>
      <c r="G1798" s="76"/>
      <c r="H1798" s="76"/>
      <c r="I1798" s="76"/>
      <c r="J1798" s="76"/>
      <c r="K1798" s="76"/>
      <c r="L1798" s="76"/>
      <c r="M1798" s="76"/>
      <c r="N1798" s="76"/>
      <c r="O1798" s="76"/>
      <c r="P1798" s="76"/>
      <c r="Q1798" s="76"/>
      <c r="R1798" s="76"/>
      <c r="S1798" s="76"/>
      <c r="T1798" s="76"/>
      <c r="U1798" s="76"/>
      <c r="V1798" s="76"/>
      <c r="W1798" s="76"/>
      <c r="X1798" s="76"/>
      <c r="Y1798" s="76"/>
      <c r="Z1798" s="76"/>
      <c r="AA1798" s="76"/>
      <c r="AB1798" s="76"/>
      <c r="AC1798" s="76"/>
      <c r="AD1798" s="76"/>
      <c r="AE1798" s="76"/>
      <c r="AF1798" s="76"/>
      <c r="AG1798" s="76"/>
      <c r="AH1798" s="76"/>
      <c r="AI1798" s="76"/>
      <c r="AJ1798" s="76"/>
      <c r="AK1798" s="76"/>
      <c r="AL1798" s="76"/>
      <c r="AM1798" s="76"/>
      <c r="AN1798" s="76"/>
      <c r="AO1798" s="76"/>
      <c r="AP1798" s="76"/>
      <c r="AQ1798" s="76"/>
      <c r="AR1798" s="76"/>
      <c r="AS1798" s="76"/>
      <c r="AT1798" s="76"/>
      <c r="AU1798" s="76"/>
      <c r="AV1798" s="76"/>
      <c r="AW1798" s="76"/>
      <c r="AX1798" s="76"/>
      <c r="AY1798" s="76"/>
      <c r="AZ1798" s="76"/>
      <c r="BA1798" s="76"/>
      <c r="BB1798" s="76"/>
    </row>
    <row r="1799" spans="5:54" x14ac:dyDescent="0.35">
      <c r="E1799" s="83"/>
      <c r="F1799" s="83"/>
      <c r="G1799" s="76"/>
      <c r="H1799" s="76"/>
      <c r="I1799" s="76"/>
      <c r="J1799" s="76"/>
      <c r="K1799" s="76"/>
      <c r="L1799" s="76"/>
      <c r="M1799" s="76"/>
      <c r="N1799" s="76"/>
      <c r="O1799" s="76"/>
      <c r="P1799" s="76"/>
      <c r="Q1799" s="76"/>
      <c r="R1799" s="76"/>
      <c r="S1799" s="76"/>
      <c r="T1799" s="76"/>
      <c r="U1799" s="76"/>
      <c r="V1799" s="76"/>
      <c r="W1799" s="76"/>
      <c r="X1799" s="76"/>
      <c r="Y1799" s="76"/>
      <c r="Z1799" s="76"/>
      <c r="AA1799" s="76"/>
      <c r="AB1799" s="76"/>
      <c r="AC1799" s="76"/>
      <c r="AD1799" s="76"/>
      <c r="AE1799" s="76"/>
      <c r="AF1799" s="76"/>
      <c r="AG1799" s="76"/>
      <c r="AH1799" s="76"/>
      <c r="AI1799" s="76"/>
      <c r="AJ1799" s="76"/>
      <c r="AK1799" s="76"/>
      <c r="AL1799" s="76"/>
      <c r="AM1799" s="76"/>
      <c r="AN1799" s="76"/>
      <c r="AO1799" s="76"/>
      <c r="AP1799" s="76"/>
      <c r="AQ1799" s="76"/>
      <c r="AR1799" s="76"/>
      <c r="AS1799" s="76"/>
      <c r="AT1799" s="76"/>
      <c r="AU1799" s="76"/>
      <c r="AV1799" s="76"/>
      <c r="AW1799" s="76"/>
      <c r="AX1799" s="76"/>
      <c r="AY1799" s="76"/>
      <c r="AZ1799" s="76"/>
      <c r="BA1799" s="76"/>
      <c r="BB1799" s="76"/>
    </row>
    <row r="1800" spans="5:54" x14ac:dyDescent="0.35">
      <c r="E1800" s="83"/>
      <c r="F1800" s="83"/>
      <c r="G1800" s="76"/>
      <c r="H1800" s="76"/>
      <c r="I1800" s="76"/>
      <c r="J1800" s="76"/>
      <c r="K1800" s="76"/>
      <c r="L1800" s="76"/>
      <c r="M1800" s="76"/>
      <c r="N1800" s="76"/>
      <c r="O1800" s="76"/>
      <c r="P1800" s="76"/>
      <c r="Q1800" s="76"/>
      <c r="R1800" s="76"/>
      <c r="S1800" s="76"/>
      <c r="T1800" s="76"/>
      <c r="U1800" s="76"/>
      <c r="V1800" s="76"/>
      <c r="W1800" s="76"/>
      <c r="X1800" s="76"/>
      <c r="Y1800" s="76"/>
      <c r="Z1800" s="76"/>
      <c r="AA1800" s="76"/>
      <c r="AB1800" s="76"/>
      <c r="AC1800" s="76"/>
      <c r="AD1800" s="76"/>
      <c r="AE1800" s="76"/>
      <c r="AF1800" s="76"/>
      <c r="AG1800" s="76"/>
      <c r="AH1800" s="76"/>
      <c r="AI1800" s="76"/>
      <c r="AJ1800" s="76"/>
      <c r="AK1800" s="76"/>
      <c r="AL1800" s="76"/>
      <c r="AM1800" s="76"/>
      <c r="AN1800" s="76"/>
      <c r="AO1800" s="76"/>
      <c r="AP1800" s="76"/>
      <c r="AQ1800" s="76"/>
      <c r="AR1800" s="76"/>
      <c r="AS1800" s="76"/>
      <c r="AT1800" s="76"/>
      <c r="AU1800" s="76"/>
      <c r="AV1800" s="76"/>
      <c r="AW1800" s="76"/>
      <c r="AX1800" s="76"/>
      <c r="AY1800" s="76"/>
      <c r="AZ1800" s="76"/>
      <c r="BA1800" s="76"/>
      <c r="BB1800" s="76"/>
    </row>
    <row r="1801" spans="5:54" x14ac:dyDescent="0.35">
      <c r="E1801" s="83"/>
      <c r="F1801" s="83"/>
      <c r="G1801" s="76"/>
      <c r="H1801" s="76"/>
      <c r="I1801" s="76"/>
      <c r="J1801" s="76"/>
      <c r="K1801" s="76"/>
      <c r="L1801" s="76"/>
      <c r="M1801" s="76"/>
      <c r="N1801" s="76"/>
      <c r="O1801" s="76"/>
      <c r="P1801" s="76"/>
      <c r="Q1801" s="76"/>
      <c r="R1801" s="76"/>
      <c r="S1801" s="76"/>
      <c r="T1801" s="76"/>
      <c r="U1801" s="76"/>
      <c r="V1801" s="76"/>
      <c r="W1801" s="76"/>
      <c r="X1801" s="76"/>
      <c r="Y1801" s="76"/>
      <c r="Z1801" s="76"/>
      <c r="AA1801" s="76"/>
      <c r="AB1801" s="76"/>
      <c r="AC1801" s="76"/>
      <c r="AD1801" s="76"/>
      <c r="AE1801" s="76"/>
      <c r="AF1801" s="76"/>
      <c r="AG1801" s="76"/>
      <c r="AH1801" s="76"/>
      <c r="AI1801" s="76"/>
      <c r="AJ1801" s="76"/>
      <c r="AK1801" s="76"/>
      <c r="AL1801" s="76"/>
      <c r="AM1801" s="76"/>
      <c r="AN1801" s="76"/>
      <c r="AO1801" s="76"/>
      <c r="AP1801" s="76"/>
      <c r="AQ1801" s="76"/>
      <c r="AR1801" s="76"/>
      <c r="AS1801" s="76"/>
      <c r="AT1801" s="76"/>
      <c r="AU1801" s="76"/>
      <c r="AV1801" s="76"/>
      <c r="AW1801" s="76"/>
      <c r="AX1801" s="76"/>
      <c r="AY1801" s="76"/>
      <c r="AZ1801" s="76"/>
      <c r="BA1801" s="76"/>
      <c r="BB1801" s="76"/>
    </row>
    <row r="1802" spans="5:54" x14ac:dyDescent="0.35">
      <c r="E1802" s="83"/>
      <c r="F1802" s="83"/>
      <c r="G1802" s="76"/>
      <c r="H1802" s="76"/>
      <c r="I1802" s="76"/>
      <c r="J1802" s="76"/>
      <c r="K1802" s="76"/>
      <c r="L1802" s="76"/>
      <c r="M1802" s="76"/>
      <c r="N1802" s="76"/>
      <c r="O1802" s="76"/>
      <c r="P1802" s="76"/>
      <c r="Q1802" s="76"/>
      <c r="R1802" s="76"/>
      <c r="S1802" s="76"/>
      <c r="T1802" s="76"/>
      <c r="U1802" s="76"/>
      <c r="V1802" s="76"/>
      <c r="W1802" s="76"/>
      <c r="X1802" s="76"/>
      <c r="Y1802" s="76"/>
      <c r="Z1802" s="76"/>
      <c r="AA1802" s="76"/>
      <c r="AB1802" s="76"/>
      <c r="AC1802" s="76"/>
      <c r="AD1802" s="76"/>
      <c r="AE1802" s="76"/>
      <c r="AF1802" s="76"/>
      <c r="AG1802" s="76"/>
      <c r="AH1802" s="76"/>
      <c r="AI1802" s="76"/>
      <c r="AJ1802" s="76"/>
      <c r="AK1802" s="76"/>
      <c r="AL1802" s="76"/>
      <c r="AM1802" s="76"/>
      <c r="AN1802" s="76"/>
      <c r="AO1802" s="76"/>
      <c r="AP1802" s="76"/>
      <c r="AQ1802" s="76"/>
      <c r="AR1802" s="76"/>
      <c r="AS1802" s="76"/>
      <c r="AT1802" s="76"/>
      <c r="AU1802" s="76"/>
      <c r="AV1802" s="76"/>
      <c r="AW1802" s="76"/>
      <c r="AX1802" s="76"/>
      <c r="AY1802" s="76"/>
      <c r="AZ1802" s="76"/>
      <c r="BA1802" s="76"/>
      <c r="BB1802" s="76"/>
    </row>
    <row r="1803" spans="5:54" x14ac:dyDescent="0.35">
      <c r="E1803" s="83"/>
      <c r="F1803" s="83"/>
      <c r="G1803" s="76"/>
      <c r="H1803" s="76"/>
      <c r="I1803" s="76"/>
      <c r="J1803" s="76"/>
      <c r="K1803" s="76"/>
      <c r="L1803" s="76"/>
      <c r="M1803" s="76"/>
      <c r="N1803" s="76"/>
      <c r="O1803" s="76"/>
      <c r="P1803" s="76"/>
      <c r="Q1803" s="76"/>
      <c r="R1803" s="76"/>
      <c r="S1803" s="76"/>
      <c r="T1803" s="76"/>
      <c r="U1803" s="76"/>
      <c r="V1803" s="76"/>
      <c r="W1803" s="76"/>
      <c r="X1803" s="76"/>
      <c r="Y1803" s="76"/>
      <c r="Z1803" s="76"/>
      <c r="AA1803" s="76"/>
      <c r="AB1803" s="76"/>
      <c r="AC1803" s="76"/>
      <c r="AD1803" s="76"/>
      <c r="AE1803" s="76"/>
      <c r="AF1803" s="76"/>
      <c r="AG1803" s="76"/>
      <c r="AH1803" s="76"/>
      <c r="AI1803" s="76"/>
      <c r="AJ1803" s="76"/>
      <c r="AK1803" s="76"/>
      <c r="AL1803" s="76"/>
      <c r="AM1803" s="76"/>
      <c r="AN1803" s="76"/>
      <c r="AO1803" s="76"/>
      <c r="AP1803" s="76"/>
      <c r="AQ1803" s="76"/>
      <c r="AR1803" s="76"/>
      <c r="AS1803" s="76"/>
      <c r="AT1803" s="76"/>
      <c r="AU1803" s="76"/>
      <c r="AV1803" s="76"/>
      <c r="AW1803" s="76"/>
      <c r="AX1803" s="76"/>
      <c r="AY1803" s="76"/>
      <c r="AZ1803" s="76"/>
      <c r="BA1803" s="76"/>
      <c r="BB1803" s="76"/>
    </row>
    <row r="1804" spans="5:54" x14ac:dyDescent="0.35">
      <c r="E1804" s="83"/>
      <c r="F1804" s="83"/>
      <c r="G1804" s="76"/>
      <c r="H1804" s="76"/>
      <c r="I1804" s="76"/>
      <c r="J1804" s="76"/>
      <c r="K1804" s="76"/>
      <c r="L1804" s="76"/>
      <c r="M1804" s="76"/>
      <c r="N1804" s="76"/>
      <c r="O1804" s="76"/>
      <c r="P1804" s="76"/>
      <c r="Q1804" s="76"/>
      <c r="R1804" s="76"/>
      <c r="S1804" s="76"/>
      <c r="T1804" s="76"/>
      <c r="U1804" s="76"/>
      <c r="V1804" s="76"/>
      <c r="W1804" s="76"/>
      <c r="X1804" s="76"/>
      <c r="Y1804" s="76"/>
      <c r="Z1804" s="76"/>
      <c r="AA1804" s="76"/>
      <c r="AB1804" s="76"/>
      <c r="AC1804" s="76"/>
      <c r="AD1804" s="76"/>
      <c r="AE1804" s="76"/>
      <c r="AF1804" s="76"/>
      <c r="AG1804" s="76"/>
      <c r="AH1804" s="76"/>
      <c r="AI1804" s="76"/>
      <c r="AJ1804" s="76"/>
      <c r="AK1804" s="76"/>
      <c r="AL1804" s="76"/>
      <c r="AM1804" s="76"/>
      <c r="AN1804" s="76"/>
      <c r="AO1804" s="76"/>
      <c r="AP1804" s="76"/>
      <c r="AQ1804" s="76"/>
      <c r="AR1804" s="76"/>
      <c r="AS1804" s="76"/>
      <c r="AT1804" s="76"/>
      <c r="AU1804" s="76"/>
      <c r="AV1804" s="76"/>
      <c r="AW1804" s="76"/>
      <c r="AX1804" s="76"/>
      <c r="AY1804" s="76"/>
      <c r="AZ1804" s="76"/>
      <c r="BA1804" s="76"/>
      <c r="BB1804" s="76"/>
    </row>
    <row r="1805" spans="5:54" x14ac:dyDescent="0.35">
      <c r="E1805" s="83"/>
      <c r="F1805" s="83"/>
      <c r="G1805" s="76"/>
      <c r="H1805" s="76"/>
      <c r="I1805" s="76"/>
      <c r="J1805" s="76"/>
      <c r="K1805" s="76"/>
      <c r="L1805" s="76"/>
      <c r="M1805" s="76"/>
      <c r="N1805" s="76"/>
      <c r="O1805" s="76"/>
      <c r="P1805" s="76"/>
      <c r="Q1805" s="76"/>
      <c r="R1805" s="76"/>
      <c r="S1805" s="76"/>
      <c r="T1805" s="76"/>
      <c r="U1805" s="76"/>
      <c r="V1805" s="76"/>
      <c r="W1805" s="76"/>
      <c r="X1805" s="76"/>
      <c r="Y1805" s="76"/>
      <c r="Z1805" s="76"/>
      <c r="AA1805" s="76"/>
      <c r="AB1805" s="76"/>
      <c r="AC1805" s="76"/>
      <c r="AD1805" s="76"/>
      <c r="AE1805" s="76"/>
      <c r="AF1805" s="76"/>
      <c r="AG1805" s="76"/>
      <c r="AH1805" s="76"/>
      <c r="AI1805" s="76"/>
      <c r="AJ1805" s="76"/>
      <c r="AK1805" s="76"/>
      <c r="AL1805" s="76"/>
      <c r="AM1805" s="76"/>
      <c r="AN1805" s="76"/>
      <c r="AO1805" s="76"/>
      <c r="AP1805" s="76"/>
      <c r="AQ1805" s="76"/>
      <c r="AR1805" s="76"/>
      <c r="AS1805" s="76"/>
      <c r="AT1805" s="76"/>
      <c r="AU1805" s="76"/>
      <c r="AV1805" s="76"/>
      <c r="AW1805" s="76"/>
      <c r="AX1805" s="76"/>
      <c r="AY1805" s="76"/>
      <c r="AZ1805" s="76"/>
      <c r="BA1805" s="76"/>
      <c r="BB1805" s="76"/>
    </row>
    <row r="1806" spans="5:54" x14ac:dyDescent="0.35">
      <c r="E1806" s="83"/>
      <c r="F1806" s="83"/>
      <c r="G1806" s="76"/>
      <c r="H1806" s="76"/>
      <c r="I1806" s="76"/>
      <c r="J1806" s="76"/>
      <c r="K1806" s="76"/>
      <c r="L1806" s="76"/>
      <c r="M1806" s="76"/>
      <c r="N1806" s="76"/>
      <c r="O1806" s="76"/>
      <c r="P1806" s="76"/>
      <c r="Q1806" s="76"/>
      <c r="R1806" s="76"/>
      <c r="S1806" s="76"/>
      <c r="T1806" s="76"/>
      <c r="U1806" s="76"/>
      <c r="V1806" s="76"/>
      <c r="W1806" s="76"/>
      <c r="X1806" s="76"/>
      <c r="Y1806" s="76"/>
      <c r="Z1806" s="76"/>
      <c r="AA1806" s="76"/>
      <c r="AB1806" s="76"/>
      <c r="AC1806" s="76"/>
      <c r="AD1806" s="76"/>
      <c r="AE1806" s="76"/>
      <c r="AF1806" s="76"/>
      <c r="AG1806" s="76"/>
      <c r="AH1806" s="76"/>
      <c r="AI1806" s="76"/>
      <c r="AJ1806" s="76"/>
      <c r="AK1806" s="76"/>
      <c r="AL1806" s="76"/>
      <c r="AM1806" s="76"/>
      <c r="AN1806" s="76"/>
      <c r="AO1806" s="76"/>
      <c r="AP1806" s="76"/>
      <c r="AQ1806" s="76"/>
      <c r="AR1806" s="76"/>
      <c r="AS1806" s="76"/>
      <c r="AT1806" s="76"/>
      <c r="AU1806" s="76"/>
      <c r="AV1806" s="76"/>
      <c r="AW1806" s="76"/>
      <c r="AX1806" s="76"/>
      <c r="AY1806" s="76"/>
      <c r="AZ1806" s="76"/>
      <c r="BA1806" s="76"/>
      <c r="BB1806" s="76"/>
    </row>
    <row r="1807" spans="5:54" x14ac:dyDescent="0.35">
      <c r="E1807" s="83"/>
      <c r="F1807" s="83"/>
      <c r="G1807" s="76"/>
      <c r="H1807" s="76"/>
      <c r="I1807" s="76"/>
      <c r="J1807" s="76"/>
      <c r="K1807" s="76"/>
      <c r="L1807" s="76"/>
      <c r="M1807" s="76"/>
      <c r="N1807" s="76"/>
      <c r="O1807" s="76"/>
      <c r="P1807" s="76"/>
      <c r="Q1807" s="76"/>
      <c r="R1807" s="76"/>
      <c r="S1807" s="76"/>
      <c r="T1807" s="76"/>
      <c r="U1807" s="76"/>
      <c r="V1807" s="76"/>
      <c r="W1807" s="76"/>
      <c r="X1807" s="76"/>
      <c r="Y1807" s="76"/>
      <c r="Z1807" s="76"/>
      <c r="AA1807" s="76"/>
      <c r="AB1807" s="76"/>
      <c r="AC1807" s="76"/>
      <c r="AD1807" s="76"/>
      <c r="AE1807" s="76"/>
      <c r="AF1807" s="76"/>
      <c r="AG1807" s="76"/>
      <c r="AH1807" s="76"/>
      <c r="AI1807" s="76"/>
      <c r="AJ1807" s="76"/>
      <c r="AK1807" s="76"/>
      <c r="AL1807" s="76"/>
      <c r="AM1807" s="76"/>
      <c r="AN1807" s="76"/>
      <c r="AO1807" s="76"/>
      <c r="AP1807" s="76"/>
      <c r="AQ1807" s="76"/>
      <c r="AR1807" s="76"/>
      <c r="AS1807" s="76"/>
      <c r="AT1807" s="76"/>
      <c r="AU1807" s="76"/>
      <c r="AV1807" s="76"/>
      <c r="AW1807" s="76"/>
      <c r="AX1807" s="76"/>
      <c r="AY1807" s="76"/>
      <c r="AZ1807" s="76"/>
      <c r="BA1807" s="76"/>
      <c r="BB1807" s="76"/>
    </row>
    <row r="1808" spans="5:54" x14ac:dyDescent="0.35">
      <c r="E1808" s="83"/>
      <c r="F1808" s="83"/>
      <c r="G1808" s="76"/>
      <c r="H1808" s="76"/>
      <c r="I1808" s="76"/>
      <c r="J1808" s="76"/>
      <c r="K1808" s="76"/>
      <c r="L1808" s="76"/>
      <c r="M1808" s="76"/>
      <c r="N1808" s="76"/>
      <c r="O1808" s="76"/>
      <c r="P1808" s="76"/>
      <c r="Q1808" s="76"/>
      <c r="R1808" s="76"/>
      <c r="S1808" s="76"/>
      <c r="T1808" s="76"/>
      <c r="U1808" s="76"/>
      <c r="V1808" s="76"/>
      <c r="W1808" s="76"/>
      <c r="X1808" s="76"/>
      <c r="Y1808" s="76"/>
      <c r="Z1808" s="76"/>
      <c r="AA1808" s="76"/>
      <c r="AB1808" s="76"/>
      <c r="AC1808" s="76"/>
      <c r="AD1808" s="76"/>
      <c r="AE1808" s="76"/>
      <c r="AF1808" s="76"/>
      <c r="AG1808" s="76"/>
      <c r="AH1808" s="76"/>
      <c r="AI1808" s="76"/>
      <c r="AJ1808" s="76"/>
      <c r="AK1808" s="76"/>
      <c r="AL1808" s="76"/>
      <c r="AM1808" s="76"/>
      <c r="AN1808" s="76"/>
      <c r="AO1808" s="76"/>
      <c r="AP1808" s="76"/>
      <c r="AQ1808" s="76"/>
      <c r="AR1808" s="76"/>
      <c r="AS1808" s="76"/>
      <c r="AT1808" s="76"/>
      <c r="AU1808" s="76"/>
      <c r="AV1808" s="76"/>
      <c r="AW1808" s="76"/>
      <c r="AX1808" s="76"/>
      <c r="AY1808" s="76"/>
      <c r="AZ1808" s="76"/>
      <c r="BA1808" s="76"/>
      <c r="BB1808" s="76"/>
    </row>
    <row r="1809" spans="5:54" x14ac:dyDescent="0.35">
      <c r="E1809" s="83"/>
      <c r="F1809" s="83"/>
      <c r="G1809" s="76"/>
      <c r="H1809" s="76"/>
      <c r="I1809" s="76"/>
      <c r="J1809" s="76"/>
      <c r="K1809" s="76"/>
      <c r="L1809" s="76"/>
      <c r="M1809" s="76"/>
      <c r="N1809" s="76"/>
      <c r="O1809" s="76"/>
      <c r="P1809" s="76"/>
      <c r="Q1809" s="76"/>
      <c r="R1809" s="76"/>
      <c r="S1809" s="76"/>
      <c r="T1809" s="76"/>
      <c r="U1809" s="76"/>
      <c r="V1809" s="76"/>
      <c r="W1809" s="76"/>
      <c r="X1809" s="76"/>
      <c r="Y1809" s="76"/>
      <c r="Z1809" s="76"/>
      <c r="AA1809" s="76"/>
      <c r="AB1809" s="76"/>
      <c r="AC1809" s="76"/>
      <c r="AD1809" s="76"/>
      <c r="AE1809" s="76"/>
      <c r="AF1809" s="76"/>
      <c r="AG1809" s="76"/>
      <c r="AH1809" s="76"/>
      <c r="AI1809" s="76"/>
      <c r="AJ1809" s="76"/>
      <c r="AK1809" s="76"/>
      <c r="AL1809" s="76"/>
      <c r="AM1809" s="76"/>
      <c r="AN1809" s="76"/>
      <c r="AO1809" s="76"/>
      <c r="AP1809" s="76"/>
      <c r="AQ1809" s="76"/>
      <c r="AR1809" s="76"/>
      <c r="AS1809" s="76"/>
      <c r="AT1809" s="76"/>
      <c r="AU1809" s="76"/>
      <c r="AV1809" s="76"/>
      <c r="AW1809" s="76"/>
      <c r="AX1809" s="76"/>
      <c r="AY1809" s="76"/>
      <c r="AZ1809" s="76"/>
      <c r="BA1809" s="76"/>
      <c r="BB1809" s="76"/>
    </row>
    <row r="1810" spans="5:54" x14ac:dyDescent="0.35">
      <c r="E1810" s="83"/>
      <c r="F1810" s="83"/>
      <c r="G1810" s="76"/>
      <c r="H1810" s="76"/>
      <c r="I1810" s="76"/>
      <c r="J1810" s="76"/>
      <c r="K1810" s="76"/>
      <c r="L1810" s="76"/>
      <c r="M1810" s="76"/>
      <c r="N1810" s="76"/>
      <c r="O1810" s="76"/>
      <c r="P1810" s="76"/>
      <c r="Q1810" s="76"/>
      <c r="R1810" s="76"/>
      <c r="S1810" s="76"/>
      <c r="T1810" s="76"/>
      <c r="U1810" s="76"/>
      <c r="V1810" s="76"/>
      <c r="W1810" s="76"/>
      <c r="X1810" s="76"/>
      <c r="Y1810" s="76"/>
      <c r="Z1810" s="76"/>
      <c r="AA1810" s="76"/>
      <c r="AB1810" s="76"/>
      <c r="AC1810" s="76"/>
      <c r="AD1810" s="76"/>
      <c r="AE1810" s="76"/>
      <c r="AF1810" s="76"/>
      <c r="AG1810" s="76"/>
      <c r="AH1810" s="76"/>
      <c r="AI1810" s="76"/>
      <c r="AJ1810" s="76"/>
      <c r="AK1810" s="76"/>
      <c r="AL1810" s="76"/>
      <c r="AM1810" s="76"/>
      <c r="AN1810" s="76"/>
      <c r="AO1810" s="76"/>
      <c r="AP1810" s="76"/>
      <c r="AQ1810" s="76"/>
      <c r="AR1810" s="76"/>
      <c r="AS1810" s="76"/>
      <c r="AT1810" s="76"/>
      <c r="AU1810" s="76"/>
      <c r="AV1810" s="76"/>
      <c r="AW1810" s="76"/>
      <c r="AX1810" s="76"/>
      <c r="AY1810" s="76"/>
      <c r="AZ1810" s="76"/>
      <c r="BA1810" s="76"/>
      <c r="BB1810" s="76"/>
    </row>
    <row r="1811" spans="5:54" x14ac:dyDescent="0.35">
      <c r="E1811" s="83"/>
      <c r="F1811" s="83"/>
      <c r="G1811" s="76"/>
      <c r="H1811" s="76"/>
      <c r="I1811" s="76"/>
      <c r="J1811" s="76"/>
      <c r="K1811" s="76"/>
      <c r="L1811" s="76"/>
      <c r="M1811" s="76"/>
      <c r="N1811" s="76"/>
      <c r="O1811" s="76"/>
      <c r="P1811" s="76"/>
      <c r="Q1811" s="76"/>
      <c r="R1811" s="76"/>
      <c r="S1811" s="76"/>
      <c r="T1811" s="76"/>
      <c r="U1811" s="76"/>
      <c r="V1811" s="76"/>
      <c r="W1811" s="76"/>
      <c r="X1811" s="76"/>
      <c r="Y1811" s="76"/>
      <c r="Z1811" s="76"/>
      <c r="AA1811" s="76"/>
      <c r="AB1811" s="76"/>
      <c r="AC1811" s="76"/>
      <c r="AD1811" s="76"/>
      <c r="AE1811" s="76"/>
      <c r="AF1811" s="76"/>
      <c r="AG1811" s="76"/>
      <c r="AH1811" s="76"/>
      <c r="AI1811" s="76"/>
      <c r="AJ1811" s="76"/>
      <c r="AK1811" s="76"/>
      <c r="AL1811" s="76"/>
      <c r="AM1811" s="76"/>
      <c r="AN1811" s="76"/>
      <c r="AO1811" s="76"/>
      <c r="AP1811" s="76"/>
      <c r="AQ1811" s="76"/>
      <c r="AR1811" s="76"/>
      <c r="AS1811" s="76"/>
      <c r="AT1811" s="76"/>
      <c r="AU1811" s="76"/>
      <c r="AV1811" s="76"/>
      <c r="AW1811" s="76"/>
      <c r="AX1811" s="76"/>
      <c r="AY1811" s="76"/>
      <c r="AZ1811" s="76"/>
      <c r="BA1811" s="76"/>
      <c r="BB1811" s="76"/>
    </row>
    <row r="1812" spans="5:54" x14ac:dyDescent="0.35">
      <c r="E1812" s="83"/>
      <c r="F1812" s="83"/>
      <c r="G1812" s="76"/>
      <c r="H1812" s="76"/>
      <c r="I1812" s="76"/>
      <c r="J1812" s="76"/>
      <c r="K1812" s="76"/>
      <c r="L1812" s="76"/>
      <c r="M1812" s="76"/>
      <c r="N1812" s="76"/>
      <c r="O1812" s="76"/>
      <c r="P1812" s="76"/>
      <c r="Q1812" s="76"/>
      <c r="R1812" s="76"/>
      <c r="S1812" s="76"/>
      <c r="T1812" s="76"/>
      <c r="U1812" s="76"/>
      <c r="V1812" s="76"/>
      <c r="W1812" s="76"/>
      <c r="X1812" s="76"/>
      <c r="Y1812" s="76"/>
      <c r="Z1812" s="76"/>
      <c r="AA1812" s="76"/>
      <c r="AB1812" s="76"/>
      <c r="AC1812" s="76"/>
      <c r="AD1812" s="76"/>
      <c r="AE1812" s="76"/>
      <c r="AF1812" s="76"/>
      <c r="AG1812" s="76"/>
      <c r="AH1812" s="76"/>
      <c r="AI1812" s="76"/>
      <c r="AJ1812" s="76"/>
      <c r="AK1812" s="76"/>
      <c r="AL1812" s="76"/>
      <c r="AM1812" s="76"/>
      <c r="AN1812" s="76"/>
      <c r="AO1812" s="76"/>
      <c r="AP1812" s="76"/>
      <c r="AQ1812" s="76"/>
      <c r="AR1812" s="76"/>
      <c r="AS1812" s="76"/>
      <c r="AT1812" s="76"/>
      <c r="AU1812" s="76"/>
      <c r="AV1812" s="76"/>
      <c r="AW1812" s="76"/>
      <c r="AX1812" s="76"/>
      <c r="AY1812" s="76"/>
      <c r="AZ1812" s="76"/>
      <c r="BA1812" s="76"/>
      <c r="BB1812" s="76"/>
    </row>
    <row r="1813" spans="5:54" x14ac:dyDescent="0.35">
      <c r="E1813" s="83"/>
      <c r="F1813" s="83"/>
      <c r="G1813" s="76"/>
      <c r="H1813" s="76"/>
      <c r="I1813" s="76"/>
      <c r="J1813" s="76"/>
      <c r="K1813" s="76"/>
      <c r="L1813" s="76"/>
      <c r="M1813" s="76"/>
      <c r="N1813" s="76"/>
      <c r="O1813" s="76"/>
      <c r="P1813" s="76"/>
      <c r="Q1813" s="76"/>
      <c r="R1813" s="76"/>
      <c r="S1813" s="76"/>
      <c r="T1813" s="76"/>
      <c r="U1813" s="76"/>
      <c r="V1813" s="76"/>
      <c r="W1813" s="76"/>
      <c r="X1813" s="76"/>
      <c r="Y1813" s="76"/>
      <c r="Z1813" s="76"/>
      <c r="AA1813" s="76"/>
      <c r="AB1813" s="76"/>
      <c r="AC1813" s="76"/>
      <c r="AD1813" s="76"/>
      <c r="AE1813" s="76"/>
      <c r="AF1813" s="76"/>
      <c r="AG1813" s="76"/>
      <c r="AH1813" s="76"/>
      <c r="AI1813" s="76"/>
      <c r="AJ1813" s="76"/>
      <c r="AK1813" s="76"/>
      <c r="AL1813" s="76"/>
      <c r="AM1813" s="76"/>
      <c r="AN1813" s="76"/>
      <c r="AO1813" s="76"/>
      <c r="AP1813" s="76"/>
      <c r="AQ1813" s="76"/>
      <c r="AR1813" s="76"/>
      <c r="AS1813" s="76"/>
      <c r="AT1813" s="76"/>
      <c r="AU1813" s="76"/>
      <c r="AV1813" s="76"/>
      <c r="AW1813" s="76"/>
      <c r="AX1813" s="76"/>
      <c r="AY1813" s="76"/>
      <c r="AZ1813" s="76"/>
      <c r="BA1813" s="76"/>
      <c r="BB1813" s="76"/>
    </row>
    <row r="1814" spans="5:54" x14ac:dyDescent="0.35">
      <c r="E1814" s="83"/>
      <c r="F1814" s="83"/>
      <c r="G1814" s="76"/>
      <c r="H1814" s="76"/>
      <c r="I1814" s="76"/>
      <c r="J1814" s="76"/>
      <c r="K1814" s="76"/>
      <c r="L1814" s="76"/>
      <c r="M1814" s="76"/>
      <c r="N1814" s="76"/>
      <c r="O1814" s="76"/>
      <c r="P1814" s="76"/>
      <c r="Q1814" s="76"/>
      <c r="R1814" s="76"/>
      <c r="S1814" s="76"/>
      <c r="T1814" s="76"/>
      <c r="U1814" s="76"/>
      <c r="V1814" s="76"/>
      <c r="W1814" s="76"/>
      <c r="X1814" s="76"/>
      <c r="Y1814" s="76"/>
      <c r="Z1814" s="76"/>
      <c r="AA1814" s="76"/>
      <c r="AB1814" s="76"/>
      <c r="AC1814" s="76"/>
      <c r="AD1814" s="76"/>
      <c r="AE1814" s="76"/>
      <c r="AF1814" s="76"/>
      <c r="AG1814" s="76"/>
      <c r="AH1814" s="76"/>
      <c r="AI1814" s="76"/>
      <c r="AJ1814" s="76"/>
      <c r="AK1814" s="76"/>
      <c r="AL1814" s="76"/>
      <c r="AM1814" s="76"/>
      <c r="AN1814" s="76"/>
      <c r="AO1814" s="76"/>
      <c r="AP1814" s="76"/>
      <c r="AQ1814" s="76"/>
      <c r="AR1814" s="76"/>
      <c r="AS1814" s="76"/>
      <c r="AT1814" s="76"/>
      <c r="AU1814" s="76"/>
      <c r="AV1814" s="76"/>
      <c r="AW1814" s="76"/>
      <c r="AX1814" s="76"/>
      <c r="AY1814" s="76"/>
      <c r="AZ1814" s="76"/>
      <c r="BA1814" s="76"/>
      <c r="BB1814" s="76"/>
    </row>
    <row r="1815" spans="5:54" x14ac:dyDescent="0.35">
      <c r="E1815" s="83"/>
      <c r="F1815" s="83"/>
      <c r="G1815" s="76"/>
      <c r="H1815" s="76"/>
      <c r="I1815" s="76"/>
      <c r="J1815" s="76"/>
      <c r="K1815" s="76"/>
      <c r="L1815" s="76"/>
      <c r="M1815" s="76"/>
      <c r="N1815" s="76"/>
      <c r="O1815" s="76"/>
      <c r="P1815" s="76"/>
      <c r="Q1815" s="76"/>
      <c r="R1815" s="76"/>
      <c r="S1815" s="76"/>
      <c r="T1815" s="76"/>
      <c r="U1815" s="76"/>
      <c r="V1815" s="76"/>
      <c r="W1815" s="76"/>
      <c r="X1815" s="76"/>
      <c r="Y1815" s="76"/>
      <c r="Z1815" s="76"/>
      <c r="AA1815" s="76"/>
      <c r="AB1815" s="76"/>
      <c r="AC1815" s="76"/>
      <c r="AD1815" s="76"/>
      <c r="AE1815" s="76"/>
      <c r="AF1815" s="76"/>
      <c r="AG1815" s="76"/>
      <c r="AH1815" s="76"/>
      <c r="AI1815" s="76"/>
      <c r="AJ1815" s="76"/>
      <c r="AK1815" s="76"/>
      <c r="AL1815" s="76"/>
      <c r="AM1815" s="76"/>
      <c r="AN1815" s="76"/>
      <c r="AO1815" s="76"/>
      <c r="AP1815" s="76"/>
      <c r="AQ1815" s="76"/>
      <c r="AR1815" s="76"/>
      <c r="AS1815" s="76"/>
      <c r="AT1815" s="76"/>
      <c r="AU1815" s="76"/>
      <c r="AV1815" s="76"/>
      <c r="AW1815" s="76"/>
      <c r="AX1815" s="76"/>
      <c r="AY1815" s="76"/>
      <c r="AZ1815" s="76"/>
      <c r="BA1815" s="76"/>
      <c r="BB1815" s="76"/>
    </row>
    <row r="1816" spans="5:54" x14ac:dyDescent="0.35">
      <c r="E1816" s="83"/>
      <c r="F1816" s="83"/>
      <c r="G1816" s="76"/>
      <c r="H1816" s="76"/>
      <c r="I1816" s="76"/>
      <c r="J1816" s="76"/>
      <c r="K1816" s="76"/>
      <c r="L1816" s="76"/>
      <c r="M1816" s="76"/>
      <c r="N1816" s="76"/>
      <c r="O1816" s="76"/>
      <c r="P1816" s="76"/>
      <c r="Q1816" s="76"/>
      <c r="R1816" s="76"/>
      <c r="S1816" s="76"/>
      <c r="T1816" s="76"/>
      <c r="U1816" s="76"/>
      <c r="V1816" s="76"/>
      <c r="W1816" s="76"/>
      <c r="X1816" s="76"/>
      <c r="Y1816" s="76"/>
      <c r="Z1816" s="76"/>
      <c r="AA1816" s="76"/>
      <c r="AB1816" s="76"/>
      <c r="AC1816" s="76"/>
      <c r="AD1816" s="76"/>
      <c r="AE1816" s="76"/>
      <c r="AF1816" s="76"/>
      <c r="AG1816" s="76"/>
      <c r="AH1816" s="76"/>
      <c r="AI1816" s="76"/>
      <c r="AJ1816" s="76"/>
      <c r="AK1816" s="76"/>
      <c r="AL1816" s="76"/>
      <c r="AM1816" s="76"/>
      <c r="AN1816" s="76"/>
      <c r="AO1816" s="76"/>
      <c r="AP1816" s="76"/>
      <c r="AQ1816" s="76"/>
      <c r="AR1816" s="76"/>
      <c r="AS1816" s="76"/>
      <c r="AT1816" s="76"/>
      <c r="AU1816" s="76"/>
      <c r="AV1816" s="76"/>
      <c r="AW1816" s="76"/>
      <c r="AX1816" s="76"/>
      <c r="AY1816" s="76"/>
      <c r="AZ1816" s="76"/>
      <c r="BA1816" s="76"/>
      <c r="BB1816" s="76"/>
    </row>
    <row r="1817" spans="5:54" x14ac:dyDescent="0.35">
      <c r="E1817" s="83"/>
      <c r="F1817" s="83"/>
      <c r="G1817" s="76"/>
      <c r="H1817" s="76"/>
      <c r="I1817" s="76"/>
      <c r="J1817" s="76"/>
      <c r="K1817" s="76"/>
      <c r="L1817" s="76"/>
      <c r="M1817" s="76"/>
      <c r="N1817" s="76"/>
      <c r="O1817" s="76"/>
      <c r="P1817" s="76"/>
      <c r="Q1817" s="76"/>
      <c r="R1817" s="76"/>
      <c r="S1817" s="76"/>
      <c r="T1817" s="76"/>
      <c r="U1817" s="76"/>
      <c r="V1817" s="76"/>
      <c r="W1817" s="76"/>
      <c r="X1817" s="76"/>
      <c r="Y1817" s="76"/>
      <c r="Z1817" s="76"/>
      <c r="AA1817" s="76"/>
      <c r="AB1817" s="76"/>
      <c r="AC1817" s="76"/>
      <c r="AD1817" s="76"/>
      <c r="AE1817" s="76"/>
      <c r="AF1817" s="76"/>
      <c r="AG1817" s="76"/>
      <c r="AH1817" s="76"/>
      <c r="AI1817" s="76"/>
      <c r="AJ1817" s="76"/>
      <c r="AK1817" s="76"/>
      <c r="AL1817" s="76"/>
      <c r="AM1817" s="76"/>
      <c r="AN1817" s="76"/>
      <c r="AO1817" s="76"/>
      <c r="AP1817" s="76"/>
      <c r="AQ1817" s="76"/>
      <c r="AR1817" s="76"/>
      <c r="AS1817" s="76"/>
      <c r="AT1817" s="76"/>
      <c r="AU1817" s="76"/>
      <c r="AV1817" s="76"/>
      <c r="AW1817" s="76"/>
      <c r="AX1817" s="76"/>
      <c r="AY1817" s="76"/>
      <c r="AZ1817" s="76"/>
      <c r="BA1817" s="76"/>
      <c r="BB1817" s="76"/>
    </row>
    <row r="1818" spans="5:54" x14ac:dyDescent="0.35">
      <c r="E1818" s="83"/>
      <c r="F1818" s="83"/>
      <c r="G1818" s="76"/>
      <c r="H1818" s="76"/>
      <c r="I1818" s="76"/>
      <c r="J1818" s="76"/>
      <c r="K1818" s="76"/>
      <c r="L1818" s="76"/>
      <c r="M1818" s="76"/>
      <c r="N1818" s="76"/>
      <c r="O1818" s="76"/>
      <c r="P1818" s="76"/>
      <c r="Q1818" s="76"/>
      <c r="R1818" s="76"/>
      <c r="S1818" s="76"/>
      <c r="T1818" s="76"/>
      <c r="U1818" s="76"/>
      <c r="V1818" s="76"/>
      <c r="W1818" s="76"/>
      <c r="X1818" s="76"/>
      <c r="Y1818" s="76"/>
      <c r="Z1818" s="76"/>
      <c r="AA1818" s="76"/>
      <c r="AB1818" s="76"/>
      <c r="AC1818" s="76"/>
      <c r="AD1818" s="76"/>
      <c r="AE1818" s="76"/>
      <c r="AF1818" s="76"/>
      <c r="AG1818" s="76"/>
      <c r="AH1818" s="76"/>
      <c r="AI1818" s="76"/>
      <c r="AJ1818" s="76"/>
      <c r="AK1818" s="76"/>
      <c r="AL1818" s="76"/>
      <c r="AM1818" s="76"/>
      <c r="AN1818" s="76"/>
      <c r="AO1818" s="76"/>
      <c r="AP1818" s="76"/>
      <c r="AQ1818" s="76"/>
      <c r="AR1818" s="76"/>
      <c r="AS1818" s="76"/>
      <c r="AT1818" s="76"/>
      <c r="AU1818" s="76"/>
      <c r="AV1818" s="76"/>
      <c r="AW1818" s="76"/>
      <c r="AX1818" s="76"/>
      <c r="AY1818" s="76"/>
      <c r="AZ1818" s="76"/>
      <c r="BA1818" s="76"/>
      <c r="BB1818" s="76"/>
    </row>
    <row r="1819" spans="5:54" x14ac:dyDescent="0.35">
      <c r="E1819" s="83"/>
      <c r="F1819" s="83"/>
      <c r="G1819" s="76"/>
      <c r="H1819" s="76"/>
      <c r="I1819" s="76"/>
      <c r="J1819" s="76"/>
      <c r="K1819" s="76"/>
      <c r="L1819" s="76"/>
      <c r="M1819" s="76"/>
      <c r="N1819" s="76"/>
      <c r="O1819" s="76"/>
      <c r="P1819" s="76"/>
      <c r="Q1819" s="76"/>
      <c r="R1819" s="76"/>
      <c r="S1819" s="76"/>
      <c r="T1819" s="76"/>
      <c r="U1819" s="76"/>
      <c r="V1819" s="76"/>
      <c r="W1819" s="76"/>
      <c r="X1819" s="76"/>
      <c r="Y1819" s="76"/>
      <c r="Z1819" s="76"/>
      <c r="AA1819" s="76"/>
      <c r="AB1819" s="76"/>
      <c r="AC1819" s="76"/>
      <c r="AD1819" s="76"/>
      <c r="AE1819" s="76"/>
      <c r="AF1819" s="76"/>
      <c r="AG1819" s="76"/>
      <c r="AH1819" s="76"/>
      <c r="AI1819" s="76"/>
      <c r="AJ1819" s="76"/>
      <c r="AK1819" s="76"/>
      <c r="AL1819" s="76"/>
      <c r="AM1819" s="76"/>
      <c r="AN1819" s="76"/>
      <c r="AO1819" s="76"/>
      <c r="AP1819" s="76"/>
      <c r="AQ1819" s="76"/>
      <c r="AR1819" s="76"/>
      <c r="AS1819" s="76"/>
      <c r="AT1819" s="76"/>
      <c r="AU1819" s="76"/>
      <c r="AV1819" s="76"/>
      <c r="AW1819" s="76"/>
      <c r="AX1819" s="76"/>
      <c r="AY1819" s="76"/>
      <c r="AZ1819" s="76"/>
      <c r="BA1819" s="76"/>
      <c r="BB1819" s="76"/>
    </row>
    <row r="1820" spans="5:54" x14ac:dyDescent="0.35">
      <c r="E1820" s="83"/>
      <c r="F1820" s="83"/>
      <c r="G1820" s="76"/>
      <c r="H1820" s="76"/>
      <c r="I1820" s="76"/>
      <c r="J1820" s="76"/>
      <c r="K1820" s="76"/>
      <c r="L1820" s="76"/>
      <c r="M1820" s="76"/>
      <c r="N1820" s="76"/>
      <c r="O1820" s="76"/>
      <c r="P1820" s="76"/>
      <c r="Q1820" s="76"/>
      <c r="R1820" s="76"/>
      <c r="S1820" s="76"/>
      <c r="T1820" s="76"/>
      <c r="U1820" s="76"/>
      <c r="V1820" s="76"/>
      <c r="W1820" s="76"/>
      <c r="X1820" s="76"/>
      <c r="Y1820" s="76"/>
      <c r="Z1820" s="76"/>
      <c r="AA1820" s="76"/>
      <c r="AB1820" s="76"/>
      <c r="AC1820" s="76"/>
      <c r="AD1820" s="76"/>
      <c r="AE1820" s="76"/>
      <c r="AF1820" s="76"/>
      <c r="AG1820" s="76"/>
      <c r="AH1820" s="76"/>
      <c r="AI1820" s="76"/>
      <c r="AJ1820" s="76"/>
      <c r="AK1820" s="76"/>
      <c r="AL1820" s="76"/>
      <c r="AM1820" s="76"/>
      <c r="AN1820" s="76"/>
      <c r="AO1820" s="76"/>
      <c r="AP1820" s="76"/>
      <c r="AQ1820" s="76"/>
      <c r="AR1820" s="76"/>
      <c r="AS1820" s="76"/>
      <c r="AT1820" s="76"/>
      <c r="AU1820" s="76"/>
      <c r="AV1820" s="76"/>
      <c r="AW1820" s="76"/>
      <c r="AX1820" s="76"/>
      <c r="AY1820" s="76"/>
      <c r="AZ1820" s="76"/>
      <c r="BA1820" s="76"/>
      <c r="BB1820" s="76"/>
    </row>
    <row r="1821" spans="5:54" x14ac:dyDescent="0.35">
      <c r="E1821" s="83"/>
      <c r="F1821" s="83"/>
      <c r="G1821" s="76"/>
      <c r="H1821" s="76"/>
      <c r="I1821" s="76"/>
      <c r="J1821" s="76"/>
      <c r="K1821" s="76"/>
      <c r="L1821" s="76"/>
      <c r="M1821" s="76"/>
      <c r="N1821" s="76"/>
      <c r="O1821" s="76"/>
      <c r="P1821" s="76"/>
      <c r="Q1821" s="76"/>
      <c r="R1821" s="76"/>
      <c r="S1821" s="76"/>
      <c r="T1821" s="76"/>
      <c r="U1821" s="76"/>
      <c r="V1821" s="76"/>
      <c r="W1821" s="76"/>
      <c r="X1821" s="76"/>
      <c r="Y1821" s="76"/>
      <c r="Z1821" s="76"/>
      <c r="AA1821" s="76"/>
      <c r="AB1821" s="76"/>
      <c r="AC1821" s="76"/>
      <c r="AD1821" s="76"/>
      <c r="AE1821" s="76"/>
      <c r="AF1821" s="76"/>
      <c r="AG1821" s="76"/>
      <c r="AH1821" s="76"/>
      <c r="AI1821" s="76"/>
      <c r="AJ1821" s="76"/>
      <c r="AK1821" s="76"/>
      <c r="AL1821" s="76"/>
      <c r="AM1821" s="76"/>
      <c r="AN1821" s="76"/>
      <c r="AO1821" s="76"/>
      <c r="AP1821" s="76"/>
      <c r="AQ1821" s="76"/>
      <c r="AR1821" s="76"/>
      <c r="AS1821" s="76"/>
      <c r="AT1821" s="76"/>
      <c r="AU1821" s="76"/>
      <c r="AV1821" s="76"/>
      <c r="AW1821" s="76"/>
      <c r="AX1821" s="76"/>
      <c r="AY1821" s="76"/>
      <c r="AZ1821" s="76"/>
      <c r="BA1821" s="76"/>
      <c r="BB1821" s="76"/>
    </row>
    <row r="1822" spans="5:54" x14ac:dyDescent="0.35">
      <c r="E1822" s="83"/>
      <c r="F1822" s="83"/>
      <c r="G1822" s="76"/>
      <c r="H1822" s="76"/>
      <c r="I1822" s="76"/>
      <c r="J1822" s="76"/>
      <c r="K1822" s="76"/>
      <c r="L1822" s="76"/>
      <c r="M1822" s="76"/>
      <c r="N1822" s="76"/>
      <c r="O1822" s="76"/>
      <c r="P1822" s="76"/>
      <c r="Q1822" s="76"/>
      <c r="R1822" s="76"/>
      <c r="S1822" s="76"/>
      <c r="T1822" s="76"/>
      <c r="U1822" s="76"/>
      <c r="V1822" s="76"/>
      <c r="W1822" s="76"/>
      <c r="X1822" s="76"/>
      <c r="Y1822" s="76"/>
      <c r="Z1822" s="76"/>
      <c r="AA1822" s="76"/>
      <c r="AB1822" s="76"/>
      <c r="AC1822" s="76"/>
      <c r="AD1822" s="76"/>
      <c r="AE1822" s="76"/>
      <c r="AF1822" s="76"/>
      <c r="AG1822" s="76"/>
      <c r="AH1822" s="76"/>
      <c r="AI1822" s="76"/>
      <c r="AJ1822" s="76"/>
      <c r="AK1822" s="76"/>
      <c r="AL1822" s="76"/>
      <c r="AM1822" s="76"/>
      <c r="AN1822" s="76"/>
      <c r="AO1822" s="76"/>
      <c r="AP1822" s="76"/>
      <c r="AQ1822" s="76"/>
      <c r="AR1822" s="76"/>
      <c r="AS1822" s="76"/>
      <c r="AT1822" s="76"/>
      <c r="AU1822" s="76"/>
      <c r="AV1822" s="76"/>
      <c r="AW1822" s="76"/>
      <c r="AX1822" s="76"/>
      <c r="AY1822" s="76"/>
      <c r="AZ1822" s="76"/>
      <c r="BA1822" s="76"/>
      <c r="BB1822" s="76"/>
    </row>
    <row r="1823" spans="5:54" x14ac:dyDescent="0.35">
      <c r="E1823" s="83"/>
      <c r="F1823" s="83"/>
      <c r="G1823" s="76"/>
      <c r="H1823" s="76"/>
      <c r="I1823" s="76"/>
      <c r="J1823" s="76"/>
      <c r="K1823" s="76"/>
      <c r="L1823" s="76"/>
      <c r="M1823" s="76"/>
      <c r="N1823" s="76"/>
      <c r="O1823" s="76"/>
      <c r="P1823" s="76"/>
      <c r="Q1823" s="76"/>
      <c r="R1823" s="76"/>
      <c r="S1823" s="76"/>
      <c r="T1823" s="76"/>
      <c r="U1823" s="76"/>
      <c r="V1823" s="76"/>
      <c r="W1823" s="76"/>
      <c r="X1823" s="76"/>
      <c r="Y1823" s="76"/>
      <c r="Z1823" s="76"/>
      <c r="AA1823" s="76"/>
      <c r="AB1823" s="76"/>
      <c r="AC1823" s="76"/>
      <c r="AD1823" s="76"/>
      <c r="AE1823" s="76"/>
      <c r="AF1823" s="76"/>
      <c r="AG1823" s="76"/>
      <c r="AH1823" s="76"/>
      <c r="AI1823" s="76"/>
      <c r="AJ1823" s="76"/>
      <c r="AK1823" s="76"/>
      <c r="AL1823" s="76"/>
      <c r="AM1823" s="76"/>
      <c r="AN1823" s="76"/>
      <c r="AO1823" s="76"/>
      <c r="AP1823" s="76"/>
      <c r="AQ1823" s="76"/>
      <c r="AR1823" s="76"/>
      <c r="AS1823" s="76"/>
      <c r="AT1823" s="76"/>
      <c r="AU1823" s="76"/>
      <c r="AV1823" s="76"/>
      <c r="AW1823" s="76"/>
      <c r="AX1823" s="76"/>
      <c r="AY1823" s="76"/>
      <c r="AZ1823" s="76"/>
      <c r="BA1823" s="76"/>
      <c r="BB1823" s="76"/>
    </row>
    <row r="1824" spans="5:54" x14ac:dyDescent="0.35">
      <c r="E1824" s="83"/>
      <c r="F1824" s="83"/>
      <c r="G1824" s="76"/>
      <c r="H1824" s="76"/>
      <c r="I1824" s="76"/>
      <c r="J1824" s="76"/>
      <c r="K1824" s="76"/>
      <c r="L1824" s="76"/>
      <c r="M1824" s="76"/>
      <c r="N1824" s="76"/>
      <c r="O1824" s="76"/>
      <c r="P1824" s="76"/>
      <c r="Q1824" s="76"/>
      <c r="R1824" s="76"/>
      <c r="S1824" s="76"/>
      <c r="T1824" s="76"/>
      <c r="U1824" s="76"/>
      <c r="V1824" s="76"/>
      <c r="W1824" s="76"/>
      <c r="X1824" s="76"/>
      <c r="Y1824" s="76"/>
      <c r="Z1824" s="76"/>
      <c r="AA1824" s="76"/>
      <c r="AB1824" s="76"/>
      <c r="AC1824" s="76"/>
      <c r="AD1824" s="76"/>
      <c r="AE1824" s="76"/>
      <c r="AF1824" s="76"/>
      <c r="AG1824" s="76"/>
      <c r="AH1824" s="76"/>
      <c r="AI1824" s="76"/>
      <c r="AJ1824" s="76"/>
      <c r="AK1824" s="76"/>
      <c r="AL1824" s="76"/>
      <c r="AM1824" s="76"/>
      <c r="AN1824" s="76"/>
      <c r="AO1824" s="76"/>
      <c r="AP1824" s="76"/>
      <c r="AQ1824" s="76"/>
      <c r="AR1824" s="76"/>
      <c r="AS1824" s="76"/>
      <c r="AT1824" s="76"/>
      <c r="AU1824" s="76"/>
      <c r="AV1824" s="76"/>
      <c r="AW1824" s="76"/>
      <c r="AX1824" s="76"/>
      <c r="AY1824" s="76"/>
      <c r="AZ1824" s="76"/>
      <c r="BA1824" s="76"/>
      <c r="BB1824" s="76"/>
    </row>
    <row r="1825" spans="5:54" x14ac:dyDescent="0.35">
      <c r="E1825" s="83"/>
      <c r="F1825" s="83"/>
      <c r="G1825" s="76"/>
      <c r="H1825" s="76"/>
      <c r="I1825" s="76"/>
      <c r="J1825" s="76"/>
      <c r="K1825" s="76"/>
      <c r="L1825" s="76"/>
      <c r="M1825" s="76"/>
      <c r="N1825" s="76"/>
      <c r="O1825" s="76"/>
      <c r="P1825" s="76"/>
      <c r="Q1825" s="76"/>
      <c r="R1825" s="76"/>
      <c r="S1825" s="76"/>
      <c r="T1825" s="76"/>
      <c r="U1825" s="76"/>
      <c r="V1825" s="76"/>
      <c r="W1825" s="76"/>
      <c r="X1825" s="76"/>
      <c r="Y1825" s="76"/>
      <c r="Z1825" s="76"/>
      <c r="AA1825" s="76"/>
      <c r="AB1825" s="76"/>
      <c r="AC1825" s="76"/>
      <c r="AD1825" s="76"/>
      <c r="AE1825" s="76"/>
      <c r="AF1825" s="76"/>
      <c r="AG1825" s="76"/>
      <c r="AH1825" s="76"/>
      <c r="AI1825" s="76"/>
      <c r="AJ1825" s="76"/>
      <c r="AK1825" s="76"/>
      <c r="AL1825" s="76"/>
      <c r="AM1825" s="76"/>
      <c r="AN1825" s="76"/>
      <c r="AO1825" s="76"/>
      <c r="AP1825" s="76"/>
      <c r="AQ1825" s="76"/>
      <c r="AR1825" s="76"/>
      <c r="AS1825" s="76"/>
      <c r="AT1825" s="76"/>
      <c r="AU1825" s="76"/>
      <c r="AV1825" s="76"/>
      <c r="AW1825" s="76"/>
      <c r="AX1825" s="76"/>
      <c r="AY1825" s="76"/>
      <c r="AZ1825" s="76"/>
      <c r="BA1825" s="76"/>
      <c r="BB1825" s="76"/>
    </row>
    <row r="1826" spans="5:54" x14ac:dyDescent="0.35">
      <c r="E1826" s="83"/>
      <c r="F1826" s="83"/>
      <c r="G1826" s="76"/>
      <c r="H1826" s="76"/>
      <c r="I1826" s="76"/>
      <c r="J1826" s="76"/>
      <c r="K1826" s="76"/>
      <c r="L1826" s="76"/>
      <c r="M1826" s="76"/>
      <c r="N1826" s="76"/>
      <c r="O1826" s="76"/>
      <c r="P1826" s="76"/>
      <c r="Q1826" s="76"/>
      <c r="R1826" s="76"/>
      <c r="S1826" s="76"/>
      <c r="T1826" s="76"/>
      <c r="U1826" s="76"/>
      <c r="V1826" s="76"/>
      <c r="W1826" s="76"/>
      <c r="X1826" s="76"/>
      <c r="Y1826" s="76"/>
      <c r="Z1826" s="76"/>
      <c r="AA1826" s="76"/>
      <c r="AB1826" s="76"/>
      <c r="AC1826" s="76"/>
      <c r="AD1826" s="76"/>
      <c r="AE1826" s="76"/>
      <c r="AF1826" s="76"/>
      <c r="AG1826" s="76"/>
      <c r="AH1826" s="76"/>
      <c r="AI1826" s="76"/>
      <c r="AJ1826" s="76"/>
      <c r="AK1826" s="76"/>
      <c r="AL1826" s="76"/>
      <c r="AM1826" s="76"/>
      <c r="AN1826" s="76"/>
      <c r="AO1826" s="76"/>
      <c r="AP1826" s="76"/>
      <c r="AQ1826" s="76"/>
      <c r="AR1826" s="76"/>
      <c r="AS1826" s="76"/>
      <c r="AT1826" s="76"/>
      <c r="AU1826" s="76"/>
      <c r="AV1826" s="76"/>
      <c r="AW1826" s="76"/>
      <c r="AX1826" s="76"/>
      <c r="AY1826" s="76"/>
      <c r="AZ1826" s="76"/>
      <c r="BA1826" s="76"/>
      <c r="BB1826" s="76"/>
    </row>
    <row r="1827" spans="5:54" x14ac:dyDescent="0.35">
      <c r="E1827" s="83"/>
      <c r="F1827" s="83"/>
      <c r="G1827" s="76"/>
      <c r="H1827" s="76"/>
      <c r="I1827" s="76"/>
      <c r="J1827" s="76"/>
      <c r="K1827" s="76"/>
      <c r="L1827" s="76"/>
      <c r="M1827" s="76"/>
      <c r="N1827" s="76"/>
      <c r="O1827" s="76"/>
      <c r="P1827" s="76"/>
      <c r="Q1827" s="76"/>
      <c r="R1827" s="76"/>
      <c r="S1827" s="76"/>
      <c r="T1827" s="76"/>
      <c r="U1827" s="76"/>
      <c r="V1827" s="76"/>
      <c r="W1827" s="76"/>
      <c r="X1827" s="76"/>
      <c r="Y1827" s="76"/>
      <c r="Z1827" s="76"/>
      <c r="AA1827" s="76"/>
      <c r="AB1827" s="76"/>
      <c r="AC1827" s="76"/>
      <c r="AD1827" s="76"/>
      <c r="AE1827" s="76"/>
      <c r="AF1827" s="76"/>
      <c r="AG1827" s="76"/>
      <c r="AH1827" s="76"/>
      <c r="AI1827" s="76"/>
      <c r="AJ1827" s="76"/>
      <c r="AK1827" s="76"/>
      <c r="AL1827" s="76"/>
      <c r="AM1827" s="76"/>
      <c r="AN1827" s="76"/>
      <c r="AO1827" s="76"/>
      <c r="AP1827" s="76"/>
      <c r="AQ1827" s="76"/>
      <c r="AR1827" s="76"/>
      <c r="AS1827" s="76"/>
      <c r="AT1827" s="76"/>
      <c r="AU1827" s="76"/>
      <c r="AV1827" s="76"/>
      <c r="AW1827" s="76"/>
      <c r="AX1827" s="76"/>
      <c r="AY1827" s="76"/>
      <c r="AZ1827" s="76"/>
      <c r="BA1827" s="76"/>
      <c r="BB1827" s="76"/>
    </row>
    <row r="1828" spans="5:54" x14ac:dyDescent="0.35">
      <c r="E1828" s="83"/>
      <c r="F1828" s="83"/>
      <c r="G1828" s="76"/>
      <c r="H1828" s="76"/>
      <c r="I1828" s="76"/>
      <c r="J1828" s="76"/>
      <c r="K1828" s="76"/>
      <c r="L1828" s="76"/>
      <c r="M1828" s="76"/>
      <c r="N1828" s="76"/>
      <c r="O1828" s="76"/>
      <c r="P1828" s="76"/>
      <c r="Q1828" s="76"/>
      <c r="R1828" s="76"/>
      <c r="S1828" s="76"/>
      <c r="T1828" s="76"/>
      <c r="U1828" s="76"/>
      <c r="V1828" s="76"/>
      <c r="W1828" s="76"/>
      <c r="X1828" s="76"/>
      <c r="Y1828" s="76"/>
      <c r="Z1828" s="76"/>
      <c r="AA1828" s="76"/>
      <c r="AB1828" s="76"/>
      <c r="AC1828" s="76"/>
      <c r="AD1828" s="76"/>
      <c r="AE1828" s="76"/>
      <c r="AF1828" s="76"/>
      <c r="AG1828" s="76"/>
      <c r="AH1828" s="76"/>
      <c r="AI1828" s="76"/>
      <c r="AJ1828" s="76"/>
      <c r="AK1828" s="76"/>
      <c r="AL1828" s="76"/>
      <c r="AM1828" s="76"/>
      <c r="AN1828" s="76"/>
      <c r="AO1828" s="76"/>
      <c r="AP1828" s="76"/>
      <c r="AQ1828" s="76"/>
      <c r="AR1828" s="76"/>
      <c r="AS1828" s="76"/>
      <c r="AT1828" s="76"/>
      <c r="AU1828" s="76"/>
      <c r="AV1828" s="76"/>
      <c r="AW1828" s="76"/>
      <c r="AX1828" s="76"/>
      <c r="AY1828" s="76"/>
      <c r="AZ1828" s="76"/>
      <c r="BA1828" s="76"/>
      <c r="BB1828" s="76"/>
    </row>
    <row r="1829" spans="5:54" x14ac:dyDescent="0.35">
      <c r="E1829" s="83"/>
      <c r="F1829" s="83"/>
      <c r="G1829" s="76"/>
      <c r="H1829" s="76"/>
      <c r="I1829" s="76"/>
      <c r="J1829" s="76"/>
      <c r="K1829" s="76"/>
      <c r="L1829" s="76"/>
      <c r="M1829" s="76"/>
      <c r="N1829" s="76"/>
      <c r="O1829" s="76"/>
      <c r="P1829" s="76"/>
      <c r="Q1829" s="76"/>
      <c r="R1829" s="76"/>
      <c r="S1829" s="76"/>
      <c r="T1829" s="76"/>
      <c r="U1829" s="76"/>
      <c r="V1829" s="76"/>
      <c r="W1829" s="76"/>
      <c r="X1829" s="76"/>
      <c r="Y1829" s="76"/>
      <c r="Z1829" s="76"/>
      <c r="AA1829" s="76"/>
      <c r="AB1829" s="76"/>
      <c r="AC1829" s="76"/>
      <c r="AD1829" s="76"/>
      <c r="AE1829" s="76"/>
      <c r="AF1829" s="76"/>
      <c r="AG1829" s="76"/>
      <c r="AH1829" s="76"/>
      <c r="AI1829" s="76"/>
      <c r="AJ1829" s="76"/>
      <c r="AK1829" s="76"/>
      <c r="AL1829" s="76"/>
      <c r="AM1829" s="76"/>
      <c r="AN1829" s="76"/>
      <c r="AO1829" s="76"/>
      <c r="AP1829" s="76"/>
      <c r="AQ1829" s="76"/>
      <c r="AR1829" s="76"/>
      <c r="AS1829" s="76"/>
      <c r="AT1829" s="76"/>
      <c r="AU1829" s="76"/>
      <c r="AV1829" s="76"/>
      <c r="AW1829" s="76"/>
      <c r="AX1829" s="76"/>
      <c r="AY1829" s="76"/>
      <c r="AZ1829" s="76"/>
      <c r="BA1829" s="76"/>
      <c r="BB1829" s="76"/>
    </row>
    <row r="1830" spans="5:54" x14ac:dyDescent="0.35">
      <c r="E1830" s="83"/>
      <c r="F1830" s="83"/>
      <c r="G1830" s="76"/>
      <c r="H1830" s="76"/>
      <c r="I1830" s="76"/>
      <c r="J1830" s="76"/>
      <c r="K1830" s="76"/>
      <c r="L1830" s="76"/>
      <c r="M1830" s="76"/>
      <c r="N1830" s="76"/>
      <c r="O1830" s="76"/>
      <c r="P1830" s="76"/>
      <c r="Q1830" s="76"/>
      <c r="R1830" s="76"/>
      <c r="S1830" s="76"/>
      <c r="T1830" s="76"/>
      <c r="U1830" s="76"/>
      <c r="V1830" s="76"/>
      <c r="W1830" s="76"/>
      <c r="X1830" s="76"/>
      <c r="Y1830" s="76"/>
      <c r="Z1830" s="76"/>
      <c r="AA1830" s="76"/>
      <c r="AB1830" s="76"/>
      <c r="AC1830" s="76"/>
      <c r="AD1830" s="76"/>
      <c r="AE1830" s="76"/>
      <c r="AF1830" s="76"/>
      <c r="AG1830" s="76"/>
      <c r="AH1830" s="76"/>
      <c r="AI1830" s="76"/>
      <c r="AJ1830" s="76"/>
      <c r="AK1830" s="76"/>
      <c r="AL1830" s="76"/>
      <c r="AM1830" s="76"/>
      <c r="AN1830" s="76"/>
      <c r="AO1830" s="76"/>
      <c r="AP1830" s="76"/>
      <c r="AQ1830" s="76"/>
      <c r="AR1830" s="76"/>
      <c r="AS1830" s="76"/>
      <c r="AT1830" s="76"/>
      <c r="AU1830" s="76"/>
      <c r="AV1830" s="76"/>
      <c r="AW1830" s="76"/>
      <c r="AX1830" s="76"/>
      <c r="AY1830" s="76"/>
      <c r="AZ1830" s="76"/>
      <c r="BA1830" s="76"/>
      <c r="BB1830" s="76"/>
    </row>
    <row r="1831" spans="5:54" x14ac:dyDescent="0.35">
      <c r="E1831" s="83"/>
      <c r="F1831" s="83"/>
      <c r="G1831" s="76"/>
      <c r="H1831" s="76"/>
      <c r="I1831" s="76"/>
      <c r="J1831" s="76"/>
      <c r="K1831" s="76"/>
      <c r="L1831" s="76"/>
      <c r="M1831" s="76"/>
      <c r="N1831" s="76"/>
      <c r="O1831" s="76"/>
      <c r="P1831" s="76"/>
      <c r="Q1831" s="76"/>
      <c r="R1831" s="76"/>
      <c r="S1831" s="76"/>
      <c r="T1831" s="76"/>
      <c r="U1831" s="76"/>
      <c r="V1831" s="76"/>
      <c r="W1831" s="76"/>
      <c r="X1831" s="76"/>
      <c r="Y1831" s="76"/>
      <c r="Z1831" s="76"/>
      <c r="AA1831" s="76"/>
      <c r="AB1831" s="76"/>
      <c r="AC1831" s="76"/>
      <c r="AD1831" s="76"/>
      <c r="AE1831" s="76"/>
      <c r="AF1831" s="76"/>
      <c r="AG1831" s="76"/>
      <c r="AH1831" s="76"/>
      <c r="AI1831" s="76"/>
      <c r="AJ1831" s="76"/>
      <c r="AK1831" s="76"/>
      <c r="AL1831" s="76"/>
      <c r="AM1831" s="76"/>
      <c r="AN1831" s="76"/>
      <c r="AO1831" s="76"/>
      <c r="AP1831" s="76"/>
      <c r="AQ1831" s="76"/>
      <c r="AR1831" s="76"/>
      <c r="AS1831" s="76"/>
      <c r="AT1831" s="76"/>
      <c r="AU1831" s="76"/>
      <c r="AV1831" s="76"/>
      <c r="AW1831" s="76"/>
      <c r="AX1831" s="76"/>
      <c r="AY1831" s="76"/>
      <c r="AZ1831" s="76"/>
      <c r="BA1831" s="76"/>
      <c r="BB1831" s="76"/>
    </row>
    <row r="1832" spans="5:54" x14ac:dyDescent="0.35">
      <c r="E1832" s="83"/>
      <c r="F1832" s="83"/>
      <c r="G1832" s="76"/>
      <c r="H1832" s="76"/>
      <c r="I1832" s="76"/>
      <c r="J1832" s="76"/>
      <c r="K1832" s="76"/>
      <c r="L1832" s="76"/>
      <c r="M1832" s="76"/>
      <c r="N1832" s="76"/>
      <c r="O1832" s="76"/>
      <c r="P1832" s="76"/>
      <c r="Q1832" s="76"/>
      <c r="R1832" s="76"/>
      <c r="S1832" s="76"/>
      <c r="T1832" s="76"/>
      <c r="U1832" s="76"/>
      <c r="V1832" s="76"/>
      <c r="W1832" s="76"/>
      <c r="X1832" s="76"/>
      <c r="Y1832" s="76"/>
      <c r="Z1832" s="76"/>
      <c r="AA1832" s="76"/>
      <c r="AB1832" s="76"/>
      <c r="AC1832" s="76"/>
      <c r="AD1832" s="76"/>
      <c r="AE1832" s="76"/>
      <c r="AF1832" s="76"/>
      <c r="AG1832" s="76"/>
      <c r="AH1832" s="76"/>
      <c r="AI1832" s="76"/>
      <c r="AJ1832" s="76"/>
      <c r="AK1832" s="76"/>
      <c r="AL1832" s="76"/>
      <c r="AM1832" s="76"/>
      <c r="AN1832" s="76"/>
      <c r="AO1832" s="76"/>
      <c r="AP1832" s="76"/>
      <c r="AQ1832" s="76"/>
      <c r="AR1832" s="76"/>
      <c r="AS1832" s="76"/>
      <c r="AT1832" s="76"/>
      <c r="AU1832" s="76"/>
      <c r="AV1832" s="76"/>
      <c r="AW1832" s="76"/>
      <c r="AX1832" s="76"/>
      <c r="AY1832" s="76"/>
      <c r="AZ1832" s="76"/>
      <c r="BA1832" s="76"/>
      <c r="BB1832" s="76"/>
    </row>
    <row r="1833" spans="5:54" x14ac:dyDescent="0.35">
      <c r="E1833" s="83"/>
      <c r="F1833" s="83"/>
      <c r="G1833" s="76"/>
      <c r="H1833" s="76"/>
      <c r="I1833" s="76"/>
      <c r="J1833" s="76"/>
      <c r="K1833" s="76"/>
      <c r="L1833" s="76"/>
      <c r="M1833" s="76"/>
      <c r="N1833" s="76"/>
      <c r="O1833" s="76"/>
      <c r="P1833" s="76"/>
      <c r="Q1833" s="76"/>
      <c r="R1833" s="76"/>
      <c r="S1833" s="76"/>
      <c r="T1833" s="76"/>
      <c r="U1833" s="76"/>
      <c r="V1833" s="76"/>
      <c r="W1833" s="76"/>
      <c r="X1833" s="76"/>
      <c r="Y1833" s="76"/>
      <c r="Z1833" s="76"/>
      <c r="AA1833" s="76"/>
      <c r="AB1833" s="76"/>
      <c r="AC1833" s="76"/>
      <c r="AD1833" s="76"/>
      <c r="AE1833" s="76"/>
      <c r="AF1833" s="76"/>
      <c r="AG1833" s="76"/>
      <c r="AH1833" s="76"/>
      <c r="AI1833" s="76"/>
      <c r="AJ1833" s="76"/>
      <c r="AK1833" s="76"/>
      <c r="AL1833" s="76"/>
      <c r="AM1833" s="76"/>
      <c r="AN1833" s="76"/>
      <c r="AO1833" s="76"/>
      <c r="AP1833" s="76"/>
      <c r="AQ1833" s="76"/>
      <c r="AR1833" s="76"/>
      <c r="AS1833" s="76"/>
      <c r="AT1833" s="76"/>
      <c r="AU1833" s="76"/>
      <c r="AV1833" s="76"/>
      <c r="AW1833" s="76"/>
      <c r="AX1833" s="76"/>
      <c r="AY1833" s="76"/>
      <c r="AZ1833" s="76"/>
      <c r="BA1833" s="76"/>
      <c r="BB1833" s="76"/>
    </row>
    <row r="1834" spans="5:54" x14ac:dyDescent="0.35">
      <c r="E1834" s="83"/>
      <c r="F1834" s="83"/>
      <c r="G1834" s="76"/>
      <c r="H1834" s="76"/>
      <c r="I1834" s="76"/>
      <c r="J1834" s="76"/>
      <c r="K1834" s="76"/>
      <c r="L1834" s="76"/>
      <c r="M1834" s="76"/>
      <c r="N1834" s="76"/>
      <c r="O1834" s="76"/>
      <c r="P1834" s="76"/>
      <c r="Q1834" s="76"/>
      <c r="R1834" s="76"/>
      <c r="S1834" s="76"/>
      <c r="T1834" s="76"/>
      <c r="U1834" s="76"/>
      <c r="V1834" s="76"/>
      <c r="W1834" s="76"/>
      <c r="X1834" s="76"/>
      <c r="Y1834" s="76"/>
      <c r="Z1834" s="76"/>
      <c r="AA1834" s="76"/>
      <c r="AB1834" s="76"/>
      <c r="AC1834" s="76"/>
      <c r="AD1834" s="76"/>
      <c r="AE1834" s="76"/>
      <c r="AF1834" s="76"/>
      <c r="AG1834" s="76"/>
      <c r="AH1834" s="76"/>
      <c r="AI1834" s="76"/>
      <c r="AJ1834" s="76"/>
      <c r="AK1834" s="76"/>
      <c r="AL1834" s="76"/>
      <c r="AM1834" s="76"/>
      <c r="AN1834" s="76"/>
      <c r="AO1834" s="76"/>
      <c r="AP1834" s="76"/>
      <c r="AQ1834" s="76"/>
      <c r="AR1834" s="76"/>
      <c r="AS1834" s="76"/>
      <c r="AT1834" s="76"/>
      <c r="AU1834" s="76"/>
      <c r="AV1834" s="76"/>
      <c r="AW1834" s="76"/>
      <c r="AX1834" s="76"/>
      <c r="AY1834" s="76"/>
      <c r="AZ1834" s="76"/>
      <c r="BA1834" s="76"/>
      <c r="BB1834" s="76"/>
    </row>
    <row r="1835" spans="5:54" x14ac:dyDescent="0.35">
      <c r="E1835" s="83"/>
      <c r="F1835" s="83"/>
      <c r="G1835" s="76"/>
      <c r="H1835" s="76"/>
      <c r="I1835" s="76"/>
      <c r="J1835" s="76"/>
      <c r="K1835" s="76"/>
      <c r="L1835" s="76"/>
      <c r="M1835" s="76"/>
      <c r="N1835" s="76"/>
      <c r="O1835" s="76"/>
      <c r="P1835" s="76"/>
      <c r="Q1835" s="76"/>
      <c r="R1835" s="76"/>
      <c r="S1835" s="76"/>
      <c r="T1835" s="76"/>
      <c r="U1835" s="76"/>
      <c r="V1835" s="76"/>
      <c r="W1835" s="76"/>
      <c r="X1835" s="76"/>
      <c r="Y1835" s="76"/>
      <c r="Z1835" s="76"/>
      <c r="AA1835" s="76"/>
      <c r="AB1835" s="76"/>
      <c r="AC1835" s="76"/>
      <c r="AD1835" s="76"/>
      <c r="AE1835" s="76"/>
      <c r="AF1835" s="76"/>
      <c r="AG1835" s="76"/>
      <c r="AH1835" s="76"/>
      <c r="AI1835" s="76"/>
      <c r="AJ1835" s="76"/>
      <c r="AK1835" s="76"/>
      <c r="AL1835" s="76"/>
      <c r="AM1835" s="76"/>
      <c r="AN1835" s="76"/>
      <c r="AO1835" s="76"/>
      <c r="AP1835" s="76"/>
      <c r="AQ1835" s="76"/>
      <c r="AR1835" s="76"/>
      <c r="AS1835" s="76"/>
      <c r="AT1835" s="76"/>
      <c r="AU1835" s="76"/>
      <c r="AV1835" s="76"/>
      <c r="AW1835" s="76"/>
      <c r="AX1835" s="76"/>
      <c r="AY1835" s="76"/>
      <c r="AZ1835" s="76"/>
      <c r="BA1835" s="76"/>
      <c r="BB1835" s="76"/>
    </row>
    <row r="1836" spans="5:54" x14ac:dyDescent="0.35">
      <c r="E1836" s="83"/>
      <c r="F1836" s="83"/>
      <c r="G1836" s="76"/>
      <c r="H1836" s="76"/>
      <c r="I1836" s="76"/>
      <c r="J1836" s="76"/>
      <c r="K1836" s="76"/>
      <c r="L1836" s="76"/>
      <c r="M1836" s="76"/>
      <c r="N1836" s="76"/>
      <c r="O1836" s="76"/>
      <c r="P1836" s="76"/>
      <c r="Q1836" s="76"/>
      <c r="R1836" s="76"/>
      <c r="S1836" s="76"/>
      <c r="T1836" s="76"/>
      <c r="U1836" s="76"/>
      <c r="V1836" s="76"/>
      <c r="W1836" s="76"/>
      <c r="X1836" s="76"/>
      <c r="Y1836" s="76"/>
      <c r="Z1836" s="76"/>
      <c r="AA1836" s="76"/>
      <c r="AB1836" s="76"/>
      <c r="AC1836" s="76"/>
      <c r="AD1836" s="76"/>
      <c r="AE1836" s="76"/>
      <c r="AF1836" s="76"/>
      <c r="AG1836" s="76"/>
      <c r="AH1836" s="76"/>
      <c r="AI1836" s="76"/>
      <c r="AJ1836" s="76"/>
      <c r="AK1836" s="76"/>
      <c r="AL1836" s="76"/>
      <c r="AM1836" s="76"/>
      <c r="AN1836" s="76"/>
      <c r="AO1836" s="76"/>
      <c r="AP1836" s="76"/>
      <c r="AQ1836" s="76"/>
      <c r="AR1836" s="76"/>
      <c r="AS1836" s="76"/>
      <c r="AT1836" s="76"/>
      <c r="AU1836" s="76"/>
      <c r="AV1836" s="76"/>
      <c r="AW1836" s="76"/>
      <c r="AX1836" s="76"/>
      <c r="AY1836" s="76"/>
      <c r="AZ1836" s="76"/>
      <c r="BA1836" s="76"/>
      <c r="BB1836" s="76"/>
    </row>
    <row r="1837" spans="5:54" x14ac:dyDescent="0.35">
      <c r="E1837" s="83"/>
      <c r="F1837" s="83"/>
      <c r="G1837" s="76"/>
      <c r="H1837" s="76"/>
      <c r="I1837" s="76"/>
      <c r="J1837" s="76"/>
      <c r="K1837" s="76"/>
      <c r="L1837" s="76"/>
      <c r="M1837" s="76"/>
      <c r="N1837" s="76"/>
      <c r="O1837" s="76"/>
      <c r="P1837" s="76"/>
      <c r="Q1837" s="76"/>
      <c r="R1837" s="76"/>
      <c r="S1837" s="76"/>
      <c r="T1837" s="76"/>
      <c r="U1837" s="76"/>
      <c r="V1837" s="76"/>
      <c r="W1837" s="76"/>
      <c r="X1837" s="76"/>
      <c r="Y1837" s="76"/>
      <c r="Z1837" s="76"/>
      <c r="AA1837" s="76"/>
      <c r="AB1837" s="76"/>
      <c r="AC1837" s="76"/>
      <c r="AD1837" s="76"/>
      <c r="AE1837" s="76"/>
      <c r="AF1837" s="76"/>
      <c r="AG1837" s="76"/>
      <c r="AH1837" s="76"/>
      <c r="AI1837" s="76"/>
      <c r="AJ1837" s="76"/>
      <c r="AK1837" s="76"/>
      <c r="AL1837" s="76"/>
      <c r="AM1837" s="76"/>
      <c r="AN1837" s="76"/>
      <c r="AO1837" s="76"/>
      <c r="AP1837" s="76"/>
      <c r="AQ1837" s="76"/>
      <c r="AR1837" s="76"/>
      <c r="AS1837" s="76"/>
      <c r="AT1837" s="76"/>
      <c r="AU1837" s="76"/>
      <c r="AV1837" s="76"/>
      <c r="AW1837" s="76"/>
      <c r="AX1837" s="76"/>
      <c r="AY1837" s="76"/>
      <c r="AZ1837" s="76"/>
      <c r="BA1837" s="76"/>
      <c r="BB1837" s="76"/>
    </row>
    <row r="1838" spans="5:54" x14ac:dyDescent="0.35">
      <c r="E1838" s="83"/>
      <c r="F1838" s="83"/>
      <c r="G1838" s="76"/>
      <c r="H1838" s="76"/>
      <c r="I1838" s="76"/>
      <c r="J1838" s="76"/>
      <c r="K1838" s="76"/>
      <c r="L1838" s="76"/>
      <c r="M1838" s="76"/>
      <c r="N1838" s="76"/>
      <c r="O1838" s="76"/>
      <c r="P1838" s="76"/>
      <c r="Q1838" s="76"/>
      <c r="R1838" s="76"/>
      <c r="S1838" s="76"/>
      <c r="T1838" s="76"/>
      <c r="U1838" s="76"/>
      <c r="V1838" s="76"/>
      <c r="W1838" s="76"/>
      <c r="X1838" s="76"/>
      <c r="Y1838" s="76"/>
      <c r="Z1838" s="76"/>
      <c r="AA1838" s="76"/>
      <c r="AB1838" s="76"/>
      <c r="AC1838" s="76"/>
      <c r="AD1838" s="76"/>
      <c r="AE1838" s="76"/>
      <c r="AF1838" s="76"/>
      <c r="AG1838" s="76"/>
      <c r="AH1838" s="76"/>
      <c r="AI1838" s="76"/>
      <c r="AJ1838" s="76"/>
      <c r="AK1838" s="76"/>
      <c r="AL1838" s="76"/>
      <c r="AM1838" s="76"/>
      <c r="AN1838" s="76"/>
      <c r="AO1838" s="76"/>
      <c r="AP1838" s="76"/>
      <c r="AQ1838" s="76"/>
      <c r="AR1838" s="76"/>
      <c r="AS1838" s="76"/>
      <c r="AT1838" s="76"/>
      <c r="AU1838" s="76"/>
      <c r="AV1838" s="76"/>
      <c r="AW1838" s="76"/>
      <c r="AX1838" s="76"/>
      <c r="AY1838" s="76"/>
      <c r="AZ1838" s="76"/>
      <c r="BA1838" s="76"/>
      <c r="BB1838" s="76"/>
    </row>
    <row r="1839" spans="5:54" x14ac:dyDescent="0.35">
      <c r="E1839" s="83"/>
      <c r="F1839" s="83"/>
      <c r="G1839" s="76"/>
      <c r="H1839" s="76"/>
      <c r="I1839" s="76"/>
      <c r="J1839" s="76"/>
      <c r="K1839" s="76"/>
      <c r="L1839" s="76"/>
      <c r="M1839" s="76"/>
      <c r="N1839" s="76"/>
      <c r="O1839" s="76"/>
      <c r="P1839" s="76"/>
      <c r="Q1839" s="76"/>
      <c r="R1839" s="76"/>
      <c r="S1839" s="76"/>
      <c r="T1839" s="76"/>
      <c r="U1839" s="76"/>
      <c r="V1839" s="76"/>
      <c r="W1839" s="76"/>
      <c r="X1839" s="76"/>
      <c r="Y1839" s="76"/>
      <c r="Z1839" s="76"/>
      <c r="AA1839" s="76"/>
      <c r="AB1839" s="76"/>
      <c r="AC1839" s="76"/>
      <c r="AD1839" s="76"/>
      <c r="AE1839" s="76"/>
      <c r="AF1839" s="76"/>
      <c r="AG1839" s="76"/>
      <c r="AH1839" s="76"/>
      <c r="AI1839" s="76"/>
      <c r="AJ1839" s="76"/>
      <c r="AK1839" s="76"/>
      <c r="AL1839" s="76"/>
      <c r="AM1839" s="76"/>
      <c r="AN1839" s="76"/>
      <c r="AO1839" s="76"/>
      <c r="AP1839" s="76"/>
      <c r="AQ1839" s="76"/>
      <c r="AR1839" s="76"/>
      <c r="AS1839" s="76"/>
      <c r="AT1839" s="76"/>
      <c r="AU1839" s="76"/>
      <c r="AV1839" s="76"/>
      <c r="AW1839" s="76"/>
      <c r="AX1839" s="76"/>
      <c r="AY1839" s="76"/>
      <c r="AZ1839" s="76"/>
      <c r="BA1839" s="76"/>
      <c r="BB1839" s="76"/>
    </row>
    <row r="1840" spans="5:54" x14ac:dyDescent="0.35">
      <c r="E1840" s="83"/>
      <c r="F1840" s="83"/>
      <c r="G1840" s="76"/>
      <c r="H1840" s="76"/>
      <c r="I1840" s="76"/>
      <c r="J1840" s="76"/>
      <c r="K1840" s="76"/>
      <c r="L1840" s="76"/>
      <c r="M1840" s="76"/>
      <c r="N1840" s="76"/>
      <c r="O1840" s="76"/>
      <c r="P1840" s="76"/>
      <c r="Q1840" s="76"/>
      <c r="R1840" s="76"/>
      <c r="S1840" s="76"/>
      <c r="T1840" s="76"/>
      <c r="U1840" s="76"/>
      <c r="V1840" s="76"/>
      <c r="W1840" s="76"/>
      <c r="X1840" s="76"/>
      <c r="Y1840" s="76"/>
      <c r="Z1840" s="76"/>
      <c r="AA1840" s="76"/>
      <c r="AB1840" s="76"/>
      <c r="AC1840" s="76"/>
      <c r="AD1840" s="76"/>
      <c r="AE1840" s="76"/>
      <c r="AF1840" s="76"/>
      <c r="AG1840" s="76"/>
      <c r="AH1840" s="76"/>
      <c r="AI1840" s="76"/>
      <c r="AJ1840" s="76"/>
      <c r="AK1840" s="76"/>
      <c r="AL1840" s="76"/>
      <c r="AM1840" s="76"/>
      <c r="AN1840" s="76"/>
      <c r="AO1840" s="76"/>
      <c r="AP1840" s="76"/>
      <c r="AQ1840" s="76"/>
      <c r="AR1840" s="76"/>
      <c r="AS1840" s="76"/>
      <c r="AT1840" s="76"/>
      <c r="AU1840" s="76"/>
      <c r="AV1840" s="76"/>
      <c r="AW1840" s="76"/>
      <c r="AX1840" s="76"/>
      <c r="AY1840" s="76"/>
      <c r="AZ1840" s="76"/>
      <c r="BA1840" s="76"/>
      <c r="BB1840" s="76"/>
    </row>
    <row r="1841" spans="5:54" x14ac:dyDescent="0.35">
      <c r="E1841" s="83"/>
      <c r="F1841" s="83"/>
      <c r="G1841" s="76"/>
      <c r="H1841" s="76"/>
      <c r="I1841" s="76"/>
      <c r="J1841" s="76"/>
      <c r="K1841" s="76"/>
      <c r="L1841" s="76"/>
      <c r="M1841" s="76"/>
      <c r="N1841" s="76"/>
      <c r="O1841" s="76"/>
      <c r="P1841" s="76"/>
      <c r="Q1841" s="76"/>
      <c r="R1841" s="76"/>
      <c r="S1841" s="76"/>
      <c r="T1841" s="76"/>
      <c r="U1841" s="76"/>
      <c r="V1841" s="76"/>
      <c r="W1841" s="76"/>
      <c r="X1841" s="76"/>
      <c r="Y1841" s="76"/>
      <c r="Z1841" s="76"/>
      <c r="AA1841" s="76"/>
      <c r="AB1841" s="76"/>
      <c r="AC1841" s="76"/>
      <c r="AD1841" s="76"/>
      <c r="AE1841" s="76"/>
      <c r="AF1841" s="76"/>
      <c r="AG1841" s="76"/>
      <c r="AH1841" s="76"/>
      <c r="AI1841" s="76"/>
      <c r="AJ1841" s="76"/>
      <c r="AK1841" s="76"/>
      <c r="AL1841" s="76"/>
      <c r="AM1841" s="76"/>
      <c r="AN1841" s="76"/>
      <c r="AO1841" s="76"/>
      <c r="AP1841" s="76"/>
      <c r="AQ1841" s="76"/>
      <c r="AR1841" s="76"/>
      <c r="AS1841" s="76"/>
      <c r="AT1841" s="76"/>
      <c r="AU1841" s="76"/>
      <c r="AV1841" s="76"/>
      <c r="AW1841" s="76"/>
      <c r="AX1841" s="76"/>
      <c r="AY1841" s="76"/>
      <c r="AZ1841" s="76"/>
      <c r="BA1841" s="76"/>
      <c r="BB1841" s="76"/>
    </row>
    <row r="1842" spans="5:54" x14ac:dyDescent="0.35">
      <c r="E1842" s="83"/>
      <c r="F1842" s="83"/>
      <c r="G1842" s="76"/>
      <c r="H1842" s="76"/>
      <c r="I1842" s="76"/>
      <c r="J1842" s="76"/>
      <c r="K1842" s="76"/>
      <c r="L1842" s="76"/>
      <c r="M1842" s="76"/>
      <c r="N1842" s="76"/>
      <c r="O1842" s="76"/>
      <c r="P1842" s="76"/>
      <c r="Q1842" s="76"/>
      <c r="R1842" s="76"/>
      <c r="S1842" s="76"/>
      <c r="T1842" s="76"/>
      <c r="U1842" s="76"/>
      <c r="V1842" s="76"/>
      <c r="W1842" s="76"/>
      <c r="X1842" s="76"/>
      <c r="Y1842" s="76"/>
      <c r="Z1842" s="76"/>
      <c r="AA1842" s="76"/>
      <c r="AB1842" s="76"/>
      <c r="AC1842" s="76"/>
      <c r="AD1842" s="76"/>
      <c r="AE1842" s="76"/>
      <c r="AF1842" s="76"/>
      <c r="AG1842" s="76"/>
      <c r="AH1842" s="76"/>
      <c r="AI1842" s="76"/>
      <c r="AJ1842" s="76"/>
      <c r="AK1842" s="76"/>
      <c r="AL1842" s="76"/>
      <c r="AM1842" s="76"/>
      <c r="AN1842" s="76"/>
      <c r="AO1842" s="76"/>
      <c r="AP1842" s="76"/>
      <c r="AQ1842" s="76"/>
      <c r="AR1842" s="76"/>
      <c r="AS1842" s="76"/>
      <c r="AT1842" s="76"/>
      <c r="AU1842" s="76"/>
      <c r="AV1842" s="76"/>
      <c r="AW1842" s="76"/>
      <c r="AX1842" s="76"/>
      <c r="AY1842" s="76"/>
      <c r="AZ1842" s="76"/>
      <c r="BA1842" s="76"/>
      <c r="BB1842" s="76"/>
    </row>
    <row r="1843" spans="5:54" x14ac:dyDescent="0.35">
      <c r="E1843" s="83"/>
      <c r="F1843" s="83"/>
      <c r="G1843" s="76"/>
      <c r="H1843" s="76"/>
      <c r="I1843" s="76"/>
      <c r="J1843" s="76"/>
      <c r="K1843" s="76"/>
      <c r="L1843" s="76"/>
      <c r="M1843" s="76"/>
      <c r="N1843" s="76"/>
      <c r="O1843" s="76"/>
      <c r="P1843" s="76"/>
      <c r="Q1843" s="76"/>
      <c r="R1843" s="76"/>
      <c r="S1843" s="76"/>
      <c r="T1843" s="76"/>
      <c r="U1843" s="76"/>
      <c r="V1843" s="76"/>
      <c r="W1843" s="76"/>
      <c r="X1843" s="76"/>
      <c r="Y1843" s="76"/>
      <c r="Z1843" s="76"/>
      <c r="AA1843" s="76"/>
      <c r="AB1843" s="76"/>
      <c r="AC1843" s="76"/>
      <c r="AD1843" s="76"/>
      <c r="AE1843" s="76"/>
      <c r="AF1843" s="76"/>
      <c r="AG1843" s="76"/>
      <c r="AH1843" s="76"/>
      <c r="AI1843" s="76"/>
      <c r="AJ1843" s="76"/>
      <c r="AK1843" s="76"/>
      <c r="AL1843" s="76"/>
      <c r="AM1843" s="76"/>
      <c r="AN1843" s="76"/>
      <c r="AO1843" s="76"/>
      <c r="AP1843" s="76"/>
      <c r="AQ1843" s="76"/>
      <c r="AR1843" s="76"/>
      <c r="AS1843" s="76"/>
      <c r="AT1843" s="76"/>
      <c r="AU1843" s="76"/>
      <c r="AV1843" s="76"/>
      <c r="AW1843" s="76"/>
      <c r="AX1843" s="76"/>
      <c r="AY1843" s="76"/>
      <c r="AZ1843" s="76"/>
      <c r="BA1843" s="76"/>
      <c r="BB1843" s="76"/>
    </row>
    <row r="1844" spans="5:54" x14ac:dyDescent="0.35">
      <c r="E1844" s="83"/>
      <c r="F1844" s="83"/>
      <c r="G1844" s="76"/>
      <c r="H1844" s="76"/>
      <c r="I1844" s="76"/>
      <c r="J1844" s="76"/>
      <c r="K1844" s="76"/>
      <c r="L1844" s="76"/>
      <c r="M1844" s="76"/>
      <c r="N1844" s="76"/>
      <c r="O1844" s="76"/>
      <c r="P1844" s="76"/>
      <c r="Q1844" s="76"/>
      <c r="R1844" s="76"/>
      <c r="S1844" s="76"/>
      <c r="T1844" s="76"/>
      <c r="U1844" s="76"/>
      <c r="V1844" s="76"/>
      <c r="W1844" s="76"/>
      <c r="X1844" s="76"/>
      <c r="Y1844" s="76"/>
      <c r="Z1844" s="76"/>
      <c r="AA1844" s="76"/>
      <c r="AB1844" s="76"/>
      <c r="AC1844" s="76"/>
      <c r="AD1844" s="76"/>
      <c r="AE1844" s="76"/>
      <c r="AF1844" s="76"/>
      <c r="AG1844" s="76"/>
      <c r="AH1844" s="76"/>
      <c r="AI1844" s="76"/>
      <c r="AJ1844" s="76"/>
      <c r="AK1844" s="76"/>
      <c r="AL1844" s="76"/>
      <c r="AM1844" s="76"/>
      <c r="AN1844" s="76"/>
      <c r="AO1844" s="76"/>
      <c r="AP1844" s="76"/>
      <c r="AQ1844" s="76"/>
      <c r="AR1844" s="76"/>
      <c r="AS1844" s="76"/>
      <c r="AT1844" s="76"/>
      <c r="AU1844" s="76"/>
      <c r="AV1844" s="76"/>
      <c r="AW1844" s="76"/>
      <c r="AX1844" s="76"/>
      <c r="AY1844" s="76"/>
      <c r="AZ1844" s="76"/>
      <c r="BA1844" s="76"/>
      <c r="BB1844" s="76"/>
    </row>
    <row r="1845" spans="5:54" x14ac:dyDescent="0.35">
      <c r="E1845" s="83"/>
      <c r="F1845" s="83"/>
      <c r="G1845" s="76"/>
      <c r="H1845" s="76"/>
      <c r="I1845" s="76"/>
      <c r="J1845" s="76"/>
      <c r="K1845" s="76"/>
      <c r="L1845" s="76"/>
      <c r="M1845" s="76"/>
      <c r="N1845" s="76"/>
      <c r="O1845" s="76"/>
      <c r="P1845" s="76"/>
      <c r="Q1845" s="76"/>
      <c r="R1845" s="76"/>
      <c r="S1845" s="76"/>
      <c r="T1845" s="76"/>
      <c r="U1845" s="76"/>
      <c r="V1845" s="76"/>
      <c r="W1845" s="76"/>
      <c r="X1845" s="76"/>
      <c r="Y1845" s="76"/>
      <c r="Z1845" s="76"/>
      <c r="AA1845" s="76"/>
      <c r="AB1845" s="76"/>
      <c r="AC1845" s="76"/>
      <c r="AD1845" s="76"/>
      <c r="AE1845" s="76"/>
      <c r="AF1845" s="76"/>
      <c r="AG1845" s="76"/>
      <c r="AH1845" s="76"/>
      <c r="AI1845" s="76"/>
      <c r="AJ1845" s="76"/>
      <c r="AK1845" s="76"/>
      <c r="AL1845" s="76"/>
      <c r="AM1845" s="76"/>
      <c r="AN1845" s="76"/>
      <c r="AO1845" s="76"/>
      <c r="AP1845" s="76"/>
      <c r="AQ1845" s="76"/>
      <c r="AR1845" s="76"/>
      <c r="AS1845" s="76"/>
      <c r="AT1845" s="76"/>
      <c r="AU1845" s="76"/>
      <c r="AV1845" s="76"/>
      <c r="AW1845" s="76"/>
      <c r="AX1845" s="76"/>
      <c r="AY1845" s="76"/>
      <c r="AZ1845" s="76"/>
      <c r="BA1845" s="76"/>
      <c r="BB1845" s="76"/>
    </row>
    <row r="1846" spans="5:54" x14ac:dyDescent="0.35">
      <c r="E1846" s="83"/>
      <c r="F1846" s="83"/>
      <c r="G1846" s="76"/>
      <c r="H1846" s="76"/>
      <c r="I1846" s="76"/>
      <c r="J1846" s="76"/>
      <c r="K1846" s="76"/>
      <c r="L1846" s="76"/>
      <c r="M1846" s="76"/>
      <c r="N1846" s="76"/>
      <c r="O1846" s="76"/>
      <c r="P1846" s="76"/>
      <c r="Q1846" s="76"/>
      <c r="R1846" s="76"/>
      <c r="S1846" s="76"/>
      <c r="T1846" s="76"/>
      <c r="U1846" s="76"/>
      <c r="V1846" s="76"/>
      <c r="W1846" s="76"/>
      <c r="X1846" s="76"/>
      <c r="Y1846" s="76"/>
      <c r="Z1846" s="76"/>
      <c r="AA1846" s="76"/>
      <c r="AB1846" s="76"/>
      <c r="AC1846" s="76"/>
      <c r="AD1846" s="76"/>
      <c r="AE1846" s="76"/>
      <c r="AF1846" s="76"/>
      <c r="AG1846" s="76"/>
      <c r="AH1846" s="76"/>
      <c r="AI1846" s="76"/>
      <c r="AJ1846" s="76"/>
      <c r="AK1846" s="76"/>
      <c r="AL1846" s="76"/>
      <c r="AM1846" s="76"/>
      <c r="AN1846" s="76"/>
      <c r="AO1846" s="76"/>
      <c r="AP1846" s="76"/>
      <c r="AQ1846" s="76"/>
      <c r="AR1846" s="76"/>
      <c r="AS1846" s="76"/>
      <c r="AT1846" s="76"/>
      <c r="AU1846" s="76"/>
      <c r="AV1846" s="76"/>
      <c r="AW1846" s="76"/>
      <c r="AX1846" s="76"/>
      <c r="AY1846" s="76"/>
      <c r="AZ1846" s="76"/>
      <c r="BA1846" s="76"/>
      <c r="BB1846" s="76"/>
    </row>
    <row r="1847" spans="5:54" x14ac:dyDescent="0.35">
      <c r="E1847" s="83"/>
      <c r="F1847" s="83"/>
      <c r="G1847" s="76"/>
      <c r="H1847" s="76"/>
      <c r="I1847" s="76"/>
      <c r="J1847" s="76"/>
      <c r="K1847" s="76"/>
      <c r="L1847" s="76"/>
      <c r="M1847" s="76"/>
      <c r="N1847" s="76"/>
      <c r="O1847" s="76"/>
      <c r="P1847" s="76"/>
      <c r="Q1847" s="76"/>
      <c r="R1847" s="76"/>
      <c r="S1847" s="76"/>
      <c r="T1847" s="76"/>
      <c r="U1847" s="76"/>
      <c r="V1847" s="76"/>
      <c r="W1847" s="76"/>
      <c r="X1847" s="76"/>
      <c r="Y1847" s="76"/>
      <c r="Z1847" s="76"/>
      <c r="AA1847" s="76"/>
      <c r="AB1847" s="76"/>
      <c r="AC1847" s="76"/>
      <c r="AD1847" s="76"/>
      <c r="AE1847" s="76"/>
      <c r="AF1847" s="76"/>
      <c r="AG1847" s="76"/>
      <c r="AH1847" s="76"/>
      <c r="AI1847" s="76"/>
      <c r="AJ1847" s="76"/>
      <c r="AK1847" s="76"/>
      <c r="AL1847" s="76"/>
      <c r="AM1847" s="76"/>
      <c r="AN1847" s="76"/>
      <c r="AO1847" s="76"/>
      <c r="AP1847" s="76"/>
      <c r="AQ1847" s="76"/>
      <c r="AR1847" s="76"/>
      <c r="AS1847" s="76"/>
      <c r="AT1847" s="76"/>
      <c r="AU1847" s="76"/>
      <c r="AV1847" s="76"/>
      <c r="AW1847" s="76"/>
      <c r="AX1847" s="76"/>
      <c r="AY1847" s="76"/>
      <c r="AZ1847" s="76"/>
      <c r="BA1847" s="76"/>
      <c r="BB1847" s="76"/>
    </row>
    <row r="1848" spans="5:54" x14ac:dyDescent="0.35">
      <c r="E1848" s="83"/>
      <c r="F1848" s="83"/>
      <c r="G1848" s="76"/>
      <c r="H1848" s="76"/>
      <c r="I1848" s="76"/>
      <c r="J1848" s="76"/>
      <c r="K1848" s="76"/>
      <c r="L1848" s="76"/>
      <c r="M1848" s="76"/>
      <c r="N1848" s="76"/>
      <c r="O1848" s="76"/>
      <c r="P1848" s="76"/>
      <c r="Q1848" s="76"/>
      <c r="R1848" s="76"/>
      <c r="S1848" s="76"/>
      <c r="T1848" s="76"/>
      <c r="U1848" s="76"/>
      <c r="V1848" s="76"/>
      <c r="W1848" s="76"/>
      <c r="X1848" s="76"/>
      <c r="Y1848" s="76"/>
      <c r="Z1848" s="76"/>
      <c r="AA1848" s="76"/>
      <c r="AB1848" s="76"/>
      <c r="AC1848" s="76"/>
      <c r="AD1848" s="76"/>
      <c r="AE1848" s="76"/>
      <c r="AF1848" s="76"/>
      <c r="AG1848" s="76"/>
      <c r="AH1848" s="76"/>
      <c r="AI1848" s="76"/>
      <c r="AJ1848" s="76"/>
      <c r="AK1848" s="76"/>
      <c r="AL1848" s="76"/>
      <c r="AM1848" s="76"/>
      <c r="AN1848" s="76"/>
      <c r="AO1848" s="76"/>
      <c r="AP1848" s="76"/>
      <c r="AQ1848" s="76"/>
      <c r="AR1848" s="76"/>
      <c r="AS1848" s="76"/>
      <c r="AT1848" s="76"/>
      <c r="AU1848" s="76"/>
      <c r="AV1848" s="76"/>
      <c r="AW1848" s="76"/>
      <c r="AX1848" s="76"/>
      <c r="AY1848" s="76"/>
      <c r="AZ1848" s="76"/>
      <c r="BA1848" s="76"/>
      <c r="BB1848" s="76"/>
    </row>
    <row r="1849" spans="5:54" x14ac:dyDescent="0.35">
      <c r="E1849" s="83"/>
      <c r="F1849" s="83"/>
      <c r="G1849" s="76"/>
      <c r="H1849" s="76"/>
      <c r="I1849" s="76"/>
      <c r="J1849" s="76"/>
      <c r="K1849" s="76"/>
      <c r="L1849" s="76"/>
      <c r="M1849" s="76"/>
      <c r="N1849" s="76"/>
      <c r="O1849" s="76"/>
      <c r="P1849" s="76"/>
      <c r="Q1849" s="76"/>
      <c r="R1849" s="76"/>
      <c r="S1849" s="76"/>
      <c r="T1849" s="76"/>
      <c r="U1849" s="76"/>
      <c r="V1849" s="76"/>
      <c r="W1849" s="76"/>
      <c r="X1849" s="76"/>
      <c r="Y1849" s="76"/>
      <c r="Z1849" s="76"/>
      <c r="AA1849" s="76"/>
      <c r="AB1849" s="76"/>
      <c r="AC1849" s="76"/>
      <c r="AD1849" s="76"/>
      <c r="AE1849" s="76"/>
      <c r="AF1849" s="76"/>
      <c r="AG1849" s="76"/>
      <c r="AH1849" s="76"/>
      <c r="AI1849" s="76"/>
      <c r="AJ1849" s="76"/>
      <c r="AK1849" s="76"/>
      <c r="AL1849" s="76"/>
      <c r="AM1849" s="76"/>
      <c r="AN1849" s="76"/>
      <c r="AO1849" s="76"/>
      <c r="AP1849" s="76"/>
      <c r="AQ1849" s="76"/>
      <c r="AR1849" s="76"/>
      <c r="AS1849" s="76"/>
      <c r="AT1849" s="76"/>
      <c r="AU1849" s="76"/>
      <c r="AV1849" s="76"/>
      <c r="AW1849" s="76"/>
      <c r="AX1849" s="76"/>
      <c r="AY1849" s="76"/>
      <c r="AZ1849" s="76"/>
      <c r="BA1849" s="76"/>
      <c r="BB1849" s="76"/>
    </row>
    <row r="1850" spans="5:54" x14ac:dyDescent="0.35">
      <c r="E1850" s="83"/>
      <c r="F1850" s="83"/>
      <c r="G1850" s="76"/>
      <c r="H1850" s="76"/>
      <c r="I1850" s="76"/>
      <c r="J1850" s="76"/>
      <c r="K1850" s="76"/>
      <c r="L1850" s="76"/>
      <c r="M1850" s="76"/>
      <c r="N1850" s="76"/>
      <c r="O1850" s="76"/>
      <c r="P1850" s="76"/>
      <c r="Q1850" s="76"/>
      <c r="R1850" s="76"/>
      <c r="S1850" s="76"/>
      <c r="T1850" s="76"/>
      <c r="U1850" s="76"/>
      <c r="V1850" s="76"/>
      <c r="W1850" s="76"/>
      <c r="X1850" s="76"/>
      <c r="Y1850" s="76"/>
      <c r="Z1850" s="76"/>
      <c r="AA1850" s="76"/>
      <c r="AB1850" s="76"/>
      <c r="AC1850" s="76"/>
      <c r="AD1850" s="76"/>
      <c r="AE1850" s="76"/>
      <c r="AF1850" s="76"/>
      <c r="AG1850" s="76"/>
      <c r="AH1850" s="76"/>
      <c r="AI1850" s="76"/>
      <c r="AJ1850" s="76"/>
      <c r="AK1850" s="76"/>
      <c r="AL1850" s="76"/>
      <c r="AM1850" s="76"/>
      <c r="AN1850" s="76"/>
      <c r="AO1850" s="76"/>
      <c r="AP1850" s="76"/>
      <c r="AQ1850" s="76"/>
      <c r="AR1850" s="76"/>
      <c r="AS1850" s="76"/>
      <c r="AT1850" s="76"/>
      <c r="AU1850" s="76"/>
      <c r="AV1850" s="76"/>
      <c r="AW1850" s="76"/>
      <c r="AX1850" s="76"/>
      <c r="AY1850" s="76"/>
      <c r="AZ1850" s="76"/>
      <c r="BA1850" s="76"/>
      <c r="BB1850" s="76"/>
    </row>
    <row r="1851" spans="5:54" x14ac:dyDescent="0.35">
      <c r="E1851" s="83"/>
      <c r="F1851" s="83"/>
      <c r="G1851" s="76"/>
      <c r="H1851" s="76"/>
      <c r="I1851" s="76"/>
      <c r="J1851" s="76"/>
      <c r="K1851" s="76"/>
      <c r="L1851" s="76"/>
      <c r="M1851" s="76"/>
      <c r="N1851" s="76"/>
      <c r="O1851" s="76"/>
      <c r="P1851" s="76"/>
      <c r="Q1851" s="76"/>
      <c r="R1851" s="76"/>
      <c r="S1851" s="76"/>
      <c r="T1851" s="76"/>
      <c r="U1851" s="76"/>
      <c r="V1851" s="76"/>
      <c r="W1851" s="76"/>
      <c r="X1851" s="76"/>
      <c r="Y1851" s="76"/>
      <c r="Z1851" s="76"/>
      <c r="AA1851" s="76"/>
      <c r="AB1851" s="76"/>
      <c r="AC1851" s="76"/>
      <c r="AD1851" s="76"/>
      <c r="AE1851" s="76"/>
      <c r="AF1851" s="76"/>
      <c r="AG1851" s="76"/>
      <c r="AH1851" s="76"/>
      <c r="AI1851" s="76"/>
      <c r="AJ1851" s="76"/>
      <c r="AK1851" s="76"/>
      <c r="AL1851" s="76"/>
      <c r="AM1851" s="76"/>
      <c r="AN1851" s="76"/>
      <c r="AO1851" s="76"/>
      <c r="AP1851" s="76"/>
      <c r="AQ1851" s="76"/>
      <c r="AR1851" s="76"/>
      <c r="AS1851" s="76"/>
      <c r="AT1851" s="76"/>
      <c r="AU1851" s="76"/>
      <c r="AV1851" s="76"/>
      <c r="AW1851" s="76"/>
      <c r="AX1851" s="76"/>
      <c r="AY1851" s="76"/>
      <c r="AZ1851" s="76"/>
      <c r="BA1851" s="76"/>
      <c r="BB1851" s="76"/>
    </row>
    <row r="1852" spans="5:54" x14ac:dyDescent="0.35">
      <c r="E1852" s="83"/>
      <c r="F1852" s="83"/>
      <c r="G1852" s="76"/>
      <c r="H1852" s="76"/>
      <c r="I1852" s="76"/>
      <c r="J1852" s="76"/>
      <c r="K1852" s="76"/>
      <c r="L1852" s="76"/>
      <c r="M1852" s="76"/>
      <c r="N1852" s="76"/>
      <c r="O1852" s="76"/>
      <c r="P1852" s="76"/>
      <c r="Q1852" s="76"/>
      <c r="R1852" s="76"/>
      <c r="S1852" s="76"/>
      <c r="T1852" s="76"/>
      <c r="U1852" s="76"/>
      <c r="V1852" s="76"/>
      <c r="W1852" s="76"/>
      <c r="X1852" s="76"/>
      <c r="Y1852" s="76"/>
      <c r="Z1852" s="76"/>
      <c r="AA1852" s="76"/>
      <c r="AB1852" s="76"/>
      <c r="AC1852" s="76"/>
      <c r="AD1852" s="76"/>
      <c r="AE1852" s="76"/>
      <c r="AF1852" s="76"/>
      <c r="AG1852" s="76"/>
      <c r="AH1852" s="76"/>
      <c r="AI1852" s="76"/>
      <c r="AJ1852" s="76"/>
      <c r="AK1852" s="76"/>
      <c r="AL1852" s="76"/>
      <c r="AM1852" s="76"/>
      <c r="AN1852" s="76"/>
      <c r="AO1852" s="76"/>
      <c r="AP1852" s="76"/>
      <c r="AQ1852" s="76"/>
      <c r="AR1852" s="76"/>
      <c r="AS1852" s="76"/>
      <c r="AT1852" s="76"/>
      <c r="AU1852" s="76"/>
      <c r="AV1852" s="76"/>
      <c r="AW1852" s="76"/>
      <c r="AX1852" s="76"/>
      <c r="AY1852" s="76"/>
      <c r="AZ1852" s="76"/>
      <c r="BA1852" s="76"/>
      <c r="BB1852" s="76"/>
    </row>
    <row r="1853" spans="5:54" x14ac:dyDescent="0.35">
      <c r="E1853" s="83"/>
      <c r="F1853" s="83"/>
      <c r="G1853" s="76"/>
      <c r="H1853" s="76"/>
      <c r="I1853" s="76"/>
      <c r="J1853" s="76"/>
      <c r="K1853" s="76"/>
      <c r="L1853" s="76"/>
      <c r="M1853" s="76"/>
      <c r="N1853" s="76"/>
      <c r="O1853" s="76"/>
      <c r="P1853" s="76"/>
      <c r="Q1853" s="76"/>
      <c r="R1853" s="76"/>
      <c r="S1853" s="76"/>
      <c r="T1853" s="76"/>
      <c r="U1853" s="76"/>
      <c r="V1853" s="76"/>
      <c r="W1853" s="76"/>
      <c r="X1853" s="76"/>
      <c r="Y1853" s="76"/>
      <c r="Z1853" s="76"/>
      <c r="AA1853" s="76"/>
      <c r="AB1853" s="76"/>
      <c r="AC1853" s="76"/>
      <c r="AD1853" s="76"/>
      <c r="AE1853" s="76"/>
      <c r="AF1853" s="76"/>
      <c r="AG1853" s="76"/>
      <c r="AH1853" s="76"/>
      <c r="AI1853" s="76"/>
      <c r="AJ1853" s="76"/>
      <c r="AK1853" s="76"/>
      <c r="AL1853" s="76"/>
      <c r="AM1853" s="76"/>
      <c r="AN1853" s="76"/>
      <c r="AO1853" s="76"/>
      <c r="AP1853" s="76"/>
      <c r="AQ1853" s="76"/>
      <c r="AR1853" s="76"/>
      <c r="AS1853" s="76"/>
      <c r="AT1853" s="76"/>
      <c r="AU1853" s="76"/>
      <c r="AV1853" s="76"/>
      <c r="AW1853" s="76"/>
      <c r="AX1853" s="76"/>
      <c r="AY1853" s="76"/>
      <c r="AZ1853" s="76"/>
      <c r="BA1853" s="76"/>
      <c r="BB1853" s="76"/>
    </row>
    <row r="1854" spans="5:54" x14ac:dyDescent="0.35">
      <c r="E1854" s="83"/>
      <c r="F1854" s="83"/>
      <c r="G1854" s="76"/>
      <c r="H1854" s="76"/>
      <c r="I1854" s="76"/>
      <c r="J1854" s="76"/>
      <c r="K1854" s="76"/>
      <c r="L1854" s="76"/>
      <c r="M1854" s="76"/>
      <c r="N1854" s="76"/>
      <c r="O1854" s="76"/>
      <c r="P1854" s="76"/>
      <c r="Q1854" s="76"/>
      <c r="R1854" s="76"/>
      <c r="S1854" s="76"/>
      <c r="T1854" s="76"/>
      <c r="U1854" s="76"/>
      <c r="V1854" s="76"/>
      <c r="W1854" s="76"/>
      <c r="X1854" s="76"/>
      <c r="Y1854" s="76"/>
      <c r="Z1854" s="76"/>
      <c r="AA1854" s="76"/>
      <c r="AB1854" s="76"/>
      <c r="AC1854" s="76"/>
      <c r="AD1854" s="76"/>
      <c r="AE1854" s="76"/>
      <c r="AF1854" s="76"/>
      <c r="AG1854" s="76"/>
      <c r="AH1854" s="76"/>
      <c r="AI1854" s="76"/>
      <c r="AJ1854" s="76"/>
      <c r="AK1854" s="76"/>
      <c r="AL1854" s="76"/>
      <c r="AM1854" s="76"/>
      <c r="AN1854" s="76"/>
      <c r="AO1854" s="76"/>
      <c r="AP1854" s="76"/>
      <c r="AQ1854" s="76"/>
      <c r="AR1854" s="76"/>
      <c r="AS1854" s="76"/>
      <c r="AT1854" s="76"/>
      <c r="AU1854" s="76"/>
      <c r="AV1854" s="76"/>
      <c r="AW1854" s="76"/>
      <c r="AX1854" s="76"/>
      <c r="AY1854" s="76"/>
      <c r="AZ1854" s="76"/>
      <c r="BA1854" s="76"/>
      <c r="BB1854" s="76"/>
    </row>
    <row r="1855" spans="5:54" x14ac:dyDescent="0.35">
      <c r="E1855" s="83"/>
      <c r="F1855" s="83"/>
      <c r="G1855" s="76"/>
      <c r="H1855" s="76"/>
      <c r="I1855" s="76"/>
      <c r="J1855" s="76"/>
      <c r="K1855" s="76"/>
      <c r="L1855" s="76"/>
      <c r="M1855" s="76"/>
      <c r="N1855" s="76"/>
      <c r="O1855" s="76"/>
      <c r="P1855" s="76"/>
      <c r="Q1855" s="76"/>
      <c r="R1855" s="76"/>
      <c r="S1855" s="76"/>
      <c r="T1855" s="76"/>
      <c r="U1855" s="76"/>
      <c r="V1855" s="76"/>
      <c r="W1855" s="76"/>
      <c r="X1855" s="76"/>
      <c r="Y1855" s="76"/>
      <c r="Z1855" s="76"/>
      <c r="AA1855" s="76"/>
      <c r="AB1855" s="76"/>
      <c r="AC1855" s="76"/>
      <c r="AD1855" s="76"/>
      <c r="AE1855" s="76"/>
      <c r="AF1855" s="76"/>
      <c r="AG1855" s="76"/>
      <c r="AH1855" s="76"/>
      <c r="AI1855" s="76"/>
      <c r="AJ1855" s="76"/>
      <c r="AK1855" s="76"/>
      <c r="AL1855" s="76"/>
      <c r="AM1855" s="76"/>
      <c r="AN1855" s="76"/>
      <c r="AO1855" s="76"/>
      <c r="AP1855" s="76"/>
      <c r="AQ1855" s="76"/>
      <c r="AR1855" s="76"/>
      <c r="AS1855" s="76"/>
      <c r="AT1855" s="76"/>
      <c r="AU1855" s="76"/>
      <c r="AV1855" s="76"/>
      <c r="AW1855" s="76"/>
      <c r="AX1855" s="76"/>
      <c r="AY1855" s="76"/>
      <c r="AZ1855" s="76"/>
      <c r="BA1855" s="76"/>
      <c r="BB1855" s="76"/>
    </row>
    <row r="1856" spans="5:54" x14ac:dyDescent="0.35">
      <c r="E1856" s="83"/>
      <c r="F1856" s="83"/>
      <c r="G1856" s="76"/>
      <c r="H1856" s="76"/>
      <c r="I1856" s="76"/>
      <c r="J1856" s="76"/>
      <c r="K1856" s="76"/>
      <c r="L1856" s="76"/>
      <c r="M1856" s="76"/>
      <c r="N1856" s="76"/>
      <c r="O1856" s="76"/>
      <c r="P1856" s="76"/>
      <c r="Q1856" s="76"/>
      <c r="R1856" s="76"/>
      <c r="S1856" s="76"/>
      <c r="T1856" s="76"/>
      <c r="U1856" s="76"/>
      <c r="V1856" s="76"/>
      <c r="W1856" s="76"/>
      <c r="X1856" s="76"/>
      <c r="Y1856" s="76"/>
      <c r="Z1856" s="76"/>
      <c r="AA1856" s="76"/>
      <c r="AB1856" s="76"/>
      <c r="AC1856" s="76"/>
      <c r="AD1856" s="76"/>
      <c r="AE1856" s="76"/>
      <c r="AF1856" s="76"/>
      <c r="AG1856" s="76"/>
      <c r="AH1856" s="76"/>
      <c r="AI1856" s="76"/>
      <c r="AJ1856" s="76"/>
      <c r="AK1856" s="76"/>
      <c r="AL1856" s="76"/>
      <c r="AM1856" s="76"/>
      <c r="AN1856" s="76"/>
      <c r="AO1856" s="76"/>
      <c r="AP1856" s="76"/>
      <c r="AQ1856" s="76"/>
      <c r="AR1856" s="76"/>
      <c r="AS1856" s="76"/>
      <c r="AT1856" s="76"/>
      <c r="AU1856" s="76"/>
      <c r="AV1856" s="76"/>
      <c r="AW1856" s="76"/>
      <c r="AX1856" s="76"/>
      <c r="AY1856" s="76"/>
      <c r="AZ1856" s="76"/>
      <c r="BA1856" s="76"/>
      <c r="BB1856" s="76"/>
    </row>
    <row r="1857" spans="5:54" x14ac:dyDescent="0.35">
      <c r="E1857" s="83"/>
      <c r="F1857" s="83"/>
      <c r="G1857" s="76"/>
      <c r="H1857" s="76"/>
      <c r="I1857" s="76"/>
      <c r="J1857" s="76"/>
      <c r="K1857" s="76"/>
      <c r="L1857" s="76"/>
      <c r="M1857" s="76"/>
      <c r="N1857" s="76"/>
      <c r="O1857" s="76"/>
      <c r="P1857" s="76"/>
      <c r="Q1857" s="76"/>
      <c r="R1857" s="76"/>
      <c r="S1857" s="76"/>
      <c r="T1857" s="76"/>
      <c r="U1857" s="76"/>
      <c r="V1857" s="76"/>
      <c r="W1857" s="76"/>
      <c r="X1857" s="76"/>
      <c r="Y1857" s="76"/>
      <c r="Z1857" s="76"/>
      <c r="AA1857" s="76"/>
      <c r="AB1857" s="76"/>
      <c r="AC1857" s="76"/>
      <c r="AD1857" s="76"/>
      <c r="AE1857" s="76"/>
      <c r="AF1857" s="76"/>
      <c r="AG1857" s="76"/>
      <c r="AH1857" s="76"/>
      <c r="AI1857" s="76"/>
      <c r="AJ1857" s="76"/>
      <c r="AK1857" s="76"/>
      <c r="AL1857" s="76"/>
      <c r="AM1857" s="76"/>
      <c r="AN1857" s="76"/>
      <c r="AO1857" s="76"/>
      <c r="AP1857" s="76"/>
      <c r="AQ1857" s="76"/>
      <c r="AR1857" s="76"/>
      <c r="AS1857" s="76"/>
      <c r="AT1857" s="76"/>
      <c r="AU1857" s="76"/>
      <c r="AV1857" s="76"/>
      <c r="AW1857" s="76"/>
      <c r="AX1857" s="76"/>
      <c r="AY1857" s="76"/>
      <c r="AZ1857" s="76"/>
      <c r="BA1857" s="76"/>
      <c r="BB1857" s="76"/>
    </row>
    <row r="1858" spans="5:54" x14ac:dyDescent="0.35">
      <c r="E1858" s="83"/>
      <c r="F1858" s="83"/>
      <c r="G1858" s="76"/>
      <c r="H1858" s="76"/>
      <c r="I1858" s="76"/>
      <c r="J1858" s="76"/>
      <c r="K1858" s="76"/>
      <c r="L1858" s="76"/>
      <c r="M1858" s="76"/>
      <c r="N1858" s="76"/>
      <c r="O1858" s="76"/>
      <c r="P1858" s="76"/>
      <c r="Q1858" s="76"/>
      <c r="R1858" s="76"/>
      <c r="S1858" s="76"/>
      <c r="T1858" s="76"/>
      <c r="U1858" s="76"/>
      <c r="V1858" s="76"/>
      <c r="W1858" s="76"/>
      <c r="X1858" s="76"/>
      <c r="Y1858" s="76"/>
      <c r="Z1858" s="76"/>
      <c r="AA1858" s="76"/>
      <c r="AB1858" s="76"/>
      <c r="AC1858" s="76"/>
      <c r="AD1858" s="76"/>
      <c r="AE1858" s="76"/>
      <c r="AF1858" s="76"/>
      <c r="AG1858" s="76"/>
      <c r="AH1858" s="76"/>
      <c r="AI1858" s="76"/>
      <c r="AJ1858" s="76"/>
      <c r="AK1858" s="76"/>
      <c r="AL1858" s="76"/>
      <c r="AM1858" s="76"/>
      <c r="AN1858" s="76"/>
      <c r="AO1858" s="76"/>
      <c r="AP1858" s="76"/>
      <c r="AQ1858" s="76"/>
      <c r="AR1858" s="76"/>
      <c r="AS1858" s="76"/>
      <c r="AT1858" s="76"/>
      <c r="AU1858" s="76"/>
      <c r="AV1858" s="76"/>
      <c r="AW1858" s="76"/>
      <c r="AX1858" s="76"/>
      <c r="AY1858" s="76"/>
      <c r="AZ1858" s="76"/>
      <c r="BA1858" s="76"/>
      <c r="BB1858" s="76"/>
    </row>
    <row r="1859" spans="5:54" x14ac:dyDescent="0.35">
      <c r="E1859" s="83"/>
      <c r="F1859" s="83"/>
      <c r="G1859" s="76"/>
      <c r="H1859" s="76"/>
      <c r="I1859" s="76"/>
      <c r="J1859" s="76"/>
      <c r="K1859" s="76"/>
      <c r="L1859" s="76"/>
      <c r="M1859" s="76"/>
      <c r="N1859" s="76"/>
      <c r="O1859" s="76"/>
      <c r="P1859" s="76"/>
      <c r="Q1859" s="76"/>
      <c r="R1859" s="76"/>
      <c r="S1859" s="76"/>
      <c r="T1859" s="76"/>
      <c r="U1859" s="76"/>
      <c r="V1859" s="76"/>
      <c r="W1859" s="76"/>
      <c r="X1859" s="76"/>
      <c r="Y1859" s="76"/>
      <c r="Z1859" s="76"/>
      <c r="AA1859" s="76"/>
      <c r="AB1859" s="76"/>
      <c r="AC1859" s="76"/>
      <c r="AD1859" s="76"/>
      <c r="AE1859" s="76"/>
      <c r="AF1859" s="76"/>
      <c r="AG1859" s="76"/>
      <c r="AH1859" s="76"/>
      <c r="AI1859" s="76"/>
      <c r="AJ1859" s="76"/>
      <c r="AK1859" s="76"/>
      <c r="AL1859" s="76"/>
      <c r="AM1859" s="76"/>
      <c r="AN1859" s="76"/>
      <c r="AO1859" s="76"/>
      <c r="AP1859" s="76"/>
      <c r="AQ1859" s="76"/>
      <c r="AR1859" s="76"/>
      <c r="AS1859" s="76"/>
      <c r="AT1859" s="76"/>
      <c r="AU1859" s="76"/>
      <c r="AV1859" s="76"/>
      <c r="AW1859" s="76"/>
      <c r="AX1859" s="76"/>
      <c r="AY1859" s="76"/>
      <c r="AZ1859" s="76"/>
      <c r="BA1859" s="76"/>
      <c r="BB1859" s="76"/>
    </row>
    <row r="1860" spans="5:54" x14ac:dyDescent="0.35">
      <c r="E1860" s="83"/>
      <c r="F1860" s="83"/>
      <c r="G1860" s="76"/>
      <c r="H1860" s="76"/>
      <c r="I1860" s="76"/>
      <c r="J1860" s="76"/>
      <c r="K1860" s="76"/>
      <c r="L1860" s="76"/>
      <c r="M1860" s="76"/>
      <c r="N1860" s="76"/>
      <c r="O1860" s="76"/>
      <c r="P1860" s="76"/>
      <c r="Q1860" s="76"/>
      <c r="R1860" s="76"/>
      <c r="S1860" s="76"/>
      <c r="T1860" s="76"/>
      <c r="U1860" s="76"/>
      <c r="V1860" s="76"/>
      <c r="W1860" s="76"/>
      <c r="X1860" s="76"/>
      <c r="Y1860" s="76"/>
      <c r="Z1860" s="76"/>
      <c r="AA1860" s="76"/>
      <c r="AB1860" s="76"/>
      <c r="AC1860" s="76"/>
      <c r="AD1860" s="76"/>
      <c r="AE1860" s="76"/>
      <c r="AF1860" s="76"/>
      <c r="AG1860" s="76"/>
      <c r="AH1860" s="76"/>
      <c r="AI1860" s="76"/>
      <c r="AJ1860" s="76"/>
      <c r="AK1860" s="76"/>
      <c r="AL1860" s="76"/>
      <c r="AM1860" s="76"/>
      <c r="AN1860" s="76"/>
      <c r="AO1860" s="76"/>
      <c r="AP1860" s="76"/>
      <c r="AQ1860" s="76"/>
      <c r="AR1860" s="76"/>
      <c r="AS1860" s="76"/>
      <c r="AT1860" s="76"/>
      <c r="AU1860" s="76"/>
      <c r="AV1860" s="76"/>
      <c r="AW1860" s="76"/>
      <c r="AX1860" s="76"/>
      <c r="AY1860" s="76"/>
      <c r="AZ1860" s="76"/>
      <c r="BA1860" s="76"/>
      <c r="BB1860" s="76"/>
    </row>
    <row r="1861" spans="5:54" x14ac:dyDescent="0.35">
      <c r="E1861" s="83"/>
      <c r="F1861" s="83"/>
      <c r="G1861" s="76"/>
      <c r="H1861" s="76"/>
      <c r="I1861" s="76"/>
      <c r="J1861" s="76"/>
      <c r="K1861" s="76"/>
      <c r="L1861" s="76"/>
      <c r="M1861" s="76"/>
      <c r="N1861" s="76"/>
      <c r="O1861" s="76"/>
      <c r="P1861" s="76"/>
      <c r="Q1861" s="76"/>
      <c r="R1861" s="76"/>
      <c r="S1861" s="76"/>
      <c r="T1861" s="76"/>
      <c r="U1861" s="76"/>
      <c r="V1861" s="76"/>
      <c r="W1861" s="76"/>
      <c r="X1861" s="76"/>
      <c r="Y1861" s="76"/>
      <c r="Z1861" s="76"/>
      <c r="AA1861" s="76"/>
      <c r="AB1861" s="76"/>
      <c r="AC1861" s="76"/>
      <c r="AD1861" s="76"/>
      <c r="AE1861" s="76"/>
      <c r="AF1861" s="76"/>
      <c r="AG1861" s="76"/>
      <c r="AH1861" s="76"/>
      <c r="AI1861" s="76"/>
      <c r="AJ1861" s="76"/>
      <c r="AK1861" s="76"/>
      <c r="AL1861" s="76"/>
      <c r="AM1861" s="76"/>
      <c r="AN1861" s="76"/>
      <c r="AO1861" s="76"/>
      <c r="AP1861" s="76"/>
      <c r="AQ1861" s="76"/>
      <c r="AR1861" s="76"/>
      <c r="AS1861" s="76"/>
      <c r="AT1861" s="76"/>
      <c r="AU1861" s="76"/>
      <c r="AV1861" s="76"/>
      <c r="AW1861" s="76"/>
      <c r="AX1861" s="76"/>
      <c r="AY1861" s="76"/>
      <c r="AZ1861" s="76"/>
      <c r="BA1861" s="76"/>
      <c r="BB1861" s="76"/>
    </row>
    <row r="1862" spans="5:54" x14ac:dyDescent="0.35">
      <c r="E1862" s="83"/>
      <c r="F1862" s="83"/>
      <c r="G1862" s="76"/>
      <c r="H1862" s="76"/>
      <c r="I1862" s="76"/>
      <c r="J1862" s="76"/>
      <c r="K1862" s="76"/>
      <c r="L1862" s="76"/>
      <c r="M1862" s="76"/>
      <c r="N1862" s="76"/>
      <c r="O1862" s="76"/>
      <c r="P1862" s="76"/>
      <c r="Q1862" s="76"/>
      <c r="R1862" s="76"/>
      <c r="S1862" s="76"/>
      <c r="T1862" s="76"/>
      <c r="U1862" s="76"/>
      <c r="V1862" s="76"/>
      <c r="W1862" s="76"/>
      <c r="X1862" s="76"/>
      <c r="Y1862" s="76"/>
      <c r="Z1862" s="76"/>
      <c r="AA1862" s="76"/>
      <c r="AB1862" s="76"/>
      <c r="AC1862" s="76"/>
      <c r="AD1862" s="76"/>
      <c r="AE1862" s="76"/>
      <c r="AF1862" s="76"/>
      <c r="AG1862" s="76"/>
      <c r="AH1862" s="76"/>
      <c r="AI1862" s="76"/>
      <c r="AJ1862" s="76"/>
      <c r="AK1862" s="76"/>
      <c r="AL1862" s="76"/>
      <c r="AM1862" s="76"/>
      <c r="AN1862" s="76"/>
      <c r="AO1862" s="76"/>
      <c r="AP1862" s="76"/>
      <c r="AQ1862" s="76"/>
      <c r="AR1862" s="76"/>
      <c r="AS1862" s="76"/>
      <c r="AT1862" s="76"/>
      <c r="AU1862" s="76"/>
      <c r="AV1862" s="76"/>
      <c r="AW1862" s="76"/>
      <c r="AX1862" s="76"/>
      <c r="AY1862" s="76"/>
      <c r="AZ1862" s="76"/>
      <c r="BA1862" s="76"/>
      <c r="BB1862" s="76"/>
    </row>
    <row r="1863" spans="5:54" x14ac:dyDescent="0.35">
      <c r="E1863" s="83"/>
      <c r="F1863" s="83"/>
      <c r="G1863" s="76"/>
      <c r="H1863" s="76"/>
      <c r="I1863" s="76"/>
      <c r="J1863" s="76"/>
      <c r="K1863" s="76"/>
      <c r="L1863" s="76"/>
      <c r="M1863" s="76"/>
      <c r="N1863" s="76"/>
      <c r="O1863" s="76"/>
      <c r="P1863" s="76"/>
      <c r="Q1863" s="76"/>
      <c r="R1863" s="76"/>
      <c r="S1863" s="76"/>
      <c r="T1863" s="76"/>
      <c r="U1863" s="76"/>
      <c r="V1863" s="76"/>
      <c r="W1863" s="76"/>
      <c r="X1863" s="76"/>
      <c r="Y1863" s="76"/>
      <c r="Z1863" s="76"/>
      <c r="AA1863" s="76"/>
      <c r="AB1863" s="76"/>
      <c r="AC1863" s="76"/>
      <c r="AD1863" s="76"/>
      <c r="AE1863" s="76"/>
      <c r="AF1863" s="76"/>
      <c r="AG1863" s="76"/>
      <c r="AH1863" s="76"/>
      <c r="AI1863" s="76"/>
      <c r="AJ1863" s="76"/>
      <c r="AK1863" s="76"/>
      <c r="AL1863" s="76"/>
      <c r="AM1863" s="76"/>
      <c r="AN1863" s="76"/>
      <c r="AO1863" s="76"/>
      <c r="AP1863" s="76"/>
      <c r="AQ1863" s="76"/>
      <c r="AR1863" s="76"/>
      <c r="AS1863" s="76"/>
      <c r="AT1863" s="76"/>
      <c r="AU1863" s="76"/>
      <c r="AV1863" s="76"/>
      <c r="AW1863" s="76"/>
      <c r="AX1863" s="76"/>
      <c r="AY1863" s="76"/>
      <c r="AZ1863" s="76"/>
      <c r="BA1863" s="76"/>
      <c r="BB1863" s="76"/>
    </row>
    <row r="1864" spans="5:54" x14ac:dyDescent="0.35">
      <c r="E1864" s="83"/>
      <c r="F1864" s="83"/>
      <c r="G1864" s="76"/>
      <c r="H1864" s="76"/>
      <c r="I1864" s="76"/>
      <c r="J1864" s="76"/>
      <c r="K1864" s="76"/>
      <c r="L1864" s="76"/>
      <c r="M1864" s="76"/>
      <c r="N1864" s="76"/>
      <c r="O1864" s="76"/>
      <c r="P1864" s="76"/>
      <c r="Q1864" s="76"/>
      <c r="R1864" s="76"/>
      <c r="S1864" s="76"/>
      <c r="T1864" s="76"/>
      <c r="U1864" s="76"/>
      <c r="V1864" s="76"/>
      <c r="W1864" s="76"/>
      <c r="X1864" s="76"/>
      <c r="Y1864" s="76"/>
      <c r="Z1864" s="76"/>
      <c r="AA1864" s="76"/>
      <c r="AB1864" s="76"/>
      <c r="AC1864" s="76"/>
      <c r="AD1864" s="76"/>
      <c r="AE1864" s="76"/>
      <c r="AF1864" s="76"/>
      <c r="AG1864" s="76"/>
      <c r="AH1864" s="76"/>
      <c r="AI1864" s="76"/>
      <c r="AJ1864" s="76"/>
      <c r="AK1864" s="76"/>
      <c r="AL1864" s="76"/>
      <c r="AM1864" s="76"/>
      <c r="AN1864" s="76"/>
      <c r="AO1864" s="76"/>
      <c r="AP1864" s="76"/>
      <c r="AQ1864" s="76"/>
      <c r="AR1864" s="76"/>
      <c r="AS1864" s="76"/>
      <c r="AT1864" s="76"/>
      <c r="AU1864" s="76"/>
      <c r="AV1864" s="76"/>
      <c r="AW1864" s="76"/>
      <c r="AX1864" s="76"/>
      <c r="AY1864" s="76"/>
      <c r="AZ1864" s="76"/>
      <c r="BA1864" s="76"/>
      <c r="BB1864" s="76"/>
    </row>
    <row r="1865" spans="5:54" x14ac:dyDescent="0.35">
      <c r="E1865" s="83"/>
      <c r="F1865" s="83"/>
      <c r="G1865" s="76"/>
      <c r="H1865" s="76"/>
      <c r="I1865" s="76"/>
      <c r="J1865" s="76"/>
      <c r="K1865" s="76"/>
      <c r="L1865" s="76"/>
      <c r="M1865" s="76"/>
      <c r="N1865" s="76"/>
      <c r="O1865" s="76"/>
      <c r="P1865" s="76"/>
      <c r="Q1865" s="76"/>
      <c r="R1865" s="76"/>
      <c r="S1865" s="76"/>
      <c r="T1865" s="76"/>
      <c r="U1865" s="76"/>
      <c r="V1865" s="76"/>
      <c r="W1865" s="76"/>
      <c r="X1865" s="76"/>
      <c r="Y1865" s="76"/>
      <c r="Z1865" s="76"/>
      <c r="AA1865" s="76"/>
      <c r="AB1865" s="76"/>
      <c r="AC1865" s="76"/>
      <c r="AD1865" s="76"/>
      <c r="AE1865" s="76"/>
      <c r="AF1865" s="76"/>
      <c r="AG1865" s="76"/>
      <c r="AH1865" s="76"/>
      <c r="AI1865" s="76"/>
      <c r="AJ1865" s="76"/>
      <c r="AK1865" s="76"/>
      <c r="AL1865" s="76"/>
      <c r="AM1865" s="76"/>
      <c r="AN1865" s="76"/>
      <c r="AO1865" s="76"/>
      <c r="AP1865" s="76"/>
      <c r="AQ1865" s="76"/>
      <c r="AR1865" s="76"/>
      <c r="AS1865" s="76"/>
      <c r="AT1865" s="76"/>
      <c r="AU1865" s="76"/>
      <c r="AV1865" s="76"/>
      <c r="AW1865" s="76"/>
      <c r="AX1865" s="76"/>
      <c r="AY1865" s="76"/>
      <c r="AZ1865" s="76"/>
      <c r="BA1865" s="76"/>
      <c r="BB1865" s="76"/>
    </row>
    <row r="1866" spans="5:54" x14ac:dyDescent="0.35">
      <c r="E1866" s="83"/>
      <c r="F1866" s="83"/>
      <c r="G1866" s="76"/>
      <c r="H1866" s="76"/>
      <c r="I1866" s="76"/>
      <c r="J1866" s="76"/>
      <c r="K1866" s="76"/>
      <c r="L1866" s="76"/>
      <c r="M1866" s="76"/>
      <c r="N1866" s="76"/>
      <c r="O1866" s="76"/>
      <c r="P1866" s="76"/>
      <c r="Q1866" s="76"/>
      <c r="R1866" s="76"/>
      <c r="S1866" s="76"/>
      <c r="T1866" s="76"/>
      <c r="U1866" s="76"/>
      <c r="V1866" s="76"/>
      <c r="W1866" s="76"/>
      <c r="X1866" s="76"/>
      <c r="Y1866" s="76"/>
      <c r="Z1866" s="76"/>
      <c r="AA1866" s="76"/>
      <c r="AB1866" s="76"/>
      <c r="AC1866" s="76"/>
      <c r="AD1866" s="76"/>
      <c r="AE1866" s="76"/>
      <c r="AF1866" s="76"/>
      <c r="AG1866" s="76"/>
      <c r="AH1866" s="76"/>
      <c r="AI1866" s="76"/>
      <c r="AJ1866" s="76"/>
      <c r="AK1866" s="76"/>
      <c r="AL1866" s="76"/>
      <c r="AM1866" s="76"/>
      <c r="AN1866" s="76"/>
      <c r="AO1866" s="76"/>
      <c r="AP1866" s="76"/>
      <c r="AQ1866" s="76"/>
      <c r="AR1866" s="76"/>
      <c r="AS1866" s="76"/>
      <c r="AT1866" s="76"/>
      <c r="AU1866" s="76"/>
      <c r="AV1866" s="76"/>
      <c r="AW1866" s="76"/>
      <c r="AX1866" s="76"/>
      <c r="AY1866" s="76"/>
      <c r="AZ1866" s="76"/>
      <c r="BA1866" s="76"/>
      <c r="BB1866" s="76"/>
    </row>
    <row r="1867" spans="5:54" x14ac:dyDescent="0.35">
      <c r="E1867" s="83"/>
      <c r="F1867" s="83"/>
      <c r="G1867" s="76"/>
      <c r="H1867" s="76"/>
      <c r="I1867" s="76"/>
      <c r="J1867" s="76"/>
      <c r="K1867" s="76"/>
      <c r="L1867" s="76"/>
      <c r="M1867" s="76"/>
      <c r="N1867" s="76"/>
      <c r="O1867" s="76"/>
      <c r="P1867" s="76"/>
      <c r="Q1867" s="76"/>
      <c r="R1867" s="76"/>
      <c r="S1867" s="76"/>
      <c r="T1867" s="76"/>
      <c r="U1867" s="76"/>
      <c r="V1867" s="76"/>
      <c r="W1867" s="76"/>
      <c r="X1867" s="76"/>
      <c r="Y1867" s="76"/>
      <c r="Z1867" s="76"/>
      <c r="AA1867" s="76"/>
      <c r="AB1867" s="76"/>
      <c r="AC1867" s="76"/>
      <c r="AD1867" s="76"/>
      <c r="AE1867" s="76"/>
      <c r="AF1867" s="76"/>
      <c r="AG1867" s="76"/>
      <c r="AH1867" s="76"/>
      <c r="AI1867" s="76"/>
      <c r="AJ1867" s="76"/>
      <c r="AK1867" s="76"/>
      <c r="AL1867" s="76"/>
      <c r="AM1867" s="76"/>
      <c r="AN1867" s="76"/>
      <c r="AO1867" s="76"/>
      <c r="AP1867" s="76"/>
      <c r="AQ1867" s="76"/>
      <c r="AR1867" s="76"/>
      <c r="AS1867" s="76"/>
      <c r="AT1867" s="76"/>
      <c r="AU1867" s="76"/>
      <c r="AV1867" s="76"/>
      <c r="AW1867" s="76"/>
      <c r="AX1867" s="76"/>
      <c r="AY1867" s="76"/>
      <c r="AZ1867" s="76"/>
      <c r="BA1867" s="76"/>
      <c r="BB1867" s="76"/>
    </row>
    <row r="1868" spans="5:54" x14ac:dyDescent="0.35">
      <c r="E1868" s="83"/>
      <c r="F1868" s="83"/>
      <c r="G1868" s="76"/>
      <c r="H1868" s="76"/>
      <c r="I1868" s="76"/>
      <c r="J1868" s="76"/>
      <c r="K1868" s="76"/>
      <c r="L1868" s="76"/>
      <c r="M1868" s="76"/>
      <c r="N1868" s="76"/>
      <c r="O1868" s="76"/>
      <c r="P1868" s="76"/>
      <c r="Q1868" s="76"/>
      <c r="R1868" s="76"/>
      <c r="S1868" s="76"/>
      <c r="T1868" s="76"/>
      <c r="U1868" s="76"/>
      <c r="V1868" s="76"/>
      <c r="W1868" s="76"/>
      <c r="X1868" s="76"/>
      <c r="Y1868" s="76"/>
      <c r="Z1868" s="76"/>
      <c r="AA1868" s="76"/>
      <c r="AB1868" s="76"/>
      <c r="AC1868" s="76"/>
      <c r="AD1868" s="76"/>
      <c r="AE1868" s="76"/>
      <c r="AF1868" s="76"/>
      <c r="AG1868" s="76"/>
      <c r="AH1868" s="76"/>
      <c r="AI1868" s="76"/>
      <c r="AJ1868" s="76"/>
      <c r="AK1868" s="76"/>
      <c r="AL1868" s="76"/>
      <c r="AM1868" s="76"/>
      <c r="AN1868" s="76"/>
      <c r="AO1868" s="76"/>
      <c r="AP1868" s="76"/>
      <c r="AQ1868" s="76"/>
      <c r="AR1868" s="76"/>
      <c r="AS1868" s="76"/>
      <c r="AT1868" s="76"/>
      <c r="AU1868" s="76"/>
      <c r="AV1868" s="76"/>
      <c r="AW1868" s="76"/>
      <c r="AX1868" s="76"/>
      <c r="AY1868" s="76"/>
      <c r="AZ1868" s="76"/>
      <c r="BA1868" s="76"/>
      <c r="BB1868" s="76"/>
    </row>
    <row r="1869" spans="5:54" x14ac:dyDescent="0.35">
      <c r="E1869" s="83"/>
      <c r="F1869" s="83"/>
      <c r="G1869" s="76"/>
      <c r="H1869" s="76"/>
      <c r="I1869" s="76"/>
      <c r="J1869" s="76"/>
      <c r="K1869" s="76"/>
      <c r="L1869" s="76"/>
      <c r="M1869" s="76"/>
      <c r="N1869" s="76"/>
      <c r="O1869" s="76"/>
      <c r="P1869" s="76"/>
      <c r="Q1869" s="76"/>
      <c r="R1869" s="76"/>
      <c r="S1869" s="76"/>
      <c r="T1869" s="76"/>
      <c r="U1869" s="76"/>
      <c r="V1869" s="76"/>
      <c r="W1869" s="76"/>
      <c r="X1869" s="76"/>
      <c r="Y1869" s="76"/>
      <c r="Z1869" s="76"/>
      <c r="AA1869" s="76"/>
      <c r="AB1869" s="76"/>
      <c r="AC1869" s="76"/>
      <c r="AD1869" s="76"/>
      <c r="AE1869" s="76"/>
      <c r="AF1869" s="76"/>
      <c r="AG1869" s="76"/>
      <c r="AH1869" s="76"/>
      <c r="AI1869" s="76"/>
      <c r="AJ1869" s="76"/>
      <c r="AK1869" s="76"/>
      <c r="AL1869" s="76"/>
      <c r="AM1869" s="76"/>
      <c r="AN1869" s="76"/>
      <c r="AO1869" s="76"/>
      <c r="AP1869" s="76"/>
      <c r="AQ1869" s="76"/>
      <c r="AR1869" s="76"/>
      <c r="AS1869" s="76"/>
      <c r="AT1869" s="76"/>
      <c r="AU1869" s="76"/>
      <c r="AV1869" s="76"/>
      <c r="AW1869" s="76"/>
      <c r="AX1869" s="76"/>
      <c r="AY1869" s="76"/>
      <c r="AZ1869" s="76"/>
      <c r="BA1869" s="76"/>
      <c r="BB1869" s="76"/>
    </row>
    <row r="1870" spans="5:54" x14ac:dyDescent="0.35">
      <c r="E1870" s="83"/>
      <c r="F1870" s="83"/>
      <c r="G1870" s="76"/>
      <c r="H1870" s="76"/>
      <c r="I1870" s="76"/>
      <c r="J1870" s="76"/>
      <c r="K1870" s="76"/>
      <c r="L1870" s="76"/>
      <c r="M1870" s="76"/>
      <c r="N1870" s="76"/>
      <c r="O1870" s="76"/>
      <c r="P1870" s="76"/>
      <c r="Q1870" s="76"/>
      <c r="R1870" s="76"/>
      <c r="S1870" s="76"/>
      <c r="T1870" s="76"/>
      <c r="U1870" s="76"/>
      <c r="V1870" s="76"/>
      <c r="W1870" s="76"/>
      <c r="X1870" s="76"/>
      <c r="Y1870" s="76"/>
      <c r="Z1870" s="76"/>
      <c r="AA1870" s="76"/>
      <c r="AB1870" s="76"/>
      <c r="AC1870" s="76"/>
      <c r="AD1870" s="76"/>
      <c r="AE1870" s="76"/>
      <c r="AF1870" s="76"/>
      <c r="AG1870" s="76"/>
      <c r="AH1870" s="76"/>
      <c r="AI1870" s="76"/>
      <c r="AJ1870" s="76"/>
      <c r="AK1870" s="76"/>
      <c r="AL1870" s="76"/>
      <c r="AM1870" s="76"/>
      <c r="AN1870" s="76"/>
      <c r="AO1870" s="76"/>
      <c r="AP1870" s="76"/>
      <c r="AQ1870" s="76"/>
      <c r="AR1870" s="76"/>
      <c r="AS1870" s="76"/>
      <c r="AT1870" s="76"/>
      <c r="AU1870" s="76"/>
      <c r="AV1870" s="76"/>
      <c r="AW1870" s="76"/>
      <c r="AX1870" s="76"/>
      <c r="AY1870" s="76"/>
      <c r="AZ1870" s="76"/>
      <c r="BA1870" s="76"/>
      <c r="BB1870" s="76"/>
    </row>
    <row r="1871" spans="5:54" x14ac:dyDescent="0.35">
      <c r="E1871" s="83"/>
      <c r="F1871" s="83"/>
      <c r="G1871" s="76"/>
      <c r="H1871" s="76"/>
      <c r="I1871" s="76"/>
      <c r="J1871" s="76"/>
      <c r="K1871" s="76"/>
      <c r="L1871" s="76"/>
      <c r="M1871" s="76"/>
      <c r="N1871" s="76"/>
      <c r="O1871" s="76"/>
      <c r="P1871" s="76"/>
      <c r="Q1871" s="76"/>
      <c r="R1871" s="76"/>
      <c r="S1871" s="76"/>
      <c r="T1871" s="76"/>
      <c r="U1871" s="76"/>
      <c r="V1871" s="76"/>
      <c r="W1871" s="76"/>
      <c r="X1871" s="76"/>
      <c r="Y1871" s="76"/>
      <c r="Z1871" s="76"/>
      <c r="AA1871" s="76"/>
      <c r="AB1871" s="76"/>
      <c r="AC1871" s="76"/>
      <c r="AD1871" s="76"/>
      <c r="AE1871" s="76"/>
      <c r="AF1871" s="76"/>
      <c r="AG1871" s="76"/>
      <c r="AH1871" s="76"/>
      <c r="AI1871" s="76"/>
      <c r="AJ1871" s="76"/>
      <c r="AK1871" s="76"/>
      <c r="AL1871" s="76"/>
      <c r="AM1871" s="76"/>
      <c r="AN1871" s="76"/>
      <c r="AO1871" s="76"/>
      <c r="AP1871" s="76"/>
      <c r="AQ1871" s="76"/>
      <c r="AR1871" s="76"/>
      <c r="AS1871" s="76"/>
      <c r="AT1871" s="76"/>
      <c r="AU1871" s="76"/>
      <c r="AV1871" s="76"/>
      <c r="AW1871" s="76"/>
      <c r="AX1871" s="76"/>
      <c r="AY1871" s="76"/>
      <c r="AZ1871" s="76"/>
      <c r="BA1871" s="76"/>
      <c r="BB1871" s="76"/>
    </row>
    <row r="1872" spans="5:54" x14ac:dyDescent="0.35">
      <c r="E1872" s="83"/>
      <c r="F1872" s="83"/>
      <c r="G1872" s="76"/>
      <c r="H1872" s="76"/>
      <c r="I1872" s="76"/>
      <c r="J1872" s="76"/>
      <c r="K1872" s="76"/>
      <c r="L1872" s="76"/>
      <c r="M1872" s="76"/>
      <c r="N1872" s="76"/>
      <c r="O1872" s="76"/>
      <c r="P1872" s="76"/>
      <c r="Q1872" s="76"/>
      <c r="R1872" s="76"/>
      <c r="S1872" s="76"/>
      <c r="T1872" s="76"/>
      <c r="U1872" s="76"/>
      <c r="V1872" s="76"/>
      <c r="W1872" s="76"/>
      <c r="X1872" s="76"/>
      <c r="Y1872" s="76"/>
      <c r="Z1872" s="76"/>
      <c r="AA1872" s="76"/>
      <c r="AB1872" s="76"/>
      <c r="AC1872" s="76"/>
      <c r="AD1872" s="76"/>
      <c r="AE1872" s="76"/>
      <c r="AF1872" s="76"/>
      <c r="AG1872" s="76"/>
      <c r="AH1872" s="76"/>
      <c r="AI1872" s="76"/>
      <c r="AJ1872" s="76"/>
      <c r="AK1872" s="76"/>
      <c r="AL1872" s="76"/>
      <c r="AM1872" s="76"/>
      <c r="AN1872" s="76"/>
      <c r="AO1872" s="76"/>
      <c r="AP1872" s="76"/>
      <c r="AQ1872" s="76"/>
      <c r="AR1872" s="76"/>
      <c r="AS1872" s="76"/>
      <c r="AT1872" s="76"/>
      <c r="AU1872" s="76"/>
      <c r="AV1872" s="76"/>
      <c r="AW1872" s="76"/>
      <c r="AX1872" s="76"/>
      <c r="AY1872" s="76"/>
      <c r="AZ1872" s="76"/>
      <c r="BA1872" s="76"/>
      <c r="BB1872" s="76"/>
    </row>
    <row r="1873" spans="5:54" x14ac:dyDescent="0.35">
      <c r="E1873" s="83"/>
      <c r="F1873" s="83"/>
      <c r="G1873" s="76"/>
      <c r="H1873" s="76"/>
      <c r="I1873" s="76"/>
      <c r="J1873" s="76"/>
      <c r="K1873" s="76"/>
      <c r="L1873" s="76"/>
      <c r="M1873" s="76"/>
      <c r="N1873" s="76"/>
      <c r="O1873" s="76"/>
      <c r="P1873" s="76"/>
      <c r="Q1873" s="76"/>
      <c r="R1873" s="76"/>
      <c r="S1873" s="76"/>
      <c r="T1873" s="76"/>
      <c r="U1873" s="76"/>
      <c r="V1873" s="76"/>
      <c r="W1873" s="76"/>
      <c r="X1873" s="76"/>
      <c r="Y1873" s="76"/>
      <c r="Z1873" s="76"/>
      <c r="AA1873" s="76"/>
      <c r="AB1873" s="76"/>
      <c r="AC1873" s="76"/>
      <c r="AD1873" s="76"/>
      <c r="AE1873" s="76"/>
      <c r="AF1873" s="76"/>
      <c r="AG1873" s="76"/>
      <c r="AH1873" s="76"/>
      <c r="AI1873" s="76"/>
      <c r="AJ1873" s="76"/>
      <c r="AK1873" s="76"/>
      <c r="AL1873" s="76"/>
      <c r="AM1873" s="76"/>
      <c r="AN1873" s="76"/>
      <c r="AO1873" s="76"/>
      <c r="AP1873" s="76"/>
      <c r="AQ1873" s="76"/>
      <c r="AR1873" s="76"/>
      <c r="AS1873" s="76"/>
      <c r="AT1873" s="76"/>
      <c r="AU1873" s="76"/>
      <c r="AV1873" s="76"/>
      <c r="AW1873" s="76"/>
      <c r="AX1873" s="76"/>
      <c r="AY1873" s="76"/>
      <c r="AZ1873" s="76"/>
      <c r="BA1873" s="76"/>
      <c r="BB1873" s="76"/>
    </row>
    <row r="1874" spans="5:54" x14ac:dyDescent="0.35">
      <c r="E1874" s="83"/>
      <c r="F1874" s="83"/>
      <c r="G1874" s="76"/>
      <c r="H1874" s="76"/>
      <c r="I1874" s="76"/>
      <c r="J1874" s="76"/>
      <c r="K1874" s="76"/>
      <c r="L1874" s="76"/>
      <c r="M1874" s="76"/>
      <c r="N1874" s="76"/>
      <c r="O1874" s="76"/>
      <c r="P1874" s="76"/>
      <c r="Q1874" s="76"/>
      <c r="R1874" s="76"/>
      <c r="S1874" s="76"/>
      <c r="T1874" s="76"/>
      <c r="U1874" s="76"/>
      <c r="V1874" s="76"/>
      <c r="W1874" s="76"/>
      <c r="X1874" s="76"/>
      <c r="Y1874" s="76"/>
      <c r="Z1874" s="76"/>
      <c r="AA1874" s="76"/>
      <c r="AB1874" s="76"/>
      <c r="AC1874" s="76"/>
      <c r="AD1874" s="76"/>
      <c r="AE1874" s="76"/>
      <c r="AF1874" s="76"/>
      <c r="AG1874" s="76"/>
      <c r="AH1874" s="76"/>
      <c r="AI1874" s="76"/>
      <c r="AJ1874" s="76"/>
      <c r="AK1874" s="76"/>
      <c r="AL1874" s="76"/>
      <c r="AM1874" s="76"/>
      <c r="AN1874" s="76"/>
      <c r="AO1874" s="76"/>
      <c r="AP1874" s="76"/>
      <c r="AQ1874" s="76"/>
      <c r="AR1874" s="76"/>
      <c r="AS1874" s="76"/>
      <c r="AT1874" s="76"/>
      <c r="AU1874" s="76"/>
      <c r="AV1874" s="76"/>
      <c r="AW1874" s="76"/>
      <c r="AX1874" s="76"/>
      <c r="AY1874" s="76"/>
      <c r="AZ1874" s="76"/>
      <c r="BA1874" s="76"/>
      <c r="BB1874" s="76"/>
    </row>
    <row r="1875" spans="5:54" x14ac:dyDescent="0.35">
      <c r="E1875" s="83"/>
      <c r="F1875" s="83"/>
      <c r="G1875" s="76"/>
      <c r="H1875" s="76"/>
      <c r="I1875" s="76"/>
      <c r="J1875" s="76"/>
      <c r="K1875" s="76"/>
      <c r="L1875" s="76"/>
      <c r="M1875" s="76"/>
      <c r="N1875" s="76"/>
      <c r="O1875" s="76"/>
      <c r="P1875" s="76"/>
      <c r="Q1875" s="76"/>
      <c r="R1875" s="76"/>
      <c r="S1875" s="76"/>
      <c r="T1875" s="76"/>
      <c r="U1875" s="76"/>
      <c r="V1875" s="76"/>
      <c r="W1875" s="76"/>
      <c r="X1875" s="76"/>
      <c r="Y1875" s="76"/>
      <c r="Z1875" s="76"/>
      <c r="AA1875" s="76"/>
      <c r="AB1875" s="76"/>
      <c r="AC1875" s="76"/>
      <c r="AD1875" s="76"/>
      <c r="AE1875" s="76"/>
      <c r="AF1875" s="76"/>
      <c r="AG1875" s="76"/>
      <c r="AH1875" s="76"/>
      <c r="AI1875" s="76"/>
      <c r="AJ1875" s="76"/>
      <c r="AK1875" s="76"/>
      <c r="AL1875" s="76"/>
      <c r="AM1875" s="76"/>
      <c r="AN1875" s="76"/>
      <c r="AO1875" s="76"/>
      <c r="AP1875" s="76"/>
      <c r="AQ1875" s="76"/>
      <c r="AR1875" s="76"/>
      <c r="AS1875" s="76"/>
      <c r="AT1875" s="76"/>
      <c r="AU1875" s="76"/>
      <c r="AV1875" s="76"/>
      <c r="AW1875" s="76"/>
      <c r="AX1875" s="76"/>
      <c r="AY1875" s="76"/>
      <c r="AZ1875" s="76"/>
      <c r="BA1875" s="76"/>
      <c r="BB1875" s="76"/>
    </row>
    <row r="1876" spans="5:54" x14ac:dyDescent="0.35">
      <c r="E1876" s="83"/>
      <c r="F1876" s="83"/>
      <c r="G1876" s="76"/>
      <c r="H1876" s="76"/>
      <c r="I1876" s="76"/>
      <c r="J1876" s="76"/>
      <c r="K1876" s="76"/>
      <c r="L1876" s="76"/>
      <c r="M1876" s="76"/>
      <c r="N1876" s="76"/>
      <c r="O1876" s="76"/>
      <c r="P1876" s="76"/>
      <c r="Q1876" s="76"/>
      <c r="R1876" s="76"/>
      <c r="S1876" s="76"/>
      <c r="T1876" s="76"/>
      <c r="U1876" s="76"/>
      <c r="V1876" s="76"/>
      <c r="W1876" s="76"/>
      <c r="X1876" s="76"/>
      <c r="Y1876" s="76"/>
      <c r="Z1876" s="76"/>
      <c r="AA1876" s="76"/>
      <c r="AB1876" s="76"/>
      <c r="AC1876" s="76"/>
      <c r="AD1876" s="76"/>
      <c r="AE1876" s="76"/>
      <c r="AF1876" s="76"/>
      <c r="AG1876" s="76"/>
      <c r="AH1876" s="76"/>
      <c r="AI1876" s="76"/>
      <c r="AJ1876" s="76"/>
      <c r="AK1876" s="76"/>
      <c r="AL1876" s="76"/>
      <c r="AM1876" s="76"/>
      <c r="AN1876" s="76"/>
      <c r="AO1876" s="76"/>
      <c r="AP1876" s="76"/>
      <c r="AQ1876" s="76"/>
      <c r="AR1876" s="76"/>
      <c r="AS1876" s="76"/>
      <c r="AT1876" s="76"/>
      <c r="AU1876" s="76"/>
      <c r="AV1876" s="76"/>
      <c r="AW1876" s="76"/>
      <c r="AX1876" s="76"/>
      <c r="AY1876" s="76"/>
      <c r="AZ1876" s="76"/>
      <c r="BA1876" s="76"/>
      <c r="BB1876" s="76"/>
    </row>
    <row r="1877" spans="5:54" x14ac:dyDescent="0.35">
      <c r="E1877" s="83"/>
      <c r="F1877" s="83"/>
      <c r="G1877" s="76"/>
      <c r="H1877" s="76"/>
      <c r="I1877" s="76"/>
      <c r="J1877" s="76"/>
      <c r="K1877" s="76"/>
      <c r="L1877" s="76"/>
      <c r="M1877" s="76"/>
      <c r="N1877" s="76"/>
      <c r="O1877" s="76"/>
      <c r="P1877" s="76"/>
      <c r="Q1877" s="76"/>
      <c r="R1877" s="76"/>
      <c r="S1877" s="76"/>
      <c r="T1877" s="76"/>
      <c r="U1877" s="76"/>
      <c r="V1877" s="76"/>
      <c r="W1877" s="76"/>
      <c r="X1877" s="76"/>
      <c r="Y1877" s="76"/>
      <c r="Z1877" s="76"/>
      <c r="AA1877" s="76"/>
      <c r="AB1877" s="76"/>
      <c r="AC1877" s="76"/>
      <c r="AD1877" s="76"/>
      <c r="AE1877" s="76"/>
      <c r="AF1877" s="76"/>
      <c r="AG1877" s="76"/>
      <c r="AH1877" s="76"/>
      <c r="AI1877" s="76"/>
      <c r="AJ1877" s="76"/>
      <c r="AK1877" s="76"/>
      <c r="AL1877" s="76"/>
      <c r="AM1877" s="76"/>
      <c r="AN1877" s="76"/>
      <c r="AO1877" s="76"/>
      <c r="AP1877" s="76"/>
      <c r="AQ1877" s="76"/>
      <c r="AR1877" s="76"/>
      <c r="AS1877" s="76"/>
      <c r="AT1877" s="76"/>
      <c r="AU1877" s="76"/>
      <c r="AV1877" s="76"/>
      <c r="AW1877" s="76"/>
      <c r="AX1877" s="76"/>
      <c r="AY1877" s="76"/>
      <c r="AZ1877" s="76"/>
      <c r="BA1877" s="76"/>
      <c r="BB1877" s="76"/>
    </row>
    <row r="1878" spans="5:54" x14ac:dyDescent="0.35">
      <c r="E1878" s="83"/>
      <c r="F1878" s="83"/>
      <c r="G1878" s="76"/>
      <c r="H1878" s="76"/>
      <c r="I1878" s="76"/>
      <c r="J1878" s="76"/>
      <c r="K1878" s="76"/>
      <c r="L1878" s="76"/>
      <c r="M1878" s="76"/>
      <c r="N1878" s="76"/>
      <c r="O1878" s="76"/>
      <c r="P1878" s="76"/>
      <c r="Q1878" s="76"/>
      <c r="R1878" s="76"/>
      <c r="S1878" s="76"/>
      <c r="T1878" s="76"/>
      <c r="U1878" s="76"/>
      <c r="V1878" s="76"/>
      <c r="W1878" s="76"/>
      <c r="X1878" s="76"/>
      <c r="Y1878" s="76"/>
      <c r="Z1878" s="76"/>
      <c r="AA1878" s="76"/>
      <c r="AB1878" s="76"/>
      <c r="AC1878" s="76"/>
      <c r="AD1878" s="76"/>
      <c r="AE1878" s="76"/>
      <c r="AF1878" s="76"/>
      <c r="AG1878" s="76"/>
      <c r="AH1878" s="76"/>
      <c r="AI1878" s="76"/>
      <c r="AJ1878" s="76"/>
      <c r="AK1878" s="76"/>
      <c r="AL1878" s="76"/>
      <c r="AM1878" s="76"/>
      <c r="AN1878" s="76"/>
      <c r="AO1878" s="76"/>
      <c r="AP1878" s="76"/>
      <c r="AQ1878" s="76"/>
      <c r="AR1878" s="76"/>
      <c r="AS1878" s="76"/>
      <c r="AT1878" s="76"/>
      <c r="AU1878" s="76"/>
      <c r="AV1878" s="76"/>
      <c r="AW1878" s="76"/>
      <c r="AX1878" s="76"/>
      <c r="AY1878" s="76"/>
      <c r="AZ1878" s="76"/>
      <c r="BA1878" s="76"/>
      <c r="BB1878" s="76"/>
    </row>
    <row r="1879" spans="5:54" x14ac:dyDescent="0.35">
      <c r="E1879" s="83"/>
      <c r="F1879" s="83"/>
      <c r="G1879" s="76"/>
      <c r="H1879" s="76"/>
      <c r="I1879" s="76"/>
      <c r="J1879" s="76"/>
      <c r="K1879" s="76"/>
      <c r="L1879" s="76"/>
      <c r="M1879" s="76"/>
      <c r="N1879" s="76"/>
      <c r="O1879" s="76"/>
      <c r="P1879" s="76"/>
      <c r="Q1879" s="76"/>
      <c r="R1879" s="76"/>
      <c r="S1879" s="76"/>
      <c r="T1879" s="76"/>
      <c r="U1879" s="76"/>
      <c r="V1879" s="76"/>
      <c r="W1879" s="76"/>
      <c r="X1879" s="76"/>
      <c r="Y1879" s="76"/>
      <c r="Z1879" s="76"/>
      <c r="AA1879" s="76"/>
      <c r="AB1879" s="76"/>
      <c r="AC1879" s="76"/>
      <c r="AD1879" s="76"/>
      <c r="AE1879" s="76"/>
      <c r="AF1879" s="76"/>
      <c r="AG1879" s="76"/>
      <c r="AH1879" s="76"/>
      <c r="AI1879" s="76"/>
      <c r="AJ1879" s="76"/>
      <c r="AK1879" s="76"/>
      <c r="AL1879" s="76"/>
      <c r="AM1879" s="76"/>
      <c r="AN1879" s="76"/>
      <c r="AO1879" s="76"/>
      <c r="AP1879" s="76"/>
      <c r="AQ1879" s="76"/>
      <c r="AR1879" s="76"/>
      <c r="AS1879" s="76"/>
      <c r="AT1879" s="76"/>
      <c r="AU1879" s="76"/>
      <c r="AV1879" s="76"/>
      <c r="AW1879" s="76"/>
      <c r="AX1879" s="76"/>
      <c r="AY1879" s="76"/>
      <c r="AZ1879" s="76"/>
      <c r="BA1879" s="76"/>
      <c r="BB1879" s="76"/>
    </row>
    <row r="1880" spans="5:54" x14ac:dyDescent="0.35">
      <c r="E1880" s="83"/>
      <c r="F1880" s="83"/>
      <c r="G1880" s="76"/>
      <c r="H1880" s="76"/>
      <c r="I1880" s="76"/>
      <c r="J1880" s="76"/>
      <c r="K1880" s="76"/>
      <c r="L1880" s="76"/>
      <c r="M1880" s="76"/>
      <c r="N1880" s="76"/>
      <c r="O1880" s="76"/>
      <c r="P1880" s="76"/>
      <c r="Q1880" s="76"/>
      <c r="R1880" s="76"/>
      <c r="S1880" s="76"/>
      <c r="T1880" s="76"/>
      <c r="U1880" s="76"/>
      <c r="V1880" s="76"/>
      <c r="W1880" s="76"/>
      <c r="X1880" s="76"/>
      <c r="Y1880" s="76"/>
      <c r="Z1880" s="76"/>
      <c r="AA1880" s="76"/>
      <c r="AB1880" s="76"/>
      <c r="AC1880" s="76"/>
      <c r="AD1880" s="76"/>
      <c r="AE1880" s="76"/>
      <c r="AF1880" s="76"/>
      <c r="AG1880" s="76"/>
      <c r="AH1880" s="76"/>
      <c r="AI1880" s="76"/>
      <c r="AJ1880" s="76"/>
      <c r="AK1880" s="76"/>
      <c r="AL1880" s="76"/>
      <c r="AM1880" s="76"/>
      <c r="AN1880" s="76"/>
      <c r="AO1880" s="76"/>
      <c r="AP1880" s="76"/>
      <c r="AQ1880" s="76"/>
      <c r="AR1880" s="76"/>
      <c r="AS1880" s="76"/>
      <c r="AT1880" s="76"/>
      <c r="AU1880" s="76"/>
      <c r="AV1880" s="76"/>
      <c r="AW1880" s="76"/>
      <c r="AX1880" s="76"/>
      <c r="AY1880" s="76"/>
      <c r="AZ1880" s="76"/>
      <c r="BA1880" s="76"/>
      <c r="BB1880" s="76"/>
    </row>
    <row r="1881" spans="5:54" x14ac:dyDescent="0.35">
      <c r="E1881" s="83"/>
      <c r="F1881" s="83"/>
      <c r="G1881" s="76"/>
      <c r="H1881" s="76"/>
      <c r="I1881" s="76"/>
      <c r="J1881" s="76"/>
      <c r="K1881" s="76"/>
      <c r="L1881" s="76"/>
      <c r="M1881" s="76"/>
      <c r="N1881" s="76"/>
      <c r="O1881" s="76"/>
      <c r="P1881" s="76"/>
      <c r="Q1881" s="76"/>
      <c r="R1881" s="76"/>
      <c r="S1881" s="76"/>
      <c r="T1881" s="76"/>
      <c r="U1881" s="76"/>
      <c r="V1881" s="76"/>
      <c r="W1881" s="76"/>
      <c r="X1881" s="76"/>
      <c r="Y1881" s="76"/>
      <c r="Z1881" s="76"/>
      <c r="AA1881" s="76"/>
      <c r="AB1881" s="76"/>
      <c r="AC1881" s="76"/>
      <c r="AD1881" s="76"/>
      <c r="AE1881" s="76"/>
      <c r="AF1881" s="76"/>
      <c r="AG1881" s="76"/>
      <c r="AH1881" s="76"/>
      <c r="AI1881" s="76"/>
      <c r="AJ1881" s="76"/>
      <c r="AK1881" s="76"/>
      <c r="AL1881" s="76"/>
      <c r="AM1881" s="76"/>
      <c r="AN1881" s="76"/>
      <c r="AO1881" s="76"/>
      <c r="AP1881" s="76"/>
      <c r="AQ1881" s="76"/>
      <c r="AR1881" s="76"/>
      <c r="AS1881" s="76"/>
      <c r="AT1881" s="76"/>
      <c r="AU1881" s="76"/>
      <c r="AV1881" s="76"/>
      <c r="AW1881" s="76"/>
      <c r="AX1881" s="76"/>
      <c r="AY1881" s="76"/>
      <c r="AZ1881" s="76"/>
      <c r="BA1881" s="76"/>
      <c r="BB1881" s="76"/>
    </row>
    <row r="1882" spans="5:54" x14ac:dyDescent="0.35">
      <c r="E1882" s="83"/>
      <c r="F1882" s="83"/>
      <c r="G1882" s="76"/>
      <c r="H1882" s="76"/>
      <c r="I1882" s="76"/>
      <c r="J1882" s="76"/>
      <c r="K1882" s="76"/>
      <c r="L1882" s="76"/>
      <c r="M1882" s="76"/>
      <c r="N1882" s="76"/>
      <c r="O1882" s="76"/>
      <c r="P1882" s="76"/>
      <c r="Q1882" s="76"/>
      <c r="R1882" s="76"/>
      <c r="S1882" s="76"/>
      <c r="T1882" s="76"/>
      <c r="U1882" s="76"/>
      <c r="V1882" s="76"/>
      <c r="W1882" s="76"/>
      <c r="X1882" s="76"/>
      <c r="Y1882" s="76"/>
      <c r="Z1882" s="76"/>
      <c r="AA1882" s="76"/>
      <c r="AB1882" s="76"/>
      <c r="AC1882" s="76"/>
      <c r="AD1882" s="76"/>
      <c r="AE1882" s="76"/>
      <c r="AF1882" s="76"/>
      <c r="AG1882" s="76"/>
      <c r="AH1882" s="76"/>
      <c r="AI1882" s="76"/>
      <c r="AJ1882" s="76"/>
      <c r="AK1882" s="76"/>
      <c r="AL1882" s="76"/>
      <c r="AM1882" s="76"/>
      <c r="AN1882" s="76"/>
      <c r="AO1882" s="76"/>
      <c r="AP1882" s="76"/>
      <c r="AQ1882" s="76"/>
      <c r="AR1882" s="76"/>
      <c r="AS1882" s="76"/>
      <c r="AT1882" s="76"/>
      <c r="AU1882" s="76"/>
      <c r="AV1882" s="76"/>
      <c r="AW1882" s="76"/>
      <c r="AX1882" s="76"/>
      <c r="AY1882" s="76"/>
      <c r="AZ1882" s="76"/>
      <c r="BA1882" s="76"/>
      <c r="BB1882" s="76"/>
    </row>
    <row r="1883" spans="5:54" x14ac:dyDescent="0.35">
      <c r="E1883" s="83"/>
      <c r="F1883" s="83"/>
      <c r="G1883" s="76"/>
      <c r="H1883" s="76"/>
      <c r="I1883" s="76"/>
      <c r="J1883" s="76"/>
      <c r="K1883" s="76"/>
      <c r="L1883" s="76"/>
      <c r="M1883" s="76"/>
      <c r="N1883" s="76"/>
      <c r="O1883" s="76"/>
      <c r="P1883" s="76"/>
      <c r="Q1883" s="76"/>
      <c r="R1883" s="76"/>
      <c r="S1883" s="76"/>
      <c r="T1883" s="76"/>
      <c r="U1883" s="76"/>
      <c r="V1883" s="76"/>
      <c r="W1883" s="76"/>
      <c r="X1883" s="76"/>
      <c r="Y1883" s="76"/>
      <c r="Z1883" s="76"/>
      <c r="AA1883" s="76"/>
      <c r="AB1883" s="76"/>
      <c r="AC1883" s="76"/>
      <c r="AD1883" s="76"/>
      <c r="AE1883" s="76"/>
      <c r="AF1883" s="76"/>
      <c r="AG1883" s="76"/>
      <c r="AH1883" s="76"/>
      <c r="AI1883" s="76"/>
      <c r="AJ1883" s="76"/>
      <c r="AK1883" s="76"/>
      <c r="AL1883" s="76"/>
      <c r="AM1883" s="76"/>
      <c r="AN1883" s="76"/>
      <c r="AO1883" s="76"/>
      <c r="AP1883" s="76"/>
      <c r="AQ1883" s="76"/>
      <c r="AR1883" s="76"/>
      <c r="AS1883" s="76"/>
      <c r="AT1883" s="76"/>
      <c r="AU1883" s="76"/>
      <c r="AV1883" s="76"/>
      <c r="AW1883" s="76"/>
      <c r="AX1883" s="76"/>
      <c r="AY1883" s="76"/>
      <c r="AZ1883" s="76"/>
      <c r="BA1883" s="76"/>
      <c r="BB1883" s="76"/>
    </row>
    <row r="1884" spans="5:54" x14ac:dyDescent="0.35">
      <c r="E1884" s="83"/>
      <c r="F1884" s="83"/>
      <c r="G1884" s="76"/>
      <c r="H1884" s="76"/>
      <c r="I1884" s="76"/>
      <c r="J1884" s="76"/>
      <c r="K1884" s="76"/>
      <c r="L1884" s="76"/>
      <c r="M1884" s="76"/>
      <c r="N1884" s="76"/>
      <c r="O1884" s="76"/>
      <c r="P1884" s="76"/>
      <c r="Q1884" s="76"/>
      <c r="R1884" s="76"/>
      <c r="S1884" s="76"/>
      <c r="T1884" s="76"/>
      <c r="U1884" s="76"/>
      <c r="V1884" s="76"/>
      <c r="W1884" s="76"/>
      <c r="X1884" s="76"/>
      <c r="Y1884" s="76"/>
      <c r="Z1884" s="76"/>
      <c r="AA1884" s="76"/>
      <c r="AB1884" s="76"/>
      <c r="AC1884" s="76"/>
      <c r="AD1884" s="76"/>
      <c r="AE1884" s="76"/>
      <c r="AF1884" s="76"/>
      <c r="AG1884" s="76"/>
      <c r="AH1884" s="76"/>
      <c r="AI1884" s="76"/>
      <c r="AJ1884" s="76"/>
      <c r="AK1884" s="76"/>
      <c r="AL1884" s="76"/>
      <c r="AM1884" s="76"/>
      <c r="AN1884" s="76"/>
      <c r="AO1884" s="76"/>
      <c r="AP1884" s="76"/>
      <c r="AQ1884" s="76"/>
      <c r="AR1884" s="76"/>
      <c r="AS1884" s="76"/>
      <c r="AT1884" s="76"/>
      <c r="AU1884" s="76"/>
      <c r="AV1884" s="76"/>
      <c r="AW1884" s="76"/>
      <c r="AX1884" s="76"/>
      <c r="AY1884" s="76"/>
      <c r="AZ1884" s="76"/>
      <c r="BA1884" s="76"/>
      <c r="BB1884" s="76"/>
    </row>
    <row r="1885" spans="5:54" x14ac:dyDescent="0.35">
      <c r="E1885" s="83"/>
      <c r="F1885" s="83"/>
      <c r="G1885" s="76"/>
      <c r="H1885" s="76"/>
      <c r="I1885" s="76"/>
      <c r="J1885" s="76"/>
      <c r="K1885" s="76"/>
      <c r="L1885" s="76"/>
      <c r="M1885" s="76"/>
      <c r="N1885" s="76"/>
      <c r="O1885" s="76"/>
      <c r="P1885" s="76"/>
      <c r="Q1885" s="76"/>
      <c r="R1885" s="76"/>
      <c r="S1885" s="76"/>
      <c r="T1885" s="76"/>
      <c r="U1885" s="76"/>
      <c r="V1885" s="76"/>
      <c r="W1885" s="76"/>
      <c r="X1885" s="76"/>
      <c r="Y1885" s="76"/>
      <c r="Z1885" s="76"/>
      <c r="AA1885" s="76"/>
      <c r="AB1885" s="76"/>
      <c r="AC1885" s="76"/>
      <c r="AD1885" s="76"/>
      <c r="AE1885" s="76"/>
      <c r="AF1885" s="76"/>
      <c r="AG1885" s="76"/>
      <c r="AH1885" s="76"/>
      <c r="AI1885" s="76"/>
      <c r="AJ1885" s="76"/>
      <c r="AK1885" s="76"/>
      <c r="AL1885" s="76"/>
      <c r="AM1885" s="76"/>
      <c r="AN1885" s="76"/>
      <c r="AO1885" s="76"/>
      <c r="AP1885" s="76"/>
      <c r="AQ1885" s="76"/>
      <c r="AR1885" s="76"/>
      <c r="AS1885" s="76"/>
      <c r="AT1885" s="76"/>
      <c r="AU1885" s="76"/>
      <c r="AV1885" s="76"/>
      <c r="AW1885" s="76"/>
      <c r="AX1885" s="76"/>
      <c r="AY1885" s="76"/>
      <c r="AZ1885" s="76"/>
      <c r="BA1885" s="76"/>
      <c r="BB1885" s="76"/>
    </row>
    <row r="1886" spans="5:54" x14ac:dyDescent="0.35">
      <c r="E1886" s="83"/>
      <c r="F1886" s="83"/>
      <c r="G1886" s="76"/>
      <c r="H1886" s="76"/>
      <c r="I1886" s="76"/>
      <c r="J1886" s="76"/>
      <c r="K1886" s="76"/>
      <c r="L1886" s="76"/>
      <c r="M1886" s="76"/>
      <c r="N1886" s="76"/>
      <c r="O1886" s="76"/>
      <c r="P1886" s="76"/>
      <c r="Q1886" s="76"/>
      <c r="R1886" s="76"/>
      <c r="S1886" s="76"/>
      <c r="T1886" s="76"/>
      <c r="U1886" s="76"/>
      <c r="V1886" s="76"/>
      <c r="W1886" s="76"/>
      <c r="X1886" s="76"/>
      <c r="Y1886" s="76"/>
      <c r="Z1886" s="76"/>
      <c r="AA1886" s="76"/>
      <c r="AB1886" s="76"/>
      <c r="AC1886" s="76"/>
      <c r="AD1886" s="76"/>
      <c r="AE1886" s="76"/>
      <c r="AF1886" s="76"/>
      <c r="AG1886" s="76"/>
      <c r="AH1886" s="76"/>
      <c r="AI1886" s="76"/>
      <c r="AJ1886" s="76"/>
      <c r="AK1886" s="76"/>
      <c r="AL1886" s="76"/>
      <c r="AM1886" s="76"/>
      <c r="AN1886" s="76"/>
      <c r="AO1886" s="76"/>
      <c r="AP1886" s="76"/>
      <c r="AQ1886" s="76"/>
      <c r="AR1886" s="76"/>
      <c r="AS1886" s="76"/>
      <c r="AT1886" s="76"/>
      <c r="AU1886" s="76"/>
      <c r="AV1886" s="76"/>
      <c r="AW1886" s="76"/>
      <c r="AX1886" s="76"/>
      <c r="AY1886" s="76"/>
      <c r="AZ1886" s="76"/>
      <c r="BA1886" s="76"/>
      <c r="BB1886" s="76"/>
    </row>
    <row r="1887" spans="5:54" x14ac:dyDescent="0.35">
      <c r="E1887" s="83"/>
      <c r="F1887" s="83"/>
      <c r="G1887" s="76"/>
      <c r="H1887" s="76"/>
      <c r="I1887" s="76"/>
      <c r="J1887" s="76"/>
      <c r="K1887" s="76"/>
      <c r="L1887" s="76"/>
      <c r="M1887" s="76"/>
      <c r="N1887" s="76"/>
      <c r="O1887" s="76"/>
      <c r="P1887" s="76"/>
      <c r="Q1887" s="76"/>
      <c r="R1887" s="76"/>
      <c r="S1887" s="76"/>
      <c r="T1887" s="76"/>
      <c r="U1887" s="76"/>
      <c r="V1887" s="76"/>
      <c r="W1887" s="76"/>
      <c r="X1887" s="76"/>
      <c r="Y1887" s="76"/>
      <c r="Z1887" s="76"/>
      <c r="AA1887" s="76"/>
      <c r="AB1887" s="76"/>
      <c r="AC1887" s="76"/>
      <c r="AD1887" s="76"/>
      <c r="AE1887" s="76"/>
      <c r="AF1887" s="76"/>
      <c r="AG1887" s="76"/>
      <c r="AH1887" s="76"/>
      <c r="AI1887" s="76"/>
      <c r="AJ1887" s="76"/>
      <c r="AK1887" s="76"/>
      <c r="AL1887" s="76"/>
      <c r="AM1887" s="76"/>
      <c r="AN1887" s="76"/>
      <c r="AO1887" s="76"/>
      <c r="AP1887" s="76"/>
      <c r="AQ1887" s="76"/>
      <c r="AR1887" s="76"/>
      <c r="AS1887" s="76"/>
      <c r="AT1887" s="76"/>
      <c r="AU1887" s="76"/>
      <c r="AV1887" s="76"/>
      <c r="AW1887" s="76"/>
      <c r="AX1887" s="76"/>
      <c r="AY1887" s="76"/>
      <c r="AZ1887" s="76"/>
      <c r="BA1887" s="76"/>
      <c r="BB1887" s="76"/>
    </row>
    <row r="1888" spans="5:54" x14ac:dyDescent="0.35">
      <c r="E1888" s="83"/>
      <c r="F1888" s="83"/>
      <c r="G1888" s="76"/>
      <c r="H1888" s="76"/>
      <c r="I1888" s="76"/>
      <c r="J1888" s="76"/>
      <c r="K1888" s="76"/>
      <c r="L1888" s="76"/>
      <c r="M1888" s="76"/>
      <c r="N1888" s="76"/>
      <c r="O1888" s="76"/>
      <c r="P1888" s="76"/>
      <c r="Q1888" s="76"/>
      <c r="R1888" s="76"/>
      <c r="S1888" s="76"/>
      <c r="T1888" s="76"/>
      <c r="U1888" s="76"/>
      <c r="V1888" s="76"/>
      <c r="W1888" s="76"/>
      <c r="X1888" s="76"/>
      <c r="Y1888" s="76"/>
      <c r="Z1888" s="76"/>
      <c r="AA1888" s="76"/>
      <c r="AB1888" s="76"/>
      <c r="AC1888" s="76"/>
      <c r="AD1888" s="76"/>
      <c r="AE1888" s="76"/>
      <c r="AF1888" s="76"/>
      <c r="AG1888" s="76"/>
      <c r="AH1888" s="76"/>
      <c r="AI1888" s="76"/>
      <c r="AJ1888" s="76"/>
      <c r="AK1888" s="76"/>
      <c r="AL1888" s="76"/>
      <c r="AM1888" s="76"/>
      <c r="AN1888" s="76"/>
      <c r="AO1888" s="76"/>
      <c r="AP1888" s="76"/>
      <c r="AQ1888" s="76"/>
      <c r="AR1888" s="76"/>
      <c r="AS1888" s="76"/>
      <c r="AT1888" s="76"/>
      <c r="AU1888" s="76"/>
      <c r="AV1888" s="76"/>
      <c r="AW1888" s="76"/>
      <c r="AX1888" s="76"/>
      <c r="AY1888" s="76"/>
      <c r="AZ1888" s="76"/>
      <c r="BA1888" s="76"/>
      <c r="BB1888" s="76"/>
    </row>
    <row r="1889" spans="5:54" x14ac:dyDescent="0.35">
      <c r="E1889" s="83"/>
      <c r="F1889" s="83"/>
      <c r="G1889" s="76"/>
      <c r="H1889" s="76"/>
      <c r="I1889" s="76"/>
      <c r="J1889" s="76"/>
      <c r="K1889" s="76"/>
      <c r="L1889" s="76"/>
      <c r="M1889" s="76"/>
      <c r="N1889" s="76"/>
      <c r="O1889" s="76"/>
      <c r="P1889" s="76"/>
      <c r="Q1889" s="76"/>
      <c r="R1889" s="76"/>
      <c r="S1889" s="76"/>
      <c r="T1889" s="76"/>
      <c r="U1889" s="76"/>
      <c r="V1889" s="76"/>
      <c r="W1889" s="76"/>
      <c r="X1889" s="76"/>
      <c r="Y1889" s="76"/>
      <c r="Z1889" s="76"/>
      <c r="AA1889" s="76"/>
      <c r="AB1889" s="76"/>
      <c r="AC1889" s="76"/>
      <c r="AD1889" s="76"/>
      <c r="AE1889" s="76"/>
      <c r="AF1889" s="76"/>
      <c r="AG1889" s="76"/>
      <c r="AH1889" s="76"/>
      <c r="AI1889" s="76"/>
      <c r="AJ1889" s="76"/>
      <c r="AK1889" s="76"/>
      <c r="AL1889" s="76"/>
      <c r="AM1889" s="76"/>
      <c r="AN1889" s="76"/>
      <c r="AO1889" s="76"/>
      <c r="AP1889" s="76"/>
      <c r="AQ1889" s="76"/>
      <c r="AR1889" s="76"/>
      <c r="AS1889" s="76"/>
      <c r="AT1889" s="76"/>
      <c r="AU1889" s="76"/>
      <c r="AV1889" s="76"/>
      <c r="AW1889" s="76"/>
      <c r="AX1889" s="76"/>
      <c r="AY1889" s="76"/>
      <c r="AZ1889" s="76"/>
      <c r="BA1889" s="76"/>
      <c r="BB1889" s="76"/>
    </row>
    <row r="1890" spans="5:54" x14ac:dyDescent="0.35">
      <c r="E1890" s="83"/>
      <c r="F1890" s="83"/>
      <c r="G1890" s="76"/>
      <c r="H1890" s="76"/>
      <c r="I1890" s="76"/>
      <c r="J1890" s="76"/>
      <c r="K1890" s="76"/>
      <c r="L1890" s="76"/>
      <c r="M1890" s="76"/>
      <c r="N1890" s="76"/>
      <c r="O1890" s="76"/>
      <c r="P1890" s="76"/>
      <c r="Q1890" s="76"/>
      <c r="R1890" s="76"/>
      <c r="S1890" s="76"/>
      <c r="T1890" s="76"/>
      <c r="U1890" s="76"/>
      <c r="V1890" s="76"/>
      <c r="W1890" s="76"/>
      <c r="X1890" s="76"/>
      <c r="Y1890" s="76"/>
      <c r="Z1890" s="76"/>
      <c r="AA1890" s="76"/>
      <c r="AB1890" s="76"/>
      <c r="AC1890" s="76"/>
      <c r="AD1890" s="76"/>
      <c r="AE1890" s="76"/>
      <c r="AF1890" s="76"/>
      <c r="AG1890" s="76"/>
      <c r="AH1890" s="76"/>
      <c r="AI1890" s="76"/>
      <c r="AJ1890" s="76"/>
      <c r="AK1890" s="76"/>
      <c r="AL1890" s="76"/>
      <c r="AM1890" s="76"/>
      <c r="AN1890" s="76"/>
      <c r="AO1890" s="76"/>
      <c r="AP1890" s="76"/>
      <c r="AQ1890" s="76"/>
      <c r="AR1890" s="76"/>
      <c r="AS1890" s="76"/>
      <c r="AT1890" s="76"/>
      <c r="AU1890" s="76"/>
      <c r="AV1890" s="76"/>
      <c r="AW1890" s="76"/>
      <c r="AX1890" s="76"/>
      <c r="AY1890" s="76"/>
      <c r="AZ1890" s="76"/>
      <c r="BA1890" s="76"/>
      <c r="BB1890" s="76"/>
    </row>
    <row r="1891" spans="5:54" x14ac:dyDescent="0.35">
      <c r="E1891" s="83"/>
      <c r="F1891" s="83"/>
      <c r="G1891" s="76"/>
      <c r="H1891" s="76"/>
      <c r="I1891" s="76"/>
      <c r="J1891" s="76"/>
      <c r="K1891" s="76"/>
      <c r="L1891" s="76"/>
      <c r="M1891" s="76"/>
      <c r="N1891" s="76"/>
      <c r="O1891" s="76"/>
      <c r="P1891" s="76"/>
      <c r="Q1891" s="76"/>
      <c r="R1891" s="76"/>
      <c r="S1891" s="76"/>
      <c r="T1891" s="76"/>
      <c r="U1891" s="76"/>
      <c r="V1891" s="76"/>
      <c r="W1891" s="76"/>
      <c r="X1891" s="76"/>
      <c r="Y1891" s="76"/>
      <c r="Z1891" s="76"/>
      <c r="AA1891" s="76"/>
      <c r="AB1891" s="76"/>
      <c r="AC1891" s="76"/>
      <c r="AD1891" s="76"/>
      <c r="AE1891" s="76"/>
      <c r="AF1891" s="76"/>
      <c r="AG1891" s="76"/>
      <c r="AH1891" s="76"/>
      <c r="AI1891" s="76"/>
      <c r="AJ1891" s="76"/>
      <c r="AK1891" s="76"/>
      <c r="AL1891" s="76"/>
      <c r="AM1891" s="76"/>
      <c r="AN1891" s="76"/>
      <c r="AO1891" s="76"/>
      <c r="AP1891" s="76"/>
      <c r="AQ1891" s="76"/>
      <c r="AR1891" s="76"/>
      <c r="AS1891" s="76"/>
      <c r="AT1891" s="76"/>
      <c r="AU1891" s="76"/>
      <c r="AV1891" s="76"/>
      <c r="AW1891" s="76"/>
      <c r="AX1891" s="76"/>
      <c r="AY1891" s="76"/>
      <c r="AZ1891" s="76"/>
      <c r="BA1891" s="76"/>
      <c r="BB1891" s="76"/>
    </row>
    <row r="1892" spans="5:54" x14ac:dyDescent="0.35">
      <c r="E1892" s="83"/>
      <c r="F1892" s="83"/>
      <c r="G1892" s="76"/>
      <c r="H1892" s="76"/>
      <c r="I1892" s="76"/>
      <c r="J1892" s="76"/>
      <c r="K1892" s="76"/>
      <c r="L1892" s="76"/>
      <c r="M1892" s="76"/>
      <c r="N1892" s="76"/>
      <c r="O1892" s="76"/>
      <c r="P1892" s="76"/>
      <c r="Q1892" s="76"/>
      <c r="R1892" s="76"/>
      <c r="S1892" s="76"/>
      <c r="T1892" s="76"/>
      <c r="U1892" s="76"/>
      <c r="V1892" s="76"/>
      <c r="W1892" s="76"/>
      <c r="X1892" s="76"/>
      <c r="Y1892" s="76"/>
      <c r="Z1892" s="76"/>
      <c r="AA1892" s="76"/>
      <c r="AB1892" s="76"/>
      <c r="AC1892" s="76"/>
      <c r="AD1892" s="76"/>
      <c r="AE1892" s="76"/>
      <c r="AF1892" s="76"/>
      <c r="AG1892" s="76"/>
      <c r="AH1892" s="76"/>
      <c r="AI1892" s="76"/>
      <c r="AJ1892" s="76"/>
      <c r="AK1892" s="76"/>
      <c r="AL1892" s="76"/>
      <c r="AM1892" s="76"/>
      <c r="AN1892" s="76"/>
      <c r="AO1892" s="76"/>
      <c r="AP1892" s="76"/>
      <c r="AQ1892" s="76"/>
      <c r="AR1892" s="76"/>
      <c r="AS1892" s="76"/>
      <c r="AT1892" s="76"/>
      <c r="AU1892" s="76"/>
      <c r="AV1892" s="76"/>
      <c r="AW1892" s="76"/>
      <c r="AX1892" s="76"/>
      <c r="AY1892" s="76"/>
      <c r="AZ1892" s="76"/>
      <c r="BA1892" s="76"/>
      <c r="BB1892" s="76"/>
    </row>
    <row r="1893" spans="5:54" x14ac:dyDescent="0.35">
      <c r="E1893" s="83"/>
      <c r="F1893" s="83"/>
      <c r="G1893" s="76"/>
      <c r="H1893" s="76"/>
      <c r="I1893" s="76"/>
      <c r="J1893" s="76"/>
      <c r="K1893" s="76"/>
      <c r="L1893" s="76"/>
      <c r="M1893" s="76"/>
      <c r="N1893" s="76"/>
      <c r="O1893" s="76"/>
      <c r="P1893" s="76"/>
      <c r="Q1893" s="76"/>
      <c r="R1893" s="76"/>
      <c r="S1893" s="76"/>
      <c r="T1893" s="76"/>
      <c r="U1893" s="76"/>
      <c r="V1893" s="76"/>
      <c r="W1893" s="76"/>
      <c r="X1893" s="76"/>
      <c r="Y1893" s="76"/>
      <c r="Z1893" s="76"/>
      <c r="AA1893" s="76"/>
      <c r="AB1893" s="76"/>
      <c r="AC1893" s="76"/>
      <c r="AD1893" s="76"/>
      <c r="AE1893" s="76"/>
      <c r="AF1893" s="76"/>
      <c r="AG1893" s="76"/>
      <c r="AH1893" s="76"/>
      <c r="AI1893" s="76"/>
      <c r="AJ1893" s="76"/>
      <c r="AK1893" s="76"/>
      <c r="AL1893" s="76"/>
      <c r="AM1893" s="76"/>
      <c r="AN1893" s="76"/>
      <c r="AO1893" s="76"/>
      <c r="AP1893" s="76"/>
      <c r="AQ1893" s="76"/>
      <c r="AR1893" s="76"/>
      <c r="AS1893" s="76"/>
      <c r="AT1893" s="76"/>
      <c r="AU1893" s="76"/>
      <c r="AV1893" s="76"/>
      <c r="AW1893" s="76"/>
      <c r="AX1893" s="76"/>
      <c r="AY1893" s="76"/>
      <c r="AZ1893" s="76"/>
      <c r="BA1893" s="76"/>
      <c r="BB1893" s="76"/>
    </row>
    <row r="1894" spans="5:54" x14ac:dyDescent="0.35">
      <c r="E1894" s="83"/>
      <c r="F1894" s="83"/>
      <c r="G1894" s="76"/>
      <c r="H1894" s="76"/>
      <c r="I1894" s="76"/>
      <c r="J1894" s="76"/>
      <c r="K1894" s="76"/>
      <c r="L1894" s="76"/>
      <c r="M1894" s="76"/>
      <c r="N1894" s="76"/>
      <c r="O1894" s="76"/>
      <c r="P1894" s="76"/>
      <c r="Q1894" s="76"/>
      <c r="R1894" s="76"/>
      <c r="S1894" s="76"/>
      <c r="T1894" s="76"/>
      <c r="U1894" s="76"/>
      <c r="V1894" s="76"/>
      <c r="W1894" s="76"/>
      <c r="X1894" s="76"/>
      <c r="Y1894" s="76"/>
      <c r="Z1894" s="76"/>
      <c r="AA1894" s="76"/>
      <c r="AB1894" s="76"/>
      <c r="AC1894" s="76"/>
      <c r="AD1894" s="76"/>
      <c r="AE1894" s="76"/>
      <c r="AF1894" s="76"/>
      <c r="AG1894" s="76"/>
      <c r="AH1894" s="76"/>
      <c r="AI1894" s="76"/>
      <c r="AJ1894" s="76"/>
      <c r="AK1894" s="76"/>
      <c r="AL1894" s="76"/>
      <c r="AM1894" s="76"/>
      <c r="AN1894" s="76"/>
      <c r="AO1894" s="76"/>
      <c r="AP1894" s="76"/>
      <c r="AQ1894" s="76"/>
      <c r="AR1894" s="76"/>
      <c r="AS1894" s="76"/>
      <c r="AT1894" s="76"/>
      <c r="AU1894" s="76"/>
      <c r="AV1894" s="76"/>
      <c r="AW1894" s="76"/>
      <c r="AX1894" s="76"/>
      <c r="AY1894" s="76"/>
      <c r="AZ1894" s="76"/>
      <c r="BA1894" s="76"/>
      <c r="BB1894" s="76"/>
    </row>
    <row r="1895" spans="5:54" x14ac:dyDescent="0.35">
      <c r="E1895" s="83"/>
      <c r="F1895" s="83"/>
      <c r="G1895" s="76"/>
      <c r="H1895" s="76"/>
      <c r="I1895" s="76"/>
      <c r="J1895" s="76"/>
      <c r="K1895" s="76"/>
      <c r="L1895" s="76"/>
      <c r="M1895" s="76"/>
      <c r="N1895" s="76"/>
      <c r="O1895" s="76"/>
      <c r="P1895" s="76"/>
      <c r="Q1895" s="76"/>
      <c r="R1895" s="76"/>
      <c r="S1895" s="76"/>
      <c r="T1895" s="76"/>
      <c r="U1895" s="76"/>
      <c r="V1895" s="76"/>
      <c r="W1895" s="76"/>
      <c r="X1895" s="76"/>
      <c r="Y1895" s="76"/>
      <c r="Z1895" s="76"/>
      <c r="AA1895" s="76"/>
      <c r="AB1895" s="76"/>
      <c r="AC1895" s="76"/>
      <c r="AD1895" s="76"/>
      <c r="AE1895" s="76"/>
      <c r="AF1895" s="76"/>
      <c r="AG1895" s="76"/>
      <c r="AH1895" s="76"/>
      <c r="AI1895" s="76"/>
      <c r="AJ1895" s="76"/>
      <c r="AK1895" s="76"/>
      <c r="AL1895" s="76"/>
      <c r="AM1895" s="76"/>
      <c r="AN1895" s="76"/>
      <c r="AO1895" s="76"/>
      <c r="AP1895" s="76"/>
      <c r="AQ1895" s="76"/>
      <c r="AR1895" s="76"/>
      <c r="AS1895" s="76"/>
      <c r="AT1895" s="76"/>
      <c r="AU1895" s="76"/>
      <c r="AV1895" s="76"/>
      <c r="AW1895" s="76"/>
      <c r="AX1895" s="76"/>
      <c r="AY1895" s="76"/>
      <c r="AZ1895" s="76"/>
      <c r="BA1895" s="76"/>
      <c r="BB1895" s="76"/>
    </row>
    <row r="1896" spans="5:54" x14ac:dyDescent="0.35">
      <c r="E1896" s="83"/>
      <c r="F1896" s="83"/>
      <c r="G1896" s="76"/>
      <c r="H1896" s="76"/>
      <c r="I1896" s="76"/>
      <c r="J1896" s="76"/>
      <c r="K1896" s="76"/>
      <c r="L1896" s="76"/>
      <c r="M1896" s="76"/>
      <c r="N1896" s="76"/>
      <c r="O1896" s="76"/>
      <c r="P1896" s="76"/>
      <c r="Q1896" s="76"/>
      <c r="R1896" s="76"/>
      <c r="S1896" s="76"/>
      <c r="T1896" s="76"/>
      <c r="U1896" s="76"/>
      <c r="V1896" s="76"/>
      <c r="W1896" s="76"/>
      <c r="X1896" s="76"/>
      <c r="Y1896" s="76"/>
      <c r="Z1896" s="76"/>
      <c r="AA1896" s="76"/>
      <c r="AB1896" s="76"/>
      <c r="AC1896" s="76"/>
      <c r="AD1896" s="76"/>
      <c r="AE1896" s="76"/>
      <c r="AF1896" s="76"/>
      <c r="AG1896" s="76"/>
      <c r="AH1896" s="76"/>
      <c r="AI1896" s="76"/>
      <c r="AJ1896" s="76"/>
      <c r="AK1896" s="76"/>
      <c r="AL1896" s="76"/>
      <c r="AM1896" s="76"/>
      <c r="AN1896" s="76"/>
      <c r="AO1896" s="76"/>
      <c r="AP1896" s="76"/>
      <c r="AQ1896" s="76"/>
      <c r="AR1896" s="76"/>
      <c r="AS1896" s="76"/>
      <c r="AT1896" s="76"/>
      <c r="AU1896" s="76"/>
      <c r="AV1896" s="76"/>
      <c r="AW1896" s="76"/>
      <c r="AX1896" s="76"/>
      <c r="AY1896" s="76"/>
      <c r="AZ1896" s="76"/>
      <c r="BA1896" s="76"/>
      <c r="BB1896" s="76"/>
    </row>
    <row r="1897" spans="5:54" x14ac:dyDescent="0.35">
      <c r="E1897" s="83"/>
      <c r="F1897" s="83"/>
      <c r="G1897" s="76"/>
      <c r="H1897" s="76"/>
      <c r="I1897" s="76"/>
      <c r="J1897" s="76"/>
      <c r="K1897" s="76"/>
      <c r="L1897" s="76"/>
      <c r="M1897" s="76"/>
      <c r="N1897" s="76"/>
      <c r="O1897" s="76"/>
      <c r="P1897" s="76"/>
      <c r="Q1897" s="76"/>
      <c r="R1897" s="76"/>
      <c r="S1897" s="76"/>
      <c r="T1897" s="76"/>
      <c r="U1897" s="76"/>
      <c r="V1897" s="76"/>
      <c r="W1897" s="76"/>
      <c r="X1897" s="76"/>
      <c r="Y1897" s="76"/>
      <c r="Z1897" s="76"/>
      <c r="AA1897" s="76"/>
      <c r="AB1897" s="76"/>
      <c r="AC1897" s="76"/>
      <c r="AD1897" s="76"/>
      <c r="AE1897" s="76"/>
      <c r="AF1897" s="76"/>
      <c r="AG1897" s="76"/>
      <c r="AH1897" s="76"/>
      <c r="AI1897" s="76"/>
      <c r="AJ1897" s="76"/>
      <c r="AK1897" s="76"/>
      <c r="AL1897" s="76"/>
      <c r="AM1897" s="76"/>
      <c r="AN1897" s="76"/>
      <c r="AO1897" s="76"/>
      <c r="AP1897" s="76"/>
      <c r="AQ1897" s="76"/>
      <c r="AR1897" s="76"/>
      <c r="AS1897" s="76"/>
      <c r="AT1897" s="76"/>
      <c r="AU1897" s="76"/>
      <c r="AV1897" s="76"/>
      <c r="AW1897" s="76"/>
      <c r="AX1897" s="76"/>
      <c r="AY1897" s="76"/>
      <c r="AZ1897" s="76"/>
      <c r="BA1897" s="76"/>
      <c r="BB1897" s="76"/>
    </row>
    <row r="1898" spans="5:54" x14ac:dyDescent="0.35">
      <c r="E1898" s="83"/>
      <c r="F1898" s="83"/>
      <c r="G1898" s="76"/>
      <c r="H1898" s="76"/>
      <c r="I1898" s="76"/>
      <c r="J1898" s="76"/>
      <c r="K1898" s="76"/>
      <c r="L1898" s="76"/>
      <c r="M1898" s="76"/>
      <c r="N1898" s="76"/>
      <c r="O1898" s="76"/>
      <c r="P1898" s="76"/>
      <c r="Q1898" s="76"/>
      <c r="R1898" s="76"/>
      <c r="S1898" s="76"/>
      <c r="T1898" s="76"/>
      <c r="U1898" s="76"/>
      <c r="V1898" s="76"/>
      <c r="W1898" s="76"/>
      <c r="X1898" s="76"/>
      <c r="Y1898" s="76"/>
      <c r="Z1898" s="76"/>
      <c r="AA1898" s="76"/>
      <c r="AB1898" s="76"/>
      <c r="AC1898" s="76"/>
      <c r="AD1898" s="76"/>
      <c r="AE1898" s="76"/>
      <c r="AF1898" s="76"/>
      <c r="AG1898" s="76"/>
      <c r="AH1898" s="76"/>
      <c r="AI1898" s="76"/>
      <c r="AJ1898" s="76"/>
      <c r="AK1898" s="76"/>
      <c r="AL1898" s="76"/>
      <c r="AM1898" s="76"/>
      <c r="AN1898" s="76"/>
      <c r="AO1898" s="76"/>
      <c r="AP1898" s="76"/>
      <c r="AQ1898" s="76"/>
      <c r="AR1898" s="76"/>
      <c r="AS1898" s="76"/>
      <c r="AT1898" s="76"/>
      <c r="AU1898" s="76"/>
      <c r="AV1898" s="76"/>
      <c r="AW1898" s="76"/>
      <c r="AX1898" s="76"/>
      <c r="AY1898" s="76"/>
      <c r="AZ1898" s="76"/>
      <c r="BA1898" s="76"/>
      <c r="BB1898" s="76"/>
    </row>
    <row r="1899" spans="5:54" x14ac:dyDescent="0.35">
      <c r="E1899" s="83"/>
      <c r="F1899" s="83"/>
      <c r="G1899" s="76"/>
      <c r="H1899" s="76"/>
      <c r="I1899" s="76"/>
      <c r="J1899" s="76"/>
      <c r="K1899" s="76"/>
      <c r="L1899" s="76"/>
      <c r="M1899" s="76"/>
      <c r="N1899" s="76"/>
      <c r="O1899" s="76"/>
      <c r="P1899" s="76"/>
      <c r="Q1899" s="76"/>
      <c r="R1899" s="76"/>
      <c r="S1899" s="76"/>
      <c r="T1899" s="76"/>
      <c r="U1899" s="76"/>
      <c r="V1899" s="76"/>
      <c r="W1899" s="76"/>
      <c r="X1899" s="76"/>
      <c r="Y1899" s="76"/>
      <c r="Z1899" s="76"/>
      <c r="AA1899" s="76"/>
      <c r="AB1899" s="76"/>
      <c r="AC1899" s="76"/>
      <c r="AD1899" s="76"/>
      <c r="AE1899" s="76"/>
      <c r="AF1899" s="76"/>
      <c r="AG1899" s="76"/>
      <c r="AH1899" s="76"/>
      <c r="AI1899" s="76"/>
      <c r="AJ1899" s="76"/>
      <c r="AK1899" s="76"/>
      <c r="AL1899" s="76"/>
      <c r="AM1899" s="76"/>
      <c r="AN1899" s="76"/>
      <c r="AO1899" s="76"/>
      <c r="AP1899" s="76"/>
      <c r="AQ1899" s="76"/>
      <c r="AR1899" s="76"/>
      <c r="AS1899" s="76"/>
      <c r="AT1899" s="76"/>
      <c r="AU1899" s="76"/>
      <c r="AV1899" s="76"/>
      <c r="AW1899" s="76"/>
      <c r="AX1899" s="76"/>
      <c r="AY1899" s="76"/>
      <c r="AZ1899" s="76"/>
      <c r="BA1899" s="76"/>
      <c r="BB1899" s="76"/>
    </row>
    <row r="1900" spans="5:54" x14ac:dyDescent="0.35">
      <c r="E1900" s="83"/>
      <c r="F1900" s="83"/>
      <c r="G1900" s="76"/>
      <c r="H1900" s="76"/>
      <c r="I1900" s="76"/>
      <c r="J1900" s="76"/>
      <c r="K1900" s="76"/>
      <c r="L1900" s="76"/>
      <c r="M1900" s="76"/>
      <c r="N1900" s="76"/>
      <c r="O1900" s="76"/>
      <c r="P1900" s="76"/>
      <c r="Q1900" s="76"/>
      <c r="R1900" s="76"/>
      <c r="S1900" s="76"/>
      <c r="T1900" s="76"/>
      <c r="U1900" s="76"/>
      <c r="V1900" s="76"/>
      <c r="W1900" s="76"/>
      <c r="X1900" s="76"/>
      <c r="Y1900" s="76"/>
      <c r="Z1900" s="76"/>
      <c r="AA1900" s="76"/>
      <c r="AB1900" s="76"/>
      <c r="AC1900" s="76"/>
      <c r="AD1900" s="76"/>
      <c r="AE1900" s="76"/>
      <c r="AF1900" s="76"/>
      <c r="AG1900" s="76"/>
      <c r="AH1900" s="76"/>
      <c r="AI1900" s="76"/>
      <c r="AJ1900" s="76"/>
      <c r="AK1900" s="76"/>
      <c r="AL1900" s="76"/>
      <c r="AM1900" s="76"/>
      <c r="AN1900" s="76"/>
      <c r="AO1900" s="76"/>
      <c r="AP1900" s="76"/>
      <c r="AQ1900" s="76"/>
      <c r="AR1900" s="76"/>
      <c r="AS1900" s="76"/>
      <c r="AT1900" s="76"/>
      <c r="AU1900" s="76"/>
      <c r="AV1900" s="76"/>
      <c r="AW1900" s="76"/>
      <c r="AX1900" s="76"/>
      <c r="AY1900" s="76"/>
      <c r="AZ1900" s="76"/>
      <c r="BA1900" s="76"/>
      <c r="BB1900" s="76"/>
    </row>
    <row r="1901" spans="5:54" x14ac:dyDescent="0.35">
      <c r="E1901" s="83"/>
      <c r="F1901" s="83"/>
      <c r="G1901" s="76"/>
      <c r="H1901" s="76"/>
      <c r="I1901" s="76"/>
      <c r="J1901" s="76"/>
      <c r="K1901" s="76"/>
      <c r="L1901" s="76"/>
      <c r="M1901" s="76"/>
      <c r="N1901" s="76"/>
      <c r="O1901" s="76"/>
      <c r="P1901" s="76"/>
      <c r="Q1901" s="76"/>
      <c r="R1901" s="76"/>
      <c r="S1901" s="76"/>
      <c r="T1901" s="76"/>
      <c r="U1901" s="76"/>
      <c r="V1901" s="76"/>
      <c r="W1901" s="76"/>
      <c r="X1901" s="76"/>
      <c r="Y1901" s="76"/>
      <c r="Z1901" s="76"/>
      <c r="AA1901" s="76"/>
      <c r="AB1901" s="76"/>
      <c r="AC1901" s="76"/>
      <c r="AD1901" s="76"/>
      <c r="AE1901" s="76"/>
      <c r="AF1901" s="76"/>
      <c r="AG1901" s="76"/>
      <c r="AH1901" s="76"/>
      <c r="AI1901" s="76"/>
      <c r="AJ1901" s="76"/>
      <c r="AK1901" s="76"/>
      <c r="AL1901" s="76"/>
      <c r="AM1901" s="76"/>
      <c r="AN1901" s="76"/>
      <c r="AO1901" s="76"/>
      <c r="AP1901" s="76"/>
      <c r="AQ1901" s="76"/>
      <c r="AR1901" s="76"/>
      <c r="AS1901" s="76"/>
      <c r="AT1901" s="76"/>
      <c r="AU1901" s="76"/>
      <c r="AV1901" s="76"/>
      <c r="AW1901" s="76"/>
      <c r="AX1901" s="76"/>
      <c r="AY1901" s="76"/>
      <c r="AZ1901" s="76"/>
      <c r="BA1901" s="76"/>
      <c r="BB1901" s="76"/>
    </row>
    <row r="1902" spans="5:54" x14ac:dyDescent="0.35">
      <c r="E1902" s="83"/>
      <c r="F1902" s="83"/>
      <c r="G1902" s="76"/>
      <c r="H1902" s="76"/>
      <c r="I1902" s="76"/>
      <c r="J1902" s="76"/>
      <c r="K1902" s="76"/>
      <c r="L1902" s="76"/>
      <c r="M1902" s="76"/>
      <c r="N1902" s="76"/>
      <c r="O1902" s="76"/>
      <c r="P1902" s="76"/>
      <c r="Q1902" s="76"/>
      <c r="R1902" s="76"/>
      <c r="S1902" s="76"/>
      <c r="T1902" s="76"/>
      <c r="U1902" s="76"/>
      <c r="V1902" s="76"/>
      <c r="W1902" s="76"/>
      <c r="X1902" s="76"/>
      <c r="Y1902" s="76"/>
      <c r="Z1902" s="76"/>
      <c r="AA1902" s="76"/>
      <c r="AB1902" s="76"/>
      <c r="AC1902" s="76"/>
      <c r="AD1902" s="76"/>
      <c r="AE1902" s="76"/>
      <c r="AF1902" s="76"/>
      <c r="AG1902" s="76"/>
      <c r="AH1902" s="76"/>
      <c r="AI1902" s="76"/>
      <c r="AJ1902" s="76"/>
      <c r="AK1902" s="76"/>
      <c r="AL1902" s="76"/>
      <c r="AM1902" s="76"/>
      <c r="AN1902" s="76"/>
      <c r="AO1902" s="76"/>
      <c r="AP1902" s="76"/>
      <c r="AQ1902" s="76"/>
      <c r="AR1902" s="76"/>
      <c r="AS1902" s="76"/>
      <c r="AT1902" s="76"/>
      <c r="AU1902" s="76"/>
      <c r="AV1902" s="76"/>
      <c r="AW1902" s="76"/>
      <c r="AX1902" s="76"/>
      <c r="AY1902" s="76"/>
      <c r="AZ1902" s="76"/>
      <c r="BA1902" s="76"/>
      <c r="BB1902" s="76"/>
    </row>
    <row r="1903" spans="5:54" x14ac:dyDescent="0.35">
      <c r="E1903" s="83"/>
      <c r="F1903" s="83"/>
      <c r="G1903" s="76"/>
      <c r="H1903" s="76"/>
      <c r="I1903" s="76"/>
      <c r="J1903" s="76"/>
      <c r="K1903" s="76"/>
      <c r="L1903" s="76"/>
      <c r="M1903" s="76"/>
      <c r="N1903" s="76"/>
      <c r="O1903" s="76"/>
      <c r="P1903" s="76"/>
      <c r="Q1903" s="76"/>
      <c r="R1903" s="76"/>
      <c r="S1903" s="76"/>
      <c r="T1903" s="76"/>
      <c r="U1903" s="76"/>
      <c r="V1903" s="76"/>
      <c r="W1903" s="76"/>
      <c r="X1903" s="76"/>
      <c r="Y1903" s="76"/>
      <c r="Z1903" s="76"/>
      <c r="AA1903" s="76"/>
      <c r="AB1903" s="76"/>
      <c r="AC1903" s="76"/>
      <c r="AD1903" s="76"/>
      <c r="AE1903" s="76"/>
      <c r="AF1903" s="76"/>
      <c r="AG1903" s="76"/>
      <c r="AH1903" s="76"/>
      <c r="AI1903" s="76"/>
      <c r="AJ1903" s="76"/>
      <c r="AK1903" s="76"/>
      <c r="AL1903" s="76"/>
      <c r="AM1903" s="76"/>
      <c r="AN1903" s="76"/>
      <c r="AO1903" s="76"/>
      <c r="AP1903" s="76"/>
      <c r="AQ1903" s="76"/>
      <c r="AR1903" s="76"/>
      <c r="AS1903" s="76"/>
      <c r="AT1903" s="76"/>
      <c r="AU1903" s="76"/>
      <c r="AV1903" s="76"/>
      <c r="AW1903" s="76"/>
      <c r="AX1903" s="76"/>
      <c r="AY1903" s="76"/>
      <c r="AZ1903" s="76"/>
      <c r="BA1903" s="76"/>
      <c r="BB1903" s="76"/>
    </row>
    <row r="1904" spans="5:54" x14ac:dyDescent="0.35">
      <c r="E1904" s="83"/>
      <c r="F1904" s="83"/>
      <c r="G1904" s="76"/>
      <c r="H1904" s="76"/>
      <c r="I1904" s="76"/>
      <c r="J1904" s="76"/>
      <c r="K1904" s="76"/>
      <c r="L1904" s="76"/>
      <c r="M1904" s="76"/>
      <c r="N1904" s="76"/>
      <c r="O1904" s="76"/>
      <c r="P1904" s="76"/>
      <c r="Q1904" s="76"/>
      <c r="R1904" s="76"/>
      <c r="S1904" s="76"/>
      <c r="T1904" s="76"/>
      <c r="U1904" s="76"/>
      <c r="V1904" s="76"/>
      <c r="W1904" s="76"/>
      <c r="X1904" s="76"/>
      <c r="Y1904" s="76"/>
      <c r="Z1904" s="76"/>
      <c r="AA1904" s="76"/>
      <c r="AB1904" s="76"/>
      <c r="AC1904" s="76"/>
      <c r="AD1904" s="76"/>
      <c r="AE1904" s="76"/>
      <c r="AF1904" s="76"/>
      <c r="AG1904" s="76"/>
      <c r="AH1904" s="76"/>
      <c r="AI1904" s="76"/>
      <c r="AJ1904" s="76"/>
      <c r="AK1904" s="76"/>
      <c r="AL1904" s="76"/>
      <c r="AM1904" s="76"/>
      <c r="AN1904" s="76"/>
      <c r="AO1904" s="76"/>
      <c r="AP1904" s="76"/>
      <c r="AQ1904" s="76"/>
      <c r="AR1904" s="76"/>
      <c r="AS1904" s="76"/>
      <c r="AT1904" s="76"/>
      <c r="AU1904" s="76"/>
      <c r="AV1904" s="76"/>
      <c r="AW1904" s="76"/>
      <c r="AX1904" s="76"/>
      <c r="AY1904" s="76"/>
      <c r="AZ1904" s="76"/>
      <c r="BA1904" s="76"/>
      <c r="BB1904" s="76"/>
    </row>
    <row r="1905" spans="5:54" x14ac:dyDescent="0.35">
      <c r="E1905" s="83"/>
      <c r="F1905" s="83"/>
      <c r="G1905" s="76"/>
      <c r="H1905" s="76"/>
      <c r="I1905" s="76"/>
      <c r="J1905" s="76"/>
      <c r="K1905" s="76"/>
      <c r="L1905" s="76"/>
      <c r="M1905" s="76"/>
      <c r="N1905" s="76"/>
      <c r="O1905" s="76"/>
      <c r="P1905" s="76"/>
      <c r="Q1905" s="76"/>
      <c r="R1905" s="76"/>
      <c r="S1905" s="76"/>
      <c r="T1905" s="76"/>
      <c r="U1905" s="76"/>
      <c r="V1905" s="76"/>
      <c r="W1905" s="76"/>
      <c r="X1905" s="76"/>
      <c r="Y1905" s="76"/>
      <c r="Z1905" s="76"/>
      <c r="AA1905" s="76"/>
      <c r="AB1905" s="76"/>
      <c r="AC1905" s="76"/>
      <c r="AD1905" s="76"/>
      <c r="AE1905" s="76"/>
      <c r="AF1905" s="76"/>
      <c r="AG1905" s="76"/>
      <c r="AH1905" s="76"/>
      <c r="AI1905" s="76"/>
      <c r="AJ1905" s="76"/>
      <c r="AK1905" s="76"/>
      <c r="AL1905" s="76"/>
      <c r="AM1905" s="76"/>
      <c r="AN1905" s="76"/>
      <c r="AO1905" s="76"/>
      <c r="AP1905" s="76"/>
      <c r="AQ1905" s="76"/>
      <c r="AR1905" s="76"/>
      <c r="AS1905" s="76"/>
      <c r="AT1905" s="76"/>
      <c r="AU1905" s="76"/>
      <c r="AV1905" s="76"/>
      <c r="AW1905" s="76"/>
      <c r="AX1905" s="76"/>
      <c r="AY1905" s="76"/>
      <c r="AZ1905" s="76"/>
      <c r="BA1905" s="76"/>
      <c r="BB1905" s="76"/>
    </row>
    <row r="1906" spans="5:54" x14ac:dyDescent="0.35">
      <c r="E1906" s="83"/>
      <c r="F1906" s="83"/>
      <c r="G1906" s="76"/>
      <c r="H1906" s="76"/>
      <c r="I1906" s="76"/>
      <c r="J1906" s="76"/>
      <c r="K1906" s="76"/>
      <c r="L1906" s="76"/>
      <c r="M1906" s="76"/>
      <c r="N1906" s="76"/>
      <c r="O1906" s="76"/>
      <c r="P1906" s="76"/>
      <c r="Q1906" s="76"/>
      <c r="R1906" s="76"/>
      <c r="S1906" s="76"/>
      <c r="T1906" s="76"/>
      <c r="U1906" s="76"/>
      <c r="V1906" s="76"/>
      <c r="W1906" s="76"/>
      <c r="X1906" s="76"/>
      <c r="Y1906" s="76"/>
      <c r="Z1906" s="76"/>
      <c r="AA1906" s="76"/>
      <c r="AB1906" s="76"/>
      <c r="AC1906" s="76"/>
      <c r="AD1906" s="76"/>
      <c r="AE1906" s="76"/>
      <c r="AF1906" s="76"/>
      <c r="AG1906" s="76"/>
      <c r="AH1906" s="76"/>
      <c r="AI1906" s="76"/>
      <c r="AJ1906" s="76"/>
      <c r="AK1906" s="76"/>
      <c r="AL1906" s="76"/>
      <c r="AM1906" s="76"/>
      <c r="AN1906" s="76"/>
      <c r="AO1906" s="76"/>
      <c r="AP1906" s="76"/>
      <c r="AQ1906" s="76"/>
      <c r="AR1906" s="76"/>
      <c r="AS1906" s="76"/>
      <c r="AT1906" s="76"/>
      <c r="AU1906" s="76"/>
      <c r="AV1906" s="76"/>
      <c r="AW1906" s="76"/>
      <c r="AX1906" s="76"/>
      <c r="AY1906" s="76"/>
      <c r="AZ1906" s="76"/>
      <c r="BA1906" s="76"/>
      <c r="BB1906" s="76"/>
    </row>
    <row r="1907" spans="5:54" x14ac:dyDescent="0.35">
      <c r="E1907" s="83"/>
      <c r="F1907" s="83"/>
      <c r="G1907" s="76"/>
      <c r="H1907" s="76"/>
      <c r="I1907" s="76"/>
      <c r="J1907" s="76"/>
      <c r="K1907" s="76"/>
      <c r="L1907" s="76"/>
      <c r="M1907" s="76"/>
      <c r="N1907" s="76"/>
      <c r="O1907" s="76"/>
      <c r="P1907" s="76"/>
      <c r="Q1907" s="76"/>
      <c r="R1907" s="76"/>
      <c r="S1907" s="76"/>
      <c r="T1907" s="76"/>
      <c r="U1907" s="76"/>
      <c r="V1907" s="76"/>
      <c r="W1907" s="76"/>
      <c r="X1907" s="76"/>
      <c r="Y1907" s="76"/>
      <c r="Z1907" s="76"/>
      <c r="AA1907" s="76"/>
      <c r="AB1907" s="76"/>
      <c r="AC1907" s="76"/>
      <c r="AD1907" s="76"/>
      <c r="AE1907" s="76"/>
      <c r="AF1907" s="76"/>
      <c r="AG1907" s="76"/>
      <c r="AH1907" s="76"/>
      <c r="AI1907" s="76"/>
      <c r="AJ1907" s="76"/>
      <c r="AK1907" s="76"/>
      <c r="AL1907" s="76"/>
      <c r="AM1907" s="76"/>
      <c r="AN1907" s="76"/>
      <c r="AO1907" s="76"/>
      <c r="AP1907" s="76"/>
      <c r="AQ1907" s="76"/>
      <c r="AR1907" s="76"/>
      <c r="AS1907" s="76"/>
      <c r="AT1907" s="76"/>
      <c r="AU1907" s="76"/>
      <c r="AV1907" s="76"/>
      <c r="AW1907" s="76"/>
      <c r="AX1907" s="76"/>
      <c r="AY1907" s="76"/>
      <c r="AZ1907" s="76"/>
      <c r="BA1907" s="76"/>
      <c r="BB1907" s="76"/>
    </row>
    <row r="1908" spans="5:54" x14ac:dyDescent="0.35">
      <c r="E1908" s="83"/>
      <c r="F1908" s="83"/>
      <c r="G1908" s="76"/>
      <c r="H1908" s="76"/>
      <c r="I1908" s="76"/>
      <c r="J1908" s="76"/>
      <c r="K1908" s="76"/>
      <c r="L1908" s="76"/>
      <c r="M1908" s="76"/>
      <c r="N1908" s="76"/>
      <c r="O1908" s="76"/>
      <c r="P1908" s="76"/>
      <c r="Q1908" s="76"/>
      <c r="R1908" s="76"/>
      <c r="S1908" s="76"/>
      <c r="T1908" s="76"/>
      <c r="U1908" s="76"/>
      <c r="V1908" s="76"/>
      <c r="W1908" s="76"/>
      <c r="X1908" s="76"/>
      <c r="Y1908" s="76"/>
      <c r="Z1908" s="76"/>
      <c r="AA1908" s="76"/>
      <c r="AB1908" s="76"/>
      <c r="AC1908" s="76"/>
      <c r="AD1908" s="76"/>
      <c r="AE1908" s="76"/>
      <c r="AF1908" s="76"/>
      <c r="AG1908" s="76"/>
      <c r="AH1908" s="76"/>
      <c r="AI1908" s="76"/>
      <c r="AJ1908" s="76"/>
      <c r="AK1908" s="76"/>
      <c r="AL1908" s="76"/>
      <c r="AM1908" s="76"/>
      <c r="AN1908" s="76"/>
      <c r="AO1908" s="76"/>
      <c r="AP1908" s="76"/>
      <c r="AQ1908" s="76"/>
      <c r="AR1908" s="76"/>
      <c r="AS1908" s="76"/>
      <c r="AT1908" s="76"/>
      <c r="AU1908" s="76"/>
      <c r="AV1908" s="76"/>
      <c r="AW1908" s="76"/>
      <c r="AX1908" s="76"/>
      <c r="AY1908" s="76"/>
      <c r="AZ1908" s="76"/>
      <c r="BA1908" s="76"/>
      <c r="BB1908" s="76"/>
    </row>
    <row r="1909" spans="5:54" x14ac:dyDescent="0.35">
      <c r="E1909" s="83"/>
      <c r="F1909" s="83"/>
      <c r="G1909" s="76"/>
      <c r="H1909" s="76"/>
      <c r="I1909" s="76"/>
      <c r="J1909" s="76"/>
      <c r="K1909" s="76"/>
      <c r="L1909" s="76"/>
      <c r="M1909" s="76"/>
      <c r="N1909" s="76"/>
      <c r="O1909" s="76"/>
      <c r="P1909" s="76"/>
      <c r="Q1909" s="76"/>
      <c r="R1909" s="76"/>
      <c r="S1909" s="76"/>
      <c r="T1909" s="76"/>
      <c r="U1909" s="76"/>
      <c r="V1909" s="76"/>
      <c r="W1909" s="76"/>
      <c r="X1909" s="76"/>
      <c r="Y1909" s="76"/>
      <c r="Z1909" s="76"/>
      <c r="AA1909" s="76"/>
      <c r="AB1909" s="76"/>
      <c r="AC1909" s="76"/>
      <c r="AD1909" s="76"/>
      <c r="AE1909" s="76"/>
      <c r="AF1909" s="76"/>
      <c r="AG1909" s="76"/>
      <c r="AH1909" s="76"/>
      <c r="AI1909" s="76"/>
      <c r="AJ1909" s="76"/>
      <c r="AK1909" s="76"/>
      <c r="AL1909" s="76"/>
      <c r="AM1909" s="76"/>
      <c r="AN1909" s="76"/>
      <c r="AO1909" s="76"/>
      <c r="AP1909" s="76"/>
      <c r="AQ1909" s="76"/>
      <c r="AR1909" s="76"/>
      <c r="AS1909" s="76"/>
      <c r="AT1909" s="76"/>
      <c r="AU1909" s="76"/>
      <c r="AV1909" s="76"/>
      <c r="AW1909" s="76"/>
      <c r="AX1909" s="76"/>
      <c r="AY1909" s="76"/>
      <c r="AZ1909" s="76"/>
      <c r="BA1909" s="76"/>
      <c r="BB1909" s="76"/>
    </row>
    <row r="1910" spans="5:54" x14ac:dyDescent="0.35">
      <c r="E1910" s="83"/>
      <c r="F1910" s="83"/>
      <c r="G1910" s="76"/>
      <c r="H1910" s="76"/>
      <c r="I1910" s="76"/>
      <c r="J1910" s="76"/>
      <c r="K1910" s="76"/>
      <c r="L1910" s="76"/>
      <c r="M1910" s="76"/>
      <c r="N1910" s="76"/>
      <c r="O1910" s="76"/>
      <c r="P1910" s="76"/>
      <c r="Q1910" s="76"/>
      <c r="R1910" s="76"/>
      <c r="S1910" s="76"/>
      <c r="T1910" s="76"/>
      <c r="U1910" s="76"/>
      <c r="V1910" s="76"/>
      <c r="W1910" s="76"/>
      <c r="X1910" s="76"/>
      <c r="Y1910" s="76"/>
      <c r="Z1910" s="76"/>
      <c r="AA1910" s="76"/>
      <c r="AB1910" s="76"/>
      <c r="AC1910" s="76"/>
      <c r="AD1910" s="76"/>
      <c r="AE1910" s="76"/>
      <c r="AF1910" s="76"/>
      <c r="AG1910" s="76"/>
      <c r="AH1910" s="76"/>
      <c r="AI1910" s="76"/>
      <c r="AJ1910" s="76"/>
      <c r="AK1910" s="76"/>
      <c r="AL1910" s="76"/>
      <c r="AM1910" s="76"/>
      <c r="AN1910" s="76"/>
      <c r="AO1910" s="76"/>
      <c r="AP1910" s="76"/>
      <c r="AQ1910" s="76"/>
      <c r="AR1910" s="76"/>
      <c r="AS1910" s="76"/>
      <c r="AT1910" s="76"/>
      <c r="AU1910" s="76"/>
      <c r="AV1910" s="76"/>
      <c r="AW1910" s="76"/>
      <c r="AX1910" s="76"/>
      <c r="AY1910" s="76"/>
      <c r="AZ1910" s="76"/>
      <c r="BA1910" s="76"/>
      <c r="BB1910" s="76"/>
    </row>
    <row r="1911" spans="5:54" x14ac:dyDescent="0.35">
      <c r="E1911" s="83"/>
      <c r="F1911" s="83"/>
      <c r="G1911" s="76"/>
      <c r="H1911" s="76"/>
      <c r="I1911" s="76"/>
      <c r="J1911" s="76"/>
      <c r="K1911" s="76"/>
      <c r="L1911" s="76"/>
      <c r="M1911" s="76"/>
      <c r="N1911" s="76"/>
      <c r="O1911" s="76"/>
      <c r="P1911" s="76"/>
      <c r="Q1911" s="76"/>
      <c r="R1911" s="76"/>
      <c r="S1911" s="76"/>
      <c r="T1911" s="76"/>
      <c r="U1911" s="76"/>
      <c r="V1911" s="76"/>
      <c r="W1911" s="76"/>
      <c r="X1911" s="76"/>
      <c r="Y1911" s="76"/>
      <c r="Z1911" s="76"/>
      <c r="AA1911" s="76"/>
      <c r="AB1911" s="76"/>
      <c r="AC1911" s="76"/>
      <c r="AD1911" s="76"/>
      <c r="AE1911" s="76"/>
      <c r="AF1911" s="76"/>
      <c r="AG1911" s="76"/>
      <c r="AH1911" s="76"/>
      <c r="AI1911" s="76"/>
      <c r="AJ1911" s="76"/>
      <c r="AK1911" s="76"/>
      <c r="AL1911" s="76"/>
      <c r="AM1911" s="76"/>
      <c r="AN1911" s="76"/>
      <c r="AO1911" s="76"/>
      <c r="AP1911" s="76"/>
      <c r="AQ1911" s="76"/>
      <c r="AR1911" s="76"/>
      <c r="AS1911" s="76"/>
      <c r="AT1911" s="76"/>
      <c r="AU1911" s="76"/>
      <c r="AV1911" s="76"/>
      <c r="AW1911" s="76"/>
      <c r="AX1911" s="76"/>
      <c r="AY1911" s="76"/>
      <c r="AZ1911" s="76"/>
      <c r="BA1911" s="76"/>
      <c r="BB1911" s="76"/>
    </row>
    <row r="1912" spans="5:54" x14ac:dyDescent="0.35">
      <c r="E1912" s="83"/>
      <c r="F1912" s="83"/>
      <c r="G1912" s="76"/>
      <c r="H1912" s="76"/>
      <c r="I1912" s="76"/>
      <c r="J1912" s="76"/>
      <c r="K1912" s="76"/>
      <c r="L1912" s="76"/>
      <c r="M1912" s="76"/>
      <c r="N1912" s="76"/>
      <c r="O1912" s="76"/>
      <c r="P1912" s="76"/>
      <c r="Q1912" s="76"/>
      <c r="R1912" s="76"/>
      <c r="S1912" s="76"/>
      <c r="T1912" s="76"/>
      <c r="U1912" s="76"/>
      <c r="V1912" s="76"/>
      <c r="W1912" s="76"/>
      <c r="X1912" s="76"/>
      <c r="Y1912" s="76"/>
      <c r="Z1912" s="76"/>
      <c r="AA1912" s="76"/>
      <c r="AB1912" s="76"/>
      <c r="AC1912" s="76"/>
      <c r="AD1912" s="76"/>
      <c r="AE1912" s="76"/>
      <c r="AF1912" s="76"/>
      <c r="AG1912" s="76"/>
      <c r="AH1912" s="76"/>
      <c r="AI1912" s="76"/>
      <c r="AJ1912" s="76"/>
      <c r="AK1912" s="76"/>
      <c r="AL1912" s="76"/>
      <c r="AM1912" s="76"/>
      <c r="AN1912" s="76"/>
      <c r="AO1912" s="76"/>
      <c r="AP1912" s="76"/>
      <c r="AQ1912" s="76"/>
      <c r="AR1912" s="76"/>
      <c r="AS1912" s="76"/>
      <c r="AT1912" s="76"/>
      <c r="AU1912" s="76"/>
      <c r="AV1912" s="76"/>
      <c r="AW1912" s="76"/>
      <c r="AX1912" s="76"/>
      <c r="AY1912" s="76"/>
      <c r="AZ1912" s="76"/>
      <c r="BA1912" s="76"/>
      <c r="BB1912" s="76"/>
    </row>
    <row r="1913" spans="5:54" x14ac:dyDescent="0.35">
      <c r="E1913" s="83"/>
      <c r="F1913" s="83"/>
      <c r="G1913" s="76"/>
      <c r="H1913" s="76"/>
      <c r="I1913" s="76"/>
      <c r="J1913" s="76"/>
      <c r="K1913" s="76"/>
      <c r="L1913" s="76"/>
      <c r="M1913" s="76"/>
      <c r="N1913" s="76"/>
      <c r="O1913" s="76"/>
      <c r="P1913" s="76"/>
      <c r="Q1913" s="76"/>
      <c r="R1913" s="76"/>
      <c r="S1913" s="76"/>
      <c r="T1913" s="76"/>
      <c r="U1913" s="76"/>
      <c r="V1913" s="76"/>
      <c r="W1913" s="76"/>
      <c r="X1913" s="76"/>
      <c r="Y1913" s="76"/>
      <c r="Z1913" s="76"/>
      <c r="AA1913" s="76"/>
      <c r="AB1913" s="76"/>
      <c r="AC1913" s="76"/>
      <c r="AD1913" s="76"/>
      <c r="AE1913" s="76"/>
      <c r="AF1913" s="76"/>
      <c r="AG1913" s="76"/>
      <c r="AH1913" s="76"/>
      <c r="AI1913" s="76"/>
      <c r="AJ1913" s="76"/>
      <c r="AK1913" s="76"/>
      <c r="AL1913" s="76"/>
      <c r="AM1913" s="76"/>
      <c r="AN1913" s="76"/>
      <c r="AO1913" s="76"/>
      <c r="AP1913" s="76"/>
      <c r="AQ1913" s="76"/>
      <c r="AR1913" s="76"/>
      <c r="AS1913" s="76"/>
      <c r="AT1913" s="76"/>
      <c r="AU1913" s="76"/>
      <c r="AV1913" s="76"/>
      <c r="AW1913" s="76"/>
      <c r="AX1913" s="76"/>
      <c r="AY1913" s="76"/>
      <c r="AZ1913" s="76"/>
      <c r="BA1913" s="76"/>
      <c r="BB1913" s="76"/>
    </row>
    <row r="1914" spans="5:54" x14ac:dyDescent="0.35">
      <c r="E1914" s="83"/>
      <c r="F1914" s="83"/>
      <c r="G1914" s="76"/>
      <c r="H1914" s="76"/>
      <c r="I1914" s="76"/>
      <c r="J1914" s="76"/>
      <c r="K1914" s="76"/>
      <c r="L1914" s="76"/>
      <c r="M1914" s="76"/>
      <c r="N1914" s="76"/>
      <c r="O1914" s="76"/>
      <c r="P1914" s="76"/>
      <c r="Q1914" s="76"/>
      <c r="R1914" s="76"/>
      <c r="S1914" s="76"/>
      <c r="T1914" s="76"/>
      <c r="U1914" s="76"/>
      <c r="V1914" s="76"/>
      <c r="W1914" s="76"/>
      <c r="X1914" s="76"/>
      <c r="Y1914" s="76"/>
      <c r="Z1914" s="76"/>
      <c r="AA1914" s="76"/>
      <c r="AB1914" s="76"/>
      <c r="AC1914" s="76"/>
      <c r="AD1914" s="76"/>
      <c r="AE1914" s="76"/>
      <c r="AF1914" s="76"/>
      <c r="AG1914" s="76"/>
      <c r="AH1914" s="76"/>
      <c r="AI1914" s="76"/>
      <c r="AJ1914" s="76"/>
      <c r="AK1914" s="76"/>
      <c r="AL1914" s="76"/>
      <c r="AM1914" s="76"/>
      <c r="AN1914" s="76"/>
      <c r="AO1914" s="76"/>
      <c r="AP1914" s="76"/>
      <c r="AQ1914" s="76"/>
      <c r="AR1914" s="76"/>
      <c r="AS1914" s="76"/>
      <c r="AT1914" s="76"/>
      <c r="AU1914" s="76"/>
      <c r="AV1914" s="76"/>
      <c r="AW1914" s="76"/>
      <c r="AX1914" s="76"/>
      <c r="AY1914" s="76"/>
      <c r="AZ1914" s="76"/>
      <c r="BA1914" s="76"/>
      <c r="BB1914" s="76"/>
    </row>
    <row r="1915" spans="5:54" x14ac:dyDescent="0.35">
      <c r="E1915" s="83"/>
      <c r="F1915" s="83"/>
      <c r="G1915" s="76"/>
      <c r="H1915" s="76"/>
      <c r="I1915" s="76"/>
      <c r="J1915" s="76"/>
      <c r="K1915" s="76"/>
      <c r="L1915" s="76"/>
      <c r="M1915" s="76"/>
      <c r="N1915" s="76"/>
      <c r="O1915" s="76"/>
      <c r="P1915" s="76"/>
      <c r="Q1915" s="76"/>
      <c r="R1915" s="76"/>
      <c r="S1915" s="76"/>
      <c r="T1915" s="76"/>
      <c r="U1915" s="76"/>
      <c r="V1915" s="76"/>
      <c r="W1915" s="76"/>
      <c r="X1915" s="76"/>
      <c r="Y1915" s="76"/>
      <c r="Z1915" s="76"/>
      <c r="AA1915" s="76"/>
      <c r="AB1915" s="76"/>
      <c r="AC1915" s="76"/>
      <c r="AD1915" s="76"/>
      <c r="AE1915" s="76"/>
      <c r="AF1915" s="76"/>
      <c r="AG1915" s="76"/>
      <c r="AH1915" s="76"/>
      <c r="AI1915" s="76"/>
      <c r="AJ1915" s="76"/>
      <c r="AK1915" s="76"/>
      <c r="AL1915" s="76"/>
      <c r="AM1915" s="76"/>
      <c r="AN1915" s="76"/>
      <c r="AO1915" s="76"/>
      <c r="AP1915" s="76"/>
      <c r="AQ1915" s="76"/>
      <c r="AR1915" s="76"/>
      <c r="AS1915" s="76"/>
      <c r="AT1915" s="76"/>
      <c r="AU1915" s="76"/>
      <c r="AV1915" s="76"/>
      <c r="AW1915" s="76"/>
      <c r="AX1915" s="76"/>
      <c r="AY1915" s="76"/>
      <c r="AZ1915" s="76"/>
      <c r="BA1915" s="76"/>
      <c r="BB1915" s="76"/>
    </row>
    <row r="1916" spans="5:54" x14ac:dyDescent="0.35">
      <c r="E1916" s="83"/>
      <c r="F1916" s="83"/>
      <c r="G1916" s="76"/>
      <c r="H1916" s="76"/>
      <c r="I1916" s="76"/>
      <c r="J1916" s="76"/>
      <c r="K1916" s="76"/>
      <c r="L1916" s="76"/>
      <c r="M1916" s="76"/>
      <c r="N1916" s="76"/>
      <c r="O1916" s="76"/>
      <c r="P1916" s="76"/>
      <c r="Q1916" s="76"/>
      <c r="R1916" s="76"/>
      <c r="S1916" s="76"/>
      <c r="T1916" s="76"/>
      <c r="U1916" s="76"/>
      <c r="V1916" s="76"/>
      <c r="W1916" s="76"/>
      <c r="X1916" s="76"/>
      <c r="Y1916" s="76"/>
      <c r="Z1916" s="76"/>
      <c r="AA1916" s="76"/>
      <c r="AB1916" s="76"/>
      <c r="AC1916" s="76"/>
      <c r="AD1916" s="76"/>
      <c r="AE1916" s="76"/>
      <c r="AF1916" s="76"/>
      <c r="AG1916" s="76"/>
      <c r="AH1916" s="76"/>
      <c r="AI1916" s="76"/>
      <c r="AJ1916" s="76"/>
      <c r="AK1916" s="76"/>
      <c r="AL1916" s="76"/>
      <c r="AM1916" s="76"/>
      <c r="AN1916" s="76"/>
      <c r="AO1916" s="76"/>
      <c r="AP1916" s="76"/>
      <c r="AQ1916" s="76"/>
      <c r="AR1916" s="76"/>
      <c r="AS1916" s="76"/>
      <c r="AT1916" s="76"/>
      <c r="AU1916" s="76"/>
      <c r="AV1916" s="76"/>
      <c r="AW1916" s="76"/>
      <c r="AX1916" s="76"/>
      <c r="AY1916" s="76"/>
      <c r="AZ1916" s="76"/>
      <c r="BA1916" s="76"/>
      <c r="BB1916" s="76"/>
    </row>
    <row r="1917" spans="5:54" x14ac:dyDescent="0.35">
      <c r="E1917" s="83"/>
      <c r="F1917" s="83"/>
      <c r="G1917" s="76"/>
      <c r="H1917" s="76"/>
      <c r="I1917" s="76"/>
      <c r="J1917" s="76"/>
      <c r="K1917" s="76"/>
      <c r="L1917" s="76"/>
      <c r="M1917" s="76"/>
      <c r="N1917" s="76"/>
      <c r="O1917" s="76"/>
      <c r="P1917" s="76"/>
      <c r="Q1917" s="76"/>
      <c r="R1917" s="76"/>
      <c r="S1917" s="76"/>
      <c r="T1917" s="76"/>
      <c r="U1917" s="76"/>
      <c r="V1917" s="76"/>
      <c r="W1917" s="76"/>
      <c r="X1917" s="76"/>
      <c r="Y1917" s="76"/>
      <c r="Z1917" s="76"/>
      <c r="AA1917" s="76"/>
      <c r="AB1917" s="76"/>
      <c r="AC1917" s="76"/>
      <c r="AD1917" s="76"/>
      <c r="AE1917" s="76"/>
      <c r="AF1917" s="76"/>
      <c r="AG1917" s="76"/>
      <c r="AH1917" s="76"/>
      <c r="AI1917" s="76"/>
      <c r="AJ1917" s="76"/>
      <c r="AK1917" s="76"/>
      <c r="AL1917" s="76"/>
      <c r="AM1917" s="76"/>
      <c r="AN1917" s="76"/>
      <c r="AO1917" s="76"/>
      <c r="AP1917" s="76"/>
      <c r="AQ1917" s="76"/>
      <c r="AR1917" s="76"/>
      <c r="AS1917" s="76"/>
      <c r="AT1917" s="76"/>
      <c r="AU1917" s="76"/>
      <c r="AV1917" s="76"/>
      <c r="AW1917" s="76"/>
      <c r="AX1917" s="76"/>
      <c r="AY1917" s="76"/>
      <c r="AZ1917" s="76"/>
      <c r="BA1917" s="76"/>
      <c r="BB1917" s="76"/>
    </row>
    <row r="1918" spans="5:54" x14ac:dyDescent="0.35">
      <c r="E1918" s="83"/>
      <c r="F1918" s="83"/>
      <c r="G1918" s="76"/>
      <c r="H1918" s="76"/>
      <c r="I1918" s="76"/>
      <c r="J1918" s="76"/>
      <c r="K1918" s="76"/>
      <c r="L1918" s="76"/>
      <c r="M1918" s="76"/>
      <c r="N1918" s="76"/>
      <c r="O1918" s="76"/>
      <c r="P1918" s="76"/>
      <c r="Q1918" s="76"/>
      <c r="R1918" s="76"/>
      <c r="S1918" s="76"/>
      <c r="T1918" s="76"/>
      <c r="U1918" s="76"/>
      <c r="V1918" s="76"/>
      <c r="W1918" s="76"/>
      <c r="X1918" s="76"/>
      <c r="Y1918" s="76"/>
      <c r="Z1918" s="76"/>
      <c r="AA1918" s="76"/>
      <c r="AB1918" s="76"/>
      <c r="AC1918" s="76"/>
      <c r="AD1918" s="76"/>
      <c r="AE1918" s="76"/>
      <c r="AF1918" s="76"/>
      <c r="AG1918" s="76"/>
      <c r="AH1918" s="76"/>
      <c r="AI1918" s="76"/>
      <c r="AJ1918" s="76"/>
      <c r="AK1918" s="76"/>
      <c r="AL1918" s="76"/>
      <c r="AM1918" s="76"/>
      <c r="AN1918" s="76"/>
      <c r="AO1918" s="76"/>
      <c r="AP1918" s="76"/>
      <c r="AQ1918" s="76"/>
      <c r="AR1918" s="76"/>
      <c r="AS1918" s="76"/>
      <c r="AT1918" s="76"/>
      <c r="AU1918" s="76"/>
      <c r="AV1918" s="76"/>
      <c r="AW1918" s="76"/>
      <c r="AX1918" s="76"/>
      <c r="AY1918" s="76"/>
      <c r="AZ1918" s="76"/>
      <c r="BA1918" s="76"/>
      <c r="BB1918" s="76"/>
    </row>
    <row r="1919" spans="5:54" x14ac:dyDescent="0.35">
      <c r="E1919" s="83"/>
      <c r="F1919" s="83"/>
      <c r="G1919" s="76"/>
      <c r="H1919" s="76"/>
      <c r="I1919" s="76"/>
      <c r="J1919" s="76"/>
      <c r="K1919" s="76"/>
      <c r="L1919" s="76"/>
      <c r="M1919" s="76"/>
      <c r="N1919" s="76"/>
      <c r="O1919" s="76"/>
      <c r="P1919" s="76"/>
      <c r="Q1919" s="76"/>
      <c r="R1919" s="76"/>
      <c r="S1919" s="76"/>
      <c r="T1919" s="76"/>
      <c r="U1919" s="76"/>
      <c r="V1919" s="76"/>
      <c r="W1919" s="76"/>
      <c r="X1919" s="76"/>
      <c r="Y1919" s="76"/>
      <c r="Z1919" s="76"/>
      <c r="AA1919" s="76"/>
      <c r="AB1919" s="76"/>
      <c r="AC1919" s="76"/>
      <c r="AD1919" s="76"/>
      <c r="AE1919" s="76"/>
      <c r="AF1919" s="76"/>
      <c r="AG1919" s="76"/>
      <c r="AH1919" s="76"/>
      <c r="AI1919" s="76"/>
      <c r="AJ1919" s="76"/>
      <c r="AK1919" s="76"/>
      <c r="AL1919" s="76"/>
      <c r="AM1919" s="76"/>
      <c r="AN1919" s="76"/>
      <c r="AO1919" s="76"/>
      <c r="AP1919" s="76"/>
      <c r="AQ1919" s="76"/>
      <c r="AR1919" s="76"/>
      <c r="AS1919" s="76"/>
      <c r="AT1919" s="76"/>
      <c r="AU1919" s="76"/>
      <c r="AV1919" s="76"/>
      <c r="AW1919" s="76"/>
      <c r="AX1919" s="76"/>
      <c r="AY1919" s="76"/>
      <c r="AZ1919" s="76"/>
      <c r="BA1919" s="76"/>
      <c r="BB1919" s="76"/>
    </row>
    <row r="1920" spans="5:54" x14ac:dyDescent="0.35">
      <c r="E1920" s="83"/>
      <c r="F1920" s="83"/>
      <c r="G1920" s="76"/>
      <c r="H1920" s="76"/>
      <c r="I1920" s="76"/>
      <c r="J1920" s="76"/>
      <c r="K1920" s="76"/>
      <c r="L1920" s="76"/>
      <c r="M1920" s="76"/>
      <c r="N1920" s="76"/>
      <c r="O1920" s="76"/>
      <c r="P1920" s="76"/>
      <c r="Q1920" s="76"/>
      <c r="R1920" s="76"/>
      <c r="S1920" s="76"/>
      <c r="T1920" s="76"/>
      <c r="U1920" s="76"/>
      <c r="V1920" s="76"/>
      <c r="W1920" s="76"/>
      <c r="X1920" s="76"/>
      <c r="Y1920" s="76"/>
      <c r="Z1920" s="76"/>
      <c r="AA1920" s="76"/>
      <c r="AB1920" s="76"/>
      <c r="AC1920" s="76"/>
      <c r="AD1920" s="76"/>
      <c r="AE1920" s="76"/>
      <c r="AF1920" s="76"/>
      <c r="AG1920" s="76"/>
      <c r="AH1920" s="76"/>
      <c r="AI1920" s="76"/>
      <c r="AJ1920" s="76"/>
      <c r="AK1920" s="76"/>
      <c r="AL1920" s="76"/>
      <c r="AM1920" s="76"/>
      <c r="AN1920" s="76"/>
      <c r="AO1920" s="76"/>
      <c r="AP1920" s="76"/>
      <c r="AQ1920" s="76"/>
      <c r="AR1920" s="76"/>
      <c r="AS1920" s="76"/>
      <c r="AT1920" s="76"/>
      <c r="AU1920" s="76"/>
      <c r="AV1920" s="76"/>
      <c r="AW1920" s="76"/>
      <c r="AX1920" s="76"/>
      <c r="AY1920" s="76"/>
      <c r="AZ1920" s="76"/>
      <c r="BA1920" s="76"/>
      <c r="BB1920" s="76"/>
    </row>
    <row r="1921" spans="5:54" x14ac:dyDescent="0.35">
      <c r="E1921" s="83"/>
      <c r="F1921" s="83"/>
      <c r="G1921" s="76"/>
      <c r="H1921" s="76"/>
      <c r="I1921" s="76"/>
      <c r="J1921" s="76"/>
      <c r="K1921" s="76"/>
      <c r="L1921" s="76"/>
      <c r="M1921" s="76"/>
      <c r="N1921" s="76"/>
      <c r="O1921" s="76"/>
      <c r="P1921" s="76"/>
      <c r="Q1921" s="76"/>
      <c r="R1921" s="76"/>
      <c r="S1921" s="76"/>
      <c r="T1921" s="76"/>
      <c r="U1921" s="76"/>
      <c r="V1921" s="76"/>
      <c r="W1921" s="76"/>
      <c r="X1921" s="76"/>
      <c r="Y1921" s="76"/>
      <c r="Z1921" s="76"/>
      <c r="AA1921" s="76"/>
      <c r="AB1921" s="76"/>
      <c r="AC1921" s="76"/>
      <c r="AD1921" s="76"/>
      <c r="AE1921" s="76"/>
      <c r="AF1921" s="76"/>
      <c r="AG1921" s="76"/>
      <c r="AH1921" s="76"/>
      <c r="AI1921" s="76"/>
      <c r="AJ1921" s="76"/>
      <c r="AK1921" s="76"/>
      <c r="AL1921" s="76"/>
      <c r="AM1921" s="76"/>
      <c r="AN1921" s="76"/>
      <c r="AO1921" s="76"/>
      <c r="AP1921" s="76"/>
      <c r="AQ1921" s="76"/>
      <c r="AR1921" s="76"/>
      <c r="AS1921" s="76"/>
      <c r="AT1921" s="76"/>
      <c r="AU1921" s="76"/>
      <c r="AV1921" s="76"/>
      <c r="AW1921" s="76"/>
      <c r="AX1921" s="76"/>
      <c r="AY1921" s="76"/>
      <c r="AZ1921" s="76"/>
      <c r="BA1921" s="76"/>
      <c r="BB1921" s="76"/>
    </row>
    <row r="1922" spans="5:54" x14ac:dyDescent="0.35">
      <c r="E1922" s="83"/>
      <c r="F1922" s="83"/>
      <c r="G1922" s="76"/>
      <c r="H1922" s="76"/>
      <c r="I1922" s="76"/>
      <c r="J1922" s="76"/>
      <c r="K1922" s="76"/>
      <c r="L1922" s="76"/>
      <c r="M1922" s="76"/>
      <c r="N1922" s="76"/>
      <c r="O1922" s="76"/>
      <c r="P1922" s="76"/>
      <c r="Q1922" s="76"/>
      <c r="R1922" s="76"/>
      <c r="S1922" s="76"/>
      <c r="T1922" s="76"/>
      <c r="U1922" s="76"/>
      <c r="V1922" s="76"/>
      <c r="W1922" s="76"/>
      <c r="X1922" s="76"/>
      <c r="Y1922" s="76"/>
      <c r="Z1922" s="76"/>
      <c r="AA1922" s="76"/>
      <c r="AB1922" s="76"/>
      <c r="AC1922" s="76"/>
      <c r="AD1922" s="76"/>
      <c r="AE1922" s="76"/>
      <c r="AF1922" s="76"/>
      <c r="AG1922" s="76"/>
      <c r="AH1922" s="76"/>
      <c r="AI1922" s="76"/>
      <c r="AJ1922" s="76"/>
      <c r="AK1922" s="76"/>
      <c r="AL1922" s="76"/>
      <c r="AM1922" s="76"/>
      <c r="AN1922" s="76"/>
      <c r="AO1922" s="76"/>
      <c r="AP1922" s="76"/>
      <c r="AQ1922" s="76"/>
      <c r="AR1922" s="76"/>
      <c r="AS1922" s="76"/>
      <c r="AT1922" s="76"/>
      <c r="AU1922" s="76"/>
      <c r="AV1922" s="76"/>
      <c r="AW1922" s="76"/>
      <c r="AX1922" s="76"/>
      <c r="AY1922" s="76"/>
      <c r="AZ1922" s="76"/>
      <c r="BA1922" s="76"/>
      <c r="BB1922" s="76"/>
    </row>
    <row r="1923" spans="5:54" x14ac:dyDescent="0.35">
      <c r="E1923" s="83"/>
      <c r="F1923" s="83"/>
      <c r="G1923" s="76"/>
      <c r="H1923" s="76"/>
      <c r="I1923" s="76"/>
      <c r="J1923" s="76"/>
      <c r="K1923" s="76"/>
      <c r="L1923" s="76"/>
      <c r="M1923" s="76"/>
      <c r="N1923" s="76"/>
      <c r="O1923" s="76"/>
      <c r="P1923" s="76"/>
      <c r="Q1923" s="76"/>
      <c r="R1923" s="76"/>
      <c r="S1923" s="76"/>
      <c r="T1923" s="76"/>
      <c r="U1923" s="76"/>
      <c r="V1923" s="76"/>
      <c r="W1923" s="76"/>
      <c r="X1923" s="76"/>
      <c r="Y1923" s="76"/>
      <c r="Z1923" s="76"/>
      <c r="AA1923" s="76"/>
      <c r="AB1923" s="76"/>
      <c r="AC1923" s="76"/>
      <c r="AD1923" s="76"/>
      <c r="AE1923" s="76"/>
      <c r="AF1923" s="76"/>
      <c r="AG1923" s="76"/>
      <c r="AH1923" s="76"/>
      <c r="AI1923" s="76"/>
      <c r="AJ1923" s="76"/>
      <c r="AK1923" s="76"/>
      <c r="AL1923" s="76"/>
      <c r="AM1923" s="76"/>
      <c r="AN1923" s="76"/>
      <c r="AO1923" s="76"/>
      <c r="AP1923" s="76"/>
      <c r="AQ1923" s="76"/>
      <c r="AR1923" s="76"/>
      <c r="AS1923" s="76"/>
      <c r="AT1923" s="76"/>
      <c r="AU1923" s="76"/>
      <c r="AV1923" s="76"/>
      <c r="AW1923" s="76"/>
      <c r="AX1923" s="76"/>
      <c r="AY1923" s="76"/>
      <c r="AZ1923" s="76"/>
      <c r="BA1923" s="76"/>
      <c r="BB1923" s="76"/>
    </row>
    <row r="1924" spans="5:54" x14ac:dyDescent="0.35">
      <c r="E1924" s="83"/>
      <c r="F1924" s="83"/>
      <c r="G1924" s="76"/>
      <c r="H1924" s="76"/>
      <c r="I1924" s="76"/>
      <c r="J1924" s="76"/>
      <c r="K1924" s="76"/>
      <c r="L1924" s="76"/>
      <c r="M1924" s="76"/>
      <c r="N1924" s="76"/>
      <c r="O1924" s="76"/>
      <c r="P1924" s="76"/>
      <c r="Q1924" s="76"/>
      <c r="R1924" s="76"/>
      <c r="S1924" s="76"/>
      <c r="T1924" s="76"/>
      <c r="U1924" s="76"/>
      <c r="V1924" s="76"/>
      <c r="W1924" s="76"/>
      <c r="X1924" s="76"/>
      <c r="Y1924" s="76"/>
      <c r="Z1924" s="76"/>
      <c r="AA1924" s="76"/>
      <c r="AB1924" s="76"/>
      <c r="AC1924" s="76"/>
      <c r="AD1924" s="76"/>
      <c r="AE1924" s="76"/>
      <c r="AF1924" s="76"/>
      <c r="AG1924" s="76"/>
      <c r="AH1924" s="76"/>
      <c r="AI1924" s="76"/>
      <c r="AJ1924" s="76"/>
      <c r="AK1924" s="76"/>
      <c r="AL1924" s="76"/>
      <c r="AM1924" s="76"/>
      <c r="AN1924" s="76"/>
      <c r="AO1924" s="76"/>
      <c r="AP1924" s="76"/>
      <c r="AQ1924" s="76"/>
      <c r="AR1924" s="76"/>
      <c r="AS1924" s="76"/>
      <c r="AT1924" s="76"/>
      <c r="AU1924" s="76"/>
      <c r="AV1924" s="76"/>
      <c r="AW1924" s="76"/>
      <c r="AX1924" s="76"/>
      <c r="AY1924" s="76"/>
      <c r="AZ1924" s="76"/>
      <c r="BA1924" s="76"/>
      <c r="BB1924" s="76"/>
    </row>
    <row r="1925" spans="5:54" x14ac:dyDescent="0.35">
      <c r="E1925" s="83"/>
      <c r="F1925" s="83"/>
      <c r="G1925" s="76"/>
      <c r="H1925" s="76"/>
      <c r="I1925" s="76"/>
      <c r="J1925" s="76"/>
      <c r="K1925" s="76"/>
      <c r="L1925" s="76"/>
      <c r="M1925" s="76"/>
      <c r="N1925" s="76"/>
      <c r="O1925" s="76"/>
      <c r="P1925" s="76"/>
      <c r="Q1925" s="76"/>
      <c r="R1925" s="76"/>
      <c r="S1925" s="76"/>
      <c r="T1925" s="76"/>
      <c r="U1925" s="76"/>
      <c r="V1925" s="76"/>
      <c r="W1925" s="76"/>
      <c r="X1925" s="76"/>
      <c r="Y1925" s="76"/>
      <c r="Z1925" s="76"/>
      <c r="AA1925" s="76"/>
      <c r="AB1925" s="76"/>
      <c r="AC1925" s="76"/>
      <c r="AD1925" s="76"/>
      <c r="AE1925" s="76"/>
      <c r="AF1925" s="76"/>
      <c r="AG1925" s="76"/>
      <c r="AH1925" s="76"/>
      <c r="AI1925" s="76"/>
      <c r="AJ1925" s="76"/>
      <c r="AK1925" s="76"/>
      <c r="AL1925" s="76"/>
      <c r="AM1925" s="76"/>
      <c r="AN1925" s="76"/>
      <c r="AO1925" s="76"/>
      <c r="AP1925" s="76"/>
      <c r="AQ1925" s="76"/>
      <c r="AR1925" s="76"/>
      <c r="AS1925" s="76"/>
      <c r="AT1925" s="76"/>
      <c r="AU1925" s="76"/>
      <c r="AV1925" s="76"/>
      <c r="AW1925" s="76"/>
      <c r="AX1925" s="76"/>
      <c r="AY1925" s="76"/>
      <c r="AZ1925" s="76"/>
      <c r="BA1925" s="76"/>
      <c r="BB1925" s="76"/>
    </row>
    <row r="1926" spans="5:54" x14ac:dyDescent="0.35">
      <c r="E1926" s="83"/>
      <c r="F1926" s="83"/>
      <c r="G1926" s="76"/>
      <c r="H1926" s="76"/>
      <c r="I1926" s="76"/>
      <c r="J1926" s="76"/>
      <c r="K1926" s="76"/>
      <c r="L1926" s="76"/>
      <c r="M1926" s="76"/>
      <c r="N1926" s="76"/>
      <c r="O1926" s="76"/>
      <c r="P1926" s="76"/>
      <c r="Q1926" s="76"/>
      <c r="R1926" s="76"/>
      <c r="S1926" s="76"/>
      <c r="T1926" s="76"/>
      <c r="U1926" s="76"/>
      <c r="V1926" s="76"/>
      <c r="W1926" s="76"/>
      <c r="X1926" s="76"/>
      <c r="Y1926" s="76"/>
      <c r="Z1926" s="76"/>
      <c r="AA1926" s="76"/>
      <c r="AB1926" s="76"/>
      <c r="AC1926" s="76"/>
      <c r="AD1926" s="76"/>
      <c r="AE1926" s="76"/>
      <c r="AF1926" s="76"/>
      <c r="AG1926" s="76"/>
      <c r="AH1926" s="76"/>
      <c r="AI1926" s="76"/>
      <c r="AJ1926" s="76"/>
      <c r="AK1926" s="76"/>
      <c r="AL1926" s="76"/>
      <c r="AM1926" s="76"/>
      <c r="AN1926" s="76"/>
      <c r="AO1926" s="76"/>
      <c r="AP1926" s="76"/>
      <c r="AQ1926" s="76"/>
      <c r="AR1926" s="76"/>
      <c r="AS1926" s="76"/>
      <c r="AT1926" s="76"/>
      <c r="AU1926" s="76"/>
      <c r="AV1926" s="76"/>
      <c r="AW1926" s="76"/>
      <c r="AX1926" s="76"/>
      <c r="AY1926" s="76"/>
      <c r="AZ1926" s="76"/>
      <c r="BA1926" s="76"/>
      <c r="BB1926" s="76"/>
    </row>
    <row r="1927" spans="5:54" x14ac:dyDescent="0.35">
      <c r="E1927" s="83"/>
      <c r="F1927" s="83"/>
      <c r="G1927" s="76"/>
      <c r="H1927" s="76"/>
      <c r="I1927" s="76"/>
      <c r="J1927" s="76"/>
      <c r="K1927" s="76"/>
      <c r="L1927" s="76"/>
      <c r="M1927" s="76"/>
      <c r="N1927" s="76"/>
      <c r="O1927" s="76"/>
      <c r="P1927" s="76"/>
      <c r="Q1927" s="76"/>
      <c r="R1927" s="76"/>
      <c r="S1927" s="76"/>
      <c r="T1927" s="76"/>
      <c r="U1927" s="76"/>
      <c r="V1927" s="76"/>
      <c r="W1927" s="76"/>
      <c r="X1927" s="76"/>
      <c r="Y1927" s="76"/>
      <c r="Z1927" s="76"/>
      <c r="AA1927" s="76"/>
      <c r="AB1927" s="76"/>
      <c r="AC1927" s="76"/>
      <c r="AD1927" s="76"/>
      <c r="AE1927" s="76"/>
      <c r="AF1927" s="76"/>
      <c r="AG1927" s="76"/>
      <c r="AH1927" s="76"/>
      <c r="AI1927" s="76"/>
      <c r="AJ1927" s="76"/>
      <c r="AK1927" s="76"/>
      <c r="AL1927" s="76"/>
      <c r="AM1927" s="76"/>
      <c r="AN1927" s="76"/>
      <c r="AO1927" s="76"/>
      <c r="AP1927" s="76"/>
      <c r="AQ1927" s="76"/>
      <c r="AR1927" s="76"/>
      <c r="AS1927" s="76"/>
      <c r="AT1927" s="76"/>
      <c r="AU1927" s="76"/>
      <c r="AV1927" s="76"/>
      <c r="AW1927" s="76"/>
      <c r="AX1927" s="76"/>
      <c r="AY1927" s="76"/>
      <c r="AZ1927" s="76"/>
      <c r="BA1927" s="76"/>
      <c r="BB1927" s="76"/>
    </row>
    <row r="1928" spans="5:54" x14ac:dyDescent="0.35">
      <c r="E1928" s="83"/>
      <c r="F1928" s="83"/>
      <c r="G1928" s="76"/>
      <c r="H1928" s="76"/>
      <c r="I1928" s="76"/>
      <c r="J1928" s="76"/>
      <c r="K1928" s="76"/>
      <c r="L1928" s="76"/>
      <c r="M1928" s="76"/>
      <c r="N1928" s="76"/>
      <c r="O1928" s="76"/>
      <c r="P1928" s="76"/>
      <c r="Q1928" s="76"/>
      <c r="R1928" s="76"/>
      <c r="S1928" s="76"/>
      <c r="T1928" s="76"/>
      <c r="U1928" s="76"/>
      <c r="V1928" s="76"/>
      <c r="W1928" s="76"/>
      <c r="X1928" s="76"/>
      <c r="Y1928" s="76"/>
      <c r="Z1928" s="76"/>
      <c r="AA1928" s="76"/>
      <c r="AB1928" s="76"/>
      <c r="AC1928" s="76"/>
      <c r="AD1928" s="76"/>
      <c r="AE1928" s="76"/>
      <c r="AF1928" s="76"/>
      <c r="AG1928" s="76"/>
      <c r="AH1928" s="76"/>
      <c r="AI1928" s="76"/>
      <c r="AJ1928" s="76"/>
      <c r="AK1928" s="76"/>
      <c r="AL1928" s="76"/>
      <c r="AM1928" s="76"/>
      <c r="AN1928" s="76"/>
      <c r="AO1928" s="76"/>
      <c r="AP1928" s="76"/>
      <c r="AQ1928" s="76"/>
      <c r="AR1928" s="76"/>
      <c r="AS1928" s="76"/>
      <c r="AT1928" s="76"/>
      <c r="AU1928" s="76"/>
      <c r="AV1928" s="76"/>
      <c r="AW1928" s="76"/>
      <c r="AX1928" s="76"/>
      <c r="AY1928" s="76"/>
      <c r="AZ1928" s="76"/>
      <c r="BA1928" s="76"/>
      <c r="BB1928" s="76"/>
    </row>
    <row r="1929" spans="5:54" x14ac:dyDescent="0.35">
      <c r="E1929" s="83"/>
      <c r="F1929" s="83"/>
      <c r="G1929" s="76"/>
      <c r="H1929" s="76"/>
      <c r="I1929" s="76"/>
      <c r="J1929" s="76"/>
      <c r="K1929" s="76"/>
      <c r="L1929" s="76"/>
      <c r="M1929" s="76"/>
      <c r="N1929" s="76"/>
      <c r="O1929" s="76"/>
      <c r="P1929" s="76"/>
      <c r="Q1929" s="76"/>
      <c r="R1929" s="76"/>
      <c r="S1929" s="76"/>
      <c r="T1929" s="76"/>
      <c r="U1929" s="76"/>
      <c r="V1929" s="76"/>
      <c r="W1929" s="76"/>
      <c r="X1929" s="76"/>
      <c r="Y1929" s="76"/>
      <c r="Z1929" s="76"/>
      <c r="AA1929" s="76"/>
      <c r="AB1929" s="76"/>
      <c r="AC1929" s="76"/>
      <c r="AD1929" s="76"/>
      <c r="AE1929" s="76"/>
      <c r="AF1929" s="76"/>
      <c r="AG1929" s="76"/>
      <c r="AH1929" s="76"/>
      <c r="AI1929" s="76"/>
      <c r="AJ1929" s="76"/>
      <c r="AK1929" s="76"/>
      <c r="AL1929" s="76"/>
      <c r="AM1929" s="76"/>
      <c r="AN1929" s="76"/>
      <c r="AO1929" s="76"/>
      <c r="AP1929" s="76"/>
      <c r="AQ1929" s="76"/>
      <c r="AR1929" s="76"/>
      <c r="AS1929" s="76"/>
      <c r="AT1929" s="76"/>
      <c r="AU1929" s="76"/>
      <c r="AV1929" s="76"/>
      <c r="AW1929" s="76"/>
      <c r="AX1929" s="76"/>
      <c r="AY1929" s="76"/>
      <c r="AZ1929" s="76"/>
      <c r="BA1929" s="76"/>
      <c r="BB1929" s="76"/>
    </row>
    <row r="1930" spans="5:54" x14ac:dyDescent="0.35">
      <c r="E1930" s="83"/>
      <c r="F1930" s="83"/>
      <c r="G1930" s="76"/>
      <c r="H1930" s="76"/>
      <c r="I1930" s="76"/>
      <c r="J1930" s="76"/>
      <c r="K1930" s="76"/>
      <c r="L1930" s="76"/>
      <c r="M1930" s="76"/>
      <c r="N1930" s="76"/>
      <c r="O1930" s="76"/>
      <c r="P1930" s="76"/>
      <c r="Q1930" s="76"/>
      <c r="R1930" s="76"/>
      <c r="S1930" s="76"/>
      <c r="T1930" s="76"/>
      <c r="U1930" s="76"/>
      <c r="V1930" s="76"/>
      <c r="W1930" s="76"/>
      <c r="X1930" s="76"/>
      <c r="Y1930" s="76"/>
      <c r="Z1930" s="76"/>
      <c r="AA1930" s="76"/>
      <c r="AB1930" s="76"/>
      <c r="AC1930" s="76"/>
      <c r="AD1930" s="76"/>
      <c r="AE1930" s="76"/>
      <c r="AF1930" s="76"/>
      <c r="AG1930" s="76"/>
      <c r="AH1930" s="76"/>
      <c r="AI1930" s="76"/>
      <c r="AJ1930" s="76"/>
      <c r="AK1930" s="76"/>
      <c r="AL1930" s="76"/>
      <c r="AM1930" s="76"/>
      <c r="AN1930" s="76"/>
      <c r="AO1930" s="76"/>
      <c r="AP1930" s="76"/>
      <c r="AQ1930" s="76"/>
      <c r="AR1930" s="76"/>
      <c r="AS1930" s="76"/>
      <c r="AT1930" s="76"/>
      <c r="AU1930" s="76"/>
      <c r="AV1930" s="76"/>
      <c r="AW1930" s="76"/>
      <c r="AX1930" s="76"/>
      <c r="AY1930" s="76"/>
      <c r="AZ1930" s="76"/>
      <c r="BA1930" s="76"/>
      <c r="BB1930" s="76"/>
    </row>
    <row r="1931" spans="5:54" x14ac:dyDescent="0.35">
      <c r="E1931" s="83"/>
      <c r="F1931" s="83"/>
      <c r="G1931" s="76"/>
      <c r="H1931" s="76"/>
      <c r="I1931" s="76"/>
      <c r="J1931" s="76"/>
      <c r="K1931" s="76"/>
      <c r="L1931" s="76"/>
      <c r="M1931" s="76"/>
      <c r="N1931" s="76"/>
      <c r="O1931" s="76"/>
      <c r="P1931" s="76"/>
      <c r="Q1931" s="76"/>
      <c r="R1931" s="76"/>
      <c r="S1931" s="76"/>
      <c r="T1931" s="76"/>
      <c r="U1931" s="76"/>
      <c r="V1931" s="76"/>
      <c r="W1931" s="76"/>
      <c r="X1931" s="76"/>
      <c r="Y1931" s="76"/>
      <c r="Z1931" s="76"/>
      <c r="AA1931" s="76"/>
      <c r="AB1931" s="76"/>
      <c r="AC1931" s="76"/>
      <c r="AD1931" s="76"/>
      <c r="AE1931" s="76"/>
      <c r="AF1931" s="76"/>
      <c r="AG1931" s="76"/>
      <c r="AH1931" s="76"/>
      <c r="AI1931" s="76"/>
      <c r="AJ1931" s="76"/>
      <c r="AK1931" s="76"/>
      <c r="AL1931" s="76"/>
      <c r="AM1931" s="76"/>
      <c r="AN1931" s="76"/>
      <c r="AO1931" s="76"/>
      <c r="AP1931" s="76"/>
      <c r="AQ1931" s="76"/>
      <c r="AR1931" s="76"/>
      <c r="AS1931" s="76"/>
      <c r="AT1931" s="76"/>
      <c r="AU1931" s="76"/>
      <c r="AV1931" s="76"/>
      <c r="AW1931" s="76"/>
      <c r="AX1931" s="76"/>
      <c r="AY1931" s="76"/>
      <c r="AZ1931" s="76"/>
      <c r="BA1931" s="76"/>
      <c r="BB1931" s="76"/>
    </row>
    <row r="1932" spans="5:54" x14ac:dyDescent="0.35">
      <c r="E1932" s="83"/>
      <c r="F1932" s="83"/>
      <c r="G1932" s="76"/>
      <c r="H1932" s="76"/>
      <c r="I1932" s="76"/>
      <c r="J1932" s="76"/>
      <c r="K1932" s="76"/>
      <c r="L1932" s="76"/>
      <c r="M1932" s="76"/>
      <c r="N1932" s="76"/>
      <c r="O1932" s="76"/>
      <c r="P1932" s="76"/>
      <c r="Q1932" s="76"/>
      <c r="R1932" s="76"/>
      <c r="S1932" s="76"/>
      <c r="T1932" s="76"/>
      <c r="U1932" s="76"/>
      <c r="V1932" s="76"/>
      <c r="W1932" s="76"/>
      <c r="X1932" s="76"/>
      <c r="Y1932" s="76"/>
      <c r="Z1932" s="76"/>
      <c r="AA1932" s="76"/>
      <c r="AB1932" s="76"/>
      <c r="AC1932" s="76"/>
      <c r="AD1932" s="76"/>
      <c r="AE1932" s="76"/>
      <c r="AF1932" s="76"/>
      <c r="AG1932" s="76"/>
      <c r="AH1932" s="76"/>
      <c r="AI1932" s="76"/>
      <c r="AJ1932" s="76"/>
      <c r="AK1932" s="76"/>
      <c r="AL1932" s="76"/>
      <c r="AM1932" s="76"/>
      <c r="AN1932" s="76"/>
      <c r="AO1932" s="76"/>
      <c r="AP1932" s="76"/>
      <c r="AQ1932" s="76"/>
      <c r="AR1932" s="76"/>
      <c r="AS1932" s="76"/>
      <c r="AT1932" s="76"/>
      <c r="AU1932" s="76"/>
      <c r="AV1932" s="76"/>
      <c r="AW1932" s="76"/>
      <c r="AX1932" s="76"/>
      <c r="AY1932" s="76"/>
      <c r="AZ1932" s="76"/>
      <c r="BA1932" s="76"/>
      <c r="BB1932" s="76"/>
    </row>
    <row r="1933" spans="5:54" x14ac:dyDescent="0.35">
      <c r="E1933" s="83"/>
      <c r="F1933" s="83"/>
      <c r="G1933" s="76"/>
      <c r="H1933" s="76"/>
      <c r="I1933" s="76"/>
      <c r="J1933" s="76"/>
      <c r="K1933" s="76"/>
      <c r="L1933" s="76"/>
      <c r="M1933" s="76"/>
      <c r="N1933" s="76"/>
      <c r="O1933" s="76"/>
      <c r="P1933" s="76"/>
      <c r="Q1933" s="76"/>
      <c r="R1933" s="76"/>
      <c r="S1933" s="76"/>
      <c r="T1933" s="76"/>
      <c r="U1933" s="76"/>
      <c r="V1933" s="76"/>
      <c r="W1933" s="76"/>
      <c r="X1933" s="76"/>
      <c r="Y1933" s="76"/>
      <c r="Z1933" s="76"/>
      <c r="AA1933" s="76"/>
      <c r="AB1933" s="76"/>
      <c r="AC1933" s="76"/>
      <c r="AD1933" s="76"/>
      <c r="AE1933" s="76"/>
      <c r="AF1933" s="76"/>
      <c r="AG1933" s="76"/>
      <c r="AH1933" s="76"/>
      <c r="AI1933" s="76"/>
      <c r="AJ1933" s="76"/>
      <c r="AK1933" s="76"/>
      <c r="AL1933" s="76"/>
      <c r="AM1933" s="76"/>
      <c r="AN1933" s="76"/>
      <c r="AO1933" s="76"/>
      <c r="AP1933" s="76"/>
      <c r="AQ1933" s="76"/>
      <c r="AR1933" s="76"/>
      <c r="AS1933" s="76"/>
      <c r="AT1933" s="76"/>
      <c r="AU1933" s="76"/>
      <c r="AV1933" s="76"/>
      <c r="AW1933" s="76"/>
      <c r="AX1933" s="76"/>
      <c r="AY1933" s="76"/>
      <c r="AZ1933" s="76"/>
      <c r="BA1933" s="76"/>
      <c r="BB1933" s="76"/>
    </row>
    <row r="1934" spans="5:54" x14ac:dyDescent="0.35">
      <c r="E1934" s="83"/>
      <c r="F1934" s="83"/>
      <c r="G1934" s="76"/>
      <c r="H1934" s="76"/>
      <c r="I1934" s="76"/>
      <c r="J1934" s="76"/>
      <c r="K1934" s="76"/>
      <c r="L1934" s="76"/>
      <c r="M1934" s="76"/>
      <c r="N1934" s="76"/>
      <c r="O1934" s="76"/>
      <c r="P1934" s="76"/>
      <c r="Q1934" s="76"/>
      <c r="R1934" s="76"/>
      <c r="S1934" s="76"/>
      <c r="T1934" s="76"/>
      <c r="U1934" s="76"/>
      <c r="V1934" s="76"/>
      <c r="W1934" s="76"/>
      <c r="X1934" s="76"/>
      <c r="Y1934" s="76"/>
      <c r="Z1934" s="76"/>
      <c r="AA1934" s="76"/>
      <c r="AB1934" s="76"/>
      <c r="AC1934" s="76"/>
      <c r="AD1934" s="76"/>
      <c r="AE1934" s="76"/>
      <c r="AF1934" s="76"/>
      <c r="AG1934" s="76"/>
      <c r="AH1934" s="76"/>
      <c r="AI1934" s="76"/>
      <c r="AJ1934" s="76"/>
      <c r="AK1934" s="76"/>
      <c r="AL1934" s="76"/>
      <c r="AM1934" s="76"/>
      <c r="AN1934" s="76"/>
      <c r="AO1934" s="76"/>
      <c r="AP1934" s="76"/>
      <c r="AQ1934" s="76"/>
      <c r="AR1934" s="76"/>
      <c r="AS1934" s="76"/>
      <c r="AT1934" s="76"/>
      <c r="AU1934" s="76"/>
      <c r="AV1934" s="76"/>
      <c r="AW1934" s="76"/>
      <c r="AX1934" s="76"/>
      <c r="AY1934" s="76"/>
      <c r="AZ1934" s="76"/>
      <c r="BA1934" s="76"/>
      <c r="BB1934" s="76"/>
    </row>
    <row r="1935" spans="5:54" x14ac:dyDescent="0.35">
      <c r="E1935" s="83"/>
      <c r="F1935" s="83"/>
      <c r="G1935" s="76"/>
      <c r="H1935" s="76"/>
      <c r="I1935" s="76"/>
      <c r="J1935" s="76"/>
      <c r="K1935" s="76"/>
      <c r="L1935" s="76"/>
      <c r="M1935" s="76"/>
      <c r="N1935" s="76"/>
      <c r="O1935" s="76"/>
      <c r="P1935" s="76"/>
      <c r="Q1935" s="76"/>
      <c r="R1935" s="76"/>
      <c r="S1935" s="76"/>
      <c r="T1935" s="76"/>
      <c r="U1935" s="76"/>
      <c r="V1935" s="76"/>
      <c r="W1935" s="76"/>
      <c r="X1935" s="76"/>
      <c r="Y1935" s="76"/>
      <c r="Z1935" s="76"/>
      <c r="AA1935" s="76"/>
      <c r="AB1935" s="76"/>
      <c r="AC1935" s="76"/>
      <c r="AD1935" s="76"/>
      <c r="AE1935" s="76"/>
      <c r="AF1935" s="76"/>
      <c r="AG1935" s="76"/>
      <c r="AH1935" s="76"/>
      <c r="AI1935" s="76"/>
      <c r="AJ1935" s="76"/>
      <c r="AK1935" s="76"/>
      <c r="AL1935" s="76"/>
      <c r="AM1935" s="76"/>
      <c r="AN1935" s="76"/>
      <c r="AO1935" s="76"/>
      <c r="AP1935" s="76"/>
      <c r="AQ1935" s="76"/>
      <c r="AR1935" s="76"/>
      <c r="AS1935" s="76"/>
      <c r="AT1935" s="76"/>
      <c r="AU1935" s="76"/>
      <c r="AV1935" s="76"/>
      <c r="AW1935" s="76"/>
      <c r="AX1935" s="76"/>
      <c r="AY1935" s="76"/>
      <c r="AZ1935" s="76"/>
      <c r="BA1935" s="76"/>
      <c r="BB1935" s="76"/>
    </row>
    <row r="1936" spans="5:54" x14ac:dyDescent="0.35">
      <c r="E1936" s="83"/>
      <c r="F1936" s="83"/>
      <c r="G1936" s="76"/>
      <c r="H1936" s="76"/>
      <c r="I1936" s="76"/>
      <c r="J1936" s="76"/>
      <c r="K1936" s="76"/>
      <c r="L1936" s="76"/>
      <c r="M1936" s="76"/>
      <c r="N1936" s="76"/>
      <c r="O1936" s="76"/>
      <c r="P1936" s="76"/>
      <c r="Q1936" s="76"/>
      <c r="R1936" s="76"/>
      <c r="S1936" s="76"/>
      <c r="T1936" s="76"/>
      <c r="U1936" s="76"/>
      <c r="V1936" s="76"/>
      <c r="W1936" s="76"/>
      <c r="X1936" s="76"/>
      <c r="Y1936" s="76"/>
      <c r="Z1936" s="76"/>
      <c r="AA1936" s="76"/>
      <c r="AB1936" s="76"/>
      <c r="AC1936" s="76"/>
      <c r="AD1936" s="76"/>
      <c r="AE1936" s="76"/>
      <c r="AF1936" s="76"/>
      <c r="AG1936" s="76"/>
      <c r="AH1936" s="76"/>
      <c r="AI1936" s="76"/>
      <c r="AJ1936" s="76"/>
      <c r="AK1936" s="76"/>
      <c r="AL1936" s="76"/>
      <c r="AM1936" s="76"/>
      <c r="AN1936" s="76"/>
      <c r="AO1936" s="76"/>
      <c r="AP1936" s="76"/>
      <c r="AQ1936" s="76"/>
      <c r="AR1936" s="76"/>
      <c r="AS1936" s="76"/>
      <c r="AT1936" s="76"/>
      <c r="AU1936" s="76"/>
      <c r="AV1936" s="76"/>
      <c r="AW1936" s="76"/>
      <c r="AX1936" s="76"/>
      <c r="AY1936" s="76"/>
      <c r="AZ1936" s="76"/>
      <c r="BA1936" s="76"/>
      <c r="BB1936" s="76"/>
    </row>
    <row r="1937" spans="5:54" x14ac:dyDescent="0.35">
      <c r="E1937" s="83"/>
      <c r="F1937" s="83"/>
      <c r="G1937" s="76"/>
      <c r="H1937" s="76"/>
      <c r="I1937" s="76"/>
      <c r="J1937" s="76"/>
      <c r="K1937" s="76"/>
      <c r="L1937" s="76"/>
      <c r="M1937" s="76"/>
      <c r="N1937" s="76"/>
      <c r="O1937" s="76"/>
      <c r="P1937" s="76"/>
      <c r="Q1937" s="76"/>
      <c r="R1937" s="76"/>
      <c r="S1937" s="76"/>
      <c r="T1937" s="76"/>
      <c r="U1937" s="76"/>
      <c r="V1937" s="76"/>
      <c r="W1937" s="76"/>
      <c r="X1937" s="76"/>
      <c r="Y1937" s="76"/>
      <c r="Z1937" s="76"/>
      <c r="AA1937" s="76"/>
      <c r="AB1937" s="76"/>
      <c r="AC1937" s="76"/>
      <c r="AD1937" s="76"/>
      <c r="AE1937" s="76"/>
      <c r="AF1937" s="76"/>
      <c r="AG1937" s="76"/>
      <c r="AH1937" s="76"/>
      <c r="AI1937" s="76"/>
      <c r="AJ1937" s="76"/>
      <c r="AK1937" s="76"/>
      <c r="AL1937" s="76"/>
      <c r="AM1937" s="76"/>
      <c r="AN1937" s="76"/>
      <c r="AO1937" s="76"/>
      <c r="AP1937" s="76"/>
      <c r="AQ1937" s="76"/>
      <c r="AR1937" s="76"/>
      <c r="AS1937" s="76"/>
      <c r="AT1937" s="76"/>
      <c r="AU1937" s="76"/>
      <c r="AV1937" s="76"/>
      <c r="AW1937" s="76"/>
      <c r="AX1937" s="76"/>
      <c r="AY1937" s="76"/>
      <c r="AZ1937" s="76"/>
      <c r="BA1937" s="76"/>
      <c r="BB1937" s="76"/>
    </row>
    <row r="1938" spans="5:54" x14ac:dyDescent="0.35">
      <c r="E1938" s="83"/>
      <c r="F1938" s="83"/>
      <c r="G1938" s="76"/>
      <c r="H1938" s="76"/>
      <c r="I1938" s="76"/>
      <c r="J1938" s="76"/>
      <c r="K1938" s="76"/>
      <c r="L1938" s="76"/>
      <c r="M1938" s="76"/>
      <c r="N1938" s="76"/>
      <c r="O1938" s="76"/>
      <c r="P1938" s="76"/>
      <c r="Q1938" s="76"/>
      <c r="R1938" s="76"/>
      <c r="S1938" s="76"/>
      <c r="T1938" s="76"/>
      <c r="U1938" s="76"/>
      <c r="V1938" s="76"/>
      <c r="W1938" s="76"/>
      <c r="X1938" s="76"/>
      <c r="Y1938" s="76"/>
      <c r="Z1938" s="76"/>
      <c r="AA1938" s="76"/>
      <c r="AB1938" s="76"/>
      <c r="AC1938" s="76"/>
      <c r="AD1938" s="76"/>
      <c r="AE1938" s="76"/>
      <c r="AF1938" s="76"/>
      <c r="AG1938" s="76"/>
      <c r="AH1938" s="76"/>
      <c r="AI1938" s="76"/>
      <c r="AJ1938" s="76"/>
      <c r="AK1938" s="76"/>
      <c r="AL1938" s="76"/>
      <c r="AM1938" s="76"/>
      <c r="AN1938" s="76"/>
      <c r="AO1938" s="76"/>
      <c r="AP1938" s="76"/>
      <c r="AQ1938" s="76"/>
      <c r="AR1938" s="76"/>
      <c r="AS1938" s="76"/>
      <c r="AT1938" s="76"/>
      <c r="AU1938" s="76"/>
      <c r="AV1938" s="76"/>
      <c r="AW1938" s="76"/>
      <c r="AX1938" s="76"/>
      <c r="AY1938" s="76"/>
      <c r="AZ1938" s="76"/>
      <c r="BA1938" s="76"/>
      <c r="BB1938" s="76"/>
    </row>
    <row r="1939" spans="5:54" x14ac:dyDescent="0.35">
      <c r="E1939" s="83"/>
      <c r="F1939" s="83"/>
      <c r="G1939" s="76"/>
      <c r="H1939" s="76"/>
      <c r="I1939" s="76"/>
      <c r="J1939" s="76"/>
      <c r="K1939" s="76"/>
      <c r="L1939" s="76"/>
      <c r="M1939" s="76"/>
      <c r="N1939" s="76"/>
      <c r="O1939" s="76"/>
      <c r="P1939" s="76"/>
      <c r="Q1939" s="76"/>
      <c r="R1939" s="76"/>
      <c r="S1939" s="76"/>
      <c r="T1939" s="76"/>
      <c r="U1939" s="76"/>
      <c r="V1939" s="76"/>
      <c r="W1939" s="76"/>
      <c r="X1939" s="76"/>
      <c r="Y1939" s="76"/>
      <c r="Z1939" s="76"/>
      <c r="AA1939" s="76"/>
      <c r="AB1939" s="76"/>
      <c r="AC1939" s="76"/>
      <c r="AD1939" s="76"/>
      <c r="AE1939" s="76"/>
      <c r="AF1939" s="76"/>
      <c r="AG1939" s="76"/>
      <c r="AH1939" s="76"/>
      <c r="AI1939" s="76"/>
      <c r="AJ1939" s="76"/>
      <c r="AK1939" s="76"/>
      <c r="AL1939" s="76"/>
      <c r="AM1939" s="76"/>
      <c r="AN1939" s="76"/>
      <c r="AO1939" s="76"/>
      <c r="AP1939" s="76"/>
      <c r="AQ1939" s="76"/>
      <c r="AR1939" s="76"/>
      <c r="AS1939" s="76"/>
      <c r="AT1939" s="76"/>
      <c r="AU1939" s="76"/>
      <c r="AV1939" s="76"/>
      <c r="AW1939" s="76"/>
      <c r="AX1939" s="76"/>
      <c r="AY1939" s="76"/>
      <c r="AZ1939" s="76"/>
      <c r="BA1939" s="76"/>
      <c r="BB1939" s="76"/>
    </row>
    <row r="1940" spans="5:54" x14ac:dyDescent="0.35">
      <c r="E1940" s="83"/>
      <c r="F1940" s="83"/>
      <c r="G1940" s="76"/>
      <c r="H1940" s="76"/>
      <c r="I1940" s="76"/>
      <c r="J1940" s="76"/>
      <c r="K1940" s="76"/>
      <c r="L1940" s="76"/>
      <c r="M1940" s="76"/>
      <c r="N1940" s="76"/>
      <c r="O1940" s="76"/>
      <c r="P1940" s="76"/>
      <c r="Q1940" s="76"/>
      <c r="R1940" s="76"/>
      <c r="S1940" s="76"/>
      <c r="T1940" s="76"/>
      <c r="U1940" s="76"/>
      <c r="V1940" s="76"/>
      <c r="W1940" s="76"/>
      <c r="X1940" s="76"/>
      <c r="Y1940" s="76"/>
      <c r="Z1940" s="76"/>
      <c r="AA1940" s="76"/>
      <c r="AB1940" s="76"/>
      <c r="AC1940" s="76"/>
      <c r="AD1940" s="76"/>
      <c r="AE1940" s="76"/>
      <c r="AF1940" s="76"/>
      <c r="AG1940" s="76"/>
      <c r="AH1940" s="76"/>
      <c r="AI1940" s="76"/>
      <c r="AJ1940" s="76"/>
      <c r="AK1940" s="76"/>
      <c r="AL1940" s="76"/>
      <c r="AM1940" s="76"/>
      <c r="AN1940" s="76"/>
      <c r="AO1940" s="76"/>
      <c r="AP1940" s="76"/>
      <c r="AQ1940" s="76"/>
      <c r="AR1940" s="76"/>
      <c r="AS1940" s="76"/>
      <c r="AT1940" s="76"/>
      <c r="AU1940" s="76"/>
      <c r="AV1940" s="76"/>
      <c r="AW1940" s="76"/>
      <c r="AX1940" s="76"/>
      <c r="AY1940" s="76"/>
      <c r="AZ1940" s="76"/>
      <c r="BA1940" s="76"/>
      <c r="BB1940" s="76"/>
    </row>
    <row r="1941" spans="5:54" x14ac:dyDescent="0.35">
      <c r="E1941" s="83"/>
      <c r="F1941" s="83"/>
      <c r="G1941" s="76"/>
      <c r="H1941" s="76"/>
      <c r="I1941" s="76"/>
      <c r="J1941" s="76"/>
      <c r="K1941" s="76"/>
      <c r="L1941" s="76"/>
      <c r="M1941" s="76"/>
      <c r="N1941" s="76"/>
      <c r="O1941" s="76"/>
      <c r="P1941" s="76"/>
      <c r="Q1941" s="76"/>
      <c r="R1941" s="76"/>
      <c r="S1941" s="76"/>
      <c r="T1941" s="76"/>
      <c r="U1941" s="76"/>
      <c r="V1941" s="76"/>
      <c r="W1941" s="76"/>
      <c r="X1941" s="76"/>
      <c r="Y1941" s="76"/>
      <c r="Z1941" s="76"/>
      <c r="AA1941" s="76"/>
      <c r="AB1941" s="76"/>
      <c r="AC1941" s="76"/>
      <c r="AD1941" s="76"/>
      <c r="AE1941" s="76"/>
      <c r="AF1941" s="76"/>
      <c r="AG1941" s="76"/>
      <c r="AH1941" s="76"/>
      <c r="AI1941" s="76"/>
      <c r="AJ1941" s="76"/>
      <c r="AK1941" s="76"/>
      <c r="AL1941" s="76"/>
      <c r="AM1941" s="76"/>
      <c r="AN1941" s="76"/>
      <c r="AO1941" s="76"/>
      <c r="AP1941" s="76"/>
      <c r="AQ1941" s="76"/>
      <c r="AR1941" s="76"/>
      <c r="AS1941" s="76"/>
      <c r="AT1941" s="76"/>
      <c r="AU1941" s="76"/>
      <c r="AV1941" s="76"/>
      <c r="AW1941" s="76"/>
      <c r="AX1941" s="76"/>
      <c r="AY1941" s="76"/>
      <c r="AZ1941" s="76"/>
      <c r="BA1941" s="76"/>
      <c r="BB1941" s="76"/>
    </row>
    <row r="1942" spans="5:54" x14ac:dyDescent="0.35">
      <c r="E1942" s="83"/>
      <c r="F1942" s="83"/>
      <c r="G1942" s="76"/>
      <c r="H1942" s="76"/>
      <c r="I1942" s="76"/>
      <c r="J1942" s="76"/>
      <c r="K1942" s="76"/>
      <c r="L1942" s="76"/>
      <c r="M1942" s="76"/>
      <c r="N1942" s="76"/>
      <c r="O1942" s="76"/>
      <c r="P1942" s="76"/>
      <c r="Q1942" s="76"/>
      <c r="R1942" s="76"/>
      <c r="S1942" s="76"/>
      <c r="T1942" s="76"/>
      <c r="U1942" s="76"/>
      <c r="V1942" s="76"/>
      <c r="W1942" s="76"/>
      <c r="X1942" s="76"/>
      <c r="Y1942" s="76"/>
      <c r="Z1942" s="76"/>
      <c r="AA1942" s="76"/>
      <c r="AB1942" s="76"/>
      <c r="AC1942" s="76"/>
      <c r="AD1942" s="76"/>
      <c r="AE1942" s="76"/>
      <c r="AF1942" s="76"/>
      <c r="AG1942" s="76"/>
      <c r="AH1942" s="76"/>
      <c r="AI1942" s="76"/>
      <c r="AJ1942" s="76"/>
      <c r="AK1942" s="76"/>
      <c r="AL1942" s="76"/>
      <c r="AM1942" s="76"/>
      <c r="AN1942" s="76"/>
      <c r="AO1942" s="76"/>
      <c r="AP1942" s="76"/>
      <c r="AQ1942" s="76"/>
      <c r="AR1942" s="76"/>
      <c r="AS1942" s="76"/>
      <c r="AT1942" s="76"/>
      <c r="AU1942" s="76"/>
      <c r="AV1942" s="76"/>
      <c r="AW1942" s="76"/>
      <c r="AX1942" s="76"/>
      <c r="AY1942" s="76"/>
      <c r="AZ1942" s="76"/>
      <c r="BA1942" s="76"/>
      <c r="BB1942" s="76"/>
    </row>
    <row r="1943" spans="5:54" x14ac:dyDescent="0.35">
      <c r="E1943" s="83"/>
      <c r="F1943" s="83"/>
      <c r="G1943" s="76"/>
      <c r="H1943" s="76"/>
      <c r="I1943" s="76"/>
      <c r="J1943" s="76"/>
      <c r="K1943" s="76"/>
      <c r="L1943" s="76"/>
      <c r="M1943" s="76"/>
      <c r="N1943" s="76"/>
      <c r="O1943" s="76"/>
      <c r="P1943" s="76"/>
      <c r="Q1943" s="76"/>
      <c r="R1943" s="76"/>
      <c r="S1943" s="76"/>
      <c r="T1943" s="76"/>
      <c r="U1943" s="76"/>
      <c r="V1943" s="76"/>
      <c r="W1943" s="76"/>
      <c r="X1943" s="76"/>
      <c r="Y1943" s="76"/>
      <c r="Z1943" s="76"/>
      <c r="AA1943" s="76"/>
      <c r="AB1943" s="76"/>
      <c r="AC1943" s="76"/>
      <c r="AD1943" s="76"/>
      <c r="AE1943" s="76"/>
      <c r="AF1943" s="76"/>
      <c r="AG1943" s="76"/>
      <c r="AH1943" s="76"/>
      <c r="AI1943" s="76"/>
      <c r="AJ1943" s="76"/>
      <c r="AK1943" s="76"/>
      <c r="AL1943" s="76"/>
      <c r="AM1943" s="76"/>
      <c r="AN1943" s="76"/>
      <c r="AO1943" s="76"/>
      <c r="AP1943" s="76"/>
      <c r="AQ1943" s="76"/>
      <c r="AR1943" s="76"/>
      <c r="AS1943" s="76"/>
      <c r="AT1943" s="76"/>
      <c r="AU1943" s="76"/>
      <c r="AV1943" s="76"/>
      <c r="AW1943" s="76"/>
      <c r="AX1943" s="76"/>
      <c r="AY1943" s="76"/>
      <c r="AZ1943" s="76"/>
      <c r="BA1943" s="76"/>
      <c r="BB1943" s="76"/>
    </row>
    <row r="1944" spans="5:54" x14ac:dyDescent="0.35">
      <c r="E1944" s="83"/>
      <c r="F1944" s="83"/>
      <c r="G1944" s="76"/>
      <c r="H1944" s="76"/>
      <c r="I1944" s="76"/>
      <c r="J1944" s="76"/>
      <c r="K1944" s="76"/>
      <c r="L1944" s="76"/>
      <c r="M1944" s="76"/>
      <c r="N1944" s="76"/>
      <c r="O1944" s="76"/>
      <c r="P1944" s="76"/>
      <c r="Q1944" s="76"/>
      <c r="R1944" s="76"/>
      <c r="S1944" s="76"/>
      <c r="T1944" s="76"/>
      <c r="U1944" s="76"/>
      <c r="V1944" s="76"/>
      <c r="W1944" s="76"/>
      <c r="X1944" s="76"/>
      <c r="Y1944" s="76"/>
      <c r="Z1944" s="76"/>
      <c r="AA1944" s="76"/>
      <c r="AB1944" s="76"/>
      <c r="AC1944" s="76"/>
      <c r="AD1944" s="76"/>
      <c r="AE1944" s="76"/>
      <c r="AF1944" s="76"/>
      <c r="AG1944" s="76"/>
      <c r="AH1944" s="76"/>
      <c r="AI1944" s="76"/>
      <c r="AJ1944" s="76"/>
      <c r="AK1944" s="76"/>
      <c r="AL1944" s="76"/>
      <c r="AM1944" s="76"/>
      <c r="AN1944" s="76"/>
      <c r="AO1944" s="76"/>
      <c r="AP1944" s="76"/>
      <c r="AQ1944" s="76"/>
      <c r="AR1944" s="76"/>
      <c r="AS1944" s="76"/>
      <c r="AT1944" s="76"/>
      <c r="AU1944" s="76"/>
      <c r="AV1944" s="76"/>
      <c r="AW1944" s="76"/>
      <c r="AX1944" s="76"/>
      <c r="AY1944" s="76"/>
      <c r="AZ1944" s="76"/>
      <c r="BA1944" s="76"/>
      <c r="BB1944" s="76"/>
    </row>
    <row r="1945" spans="5:54" x14ac:dyDescent="0.35">
      <c r="E1945" s="83"/>
      <c r="F1945" s="83"/>
      <c r="G1945" s="76"/>
      <c r="H1945" s="76"/>
      <c r="I1945" s="76"/>
      <c r="J1945" s="76"/>
      <c r="K1945" s="76"/>
      <c r="L1945" s="76"/>
      <c r="M1945" s="76"/>
      <c r="N1945" s="76"/>
      <c r="O1945" s="76"/>
      <c r="P1945" s="76"/>
      <c r="Q1945" s="76"/>
      <c r="R1945" s="76"/>
      <c r="S1945" s="76"/>
      <c r="T1945" s="76"/>
      <c r="U1945" s="76"/>
      <c r="V1945" s="76"/>
      <c r="W1945" s="76"/>
      <c r="X1945" s="76"/>
      <c r="Y1945" s="76"/>
      <c r="Z1945" s="76"/>
      <c r="AA1945" s="76"/>
      <c r="AB1945" s="76"/>
      <c r="AC1945" s="76"/>
      <c r="AD1945" s="76"/>
      <c r="AE1945" s="76"/>
      <c r="AF1945" s="76"/>
      <c r="AG1945" s="76"/>
      <c r="AH1945" s="76"/>
      <c r="AI1945" s="76"/>
      <c r="AJ1945" s="76"/>
      <c r="AK1945" s="76"/>
      <c r="AL1945" s="76"/>
      <c r="AM1945" s="76"/>
      <c r="AN1945" s="76"/>
      <c r="AO1945" s="76"/>
      <c r="AP1945" s="76"/>
      <c r="AQ1945" s="76"/>
      <c r="AR1945" s="76"/>
      <c r="AS1945" s="76"/>
      <c r="AT1945" s="76"/>
      <c r="AU1945" s="76"/>
      <c r="AV1945" s="76"/>
      <c r="AW1945" s="76"/>
      <c r="AX1945" s="76"/>
      <c r="AY1945" s="76"/>
      <c r="AZ1945" s="76"/>
      <c r="BA1945" s="76"/>
      <c r="BB1945" s="76"/>
    </row>
    <row r="1946" spans="5:54" x14ac:dyDescent="0.35">
      <c r="E1946" s="83"/>
      <c r="F1946" s="83"/>
      <c r="G1946" s="76"/>
      <c r="H1946" s="76"/>
      <c r="I1946" s="76"/>
      <c r="J1946" s="76"/>
      <c r="K1946" s="76"/>
      <c r="L1946" s="76"/>
      <c r="M1946" s="76"/>
      <c r="N1946" s="76"/>
      <c r="O1946" s="76"/>
      <c r="P1946" s="76"/>
      <c r="Q1946" s="76"/>
      <c r="R1946" s="76"/>
      <c r="S1946" s="76"/>
      <c r="T1946" s="76"/>
      <c r="U1946" s="76"/>
      <c r="V1946" s="76"/>
      <c r="W1946" s="76"/>
      <c r="X1946" s="76"/>
      <c r="Y1946" s="76"/>
      <c r="Z1946" s="76"/>
      <c r="AA1946" s="76"/>
      <c r="AB1946" s="76"/>
      <c r="AC1946" s="76"/>
      <c r="AD1946" s="76"/>
      <c r="AE1946" s="76"/>
      <c r="AF1946" s="76"/>
      <c r="AG1946" s="76"/>
      <c r="AH1946" s="76"/>
      <c r="AI1946" s="76"/>
      <c r="AJ1946" s="76"/>
      <c r="AK1946" s="76"/>
      <c r="AL1946" s="76"/>
      <c r="AM1946" s="76"/>
      <c r="AN1946" s="76"/>
      <c r="AO1946" s="76"/>
      <c r="AP1946" s="76"/>
      <c r="AQ1946" s="76"/>
      <c r="AR1946" s="76"/>
      <c r="AS1946" s="76"/>
      <c r="AT1946" s="76"/>
      <c r="AU1946" s="76"/>
      <c r="AV1946" s="76"/>
      <c r="AW1946" s="76"/>
      <c r="AX1946" s="76"/>
      <c r="AY1946" s="76"/>
      <c r="AZ1946" s="76"/>
      <c r="BA1946" s="76"/>
      <c r="BB1946" s="76"/>
    </row>
    <row r="1947" spans="5:54" x14ac:dyDescent="0.35">
      <c r="E1947" s="83"/>
      <c r="F1947" s="83"/>
      <c r="G1947" s="76"/>
      <c r="H1947" s="76"/>
      <c r="I1947" s="76"/>
      <c r="J1947" s="76"/>
      <c r="K1947" s="76"/>
      <c r="L1947" s="76"/>
      <c r="M1947" s="76"/>
      <c r="N1947" s="76"/>
      <c r="O1947" s="76"/>
      <c r="P1947" s="76"/>
      <c r="Q1947" s="76"/>
      <c r="R1947" s="76"/>
      <c r="S1947" s="76"/>
      <c r="T1947" s="76"/>
      <c r="U1947" s="76"/>
      <c r="V1947" s="76"/>
      <c r="W1947" s="76"/>
      <c r="X1947" s="76"/>
      <c r="Y1947" s="76"/>
      <c r="Z1947" s="76"/>
      <c r="AA1947" s="76"/>
      <c r="AB1947" s="76"/>
      <c r="AC1947" s="76"/>
      <c r="AD1947" s="76"/>
      <c r="AE1947" s="76"/>
      <c r="AF1947" s="76"/>
      <c r="AG1947" s="76"/>
      <c r="AH1947" s="76"/>
      <c r="AI1947" s="76"/>
      <c r="AJ1947" s="76"/>
      <c r="AK1947" s="76"/>
      <c r="AL1947" s="76"/>
      <c r="AM1947" s="76"/>
      <c r="AN1947" s="76"/>
      <c r="AO1947" s="76"/>
      <c r="AP1947" s="76"/>
      <c r="AQ1947" s="76"/>
      <c r="AR1947" s="76"/>
      <c r="AS1947" s="76"/>
      <c r="AT1947" s="76"/>
      <c r="AU1947" s="76"/>
      <c r="AV1947" s="76"/>
      <c r="AW1947" s="76"/>
      <c r="AX1947" s="76"/>
      <c r="AY1947" s="76"/>
      <c r="AZ1947" s="76"/>
      <c r="BA1947" s="76"/>
      <c r="BB1947" s="76"/>
    </row>
    <row r="1948" spans="5:54" x14ac:dyDescent="0.35">
      <c r="E1948" s="83"/>
      <c r="F1948" s="83"/>
      <c r="G1948" s="76"/>
      <c r="H1948" s="76"/>
      <c r="I1948" s="76"/>
      <c r="J1948" s="76"/>
      <c r="K1948" s="76"/>
      <c r="L1948" s="76"/>
      <c r="M1948" s="76"/>
      <c r="N1948" s="76"/>
      <c r="O1948" s="76"/>
      <c r="P1948" s="76"/>
      <c r="Q1948" s="76"/>
      <c r="R1948" s="76"/>
      <c r="S1948" s="76"/>
      <c r="T1948" s="76"/>
      <c r="U1948" s="76"/>
      <c r="V1948" s="76"/>
      <c r="W1948" s="76"/>
      <c r="X1948" s="76"/>
      <c r="Y1948" s="76"/>
      <c r="Z1948" s="76"/>
      <c r="AA1948" s="76"/>
      <c r="AB1948" s="76"/>
      <c r="AC1948" s="76"/>
      <c r="AD1948" s="76"/>
      <c r="AE1948" s="76"/>
      <c r="AF1948" s="76"/>
      <c r="AG1948" s="76"/>
      <c r="AH1948" s="76"/>
      <c r="AI1948" s="76"/>
      <c r="AJ1948" s="76"/>
      <c r="AK1948" s="76"/>
      <c r="AL1948" s="76"/>
      <c r="AM1948" s="76"/>
      <c r="AN1948" s="76"/>
      <c r="AO1948" s="76"/>
      <c r="AP1948" s="76"/>
      <c r="AQ1948" s="76"/>
      <c r="AR1948" s="76"/>
      <c r="AS1948" s="76"/>
      <c r="AT1948" s="76"/>
      <c r="AU1948" s="76"/>
      <c r="AV1948" s="76"/>
      <c r="AW1948" s="76"/>
      <c r="AX1948" s="76"/>
      <c r="AY1948" s="76"/>
      <c r="AZ1948" s="76"/>
      <c r="BA1948" s="76"/>
      <c r="BB1948" s="76"/>
    </row>
    <row r="1949" spans="5:54" x14ac:dyDescent="0.35">
      <c r="E1949" s="83"/>
      <c r="F1949" s="83"/>
      <c r="G1949" s="76"/>
      <c r="H1949" s="76"/>
      <c r="I1949" s="76"/>
      <c r="J1949" s="76"/>
      <c r="K1949" s="76"/>
      <c r="L1949" s="76"/>
      <c r="M1949" s="76"/>
      <c r="N1949" s="76"/>
      <c r="O1949" s="76"/>
      <c r="P1949" s="76"/>
      <c r="Q1949" s="76"/>
      <c r="R1949" s="76"/>
      <c r="S1949" s="76"/>
      <c r="T1949" s="76"/>
      <c r="U1949" s="76"/>
      <c r="V1949" s="76"/>
      <c r="W1949" s="76"/>
      <c r="X1949" s="76"/>
      <c r="Y1949" s="76"/>
      <c r="Z1949" s="76"/>
      <c r="AA1949" s="76"/>
      <c r="AB1949" s="76"/>
      <c r="AC1949" s="76"/>
      <c r="AD1949" s="76"/>
      <c r="AE1949" s="76"/>
      <c r="AF1949" s="76"/>
      <c r="AG1949" s="76"/>
      <c r="AH1949" s="76"/>
      <c r="AI1949" s="76"/>
      <c r="AJ1949" s="76"/>
      <c r="AK1949" s="76"/>
      <c r="AL1949" s="76"/>
      <c r="AM1949" s="76"/>
      <c r="AN1949" s="76"/>
      <c r="AO1949" s="76"/>
      <c r="AP1949" s="76"/>
      <c r="AQ1949" s="76"/>
      <c r="AR1949" s="76"/>
      <c r="AS1949" s="76"/>
      <c r="AT1949" s="76"/>
      <c r="AU1949" s="76"/>
      <c r="AV1949" s="76"/>
      <c r="AW1949" s="76"/>
      <c r="AX1949" s="76"/>
      <c r="AY1949" s="76"/>
      <c r="AZ1949" s="76"/>
      <c r="BA1949" s="76"/>
      <c r="BB1949" s="76"/>
    </row>
    <row r="1950" spans="5:54" x14ac:dyDescent="0.35">
      <c r="E1950" s="83"/>
      <c r="F1950" s="83"/>
      <c r="G1950" s="76"/>
      <c r="H1950" s="76"/>
      <c r="I1950" s="76"/>
      <c r="J1950" s="76"/>
      <c r="K1950" s="76"/>
      <c r="L1950" s="76"/>
      <c r="M1950" s="76"/>
      <c r="N1950" s="76"/>
      <c r="O1950" s="76"/>
      <c r="P1950" s="76"/>
      <c r="Q1950" s="76"/>
      <c r="R1950" s="76"/>
      <c r="S1950" s="76"/>
      <c r="T1950" s="76"/>
      <c r="U1950" s="76"/>
      <c r="V1950" s="76"/>
      <c r="W1950" s="76"/>
      <c r="X1950" s="76"/>
      <c r="Y1950" s="76"/>
      <c r="Z1950" s="76"/>
      <c r="AA1950" s="76"/>
      <c r="AB1950" s="76"/>
      <c r="AC1950" s="76"/>
      <c r="AD1950" s="76"/>
      <c r="AE1950" s="76"/>
      <c r="AF1950" s="76"/>
      <c r="AG1950" s="76"/>
      <c r="AH1950" s="76"/>
      <c r="AI1950" s="76"/>
      <c r="AJ1950" s="76"/>
      <c r="AK1950" s="76"/>
      <c r="AL1950" s="76"/>
      <c r="AM1950" s="76"/>
      <c r="AN1950" s="76"/>
      <c r="AO1950" s="76"/>
      <c r="AP1950" s="76"/>
      <c r="AQ1950" s="76"/>
      <c r="AR1950" s="76"/>
      <c r="AS1950" s="76"/>
      <c r="AT1950" s="76"/>
      <c r="AU1950" s="76"/>
      <c r="AV1950" s="76"/>
      <c r="AW1950" s="76"/>
      <c r="AX1950" s="76"/>
      <c r="AY1950" s="76"/>
      <c r="AZ1950" s="76"/>
      <c r="BA1950" s="76"/>
      <c r="BB1950" s="76"/>
    </row>
    <row r="1951" spans="5:54" x14ac:dyDescent="0.35">
      <c r="E1951" s="83"/>
      <c r="F1951" s="83"/>
      <c r="G1951" s="76"/>
      <c r="H1951" s="76"/>
      <c r="I1951" s="76"/>
      <c r="J1951" s="76"/>
      <c r="K1951" s="76"/>
      <c r="L1951" s="76"/>
      <c r="M1951" s="76"/>
      <c r="N1951" s="76"/>
      <c r="O1951" s="76"/>
      <c r="P1951" s="76"/>
      <c r="Q1951" s="76"/>
      <c r="R1951" s="76"/>
      <c r="S1951" s="76"/>
      <c r="T1951" s="76"/>
      <c r="U1951" s="76"/>
      <c r="V1951" s="76"/>
      <c r="W1951" s="76"/>
      <c r="X1951" s="76"/>
      <c r="Y1951" s="76"/>
      <c r="Z1951" s="76"/>
      <c r="AA1951" s="76"/>
      <c r="AB1951" s="76"/>
      <c r="AC1951" s="76"/>
      <c r="AD1951" s="76"/>
      <c r="AE1951" s="76"/>
      <c r="AF1951" s="76"/>
      <c r="AG1951" s="76"/>
      <c r="AH1951" s="76"/>
      <c r="AI1951" s="76"/>
      <c r="AJ1951" s="76"/>
      <c r="AK1951" s="76"/>
      <c r="AL1951" s="76"/>
      <c r="AM1951" s="76"/>
      <c r="AN1951" s="76"/>
      <c r="AO1951" s="76"/>
      <c r="AP1951" s="76"/>
      <c r="AQ1951" s="76"/>
      <c r="AR1951" s="76"/>
      <c r="AS1951" s="76"/>
      <c r="AT1951" s="76"/>
      <c r="AU1951" s="76"/>
      <c r="AV1951" s="76"/>
      <c r="AW1951" s="76"/>
      <c r="AX1951" s="76"/>
      <c r="AY1951" s="76"/>
      <c r="AZ1951" s="76"/>
      <c r="BA1951" s="76"/>
      <c r="BB1951" s="76"/>
    </row>
    <row r="1952" spans="5:54" x14ac:dyDescent="0.35">
      <c r="E1952" s="83"/>
      <c r="F1952" s="83"/>
      <c r="G1952" s="76"/>
      <c r="H1952" s="76"/>
      <c r="I1952" s="76"/>
      <c r="J1952" s="76"/>
      <c r="K1952" s="76"/>
      <c r="L1952" s="76"/>
      <c r="M1952" s="76"/>
      <c r="N1952" s="76"/>
      <c r="O1952" s="76"/>
      <c r="P1952" s="76"/>
      <c r="Q1952" s="76"/>
      <c r="R1952" s="76"/>
      <c r="S1952" s="76"/>
      <c r="T1952" s="76"/>
      <c r="U1952" s="76"/>
      <c r="V1952" s="76"/>
      <c r="W1952" s="76"/>
      <c r="X1952" s="76"/>
      <c r="Y1952" s="76"/>
      <c r="Z1952" s="76"/>
      <c r="AA1952" s="76"/>
      <c r="AB1952" s="76"/>
      <c r="AC1952" s="76"/>
      <c r="AD1952" s="76"/>
      <c r="AE1952" s="76"/>
      <c r="AF1952" s="76"/>
      <c r="AG1952" s="76"/>
      <c r="AH1952" s="76"/>
      <c r="AI1952" s="76"/>
      <c r="AJ1952" s="76"/>
      <c r="AK1952" s="76"/>
      <c r="AL1952" s="76"/>
      <c r="AM1952" s="76"/>
      <c r="AN1952" s="76"/>
      <c r="AO1952" s="76"/>
      <c r="AP1952" s="76"/>
      <c r="AQ1952" s="76"/>
      <c r="AR1952" s="76"/>
      <c r="AS1952" s="76"/>
      <c r="AT1952" s="76"/>
      <c r="AU1952" s="76"/>
      <c r="AV1952" s="76"/>
      <c r="AW1952" s="76"/>
      <c r="AX1952" s="76"/>
      <c r="AY1952" s="76"/>
      <c r="AZ1952" s="76"/>
      <c r="BA1952" s="76"/>
      <c r="BB1952" s="76"/>
    </row>
    <row r="1953" spans="5:54" x14ac:dyDescent="0.35">
      <c r="E1953" s="83"/>
      <c r="F1953" s="83"/>
      <c r="G1953" s="76"/>
      <c r="H1953" s="76"/>
      <c r="I1953" s="76"/>
      <c r="J1953" s="76"/>
      <c r="K1953" s="76"/>
      <c r="L1953" s="76"/>
      <c r="M1953" s="76"/>
      <c r="N1953" s="76"/>
      <c r="O1953" s="76"/>
      <c r="P1953" s="76"/>
      <c r="Q1953" s="76"/>
      <c r="R1953" s="76"/>
      <c r="S1953" s="76"/>
      <c r="T1953" s="76"/>
      <c r="U1953" s="76"/>
      <c r="V1953" s="76"/>
      <c r="W1953" s="76"/>
      <c r="X1953" s="76"/>
      <c r="Y1953" s="76"/>
      <c r="Z1953" s="76"/>
      <c r="AA1953" s="76"/>
      <c r="AB1953" s="76"/>
      <c r="AC1953" s="76"/>
      <c r="AD1953" s="76"/>
      <c r="AE1953" s="76"/>
      <c r="AF1953" s="76"/>
      <c r="AG1953" s="76"/>
      <c r="AH1953" s="76"/>
      <c r="AI1953" s="76"/>
      <c r="AJ1953" s="76"/>
      <c r="AK1953" s="76"/>
      <c r="AL1953" s="76"/>
      <c r="AM1953" s="76"/>
      <c r="AN1953" s="76"/>
      <c r="AO1953" s="76"/>
      <c r="AP1953" s="76"/>
      <c r="AQ1953" s="76"/>
      <c r="AR1953" s="76"/>
      <c r="AS1953" s="76"/>
      <c r="AT1953" s="76"/>
      <c r="AU1953" s="76"/>
      <c r="AV1953" s="76"/>
      <c r="AW1953" s="76"/>
      <c r="AX1953" s="76"/>
      <c r="AY1953" s="76"/>
      <c r="AZ1953" s="76"/>
      <c r="BA1953" s="76"/>
      <c r="BB1953" s="76"/>
    </row>
    <row r="1954" spans="5:54" x14ac:dyDescent="0.35">
      <c r="E1954" s="83"/>
      <c r="F1954" s="83"/>
      <c r="G1954" s="76"/>
      <c r="H1954" s="76"/>
      <c r="I1954" s="76"/>
      <c r="J1954" s="76"/>
      <c r="K1954" s="76"/>
      <c r="L1954" s="76"/>
      <c r="M1954" s="76"/>
      <c r="N1954" s="76"/>
      <c r="O1954" s="76"/>
      <c r="P1954" s="76"/>
      <c r="Q1954" s="76"/>
      <c r="R1954" s="76"/>
      <c r="S1954" s="76"/>
      <c r="T1954" s="76"/>
      <c r="U1954" s="76"/>
      <c r="V1954" s="76"/>
      <c r="W1954" s="76"/>
      <c r="X1954" s="76"/>
      <c r="Y1954" s="76"/>
      <c r="Z1954" s="76"/>
      <c r="AA1954" s="76"/>
      <c r="AB1954" s="76"/>
      <c r="AC1954" s="76"/>
      <c r="AD1954" s="76"/>
      <c r="AE1954" s="76"/>
      <c r="AF1954" s="76"/>
      <c r="AG1954" s="76"/>
      <c r="AH1954" s="76"/>
      <c r="AI1954" s="76"/>
      <c r="AJ1954" s="76"/>
      <c r="AK1954" s="76"/>
      <c r="AL1954" s="76"/>
      <c r="AM1954" s="76"/>
      <c r="AN1954" s="76"/>
      <c r="AO1954" s="76"/>
      <c r="AP1954" s="76"/>
      <c r="AQ1954" s="76"/>
      <c r="AR1954" s="76"/>
      <c r="AS1954" s="76"/>
      <c r="AT1954" s="76"/>
      <c r="AU1954" s="76"/>
      <c r="AV1954" s="76"/>
      <c r="AW1954" s="76"/>
      <c r="AX1954" s="76"/>
      <c r="AY1954" s="76"/>
      <c r="AZ1954" s="76"/>
      <c r="BA1954" s="76"/>
      <c r="BB1954" s="76"/>
    </row>
    <row r="1955" spans="5:54" x14ac:dyDescent="0.35">
      <c r="E1955" s="83"/>
      <c r="F1955" s="83"/>
      <c r="G1955" s="76"/>
      <c r="H1955" s="76"/>
      <c r="I1955" s="76"/>
      <c r="J1955" s="76"/>
      <c r="K1955" s="76"/>
      <c r="L1955" s="76"/>
      <c r="M1955" s="76"/>
      <c r="N1955" s="76"/>
      <c r="O1955" s="76"/>
      <c r="P1955" s="76"/>
      <c r="Q1955" s="76"/>
      <c r="R1955" s="76"/>
      <c r="S1955" s="76"/>
      <c r="T1955" s="76"/>
      <c r="U1955" s="76"/>
      <c r="V1955" s="76"/>
      <c r="W1955" s="76"/>
      <c r="X1955" s="76"/>
      <c r="Y1955" s="76"/>
      <c r="Z1955" s="76"/>
      <c r="AA1955" s="76"/>
      <c r="AB1955" s="76"/>
      <c r="AC1955" s="76"/>
      <c r="AD1955" s="76"/>
      <c r="AE1955" s="76"/>
      <c r="AF1955" s="76"/>
      <c r="AG1955" s="76"/>
      <c r="AH1955" s="76"/>
      <c r="AI1955" s="76"/>
      <c r="AJ1955" s="76"/>
      <c r="AK1955" s="76"/>
      <c r="AL1955" s="76"/>
      <c r="AM1955" s="76"/>
      <c r="AN1955" s="76"/>
      <c r="AO1955" s="76"/>
      <c r="AP1955" s="76"/>
      <c r="AQ1955" s="76"/>
      <c r="AR1955" s="76"/>
      <c r="AS1955" s="76"/>
      <c r="AT1955" s="76"/>
      <c r="AU1955" s="76"/>
      <c r="AV1955" s="76"/>
      <c r="AW1955" s="76"/>
      <c r="AX1955" s="76"/>
      <c r="AY1955" s="76"/>
      <c r="AZ1955" s="76"/>
      <c r="BA1955" s="76"/>
      <c r="BB1955" s="76"/>
    </row>
    <row r="1956" spans="5:54" x14ac:dyDescent="0.35">
      <c r="E1956" s="83"/>
      <c r="F1956" s="83"/>
      <c r="G1956" s="76"/>
      <c r="H1956" s="76"/>
      <c r="I1956" s="76"/>
      <c r="J1956" s="76"/>
      <c r="K1956" s="76"/>
      <c r="L1956" s="76"/>
      <c r="M1956" s="76"/>
      <c r="N1956" s="76"/>
      <c r="O1956" s="76"/>
      <c r="P1956" s="76"/>
      <c r="Q1956" s="76"/>
      <c r="R1956" s="76"/>
      <c r="S1956" s="76"/>
      <c r="T1956" s="76"/>
      <c r="U1956" s="76"/>
      <c r="V1956" s="76"/>
      <c r="W1956" s="76"/>
      <c r="X1956" s="76"/>
      <c r="Y1956" s="76"/>
      <c r="Z1956" s="76"/>
      <c r="AA1956" s="76"/>
      <c r="AB1956" s="76"/>
      <c r="AC1956" s="76"/>
      <c r="AD1956" s="76"/>
      <c r="AE1956" s="76"/>
      <c r="AF1956" s="76"/>
      <c r="AG1956" s="76"/>
      <c r="AH1956" s="76"/>
      <c r="AI1956" s="76"/>
      <c r="AJ1956" s="76"/>
      <c r="AK1956" s="76"/>
      <c r="AL1956" s="76"/>
      <c r="AM1956" s="76"/>
      <c r="AN1956" s="76"/>
      <c r="AO1956" s="76"/>
      <c r="AP1956" s="76"/>
      <c r="AQ1956" s="76"/>
      <c r="AR1956" s="76"/>
      <c r="AS1956" s="76"/>
      <c r="AT1956" s="76"/>
      <c r="AU1956" s="76"/>
      <c r="AV1956" s="76"/>
      <c r="AW1956" s="76"/>
      <c r="AX1956" s="76"/>
      <c r="AY1956" s="76"/>
      <c r="AZ1956" s="76"/>
      <c r="BA1956" s="76"/>
      <c r="BB1956" s="76"/>
    </row>
    <row r="1957" spans="5:54" x14ac:dyDescent="0.35">
      <c r="E1957" s="83"/>
      <c r="F1957" s="83"/>
      <c r="G1957" s="76"/>
      <c r="H1957" s="76"/>
      <c r="I1957" s="76"/>
      <c r="J1957" s="76"/>
      <c r="K1957" s="76"/>
      <c r="L1957" s="76"/>
      <c r="M1957" s="76"/>
      <c r="N1957" s="76"/>
      <c r="O1957" s="76"/>
      <c r="P1957" s="76"/>
      <c r="Q1957" s="76"/>
      <c r="R1957" s="76"/>
      <c r="S1957" s="76"/>
      <c r="T1957" s="76"/>
      <c r="U1957" s="76"/>
      <c r="V1957" s="76"/>
      <c r="W1957" s="76"/>
      <c r="X1957" s="76"/>
      <c r="Y1957" s="76"/>
      <c r="Z1957" s="76"/>
      <c r="AA1957" s="76"/>
      <c r="AB1957" s="76"/>
      <c r="AC1957" s="76"/>
      <c r="AD1957" s="76"/>
      <c r="AE1957" s="76"/>
      <c r="AF1957" s="76"/>
      <c r="AG1957" s="76"/>
      <c r="AH1957" s="76"/>
      <c r="AI1957" s="76"/>
      <c r="AJ1957" s="76"/>
      <c r="AK1957" s="76"/>
      <c r="AL1957" s="76"/>
      <c r="AM1957" s="76"/>
      <c r="AN1957" s="76"/>
      <c r="AO1957" s="76"/>
      <c r="AP1957" s="76"/>
      <c r="AQ1957" s="76"/>
      <c r="AR1957" s="76"/>
      <c r="AS1957" s="76"/>
      <c r="AT1957" s="76"/>
      <c r="AU1957" s="76"/>
      <c r="AV1957" s="76"/>
      <c r="AW1957" s="76"/>
      <c r="AX1957" s="76"/>
      <c r="AY1957" s="76"/>
      <c r="AZ1957" s="76"/>
      <c r="BA1957" s="76"/>
      <c r="BB1957" s="76"/>
    </row>
    <row r="1958" spans="5:54" x14ac:dyDescent="0.35">
      <c r="E1958" s="83"/>
      <c r="F1958" s="83"/>
      <c r="G1958" s="76"/>
      <c r="H1958" s="76"/>
      <c r="I1958" s="76"/>
      <c r="J1958" s="76"/>
      <c r="K1958" s="76"/>
      <c r="L1958" s="76"/>
      <c r="M1958" s="76"/>
      <c r="N1958" s="76"/>
      <c r="O1958" s="76"/>
      <c r="P1958" s="76"/>
      <c r="Q1958" s="76"/>
      <c r="R1958" s="76"/>
      <c r="S1958" s="76"/>
      <c r="T1958" s="76"/>
      <c r="U1958" s="76"/>
      <c r="V1958" s="76"/>
      <c r="W1958" s="76"/>
      <c r="X1958" s="76"/>
      <c r="Y1958" s="76"/>
      <c r="Z1958" s="76"/>
      <c r="AA1958" s="76"/>
      <c r="AB1958" s="76"/>
      <c r="AC1958" s="76"/>
      <c r="AD1958" s="76"/>
      <c r="AE1958" s="76"/>
      <c r="AF1958" s="76"/>
      <c r="AG1958" s="76"/>
      <c r="AH1958" s="76"/>
      <c r="AI1958" s="76"/>
      <c r="AJ1958" s="76"/>
      <c r="AK1958" s="76"/>
      <c r="AL1958" s="76"/>
      <c r="AM1958" s="76"/>
      <c r="AN1958" s="76"/>
      <c r="AO1958" s="76"/>
      <c r="AP1958" s="76"/>
      <c r="AQ1958" s="76"/>
      <c r="AR1958" s="76"/>
      <c r="AS1958" s="76"/>
      <c r="AT1958" s="76"/>
      <c r="AU1958" s="76"/>
      <c r="AV1958" s="76"/>
      <c r="AW1958" s="76"/>
      <c r="AX1958" s="76"/>
      <c r="AY1958" s="76"/>
      <c r="AZ1958" s="76"/>
      <c r="BA1958" s="76"/>
      <c r="BB1958" s="76"/>
    </row>
    <row r="1959" spans="5:54" x14ac:dyDescent="0.35">
      <c r="E1959" s="83"/>
      <c r="F1959" s="83"/>
      <c r="G1959" s="76"/>
      <c r="H1959" s="76"/>
      <c r="I1959" s="76"/>
      <c r="J1959" s="76"/>
      <c r="K1959" s="76"/>
      <c r="L1959" s="76"/>
      <c r="M1959" s="76"/>
      <c r="N1959" s="76"/>
      <c r="O1959" s="76"/>
      <c r="P1959" s="76"/>
      <c r="Q1959" s="76"/>
      <c r="R1959" s="76"/>
      <c r="S1959" s="76"/>
      <c r="T1959" s="76"/>
      <c r="U1959" s="76"/>
      <c r="V1959" s="76"/>
      <c r="W1959" s="76"/>
      <c r="X1959" s="76"/>
      <c r="Y1959" s="76"/>
      <c r="Z1959" s="76"/>
      <c r="AA1959" s="76"/>
      <c r="AB1959" s="76"/>
      <c r="AC1959" s="76"/>
      <c r="AD1959" s="76"/>
      <c r="AE1959" s="76"/>
      <c r="AF1959" s="76"/>
      <c r="AG1959" s="76"/>
      <c r="AH1959" s="76"/>
      <c r="AI1959" s="76"/>
      <c r="AJ1959" s="76"/>
      <c r="AK1959" s="76"/>
      <c r="AL1959" s="76"/>
      <c r="AM1959" s="76"/>
      <c r="AN1959" s="76"/>
      <c r="AO1959" s="76"/>
      <c r="AP1959" s="76"/>
      <c r="AQ1959" s="76"/>
      <c r="AR1959" s="76"/>
      <c r="AS1959" s="76"/>
      <c r="AT1959" s="76"/>
      <c r="AU1959" s="76"/>
      <c r="AV1959" s="76"/>
      <c r="AW1959" s="76"/>
      <c r="AX1959" s="76"/>
      <c r="AY1959" s="76"/>
      <c r="AZ1959" s="76"/>
      <c r="BA1959" s="76"/>
      <c r="BB1959" s="76"/>
    </row>
    <row r="1960" spans="5:54" x14ac:dyDescent="0.35">
      <c r="E1960" s="83"/>
      <c r="F1960" s="83"/>
      <c r="G1960" s="76"/>
      <c r="H1960" s="76"/>
      <c r="I1960" s="76"/>
      <c r="J1960" s="76"/>
      <c r="K1960" s="76"/>
      <c r="L1960" s="76"/>
      <c r="M1960" s="76"/>
      <c r="N1960" s="76"/>
      <c r="O1960" s="76"/>
      <c r="P1960" s="76"/>
      <c r="Q1960" s="76"/>
      <c r="R1960" s="76"/>
      <c r="S1960" s="76"/>
      <c r="T1960" s="76"/>
      <c r="U1960" s="76"/>
      <c r="V1960" s="76"/>
      <c r="W1960" s="76"/>
      <c r="X1960" s="76"/>
      <c r="Y1960" s="76"/>
      <c r="Z1960" s="76"/>
      <c r="AA1960" s="76"/>
      <c r="AB1960" s="76"/>
      <c r="AC1960" s="76"/>
      <c r="AD1960" s="76"/>
      <c r="AE1960" s="76"/>
      <c r="AF1960" s="76"/>
      <c r="AG1960" s="76"/>
      <c r="AH1960" s="76"/>
      <c r="AI1960" s="76"/>
      <c r="AJ1960" s="76"/>
      <c r="AK1960" s="76"/>
      <c r="AL1960" s="76"/>
      <c r="AM1960" s="76"/>
      <c r="AN1960" s="76"/>
      <c r="AO1960" s="76"/>
      <c r="AP1960" s="76"/>
      <c r="AQ1960" s="76"/>
      <c r="AR1960" s="76"/>
      <c r="AS1960" s="76"/>
      <c r="AT1960" s="76"/>
      <c r="AU1960" s="76"/>
      <c r="AV1960" s="76"/>
      <c r="AW1960" s="76"/>
      <c r="AX1960" s="76"/>
      <c r="AY1960" s="76"/>
      <c r="AZ1960" s="76"/>
      <c r="BA1960" s="76"/>
      <c r="BB1960" s="76"/>
    </row>
    <row r="1961" spans="5:54" x14ac:dyDescent="0.35">
      <c r="E1961" s="83"/>
      <c r="F1961" s="83"/>
      <c r="G1961" s="76"/>
      <c r="H1961" s="76"/>
      <c r="I1961" s="76"/>
      <c r="J1961" s="76"/>
      <c r="K1961" s="76"/>
      <c r="L1961" s="76"/>
      <c r="M1961" s="76"/>
      <c r="N1961" s="76"/>
      <c r="O1961" s="76"/>
      <c r="P1961" s="76"/>
      <c r="Q1961" s="76"/>
      <c r="R1961" s="76"/>
      <c r="S1961" s="76"/>
      <c r="T1961" s="76"/>
      <c r="U1961" s="76"/>
      <c r="V1961" s="76"/>
      <c r="W1961" s="76"/>
      <c r="X1961" s="76"/>
      <c r="Y1961" s="76"/>
      <c r="Z1961" s="76"/>
      <c r="AA1961" s="76"/>
      <c r="AB1961" s="76"/>
      <c r="AC1961" s="76"/>
      <c r="AD1961" s="76"/>
      <c r="AE1961" s="76"/>
      <c r="AF1961" s="76"/>
      <c r="AG1961" s="76"/>
      <c r="AH1961" s="76"/>
      <c r="AI1961" s="76"/>
      <c r="AJ1961" s="76"/>
      <c r="AK1961" s="76"/>
      <c r="AL1961" s="76"/>
      <c r="AM1961" s="76"/>
      <c r="AN1961" s="76"/>
      <c r="AO1961" s="76"/>
      <c r="AP1961" s="76"/>
      <c r="AQ1961" s="76"/>
      <c r="AR1961" s="76"/>
      <c r="AS1961" s="76"/>
      <c r="AT1961" s="76"/>
      <c r="AU1961" s="76"/>
      <c r="AV1961" s="76"/>
      <c r="AW1961" s="76"/>
      <c r="AX1961" s="76"/>
      <c r="AY1961" s="76"/>
      <c r="AZ1961" s="76"/>
      <c r="BA1961" s="76"/>
      <c r="BB1961" s="76"/>
    </row>
    <row r="1962" spans="5:54" x14ac:dyDescent="0.35">
      <c r="E1962" s="83"/>
      <c r="F1962" s="83"/>
      <c r="G1962" s="76"/>
      <c r="H1962" s="76"/>
      <c r="I1962" s="76"/>
      <c r="J1962" s="76"/>
      <c r="K1962" s="76"/>
      <c r="L1962" s="76"/>
      <c r="M1962" s="76"/>
      <c r="N1962" s="76"/>
      <c r="O1962" s="76"/>
      <c r="P1962" s="76"/>
      <c r="Q1962" s="76"/>
      <c r="R1962" s="76"/>
      <c r="S1962" s="76"/>
      <c r="T1962" s="76"/>
      <c r="U1962" s="76"/>
      <c r="V1962" s="76"/>
      <c r="W1962" s="76"/>
      <c r="X1962" s="76"/>
      <c r="Y1962" s="76"/>
      <c r="Z1962" s="76"/>
      <c r="AA1962" s="76"/>
      <c r="AB1962" s="76"/>
      <c r="AC1962" s="76"/>
      <c r="AD1962" s="76"/>
      <c r="AE1962" s="76"/>
      <c r="AF1962" s="76"/>
      <c r="AG1962" s="76"/>
      <c r="AH1962" s="76"/>
      <c r="AI1962" s="76"/>
      <c r="AJ1962" s="76"/>
      <c r="AK1962" s="76"/>
      <c r="AL1962" s="76"/>
      <c r="AM1962" s="76"/>
      <c r="AN1962" s="76"/>
      <c r="AO1962" s="76"/>
      <c r="AP1962" s="76"/>
      <c r="AQ1962" s="76"/>
      <c r="AR1962" s="76"/>
      <c r="AS1962" s="76"/>
      <c r="AT1962" s="76"/>
      <c r="AU1962" s="76"/>
      <c r="AV1962" s="76"/>
      <c r="AW1962" s="76"/>
      <c r="AX1962" s="76"/>
      <c r="AY1962" s="76"/>
      <c r="AZ1962" s="76"/>
      <c r="BA1962" s="76"/>
      <c r="BB1962" s="76"/>
    </row>
    <row r="1963" spans="5:54" x14ac:dyDescent="0.35">
      <c r="E1963" s="83"/>
      <c r="F1963" s="83"/>
      <c r="G1963" s="76"/>
      <c r="H1963" s="76"/>
      <c r="I1963" s="76"/>
      <c r="J1963" s="76"/>
      <c r="K1963" s="76"/>
      <c r="L1963" s="76"/>
      <c r="M1963" s="76"/>
      <c r="N1963" s="76"/>
      <c r="O1963" s="76"/>
      <c r="P1963" s="76"/>
      <c r="Q1963" s="76"/>
      <c r="R1963" s="76"/>
      <c r="S1963" s="76"/>
      <c r="T1963" s="76"/>
      <c r="U1963" s="76"/>
      <c r="V1963" s="76"/>
      <c r="W1963" s="76"/>
      <c r="X1963" s="76"/>
      <c r="Y1963" s="76"/>
      <c r="Z1963" s="76"/>
      <c r="AA1963" s="76"/>
      <c r="AB1963" s="76"/>
      <c r="AC1963" s="76"/>
      <c r="AD1963" s="76"/>
      <c r="AE1963" s="76"/>
      <c r="AF1963" s="76"/>
      <c r="AG1963" s="76"/>
      <c r="AH1963" s="76"/>
      <c r="AI1963" s="76"/>
      <c r="AJ1963" s="76"/>
      <c r="AK1963" s="76"/>
      <c r="AL1963" s="76"/>
      <c r="AM1963" s="76"/>
      <c r="AN1963" s="76"/>
      <c r="AO1963" s="76"/>
      <c r="AP1963" s="76"/>
      <c r="AQ1963" s="76"/>
      <c r="AR1963" s="76"/>
      <c r="AS1963" s="76"/>
      <c r="AT1963" s="76"/>
      <c r="AU1963" s="76"/>
      <c r="AV1963" s="76"/>
      <c r="AW1963" s="76"/>
      <c r="AX1963" s="76"/>
      <c r="AY1963" s="76"/>
      <c r="AZ1963" s="76"/>
      <c r="BA1963" s="76"/>
      <c r="BB1963" s="76"/>
    </row>
    <row r="1964" spans="5:54" x14ac:dyDescent="0.35">
      <c r="E1964" s="83"/>
      <c r="F1964" s="83"/>
      <c r="G1964" s="76"/>
      <c r="H1964" s="76"/>
      <c r="I1964" s="76"/>
      <c r="J1964" s="76"/>
      <c r="K1964" s="76"/>
      <c r="L1964" s="76"/>
      <c r="M1964" s="76"/>
      <c r="N1964" s="76"/>
      <c r="O1964" s="76"/>
      <c r="P1964" s="76"/>
      <c r="Q1964" s="76"/>
      <c r="R1964" s="76"/>
      <c r="S1964" s="76"/>
      <c r="T1964" s="76"/>
      <c r="U1964" s="76"/>
      <c r="V1964" s="76"/>
      <c r="W1964" s="76"/>
      <c r="X1964" s="76"/>
      <c r="Y1964" s="76"/>
      <c r="Z1964" s="76"/>
      <c r="AA1964" s="76"/>
      <c r="AB1964" s="76"/>
      <c r="AC1964" s="76"/>
      <c r="AD1964" s="76"/>
      <c r="AE1964" s="76"/>
      <c r="AF1964" s="76"/>
      <c r="AG1964" s="76"/>
      <c r="AH1964" s="76"/>
      <c r="AI1964" s="76"/>
      <c r="AJ1964" s="76"/>
      <c r="AK1964" s="76"/>
      <c r="AL1964" s="76"/>
      <c r="AM1964" s="76"/>
      <c r="AN1964" s="76"/>
      <c r="AO1964" s="76"/>
      <c r="AP1964" s="76"/>
      <c r="AQ1964" s="76"/>
      <c r="AR1964" s="76"/>
      <c r="AS1964" s="76"/>
      <c r="AT1964" s="76"/>
      <c r="AU1964" s="76"/>
      <c r="AV1964" s="76"/>
      <c r="AW1964" s="76"/>
      <c r="AX1964" s="76"/>
      <c r="AY1964" s="76"/>
      <c r="AZ1964" s="76"/>
      <c r="BA1964" s="76"/>
      <c r="BB1964" s="76"/>
    </row>
    <row r="1965" spans="5:54" x14ac:dyDescent="0.35">
      <c r="E1965" s="83"/>
      <c r="F1965" s="83"/>
      <c r="G1965" s="76"/>
      <c r="H1965" s="76"/>
      <c r="I1965" s="76"/>
      <c r="J1965" s="76"/>
      <c r="K1965" s="76"/>
      <c r="L1965" s="76"/>
      <c r="M1965" s="76"/>
      <c r="N1965" s="76"/>
      <c r="O1965" s="76"/>
      <c r="P1965" s="76"/>
      <c r="Q1965" s="76"/>
      <c r="R1965" s="76"/>
      <c r="S1965" s="76"/>
      <c r="T1965" s="76"/>
      <c r="U1965" s="76"/>
      <c r="V1965" s="76"/>
      <c r="W1965" s="76"/>
      <c r="X1965" s="76"/>
      <c r="Y1965" s="76"/>
      <c r="Z1965" s="76"/>
      <c r="AA1965" s="76"/>
      <c r="AB1965" s="76"/>
      <c r="AC1965" s="76"/>
      <c r="AD1965" s="76"/>
      <c r="AE1965" s="76"/>
      <c r="AF1965" s="76"/>
      <c r="AG1965" s="76"/>
      <c r="AH1965" s="76"/>
      <c r="AI1965" s="76"/>
      <c r="AJ1965" s="76"/>
      <c r="AK1965" s="76"/>
      <c r="AL1965" s="76"/>
      <c r="AM1965" s="76"/>
      <c r="AN1965" s="76"/>
      <c r="AO1965" s="76"/>
      <c r="AP1965" s="76"/>
      <c r="AQ1965" s="76"/>
      <c r="AR1965" s="76"/>
      <c r="AS1965" s="76"/>
      <c r="AT1965" s="76"/>
      <c r="AU1965" s="76"/>
      <c r="AV1965" s="76"/>
      <c r="AW1965" s="76"/>
      <c r="AX1965" s="76"/>
      <c r="AY1965" s="76"/>
      <c r="AZ1965" s="76"/>
      <c r="BA1965" s="76"/>
      <c r="BB1965" s="76"/>
    </row>
    <row r="1966" spans="5:54" x14ac:dyDescent="0.35">
      <c r="E1966" s="83"/>
      <c r="F1966" s="83"/>
      <c r="G1966" s="76"/>
      <c r="H1966" s="76"/>
      <c r="I1966" s="76"/>
      <c r="J1966" s="76"/>
      <c r="K1966" s="76"/>
      <c r="L1966" s="76"/>
      <c r="M1966" s="76"/>
      <c r="N1966" s="76"/>
      <c r="O1966" s="76"/>
      <c r="P1966" s="76"/>
      <c r="Q1966" s="76"/>
      <c r="R1966" s="76"/>
      <c r="S1966" s="76"/>
      <c r="T1966" s="76"/>
      <c r="U1966" s="76"/>
      <c r="V1966" s="76"/>
      <c r="W1966" s="76"/>
      <c r="X1966" s="76"/>
      <c r="Y1966" s="76"/>
      <c r="Z1966" s="76"/>
      <c r="AA1966" s="76"/>
      <c r="AB1966" s="76"/>
      <c r="AC1966" s="76"/>
      <c r="AD1966" s="76"/>
      <c r="AE1966" s="76"/>
      <c r="AF1966" s="76"/>
      <c r="AG1966" s="76"/>
      <c r="AH1966" s="76"/>
      <c r="AI1966" s="76"/>
      <c r="AJ1966" s="76"/>
      <c r="AK1966" s="76"/>
      <c r="AL1966" s="76"/>
      <c r="AM1966" s="76"/>
      <c r="AN1966" s="76"/>
      <c r="AO1966" s="76"/>
      <c r="AP1966" s="76"/>
      <c r="AQ1966" s="76"/>
      <c r="AR1966" s="76"/>
      <c r="AS1966" s="76"/>
      <c r="AT1966" s="76"/>
      <c r="AU1966" s="76"/>
      <c r="AV1966" s="76"/>
      <c r="AW1966" s="76"/>
      <c r="AX1966" s="76"/>
      <c r="AY1966" s="76"/>
      <c r="AZ1966" s="76"/>
      <c r="BA1966" s="76"/>
      <c r="BB1966" s="76"/>
    </row>
    <row r="1967" spans="5:54" x14ac:dyDescent="0.35">
      <c r="E1967" s="83"/>
      <c r="F1967" s="83"/>
      <c r="G1967" s="76"/>
      <c r="H1967" s="76"/>
      <c r="I1967" s="76"/>
      <c r="J1967" s="76"/>
      <c r="K1967" s="76"/>
      <c r="L1967" s="76"/>
      <c r="M1967" s="76"/>
      <c r="N1967" s="76"/>
      <c r="O1967" s="76"/>
      <c r="P1967" s="76"/>
      <c r="Q1967" s="76"/>
      <c r="R1967" s="76"/>
      <c r="S1967" s="76"/>
      <c r="T1967" s="76"/>
      <c r="U1967" s="76"/>
      <c r="V1967" s="76"/>
      <c r="W1967" s="76"/>
      <c r="X1967" s="76"/>
      <c r="Y1967" s="76"/>
      <c r="Z1967" s="76"/>
      <c r="AA1967" s="76"/>
      <c r="AB1967" s="76"/>
      <c r="AC1967" s="76"/>
      <c r="AD1967" s="76"/>
      <c r="AE1967" s="76"/>
      <c r="AF1967" s="76"/>
      <c r="AG1967" s="76"/>
      <c r="AH1967" s="76"/>
      <c r="AI1967" s="76"/>
      <c r="AJ1967" s="76"/>
      <c r="AK1967" s="76"/>
      <c r="AL1967" s="76"/>
      <c r="AM1967" s="76"/>
      <c r="AN1967" s="76"/>
      <c r="AO1967" s="76"/>
      <c r="AP1967" s="76"/>
      <c r="AQ1967" s="76"/>
      <c r="AR1967" s="76"/>
      <c r="AS1967" s="76"/>
      <c r="AT1967" s="76"/>
      <c r="AU1967" s="76"/>
      <c r="AV1967" s="76"/>
      <c r="AW1967" s="76"/>
      <c r="AX1967" s="76"/>
      <c r="AY1967" s="76"/>
      <c r="AZ1967" s="76"/>
      <c r="BA1967" s="76"/>
      <c r="BB1967" s="76"/>
    </row>
    <row r="1968" spans="5:54" x14ac:dyDescent="0.35">
      <c r="E1968" s="83"/>
      <c r="F1968" s="83"/>
      <c r="G1968" s="76"/>
      <c r="H1968" s="76"/>
      <c r="I1968" s="76"/>
      <c r="J1968" s="76"/>
      <c r="K1968" s="76"/>
      <c r="L1968" s="76"/>
      <c r="M1968" s="76"/>
      <c r="N1968" s="76"/>
      <c r="O1968" s="76"/>
      <c r="P1968" s="76"/>
      <c r="Q1968" s="76"/>
      <c r="R1968" s="76"/>
      <c r="S1968" s="76"/>
      <c r="T1968" s="76"/>
      <c r="U1968" s="76"/>
      <c r="V1968" s="76"/>
      <c r="W1968" s="76"/>
      <c r="X1968" s="76"/>
      <c r="Y1968" s="76"/>
      <c r="Z1968" s="76"/>
      <c r="AA1968" s="76"/>
      <c r="AB1968" s="76"/>
      <c r="AC1968" s="76"/>
      <c r="AD1968" s="76"/>
      <c r="AE1968" s="76"/>
      <c r="AF1968" s="76"/>
      <c r="AG1968" s="76"/>
      <c r="AH1968" s="76"/>
      <c r="AI1968" s="76"/>
      <c r="AJ1968" s="76"/>
      <c r="AK1968" s="76"/>
      <c r="AL1968" s="76"/>
      <c r="AM1968" s="76"/>
      <c r="AN1968" s="76"/>
      <c r="AO1968" s="76"/>
      <c r="AP1968" s="76"/>
      <c r="AQ1968" s="76"/>
      <c r="AR1968" s="76"/>
      <c r="AS1968" s="76"/>
      <c r="AT1968" s="76"/>
      <c r="AU1968" s="76"/>
      <c r="AV1968" s="76"/>
      <c r="AW1968" s="76"/>
      <c r="AX1968" s="76"/>
      <c r="AY1968" s="76"/>
      <c r="AZ1968" s="76"/>
      <c r="BA1968" s="76"/>
      <c r="BB1968" s="76"/>
    </row>
    <row r="1969" spans="5:54" x14ac:dyDescent="0.35">
      <c r="E1969" s="83"/>
      <c r="F1969" s="83"/>
      <c r="G1969" s="76"/>
      <c r="H1969" s="76"/>
      <c r="I1969" s="76"/>
      <c r="J1969" s="76"/>
      <c r="K1969" s="76"/>
      <c r="L1969" s="76"/>
      <c r="M1969" s="76"/>
      <c r="N1969" s="76"/>
      <c r="O1969" s="76"/>
      <c r="P1969" s="76"/>
      <c r="Q1969" s="76"/>
      <c r="R1969" s="76"/>
      <c r="S1969" s="76"/>
      <c r="T1969" s="76"/>
      <c r="U1969" s="76"/>
      <c r="V1969" s="76"/>
      <c r="W1969" s="76"/>
      <c r="X1969" s="76"/>
      <c r="Y1969" s="76"/>
      <c r="Z1969" s="76"/>
      <c r="AA1969" s="76"/>
      <c r="AB1969" s="76"/>
      <c r="AC1969" s="76"/>
      <c r="AD1969" s="76"/>
      <c r="AE1969" s="76"/>
      <c r="AF1969" s="76"/>
      <c r="AG1969" s="76"/>
      <c r="AH1969" s="76"/>
      <c r="AI1969" s="76"/>
      <c r="AJ1969" s="76"/>
      <c r="AK1969" s="76"/>
      <c r="AL1969" s="76"/>
      <c r="AM1969" s="76"/>
      <c r="AN1969" s="76"/>
      <c r="AO1969" s="76"/>
      <c r="AP1969" s="76"/>
      <c r="AQ1969" s="76"/>
      <c r="AR1969" s="76"/>
      <c r="AS1969" s="76"/>
      <c r="AT1969" s="76"/>
      <c r="AU1969" s="76"/>
      <c r="AV1969" s="76"/>
      <c r="AW1969" s="76"/>
      <c r="AX1969" s="76"/>
      <c r="AY1969" s="76"/>
      <c r="AZ1969" s="76"/>
      <c r="BA1969" s="76"/>
      <c r="BB1969" s="76"/>
    </row>
    <row r="1970" spans="5:54" x14ac:dyDescent="0.35">
      <c r="E1970" s="83"/>
      <c r="F1970" s="83"/>
      <c r="G1970" s="76"/>
      <c r="H1970" s="76"/>
      <c r="I1970" s="76"/>
      <c r="J1970" s="76"/>
      <c r="K1970" s="76"/>
      <c r="L1970" s="76"/>
      <c r="M1970" s="76"/>
      <c r="N1970" s="76"/>
      <c r="O1970" s="76"/>
      <c r="P1970" s="76"/>
      <c r="Q1970" s="76"/>
      <c r="R1970" s="76"/>
      <c r="S1970" s="76"/>
      <c r="T1970" s="76"/>
      <c r="U1970" s="76"/>
      <c r="V1970" s="76"/>
      <c r="W1970" s="76"/>
      <c r="X1970" s="76"/>
      <c r="Y1970" s="76"/>
      <c r="Z1970" s="76"/>
      <c r="AA1970" s="76"/>
      <c r="AB1970" s="76"/>
      <c r="AC1970" s="76"/>
      <c r="AD1970" s="76"/>
      <c r="AE1970" s="76"/>
      <c r="AF1970" s="76"/>
      <c r="AG1970" s="76"/>
      <c r="AH1970" s="76"/>
      <c r="AI1970" s="76"/>
      <c r="AJ1970" s="76"/>
      <c r="AK1970" s="76"/>
      <c r="AL1970" s="76"/>
      <c r="AM1970" s="76"/>
      <c r="AN1970" s="76"/>
      <c r="AO1970" s="76"/>
      <c r="AP1970" s="76"/>
      <c r="AQ1970" s="76"/>
      <c r="AR1970" s="76"/>
      <c r="AS1970" s="76"/>
      <c r="AT1970" s="76"/>
      <c r="AU1970" s="76"/>
      <c r="AV1970" s="76"/>
      <c r="AW1970" s="76"/>
      <c r="AX1970" s="76"/>
      <c r="AY1970" s="76"/>
      <c r="AZ1970" s="76"/>
      <c r="BA1970" s="76"/>
      <c r="BB1970" s="76"/>
    </row>
    <row r="1971" spans="5:54" x14ac:dyDescent="0.35">
      <c r="E1971" s="83"/>
      <c r="F1971" s="83"/>
      <c r="G1971" s="76"/>
      <c r="H1971" s="76"/>
      <c r="I1971" s="76"/>
      <c r="J1971" s="76"/>
      <c r="K1971" s="76"/>
      <c r="L1971" s="76"/>
      <c r="M1971" s="76"/>
      <c r="N1971" s="76"/>
      <c r="O1971" s="76"/>
      <c r="P1971" s="76"/>
      <c r="Q1971" s="76"/>
      <c r="R1971" s="76"/>
      <c r="S1971" s="76"/>
      <c r="T1971" s="76"/>
      <c r="U1971" s="76"/>
      <c r="V1971" s="76"/>
      <c r="W1971" s="76"/>
      <c r="X1971" s="76"/>
      <c r="Y1971" s="76"/>
      <c r="Z1971" s="76"/>
      <c r="AA1971" s="76"/>
      <c r="AB1971" s="76"/>
      <c r="AC1971" s="76"/>
      <c r="AD1971" s="76"/>
      <c r="AE1971" s="76"/>
      <c r="AF1971" s="76"/>
      <c r="AG1971" s="76"/>
      <c r="AH1971" s="76"/>
      <c r="AI1971" s="76"/>
      <c r="AJ1971" s="76"/>
      <c r="AK1971" s="76"/>
      <c r="AL1971" s="76"/>
      <c r="AM1971" s="76"/>
      <c r="AN1971" s="76"/>
      <c r="AO1971" s="76"/>
      <c r="AP1971" s="76"/>
      <c r="AQ1971" s="76"/>
      <c r="AR1971" s="76"/>
      <c r="AS1971" s="76"/>
      <c r="AT1971" s="76"/>
      <c r="AU1971" s="76"/>
      <c r="AV1971" s="76"/>
      <c r="AW1971" s="76"/>
      <c r="AX1971" s="76"/>
      <c r="AY1971" s="76"/>
      <c r="AZ1971" s="76"/>
      <c r="BA1971" s="76"/>
      <c r="BB1971" s="76"/>
    </row>
    <row r="1972" spans="5:54" x14ac:dyDescent="0.35">
      <c r="E1972" s="83"/>
      <c r="F1972" s="83"/>
      <c r="G1972" s="76"/>
      <c r="H1972" s="76"/>
      <c r="I1972" s="76"/>
      <c r="J1972" s="76"/>
      <c r="K1972" s="76"/>
      <c r="L1972" s="76"/>
      <c r="M1972" s="76"/>
      <c r="N1972" s="76"/>
      <c r="O1972" s="76"/>
      <c r="P1972" s="76"/>
      <c r="Q1972" s="76"/>
      <c r="R1972" s="76"/>
      <c r="S1972" s="76"/>
      <c r="T1972" s="76"/>
      <c r="U1972" s="76"/>
      <c r="V1972" s="76"/>
      <c r="W1972" s="76"/>
      <c r="X1972" s="76"/>
      <c r="Y1972" s="76"/>
      <c r="Z1972" s="76"/>
      <c r="AA1972" s="76"/>
      <c r="AB1972" s="76"/>
      <c r="AC1972" s="76"/>
      <c r="AD1972" s="76"/>
      <c r="AE1972" s="76"/>
      <c r="AF1972" s="76"/>
      <c r="AG1972" s="76"/>
      <c r="AH1972" s="76"/>
      <c r="AI1972" s="76"/>
      <c r="AJ1972" s="76"/>
      <c r="AK1972" s="76"/>
      <c r="AL1972" s="76"/>
      <c r="AM1972" s="76"/>
      <c r="AN1972" s="76"/>
      <c r="AO1972" s="76"/>
      <c r="AP1972" s="76"/>
      <c r="AQ1972" s="76"/>
      <c r="AR1972" s="76"/>
      <c r="AS1972" s="76"/>
      <c r="AT1972" s="76"/>
      <c r="AU1972" s="76"/>
      <c r="AV1972" s="76"/>
      <c r="AW1972" s="76"/>
      <c r="AX1972" s="76"/>
      <c r="AY1972" s="76"/>
      <c r="AZ1972" s="76"/>
      <c r="BA1972" s="76"/>
      <c r="BB1972" s="76"/>
    </row>
    <row r="1973" spans="5:54" x14ac:dyDescent="0.35">
      <c r="E1973" s="83"/>
      <c r="F1973" s="83"/>
      <c r="G1973" s="76"/>
      <c r="H1973" s="76"/>
      <c r="I1973" s="76"/>
      <c r="J1973" s="76"/>
      <c r="K1973" s="76"/>
      <c r="L1973" s="76"/>
      <c r="M1973" s="76"/>
      <c r="N1973" s="76"/>
      <c r="O1973" s="76"/>
      <c r="P1973" s="76"/>
      <c r="Q1973" s="76"/>
      <c r="R1973" s="76"/>
      <c r="S1973" s="76"/>
      <c r="T1973" s="76"/>
      <c r="U1973" s="76"/>
      <c r="V1973" s="76"/>
      <c r="W1973" s="76"/>
      <c r="X1973" s="76"/>
      <c r="Y1973" s="76"/>
      <c r="Z1973" s="76"/>
      <c r="AA1973" s="76"/>
      <c r="AB1973" s="76"/>
      <c r="AC1973" s="76"/>
      <c r="AD1973" s="76"/>
      <c r="AE1973" s="76"/>
      <c r="AF1973" s="76"/>
      <c r="AG1973" s="76"/>
      <c r="AH1973" s="76"/>
      <c r="AI1973" s="76"/>
      <c r="AJ1973" s="76"/>
      <c r="AK1973" s="76"/>
      <c r="AL1973" s="76"/>
      <c r="AM1973" s="76"/>
      <c r="AN1973" s="76"/>
      <c r="AO1973" s="76"/>
      <c r="AP1973" s="76"/>
      <c r="AQ1973" s="76"/>
      <c r="AR1973" s="76"/>
      <c r="AS1973" s="76"/>
      <c r="AT1973" s="76"/>
      <c r="AU1973" s="76"/>
      <c r="AV1973" s="76"/>
      <c r="AW1973" s="76"/>
      <c r="AX1973" s="76"/>
      <c r="AY1973" s="76"/>
      <c r="AZ1973" s="76"/>
      <c r="BA1973" s="76"/>
      <c r="BB1973" s="76"/>
    </row>
    <row r="1974" spans="5:54" x14ac:dyDescent="0.35">
      <c r="E1974" s="83"/>
      <c r="F1974" s="83"/>
      <c r="G1974" s="76"/>
      <c r="H1974" s="76"/>
      <c r="I1974" s="76"/>
      <c r="J1974" s="76"/>
      <c r="K1974" s="76"/>
      <c r="L1974" s="76"/>
      <c r="M1974" s="76"/>
      <c r="N1974" s="76"/>
      <c r="O1974" s="76"/>
      <c r="P1974" s="76"/>
      <c r="Q1974" s="76"/>
      <c r="R1974" s="76"/>
      <c r="S1974" s="76"/>
      <c r="T1974" s="76"/>
      <c r="U1974" s="76"/>
      <c r="V1974" s="76"/>
      <c r="W1974" s="76"/>
      <c r="X1974" s="76"/>
      <c r="Y1974" s="76"/>
      <c r="Z1974" s="76"/>
      <c r="AA1974" s="76"/>
      <c r="AB1974" s="76"/>
      <c r="AC1974" s="76"/>
      <c r="AD1974" s="76"/>
      <c r="AE1974" s="76"/>
      <c r="AF1974" s="76"/>
      <c r="AG1974" s="76"/>
      <c r="AH1974" s="76"/>
      <c r="AI1974" s="76"/>
      <c r="AJ1974" s="76"/>
      <c r="AK1974" s="76"/>
      <c r="AL1974" s="76"/>
      <c r="AM1974" s="76"/>
      <c r="AN1974" s="76"/>
      <c r="AO1974" s="76"/>
      <c r="AP1974" s="76"/>
      <c r="AQ1974" s="76"/>
      <c r="AR1974" s="76"/>
      <c r="AS1974" s="76"/>
      <c r="AT1974" s="76"/>
      <c r="AU1974" s="76"/>
      <c r="AV1974" s="76"/>
      <c r="AW1974" s="76"/>
      <c r="AX1974" s="76"/>
      <c r="AY1974" s="76"/>
      <c r="AZ1974" s="76"/>
      <c r="BA1974" s="76"/>
      <c r="BB1974" s="76"/>
    </row>
    <row r="1975" spans="5:54" x14ac:dyDescent="0.35">
      <c r="E1975" s="83"/>
      <c r="F1975" s="83"/>
      <c r="G1975" s="76"/>
      <c r="H1975" s="76"/>
      <c r="I1975" s="76"/>
      <c r="J1975" s="76"/>
      <c r="K1975" s="76"/>
      <c r="L1975" s="76"/>
      <c r="M1975" s="76"/>
      <c r="N1975" s="76"/>
      <c r="O1975" s="76"/>
      <c r="P1975" s="76"/>
      <c r="Q1975" s="76"/>
      <c r="R1975" s="76"/>
      <c r="S1975" s="76"/>
      <c r="T1975" s="76"/>
      <c r="U1975" s="76"/>
      <c r="V1975" s="76"/>
      <c r="W1975" s="76"/>
      <c r="X1975" s="76"/>
      <c r="Y1975" s="76"/>
      <c r="Z1975" s="76"/>
      <c r="AA1975" s="76"/>
      <c r="AB1975" s="76"/>
      <c r="AC1975" s="76"/>
      <c r="AD1975" s="76"/>
      <c r="AE1975" s="76"/>
      <c r="AF1975" s="76"/>
      <c r="AG1975" s="76"/>
      <c r="AH1975" s="76"/>
      <c r="AI1975" s="76"/>
      <c r="AJ1975" s="76"/>
      <c r="AK1975" s="76"/>
      <c r="AL1975" s="76"/>
      <c r="AM1975" s="76"/>
      <c r="AN1975" s="76"/>
      <c r="AO1975" s="76"/>
      <c r="AP1975" s="76"/>
      <c r="AQ1975" s="76"/>
      <c r="AR1975" s="76"/>
      <c r="AS1975" s="76"/>
      <c r="AT1975" s="76"/>
      <c r="AU1975" s="76"/>
      <c r="AV1975" s="76"/>
      <c r="AW1975" s="76"/>
      <c r="AX1975" s="76"/>
      <c r="AY1975" s="76"/>
      <c r="AZ1975" s="76"/>
      <c r="BA1975" s="76"/>
      <c r="BB1975" s="76"/>
    </row>
    <row r="1976" spans="5:54" x14ac:dyDescent="0.35">
      <c r="E1976" s="83"/>
      <c r="F1976" s="83"/>
      <c r="G1976" s="76"/>
      <c r="H1976" s="76"/>
      <c r="I1976" s="76"/>
      <c r="J1976" s="76"/>
      <c r="K1976" s="76"/>
      <c r="L1976" s="76"/>
      <c r="M1976" s="76"/>
      <c r="N1976" s="76"/>
      <c r="O1976" s="76"/>
      <c r="P1976" s="76"/>
      <c r="Q1976" s="76"/>
      <c r="R1976" s="76"/>
      <c r="S1976" s="76"/>
      <c r="T1976" s="76"/>
      <c r="U1976" s="76"/>
      <c r="V1976" s="76"/>
      <c r="W1976" s="76"/>
      <c r="X1976" s="76"/>
      <c r="Y1976" s="76"/>
      <c r="Z1976" s="76"/>
      <c r="AA1976" s="76"/>
      <c r="AB1976" s="76"/>
      <c r="AC1976" s="76"/>
      <c r="AD1976" s="76"/>
      <c r="AE1976" s="76"/>
      <c r="AF1976" s="76"/>
      <c r="AG1976" s="76"/>
      <c r="AH1976" s="76"/>
      <c r="AI1976" s="76"/>
      <c r="AJ1976" s="76"/>
      <c r="AK1976" s="76"/>
      <c r="AL1976" s="76"/>
      <c r="AM1976" s="76"/>
      <c r="AN1976" s="76"/>
      <c r="AO1976" s="76"/>
      <c r="AP1976" s="76"/>
      <c r="AQ1976" s="76"/>
      <c r="AR1976" s="76"/>
      <c r="AS1976" s="76"/>
      <c r="AT1976" s="76"/>
      <c r="AU1976" s="76"/>
      <c r="AV1976" s="76"/>
      <c r="AW1976" s="76"/>
      <c r="AX1976" s="76"/>
      <c r="AY1976" s="76"/>
      <c r="AZ1976" s="76"/>
      <c r="BA1976" s="76"/>
      <c r="BB1976" s="76"/>
    </row>
    <row r="1977" spans="5:54" x14ac:dyDescent="0.35">
      <c r="E1977" s="83"/>
      <c r="F1977" s="83"/>
      <c r="G1977" s="76"/>
      <c r="H1977" s="76"/>
      <c r="I1977" s="76"/>
      <c r="J1977" s="76"/>
      <c r="K1977" s="76"/>
      <c r="L1977" s="76"/>
      <c r="M1977" s="76"/>
      <c r="N1977" s="76"/>
      <c r="O1977" s="76"/>
      <c r="P1977" s="76"/>
      <c r="Q1977" s="76"/>
      <c r="R1977" s="76"/>
      <c r="S1977" s="76"/>
      <c r="T1977" s="76"/>
      <c r="U1977" s="76"/>
      <c r="V1977" s="76"/>
      <c r="W1977" s="76"/>
      <c r="X1977" s="76"/>
      <c r="Y1977" s="76"/>
      <c r="Z1977" s="76"/>
      <c r="AA1977" s="76"/>
      <c r="AB1977" s="76"/>
      <c r="AC1977" s="76"/>
      <c r="AD1977" s="76"/>
      <c r="AE1977" s="76"/>
      <c r="AF1977" s="76"/>
      <c r="AG1977" s="76"/>
      <c r="AH1977" s="76"/>
      <c r="AI1977" s="76"/>
      <c r="AJ1977" s="76"/>
      <c r="AK1977" s="76"/>
      <c r="AL1977" s="76"/>
      <c r="AM1977" s="76"/>
      <c r="AN1977" s="76"/>
      <c r="AO1977" s="76"/>
      <c r="AP1977" s="76"/>
      <c r="AQ1977" s="76"/>
      <c r="AR1977" s="76"/>
      <c r="AS1977" s="76"/>
      <c r="AT1977" s="76"/>
      <c r="AU1977" s="76"/>
      <c r="AV1977" s="76"/>
      <c r="AW1977" s="76"/>
      <c r="AX1977" s="76"/>
      <c r="AY1977" s="76"/>
      <c r="AZ1977" s="76"/>
      <c r="BA1977" s="76"/>
      <c r="BB1977" s="76"/>
    </row>
    <row r="1978" spans="5:54" x14ac:dyDescent="0.35">
      <c r="E1978" s="83"/>
      <c r="F1978" s="83"/>
      <c r="G1978" s="76"/>
      <c r="H1978" s="76"/>
      <c r="I1978" s="76"/>
      <c r="J1978" s="76"/>
      <c r="K1978" s="76"/>
      <c r="L1978" s="76"/>
      <c r="M1978" s="76"/>
      <c r="N1978" s="76"/>
      <c r="O1978" s="76"/>
      <c r="P1978" s="76"/>
      <c r="Q1978" s="76"/>
      <c r="R1978" s="76"/>
      <c r="S1978" s="76"/>
      <c r="T1978" s="76"/>
      <c r="U1978" s="76"/>
      <c r="V1978" s="76"/>
      <c r="W1978" s="76"/>
      <c r="X1978" s="76"/>
      <c r="Y1978" s="76"/>
      <c r="Z1978" s="76"/>
      <c r="AA1978" s="76"/>
      <c r="AB1978" s="76"/>
      <c r="AC1978" s="76"/>
      <c r="AD1978" s="76"/>
      <c r="AE1978" s="76"/>
      <c r="AF1978" s="76"/>
      <c r="AG1978" s="76"/>
      <c r="AH1978" s="76"/>
      <c r="AI1978" s="76"/>
      <c r="AJ1978" s="76"/>
      <c r="AK1978" s="76"/>
      <c r="AL1978" s="76"/>
      <c r="AM1978" s="76"/>
      <c r="AN1978" s="76"/>
      <c r="AO1978" s="76"/>
      <c r="AP1978" s="76"/>
      <c r="AQ1978" s="76"/>
      <c r="AR1978" s="76"/>
      <c r="AS1978" s="76"/>
      <c r="AT1978" s="76"/>
      <c r="AU1978" s="76"/>
      <c r="AV1978" s="76"/>
      <c r="AW1978" s="76"/>
      <c r="AX1978" s="76"/>
      <c r="AY1978" s="76"/>
      <c r="AZ1978" s="76"/>
      <c r="BA1978" s="76"/>
      <c r="BB1978" s="76"/>
    </row>
    <row r="1979" spans="5:54" x14ac:dyDescent="0.35">
      <c r="E1979" s="83"/>
      <c r="F1979" s="83"/>
      <c r="G1979" s="76"/>
      <c r="H1979" s="76"/>
      <c r="I1979" s="76"/>
      <c r="J1979" s="76"/>
      <c r="K1979" s="76"/>
      <c r="L1979" s="76"/>
      <c r="M1979" s="76"/>
      <c r="N1979" s="76"/>
      <c r="O1979" s="76"/>
      <c r="P1979" s="76"/>
      <c r="Q1979" s="76"/>
      <c r="R1979" s="76"/>
      <c r="S1979" s="76"/>
      <c r="T1979" s="76"/>
      <c r="U1979" s="76"/>
      <c r="V1979" s="76"/>
      <c r="W1979" s="76"/>
      <c r="X1979" s="76"/>
      <c r="Y1979" s="76"/>
      <c r="Z1979" s="76"/>
      <c r="AA1979" s="76"/>
      <c r="AB1979" s="76"/>
      <c r="AC1979" s="76"/>
      <c r="AD1979" s="76"/>
      <c r="AE1979" s="76"/>
      <c r="AF1979" s="76"/>
      <c r="AG1979" s="76"/>
      <c r="AH1979" s="76"/>
      <c r="AI1979" s="76"/>
      <c r="AJ1979" s="76"/>
      <c r="AK1979" s="76"/>
      <c r="AL1979" s="76"/>
      <c r="AM1979" s="76"/>
      <c r="AN1979" s="76"/>
      <c r="AO1979" s="76"/>
      <c r="AP1979" s="76"/>
      <c r="AQ1979" s="76"/>
      <c r="AR1979" s="76"/>
      <c r="AS1979" s="76"/>
      <c r="AT1979" s="76"/>
      <c r="AU1979" s="76"/>
      <c r="AV1979" s="76"/>
      <c r="AW1979" s="76"/>
      <c r="AX1979" s="76"/>
      <c r="AY1979" s="76"/>
      <c r="AZ1979" s="76"/>
      <c r="BA1979" s="76"/>
      <c r="BB1979" s="76"/>
    </row>
    <row r="1980" spans="5:54" x14ac:dyDescent="0.35">
      <c r="E1980" s="83"/>
      <c r="F1980" s="83"/>
      <c r="G1980" s="76"/>
      <c r="H1980" s="76"/>
      <c r="I1980" s="76"/>
      <c r="J1980" s="76"/>
      <c r="K1980" s="76"/>
      <c r="L1980" s="76"/>
      <c r="M1980" s="76"/>
      <c r="N1980" s="76"/>
      <c r="O1980" s="76"/>
      <c r="P1980" s="76"/>
      <c r="Q1980" s="76"/>
      <c r="R1980" s="76"/>
      <c r="S1980" s="76"/>
      <c r="T1980" s="76"/>
      <c r="U1980" s="76"/>
      <c r="V1980" s="76"/>
      <c r="W1980" s="76"/>
      <c r="X1980" s="76"/>
      <c r="Y1980" s="76"/>
      <c r="Z1980" s="76"/>
      <c r="AA1980" s="76"/>
      <c r="AB1980" s="76"/>
      <c r="AC1980" s="76"/>
      <c r="AD1980" s="76"/>
      <c r="AE1980" s="76"/>
      <c r="AF1980" s="76"/>
      <c r="AG1980" s="76"/>
      <c r="AH1980" s="76"/>
      <c r="AI1980" s="76"/>
      <c r="AJ1980" s="76"/>
      <c r="AK1980" s="76"/>
      <c r="AL1980" s="76"/>
      <c r="AM1980" s="76"/>
      <c r="AN1980" s="76"/>
      <c r="AO1980" s="76"/>
      <c r="AP1980" s="76"/>
      <c r="AQ1980" s="76"/>
      <c r="AR1980" s="76"/>
      <c r="AS1980" s="76"/>
      <c r="AT1980" s="76"/>
      <c r="AU1980" s="76"/>
      <c r="AV1980" s="76"/>
      <c r="AW1980" s="76"/>
      <c r="AX1980" s="76"/>
      <c r="AY1980" s="76"/>
      <c r="AZ1980" s="76"/>
      <c r="BA1980" s="76"/>
      <c r="BB1980" s="76"/>
    </row>
    <row r="1981" spans="5:54" x14ac:dyDescent="0.35">
      <c r="E1981" s="83"/>
      <c r="F1981" s="83"/>
      <c r="G1981" s="76"/>
      <c r="H1981" s="76"/>
      <c r="I1981" s="76"/>
      <c r="J1981" s="76"/>
      <c r="K1981" s="76"/>
      <c r="L1981" s="76"/>
      <c r="M1981" s="76"/>
      <c r="N1981" s="76"/>
      <c r="O1981" s="76"/>
      <c r="P1981" s="76"/>
      <c r="Q1981" s="76"/>
      <c r="R1981" s="76"/>
      <c r="S1981" s="76"/>
      <c r="T1981" s="76"/>
      <c r="U1981" s="76"/>
      <c r="V1981" s="76"/>
      <c r="W1981" s="76"/>
      <c r="X1981" s="76"/>
      <c r="Y1981" s="76"/>
      <c r="Z1981" s="76"/>
      <c r="AA1981" s="76"/>
      <c r="AB1981" s="76"/>
      <c r="AC1981" s="76"/>
      <c r="AD1981" s="76"/>
      <c r="AE1981" s="76"/>
      <c r="AF1981" s="76"/>
      <c r="AG1981" s="76"/>
      <c r="AH1981" s="76"/>
      <c r="AI1981" s="76"/>
      <c r="AJ1981" s="76"/>
      <c r="AK1981" s="76"/>
      <c r="AL1981" s="76"/>
      <c r="AM1981" s="76"/>
      <c r="AN1981" s="76"/>
      <c r="AO1981" s="76"/>
      <c r="AP1981" s="76"/>
      <c r="AQ1981" s="76"/>
      <c r="AR1981" s="76"/>
      <c r="AS1981" s="76"/>
      <c r="AT1981" s="76"/>
      <c r="AU1981" s="76"/>
      <c r="AV1981" s="76"/>
      <c r="AW1981" s="76"/>
      <c r="AX1981" s="76"/>
      <c r="AY1981" s="76"/>
      <c r="AZ1981" s="76"/>
      <c r="BA1981" s="76"/>
      <c r="BB1981" s="76"/>
    </row>
    <row r="1982" spans="5:54" x14ac:dyDescent="0.35">
      <c r="E1982" s="83"/>
      <c r="F1982" s="83"/>
      <c r="G1982" s="76"/>
      <c r="H1982" s="76"/>
      <c r="I1982" s="76"/>
      <c r="J1982" s="76"/>
      <c r="K1982" s="76"/>
      <c r="L1982" s="76"/>
      <c r="M1982" s="76"/>
      <c r="N1982" s="76"/>
      <c r="O1982" s="76"/>
      <c r="P1982" s="76"/>
      <c r="Q1982" s="76"/>
      <c r="R1982" s="76"/>
      <c r="S1982" s="76"/>
      <c r="T1982" s="76"/>
      <c r="U1982" s="76"/>
      <c r="V1982" s="76"/>
      <c r="W1982" s="76"/>
      <c r="X1982" s="76"/>
      <c r="Y1982" s="76"/>
      <c r="Z1982" s="76"/>
      <c r="AA1982" s="76"/>
      <c r="AB1982" s="76"/>
      <c r="AC1982" s="76"/>
      <c r="AD1982" s="76"/>
      <c r="AE1982" s="76"/>
      <c r="AF1982" s="76"/>
      <c r="AG1982" s="76"/>
      <c r="AH1982" s="76"/>
      <c r="AI1982" s="76"/>
      <c r="AJ1982" s="76"/>
      <c r="AK1982" s="76"/>
      <c r="AL1982" s="76"/>
      <c r="AM1982" s="76"/>
      <c r="AN1982" s="76"/>
      <c r="AO1982" s="76"/>
      <c r="AP1982" s="76"/>
      <c r="AQ1982" s="76"/>
      <c r="AR1982" s="76"/>
      <c r="AS1982" s="76"/>
      <c r="AT1982" s="76"/>
      <c r="AU1982" s="76"/>
      <c r="AV1982" s="76"/>
      <c r="AW1982" s="76"/>
      <c r="AX1982" s="76"/>
      <c r="AY1982" s="76"/>
      <c r="AZ1982" s="76"/>
      <c r="BA1982" s="76"/>
      <c r="BB1982" s="76"/>
    </row>
    <row r="1983" spans="5:54" x14ac:dyDescent="0.35">
      <c r="E1983" s="83"/>
      <c r="F1983" s="83"/>
      <c r="G1983" s="76"/>
      <c r="H1983" s="76"/>
      <c r="I1983" s="76"/>
      <c r="J1983" s="76"/>
      <c r="K1983" s="76"/>
      <c r="L1983" s="76"/>
      <c r="M1983" s="76"/>
      <c r="N1983" s="76"/>
      <c r="O1983" s="76"/>
      <c r="P1983" s="76"/>
      <c r="Q1983" s="76"/>
      <c r="R1983" s="76"/>
      <c r="S1983" s="76"/>
      <c r="T1983" s="76"/>
      <c r="U1983" s="76"/>
      <c r="V1983" s="76"/>
      <c r="W1983" s="76"/>
      <c r="X1983" s="76"/>
      <c r="Y1983" s="76"/>
      <c r="Z1983" s="76"/>
      <c r="AA1983" s="76"/>
      <c r="AB1983" s="76"/>
      <c r="AC1983" s="76"/>
      <c r="AD1983" s="76"/>
      <c r="AE1983" s="76"/>
      <c r="AF1983" s="76"/>
      <c r="AG1983" s="76"/>
      <c r="AH1983" s="76"/>
      <c r="AI1983" s="76"/>
      <c r="AJ1983" s="76"/>
      <c r="AK1983" s="76"/>
      <c r="AL1983" s="76"/>
      <c r="AM1983" s="76"/>
      <c r="AN1983" s="76"/>
      <c r="AO1983" s="76"/>
      <c r="AP1983" s="76"/>
      <c r="AQ1983" s="76"/>
      <c r="AR1983" s="76"/>
      <c r="AS1983" s="76"/>
      <c r="AT1983" s="76"/>
      <c r="AU1983" s="76"/>
      <c r="AV1983" s="76"/>
      <c r="AW1983" s="76"/>
      <c r="AX1983" s="76"/>
      <c r="AY1983" s="76"/>
      <c r="AZ1983" s="76"/>
      <c r="BA1983" s="76"/>
      <c r="BB1983" s="76"/>
    </row>
    <row r="1984" spans="5:54" x14ac:dyDescent="0.35">
      <c r="E1984" s="83"/>
      <c r="F1984" s="83"/>
      <c r="G1984" s="76"/>
      <c r="H1984" s="76"/>
      <c r="I1984" s="76"/>
      <c r="J1984" s="76"/>
      <c r="K1984" s="76"/>
      <c r="L1984" s="76"/>
      <c r="M1984" s="76"/>
      <c r="N1984" s="76"/>
      <c r="O1984" s="76"/>
      <c r="P1984" s="76"/>
      <c r="Q1984" s="76"/>
      <c r="R1984" s="76"/>
      <c r="S1984" s="76"/>
      <c r="T1984" s="76"/>
      <c r="U1984" s="76"/>
      <c r="V1984" s="76"/>
      <c r="W1984" s="76"/>
      <c r="X1984" s="76"/>
      <c r="Y1984" s="76"/>
      <c r="Z1984" s="76"/>
      <c r="AA1984" s="76"/>
      <c r="AB1984" s="76"/>
      <c r="AC1984" s="76"/>
      <c r="AD1984" s="76"/>
      <c r="AE1984" s="76"/>
      <c r="AF1984" s="76"/>
      <c r="AG1984" s="76"/>
      <c r="AH1984" s="76"/>
      <c r="AI1984" s="76"/>
      <c r="AJ1984" s="76"/>
      <c r="AK1984" s="76"/>
      <c r="AL1984" s="76"/>
      <c r="AM1984" s="76"/>
      <c r="AN1984" s="76"/>
      <c r="AO1984" s="76"/>
      <c r="AP1984" s="76"/>
      <c r="AQ1984" s="76"/>
      <c r="AR1984" s="76"/>
      <c r="AS1984" s="76"/>
      <c r="AT1984" s="76"/>
      <c r="AU1984" s="76"/>
      <c r="AV1984" s="76"/>
      <c r="AW1984" s="76"/>
      <c r="AX1984" s="76"/>
      <c r="AY1984" s="76"/>
      <c r="AZ1984" s="76"/>
      <c r="BA1984" s="76"/>
      <c r="BB1984" s="76"/>
    </row>
    <row r="1985" spans="5:54" x14ac:dyDescent="0.35">
      <c r="E1985" s="83"/>
      <c r="F1985" s="83"/>
      <c r="G1985" s="76"/>
      <c r="H1985" s="76"/>
      <c r="I1985" s="76"/>
      <c r="J1985" s="76"/>
      <c r="K1985" s="76"/>
      <c r="L1985" s="76"/>
      <c r="M1985" s="76"/>
      <c r="N1985" s="76"/>
      <c r="O1985" s="76"/>
      <c r="P1985" s="76"/>
      <c r="Q1985" s="76"/>
      <c r="R1985" s="76"/>
      <c r="S1985" s="76"/>
      <c r="T1985" s="76"/>
      <c r="U1985" s="76"/>
      <c r="V1985" s="76"/>
      <c r="W1985" s="76"/>
      <c r="X1985" s="76"/>
      <c r="Y1985" s="76"/>
      <c r="Z1985" s="76"/>
      <c r="AA1985" s="76"/>
      <c r="AB1985" s="76"/>
      <c r="AC1985" s="76"/>
      <c r="AD1985" s="76"/>
      <c r="AE1985" s="76"/>
      <c r="AF1985" s="76"/>
      <c r="AG1985" s="76"/>
      <c r="AH1985" s="76"/>
      <c r="AI1985" s="76"/>
      <c r="AJ1985" s="76"/>
      <c r="AK1985" s="76"/>
      <c r="AL1985" s="76"/>
      <c r="AM1985" s="76"/>
      <c r="AN1985" s="76"/>
      <c r="AO1985" s="76"/>
      <c r="AP1985" s="76"/>
      <c r="AQ1985" s="76"/>
      <c r="AR1985" s="76"/>
      <c r="AS1985" s="76"/>
      <c r="AT1985" s="76"/>
      <c r="AU1985" s="76"/>
      <c r="AV1985" s="76"/>
      <c r="AW1985" s="76"/>
      <c r="AX1985" s="76"/>
      <c r="AY1985" s="76"/>
      <c r="AZ1985" s="76"/>
      <c r="BA1985" s="76"/>
      <c r="BB1985" s="76"/>
    </row>
    <row r="1986" spans="5:54" x14ac:dyDescent="0.35">
      <c r="E1986" s="83"/>
      <c r="F1986" s="83"/>
      <c r="G1986" s="76"/>
      <c r="H1986" s="76"/>
      <c r="I1986" s="76"/>
      <c r="J1986" s="76"/>
      <c r="K1986" s="76"/>
      <c r="L1986" s="76"/>
      <c r="M1986" s="76"/>
      <c r="N1986" s="76"/>
      <c r="O1986" s="76"/>
      <c r="P1986" s="76"/>
      <c r="Q1986" s="76"/>
      <c r="R1986" s="76"/>
      <c r="S1986" s="76"/>
      <c r="T1986" s="76"/>
      <c r="U1986" s="76"/>
      <c r="V1986" s="76"/>
      <c r="W1986" s="76"/>
      <c r="X1986" s="76"/>
      <c r="Y1986" s="76"/>
      <c r="Z1986" s="76"/>
      <c r="AA1986" s="76"/>
      <c r="AB1986" s="76"/>
      <c r="AC1986" s="76"/>
      <c r="AD1986" s="76"/>
      <c r="AE1986" s="76"/>
      <c r="AF1986" s="76"/>
      <c r="AG1986" s="76"/>
      <c r="AH1986" s="76"/>
      <c r="AI1986" s="76"/>
      <c r="AJ1986" s="76"/>
      <c r="AK1986" s="76"/>
      <c r="AL1986" s="76"/>
      <c r="AM1986" s="76"/>
      <c r="AN1986" s="76"/>
      <c r="AO1986" s="76"/>
      <c r="AP1986" s="76"/>
      <c r="AQ1986" s="76"/>
      <c r="AR1986" s="76"/>
      <c r="AS1986" s="76"/>
      <c r="AT1986" s="76"/>
      <c r="AU1986" s="76"/>
      <c r="AV1986" s="76"/>
      <c r="AW1986" s="76"/>
      <c r="AX1986" s="76"/>
      <c r="AY1986" s="76"/>
      <c r="AZ1986" s="76"/>
      <c r="BA1986" s="76"/>
      <c r="BB1986" s="76"/>
    </row>
    <row r="1987" spans="5:54" x14ac:dyDescent="0.35">
      <c r="E1987" s="83"/>
      <c r="F1987" s="83"/>
      <c r="G1987" s="76"/>
      <c r="H1987" s="76"/>
      <c r="I1987" s="76"/>
      <c r="J1987" s="76"/>
      <c r="K1987" s="76"/>
      <c r="L1987" s="76"/>
      <c r="M1987" s="76"/>
      <c r="N1987" s="76"/>
      <c r="O1987" s="76"/>
      <c r="P1987" s="76"/>
      <c r="Q1987" s="76"/>
      <c r="R1987" s="76"/>
      <c r="S1987" s="76"/>
      <c r="T1987" s="76"/>
      <c r="U1987" s="76"/>
      <c r="V1987" s="76"/>
      <c r="W1987" s="76"/>
      <c r="X1987" s="76"/>
      <c r="Y1987" s="76"/>
      <c r="Z1987" s="76"/>
      <c r="AA1987" s="76"/>
      <c r="AB1987" s="76"/>
      <c r="AC1987" s="76"/>
      <c r="AD1987" s="76"/>
      <c r="AE1987" s="76"/>
      <c r="AF1987" s="76"/>
      <c r="AG1987" s="76"/>
      <c r="AH1987" s="76"/>
      <c r="AI1987" s="76"/>
      <c r="AJ1987" s="76"/>
      <c r="AK1987" s="76"/>
      <c r="AL1987" s="76"/>
      <c r="AM1987" s="76"/>
      <c r="AN1987" s="76"/>
      <c r="AO1987" s="76"/>
      <c r="AP1987" s="76"/>
      <c r="AQ1987" s="76"/>
      <c r="AR1987" s="76"/>
      <c r="AS1987" s="76"/>
      <c r="AT1987" s="76"/>
      <c r="AU1987" s="76"/>
      <c r="AV1987" s="76"/>
      <c r="AW1987" s="76"/>
      <c r="AX1987" s="76"/>
      <c r="AY1987" s="76"/>
      <c r="AZ1987" s="76"/>
      <c r="BA1987" s="76"/>
      <c r="BB1987" s="76"/>
    </row>
    <row r="1988" spans="5:54" x14ac:dyDescent="0.35">
      <c r="E1988" s="83"/>
      <c r="F1988" s="83"/>
      <c r="G1988" s="76"/>
      <c r="H1988" s="76"/>
      <c r="I1988" s="76"/>
      <c r="J1988" s="76"/>
      <c r="K1988" s="76"/>
      <c r="L1988" s="76"/>
      <c r="M1988" s="76"/>
      <c r="N1988" s="76"/>
      <c r="O1988" s="76"/>
      <c r="P1988" s="76"/>
      <c r="Q1988" s="76"/>
      <c r="R1988" s="76"/>
      <c r="S1988" s="76"/>
      <c r="T1988" s="76"/>
      <c r="U1988" s="76"/>
      <c r="V1988" s="76"/>
      <c r="W1988" s="76"/>
      <c r="X1988" s="76"/>
      <c r="Y1988" s="76"/>
      <c r="Z1988" s="76"/>
      <c r="AA1988" s="76"/>
      <c r="AB1988" s="76"/>
      <c r="AC1988" s="76"/>
      <c r="AD1988" s="76"/>
      <c r="AE1988" s="76"/>
      <c r="AF1988" s="76"/>
      <c r="AG1988" s="76"/>
      <c r="AH1988" s="76"/>
      <c r="AI1988" s="76"/>
      <c r="AJ1988" s="76"/>
      <c r="AK1988" s="76"/>
      <c r="AL1988" s="76"/>
      <c r="AM1988" s="76"/>
      <c r="AN1988" s="76"/>
      <c r="AO1988" s="76"/>
      <c r="AP1988" s="76"/>
      <c r="AQ1988" s="76"/>
      <c r="AR1988" s="76"/>
      <c r="AS1988" s="76"/>
      <c r="AT1988" s="76"/>
      <c r="AU1988" s="76"/>
      <c r="AV1988" s="76"/>
      <c r="AW1988" s="76"/>
      <c r="AX1988" s="76"/>
      <c r="AY1988" s="76"/>
      <c r="AZ1988" s="76"/>
      <c r="BA1988" s="76"/>
      <c r="BB1988" s="76"/>
    </row>
    <row r="1989" spans="5:54" x14ac:dyDescent="0.35">
      <c r="E1989" s="83"/>
      <c r="F1989" s="83"/>
      <c r="G1989" s="76"/>
      <c r="H1989" s="76"/>
      <c r="I1989" s="76"/>
      <c r="J1989" s="76"/>
      <c r="K1989" s="76"/>
      <c r="L1989" s="76"/>
      <c r="M1989" s="76"/>
      <c r="N1989" s="76"/>
      <c r="O1989" s="76"/>
      <c r="P1989" s="76"/>
      <c r="Q1989" s="76"/>
      <c r="R1989" s="76"/>
      <c r="S1989" s="76"/>
      <c r="T1989" s="76"/>
      <c r="U1989" s="76"/>
      <c r="V1989" s="76"/>
      <c r="W1989" s="76"/>
      <c r="X1989" s="76"/>
      <c r="Y1989" s="76"/>
      <c r="Z1989" s="76"/>
      <c r="AA1989" s="76"/>
      <c r="AB1989" s="76"/>
      <c r="AC1989" s="76"/>
      <c r="AD1989" s="76"/>
      <c r="AE1989" s="76"/>
      <c r="AF1989" s="76"/>
      <c r="AG1989" s="76"/>
      <c r="AH1989" s="76"/>
      <c r="AI1989" s="76"/>
      <c r="AJ1989" s="76"/>
      <c r="AK1989" s="76"/>
      <c r="AL1989" s="76"/>
      <c r="AM1989" s="76"/>
      <c r="AN1989" s="76"/>
      <c r="AO1989" s="76"/>
      <c r="AP1989" s="76"/>
      <c r="AQ1989" s="76"/>
      <c r="AR1989" s="76"/>
      <c r="AS1989" s="76"/>
      <c r="AT1989" s="76"/>
      <c r="AU1989" s="76"/>
      <c r="AV1989" s="76"/>
      <c r="AW1989" s="76"/>
      <c r="AX1989" s="76"/>
      <c r="AY1989" s="76"/>
      <c r="AZ1989" s="76"/>
      <c r="BA1989" s="76"/>
      <c r="BB1989" s="76"/>
    </row>
    <row r="1990" spans="5:54" x14ac:dyDescent="0.35">
      <c r="E1990" s="83"/>
      <c r="F1990" s="83"/>
      <c r="G1990" s="76"/>
      <c r="H1990" s="76"/>
      <c r="I1990" s="76"/>
      <c r="J1990" s="76"/>
      <c r="K1990" s="76"/>
      <c r="L1990" s="76"/>
      <c r="M1990" s="76"/>
      <c r="N1990" s="76"/>
      <c r="O1990" s="76"/>
      <c r="P1990" s="76"/>
      <c r="Q1990" s="76"/>
      <c r="R1990" s="76"/>
      <c r="S1990" s="76"/>
      <c r="T1990" s="76"/>
      <c r="U1990" s="76"/>
      <c r="V1990" s="76"/>
      <c r="W1990" s="76"/>
      <c r="X1990" s="76"/>
      <c r="Y1990" s="76"/>
      <c r="Z1990" s="76"/>
      <c r="AA1990" s="76"/>
      <c r="AB1990" s="76"/>
      <c r="AC1990" s="76"/>
      <c r="AD1990" s="76"/>
      <c r="AE1990" s="76"/>
      <c r="AF1990" s="76"/>
      <c r="AG1990" s="76"/>
      <c r="AH1990" s="76"/>
      <c r="AI1990" s="76"/>
      <c r="AJ1990" s="76"/>
      <c r="AK1990" s="76"/>
      <c r="AL1990" s="76"/>
      <c r="AM1990" s="76"/>
      <c r="AN1990" s="76"/>
      <c r="AO1990" s="76"/>
      <c r="AP1990" s="76"/>
      <c r="AQ1990" s="76"/>
      <c r="AR1990" s="76"/>
      <c r="AS1990" s="76"/>
      <c r="AT1990" s="76"/>
      <c r="AU1990" s="76"/>
      <c r="AV1990" s="76"/>
      <c r="AW1990" s="76"/>
      <c r="AX1990" s="76"/>
      <c r="AY1990" s="76"/>
      <c r="AZ1990" s="76"/>
      <c r="BA1990" s="76"/>
      <c r="BB1990" s="76"/>
    </row>
    <row r="1991" spans="5:54" x14ac:dyDescent="0.35">
      <c r="E1991" s="83"/>
      <c r="F1991" s="83"/>
      <c r="G1991" s="76"/>
      <c r="H1991" s="76"/>
      <c r="I1991" s="76"/>
      <c r="J1991" s="76"/>
      <c r="K1991" s="76"/>
      <c r="L1991" s="76"/>
      <c r="M1991" s="76"/>
      <c r="N1991" s="76"/>
      <c r="O1991" s="76"/>
      <c r="P1991" s="76"/>
      <c r="Q1991" s="76"/>
      <c r="R1991" s="76"/>
      <c r="S1991" s="76"/>
      <c r="T1991" s="76"/>
      <c r="U1991" s="76"/>
      <c r="V1991" s="76"/>
      <c r="W1991" s="76"/>
      <c r="X1991" s="76"/>
      <c r="Y1991" s="76"/>
      <c r="Z1991" s="76"/>
      <c r="AA1991" s="76"/>
      <c r="AB1991" s="76"/>
      <c r="AC1991" s="76"/>
      <c r="AD1991" s="76"/>
      <c r="AE1991" s="76"/>
      <c r="AF1991" s="76"/>
      <c r="AG1991" s="76"/>
      <c r="AH1991" s="76"/>
      <c r="AI1991" s="76"/>
      <c r="AJ1991" s="76"/>
      <c r="AK1991" s="76"/>
      <c r="AL1991" s="76"/>
      <c r="AM1991" s="76"/>
      <c r="AN1991" s="76"/>
      <c r="AO1991" s="76"/>
      <c r="AP1991" s="76"/>
      <c r="AQ1991" s="76"/>
      <c r="AR1991" s="76"/>
      <c r="AS1991" s="76"/>
      <c r="AT1991" s="76"/>
      <c r="AU1991" s="76"/>
      <c r="AV1991" s="76"/>
      <c r="AW1991" s="76"/>
      <c r="AX1991" s="76"/>
      <c r="AY1991" s="76"/>
      <c r="AZ1991" s="76"/>
      <c r="BA1991" s="76"/>
      <c r="BB1991" s="76"/>
    </row>
    <row r="1992" spans="5:54" x14ac:dyDescent="0.35">
      <c r="E1992" s="83"/>
      <c r="F1992" s="83"/>
      <c r="G1992" s="76"/>
      <c r="H1992" s="76"/>
      <c r="I1992" s="76"/>
      <c r="J1992" s="76"/>
      <c r="K1992" s="76"/>
      <c r="L1992" s="76"/>
      <c r="M1992" s="76"/>
      <c r="N1992" s="76"/>
      <c r="O1992" s="76"/>
      <c r="P1992" s="76"/>
      <c r="Q1992" s="76"/>
      <c r="R1992" s="76"/>
      <c r="S1992" s="76"/>
      <c r="T1992" s="76"/>
      <c r="U1992" s="76"/>
      <c r="V1992" s="76"/>
      <c r="W1992" s="76"/>
      <c r="X1992" s="76"/>
      <c r="Y1992" s="76"/>
      <c r="Z1992" s="76"/>
      <c r="AA1992" s="76"/>
      <c r="AB1992" s="76"/>
      <c r="AC1992" s="76"/>
      <c r="AD1992" s="76"/>
      <c r="AE1992" s="76"/>
      <c r="AF1992" s="76"/>
      <c r="AG1992" s="76"/>
      <c r="AH1992" s="76"/>
      <c r="AI1992" s="76"/>
      <c r="AJ1992" s="76"/>
      <c r="AK1992" s="76"/>
      <c r="AL1992" s="76"/>
      <c r="AM1992" s="76"/>
      <c r="AN1992" s="76"/>
      <c r="AO1992" s="76"/>
      <c r="AP1992" s="76"/>
      <c r="AQ1992" s="76"/>
      <c r="AR1992" s="76"/>
      <c r="AS1992" s="76"/>
      <c r="AT1992" s="76"/>
      <c r="AU1992" s="76"/>
      <c r="AV1992" s="76"/>
      <c r="AW1992" s="76"/>
      <c r="AX1992" s="76"/>
      <c r="AY1992" s="76"/>
      <c r="AZ1992" s="76"/>
      <c r="BA1992" s="76"/>
      <c r="BB1992" s="76"/>
    </row>
    <row r="1993" spans="5:54" x14ac:dyDescent="0.35">
      <c r="E1993" s="83"/>
      <c r="F1993" s="83"/>
      <c r="G1993" s="76"/>
      <c r="H1993" s="76"/>
      <c r="I1993" s="76"/>
      <c r="J1993" s="76"/>
      <c r="K1993" s="76"/>
      <c r="L1993" s="76"/>
      <c r="M1993" s="76"/>
      <c r="N1993" s="76"/>
      <c r="O1993" s="76"/>
      <c r="P1993" s="76"/>
      <c r="Q1993" s="76"/>
      <c r="R1993" s="76"/>
      <c r="S1993" s="76"/>
      <c r="T1993" s="76"/>
      <c r="U1993" s="76"/>
      <c r="V1993" s="76"/>
      <c r="W1993" s="76"/>
      <c r="X1993" s="76"/>
      <c r="Y1993" s="76"/>
      <c r="Z1993" s="76"/>
      <c r="AA1993" s="76"/>
      <c r="AB1993" s="76"/>
      <c r="AC1993" s="76"/>
      <c r="AD1993" s="76"/>
      <c r="AE1993" s="76"/>
      <c r="AF1993" s="76"/>
      <c r="AG1993" s="76"/>
      <c r="AH1993" s="76"/>
      <c r="AI1993" s="76"/>
      <c r="AJ1993" s="76"/>
      <c r="AK1993" s="76"/>
      <c r="AL1993" s="76"/>
      <c r="AM1993" s="76"/>
      <c r="AN1993" s="76"/>
      <c r="AO1993" s="76"/>
      <c r="AP1993" s="76"/>
      <c r="AQ1993" s="76"/>
      <c r="AR1993" s="76"/>
      <c r="AS1993" s="76"/>
      <c r="AT1993" s="76"/>
      <c r="AU1993" s="76"/>
      <c r="AV1993" s="76"/>
      <c r="AW1993" s="76"/>
      <c r="AX1993" s="76"/>
      <c r="AY1993" s="76"/>
      <c r="AZ1993" s="76"/>
      <c r="BA1993" s="76"/>
      <c r="BB1993" s="76"/>
    </row>
    <row r="1994" spans="5:54" x14ac:dyDescent="0.35">
      <c r="E1994" s="83"/>
      <c r="F1994" s="83"/>
      <c r="G1994" s="76"/>
      <c r="H1994" s="76"/>
      <c r="I1994" s="76"/>
      <c r="J1994" s="76"/>
      <c r="K1994" s="76"/>
      <c r="L1994" s="76"/>
      <c r="M1994" s="76"/>
      <c r="N1994" s="76"/>
      <c r="O1994" s="76"/>
      <c r="P1994" s="76"/>
      <c r="Q1994" s="76"/>
      <c r="R1994" s="76"/>
      <c r="S1994" s="76"/>
      <c r="T1994" s="76"/>
      <c r="U1994" s="76"/>
      <c r="V1994" s="76"/>
      <c r="W1994" s="76"/>
      <c r="X1994" s="76"/>
      <c r="Y1994" s="76"/>
      <c r="Z1994" s="76"/>
      <c r="AA1994" s="76"/>
      <c r="AB1994" s="76"/>
      <c r="AC1994" s="76"/>
      <c r="AD1994" s="76"/>
      <c r="AE1994" s="76"/>
      <c r="AF1994" s="76"/>
      <c r="AG1994" s="76"/>
      <c r="AH1994" s="76"/>
      <c r="AI1994" s="76"/>
      <c r="AJ1994" s="76"/>
      <c r="AK1994" s="76"/>
      <c r="AL1994" s="76"/>
      <c r="AM1994" s="76"/>
      <c r="AN1994" s="76"/>
      <c r="AO1994" s="76"/>
      <c r="AP1994" s="76"/>
      <c r="AQ1994" s="76"/>
      <c r="AR1994" s="76"/>
      <c r="AS1994" s="76"/>
      <c r="AT1994" s="76"/>
      <c r="AU1994" s="76"/>
      <c r="AV1994" s="76"/>
      <c r="AW1994" s="76"/>
      <c r="AX1994" s="76"/>
      <c r="AY1994" s="76"/>
      <c r="AZ1994" s="76"/>
      <c r="BA1994" s="76"/>
      <c r="BB1994" s="76"/>
    </row>
    <row r="1995" spans="5:54" x14ac:dyDescent="0.35">
      <c r="E1995" s="83"/>
      <c r="F1995" s="83"/>
      <c r="G1995" s="76"/>
      <c r="H1995" s="76"/>
      <c r="I1995" s="76"/>
      <c r="J1995" s="76"/>
      <c r="K1995" s="76"/>
      <c r="L1995" s="76"/>
      <c r="M1995" s="76"/>
      <c r="N1995" s="76"/>
      <c r="O1995" s="76"/>
      <c r="P1995" s="76"/>
      <c r="Q1995" s="76"/>
      <c r="R1995" s="76"/>
      <c r="S1995" s="76"/>
      <c r="T1995" s="76"/>
      <c r="U1995" s="76"/>
      <c r="V1995" s="76"/>
      <c r="W1995" s="76"/>
      <c r="X1995" s="76"/>
      <c r="Y1995" s="76"/>
      <c r="Z1995" s="76"/>
      <c r="AA1995" s="76"/>
      <c r="AB1995" s="76"/>
      <c r="AC1995" s="76"/>
      <c r="AD1995" s="76"/>
      <c r="AE1995" s="76"/>
      <c r="AF1995" s="76"/>
      <c r="AG1995" s="76"/>
      <c r="AH1995" s="76"/>
      <c r="AI1995" s="76"/>
      <c r="AJ1995" s="76"/>
      <c r="AK1995" s="76"/>
      <c r="AL1995" s="76"/>
      <c r="AM1995" s="76"/>
      <c r="AN1995" s="76"/>
      <c r="AO1995" s="76"/>
      <c r="AP1995" s="76"/>
      <c r="AQ1995" s="76"/>
      <c r="AR1995" s="76"/>
      <c r="AS1995" s="76"/>
      <c r="AT1995" s="76"/>
      <c r="AU1995" s="76"/>
      <c r="AV1995" s="76"/>
      <c r="AW1995" s="76"/>
      <c r="AX1995" s="76"/>
      <c r="AY1995" s="76"/>
      <c r="AZ1995" s="76"/>
      <c r="BA1995" s="76"/>
      <c r="BB1995" s="76"/>
    </row>
    <row r="1996" spans="5:54" x14ac:dyDescent="0.35">
      <c r="E1996" s="83"/>
      <c r="F1996" s="83"/>
      <c r="G1996" s="76"/>
      <c r="H1996" s="76"/>
      <c r="I1996" s="76"/>
      <c r="J1996" s="76"/>
      <c r="K1996" s="76"/>
      <c r="L1996" s="76"/>
      <c r="M1996" s="76"/>
      <c r="N1996" s="76"/>
      <c r="O1996" s="76"/>
      <c r="P1996" s="76"/>
      <c r="Q1996" s="76"/>
      <c r="R1996" s="76"/>
      <c r="S1996" s="76"/>
      <c r="T1996" s="76"/>
      <c r="U1996" s="76"/>
      <c r="V1996" s="76"/>
      <c r="W1996" s="76"/>
      <c r="X1996" s="76"/>
      <c r="Y1996" s="76"/>
      <c r="Z1996" s="76"/>
      <c r="AA1996" s="76"/>
      <c r="AB1996" s="76"/>
      <c r="AC1996" s="76"/>
      <c r="AD1996" s="76"/>
      <c r="AE1996" s="76"/>
      <c r="AF1996" s="76"/>
      <c r="AG1996" s="76"/>
      <c r="AH1996" s="76"/>
      <c r="AI1996" s="76"/>
      <c r="AJ1996" s="76"/>
      <c r="AK1996" s="76"/>
      <c r="AL1996" s="76"/>
      <c r="AM1996" s="76"/>
      <c r="AN1996" s="76"/>
      <c r="AO1996" s="76"/>
      <c r="AP1996" s="76"/>
      <c r="AQ1996" s="76"/>
      <c r="AR1996" s="76"/>
      <c r="AS1996" s="76"/>
      <c r="AT1996" s="76"/>
      <c r="AU1996" s="76"/>
      <c r="AV1996" s="76"/>
      <c r="AW1996" s="76"/>
      <c r="AX1996" s="76"/>
      <c r="AY1996" s="76"/>
      <c r="AZ1996" s="76"/>
      <c r="BA1996" s="76"/>
      <c r="BB1996" s="76"/>
    </row>
    <row r="1997" spans="5:54" x14ac:dyDescent="0.35">
      <c r="E1997" s="83"/>
      <c r="F1997" s="83"/>
      <c r="G1997" s="76"/>
      <c r="H1997" s="76"/>
      <c r="I1997" s="76"/>
      <c r="J1997" s="76"/>
      <c r="K1997" s="76"/>
      <c r="L1997" s="76"/>
      <c r="M1997" s="76"/>
      <c r="N1997" s="76"/>
      <c r="O1997" s="76"/>
      <c r="P1997" s="76"/>
      <c r="Q1997" s="76"/>
      <c r="R1997" s="76"/>
      <c r="S1997" s="76"/>
      <c r="T1997" s="76"/>
      <c r="U1997" s="76"/>
      <c r="V1997" s="76"/>
      <c r="W1997" s="76"/>
      <c r="X1997" s="76"/>
      <c r="Y1997" s="76"/>
      <c r="Z1997" s="76"/>
      <c r="AA1997" s="76"/>
      <c r="AB1997" s="76"/>
      <c r="AC1997" s="76"/>
      <c r="AD1997" s="76"/>
      <c r="AE1997" s="76"/>
      <c r="AF1997" s="76"/>
      <c r="AG1997" s="76"/>
      <c r="AH1997" s="76"/>
      <c r="AI1997" s="76"/>
      <c r="AJ1997" s="76"/>
      <c r="AK1997" s="76"/>
      <c r="AL1997" s="76"/>
      <c r="AM1997" s="76"/>
      <c r="AN1997" s="76"/>
      <c r="AO1997" s="76"/>
      <c r="AP1997" s="76"/>
      <c r="AQ1997" s="76"/>
      <c r="AR1997" s="76"/>
      <c r="AS1997" s="76"/>
      <c r="AT1997" s="76"/>
      <c r="AU1997" s="76"/>
      <c r="AV1997" s="76"/>
      <c r="AW1997" s="76"/>
      <c r="AX1997" s="76"/>
      <c r="AY1997" s="76"/>
      <c r="AZ1997" s="76"/>
      <c r="BA1997" s="76"/>
      <c r="BB1997" s="76"/>
    </row>
    <row r="1998" spans="5:54" x14ac:dyDescent="0.35">
      <c r="E1998" s="83"/>
      <c r="F1998" s="83"/>
      <c r="G1998" s="76"/>
      <c r="H1998" s="76"/>
      <c r="I1998" s="76"/>
      <c r="J1998" s="76"/>
      <c r="K1998" s="76"/>
      <c r="L1998" s="76"/>
      <c r="M1998" s="76"/>
      <c r="N1998" s="76"/>
      <c r="O1998" s="76"/>
      <c r="P1998" s="76"/>
      <c r="Q1998" s="76"/>
      <c r="R1998" s="76"/>
      <c r="S1998" s="76"/>
      <c r="T1998" s="76"/>
      <c r="U1998" s="76"/>
      <c r="V1998" s="76"/>
      <c r="W1998" s="76"/>
      <c r="X1998" s="76"/>
      <c r="Y1998" s="76"/>
      <c r="Z1998" s="76"/>
      <c r="AA1998" s="76"/>
      <c r="AB1998" s="76"/>
      <c r="AC1998" s="76"/>
      <c r="AD1998" s="76"/>
      <c r="AE1998" s="76"/>
      <c r="AF1998" s="76"/>
      <c r="AG1998" s="76"/>
      <c r="AH1998" s="76"/>
      <c r="AI1998" s="76"/>
      <c r="AJ1998" s="76"/>
      <c r="AK1998" s="76"/>
      <c r="AL1998" s="76"/>
      <c r="AM1998" s="76"/>
      <c r="AN1998" s="76"/>
      <c r="AO1998" s="76"/>
      <c r="AP1998" s="76"/>
      <c r="AQ1998" s="76"/>
      <c r="AR1998" s="76"/>
      <c r="AS1998" s="76"/>
      <c r="AT1998" s="76"/>
      <c r="AU1998" s="76"/>
      <c r="AV1998" s="76"/>
      <c r="AW1998" s="76"/>
      <c r="AX1998" s="76"/>
      <c r="AY1998" s="76"/>
      <c r="AZ1998" s="76"/>
      <c r="BA1998" s="76"/>
      <c r="BB1998" s="76"/>
    </row>
    <row r="1999" spans="5:54" x14ac:dyDescent="0.35">
      <c r="E1999" s="83"/>
      <c r="F1999" s="83"/>
      <c r="G1999" s="76"/>
      <c r="H1999" s="76"/>
      <c r="I1999" s="76"/>
      <c r="J1999" s="76"/>
      <c r="K1999" s="76"/>
      <c r="L1999" s="76"/>
      <c r="M1999" s="76"/>
      <c r="N1999" s="76"/>
      <c r="O1999" s="76"/>
      <c r="P1999" s="76"/>
      <c r="Q1999" s="76"/>
      <c r="R1999" s="76"/>
      <c r="S1999" s="76"/>
      <c r="T1999" s="76"/>
      <c r="U1999" s="76"/>
      <c r="V1999" s="76"/>
      <c r="W1999" s="76"/>
      <c r="X1999" s="76"/>
      <c r="Y1999" s="76"/>
      <c r="Z1999" s="76"/>
      <c r="AA1999" s="76"/>
      <c r="AB1999" s="76"/>
      <c r="AC1999" s="76"/>
      <c r="AD1999" s="76"/>
      <c r="AE1999" s="76"/>
      <c r="AF1999" s="76"/>
      <c r="AG1999" s="76"/>
      <c r="AH1999" s="76"/>
      <c r="AI1999" s="76"/>
      <c r="AJ1999" s="76"/>
      <c r="AK1999" s="76"/>
      <c r="AL1999" s="76"/>
      <c r="AM1999" s="76"/>
      <c r="AN1999" s="76"/>
      <c r="AO1999" s="76"/>
      <c r="AP1999" s="76"/>
      <c r="AQ1999" s="76"/>
      <c r="AR1999" s="76"/>
      <c r="AS1999" s="76"/>
      <c r="AT1999" s="76"/>
      <c r="AU1999" s="76"/>
      <c r="AV1999" s="76"/>
      <c r="AW1999" s="76"/>
      <c r="AX1999" s="76"/>
      <c r="AY1999" s="76"/>
      <c r="AZ1999" s="76"/>
      <c r="BA1999" s="76"/>
      <c r="BB1999" s="76"/>
    </row>
    <row r="2000" spans="5:54" x14ac:dyDescent="0.35">
      <c r="E2000" s="83"/>
      <c r="F2000" s="83"/>
      <c r="G2000" s="76"/>
      <c r="H2000" s="76"/>
      <c r="I2000" s="76"/>
      <c r="J2000" s="76"/>
      <c r="K2000" s="76"/>
      <c r="L2000" s="76"/>
      <c r="M2000" s="76"/>
      <c r="N2000" s="76"/>
      <c r="O2000" s="76"/>
      <c r="P2000" s="76"/>
      <c r="Q2000" s="76"/>
      <c r="R2000" s="76"/>
      <c r="S2000" s="76"/>
      <c r="T2000" s="76"/>
      <c r="U2000" s="76"/>
      <c r="V2000" s="76"/>
      <c r="W2000" s="76"/>
      <c r="X2000" s="76"/>
      <c r="Y2000" s="76"/>
      <c r="Z2000" s="76"/>
      <c r="AA2000" s="76"/>
      <c r="AB2000" s="76"/>
      <c r="AC2000" s="76"/>
      <c r="AD2000" s="76"/>
      <c r="AE2000" s="76"/>
      <c r="AF2000" s="76"/>
      <c r="AG2000" s="76"/>
      <c r="AH2000" s="76"/>
      <c r="AI2000" s="76"/>
      <c r="AJ2000" s="76"/>
      <c r="AK2000" s="76"/>
      <c r="AL2000" s="76"/>
      <c r="AM2000" s="76"/>
      <c r="AN2000" s="76"/>
      <c r="AO2000" s="76"/>
      <c r="AP2000" s="76"/>
      <c r="AQ2000" s="76"/>
      <c r="AR2000" s="76"/>
      <c r="AS2000" s="76"/>
      <c r="AT2000" s="76"/>
      <c r="AU2000" s="76"/>
      <c r="AV2000" s="76"/>
      <c r="AW2000" s="76"/>
      <c r="AX2000" s="76"/>
      <c r="AY2000" s="76"/>
      <c r="AZ2000" s="76"/>
      <c r="BA2000" s="76"/>
      <c r="BB2000" s="76"/>
    </row>
    <row r="2001" spans="5:54" x14ac:dyDescent="0.35">
      <c r="E2001" s="83"/>
      <c r="F2001" s="83"/>
      <c r="G2001" s="76"/>
      <c r="H2001" s="76"/>
      <c r="I2001" s="76"/>
      <c r="J2001" s="76"/>
      <c r="K2001" s="76"/>
      <c r="L2001" s="76"/>
      <c r="M2001" s="76"/>
      <c r="N2001" s="76"/>
      <c r="O2001" s="76"/>
      <c r="P2001" s="76"/>
      <c r="Q2001" s="76"/>
      <c r="R2001" s="76"/>
      <c r="S2001" s="76"/>
      <c r="T2001" s="76"/>
      <c r="U2001" s="76"/>
      <c r="V2001" s="76"/>
      <c r="W2001" s="76"/>
      <c r="X2001" s="76"/>
      <c r="Y2001" s="76"/>
      <c r="Z2001" s="76"/>
      <c r="AA2001" s="76"/>
      <c r="AB2001" s="76"/>
      <c r="AC2001" s="76"/>
      <c r="AD2001" s="76"/>
      <c r="AE2001" s="76"/>
      <c r="AF2001" s="76"/>
      <c r="AG2001" s="76"/>
      <c r="AH2001" s="76"/>
      <c r="AI2001" s="76"/>
      <c r="AJ2001" s="76"/>
      <c r="AK2001" s="76"/>
      <c r="AL2001" s="76"/>
      <c r="AM2001" s="76"/>
      <c r="AN2001" s="76"/>
      <c r="AO2001" s="76"/>
      <c r="AP2001" s="76"/>
      <c r="AQ2001" s="76"/>
      <c r="AR2001" s="76"/>
      <c r="AS2001" s="76"/>
      <c r="AT2001" s="76"/>
      <c r="AU2001" s="76"/>
      <c r="AV2001" s="76"/>
      <c r="AW2001" s="76"/>
      <c r="AX2001" s="76"/>
      <c r="AY2001" s="76"/>
      <c r="AZ2001" s="76"/>
      <c r="BA2001" s="76"/>
      <c r="BB2001" s="76"/>
    </row>
    <row r="2002" spans="5:54" x14ac:dyDescent="0.35">
      <c r="E2002" s="83"/>
      <c r="F2002" s="83"/>
      <c r="G2002" s="76"/>
      <c r="H2002" s="76"/>
      <c r="I2002" s="76"/>
      <c r="J2002" s="76"/>
      <c r="K2002" s="76"/>
      <c r="L2002" s="76"/>
      <c r="M2002" s="76"/>
      <c r="N2002" s="76"/>
      <c r="O2002" s="76"/>
      <c r="P2002" s="76"/>
      <c r="Q2002" s="76"/>
      <c r="R2002" s="76"/>
      <c r="S2002" s="76"/>
      <c r="T2002" s="76"/>
      <c r="U2002" s="76"/>
      <c r="V2002" s="76"/>
      <c r="W2002" s="76"/>
      <c r="X2002" s="76"/>
      <c r="Y2002" s="76"/>
      <c r="Z2002" s="76"/>
      <c r="AA2002" s="76"/>
      <c r="AB2002" s="76"/>
      <c r="AC2002" s="76"/>
      <c r="AD2002" s="76"/>
      <c r="AE2002" s="76"/>
      <c r="AF2002" s="76"/>
      <c r="AG2002" s="76"/>
      <c r="AH2002" s="76"/>
      <c r="AI2002" s="76"/>
      <c r="AJ2002" s="76"/>
      <c r="AK2002" s="76"/>
      <c r="AL2002" s="76"/>
      <c r="AM2002" s="76"/>
      <c r="AN2002" s="76"/>
      <c r="AO2002" s="76"/>
      <c r="AP2002" s="76"/>
      <c r="AQ2002" s="76"/>
      <c r="AR2002" s="76"/>
      <c r="AS2002" s="76"/>
      <c r="AT2002" s="76"/>
      <c r="AU2002" s="76"/>
      <c r="AV2002" s="76"/>
      <c r="AW2002" s="76"/>
      <c r="AX2002" s="76"/>
      <c r="AY2002" s="76"/>
      <c r="AZ2002" s="76"/>
      <c r="BA2002" s="76"/>
      <c r="BB2002" s="76"/>
    </row>
    <row r="2003" spans="5:54" x14ac:dyDescent="0.35">
      <c r="E2003" s="83"/>
      <c r="F2003" s="83"/>
      <c r="G2003" s="76"/>
      <c r="H2003" s="76"/>
      <c r="I2003" s="76"/>
      <c r="J2003" s="76"/>
      <c r="K2003" s="76"/>
      <c r="L2003" s="76"/>
      <c r="M2003" s="76"/>
      <c r="N2003" s="76"/>
      <c r="O2003" s="76"/>
      <c r="P2003" s="76"/>
      <c r="Q2003" s="76"/>
      <c r="R2003" s="76"/>
      <c r="S2003" s="76"/>
      <c r="T2003" s="76"/>
      <c r="U2003" s="76"/>
      <c r="V2003" s="76"/>
      <c r="W2003" s="76"/>
      <c r="X2003" s="76"/>
      <c r="Y2003" s="76"/>
      <c r="Z2003" s="76"/>
      <c r="AA2003" s="76"/>
      <c r="AB2003" s="76"/>
      <c r="AC2003" s="76"/>
      <c r="AD2003" s="76"/>
      <c r="AE2003" s="76"/>
      <c r="AF2003" s="76"/>
      <c r="AG2003" s="76"/>
      <c r="AH2003" s="76"/>
      <c r="AI2003" s="76"/>
      <c r="AJ2003" s="76"/>
      <c r="AK2003" s="76"/>
      <c r="AL2003" s="76"/>
      <c r="AM2003" s="76"/>
      <c r="AN2003" s="76"/>
      <c r="AO2003" s="76"/>
      <c r="AP2003" s="76"/>
      <c r="AQ2003" s="76"/>
      <c r="AR2003" s="76"/>
      <c r="AS2003" s="76"/>
      <c r="AT2003" s="76"/>
      <c r="AU2003" s="76"/>
      <c r="AV2003" s="76"/>
      <c r="AW2003" s="76"/>
      <c r="AX2003" s="76"/>
      <c r="AY2003" s="76"/>
      <c r="AZ2003" s="76"/>
      <c r="BA2003" s="76"/>
      <c r="BB2003" s="76"/>
    </row>
    <row r="2004" spans="5:54" x14ac:dyDescent="0.35">
      <c r="E2004" s="83"/>
      <c r="F2004" s="83"/>
      <c r="G2004" s="76"/>
      <c r="H2004" s="76"/>
      <c r="I2004" s="76"/>
      <c r="J2004" s="76"/>
      <c r="K2004" s="76"/>
      <c r="L2004" s="76"/>
      <c r="M2004" s="76"/>
      <c r="N2004" s="76"/>
      <c r="O2004" s="76"/>
      <c r="P2004" s="76"/>
      <c r="Q2004" s="76"/>
      <c r="R2004" s="76"/>
      <c r="S2004" s="76"/>
      <c r="T2004" s="76"/>
      <c r="U2004" s="76"/>
      <c r="V2004" s="76"/>
      <c r="W2004" s="76"/>
      <c r="X2004" s="76"/>
      <c r="Y2004" s="76"/>
      <c r="Z2004" s="76"/>
      <c r="AA2004" s="76"/>
      <c r="AB2004" s="76"/>
      <c r="AC2004" s="76"/>
      <c r="AD2004" s="76"/>
      <c r="AE2004" s="76"/>
      <c r="AF2004" s="76"/>
      <c r="AG2004" s="76"/>
      <c r="AH2004" s="76"/>
      <c r="AI2004" s="76"/>
      <c r="AJ2004" s="76"/>
      <c r="AK2004" s="76"/>
      <c r="AL2004" s="76"/>
      <c r="AM2004" s="76"/>
      <c r="AN2004" s="76"/>
      <c r="AO2004" s="76"/>
      <c r="AP2004" s="76"/>
      <c r="AQ2004" s="76"/>
      <c r="AR2004" s="76"/>
      <c r="AS2004" s="76"/>
      <c r="AT2004" s="76"/>
      <c r="AU2004" s="76"/>
      <c r="AV2004" s="76"/>
      <c r="AW2004" s="76"/>
      <c r="AX2004" s="76"/>
      <c r="AY2004" s="76"/>
      <c r="AZ2004" s="76"/>
      <c r="BA2004" s="76"/>
      <c r="BB2004" s="76"/>
    </row>
    <row r="2005" spans="5:54" x14ac:dyDescent="0.35">
      <c r="E2005" s="83"/>
      <c r="F2005" s="83"/>
      <c r="G2005" s="76"/>
      <c r="H2005" s="76"/>
      <c r="I2005" s="76"/>
      <c r="J2005" s="76"/>
      <c r="K2005" s="76"/>
      <c r="L2005" s="76"/>
      <c r="M2005" s="76"/>
      <c r="N2005" s="76"/>
      <c r="O2005" s="76"/>
      <c r="P2005" s="76"/>
      <c r="Q2005" s="76"/>
      <c r="R2005" s="76"/>
      <c r="S2005" s="76"/>
      <c r="T2005" s="76"/>
      <c r="U2005" s="76"/>
      <c r="V2005" s="76"/>
      <c r="W2005" s="76"/>
      <c r="X2005" s="76"/>
      <c r="Y2005" s="76"/>
      <c r="Z2005" s="76"/>
      <c r="AA2005" s="76"/>
      <c r="AB2005" s="76"/>
      <c r="AC2005" s="76"/>
      <c r="AD2005" s="76"/>
      <c r="AE2005" s="76"/>
      <c r="AF2005" s="76"/>
      <c r="AG2005" s="76"/>
      <c r="AH2005" s="76"/>
      <c r="AI2005" s="76"/>
      <c r="AJ2005" s="76"/>
      <c r="AK2005" s="76"/>
      <c r="AL2005" s="76"/>
      <c r="AM2005" s="76"/>
      <c r="AN2005" s="76"/>
      <c r="AO2005" s="76"/>
      <c r="AP2005" s="76"/>
      <c r="AQ2005" s="76"/>
      <c r="AR2005" s="76"/>
      <c r="AS2005" s="76"/>
      <c r="AT2005" s="76"/>
      <c r="AU2005" s="76"/>
      <c r="AV2005" s="76"/>
      <c r="AW2005" s="76"/>
      <c r="AX2005" s="76"/>
      <c r="AY2005" s="76"/>
      <c r="AZ2005" s="76"/>
      <c r="BA2005" s="76"/>
      <c r="BB2005" s="76"/>
    </row>
    <row r="2006" spans="5:54" x14ac:dyDescent="0.35">
      <c r="E2006" s="83"/>
      <c r="F2006" s="83"/>
      <c r="G2006" s="76"/>
      <c r="H2006" s="76"/>
      <c r="I2006" s="76"/>
      <c r="J2006" s="76"/>
      <c r="K2006" s="76"/>
      <c r="L2006" s="76"/>
      <c r="M2006" s="76"/>
      <c r="N2006" s="76"/>
      <c r="O2006" s="76"/>
      <c r="P2006" s="76"/>
      <c r="Q2006" s="76"/>
      <c r="R2006" s="76"/>
      <c r="S2006" s="76"/>
      <c r="T2006" s="76"/>
      <c r="U2006" s="76"/>
      <c r="V2006" s="76"/>
      <c r="W2006" s="76"/>
      <c r="X2006" s="76"/>
      <c r="Y2006" s="76"/>
      <c r="Z2006" s="76"/>
      <c r="AA2006" s="76"/>
      <c r="AB2006" s="76"/>
      <c r="AC2006" s="76"/>
      <c r="AD2006" s="76"/>
      <c r="AE2006" s="76"/>
      <c r="AF2006" s="76"/>
      <c r="AG2006" s="76"/>
      <c r="AH2006" s="76"/>
      <c r="AI2006" s="76"/>
      <c r="AJ2006" s="76"/>
      <c r="AK2006" s="76"/>
      <c r="AL2006" s="76"/>
      <c r="AM2006" s="76"/>
      <c r="AN2006" s="76"/>
      <c r="AO2006" s="76"/>
      <c r="AP2006" s="76"/>
      <c r="AQ2006" s="76"/>
      <c r="AR2006" s="76"/>
      <c r="AS2006" s="76"/>
      <c r="AT2006" s="76"/>
      <c r="AU2006" s="76"/>
      <c r="AV2006" s="76"/>
      <c r="AW2006" s="76"/>
      <c r="AX2006" s="76"/>
      <c r="AY2006" s="76"/>
      <c r="AZ2006" s="76"/>
      <c r="BA2006" s="76"/>
      <c r="BB2006" s="76"/>
    </row>
    <row r="2007" spans="5:54" x14ac:dyDescent="0.35">
      <c r="E2007" s="83"/>
      <c r="F2007" s="83"/>
      <c r="G2007" s="76"/>
      <c r="H2007" s="76"/>
      <c r="I2007" s="76"/>
      <c r="J2007" s="76"/>
      <c r="K2007" s="76"/>
      <c r="L2007" s="76"/>
      <c r="M2007" s="76"/>
      <c r="N2007" s="76"/>
      <c r="O2007" s="76"/>
      <c r="P2007" s="76"/>
      <c r="Q2007" s="76"/>
      <c r="R2007" s="76"/>
      <c r="S2007" s="76"/>
      <c r="T2007" s="76"/>
      <c r="U2007" s="76"/>
      <c r="V2007" s="76"/>
      <c r="W2007" s="76"/>
      <c r="X2007" s="76"/>
      <c r="Y2007" s="76"/>
      <c r="Z2007" s="76"/>
      <c r="AA2007" s="76"/>
      <c r="AB2007" s="76"/>
      <c r="AC2007" s="76"/>
      <c r="AD2007" s="76"/>
      <c r="AE2007" s="76"/>
      <c r="AF2007" s="76"/>
      <c r="AG2007" s="76"/>
      <c r="AH2007" s="76"/>
      <c r="AI2007" s="76"/>
      <c r="AJ2007" s="76"/>
      <c r="AK2007" s="76"/>
      <c r="AL2007" s="76"/>
      <c r="AM2007" s="76"/>
      <c r="AN2007" s="76"/>
      <c r="AO2007" s="76"/>
      <c r="AP2007" s="76"/>
      <c r="AQ2007" s="76"/>
      <c r="AR2007" s="76"/>
      <c r="AS2007" s="76"/>
      <c r="AT2007" s="76"/>
      <c r="AU2007" s="76"/>
      <c r="AV2007" s="76"/>
      <c r="AW2007" s="76"/>
      <c r="AX2007" s="76"/>
      <c r="AY2007" s="76"/>
      <c r="AZ2007" s="76"/>
      <c r="BA2007" s="76"/>
      <c r="BB2007" s="76"/>
    </row>
    <row r="2008" spans="5:54" x14ac:dyDescent="0.35">
      <c r="E2008" s="83"/>
      <c r="F2008" s="83"/>
      <c r="G2008" s="76"/>
      <c r="H2008" s="76"/>
      <c r="I2008" s="76"/>
      <c r="J2008" s="76"/>
      <c r="K2008" s="76"/>
      <c r="L2008" s="76"/>
      <c r="M2008" s="76"/>
      <c r="N2008" s="76"/>
      <c r="O2008" s="76"/>
      <c r="P2008" s="76"/>
      <c r="Q2008" s="76"/>
      <c r="R2008" s="76"/>
      <c r="S2008" s="76"/>
      <c r="T2008" s="76"/>
      <c r="U2008" s="76"/>
      <c r="V2008" s="76"/>
      <c r="W2008" s="76"/>
      <c r="X2008" s="76"/>
      <c r="Y2008" s="76"/>
      <c r="Z2008" s="76"/>
      <c r="AA2008" s="76"/>
      <c r="AB2008" s="76"/>
      <c r="AC2008" s="76"/>
      <c r="AD2008" s="76"/>
      <c r="AE2008" s="76"/>
      <c r="AF2008" s="76"/>
      <c r="AG2008" s="76"/>
      <c r="AH2008" s="76"/>
      <c r="AI2008" s="76"/>
      <c r="AJ2008" s="76"/>
      <c r="AK2008" s="76"/>
      <c r="AL2008" s="76"/>
      <c r="AM2008" s="76"/>
      <c r="AN2008" s="76"/>
      <c r="AO2008" s="76"/>
      <c r="AP2008" s="76"/>
      <c r="AQ2008" s="76"/>
      <c r="AR2008" s="76"/>
      <c r="AS2008" s="76"/>
      <c r="AT2008" s="76"/>
      <c r="AU2008" s="76"/>
      <c r="AV2008" s="76"/>
      <c r="AW2008" s="76"/>
      <c r="AX2008" s="76"/>
      <c r="AY2008" s="76"/>
      <c r="AZ2008" s="76"/>
      <c r="BA2008" s="76"/>
      <c r="BB2008" s="76"/>
    </row>
    <row r="2009" spans="5:54" x14ac:dyDescent="0.35">
      <c r="E2009" s="83"/>
      <c r="F2009" s="83"/>
      <c r="G2009" s="76"/>
      <c r="H2009" s="76"/>
      <c r="I2009" s="76"/>
      <c r="J2009" s="76"/>
      <c r="K2009" s="76"/>
      <c r="L2009" s="76"/>
      <c r="M2009" s="76"/>
      <c r="N2009" s="76"/>
      <c r="O2009" s="76"/>
      <c r="P2009" s="76"/>
      <c r="Q2009" s="76"/>
      <c r="R2009" s="76"/>
      <c r="S2009" s="76"/>
      <c r="T2009" s="76"/>
      <c r="U2009" s="76"/>
      <c r="V2009" s="76"/>
      <c r="W2009" s="76"/>
      <c r="X2009" s="76"/>
      <c r="Y2009" s="76"/>
      <c r="Z2009" s="76"/>
      <c r="AA2009" s="76"/>
      <c r="AB2009" s="76"/>
      <c r="AC2009" s="76"/>
      <c r="AD2009" s="76"/>
      <c r="AE2009" s="76"/>
      <c r="AF2009" s="76"/>
      <c r="AG2009" s="76"/>
      <c r="AH2009" s="76"/>
      <c r="AI2009" s="76"/>
      <c r="AJ2009" s="76"/>
      <c r="AK2009" s="76"/>
      <c r="AL2009" s="76"/>
      <c r="AM2009" s="76"/>
      <c r="AN2009" s="76"/>
      <c r="AO2009" s="76"/>
      <c r="AP2009" s="76"/>
      <c r="AQ2009" s="76"/>
      <c r="AR2009" s="76"/>
      <c r="AS2009" s="76"/>
      <c r="AT2009" s="76"/>
      <c r="AU2009" s="76"/>
      <c r="AV2009" s="76"/>
      <c r="AW2009" s="76"/>
      <c r="AX2009" s="76"/>
      <c r="AY2009" s="76"/>
      <c r="AZ2009" s="76"/>
      <c r="BA2009" s="76"/>
      <c r="BB2009" s="76"/>
    </row>
    <row r="2010" spans="5:54" x14ac:dyDescent="0.35">
      <c r="E2010" s="83"/>
      <c r="F2010" s="83"/>
      <c r="G2010" s="76"/>
      <c r="H2010" s="76"/>
      <c r="I2010" s="76"/>
      <c r="J2010" s="76"/>
      <c r="K2010" s="76"/>
      <c r="L2010" s="76"/>
      <c r="M2010" s="76"/>
      <c r="N2010" s="76"/>
      <c r="O2010" s="76"/>
      <c r="P2010" s="76"/>
      <c r="Q2010" s="76"/>
      <c r="R2010" s="76"/>
      <c r="S2010" s="76"/>
      <c r="T2010" s="76"/>
      <c r="U2010" s="76"/>
      <c r="V2010" s="76"/>
      <c r="W2010" s="76"/>
      <c r="X2010" s="76"/>
      <c r="Y2010" s="76"/>
      <c r="Z2010" s="76"/>
      <c r="AA2010" s="76"/>
      <c r="AB2010" s="76"/>
      <c r="AC2010" s="76"/>
      <c r="AD2010" s="76"/>
      <c r="AE2010" s="76"/>
      <c r="AF2010" s="76"/>
      <c r="AG2010" s="76"/>
      <c r="AH2010" s="76"/>
      <c r="AI2010" s="76"/>
      <c r="AJ2010" s="76"/>
      <c r="AK2010" s="76"/>
      <c r="AL2010" s="76"/>
      <c r="AM2010" s="76"/>
      <c r="AN2010" s="76"/>
      <c r="AO2010" s="76"/>
      <c r="AP2010" s="76"/>
      <c r="AQ2010" s="76"/>
      <c r="AR2010" s="76"/>
      <c r="AS2010" s="76"/>
      <c r="AT2010" s="76"/>
      <c r="AU2010" s="76"/>
      <c r="AV2010" s="76"/>
      <c r="AW2010" s="76"/>
      <c r="AX2010" s="76"/>
      <c r="AY2010" s="76"/>
      <c r="AZ2010" s="76"/>
      <c r="BA2010" s="76"/>
      <c r="BB2010" s="76"/>
    </row>
    <row r="2011" spans="5:54" x14ac:dyDescent="0.35">
      <c r="E2011" s="83"/>
      <c r="F2011" s="83"/>
      <c r="G2011" s="76"/>
      <c r="H2011" s="76"/>
      <c r="I2011" s="76"/>
      <c r="J2011" s="76"/>
      <c r="K2011" s="76"/>
      <c r="L2011" s="76"/>
      <c r="M2011" s="76"/>
      <c r="N2011" s="76"/>
      <c r="O2011" s="76"/>
      <c r="P2011" s="76"/>
      <c r="Q2011" s="76"/>
      <c r="R2011" s="76"/>
      <c r="S2011" s="76"/>
      <c r="T2011" s="76"/>
      <c r="U2011" s="76"/>
      <c r="V2011" s="76"/>
      <c r="W2011" s="76"/>
      <c r="X2011" s="76"/>
      <c r="Y2011" s="76"/>
      <c r="Z2011" s="76"/>
      <c r="AA2011" s="76"/>
      <c r="AB2011" s="76"/>
      <c r="AC2011" s="76"/>
      <c r="AD2011" s="76"/>
      <c r="AE2011" s="76"/>
      <c r="AF2011" s="76"/>
      <c r="AG2011" s="76"/>
      <c r="AH2011" s="76"/>
      <c r="AI2011" s="76"/>
      <c r="AJ2011" s="76"/>
      <c r="AK2011" s="76"/>
      <c r="AL2011" s="76"/>
      <c r="AM2011" s="76"/>
      <c r="AN2011" s="76"/>
      <c r="AO2011" s="76"/>
      <c r="AP2011" s="76"/>
      <c r="AQ2011" s="76"/>
      <c r="AR2011" s="76"/>
      <c r="AS2011" s="76"/>
      <c r="AT2011" s="76"/>
      <c r="AU2011" s="76"/>
      <c r="AV2011" s="76"/>
      <c r="AW2011" s="76"/>
      <c r="AX2011" s="76"/>
      <c r="AY2011" s="76"/>
      <c r="AZ2011" s="76"/>
      <c r="BA2011" s="76"/>
      <c r="BB2011" s="76"/>
    </row>
    <row r="2012" spans="5:54" x14ac:dyDescent="0.35">
      <c r="E2012" s="83"/>
      <c r="F2012" s="83"/>
      <c r="G2012" s="76"/>
      <c r="H2012" s="76"/>
      <c r="I2012" s="76"/>
      <c r="J2012" s="76"/>
      <c r="K2012" s="76"/>
      <c r="L2012" s="76"/>
      <c r="M2012" s="76"/>
      <c r="N2012" s="76"/>
      <c r="O2012" s="76"/>
      <c r="P2012" s="76"/>
      <c r="Q2012" s="76"/>
      <c r="R2012" s="76"/>
      <c r="S2012" s="76"/>
      <c r="T2012" s="76"/>
      <c r="U2012" s="76"/>
      <c r="V2012" s="76"/>
      <c r="W2012" s="76"/>
      <c r="X2012" s="76"/>
      <c r="Y2012" s="76"/>
      <c r="Z2012" s="76"/>
      <c r="AA2012" s="76"/>
      <c r="AB2012" s="76"/>
      <c r="AC2012" s="76"/>
      <c r="AD2012" s="76"/>
      <c r="AE2012" s="76"/>
      <c r="AF2012" s="76"/>
      <c r="AG2012" s="76"/>
      <c r="AH2012" s="76"/>
      <c r="AI2012" s="76"/>
      <c r="AJ2012" s="76"/>
      <c r="AK2012" s="76"/>
      <c r="AL2012" s="76"/>
      <c r="AM2012" s="76"/>
      <c r="AN2012" s="76"/>
      <c r="AO2012" s="76"/>
      <c r="AP2012" s="76"/>
      <c r="AQ2012" s="76"/>
      <c r="AR2012" s="76"/>
      <c r="AS2012" s="76"/>
      <c r="AT2012" s="76"/>
      <c r="AU2012" s="76"/>
      <c r="AV2012" s="76"/>
      <c r="AW2012" s="76"/>
      <c r="AX2012" s="76"/>
      <c r="AY2012" s="76"/>
      <c r="AZ2012" s="76"/>
      <c r="BA2012" s="76"/>
      <c r="BB2012" s="76"/>
    </row>
    <row r="2013" spans="5:54" x14ac:dyDescent="0.35">
      <c r="E2013" s="83"/>
      <c r="F2013" s="83"/>
      <c r="G2013" s="76"/>
      <c r="H2013" s="76"/>
      <c r="I2013" s="76"/>
      <c r="J2013" s="76"/>
      <c r="K2013" s="76"/>
      <c r="L2013" s="76"/>
      <c r="M2013" s="76"/>
      <c r="N2013" s="76"/>
      <c r="O2013" s="76"/>
      <c r="P2013" s="76"/>
      <c r="Q2013" s="76"/>
      <c r="R2013" s="76"/>
      <c r="S2013" s="76"/>
      <c r="T2013" s="76"/>
      <c r="U2013" s="76"/>
      <c r="V2013" s="76"/>
      <c r="W2013" s="76"/>
      <c r="X2013" s="76"/>
      <c r="Y2013" s="76"/>
      <c r="Z2013" s="76"/>
      <c r="AA2013" s="76"/>
      <c r="AB2013" s="76"/>
      <c r="AC2013" s="76"/>
      <c r="AD2013" s="76"/>
      <c r="AE2013" s="76"/>
      <c r="AF2013" s="76"/>
      <c r="AG2013" s="76"/>
      <c r="AH2013" s="76"/>
      <c r="AI2013" s="76"/>
      <c r="AJ2013" s="76"/>
      <c r="AK2013" s="76"/>
      <c r="AL2013" s="76"/>
      <c r="AM2013" s="76"/>
      <c r="AN2013" s="76"/>
      <c r="AO2013" s="76"/>
      <c r="AP2013" s="76"/>
      <c r="AQ2013" s="76"/>
      <c r="AR2013" s="76"/>
      <c r="AS2013" s="76"/>
      <c r="AT2013" s="76"/>
      <c r="AU2013" s="76"/>
      <c r="AV2013" s="76"/>
      <c r="AW2013" s="76"/>
      <c r="AX2013" s="76"/>
      <c r="AY2013" s="76"/>
      <c r="AZ2013" s="76"/>
      <c r="BA2013" s="76"/>
      <c r="BB2013" s="76"/>
    </row>
    <row r="2014" spans="5:54" x14ac:dyDescent="0.35">
      <c r="E2014" s="83"/>
      <c r="F2014" s="83"/>
      <c r="G2014" s="76"/>
      <c r="H2014" s="76"/>
      <c r="I2014" s="76"/>
      <c r="J2014" s="76"/>
      <c r="K2014" s="76"/>
      <c r="L2014" s="76"/>
      <c r="M2014" s="76"/>
      <c r="N2014" s="76"/>
      <c r="O2014" s="76"/>
      <c r="P2014" s="76"/>
      <c r="Q2014" s="76"/>
      <c r="R2014" s="76"/>
      <c r="S2014" s="76"/>
      <c r="T2014" s="76"/>
      <c r="U2014" s="76"/>
      <c r="V2014" s="76"/>
      <c r="W2014" s="76"/>
      <c r="X2014" s="76"/>
      <c r="Y2014" s="76"/>
      <c r="Z2014" s="76"/>
      <c r="AA2014" s="76"/>
      <c r="AB2014" s="76"/>
      <c r="AC2014" s="76"/>
      <c r="AD2014" s="76"/>
      <c r="AE2014" s="76"/>
      <c r="AF2014" s="76"/>
      <c r="AG2014" s="76"/>
      <c r="AH2014" s="76"/>
      <c r="AI2014" s="76"/>
      <c r="AJ2014" s="76"/>
      <c r="AK2014" s="76"/>
      <c r="AL2014" s="76"/>
      <c r="AM2014" s="76"/>
      <c r="AN2014" s="76"/>
      <c r="AO2014" s="76"/>
      <c r="AP2014" s="76"/>
      <c r="AQ2014" s="76"/>
      <c r="AR2014" s="76"/>
      <c r="AS2014" s="76"/>
      <c r="AT2014" s="76"/>
      <c r="AU2014" s="76"/>
      <c r="AV2014" s="76"/>
      <c r="AW2014" s="76"/>
      <c r="AX2014" s="76"/>
      <c r="AY2014" s="76"/>
      <c r="AZ2014" s="76"/>
      <c r="BA2014" s="76"/>
      <c r="BB2014" s="76"/>
    </row>
    <row r="2015" spans="5:54" x14ac:dyDescent="0.35">
      <c r="E2015" s="83"/>
      <c r="F2015" s="83"/>
      <c r="G2015" s="76"/>
      <c r="H2015" s="76"/>
      <c r="I2015" s="76"/>
      <c r="J2015" s="76"/>
      <c r="K2015" s="76"/>
      <c r="L2015" s="76"/>
      <c r="M2015" s="76"/>
      <c r="N2015" s="76"/>
      <c r="O2015" s="76"/>
      <c r="P2015" s="76"/>
      <c r="Q2015" s="76"/>
      <c r="R2015" s="76"/>
      <c r="S2015" s="76"/>
      <c r="T2015" s="76"/>
      <c r="U2015" s="76"/>
      <c r="V2015" s="76"/>
      <c r="W2015" s="76"/>
      <c r="X2015" s="76"/>
      <c r="Y2015" s="76"/>
      <c r="Z2015" s="76"/>
      <c r="AA2015" s="76"/>
      <c r="AB2015" s="76"/>
      <c r="AC2015" s="76"/>
      <c r="AD2015" s="76"/>
      <c r="AE2015" s="76"/>
      <c r="AF2015" s="76"/>
      <c r="AG2015" s="76"/>
      <c r="AH2015" s="76"/>
      <c r="AI2015" s="76"/>
      <c r="AJ2015" s="76"/>
      <c r="AK2015" s="76"/>
      <c r="AL2015" s="76"/>
      <c r="AM2015" s="76"/>
      <c r="AN2015" s="76"/>
      <c r="AO2015" s="76"/>
      <c r="AP2015" s="76"/>
      <c r="AQ2015" s="76"/>
      <c r="AR2015" s="76"/>
      <c r="AS2015" s="76"/>
      <c r="AT2015" s="76"/>
      <c r="AU2015" s="76"/>
      <c r="AV2015" s="76"/>
      <c r="AW2015" s="76"/>
      <c r="AX2015" s="76"/>
      <c r="AY2015" s="76"/>
      <c r="AZ2015" s="76"/>
      <c r="BA2015" s="76"/>
      <c r="BB2015" s="76"/>
    </row>
    <row r="2016" spans="5:54" x14ac:dyDescent="0.35">
      <c r="E2016" s="83"/>
      <c r="F2016" s="83"/>
      <c r="G2016" s="76"/>
      <c r="H2016" s="76"/>
      <c r="I2016" s="76"/>
      <c r="J2016" s="76"/>
      <c r="K2016" s="76"/>
      <c r="L2016" s="76"/>
      <c r="M2016" s="76"/>
      <c r="N2016" s="76"/>
      <c r="O2016" s="76"/>
      <c r="P2016" s="76"/>
      <c r="Q2016" s="76"/>
      <c r="R2016" s="76"/>
      <c r="S2016" s="76"/>
      <c r="T2016" s="76"/>
      <c r="U2016" s="76"/>
      <c r="V2016" s="76"/>
      <c r="W2016" s="76"/>
      <c r="X2016" s="76"/>
      <c r="Y2016" s="76"/>
      <c r="Z2016" s="76"/>
      <c r="AA2016" s="76"/>
      <c r="AB2016" s="76"/>
      <c r="AC2016" s="76"/>
      <c r="AD2016" s="76"/>
      <c r="AE2016" s="76"/>
      <c r="AF2016" s="76"/>
      <c r="AG2016" s="76"/>
      <c r="AH2016" s="76"/>
      <c r="AI2016" s="76"/>
      <c r="AJ2016" s="76"/>
      <c r="AK2016" s="76"/>
      <c r="AL2016" s="76"/>
      <c r="AM2016" s="76"/>
      <c r="AN2016" s="76"/>
      <c r="AO2016" s="76"/>
      <c r="AP2016" s="76"/>
      <c r="AQ2016" s="76"/>
      <c r="AR2016" s="76"/>
      <c r="AS2016" s="76"/>
      <c r="AT2016" s="76"/>
      <c r="AU2016" s="76"/>
      <c r="AV2016" s="76"/>
      <c r="AW2016" s="76"/>
      <c r="AX2016" s="76"/>
      <c r="AY2016" s="76"/>
      <c r="AZ2016" s="76"/>
      <c r="BA2016" s="76"/>
      <c r="BB2016" s="76"/>
    </row>
    <row r="2017" spans="5:54" x14ac:dyDescent="0.35">
      <c r="E2017" s="83"/>
      <c r="F2017" s="83"/>
      <c r="G2017" s="76"/>
      <c r="H2017" s="76"/>
      <c r="I2017" s="76"/>
      <c r="J2017" s="76"/>
      <c r="K2017" s="76"/>
      <c r="L2017" s="76"/>
      <c r="M2017" s="76"/>
      <c r="N2017" s="76"/>
      <c r="O2017" s="76"/>
      <c r="P2017" s="76"/>
      <c r="Q2017" s="76"/>
      <c r="R2017" s="76"/>
      <c r="S2017" s="76"/>
      <c r="T2017" s="76"/>
      <c r="U2017" s="76"/>
      <c r="V2017" s="76"/>
      <c r="W2017" s="76"/>
      <c r="X2017" s="76"/>
      <c r="Y2017" s="76"/>
      <c r="Z2017" s="76"/>
      <c r="AA2017" s="76"/>
      <c r="AB2017" s="76"/>
      <c r="AC2017" s="76"/>
      <c r="AD2017" s="76"/>
      <c r="AE2017" s="76"/>
      <c r="AF2017" s="76"/>
      <c r="AG2017" s="76"/>
      <c r="AH2017" s="76"/>
      <c r="AI2017" s="76"/>
      <c r="AJ2017" s="76"/>
      <c r="AK2017" s="76"/>
      <c r="AL2017" s="76"/>
      <c r="AM2017" s="76"/>
      <c r="AN2017" s="76"/>
      <c r="AO2017" s="76"/>
      <c r="AP2017" s="76"/>
      <c r="AQ2017" s="76"/>
      <c r="AR2017" s="76"/>
      <c r="AS2017" s="76"/>
      <c r="AT2017" s="76"/>
      <c r="AU2017" s="76"/>
      <c r="AV2017" s="76"/>
      <c r="AW2017" s="76"/>
      <c r="AX2017" s="76"/>
      <c r="AY2017" s="76"/>
      <c r="AZ2017" s="76"/>
      <c r="BA2017" s="76"/>
      <c r="BB2017" s="76"/>
    </row>
    <row r="2018" spans="5:54" x14ac:dyDescent="0.35">
      <c r="E2018" s="83"/>
      <c r="F2018" s="83"/>
      <c r="G2018" s="76"/>
      <c r="H2018" s="76"/>
      <c r="I2018" s="76"/>
      <c r="J2018" s="76"/>
      <c r="K2018" s="76"/>
      <c r="L2018" s="76"/>
      <c r="M2018" s="76"/>
      <c r="N2018" s="76"/>
      <c r="O2018" s="76"/>
      <c r="P2018" s="76"/>
      <c r="Q2018" s="76"/>
      <c r="R2018" s="76"/>
      <c r="S2018" s="76"/>
      <c r="T2018" s="76"/>
      <c r="U2018" s="76"/>
      <c r="V2018" s="76"/>
      <c r="W2018" s="76"/>
      <c r="X2018" s="76"/>
      <c r="Y2018" s="76"/>
      <c r="Z2018" s="76"/>
      <c r="AA2018" s="76"/>
      <c r="AB2018" s="76"/>
      <c r="AC2018" s="76"/>
      <c r="AD2018" s="76"/>
      <c r="AE2018" s="76"/>
      <c r="AF2018" s="76"/>
      <c r="AG2018" s="76"/>
      <c r="AH2018" s="76"/>
      <c r="AI2018" s="76"/>
      <c r="AJ2018" s="76"/>
      <c r="AK2018" s="76"/>
      <c r="AL2018" s="76"/>
      <c r="AM2018" s="76"/>
      <c r="AN2018" s="76"/>
      <c r="AO2018" s="76"/>
      <c r="AP2018" s="76"/>
      <c r="AQ2018" s="76"/>
      <c r="AR2018" s="76"/>
      <c r="AS2018" s="76"/>
      <c r="AT2018" s="76"/>
      <c r="AU2018" s="76"/>
      <c r="AV2018" s="76"/>
      <c r="AW2018" s="76"/>
      <c r="AX2018" s="76"/>
      <c r="AY2018" s="76"/>
      <c r="AZ2018" s="76"/>
      <c r="BA2018" s="76"/>
      <c r="BB2018" s="76"/>
    </row>
    <row r="2019" spans="5:54" x14ac:dyDescent="0.35">
      <c r="E2019" s="83"/>
      <c r="F2019" s="83"/>
      <c r="G2019" s="76"/>
      <c r="H2019" s="76"/>
      <c r="I2019" s="76"/>
      <c r="J2019" s="76"/>
      <c r="K2019" s="76"/>
      <c r="L2019" s="76"/>
      <c r="M2019" s="76"/>
      <c r="N2019" s="76"/>
      <c r="O2019" s="76"/>
      <c r="P2019" s="76"/>
      <c r="Q2019" s="76"/>
      <c r="R2019" s="76"/>
      <c r="S2019" s="76"/>
      <c r="T2019" s="76"/>
      <c r="U2019" s="76"/>
      <c r="V2019" s="76"/>
      <c r="W2019" s="76"/>
      <c r="X2019" s="76"/>
      <c r="Y2019" s="76"/>
      <c r="Z2019" s="76"/>
      <c r="AA2019" s="76"/>
      <c r="AB2019" s="76"/>
      <c r="AC2019" s="76"/>
      <c r="AD2019" s="76"/>
      <c r="AE2019" s="76"/>
      <c r="AF2019" s="76"/>
      <c r="AG2019" s="76"/>
      <c r="AH2019" s="76"/>
      <c r="AI2019" s="76"/>
      <c r="AJ2019" s="76"/>
      <c r="AK2019" s="76"/>
      <c r="AL2019" s="76"/>
      <c r="AM2019" s="76"/>
      <c r="AN2019" s="76"/>
      <c r="AO2019" s="76"/>
      <c r="AP2019" s="76"/>
      <c r="AQ2019" s="76"/>
      <c r="AR2019" s="76"/>
      <c r="AS2019" s="76"/>
      <c r="AT2019" s="76"/>
      <c r="AU2019" s="76"/>
      <c r="AV2019" s="76"/>
      <c r="AW2019" s="76"/>
      <c r="AX2019" s="76"/>
      <c r="AY2019" s="76"/>
      <c r="AZ2019" s="76"/>
      <c r="BA2019" s="76"/>
      <c r="BB2019" s="76"/>
    </row>
    <row r="2020" spans="5:54" x14ac:dyDescent="0.35">
      <c r="E2020" s="83"/>
      <c r="F2020" s="83"/>
      <c r="G2020" s="76"/>
      <c r="H2020" s="76"/>
      <c r="I2020" s="76"/>
      <c r="J2020" s="76"/>
      <c r="K2020" s="76"/>
      <c r="L2020" s="76"/>
      <c r="M2020" s="76"/>
      <c r="N2020" s="76"/>
      <c r="O2020" s="76"/>
      <c r="P2020" s="76"/>
      <c r="Q2020" s="76"/>
      <c r="R2020" s="76"/>
      <c r="S2020" s="76"/>
      <c r="T2020" s="76"/>
      <c r="U2020" s="76"/>
      <c r="V2020" s="76"/>
      <c r="W2020" s="76"/>
      <c r="X2020" s="76"/>
      <c r="Y2020" s="76"/>
      <c r="Z2020" s="76"/>
      <c r="AA2020" s="76"/>
      <c r="AB2020" s="76"/>
      <c r="AC2020" s="76"/>
      <c r="AD2020" s="76"/>
      <c r="AE2020" s="76"/>
      <c r="AF2020" s="76"/>
      <c r="AG2020" s="76"/>
      <c r="AH2020" s="76"/>
      <c r="AI2020" s="76"/>
      <c r="AJ2020" s="76"/>
      <c r="AK2020" s="76"/>
      <c r="AL2020" s="76"/>
      <c r="AM2020" s="76"/>
      <c r="AN2020" s="76"/>
      <c r="AO2020" s="76"/>
      <c r="AP2020" s="76"/>
      <c r="AQ2020" s="76"/>
      <c r="AR2020" s="76"/>
      <c r="AS2020" s="76"/>
      <c r="AT2020" s="76"/>
      <c r="AU2020" s="76"/>
      <c r="AV2020" s="76"/>
      <c r="AW2020" s="76"/>
      <c r="AX2020" s="76"/>
      <c r="AY2020" s="76"/>
      <c r="AZ2020" s="76"/>
      <c r="BA2020" s="76"/>
      <c r="BB2020" s="76"/>
    </row>
    <row r="2021" spans="5:54" x14ac:dyDescent="0.35">
      <c r="E2021" s="83"/>
      <c r="F2021" s="83"/>
      <c r="G2021" s="76"/>
      <c r="H2021" s="76"/>
      <c r="I2021" s="76"/>
      <c r="J2021" s="76"/>
      <c r="K2021" s="76"/>
      <c r="L2021" s="76"/>
      <c r="M2021" s="76"/>
      <c r="N2021" s="76"/>
      <c r="O2021" s="76"/>
      <c r="P2021" s="76"/>
      <c r="Q2021" s="76"/>
      <c r="R2021" s="76"/>
      <c r="S2021" s="76"/>
      <c r="T2021" s="76"/>
      <c r="U2021" s="76"/>
      <c r="V2021" s="76"/>
      <c r="W2021" s="76"/>
      <c r="X2021" s="76"/>
      <c r="Y2021" s="76"/>
      <c r="Z2021" s="76"/>
      <c r="AA2021" s="76"/>
      <c r="AB2021" s="76"/>
      <c r="AC2021" s="76"/>
      <c r="AD2021" s="76"/>
      <c r="AE2021" s="76"/>
      <c r="AF2021" s="76"/>
      <c r="AG2021" s="76"/>
      <c r="AH2021" s="76"/>
      <c r="AI2021" s="76"/>
      <c r="AJ2021" s="76"/>
      <c r="AK2021" s="76"/>
      <c r="AL2021" s="76"/>
      <c r="AM2021" s="76"/>
      <c r="AN2021" s="76"/>
      <c r="AO2021" s="76"/>
      <c r="AP2021" s="76"/>
      <c r="AQ2021" s="76"/>
      <c r="AR2021" s="76"/>
      <c r="AS2021" s="76"/>
      <c r="AT2021" s="76"/>
      <c r="AU2021" s="76"/>
      <c r="AV2021" s="76"/>
      <c r="AW2021" s="76"/>
      <c r="AX2021" s="76"/>
      <c r="AY2021" s="76"/>
      <c r="AZ2021" s="76"/>
      <c r="BA2021" s="76"/>
      <c r="BB2021" s="76"/>
    </row>
    <row r="2022" spans="5:54" x14ac:dyDescent="0.35">
      <c r="E2022" s="83"/>
      <c r="F2022" s="83"/>
      <c r="G2022" s="76"/>
      <c r="H2022" s="76"/>
      <c r="I2022" s="76"/>
      <c r="J2022" s="76"/>
      <c r="K2022" s="76"/>
      <c r="L2022" s="76"/>
      <c r="M2022" s="76"/>
      <c r="N2022" s="76"/>
      <c r="O2022" s="76"/>
      <c r="P2022" s="76"/>
      <c r="Q2022" s="76"/>
      <c r="R2022" s="76"/>
      <c r="S2022" s="76"/>
      <c r="T2022" s="76"/>
      <c r="U2022" s="76"/>
      <c r="V2022" s="76"/>
      <c r="W2022" s="76"/>
      <c r="X2022" s="76"/>
      <c r="Y2022" s="76"/>
      <c r="Z2022" s="76"/>
      <c r="AA2022" s="76"/>
      <c r="AB2022" s="76"/>
      <c r="AC2022" s="76"/>
      <c r="AD2022" s="76"/>
      <c r="AE2022" s="76"/>
      <c r="AF2022" s="76"/>
      <c r="AG2022" s="76"/>
      <c r="AH2022" s="76"/>
      <c r="AI2022" s="76"/>
      <c r="AJ2022" s="76"/>
      <c r="AK2022" s="76"/>
      <c r="AL2022" s="76"/>
      <c r="AM2022" s="76"/>
      <c r="AN2022" s="76"/>
      <c r="AO2022" s="76"/>
      <c r="AP2022" s="76"/>
      <c r="AQ2022" s="76"/>
      <c r="AR2022" s="76"/>
      <c r="AS2022" s="76"/>
      <c r="AT2022" s="76"/>
      <c r="AU2022" s="76"/>
      <c r="AV2022" s="76"/>
      <c r="AW2022" s="76"/>
      <c r="AX2022" s="76"/>
      <c r="AY2022" s="76"/>
      <c r="AZ2022" s="76"/>
      <c r="BA2022" s="76"/>
      <c r="BB2022" s="76"/>
    </row>
    <row r="2023" spans="5:54" x14ac:dyDescent="0.35">
      <c r="E2023" s="83"/>
      <c r="F2023" s="83"/>
      <c r="G2023" s="76"/>
      <c r="H2023" s="76"/>
      <c r="I2023" s="76"/>
      <c r="J2023" s="76"/>
      <c r="K2023" s="76"/>
      <c r="L2023" s="76"/>
      <c r="M2023" s="76"/>
      <c r="N2023" s="76"/>
      <c r="O2023" s="76"/>
      <c r="P2023" s="76"/>
      <c r="Q2023" s="76"/>
      <c r="R2023" s="76"/>
      <c r="S2023" s="76"/>
      <c r="T2023" s="76"/>
      <c r="U2023" s="76"/>
      <c r="V2023" s="76"/>
      <c r="W2023" s="76"/>
      <c r="X2023" s="76"/>
      <c r="Y2023" s="76"/>
      <c r="Z2023" s="76"/>
      <c r="AA2023" s="76"/>
      <c r="AB2023" s="76"/>
      <c r="AC2023" s="76"/>
      <c r="AD2023" s="76"/>
      <c r="AE2023" s="76"/>
      <c r="AF2023" s="76"/>
      <c r="AG2023" s="76"/>
      <c r="AH2023" s="76"/>
      <c r="AI2023" s="76"/>
      <c r="AJ2023" s="76"/>
      <c r="AK2023" s="76"/>
      <c r="AL2023" s="76"/>
      <c r="AM2023" s="76"/>
      <c r="AN2023" s="76"/>
      <c r="AO2023" s="76"/>
      <c r="AP2023" s="76"/>
      <c r="AQ2023" s="76"/>
      <c r="AR2023" s="76"/>
      <c r="AS2023" s="76"/>
      <c r="AT2023" s="76"/>
      <c r="AU2023" s="76"/>
      <c r="AV2023" s="76"/>
      <c r="AW2023" s="76"/>
      <c r="AX2023" s="76"/>
      <c r="AY2023" s="76"/>
      <c r="AZ2023" s="76"/>
      <c r="BA2023" s="76"/>
      <c r="BB2023" s="76"/>
    </row>
    <row r="2024" spans="5:54" x14ac:dyDescent="0.35">
      <c r="E2024" s="83"/>
      <c r="F2024" s="83"/>
      <c r="G2024" s="76"/>
      <c r="H2024" s="76"/>
      <c r="I2024" s="76"/>
      <c r="J2024" s="76"/>
      <c r="K2024" s="76"/>
      <c r="L2024" s="76"/>
      <c r="M2024" s="76"/>
      <c r="N2024" s="76"/>
      <c r="O2024" s="76"/>
      <c r="P2024" s="76"/>
      <c r="Q2024" s="76"/>
      <c r="R2024" s="76"/>
      <c r="S2024" s="76"/>
      <c r="T2024" s="76"/>
      <c r="U2024" s="76"/>
      <c r="V2024" s="76"/>
      <c r="W2024" s="76"/>
      <c r="X2024" s="76"/>
      <c r="Y2024" s="76"/>
      <c r="Z2024" s="76"/>
      <c r="AA2024" s="76"/>
      <c r="AB2024" s="76"/>
      <c r="AC2024" s="76"/>
      <c r="AD2024" s="76"/>
      <c r="AE2024" s="76"/>
      <c r="AF2024" s="76"/>
      <c r="AG2024" s="76"/>
      <c r="AH2024" s="76"/>
      <c r="AI2024" s="76"/>
      <c r="AJ2024" s="76"/>
      <c r="AK2024" s="76"/>
      <c r="AL2024" s="76"/>
      <c r="AM2024" s="76"/>
      <c r="AN2024" s="76"/>
      <c r="AO2024" s="76"/>
      <c r="AP2024" s="76"/>
      <c r="AQ2024" s="76"/>
      <c r="AR2024" s="76"/>
      <c r="AS2024" s="76"/>
      <c r="AT2024" s="76"/>
      <c r="AU2024" s="76"/>
      <c r="AV2024" s="76"/>
      <c r="AW2024" s="76"/>
      <c r="AX2024" s="76"/>
      <c r="AY2024" s="76"/>
      <c r="AZ2024" s="76"/>
      <c r="BA2024" s="76"/>
      <c r="BB2024" s="76"/>
    </row>
    <row r="2025" spans="5:54" x14ac:dyDescent="0.35">
      <c r="E2025" s="83"/>
      <c r="F2025" s="83"/>
      <c r="G2025" s="76"/>
      <c r="H2025" s="76"/>
      <c r="I2025" s="76"/>
      <c r="J2025" s="76"/>
      <c r="K2025" s="76"/>
      <c r="L2025" s="76"/>
      <c r="M2025" s="76"/>
      <c r="N2025" s="76"/>
      <c r="O2025" s="76"/>
      <c r="P2025" s="76"/>
      <c r="Q2025" s="76"/>
      <c r="R2025" s="76"/>
      <c r="S2025" s="76"/>
      <c r="T2025" s="76"/>
      <c r="U2025" s="76"/>
      <c r="V2025" s="76"/>
      <c r="W2025" s="76"/>
      <c r="X2025" s="76"/>
      <c r="Y2025" s="76"/>
      <c r="Z2025" s="76"/>
      <c r="AA2025" s="76"/>
      <c r="AB2025" s="76"/>
      <c r="AC2025" s="76"/>
      <c r="AD2025" s="76"/>
      <c r="AE2025" s="76"/>
      <c r="AF2025" s="76"/>
      <c r="AG2025" s="76"/>
      <c r="AH2025" s="76"/>
      <c r="AI2025" s="76"/>
      <c r="AJ2025" s="76"/>
      <c r="AK2025" s="76"/>
      <c r="AL2025" s="76"/>
      <c r="AM2025" s="76"/>
      <c r="AN2025" s="76"/>
      <c r="AO2025" s="76"/>
      <c r="AP2025" s="76"/>
      <c r="AQ2025" s="76"/>
      <c r="AR2025" s="76"/>
      <c r="AS2025" s="76"/>
      <c r="AT2025" s="76"/>
      <c r="AU2025" s="76"/>
      <c r="AV2025" s="76"/>
      <c r="AW2025" s="76"/>
      <c r="AX2025" s="76"/>
      <c r="AY2025" s="76"/>
      <c r="AZ2025" s="76"/>
      <c r="BA2025" s="76"/>
      <c r="BB2025" s="76"/>
    </row>
    <row r="2026" spans="5:54" x14ac:dyDescent="0.35">
      <c r="E2026" s="83"/>
      <c r="F2026" s="83"/>
      <c r="G2026" s="76"/>
      <c r="H2026" s="76"/>
      <c r="I2026" s="76"/>
      <c r="J2026" s="76"/>
      <c r="K2026" s="76"/>
      <c r="L2026" s="76"/>
      <c r="M2026" s="76"/>
      <c r="N2026" s="76"/>
      <c r="O2026" s="76"/>
      <c r="P2026" s="76"/>
      <c r="Q2026" s="76"/>
      <c r="R2026" s="76"/>
      <c r="S2026" s="76"/>
      <c r="T2026" s="76"/>
      <c r="U2026" s="76"/>
      <c r="V2026" s="76"/>
      <c r="W2026" s="76"/>
      <c r="X2026" s="76"/>
      <c r="Y2026" s="76"/>
      <c r="Z2026" s="76"/>
      <c r="AA2026" s="76"/>
      <c r="AB2026" s="76"/>
      <c r="AC2026" s="76"/>
      <c r="AD2026" s="76"/>
      <c r="AE2026" s="76"/>
      <c r="AF2026" s="76"/>
      <c r="AG2026" s="76"/>
      <c r="AH2026" s="76"/>
      <c r="AI2026" s="76"/>
      <c r="AJ2026" s="76"/>
      <c r="AK2026" s="76"/>
      <c r="AL2026" s="76"/>
      <c r="AM2026" s="76"/>
      <c r="AN2026" s="76"/>
      <c r="AO2026" s="76"/>
      <c r="AP2026" s="76"/>
      <c r="AQ2026" s="76"/>
      <c r="AR2026" s="76"/>
      <c r="AS2026" s="76"/>
      <c r="AT2026" s="76"/>
      <c r="AU2026" s="76"/>
      <c r="AV2026" s="76"/>
      <c r="AW2026" s="76"/>
      <c r="AX2026" s="76"/>
      <c r="AY2026" s="76"/>
      <c r="AZ2026" s="76"/>
      <c r="BA2026" s="76"/>
      <c r="BB2026" s="76"/>
    </row>
    <row r="2027" spans="5:54" x14ac:dyDescent="0.35">
      <c r="E2027" s="83"/>
      <c r="F2027" s="83"/>
      <c r="G2027" s="76"/>
      <c r="H2027" s="76"/>
      <c r="I2027" s="76"/>
      <c r="J2027" s="76"/>
      <c r="K2027" s="76"/>
      <c r="L2027" s="76"/>
      <c r="M2027" s="76"/>
      <c r="N2027" s="76"/>
      <c r="O2027" s="76"/>
      <c r="P2027" s="76"/>
      <c r="Q2027" s="76"/>
      <c r="R2027" s="76"/>
      <c r="S2027" s="76"/>
      <c r="T2027" s="76"/>
      <c r="U2027" s="76"/>
      <c r="V2027" s="76"/>
      <c r="W2027" s="76"/>
      <c r="X2027" s="76"/>
      <c r="Y2027" s="76"/>
      <c r="Z2027" s="76"/>
      <c r="AA2027" s="76"/>
      <c r="AB2027" s="76"/>
      <c r="AC2027" s="76"/>
      <c r="AD2027" s="76"/>
      <c r="AE2027" s="76"/>
      <c r="AF2027" s="76"/>
      <c r="AG2027" s="76"/>
      <c r="AH2027" s="76"/>
      <c r="AI2027" s="76"/>
      <c r="AJ2027" s="76"/>
      <c r="AK2027" s="76"/>
      <c r="AL2027" s="76"/>
      <c r="AM2027" s="76"/>
      <c r="AN2027" s="76"/>
      <c r="AO2027" s="76"/>
      <c r="AP2027" s="76"/>
      <c r="AQ2027" s="76"/>
      <c r="AR2027" s="76"/>
      <c r="AS2027" s="76"/>
      <c r="AT2027" s="76"/>
      <c r="AU2027" s="76"/>
      <c r="AV2027" s="76"/>
      <c r="AW2027" s="76"/>
      <c r="AX2027" s="76"/>
      <c r="AY2027" s="76"/>
      <c r="AZ2027" s="76"/>
      <c r="BA2027" s="76"/>
      <c r="BB2027" s="76"/>
    </row>
    <row r="2028" spans="5:54" x14ac:dyDescent="0.35">
      <c r="E2028" s="83"/>
      <c r="F2028" s="83"/>
      <c r="G2028" s="76"/>
      <c r="H2028" s="76"/>
      <c r="I2028" s="76"/>
      <c r="J2028" s="76"/>
      <c r="K2028" s="76"/>
      <c r="L2028" s="76"/>
      <c r="M2028" s="76"/>
      <c r="N2028" s="76"/>
      <c r="O2028" s="76"/>
      <c r="P2028" s="76"/>
      <c r="Q2028" s="76"/>
      <c r="R2028" s="76"/>
      <c r="S2028" s="76"/>
      <c r="T2028" s="76"/>
      <c r="U2028" s="76"/>
      <c r="V2028" s="76"/>
      <c r="W2028" s="76"/>
      <c r="X2028" s="76"/>
      <c r="Y2028" s="76"/>
      <c r="Z2028" s="76"/>
      <c r="AA2028" s="76"/>
      <c r="AB2028" s="76"/>
      <c r="AC2028" s="76"/>
      <c r="AD2028" s="76"/>
      <c r="AE2028" s="76"/>
      <c r="AF2028" s="76"/>
      <c r="AG2028" s="76"/>
      <c r="AH2028" s="76"/>
      <c r="AI2028" s="76"/>
      <c r="AJ2028" s="76"/>
      <c r="AK2028" s="76"/>
      <c r="AL2028" s="76"/>
      <c r="AM2028" s="76"/>
      <c r="AN2028" s="76"/>
      <c r="AO2028" s="76"/>
      <c r="AP2028" s="76"/>
      <c r="AQ2028" s="76"/>
      <c r="AR2028" s="76"/>
      <c r="AS2028" s="76"/>
      <c r="AT2028" s="76"/>
      <c r="AU2028" s="76"/>
      <c r="AV2028" s="76"/>
      <c r="AW2028" s="76"/>
      <c r="AX2028" s="76"/>
      <c r="AY2028" s="76"/>
      <c r="AZ2028" s="76"/>
      <c r="BA2028" s="76"/>
      <c r="BB2028" s="76"/>
    </row>
    <row r="2029" spans="5:54" x14ac:dyDescent="0.35">
      <c r="E2029" s="83"/>
      <c r="F2029" s="83"/>
      <c r="G2029" s="76"/>
      <c r="H2029" s="76"/>
      <c r="I2029" s="76"/>
      <c r="J2029" s="76"/>
      <c r="K2029" s="76"/>
      <c r="L2029" s="76"/>
      <c r="M2029" s="76"/>
      <c r="N2029" s="76"/>
      <c r="O2029" s="76"/>
      <c r="P2029" s="76"/>
      <c r="Q2029" s="76"/>
      <c r="R2029" s="76"/>
      <c r="S2029" s="76"/>
      <c r="T2029" s="76"/>
      <c r="U2029" s="76"/>
      <c r="V2029" s="76"/>
      <c r="W2029" s="76"/>
      <c r="X2029" s="76"/>
      <c r="Y2029" s="76"/>
      <c r="Z2029" s="76"/>
      <c r="AA2029" s="76"/>
      <c r="AB2029" s="76"/>
      <c r="AC2029" s="76"/>
      <c r="AD2029" s="76"/>
      <c r="AE2029" s="76"/>
      <c r="AF2029" s="76"/>
      <c r="AG2029" s="76"/>
      <c r="AH2029" s="76"/>
      <c r="AI2029" s="76"/>
      <c r="AJ2029" s="76"/>
      <c r="AK2029" s="76"/>
      <c r="AL2029" s="76"/>
      <c r="AM2029" s="76"/>
      <c r="AN2029" s="76"/>
      <c r="AO2029" s="76"/>
      <c r="AP2029" s="76"/>
      <c r="AQ2029" s="76"/>
      <c r="AR2029" s="76"/>
      <c r="AS2029" s="76"/>
      <c r="AT2029" s="76"/>
      <c r="AU2029" s="76"/>
      <c r="AV2029" s="76"/>
      <c r="AW2029" s="76"/>
      <c r="AX2029" s="76"/>
      <c r="AY2029" s="76"/>
      <c r="AZ2029" s="76"/>
      <c r="BA2029" s="76"/>
      <c r="BB2029" s="76"/>
    </row>
    <row r="2030" spans="5:54" x14ac:dyDescent="0.35">
      <c r="E2030" s="83"/>
      <c r="F2030" s="83"/>
      <c r="G2030" s="76"/>
      <c r="H2030" s="76"/>
      <c r="I2030" s="76"/>
      <c r="J2030" s="76"/>
      <c r="K2030" s="76"/>
      <c r="L2030" s="76"/>
      <c r="M2030" s="76"/>
      <c r="N2030" s="76"/>
      <c r="O2030" s="76"/>
      <c r="P2030" s="76"/>
      <c r="Q2030" s="76"/>
      <c r="R2030" s="76"/>
      <c r="S2030" s="76"/>
      <c r="T2030" s="76"/>
      <c r="U2030" s="76"/>
      <c r="V2030" s="76"/>
      <c r="W2030" s="76"/>
      <c r="X2030" s="76"/>
      <c r="Y2030" s="76"/>
      <c r="Z2030" s="76"/>
      <c r="AA2030" s="76"/>
      <c r="AB2030" s="76"/>
      <c r="AC2030" s="76"/>
      <c r="AD2030" s="76"/>
      <c r="AE2030" s="76"/>
      <c r="AF2030" s="76"/>
      <c r="AG2030" s="76"/>
      <c r="AH2030" s="76"/>
      <c r="AI2030" s="76"/>
      <c r="AJ2030" s="76"/>
      <c r="AK2030" s="76"/>
      <c r="AL2030" s="76"/>
      <c r="AM2030" s="76"/>
      <c r="AN2030" s="76"/>
      <c r="AO2030" s="76"/>
      <c r="AP2030" s="76"/>
      <c r="AQ2030" s="76"/>
      <c r="AR2030" s="76"/>
      <c r="AS2030" s="76"/>
      <c r="AT2030" s="76"/>
      <c r="AU2030" s="76"/>
      <c r="AV2030" s="76"/>
      <c r="AW2030" s="76"/>
      <c r="AX2030" s="76"/>
      <c r="AY2030" s="76"/>
      <c r="AZ2030" s="76"/>
      <c r="BA2030" s="76"/>
      <c r="BB2030" s="76"/>
    </row>
    <row r="2031" spans="5:54" x14ac:dyDescent="0.35">
      <c r="E2031" s="83"/>
      <c r="F2031" s="83"/>
      <c r="G2031" s="76"/>
      <c r="H2031" s="76"/>
      <c r="I2031" s="76"/>
      <c r="J2031" s="76"/>
      <c r="K2031" s="76"/>
      <c r="L2031" s="76"/>
      <c r="M2031" s="76"/>
      <c r="N2031" s="76"/>
      <c r="O2031" s="76"/>
      <c r="P2031" s="76"/>
      <c r="Q2031" s="76"/>
      <c r="R2031" s="76"/>
      <c r="S2031" s="76"/>
      <c r="T2031" s="76"/>
      <c r="U2031" s="76"/>
      <c r="V2031" s="76"/>
      <c r="W2031" s="76"/>
      <c r="X2031" s="76"/>
      <c r="Y2031" s="76"/>
      <c r="Z2031" s="76"/>
      <c r="AA2031" s="76"/>
      <c r="AB2031" s="76"/>
      <c r="AC2031" s="76"/>
      <c r="AD2031" s="76"/>
      <c r="AE2031" s="76"/>
      <c r="AF2031" s="76"/>
      <c r="AG2031" s="76"/>
      <c r="AH2031" s="76"/>
      <c r="AI2031" s="76"/>
      <c r="AJ2031" s="76"/>
      <c r="AK2031" s="76"/>
      <c r="AL2031" s="76"/>
      <c r="AM2031" s="76"/>
      <c r="AN2031" s="76"/>
      <c r="AO2031" s="76"/>
      <c r="AP2031" s="76"/>
      <c r="AQ2031" s="76"/>
      <c r="AR2031" s="76"/>
      <c r="AS2031" s="76"/>
      <c r="AT2031" s="76"/>
      <c r="AU2031" s="76"/>
      <c r="AV2031" s="76"/>
      <c r="AW2031" s="76"/>
      <c r="AX2031" s="76"/>
      <c r="AY2031" s="76"/>
      <c r="AZ2031" s="76"/>
      <c r="BA2031" s="76"/>
      <c r="BB2031" s="76"/>
    </row>
    <row r="2032" spans="5:54" x14ac:dyDescent="0.35">
      <c r="E2032" s="83"/>
      <c r="F2032" s="83"/>
      <c r="G2032" s="76"/>
      <c r="H2032" s="76"/>
      <c r="I2032" s="76"/>
      <c r="J2032" s="76"/>
      <c r="K2032" s="76"/>
      <c r="L2032" s="76"/>
      <c r="M2032" s="76"/>
      <c r="N2032" s="76"/>
      <c r="O2032" s="76"/>
      <c r="P2032" s="76"/>
      <c r="Q2032" s="76"/>
      <c r="R2032" s="76"/>
      <c r="S2032" s="76"/>
      <c r="T2032" s="76"/>
      <c r="U2032" s="76"/>
      <c r="V2032" s="76"/>
      <c r="W2032" s="76"/>
      <c r="X2032" s="76"/>
      <c r="Y2032" s="76"/>
      <c r="Z2032" s="76"/>
      <c r="AA2032" s="76"/>
      <c r="AB2032" s="76"/>
      <c r="AC2032" s="76"/>
      <c r="AD2032" s="76"/>
      <c r="AE2032" s="76"/>
      <c r="AF2032" s="76"/>
      <c r="AG2032" s="76"/>
      <c r="AH2032" s="76"/>
      <c r="AI2032" s="76"/>
      <c r="AJ2032" s="76"/>
      <c r="AK2032" s="76"/>
      <c r="AL2032" s="76"/>
      <c r="AM2032" s="76"/>
      <c r="AN2032" s="76"/>
      <c r="AO2032" s="76"/>
      <c r="AP2032" s="76"/>
      <c r="AQ2032" s="76"/>
      <c r="AR2032" s="76"/>
      <c r="AS2032" s="76"/>
      <c r="AT2032" s="76"/>
      <c r="AU2032" s="76"/>
      <c r="AV2032" s="76"/>
      <c r="AW2032" s="76"/>
      <c r="AX2032" s="76"/>
      <c r="AY2032" s="76"/>
      <c r="AZ2032" s="76"/>
      <c r="BA2032" s="76"/>
      <c r="BB2032" s="76"/>
    </row>
    <row r="2033" spans="5:54" x14ac:dyDescent="0.35">
      <c r="E2033" s="83"/>
      <c r="F2033" s="83"/>
      <c r="G2033" s="76"/>
      <c r="H2033" s="76"/>
      <c r="I2033" s="76"/>
      <c r="J2033" s="76"/>
      <c r="K2033" s="76"/>
      <c r="L2033" s="76"/>
      <c r="M2033" s="76"/>
      <c r="N2033" s="76"/>
      <c r="O2033" s="76"/>
      <c r="P2033" s="76"/>
      <c r="Q2033" s="76"/>
      <c r="R2033" s="76"/>
      <c r="S2033" s="76"/>
      <c r="T2033" s="76"/>
      <c r="U2033" s="76"/>
      <c r="V2033" s="76"/>
      <c r="W2033" s="76"/>
      <c r="X2033" s="76"/>
      <c r="Y2033" s="76"/>
      <c r="Z2033" s="76"/>
      <c r="AA2033" s="76"/>
      <c r="AB2033" s="76"/>
      <c r="AC2033" s="76"/>
      <c r="AD2033" s="76"/>
      <c r="AE2033" s="76"/>
      <c r="AF2033" s="76"/>
      <c r="AG2033" s="76"/>
      <c r="AH2033" s="76"/>
      <c r="AI2033" s="76"/>
      <c r="AJ2033" s="76"/>
      <c r="AK2033" s="76"/>
      <c r="AL2033" s="76"/>
      <c r="AM2033" s="76"/>
      <c r="AN2033" s="76"/>
      <c r="AO2033" s="76"/>
      <c r="AP2033" s="76"/>
      <c r="AQ2033" s="76"/>
      <c r="AR2033" s="76"/>
      <c r="AS2033" s="76"/>
      <c r="AT2033" s="76"/>
      <c r="AU2033" s="76"/>
      <c r="AV2033" s="76"/>
      <c r="AW2033" s="76"/>
      <c r="AX2033" s="76"/>
      <c r="AY2033" s="76"/>
      <c r="AZ2033" s="76"/>
      <c r="BA2033" s="76"/>
      <c r="BB2033" s="76"/>
    </row>
    <row r="2034" spans="5:54" x14ac:dyDescent="0.35">
      <c r="E2034" s="83"/>
      <c r="F2034" s="83"/>
      <c r="G2034" s="76"/>
      <c r="H2034" s="76"/>
      <c r="I2034" s="76"/>
      <c r="J2034" s="76"/>
      <c r="K2034" s="76"/>
      <c r="L2034" s="76"/>
      <c r="M2034" s="76"/>
      <c r="N2034" s="76"/>
      <c r="O2034" s="76"/>
      <c r="P2034" s="76"/>
      <c r="Q2034" s="76"/>
      <c r="R2034" s="76"/>
      <c r="S2034" s="76"/>
      <c r="T2034" s="76"/>
      <c r="U2034" s="76"/>
      <c r="V2034" s="76"/>
      <c r="W2034" s="76"/>
      <c r="X2034" s="76"/>
      <c r="Y2034" s="76"/>
      <c r="Z2034" s="76"/>
      <c r="AA2034" s="76"/>
      <c r="AB2034" s="76"/>
      <c r="AC2034" s="76"/>
      <c r="AD2034" s="76"/>
      <c r="AE2034" s="76"/>
      <c r="AF2034" s="76"/>
      <c r="AG2034" s="76"/>
      <c r="AH2034" s="76"/>
      <c r="AI2034" s="76"/>
      <c r="AJ2034" s="76"/>
      <c r="AK2034" s="76"/>
      <c r="AL2034" s="76"/>
      <c r="AM2034" s="76"/>
      <c r="AN2034" s="76"/>
      <c r="AO2034" s="76"/>
      <c r="AP2034" s="76"/>
      <c r="AQ2034" s="76"/>
      <c r="AR2034" s="76"/>
      <c r="AS2034" s="76"/>
      <c r="AT2034" s="76"/>
      <c r="AU2034" s="76"/>
      <c r="AV2034" s="76"/>
      <c r="AW2034" s="76"/>
      <c r="AX2034" s="76"/>
      <c r="AY2034" s="76"/>
      <c r="AZ2034" s="76"/>
      <c r="BA2034" s="76"/>
      <c r="BB2034" s="76"/>
    </row>
    <row r="2035" spans="5:54" x14ac:dyDescent="0.35">
      <c r="E2035" s="83"/>
      <c r="F2035" s="83"/>
      <c r="G2035" s="76"/>
      <c r="H2035" s="76"/>
      <c r="I2035" s="76"/>
      <c r="J2035" s="76"/>
      <c r="K2035" s="76"/>
      <c r="L2035" s="76"/>
      <c r="M2035" s="76"/>
      <c r="N2035" s="76"/>
      <c r="O2035" s="76"/>
      <c r="P2035" s="76"/>
      <c r="Q2035" s="76"/>
      <c r="R2035" s="76"/>
      <c r="S2035" s="76"/>
      <c r="T2035" s="76"/>
      <c r="U2035" s="76"/>
      <c r="V2035" s="76"/>
      <c r="W2035" s="76"/>
      <c r="X2035" s="76"/>
      <c r="Y2035" s="76"/>
      <c r="Z2035" s="76"/>
      <c r="AA2035" s="76"/>
      <c r="AB2035" s="76"/>
      <c r="AC2035" s="76"/>
      <c r="AD2035" s="76"/>
      <c r="AE2035" s="76"/>
      <c r="AF2035" s="76"/>
      <c r="AG2035" s="76"/>
      <c r="AH2035" s="76"/>
      <c r="AI2035" s="76"/>
      <c r="AJ2035" s="76"/>
      <c r="AK2035" s="76"/>
      <c r="AL2035" s="76"/>
      <c r="AM2035" s="76"/>
      <c r="AN2035" s="76"/>
      <c r="AO2035" s="76"/>
      <c r="AP2035" s="76"/>
      <c r="AQ2035" s="76"/>
      <c r="AR2035" s="76"/>
      <c r="AS2035" s="76"/>
      <c r="AT2035" s="76"/>
      <c r="AU2035" s="76"/>
      <c r="AV2035" s="76"/>
      <c r="AW2035" s="76"/>
      <c r="AX2035" s="76"/>
      <c r="AY2035" s="76"/>
      <c r="AZ2035" s="76"/>
      <c r="BA2035" s="76"/>
      <c r="BB2035" s="76"/>
    </row>
    <row r="2036" spans="5:54" x14ac:dyDescent="0.35">
      <c r="E2036" s="83"/>
      <c r="F2036" s="83"/>
      <c r="G2036" s="76"/>
      <c r="H2036" s="76"/>
      <c r="I2036" s="76"/>
      <c r="J2036" s="76"/>
      <c r="K2036" s="76"/>
      <c r="L2036" s="76"/>
      <c r="M2036" s="76"/>
      <c r="N2036" s="76"/>
      <c r="O2036" s="76"/>
      <c r="P2036" s="76"/>
      <c r="Q2036" s="76"/>
      <c r="R2036" s="76"/>
      <c r="S2036" s="76"/>
      <c r="T2036" s="76"/>
      <c r="U2036" s="76"/>
      <c r="V2036" s="76"/>
      <c r="W2036" s="76"/>
      <c r="X2036" s="76"/>
      <c r="Y2036" s="76"/>
      <c r="Z2036" s="76"/>
      <c r="AA2036" s="76"/>
      <c r="AB2036" s="76"/>
      <c r="AC2036" s="76"/>
      <c r="AD2036" s="76"/>
      <c r="AE2036" s="76"/>
      <c r="AF2036" s="76"/>
      <c r="AG2036" s="76"/>
      <c r="AH2036" s="76"/>
      <c r="AI2036" s="76"/>
      <c r="AJ2036" s="76"/>
      <c r="AK2036" s="76"/>
      <c r="AL2036" s="76"/>
      <c r="AM2036" s="76"/>
      <c r="AN2036" s="76"/>
      <c r="AO2036" s="76"/>
      <c r="AP2036" s="76"/>
      <c r="AQ2036" s="76"/>
      <c r="AR2036" s="76"/>
      <c r="AS2036" s="76"/>
      <c r="AT2036" s="76"/>
      <c r="AU2036" s="76"/>
      <c r="AV2036" s="76"/>
      <c r="AW2036" s="76"/>
      <c r="AX2036" s="76"/>
      <c r="AY2036" s="76"/>
      <c r="AZ2036" s="76"/>
      <c r="BA2036" s="76"/>
      <c r="BB2036" s="76"/>
    </row>
    <row r="2037" spans="5:54" x14ac:dyDescent="0.35">
      <c r="E2037" s="83"/>
      <c r="F2037" s="83"/>
      <c r="G2037" s="76"/>
      <c r="H2037" s="76"/>
      <c r="I2037" s="76"/>
      <c r="J2037" s="76"/>
      <c r="K2037" s="76"/>
      <c r="L2037" s="76"/>
      <c r="M2037" s="76"/>
      <c r="N2037" s="76"/>
      <c r="O2037" s="76"/>
      <c r="P2037" s="76"/>
      <c r="Q2037" s="76"/>
      <c r="R2037" s="76"/>
      <c r="S2037" s="76"/>
      <c r="T2037" s="76"/>
      <c r="U2037" s="76"/>
      <c r="V2037" s="76"/>
      <c r="W2037" s="76"/>
      <c r="X2037" s="76"/>
      <c r="Y2037" s="76"/>
      <c r="Z2037" s="76"/>
      <c r="AA2037" s="76"/>
      <c r="AB2037" s="76"/>
      <c r="AC2037" s="76"/>
      <c r="AD2037" s="76"/>
      <c r="AE2037" s="76"/>
      <c r="AF2037" s="76"/>
      <c r="AG2037" s="76"/>
      <c r="AH2037" s="76"/>
      <c r="AI2037" s="76"/>
      <c r="AJ2037" s="76"/>
      <c r="AK2037" s="76"/>
      <c r="AL2037" s="76"/>
      <c r="AM2037" s="76"/>
      <c r="AN2037" s="76"/>
      <c r="AO2037" s="76"/>
      <c r="AP2037" s="76"/>
      <c r="AQ2037" s="76"/>
      <c r="AR2037" s="76"/>
      <c r="AS2037" s="76"/>
      <c r="AT2037" s="76"/>
      <c r="AU2037" s="76"/>
      <c r="AV2037" s="76"/>
      <c r="AW2037" s="76"/>
      <c r="AX2037" s="76"/>
      <c r="AY2037" s="76"/>
      <c r="AZ2037" s="76"/>
      <c r="BA2037" s="76"/>
      <c r="BB2037" s="76"/>
    </row>
    <row r="2038" spans="5:54" x14ac:dyDescent="0.35">
      <c r="E2038" s="83"/>
      <c r="F2038" s="83"/>
      <c r="G2038" s="76"/>
      <c r="H2038" s="76"/>
      <c r="I2038" s="76"/>
      <c r="J2038" s="76"/>
      <c r="K2038" s="76"/>
      <c r="L2038" s="76"/>
      <c r="M2038" s="76"/>
      <c r="N2038" s="76"/>
      <c r="O2038" s="76"/>
      <c r="P2038" s="76"/>
      <c r="Q2038" s="76"/>
      <c r="R2038" s="76"/>
      <c r="S2038" s="76"/>
      <c r="T2038" s="76"/>
      <c r="U2038" s="76"/>
      <c r="V2038" s="76"/>
      <c r="W2038" s="76"/>
      <c r="X2038" s="76"/>
      <c r="Y2038" s="76"/>
      <c r="Z2038" s="76"/>
      <c r="AA2038" s="76"/>
      <c r="AB2038" s="76"/>
      <c r="AC2038" s="76"/>
      <c r="AD2038" s="76"/>
      <c r="AE2038" s="76"/>
      <c r="AF2038" s="76"/>
      <c r="AG2038" s="76"/>
      <c r="AH2038" s="76"/>
      <c r="AI2038" s="76"/>
      <c r="AJ2038" s="76"/>
      <c r="AK2038" s="76"/>
      <c r="AL2038" s="76"/>
      <c r="AM2038" s="76"/>
      <c r="AN2038" s="76"/>
      <c r="AO2038" s="76"/>
      <c r="AP2038" s="76"/>
      <c r="AQ2038" s="76"/>
      <c r="AR2038" s="76"/>
      <c r="AS2038" s="76"/>
      <c r="AT2038" s="76"/>
      <c r="AU2038" s="76"/>
      <c r="AV2038" s="76"/>
      <c r="AW2038" s="76"/>
      <c r="AX2038" s="76"/>
      <c r="AY2038" s="76"/>
      <c r="AZ2038" s="76"/>
      <c r="BA2038" s="76"/>
      <c r="BB2038" s="76"/>
    </row>
    <row r="2039" spans="5:54" x14ac:dyDescent="0.35">
      <c r="E2039" s="83"/>
      <c r="F2039" s="83"/>
      <c r="G2039" s="76"/>
      <c r="H2039" s="76"/>
      <c r="I2039" s="76"/>
      <c r="J2039" s="76"/>
      <c r="K2039" s="76"/>
      <c r="L2039" s="76"/>
      <c r="M2039" s="76"/>
      <c r="N2039" s="76"/>
      <c r="O2039" s="76"/>
      <c r="P2039" s="76"/>
      <c r="Q2039" s="76"/>
      <c r="R2039" s="76"/>
      <c r="S2039" s="76"/>
      <c r="T2039" s="76"/>
      <c r="U2039" s="76"/>
      <c r="V2039" s="76"/>
      <c r="W2039" s="76"/>
      <c r="X2039" s="76"/>
      <c r="Y2039" s="76"/>
      <c r="Z2039" s="76"/>
      <c r="AA2039" s="76"/>
      <c r="AB2039" s="76"/>
      <c r="AC2039" s="76"/>
      <c r="AD2039" s="76"/>
      <c r="AE2039" s="76"/>
      <c r="AF2039" s="76"/>
      <c r="AG2039" s="76"/>
      <c r="AH2039" s="76"/>
      <c r="AI2039" s="76"/>
      <c r="AJ2039" s="76"/>
      <c r="AK2039" s="76"/>
      <c r="AL2039" s="76"/>
      <c r="AM2039" s="76"/>
      <c r="AN2039" s="76"/>
      <c r="AO2039" s="76"/>
      <c r="AP2039" s="76"/>
      <c r="AQ2039" s="76"/>
      <c r="AR2039" s="76"/>
      <c r="AS2039" s="76"/>
      <c r="AT2039" s="76"/>
      <c r="AU2039" s="76"/>
      <c r="AV2039" s="76"/>
      <c r="AW2039" s="76"/>
      <c r="AX2039" s="76"/>
      <c r="AY2039" s="76"/>
      <c r="AZ2039" s="76"/>
      <c r="BA2039" s="76"/>
      <c r="BB2039" s="76"/>
    </row>
    <row r="2040" spans="5:54" x14ac:dyDescent="0.35">
      <c r="E2040" s="83"/>
      <c r="F2040" s="83"/>
      <c r="G2040" s="76"/>
      <c r="H2040" s="76"/>
      <c r="I2040" s="76"/>
      <c r="J2040" s="76"/>
      <c r="K2040" s="76"/>
      <c r="L2040" s="76"/>
      <c r="M2040" s="76"/>
      <c r="N2040" s="76"/>
      <c r="O2040" s="76"/>
      <c r="P2040" s="76"/>
      <c r="Q2040" s="76"/>
      <c r="R2040" s="76"/>
      <c r="S2040" s="76"/>
      <c r="T2040" s="76"/>
      <c r="U2040" s="76"/>
      <c r="V2040" s="76"/>
      <c r="W2040" s="76"/>
      <c r="X2040" s="76"/>
      <c r="Y2040" s="76"/>
      <c r="Z2040" s="76"/>
      <c r="AA2040" s="76"/>
      <c r="AB2040" s="76"/>
      <c r="AC2040" s="76"/>
      <c r="AD2040" s="76"/>
      <c r="AE2040" s="76"/>
      <c r="AF2040" s="76"/>
      <c r="AG2040" s="76"/>
      <c r="AH2040" s="76"/>
      <c r="AI2040" s="76"/>
      <c r="AJ2040" s="76"/>
      <c r="AK2040" s="76"/>
      <c r="AL2040" s="76"/>
      <c r="AM2040" s="76"/>
      <c r="AN2040" s="76"/>
      <c r="AO2040" s="76"/>
      <c r="AP2040" s="76"/>
      <c r="AQ2040" s="76"/>
      <c r="AR2040" s="76"/>
      <c r="AS2040" s="76"/>
      <c r="AT2040" s="76"/>
      <c r="AU2040" s="76"/>
      <c r="AV2040" s="76"/>
      <c r="AW2040" s="76"/>
      <c r="AX2040" s="76"/>
      <c r="AY2040" s="76"/>
      <c r="AZ2040" s="76"/>
      <c r="BA2040" s="76"/>
      <c r="BB2040" s="76"/>
    </row>
    <row r="2041" spans="5:54" x14ac:dyDescent="0.35">
      <c r="E2041" s="83"/>
      <c r="F2041" s="83"/>
      <c r="G2041" s="76"/>
      <c r="H2041" s="76"/>
      <c r="I2041" s="76"/>
      <c r="J2041" s="76"/>
      <c r="K2041" s="76"/>
      <c r="L2041" s="76"/>
      <c r="M2041" s="76"/>
      <c r="N2041" s="76"/>
      <c r="O2041" s="76"/>
      <c r="P2041" s="76"/>
      <c r="Q2041" s="76"/>
      <c r="R2041" s="76"/>
      <c r="S2041" s="76"/>
      <c r="T2041" s="76"/>
      <c r="U2041" s="76"/>
      <c r="V2041" s="76"/>
      <c r="W2041" s="76"/>
      <c r="X2041" s="76"/>
      <c r="Y2041" s="76"/>
      <c r="Z2041" s="76"/>
      <c r="AA2041" s="76"/>
      <c r="AB2041" s="76"/>
      <c r="AC2041" s="76"/>
      <c r="AD2041" s="76"/>
      <c r="AE2041" s="76"/>
      <c r="AF2041" s="76"/>
      <c r="AG2041" s="76"/>
      <c r="AH2041" s="76"/>
      <c r="AI2041" s="76"/>
      <c r="AJ2041" s="76"/>
      <c r="AK2041" s="76"/>
      <c r="AL2041" s="76"/>
      <c r="AM2041" s="76"/>
      <c r="AN2041" s="76"/>
      <c r="AO2041" s="76"/>
      <c r="AP2041" s="76"/>
      <c r="AQ2041" s="76"/>
      <c r="AR2041" s="76"/>
      <c r="AS2041" s="76"/>
      <c r="AT2041" s="76"/>
      <c r="AU2041" s="76"/>
      <c r="AV2041" s="76"/>
      <c r="AW2041" s="76"/>
      <c r="AX2041" s="76"/>
      <c r="AY2041" s="76"/>
      <c r="AZ2041" s="76"/>
      <c r="BA2041" s="76"/>
      <c r="BB2041" s="76"/>
    </row>
    <row r="2042" spans="5:54" x14ac:dyDescent="0.35">
      <c r="E2042" s="83"/>
      <c r="F2042" s="83"/>
      <c r="G2042" s="76"/>
      <c r="H2042" s="76"/>
      <c r="I2042" s="76"/>
      <c r="J2042" s="76"/>
      <c r="K2042" s="76"/>
      <c r="L2042" s="76"/>
      <c r="M2042" s="76"/>
      <c r="N2042" s="76"/>
      <c r="O2042" s="76"/>
      <c r="P2042" s="76"/>
      <c r="Q2042" s="76"/>
      <c r="R2042" s="76"/>
      <c r="S2042" s="76"/>
      <c r="T2042" s="76"/>
      <c r="U2042" s="76"/>
      <c r="V2042" s="76"/>
      <c r="W2042" s="76"/>
      <c r="X2042" s="76"/>
      <c r="Y2042" s="76"/>
      <c r="Z2042" s="76"/>
      <c r="AA2042" s="76"/>
      <c r="AB2042" s="76"/>
      <c r="AC2042" s="76"/>
      <c r="AD2042" s="76"/>
      <c r="AE2042" s="76"/>
      <c r="AF2042" s="76"/>
      <c r="AG2042" s="76"/>
      <c r="AH2042" s="76"/>
      <c r="AI2042" s="76"/>
      <c r="AJ2042" s="76"/>
      <c r="AK2042" s="76"/>
      <c r="AL2042" s="76"/>
      <c r="AM2042" s="76"/>
      <c r="AN2042" s="76"/>
      <c r="AO2042" s="76"/>
      <c r="AP2042" s="76"/>
      <c r="AQ2042" s="76"/>
      <c r="AR2042" s="76"/>
      <c r="AS2042" s="76"/>
      <c r="AT2042" s="76"/>
      <c r="AU2042" s="76"/>
      <c r="AV2042" s="76"/>
      <c r="AW2042" s="76"/>
      <c r="AX2042" s="76"/>
      <c r="AY2042" s="76"/>
      <c r="AZ2042" s="76"/>
      <c r="BA2042" s="76"/>
      <c r="BB2042" s="76"/>
    </row>
    <row r="2043" spans="5:54" x14ac:dyDescent="0.35">
      <c r="E2043" s="83"/>
      <c r="F2043" s="83"/>
      <c r="G2043" s="76"/>
      <c r="H2043" s="76"/>
      <c r="I2043" s="76"/>
      <c r="J2043" s="76"/>
      <c r="K2043" s="76"/>
      <c r="L2043" s="76"/>
      <c r="M2043" s="76"/>
      <c r="N2043" s="76"/>
      <c r="O2043" s="76"/>
      <c r="P2043" s="76"/>
      <c r="Q2043" s="76"/>
      <c r="R2043" s="76"/>
      <c r="S2043" s="76"/>
      <c r="T2043" s="76"/>
      <c r="U2043" s="76"/>
      <c r="V2043" s="76"/>
      <c r="W2043" s="76"/>
      <c r="X2043" s="76"/>
      <c r="Y2043" s="76"/>
      <c r="Z2043" s="76"/>
      <c r="AA2043" s="76"/>
      <c r="AB2043" s="76"/>
      <c r="AC2043" s="76"/>
      <c r="AD2043" s="76"/>
      <c r="AE2043" s="76"/>
      <c r="AF2043" s="76"/>
      <c r="AG2043" s="76"/>
      <c r="AH2043" s="76"/>
      <c r="AI2043" s="76"/>
      <c r="AJ2043" s="76"/>
      <c r="AK2043" s="76"/>
      <c r="AL2043" s="76"/>
      <c r="AM2043" s="76"/>
      <c r="AN2043" s="76"/>
      <c r="AO2043" s="76"/>
      <c r="AP2043" s="76"/>
      <c r="AQ2043" s="76"/>
      <c r="AR2043" s="76"/>
      <c r="AS2043" s="76"/>
      <c r="AT2043" s="76"/>
      <c r="AU2043" s="76"/>
      <c r="AV2043" s="76"/>
      <c r="AW2043" s="76"/>
      <c r="AX2043" s="76"/>
      <c r="AY2043" s="76"/>
      <c r="AZ2043" s="76"/>
      <c r="BA2043" s="76"/>
      <c r="BB2043" s="76"/>
    </row>
    <row r="2044" spans="5:54" x14ac:dyDescent="0.35">
      <c r="E2044" s="83"/>
      <c r="F2044" s="83"/>
      <c r="G2044" s="76"/>
      <c r="H2044" s="76"/>
      <c r="I2044" s="76"/>
      <c r="J2044" s="76"/>
      <c r="K2044" s="76"/>
      <c r="L2044" s="76"/>
      <c r="M2044" s="76"/>
      <c r="N2044" s="76"/>
      <c r="O2044" s="76"/>
      <c r="P2044" s="76"/>
      <c r="Q2044" s="76"/>
      <c r="R2044" s="76"/>
      <c r="S2044" s="76"/>
      <c r="T2044" s="76"/>
      <c r="U2044" s="76"/>
      <c r="V2044" s="76"/>
      <c r="W2044" s="76"/>
      <c r="X2044" s="76"/>
      <c r="Y2044" s="76"/>
      <c r="Z2044" s="76"/>
      <c r="AA2044" s="76"/>
      <c r="AB2044" s="76"/>
      <c r="AC2044" s="76"/>
      <c r="AD2044" s="76"/>
      <c r="AE2044" s="76"/>
      <c r="AF2044" s="76"/>
      <c r="AG2044" s="76"/>
      <c r="AH2044" s="76"/>
      <c r="AI2044" s="76"/>
      <c r="AJ2044" s="76"/>
      <c r="AK2044" s="76"/>
      <c r="AL2044" s="76"/>
      <c r="AM2044" s="76"/>
      <c r="AN2044" s="76"/>
      <c r="AO2044" s="76"/>
      <c r="AP2044" s="76"/>
      <c r="AQ2044" s="76"/>
      <c r="AR2044" s="76"/>
      <c r="AS2044" s="76"/>
      <c r="AT2044" s="76"/>
      <c r="AU2044" s="76"/>
      <c r="AV2044" s="76"/>
      <c r="AW2044" s="76"/>
      <c r="AX2044" s="76"/>
      <c r="AY2044" s="76"/>
      <c r="AZ2044" s="76"/>
      <c r="BA2044" s="76"/>
      <c r="BB2044" s="76"/>
    </row>
    <row r="2045" spans="5:54" x14ac:dyDescent="0.35">
      <c r="E2045" s="83"/>
      <c r="F2045" s="83"/>
      <c r="G2045" s="76"/>
      <c r="H2045" s="76"/>
      <c r="I2045" s="76"/>
      <c r="J2045" s="76"/>
      <c r="K2045" s="76"/>
      <c r="L2045" s="76"/>
      <c r="M2045" s="76"/>
      <c r="N2045" s="76"/>
      <c r="O2045" s="76"/>
      <c r="P2045" s="76"/>
      <c r="Q2045" s="76"/>
      <c r="R2045" s="76"/>
      <c r="S2045" s="76"/>
      <c r="T2045" s="76"/>
      <c r="U2045" s="76"/>
      <c r="V2045" s="76"/>
      <c r="W2045" s="76"/>
      <c r="X2045" s="76"/>
      <c r="Y2045" s="76"/>
      <c r="Z2045" s="76"/>
      <c r="AA2045" s="76"/>
      <c r="AB2045" s="76"/>
      <c r="AC2045" s="76"/>
      <c r="AD2045" s="76"/>
      <c r="AE2045" s="76"/>
      <c r="AF2045" s="76"/>
      <c r="AG2045" s="76"/>
      <c r="AH2045" s="76"/>
      <c r="AI2045" s="76"/>
      <c r="AJ2045" s="76"/>
      <c r="AK2045" s="76"/>
      <c r="AL2045" s="76"/>
      <c r="AM2045" s="76"/>
      <c r="AN2045" s="76"/>
      <c r="AO2045" s="76"/>
      <c r="AP2045" s="76"/>
      <c r="AQ2045" s="76"/>
      <c r="AR2045" s="76"/>
      <c r="AS2045" s="76"/>
      <c r="AT2045" s="76"/>
      <c r="AU2045" s="76"/>
      <c r="AV2045" s="76"/>
      <c r="AW2045" s="76"/>
      <c r="AX2045" s="76"/>
      <c r="AY2045" s="76"/>
      <c r="AZ2045" s="76"/>
      <c r="BA2045" s="76"/>
      <c r="BB2045" s="76"/>
    </row>
    <row r="2046" spans="5:54" x14ac:dyDescent="0.35">
      <c r="E2046" s="83"/>
      <c r="F2046" s="83"/>
      <c r="G2046" s="76"/>
      <c r="H2046" s="76"/>
      <c r="I2046" s="76"/>
      <c r="J2046" s="76"/>
      <c r="K2046" s="76"/>
      <c r="L2046" s="76"/>
      <c r="M2046" s="76"/>
      <c r="N2046" s="76"/>
      <c r="O2046" s="76"/>
      <c r="P2046" s="76"/>
      <c r="Q2046" s="76"/>
      <c r="R2046" s="76"/>
      <c r="S2046" s="76"/>
      <c r="T2046" s="76"/>
      <c r="U2046" s="76"/>
      <c r="V2046" s="76"/>
      <c r="W2046" s="76"/>
      <c r="X2046" s="76"/>
      <c r="Y2046" s="76"/>
      <c r="Z2046" s="76"/>
      <c r="AA2046" s="76"/>
      <c r="AB2046" s="76"/>
      <c r="AC2046" s="76"/>
      <c r="AD2046" s="76"/>
      <c r="AE2046" s="76"/>
      <c r="AF2046" s="76"/>
      <c r="AG2046" s="76"/>
      <c r="AH2046" s="76"/>
      <c r="AI2046" s="76"/>
      <c r="AJ2046" s="76"/>
      <c r="AK2046" s="76"/>
      <c r="AL2046" s="76"/>
      <c r="AM2046" s="76"/>
      <c r="AN2046" s="76"/>
      <c r="AO2046" s="76"/>
      <c r="AP2046" s="76"/>
      <c r="AQ2046" s="76"/>
      <c r="AR2046" s="76"/>
      <c r="AS2046" s="76"/>
      <c r="AT2046" s="76"/>
      <c r="AU2046" s="76"/>
      <c r="AV2046" s="76"/>
      <c r="AW2046" s="76"/>
      <c r="AX2046" s="76"/>
      <c r="AY2046" s="76"/>
      <c r="AZ2046" s="76"/>
      <c r="BA2046" s="76"/>
      <c r="BB2046" s="76"/>
    </row>
    <row r="2047" spans="5:54" x14ac:dyDescent="0.35">
      <c r="E2047" s="83"/>
      <c r="F2047" s="83"/>
      <c r="G2047" s="76"/>
      <c r="H2047" s="76"/>
      <c r="I2047" s="76"/>
      <c r="J2047" s="76"/>
      <c r="K2047" s="76"/>
      <c r="L2047" s="76"/>
      <c r="M2047" s="76"/>
      <c r="N2047" s="76"/>
      <c r="O2047" s="76"/>
      <c r="P2047" s="76"/>
      <c r="Q2047" s="76"/>
      <c r="R2047" s="76"/>
      <c r="S2047" s="76"/>
      <c r="T2047" s="76"/>
      <c r="U2047" s="76"/>
      <c r="V2047" s="76"/>
      <c r="W2047" s="76"/>
      <c r="X2047" s="76"/>
      <c r="Y2047" s="76"/>
      <c r="Z2047" s="76"/>
      <c r="AA2047" s="76"/>
      <c r="AB2047" s="76"/>
      <c r="AC2047" s="76"/>
      <c r="AD2047" s="76"/>
      <c r="AE2047" s="76"/>
      <c r="AF2047" s="76"/>
      <c r="AG2047" s="76"/>
      <c r="AH2047" s="76"/>
      <c r="AI2047" s="76"/>
      <c r="AJ2047" s="76"/>
      <c r="AK2047" s="76"/>
      <c r="AL2047" s="76"/>
      <c r="AM2047" s="76"/>
      <c r="AN2047" s="76"/>
      <c r="AO2047" s="76"/>
      <c r="AP2047" s="76"/>
      <c r="AQ2047" s="76"/>
      <c r="AR2047" s="76"/>
      <c r="AS2047" s="76"/>
      <c r="AT2047" s="76"/>
      <c r="AU2047" s="76"/>
      <c r="AV2047" s="76"/>
      <c r="AW2047" s="76"/>
      <c r="AX2047" s="76"/>
      <c r="AY2047" s="76"/>
      <c r="AZ2047" s="76"/>
      <c r="BA2047" s="76"/>
      <c r="BB2047" s="76"/>
    </row>
    <row r="2048" spans="5:54" x14ac:dyDescent="0.35">
      <c r="E2048" s="83"/>
      <c r="F2048" s="83"/>
      <c r="G2048" s="76"/>
      <c r="H2048" s="76"/>
      <c r="I2048" s="76"/>
      <c r="J2048" s="76"/>
      <c r="K2048" s="76"/>
      <c r="L2048" s="76"/>
      <c r="M2048" s="76"/>
      <c r="N2048" s="76"/>
      <c r="O2048" s="76"/>
      <c r="P2048" s="76"/>
      <c r="Q2048" s="76"/>
      <c r="R2048" s="76"/>
      <c r="S2048" s="76"/>
      <c r="T2048" s="76"/>
      <c r="U2048" s="76"/>
      <c r="V2048" s="76"/>
      <c r="W2048" s="76"/>
      <c r="X2048" s="76"/>
      <c r="Y2048" s="76"/>
      <c r="Z2048" s="76"/>
      <c r="AA2048" s="76"/>
      <c r="AB2048" s="76"/>
      <c r="AC2048" s="76"/>
      <c r="AD2048" s="76"/>
      <c r="AE2048" s="76"/>
      <c r="AF2048" s="76"/>
      <c r="AG2048" s="76"/>
      <c r="AH2048" s="76"/>
      <c r="AI2048" s="76"/>
      <c r="AJ2048" s="76"/>
      <c r="AK2048" s="76"/>
      <c r="AL2048" s="76"/>
      <c r="AM2048" s="76"/>
      <c r="AN2048" s="76"/>
      <c r="AO2048" s="76"/>
      <c r="AP2048" s="76"/>
      <c r="AQ2048" s="76"/>
      <c r="AR2048" s="76"/>
      <c r="AS2048" s="76"/>
      <c r="AT2048" s="76"/>
      <c r="AU2048" s="76"/>
      <c r="AV2048" s="76"/>
      <c r="AW2048" s="76"/>
      <c r="AX2048" s="76"/>
      <c r="AY2048" s="76"/>
      <c r="AZ2048" s="76"/>
      <c r="BA2048" s="76"/>
      <c r="BB2048" s="76"/>
    </row>
    <row r="2049" spans="5:54" x14ac:dyDescent="0.35">
      <c r="E2049" s="83"/>
      <c r="F2049" s="83"/>
      <c r="G2049" s="76"/>
      <c r="H2049" s="76"/>
      <c r="I2049" s="76"/>
      <c r="J2049" s="76"/>
      <c r="K2049" s="76"/>
      <c r="L2049" s="76"/>
      <c r="M2049" s="76"/>
      <c r="N2049" s="76"/>
      <c r="O2049" s="76"/>
      <c r="P2049" s="76"/>
      <c r="Q2049" s="76"/>
      <c r="R2049" s="76"/>
      <c r="S2049" s="76"/>
      <c r="T2049" s="76"/>
      <c r="U2049" s="76"/>
      <c r="V2049" s="76"/>
      <c r="W2049" s="76"/>
      <c r="X2049" s="76"/>
      <c r="Y2049" s="76"/>
      <c r="Z2049" s="76"/>
      <c r="AA2049" s="76"/>
      <c r="AB2049" s="76"/>
      <c r="AC2049" s="76"/>
      <c r="AD2049" s="76"/>
      <c r="AE2049" s="76"/>
      <c r="AF2049" s="76"/>
      <c r="AG2049" s="76"/>
      <c r="AH2049" s="76"/>
      <c r="AI2049" s="76"/>
      <c r="AJ2049" s="76"/>
      <c r="AK2049" s="76"/>
      <c r="AL2049" s="76"/>
      <c r="AM2049" s="76"/>
      <c r="AN2049" s="76"/>
      <c r="AO2049" s="76"/>
      <c r="AP2049" s="76"/>
      <c r="AQ2049" s="76"/>
      <c r="AR2049" s="76"/>
      <c r="AS2049" s="76"/>
      <c r="AT2049" s="76"/>
      <c r="AU2049" s="76"/>
      <c r="AV2049" s="76"/>
      <c r="AW2049" s="76"/>
      <c r="AX2049" s="76"/>
      <c r="AY2049" s="76"/>
      <c r="AZ2049" s="76"/>
      <c r="BA2049" s="76"/>
      <c r="BB2049" s="76"/>
    </row>
    <row r="2050" spans="5:54" x14ac:dyDescent="0.35">
      <c r="E2050" s="83"/>
      <c r="F2050" s="83"/>
      <c r="G2050" s="76"/>
      <c r="H2050" s="76"/>
      <c r="I2050" s="76"/>
      <c r="J2050" s="76"/>
      <c r="K2050" s="76"/>
      <c r="L2050" s="76"/>
      <c r="M2050" s="76"/>
      <c r="N2050" s="76"/>
      <c r="O2050" s="76"/>
      <c r="P2050" s="76"/>
      <c r="Q2050" s="76"/>
      <c r="R2050" s="76"/>
      <c r="S2050" s="76"/>
      <c r="T2050" s="76"/>
      <c r="U2050" s="76"/>
      <c r="V2050" s="76"/>
      <c r="W2050" s="76"/>
      <c r="X2050" s="76"/>
      <c r="Y2050" s="76"/>
      <c r="Z2050" s="76"/>
      <c r="AA2050" s="76"/>
      <c r="AB2050" s="76"/>
      <c r="AC2050" s="76"/>
      <c r="AD2050" s="76"/>
      <c r="AE2050" s="76"/>
      <c r="AF2050" s="76"/>
      <c r="AG2050" s="76"/>
      <c r="AH2050" s="76"/>
      <c r="AI2050" s="76"/>
      <c r="AJ2050" s="76"/>
      <c r="AK2050" s="76"/>
      <c r="AL2050" s="76"/>
      <c r="AM2050" s="76"/>
      <c r="AN2050" s="76"/>
      <c r="AO2050" s="76"/>
      <c r="AP2050" s="76"/>
      <c r="AQ2050" s="76"/>
      <c r="AR2050" s="76"/>
      <c r="AS2050" s="76"/>
      <c r="AT2050" s="76"/>
      <c r="AU2050" s="76"/>
      <c r="AV2050" s="76"/>
      <c r="AW2050" s="76"/>
      <c r="AX2050" s="76"/>
      <c r="AY2050" s="76"/>
      <c r="AZ2050" s="76"/>
      <c r="BA2050" s="76"/>
      <c r="BB2050" s="76"/>
    </row>
    <row r="2051" spans="5:54" x14ac:dyDescent="0.35">
      <c r="E2051" s="83"/>
      <c r="F2051" s="83"/>
      <c r="G2051" s="76"/>
      <c r="H2051" s="76"/>
      <c r="I2051" s="76"/>
      <c r="J2051" s="76"/>
      <c r="K2051" s="76"/>
      <c r="L2051" s="76"/>
      <c r="M2051" s="76"/>
      <c r="N2051" s="76"/>
      <c r="O2051" s="76"/>
      <c r="P2051" s="76"/>
      <c r="Q2051" s="76"/>
      <c r="R2051" s="76"/>
      <c r="S2051" s="76"/>
      <c r="T2051" s="76"/>
      <c r="U2051" s="76"/>
      <c r="V2051" s="76"/>
      <c r="W2051" s="76"/>
      <c r="X2051" s="76"/>
      <c r="Y2051" s="76"/>
      <c r="Z2051" s="76"/>
      <c r="AA2051" s="76"/>
      <c r="AB2051" s="76"/>
      <c r="AC2051" s="76"/>
      <c r="AD2051" s="76"/>
      <c r="AE2051" s="76"/>
      <c r="AF2051" s="76"/>
      <c r="AG2051" s="76"/>
      <c r="AH2051" s="76"/>
      <c r="AI2051" s="76"/>
      <c r="AJ2051" s="76"/>
      <c r="AK2051" s="76"/>
      <c r="AL2051" s="76"/>
      <c r="AM2051" s="76"/>
      <c r="AN2051" s="76"/>
      <c r="AO2051" s="76"/>
      <c r="AP2051" s="76"/>
      <c r="AQ2051" s="76"/>
      <c r="AR2051" s="76"/>
      <c r="AS2051" s="76"/>
      <c r="AT2051" s="76"/>
      <c r="AU2051" s="76"/>
      <c r="AV2051" s="76"/>
      <c r="AW2051" s="76"/>
      <c r="AX2051" s="76"/>
      <c r="AY2051" s="76"/>
      <c r="AZ2051" s="76"/>
      <c r="BA2051" s="76"/>
      <c r="BB2051" s="76"/>
    </row>
    <row r="2052" spans="5:54" x14ac:dyDescent="0.35">
      <c r="E2052" s="83"/>
      <c r="F2052" s="83"/>
      <c r="G2052" s="76"/>
      <c r="H2052" s="76"/>
      <c r="I2052" s="76"/>
      <c r="J2052" s="76"/>
      <c r="K2052" s="76"/>
      <c r="L2052" s="76"/>
      <c r="M2052" s="76"/>
      <c r="N2052" s="76"/>
      <c r="O2052" s="76"/>
      <c r="P2052" s="76"/>
      <c r="Q2052" s="76"/>
      <c r="R2052" s="76"/>
      <c r="S2052" s="76"/>
      <c r="T2052" s="76"/>
      <c r="U2052" s="76"/>
      <c r="V2052" s="76"/>
      <c r="W2052" s="76"/>
      <c r="X2052" s="76"/>
      <c r="Y2052" s="76"/>
      <c r="Z2052" s="76"/>
      <c r="AA2052" s="76"/>
      <c r="AB2052" s="76"/>
      <c r="AC2052" s="76"/>
      <c r="AD2052" s="76"/>
      <c r="AE2052" s="76"/>
      <c r="AF2052" s="76"/>
      <c r="AG2052" s="76"/>
      <c r="AH2052" s="76"/>
      <c r="AI2052" s="76"/>
      <c r="AJ2052" s="76"/>
      <c r="AK2052" s="76"/>
      <c r="AL2052" s="76"/>
      <c r="AM2052" s="76"/>
      <c r="AN2052" s="76"/>
      <c r="AO2052" s="76"/>
      <c r="AP2052" s="76"/>
      <c r="AQ2052" s="76"/>
      <c r="AR2052" s="76"/>
      <c r="AS2052" s="76"/>
      <c r="AT2052" s="76"/>
      <c r="AU2052" s="76"/>
      <c r="AV2052" s="76"/>
      <c r="AW2052" s="76"/>
      <c r="AX2052" s="76"/>
      <c r="AY2052" s="76"/>
      <c r="AZ2052" s="76"/>
      <c r="BA2052" s="76"/>
      <c r="BB2052" s="76"/>
    </row>
    <row r="2053" spans="5:54" x14ac:dyDescent="0.35">
      <c r="E2053" s="83"/>
      <c r="F2053" s="83"/>
      <c r="G2053" s="76"/>
      <c r="H2053" s="76"/>
      <c r="I2053" s="76"/>
      <c r="J2053" s="76"/>
      <c r="K2053" s="76"/>
      <c r="L2053" s="76"/>
      <c r="M2053" s="76"/>
      <c r="N2053" s="76"/>
      <c r="O2053" s="76"/>
      <c r="P2053" s="76"/>
      <c r="Q2053" s="76"/>
      <c r="R2053" s="76"/>
      <c r="S2053" s="76"/>
      <c r="T2053" s="76"/>
      <c r="U2053" s="76"/>
      <c r="V2053" s="76"/>
      <c r="W2053" s="76"/>
      <c r="X2053" s="76"/>
      <c r="Y2053" s="76"/>
      <c r="Z2053" s="76"/>
      <c r="AA2053" s="76"/>
      <c r="AB2053" s="76"/>
      <c r="AC2053" s="76"/>
      <c r="AD2053" s="76"/>
      <c r="AE2053" s="76"/>
      <c r="AF2053" s="76"/>
      <c r="AG2053" s="76"/>
      <c r="AH2053" s="76"/>
      <c r="AI2053" s="76"/>
      <c r="AJ2053" s="76"/>
      <c r="AK2053" s="76"/>
      <c r="AL2053" s="76"/>
      <c r="AM2053" s="76"/>
      <c r="AN2053" s="76"/>
      <c r="AO2053" s="76"/>
      <c r="AP2053" s="76"/>
      <c r="AQ2053" s="76"/>
      <c r="AR2053" s="76"/>
      <c r="AS2053" s="76"/>
      <c r="AT2053" s="76"/>
      <c r="AU2053" s="76"/>
      <c r="AV2053" s="76"/>
      <c r="AW2053" s="76"/>
      <c r="AX2053" s="76"/>
      <c r="AY2053" s="76"/>
      <c r="AZ2053" s="76"/>
      <c r="BA2053" s="76"/>
      <c r="BB2053" s="76"/>
    </row>
    <row r="2054" spans="5:54" x14ac:dyDescent="0.35">
      <c r="E2054" s="83"/>
      <c r="F2054" s="83"/>
      <c r="G2054" s="76"/>
      <c r="H2054" s="76"/>
      <c r="I2054" s="76"/>
      <c r="J2054" s="76"/>
      <c r="K2054" s="76"/>
      <c r="L2054" s="76"/>
      <c r="M2054" s="76"/>
      <c r="N2054" s="76"/>
      <c r="O2054" s="76"/>
      <c r="P2054" s="76"/>
      <c r="Q2054" s="76"/>
      <c r="R2054" s="76"/>
      <c r="S2054" s="76"/>
      <c r="T2054" s="76"/>
      <c r="U2054" s="76"/>
      <c r="V2054" s="76"/>
      <c r="W2054" s="76"/>
      <c r="X2054" s="76"/>
      <c r="Y2054" s="76"/>
      <c r="Z2054" s="76"/>
      <c r="AA2054" s="76"/>
      <c r="AB2054" s="76"/>
      <c r="AC2054" s="76"/>
      <c r="AD2054" s="76"/>
      <c r="AE2054" s="76"/>
      <c r="AF2054" s="76"/>
      <c r="AG2054" s="76"/>
      <c r="AH2054" s="76"/>
      <c r="AI2054" s="76"/>
      <c r="AJ2054" s="76"/>
      <c r="AK2054" s="76"/>
      <c r="AL2054" s="76"/>
      <c r="AM2054" s="76"/>
      <c r="AN2054" s="76"/>
      <c r="AO2054" s="76"/>
      <c r="AP2054" s="76"/>
      <c r="AQ2054" s="76"/>
      <c r="AR2054" s="76"/>
      <c r="AS2054" s="76"/>
      <c r="AT2054" s="76"/>
      <c r="AU2054" s="76"/>
      <c r="AV2054" s="76"/>
      <c r="AW2054" s="76"/>
      <c r="AX2054" s="76"/>
      <c r="AY2054" s="76"/>
      <c r="AZ2054" s="76"/>
      <c r="BA2054" s="76"/>
      <c r="BB2054" s="76"/>
    </row>
    <row r="2055" spans="5:54" x14ac:dyDescent="0.35">
      <c r="E2055" s="83"/>
      <c r="F2055" s="83"/>
      <c r="G2055" s="76"/>
      <c r="H2055" s="76"/>
      <c r="I2055" s="76"/>
      <c r="J2055" s="76"/>
      <c r="K2055" s="76"/>
      <c r="L2055" s="76"/>
      <c r="M2055" s="76"/>
      <c r="N2055" s="76"/>
      <c r="O2055" s="76"/>
      <c r="P2055" s="76"/>
      <c r="Q2055" s="76"/>
      <c r="R2055" s="76"/>
      <c r="S2055" s="76"/>
      <c r="T2055" s="76"/>
      <c r="U2055" s="76"/>
      <c r="V2055" s="76"/>
      <c r="W2055" s="76"/>
      <c r="X2055" s="76"/>
      <c r="Y2055" s="76"/>
      <c r="Z2055" s="76"/>
      <c r="AA2055" s="76"/>
      <c r="AB2055" s="76"/>
      <c r="AC2055" s="76"/>
      <c r="AD2055" s="76"/>
      <c r="AE2055" s="76"/>
      <c r="AF2055" s="76"/>
      <c r="AG2055" s="76"/>
      <c r="AH2055" s="76"/>
      <c r="AI2055" s="76"/>
      <c r="AJ2055" s="76"/>
      <c r="AK2055" s="76"/>
      <c r="AL2055" s="76"/>
      <c r="AM2055" s="76"/>
      <c r="AN2055" s="76"/>
      <c r="AO2055" s="76"/>
      <c r="AP2055" s="76"/>
      <c r="AQ2055" s="76"/>
      <c r="AR2055" s="76"/>
      <c r="AS2055" s="76"/>
      <c r="AT2055" s="76"/>
      <c r="AU2055" s="76"/>
      <c r="AV2055" s="76"/>
      <c r="AW2055" s="76"/>
      <c r="AX2055" s="76"/>
      <c r="AY2055" s="76"/>
      <c r="AZ2055" s="76"/>
      <c r="BA2055" s="76"/>
      <c r="BB2055" s="76"/>
    </row>
    <row r="2056" spans="5:54" x14ac:dyDescent="0.35">
      <c r="E2056" s="83"/>
      <c r="F2056" s="83"/>
      <c r="G2056" s="76"/>
      <c r="H2056" s="76"/>
      <c r="I2056" s="76"/>
      <c r="J2056" s="76"/>
      <c r="K2056" s="76"/>
      <c r="L2056" s="76"/>
      <c r="M2056" s="76"/>
      <c r="N2056" s="76"/>
      <c r="O2056" s="76"/>
      <c r="P2056" s="76"/>
      <c r="Q2056" s="76"/>
      <c r="R2056" s="76"/>
      <c r="S2056" s="76"/>
      <c r="T2056" s="76"/>
      <c r="U2056" s="76"/>
      <c r="V2056" s="76"/>
      <c r="W2056" s="76"/>
      <c r="X2056" s="76"/>
      <c r="Y2056" s="76"/>
      <c r="Z2056" s="76"/>
      <c r="AA2056" s="76"/>
      <c r="AB2056" s="76"/>
      <c r="AC2056" s="76"/>
      <c r="AD2056" s="76"/>
      <c r="AE2056" s="76"/>
      <c r="AF2056" s="76"/>
      <c r="AG2056" s="76"/>
      <c r="AH2056" s="76"/>
      <c r="AI2056" s="76"/>
      <c r="AJ2056" s="76"/>
      <c r="AK2056" s="76"/>
      <c r="AL2056" s="76"/>
      <c r="AM2056" s="76"/>
      <c r="AN2056" s="76"/>
      <c r="AO2056" s="76"/>
      <c r="AP2056" s="76"/>
      <c r="AQ2056" s="76"/>
      <c r="AR2056" s="76"/>
      <c r="AS2056" s="76"/>
      <c r="AT2056" s="76"/>
      <c r="AU2056" s="76"/>
      <c r="AV2056" s="76"/>
      <c r="AW2056" s="76"/>
      <c r="AX2056" s="76"/>
      <c r="AY2056" s="76"/>
      <c r="AZ2056" s="76"/>
      <c r="BA2056" s="76"/>
      <c r="BB2056" s="76"/>
    </row>
    <row r="2057" spans="5:54" x14ac:dyDescent="0.35">
      <c r="E2057" s="83"/>
      <c r="F2057" s="83"/>
      <c r="G2057" s="76"/>
      <c r="H2057" s="76"/>
      <c r="I2057" s="76"/>
      <c r="J2057" s="76"/>
      <c r="K2057" s="76"/>
      <c r="L2057" s="76"/>
      <c r="M2057" s="76"/>
      <c r="N2057" s="76"/>
      <c r="O2057" s="76"/>
      <c r="P2057" s="76"/>
      <c r="Q2057" s="76"/>
      <c r="R2057" s="76"/>
      <c r="S2057" s="76"/>
      <c r="T2057" s="76"/>
      <c r="U2057" s="76"/>
      <c r="V2057" s="76"/>
      <c r="W2057" s="76"/>
      <c r="X2057" s="76"/>
      <c r="Y2057" s="76"/>
      <c r="Z2057" s="76"/>
      <c r="AA2057" s="76"/>
      <c r="AB2057" s="76"/>
      <c r="AC2057" s="76"/>
      <c r="AD2057" s="76"/>
      <c r="AE2057" s="76"/>
      <c r="AF2057" s="76"/>
      <c r="AG2057" s="76"/>
      <c r="AH2057" s="76"/>
      <c r="AI2057" s="76"/>
      <c r="AJ2057" s="76"/>
      <c r="AK2057" s="76"/>
      <c r="AL2057" s="76"/>
      <c r="AM2057" s="76"/>
      <c r="AN2057" s="76"/>
      <c r="AO2057" s="76"/>
      <c r="AP2057" s="76"/>
      <c r="AQ2057" s="76"/>
      <c r="AR2057" s="76"/>
      <c r="AS2057" s="76"/>
      <c r="AT2057" s="76"/>
      <c r="AU2057" s="76"/>
      <c r="AV2057" s="76"/>
      <c r="AW2057" s="76"/>
      <c r="AX2057" s="76"/>
      <c r="AY2057" s="76"/>
      <c r="AZ2057" s="76"/>
      <c r="BA2057" s="76"/>
      <c r="BB2057" s="76"/>
    </row>
    <row r="2058" spans="5:54" x14ac:dyDescent="0.35">
      <c r="E2058" s="83"/>
      <c r="F2058" s="83"/>
      <c r="G2058" s="76"/>
      <c r="H2058" s="76"/>
      <c r="I2058" s="76"/>
      <c r="J2058" s="76"/>
      <c r="K2058" s="76"/>
      <c r="L2058" s="76"/>
      <c r="M2058" s="76"/>
      <c r="N2058" s="76"/>
      <c r="O2058" s="76"/>
      <c r="P2058" s="76"/>
      <c r="Q2058" s="76"/>
      <c r="R2058" s="76"/>
      <c r="S2058" s="76"/>
      <c r="T2058" s="76"/>
      <c r="U2058" s="76"/>
      <c r="V2058" s="76"/>
      <c r="W2058" s="76"/>
      <c r="X2058" s="76"/>
      <c r="Y2058" s="76"/>
      <c r="Z2058" s="76"/>
      <c r="AA2058" s="76"/>
      <c r="AB2058" s="76"/>
      <c r="AC2058" s="76"/>
      <c r="AD2058" s="76"/>
      <c r="AE2058" s="76"/>
      <c r="AF2058" s="76"/>
      <c r="AG2058" s="76"/>
      <c r="AH2058" s="76"/>
      <c r="AI2058" s="76"/>
      <c r="AJ2058" s="76"/>
      <c r="AK2058" s="76"/>
      <c r="AL2058" s="76"/>
      <c r="AM2058" s="76"/>
      <c r="AN2058" s="76"/>
      <c r="AO2058" s="76"/>
      <c r="AP2058" s="76"/>
      <c r="AQ2058" s="76"/>
      <c r="AR2058" s="76"/>
      <c r="AS2058" s="76"/>
      <c r="AT2058" s="76"/>
      <c r="AU2058" s="76"/>
      <c r="AV2058" s="76"/>
      <c r="AW2058" s="76"/>
      <c r="AX2058" s="76"/>
      <c r="AY2058" s="76"/>
      <c r="AZ2058" s="76"/>
      <c r="BA2058" s="76"/>
      <c r="BB2058" s="76"/>
    </row>
    <row r="2059" spans="5:54" x14ac:dyDescent="0.35">
      <c r="E2059" s="83"/>
      <c r="F2059" s="83"/>
      <c r="G2059" s="76"/>
      <c r="H2059" s="76"/>
      <c r="I2059" s="76"/>
      <c r="J2059" s="76"/>
      <c r="K2059" s="76"/>
      <c r="L2059" s="76"/>
      <c r="M2059" s="76"/>
      <c r="N2059" s="76"/>
      <c r="O2059" s="76"/>
      <c r="P2059" s="76"/>
      <c r="Q2059" s="76"/>
      <c r="R2059" s="76"/>
      <c r="S2059" s="76"/>
      <c r="T2059" s="76"/>
      <c r="U2059" s="76"/>
      <c r="V2059" s="76"/>
      <c r="W2059" s="76"/>
      <c r="X2059" s="76"/>
      <c r="Y2059" s="76"/>
      <c r="Z2059" s="76"/>
      <c r="AA2059" s="76"/>
      <c r="AB2059" s="76"/>
      <c r="AC2059" s="76"/>
      <c r="AD2059" s="76"/>
      <c r="AE2059" s="76"/>
      <c r="AF2059" s="76"/>
      <c r="AG2059" s="76"/>
      <c r="AH2059" s="76"/>
      <c r="AI2059" s="76"/>
      <c r="AJ2059" s="76"/>
      <c r="AK2059" s="76"/>
      <c r="AL2059" s="76"/>
      <c r="AM2059" s="76"/>
      <c r="AN2059" s="76"/>
      <c r="AO2059" s="76"/>
      <c r="AP2059" s="76"/>
      <c r="AQ2059" s="76"/>
      <c r="AR2059" s="76"/>
      <c r="AS2059" s="76"/>
      <c r="AT2059" s="76"/>
      <c r="AU2059" s="76"/>
      <c r="AV2059" s="76"/>
      <c r="AW2059" s="76"/>
      <c r="AX2059" s="76"/>
      <c r="AY2059" s="76"/>
      <c r="AZ2059" s="76"/>
      <c r="BA2059" s="76"/>
      <c r="BB2059" s="76"/>
    </row>
    <row r="2060" spans="5:54" x14ac:dyDescent="0.35">
      <c r="E2060" s="83"/>
      <c r="F2060" s="83"/>
      <c r="G2060" s="76"/>
      <c r="H2060" s="76"/>
      <c r="I2060" s="76"/>
      <c r="J2060" s="76"/>
      <c r="K2060" s="76"/>
      <c r="L2060" s="76"/>
      <c r="M2060" s="76"/>
      <c r="N2060" s="76"/>
      <c r="O2060" s="76"/>
      <c r="P2060" s="76"/>
      <c r="Q2060" s="76"/>
      <c r="R2060" s="76"/>
      <c r="S2060" s="76"/>
      <c r="T2060" s="76"/>
      <c r="U2060" s="76"/>
      <c r="V2060" s="76"/>
      <c r="W2060" s="76"/>
      <c r="X2060" s="76"/>
      <c r="Y2060" s="76"/>
      <c r="Z2060" s="76"/>
      <c r="AA2060" s="76"/>
      <c r="AB2060" s="76"/>
      <c r="AC2060" s="76"/>
      <c r="AD2060" s="76"/>
      <c r="AE2060" s="76"/>
      <c r="AF2060" s="76"/>
      <c r="AG2060" s="76"/>
      <c r="AH2060" s="76"/>
      <c r="AI2060" s="76"/>
      <c r="AJ2060" s="76"/>
      <c r="AK2060" s="76"/>
      <c r="AL2060" s="76"/>
      <c r="AM2060" s="76"/>
      <c r="AN2060" s="76"/>
      <c r="AO2060" s="76"/>
      <c r="AP2060" s="76"/>
      <c r="AQ2060" s="76"/>
      <c r="AR2060" s="76"/>
      <c r="AS2060" s="76"/>
      <c r="AT2060" s="76"/>
      <c r="AU2060" s="76"/>
      <c r="AV2060" s="76"/>
      <c r="AW2060" s="76"/>
      <c r="AX2060" s="76"/>
      <c r="AY2060" s="76"/>
      <c r="AZ2060" s="76"/>
      <c r="BA2060" s="76"/>
      <c r="BB2060" s="76"/>
    </row>
    <row r="2061" spans="5:54" x14ac:dyDescent="0.35">
      <c r="E2061" s="83"/>
      <c r="F2061" s="83"/>
      <c r="G2061" s="76"/>
      <c r="H2061" s="76"/>
      <c r="I2061" s="76"/>
      <c r="J2061" s="76"/>
      <c r="K2061" s="76"/>
      <c r="L2061" s="76"/>
      <c r="M2061" s="76"/>
      <c r="N2061" s="76"/>
      <c r="O2061" s="76"/>
      <c r="P2061" s="76"/>
      <c r="Q2061" s="76"/>
      <c r="R2061" s="76"/>
      <c r="S2061" s="76"/>
      <c r="T2061" s="76"/>
      <c r="U2061" s="76"/>
      <c r="V2061" s="76"/>
      <c r="W2061" s="76"/>
      <c r="X2061" s="76"/>
      <c r="Y2061" s="76"/>
      <c r="Z2061" s="76"/>
      <c r="AA2061" s="76"/>
      <c r="AB2061" s="76"/>
      <c r="AC2061" s="76"/>
      <c r="AD2061" s="76"/>
      <c r="AE2061" s="76"/>
      <c r="AF2061" s="76"/>
      <c r="AG2061" s="76"/>
      <c r="AH2061" s="76"/>
      <c r="AI2061" s="76"/>
      <c r="AJ2061" s="76"/>
      <c r="AK2061" s="76"/>
      <c r="AL2061" s="76"/>
      <c r="AM2061" s="76"/>
      <c r="AN2061" s="76"/>
      <c r="AO2061" s="76"/>
      <c r="AP2061" s="76"/>
      <c r="AQ2061" s="76"/>
      <c r="AR2061" s="76"/>
      <c r="AS2061" s="76"/>
      <c r="AT2061" s="76"/>
      <c r="AU2061" s="76"/>
      <c r="AV2061" s="76"/>
      <c r="AW2061" s="76"/>
      <c r="AX2061" s="76"/>
      <c r="AY2061" s="76"/>
      <c r="AZ2061" s="76"/>
      <c r="BA2061" s="76"/>
      <c r="BB2061" s="76"/>
    </row>
    <row r="2062" spans="5:54" x14ac:dyDescent="0.35">
      <c r="E2062" s="83"/>
      <c r="F2062" s="83"/>
      <c r="G2062" s="76"/>
      <c r="H2062" s="76"/>
      <c r="I2062" s="76"/>
      <c r="J2062" s="76"/>
      <c r="K2062" s="76"/>
      <c r="L2062" s="76"/>
      <c r="M2062" s="76"/>
      <c r="N2062" s="76"/>
      <c r="O2062" s="76"/>
      <c r="P2062" s="76"/>
      <c r="Q2062" s="76"/>
      <c r="R2062" s="76"/>
      <c r="S2062" s="76"/>
      <c r="T2062" s="76"/>
      <c r="U2062" s="76"/>
      <c r="V2062" s="76"/>
      <c r="W2062" s="76"/>
      <c r="X2062" s="76"/>
      <c r="Y2062" s="76"/>
      <c r="Z2062" s="76"/>
      <c r="AA2062" s="76"/>
      <c r="AB2062" s="76"/>
      <c r="AC2062" s="76"/>
      <c r="AD2062" s="76"/>
      <c r="AE2062" s="76"/>
      <c r="AF2062" s="76"/>
      <c r="AG2062" s="76"/>
      <c r="AH2062" s="76"/>
      <c r="AI2062" s="76"/>
      <c r="AJ2062" s="76"/>
      <c r="AK2062" s="76"/>
      <c r="AL2062" s="76"/>
      <c r="AM2062" s="76"/>
      <c r="AN2062" s="76"/>
      <c r="AO2062" s="76"/>
      <c r="AP2062" s="76"/>
      <c r="AQ2062" s="76"/>
      <c r="AR2062" s="76"/>
      <c r="AS2062" s="76"/>
      <c r="AT2062" s="76"/>
      <c r="AU2062" s="76"/>
      <c r="AV2062" s="76"/>
      <c r="AW2062" s="76"/>
      <c r="AX2062" s="76"/>
      <c r="AY2062" s="76"/>
      <c r="AZ2062" s="76"/>
      <c r="BA2062" s="76"/>
      <c r="BB2062" s="76"/>
    </row>
    <row r="2063" spans="5:54" x14ac:dyDescent="0.35">
      <c r="E2063" s="83"/>
      <c r="F2063" s="83"/>
      <c r="G2063" s="76"/>
      <c r="H2063" s="76"/>
      <c r="I2063" s="76"/>
      <c r="J2063" s="76"/>
      <c r="K2063" s="76"/>
      <c r="L2063" s="76"/>
      <c r="M2063" s="76"/>
      <c r="N2063" s="76"/>
      <c r="O2063" s="76"/>
      <c r="P2063" s="76"/>
      <c r="Q2063" s="76"/>
      <c r="R2063" s="76"/>
      <c r="S2063" s="76"/>
      <c r="T2063" s="76"/>
      <c r="U2063" s="76"/>
      <c r="V2063" s="76"/>
      <c r="W2063" s="76"/>
      <c r="X2063" s="76"/>
      <c r="Y2063" s="76"/>
      <c r="Z2063" s="76"/>
      <c r="AA2063" s="76"/>
      <c r="AB2063" s="76"/>
      <c r="AC2063" s="76"/>
      <c r="AD2063" s="76"/>
      <c r="AE2063" s="76"/>
      <c r="AF2063" s="76"/>
      <c r="AG2063" s="76"/>
      <c r="AH2063" s="76"/>
      <c r="AI2063" s="76"/>
      <c r="AJ2063" s="76"/>
      <c r="AK2063" s="76"/>
      <c r="AL2063" s="76"/>
      <c r="AM2063" s="76"/>
      <c r="AN2063" s="76"/>
      <c r="AO2063" s="76"/>
      <c r="AP2063" s="76"/>
      <c r="AQ2063" s="76"/>
      <c r="AR2063" s="76"/>
      <c r="AS2063" s="76"/>
      <c r="AT2063" s="76"/>
      <c r="AU2063" s="76"/>
      <c r="AV2063" s="76"/>
      <c r="AW2063" s="76"/>
      <c r="AX2063" s="76"/>
      <c r="AY2063" s="76"/>
      <c r="AZ2063" s="76"/>
      <c r="BA2063" s="76"/>
      <c r="BB2063" s="76"/>
    </row>
    <row r="2064" spans="5:54" x14ac:dyDescent="0.35">
      <c r="E2064" s="83"/>
      <c r="F2064" s="83"/>
      <c r="G2064" s="76"/>
      <c r="H2064" s="76"/>
      <c r="I2064" s="76"/>
      <c r="J2064" s="76"/>
      <c r="K2064" s="76"/>
      <c r="L2064" s="76"/>
      <c r="M2064" s="76"/>
      <c r="N2064" s="76"/>
      <c r="O2064" s="76"/>
      <c r="P2064" s="76"/>
      <c r="Q2064" s="76"/>
      <c r="R2064" s="76"/>
      <c r="S2064" s="76"/>
      <c r="T2064" s="76"/>
      <c r="U2064" s="76"/>
      <c r="V2064" s="76"/>
      <c r="W2064" s="76"/>
      <c r="X2064" s="76"/>
      <c r="Y2064" s="76"/>
      <c r="Z2064" s="76"/>
      <c r="AA2064" s="76"/>
      <c r="AB2064" s="76"/>
      <c r="AC2064" s="76"/>
      <c r="AD2064" s="76"/>
      <c r="AE2064" s="76"/>
      <c r="AF2064" s="76"/>
      <c r="AG2064" s="76"/>
      <c r="AH2064" s="76"/>
      <c r="AI2064" s="76"/>
      <c r="AJ2064" s="76"/>
      <c r="AK2064" s="76"/>
      <c r="AL2064" s="76"/>
      <c r="AM2064" s="76"/>
      <c r="AN2064" s="76"/>
      <c r="AO2064" s="76"/>
      <c r="AP2064" s="76"/>
      <c r="AQ2064" s="76"/>
      <c r="AR2064" s="76"/>
      <c r="AS2064" s="76"/>
      <c r="AT2064" s="76"/>
      <c r="AU2064" s="76"/>
      <c r="AV2064" s="76"/>
      <c r="AW2064" s="76"/>
      <c r="AX2064" s="76"/>
      <c r="AY2064" s="76"/>
      <c r="AZ2064" s="76"/>
      <c r="BA2064" s="76"/>
      <c r="BB2064" s="76"/>
    </row>
    <row r="2065" spans="5:54" x14ac:dyDescent="0.35">
      <c r="E2065" s="83"/>
      <c r="F2065" s="83"/>
      <c r="G2065" s="76"/>
      <c r="H2065" s="76"/>
      <c r="I2065" s="76"/>
      <c r="J2065" s="76"/>
      <c r="K2065" s="76"/>
      <c r="L2065" s="76"/>
      <c r="M2065" s="76"/>
      <c r="N2065" s="76"/>
      <c r="O2065" s="76"/>
      <c r="P2065" s="76"/>
      <c r="Q2065" s="76"/>
      <c r="R2065" s="76"/>
      <c r="S2065" s="76"/>
      <c r="T2065" s="76"/>
      <c r="U2065" s="76"/>
      <c r="V2065" s="76"/>
      <c r="W2065" s="76"/>
      <c r="X2065" s="76"/>
      <c r="Y2065" s="76"/>
      <c r="Z2065" s="76"/>
      <c r="AA2065" s="76"/>
      <c r="AB2065" s="76"/>
      <c r="AC2065" s="76"/>
      <c r="AD2065" s="76"/>
      <c r="AE2065" s="76"/>
      <c r="AF2065" s="76"/>
      <c r="AG2065" s="76"/>
      <c r="AH2065" s="76"/>
      <c r="AI2065" s="76"/>
      <c r="AJ2065" s="76"/>
      <c r="AK2065" s="76"/>
      <c r="AL2065" s="76"/>
      <c r="AM2065" s="76"/>
      <c r="AN2065" s="76"/>
      <c r="AO2065" s="76"/>
      <c r="AP2065" s="76"/>
      <c r="AQ2065" s="76"/>
      <c r="AR2065" s="76"/>
      <c r="AS2065" s="76"/>
      <c r="AT2065" s="76"/>
      <c r="AU2065" s="76"/>
      <c r="AV2065" s="76"/>
      <c r="AW2065" s="76"/>
      <c r="AX2065" s="76"/>
      <c r="AY2065" s="76"/>
      <c r="AZ2065" s="76"/>
      <c r="BA2065" s="76"/>
      <c r="BB2065" s="76"/>
    </row>
    <row r="2066" spans="5:54" x14ac:dyDescent="0.35">
      <c r="E2066" s="83"/>
      <c r="F2066" s="83"/>
      <c r="G2066" s="76"/>
      <c r="H2066" s="76"/>
      <c r="I2066" s="76"/>
      <c r="J2066" s="76"/>
      <c r="K2066" s="76"/>
      <c r="L2066" s="76"/>
      <c r="M2066" s="76"/>
      <c r="N2066" s="76"/>
      <c r="O2066" s="76"/>
      <c r="P2066" s="76"/>
      <c r="Q2066" s="76"/>
      <c r="R2066" s="76"/>
      <c r="S2066" s="76"/>
      <c r="T2066" s="76"/>
      <c r="U2066" s="76"/>
      <c r="V2066" s="76"/>
      <c r="W2066" s="76"/>
      <c r="X2066" s="76"/>
      <c r="Y2066" s="76"/>
      <c r="Z2066" s="76"/>
      <c r="AA2066" s="76"/>
      <c r="AB2066" s="76"/>
      <c r="AC2066" s="76"/>
      <c r="AD2066" s="76"/>
      <c r="AE2066" s="76"/>
      <c r="AF2066" s="76"/>
      <c r="AG2066" s="76"/>
      <c r="AH2066" s="76"/>
      <c r="AI2066" s="76"/>
      <c r="AJ2066" s="76"/>
      <c r="AK2066" s="76"/>
      <c r="AL2066" s="76"/>
      <c r="AM2066" s="76"/>
      <c r="AN2066" s="76"/>
      <c r="AO2066" s="76"/>
      <c r="AP2066" s="76"/>
      <c r="AQ2066" s="76"/>
      <c r="AR2066" s="76"/>
      <c r="AS2066" s="76"/>
      <c r="AT2066" s="76"/>
      <c r="AU2066" s="76"/>
      <c r="AV2066" s="76"/>
      <c r="AW2066" s="76"/>
      <c r="AX2066" s="76"/>
      <c r="AY2066" s="76"/>
      <c r="AZ2066" s="76"/>
      <c r="BA2066" s="76"/>
      <c r="BB2066" s="76"/>
    </row>
    <row r="2067" spans="5:54" x14ac:dyDescent="0.35">
      <c r="E2067" s="83"/>
      <c r="F2067" s="83"/>
      <c r="G2067" s="76"/>
      <c r="H2067" s="76"/>
      <c r="I2067" s="76"/>
      <c r="J2067" s="76"/>
      <c r="K2067" s="76"/>
      <c r="L2067" s="76"/>
      <c r="M2067" s="76"/>
      <c r="N2067" s="76"/>
      <c r="O2067" s="76"/>
      <c r="P2067" s="76"/>
      <c r="Q2067" s="76"/>
      <c r="R2067" s="76"/>
      <c r="S2067" s="76"/>
      <c r="T2067" s="76"/>
      <c r="U2067" s="76"/>
      <c r="V2067" s="76"/>
      <c r="W2067" s="76"/>
      <c r="X2067" s="76"/>
      <c r="Y2067" s="76"/>
      <c r="Z2067" s="76"/>
      <c r="AA2067" s="76"/>
      <c r="AB2067" s="76"/>
      <c r="AC2067" s="76"/>
      <c r="AD2067" s="76"/>
      <c r="AE2067" s="76"/>
      <c r="AF2067" s="76"/>
      <c r="AG2067" s="76"/>
      <c r="AH2067" s="76"/>
      <c r="AI2067" s="76"/>
      <c r="AJ2067" s="76"/>
      <c r="AK2067" s="76"/>
      <c r="AL2067" s="76"/>
      <c r="AM2067" s="76"/>
      <c r="AN2067" s="76"/>
      <c r="AO2067" s="76"/>
      <c r="AP2067" s="76"/>
      <c r="AQ2067" s="76"/>
      <c r="AR2067" s="76"/>
      <c r="AS2067" s="76"/>
      <c r="AT2067" s="76"/>
      <c r="AU2067" s="76"/>
      <c r="AV2067" s="76"/>
      <c r="AW2067" s="76"/>
      <c r="AX2067" s="76"/>
      <c r="AY2067" s="76"/>
      <c r="AZ2067" s="76"/>
      <c r="BA2067" s="76"/>
      <c r="BB2067" s="76"/>
    </row>
    <row r="2068" spans="5:54" x14ac:dyDescent="0.35">
      <c r="E2068" s="83"/>
      <c r="F2068" s="83"/>
      <c r="G2068" s="76"/>
      <c r="H2068" s="76"/>
      <c r="I2068" s="76"/>
      <c r="J2068" s="76"/>
      <c r="K2068" s="76"/>
      <c r="L2068" s="76"/>
      <c r="M2068" s="76"/>
      <c r="N2068" s="76"/>
      <c r="O2068" s="76"/>
      <c r="P2068" s="76"/>
      <c r="Q2068" s="76"/>
      <c r="R2068" s="76"/>
      <c r="S2068" s="76"/>
      <c r="T2068" s="76"/>
      <c r="U2068" s="76"/>
      <c r="V2068" s="76"/>
      <c r="W2068" s="76"/>
      <c r="X2068" s="76"/>
      <c r="Y2068" s="76"/>
      <c r="Z2068" s="76"/>
      <c r="AA2068" s="76"/>
      <c r="AB2068" s="76"/>
      <c r="AC2068" s="76"/>
      <c r="AD2068" s="76"/>
      <c r="AE2068" s="76"/>
      <c r="AF2068" s="76"/>
      <c r="AG2068" s="76"/>
      <c r="AH2068" s="76"/>
      <c r="AI2068" s="76"/>
      <c r="AJ2068" s="76"/>
      <c r="AK2068" s="76"/>
      <c r="AL2068" s="76"/>
      <c r="AM2068" s="76"/>
      <c r="AN2068" s="76"/>
      <c r="AO2068" s="76"/>
      <c r="AP2068" s="76"/>
      <c r="AQ2068" s="76"/>
      <c r="AR2068" s="76"/>
      <c r="AS2068" s="76"/>
      <c r="AT2068" s="76"/>
      <c r="AU2068" s="76"/>
      <c r="AV2068" s="76"/>
      <c r="AW2068" s="76"/>
      <c r="AX2068" s="76"/>
      <c r="AY2068" s="76"/>
      <c r="AZ2068" s="76"/>
      <c r="BA2068" s="76"/>
      <c r="BB2068" s="76"/>
    </row>
    <row r="2069" spans="5:54" x14ac:dyDescent="0.35">
      <c r="E2069" s="83"/>
      <c r="F2069" s="83"/>
      <c r="G2069" s="76"/>
      <c r="H2069" s="76"/>
      <c r="I2069" s="76"/>
      <c r="J2069" s="76"/>
      <c r="K2069" s="76"/>
      <c r="L2069" s="76"/>
      <c r="M2069" s="76"/>
      <c r="N2069" s="76"/>
      <c r="O2069" s="76"/>
      <c r="P2069" s="76"/>
      <c r="Q2069" s="76"/>
      <c r="R2069" s="76"/>
      <c r="S2069" s="76"/>
      <c r="T2069" s="76"/>
      <c r="U2069" s="76"/>
      <c r="V2069" s="76"/>
      <c r="W2069" s="76"/>
      <c r="X2069" s="76"/>
      <c r="Y2069" s="76"/>
      <c r="Z2069" s="76"/>
      <c r="AA2069" s="76"/>
      <c r="AB2069" s="76"/>
      <c r="AC2069" s="76"/>
      <c r="AD2069" s="76"/>
      <c r="AE2069" s="76"/>
      <c r="AF2069" s="76"/>
      <c r="AG2069" s="76"/>
      <c r="AH2069" s="76"/>
      <c r="AI2069" s="76"/>
      <c r="AJ2069" s="76"/>
      <c r="AK2069" s="76"/>
      <c r="AL2069" s="76"/>
      <c r="AM2069" s="76"/>
      <c r="AN2069" s="76"/>
      <c r="AO2069" s="76"/>
      <c r="AP2069" s="76"/>
      <c r="AQ2069" s="76"/>
      <c r="AR2069" s="76"/>
      <c r="AS2069" s="76"/>
      <c r="AT2069" s="76"/>
      <c r="AU2069" s="76"/>
      <c r="AV2069" s="76"/>
      <c r="AW2069" s="76"/>
      <c r="AX2069" s="76"/>
      <c r="AY2069" s="76"/>
      <c r="AZ2069" s="76"/>
      <c r="BA2069" s="76"/>
      <c r="BB2069" s="76"/>
    </row>
    <row r="2070" spans="5:54" x14ac:dyDescent="0.35">
      <c r="E2070" s="83"/>
      <c r="F2070" s="83"/>
      <c r="G2070" s="76"/>
      <c r="H2070" s="76"/>
      <c r="I2070" s="76"/>
      <c r="J2070" s="76"/>
      <c r="K2070" s="76"/>
      <c r="L2070" s="76"/>
      <c r="M2070" s="76"/>
      <c r="N2070" s="76"/>
      <c r="O2070" s="76"/>
      <c r="P2070" s="76"/>
      <c r="Q2070" s="76"/>
      <c r="R2070" s="76"/>
      <c r="S2070" s="76"/>
      <c r="T2070" s="76"/>
      <c r="U2070" s="76"/>
      <c r="V2070" s="76"/>
      <c r="W2070" s="76"/>
      <c r="X2070" s="76"/>
      <c r="Y2070" s="76"/>
      <c r="Z2070" s="76"/>
      <c r="AA2070" s="76"/>
      <c r="AB2070" s="76"/>
      <c r="AC2070" s="76"/>
      <c r="AD2070" s="76"/>
      <c r="AE2070" s="76"/>
      <c r="AF2070" s="76"/>
      <c r="AG2070" s="76"/>
      <c r="AH2070" s="76"/>
      <c r="AI2070" s="76"/>
      <c r="AJ2070" s="76"/>
      <c r="AK2070" s="76"/>
      <c r="AL2070" s="76"/>
      <c r="AM2070" s="76"/>
      <c r="AN2070" s="76"/>
      <c r="AO2070" s="76"/>
      <c r="AP2070" s="76"/>
      <c r="AQ2070" s="76"/>
      <c r="AR2070" s="76"/>
      <c r="AS2070" s="76"/>
      <c r="AT2070" s="76"/>
      <c r="AU2070" s="76"/>
      <c r="AV2070" s="76"/>
      <c r="AW2070" s="76"/>
      <c r="AX2070" s="76"/>
      <c r="AY2070" s="76"/>
      <c r="AZ2070" s="76"/>
      <c r="BA2070" s="76"/>
      <c r="BB2070" s="76"/>
    </row>
    <row r="2071" spans="5:54" x14ac:dyDescent="0.35">
      <c r="E2071" s="83"/>
      <c r="F2071" s="83"/>
      <c r="G2071" s="76"/>
      <c r="H2071" s="76"/>
      <c r="I2071" s="76"/>
      <c r="J2071" s="76"/>
      <c r="K2071" s="76"/>
      <c r="L2071" s="76"/>
      <c r="M2071" s="76"/>
      <c r="N2071" s="76"/>
      <c r="O2071" s="76"/>
      <c r="P2071" s="76"/>
      <c r="Q2071" s="76"/>
      <c r="R2071" s="76"/>
      <c r="S2071" s="76"/>
      <c r="T2071" s="76"/>
      <c r="U2071" s="76"/>
      <c r="V2071" s="76"/>
      <c r="W2071" s="76"/>
      <c r="X2071" s="76"/>
      <c r="Y2071" s="76"/>
      <c r="Z2071" s="76"/>
      <c r="AA2071" s="76"/>
      <c r="AB2071" s="76"/>
      <c r="AC2071" s="76"/>
      <c r="AD2071" s="76"/>
      <c r="AE2071" s="76"/>
      <c r="AF2071" s="76"/>
      <c r="AG2071" s="76"/>
      <c r="AH2071" s="76"/>
      <c r="AI2071" s="76"/>
      <c r="AJ2071" s="76"/>
      <c r="AK2071" s="76"/>
      <c r="AL2071" s="76"/>
      <c r="AM2071" s="76"/>
      <c r="AN2071" s="76"/>
      <c r="AO2071" s="76"/>
      <c r="AP2071" s="76"/>
      <c r="AQ2071" s="76"/>
      <c r="AR2071" s="76"/>
      <c r="AS2071" s="76"/>
      <c r="AT2071" s="76"/>
      <c r="AU2071" s="76"/>
      <c r="AV2071" s="76"/>
      <c r="AW2071" s="76"/>
      <c r="AX2071" s="76"/>
      <c r="AY2071" s="76"/>
      <c r="AZ2071" s="76"/>
      <c r="BA2071" s="76"/>
      <c r="BB2071" s="76"/>
    </row>
    <row r="2072" spans="5:54" x14ac:dyDescent="0.35">
      <c r="E2072" s="83"/>
      <c r="F2072" s="83"/>
      <c r="G2072" s="76"/>
      <c r="H2072" s="76"/>
      <c r="I2072" s="76"/>
      <c r="J2072" s="76"/>
      <c r="K2072" s="76"/>
      <c r="L2072" s="76"/>
      <c r="M2072" s="76"/>
      <c r="N2072" s="76"/>
      <c r="O2072" s="76"/>
      <c r="P2072" s="76"/>
      <c r="Q2072" s="76"/>
      <c r="R2072" s="76"/>
      <c r="S2072" s="76"/>
      <c r="T2072" s="76"/>
      <c r="U2072" s="76"/>
      <c r="V2072" s="76"/>
      <c r="W2072" s="76"/>
      <c r="X2072" s="76"/>
      <c r="Y2072" s="76"/>
      <c r="Z2072" s="76"/>
      <c r="AA2072" s="76"/>
      <c r="AB2072" s="76"/>
      <c r="AC2072" s="76"/>
      <c r="AD2072" s="76"/>
      <c r="AE2072" s="76"/>
      <c r="AF2072" s="76"/>
      <c r="AG2072" s="76"/>
      <c r="AH2072" s="76"/>
      <c r="AI2072" s="76"/>
      <c r="AJ2072" s="76"/>
      <c r="AK2072" s="76"/>
      <c r="AL2072" s="76"/>
      <c r="AM2072" s="76"/>
      <c r="AN2072" s="76"/>
      <c r="AO2072" s="76"/>
      <c r="AP2072" s="76"/>
      <c r="AQ2072" s="76"/>
      <c r="AR2072" s="76"/>
      <c r="AS2072" s="76"/>
      <c r="AT2072" s="76"/>
      <c r="AU2072" s="76"/>
      <c r="AV2072" s="76"/>
      <c r="AW2072" s="76"/>
      <c r="AX2072" s="76"/>
      <c r="AY2072" s="76"/>
      <c r="AZ2072" s="76"/>
      <c r="BA2072" s="76"/>
      <c r="BB2072" s="76"/>
    </row>
    <row r="2073" spans="5:54" x14ac:dyDescent="0.35">
      <c r="E2073" s="83"/>
      <c r="F2073" s="83"/>
      <c r="G2073" s="76"/>
      <c r="H2073" s="76"/>
      <c r="I2073" s="76"/>
      <c r="J2073" s="76"/>
      <c r="K2073" s="76"/>
      <c r="L2073" s="76"/>
      <c r="M2073" s="76"/>
      <c r="N2073" s="76"/>
      <c r="O2073" s="76"/>
      <c r="P2073" s="76"/>
      <c r="Q2073" s="76"/>
      <c r="R2073" s="76"/>
      <c r="S2073" s="76"/>
      <c r="T2073" s="76"/>
      <c r="U2073" s="76"/>
      <c r="V2073" s="76"/>
      <c r="W2073" s="76"/>
      <c r="X2073" s="76"/>
      <c r="Y2073" s="76"/>
      <c r="Z2073" s="76"/>
      <c r="AA2073" s="76"/>
      <c r="AB2073" s="76"/>
      <c r="AC2073" s="76"/>
      <c r="AD2073" s="76"/>
      <c r="AE2073" s="76"/>
      <c r="AF2073" s="76"/>
      <c r="AG2073" s="76"/>
      <c r="AH2073" s="76"/>
      <c r="AI2073" s="76"/>
      <c r="AJ2073" s="76"/>
      <c r="AK2073" s="76"/>
      <c r="AL2073" s="76"/>
      <c r="AM2073" s="76"/>
      <c r="AN2073" s="76"/>
      <c r="AO2073" s="76"/>
      <c r="AP2073" s="76"/>
      <c r="AQ2073" s="76"/>
      <c r="AR2073" s="76"/>
      <c r="AS2073" s="76"/>
      <c r="AT2073" s="76"/>
      <c r="AU2073" s="76"/>
      <c r="AV2073" s="76"/>
      <c r="AW2073" s="76"/>
      <c r="AX2073" s="76"/>
      <c r="AY2073" s="76"/>
      <c r="AZ2073" s="76"/>
      <c r="BA2073" s="76"/>
      <c r="BB2073" s="76"/>
    </row>
    <row r="2074" spans="5:54" x14ac:dyDescent="0.35">
      <c r="E2074" s="83"/>
      <c r="F2074" s="83"/>
      <c r="G2074" s="76"/>
      <c r="H2074" s="76"/>
      <c r="I2074" s="76"/>
      <c r="J2074" s="76"/>
      <c r="K2074" s="76"/>
      <c r="L2074" s="76"/>
      <c r="M2074" s="76"/>
      <c r="N2074" s="76"/>
      <c r="O2074" s="76"/>
      <c r="P2074" s="76"/>
      <c r="Q2074" s="76"/>
      <c r="R2074" s="76"/>
      <c r="S2074" s="76"/>
      <c r="T2074" s="76"/>
      <c r="U2074" s="76"/>
      <c r="V2074" s="76"/>
      <c r="W2074" s="76"/>
      <c r="X2074" s="76"/>
      <c r="Y2074" s="76"/>
      <c r="Z2074" s="76"/>
      <c r="AA2074" s="76"/>
      <c r="AB2074" s="76"/>
      <c r="AC2074" s="76"/>
      <c r="AD2074" s="76"/>
      <c r="AE2074" s="76"/>
      <c r="AF2074" s="76"/>
      <c r="AG2074" s="76"/>
      <c r="AH2074" s="76"/>
      <c r="AI2074" s="76"/>
      <c r="AJ2074" s="76"/>
      <c r="AK2074" s="76"/>
      <c r="AL2074" s="76"/>
      <c r="AM2074" s="76"/>
      <c r="AN2074" s="76"/>
      <c r="AO2074" s="76"/>
      <c r="AP2074" s="76"/>
      <c r="AQ2074" s="76"/>
      <c r="AR2074" s="76"/>
      <c r="AS2074" s="76"/>
      <c r="AT2074" s="76"/>
      <c r="AU2074" s="76"/>
      <c r="AV2074" s="76"/>
      <c r="AW2074" s="76"/>
      <c r="AX2074" s="76"/>
      <c r="AY2074" s="76"/>
      <c r="AZ2074" s="76"/>
      <c r="BA2074" s="76"/>
      <c r="BB2074" s="76"/>
    </row>
    <row r="2075" spans="5:54" x14ac:dyDescent="0.35">
      <c r="E2075" s="83"/>
      <c r="F2075" s="83"/>
      <c r="G2075" s="76"/>
      <c r="H2075" s="76"/>
      <c r="I2075" s="76"/>
      <c r="J2075" s="76"/>
      <c r="K2075" s="76"/>
      <c r="L2075" s="76"/>
      <c r="M2075" s="76"/>
      <c r="N2075" s="76"/>
      <c r="O2075" s="76"/>
      <c r="P2075" s="76"/>
      <c r="Q2075" s="76"/>
      <c r="R2075" s="76"/>
      <c r="S2075" s="76"/>
      <c r="T2075" s="76"/>
      <c r="U2075" s="76"/>
      <c r="V2075" s="76"/>
      <c r="W2075" s="76"/>
      <c r="X2075" s="76"/>
      <c r="Y2075" s="76"/>
      <c r="Z2075" s="76"/>
      <c r="AA2075" s="76"/>
      <c r="AB2075" s="76"/>
      <c r="AC2075" s="76"/>
      <c r="AD2075" s="76"/>
      <c r="AE2075" s="76"/>
      <c r="AF2075" s="76"/>
      <c r="AG2075" s="76"/>
      <c r="AH2075" s="76"/>
      <c r="AI2075" s="76"/>
      <c r="AJ2075" s="76"/>
      <c r="AK2075" s="76"/>
      <c r="AL2075" s="76"/>
      <c r="AM2075" s="76"/>
      <c r="AN2075" s="76"/>
      <c r="AO2075" s="76"/>
      <c r="AP2075" s="76"/>
      <c r="AQ2075" s="76"/>
      <c r="AR2075" s="76"/>
      <c r="AS2075" s="76"/>
      <c r="AT2075" s="76"/>
      <c r="AU2075" s="76"/>
      <c r="AV2075" s="76"/>
      <c r="AW2075" s="76"/>
      <c r="AX2075" s="76"/>
      <c r="AY2075" s="76"/>
      <c r="AZ2075" s="76"/>
      <c r="BA2075" s="76"/>
      <c r="BB2075" s="76"/>
    </row>
    <row r="2076" spans="5:54" x14ac:dyDescent="0.35">
      <c r="E2076" s="83"/>
      <c r="F2076" s="83"/>
      <c r="G2076" s="76"/>
      <c r="H2076" s="76"/>
      <c r="I2076" s="76"/>
      <c r="J2076" s="76"/>
      <c r="K2076" s="76"/>
      <c r="L2076" s="76"/>
      <c r="M2076" s="76"/>
      <c r="N2076" s="76"/>
      <c r="O2076" s="76"/>
      <c r="P2076" s="76"/>
      <c r="Q2076" s="76"/>
      <c r="R2076" s="76"/>
      <c r="S2076" s="76"/>
      <c r="T2076" s="76"/>
      <c r="U2076" s="76"/>
      <c r="V2076" s="76"/>
      <c r="W2076" s="76"/>
      <c r="X2076" s="76"/>
      <c r="Y2076" s="76"/>
      <c r="Z2076" s="76"/>
      <c r="AA2076" s="76"/>
      <c r="AB2076" s="76"/>
      <c r="AC2076" s="76"/>
      <c r="AD2076" s="76"/>
      <c r="AE2076" s="76"/>
      <c r="AF2076" s="76"/>
      <c r="AG2076" s="76"/>
      <c r="AH2076" s="76"/>
      <c r="AI2076" s="76"/>
      <c r="AJ2076" s="76"/>
      <c r="AK2076" s="76"/>
      <c r="AL2076" s="76"/>
      <c r="AM2076" s="76"/>
      <c r="AN2076" s="76"/>
      <c r="AO2076" s="76"/>
      <c r="AP2076" s="76"/>
      <c r="AQ2076" s="76"/>
      <c r="AR2076" s="76"/>
      <c r="AS2076" s="76"/>
      <c r="AT2076" s="76"/>
      <c r="AU2076" s="76"/>
      <c r="AV2076" s="76"/>
      <c r="AW2076" s="76"/>
      <c r="AX2076" s="76"/>
      <c r="AY2076" s="76"/>
      <c r="AZ2076" s="76"/>
      <c r="BA2076" s="76"/>
      <c r="BB2076" s="76"/>
    </row>
    <row r="2077" spans="5:54" x14ac:dyDescent="0.35">
      <c r="E2077" s="83"/>
      <c r="F2077" s="83"/>
      <c r="G2077" s="76"/>
      <c r="H2077" s="76"/>
      <c r="I2077" s="76"/>
      <c r="J2077" s="76"/>
      <c r="K2077" s="76"/>
      <c r="L2077" s="76"/>
      <c r="M2077" s="76"/>
      <c r="N2077" s="76"/>
      <c r="O2077" s="76"/>
      <c r="P2077" s="76"/>
      <c r="Q2077" s="76"/>
      <c r="R2077" s="76"/>
      <c r="S2077" s="76"/>
      <c r="T2077" s="76"/>
      <c r="U2077" s="76"/>
      <c r="V2077" s="76"/>
      <c r="W2077" s="76"/>
      <c r="X2077" s="76"/>
      <c r="Y2077" s="76"/>
      <c r="Z2077" s="76"/>
      <c r="AA2077" s="76"/>
      <c r="AB2077" s="76"/>
      <c r="AC2077" s="76"/>
      <c r="AD2077" s="76"/>
      <c r="AE2077" s="76"/>
      <c r="AF2077" s="76"/>
      <c r="AG2077" s="76"/>
      <c r="AH2077" s="76"/>
      <c r="AI2077" s="76"/>
      <c r="AJ2077" s="76"/>
      <c r="AK2077" s="76"/>
      <c r="AL2077" s="76"/>
      <c r="AM2077" s="76"/>
      <c r="AN2077" s="76"/>
      <c r="AO2077" s="76"/>
      <c r="AP2077" s="76"/>
      <c r="AQ2077" s="76"/>
      <c r="AR2077" s="76"/>
      <c r="AS2077" s="76"/>
      <c r="AT2077" s="76"/>
      <c r="AU2077" s="76"/>
      <c r="AV2077" s="76"/>
      <c r="AW2077" s="76"/>
      <c r="AX2077" s="76"/>
      <c r="AY2077" s="76"/>
      <c r="AZ2077" s="76"/>
      <c r="BA2077" s="76"/>
      <c r="BB2077" s="76"/>
    </row>
    <row r="2078" spans="5:54" x14ac:dyDescent="0.35">
      <c r="E2078" s="83"/>
      <c r="F2078" s="83"/>
      <c r="G2078" s="76"/>
      <c r="H2078" s="76"/>
      <c r="I2078" s="76"/>
      <c r="J2078" s="76"/>
      <c r="K2078" s="76"/>
      <c r="L2078" s="76"/>
      <c r="M2078" s="76"/>
      <c r="N2078" s="76"/>
      <c r="O2078" s="76"/>
      <c r="P2078" s="76"/>
      <c r="Q2078" s="76"/>
      <c r="R2078" s="76"/>
      <c r="S2078" s="76"/>
      <c r="T2078" s="76"/>
      <c r="U2078" s="76"/>
      <c r="V2078" s="76"/>
      <c r="W2078" s="76"/>
      <c r="X2078" s="76"/>
      <c r="Y2078" s="76"/>
      <c r="Z2078" s="76"/>
      <c r="AA2078" s="76"/>
      <c r="AB2078" s="76"/>
      <c r="AC2078" s="76"/>
      <c r="AD2078" s="76"/>
      <c r="AE2078" s="76"/>
      <c r="AF2078" s="76"/>
      <c r="AG2078" s="76"/>
      <c r="AH2078" s="76"/>
      <c r="AI2078" s="76"/>
      <c r="AJ2078" s="76"/>
      <c r="AK2078" s="76"/>
      <c r="AL2078" s="76"/>
      <c r="AM2078" s="76"/>
      <c r="AN2078" s="76"/>
      <c r="AO2078" s="76"/>
      <c r="AP2078" s="76"/>
      <c r="AQ2078" s="76"/>
      <c r="AR2078" s="76"/>
      <c r="AS2078" s="76"/>
      <c r="AT2078" s="76"/>
      <c r="AU2078" s="76"/>
      <c r="AV2078" s="76"/>
      <c r="AW2078" s="76"/>
      <c r="AX2078" s="76"/>
      <c r="AY2078" s="76"/>
      <c r="AZ2078" s="76"/>
      <c r="BA2078" s="76"/>
      <c r="BB2078" s="76"/>
    </row>
    <row r="2079" spans="5:54" x14ac:dyDescent="0.35">
      <c r="E2079" s="83"/>
      <c r="F2079" s="83"/>
      <c r="G2079" s="76"/>
      <c r="H2079" s="76"/>
      <c r="I2079" s="76"/>
      <c r="J2079" s="76"/>
      <c r="K2079" s="76"/>
      <c r="L2079" s="76"/>
      <c r="M2079" s="76"/>
      <c r="N2079" s="76"/>
      <c r="O2079" s="76"/>
      <c r="P2079" s="76"/>
      <c r="Q2079" s="76"/>
      <c r="R2079" s="76"/>
      <c r="S2079" s="76"/>
      <c r="T2079" s="76"/>
      <c r="U2079" s="76"/>
      <c r="V2079" s="76"/>
      <c r="W2079" s="76"/>
      <c r="X2079" s="76"/>
      <c r="Y2079" s="76"/>
      <c r="Z2079" s="76"/>
      <c r="AA2079" s="76"/>
      <c r="AB2079" s="76"/>
      <c r="AC2079" s="76"/>
      <c r="AD2079" s="76"/>
      <c r="AE2079" s="76"/>
      <c r="AF2079" s="76"/>
      <c r="AG2079" s="76"/>
      <c r="AH2079" s="76"/>
      <c r="AI2079" s="76"/>
      <c r="AJ2079" s="76"/>
      <c r="AK2079" s="76"/>
      <c r="AL2079" s="76"/>
      <c r="AM2079" s="76"/>
      <c r="AN2079" s="76"/>
      <c r="AO2079" s="76"/>
      <c r="AP2079" s="76"/>
      <c r="AQ2079" s="76"/>
      <c r="AR2079" s="76"/>
      <c r="AS2079" s="76"/>
      <c r="AT2079" s="76"/>
      <c r="AU2079" s="76"/>
      <c r="AV2079" s="76"/>
      <c r="AW2079" s="76"/>
      <c r="AX2079" s="76"/>
      <c r="AY2079" s="76"/>
      <c r="AZ2079" s="76"/>
      <c r="BA2079" s="76"/>
      <c r="BB2079" s="76"/>
    </row>
    <row r="2080" spans="5:54" x14ac:dyDescent="0.35">
      <c r="E2080" s="83"/>
      <c r="F2080" s="83"/>
      <c r="G2080" s="76"/>
      <c r="H2080" s="76"/>
      <c r="I2080" s="76"/>
      <c r="J2080" s="76"/>
      <c r="K2080" s="76"/>
      <c r="L2080" s="76"/>
      <c r="M2080" s="76"/>
      <c r="N2080" s="76"/>
      <c r="O2080" s="76"/>
      <c r="P2080" s="76"/>
      <c r="Q2080" s="76"/>
      <c r="R2080" s="76"/>
      <c r="S2080" s="76"/>
      <c r="T2080" s="76"/>
      <c r="U2080" s="76"/>
      <c r="V2080" s="76"/>
      <c r="W2080" s="76"/>
      <c r="X2080" s="76"/>
      <c r="Y2080" s="76"/>
      <c r="Z2080" s="76"/>
      <c r="AA2080" s="76"/>
      <c r="AB2080" s="76"/>
      <c r="AC2080" s="76"/>
      <c r="AD2080" s="76"/>
      <c r="AE2080" s="76"/>
      <c r="AF2080" s="76"/>
      <c r="AG2080" s="76"/>
      <c r="AH2080" s="76"/>
      <c r="AI2080" s="76"/>
      <c r="AJ2080" s="76"/>
      <c r="AK2080" s="76"/>
      <c r="AL2080" s="76"/>
      <c r="AM2080" s="76"/>
      <c r="AN2080" s="76"/>
      <c r="AO2080" s="76"/>
      <c r="AP2080" s="76"/>
      <c r="AQ2080" s="76"/>
      <c r="AR2080" s="76"/>
      <c r="AS2080" s="76"/>
      <c r="AT2080" s="76"/>
      <c r="AU2080" s="76"/>
      <c r="AV2080" s="76"/>
      <c r="AW2080" s="76"/>
      <c r="AX2080" s="76"/>
      <c r="AY2080" s="76"/>
      <c r="AZ2080" s="76"/>
      <c r="BA2080" s="76"/>
      <c r="BB2080" s="76"/>
    </row>
    <row r="2081" spans="5:54" x14ac:dyDescent="0.35">
      <c r="E2081" s="83"/>
      <c r="F2081" s="83"/>
      <c r="G2081" s="76"/>
      <c r="H2081" s="76"/>
      <c r="I2081" s="76"/>
      <c r="J2081" s="76"/>
      <c r="K2081" s="76"/>
      <c r="L2081" s="76"/>
      <c r="M2081" s="76"/>
      <c r="N2081" s="76"/>
      <c r="O2081" s="76"/>
      <c r="P2081" s="76"/>
      <c r="Q2081" s="76"/>
      <c r="R2081" s="76"/>
      <c r="S2081" s="76"/>
      <c r="T2081" s="76"/>
      <c r="U2081" s="76"/>
      <c r="V2081" s="76"/>
      <c r="W2081" s="76"/>
      <c r="X2081" s="76"/>
      <c r="Y2081" s="76"/>
      <c r="Z2081" s="76"/>
      <c r="AA2081" s="76"/>
      <c r="AB2081" s="76"/>
      <c r="AC2081" s="76"/>
      <c r="AD2081" s="76"/>
      <c r="AE2081" s="76"/>
      <c r="AF2081" s="76"/>
      <c r="AG2081" s="76"/>
      <c r="AH2081" s="76"/>
      <c r="AI2081" s="76"/>
      <c r="AJ2081" s="76"/>
      <c r="AK2081" s="76"/>
      <c r="AL2081" s="76"/>
      <c r="AM2081" s="76"/>
      <c r="AN2081" s="76"/>
      <c r="AO2081" s="76"/>
      <c r="AP2081" s="76"/>
      <c r="AQ2081" s="76"/>
      <c r="AR2081" s="76"/>
      <c r="AS2081" s="76"/>
      <c r="AT2081" s="76"/>
      <c r="AU2081" s="76"/>
      <c r="AV2081" s="76"/>
      <c r="AW2081" s="76"/>
      <c r="AX2081" s="76"/>
      <c r="AY2081" s="76"/>
      <c r="AZ2081" s="76"/>
      <c r="BA2081" s="76"/>
      <c r="BB2081" s="76"/>
    </row>
    <row r="2082" spans="5:54" x14ac:dyDescent="0.35">
      <c r="E2082" s="83"/>
      <c r="F2082" s="83"/>
      <c r="G2082" s="76"/>
      <c r="H2082" s="76"/>
      <c r="I2082" s="76"/>
      <c r="J2082" s="76"/>
      <c r="K2082" s="76"/>
      <c r="L2082" s="76"/>
      <c r="M2082" s="76"/>
      <c r="N2082" s="76"/>
      <c r="O2082" s="76"/>
      <c r="P2082" s="76"/>
      <c r="Q2082" s="76"/>
      <c r="R2082" s="76"/>
      <c r="S2082" s="76"/>
      <c r="T2082" s="76"/>
      <c r="U2082" s="76"/>
      <c r="V2082" s="76"/>
      <c r="W2082" s="76"/>
      <c r="X2082" s="76"/>
      <c r="Y2082" s="76"/>
      <c r="Z2082" s="76"/>
      <c r="AA2082" s="76"/>
      <c r="AB2082" s="76"/>
      <c r="AC2082" s="76"/>
      <c r="AD2082" s="76"/>
      <c r="AE2082" s="76"/>
      <c r="AF2082" s="76"/>
      <c r="AG2082" s="76"/>
      <c r="AH2082" s="76"/>
      <c r="AI2082" s="76"/>
      <c r="AJ2082" s="76"/>
      <c r="AK2082" s="76"/>
      <c r="AL2082" s="76"/>
      <c r="AM2082" s="76"/>
      <c r="AN2082" s="76"/>
      <c r="AO2082" s="76"/>
      <c r="AP2082" s="76"/>
      <c r="AQ2082" s="76"/>
      <c r="AR2082" s="76"/>
      <c r="AS2082" s="76"/>
      <c r="AT2082" s="76"/>
      <c r="AU2082" s="76"/>
      <c r="AV2082" s="76"/>
      <c r="AW2082" s="76"/>
      <c r="AX2082" s="76"/>
      <c r="AY2082" s="76"/>
      <c r="AZ2082" s="76"/>
      <c r="BA2082" s="76"/>
      <c r="BB2082" s="76"/>
    </row>
    <row r="2083" spans="5:54" x14ac:dyDescent="0.35">
      <c r="E2083" s="83"/>
      <c r="F2083" s="83"/>
      <c r="G2083" s="76"/>
      <c r="H2083" s="76"/>
      <c r="I2083" s="76"/>
      <c r="J2083" s="76"/>
      <c r="K2083" s="76"/>
      <c r="L2083" s="76"/>
      <c r="M2083" s="76"/>
      <c r="N2083" s="76"/>
      <c r="O2083" s="76"/>
      <c r="P2083" s="76"/>
      <c r="Q2083" s="76"/>
      <c r="R2083" s="76"/>
      <c r="S2083" s="76"/>
      <c r="T2083" s="76"/>
      <c r="U2083" s="76"/>
      <c r="V2083" s="76"/>
      <c r="W2083" s="76"/>
      <c r="X2083" s="76"/>
      <c r="Y2083" s="76"/>
      <c r="Z2083" s="76"/>
      <c r="AA2083" s="76"/>
      <c r="AB2083" s="76"/>
      <c r="AC2083" s="76"/>
      <c r="AD2083" s="76"/>
      <c r="AE2083" s="76"/>
      <c r="AF2083" s="76"/>
      <c r="AG2083" s="76"/>
      <c r="AH2083" s="76"/>
      <c r="AI2083" s="76"/>
      <c r="AJ2083" s="76"/>
      <c r="AK2083" s="76"/>
      <c r="AL2083" s="76"/>
      <c r="AM2083" s="76"/>
      <c r="AN2083" s="76"/>
      <c r="AO2083" s="76"/>
      <c r="AP2083" s="76"/>
      <c r="AQ2083" s="76"/>
      <c r="AR2083" s="76"/>
      <c r="AS2083" s="76"/>
      <c r="AT2083" s="76"/>
      <c r="AU2083" s="76"/>
      <c r="AV2083" s="76"/>
      <c r="AW2083" s="76"/>
      <c r="AX2083" s="76"/>
      <c r="AY2083" s="76"/>
      <c r="AZ2083" s="76"/>
      <c r="BA2083" s="76"/>
      <c r="BB2083" s="76"/>
    </row>
    <row r="2084" spans="5:54" x14ac:dyDescent="0.35">
      <c r="E2084" s="83"/>
      <c r="F2084" s="83"/>
      <c r="G2084" s="76"/>
      <c r="H2084" s="76"/>
      <c r="I2084" s="76"/>
      <c r="J2084" s="76"/>
      <c r="K2084" s="76"/>
      <c r="L2084" s="76"/>
      <c r="M2084" s="76"/>
      <c r="N2084" s="76"/>
      <c r="O2084" s="76"/>
      <c r="P2084" s="76"/>
      <c r="Q2084" s="76"/>
      <c r="R2084" s="76"/>
      <c r="S2084" s="76"/>
      <c r="T2084" s="76"/>
      <c r="U2084" s="76"/>
      <c r="V2084" s="76"/>
      <c r="W2084" s="76"/>
      <c r="X2084" s="76"/>
      <c r="Y2084" s="76"/>
      <c r="Z2084" s="76"/>
      <c r="AA2084" s="76"/>
      <c r="AB2084" s="76"/>
      <c r="AC2084" s="76"/>
      <c r="AD2084" s="76"/>
      <c r="AE2084" s="76"/>
      <c r="AF2084" s="76"/>
      <c r="AG2084" s="76"/>
      <c r="AH2084" s="76"/>
      <c r="AI2084" s="76"/>
      <c r="AJ2084" s="76"/>
      <c r="AK2084" s="76"/>
      <c r="AL2084" s="76"/>
      <c r="AM2084" s="76"/>
      <c r="AN2084" s="76"/>
      <c r="AO2084" s="76"/>
      <c r="AP2084" s="76"/>
      <c r="AQ2084" s="76"/>
      <c r="AR2084" s="76"/>
      <c r="AS2084" s="76"/>
      <c r="AT2084" s="76"/>
      <c r="AU2084" s="76"/>
      <c r="AV2084" s="76"/>
      <c r="AW2084" s="76"/>
      <c r="AX2084" s="76"/>
      <c r="AY2084" s="76"/>
      <c r="AZ2084" s="76"/>
      <c r="BA2084" s="76"/>
      <c r="BB2084" s="76"/>
    </row>
    <row r="2085" spans="5:54" x14ac:dyDescent="0.35">
      <c r="E2085" s="83"/>
      <c r="F2085" s="83"/>
      <c r="G2085" s="76"/>
      <c r="H2085" s="76"/>
      <c r="I2085" s="76"/>
      <c r="J2085" s="76"/>
      <c r="K2085" s="76"/>
      <c r="L2085" s="76"/>
      <c r="M2085" s="76"/>
      <c r="N2085" s="76"/>
      <c r="O2085" s="76"/>
      <c r="P2085" s="76"/>
      <c r="Q2085" s="76"/>
      <c r="R2085" s="76"/>
      <c r="S2085" s="76"/>
      <c r="T2085" s="76"/>
      <c r="U2085" s="76"/>
      <c r="V2085" s="76"/>
      <c r="W2085" s="76"/>
      <c r="X2085" s="76"/>
      <c r="Y2085" s="76"/>
      <c r="Z2085" s="76"/>
      <c r="AA2085" s="76"/>
      <c r="AB2085" s="76"/>
      <c r="AC2085" s="76"/>
      <c r="AD2085" s="76"/>
      <c r="AE2085" s="76"/>
      <c r="AF2085" s="76"/>
      <c r="AG2085" s="76"/>
      <c r="AH2085" s="76"/>
      <c r="AI2085" s="76"/>
      <c r="AJ2085" s="76"/>
      <c r="AK2085" s="76"/>
      <c r="AL2085" s="76"/>
      <c r="AM2085" s="76"/>
      <c r="AN2085" s="76"/>
      <c r="AO2085" s="76"/>
      <c r="AP2085" s="76"/>
      <c r="AQ2085" s="76"/>
      <c r="AR2085" s="76"/>
      <c r="AS2085" s="76"/>
      <c r="AT2085" s="76"/>
      <c r="AU2085" s="76"/>
      <c r="AV2085" s="76"/>
      <c r="AW2085" s="76"/>
      <c r="AX2085" s="76"/>
      <c r="AY2085" s="76"/>
      <c r="AZ2085" s="76"/>
      <c r="BA2085" s="76"/>
      <c r="BB2085" s="76"/>
    </row>
    <row r="2086" spans="5:54" x14ac:dyDescent="0.35">
      <c r="E2086" s="83"/>
      <c r="F2086" s="83"/>
      <c r="G2086" s="76"/>
      <c r="H2086" s="76"/>
      <c r="I2086" s="76"/>
      <c r="J2086" s="76"/>
      <c r="K2086" s="76"/>
      <c r="L2086" s="76"/>
      <c r="M2086" s="76"/>
      <c r="N2086" s="76"/>
      <c r="O2086" s="76"/>
      <c r="P2086" s="76"/>
      <c r="Q2086" s="76"/>
      <c r="R2086" s="76"/>
      <c r="S2086" s="76"/>
      <c r="T2086" s="76"/>
      <c r="U2086" s="76"/>
      <c r="V2086" s="76"/>
      <c r="W2086" s="76"/>
      <c r="X2086" s="76"/>
      <c r="Y2086" s="76"/>
      <c r="Z2086" s="76"/>
      <c r="AA2086" s="76"/>
      <c r="AB2086" s="76"/>
      <c r="AC2086" s="76"/>
      <c r="AD2086" s="76"/>
      <c r="AE2086" s="76"/>
      <c r="AF2086" s="76"/>
      <c r="AG2086" s="76"/>
      <c r="AH2086" s="76"/>
      <c r="AI2086" s="76"/>
      <c r="AJ2086" s="76"/>
      <c r="AK2086" s="76"/>
      <c r="AL2086" s="76"/>
      <c r="AM2086" s="76"/>
      <c r="AN2086" s="76"/>
      <c r="AO2086" s="76"/>
      <c r="AP2086" s="76"/>
      <c r="AQ2086" s="76"/>
      <c r="AR2086" s="76"/>
      <c r="AS2086" s="76"/>
      <c r="AT2086" s="76"/>
      <c r="AU2086" s="76"/>
      <c r="AV2086" s="76"/>
      <c r="AW2086" s="76"/>
      <c r="AX2086" s="76"/>
      <c r="AY2086" s="76"/>
      <c r="AZ2086" s="76"/>
      <c r="BA2086" s="76"/>
      <c r="BB2086" s="76"/>
    </row>
    <row r="2087" spans="5:54" x14ac:dyDescent="0.35">
      <c r="E2087" s="83"/>
      <c r="F2087" s="83"/>
      <c r="G2087" s="76"/>
      <c r="H2087" s="76"/>
      <c r="I2087" s="76"/>
      <c r="J2087" s="76"/>
      <c r="K2087" s="76"/>
      <c r="L2087" s="76"/>
      <c r="M2087" s="76"/>
      <c r="N2087" s="76"/>
      <c r="O2087" s="76"/>
      <c r="P2087" s="76"/>
      <c r="Q2087" s="76"/>
      <c r="R2087" s="76"/>
      <c r="S2087" s="76"/>
      <c r="T2087" s="76"/>
      <c r="U2087" s="76"/>
      <c r="V2087" s="76"/>
      <c r="W2087" s="76"/>
      <c r="X2087" s="76"/>
      <c r="Y2087" s="76"/>
      <c r="Z2087" s="76"/>
      <c r="AA2087" s="76"/>
      <c r="AB2087" s="76"/>
      <c r="AC2087" s="76"/>
      <c r="AD2087" s="76"/>
      <c r="AE2087" s="76"/>
      <c r="AF2087" s="76"/>
      <c r="AG2087" s="76"/>
      <c r="AH2087" s="76"/>
      <c r="AI2087" s="76"/>
      <c r="AJ2087" s="76"/>
      <c r="AK2087" s="76"/>
      <c r="AL2087" s="76"/>
      <c r="AM2087" s="76"/>
      <c r="AN2087" s="76"/>
      <c r="AO2087" s="76"/>
      <c r="AP2087" s="76"/>
      <c r="AQ2087" s="76"/>
      <c r="AR2087" s="76"/>
      <c r="AS2087" s="76"/>
      <c r="AT2087" s="76"/>
      <c r="AU2087" s="76"/>
      <c r="AV2087" s="76"/>
      <c r="AW2087" s="76"/>
      <c r="AX2087" s="76"/>
      <c r="AY2087" s="76"/>
      <c r="AZ2087" s="76"/>
      <c r="BA2087" s="76"/>
      <c r="BB2087" s="76"/>
    </row>
    <row r="2088" spans="5:54" x14ac:dyDescent="0.35">
      <c r="E2088" s="83"/>
      <c r="F2088" s="83"/>
      <c r="G2088" s="76"/>
      <c r="H2088" s="76"/>
      <c r="I2088" s="76"/>
      <c r="J2088" s="76"/>
      <c r="K2088" s="76"/>
      <c r="L2088" s="76"/>
      <c r="M2088" s="76"/>
      <c r="N2088" s="76"/>
      <c r="O2088" s="76"/>
      <c r="P2088" s="76"/>
      <c r="Q2088" s="76"/>
      <c r="R2088" s="76"/>
      <c r="S2088" s="76"/>
      <c r="T2088" s="76"/>
      <c r="U2088" s="76"/>
      <c r="V2088" s="76"/>
      <c r="W2088" s="76"/>
      <c r="X2088" s="76"/>
      <c r="Y2088" s="76"/>
      <c r="Z2088" s="76"/>
      <c r="AA2088" s="76"/>
      <c r="AB2088" s="76"/>
      <c r="AC2088" s="76"/>
      <c r="AD2088" s="76"/>
      <c r="AE2088" s="76"/>
      <c r="AF2088" s="76"/>
      <c r="AG2088" s="76"/>
      <c r="AH2088" s="76"/>
      <c r="AI2088" s="76"/>
      <c r="AJ2088" s="76"/>
      <c r="AK2088" s="76"/>
      <c r="AL2088" s="76"/>
      <c r="AM2088" s="76"/>
      <c r="AN2088" s="76"/>
      <c r="AO2088" s="76"/>
      <c r="AP2088" s="76"/>
      <c r="AQ2088" s="76"/>
      <c r="AR2088" s="76"/>
      <c r="AS2088" s="76"/>
      <c r="AT2088" s="76"/>
      <c r="AU2088" s="76"/>
      <c r="AV2088" s="76"/>
      <c r="AW2088" s="76"/>
      <c r="AX2088" s="76"/>
      <c r="AY2088" s="76"/>
      <c r="AZ2088" s="76"/>
      <c r="BA2088" s="76"/>
      <c r="BB2088" s="76"/>
    </row>
    <row r="2089" spans="5:54" x14ac:dyDescent="0.35">
      <c r="E2089" s="83"/>
      <c r="F2089" s="83"/>
      <c r="G2089" s="76"/>
      <c r="H2089" s="76"/>
      <c r="I2089" s="76"/>
      <c r="J2089" s="76"/>
      <c r="K2089" s="76"/>
      <c r="L2089" s="76"/>
      <c r="M2089" s="76"/>
      <c r="N2089" s="76"/>
      <c r="O2089" s="76"/>
      <c r="P2089" s="76"/>
      <c r="Q2089" s="76"/>
      <c r="R2089" s="76"/>
      <c r="S2089" s="76"/>
      <c r="T2089" s="76"/>
      <c r="U2089" s="76"/>
      <c r="V2089" s="76"/>
      <c r="W2089" s="76"/>
      <c r="X2089" s="76"/>
      <c r="Y2089" s="76"/>
      <c r="Z2089" s="76"/>
      <c r="AA2089" s="76"/>
      <c r="AB2089" s="76"/>
      <c r="AC2089" s="76"/>
      <c r="AD2089" s="76"/>
      <c r="AE2089" s="76"/>
      <c r="AF2089" s="76"/>
      <c r="AG2089" s="76"/>
      <c r="AH2089" s="76"/>
      <c r="AI2089" s="76"/>
      <c r="AJ2089" s="76"/>
      <c r="AK2089" s="76"/>
      <c r="AL2089" s="76"/>
      <c r="AM2089" s="76"/>
      <c r="AN2089" s="76"/>
      <c r="AO2089" s="76"/>
      <c r="AP2089" s="76"/>
      <c r="AQ2089" s="76"/>
      <c r="AR2089" s="76"/>
      <c r="AS2089" s="76"/>
      <c r="AT2089" s="76"/>
      <c r="AU2089" s="76"/>
      <c r="AV2089" s="76"/>
      <c r="AW2089" s="76"/>
      <c r="AX2089" s="76"/>
      <c r="AY2089" s="76"/>
      <c r="AZ2089" s="76"/>
      <c r="BA2089" s="76"/>
      <c r="BB2089" s="76"/>
    </row>
    <row r="2090" spans="5:54" x14ac:dyDescent="0.35">
      <c r="E2090" s="83"/>
      <c r="F2090" s="83"/>
      <c r="G2090" s="76"/>
      <c r="H2090" s="76"/>
      <c r="I2090" s="76"/>
      <c r="J2090" s="76"/>
      <c r="K2090" s="76"/>
      <c r="L2090" s="76"/>
      <c r="M2090" s="76"/>
      <c r="N2090" s="76"/>
      <c r="O2090" s="76"/>
      <c r="P2090" s="76"/>
      <c r="Q2090" s="76"/>
      <c r="R2090" s="76"/>
      <c r="S2090" s="76"/>
      <c r="T2090" s="76"/>
      <c r="U2090" s="76"/>
      <c r="V2090" s="76"/>
      <c r="W2090" s="76"/>
      <c r="X2090" s="76"/>
      <c r="Y2090" s="76"/>
      <c r="Z2090" s="76"/>
      <c r="AA2090" s="76"/>
      <c r="AB2090" s="76"/>
      <c r="AC2090" s="76"/>
      <c r="AD2090" s="76"/>
      <c r="AE2090" s="76"/>
      <c r="AF2090" s="76"/>
      <c r="AG2090" s="76"/>
      <c r="AH2090" s="76"/>
      <c r="AI2090" s="76"/>
      <c r="AJ2090" s="76"/>
      <c r="AK2090" s="76"/>
      <c r="AL2090" s="76"/>
      <c r="AM2090" s="76"/>
      <c r="AN2090" s="76"/>
      <c r="AO2090" s="76"/>
      <c r="AP2090" s="76"/>
      <c r="AQ2090" s="76"/>
      <c r="AR2090" s="76"/>
      <c r="AS2090" s="76"/>
      <c r="AT2090" s="76"/>
      <c r="AU2090" s="76"/>
      <c r="AV2090" s="76"/>
      <c r="AW2090" s="76"/>
      <c r="AX2090" s="76"/>
      <c r="AY2090" s="76"/>
      <c r="AZ2090" s="76"/>
      <c r="BA2090" s="76"/>
      <c r="BB2090" s="76"/>
    </row>
    <row r="2091" spans="5:54" x14ac:dyDescent="0.35">
      <c r="E2091" s="83"/>
      <c r="F2091" s="83"/>
      <c r="G2091" s="76"/>
      <c r="H2091" s="76"/>
      <c r="I2091" s="76"/>
      <c r="J2091" s="76"/>
      <c r="K2091" s="76"/>
      <c r="L2091" s="76"/>
      <c r="M2091" s="76"/>
      <c r="N2091" s="76"/>
      <c r="O2091" s="76"/>
      <c r="P2091" s="76"/>
      <c r="Q2091" s="76"/>
      <c r="R2091" s="76"/>
      <c r="S2091" s="76"/>
      <c r="T2091" s="76"/>
      <c r="U2091" s="76"/>
      <c r="V2091" s="76"/>
      <c r="W2091" s="76"/>
      <c r="X2091" s="76"/>
      <c r="Y2091" s="76"/>
      <c r="Z2091" s="76"/>
      <c r="AA2091" s="76"/>
      <c r="AB2091" s="76"/>
      <c r="AC2091" s="76"/>
      <c r="AD2091" s="76"/>
      <c r="AE2091" s="76"/>
      <c r="AF2091" s="76"/>
      <c r="AG2091" s="76"/>
      <c r="AH2091" s="76"/>
      <c r="AI2091" s="76"/>
      <c r="AJ2091" s="76"/>
      <c r="AK2091" s="76"/>
      <c r="AL2091" s="76"/>
      <c r="AM2091" s="76"/>
      <c r="AN2091" s="76"/>
      <c r="AO2091" s="76"/>
      <c r="AP2091" s="76"/>
      <c r="AQ2091" s="76"/>
      <c r="AR2091" s="76"/>
      <c r="AS2091" s="76"/>
      <c r="AT2091" s="76"/>
      <c r="AU2091" s="76"/>
      <c r="AV2091" s="76"/>
      <c r="AW2091" s="76"/>
      <c r="AX2091" s="76"/>
      <c r="AY2091" s="76"/>
      <c r="AZ2091" s="76"/>
      <c r="BA2091" s="76"/>
      <c r="BB2091" s="76"/>
    </row>
    <row r="2092" spans="5:54" x14ac:dyDescent="0.35">
      <c r="E2092" s="83"/>
      <c r="F2092" s="83"/>
      <c r="G2092" s="76"/>
      <c r="H2092" s="76"/>
      <c r="I2092" s="76"/>
      <c r="J2092" s="76"/>
      <c r="K2092" s="76"/>
      <c r="L2092" s="76"/>
      <c r="M2092" s="76"/>
      <c r="N2092" s="76"/>
      <c r="O2092" s="76"/>
      <c r="P2092" s="76"/>
      <c r="Q2092" s="76"/>
      <c r="R2092" s="76"/>
      <c r="S2092" s="76"/>
      <c r="T2092" s="76"/>
      <c r="U2092" s="76"/>
      <c r="V2092" s="76"/>
      <c r="W2092" s="76"/>
      <c r="X2092" s="76"/>
      <c r="Y2092" s="76"/>
      <c r="Z2092" s="76"/>
      <c r="AA2092" s="76"/>
      <c r="AB2092" s="76"/>
      <c r="AC2092" s="76"/>
      <c r="AD2092" s="76"/>
      <c r="AE2092" s="76"/>
      <c r="AF2092" s="76"/>
      <c r="AG2092" s="76"/>
      <c r="AH2092" s="76"/>
      <c r="AI2092" s="76"/>
      <c r="AJ2092" s="76"/>
      <c r="AK2092" s="76"/>
      <c r="AL2092" s="76"/>
      <c r="AM2092" s="76"/>
      <c r="AN2092" s="76"/>
      <c r="AO2092" s="76"/>
      <c r="AP2092" s="76"/>
      <c r="AQ2092" s="76"/>
      <c r="AR2092" s="76"/>
      <c r="AS2092" s="76"/>
      <c r="AT2092" s="76"/>
      <c r="AU2092" s="76"/>
      <c r="AV2092" s="76"/>
      <c r="AW2092" s="76"/>
      <c r="AX2092" s="76"/>
      <c r="AY2092" s="76"/>
      <c r="AZ2092" s="76"/>
      <c r="BA2092" s="76"/>
      <c r="BB2092" s="76"/>
    </row>
    <row r="2093" spans="5:54" x14ac:dyDescent="0.35">
      <c r="E2093" s="83"/>
      <c r="F2093" s="83"/>
      <c r="G2093" s="76"/>
      <c r="H2093" s="76"/>
      <c r="I2093" s="76"/>
      <c r="J2093" s="76"/>
      <c r="K2093" s="76"/>
      <c r="L2093" s="76"/>
      <c r="M2093" s="76"/>
      <c r="N2093" s="76"/>
      <c r="O2093" s="76"/>
      <c r="P2093" s="76"/>
      <c r="Q2093" s="76"/>
      <c r="R2093" s="76"/>
      <c r="S2093" s="76"/>
      <c r="T2093" s="76"/>
      <c r="U2093" s="76"/>
      <c r="V2093" s="76"/>
      <c r="W2093" s="76"/>
      <c r="X2093" s="76"/>
      <c r="Y2093" s="76"/>
      <c r="Z2093" s="76"/>
      <c r="AA2093" s="76"/>
      <c r="AB2093" s="76"/>
      <c r="AC2093" s="76"/>
      <c r="AD2093" s="76"/>
      <c r="AE2093" s="76"/>
      <c r="AF2093" s="76"/>
      <c r="AG2093" s="76"/>
      <c r="AH2093" s="76"/>
      <c r="AI2093" s="76"/>
      <c r="AJ2093" s="76"/>
      <c r="AK2093" s="76"/>
      <c r="AL2093" s="76"/>
      <c r="AM2093" s="76"/>
      <c r="AN2093" s="76"/>
      <c r="AO2093" s="76"/>
      <c r="AP2093" s="76"/>
      <c r="AQ2093" s="76"/>
      <c r="AR2093" s="76"/>
      <c r="AS2093" s="76"/>
      <c r="AT2093" s="76"/>
      <c r="AU2093" s="76"/>
      <c r="AV2093" s="76"/>
      <c r="AW2093" s="76"/>
      <c r="AX2093" s="76"/>
      <c r="AY2093" s="76"/>
      <c r="AZ2093" s="76"/>
      <c r="BA2093" s="76"/>
      <c r="BB2093" s="76"/>
    </row>
    <row r="2094" spans="5:54" x14ac:dyDescent="0.35">
      <c r="E2094" s="83"/>
      <c r="F2094" s="83"/>
      <c r="G2094" s="76"/>
      <c r="H2094" s="76"/>
      <c r="I2094" s="76"/>
      <c r="J2094" s="76"/>
      <c r="K2094" s="76"/>
      <c r="L2094" s="76"/>
      <c r="M2094" s="76"/>
      <c r="N2094" s="76"/>
      <c r="O2094" s="76"/>
      <c r="P2094" s="76"/>
      <c r="Q2094" s="76"/>
      <c r="R2094" s="76"/>
      <c r="S2094" s="76"/>
      <c r="T2094" s="76"/>
      <c r="U2094" s="76"/>
      <c r="V2094" s="76"/>
      <c r="W2094" s="76"/>
      <c r="X2094" s="76"/>
      <c r="Y2094" s="76"/>
      <c r="Z2094" s="76"/>
      <c r="AA2094" s="76"/>
      <c r="AB2094" s="76"/>
      <c r="AC2094" s="76"/>
      <c r="AD2094" s="76"/>
      <c r="AE2094" s="76"/>
      <c r="AF2094" s="76"/>
      <c r="AG2094" s="76"/>
      <c r="AH2094" s="76"/>
      <c r="AI2094" s="76"/>
      <c r="AJ2094" s="76"/>
      <c r="AK2094" s="76"/>
      <c r="AL2094" s="76"/>
      <c r="AM2094" s="76"/>
      <c r="AN2094" s="76"/>
      <c r="AO2094" s="76"/>
      <c r="AP2094" s="76"/>
      <c r="AQ2094" s="76"/>
      <c r="AR2094" s="76"/>
      <c r="AS2094" s="76"/>
      <c r="AT2094" s="76"/>
      <c r="AU2094" s="76"/>
      <c r="AV2094" s="76"/>
      <c r="AW2094" s="76"/>
      <c r="AX2094" s="76"/>
      <c r="AY2094" s="76"/>
      <c r="AZ2094" s="76"/>
      <c r="BA2094" s="76"/>
      <c r="BB2094" s="76"/>
    </row>
    <row r="2095" spans="5:54" x14ac:dyDescent="0.35">
      <c r="E2095" s="83"/>
      <c r="F2095" s="83"/>
      <c r="G2095" s="76"/>
      <c r="H2095" s="76"/>
      <c r="I2095" s="76"/>
      <c r="J2095" s="76"/>
      <c r="K2095" s="76"/>
      <c r="L2095" s="76"/>
      <c r="M2095" s="76"/>
      <c r="N2095" s="76"/>
      <c r="O2095" s="76"/>
      <c r="P2095" s="76"/>
      <c r="Q2095" s="76"/>
      <c r="R2095" s="76"/>
      <c r="S2095" s="76"/>
      <c r="T2095" s="76"/>
      <c r="U2095" s="76"/>
      <c r="V2095" s="76"/>
      <c r="W2095" s="76"/>
      <c r="X2095" s="76"/>
      <c r="Y2095" s="76"/>
      <c r="Z2095" s="76"/>
      <c r="AA2095" s="76"/>
      <c r="AB2095" s="76"/>
      <c r="AC2095" s="76"/>
      <c r="AD2095" s="76"/>
      <c r="AE2095" s="76"/>
      <c r="AF2095" s="76"/>
      <c r="AG2095" s="76"/>
      <c r="AH2095" s="76"/>
      <c r="AI2095" s="76"/>
      <c r="AJ2095" s="76"/>
      <c r="AK2095" s="76"/>
      <c r="AL2095" s="76"/>
      <c r="AM2095" s="76"/>
      <c r="AN2095" s="76"/>
      <c r="AO2095" s="76"/>
      <c r="AP2095" s="76"/>
      <c r="AQ2095" s="76"/>
      <c r="AR2095" s="76"/>
      <c r="AS2095" s="76"/>
      <c r="AT2095" s="76"/>
      <c r="AU2095" s="76"/>
      <c r="AV2095" s="76"/>
      <c r="AW2095" s="76"/>
      <c r="AX2095" s="76"/>
      <c r="AY2095" s="76"/>
      <c r="AZ2095" s="76"/>
      <c r="BA2095" s="76"/>
      <c r="BB2095" s="76"/>
    </row>
    <row r="2096" spans="5:54" x14ac:dyDescent="0.35">
      <c r="E2096" s="83"/>
      <c r="F2096" s="83"/>
      <c r="G2096" s="76"/>
      <c r="H2096" s="76"/>
      <c r="I2096" s="76"/>
      <c r="J2096" s="76"/>
      <c r="K2096" s="76"/>
      <c r="L2096" s="76"/>
      <c r="M2096" s="76"/>
      <c r="N2096" s="76"/>
      <c r="O2096" s="76"/>
      <c r="P2096" s="76"/>
      <c r="Q2096" s="76"/>
      <c r="R2096" s="76"/>
      <c r="S2096" s="76"/>
      <c r="T2096" s="76"/>
      <c r="U2096" s="76"/>
      <c r="V2096" s="76"/>
      <c r="W2096" s="76"/>
      <c r="X2096" s="76"/>
      <c r="Y2096" s="76"/>
      <c r="Z2096" s="76"/>
      <c r="AA2096" s="76"/>
      <c r="AB2096" s="76"/>
      <c r="AC2096" s="76"/>
      <c r="AD2096" s="76"/>
      <c r="AE2096" s="76"/>
      <c r="AF2096" s="76"/>
      <c r="AG2096" s="76"/>
      <c r="AH2096" s="76"/>
      <c r="AI2096" s="76"/>
      <c r="AJ2096" s="76"/>
      <c r="AK2096" s="76"/>
      <c r="AL2096" s="76"/>
      <c r="AM2096" s="76"/>
      <c r="AN2096" s="76"/>
      <c r="AO2096" s="76"/>
      <c r="AP2096" s="76"/>
      <c r="AQ2096" s="76"/>
      <c r="AR2096" s="76"/>
      <c r="AS2096" s="76"/>
      <c r="AT2096" s="76"/>
      <c r="AU2096" s="76"/>
      <c r="AV2096" s="76"/>
      <c r="AW2096" s="76"/>
      <c r="AX2096" s="76"/>
      <c r="AY2096" s="76"/>
      <c r="AZ2096" s="76"/>
      <c r="BA2096" s="76"/>
      <c r="BB2096" s="76"/>
    </row>
    <row r="2097" spans="5:54" x14ac:dyDescent="0.35">
      <c r="E2097" s="83"/>
      <c r="F2097" s="83"/>
      <c r="G2097" s="76"/>
      <c r="H2097" s="76"/>
      <c r="I2097" s="76"/>
      <c r="J2097" s="76"/>
      <c r="K2097" s="76"/>
      <c r="L2097" s="76"/>
      <c r="M2097" s="76"/>
      <c r="N2097" s="76"/>
      <c r="O2097" s="76"/>
      <c r="P2097" s="76"/>
      <c r="Q2097" s="76"/>
      <c r="R2097" s="76"/>
      <c r="S2097" s="76"/>
      <c r="T2097" s="76"/>
      <c r="U2097" s="76"/>
      <c r="V2097" s="76"/>
      <c r="W2097" s="76"/>
      <c r="X2097" s="76"/>
      <c r="Y2097" s="76"/>
      <c r="Z2097" s="76"/>
      <c r="AA2097" s="76"/>
      <c r="AB2097" s="76"/>
      <c r="AC2097" s="76"/>
      <c r="AD2097" s="76"/>
      <c r="AE2097" s="76"/>
      <c r="AF2097" s="76"/>
      <c r="AG2097" s="76"/>
      <c r="AH2097" s="76"/>
      <c r="AI2097" s="76"/>
      <c r="AJ2097" s="76"/>
      <c r="AK2097" s="76"/>
      <c r="AL2097" s="76"/>
      <c r="AM2097" s="76"/>
      <c r="AN2097" s="76"/>
      <c r="AO2097" s="76"/>
      <c r="AP2097" s="76"/>
      <c r="AQ2097" s="76"/>
      <c r="AR2097" s="76"/>
      <c r="AS2097" s="76"/>
      <c r="AT2097" s="76"/>
      <c r="AU2097" s="76"/>
      <c r="AV2097" s="76"/>
      <c r="AW2097" s="76"/>
      <c r="AX2097" s="76"/>
      <c r="AY2097" s="76"/>
      <c r="AZ2097" s="76"/>
      <c r="BA2097" s="76"/>
      <c r="BB2097" s="76"/>
    </row>
    <row r="2098" spans="5:54" x14ac:dyDescent="0.35">
      <c r="E2098" s="83"/>
      <c r="F2098" s="83"/>
      <c r="G2098" s="76"/>
      <c r="H2098" s="76"/>
      <c r="I2098" s="76"/>
      <c r="J2098" s="76"/>
      <c r="K2098" s="76"/>
      <c r="L2098" s="76"/>
      <c r="M2098" s="76"/>
      <c r="N2098" s="76"/>
      <c r="O2098" s="76"/>
      <c r="P2098" s="76"/>
      <c r="Q2098" s="76"/>
      <c r="R2098" s="76"/>
      <c r="S2098" s="76"/>
      <c r="T2098" s="76"/>
      <c r="U2098" s="76"/>
      <c r="V2098" s="76"/>
      <c r="W2098" s="76"/>
      <c r="X2098" s="76"/>
      <c r="Y2098" s="76"/>
      <c r="Z2098" s="76"/>
      <c r="AA2098" s="76"/>
      <c r="AB2098" s="76"/>
      <c r="AC2098" s="76"/>
      <c r="AD2098" s="76"/>
      <c r="AE2098" s="76"/>
      <c r="AF2098" s="76"/>
      <c r="AG2098" s="76"/>
      <c r="AH2098" s="76"/>
      <c r="AI2098" s="76"/>
      <c r="AJ2098" s="76"/>
      <c r="AK2098" s="76"/>
      <c r="AL2098" s="76"/>
      <c r="AM2098" s="76"/>
      <c r="AN2098" s="76"/>
      <c r="AO2098" s="76"/>
      <c r="AP2098" s="76"/>
      <c r="AQ2098" s="76"/>
      <c r="AR2098" s="76"/>
      <c r="AS2098" s="76"/>
      <c r="AT2098" s="76"/>
      <c r="AU2098" s="76"/>
      <c r="AV2098" s="76"/>
      <c r="AW2098" s="76"/>
      <c r="AX2098" s="76"/>
      <c r="AY2098" s="76"/>
      <c r="AZ2098" s="76"/>
      <c r="BA2098" s="76"/>
      <c r="BB2098" s="76"/>
    </row>
    <row r="2099" spans="5:54" x14ac:dyDescent="0.35">
      <c r="E2099" s="83"/>
      <c r="F2099" s="83"/>
      <c r="G2099" s="76"/>
      <c r="H2099" s="76"/>
      <c r="I2099" s="76"/>
      <c r="J2099" s="76"/>
      <c r="K2099" s="76"/>
      <c r="L2099" s="76"/>
      <c r="M2099" s="76"/>
      <c r="N2099" s="76"/>
      <c r="O2099" s="76"/>
      <c r="P2099" s="76"/>
      <c r="Q2099" s="76"/>
      <c r="R2099" s="76"/>
      <c r="S2099" s="76"/>
      <c r="T2099" s="76"/>
      <c r="U2099" s="76"/>
      <c r="V2099" s="76"/>
      <c r="W2099" s="76"/>
      <c r="X2099" s="76"/>
      <c r="Y2099" s="76"/>
      <c r="Z2099" s="76"/>
      <c r="AA2099" s="76"/>
      <c r="AB2099" s="76"/>
      <c r="AC2099" s="76"/>
      <c r="AD2099" s="76"/>
      <c r="AE2099" s="76"/>
      <c r="AF2099" s="76"/>
      <c r="AG2099" s="76"/>
      <c r="AH2099" s="76"/>
      <c r="AI2099" s="76"/>
      <c r="AJ2099" s="76"/>
      <c r="AK2099" s="76"/>
      <c r="AL2099" s="76"/>
      <c r="AM2099" s="76"/>
      <c r="AN2099" s="76"/>
      <c r="AO2099" s="76"/>
      <c r="AP2099" s="76"/>
      <c r="AQ2099" s="76"/>
      <c r="AR2099" s="76"/>
      <c r="AS2099" s="76"/>
      <c r="AT2099" s="76"/>
      <c r="AU2099" s="76"/>
      <c r="AV2099" s="76"/>
      <c r="AW2099" s="76"/>
      <c r="AX2099" s="76"/>
      <c r="AY2099" s="76"/>
      <c r="AZ2099" s="76"/>
      <c r="BA2099" s="76"/>
      <c r="BB2099" s="76"/>
    </row>
    <row r="2100" spans="5:54" x14ac:dyDescent="0.35">
      <c r="E2100" s="83"/>
      <c r="F2100" s="83"/>
      <c r="G2100" s="76"/>
      <c r="H2100" s="76"/>
      <c r="I2100" s="76"/>
      <c r="J2100" s="76"/>
      <c r="K2100" s="76"/>
      <c r="L2100" s="76"/>
      <c r="M2100" s="76"/>
      <c r="N2100" s="76"/>
      <c r="O2100" s="76"/>
      <c r="P2100" s="76"/>
      <c r="Q2100" s="76"/>
      <c r="R2100" s="76"/>
      <c r="S2100" s="76"/>
      <c r="T2100" s="76"/>
      <c r="U2100" s="76"/>
      <c r="V2100" s="76"/>
      <c r="W2100" s="76"/>
      <c r="X2100" s="76"/>
      <c r="Y2100" s="76"/>
      <c r="Z2100" s="76"/>
      <c r="AA2100" s="76"/>
      <c r="AB2100" s="76"/>
      <c r="AC2100" s="76"/>
      <c r="AD2100" s="76"/>
      <c r="AE2100" s="76"/>
      <c r="AF2100" s="76"/>
      <c r="AG2100" s="76"/>
      <c r="AH2100" s="76"/>
      <c r="AI2100" s="76"/>
      <c r="AJ2100" s="76"/>
      <c r="AK2100" s="76"/>
      <c r="AL2100" s="76"/>
      <c r="AM2100" s="76"/>
      <c r="AN2100" s="76"/>
      <c r="AO2100" s="76"/>
      <c r="AP2100" s="76"/>
      <c r="AQ2100" s="76"/>
      <c r="AR2100" s="76"/>
      <c r="AS2100" s="76"/>
      <c r="AT2100" s="76"/>
      <c r="AU2100" s="76"/>
      <c r="AV2100" s="76"/>
      <c r="AW2100" s="76"/>
      <c r="AX2100" s="76"/>
      <c r="AY2100" s="76"/>
      <c r="AZ2100" s="76"/>
      <c r="BA2100" s="76"/>
      <c r="BB2100" s="76"/>
    </row>
    <row r="2101" spans="5:54" x14ac:dyDescent="0.35">
      <c r="E2101" s="83"/>
      <c r="F2101" s="83"/>
      <c r="G2101" s="76"/>
      <c r="H2101" s="76"/>
      <c r="I2101" s="76"/>
      <c r="J2101" s="76"/>
      <c r="K2101" s="76"/>
      <c r="L2101" s="76"/>
      <c r="M2101" s="76"/>
      <c r="N2101" s="76"/>
      <c r="O2101" s="76"/>
      <c r="P2101" s="76"/>
      <c r="Q2101" s="76"/>
      <c r="R2101" s="76"/>
      <c r="S2101" s="76"/>
      <c r="T2101" s="76"/>
      <c r="U2101" s="76"/>
      <c r="V2101" s="76"/>
      <c r="W2101" s="76"/>
      <c r="X2101" s="76"/>
      <c r="Y2101" s="76"/>
      <c r="Z2101" s="76"/>
      <c r="AA2101" s="76"/>
      <c r="AB2101" s="76"/>
      <c r="AC2101" s="76"/>
      <c r="AD2101" s="76"/>
      <c r="AE2101" s="76"/>
      <c r="AF2101" s="76"/>
      <c r="AG2101" s="76"/>
      <c r="AH2101" s="76"/>
      <c r="AI2101" s="76"/>
      <c r="AJ2101" s="76"/>
      <c r="AK2101" s="76"/>
      <c r="AL2101" s="76"/>
      <c r="AM2101" s="76"/>
      <c r="AN2101" s="76"/>
      <c r="AO2101" s="76"/>
      <c r="AP2101" s="76"/>
      <c r="AQ2101" s="76"/>
      <c r="AR2101" s="76"/>
      <c r="AS2101" s="76"/>
      <c r="AT2101" s="76"/>
      <c r="AU2101" s="76"/>
      <c r="AV2101" s="76"/>
      <c r="AW2101" s="76"/>
      <c r="AX2101" s="76"/>
      <c r="AY2101" s="76"/>
      <c r="AZ2101" s="76"/>
      <c r="BA2101" s="76"/>
      <c r="BB2101" s="76"/>
    </row>
    <row r="2102" spans="5:54" x14ac:dyDescent="0.35">
      <c r="E2102" s="83"/>
      <c r="F2102" s="83"/>
      <c r="G2102" s="76"/>
      <c r="H2102" s="76"/>
      <c r="I2102" s="76"/>
      <c r="J2102" s="76"/>
      <c r="K2102" s="76"/>
      <c r="L2102" s="76"/>
      <c r="M2102" s="76"/>
      <c r="N2102" s="76"/>
      <c r="O2102" s="76"/>
      <c r="P2102" s="76"/>
      <c r="Q2102" s="76"/>
      <c r="R2102" s="76"/>
      <c r="S2102" s="76"/>
      <c r="T2102" s="76"/>
      <c r="U2102" s="76"/>
      <c r="V2102" s="76"/>
      <c r="W2102" s="76"/>
      <c r="X2102" s="76"/>
      <c r="Y2102" s="76"/>
      <c r="Z2102" s="76"/>
      <c r="AA2102" s="76"/>
      <c r="AB2102" s="76"/>
      <c r="AC2102" s="76"/>
      <c r="AD2102" s="76"/>
      <c r="AE2102" s="76"/>
      <c r="AF2102" s="76"/>
      <c r="AG2102" s="76"/>
      <c r="AH2102" s="76"/>
      <c r="AI2102" s="76"/>
      <c r="AJ2102" s="76"/>
      <c r="AK2102" s="76"/>
      <c r="AL2102" s="76"/>
      <c r="AM2102" s="76"/>
      <c r="AN2102" s="76"/>
      <c r="AO2102" s="76"/>
      <c r="AP2102" s="76"/>
      <c r="AQ2102" s="76"/>
      <c r="AR2102" s="76"/>
      <c r="AS2102" s="76"/>
      <c r="AT2102" s="76"/>
      <c r="AU2102" s="76"/>
      <c r="AV2102" s="76"/>
      <c r="AW2102" s="76"/>
      <c r="AX2102" s="76"/>
      <c r="AY2102" s="76"/>
      <c r="AZ2102" s="76"/>
      <c r="BA2102" s="76"/>
      <c r="BB2102" s="76"/>
    </row>
    <row r="2103" spans="5:54" x14ac:dyDescent="0.35">
      <c r="E2103" s="83"/>
      <c r="F2103" s="83"/>
      <c r="G2103" s="76"/>
      <c r="H2103" s="76"/>
      <c r="I2103" s="76"/>
      <c r="J2103" s="76"/>
      <c r="K2103" s="76"/>
      <c r="L2103" s="76"/>
      <c r="M2103" s="76"/>
      <c r="N2103" s="76"/>
      <c r="O2103" s="76"/>
      <c r="P2103" s="76"/>
      <c r="Q2103" s="76"/>
      <c r="R2103" s="76"/>
      <c r="S2103" s="76"/>
      <c r="T2103" s="76"/>
      <c r="U2103" s="76"/>
      <c r="V2103" s="76"/>
      <c r="W2103" s="76"/>
      <c r="X2103" s="76"/>
      <c r="Y2103" s="76"/>
      <c r="Z2103" s="76"/>
      <c r="AA2103" s="76"/>
      <c r="AB2103" s="76"/>
      <c r="AC2103" s="76"/>
      <c r="AD2103" s="76"/>
      <c r="AE2103" s="76"/>
      <c r="AF2103" s="76"/>
      <c r="AG2103" s="76"/>
      <c r="AH2103" s="76"/>
      <c r="AI2103" s="76"/>
      <c r="AJ2103" s="76"/>
      <c r="AK2103" s="76"/>
      <c r="AL2103" s="76"/>
      <c r="AM2103" s="76"/>
      <c r="AN2103" s="76"/>
      <c r="AO2103" s="76"/>
      <c r="AP2103" s="76"/>
      <c r="AQ2103" s="76"/>
      <c r="AR2103" s="76"/>
      <c r="AS2103" s="76"/>
      <c r="AT2103" s="76"/>
      <c r="AU2103" s="76"/>
      <c r="AV2103" s="76"/>
      <c r="AW2103" s="76"/>
      <c r="AX2103" s="76"/>
      <c r="AY2103" s="76"/>
      <c r="AZ2103" s="76"/>
      <c r="BA2103" s="76"/>
      <c r="BB2103" s="76"/>
    </row>
    <row r="2104" spans="5:54" x14ac:dyDescent="0.35">
      <c r="E2104" s="83"/>
      <c r="F2104" s="83"/>
      <c r="G2104" s="76"/>
      <c r="H2104" s="76"/>
      <c r="I2104" s="76"/>
      <c r="J2104" s="76"/>
      <c r="K2104" s="76"/>
      <c r="L2104" s="76"/>
      <c r="M2104" s="76"/>
      <c r="N2104" s="76"/>
      <c r="O2104" s="76"/>
      <c r="P2104" s="76"/>
      <c r="Q2104" s="76"/>
      <c r="R2104" s="76"/>
      <c r="S2104" s="76"/>
      <c r="T2104" s="76"/>
      <c r="U2104" s="76"/>
      <c r="V2104" s="76"/>
      <c r="W2104" s="76"/>
      <c r="X2104" s="76"/>
      <c r="Y2104" s="76"/>
      <c r="Z2104" s="76"/>
      <c r="AA2104" s="76"/>
      <c r="AB2104" s="76"/>
      <c r="AC2104" s="76"/>
      <c r="AD2104" s="76"/>
      <c r="AE2104" s="76"/>
      <c r="AF2104" s="76"/>
      <c r="AG2104" s="76"/>
      <c r="AH2104" s="76"/>
      <c r="AI2104" s="76"/>
      <c r="AJ2104" s="76"/>
      <c r="AK2104" s="76"/>
      <c r="AL2104" s="76"/>
      <c r="AM2104" s="76"/>
      <c r="AN2104" s="76"/>
      <c r="AO2104" s="76"/>
      <c r="AP2104" s="76"/>
      <c r="AQ2104" s="76"/>
      <c r="AR2104" s="76"/>
      <c r="AS2104" s="76"/>
      <c r="AT2104" s="76"/>
      <c r="AU2104" s="76"/>
      <c r="AV2104" s="76"/>
      <c r="AW2104" s="76"/>
      <c r="AX2104" s="76"/>
      <c r="AY2104" s="76"/>
      <c r="AZ2104" s="76"/>
      <c r="BA2104" s="76"/>
      <c r="BB2104" s="76"/>
    </row>
    <row r="2105" spans="5:54" x14ac:dyDescent="0.35">
      <c r="E2105" s="83"/>
      <c r="F2105" s="83"/>
      <c r="G2105" s="76"/>
      <c r="H2105" s="76"/>
      <c r="I2105" s="76"/>
      <c r="J2105" s="76"/>
      <c r="K2105" s="76"/>
      <c r="L2105" s="76"/>
      <c r="M2105" s="76"/>
      <c r="N2105" s="76"/>
      <c r="O2105" s="76"/>
      <c r="P2105" s="76"/>
      <c r="Q2105" s="76"/>
      <c r="R2105" s="76"/>
      <c r="S2105" s="76"/>
      <c r="T2105" s="76"/>
      <c r="U2105" s="76"/>
      <c r="V2105" s="76"/>
      <c r="W2105" s="76"/>
      <c r="X2105" s="76"/>
      <c r="Y2105" s="76"/>
      <c r="Z2105" s="76"/>
      <c r="AA2105" s="76"/>
      <c r="AB2105" s="76"/>
      <c r="AC2105" s="76"/>
      <c r="AD2105" s="76"/>
      <c r="AE2105" s="76"/>
      <c r="AF2105" s="76"/>
      <c r="AG2105" s="76"/>
      <c r="AH2105" s="76"/>
      <c r="AI2105" s="76"/>
      <c r="AJ2105" s="76"/>
      <c r="AK2105" s="76"/>
      <c r="AL2105" s="76"/>
      <c r="AM2105" s="76"/>
      <c r="AN2105" s="76"/>
      <c r="AO2105" s="76"/>
      <c r="AP2105" s="76"/>
      <c r="AQ2105" s="76"/>
      <c r="AR2105" s="76"/>
      <c r="AS2105" s="76"/>
      <c r="AT2105" s="76"/>
      <c r="AU2105" s="76"/>
      <c r="AV2105" s="76"/>
      <c r="AW2105" s="76"/>
      <c r="AX2105" s="76"/>
      <c r="AY2105" s="76"/>
      <c r="AZ2105" s="76"/>
      <c r="BA2105" s="76"/>
      <c r="BB2105" s="76"/>
    </row>
    <row r="2106" spans="5:54" x14ac:dyDescent="0.35">
      <c r="E2106" s="83"/>
      <c r="F2106" s="83"/>
      <c r="G2106" s="76"/>
      <c r="H2106" s="76"/>
      <c r="I2106" s="76"/>
      <c r="J2106" s="76"/>
      <c r="K2106" s="76"/>
      <c r="L2106" s="76"/>
      <c r="M2106" s="76"/>
      <c r="N2106" s="76"/>
      <c r="O2106" s="76"/>
      <c r="P2106" s="76"/>
      <c r="Q2106" s="76"/>
      <c r="R2106" s="76"/>
      <c r="S2106" s="76"/>
      <c r="T2106" s="76"/>
      <c r="U2106" s="76"/>
      <c r="V2106" s="76"/>
      <c r="W2106" s="76"/>
      <c r="X2106" s="76"/>
      <c r="Y2106" s="76"/>
      <c r="Z2106" s="76"/>
      <c r="AA2106" s="76"/>
      <c r="AB2106" s="76"/>
      <c r="AC2106" s="76"/>
      <c r="AD2106" s="76"/>
      <c r="AE2106" s="76"/>
      <c r="AF2106" s="76"/>
      <c r="AG2106" s="76"/>
      <c r="AH2106" s="76"/>
      <c r="AI2106" s="76"/>
      <c r="AJ2106" s="76"/>
      <c r="AK2106" s="76"/>
      <c r="AL2106" s="76"/>
      <c r="AM2106" s="76"/>
      <c r="AN2106" s="76"/>
      <c r="AO2106" s="76"/>
      <c r="AP2106" s="76"/>
      <c r="AQ2106" s="76"/>
      <c r="AR2106" s="76"/>
      <c r="AS2106" s="76"/>
      <c r="AT2106" s="76"/>
      <c r="AU2106" s="76"/>
      <c r="AV2106" s="76"/>
      <c r="AW2106" s="76"/>
      <c r="AX2106" s="76"/>
      <c r="AY2106" s="76"/>
      <c r="AZ2106" s="76"/>
      <c r="BA2106" s="76"/>
      <c r="BB2106" s="76"/>
    </row>
    <row r="2107" spans="5:54" x14ac:dyDescent="0.35">
      <c r="E2107" s="83"/>
      <c r="F2107" s="83"/>
      <c r="G2107" s="76"/>
      <c r="H2107" s="76"/>
      <c r="I2107" s="76"/>
      <c r="J2107" s="76"/>
      <c r="K2107" s="76"/>
      <c r="L2107" s="76"/>
      <c r="M2107" s="76"/>
      <c r="N2107" s="76"/>
      <c r="O2107" s="76"/>
      <c r="P2107" s="76"/>
      <c r="Q2107" s="76"/>
      <c r="R2107" s="76"/>
      <c r="S2107" s="76"/>
      <c r="T2107" s="76"/>
      <c r="U2107" s="76"/>
      <c r="V2107" s="76"/>
      <c r="W2107" s="76"/>
      <c r="X2107" s="76"/>
      <c r="Y2107" s="76"/>
      <c r="Z2107" s="76"/>
      <c r="AA2107" s="76"/>
      <c r="AB2107" s="76"/>
      <c r="AC2107" s="76"/>
      <c r="AD2107" s="76"/>
      <c r="AE2107" s="76"/>
      <c r="AF2107" s="76"/>
      <c r="AG2107" s="76"/>
      <c r="AH2107" s="76"/>
      <c r="AI2107" s="76"/>
      <c r="AJ2107" s="76"/>
      <c r="AK2107" s="76"/>
      <c r="AL2107" s="76"/>
      <c r="AM2107" s="76"/>
      <c r="AN2107" s="76"/>
      <c r="AO2107" s="76"/>
      <c r="AP2107" s="76"/>
      <c r="AQ2107" s="76"/>
      <c r="AR2107" s="76"/>
      <c r="AS2107" s="76"/>
      <c r="AT2107" s="76"/>
      <c r="AU2107" s="76"/>
      <c r="AV2107" s="76"/>
      <c r="AW2107" s="76"/>
      <c r="AX2107" s="76"/>
      <c r="AY2107" s="76"/>
      <c r="AZ2107" s="76"/>
      <c r="BA2107" s="76"/>
      <c r="BB2107" s="76"/>
    </row>
    <row r="2108" spans="5:54" x14ac:dyDescent="0.35">
      <c r="E2108" s="83"/>
      <c r="F2108" s="83"/>
      <c r="G2108" s="76"/>
      <c r="H2108" s="76"/>
      <c r="I2108" s="76"/>
      <c r="J2108" s="76"/>
      <c r="K2108" s="76"/>
      <c r="L2108" s="76"/>
      <c r="M2108" s="76"/>
      <c r="N2108" s="76"/>
      <c r="O2108" s="76"/>
      <c r="P2108" s="76"/>
      <c r="Q2108" s="76"/>
      <c r="R2108" s="76"/>
      <c r="S2108" s="76"/>
      <c r="T2108" s="76"/>
      <c r="U2108" s="76"/>
      <c r="V2108" s="76"/>
      <c r="W2108" s="76"/>
      <c r="X2108" s="76"/>
      <c r="Y2108" s="76"/>
      <c r="Z2108" s="76"/>
      <c r="AA2108" s="76"/>
      <c r="AB2108" s="76"/>
      <c r="AC2108" s="76"/>
      <c r="AD2108" s="76"/>
      <c r="AE2108" s="76"/>
      <c r="AF2108" s="76"/>
      <c r="AG2108" s="76"/>
      <c r="AH2108" s="76"/>
      <c r="AI2108" s="76"/>
      <c r="AJ2108" s="76"/>
      <c r="AK2108" s="76"/>
      <c r="AL2108" s="76"/>
      <c r="AM2108" s="76"/>
      <c r="AN2108" s="76"/>
      <c r="AO2108" s="76"/>
      <c r="AP2108" s="76"/>
      <c r="AQ2108" s="76"/>
      <c r="AR2108" s="76"/>
      <c r="AS2108" s="76"/>
      <c r="AT2108" s="76"/>
      <c r="AU2108" s="76"/>
      <c r="AV2108" s="76"/>
      <c r="AW2108" s="76"/>
      <c r="AX2108" s="76"/>
      <c r="AY2108" s="76"/>
      <c r="AZ2108" s="76"/>
      <c r="BA2108" s="76"/>
      <c r="BB2108" s="76"/>
    </row>
    <row r="2109" spans="5:54" x14ac:dyDescent="0.35">
      <c r="E2109" s="83"/>
      <c r="F2109" s="83"/>
      <c r="G2109" s="76"/>
      <c r="H2109" s="76"/>
      <c r="I2109" s="76"/>
      <c r="J2109" s="76"/>
      <c r="K2109" s="76"/>
      <c r="L2109" s="76"/>
      <c r="M2109" s="76"/>
      <c r="N2109" s="76"/>
      <c r="O2109" s="76"/>
      <c r="P2109" s="76"/>
      <c r="Q2109" s="76"/>
      <c r="R2109" s="76"/>
      <c r="S2109" s="76"/>
      <c r="T2109" s="76"/>
      <c r="U2109" s="76"/>
      <c r="V2109" s="76"/>
      <c r="W2109" s="76"/>
      <c r="X2109" s="76"/>
      <c r="Y2109" s="76"/>
      <c r="Z2109" s="76"/>
      <c r="AA2109" s="76"/>
      <c r="AB2109" s="76"/>
      <c r="AC2109" s="76"/>
      <c r="AD2109" s="76"/>
      <c r="AE2109" s="76"/>
      <c r="AF2109" s="76"/>
      <c r="AG2109" s="76"/>
      <c r="AH2109" s="76"/>
      <c r="AI2109" s="76"/>
      <c r="AJ2109" s="76"/>
      <c r="AK2109" s="76"/>
      <c r="AL2109" s="76"/>
      <c r="AM2109" s="76"/>
      <c r="AN2109" s="76"/>
      <c r="AO2109" s="76"/>
      <c r="AP2109" s="76"/>
      <c r="AQ2109" s="76"/>
      <c r="AR2109" s="76"/>
      <c r="AS2109" s="76"/>
      <c r="AT2109" s="76"/>
      <c r="AU2109" s="76"/>
      <c r="AV2109" s="76"/>
      <c r="AW2109" s="76"/>
      <c r="AX2109" s="76"/>
      <c r="AY2109" s="76"/>
      <c r="AZ2109" s="76"/>
      <c r="BA2109" s="76"/>
      <c r="BB2109" s="76"/>
    </row>
    <row r="2110" spans="5:54" x14ac:dyDescent="0.35">
      <c r="E2110" s="83"/>
      <c r="F2110" s="83"/>
      <c r="G2110" s="76"/>
      <c r="H2110" s="76"/>
      <c r="I2110" s="76"/>
      <c r="J2110" s="76"/>
      <c r="K2110" s="76"/>
      <c r="L2110" s="76"/>
      <c r="M2110" s="76"/>
      <c r="N2110" s="76"/>
      <c r="O2110" s="76"/>
      <c r="P2110" s="76"/>
      <c r="Q2110" s="76"/>
      <c r="R2110" s="76"/>
      <c r="S2110" s="76"/>
      <c r="T2110" s="76"/>
      <c r="U2110" s="76"/>
      <c r="V2110" s="76"/>
      <c r="W2110" s="76"/>
      <c r="X2110" s="76"/>
      <c r="Y2110" s="76"/>
      <c r="Z2110" s="76"/>
      <c r="AA2110" s="76"/>
      <c r="AB2110" s="76"/>
      <c r="AC2110" s="76"/>
      <c r="AD2110" s="76"/>
      <c r="AE2110" s="76"/>
      <c r="AF2110" s="76"/>
      <c r="AG2110" s="76"/>
      <c r="AH2110" s="76"/>
      <c r="AI2110" s="76"/>
      <c r="AJ2110" s="76"/>
      <c r="AK2110" s="76"/>
      <c r="AL2110" s="76"/>
      <c r="AM2110" s="76"/>
      <c r="AN2110" s="76"/>
      <c r="AO2110" s="76"/>
      <c r="AP2110" s="76"/>
      <c r="AQ2110" s="76"/>
      <c r="AR2110" s="76"/>
      <c r="AS2110" s="76"/>
      <c r="AT2110" s="76"/>
      <c r="AU2110" s="76"/>
      <c r="AV2110" s="76"/>
      <c r="AW2110" s="76"/>
      <c r="AX2110" s="76"/>
      <c r="AY2110" s="76"/>
      <c r="AZ2110" s="76"/>
      <c r="BA2110" s="76"/>
      <c r="BB2110" s="76"/>
    </row>
    <row r="2111" spans="5:54" x14ac:dyDescent="0.35">
      <c r="E2111" s="83"/>
      <c r="F2111" s="83"/>
      <c r="G2111" s="76"/>
      <c r="H2111" s="76"/>
      <c r="I2111" s="76"/>
      <c r="J2111" s="76"/>
      <c r="K2111" s="76"/>
      <c r="L2111" s="76"/>
      <c r="M2111" s="76"/>
      <c r="N2111" s="76"/>
      <c r="O2111" s="76"/>
      <c r="P2111" s="76"/>
      <c r="Q2111" s="76"/>
      <c r="R2111" s="76"/>
      <c r="S2111" s="76"/>
      <c r="T2111" s="76"/>
      <c r="U2111" s="76"/>
      <c r="V2111" s="76"/>
      <c r="W2111" s="76"/>
      <c r="X2111" s="76"/>
      <c r="Y2111" s="76"/>
      <c r="Z2111" s="76"/>
      <c r="AA2111" s="76"/>
      <c r="AB2111" s="76"/>
      <c r="AC2111" s="76"/>
      <c r="AD2111" s="76"/>
      <c r="AE2111" s="76"/>
      <c r="AF2111" s="76"/>
      <c r="AG2111" s="76"/>
      <c r="AH2111" s="76"/>
      <c r="AI2111" s="76"/>
      <c r="AJ2111" s="76"/>
      <c r="AK2111" s="76"/>
      <c r="AL2111" s="76"/>
      <c r="AM2111" s="76"/>
      <c r="AN2111" s="76"/>
      <c r="AO2111" s="76"/>
      <c r="AP2111" s="76"/>
      <c r="AQ2111" s="76"/>
      <c r="AR2111" s="76"/>
      <c r="AS2111" s="76"/>
      <c r="AT2111" s="76"/>
      <c r="AU2111" s="76"/>
      <c r="AV2111" s="76"/>
      <c r="AW2111" s="76"/>
      <c r="AX2111" s="76"/>
      <c r="AY2111" s="76"/>
      <c r="AZ2111" s="76"/>
      <c r="BA2111" s="76"/>
      <c r="BB2111" s="76"/>
    </row>
    <row r="2112" spans="5:54" x14ac:dyDescent="0.35">
      <c r="E2112" s="83"/>
      <c r="F2112" s="83"/>
      <c r="G2112" s="76"/>
      <c r="H2112" s="76"/>
      <c r="I2112" s="76"/>
      <c r="J2112" s="76"/>
      <c r="K2112" s="76"/>
      <c r="L2112" s="76"/>
      <c r="M2112" s="76"/>
      <c r="N2112" s="76"/>
      <c r="O2112" s="76"/>
      <c r="P2112" s="76"/>
      <c r="Q2112" s="76"/>
      <c r="R2112" s="76"/>
      <c r="S2112" s="76"/>
      <c r="T2112" s="76"/>
      <c r="U2112" s="76"/>
      <c r="V2112" s="76"/>
      <c r="W2112" s="76"/>
      <c r="X2112" s="76"/>
      <c r="Y2112" s="76"/>
      <c r="Z2112" s="76"/>
      <c r="AA2112" s="76"/>
      <c r="AB2112" s="76"/>
      <c r="AC2112" s="76"/>
      <c r="AD2112" s="76"/>
      <c r="AE2112" s="76"/>
      <c r="AF2112" s="76"/>
      <c r="AG2112" s="76"/>
      <c r="AH2112" s="76"/>
      <c r="AI2112" s="76"/>
      <c r="AJ2112" s="76"/>
      <c r="AK2112" s="76"/>
      <c r="AL2112" s="76"/>
      <c r="AM2112" s="76"/>
      <c r="AN2112" s="76"/>
      <c r="AO2112" s="76"/>
      <c r="AP2112" s="76"/>
      <c r="AQ2112" s="76"/>
      <c r="AR2112" s="76"/>
      <c r="AS2112" s="76"/>
      <c r="AT2112" s="76"/>
      <c r="AU2112" s="76"/>
      <c r="AV2112" s="76"/>
      <c r="AW2112" s="76"/>
      <c r="AX2112" s="76"/>
      <c r="AY2112" s="76"/>
      <c r="AZ2112" s="76"/>
      <c r="BA2112" s="76"/>
      <c r="BB2112" s="76"/>
    </row>
    <row r="2113" spans="5:54" x14ac:dyDescent="0.35">
      <c r="E2113" s="83"/>
      <c r="F2113" s="83"/>
      <c r="G2113" s="76"/>
      <c r="H2113" s="76"/>
      <c r="I2113" s="76"/>
      <c r="J2113" s="76"/>
      <c r="K2113" s="76"/>
      <c r="L2113" s="76"/>
      <c r="M2113" s="76"/>
      <c r="N2113" s="76"/>
      <c r="O2113" s="76"/>
      <c r="P2113" s="76"/>
      <c r="Q2113" s="76"/>
      <c r="R2113" s="76"/>
      <c r="S2113" s="76"/>
      <c r="T2113" s="76"/>
      <c r="U2113" s="76"/>
      <c r="V2113" s="76"/>
      <c r="W2113" s="76"/>
      <c r="X2113" s="76"/>
      <c r="Y2113" s="76"/>
      <c r="Z2113" s="76"/>
      <c r="AA2113" s="76"/>
      <c r="AB2113" s="76"/>
      <c r="AC2113" s="76"/>
      <c r="AD2113" s="76"/>
      <c r="AE2113" s="76"/>
      <c r="AF2113" s="76"/>
      <c r="AG2113" s="76"/>
      <c r="AH2113" s="76"/>
      <c r="AI2113" s="76"/>
      <c r="AJ2113" s="76"/>
      <c r="AK2113" s="76"/>
      <c r="AL2113" s="76"/>
      <c r="AM2113" s="76"/>
      <c r="AN2113" s="76"/>
      <c r="AO2113" s="76"/>
      <c r="AP2113" s="76"/>
      <c r="AQ2113" s="76"/>
      <c r="AR2113" s="76"/>
      <c r="AS2113" s="76"/>
      <c r="AT2113" s="76"/>
      <c r="AU2113" s="76"/>
      <c r="AV2113" s="76"/>
      <c r="AW2113" s="76"/>
      <c r="AX2113" s="76"/>
      <c r="AY2113" s="76"/>
      <c r="AZ2113" s="76"/>
      <c r="BA2113" s="76"/>
      <c r="BB2113" s="76"/>
    </row>
    <row r="2114" spans="5:54" x14ac:dyDescent="0.35">
      <c r="E2114" s="83"/>
      <c r="F2114" s="83"/>
      <c r="G2114" s="76"/>
      <c r="H2114" s="76"/>
      <c r="I2114" s="76"/>
      <c r="J2114" s="76"/>
      <c r="K2114" s="76"/>
      <c r="L2114" s="76"/>
      <c r="M2114" s="76"/>
      <c r="N2114" s="76"/>
      <c r="O2114" s="76"/>
      <c r="P2114" s="76"/>
      <c r="Q2114" s="76"/>
      <c r="R2114" s="76"/>
      <c r="S2114" s="76"/>
      <c r="T2114" s="76"/>
      <c r="U2114" s="76"/>
      <c r="V2114" s="76"/>
      <c r="W2114" s="76"/>
      <c r="X2114" s="76"/>
      <c r="Y2114" s="76"/>
      <c r="Z2114" s="76"/>
      <c r="AA2114" s="76"/>
      <c r="AB2114" s="76"/>
      <c r="AC2114" s="76"/>
      <c r="AD2114" s="76"/>
      <c r="AE2114" s="76"/>
      <c r="AF2114" s="76"/>
      <c r="AG2114" s="76"/>
      <c r="AH2114" s="76"/>
      <c r="AI2114" s="76"/>
      <c r="AJ2114" s="76"/>
      <c r="AK2114" s="76"/>
      <c r="AL2114" s="76"/>
      <c r="AM2114" s="76"/>
      <c r="AN2114" s="76"/>
      <c r="AO2114" s="76"/>
      <c r="AP2114" s="76"/>
      <c r="AQ2114" s="76"/>
      <c r="AR2114" s="76"/>
      <c r="AS2114" s="76"/>
      <c r="AT2114" s="76"/>
      <c r="AU2114" s="76"/>
      <c r="AV2114" s="76"/>
      <c r="AW2114" s="76"/>
      <c r="AX2114" s="76"/>
      <c r="AY2114" s="76"/>
      <c r="AZ2114" s="76"/>
      <c r="BA2114" s="76"/>
      <c r="BB2114" s="76"/>
    </row>
    <row r="2115" spans="5:54" x14ac:dyDescent="0.35">
      <c r="E2115" s="83"/>
      <c r="F2115" s="83"/>
      <c r="G2115" s="76"/>
      <c r="H2115" s="76"/>
      <c r="I2115" s="76"/>
      <c r="J2115" s="76"/>
      <c r="K2115" s="76"/>
      <c r="L2115" s="76"/>
      <c r="M2115" s="76"/>
      <c r="N2115" s="76"/>
      <c r="O2115" s="76"/>
      <c r="P2115" s="76"/>
      <c r="Q2115" s="76"/>
      <c r="R2115" s="76"/>
      <c r="S2115" s="76"/>
      <c r="T2115" s="76"/>
      <c r="U2115" s="76"/>
      <c r="V2115" s="76"/>
      <c r="W2115" s="76"/>
      <c r="X2115" s="76"/>
      <c r="Y2115" s="76"/>
      <c r="Z2115" s="76"/>
      <c r="AA2115" s="76"/>
      <c r="AB2115" s="76"/>
      <c r="AC2115" s="76"/>
      <c r="AD2115" s="76"/>
      <c r="AE2115" s="76"/>
      <c r="AF2115" s="76"/>
      <c r="AG2115" s="76"/>
      <c r="AH2115" s="76"/>
      <c r="AI2115" s="76"/>
      <c r="AJ2115" s="76"/>
      <c r="AK2115" s="76"/>
      <c r="AL2115" s="76"/>
      <c r="AM2115" s="76"/>
      <c r="AN2115" s="76"/>
      <c r="AO2115" s="76"/>
      <c r="AP2115" s="76"/>
      <c r="AQ2115" s="76"/>
      <c r="AR2115" s="76"/>
      <c r="AS2115" s="76"/>
      <c r="AT2115" s="76"/>
      <c r="AU2115" s="76"/>
      <c r="AV2115" s="76"/>
      <c r="AW2115" s="76"/>
      <c r="AX2115" s="76"/>
      <c r="AY2115" s="76"/>
      <c r="AZ2115" s="76"/>
      <c r="BA2115" s="76"/>
      <c r="BB2115" s="76"/>
    </row>
    <row r="2116" spans="5:54" x14ac:dyDescent="0.35">
      <c r="E2116" s="83"/>
      <c r="F2116" s="83"/>
      <c r="G2116" s="76"/>
      <c r="H2116" s="76"/>
      <c r="I2116" s="76"/>
      <c r="J2116" s="76"/>
      <c r="K2116" s="76"/>
      <c r="L2116" s="76"/>
      <c r="M2116" s="76"/>
      <c r="N2116" s="76"/>
      <c r="O2116" s="76"/>
      <c r="P2116" s="76"/>
      <c r="Q2116" s="76"/>
      <c r="R2116" s="76"/>
      <c r="S2116" s="76"/>
      <c r="T2116" s="76"/>
      <c r="U2116" s="76"/>
      <c r="V2116" s="76"/>
      <c r="W2116" s="76"/>
      <c r="X2116" s="76"/>
      <c r="Y2116" s="76"/>
      <c r="Z2116" s="76"/>
      <c r="AA2116" s="76"/>
      <c r="AB2116" s="76"/>
      <c r="AC2116" s="76"/>
      <c r="AD2116" s="76"/>
      <c r="AE2116" s="76"/>
      <c r="AF2116" s="76"/>
      <c r="AG2116" s="76"/>
      <c r="AH2116" s="76"/>
      <c r="AI2116" s="76"/>
      <c r="AJ2116" s="76"/>
      <c r="AK2116" s="76"/>
      <c r="AL2116" s="76"/>
      <c r="AM2116" s="76"/>
      <c r="AN2116" s="76"/>
      <c r="AO2116" s="76"/>
      <c r="AP2116" s="76"/>
      <c r="AQ2116" s="76"/>
      <c r="AR2116" s="76"/>
      <c r="AS2116" s="76"/>
      <c r="AT2116" s="76"/>
      <c r="AU2116" s="76"/>
      <c r="AV2116" s="76"/>
      <c r="AW2116" s="76"/>
      <c r="AX2116" s="76"/>
      <c r="AY2116" s="76"/>
      <c r="AZ2116" s="76"/>
      <c r="BA2116" s="76"/>
      <c r="BB2116" s="76"/>
    </row>
    <row r="2117" spans="5:54" x14ac:dyDescent="0.35">
      <c r="E2117" s="83"/>
      <c r="F2117" s="83"/>
      <c r="G2117" s="76"/>
      <c r="H2117" s="76"/>
      <c r="I2117" s="76"/>
      <c r="J2117" s="76"/>
      <c r="K2117" s="76"/>
      <c r="L2117" s="76"/>
      <c r="M2117" s="76"/>
      <c r="N2117" s="76"/>
      <c r="O2117" s="76"/>
      <c r="P2117" s="76"/>
      <c r="Q2117" s="76"/>
      <c r="R2117" s="76"/>
      <c r="S2117" s="76"/>
      <c r="T2117" s="76"/>
      <c r="U2117" s="76"/>
      <c r="V2117" s="76"/>
      <c r="W2117" s="76"/>
      <c r="X2117" s="76"/>
      <c r="Y2117" s="76"/>
      <c r="Z2117" s="76"/>
      <c r="AA2117" s="76"/>
      <c r="AB2117" s="76"/>
      <c r="AC2117" s="76"/>
      <c r="AD2117" s="76"/>
      <c r="AE2117" s="76"/>
      <c r="AF2117" s="76"/>
      <c r="AG2117" s="76"/>
      <c r="AH2117" s="76"/>
      <c r="AI2117" s="76"/>
      <c r="AJ2117" s="76"/>
      <c r="AK2117" s="76"/>
      <c r="AL2117" s="76"/>
      <c r="AM2117" s="76"/>
      <c r="AN2117" s="76"/>
      <c r="AO2117" s="76"/>
      <c r="AP2117" s="76"/>
      <c r="AQ2117" s="76"/>
      <c r="AR2117" s="76"/>
      <c r="AS2117" s="76"/>
      <c r="AT2117" s="76"/>
      <c r="AU2117" s="76"/>
      <c r="AV2117" s="76"/>
      <c r="AW2117" s="76"/>
      <c r="AX2117" s="76"/>
      <c r="AY2117" s="76"/>
      <c r="AZ2117" s="76"/>
      <c r="BA2117" s="76"/>
      <c r="BB2117" s="76"/>
    </row>
    <row r="2118" spans="5:54" x14ac:dyDescent="0.35">
      <c r="E2118" s="83"/>
      <c r="F2118" s="83"/>
      <c r="G2118" s="76"/>
      <c r="H2118" s="76"/>
      <c r="I2118" s="76"/>
      <c r="J2118" s="76"/>
      <c r="K2118" s="76"/>
      <c r="L2118" s="76"/>
      <c r="M2118" s="76"/>
      <c r="N2118" s="76"/>
      <c r="O2118" s="76"/>
      <c r="P2118" s="76"/>
      <c r="Q2118" s="76"/>
      <c r="R2118" s="76"/>
      <c r="S2118" s="76"/>
      <c r="T2118" s="76"/>
      <c r="U2118" s="76"/>
      <c r="V2118" s="76"/>
      <c r="W2118" s="76"/>
      <c r="X2118" s="76"/>
      <c r="Y2118" s="76"/>
      <c r="Z2118" s="76"/>
      <c r="AA2118" s="76"/>
      <c r="AB2118" s="76"/>
      <c r="AC2118" s="76"/>
      <c r="AD2118" s="76"/>
      <c r="AE2118" s="76"/>
      <c r="AF2118" s="76"/>
      <c r="AG2118" s="76"/>
      <c r="AH2118" s="76"/>
      <c r="AI2118" s="76"/>
      <c r="AJ2118" s="76"/>
      <c r="AK2118" s="76"/>
      <c r="AL2118" s="76"/>
      <c r="AM2118" s="76"/>
      <c r="AN2118" s="76"/>
      <c r="AO2118" s="76"/>
      <c r="AP2118" s="76"/>
      <c r="AQ2118" s="76"/>
      <c r="AR2118" s="76"/>
      <c r="AS2118" s="76"/>
      <c r="AT2118" s="76"/>
      <c r="AU2118" s="76"/>
      <c r="AV2118" s="76"/>
      <c r="AW2118" s="76"/>
      <c r="AX2118" s="76"/>
      <c r="AY2118" s="76"/>
      <c r="AZ2118" s="76"/>
      <c r="BA2118" s="76"/>
      <c r="BB2118" s="76"/>
    </row>
    <row r="2119" spans="5:54" x14ac:dyDescent="0.35">
      <c r="E2119" s="83"/>
      <c r="F2119" s="83"/>
      <c r="G2119" s="76"/>
      <c r="H2119" s="76"/>
      <c r="I2119" s="76"/>
      <c r="J2119" s="76"/>
      <c r="K2119" s="76"/>
      <c r="L2119" s="76"/>
      <c r="M2119" s="76"/>
      <c r="N2119" s="76"/>
      <c r="O2119" s="76"/>
      <c r="P2119" s="76"/>
      <c r="Q2119" s="76"/>
      <c r="R2119" s="76"/>
      <c r="S2119" s="76"/>
      <c r="T2119" s="76"/>
      <c r="U2119" s="76"/>
      <c r="V2119" s="76"/>
      <c r="W2119" s="76"/>
      <c r="X2119" s="76"/>
      <c r="Y2119" s="76"/>
      <c r="Z2119" s="76"/>
      <c r="AA2119" s="76"/>
      <c r="AB2119" s="76"/>
      <c r="AC2119" s="76"/>
      <c r="AD2119" s="76"/>
      <c r="AE2119" s="76"/>
      <c r="AF2119" s="76"/>
      <c r="AG2119" s="76"/>
      <c r="AH2119" s="76"/>
      <c r="AI2119" s="76"/>
      <c r="AJ2119" s="76"/>
      <c r="AK2119" s="76"/>
      <c r="AL2119" s="76"/>
      <c r="AM2119" s="76"/>
      <c r="AN2119" s="76"/>
      <c r="AO2119" s="76"/>
      <c r="AP2119" s="76"/>
      <c r="AQ2119" s="76"/>
      <c r="AR2119" s="76"/>
      <c r="AS2119" s="76"/>
      <c r="AT2119" s="76"/>
      <c r="AU2119" s="76"/>
      <c r="AV2119" s="76"/>
      <c r="AW2119" s="76"/>
      <c r="AX2119" s="76"/>
      <c r="AY2119" s="76"/>
      <c r="AZ2119" s="76"/>
      <c r="BA2119" s="76"/>
      <c r="BB2119" s="76"/>
    </row>
    <row r="2120" spans="5:54" x14ac:dyDescent="0.35">
      <c r="E2120" s="83"/>
      <c r="F2120" s="83"/>
      <c r="G2120" s="76"/>
      <c r="H2120" s="76"/>
      <c r="I2120" s="76"/>
      <c r="J2120" s="76"/>
      <c r="K2120" s="76"/>
      <c r="L2120" s="76"/>
      <c r="M2120" s="76"/>
      <c r="N2120" s="76"/>
      <c r="O2120" s="76"/>
      <c r="P2120" s="76"/>
      <c r="Q2120" s="76"/>
      <c r="R2120" s="76"/>
      <c r="S2120" s="76"/>
      <c r="T2120" s="76"/>
      <c r="U2120" s="76"/>
      <c r="V2120" s="76"/>
      <c r="W2120" s="76"/>
      <c r="X2120" s="76"/>
      <c r="Y2120" s="76"/>
      <c r="Z2120" s="76"/>
      <c r="AA2120" s="76"/>
      <c r="AB2120" s="76"/>
      <c r="AC2120" s="76"/>
      <c r="AD2120" s="76"/>
      <c r="AE2120" s="76"/>
      <c r="AF2120" s="76"/>
      <c r="AG2120" s="76"/>
      <c r="AH2120" s="76"/>
      <c r="AI2120" s="76"/>
      <c r="AJ2120" s="76"/>
      <c r="AK2120" s="76"/>
      <c r="AL2120" s="76"/>
      <c r="AM2120" s="76"/>
      <c r="AN2120" s="76"/>
      <c r="AO2120" s="76"/>
      <c r="AP2120" s="76"/>
      <c r="AQ2120" s="76"/>
      <c r="AR2120" s="76"/>
      <c r="AS2120" s="76"/>
      <c r="AT2120" s="76"/>
      <c r="AU2120" s="76"/>
      <c r="AV2120" s="76"/>
      <c r="AW2120" s="76"/>
      <c r="AX2120" s="76"/>
      <c r="AY2120" s="76"/>
      <c r="AZ2120" s="76"/>
      <c r="BA2120" s="76"/>
      <c r="BB2120" s="76"/>
    </row>
    <row r="2121" spans="5:54" x14ac:dyDescent="0.35">
      <c r="E2121" s="83"/>
      <c r="F2121" s="83"/>
      <c r="G2121" s="76"/>
      <c r="H2121" s="76"/>
      <c r="I2121" s="76"/>
      <c r="J2121" s="76"/>
      <c r="K2121" s="76"/>
      <c r="L2121" s="76"/>
      <c r="M2121" s="76"/>
      <c r="N2121" s="76"/>
      <c r="O2121" s="76"/>
      <c r="P2121" s="76"/>
      <c r="Q2121" s="76"/>
      <c r="R2121" s="76"/>
      <c r="S2121" s="76"/>
      <c r="T2121" s="76"/>
      <c r="U2121" s="76"/>
      <c r="V2121" s="76"/>
      <c r="W2121" s="76"/>
      <c r="X2121" s="76"/>
      <c r="Y2121" s="76"/>
      <c r="Z2121" s="76"/>
      <c r="AA2121" s="76"/>
      <c r="AB2121" s="76"/>
      <c r="AC2121" s="76"/>
      <c r="AD2121" s="76"/>
      <c r="AE2121" s="76"/>
      <c r="AF2121" s="76"/>
      <c r="AG2121" s="76"/>
      <c r="AH2121" s="76"/>
      <c r="AI2121" s="76"/>
      <c r="AJ2121" s="76"/>
      <c r="AK2121" s="76"/>
      <c r="AL2121" s="76"/>
      <c r="AM2121" s="76"/>
      <c r="AN2121" s="76"/>
      <c r="AO2121" s="76"/>
      <c r="AP2121" s="76"/>
      <c r="AQ2121" s="76"/>
      <c r="AR2121" s="76"/>
      <c r="AS2121" s="76"/>
      <c r="AT2121" s="76"/>
      <c r="AU2121" s="76"/>
      <c r="AV2121" s="76"/>
      <c r="AW2121" s="76"/>
      <c r="AX2121" s="76"/>
      <c r="AY2121" s="76"/>
      <c r="AZ2121" s="76"/>
      <c r="BA2121" s="76"/>
      <c r="BB2121" s="76"/>
    </row>
    <row r="2122" spans="5:54" x14ac:dyDescent="0.35">
      <c r="E2122" s="83"/>
      <c r="F2122" s="83"/>
      <c r="G2122" s="76"/>
      <c r="H2122" s="76"/>
      <c r="I2122" s="76"/>
      <c r="J2122" s="76"/>
      <c r="K2122" s="76"/>
      <c r="L2122" s="76"/>
      <c r="M2122" s="76"/>
      <c r="N2122" s="76"/>
      <c r="O2122" s="76"/>
      <c r="P2122" s="76"/>
      <c r="Q2122" s="76"/>
      <c r="R2122" s="76"/>
      <c r="S2122" s="76"/>
      <c r="T2122" s="76"/>
      <c r="U2122" s="76"/>
      <c r="V2122" s="76"/>
      <c r="W2122" s="76"/>
      <c r="X2122" s="76"/>
      <c r="Y2122" s="76"/>
      <c r="Z2122" s="76"/>
      <c r="AA2122" s="76"/>
      <c r="AB2122" s="76"/>
      <c r="AC2122" s="76"/>
      <c r="AD2122" s="76"/>
      <c r="AE2122" s="76"/>
      <c r="AF2122" s="76"/>
      <c r="AG2122" s="76"/>
      <c r="AH2122" s="76"/>
      <c r="AI2122" s="76"/>
      <c r="AJ2122" s="76"/>
      <c r="AK2122" s="76"/>
      <c r="AL2122" s="76"/>
      <c r="AM2122" s="76"/>
      <c r="AN2122" s="76"/>
      <c r="AO2122" s="76"/>
      <c r="AP2122" s="76"/>
      <c r="AQ2122" s="76"/>
      <c r="AR2122" s="76"/>
      <c r="AS2122" s="76"/>
      <c r="AT2122" s="76"/>
      <c r="AU2122" s="76"/>
      <c r="AV2122" s="76"/>
      <c r="AW2122" s="76"/>
      <c r="AX2122" s="76"/>
      <c r="AY2122" s="76"/>
      <c r="AZ2122" s="76"/>
      <c r="BA2122" s="76"/>
      <c r="BB2122" s="76"/>
    </row>
    <row r="2123" spans="5:54" x14ac:dyDescent="0.35">
      <c r="E2123" s="83"/>
      <c r="F2123" s="83"/>
      <c r="G2123" s="76"/>
      <c r="H2123" s="76"/>
      <c r="I2123" s="76"/>
      <c r="J2123" s="76"/>
      <c r="K2123" s="76"/>
      <c r="L2123" s="76"/>
      <c r="M2123" s="76"/>
      <c r="N2123" s="76"/>
      <c r="O2123" s="76"/>
      <c r="P2123" s="76"/>
      <c r="Q2123" s="76"/>
      <c r="R2123" s="76"/>
      <c r="S2123" s="76"/>
      <c r="T2123" s="76"/>
      <c r="U2123" s="76"/>
      <c r="V2123" s="76"/>
      <c r="W2123" s="76"/>
      <c r="X2123" s="76"/>
      <c r="Y2123" s="76"/>
      <c r="Z2123" s="76"/>
      <c r="AA2123" s="76"/>
      <c r="AB2123" s="76"/>
      <c r="AC2123" s="76"/>
      <c r="AD2123" s="76"/>
      <c r="AE2123" s="76"/>
      <c r="AF2123" s="76"/>
      <c r="AG2123" s="76"/>
      <c r="AH2123" s="76"/>
      <c r="AI2123" s="76"/>
      <c r="AJ2123" s="76"/>
      <c r="AK2123" s="76"/>
      <c r="AL2123" s="76"/>
      <c r="AM2123" s="76"/>
      <c r="AN2123" s="76"/>
      <c r="AO2123" s="76"/>
      <c r="AP2123" s="76"/>
      <c r="AQ2123" s="76"/>
      <c r="AR2123" s="76"/>
      <c r="AS2123" s="76"/>
      <c r="AT2123" s="76"/>
      <c r="AU2123" s="76"/>
      <c r="AV2123" s="76"/>
      <c r="AW2123" s="76"/>
      <c r="AX2123" s="76"/>
      <c r="AY2123" s="76"/>
      <c r="AZ2123" s="76"/>
      <c r="BA2123" s="76"/>
      <c r="BB2123" s="76"/>
    </row>
    <row r="2124" spans="5:54" x14ac:dyDescent="0.35">
      <c r="E2124" s="83"/>
      <c r="F2124" s="83"/>
      <c r="G2124" s="76"/>
      <c r="H2124" s="76"/>
      <c r="I2124" s="76"/>
      <c r="J2124" s="76"/>
      <c r="K2124" s="76"/>
      <c r="L2124" s="76"/>
      <c r="M2124" s="76"/>
      <c r="N2124" s="76"/>
      <c r="O2124" s="76"/>
      <c r="P2124" s="76"/>
      <c r="Q2124" s="76"/>
      <c r="R2124" s="76"/>
      <c r="S2124" s="76"/>
      <c r="T2124" s="76"/>
      <c r="U2124" s="76"/>
      <c r="V2124" s="76"/>
      <c r="W2124" s="76"/>
      <c r="X2124" s="76"/>
      <c r="Y2124" s="76"/>
      <c r="Z2124" s="76"/>
      <c r="AA2124" s="76"/>
      <c r="AB2124" s="76"/>
      <c r="AC2124" s="76"/>
      <c r="AD2124" s="76"/>
      <c r="AE2124" s="76"/>
      <c r="AF2124" s="76"/>
      <c r="AG2124" s="76"/>
      <c r="AH2124" s="76"/>
      <c r="AI2124" s="76"/>
      <c r="AJ2124" s="76"/>
      <c r="AK2124" s="76"/>
      <c r="AL2124" s="76"/>
      <c r="AM2124" s="76"/>
      <c r="AN2124" s="76"/>
      <c r="AO2124" s="76"/>
      <c r="AP2124" s="76"/>
      <c r="AQ2124" s="76"/>
      <c r="AR2124" s="76"/>
      <c r="AS2124" s="76"/>
      <c r="AT2124" s="76"/>
      <c r="AU2124" s="76"/>
      <c r="AV2124" s="76"/>
      <c r="AW2124" s="76"/>
      <c r="AX2124" s="76"/>
      <c r="AY2124" s="76"/>
      <c r="AZ2124" s="76"/>
      <c r="BA2124" s="76"/>
      <c r="BB2124" s="76"/>
    </row>
    <row r="2125" spans="5:54" x14ac:dyDescent="0.35">
      <c r="E2125" s="83"/>
      <c r="F2125" s="83"/>
      <c r="G2125" s="76"/>
      <c r="H2125" s="76"/>
      <c r="I2125" s="76"/>
      <c r="J2125" s="76"/>
      <c r="K2125" s="76"/>
      <c r="L2125" s="76"/>
      <c r="M2125" s="76"/>
      <c r="N2125" s="76"/>
      <c r="O2125" s="76"/>
      <c r="P2125" s="76"/>
      <c r="Q2125" s="76"/>
      <c r="R2125" s="76"/>
      <c r="S2125" s="76"/>
      <c r="T2125" s="76"/>
      <c r="U2125" s="76"/>
      <c r="V2125" s="76"/>
      <c r="W2125" s="76"/>
      <c r="X2125" s="76"/>
      <c r="Y2125" s="76"/>
      <c r="Z2125" s="76"/>
      <c r="AA2125" s="76"/>
      <c r="AB2125" s="76"/>
      <c r="AC2125" s="76"/>
      <c r="AD2125" s="76"/>
      <c r="AE2125" s="76"/>
      <c r="AF2125" s="76"/>
      <c r="AG2125" s="76"/>
      <c r="AH2125" s="76"/>
      <c r="AI2125" s="76"/>
      <c r="AJ2125" s="76"/>
      <c r="AK2125" s="76"/>
      <c r="AL2125" s="76"/>
      <c r="AM2125" s="76"/>
      <c r="AN2125" s="76"/>
      <c r="AO2125" s="76"/>
      <c r="AP2125" s="76"/>
      <c r="AQ2125" s="76"/>
      <c r="AR2125" s="76"/>
      <c r="AS2125" s="76"/>
      <c r="AT2125" s="76"/>
      <c r="AU2125" s="76"/>
      <c r="AV2125" s="76"/>
      <c r="AW2125" s="76"/>
      <c r="AX2125" s="76"/>
      <c r="AY2125" s="76"/>
      <c r="AZ2125" s="76"/>
      <c r="BA2125" s="76"/>
      <c r="BB2125" s="76"/>
    </row>
    <row r="2126" spans="5:54" x14ac:dyDescent="0.35">
      <c r="E2126" s="83"/>
      <c r="F2126" s="83"/>
      <c r="G2126" s="76"/>
      <c r="H2126" s="76"/>
      <c r="I2126" s="76"/>
      <c r="J2126" s="76"/>
      <c r="K2126" s="76"/>
      <c r="L2126" s="76"/>
      <c r="M2126" s="76"/>
      <c r="N2126" s="76"/>
      <c r="O2126" s="76"/>
      <c r="P2126" s="76"/>
      <c r="Q2126" s="76"/>
      <c r="R2126" s="76"/>
      <c r="S2126" s="76"/>
      <c r="T2126" s="76"/>
      <c r="U2126" s="76"/>
      <c r="V2126" s="76"/>
      <c r="W2126" s="76"/>
      <c r="X2126" s="76"/>
      <c r="Y2126" s="76"/>
      <c r="Z2126" s="76"/>
      <c r="AA2126" s="76"/>
      <c r="AB2126" s="76"/>
      <c r="AC2126" s="76"/>
      <c r="AD2126" s="76"/>
      <c r="AE2126" s="76"/>
      <c r="AF2126" s="76"/>
      <c r="AG2126" s="76"/>
      <c r="AH2126" s="76"/>
      <c r="AI2126" s="76"/>
      <c r="AJ2126" s="76"/>
      <c r="AK2126" s="76"/>
      <c r="AL2126" s="76"/>
      <c r="AM2126" s="76"/>
      <c r="AN2126" s="76"/>
      <c r="AO2126" s="76"/>
      <c r="AP2126" s="76"/>
      <c r="AQ2126" s="76"/>
      <c r="AR2126" s="76"/>
      <c r="AS2126" s="76"/>
      <c r="AT2126" s="76"/>
      <c r="AU2126" s="76"/>
      <c r="AV2126" s="76"/>
      <c r="AW2126" s="76"/>
      <c r="AX2126" s="76"/>
      <c r="AY2126" s="76"/>
      <c r="AZ2126" s="76"/>
      <c r="BA2126" s="76"/>
      <c r="BB2126" s="76"/>
    </row>
    <row r="2127" spans="5:54" x14ac:dyDescent="0.35">
      <c r="E2127" s="83"/>
      <c r="F2127" s="83"/>
      <c r="G2127" s="76"/>
      <c r="H2127" s="76"/>
      <c r="I2127" s="76"/>
      <c r="J2127" s="76"/>
      <c r="K2127" s="76"/>
      <c r="L2127" s="76"/>
      <c r="M2127" s="76"/>
      <c r="N2127" s="76"/>
      <c r="O2127" s="76"/>
      <c r="P2127" s="76"/>
      <c r="Q2127" s="76"/>
      <c r="R2127" s="76"/>
      <c r="S2127" s="76"/>
      <c r="T2127" s="76"/>
      <c r="U2127" s="76"/>
      <c r="V2127" s="76"/>
      <c r="W2127" s="76"/>
      <c r="X2127" s="76"/>
      <c r="Y2127" s="76"/>
      <c r="Z2127" s="76"/>
      <c r="AA2127" s="76"/>
      <c r="AB2127" s="76"/>
      <c r="AC2127" s="76"/>
      <c r="AD2127" s="76"/>
      <c r="AE2127" s="76"/>
      <c r="AF2127" s="76"/>
      <c r="AG2127" s="76"/>
      <c r="AH2127" s="76"/>
      <c r="AI2127" s="76"/>
      <c r="AJ2127" s="76"/>
      <c r="AK2127" s="76"/>
      <c r="AL2127" s="76"/>
      <c r="AM2127" s="76"/>
      <c r="AN2127" s="76"/>
      <c r="AO2127" s="76"/>
      <c r="AP2127" s="76"/>
      <c r="AQ2127" s="76"/>
      <c r="AR2127" s="76"/>
      <c r="AS2127" s="76"/>
      <c r="AT2127" s="76"/>
      <c r="AU2127" s="76"/>
      <c r="AV2127" s="76"/>
      <c r="AW2127" s="76"/>
      <c r="AX2127" s="76"/>
      <c r="AY2127" s="76"/>
      <c r="AZ2127" s="76"/>
      <c r="BA2127" s="76"/>
      <c r="BB2127" s="76"/>
    </row>
    <row r="2128" spans="5:54" x14ac:dyDescent="0.35">
      <c r="E2128" s="83"/>
      <c r="F2128" s="83"/>
      <c r="G2128" s="76"/>
      <c r="H2128" s="76"/>
      <c r="I2128" s="76"/>
      <c r="J2128" s="76"/>
      <c r="K2128" s="76"/>
      <c r="L2128" s="76"/>
      <c r="M2128" s="76"/>
      <c r="N2128" s="76"/>
      <c r="O2128" s="76"/>
      <c r="P2128" s="76"/>
      <c r="Q2128" s="76"/>
      <c r="R2128" s="76"/>
      <c r="S2128" s="76"/>
      <c r="T2128" s="76"/>
      <c r="U2128" s="76"/>
      <c r="V2128" s="76"/>
      <c r="W2128" s="76"/>
      <c r="X2128" s="76"/>
      <c r="Y2128" s="76"/>
      <c r="Z2128" s="76"/>
      <c r="AA2128" s="76"/>
      <c r="AB2128" s="76"/>
      <c r="AC2128" s="76"/>
      <c r="AD2128" s="76"/>
      <c r="AE2128" s="76"/>
      <c r="AF2128" s="76"/>
      <c r="AG2128" s="76"/>
      <c r="AH2128" s="76"/>
      <c r="AI2128" s="76"/>
      <c r="AJ2128" s="76"/>
      <c r="AK2128" s="76"/>
      <c r="AL2128" s="76"/>
      <c r="AM2128" s="76"/>
      <c r="AN2128" s="76"/>
      <c r="AO2128" s="76"/>
      <c r="AP2128" s="76"/>
      <c r="AQ2128" s="76"/>
      <c r="AR2128" s="76"/>
      <c r="AS2128" s="76"/>
      <c r="AT2128" s="76"/>
      <c r="AU2128" s="76"/>
      <c r="AV2128" s="76"/>
      <c r="AW2128" s="76"/>
      <c r="AX2128" s="76"/>
      <c r="AY2128" s="76"/>
      <c r="AZ2128" s="76"/>
      <c r="BA2128" s="76"/>
      <c r="BB2128" s="76"/>
    </row>
    <row r="2129" spans="5:54" x14ac:dyDescent="0.35">
      <c r="E2129" s="83"/>
      <c r="F2129" s="83"/>
      <c r="G2129" s="76"/>
      <c r="H2129" s="76"/>
      <c r="I2129" s="76"/>
      <c r="J2129" s="76"/>
      <c r="K2129" s="76"/>
      <c r="L2129" s="76"/>
      <c r="M2129" s="76"/>
      <c r="N2129" s="76"/>
      <c r="O2129" s="76"/>
      <c r="P2129" s="76"/>
      <c r="Q2129" s="76"/>
      <c r="R2129" s="76"/>
      <c r="S2129" s="76"/>
      <c r="T2129" s="76"/>
      <c r="U2129" s="76"/>
      <c r="V2129" s="76"/>
      <c r="W2129" s="76"/>
      <c r="X2129" s="76"/>
      <c r="Y2129" s="76"/>
      <c r="Z2129" s="76"/>
      <c r="AA2129" s="76"/>
      <c r="AB2129" s="76"/>
      <c r="AC2129" s="76"/>
      <c r="AD2129" s="76"/>
      <c r="AE2129" s="76"/>
      <c r="AF2129" s="76"/>
      <c r="AG2129" s="76"/>
      <c r="AH2129" s="76"/>
      <c r="AI2129" s="76"/>
      <c r="AJ2129" s="76"/>
      <c r="AK2129" s="76"/>
      <c r="AL2129" s="76"/>
      <c r="AM2129" s="76"/>
      <c r="AN2129" s="76"/>
      <c r="AO2129" s="76"/>
      <c r="AP2129" s="76"/>
      <c r="AQ2129" s="76"/>
      <c r="AR2129" s="76"/>
      <c r="AS2129" s="76"/>
      <c r="AT2129" s="76"/>
      <c r="AU2129" s="76"/>
      <c r="AV2129" s="76"/>
      <c r="AW2129" s="76"/>
      <c r="AX2129" s="76"/>
      <c r="AY2129" s="76"/>
      <c r="AZ2129" s="76"/>
      <c r="BA2129" s="76"/>
      <c r="BB2129" s="76"/>
    </row>
    <row r="2130" spans="5:54" x14ac:dyDescent="0.35">
      <c r="E2130" s="83"/>
      <c r="F2130" s="83"/>
      <c r="G2130" s="76"/>
      <c r="H2130" s="76"/>
      <c r="I2130" s="76"/>
      <c r="J2130" s="76"/>
      <c r="K2130" s="76"/>
      <c r="L2130" s="76"/>
      <c r="M2130" s="76"/>
      <c r="N2130" s="76"/>
      <c r="O2130" s="76"/>
      <c r="P2130" s="76"/>
      <c r="Q2130" s="76"/>
      <c r="R2130" s="76"/>
      <c r="S2130" s="76"/>
      <c r="T2130" s="76"/>
      <c r="U2130" s="76"/>
      <c r="V2130" s="76"/>
      <c r="W2130" s="76"/>
      <c r="X2130" s="76"/>
      <c r="Y2130" s="76"/>
      <c r="Z2130" s="76"/>
      <c r="AA2130" s="76"/>
      <c r="AB2130" s="76"/>
      <c r="AC2130" s="76"/>
      <c r="AD2130" s="76"/>
      <c r="AE2130" s="76"/>
      <c r="AF2130" s="76"/>
      <c r="AG2130" s="76"/>
      <c r="AH2130" s="76"/>
      <c r="AI2130" s="76"/>
      <c r="AJ2130" s="76"/>
      <c r="AK2130" s="76"/>
      <c r="AL2130" s="76"/>
      <c r="AM2130" s="76"/>
      <c r="AN2130" s="76"/>
      <c r="AO2130" s="76"/>
      <c r="AP2130" s="76"/>
      <c r="AQ2130" s="76"/>
      <c r="AR2130" s="76"/>
      <c r="AS2130" s="76"/>
      <c r="AT2130" s="76"/>
      <c r="AU2130" s="76"/>
      <c r="AV2130" s="76"/>
      <c r="AW2130" s="76"/>
      <c r="AX2130" s="76"/>
      <c r="AY2130" s="76"/>
      <c r="AZ2130" s="76"/>
      <c r="BA2130" s="76"/>
      <c r="BB2130" s="76"/>
    </row>
    <row r="2131" spans="5:54" x14ac:dyDescent="0.35">
      <c r="E2131" s="83"/>
      <c r="F2131" s="83"/>
      <c r="G2131" s="76"/>
      <c r="H2131" s="76"/>
      <c r="I2131" s="76"/>
      <c r="J2131" s="76"/>
      <c r="K2131" s="76"/>
      <c r="L2131" s="76"/>
      <c r="M2131" s="76"/>
      <c r="N2131" s="76"/>
      <c r="O2131" s="76"/>
      <c r="P2131" s="76"/>
      <c r="Q2131" s="76"/>
      <c r="R2131" s="76"/>
      <c r="S2131" s="76"/>
      <c r="T2131" s="76"/>
      <c r="U2131" s="76"/>
      <c r="V2131" s="76"/>
      <c r="W2131" s="76"/>
      <c r="X2131" s="76"/>
      <c r="Y2131" s="76"/>
      <c r="Z2131" s="76"/>
      <c r="AA2131" s="76"/>
      <c r="AB2131" s="76"/>
      <c r="AC2131" s="76"/>
      <c r="AD2131" s="76"/>
      <c r="AE2131" s="76"/>
      <c r="AF2131" s="76"/>
      <c r="AG2131" s="76"/>
      <c r="AH2131" s="76"/>
      <c r="AI2131" s="76"/>
      <c r="AJ2131" s="76"/>
      <c r="AK2131" s="76"/>
      <c r="AL2131" s="76"/>
      <c r="AM2131" s="76"/>
      <c r="AN2131" s="76"/>
      <c r="AO2131" s="76"/>
      <c r="AP2131" s="76"/>
      <c r="AQ2131" s="76"/>
      <c r="AR2131" s="76"/>
      <c r="AS2131" s="76"/>
      <c r="AT2131" s="76"/>
      <c r="AU2131" s="76"/>
      <c r="AV2131" s="76"/>
      <c r="AW2131" s="76"/>
      <c r="AX2131" s="76"/>
      <c r="AY2131" s="76"/>
      <c r="AZ2131" s="76"/>
      <c r="BA2131" s="76"/>
      <c r="BB2131" s="76"/>
    </row>
    <row r="2132" spans="5:54" x14ac:dyDescent="0.35">
      <c r="E2132" s="83"/>
      <c r="F2132" s="83"/>
      <c r="G2132" s="76"/>
      <c r="H2132" s="76"/>
      <c r="I2132" s="76"/>
      <c r="J2132" s="76"/>
      <c r="K2132" s="76"/>
      <c r="L2132" s="76"/>
      <c r="M2132" s="76"/>
      <c r="N2132" s="76"/>
      <c r="O2132" s="76"/>
      <c r="P2132" s="76"/>
      <c r="Q2132" s="76"/>
      <c r="R2132" s="76"/>
      <c r="S2132" s="76"/>
      <c r="T2132" s="76"/>
      <c r="U2132" s="76"/>
      <c r="V2132" s="76"/>
      <c r="W2132" s="76"/>
      <c r="X2132" s="76"/>
      <c r="Y2132" s="76"/>
      <c r="Z2132" s="76"/>
      <c r="AA2132" s="76"/>
      <c r="AB2132" s="76"/>
      <c r="AC2132" s="76"/>
      <c r="AD2132" s="76"/>
      <c r="AE2132" s="76"/>
      <c r="AF2132" s="76"/>
      <c r="AG2132" s="76"/>
      <c r="AH2132" s="76"/>
      <c r="AI2132" s="76"/>
      <c r="AJ2132" s="76"/>
      <c r="AK2132" s="76"/>
      <c r="AL2132" s="76"/>
      <c r="AM2132" s="76"/>
      <c r="AN2132" s="76"/>
      <c r="AO2132" s="76"/>
      <c r="AP2132" s="76"/>
      <c r="AQ2132" s="76"/>
      <c r="AR2132" s="76"/>
      <c r="AS2132" s="76"/>
      <c r="AT2132" s="76"/>
      <c r="AU2132" s="76"/>
      <c r="AV2132" s="76"/>
      <c r="AW2132" s="76"/>
      <c r="AX2132" s="76"/>
      <c r="AY2132" s="76"/>
      <c r="AZ2132" s="76"/>
      <c r="BA2132" s="76"/>
      <c r="BB2132" s="76"/>
    </row>
    <row r="2133" spans="5:54" x14ac:dyDescent="0.35">
      <c r="E2133" s="83"/>
      <c r="F2133" s="83"/>
      <c r="G2133" s="76"/>
      <c r="H2133" s="76"/>
      <c r="I2133" s="76"/>
      <c r="J2133" s="76"/>
      <c r="K2133" s="76"/>
      <c r="L2133" s="76"/>
      <c r="M2133" s="76"/>
      <c r="N2133" s="76"/>
      <c r="O2133" s="76"/>
      <c r="P2133" s="76"/>
      <c r="Q2133" s="76"/>
      <c r="R2133" s="76"/>
      <c r="S2133" s="76"/>
      <c r="T2133" s="76"/>
      <c r="U2133" s="76"/>
      <c r="V2133" s="76"/>
      <c r="W2133" s="76"/>
      <c r="X2133" s="76"/>
      <c r="Y2133" s="76"/>
      <c r="Z2133" s="76"/>
      <c r="AA2133" s="76"/>
      <c r="AB2133" s="76"/>
      <c r="AC2133" s="76"/>
      <c r="AD2133" s="76"/>
      <c r="AE2133" s="76"/>
      <c r="AF2133" s="76"/>
      <c r="AG2133" s="76"/>
      <c r="AH2133" s="76"/>
      <c r="AI2133" s="76"/>
      <c r="AJ2133" s="76"/>
      <c r="AK2133" s="76"/>
      <c r="AL2133" s="76"/>
      <c r="AM2133" s="76"/>
      <c r="AN2133" s="76"/>
      <c r="AO2133" s="76"/>
      <c r="AP2133" s="76"/>
      <c r="AQ2133" s="76"/>
      <c r="AR2133" s="76"/>
      <c r="AS2133" s="76"/>
      <c r="AT2133" s="76"/>
      <c r="AU2133" s="76"/>
      <c r="AV2133" s="76"/>
      <c r="AW2133" s="76"/>
      <c r="AX2133" s="76"/>
      <c r="AY2133" s="76"/>
      <c r="AZ2133" s="76"/>
      <c r="BA2133" s="76"/>
      <c r="BB2133" s="76"/>
    </row>
    <row r="2134" spans="5:54" x14ac:dyDescent="0.35">
      <c r="E2134" s="83"/>
      <c r="F2134" s="83"/>
      <c r="G2134" s="76"/>
      <c r="H2134" s="76"/>
      <c r="I2134" s="76"/>
      <c r="J2134" s="76"/>
      <c r="K2134" s="76"/>
      <c r="L2134" s="76"/>
      <c r="M2134" s="76"/>
      <c r="N2134" s="76"/>
      <c r="O2134" s="76"/>
      <c r="P2134" s="76"/>
      <c r="Q2134" s="76"/>
      <c r="R2134" s="76"/>
      <c r="S2134" s="76"/>
      <c r="T2134" s="76"/>
      <c r="U2134" s="76"/>
      <c r="V2134" s="76"/>
      <c r="W2134" s="76"/>
      <c r="X2134" s="76"/>
      <c r="Y2134" s="76"/>
      <c r="Z2134" s="76"/>
      <c r="AA2134" s="76"/>
      <c r="AB2134" s="76"/>
      <c r="AC2134" s="76"/>
      <c r="AD2134" s="76"/>
      <c r="AE2134" s="76"/>
      <c r="AF2134" s="76"/>
      <c r="AG2134" s="76"/>
      <c r="AH2134" s="76"/>
      <c r="AI2134" s="76"/>
      <c r="AJ2134" s="76"/>
      <c r="AK2134" s="76"/>
      <c r="AL2134" s="76"/>
      <c r="AM2134" s="76"/>
      <c r="AN2134" s="76"/>
      <c r="AO2134" s="76"/>
      <c r="AP2134" s="76"/>
      <c r="AQ2134" s="76"/>
      <c r="AR2134" s="76"/>
      <c r="AS2134" s="76"/>
      <c r="AT2134" s="76"/>
      <c r="AU2134" s="76"/>
      <c r="AV2134" s="76"/>
      <c r="AW2134" s="76"/>
      <c r="AX2134" s="76"/>
      <c r="AY2134" s="76"/>
      <c r="AZ2134" s="76"/>
      <c r="BA2134" s="76"/>
      <c r="BB2134" s="76"/>
    </row>
    <row r="2135" spans="5:54" x14ac:dyDescent="0.35">
      <c r="E2135" s="83"/>
      <c r="F2135" s="83"/>
      <c r="G2135" s="76"/>
      <c r="H2135" s="76"/>
      <c r="I2135" s="76"/>
      <c r="J2135" s="76"/>
      <c r="K2135" s="76"/>
      <c r="L2135" s="76"/>
      <c r="M2135" s="76"/>
      <c r="N2135" s="76"/>
      <c r="O2135" s="76"/>
      <c r="P2135" s="76"/>
      <c r="Q2135" s="76"/>
      <c r="R2135" s="76"/>
      <c r="S2135" s="76"/>
      <c r="T2135" s="76"/>
      <c r="U2135" s="76"/>
      <c r="V2135" s="76"/>
      <c r="W2135" s="76"/>
      <c r="X2135" s="76"/>
      <c r="Y2135" s="76"/>
      <c r="Z2135" s="76"/>
      <c r="AA2135" s="76"/>
      <c r="AB2135" s="76"/>
      <c r="AC2135" s="76"/>
      <c r="AD2135" s="76"/>
      <c r="AE2135" s="76"/>
      <c r="AF2135" s="76"/>
      <c r="AG2135" s="76"/>
      <c r="AH2135" s="76"/>
      <c r="AI2135" s="76"/>
      <c r="AJ2135" s="76"/>
      <c r="AK2135" s="76"/>
      <c r="AL2135" s="76"/>
      <c r="AM2135" s="76"/>
      <c r="AN2135" s="76"/>
      <c r="AO2135" s="76"/>
      <c r="AP2135" s="76"/>
      <c r="AQ2135" s="76"/>
      <c r="AR2135" s="76"/>
      <c r="AS2135" s="76"/>
      <c r="AT2135" s="76"/>
      <c r="AU2135" s="76"/>
      <c r="AV2135" s="76"/>
      <c r="AW2135" s="76"/>
      <c r="AX2135" s="76"/>
      <c r="AY2135" s="76"/>
      <c r="AZ2135" s="76"/>
      <c r="BA2135" s="76"/>
      <c r="BB2135" s="76"/>
    </row>
    <row r="2136" spans="5:54" x14ac:dyDescent="0.35">
      <c r="E2136" s="83"/>
      <c r="F2136" s="83"/>
      <c r="G2136" s="76"/>
      <c r="H2136" s="76"/>
      <c r="I2136" s="76"/>
      <c r="J2136" s="76"/>
      <c r="K2136" s="76"/>
      <c r="L2136" s="76"/>
      <c r="M2136" s="76"/>
      <c r="N2136" s="76"/>
      <c r="O2136" s="76"/>
      <c r="P2136" s="76"/>
      <c r="Q2136" s="76"/>
      <c r="R2136" s="76"/>
      <c r="S2136" s="76"/>
      <c r="T2136" s="76"/>
      <c r="U2136" s="76"/>
      <c r="V2136" s="76"/>
      <c r="W2136" s="76"/>
      <c r="X2136" s="76"/>
      <c r="Y2136" s="76"/>
      <c r="Z2136" s="76"/>
      <c r="AA2136" s="76"/>
      <c r="AB2136" s="76"/>
      <c r="AC2136" s="76"/>
      <c r="AD2136" s="76"/>
      <c r="AE2136" s="76"/>
      <c r="AF2136" s="76"/>
      <c r="AG2136" s="76"/>
      <c r="AH2136" s="76"/>
      <c r="AI2136" s="76"/>
      <c r="AJ2136" s="76"/>
      <c r="AK2136" s="76"/>
      <c r="AL2136" s="76"/>
      <c r="AM2136" s="76"/>
      <c r="AN2136" s="76"/>
      <c r="AO2136" s="76"/>
      <c r="AP2136" s="76"/>
      <c r="AQ2136" s="76"/>
      <c r="AR2136" s="76"/>
      <c r="AS2136" s="76"/>
      <c r="AT2136" s="76"/>
      <c r="AU2136" s="76"/>
      <c r="AV2136" s="76"/>
      <c r="AW2136" s="76"/>
      <c r="AX2136" s="76"/>
      <c r="AY2136" s="76"/>
      <c r="AZ2136" s="76"/>
      <c r="BA2136" s="76"/>
      <c r="BB2136" s="76"/>
    </row>
    <row r="2137" spans="5:54" x14ac:dyDescent="0.35">
      <c r="E2137" s="83"/>
      <c r="F2137" s="83"/>
      <c r="G2137" s="76"/>
      <c r="H2137" s="76"/>
      <c r="I2137" s="76"/>
      <c r="J2137" s="76"/>
      <c r="K2137" s="76"/>
      <c r="L2137" s="76"/>
      <c r="M2137" s="76"/>
      <c r="N2137" s="76"/>
      <c r="O2137" s="76"/>
      <c r="P2137" s="76"/>
      <c r="Q2137" s="76"/>
      <c r="R2137" s="76"/>
      <c r="S2137" s="76"/>
      <c r="T2137" s="76"/>
      <c r="U2137" s="76"/>
      <c r="V2137" s="76"/>
      <c r="W2137" s="76"/>
      <c r="X2137" s="76"/>
      <c r="Y2137" s="76"/>
      <c r="Z2137" s="76"/>
      <c r="AA2137" s="76"/>
      <c r="AB2137" s="76"/>
      <c r="AC2137" s="76"/>
      <c r="AD2137" s="76"/>
      <c r="AE2137" s="76"/>
      <c r="AF2137" s="76"/>
      <c r="AG2137" s="76"/>
      <c r="AH2137" s="76"/>
      <c r="AI2137" s="76"/>
      <c r="AJ2137" s="76"/>
      <c r="AK2137" s="76"/>
      <c r="AL2137" s="76"/>
      <c r="AM2137" s="76"/>
      <c r="AN2137" s="76"/>
      <c r="AO2137" s="76"/>
      <c r="AP2137" s="76"/>
      <c r="AQ2137" s="76"/>
      <c r="AR2137" s="76"/>
      <c r="AS2137" s="76"/>
      <c r="AT2137" s="76"/>
      <c r="AU2137" s="76"/>
      <c r="AV2137" s="76"/>
      <c r="AW2137" s="76"/>
      <c r="AX2137" s="76"/>
      <c r="AY2137" s="76"/>
      <c r="AZ2137" s="76"/>
      <c r="BA2137" s="76"/>
      <c r="BB2137" s="76"/>
    </row>
    <row r="2138" spans="5:54" x14ac:dyDescent="0.35">
      <c r="E2138" s="83"/>
      <c r="F2138" s="83"/>
      <c r="G2138" s="76"/>
      <c r="H2138" s="76"/>
      <c r="I2138" s="76"/>
      <c r="J2138" s="76"/>
      <c r="K2138" s="76"/>
      <c r="L2138" s="76"/>
      <c r="M2138" s="76"/>
      <c r="N2138" s="76"/>
      <c r="O2138" s="76"/>
      <c r="P2138" s="76"/>
      <c r="Q2138" s="76"/>
      <c r="R2138" s="76"/>
      <c r="S2138" s="76"/>
      <c r="T2138" s="76"/>
      <c r="U2138" s="76"/>
      <c r="V2138" s="76"/>
      <c r="W2138" s="76"/>
      <c r="X2138" s="76"/>
      <c r="Y2138" s="76"/>
      <c r="Z2138" s="76"/>
      <c r="AA2138" s="76"/>
      <c r="AB2138" s="76"/>
      <c r="AC2138" s="76"/>
      <c r="AD2138" s="76"/>
      <c r="AE2138" s="76"/>
      <c r="AF2138" s="76"/>
      <c r="AG2138" s="76"/>
      <c r="AH2138" s="76"/>
      <c r="AI2138" s="76"/>
      <c r="AJ2138" s="76"/>
      <c r="AK2138" s="76"/>
      <c r="AL2138" s="76"/>
      <c r="AM2138" s="76"/>
      <c r="AN2138" s="76"/>
      <c r="AO2138" s="76"/>
      <c r="AP2138" s="76"/>
      <c r="AQ2138" s="76"/>
      <c r="AR2138" s="76"/>
      <c r="AS2138" s="76"/>
      <c r="AT2138" s="76"/>
      <c r="AU2138" s="76"/>
      <c r="AV2138" s="76"/>
      <c r="AW2138" s="76"/>
      <c r="AX2138" s="76"/>
      <c r="AY2138" s="76"/>
      <c r="AZ2138" s="76"/>
      <c r="BA2138" s="76"/>
      <c r="BB2138" s="76"/>
    </row>
    <row r="2139" spans="5:54" x14ac:dyDescent="0.35">
      <c r="E2139" s="83"/>
      <c r="F2139" s="83"/>
      <c r="G2139" s="76"/>
      <c r="H2139" s="76"/>
      <c r="I2139" s="76"/>
      <c r="J2139" s="76"/>
      <c r="K2139" s="76"/>
      <c r="L2139" s="76"/>
      <c r="M2139" s="76"/>
      <c r="N2139" s="76"/>
      <c r="O2139" s="76"/>
      <c r="P2139" s="76"/>
      <c r="Q2139" s="76"/>
      <c r="R2139" s="76"/>
      <c r="S2139" s="76"/>
      <c r="T2139" s="76"/>
      <c r="U2139" s="76"/>
      <c r="V2139" s="76"/>
      <c r="W2139" s="76"/>
      <c r="X2139" s="76"/>
      <c r="Y2139" s="76"/>
      <c r="Z2139" s="76"/>
      <c r="AA2139" s="76"/>
      <c r="AB2139" s="76"/>
      <c r="AC2139" s="76"/>
      <c r="AD2139" s="76"/>
      <c r="AE2139" s="76"/>
      <c r="AF2139" s="76"/>
      <c r="AG2139" s="76"/>
      <c r="AH2139" s="76"/>
      <c r="AI2139" s="76"/>
      <c r="AJ2139" s="76"/>
      <c r="AK2139" s="76"/>
      <c r="AL2139" s="76"/>
      <c r="AM2139" s="76"/>
      <c r="AN2139" s="76"/>
      <c r="AO2139" s="76"/>
      <c r="AP2139" s="76"/>
      <c r="AQ2139" s="76"/>
      <c r="AR2139" s="76"/>
      <c r="AS2139" s="76"/>
      <c r="AT2139" s="76"/>
      <c r="AU2139" s="76"/>
      <c r="AV2139" s="76"/>
      <c r="AW2139" s="76"/>
      <c r="AX2139" s="76"/>
      <c r="AY2139" s="76"/>
      <c r="AZ2139" s="76"/>
      <c r="BA2139" s="76"/>
      <c r="BB2139" s="76"/>
    </row>
    <row r="2140" spans="5:54" x14ac:dyDescent="0.35">
      <c r="E2140" s="83"/>
      <c r="F2140" s="83"/>
      <c r="G2140" s="76"/>
      <c r="H2140" s="76"/>
      <c r="I2140" s="76"/>
      <c r="J2140" s="76"/>
      <c r="K2140" s="76"/>
      <c r="L2140" s="76"/>
      <c r="M2140" s="76"/>
      <c r="N2140" s="76"/>
      <c r="O2140" s="76"/>
      <c r="P2140" s="76"/>
      <c r="Q2140" s="76"/>
      <c r="R2140" s="76"/>
      <c r="S2140" s="76"/>
      <c r="T2140" s="76"/>
      <c r="U2140" s="76"/>
      <c r="V2140" s="76"/>
      <c r="W2140" s="76"/>
      <c r="X2140" s="76"/>
      <c r="Y2140" s="76"/>
      <c r="Z2140" s="76"/>
      <c r="AA2140" s="76"/>
      <c r="AB2140" s="76"/>
      <c r="AC2140" s="76"/>
      <c r="AD2140" s="76"/>
      <c r="AE2140" s="76"/>
      <c r="AF2140" s="76"/>
      <c r="AG2140" s="76"/>
      <c r="AH2140" s="76"/>
      <c r="AI2140" s="76"/>
      <c r="AJ2140" s="76"/>
      <c r="AK2140" s="76"/>
      <c r="AL2140" s="76"/>
      <c r="AM2140" s="76"/>
      <c r="AN2140" s="76"/>
      <c r="AO2140" s="76"/>
      <c r="AP2140" s="76"/>
      <c r="AQ2140" s="76"/>
      <c r="AR2140" s="76"/>
      <c r="AS2140" s="76"/>
      <c r="AT2140" s="76"/>
      <c r="AU2140" s="76"/>
      <c r="AV2140" s="76"/>
      <c r="AW2140" s="76"/>
      <c r="AX2140" s="76"/>
      <c r="AY2140" s="76"/>
      <c r="AZ2140" s="76"/>
      <c r="BA2140" s="76"/>
      <c r="BB2140" s="76"/>
    </row>
    <row r="2141" spans="5:54" x14ac:dyDescent="0.35">
      <c r="E2141" s="83"/>
      <c r="F2141" s="83"/>
      <c r="G2141" s="76"/>
      <c r="H2141" s="76"/>
      <c r="I2141" s="76"/>
      <c r="J2141" s="76"/>
      <c r="K2141" s="76"/>
      <c r="L2141" s="76"/>
      <c r="M2141" s="76"/>
      <c r="N2141" s="76"/>
      <c r="O2141" s="76"/>
      <c r="P2141" s="76"/>
      <c r="Q2141" s="76"/>
      <c r="R2141" s="76"/>
      <c r="S2141" s="76"/>
      <c r="T2141" s="76"/>
      <c r="U2141" s="76"/>
      <c r="V2141" s="76"/>
      <c r="W2141" s="76"/>
      <c r="X2141" s="76"/>
      <c r="Y2141" s="76"/>
      <c r="Z2141" s="76"/>
      <c r="AA2141" s="76"/>
      <c r="AB2141" s="76"/>
      <c r="AC2141" s="76"/>
      <c r="AD2141" s="76"/>
      <c r="AE2141" s="76"/>
      <c r="AF2141" s="76"/>
      <c r="AG2141" s="76"/>
      <c r="AH2141" s="76"/>
      <c r="AI2141" s="76"/>
      <c r="AJ2141" s="76"/>
      <c r="AK2141" s="76"/>
      <c r="AL2141" s="76"/>
      <c r="AM2141" s="76"/>
      <c r="AN2141" s="76"/>
      <c r="AO2141" s="76"/>
      <c r="AP2141" s="76"/>
      <c r="AQ2141" s="76"/>
      <c r="AR2141" s="76"/>
      <c r="AS2141" s="76"/>
      <c r="AT2141" s="76"/>
      <c r="AU2141" s="76"/>
      <c r="AV2141" s="76"/>
      <c r="AW2141" s="76"/>
      <c r="AX2141" s="76"/>
      <c r="AY2141" s="76"/>
      <c r="AZ2141" s="76"/>
      <c r="BA2141" s="76"/>
      <c r="BB2141" s="76"/>
    </row>
    <row r="2142" spans="5:54" x14ac:dyDescent="0.35">
      <c r="E2142" s="83"/>
      <c r="F2142" s="83"/>
      <c r="G2142" s="76"/>
      <c r="H2142" s="76"/>
      <c r="I2142" s="76"/>
      <c r="J2142" s="76"/>
      <c r="K2142" s="76"/>
      <c r="L2142" s="76"/>
      <c r="M2142" s="76"/>
      <c r="N2142" s="76"/>
      <c r="O2142" s="76"/>
      <c r="P2142" s="76"/>
      <c r="Q2142" s="76"/>
      <c r="R2142" s="76"/>
      <c r="S2142" s="76"/>
      <c r="T2142" s="76"/>
      <c r="U2142" s="76"/>
      <c r="V2142" s="76"/>
      <c r="W2142" s="76"/>
      <c r="X2142" s="76"/>
      <c r="Y2142" s="76"/>
      <c r="Z2142" s="76"/>
      <c r="AA2142" s="76"/>
      <c r="AB2142" s="76"/>
      <c r="AC2142" s="76"/>
      <c r="AD2142" s="76"/>
      <c r="AE2142" s="76"/>
      <c r="AF2142" s="76"/>
      <c r="AG2142" s="76"/>
      <c r="AH2142" s="76"/>
      <c r="AI2142" s="76"/>
      <c r="AJ2142" s="76"/>
      <c r="AK2142" s="76"/>
      <c r="AL2142" s="76"/>
      <c r="AM2142" s="76"/>
      <c r="AN2142" s="76"/>
      <c r="AO2142" s="76"/>
      <c r="AP2142" s="76"/>
      <c r="AQ2142" s="76"/>
      <c r="AR2142" s="76"/>
      <c r="AS2142" s="76"/>
      <c r="AT2142" s="76"/>
      <c r="AU2142" s="76"/>
      <c r="AV2142" s="76"/>
      <c r="AW2142" s="76"/>
      <c r="AX2142" s="76"/>
      <c r="AY2142" s="76"/>
      <c r="AZ2142" s="76"/>
      <c r="BA2142" s="76"/>
      <c r="BB2142" s="76"/>
    </row>
    <row r="2143" spans="5:54" x14ac:dyDescent="0.35">
      <c r="E2143" s="83"/>
      <c r="F2143" s="83"/>
      <c r="G2143" s="76"/>
      <c r="H2143" s="76"/>
      <c r="I2143" s="76"/>
      <c r="J2143" s="76"/>
      <c r="K2143" s="76"/>
      <c r="L2143" s="76"/>
      <c r="M2143" s="76"/>
      <c r="N2143" s="76"/>
      <c r="O2143" s="76"/>
      <c r="P2143" s="76"/>
      <c r="Q2143" s="76"/>
      <c r="R2143" s="76"/>
      <c r="S2143" s="76"/>
      <c r="T2143" s="76"/>
      <c r="U2143" s="76"/>
      <c r="V2143" s="76"/>
      <c r="W2143" s="76"/>
      <c r="X2143" s="76"/>
      <c r="Y2143" s="76"/>
      <c r="Z2143" s="76"/>
      <c r="AA2143" s="76"/>
      <c r="AB2143" s="76"/>
      <c r="AC2143" s="76"/>
      <c r="AD2143" s="76"/>
      <c r="AE2143" s="76"/>
      <c r="AF2143" s="76"/>
      <c r="AG2143" s="76"/>
      <c r="AH2143" s="76"/>
      <c r="AI2143" s="76"/>
      <c r="AJ2143" s="76"/>
      <c r="AK2143" s="76"/>
      <c r="AL2143" s="76"/>
      <c r="AM2143" s="76"/>
      <c r="AN2143" s="76"/>
      <c r="AO2143" s="76"/>
      <c r="AP2143" s="76"/>
      <c r="AQ2143" s="76"/>
      <c r="AR2143" s="76"/>
      <c r="AS2143" s="76"/>
      <c r="AT2143" s="76"/>
      <c r="AU2143" s="76"/>
      <c r="AV2143" s="76"/>
      <c r="AW2143" s="76"/>
      <c r="AX2143" s="76"/>
      <c r="AY2143" s="76"/>
      <c r="AZ2143" s="76"/>
      <c r="BA2143" s="76"/>
      <c r="BB2143" s="76"/>
    </row>
    <row r="2144" spans="5:54" x14ac:dyDescent="0.35">
      <c r="E2144" s="83"/>
      <c r="F2144" s="83"/>
      <c r="G2144" s="76"/>
      <c r="H2144" s="76"/>
      <c r="I2144" s="76"/>
      <c r="J2144" s="76"/>
      <c r="K2144" s="76"/>
      <c r="L2144" s="76"/>
      <c r="M2144" s="76"/>
      <c r="N2144" s="76"/>
      <c r="O2144" s="76"/>
      <c r="P2144" s="76"/>
      <c r="Q2144" s="76"/>
      <c r="R2144" s="76"/>
      <c r="S2144" s="76"/>
      <c r="T2144" s="76"/>
      <c r="U2144" s="76"/>
      <c r="V2144" s="76"/>
      <c r="W2144" s="76"/>
      <c r="X2144" s="76"/>
      <c r="Y2144" s="76"/>
      <c r="Z2144" s="76"/>
      <c r="AA2144" s="76"/>
      <c r="AB2144" s="76"/>
      <c r="AC2144" s="76"/>
      <c r="AD2144" s="76"/>
      <c r="AE2144" s="76"/>
      <c r="AF2144" s="76"/>
      <c r="AG2144" s="76"/>
      <c r="AH2144" s="76"/>
      <c r="AI2144" s="76"/>
      <c r="AJ2144" s="76"/>
      <c r="AK2144" s="76"/>
      <c r="AL2144" s="76"/>
      <c r="AM2144" s="76"/>
      <c r="AN2144" s="76"/>
      <c r="AO2144" s="76"/>
      <c r="AP2144" s="76"/>
      <c r="AQ2144" s="76"/>
      <c r="AR2144" s="76"/>
      <c r="AS2144" s="76"/>
      <c r="AT2144" s="76"/>
      <c r="AU2144" s="76"/>
      <c r="AV2144" s="76"/>
      <c r="AW2144" s="76"/>
      <c r="AX2144" s="76"/>
      <c r="AY2144" s="76"/>
      <c r="AZ2144" s="76"/>
      <c r="BA2144" s="76"/>
      <c r="BB2144" s="76"/>
    </row>
    <row r="2145" spans="5:54" x14ac:dyDescent="0.35">
      <c r="E2145" s="83"/>
      <c r="F2145" s="83"/>
      <c r="G2145" s="76"/>
      <c r="H2145" s="76"/>
      <c r="I2145" s="76"/>
      <c r="J2145" s="76"/>
      <c r="K2145" s="76"/>
      <c r="L2145" s="76"/>
      <c r="M2145" s="76"/>
      <c r="N2145" s="76"/>
      <c r="O2145" s="76"/>
      <c r="P2145" s="76"/>
      <c r="Q2145" s="76"/>
      <c r="R2145" s="76"/>
      <c r="S2145" s="76"/>
      <c r="T2145" s="76"/>
      <c r="U2145" s="76"/>
      <c r="V2145" s="76"/>
      <c r="W2145" s="76"/>
      <c r="X2145" s="76"/>
      <c r="Y2145" s="76"/>
      <c r="Z2145" s="76"/>
      <c r="AA2145" s="76"/>
      <c r="AB2145" s="76"/>
      <c r="AC2145" s="76"/>
      <c r="AD2145" s="76"/>
      <c r="AE2145" s="76"/>
      <c r="AF2145" s="76"/>
      <c r="AG2145" s="76"/>
      <c r="AH2145" s="76"/>
      <c r="AI2145" s="76"/>
      <c r="AJ2145" s="76"/>
      <c r="AK2145" s="76"/>
      <c r="AL2145" s="76"/>
      <c r="AM2145" s="76"/>
      <c r="AN2145" s="76"/>
      <c r="AO2145" s="76"/>
      <c r="AP2145" s="76"/>
      <c r="AQ2145" s="76"/>
      <c r="AR2145" s="76"/>
      <c r="AS2145" s="76"/>
      <c r="AT2145" s="76"/>
      <c r="AU2145" s="76"/>
      <c r="AV2145" s="76"/>
      <c r="AW2145" s="76"/>
      <c r="AX2145" s="76"/>
      <c r="AY2145" s="76"/>
      <c r="AZ2145" s="76"/>
      <c r="BA2145" s="76"/>
      <c r="BB2145" s="76"/>
    </row>
    <row r="2146" spans="5:54" x14ac:dyDescent="0.35">
      <c r="E2146" s="83"/>
      <c r="F2146" s="83"/>
      <c r="G2146" s="76"/>
      <c r="H2146" s="76"/>
      <c r="I2146" s="76"/>
      <c r="J2146" s="76"/>
      <c r="K2146" s="76"/>
      <c r="L2146" s="76"/>
      <c r="M2146" s="76"/>
      <c r="N2146" s="76"/>
      <c r="O2146" s="76"/>
      <c r="P2146" s="76"/>
      <c r="Q2146" s="76"/>
      <c r="R2146" s="76"/>
      <c r="S2146" s="76"/>
      <c r="T2146" s="76"/>
      <c r="U2146" s="76"/>
      <c r="V2146" s="76"/>
      <c r="W2146" s="76"/>
      <c r="X2146" s="76"/>
      <c r="Y2146" s="76"/>
      <c r="Z2146" s="76"/>
      <c r="AA2146" s="76"/>
      <c r="AB2146" s="76"/>
      <c r="AC2146" s="76"/>
      <c r="AD2146" s="76"/>
      <c r="AE2146" s="76"/>
      <c r="AF2146" s="76"/>
      <c r="AG2146" s="76"/>
      <c r="AH2146" s="76"/>
      <c r="AI2146" s="76"/>
      <c r="AJ2146" s="76"/>
      <c r="AK2146" s="76"/>
      <c r="AL2146" s="76"/>
      <c r="AM2146" s="76"/>
      <c r="AN2146" s="76"/>
      <c r="AO2146" s="76"/>
      <c r="AP2146" s="76"/>
      <c r="AQ2146" s="76"/>
      <c r="AR2146" s="76"/>
      <c r="AS2146" s="76"/>
      <c r="AT2146" s="76"/>
      <c r="AU2146" s="76"/>
      <c r="AV2146" s="76"/>
      <c r="AW2146" s="76"/>
      <c r="AX2146" s="76"/>
      <c r="AY2146" s="76"/>
      <c r="AZ2146" s="76"/>
      <c r="BA2146" s="76"/>
      <c r="BB2146" s="76"/>
    </row>
    <row r="2147" spans="5:54" x14ac:dyDescent="0.35">
      <c r="E2147" s="83"/>
      <c r="F2147" s="83"/>
      <c r="G2147" s="76"/>
      <c r="H2147" s="76"/>
      <c r="I2147" s="76"/>
      <c r="J2147" s="76"/>
      <c r="K2147" s="76"/>
      <c r="L2147" s="76"/>
      <c r="M2147" s="76"/>
      <c r="N2147" s="76"/>
      <c r="O2147" s="76"/>
      <c r="P2147" s="76"/>
      <c r="Q2147" s="76"/>
      <c r="R2147" s="76"/>
      <c r="S2147" s="76"/>
      <c r="T2147" s="76"/>
      <c r="U2147" s="76"/>
      <c r="V2147" s="76"/>
      <c r="W2147" s="76"/>
      <c r="X2147" s="76"/>
      <c r="Y2147" s="76"/>
      <c r="Z2147" s="76"/>
      <c r="AA2147" s="76"/>
      <c r="AB2147" s="76"/>
      <c r="AC2147" s="76"/>
      <c r="AD2147" s="76"/>
      <c r="AE2147" s="76"/>
      <c r="AF2147" s="76"/>
      <c r="AG2147" s="76"/>
      <c r="AH2147" s="76"/>
      <c r="AI2147" s="76"/>
      <c r="AJ2147" s="76"/>
      <c r="AK2147" s="76"/>
      <c r="AL2147" s="76"/>
      <c r="AM2147" s="76"/>
      <c r="AN2147" s="76"/>
      <c r="AO2147" s="76"/>
      <c r="AP2147" s="76"/>
      <c r="AQ2147" s="76"/>
      <c r="AR2147" s="76"/>
      <c r="AS2147" s="76"/>
      <c r="AT2147" s="76"/>
      <c r="AU2147" s="76"/>
      <c r="AV2147" s="76"/>
      <c r="AW2147" s="76"/>
      <c r="AX2147" s="76"/>
      <c r="AY2147" s="76"/>
      <c r="AZ2147" s="76"/>
      <c r="BA2147" s="76"/>
      <c r="BB2147" s="76"/>
    </row>
    <row r="2148" spans="5:54" x14ac:dyDescent="0.35">
      <c r="E2148" s="83"/>
      <c r="F2148" s="83"/>
      <c r="G2148" s="76"/>
      <c r="H2148" s="76"/>
      <c r="I2148" s="76"/>
      <c r="J2148" s="76"/>
      <c r="K2148" s="76"/>
      <c r="L2148" s="76"/>
      <c r="M2148" s="76"/>
      <c r="N2148" s="76"/>
      <c r="O2148" s="76"/>
      <c r="P2148" s="76"/>
      <c r="Q2148" s="76"/>
      <c r="R2148" s="76"/>
      <c r="S2148" s="76"/>
      <c r="T2148" s="76"/>
      <c r="U2148" s="76"/>
      <c r="V2148" s="76"/>
      <c r="W2148" s="76"/>
      <c r="X2148" s="76"/>
      <c r="Y2148" s="76"/>
      <c r="Z2148" s="76"/>
      <c r="AA2148" s="76"/>
      <c r="AB2148" s="76"/>
      <c r="AC2148" s="76"/>
      <c r="AD2148" s="76"/>
      <c r="AE2148" s="76"/>
      <c r="AF2148" s="76"/>
      <c r="AG2148" s="76"/>
      <c r="AH2148" s="76"/>
      <c r="AI2148" s="76"/>
      <c r="AJ2148" s="76"/>
      <c r="AK2148" s="76"/>
      <c r="AL2148" s="76"/>
      <c r="AM2148" s="76"/>
      <c r="AN2148" s="76"/>
      <c r="AO2148" s="76"/>
      <c r="AP2148" s="76"/>
      <c r="AQ2148" s="76"/>
      <c r="AR2148" s="76"/>
      <c r="AS2148" s="76"/>
      <c r="AT2148" s="76"/>
      <c r="AU2148" s="76"/>
      <c r="AV2148" s="76"/>
      <c r="AW2148" s="76"/>
      <c r="AX2148" s="76"/>
      <c r="AY2148" s="76"/>
      <c r="AZ2148" s="76"/>
      <c r="BA2148" s="76"/>
      <c r="BB2148" s="76"/>
    </row>
    <row r="2149" spans="5:54" x14ac:dyDescent="0.35">
      <c r="E2149" s="83"/>
      <c r="F2149" s="83"/>
      <c r="G2149" s="76"/>
      <c r="H2149" s="76"/>
      <c r="I2149" s="76"/>
      <c r="J2149" s="76"/>
      <c r="K2149" s="76"/>
      <c r="L2149" s="76"/>
      <c r="M2149" s="76"/>
      <c r="N2149" s="76"/>
      <c r="O2149" s="76"/>
      <c r="P2149" s="76"/>
      <c r="Q2149" s="76"/>
      <c r="R2149" s="76"/>
      <c r="S2149" s="76"/>
      <c r="T2149" s="76"/>
      <c r="U2149" s="76"/>
      <c r="V2149" s="76"/>
      <c r="W2149" s="76"/>
      <c r="X2149" s="76"/>
      <c r="Y2149" s="76"/>
      <c r="Z2149" s="76"/>
      <c r="AA2149" s="76"/>
      <c r="AB2149" s="76"/>
      <c r="AC2149" s="76"/>
      <c r="AD2149" s="76"/>
      <c r="AE2149" s="76"/>
      <c r="AF2149" s="76"/>
      <c r="AG2149" s="76"/>
      <c r="AH2149" s="76"/>
      <c r="AI2149" s="76"/>
      <c r="AJ2149" s="76"/>
      <c r="AK2149" s="76"/>
      <c r="AL2149" s="76"/>
      <c r="AM2149" s="76"/>
      <c r="AN2149" s="76"/>
      <c r="AO2149" s="76"/>
      <c r="AP2149" s="76"/>
      <c r="AQ2149" s="76"/>
      <c r="AR2149" s="76"/>
      <c r="AS2149" s="76"/>
      <c r="AT2149" s="76"/>
      <c r="AU2149" s="76"/>
      <c r="AV2149" s="76"/>
      <c r="AW2149" s="76"/>
      <c r="AX2149" s="76"/>
      <c r="AY2149" s="76"/>
      <c r="AZ2149" s="76"/>
      <c r="BA2149" s="76"/>
      <c r="BB2149" s="76"/>
    </row>
    <row r="2150" spans="5:54" x14ac:dyDescent="0.35">
      <c r="E2150" s="83"/>
      <c r="F2150" s="83"/>
      <c r="G2150" s="76"/>
      <c r="H2150" s="76"/>
      <c r="I2150" s="76"/>
      <c r="J2150" s="76"/>
      <c r="K2150" s="76"/>
      <c r="L2150" s="76"/>
      <c r="M2150" s="76"/>
      <c r="N2150" s="76"/>
      <c r="O2150" s="76"/>
      <c r="P2150" s="76"/>
      <c r="Q2150" s="76"/>
      <c r="R2150" s="76"/>
      <c r="S2150" s="76"/>
      <c r="T2150" s="76"/>
      <c r="U2150" s="76"/>
      <c r="V2150" s="76"/>
      <c r="W2150" s="76"/>
      <c r="X2150" s="76"/>
      <c r="Y2150" s="76"/>
      <c r="Z2150" s="76"/>
      <c r="AA2150" s="76"/>
      <c r="AB2150" s="76"/>
      <c r="AC2150" s="76"/>
      <c r="AD2150" s="76"/>
      <c r="AE2150" s="76"/>
      <c r="AF2150" s="76"/>
      <c r="AG2150" s="76"/>
      <c r="AH2150" s="76"/>
      <c r="AI2150" s="76"/>
      <c r="AJ2150" s="76"/>
      <c r="AK2150" s="76"/>
      <c r="AL2150" s="76"/>
      <c r="AM2150" s="76"/>
      <c r="AN2150" s="76"/>
      <c r="AO2150" s="76"/>
      <c r="AP2150" s="76"/>
      <c r="AQ2150" s="76"/>
      <c r="AR2150" s="76"/>
      <c r="AS2150" s="76"/>
      <c r="AT2150" s="76"/>
      <c r="AU2150" s="76"/>
      <c r="AV2150" s="76"/>
      <c r="AW2150" s="76"/>
      <c r="AX2150" s="76"/>
      <c r="AY2150" s="76"/>
      <c r="AZ2150" s="76"/>
      <c r="BA2150" s="76"/>
      <c r="BB2150" s="76"/>
    </row>
    <row r="2151" spans="5:54" x14ac:dyDescent="0.35">
      <c r="E2151" s="83"/>
      <c r="F2151" s="83"/>
      <c r="G2151" s="76"/>
      <c r="H2151" s="76"/>
      <c r="I2151" s="76"/>
      <c r="J2151" s="76"/>
      <c r="K2151" s="76"/>
      <c r="L2151" s="76"/>
      <c r="M2151" s="76"/>
      <c r="N2151" s="76"/>
      <c r="O2151" s="76"/>
      <c r="P2151" s="76"/>
      <c r="Q2151" s="76"/>
      <c r="R2151" s="76"/>
      <c r="S2151" s="76"/>
      <c r="T2151" s="76"/>
      <c r="U2151" s="76"/>
      <c r="V2151" s="76"/>
      <c r="W2151" s="76"/>
      <c r="X2151" s="76"/>
      <c r="Y2151" s="76"/>
      <c r="Z2151" s="76"/>
      <c r="AA2151" s="76"/>
      <c r="AB2151" s="76"/>
      <c r="AC2151" s="76"/>
      <c r="AD2151" s="76"/>
      <c r="AE2151" s="76"/>
      <c r="AF2151" s="76"/>
      <c r="AG2151" s="76"/>
      <c r="AH2151" s="76"/>
      <c r="AI2151" s="76"/>
      <c r="AJ2151" s="76"/>
      <c r="AK2151" s="76"/>
      <c r="AL2151" s="76"/>
      <c r="AM2151" s="76"/>
      <c r="AN2151" s="76"/>
      <c r="AO2151" s="76"/>
      <c r="AP2151" s="76"/>
      <c r="AQ2151" s="76"/>
      <c r="AR2151" s="76"/>
      <c r="AS2151" s="76"/>
      <c r="AT2151" s="76"/>
      <c r="AU2151" s="76"/>
      <c r="AV2151" s="76"/>
      <c r="AW2151" s="76"/>
      <c r="AX2151" s="76"/>
      <c r="AY2151" s="76"/>
      <c r="AZ2151" s="76"/>
      <c r="BA2151" s="76"/>
      <c r="BB2151" s="76"/>
    </row>
    <row r="2152" spans="5:54" x14ac:dyDescent="0.35">
      <c r="E2152" s="83"/>
      <c r="F2152" s="83"/>
      <c r="G2152" s="76"/>
      <c r="H2152" s="76"/>
      <c r="I2152" s="76"/>
      <c r="J2152" s="76"/>
      <c r="K2152" s="76"/>
      <c r="L2152" s="76"/>
      <c r="M2152" s="76"/>
      <c r="N2152" s="76"/>
      <c r="O2152" s="76"/>
      <c r="P2152" s="76"/>
      <c r="Q2152" s="76"/>
      <c r="R2152" s="76"/>
      <c r="S2152" s="76"/>
      <c r="T2152" s="76"/>
      <c r="U2152" s="76"/>
      <c r="V2152" s="76"/>
      <c r="W2152" s="76"/>
      <c r="X2152" s="76"/>
      <c r="Y2152" s="76"/>
      <c r="Z2152" s="76"/>
      <c r="AA2152" s="76"/>
      <c r="AB2152" s="76"/>
      <c r="AC2152" s="76"/>
      <c r="AD2152" s="76"/>
      <c r="AE2152" s="76"/>
      <c r="AF2152" s="76"/>
      <c r="AG2152" s="76"/>
      <c r="AH2152" s="76"/>
      <c r="AI2152" s="76"/>
      <c r="AJ2152" s="76"/>
      <c r="AK2152" s="76"/>
      <c r="AL2152" s="76"/>
      <c r="AM2152" s="76"/>
      <c r="AN2152" s="76"/>
      <c r="AO2152" s="76"/>
      <c r="AP2152" s="76"/>
      <c r="AQ2152" s="76"/>
      <c r="AR2152" s="76"/>
      <c r="AS2152" s="76"/>
      <c r="AT2152" s="76"/>
      <c r="AU2152" s="76"/>
      <c r="AV2152" s="76"/>
      <c r="AW2152" s="76"/>
      <c r="AX2152" s="76"/>
      <c r="AY2152" s="76"/>
      <c r="AZ2152" s="76"/>
      <c r="BA2152" s="76"/>
      <c r="BB2152" s="76"/>
    </row>
    <row r="2153" spans="5:54" x14ac:dyDescent="0.35">
      <c r="E2153" s="83"/>
      <c r="F2153" s="83"/>
      <c r="G2153" s="76"/>
      <c r="H2153" s="76"/>
      <c r="I2153" s="76"/>
      <c r="J2153" s="76"/>
      <c r="K2153" s="76"/>
      <c r="L2153" s="76"/>
      <c r="M2153" s="76"/>
      <c r="N2153" s="76"/>
      <c r="O2153" s="76"/>
      <c r="P2153" s="76"/>
      <c r="Q2153" s="76"/>
      <c r="R2153" s="76"/>
      <c r="S2153" s="76"/>
      <c r="T2153" s="76"/>
      <c r="U2153" s="76"/>
      <c r="V2153" s="76"/>
      <c r="W2153" s="76"/>
      <c r="X2153" s="76"/>
      <c r="Y2153" s="76"/>
      <c r="Z2153" s="76"/>
      <c r="AA2153" s="76"/>
      <c r="AB2153" s="76"/>
      <c r="AC2153" s="76"/>
      <c r="AD2153" s="76"/>
      <c r="AE2153" s="76"/>
      <c r="AF2153" s="76"/>
      <c r="AG2153" s="76"/>
      <c r="AH2153" s="76"/>
      <c r="AI2153" s="76"/>
      <c r="AJ2153" s="76"/>
      <c r="AK2153" s="76"/>
      <c r="AL2153" s="76"/>
      <c r="AM2153" s="76"/>
      <c r="AN2153" s="76"/>
      <c r="AO2153" s="76"/>
      <c r="AP2153" s="76"/>
      <c r="AQ2153" s="76"/>
      <c r="AR2153" s="76"/>
      <c r="AS2153" s="76"/>
      <c r="AT2153" s="76"/>
      <c r="AU2153" s="76"/>
      <c r="AV2153" s="76"/>
      <c r="AW2153" s="76"/>
      <c r="AX2153" s="76"/>
      <c r="AY2153" s="76"/>
      <c r="AZ2153" s="76"/>
      <c r="BA2153" s="76"/>
      <c r="BB2153" s="76"/>
    </row>
    <row r="2154" spans="5:54" x14ac:dyDescent="0.35">
      <c r="E2154" s="83"/>
      <c r="F2154" s="83"/>
      <c r="G2154" s="76"/>
      <c r="H2154" s="76"/>
      <c r="I2154" s="76"/>
      <c r="J2154" s="76"/>
      <c r="K2154" s="76"/>
      <c r="L2154" s="76"/>
      <c r="M2154" s="76"/>
      <c r="N2154" s="76"/>
      <c r="O2154" s="76"/>
      <c r="P2154" s="76"/>
      <c r="Q2154" s="76"/>
      <c r="R2154" s="76"/>
      <c r="S2154" s="76"/>
      <c r="T2154" s="76"/>
      <c r="U2154" s="76"/>
      <c r="V2154" s="76"/>
      <c r="W2154" s="76"/>
      <c r="X2154" s="76"/>
      <c r="Y2154" s="76"/>
      <c r="Z2154" s="76"/>
      <c r="AA2154" s="76"/>
      <c r="AB2154" s="76"/>
      <c r="AC2154" s="76"/>
      <c r="AD2154" s="76"/>
      <c r="AE2154" s="76"/>
      <c r="AF2154" s="76"/>
      <c r="AG2154" s="76"/>
      <c r="AH2154" s="76"/>
      <c r="AI2154" s="76"/>
      <c r="AJ2154" s="76"/>
      <c r="AK2154" s="76"/>
      <c r="AL2154" s="76"/>
      <c r="AM2154" s="76"/>
      <c r="AN2154" s="76"/>
      <c r="AO2154" s="76"/>
      <c r="AP2154" s="76"/>
      <c r="AQ2154" s="76"/>
      <c r="AR2154" s="76"/>
      <c r="AS2154" s="76"/>
      <c r="AT2154" s="76"/>
      <c r="AU2154" s="76"/>
      <c r="AV2154" s="76"/>
      <c r="AW2154" s="76"/>
      <c r="AX2154" s="76"/>
      <c r="AY2154" s="76"/>
      <c r="AZ2154" s="76"/>
      <c r="BA2154" s="76"/>
      <c r="BB2154" s="76"/>
    </row>
    <row r="2155" spans="5:54" x14ac:dyDescent="0.35">
      <c r="E2155" s="83"/>
      <c r="F2155" s="83"/>
      <c r="G2155" s="76"/>
      <c r="H2155" s="76"/>
      <c r="I2155" s="76"/>
      <c r="J2155" s="76"/>
      <c r="K2155" s="76"/>
      <c r="L2155" s="76"/>
      <c r="M2155" s="76"/>
      <c r="N2155" s="76"/>
      <c r="O2155" s="76"/>
      <c r="P2155" s="76"/>
      <c r="Q2155" s="76"/>
      <c r="R2155" s="76"/>
      <c r="S2155" s="76"/>
      <c r="T2155" s="76"/>
      <c r="U2155" s="76"/>
      <c r="V2155" s="76"/>
      <c r="W2155" s="76"/>
      <c r="X2155" s="76"/>
      <c r="Y2155" s="76"/>
      <c r="Z2155" s="76"/>
      <c r="AA2155" s="76"/>
      <c r="AB2155" s="76"/>
      <c r="AC2155" s="76"/>
      <c r="AD2155" s="76"/>
      <c r="AE2155" s="76"/>
      <c r="AF2155" s="76"/>
      <c r="AG2155" s="76"/>
      <c r="AH2155" s="76"/>
      <c r="AI2155" s="76"/>
      <c r="AJ2155" s="76"/>
      <c r="AK2155" s="76"/>
      <c r="AL2155" s="76"/>
      <c r="AM2155" s="76"/>
      <c r="AN2155" s="76"/>
      <c r="AO2155" s="76"/>
      <c r="AP2155" s="76"/>
      <c r="AQ2155" s="76"/>
      <c r="AR2155" s="76"/>
      <c r="AS2155" s="76"/>
      <c r="AT2155" s="76"/>
      <c r="AU2155" s="76"/>
      <c r="AV2155" s="76"/>
      <c r="AW2155" s="76"/>
      <c r="AX2155" s="76"/>
      <c r="AY2155" s="76"/>
      <c r="AZ2155" s="76"/>
      <c r="BA2155" s="76"/>
      <c r="BB2155" s="76"/>
    </row>
    <row r="2156" spans="5:54" x14ac:dyDescent="0.35">
      <c r="E2156" s="83"/>
      <c r="F2156" s="83"/>
      <c r="G2156" s="76"/>
      <c r="H2156" s="76"/>
      <c r="I2156" s="76"/>
      <c r="J2156" s="76"/>
      <c r="K2156" s="76"/>
      <c r="L2156" s="76"/>
      <c r="M2156" s="76"/>
      <c r="N2156" s="76"/>
      <c r="O2156" s="76"/>
      <c r="P2156" s="76"/>
      <c r="Q2156" s="76"/>
      <c r="R2156" s="76"/>
      <c r="S2156" s="76"/>
      <c r="T2156" s="76"/>
      <c r="U2156" s="76"/>
      <c r="V2156" s="76"/>
      <c r="W2156" s="76"/>
      <c r="X2156" s="76"/>
      <c r="Y2156" s="76"/>
      <c r="Z2156" s="76"/>
      <c r="AA2156" s="76"/>
      <c r="AB2156" s="76"/>
      <c r="AC2156" s="76"/>
      <c r="AD2156" s="76"/>
      <c r="AE2156" s="76"/>
      <c r="AF2156" s="76"/>
      <c r="AG2156" s="76"/>
      <c r="AH2156" s="76"/>
      <c r="AI2156" s="76"/>
      <c r="AJ2156" s="76"/>
      <c r="AK2156" s="76"/>
      <c r="AL2156" s="76"/>
      <c r="AM2156" s="76"/>
      <c r="AN2156" s="76"/>
      <c r="AO2156" s="76"/>
      <c r="AP2156" s="76"/>
      <c r="AQ2156" s="76"/>
      <c r="AR2156" s="76"/>
      <c r="AS2156" s="76"/>
      <c r="AT2156" s="76"/>
      <c r="AU2156" s="76"/>
      <c r="AV2156" s="76"/>
      <c r="AW2156" s="76"/>
      <c r="AX2156" s="76"/>
      <c r="AY2156" s="76"/>
      <c r="AZ2156" s="76"/>
      <c r="BA2156" s="76"/>
      <c r="BB2156" s="76"/>
    </row>
    <row r="2157" spans="5:54" x14ac:dyDescent="0.35">
      <c r="E2157" s="83"/>
      <c r="F2157" s="83"/>
      <c r="G2157" s="76"/>
      <c r="H2157" s="76"/>
      <c r="I2157" s="76"/>
      <c r="J2157" s="76"/>
      <c r="K2157" s="76"/>
      <c r="L2157" s="76"/>
      <c r="M2157" s="76"/>
      <c r="N2157" s="76"/>
      <c r="O2157" s="76"/>
      <c r="P2157" s="76"/>
      <c r="Q2157" s="76"/>
      <c r="R2157" s="76"/>
      <c r="S2157" s="76"/>
      <c r="T2157" s="76"/>
      <c r="U2157" s="76"/>
      <c r="V2157" s="76"/>
      <c r="W2157" s="76"/>
      <c r="X2157" s="76"/>
      <c r="Y2157" s="76"/>
      <c r="Z2157" s="76"/>
      <c r="AA2157" s="76"/>
      <c r="AB2157" s="76"/>
      <c r="AC2157" s="76"/>
      <c r="AD2157" s="76"/>
      <c r="AE2157" s="76"/>
      <c r="AF2157" s="76"/>
      <c r="AG2157" s="76"/>
      <c r="AH2157" s="76"/>
      <c r="AI2157" s="76"/>
      <c r="AJ2157" s="76"/>
      <c r="AK2157" s="76"/>
      <c r="AL2157" s="76"/>
      <c r="AM2157" s="76"/>
      <c r="AN2157" s="76"/>
      <c r="AO2157" s="76"/>
      <c r="AP2157" s="76"/>
      <c r="AQ2157" s="76"/>
      <c r="AR2157" s="76"/>
      <c r="AS2157" s="76"/>
      <c r="AT2157" s="76"/>
      <c r="AU2157" s="76"/>
      <c r="AV2157" s="76"/>
      <c r="AW2157" s="76"/>
      <c r="AX2157" s="76"/>
      <c r="AY2157" s="76"/>
      <c r="AZ2157" s="76"/>
      <c r="BA2157" s="76"/>
      <c r="BB2157" s="76"/>
    </row>
    <row r="2158" spans="5:54" x14ac:dyDescent="0.35">
      <c r="E2158" s="83"/>
      <c r="F2158" s="83"/>
      <c r="G2158" s="76"/>
      <c r="H2158" s="76"/>
      <c r="I2158" s="76"/>
      <c r="J2158" s="76"/>
      <c r="K2158" s="76"/>
      <c r="L2158" s="76"/>
      <c r="M2158" s="76"/>
      <c r="N2158" s="76"/>
      <c r="O2158" s="76"/>
      <c r="P2158" s="76"/>
      <c r="Q2158" s="76"/>
      <c r="R2158" s="76"/>
      <c r="S2158" s="76"/>
      <c r="T2158" s="76"/>
      <c r="U2158" s="76"/>
      <c r="V2158" s="76"/>
      <c r="W2158" s="76"/>
      <c r="X2158" s="76"/>
      <c r="Y2158" s="76"/>
      <c r="Z2158" s="76"/>
      <c r="AA2158" s="76"/>
      <c r="AB2158" s="76"/>
      <c r="AC2158" s="76"/>
      <c r="AD2158" s="76"/>
      <c r="AE2158" s="76"/>
      <c r="AF2158" s="76"/>
      <c r="AG2158" s="76"/>
      <c r="AH2158" s="76"/>
      <c r="AI2158" s="76"/>
      <c r="AJ2158" s="76"/>
      <c r="AK2158" s="76"/>
      <c r="AL2158" s="76"/>
      <c r="AM2158" s="76"/>
      <c r="AN2158" s="76"/>
      <c r="AO2158" s="76"/>
      <c r="AP2158" s="76"/>
      <c r="AQ2158" s="76"/>
      <c r="AR2158" s="76"/>
      <c r="AS2158" s="76"/>
      <c r="AT2158" s="76"/>
      <c r="AU2158" s="76"/>
      <c r="AV2158" s="76"/>
      <c r="AW2158" s="76"/>
      <c r="AX2158" s="76"/>
      <c r="AY2158" s="76"/>
      <c r="AZ2158" s="76"/>
      <c r="BA2158" s="76"/>
      <c r="BB2158" s="76"/>
    </row>
    <row r="2159" spans="5:54" x14ac:dyDescent="0.35">
      <c r="E2159" s="83"/>
      <c r="F2159" s="83"/>
      <c r="G2159" s="76"/>
      <c r="H2159" s="76"/>
      <c r="I2159" s="76"/>
      <c r="J2159" s="76"/>
      <c r="K2159" s="76"/>
      <c r="L2159" s="76"/>
      <c r="M2159" s="76"/>
      <c r="N2159" s="76"/>
      <c r="O2159" s="76"/>
      <c r="P2159" s="76"/>
      <c r="Q2159" s="76"/>
      <c r="R2159" s="76"/>
      <c r="S2159" s="76"/>
      <c r="T2159" s="76"/>
      <c r="U2159" s="76"/>
      <c r="V2159" s="76"/>
      <c r="W2159" s="76"/>
      <c r="X2159" s="76"/>
      <c r="Y2159" s="76"/>
      <c r="Z2159" s="76"/>
      <c r="AA2159" s="76"/>
      <c r="AB2159" s="76"/>
      <c r="AC2159" s="76"/>
      <c r="AD2159" s="76"/>
      <c r="AE2159" s="76"/>
      <c r="AF2159" s="76"/>
      <c r="AG2159" s="76"/>
      <c r="AH2159" s="76"/>
      <c r="AI2159" s="76"/>
      <c r="AJ2159" s="76"/>
      <c r="AK2159" s="76"/>
      <c r="AL2159" s="76"/>
      <c r="AM2159" s="76"/>
      <c r="AN2159" s="76"/>
      <c r="AO2159" s="76"/>
      <c r="AP2159" s="76"/>
      <c r="AQ2159" s="76"/>
      <c r="AR2159" s="76"/>
      <c r="AS2159" s="76"/>
      <c r="AT2159" s="76"/>
      <c r="AU2159" s="76"/>
      <c r="AV2159" s="76"/>
      <c r="AW2159" s="76"/>
      <c r="AX2159" s="76"/>
      <c r="AY2159" s="76"/>
      <c r="AZ2159" s="76"/>
      <c r="BA2159" s="76"/>
      <c r="BB2159" s="76"/>
    </row>
    <row r="2160" spans="5:54" x14ac:dyDescent="0.35">
      <c r="E2160" s="83"/>
      <c r="F2160" s="83"/>
      <c r="G2160" s="76"/>
      <c r="H2160" s="76"/>
      <c r="I2160" s="76"/>
      <c r="J2160" s="76"/>
      <c r="K2160" s="76"/>
      <c r="L2160" s="76"/>
      <c r="M2160" s="76"/>
      <c r="N2160" s="76"/>
      <c r="O2160" s="76"/>
      <c r="P2160" s="76"/>
      <c r="Q2160" s="76"/>
      <c r="R2160" s="76"/>
      <c r="S2160" s="76"/>
      <c r="T2160" s="76"/>
      <c r="U2160" s="76"/>
      <c r="V2160" s="76"/>
      <c r="W2160" s="76"/>
      <c r="X2160" s="76"/>
      <c r="Y2160" s="76"/>
      <c r="Z2160" s="76"/>
      <c r="AA2160" s="76"/>
      <c r="AB2160" s="76"/>
      <c r="AC2160" s="76"/>
      <c r="AD2160" s="76"/>
      <c r="AE2160" s="76"/>
      <c r="AF2160" s="76"/>
      <c r="AG2160" s="76"/>
      <c r="AH2160" s="76"/>
      <c r="AI2160" s="76"/>
      <c r="AJ2160" s="76"/>
      <c r="AK2160" s="76"/>
      <c r="AL2160" s="76"/>
      <c r="AM2160" s="76"/>
      <c r="AN2160" s="76"/>
      <c r="AO2160" s="76"/>
      <c r="AP2160" s="76"/>
      <c r="AQ2160" s="76"/>
      <c r="AR2160" s="76"/>
      <c r="AS2160" s="76"/>
      <c r="AT2160" s="76"/>
      <c r="AU2160" s="76"/>
      <c r="AV2160" s="76"/>
      <c r="AW2160" s="76"/>
      <c r="AX2160" s="76"/>
      <c r="AY2160" s="76"/>
      <c r="AZ2160" s="76"/>
      <c r="BA2160" s="76"/>
      <c r="BB2160" s="76"/>
    </row>
    <row r="2161" spans="5:54" x14ac:dyDescent="0.35">
      <c r="E2161" s="83"/>
      <c r="F2161" s="83"/>
      <c r="G2161" s="76"/>
      <c r="H2161" s="76"/>
      <c r="I2161" s="76"/>
      <c r="J2161" s="76"/>
      <c r="K2161" s="76"/>
      <c r="L2161" s="76"/>
      <c r="M2161" s="76"/>
      <c r="N2161" s="76"/>
      <c r="O2161" s="76"/>
      <c r="P2161" s="76"/>
      <c r="Q2161" s="76"/>
      <c r="R2161" s="76"/>
      <c r="S2161" s="76"/>
      <c r="T2161" s="76"/>
      <c r="U2161" s="76"/>
      <c r="V2161" s="76"/>
      <c r="W2161" s="76"/>
      <c r="X2161" s="76"/>
      <c r="Y2161" s="76"/>
      <c r="Z2161" s="76"/>
      <c r="AA2161" s="76"/>
      <c r="AB2161" s="76"/>
      <c r="AC2161" s="76"/>
      <c r="AD2161" s="76"/>
      <c r="AE2161" s="76"/>
      <c r="AF2161" s="76"/>
      <c r="AG2161" s="76"/>
      <c r="AH2161" s="76"/>
      <c r="AI2161" s="76"/>
      <c r="AJ2161" s="76"/>
      <c r="AK2161" s="76"/>
      <c r="AL2161" s="76"/>
      <c r="AM2161" s="76"/>
      <c r="AN2161" s="76"/>
      <c r="AO2161" s="76"/>
      <c r="AP2161" s="76"/>
      <c r="AQ2161" s="76"/>
      <c r="AR2161" s="76"/>
      <c r="AS2161" s="76"/>
      <c r="AT2161" s="76"/>
      <c r="AU2161" s="76"/>
      <c r="AV2161" s="76"/>
      <c r="AW2161" s="76"/>
      <c r="AX2161" s="76"/>
      <c r="AY2161" s="76"/>
      <c r="AZ2161" s="76"/>
      <c r="BA2161" s="76"/>
      <c r="BB2161" s="76"/>
    </row>
    <row r="2162" spans="5:54" x14ac:dyDescent="0.35">
      <c r="E2162" s="83"/>
      <c r="F2162" s="83"/>
      <c r="G2162" s="76"/>
      <c r="H2162" s="76"/>
      <c r="I2162" s="76"/>
      <c r="J2162" s="76"/>
      <c r="K2162" s="76"/>
      <c r="L2162" s="76"/>
      <c r="M2162" s="76"/>
      <c r="N2162" s="76"/>
      <c r="O2162" s="76"/>
      <c r="P2162" s="76"/>
      <c r="Q2162" s="76"/>
      <c r="R2162" s="76"/>
      <c r="S2162" s="76"/>
      <c r="T2162" s="76"/>
      <c r="U2162" s="76"/>
      <c r="V2162" s="76"/>
      <c r="W2162" s="76"/>
      <c r="X2162" s="76"/>
      <c r="Y2162" s="76"/>
      <c r="Z2162" s="76"/>
      <c r="AA2162" s="76"/>
      <c r="AB2162" s="76"/>
      <c r="AC2162" s="76"/>
      <c r="AD2162" s="76"/>
      <c r="AE2162" s="76"/>
      <c r="AF2162" s="76"/>
      <c r="AG2162" s="76"/>
      <c r="AH2162" s="76"/>
      <c r="AI2162" s="76"/>
      <c r="AJ2162" s="76"/>
      <c r="AK2162" s="76"/>
      <c r="AL2162" s="76"/>
      <c r="AM2162" s="76"/>
      <c r="AN2162" s="76"/>
      <c r="AO2162" s="76"/>
      <c r="AP2162" s="76"/>
      <c r="AQ2162" s="76"/>
      <c r="AR2162" s="76"/>
      <c r="AS2162" s="76"/>
      <c r="AT2162" s="76"/>
      <c r="AU2162" s="76"/>
      <c r="AV2162" s="76"/>
      <c r="AW2162" s="76"/>
      <c r="AX2162" s="76"/>
      <c r="AY2162" s="76"/>
      <c r="AZ2162" s="76"/>
      <c r="BA2162" s="76"/>
      <c r="BB2162" s="76"/>
    </row>
    <row r="2163" spans="5:54" x14ac:dyDescent="0.35">
      <c r="E2163" s="83"/>
      <c r="F2163" s="83"/>
      <c r="G2163" s="76"/>
      <c r="H2163" s="76"/>
      <c r="I2163" s="76"/>
      <c r="J2163" s="76"/>
      <c r="K2163" s="76"/>
      <c r="L2163" s="76"/>
      <c r="M2163" s="76"/>
      <c r="N2163" s="76"/>
      <c r="O2163" s="76"/>
      <c r="P2163" s="76"/>
      <c r="Q2163" s="76"/>
      <c r="R2163" s="76"/>
      <c r="S2163" s="76"/>
      <c r="T2163" s="76"/>
      <c r="U2163" s="76"/>
      <c r="V2163" s="76"/>
      <c r="W2163" s="76"/>
      <c r="X2163" s="76"/>
      <c r="Y2163" s="76"/>
      <c r="Z2163" s="76"/>
      <c r="AA2163" s="76"/>
      <c r="AB2163" s="76"/>
      <c r="AC2163" s="76"/>
      <c r="AD2163" s="76"/>
      <c r="AE2163" s="76"/>
      <c r="AF2163" s="76"/>
      <c r="AG2163" s="76"/>
      <c r="AH2163" s="76"/>
      <c r="AI2163" s="76"/>
      <c r="AJ2163" s="76"/>
      <c r="AK2163" s="76"/>
      <c r="AL2163" s="76"/>
      <c r="AM2163" s="76"/>
      <c r="AN2163" s="76"/>
      <c r="AO2163" s="76"/>
      <c r="AP2163" s="76"/>
      <c r="AQ2163" s="76"/>
      <c r="AR2163" s="76"/>
      <c r="AS2163" s="76"/>
      <c r="AT2163" s="76"/>
      <c r="AU2163" s="76"/>
      <c r="AV2163" s="76"/>
      <c r="AW2163" s="76"/>
      <c r="AX2163" s="76"/>
      <c r="AY2163" s="76"/>
      <c r="AZ2163" s="76"/>
      <c r="BA2163" s="76"/>
      <c r="BB2163" s="76"/>
    </row>
    <row r="2164" spans="5:54" x14ac:dyDescent="0.35">
      <c r="E2164" s="83"/>
      <c r="F2164" s="83"/>
      <c r="G2164" s="76"/>
      <c r="H2164" s="76"/>
      <c r="I2164" s="76"/>
      <c r="J2164" s="76"/>
      <c r="K2164" s="76"/>
      <c r="L2164" s="76"/>
      <c r="M2164" s="76"/>
      <c r="N2164" s="76"/>
      <c r="O2164" s="76"/>
      <c r="P2164" s="76"/>
      <c r="Q2164" s="76"/>
      <c r="R2164" s="76"/>
      <c r="S2164" s="76"/>
      <c r="T2164" s="76"/>
      <c r="U2164" s="76"/>
      <c r="V2164" s="76"/>
      <c r="W2164" s="76"/>
      <c r="X2164" s="76"/>
      <c r="Y2164" s="76"/>
      <c r="Z2164" s="76"/>
      <c r="AA2164" s="76"/>
      <c r="AB2164" s="76"/>
      <c r="AC2164" s="76"/>
      <c r="AD2164" s="76"/>
      <c r="AE2164" s="76"/>
      <c r="AF2164" s="76"/>
      <c r="AG2164" s="76"/>
      <c r="AH2164" s="76"/>
      <c r="AI2164" s="76"/>
      <c r="AJ2164" s="76"/>
      <c r="AK2164" s="76"/>
      <c r="AL2164" s="76"/>
      <c r="AM2164" s="76"/>
      <c r="AN2164" s="76"/>
      <c r="AO2164" s="76"/>
      <c r="AP2164" s="76"/>
      <c r="AQ2164" s="76"/>
      <c r="AR2164" s="76"/>
      <c r="AS2164" s="76"/>
      <c r="AT2164" s="76"/>
      <c r="AU2164" s="76"/>
      <c r="AV2164" s="76"/>
      <c r="AW2164" s="76"/>
      <c r="AX2164" s="76"/>
      <c r="AY2164" s="76"/>
      <c r="AZ2164" s="76"/>
      <c r="BA2164" s="76"/>
      <c r="BB2164" s="76"/>
    </row>
    <row r="2165" spans="5:54" x14ac:dyDescent="0.35">
      <c r="E2165" s="83"/>
      <c r="F2165" s="83"/>
      <c r="G2165" s="76"/>
      <c r="H2165" s="76"/>
      <c r="I2165" s="76"/>
      <c r="J2165" s="76"/>
      <c r="K2165" s="76"/>
      <c r="L2165" s="76"/>
      <c r="M2165" s="76"/>
      <c r="N2165" s="76"/>
      <c r="O2165" s="76"/>
      <c r="P2165" s="76"/>
      <c r="Q2165" s="76"/>
      <c r="R2165" s="76"/>
      <c r="S2165" s="76"/>
      <c r="T2165" s="76"/>
      <c r="U2165" s="76"/>
      <c r="V2165" s="76"/>
      <c r="W2165" s="76"/>
      <c r="X2165" s="76"/>
      <c r="Y2165" s="76"/>
      <c r="Z2165" s="76"/>
      <c r="AA2165" s="76"/>
      <c r="AB2165" s="76"/>
      <c r="AC2165" s="76"/>
      <c r="AD2165" s="76"/>
      <c r="AE2165" s="76"/>
      <c r="AF2165" s="76"/>
      <c r="AG2165" s="76"/>
      <c r="AH2165" s="76"/>
      <c r="AI2165" s="76"/>
      <c r="AJ2165" s="76"/>
      <c r="AK2165" s="76"/>
      <c r="AL2165" s="76"/>
      <c r="AM2165" s="76"/>
      <c r="AN2165" s="76"/>
      <c r="AO2165" s="76"/>
      <c r="AP2165" s="76"/>
      <c r="AQ2165" s="76"/>
      <c r="AR2165" s="76"/>
      <c r="AS2165" s="76"/>
      <c r="AT2165" s="76"/>
      <c r="AU2165" s="76"/>
      <c r="AV2165" s="76"/>
      <c r="AW2165" s="76"/>
      <c r="AX2165" s="76"/>
      <c r="AY2165" s="76"/>
      <c r="AZ2165" s="76"/>
      <c r="BA2165" s="76"/>
      <c r="BB2165" s="76"/>
    </row>
    <row r="2166" spans="5:54" x14ac:dyDescent="0.35">
      <c r="E2166" s="83"/>
      <c r="F2166" s="83"/>
      <c r="G2166" s="76"/>
      <c r="H2166" s="76"/>
      <c r="I2166" s="76"/>
      <c r="J2166" s="76"/>
      <c r="K2166" s="76"/>
      <c r="L2166" s="76"/>
      <c r="M2166" s="76"/>
      <c r="N2166" s="76"/>
      <c r="O2166" s="76"/>
      <c r="P2166" s="76"/>
      <c r="Q2166" s="76"/>
      <c r="R2166" s="76"/>
      <c r="S2166" s="76"/>
      <c r="T2166" s="76"/>
      <c r="U2166" s="76"/>
      <c r="V2166" s="76"/>
      <c r="W2166" s="76"/>
      <c r="X2166" s="76"/>
      <c r="Y2166" s="76"/>
      <c r="Z2166" s="76"/>
      <c r="AA2166" s="76"/>
      <c r="AB2166" s="76"/>
      <c r="AC2166" s="76"/>
      <c r="AD2166" s="76"/>
      <c r="AE2166" s="76"/>
      <c r="AF2166" s="76"/>
      <c r="AG2166" s="76"/>
      <c r="AH2166" s="76"/>
      <c r="AI2166" s="76"/>
      <c r="AJ2166" s="76"/>
      <c r="AK2166" s="76"/>
      <c r="AL2166" s="76"/>
      <c r="AM2166" s="76"/>
      <c r="AN2166" s="76"/>
      <c r="AO2166" s="76"/>
      <c r="AP2166" s="76"/>
      <c r="AQ2166" s="76"/>
      <c r="AR2166" s="76"/>
      <c r="AS2166" s="76"/>
      <c r="AT2166" s="76"/>
      <c r="AU2166" s="76"/>
      <c r="AV2166" s="76"/>
      <c r="AW2166" s="76"/>
      <c r="AX2166" s="76"/>
      <c r="AY2166" s="76"/>
      <c r="AZ2166" s="76"/>
      <c r="BA2166" s="76"/>
      <c r="BB2166" s="76"/>
    </row>
    <row r="2167" spans="5:54" x14ac:dyDescent="0.35">
      <c r="E2167" s="83"/>
      <c r="F2167" s="83"/>
      <c r="G2167" s="76"/>
      <c r="H2167" s="76"/>
      <c r="I2167" s="76"/>
      <c r="J2167" s="76"/>
      <c r="K2167" s="76"/>
      <c r="L2167" s="76"/>
      <c r="M2167" s="76"/>
      <c r="N2167" s="76"/>
      <c r="O2167" s="76"/>
      <c r="P2167" s="76"/>
      <c r="Q2167" s="76"/>
      <c r="R2167" s="76"/>
      <c r="S2167" s="76"/>
      <c r="T2167" s="76"/>
      <c r="U2167" s="76"/>
      <c r="V2167" s="76"/>
      <c r="W2167" s="76"/>
      <c r="X2167" s="76"/>
      <c r="Y2167" s="76"/>
      <c r="Z2167" s="76"/>
      <c r="AA2167" s="76"/>
      <c r="AB2167" s="76"/>
      <c r="AC2167" s="76"/>
      <c r="AD2167" s="76"/>
      <c r="AE2167" s="76"/>
      <c r="AF2167" s="76"/>
      <c r="AG2167" s="76"/>
      <c r="AH2167" s="76"/>
      <c r="AI2167" s="76"/>
      <c r="AJ2167" s="76"/>
      <c r="AK2167" s="76"/>
      <c r="AL2167" s="76"/>
      <c r="AM2167" s="76"/>
      <c r="AN2167" s="76"/>
      <c r="AO2167" s="76"/>
      <c r="AP2167" s="76"/>
      <c r="AQ2167" s="76"/>
      <c r="AR2167" s="76"/>
      <c r="AS2167" s="76"/>
      <c r="AT2167" s="76"/>
      <c r="AU2167" s="76"/>
      <c r="AV2167" s="76"/>
      <c r="AW2167" s="76"/>
      <c r="AX2167" s="76"/>
      <c r="AY2167" s="76"/>
      <c r="AZ2167" s="76"/>
      <c r="BA2167" s="76"/>
      <c r="BB2167" s="76"/>
    </row>
    <row r="2168" spans="5:54" x14ac:dyDescent="0.35">
      <c r="E2168" s="83"/>
      <c r="F2168" s="83"/>
      <c r="G2168" s="76"/>
      <c r="H2168" s="76"/>
      <c r="I2168" s="76"/>
      <c r="J2168" s="76"/>
      <c r="K2168" s="76"/>
      <c r="L2168" s="76"/>
      <c r="M2168" s="76"/>
      <c r="N2168" s="76"/>
      <c r="O2168" s="76"/>
      <c r="P2168" s="76"/>
      <c r="Q2168" s="76"/>
      <c r="R2168" s="76"/>
      <c r="S2168" s="76"/>
      <c r="T2168" s="76"/>
      <c r="U2168" s="76"/>
      <c r="V2168" s="76"/>
      <c r="W2168" s="76"/>
      <c r="X2168" s="76"/>
      <c r="Y2168" s="76"/>
      <c r="Z2168" s="76"/>
      <c r="AA2168" s="76"/>
      <c r="AB2168" s="76"/>
      <c r="AC2168" s="76"/>
      <c r="AD2168" s="76"/>
      <c r="AE2168" s="76"/>
      <c r="AF2168" s="76"/>
      <c r="AG2168" s="76"/>
      <c r="AH2168" s="76"/>
      <c r="AI2168" s="76"/>
      <c r="AJ2168" s="76"/>
      <c r="AK2168" s="76"/>
      <c r="AL2168" s="76"/>
      <c r="AM2168" s="76"/>
      <c r="AN2168" s="76"/>
      <c r="AO2168" s="76"/>
      <c r="AP2168" s="76"/>
      <c r="AQ2168" s="76"/>
      <c r="AR2168" s="76"/>
      <c r="AS2168" s="76"/>
      <c r="AT2168" s="76"/>
      <c r="AU2168" s="76"/>
      <c r="AV2168" s="76"/>
      <c r="AW2168" s="76"/>
      <c r="AX2168" s="76"/>
      <c r="AY2168" s="76"/>
      <c r="AZ2168" s="76"/>
      <c r="BA2168" s="76"/>
      <c r="BB2168" s="76"/>
    </row>
    <row r="2169" spans="5:54" x14ac:dyDescent="0.35">
      <c r="E2169" s="83"/>
      <c r="F2169" s="83"/>
      <c r="G2169" s="76"/>
      <c r="H2169" s="76"/>
      <c r="I2169" s="76"/>
      <c r="J2169" s="76"/>
      <c r="K2169" s="76"/>
      <c r="L2169" s="76"/>
      <c r="M2169" s="76"/>
      <c r="N2169" s="76"/>
      <c r="O2169" s="76"/>
      <c r="P2169" s="76"/>
      <c r="Q2169" s="76"/>
      <c r="R2169" s="76"/>
      <c r="S2169" s="76"/>
      <c r="T2169" s="76"/>
      <c r="U2169" s="76"/>
      <c r="V2169" s="76"/>
      <c r="W2169" s="76"/>
      <c r="X2169" s="76"/>
      <c r="Y2169" s="76"/>
      <c r="Z2169" s="76"/>
      <c r="AA2169" s="76"/>
      <c r="AB2169" s="76"/>
      <c r="AC2169" s="76"/>
      <c r="AD2169" s="76"/>
      <c r="AE2169" s="76"/>
      <c r="AF2169" s="76"/>
      <c r="AG2169" s="76"/>
      <c r="AH2169" s="76"/>
      <c r="AI2169" s="76"/>
      <c r="AJ2169" s="76"/>
      <c r="AK2169" s="76"/>
      <c r="AL2169" s="76"/>
      <c r="AM2169" s="76"/>
      <c r="AN2169" s="76"/>
      <c r="AO2169" s="76"/>
      <c r="AP2169" s="76"/>
      <c r="AQ2169" s="76"/>
      <c r="AR2169" s="76"/>
      <c r="AS2169" s="76"/>
      <c r="AT2169" s="76"/>
      <c r="AU2169" s="76"/>
      <c r="AV2169" s="76"/>
      <c r="AW2169" s="76"/>
      <c r="AX2169" s="76"/>
      <c r="AY2169" s="76"/>
      <c r="AZ2169" s="76"/>
      <c r="BA2169" s="76"/>
      <c r="BB2169" s="76"/>
    </row>
    <row r="2170" spans="5:54" x14ac:dyDescent="0.35">
      <c r="E2170" s="83"/>
      <c r="F2170" s="83"/>
      <c r="G2170" s="76"/>
      <c r="H2170" s="76"/>
      <c r="I2170" s="76"/>
      <c r="J2170" s="76"/>
      <c r="K2170" s="76"/>
      <c r="L2170" s="76"/>
      <c r="M2170" s="76"/>
      <c r="N2170" s="76"/>
      <c r="O2170" s="76"/>
      <c r="P2170" s="76"/>
      <c r="Q2170" s="76"/>
      <c r="R2170" s="76"/>
      <c r="S2170" s="76"/>
      <c r="T2170" s="76"/>
      <c r="U2170" s="76"/>
      <c r="V2170" s="76"/>
      <c r="W2170" s="76"/>
      <c r="X2170" s="76"/>
      <c r="Y2170" s="76"/>
      <c r="Z2170" s="76"/>
      <c r="AA2170" s="76"/>
      <c r="AB2170" s="76"/>
      <c r="AC2170" s="76"/>
      <c r="AD2170" s="76"/>
      <c r="AE2170" s="76"/>
      <c r="AF2170" s="76"/>
      <c r="AG2170" s="76"/>
      <c r="AH2170" s="76"/>
      <c r="AI2170" s="76"/>
      <c r="AJ2170" s="76"/>
      <c r="AK2170" s="76"/>
      <c r="AL2170" s="76"/>
      <c r="AM2170" s="76"/>
      <c r="AN2170" s="76"/>
      <c r="AO2170" s="76"/>
      <c r="AP2170" s="76"/>
      <c r="AQ2170" s="76"/>
      <c r="AR2170" s="76"/>
      <c r="AS2170" s="76"/>
      <c r="AT2170" s="76"/>
      <c r="AU2170" s="76"/>
      <c r="AV2170" s="76"/>
      <c r="AW2170" s="76"/>
      <c r="AX2170" s="76"/>
      <c r="AY2170" s="76"/>
      <c r="AZ2170" s="76"/>
      <c r="BA2170" s="76"/>
      <c r="BB2170" s="76"/>
    </row>
    <row r="2171" spans="5:54" x14ac:dyDescent="0.35">
      <c r="E2171" s="83"/>
      <c r="F2171" s="83"/>
      <c r="G2171" s="76"/>
      <c r="H2171" s="76"/>
      <c r="I2171" s="76"/>
      <c r="J2171" s="76"/>
      <c r="K2171" s="76"/>
      <c r="L2171" s="76"/>
      <c r="M2171" s="76"/>
      <c r="N2171" s="76"/>
      <c r="O2171" s="76"/>
      <c r="P2171" s="76"/>
      <c r="Q2171" s="76"/>
      <c r="R2171" s="76"/>
      <c r="S2171" s="76"/>
      <c r="T2171" s="76"/>
      <c r="U2171" s="76"/>
      <c r="V2171" s="76"/>
      <c r="W2171" s="76"/>
      <c r="X2171" s="76"/>
      <c r="Y2171" s="76"/>
      <c r="Z2171" s="76"/>
      <c r="AA2171" s="76"/>
      <c r="AB2171" s="76"/>
      <c r="AC2171" s="76"/>
      <c r="AD2171" s="76"/>
      <c r="AE2171" s="76"/>
      <c r="AF2171" s="76"/>
      <c r="AG2171" s="76"/>
      <c r="AH2171" s="76"/>
      <c r="AI2171" s="76"/>
      <c r="AJ2171" s="76"/>
      <c r="AK2171" s="76"/>
      <c r="AL2171" s="76"/>
      <c r="AM2171" s="76"/>
      <c r="AN2171" s="76"/>
      <c r="AO2171" s="76"/>
      <c r="AP2171" s="76"/>
      <c r="AQ2171" s="76"/>
      <c r="AR2171" s="76"/>
      <c r="AS2171" s="76"/>
      <c r="AT2171" s="76"/>
      <c r="AU2171" s="76"/>
      <c r="AV2171" s="76"/>
      <c r="AW2171" s="76"/>
      <c r="AX2171" s="76"/>
      <c r="AY2171" s="76"/>
      <c r="AZ2171" s="76"/>
      <c r="BA2171" s="76"/>
      <c r="BB2171" s="76"/>
    </row>
    <row r="2172" spans="5:54" x14ac:dyDescent="0.35">
      <c r="E2172" s="83"/>
      <c r="F2172" s="83"/>
      <c r="G2172" s="76"/>
      <c r="H2172" s="76"/>
      <c r="I2172" s="76"/>
      <c r="J2172" s="76"/>
      <c r="K2172" s="76"/>
      <c r="L2172" s="76"/>
      <c r="M2172" s="76"/>
      <c r="N2172" s="76"/>
      <c r="O2172" s="76"/>
      <c r="P2172" s="76"/>
      <c r="Q2172" s="76"/>
      <c r="R2172" s="76"/>
      <c r="S2172" s="76"/>
      <c r="T2172" s="76"/>
      <c r="U2172" s="76"/>
      <c r="V2172" s="76"/>
      <c r="W2172" s="76"/>
      <c r="X2172" s="76"/>
      <c r="Y2172" s="76"/>
      <c r="Z2172" s="76"/>
      <c r="AA2172" s="76"/>
      <c r="AB2172" s="76"/>
      <c r="AC2172" s="76"/>
      <c r="AD2172" s="76"/>
      <c r="AE2172" s="76"/>
      <c r="AF2172" s="76"/>
      <c r="AG2172" s="76"/>
      <c r="AH2172" s="76"/>
      <c r="AI2172" s="76"/>
      <c r="AJ2172" s="76"/>
      <c r="AK2172" s="76"/>
      <c r="AL2172" s="76"/>
      <c r="AM2172" s="76"/>
      <c r="AN2172" s="76"/>
      <c r="AO2172" s="76"/>
      <c r="AP2172" s="76"/>
      <c r="AQ2172" s="76"/>
      <c r="AR2172" s="76"/>
      <c r="AS2172" s="76"/>
      <c r="AT2172" s="76"/>
      <c r="AU2172" s="76"/>
      <c r="AV2172" s="76"/>
      <c r="AW2172" s="76"/>
      <c r="AX2172" s="76"/>
      <c r="AY2172" s="76"/>
      <c r="AZ2172" s="76"/>
      <c r="BA2172" s="76"/>
      <c r="BB2172" s="76"/>
    </row>
    <row r="2173" spans="5:54" x14ac:dyDescent="0.35">
      <c r="E2173" s="83"/>
      <c r="F2173" s="83"/>
      <c r="G2173" s="76"/>
      <c r="H2173" s="76"/>
      <c r="I2173" s="76"/>
      <c r="J2173" s="76"/>
      <c r="K2173" s="76"/>
      <c r="L2173" s="76"/>
      <c r="M2173" s="76"/>
      <c r="N2173" s="76"/>
      <c r="O2173" s="76"/>
      <c r="P2173" s="76"/>
      <c r="Q2173" s="76"/>
      <c r="R2173" s="76"/>
      <c r="S2173" s="76"/>
      <c r="T2173" s="76"/>
      <c r="U2173" s="76"/>
      <c r="V2173" s="76"/>
      <c r="W2173" s="76"/>
      <c r="X2173" s="76"/>
      <c r="Y2173" s="76"/>
      <c r="Z2173" s="76"/>
      <c r="AA2173" s="76"/>
      <c r="AB2173" s="76"/>
      <c r="AC2173" s="76"/>
      <c r="AD2173" s="76"/>
      <c r="AE2173" s="76"/>
      <c r="AF2173" s="76"/>
      <c r="AG2173" s="76"/>
      <c r="AH2173" s="76"/>
      <c r="AI2173" s="76"/>
      <c r="AJ2173" s="76"/>
      <c r="AK2173" s="76"/>
      <c r="AL2173" s="76"/>
      <c r="AM2173" s="76"/>
      <c r="AN2173" s="76"/>
      <c r="AO2173" s="76"/>
      <c r="AP2173" s="76"/>
      <c r="AQ2173" s="76"/>
      <c r="AR2173" s="76"/>
      <c r="AS2173" s="76"/>
      <c r="AT2173" s="76"/>
      <c r="AU2173" s="76"/>
      <c r="AV2173" s="76"/>
      <c r="AW2173" s="76"/>
      <c r="AX2173" s="76"/>
      <c r="AY2173" s="76"/>
      <c r="AZ2173" s="76"/>
      <c r="BA2173" s="76"/>
      <c r="BB2173" s="76"/>
    </row>
    <row r="2174" spans="5:54" x14ac:dyDescent="0.35">
      <c r="E2174" s="83"/>
      <c r="F2174" s="83"/>
      <c r="G2174" s="76"/>
      <c r="H2174" s="76"/>
      <c r="I2174" s="76"/>
      <c r="J2174" s="76"/>
      <c r="K2174" s="76"/>
      <c r="L2174" s="76"/>
      <c r="M2174" s="76"/>
      <c r="N2174" s="76"/>
      <c r="O2174" s="76"/>
      <c r="P2174" s="76"/>
      <c r="Q2174" s="76"/>
      <c r="R2174" s="76"/>
      <c r="S2174" s="76"/>
      <c r="T2174" s="76"/>
      <c r="U2174" s="76"/>
      <c r="V2174" s="76"/>
      <c r="W2174" s="76"/>
      <c r="X2174" s="76"/>
      <c r="Y2174" s="76"/>
      <c r="Z2174" s="76"/>
      <c r="AA2174" s="76"/>
      <c r="AB2174" s="76"/>
      <c r="AC2174" s="76"/>
      <c r="AD2174" s="76"/>
      <c r="AE2174" s="76"/>
      <c r="AF2174" s="76"/>
      <c r="AG2174" s="76"/>
      <c r="AH2174" s="76"/>
      <c r="AI2174" s="76"/>
      <c r="AJ2174" s="76"/>
      <c r="AK2174" s="76"/>
      <c r="AL2174" s="76"/>
      <c r="AM2174" s="76"/>
      <c r="AN2174" s="76"/>
      <c r="AO2174" s="76"/>
      <c r="AP2174" s="76"/>
      <c r="AQ2174" s="76"/>
      <c r="AR2174" s="76"/>
      <c r="AS2174" s="76"/>
      <c r="AT2174" s="76"/>
      <c r="AU2174" s="76"/>
      <c r="AV2174" s="76"/>
      <c r="AW2174" s="76"/>
      <c r="AX2174" s="76"/>
      <c r="AY2174" s="76"/>
      <c r="AZ2174" s="76"/>
      <c r="BA2174" s="76"/>
      <c r="BB2174" s="76"/>
    </row>
    <row r="2175" spans="5:54" x14ac:dyDescent="0.35">
      <c r="E2175" s="83"/>
      <c r="F2175" s="83"/>
      <c r="G2175" s="76"/>
      <c r="H2175" s="76"/>
      <c r="I2175" s="76"/>
      <c r="J2175" s="76"/>
      <c r="K2175" s="76"/>
      <c r="L2175" s="76"/>
      <c r="M2175" s="76"/>
      <c r="N2175" s="76"/>
      <c r="O2175" s="76"/>
      <c r="P2175" s="76"/>
      <c r="Q2175" s="76"/>
      <c r="R2175" s="76"/>
      <c r="S2175" s="76"/>
      <c r="T2175" s="76"/>
      <c r="U2175" s="76"/>
      <c r="V2175" s="76"/>
      <c r="W2175" s="76"/>
      <c r="X2175" s="76"/>
      <c r="Y2175" s="76"/>
      <c r="Z2175" s="76"/>
      <c r="AA2175" s="76"/>
      <c r="AB2175" s="76"/>
      <c r="AC2175" s="76"/>
      <c r="AD2175" s="76"/>
      <c r="AE2175" s="76"/>
      <c r="AF2175" s="76"/>
      <c r="AG2175" s="76"/>
      <c r="AH2175" s="76"/>
      <c r="AI2175" s="76"/>
      <c r="AJ2175" s="76"/>
      <c r="AK2175" s="76"/>
      <c r="AL2175" s="76"/>
      <c r="AM2175" s="76"/>
      <c r="AN2175" s="76"/>
      <c r="AO2175" s="76"/>
      <c r="AP2175" s="76"/>
      <c r="AQ2175" s="76"/>
      <c r="AR2175" s="76"/>
      <c r="AS2175" s="76"/>
      <c r="AT2175" s="76"/>
      <c r="AU2175" s="76"/>
      <c r="AV2175" s="76"/>
      <c r="AW2175" s="76"/>
      <c r="AX2175" s="76"/>
      <c r="AY2175" s="76"/>
      <c r="AZ2175" s="76"/>
      <c r="BA2175" s="76"/>
      <c r="BB2175" s="76"/>
    </row>
    <row r="2176" spans="5:54" x14ac:dyDescent="0.35">
      <c r="E2176" s="83"/>
      <c r="F2176" s="83"/>
      <c r="G2176" s="76"/>
      <c r="H2176" s="76"/>
      <c r="I2176" s="76"/>
      <c r="J2176" s="76"/>
      <c r="K2176" s="76"/>
      <c r="L2176" s="76"/>
      <c r="M2176" s="76"/>
      <c r="N2176" s="76"/>
      <c r="O2176" s="76"/>
      <c r="P2176" s="76"/>
      <c r="Q2176" s="76"/>
      <c r="R2176" s="76"/>
      <c r="S2176" s="76"/>
      <c r="T2176" s="76"/>
      <c r="U2176" s="76"/>
      <c r="V2176" s="76"/>
      <c r="W2176" s="76"/>
      <c r="X2176" s="76"/>
      <c r="Y2176" s="76"/>
      <c r="Z2176" s="76"/>
      <c r="AA2176" s="76"/>
      <c r="AB2176" s="76"/>
      <c r="AC2176" s="76"/>
      <c r="AD2176" s="76"/>
      <c r="AE2176" s="76"/>
      <c r="AF2176" s="76"/>
      <c r="AG2176" s="76"/>
      <c r="AH2176" s="76"/>
      <c r="AI2176" s="76"/>
      <c r="AJ2176" s="76"/>
      <c r="AK2176" s="76"/>
      <c r="AL2176" s="76"/>
      <c r="AM2176" s="76"/>
      <c r="AN2176" s="76"/>
      <c r="AO2176" s="76"/>
      <c r="AP2176" s="76"/>
      <c r="AQ2176" s="76"/>
      <c r="AR2176" s="76"/>
      <c r="AS2176" s="76"/>
      <c r="AT2176" s="76"/>
      <c r="AU2176" s="76"/>
      <c r="AV2176" s="76"/>
      <c r="AW2176" s="76"/>
      <c r="AX2176" s="76"/>
      <c r="AY2176" s="76"/>
      <c r="AZ2176" s="76"/>
      <c r="BA2176" s="76"/>
      <c r="BB2176" s="76"/>
    </row>
    <row r="2177" spans="5:54" x14ac:dyDescent="0.35">
      <c r="E2177" s="83"/>
      <c r="F2177" s="83"/>
      <c r="G2177" s="76"/>
      <c r="H2177" s="76"/>
      <c r="I2177" s="76"/>
      <c r="J2177" s="76"/>
      <c r="K2177" s="76"/>
      <c r="L2177" s="76"/>
      <c r="M2177" s="76"/>
      <c r="N2177" s="76"/>
      <c r="O2177" s="76"/>
      <c r="P2177" s="76"/>
      <c r="Q2177" s="76"/>
      <c r="R2177" s="76"/>
      <c r="S2177" s="76"/>
      <c r="T2177" s="76"/>
      <c r="U2177" s="76"/>
      <c r="V2177" s="76"/>
      <c r="W2177" s="76"/>
      <c r="X2177" s="76"/>
      <c r="Y2177" s="76"/>
      <c r="Z2177" s="76"/>
      <c r="AA2177" s="76"/>
      <c r="AB2177" s="76"/>
      <c r="AC2177" s="76"/>
      <c r="AD2177" s="76"/>
      <c r="AE2177" s="76"/>
      <c r="AF2177" s="76"/>
      <c r="AG2177" s="76"/>
      <c r="AH2177" s="76"/>
      <c r="AI2177" s="76"/>
      <c r="AJ2177" s="76"/>
      <c r="AK2177" s="76"/>
      <c r="AL2177" s="76"/>
      <c r="AM2177" s="76"/>
      <c r="AN2177" s="76"/>
      <c r="AO2177" s="76"/>
      <c r="AP2177" s="76"/>
      <c r="AQ2177" s="76"/>
      <c r="AR2177" s="76"/>
      <c r="AS2177" s="76"/>
      <c r="AT2177" s="76"/>
      <c r="AU2177" s="76"/>
      <c r="AV2177" s="76"/>
      <c r="AW2177" s="76"/>
      <c r="AX2177" s="76"/>
      <c r="AY2177" s="76"/>
      <c r="AZ2177" s="76"/>
      <c r="BA2177" s="76"/>
      <c r="BB2177" s="76"/>
    </row>
    <row r="2178" spans="5:54" x14ac:dyDescent="0.35">
      <c r="E2178" s="83"/>
      <c r="F2178" s="83"/>
      <c r="G2178" s="76"/>
      <c r="H2178" s="76"/>
      <c r="I2178" s="76"/>
      <c r="J2178" s="76"/>
      <c r="K2178" s="76"/>
      <c r="L2178" s="76"/>
      <c r="M2178" s="76"/>
      <c r="N2178" s="76"/>
      <c r="O2178" s="76"/>
      <c r="P2178" s="76"/>
      <c r="Q2178" s="76"/>
      <c r="R2178" s="76"/>
      <c r="S2178" s="76"/>
      <c r="T2178" s="76"/>
      <c r="U2178" s="76"/>
      <c r="V2178" s="76"/>
      <c r="W2178" s="76"/>
      <c r="X2178" s="76"/>
      <c r="Y2178" s="76"/>
      <c r="Z2178" s="76"/>
      <c r="AA2178" s="76"/>
      <c r="AB2178" s="76"/>
      <c r="AC2178" s="76"/>
      <c r="AD2178" s="76"/>
      <c r="AE2178" s="76"/>
      <c r="AF2178" s="76"/>
      <c r="AG2178" s="76"/>
      <c r="AH2178" s="76"/>
      <c r="AI2178" s="76"/>
      <c r="AJ2178" s="76"/>
      <c r="AK2178" s="76"/>
      <c r="AL2178" s="76"/>
      <c r="AM2178" s="76"/>
      <c r="AN2178" s="76"/>
      <c r="AO2178" s="76"/>
      <c r="AP2178" s="76"/>
      <c r="AQ2178" s="76"/>
      <c r="AR2178" s="76"/>
      <c r="AS2178" s="76"/>
      <c r="AT2178" s="76"/>
      <c r="AU2178" s="76"/>
      <c r="AV2178" s="76"/>
      <c r="AW2178" s="76"/>
      <c r="AX2178" s="76"/>
      <c r="AY2178" s="76"/>
      <c r="AZ2178" s="76"/>
      <c r="BA2178" s="76"/>
      <c r="BB2178" s="76"/>
    </row>
    <row r="2179" spans="5:54" x14ac:dyDescent="0.35">
      <c r="E2179" s="83"/>
      <c r="F2179" s="83"/>
      <c r="G2179" s="76"/>
      <c r="H2179" s="76"/>
      <c r="I2179" s="76"/>
      <c r="J2179" s="76"/>
      <c r="K2179" s="76"/>
      <c r="L2179" s="76"/>
      <c r="M2179" s="76"/>
      <c r="N2179" s="76"/>
      <c r="O2179" s="76"/>
      <c r="P2179" s="76"/>
      <c r="Q2179" s="76"/>
      <c r="R2179" s="76"/>
      <c r="S2179" s="76"/>
      <c r="T2179" s="76"/>
      <c r="U2179" s="76"/>
      <c r="V2179" s="76"/>
      <c r="W2179" s="76"/>
      <c r="X2179" s="76"/>
      <c r="Y2179" s="76"/>
      <c r="Z2179" s="76"/>
      <c r="AA2179" s="76"/>
      <c r="AB2179" s="76"/>
      <c r="AC2179" s="76"/>
      <c r="AD2179" s="76"/>
      <c r="AE2179" s="76"/>
      <c r="AF2179" s="76"/>
      <c r="AG2179" s="76"/>
      <c r="AH2179" s="76"/>
      <c r="AI2179" s="76"/>
      <c r="AJ2179" s="76"/>
      <c r="AK2179" s="76"/>
      <c r="AL2179" s="76"/>
      <c r="AM2179" s="76"/>
      <c r="AN2179" s="76"/>
      <c r="AO2179" s="76"/>
      <c r="AP2179" s="76"/>
      <c r="AQ2179" s="76"/>
      <c r="AR2179" s="76"/>
      <c r="AS2179" s="76"/>
      <c r="AT2179" s="76"/>
      <c r="AU2179" s="76"/>
      <c r="AV2179" s="76"/>
      <c r="AW2179" s="76"/>
      <c r="AX2179" s="76"/>
      <c r="AY2179" s="76"/>
      <c r="AZ2179" s="76"/>
      <c r="BA2179" s="76"/>
      <c r="BB2179" s="76"/>
    </row>
    <row r="2180" spans="5:54" x14ac:dyDescent="0.35">
      <c r="E2180" s="83"/>
      <c r="F2180" s="83"/>
      <c r="G2180" s="76"/>
      <c r="H2180" s="76"/>
      <c r="I2180" s="76"/>
      <c r="J2180" s="76"/>
      <c r="K2180" s="76"/>
      <c r="L2180" s="76"/>
      <c r="M2180" s="76"/>
      <c r="N2180" s="76"/>
      <c r="O2180" s="76"/>
      <c r="P2180" s="76"/>
      <c r="Q2180" s="76"/>
      <c r="R2180" s="76"/>
      <c r="S2180" s="76"/>
      <c r="T2180" s="76"/>
      <c r="U2180" s="76"/>
      <c r="V2180" s="76"/>
      <c r="W2180" s="76"/>
      <c r="X2180" s="76"/>
      <c r="Y2180" s="76"/>
      <c r="Z2180" s="76"/>
      <c r="AA2180" s="76"/>
      <c r="AB2180" s="76"/>
      <c r="AC2180" s="76"/>
      <c r="AD2180" s="76"/>
      <c r="AE2180" s="76"/>
      <c r="AF2180" s="76"/>
      <c r="AG2180" s="76"/>
      <c r="AH2180" s="76"/>
      <c r="AI2180" s="76"/>
      <c r="AJ2180" s="76"/>
      <c r="AK2180" s="76"/>
      <c r="AL2180" s="76"/>
      <c r="AM2180" s="76"/>
      <c r="AN2180" s="76"/>
      <c r="AO2180" s="76"/>
      <c r="AP2180" s="76"/>
      <c r="AQ2180" s="76"/>
      <c r="AR2180" s="76"/>
      <c r="AS2180" s="76"/>
      <c r="AT2180" s="76"/>
      <c r="AU2180" s="76"/>
      <c r="AV2180" s="76"/>
      <c r="AW2180" s="76"/>
      <c r="AX2180" s="76"/>
      <c r="AY2180" s="76"/>
      <c r="AZ2180" s="76"/>
      <c r="BA2180" s="76"/>
      <c r="BB2180" s="76"/>
    </row>
    <row r="2181" spans="5:54" x14ac:dyDescent="0.35">
      <c r="E2181" s="83"/>
      <c r="F2181" s="83"/>
      <c r="G2181" s="76"/>
      <c r="H2181" s="76"/>
      <c r="I2181" s="76"/>
      <c r="J2181" s="76"/>
      <c r="K2181" s="76"/>
      <c r="L2181" s="76"/>
      <c r="M2181" s="76"/>
      <c r="N2181" s="76"/>
      <c r="O2181" s="76"/>
      <c r="P2181" s="76"/>
      <c r="Q2181" s="76"/>
      <c r="R2181" s="76"/>
      <c r="S2181" s="76"/>
      <c r="T2181" s="76"/>
      <c r="U2181" s="76"/>
      <c r="V2181" s="76"/>
      <c r="W2181" s="76"/>
      <c r="X2181" s="76"/>
      <c r="Y2181" s="76"/>
      <c r="Z2181" s="76"/>
      <c r="AA2181" s="76"/>
      <c r="AB2181" s="76"/>
      <c r="AC2181" s="76"/>
      <c r="AD2181" s="76"/>
      <c r="AE2181" s="76"/>
      <c r="AF2181" s="76"/>
      <c r="AG2181" s="76"/>
      <c r="AH2181" s="76"/>
      <c r="AI2181" s="76"/>
      <c r="AJ2181" s="76"/>
      <c r="AK2181" s="76"/>
      <c r="AL2181" s="76"/>
      <c r="AM2181" s="76"/>
      <c r="AN2181" s="76"/>
      <c r="AO2181" s="76"/>
      <c r="AP2181" s="76"/>
      <c r="AQ2181" s="76"/>
      <c r="AR2181" s="76"/>
      <c r="AS2181" s="76"/>
      <c r="AT2181" s="76"/>
      <c r="AU2181" s="76"/>
      <c r="AV2181" s="76"/>
      <c r="AW2181" s="76"/>
      <c r="AX2181" s="76"/>
      <c r="AY2181" s="76"/>
      <c r="AZ2181" s="76"/>
      <c r="BA2181" s="76"/>
      <c r="BB2181" s="76"/>
    </row>
    <row r="2182" spans="5:54" x14ac:dyDescent="0.35">
      <c r="E2182" s="83"/>
      <c r="F2182" s="83"/>
      <c r="G2182" s="76"/>
      <c r="H2182" s="76"/>
      <c r="I2182" s="76"/>
      <c r="J2182" s="76"/>
      <c r="K2182" s="76"/>
      <c r="L2182" s="76"/>
      <c r="M2182" s="76"/>
      <c r="N2182" s="76"/>
      <c r="O2182" s="76"/>
      <c r="P2182" s="76"/>
      <c r="Q2182" s="76"/>
      <c r="R2182" s="76"/>
      <c r="S2182" s="76"/>
      <c r="T2182" s="76"/>
      <c r="U2182" s="76"/>
      <c r="V2182" s="76"/>
      <c r="W2182" s="76"/>
      <c r="X2182" s="76"/>
      <c r="Y2182" s="76"/>
      <c r="Z2182" s="76"/>
      <c r="AA2182" s="76"/>
      <c r="AB2182" s="76"/>
      <c r="AC2182" s="76"/>
      <c r="AD2182" s="76"/>
      <c r="AE2182" s="76"/>
      <c r="AF2182" s="76"/>
      <c r="AG2182" s="76"/>
      <c r="AH2182" s="76"/>
      <c r="AI2182" s="76"/>
      <c r="AJ2182" s="76"/>
      <c r="AK2182" s="76"/>
      <c r="AL2182" s="76"/>
      <c r="AM2182" s="76"/>
      <c r="AN2182" s="76"/>
      <c r="AO2182" s="76"/>
      <c r="AP2182" s="76"/>
      <c r="AQ2182" s="76"/>
      <c r="AR2182" s="76"/>
      <c r="AS2182" s="76"/>
      <c r="AT2182" s="76"/>
      <c r="AU2182" s="76"/>
      <c r="AV2182" s="76"/>
      <c r="AW2182" s="76"/>
      <c r="AX2182" s="76"/>
      <c r="AY2182" s="76"/>
      <c r="AZ2182" s="76"/>
      <c r="BA2182" s="76"/>
      <c r="BB2182" s="76"/>
    </row>
    <row r="2183" spans="5:54" x14ac:dyDescent="0.35">
      <c r="E2183" s="83"/>
      <c r="F2183" s="83"/>
      <c r="G2183" s="76"/>
      <c r="H2183" s="76"/>
      <c r="I2183" s="76"/>
      <c r="J2183" s="76"/>
      <c r="K2183" s="76"/>
      <c r="L2183" s="76"/>
      <c r="M2183" s="76"/>
      <c r="N2183" s="76"/>
      <c r="O2183" s="76"/>
      <c r="P2183" s="76"/>
      <c r="Q2183" s="76"/>
      <c r="R2183" s="76"/>
      <c r="S2183" s="76"/>
      <c r="T2183" s="76"/>
      <c r="U2183" s="76"/>
      <c r="V2183" s="76"/>
      <c r="W2183" s="76"/>
      <c r="X2183" s="76"/>
      <c r="Y2183" s="76"/>
      <c r="Z2183" s="76"/>
      <c r="AA2183" s="76"/>
      <c r="AB2183" s="76"/>
      <c r="AC2183" s="76"/>
      <c r="AD2183" s="76"/>
      <c r="AE2183" s="76"/>
      <c r="AF2183" s="76"/>
      <c r="AG2183" s="76"/>
      <c r="AH2183" s="76"/>
      <c r="AI2183" s="76"/>
      <c r="AJ2183" s="76"/>
      <c r="AK2183" s="76"/>
      <c r="AL2183" s="76"/>
      <c r="AM2183" s="76"/>
      <c r="AN2183" s="76"/>
      <c r="AO2183" s="76"/>
      <c r="AP2183" s="76"/>
      <c r="AQ2183" s="76"/>
      <c r="AR2183" s="76"/>
      <c r="AS2183" s="76"/>
      <c r="AT2183" s="76"/>
      <c r="AU2183" s="76"/>
      <c r="AV2183" s="76"/>
      <c r="AW2183" s="76"/>
      <c r="AX2183" s="76"/>
      <c r="AY2183" s="76"/>
      <c r="AZ2183" s="76"/>
      <c r="BA2183" s="76"/>
      <c r="BB2183" s="76"/>
    </row>
    <row r="2184" spans="5:54" x14ac:dyDescent="0.35">
      <c r="E2184" s="83"/>
      <c r="F2184" s="83"/>
      <c r="G2184" s="76"/>
      <c r="H2184" s="76"/>
      <c r="I2184" s="76"/>
      <c r="J2184" s="76"/>
      <c r="K2184" s="76"/>
      <c r="L2184" s="76"/>
      <c r="M2184" s="76"/>
      <c r="N2184" s="76"/>
      <c r="O2184" s="76"/>
      <c r="P2184" s="76"/>
      <c r="Q2184" s="76"/>
      <c r="R2184" s="76"/>
      <c r="S2184" s="76"/>
      <c r="T2184" s="76"/>
      <c r="U2184" s="76"/>
      <c r="V2184" s="76"/>
      <c r="W2184" s="76"/>
      <c r="X2184" s="76"/>
      <c r="Y2184" s="76"/>
      <c r="Z2184" s="76"/>
      <c r="AA2184" s="76"/>
      <c r="AB2184" s="76"/>
      <c r="AC2184" s="76"/>
      <c r="AD2184" s="76"/>
      <c r="AE2184" s="76"/>
      <c r="AF2184" s="76"/>
      <c r="AG2184" s="76"/>
      <c r="AH2184" s="76"/>
      <c r="AI2184" s="76"/>
      <c r="AJ2184" s="76"/>
      <c r="AK2184" s="76"/>
      <c r="AL2184" s="76"/>
      <c r="AM2184" s="76"/>
      <c r="AN2184" s="76"/>
      <c r="AO2184" s="76"/>
      <c r="AP2184" s="76"/>
      <c r="AQ2184" s="76"/>
      <c r="AR2184" s="76"/>
      <c r="AS2184" s="76"/>
      <c r="AT2184" s="76"/>
      <c r="AU2184" s="76"/>
      <c r="AV2184" s="76"/>
      <c r="AW2184" s="76"/>
      <c r="AX2184" s="76"/>
      <c r="AY2184" s="76"/>
      <c r="AZ2184" s="76"/>
      <c r="BA2184" s="76"/>
      <c r="BB2184" s="76"/>
    </row>
    <row r="2185" spans="5:54" x14ac:dyDescent="0.35">
      <c r="E2185" s="83"/>
      <c r="F2185" s="83"/>
      <c r="G2185" s="76"/>
      <c r="H2185" s="76"/>
      <c r="I2185" s="76"/>
      <c r="J2185" s="76"/>
      <c r="K2185" s="76"/>
      <c r="L2185" s="76"/>
      <c r="M2185" s="76"/>
      <c r="N2185" s="76"/>
      <c r="O2185" s="76"/>
      <c r="P2185" s="76"/>
      <c r="Q2185" s="76"/>
      <c r="R2185" s="76"/>
      <c r="S2185" s="76"/>
      <c r="T2185" s="76"/>
      <c r="U2185" s="76"/>
      <c r="V2185" s="76"/>
      <c r="W2185" s="76"/>
      <c r="X2185" s="76"/>
      <c r="Y2185" s="76"/>
      <c r="Z2185" s="76"/>
      <c r="AA2185" s="76"/>
      <c r="AB2185" s="76"/>
      <c r="AC2185" s="76"/>
      <c r="AD2185" s="76"/>
      <c r="AE2185" s="76"/>
      <c r="AF2185" s="76"/>
      <c r="AG2185" s="76"/>
      <c r="AH2185" s="76"/>
      <c r="AI2185" s="76"/>
      <c r="AJ2185" s="76"/>
      <c r="AK2185" s="76"/>
      <c r="AL2185" s="76"/>
      <c r="AM2185" s="76"/>
      <c r="AN2185" s="76"/>
      <c r="AO2185" s="76"/>
      <c r="AP2185" s="76"/>
      <c r="AQ2185" s="76"/>
      <c r="AR2185" s="76"/>
      <c r="AS2185" s="76"/>
      <c r="AT2185" s="76"/>
      <c r="AU2185" s="76"/>
      <c r="AV2185" s="76"/>
      <c r="AW2185" s="76"/>
      <c r="AX2185" s="76"/>
      <c r="AY2185" s="76"/>
      <c r="AZ2185" s="76"/>
      <c r="BA2185" s="76"/>
      <c r="BB2185" s="76"/>
    </row>
    <row r="2186" spans="5:54" x14ac:dyDescent="0.35">
      <c r="E2186" s="83"/>
      <c r="F2186" s="83"/>
      <c r="G2186" s="76"/>
      <c r="H2186" s="76"/>
      <c r="I2186" s="76"/>
      <c r="J2186" s="76"/>
      <c r="K2186" s="76"/>
      <c r="L2186" s="76"/>
      <c r="M2186" s="76"/>
      <c r="N2186" s="76"/>
      <c r="O2186" s="76"/>
      <c r="P2186" s="76"/>
      <c r="Q2186" s="76"/>
      <c r="R2186" s="76"/>
      <c r="S2186" s="76"/>
      <c r="T2186" s="76"/>
      <c r="U2186" s="76"/>
      <c r="V2186" s="76"/>
      <c r="W2186" s="76"/>
      <c r="X2186" s="76"/>
      <c r="Y2186" s="76"/>
      <c r="Z2186" s="76"/>
      <c r="AA2186" s="76"/>
      <c r="AB2186" s="76"/>
      <c r="AC2186" s="76"/>
      <c r="AD2186" s="76"/>
      <c r="AE2186" s="76"/>
      <c r="AF2186" s="76"/>
      <c r="AG2186" s="76"/>
      <c r="AH2186" s="76"/>
      <c r="AI2186" s="76"/>
      <c r="AJ2186" s="76"/>
      <c r="AK2186" s="76"/>
      <c r="AL2186" s="76"/>
      <c r="AM2186" s="76"/>
      <c r="AN2186" s="76"/>
      <c r="AO2186" s="76"/>
      <c r="AP2186" s="76"/>
      <c r="AQ2186" s="76"/>
      <c r="AR2186" s="76"/>
      <c r="AS2186" s="76"/>
      <c r="AT2186" s="76"/>
      <c r="AU2186" s="76"/>
      <c r="AV2186" s="76"/>
      <c r="AW2186" s="76"/>
      <c r="AX2186" s="76"/>
      <c r="AY2186" s="76"/>
      <c r="AZ2186" s="76"/>
      <c r="BA2186" s="76"/>
      <c r="BB2186" s="76"/>
    </row>
    <row r="2187" spans="5:54" x14ac:dyDescent="0.35">
      <c r="E2187" s="83"/>
      <c r="F2187" s="83"/>
      <c r="G2187" s="76"/>
      <c r="H2187" s="76"/>
      <c r="I2187" s="76"/>
      <c r="J2187" s="76"/>
      <c r="K2187" s="76"/>
      <c r="L2187" s="76"/>
      <c r="M2187" s="76"/>
      <c r="N2187" s="76"/>
      <c r="O2187" s="76"/>
      <c r="P2187" s="76"/>
      <c r="Q2187" s="76"/>
      <c r="R2187" s="76"/>
      <c r="S2187" s="76"/>
      <c r="T2187" s="76"/>
      <c r="U2187" s="76"/>
      <c r="V2187" s="76"/>
      <c r="W2187" s="76"/>
      <c r="X2187" s="76"/>
      <c r="Y2187" s="76"/>
      <c r="Z2187" s="76"/>
      <c r="AA2187" s="76"/>
      <c r="AB2187" s="76"/>
      <c r="AC2187" s="76"/>
      <c r="AD2187" s="76"/>
      <c r="AE2187" s="76"/>
      <c r="AF2187" s="76"/>
      <c r="AG2187" s="76"/>
      <c r="AH2187" s="76"/>
      <c r="AI2187" s="76"/>
      <c r="AJ2187" s="76"/>
      <c r="AK2187" s="76"/>
      <c r="AL2187" s="76"/>
      <c r="AM2187" s="76"/>
      <c r="AN2187" s="76"/>
      <c r="AO2187" s="76"/>
      <c r="AP2187" s="76"/>
      <c r="AQ2187" s="76"/>
      <c r="AR2187" s="76"/>
      <c r="AS2187" s="76"/>
      <c r="AT2187" s="76"/>
      <c r="AU2187" s="76"/>
      <c r="AV2187" s="76"/>
      <c r="AW2187" s="76"/>
      <c r="AX2187" s="76"/>
      <c r="AY2187" s="76"/>
      <c r="AZ2187" s="76"/>
      <c r="BA2187" s="76"/>
      <c r="BB2187" s="76"/>
    </row>
    <row r="2188" spans="5:54" x14ac:dyDescent="0.35">
      <c r="E2188" s="83"/>
      <c r="F2188" s="83"/>
      <c r="G2188" s="76"/>
      <c r="H2188" s="76"/>
      <c r="I2188" s="76"/>
      <c r="J2188" s="76"/>
      <c r="K2188" s="76"/>
      <c r="L2188" s="76"/>
      <c r="M2188" s="76"/>
      <c r="N2188" s="76"/>
      <c r="O2188" s="76"/>
      <c r="P2188" s="76"/>
      <c r="Q2188" s="76"/>
      <c r="R2188" s="76"/>
      <c r="S2188" s="76"/>
      <c r="T2188" s="76"/>
      <c r="U2188" s="76"/>
      <c r="V2188" s="76"/>
      <c r="W2188" s="76"/>
      <c r="X2188" s="76"/>
      <c r="Y2188" s="76"/>
      <c r="Z2188" s="76"/>
      <c r="AA2188" s="76"/>
      <c r="AB2188" s="76"/>
      <c r="AC2188" s="76"/>
      <c r="AD2188" s="76"/>
      <c r="AE2188" s="76"/>
      <c r="AF2188" s="76"/>
      <c r="AG2188" s="76"/>
      <c r="AH2188" s="76"/>
      <c r="AI2188" s="76"/>
      <c r="AJ2188" s="76"/>
      <c r="AK2188" s="76"/>
      <c r="AL2188" s="76"/>
      <c r="AM2188" s="76"/>
      <c r="AN2188" s="76"/>
      <c r="AO2188" s="76"/>
      <c r="AP2188" s="76"/>
      <c r="AQ2188" s="76"/>
      <c r="AR2188" s="76"/>
      <c r="AS2188" s="76"/>
      <c r="AT2188" s="76"/>
      <c r="AU2188" s="76"/>
      <c r="AV2188" s="76"/>
      <c r="AW2188" s="76"/>
      <c r="AX2188" s="76"/>
      <c r="AY2188" s="76"/>
      <c r="AZ2188" s="76"/>
      <c r="BA2188" s="76"/>
      <c r="BB2188" s="76"/>
    </row>
    <row r="2189" spans="5:54" x14ac:dyDescent="0.35">
      <c r="E2189" s="83"/>
      <c r="F2189" s="83"/>
      <c r="G2189" s="76"/>
      <c r="H2189" s="76"/>
      <c r="I2189" s="76"/>
      <c r="J2189" s="76"/>
      <c r="K2189" s="76"/>
      <c r="L2189" s="76"/>
      <c r="M2189" s="76"/>
      <c r="N2189" s="76"/>
      <c r="O2189" s="76"/>
      <c r="P2189" s="76"/>
      <c r="Q2189" s="76"/>
      <c r="R2189" s="76"/>
      <c r="S2189" s="76"/>
      <c r="T2189" s="76"/>
      <c r="U2189" s="76"/>
      <c r="V2189" s="76"/>
      <c r="W2189" s="76"/>
      <c r="X2189" s="76"/>
      <c r="Y2189" s="76"/>
      <c r="Z2189" s="76"/>
      <c r="AA2189" s="76"/>
      <c r="AB2189" s="76"/>
      <c r="AC2189" s="76"/>
      <c r="AD2189" s="76"/>
      <c r="AE2189" s="76"/>
      <c r="AF2189" s="76"/>
      <c r="AG2189" s="76"/>
      <c r="AH2189" s="76"/>
      <c r="AI2189" s="76"/>
      <c r="AJ2189" s="76"/>
      <c r="AK2189" s="76"/>
      <c r="AL2189" s="76"/>
      <c r="AM2189" s="76"/>
      <c r="AN2189" s="76"/>
      <c r="AO2189" s="76"/>
      <c r="AP2189" s="76"/>
      <c r="AQ2189" s="76"/>
      <c r="AR2189" s="76"/>
      <c r="AS2189" s="76"/>
      <c r="AT2189" s="76"/>
      <c r="AU2189" s="76"/>
      <c r="AV2189" s="76"/>
      <c r="AW2189" s="76"/>
      <c r="AX2189" s="76"/>
      <c r="AY2189" s="76"/>
      <c r="AZ2189" s="76"/>
      <c r="BA2189" s="76"/>
      <c r="BB2189" s="76"/>
    </row>
    <row r="2190" spans="5:54" x14ac:dyDescent="0.35">
      <c r="E2190" s="83"/>
      <c r="F2190" s="83"/>
      <c r="G2190" s="76"/>
      <c r="H2190" s="76"/>
      <c r="I2190" s="76"/>
      <c r="J2190" s="76"/>
      <c r="K2190" s="76"/>
      <c r="L2190" s="76"/>
      <c r="M2190" s="76"/>
      <c r="N2190" s="76"/>
      <c r="O2190" s="76"/>
      <c r="P2190" s="76"/>
      <c r="Q2190" s="76"/>
      <c r="R2190" s="76"/>
      <c r="S2190" s="76"/>
      <c r="T2190" s="76"/>
      <c r="U2190" s="76"/>
      <c r="V2190" s="76"/>
      <c r="W2190" s="76"/>
      <c r="X2190" s="76"/>
      <c r="Y2190" s="76"/>
      <c r="Z2190" s="76"/>
      <c r="AA2190" s="76"/>
      <c r="AB2190" s="76"/>
      <c r="AC2190" s="76"/>
      <c r="AD2190" s="76"/>
      <c r="AE2190" s="76"/>
      <c r="AF2190" s="76"/>
      <c r="AG2190" s="76"/>
      <c r="AH2190" s="76"/>
      <c r="AI2190" s="76"/>
      <c r="AJ2190" s="76"/>
      <c r="AK2190" s="76"/>
      <c r="AL2190" s="76"/>
      <c r="AM2190" s="76"/>
      <c r="AN2190" s="76"/>
      <c r="AO2190" s="76"/>
      <c r="AP2190" s="76"/>
      <c r="AQ2190" s="76"/>
      <c r="AR2190" s="76"/>
      <c r="AS2190" s="76"/>
      <c r="AT2190" s="76"/>
      <c r="AU2190" s="76"/>
      <c r="AV2190" s="76"/>
      <c r="AW2190" s="76"/>
      <c r="AX2190" s="76"/>
      <c r="AY2190" s="76"/>
      <c r="AZ2190" s="76"/>
      <c r="BA2190" s="76"/>
      <c r="BB2190" s="76"/>
    </row>
    <row r="2191" spans="5:54" x14ac:dyDescent="0.35">
      <c r="E2191" s="83"/>
      <c r="F2191" s="83"/>
      <c r="G2191" s="76"/>
      <c r="H2191" s="76"/>
      <c r="I2191" s="76"/>
      <c r="J2191" s="76"/>
      <c r="K2191" s="76"/>
      <c r="L2191" s="76"/>
      <c r="M2191" s="76"/>
      <c r="N2191" s="76"/>
      <c r="O2191" s="76"/>
      <c r="P2191" s="76"/>
      <c r="Q2191" s="76"/>
      <c r="R2191" s="76"/>
      <c r="S2191" s="76"/>
      <c r="T2191" s="76"/>
      <c r="U2191" s="76"/>
      <c r="V2191" s="76"/>
      <c r="W2191" s="76"/>
      <c r="X2191" s="76"/>
      <c r="Y2191" s="76"/>
      <c r="Z2191" s="76"/>
      <c r="AA2191" s="76"/>
      <c r="AB2191" s="76"/>
      <c r="AC2191" s="76"/>
      <c r="AD2191" s="76"/>
      <c r="AE2191" s="76"/>
      <c r="AF2191" s="76"/>
      <c r="AG2191" s="76"/>
      <c r="AH2191" s="76"/>
      <c r="AI2191" s="76"/>
      <c r="AJ2191" s="76"/>
      <c r="AK2191" s="76"/>
      <c r="AL2191" s="76"/>
      <c r="AM2191" s="76"/>
      <c r="AN2191" s="76"/>
      <c r="AO2191" s="76"/>
      <c r="AP2191" s="76"/>
      <c r="AQ2191" s="76"/>
      <c r="AR2191" s="76"/>
      <c r="AS2191" s="76"/>
      <c r="AT2191" s="76"/>
      <c r="AU2191" s="76"/>
      <c r="AV2191" s="76"/>
      <c r="AW2191" s="76"/>
      <c r="AX2191" s="76"/>
      <c r="AY2191" s="76"/>
      <c r="AZ2191" s="76"/>
      <c r="BA2191" s="76"/>
      <c r="BB2191" s="76"/>
    </row>
    <row r="2192" spans="5:54" x14ac:dyDescent="0.35">
      <c r="E2192" s="83"/>
      <c r="F2192" s="83"/>
      <c r="G2192" s="76"/>
      <c r="H2192" s="76"/>
      <c r="I2192" s="76"/>
      <c r="J2192" s="76"/>
      <c r="K2192" s="76"/>
      <c r="L2192" s="76"/>
      <c r="M2192" s="76"/>
      <c r="N2192" s="76"/>
      <c r="O2192" s="76"/>
      <c r="P2192" s="76"/>
      <c r="Q2192" s="76"/>
      <c r="R2192" s="76"/>
      <c r="S2192" s="76"/>
      <c r="T2192" s="76"/>
      <c r="U2192" s="76"/>
      <c r="V2192" s="76"/>
      <c r="W2192" s="76"/>
      <c r="X2192" s="76"/>
      <c r="Y2192" s="76"/>
      <c r="Z2192" s="76"/>
      <c r="AA2192" s="76"/>
      <c r="AB2192" s="76"/>
      <c r="AC2192" s="76"/>
      <c r="AD2192" s="76"/>
      <c r="AE2192" s="76"/>
      <c r="AF2192" s="76"/>
      <c r="AG2192" s="76"/>
      <c r="AH2192" s="76"/>
      <c r="AI2192" s="76"/>
      <c r="AJ2192" s="76"/>
      <c r="AK2192" s="76"/>
      <c r="AL2192" s="76"/>
      <c r="AM2192" s="76"/>
      <c r="AN2192" s="76"/>
      <c r="AO2192" s="76"/>
      <c r="AP2192" s="76"/>
      <c r="AQ2192" s="76"/>
      <c r="AR2192" s="76"/>
      <c r="AS2192" s="76"/>
      <c r="AT2192" s="76"/>
      <c r="AU2192" s="76"/>
      <c r="AV2192" s="76"/>
      <c r="AW2192" s="76"/>
      <c r="AX2192" s="76"/>
      <c r="AY2192" s="76"/>
      <c r="AZ2192" s="76"/>
      <c r="BA2192" s="76"/>
      <c r="BB2192" s="76"/>
    </row>
    <row r="2193" spans="5:54" x14ac:dyDescent="0.35">
      <c r="E2193" s="83"/>
      <c r="F2193" s="83"/>
      <c r="G2193" s="76"/>
      <c r="H2193" s="76"/>
      <c r="I2193" s="76"/>
      <c r="J2193" s="76"/>
      <c r="K2193" s="76"/>
      <c r="L2193" s="76"/>
      <c r="M2193" s="76"/>
      <c r="N2193" s="76"/>
      <c r="O2193" s="76"/>
      <c r="P2193" s="76"/>
      <c r="Q2193" s="76"/>
      <c r="R2193" s="76"/>
      <c r="S2193" s="76"/>
      <c r="T2193" s="76"/>
      <c r="U2193" s="76"/>
      <c r="V2193" s="76"/>
      <c r="W2193" s="76"/>
      <c r="X2193" s="76"/>
      <c r="Y2193" s="76"/>
      <c r="Z2193" s="76"/>
      <c r="AA2193" s="76"/>
      <c r="AB2193" s="76"/>
      <c r="AC2193" s="76"/>
      <c r="AD2193" s="76"/>
      <c r="AE2193" s="76"/>
      <c r="AF2193" s="76"/>
      <c r="AG2193" s="76"/>
      <c r="AH2193" s="76"/>
      <c r="AI2193" s="76"/>
      <c r="AJ2193" s="76"/>
      <c r="AK2193" s="76"/>
      <c r="AL2193" s="76"/>
      <c r="AM2193" s="76"/>
      <c r="AN2193" s="76"/>
      <c r="AO2193" s="76"/>
      <c r="AP2193" s="76"/>
      <c r="AQ2193" s="76"/>
      <c r="AR2193" s="76"/>
      <c r="AS2193" s="76"/>
      <c r="AT2193" s="76"/>
      <c r="AU2193" s="76"/>
      <c r="AV2193" s="76"/>
      <c r="AW2193" s="76"/>
      <c r="AX2193" s="76"/>
      <c r="AY2193" s="76"/>
      <c r="AZ2193" s="76"/>
      <c r="BA2193" s="76"/>
      <c r="BB2193" s="76"/>
    </row>
    <row r="2194" spans="5:54" x14ac:dyDescent="0.35">
      <c r="E2194" s="83"/>
      <c r="F2194" s="83"/>
      <c r="G2194" s="76"/>
      <c r="H2194" s="76"/>
      <c r="I2194" s="76"/>
      <c r="J2194" s="76"/>
      <c r="K2194" s="76"/>
      <c r="L2194" s="76"/>
      <c r="M2194" s="76"/>
      <c r="N2194" s="76"/>
      <c r="O2194" s="76"/>
      <c r="P2194" s="76"/>
      <c r="Q2194" s="76"/>
      <c r="R2194" s="76"/>
      <c r="S2194" s="76"/>
      <c r="T2194" s="76"/>
      <c r="U2194" s="76"/>
      <c r="V2194" s="76"/>
      <c r="W2194" s="76"/>
      <c r="X2194" s="76"/>
      <c r="Y2194" s="76"/>
      <c r="Z2194" s="76"/>
      <c r="AA2194" s="76"/>
      <c r="AB2194" s="76"/>
      <c r="AC2194" s="76"/>
      <c r="AD2194" s="76"/>
      <c r="AE2194" s="76"/>
      <c r="AF2194" s="76"/>
      <c r="AG2194" s="76"/>
      <c r="AH2194" s="76"/>
      <c r="AI2194" s="76"/>
      <c r="AJ2194" s="76"/>
      <c r="AK2194" s="76"/>
      <c r="AL2194" s="76"/>
      <c r="AM2194" s="76"/>
      <c r="AN2194" s="76"/>
      <c r="AO2194" s="76"/>
      <c r="AP2194" s="76"/>
      <c r="AQ2194" s="76"/>
      <c r="AR2194" s="76"/>
      <c r="AS2194" s="76"/>
      <c r="AT2194" s="76"/>
      <c r="AU2194" s="76"/>
      <c r="AV2194" s="76"/>
      <c r="AW2194" s="76"/>
      <c r="AX2194" s="76"/>
      <c r="AY2194" s="76"/>
      <c r="AZ2194" s="76"/>
      <c r="BA2194" s="76"/>
      <c r="BB2194" s="76"/>
    </row>
    <row r="2195" spans="5:54" x14ac:dyDescent="0.35">
      <c r="E2195" s="83"/>
      <c r="F2195" s="83"/>
      <c r="G2195" s="76"/>
      <c r="H2195" s="76"/>
      <c r="I2195" s="76"/>
      <c r="J2195" s="76"/>
      <c r="K2195" s="76"/>
      <c r="L2195" s="76"/>
      <c r="M2195" s="76"/>
      <c r="N2195" s="76"/>
      <c r="O2195" s="76"/>
      <c r="P2195" s="76"/>
      <c r="Q2195" s="76"/>
      <c r="R2195" s="76"/>
      <c r="S2195" s="76"/>
      <c r="T2195" s="76"/>
      <c r="U2195" s="76"/>
      <c r="V2195" s="76"/>
      <c r="W2195" s="76"/>
      <c r="X2195" s="76"/>
      <c r="Y2195" s="76"/>
      <c r="Z2195" s="76"/>
      <c r="AA2195" s="76"/>
      <c r="AB2195" s="76"/>
      <c r="AC2195" s="76"/>
      <c r="AD2195" s="76"/>
      <c r="AE2195" s="76"/>
      <c r="AF2195" s="76"/>
      <c r="AG2195" s="76"/>
      <c r="AH2195" s="76"/>
      <c r="AI2195" s="76"/>
      <c r="AJ2195" s="76"/>
      <c r="AK2195" s="76"/>
      <c r="AL2195" s="76"/>
      <c r="AM2195" s="76"/>
      <c r="AN2195" s="76"/>
      <c r="AO2195" s="76"/>
      <c r="AP2195" s="76"/>
      <c r="AQ2195" s="76"/>
      <c r="AR2195" s="76"/>
      <c r="AS2195" s="76"/>
      <c r="AT2195" s="76"/>
      <c r="AU2195" s="76"/>
      <c r="AV2195" s="76"/>
      <c r="AW2195" s="76"/>
      <c r="AX2195" s="76"/>
      <c r="AY2195" s="76"/>
      <c r="AZ2195" s="76"/>
      <c r="BA2195" s="76"/>
      <c r="BB2195" s="76"/>
    </row>
    <row r="2196" spans="5:54" x14ac:dyDescent="0.35">
      <c r="E2196" s="83"/>
      <c r="F2196" s="83"/>
      <c r="G2196" s="76"/>
      <c r="H2196" s="76"/>
      <c r="I2196" s="76"/>
      <c r="J2196" s="76"/>
      <c r="K2196" s="76"/>
      <c r="L2196" s="76"/>
      <c r="M2196" s="76"/>
      <c r="N2196" s="76"/>
      <c r="O2196" s="76"/>
      <c r="P2196" s="76"/>
      <c r="Q2196" s="76"/>
      <c r="R2196" s="76"/>
      <c r="S2196" s="76"/>
      <c r="T2196" s="76"/>
      <c r="U2196" s="76"/>
      <c r="V2196" s="76"/>
      <c r="W2196" s="76"/>
      <c r="X2196" s="76"/>
      <c r="Y2196" s="76"/>
      <c r="Z2196" s="76"/>
      <c r="AA2196" s="76"/>
      <c r="AB2196" s="76"/>
      <c r="AC2196" s="76"/>
      <c r="AD2196" s="76"/>
      <c r="AE2196" s="76"/>
      <c r="AF2196" s="76"/>
      <c r="AG2196" s="76"/>
      <c r="AH2196" s="76"/>
      <c r="AI2196" s="76"/>
      <c r="AJ2196" s="76"/>
      <c r="AK2196" s="76"/>
      <c r="AL2196" s="76"/>
      <c r="AM2196" s="76"/>
      <c r="AN2196" s="76"/>
      <c r="AO2196" s="76"/>
      <c r="AP2196" s="76"/>
      <c r="AQ2196" s="76"/>
      <c r="AR2196" s="76"/>
      <c r="AS2196" s="76"/>
      <c r="AT2196" s="76"/>
      <c r="AU2196" s="76"/>
      <c r="AV2196" s="76"/>
      <c r="AW2196" s="76"/>
      <c r="AX2196" s="76"/>
      <c r="AY2196" s="76"/>
      <c r="AZ2196" s="76"/>
      <c r="BA2196" s="76"/>
      <c r="BB2196" s="76"/>
    </row>
    <row r="2197" spans="5:54" x14ac:dyDescent="0.35">
      <c r="E2197" s="83"/>
      <c r="F2197" s="83"/>
      <c r="G2197" s="76"/>
      <c r="H2197" s="76"/>
      <c r="I2197" s="76"/>
      <c r="J2197" s="76"/>
      <c r="K2197" s="76"/>
      <c r="L2197" s="76"/>
      <c r="M2197" s="76"/>
      <c r="N2197" s="76"/>
      <c r="O2197" s="76"/>
      <c r="P2197" s="76"/>
      <c r="Q2197" s="76"/>
      <c r="R2197" s="76"/>
      <c r="S2197" s="76"/>
      <c r="T2197" s="76"/>
      <c r="U2197" s="76"/>
      <c r="V2197" s="76"/>
      <c r="W2197" s="76"/>
      <c r="X2197" s="76"/>
      <c r="Y2197" s="76"/>
      <c r="Z2197" s="76"/>
      <c r="AA2197" s="76"/>
      <c r="AB2197" s="76"/>
      <c r="AC2197" s="76"/>
      <c r="AD2197" s="76"/>
      <c r="AE2197" s="76"/>
      <c r="AF2197" s="76"/>
      <c r="AG2197" s="76"/>
      <c r="AH2197" s="76"/>
      <c r="AI2197" s="76"/>
      <c r="AJ2197" s="76"/>
      <c r="AK2197" s="76"/>
      <c r="AL2197" s="76"/>
      <c r="AM2197" s="76"/>
      <c r="AN2197" s="76"/>
      <c r="AO2197" s="76"/>
      <c r="AP2197" s="76"/>
      <c r="AQ2197" s="76"/>
      <c r="AR2197" s="76"/>
      <c r="AS2197" s="76"/>
      <c r="AT2197" s="76"/>
      <c r="AU2197" s="76"/>
      <c r="AV2197" s="76"/>
      <c r="AW2197" s="76"/>
      <c r="AX2197" s="76"/>
      <c r="AY2197" s="76"/>
      <c r="AZ2197" s="76"/>
      <c r="BA2197" s="76"/>
      <c r="BB2197" s="76"/>
    </row>
    <row r="2198" spans="5:54" x14ac:dyDescent="0.35">
      <c r="E2198" s="83"/>
      <c r="F2198" s="83"/>
      <c r="G2198" s="76"/>
      <c r="H2198" s="76"/>
      <c r="I2198" s="76"/>
      <c r="J2198" s="76"/>
      <c r="K2198" s="76"/>
      <c r="L2198" s="76"/>
      <c r="M2198" s="76"/>
      <c r="N2198" s="76"/>
      <c r="O2198" s="76"/>
      <c r="P2198" s="76"/>
      <c r="Q2198" s="76"/>
      <c r="R2198" s="76"/>
      <c r="S2198" s="76"/>
      <c r="T2198" s="76"/>
      <c r="U2198" s="76"/>
      <c r="V2198" s="76"/>
      <c r="W2198" s="76"/>
      <c r="X2198" s="76"/>
      <c r="Y2198" s="76"/>
      <c r="Z2198" s="76"/>
      <c r="AA2198" s="76"/>
      <c r="AB2198" s="76"/>
      <c r="AC2198" s="76"/>
      <c r="AD2198" s="76"/>
      <c r="AE2198" s="76"/>
      <c r="AF2198" s="76"/>
      <c r="AG2198" s="76"/>
      <c r="AH2198" s="76"/>
      <c r="AI2198" s="76"/>
      <c r="AJ2198" s="76"/>
      <c r="AK2198" s="76"/>
      <c r="AL2198" s="76"/>
      <c r="AM2198" s="76"/>
      <c r="AN2198" s="76"/>
      <c r="AO2198" s="76"/>
      <c r="AP2198" s="76"/>
      <c r="AQ2198" s="76"/>
      <c r="AR2198" s="76"/>
      <c r="AS2198" s="76"/>
      <c r="AT2198" s="76"/>
      <c r="AU2198" s="76"/>
      <c r="AV2198" s="76"/>
      <c r="AW2198" s="76"/>
      <c r="AX2198" s="76"/>
      <c r="AY2198" s="76"/>
      <c r="AZ2198" s="76"/>
      <c r="BA2198" s="76"/>
      <c r="BB2198" s="76"/>
    </row>
    <row r="2199" spans="5:54" x14ac:dyDescent="0.35">
      <c r="E2199" s="83"/>
      <c r="F2199" s="83"/>
      <c r="G2199" s="76"/>
      <c r="H2199" s="76"/>
      <c r="I2199" s="76"/>
      <c r="J2199" s="76"/>
      <c r="K2199" s="76"/>
      <c r="L2199" s="76"/>
      <c r="M2199" s="76"/>
      <c r="N2199" s="76"/>
      <c r="O2199" s="76"/>
      <c r="P2199" s="76"/>
      <c r="Q2199" s="76"/>
      <c r="R2199" s="76"/>
      <c r="S2199" s="76"/>
      <c r="T2199" s="76"/>
      <c r="U2199" s="76"/>
      <c r="V2199" s="76"/>
      <c r="W2199" s="76"/>
      <c r="X2199" s="76"/>
      <c r="Y2199" s="76"/>
      <c r="Z2199" s="76"/>
      <c r="AA2199" s="76"/>
      <c r="AB2199" s="76"/>
      <c r="AC2199" s="76"/>
      <c r="AD2199" s="76"/>
      <c r="AE2199" s="76"/>
      <c r="AF2199" s="76"/>
      <c r="AG2199" s="76"/>
      <c r="AH2199" s="76"/>
      <c r="AI2199" s="76"/>
      <c r="AJ2199" s="76"/>
      <c r="AK2199" s="76"/>
      <c r="AL2199" s="76"/>
      <c r="AM2199" s="76"/>
      <c r="AN2199" s="76"/>
      <c r="AO2199" s="76"/>
      <c r="AP2199" s="76"/>
      <c r="AQ2199" s="76"/>
      <c r="AR2199" s="76"/>
      <c r="AS2199" s="76"/>
      <c r="AT2199" s="76"/>
      <c r="AU2199" s="76"/>
      <c r="AV2199" s="76"/>
      <c r="AW2199" s="76"/>
      <c r="AX2199" s="76"/>
      <c r="AY2199" s="76"/>
      <c r="AZ2199" s="76"/>
      <c r="BA2199" s="76"/>
      <c r="BB2199" s="76"/>
    </row>
    <row r="2200" spans="5:54" x14ac:dyDescent="0.35">
      <c r="E2200" s="83"/>
      <c r="F2200" s="83"/>
      <c r="G2200" s="76"/>
      <c r="H2200" s="76"/>
      <c r="I2200" s="76"/>
      <c r="J2200" s="76"/>
      <c r="K2200" s="76"/>
      <c r="L2200" s="76"/>
      <c r="M2200" s="76"/>
      <c r="N2200" s="76"/>
      <c r="O2200" s="76"/>
      <c r="P2200" s="76"/>
      <c r="Q2200" s="76"/>
      <c r="R2200" s="76"/>
      <c r="S2200" s="76"/>
      <c r="T2200" s="76"/>
      <c r="U2200" s="76"/>
      <c r="V2200" s="76"/>
      <c r="W2200" s="76"/>
      <c r="X2200" s="76"/>
      <c r="Y2200" s="76"/>
      <c r="Z2200" s="76"/>
      <c r="AA2200" s="76"/>
      <c r="AB2200" s="76"/>
      <c r="AC2200" s="76"/>
      <c r="AD2200" s="76"/>
      <c r="AE2200" s="76"/>
      <c r="AF2200" s="76"/>
      <c r="AG2200" s="76"/>
      <c r="AH2200" s="76"/>
      <c r="AI2200" s="76"/>
      <c r="AJ2200" s="76"/>
      <c r="AK2200" s="76"/>
      <c r="AL2200" s="76"/>
      <c r="AM2200" s="76"/>
      <c r="AN2200" s="76"/>
      <c r="AO2200" s="76"/>
      <c r="AP2200" s="76"/>
      <c r="AQ2200" s="76"/>
      <c r="AR2200" s="76"/>
      <c r="AS2200" s="76"/>
      <c r="AT2200" s="76"/>
      <c r="AU2200" s="76"/>
      <c r="AV2200" s="76"/>
      <c r="AW2200" s="76"/>
      <c r="AX2200" s="76"/>
      <c r="AY2200" s="76"/>
      <c r="AZ2200" s="76"/>
      <c r="BA2200" s="76"/>
      <c r="BB2200" s="76"/>
    </row>
    <row r="2201" spans="5:54" x14ac:dyDescent="0.35">
      <c r="E2201" s="83"/>
      <c r="F2201" s="83"/>
      <c r="G2201" s="76"/>
      <c r="H2201" s="76"/>
      <c r="I2201" s="76"/>
      <c r="J2201" s="76"/>
      <c r="K2201" s="76"/>
      <c r="L2201" s="76"/>
      <c r="M2201" s="76"/>
      <c r="N2201" s="76"/>
      <c r="O2201" s="76"/>
      <c r="P2201" s="76"/>
      <c r="Q2201" s="76"/>
      <c r="R2201" s="76"/>
      <c r="S2201" s="76"/>
      <c r="T2201" s="76"/>
      <c r="U2201" s="76"/>
      <c r="V2201" s="76"/>
      <c r="W2201" s="76"/>
      <c r="X2201" s="76"/>
      <c r="Y2201" s="76"/>
      <c r="Z2201" s="76"/>
      <c r="AA2201" s="76"/>
      <c r="AB2201" s="76"/>
      <c r="AC2201" s="76"/>
      <c r="AD2201" s="76"/>
      <c r="AE2201" s="76"/>
      <c r="AF2201" s="76"/>
      <c r="AG2201" s="76"/>
      <c r="AH2201" s="76"/>
      <c r="AI2201" s="76"/>
      <c r="AJ2201" s="76"/>
      <c r="AK2201" s="76"/>
      <c r="AL2201" s="76"/>
      <c r="AM2201" s="76"/>
      <c r="AN2201" s="76"/>
      <c r="AO2201" s="76"/>
      <c r="AP2201" s="76"/>
      <c r="AQ2201" s="76"/>
      <c r="AR2201" s="76"/>
      <c r="AS2201" s="76"/>
      <c r="AT2201" s="76"/>
      <c r="AU2201" s="76"/>
      <c r="AV2201" s="76"/>
      <c r="AW2201" s="76"/>
      <c r="AX2201" s="76"/>
      <c r="AY2201" s="76"/>
      <c r="AZ2201" s="76"/>
      <c r="BA2201" s="76"/>
      <c r="BB2201" s="76"/>
    </row>
    <row r="2202" spans="5:54" x14ac:dyDescent="0.35">
      <c r="E2202" s="83"/>
      <c r="F2202" s="83"/>
      <c r="G2202" s="76"/>
      <c r="H2202" s="76"/>
      <c r="I2202" s="76"/>
      <c r="J2202" s="76"/>
      <c r="K2202" s="76"/>
      <c r="L2202" s="76"/>
      <c r="M2202" s="76"/>
      <c r="N2202" s="76"/>
      <c r="O2202" s="76"/>
      <c r="P2202" s="76"/>
      <c r="Q2202" s="76"/>
      <c r="R2202" s="76"/>
      <c r="S2202" s="76"/>
      <c r="T2202" s="76"/>
      <c r="U2202" s="76"/>
      <c r="V2202" s="76"/>
      <c r="W2202" s="76"/>
      <c r="X2202" s="76"/>
      <c r="Y2202" s="76"/>
      <c r="Z2202" s="76"/>
      <c r="AA2202" s="76"/>
      <c r="AB2202" s="76"/>
      <c r="AC2202" s="76"/>
      <c r="AD2202" s="76"/>
      <c r="AE2202" s="76"/>
      <c r="AF2202" s="76"/>
      <c r="AG2202" s="76"/>
      <c r="AH2202" s="76"/>
      <c r="AI2202" s="76"/>
      <c r="AJ2202" s="76"/>
      <c r="AK2202" s="76"/>
      <c r="AL2202" s="76"/>
      <c r="AM2202" s="76"/>
      <c r="AN2202" s="76"/>
      <c r="AO2202" s="76"/>
      <c r="AP2202" s="76"/>
      <c r="AQ2202" s="76"/>
      <c r="AR2202" s="76"/>
      <c r="AS2202" s="76"/>
      <c r="AT2202" s="76"/>
      <c r="AU2202" s="76"/>
      <c r="AV2202" s="76"/>
      <c r="AW2202" s="76"/>
      <c r="AX2202" s="76"/>
      <c r="AY2202" s="76"/>
      <c r="AZ2202" s="76"/>
      <c r="BA2202" s="76"/>
      <c r="BB2202" s="76"/>
    </row>
    <row r="2203" spans="5:54" x14ac:dyDescent="0.35">
      <c r="E2203" s="83"/>
      <c r="F2203" s="83"/>
      <c r="G2203" s="76"/>
      <c r="H2203" s="76"/>
      <c r="I2203" s="76"/>
      <c r="J2203" s="76"/>
      <c r="K2203" s="76"/>
      <c r="L2203" s="76"/>
      <c r="M2203" s="76"/>
      <c r="N2203" s="76"/>
      <c r="O2203" s="76"/>
      <c r="P2203" s="76"/>
      <c r="Q2203" s="76"/>
      <c r="R2203" s="76"/>
      <c r="S2203" s="76"/>
      <c r="T2203" s="76"/>
      <c r="U2203" s="76"/>
      <c r="V2203" s="76"/>
      <c r="W2203" s="76"/>
      <c r="X2203" s="76"/>
      <c r="Y2203" s="76"/>
      <c r="Z2203" s="76"/>
      <c r="AA2203" s="76"/>
      <c r="AB2203" s="76"/>
      <c r="AC2203" s="76"/>
      <c r="AD2203" s="76"/>
      <c r="AE2203" s="76"/>
      <c r="AF2203" s="76"/>
      <c r="AG2203" s="76"/>
      <c r="AH2203" s="76"/>
      <c r="AI2203" s="76"/>
      <c r="AJ2203" s="76"/>
      <c r="AK2203" s="76"/>
      <c r="AL2203" s="76"/>
      <c r="AM2203" s="76"/>
      <c r="AN2203" s="76"/>
      <c r="AO2203" s="76"/>
      <c r="AP2203" s="76"/>
      <c r="AQ2203" s="76"/>
      <c r="AR2203" s="76"/>
      <c r="AS2203" s="76"/>
      <c r="AT2203" s="76"/>
      <c r="AU2203" s="76"/>
      <c r="AV2203" s="76"/>
      <c r="AW2203" s="76"/>
      <c r="AX2203" s="76"/>
      <c r="AY2203" s="76"/>
      <c r="AZ2203" s="76"/>
      <c r="BA2203" s="76"/>
      <c r="BB2203" s="76"/>
    </row>
    <row r="2204" spans="5:54" x14ac:dyDescent="0.35">
      <c r="E2204" s="83"/>
      <c r="F2204" s="83"/>
      <c r="G2204" s="76"/>
      <c r="H2204" s="76"/>
      <c r="I2204" s="76"/>
      <c r="J2204" s="76"/>
      <c r="K2204" s="76"/>
      <c r="L2204" s="76"/>
      <c r="M2204" s="76"/>
      <c r="N2204" s="76"/>
      <c r="O2204" s="76"/>
      <c r="P2204" s="76"/>
      <c r="Q2204" s="76"/>
      <c r="R2204" s="76"/>
      <c r="S2204" s="76"/>
      <c r="T2204" s="76"/>
      <c r="U2204" s="76"/>
      <c r="V2204" s="76"/>
      <c r="W2204" s="76"/>
      <c r="X2204" s="76"/>
      <c r="Y2204" s="76"/>
      <c r="Z2204" s="76"/>
      <c r="AA2204" s="76"/>
      <c r="AB2204" s="76"/>
      <c r="AC2204" s="76"/>
      <c r="AD2204" s="76"/>
      <c r="AE2204" s="76"/>
      <c r="AF2204" s="76"/>
      <c r="AG2204" s="76"/>
      <c r="AH2204" s="76"/>
      <c r="AI2204" s="76"/>
      <c r="AJ2204" s="76"/>
      <c r="AK2204" s="76"/>
      <c r="AL2204" s="76"/>
      <c r="AM2204" s="76"/>
      <c r="AN2204" s="76"/>
      <c r="AO2204" s="76"/>
      <c r="AP2204" s="76"/>
      <c r="AQ2204" s="76"/>
      <c r="AR2204" s="76"/>
      <c r="AS2204" s="76"/>
      <c r="AT2204" s="76"/>
      <c r="AU2204" s="76"/>
      <c r="AV2204" s="76"/>
      <c r="AW2204" s="76"/>
      <c r="AX2204" s="76"/>
      <c r="AY2204" s="76"/>
      <c r="AZ2204" s="76"/>
      <c r="BA2204" s="76"/>
      <c r="BB2204" s="76"/>
    </row>
    <row r="2205" spans="5:54" x14ac:dyDescent="0.35">
      <c r="E2205" s="83"/>
      <c r="F2205" s="83"/>
      <c r="G2205" s="76"/>
      <c r="H2205" s="76"/>
      <c r="I2205" s="76"/>
      <c r="J2205" s="76"/>
      <c r="K2205" s="76"/>
      <c r="L2205" s="76"/>
      <c r="M2205" s="76"/>
      <c r="N2205" s="76"/>
      <c r="O2205" s="76"/>
      <c r="P2205" s="76"/>
      <c r="Q2205" s="76"/>
      <c r="R2205" s="76"/>
      <c r="S2205" s="76"/>
      <c r="T2205" s="76"/>
      <c r="U2205" s="76"/>
      <c r="V2205" s="76"/>
      <c r="W2205" s="76"/>
      <c r="X2205" s="76"/>
      <c r="Y2205" s="76"/>
      <c r="Z2205" s="76"/>
      <c r="AA2205" s="76"/>
      <c r="AB2205" s="76"/>
      <c r="AC2205" s="76"/>
      <c r="AD2205" s="76"/>
      <c r="AE2205" s="76"/>
      <c r="AF2205" s="76"/>
      <c r="AG2205" s="76"/>
      <c r="AH2205" s="76"/>
      <c r="AI2205" s="76"/>
      <c r="AJ2205" s="76"/>
      <c r="AK2205" s="76"/>
      <c r="AL2205" s="76"/>
      <c r="AM2205" s="76"/>
      <c r="AN2205" s="76"/>
      <c r="AO2205" s="76"/>
      <c r="AP2205" s="76"/>
      <c r="AQ2205" s="76"/>
      <c r="AR2205" s="76"/>
      <c r="AS2205" s="76"/>
      <c r="AT2205" s="76"/>
      <c r="AU2205" s="76"/>
      <c r="AV2205" s="76"/>
      <c r="AW2205" s="76"/>
      <c r="AX2205" s="76"/>
      <c r="AY2205" s="76"/>
      <c r="AZ2205" s="76"/>
      <c r="BA2205" s="76"/>
      <c r="BB2205" s="76"/>
    </row>
    <row r="2206" spans="5:54" x14ac:dyDescent="0.35">
      <c r="E2206" s="83"/>
      <c r="F2206" s="83"/>
      <c r="G2206" s="76"/>
      <c r="H2206" s="76"/>
      <c r="I2206" s="76"/>
      <c r="J2206" s="76"/>
      <c r="K2206" s="76"/>
      <c r="L2206" s="76"/>
      <c r="M2206" s="76"/>
      <c r="N2206" s="76"/>
      <c r="O2206" s="76"/>
      <c r="P2206" s="76"/>
      <c r="Q2206" s="76"/>
      <c r="R2206" s="76"/>
      <c r="S2206" s="76"/>
      <c r="T2206" s="76"/>
      <c r="U2206" s="76"/>
      <c r="V2206" s="76"/>
      <c r="W2206" s="76"/>
      <c r="X2206" s="76"/>
      <c r="Y2206" s="76"/>
      <c r="Z2206" s="76"/>
      <c r="AA2206" s="76"/>
      <c r="AB2206" s="76"/>
      <c r="AC2206" s="76"/>
      <c r="AD2206" s="76"/>
      <c r="AE2206" s="76"/>
      <c r="AF2206" s="76"/>
      <c r="AG2206" s="76"/>
      <c r="AH2206" s="76"/>
      <c r="AI2206" s="76"/>
      <c r="AJ2206" s="76"/>
      <c r="AK2206" s="76"/>
      <c r="AL2206" s="76"/>
      <c r="AM2206" s="76"/>
      <c r="AN2206" s="76"/>
      <c r="AO2206" s="76"/>
      <c r="AP2206" s="76"/>
      <c r="AQ2206" s="76"/>
      <c r="AR2206" s="76"/>
      <c r="AS2206" s="76"/>
      <c r="AT2206" s="76"/>
      <c r="AU2206" s="76"/>
      <c r="AV2206" s="76"/>
      <c r="AW2206" s="76"/>
      <c r="AX2206" s="76"/>
      <c r="AY2206" s="76"/>
      <c r="AZ2206" s="76"/>
      <c r="BA2206" s="76"/>
      <c r="BB2206" s="76"/>
    </row>
    <row r="2207" spans="5:54" x14ac:dyDescent="0.35">
      <c r="E2207" s="83"/>
      <c r="F2207" s="83"/>
      <c r="G2207" s="76"/>
      <c r="H2207" s="76"/>
      <c r="I2207" s="76"/>
      <c r="J2207" s="76"/>
      <c r="K2207" s="76"/>
      <c r="L2207" s="76"/>
      <c r="M2207" s="76"/>
      <c r="N2207" s="76"/>
      <c r="O2207" s="76"/>
      <c r="P2207" s="76"/>
      <c r="Q2207" s="76"/>
      <c r="R2207" s="76"/>
      <c r="S2207" s="76"/>
      <c r="T2207" s="76"/>
      <c r="U2207" s="76"/>
      <c r="V2207" s="76"/>
      <c r="W2207" s="76"/>
      <c r="X2207" s="76"/>
      <c r="Y2207" s="76"/>
      <c r="Z2207" s="76"/>
      <c r="AA2207" s="76"/>
      <c r="AB2207" s="76"/>
      <c r="AC2207" s="76"/>
      <c r="AD2207" s="76"/>
      <c r="AE2207" s="76"/>
      <c r="AF2207" s="76"/>
      <c r="AG2207" s="76"/>
      <c r="AH2207" s="76"/>
      <c r="AI2207" s="76"/>
      <c r="AJ2207" s="76"/>
      <c r="AK2207" s="76"/>
      <c r="AL2207" s="76"/>
      <c r="AM2207" s="76"/>
      <c r="AN2207" s="76"/>
      <c r="AO2207" s="76"/>
      <c r="AP2207" s="76"/>
      <c r="AQ2207" s="76"/>
      <c r="AR2207" s="76"/>
      <c r="AS2207" s="76"/>
      <c r="AT2207" s="76"/>
      <c r="AU2207" s="76"/>
      <c r="AV2207" s="76"/>
      <c r="AW2207" s="76"/>
      <c r="AX2207" s="76"/>
      <c r="AY2207" s="76"/>
      <c r="AZ2207" s="76"/>
      <c r="BA2207" s="76"/>
      <c r="BB2207" s="76"/>
    </row>
    <row r="2208" spans="5:54" x14ac:dyDescent="0.35">
      <c r="E2208" s="83"/>
      <c r="F2208" s="83"/>
      <c r="G2208" s="76"/>
      <c r="H2208" s="76"/>
      <c r="I2208" s="76"/>
      <c r="J2208" s="76"/>
      <c r="K2208" s="76"/>
      <c r="L2208" s="76"/>
      <c r="M2208" s="76"/>
      <c r="N2208" s="76"/>
      <c r="O2208" s="76"/>
      <c r="P2208" s="76"/>
      <c r="Q2208" s="76"/>
      <c r="R2208" s="76"/>
      <c r="S2208" s="76"/>
      <c r="T2208" s="76"/>
      <c r="U2208" s="76"/>
      <c r="V2208" s="76"/>
      <c r="W2208" s="76"/>
      <c r="X2208" s="76"/>
      <c r="Y2208" s="76"/>
      <c r="Z2208" s="76"/>
      <c r="AA2208" s="76"/>
      <c r="AB2208" s="76"/>
      <c r="AC2208" s="76"/>
      <c r="AD2208" s="76"/>
      <c r="AE2208" s="76"/>
      <c r="AF2208" s="76"/>
      <c r="AG2208" s="76"/>
      <c r="AH2208" s="76"/>
      <c r="AI2208" s="76"/>
      <c r="AJ2208" s="76"/>
      <c r="AK2208" s="76"/>
      <c r="AL2208" s="76"/>
      <c r="AM2208" s="76"/>
      <c r="AN2208" s="76"/>
      <c r="AO2208" s="76"/>
      <c r="AP2208" s="76"/>
      <c r="AQ2208" s="76"/>
      <c r="AR2208" s="76"/>
      <c r="AS2208" s="76"/>
      <c r="AT2208" s="76"/>
      <c r="AU2208" s="76"/>
      <c r="AV2208" s="76"/>
      <c r="AW2208" s="76"/>
      <c r="AX2208" s="76"/>
      <c r="AY2208" s="76"/>
      <c r="AZ2208" s="76"/>
      <c r="BA2208" s="76"/>
      <c r="BB2208" s="76"/>
    </row>
    <row r="2209" spans="5:54" x14ac:dyDescent="0.35">
      <c r="E2209" s="83"/>
      <c r="F2209" s="83"/>
      <c r="G2209" s="76"/>
      <c r="H2209" s="76"/>
      <c r="I2209" s="76"/>
      <c r="J2209" s="76"/>
      <c r="K2209" s="76"/>
      <c r="L2209" s="76"/>
      <c r="M2209" s="76"/>
      <c r="N2209" s="76"/>
      <c r="O2209" s="76"/>
      <c r="P2209" s="76"/>
      <c r="Q2209" s="76"/>
      <c r="R2209" s="76"/>
      <c r="S2209" s="76"/>
      <c r="T2209" s="76"/>
      <c r="U2209" s="76"/>
      <c r="V2209" s="76"/>
      <c r="W2209" s="76"/>
      <c r="X2209" s="76"/>
      <c r="Y2209" s="76"/>
      <c r="Z2209" s="76"/>
      <c r="AA2209" s="76"/>
      <c r="AB2209" s="76"/>
      <c r="AC2209" s="76"/>
      <c r="AD2209" s="76"/>
      <c r="AE2209" s="76"/>
      <c r="AF2209" s="76"/>
      <c r="AG2209" s="76"/>
      <c r="AH2209" s="76"/>
      <c r="AI2209" s="76"/>
      <c r="AJ2209" s="76"/>
      <c r="AK2209" s="76"/>
      <c r="AL2209" s="76"/>
      <c r="AM2209" s="76"/>
      <c r="AN2209" s="76"/>
      <c r="AO2209" s="76"/>
      <c r="AP2209" s="76"/>
      <c r="AQ2209" s="76"/>
      <c r="AR2209" s="76"/>
      <c r="AS2209" s="76"/>
      <c r="AT2209" s="76"/>
      <c r="AU2209" s="76"/>
      <c r="AV2209" s="76"/>
      <c r="AW2209" s="76"/>
      <c r="AX2209" s="76"/>
      <c r="AY2209" s="76"/>
      <c r="AZ2209" s="76"/>
      <c r="BA2209" s="76"/>
      <c r="BB2209" s="76"/>
    </row>
    <row r="2210" spans="5:54" x14ac:dyDescent="0.35">
      <c r="E2210" s="83"/>
      <c r="F2210" s="83"/>
      <c r="G2210" s="76"/>
      <c r="H2210" s="76"/>
      <c r="I2210" s="76"/>
      <c r="J2210" s="76"/>
      <c r="K2210" s="76"/>
      <c r="L2210" s="76"/>
      <c r="M2210" s="76"/>
      <c r="N2210" s="76"/>
      <c r="O2210" s="76"/>
      <c r="P2210" s="76"/>
      <c r="Q2210" s="76"/>
      <c r="R2210" s="76"/>
      <c r="S2210" s="76"/>
      <c r="T2210" s="76"/>
      <c r="U2210" s="76"/>
      <c r="V2210" s="76"/>
      <c r="W2210" s="76"/>
      <c r="X2210" s="76"/>
      <c r="Y2210" s="76"/>
      <c r="Z2210" s="76"/>
      <c r="AA2210" s="76"/>
      <c r="AB2210" s="76"/>
      <c r="AC2210" s="76"/>
      <c r="AD2210" s="76"/>
      <c r="AE2210" s="76"/>
      <c r="AF2210" s="76"/>
      <c r="AG2210" s="76"/>
      <c r="AH2210" s="76"/>
      <c r="AI2210" s="76"/>
      <c r="AJ2210" s="76"/>
      <c r="AK2210" s="76"/>
      <c r="AL2210" s="76"/>
      <c r="AM2210" s="76"/>
      <c r="AN2210" s="76"/>
      <c r="AO2210" s="76"/>
      <c r="AP2210" s="76"/>
      <c r="AQ2210" s="76"/>
      <c r="AR2210" s="76"/>
      <c r="AS2210" s="76"/>
      <c r="AT2210" s="76"/>
      <c r="AU2210" s="76"/>
      <c r="AV2210" s="76"/>
      <c r="AW2210" s="76"/>
      <c r="AX2210" s="76"/>
      <c r="AY2210" s="76"/>
      <c r="AZ2210" s="76"/>
      <c r="BA2210" s="76"/>
      <c r="BB2210" s="76"/>
    </row>
    <row r="2211" spans="5:54" x14ac:dyDescent="0.35">
      <c r="E2211" s="83"/>
      <c r="F2211" s="83"/>
      <c r="G2211" s="76"/>
      <c r="H2211" s="76"/>
      <c r="I2211" s="76"/>
      <c r="J2211" s="76"/>
      <c r="K2211" s="76"/>
      <c r="L2211" s="76"/>
      <c r="M2211" s="76"/>
      <c r="N2211" s="76"/>
      <c r="O2211" s="76"/>
      <c r="P2211" s="76"/>
      <c r="Q2211" s="76"/>
      <c r="R2211" s="76"/>
      <c r="S2211" s="76"/>
      <c r="T2211" s="76"/>
      <c r="U2211" s="76"/>
      <c r="V2211" s="76"/>
      <c r="W2211" s="76"/>
      <c r="X2211" s="76"/>
      <c r="Y2211" s="76"/>
      <c r="Z2211" s="76"/>
      <c r="AA2211" s="76"/>
      <c r="AB2211" s="76"/>
      <c r="AC2211" s="76"/>
      <c r="AD2211" s="76"/>
      <c r="AE2211" s="76"/>
      <c r="AF2211" s="76"/>
      <c r="AG2211" s="76"/>
      <c r="AH2211" s="76"/>
      <c r="AI2211" s="76"/>
      <c r="AJ2211" s="76"/>
      <c r="AK2211" s="76"/>
      <c r="AL2211" s="76"/>
      <c r="AM2211" s="76"/>
      <c r="AN2211" s="76"/>
      <c r="AO2211" s="76"/>
      <c r="AP2211" s="76"/>
      <c r="AQ2211" s="76"/>
      <c r="AR2211" s="76"/>
      <c r="AS2211" s="76"/>
      <c r="AT2211" s="76"/>
      <c r="AU2211" s="76"/>
      <c r="AV2211" s="76"/>
      <c r="AW2211" s="76"/>
      <c r="AX2211" s="76"/>
      <c r="AY2211" s="76"/>
      <c r="AZ2211" s="76"/>
      <c r="BA2211" s="76"/>
      <c r="BB2211" s="76"/>
    </row>
    <row r="2212" spans="5:54" x14ac:dyDescent="0.35">
      <c r="E2212" s="83"/>
      <c r="F2212" s="83"/>
      <c r="G2212" s="76"/>
      <c r="H2212" s="76"/>
      <c r="I2212" s="76"/>
      <c r="J2212" s="76"/>
      <c r="K2212" s="76"/>
      <c r="L2212" s="76"/>
      <c r="M2212" s="76"/>
      <c r="N2212" s="76"/>
      <c r="O2212" s="76"/>
      <c r="P2212" s="76"/>
      <c r="Q2212" s="76"/>
      <c r="R2212" s="76"/>
      <c r="S2212" s="76"/>
      <c r="T2212" s="76"/>
      <c r="U2212" s="76"/>
      <c r="V2212" s="76"/>
      <c r="W2212" s="76"/>
      <c r="X2212" s="76"/>
      <c r="Y2212" s="76"/>
      <c r="Z2212" s="76"/>
      <c r="AA2212" s="76"/>
      <c r="AB2212" s="76"/>
      <c r="AC2212" s="76"/>
      <c r="AD2212" s="76"/>
      <c r="AE2212" s="76"/>
      <c r="AF2212" s="76"/>
      <c r="AG2212" s="76"/>
      <c r="AH2212" s="76"/>
      <c r="AI2212" s="76"/>
      <c r="AJ2212" s="76"/>
      <c r="AK2212" s="76"/>
      <c r="AL2212" s="76"/>
      <c r="AM2212" s="76"/>
      <c r="AN2212" s="76"/>
      <c r="AO2212" s="76"/>
      <c r="AP2212" s="76"/>
      <c r="AQ2212" s="76"/>
      <c r="AR2212" s="76"/>
      <c r="AS2212" s="76"/>
      <c r="AT2212" s="76"/>
      <c r="AU2212" s="76"/>
      <c r="AV2212" s="76"/>
      <c r="AW2212" s="76"/>
      <c r="AX2212" s="76"/>
      <c r="AY2212" s="76"/>
      <c r="AZ2212" s="76"/>
      <c r="BA2212" s="76"/>
      <c r="BB2212" s="76"/>
    </row>
    <row r="2213" spans="5:54" x14ac:dyDescent="0.35">
      <c r="E2213" s="83"/>
      <c r="F2213" s="83"/>
      <c r="G2213" s="76"/>
      <c r="H2213" s="76"/>
      <c r="I2213" s="76"/>
      <c r="J2213" s="76"/>
      <c r="K2213" s="76"/>
      <c r="L2213" s="76"/>
      <c r="M2213" s="76"/>
      <c r="N2213" s="76"/>
      <c r="O2213" s="76"/>
      <c r="P2213" s="76"/>
      <c r="Q2213" s="76"/>
      <c r="R2213" s="76"/>
      <c r="S2213" s="76"/>
      <c r="T2213" s="76"/>
      <c r="U2213" s="76"/>
      <c r="V2213" s="76"/>
      <c r="W2213" s="76"/>
      <c r="X2213" s="76"/>
      <c r="Y2213" s="76"/>
      <c r="Z2213" s="76"/>
      <c r="AA2213" s="76"/>
      <c r="AB2213" s="76"/>
      <c r="AC2213" s="76"/>
      <c r="AD2213" s="76"/>
      <c r="AE2213" s="76"/>
      <c r="AF2213" s="76"/>
      <c r="AG2213" s="76"/>
      <c r="AH2213" s="76"/>
      <c r="AI2213" s="76"/>
      <c r="AJ2213" s="76"/>
      <c r="AK2213" s="76"/>
      <c r="AL2213" s="76"/>
      <c r="AM2213" s="76"/>
      <c r="AN2213" s="76"/>
      <c r="AO2213" s="76"/>
      <c r="AP2213" s="76"/>
      <c r="AQ2213" s="76"/>
      <c r="AR2213" s="76"/>
      <c r="AS2213" s="76"/>
      <c r="AT2213" s="76"/>
      <c r="AU2213" s="76"/>
      <c r="AV2213" s="76"/>
      <c r="AW2213" s="76"/>
      <c r="AX2213" s="76"/>
      <c r="AY2213" s="76"/>
      <c r="AZ2213" s="76"/>
      <c r="BA2213" s="76"/>
      <c r="BB2213" s="76"/>
    </row>
    <row r="2214" spans="5:54" x14ac:dyDescent="0.35">
      <c r="E2214" s="83"/>
      <c r="F2214" s="83"/>
      <c r="G2214" s="76"/>
      <c r="H2214" s="76"/>
      <c r="I2214" s="76"/>
      <c r="J2214" s="76"/>
      <c r="K2214" s="76"/>
      <c r="L2214" s="76"/>
      <c r="M2214" s="76"/>
      <c r="N2214" s="76"/>
      <c r="O2214" s="76"/>
      <c r="P2214" s="76"/>
      <c r="Q2214" s="76"/>
      <c r="R2214" s="76"/>
      <c r="S2214" s="76"/>
      <c r="T2214" s="76"/>
      <c r="U2214" s="76"/>
      <c r="V2214" s="76"/>
      <c r="W2214" s="76"/>
      <c r="X2214" s="76"/>
      <c r="Y2214" s="76"/>
      <c r="Z2214" s="76"/>
      <c r="AA2214" s="76"/>
      <c r="AB2214" s="76"/>
      <c r="AC2214" s="76"/>
      <c r="AD2214" s="76"/>
      <c r="AE2214" s="76"/>
      <c r="AF2214" s="76"/>
      <c r="AG2214" s="76"/>
      <c r="AH2214" s="76"/>
      <c r="AI2214" s="76"/>
      <c r="AJ2214" s="76"/>
      <c r="AK2214" s="76"/>
      <c r="AL2214" s="76"/>
      <c r="AM2214" s="76"/>
      <c r="AN2214" s="76"/>
      <c r="AO2214" s="76"/>
      <c r="AP2214" s="76"/>
      <c r="AQ2214" s="76"/>
      <c r="AR2214" s="76"/>
      <c r="AS2214" s="76"/>
      <c r="AT2214" s="76"/>
      <c r="AU2214" s="76"/>
      <c r="AV2214" s="76"/>
      <c r="AW2214" s="76"/>
      <c r="AX2214" s="76"/>
      <c r="AY2214" s="76"/>
      <c r="AZ2214" s="76"/>
      <c r="BA2214" s="76"/>
      <c r="BB2214" s="76"/>
    </row>
    <row r="2215" spans="5:54" x14ac:dyDescent="0.35">
      <c r="E2215" s="83"/>
      <c r="F2215" s="83"/>
      <c r="G2215" s="76"/>
      <c r="H2215" s="76"/>
      <c r="I2215" s="76"/>
      <c r="J2215" s="76"/>
      <c r="K2215" s="76"/>
      <c r="L2215" s="76"/>
      <c r="M2215" s="76"/>
      <c r="N2215" s="76"/>
      <c r="O2215" s="76"/>
      <c r="P2215" s="76"/>
      <c r="Q2215" s="76"/>
      <c r="R2215" s="76"/>
      <c r="S2215" s="76"/>
      <c r="T2215" s="76"/>
      <c r="U2215" s="76"/>
      <c r="V2215" s="76"/>
      <c r="W2215" s="76"/>
      <c r="X2215" s="76"/>
      <c r="Y2215" s="76"/>
      <c r="Z2215" s="76"/>
      <c r="AA2215" s="76"/>
      <c r="AB2215" s="76"/>
      <c r="AC2215" s="76"/>
      <c r="AD2215" s="76"/>
      <c r="AE2215" s="76"/>
      <c r="AF2215" s="76"/>
      <c r="AG2215" s="76"/>
      <c r="AH2215" s="76"/>
      <c r="AI2215" s="76"/>
      <c r="AJ2215" s="76"/>
      <c r="AK2215" s="76"/>
      <c r="AL2215" s="76"/>
      <c r="AM2215" s="76"/>
      <c r="AN2215" s="76"/>
      <c r="AO2215" s="76"/>
      <c r="AP2215" s="76"/>
      <c r="AQ2215" s="76"/>
      <c r="AR2215" s="76"/>
      <c r="AS2215" s="76"/>
      <c r="AT2215" s="76"/>
      <c r="AU2215" s="76"/>
      <c r="AV2215" s="76"/>
      <c r="AW2215" s="76"/>
      <c r="AX2215" s="76"/>
      <c r="AY2215" s="76"/>
      <c r="AZ2215" s="76"/>
      <c r="BA2215" s="76"/>
      <c r="BB2215" s="76"/>
    </row>
    <row r="2216" spans="5:54" x14ac:dyDescent="0.35">
      <c r="E2216" s="83"/>
      <c r="F2216" s="83"/>
      <c r="G2216" s="76"/>
      <c r="H2216" s="76"/>
      <c r="I2216" s="76"/>
      <c r="J2216" s="76"/>
      <c r="K2216" s="76"/>
      <c r="L2216" s="76"/>
      <c r="M2216" s="76"/>
      <c r="N2216" s="76"/>
      <c r="O2216" s="76"/>
      <c r="P2216" s="76"/>
      <c r="Q2216" s="76"/>
      <c r="R2216" s="76"/>
      <c r="S2216" s="76"/>
      <c r="T2216" s="76"/>
      <c r="U2216" s="76"/>
      <c r="V2216" s="76"/>
      <c r="W2216" s="76"/>
      <c r="X2216" s="76"/>
      <c r="Y2216" s="76"/>
      <c r="Z2216" s="76"/>
      <c r="AA2216" s="76"/>
      <c r="AB2216" s="76"/>
      <c r="AC2216" s="76"/>
      <c r="AD2216" s="76"/>
      <c r="AE2216" s="76"/>
      <c r="AF2216" s="76"/>
      <c r="AG2216" s="76"/>
      <c r="AH2216" s="76"/>
      <c r="AI2216" s="76"/>
      <c r="AJ2216" s="76"/>
      <c r="AK2216" s="76"/>
      <c r="AL2216" s="76"/>
      <c r="AM2216" s="76"/>
      <c r="AN2216" s="76"/>
      <c r="AO2216" s="76"/>
      <c r="AP2216" s="76"/>
      <c r="AQ2216" s="76"/>
      <c r="AR2216" s="76"/>
      <c r="AS2216" s="76"/>
      <c r="AT2216" s="76"/>
      <c r="AU2216" s="76"/>
      <c r="AV2216" s="76"/>
      <c r="AW2216" s="76"/>
      <c r="AX2216" s="76"/>
      <c r="AY2216" s="76"/>
      <c r="AZ2216" s="76"/>
      <c r="BA2216" s="76"/>
      <c r="BB2216" s="76"/>
    </row>
    <row r="2217" spans="5:54" x14ac:dyDescent="0.35">
      <c r="E2217" s="83"/>
      <c r="F2217" s="83"/>
      <c r="G2217" s="76"/>
      <c r="H2217" s="76"/>
      <c r="I2217" s="76"/>
      <c r="J2217" s="76"/>
      <c r="K2217" s="76"/>
      <c r="L2217" s="76"/>
      <c r="M2217" s="76"/>
      <c r="N2217" s="76"/>
      <c r="O2217" s="76"/>
      <c r="P2217" s="76"/>
      <c r="Q2217" s="76"/>
      <c r="R2217" s="76"/>
      <c r="S2217" s="76"/>
      <c r="T2217" s="76"/>
      <c r="U2217" s="76"/>
      <c r="V2217" s="76"/>
      <c r="W2217" s="76"/>
      <c r="X2217" s="76"/>
      <c r="Y2217" s="76"/>
      <c r="Z2217" s="76"/>
      <c r="AA2217" s="76"/>
      <c r="AB2217" s="76"/>
      <c r="AC2217" s="76"/>
      <c r="AD2217" s="76"/>
      <c r="AE2217" s="76"/>
      <c r="AF2217" s="76"/>
      <c r="AG2217" s="76"/>
      <c r="AH2217" s="76"/>
      <c r="AI2217" s="76"/>
      <c r="AJ2217" s="76"/>
      <c r="AK2217" s="76"/>
      <c r="AL2217" s="76"/>
      <c r="AM2217" s="76"/>
      <c r="AN2217" s="76"/>
      <c r="AO2217" s="76"/>
      <c r="AP2217" s="76"/>
      <c r="AQ2217" s="76"/>
      <c r="AR2217" s="76"/>
      <c r="AS2217" s="76"/>
      <c r="AT2217" s="76"/>
      <c r="AU2217" s="76"/>
      <c r="AV2217" s="76"/>
      <c r="AW2217" s="76"/>
      <c r="AX2217" s="76"/>
      <c r="AY2217" s="76"/>
      <c r="AZ2217" s="76"/>
      <c r="BA2217" s="76"/>
      <c r="BB2217" s="76"/>
    </row>
    <row r="2218" spans="5:54" x14ac:dyDescent="0.35">
      <c r="E2218" s="83"/>
      <c r="F2218" s="83"/>
      <c r="G2218" s="76"/>
      <c r="H2218" s="76"/>
      <c r="I2218" s="76"/>
      <c r="J2218" s="76"/>
      <c r="K2218" s="76"/>
      <c r="L2218" s="76"/>
      <c r="M2218" s="76"/>
      <c r="N2218" s="76"/>
      <c r="O2218" s="76"/>
      <c r="P2218" s="76"/>
      <c r="Q2218" s="76"/>
      <c r="R2218" s="76"/>
      <c r="S2218" s="76"/>
      <c r="T2218" s="76"/>
      <c r="U2218" s="76"/>
      <c r="V2218" s="76"/>
      <c r="W2218" s="76"/>
      <c r="X2218" s="76"/>
      <c r="Y2218" s="76"/>
      <c r="Z2218" s="76"/>
      <c r="AA2218" s="76"/>
      <c r="AB2218" s="76"/>
      <c r="AC2218" s="76"/>
      <c r="AD2218" s="76"/>
      <c r="AE2218" s="76"/>
      <c r="AF2218" s="76"/>
      <c r="AG2218" s="76"/>
      <c r="AH2218" s="76"/>
      <c r="AI2218" s="76"/>
      <c r="AJ2218" s="76"/>
      <c r="AK2218" s="76"/>
      <c r="AL2218" s="76"/>
      <c r="AM2218" s="76"/>
      <c r="AN2218" s="76"/>
      <c r="AO2218" s="76"/>
      <c r="AP2218" s="76"/>
      <c r="AQ2218" s="76"/>
      <c r="AR2218" s="76"/>
      <c r="AS2218" s="76"/>
      <c r="AT2218" s="76"/>
      <c r="AU2218" s="76"/>
      <c r="AV2218" s="76"/>
      <c r="AW2218" s="76"/>
      <c r="AX2218" s="76"/>
      <c r="AY2218" s="76"/>
      <c r="AZ2218" s="76"/>
      <c r="BA2218" s="76"/>
      <c r="BB2218" s="76"/>
    </row>
    <row r="2219" spans="5:54" x14ac:dyDescent="0.35">
      <c r="E2219" s="83"/>
      <c r="F2219" s="83"/>
      <c r="G2219" s="76"/>
      <c r="H2219" s="76"/>
      <c r="I2219" s="76"/>
      <c r="J2219" s="76"/>
      <c r="K2219" s="76"/>
      <c r="L2219" s="76"/>
      <c r="M2219" s="76"/>
      <c r="N2219" s="76"/>
      <c r="O2219" s="76"/>
      <c r="P2219" s="76"/>
      <c r="Q2219" s="76"/>
      <c r="R2219" s="76"/>
      <c r="S2219" s="76"/>
      <c r="T2219" s="76"/>
      <c r="U2219" s="76"/>
      <c r="V2219" s="76"/>
      <c r="W2219" s="76"/>
      <c r="X2219" s="76"/>
      <c r="Y2219" s="76"/>
      <c r="Z2219" s="76"/>
      <c r="AA2219" s="76"/>
      <c r="AB2219" s="76"/>
      <c r="AC2219" s="76"/>
      <c r="AD2219" s="76"/>
      <c r="AE2219" s="76"/>
      <c r="AF2219" s="76"/>
      <c r="AG2219" s="76"/>
      <c r="AH2219" s="76"/>
      <c r="AI2219" s="76"/>
      <c r="AJ2219" s="76"/>
      <c r="AK2219" s="76"/>
      <c r="AL2219" s="76"/>
      <c r="AM2219" s="76"/>
      <c r="AN2219" s="76"/>
      <c r="AO2219" s="76"/>
      <c r="AP2219" s="76"/>
      <c r="AQ2219" s="76"/>
      <c r="AR2219" s="76"/>
      <c r="AS2219" s="76"/>
      <c r="AT2219" s="76"/>
      <c r="AU2219" s="76"/>
      <c r="AV2219" s="76"/>
      <c r="AW2219" s="76"/>
      <c r="AX2219" s="76"/>
      <c r="AY2219" s="76"/>
      <c r="AZ2219" s="76"/>
      <c r="BA2219" s="76"/>
      <c r="BB2219" s="76"/>
    </row>
    <row r="2220" spans="5:54" x14ac:dyDescent="0.35">
      <c r="E2220" s="83"/>
      <c r="F2220" s="83"/>
      <c r="G2220" s="76"/>
      <c r="H2220" s="76"/>
      <c r="I2220" s="76"/>
      <c r="J2220" s="76"/>
      <c r="K2220" s="76"/>
      <c r="L2220" s="76"/>
      <c r="M2220" s="76"/>
      <c r="N2220" s="76"/>
      <c r="O2220" s="76"/>
      <c r="P2220" s="76"/>
      <c r="Q2220" s="76"/>
      <c r="R2220" s="76"/>
      <c r="S2220" s="76"/>
      <c r="T2220" s="76"/>
      <c r="U2220" s="76"/>
      <c r="V2220" s="76"/>
      <c r="W2220" s="76"/>
      <c r="X2220" s="76"/>
      <c r="Y2220" s="76"/>
      <c r="Z2220" s="76"/>
      <c r="AA2220" s="76"/>
      <c r="AB2220" s="76"/>
      <c r="AC2220" s="76"/>
      <c r="AD2220" s="76"/>
      <c r="AE2220" s="76"/>
      <c r="AF2220" s="76"/>
      <c r="AG2220" s="76"/>
      <c r="AH2220" s="76"/>
      <c r="AI2220" s="76"/>
      <c r="AJ2220" s="76"/>
      <c r="AK2220" s="76"/>
      <c r="AL2220" s="76"/>
      <c r="AM2220" s="76"/>
      <c r="AN2220" s="76"/>
      <c r="AO2220" s="76"/>
      <c r="AP2220" s="76"/>
      <c r="AQ2220" s="76"/>
      <c r="AR2220" s="76"/>
      <c r="AS2220" s="76"/>
      <c r="AT2220" s="76"/>
      <c r="AU2220" s="76"/>
      <c r="AV2220" s="76"/>
      <c r="AW2220" s="76"/>
      <c r="AX2220" s="76"/>
      <c r="AY2220" s="76"/>
      <c r="AZ2220" s="76"/>
      <c r="BA2220" s="76"/>
      <c r="BB2220" s="76"/>
    </row>
    <row r="2221" spans="5:54" x14ac:dyDescent="0.35">
      <c r="E2221" s="83"/>
      <c r="F2221" s="83"/>
      <c r="G2221" s="76"/>
      <c r="H2221" s="76"/>
      <c r="I2221" s="76"/>
      <c r="J2221" s="76"/>
      <c r="K2221" s="76"/>
      <c r="L2221" s="76"/>
      <c r="M2221" s="76"/>
      <c r="N2221" s="76"/>
      <c r="O2221" s="76"/>
      <c r="P2221" s="76"/>
      <c r="Q2221" s="76"/>
      <c r="R2221" s="76"/>
      <c r="S2221" s="76"/>
      <c r="T2221" s="76"/>
      <c r="U2221" s="76"/>
      <c r="V2221" s="76"/>
      <c r="W2221" s="76"/>
      <c r="X2221" s="76"/>
      <c r="Y2221" s="76"/>
      <c r="Z2221" s="76"/>
      <c r="AA2221" s="76"/>
      <c r="AB2221" s="76"/>
      <c r="AC2221" s="76"/>
      <c r="AD2221" s="76"/>
      <c r="AE2221" s="76"/>
      <c r="AF2221" s="76"/>
      <c r="AG2221" s="76"/>
      <c r="AH2221" s="76"/>
      <c r="AI2221" s="76"/>
      <c r="AJ2221" s="76"/>
      <c r="AK2221" s="76"/>
      <c r="AL2221" s="76"/>
      <c r="AM2221" s="76"/>
      <c r="AN2221" s="76"/>
      <c r="AO2221" s="76"/>
      <c r="AP2221" s="76"/>
      <c r="AQ2221" s="76"/>
      <c r="AR2221" s="76"/>
      <c r="AS2221" s="76"/>
      <c r="AT2221" s="76"/>
      <c r="AU2221" s="76"/>
      <c r="AV2221" s="76"/>
      <c r="AW2221" s="76"/>
      <c r="AX2221" s="76"/>
      <c r="AY2221" s="76"/>
      <c r="AZ2221" s="76"/>
      <c r="BA2221" s="76"/>
      <c r="BB2221" s="76"/>
    </row>
    <row r="2222" spans="5:54" x14ac:dyDescent="0.35">
      <c r="E2222" s="83"/>
      <c r="F2222" s="83"/>
      <c r="G2222" s="76"/>
      <c r="H2222" s="76"/>
      <c r="I2222" s="76"/>
      <c r="J2222" s="76"/>
      <c r="K2222" s="76"/>
      <c r="L2222" s="76"/>
      <c r="M2222" s="76"/>
      <c r="N2222" s="76"/>
      <c r="O2222" s="76"/>
      <c r="P2222" s="76"/>
      <c r="Q2222" s="76"/>
      <c r="R2222" s="76"/>
      <c r="S2222" s="76"/>
      <c r="T2222" s="76"/>
      <c r="U2222" s="76"/>
      <c r="V2222" s="76"/>
      <c r="W2222" s="76"/>
      <c r="X2222" s="76"/>
      <c r="Y2222" s="76"/>
      <c r="Z2222" s="76"/>
      <c r="AA2222" s="76"/>
      <c r="AB2222" s="76"/>
      <c r="AC2222" s="76"/>
      <c r="AD2222" s="76"/>
      <c r="AE2222" s="76"/>
      <c r="AF2222" s="76"/>
      <c r="AG2222" s="76"/>
      <c r="AH2222" s="76"/>
      <c r="AI2222" s="76"/>
      <c r="AJ2222" s="76"/>
      <c r="AK2222" s="76"/>
      <c r="AL2222" s="76"/>
      <c r="AM2222" s="76"/>
      <c r="AN2222" s="76"/>
      <c r="AO2222" s="76"/>
      <c r="AP2222" s="76"/>
      <c r="AQ2222" s="76"/>
      <c r="AR2222" s="76"/>
      <c r="AS2222" s="76"/>
      <c r="AT2222" s="76"/>
      <c r="AU2222" s="76"/>
      <c r="AV2222" s="76"/>
      <c r="AW2222" s="76"/>
      <c r="AX2222" s="76"/>
      <c r="AY2222" s="76"/>
      <c r="AZ2222" s="76"/>
      <c r="BA2222" s="76"/>
      <c r="BB2222" s="76"/>
    </row>
    <row r="2223" spans="5:54" x14ac:dyDescent="0.35">
      <c r="E2223" s="83"/>
      <c r="F2223" s="83"/>
      <c r="G2223" s="76"/>
      <c r="H2223" s="76"/>
      <c r="I2223" s="76"/>
      <c r="J2223" s="76"/>
      <c r="K2223" s="76"/>
      <c r="L2223" s="76"/>
      <c r="M2223" s="76"/>
      <c r="N2223" s="76"/>
      <c r="O2223" s="76"/>
      <c r="P2223" s="76"/>
      <c r="Q2223" s="76"/>
      <c r="R2223" s="76"/>
      <c r="S2223" s="76"/>
      <c r="T2223" s="76"/>
      <c r="U2223" s="76"/>
      <c r="V2223" s="76"/>
      <c r="W2223" s="76"/>
      <c r="X2223" s="76"/>
      <c r="Y2223" s="76"/>
      <c r="Z2223" s="76"/>
      <c r="AA2223" s="76"/>
      <c r="AB2223" s="76"/>
      <c r="AC2223" s="76"/>
      <c r="AD2223" s="76"/>
      <c r="AE2223" s="76"/>
      <c r="AF2223" s="76"/>
      <c r="AG2223" s="76"/>
      <c r="AH2223" s="76"/>
      <c r="AI2223" s="76"/>
      <c r="AJ2223" s="76"/>
      <c r="AK2223" s="76"/>
      <c r="AL2223" s="76"/>
      <c r="AM2223" s="76"/>
      <c r="AN2223" s="76"/>
      <c r="AO2223" s="76"/>
      <c r="AP2223" s="76"/>
      <c r="AQ2223" s="76"/>
      <c r="AR2223" s="76"/>
      <c r="AS2223" s="76"/>
      <c r="AT2223" s="76"/>
      <c r="AU2223" s="76"/>
      <c r="AV2223" s="76"/>
      <c r="AW2223" s="76"/>
      <c r="AX2223" s="76"/>
      <c r="AY2223" s="76"/>
      <c r="AZ2223" s="76"/>
      <c r="BA2223" s="76"/>
      <c r="BB2223" s="76"/>
    </row>
    <row r="2224" spans="5:54" x14ac:dyDescent="0.35">
      <c r="E2224" s="83"/>
      <c r="F2224" s="83"/>
      <c r="G2224" s="76"/>
      <c r="H2224" s="76"/>
      <c r="I2224" s="76"/>
      <c r="J2224" s="76"/>
      <c r="K2224" s="76"/>
      <c r="L2224" s="76"/>
      <c r="M2224" s="76"/>
      <c r="N2224" s="76"/>
      <c r="O2224" s="76"/>
      <c r="P2224" s="76"/>
      <c r="Q2224" s="76"/>
      <c r="R2224" s="76"/>
      <c r="S2224" s="76"/>
      <c r="T2224" s="76"/>
      <c r="U2224" s="76"/>
      <c r="V2224" s="76"/>
      <c r="W2224" s="76"/>
      <c r="X2224" s="76"/>
      <c r="Y2224" s="76"/>
      <c r="Z2224" s="76"/>
      <c r="AA2224" s="76"/>
      <c r="AB2224" s="76"/>
      <c r="AC2224" s="76"/>
      <c r="AD2224" s="76"/>
      <c r="AE2224" s="76"/>
      <c r="AF2224" s="76"/>
      <c r="AG2224" s="76"/>
      <c r="AH2224" s="76"/>
      <c r="AI2224" s="76"/>
      <c r="AJ2224" s="76"/>
      <c r="AK2224" s="76"/>
      <c r="AL2224" s="76"/>
      <c r="AM2224" s="76"/>
      <c r="AN2224" s="76"/>
      <c r="AO2224" s="76"/>
      <c r="AP2224" s="76"/>
      <c r="AQ2224" s="76"/>
      <c r="AR2224" s="76"/>
      <c r="AS2224" s="76"/>
      <c r="AT2224" s="76"/>
      <c r="AU2224" s="76"/>
      <c r="AV2224" s="76"/>
      <c r="AW2224" s="76"/>
      <c r="AX2224" s="76"/>
      <c r="AY2224" s="76"/>
      <c r="AZ2224" s="76"/>
      <c r="BA2224" s="76"/>
      <c r="BB2224" s="76"/>
    </row>
    <row r="2225" spans="5:54" x14ac:dyDescent="0.35">
      <c r="E2225" s="83"/>
      <c r="F2225" s="83"/>
      <c r="G2225" s="76"/>
      <c r="H2225" s="76"/>
      <c r="I2225" s="76"/>
      <c r="J2225" s="76"/>
      <c r="K2225" s="76"/>
      <c r="L2225" s="76"/>
      <c r="M2225" s="76"/>
      <c r="N2225" s="76"/>
      <c r="O2225" s="76"/>
      <c r="P2225" s="76"/>
      <c r="Q2225" s="76"/>
      <c r="R2225" s="76"/>
      <c r="S2225" s="76"/>
      <c r="T2225" s="76"/>
      <c r="U2225" s="76"/>
      <c r="V2225" s="76"/>
      <c r="W2225" s="76"/>
      <c r="X2225" s="76"/>
      <c r="Y2225" s="76"/>
      <c r="Z2225" s="76"/>
      <c r="AA2225" s="76"/>
      <c r="AB2225" s="76"/>
      <c r="AC2225" s="76"/>
      <c r="AD2225" s="76"/>
      <c r="AE2225" s="76"/>
      <c r="AF2225" s="76"/>
      <c r="AG2225" s="76"/>
      <c r="AH2225" s="76"/>
      <c r="AI2225" s="76"/>
      <c r="AJ2225" s="76"/>
      <c r="AK2225" s="76"/>
      <c r="AL2225" s="76"/>
      <c r="AM2225" s="76"/>
      <c r="AN2225" s="76"/>
      <c r="AO2225" s="76"/>
      <c r="AP2225" s="76"/>
      <c r="AQ2225" s="76"/>
      <c r="AR2225" s="76"/>
      <c r="AS2225" s="76"/>
      <c r="AT2225" s="76"/>
      <c r="AU2225" s="76"/>
      <c r="AV2225" s="76"/>
      <c r="AW2225" s="76"/>
      <c r="AX2225" s="76"/>
      <c r="AY2225" s="76"/>
      <c r="AZ2225" s="76"/>
      <c r="BA2225" s="76"/>
      <c r="BB2225" s="76"/>
    </row>
    <row r="2226" spans="5:54" x14ac:dyDescent="0.35">
      <c r="E2226" s="83"/>
      <c r="F2226" s="83"/>
      <c r="G2226" s="76"/>
      <c r="H2226" s="76"/>
      <c r="I2226" s="76"/>
      <c r="J2226" s="76"/>
      <c r="K2226" s="76"/>
      <c r="L2226" s="76"/>
      <c r="M2226" s="76"/>
      <c r="N2226" s="76"/>
      <c r="O2226" s="76"/>
      <c r="P2226" s="76"/>
      <c r="Q2226" s="76"/>
      <c r="R2226" s="76"/>
      <c r="S2226" s="76"/>
      <c r="T2226" s="76"/>
      <c r="U2226" s="76"/>
      <c r="V2226" s="76"/>
      <c r="W2226" s="76"/>
      <c r="X2226" s="76"/>
      <c r="Y2226" s="76"/>
      <c r="Z2226" s="76"/>
      <c r="AA2226" s="76"/>
      <c r="AB2226" s="76"/>
      <c r="AC2226" s="76"/>
      <c r="AD2226" s="76"/>
      <c r="AE2226" s="76"/>
      <c r="AF2226" s="76"/>
      <c r="AG2226" s="76"/>
      <c r="AH2226" s="76"/>
      <c r="AI2226" s="76"/>
      <c r="AJ2226" s="76"/>
      <c r="AK2226" s="76"/>
      <c r="AL2226" s="76"/>
      <c r="AM2226" s="76"/>
      <c r="AN2226" s="76"/>
      <c r="AO2226" s="76"/>
      <c r="AP2226" s="76"/>
      <c r="AQ2226" s="76"/>
      <c r="AR2226" s="76"/>
      <c r="AS2226" s="76"/>
      <c r="AT2226" s="76"/>
      <c r="AU2226" s="76"/>
      <c r="AV2226" s="76"/>
      <c r="AW2226" s="76"/>
      <c r="AX2226" s="76"/>
      <c r="AY2226" s="76"/>
      <c r="AZ2226" s="76"/>
      <c r="BA2226" s="76"/>
      <c r="BB2226" s="76"/>
    </row>
    <row r="2227" spans="5:54" x14ac:dyDescent="0.35">
      <c r="E2227" s="83"/>
      <c r="F2227" s="83"/>
      <c r="G2227" s="76"/>
      <c r="H2227" s="76"/>
      <c r="I2227" s="76"/>
      <c r="J2227" s="76"/>
      <c r="K2227" s="76"/>
      <c r="L2227" s="76"/>
      <c r="M2227" s="76"/>
      <c r="N2227" s="76"/>
      <c r="O2227" s="76"/>
      <c r="P2227" s="76"/>
      <c r="Q2227" s="76"/>
      <c r="R2227" s="76"/>
      <c r="S2227" s="76"/>
      <c r="T2227" s="76"/>
      <c r="U2227" s="76"/>
      <c r="V2227" s="76"/>
      <c r="W2227" s="76"/>
      <c r="X2227" s="76"/>
      <c r="Y2227" s="76"/>
      <c r="Z2227" s="76"/>
      <c r="AA2227" s="76"/>
      <c r="AB2227" s="76"/>
      <c r="AC2227" s="76"/>
      <c r="AD2227" s="76"/>
      <c r="AE2227" s="76"/>
      <c r="AF2227" s="76"/>
      <c r="AG2227" s="76"/>
      <c r="AH2227" s="76"/>
      <c r="AI2227" s="76"/>
      <c r="AJ2227" s="76"/>
      <c r="AK2227" s="76"/>
      <c r="AL2227" s="76"/>
      <c r="AM2227" s="76"/>
      <c r="AN2227" s="76"/>
      <c r="AO2227" s="76"/>
      <c r="AP2227" s="76"/>
      <c r="AQ2227" s="76"/>
      <c r="AR2227" s="76"/>
      <c r="AS2227" s="76"/>
      <c r="AT2227" s="76"/>
      <c r="AU2227" s="76"/>
      <c r="AV2227" s="76"/>
      <c r="AW2227" s="76"/>
      <c r="AX2227" s="76"/>
      <c r="AY2227" s="76"/>
      <c r="AZ2227" s="76"/>
      <c r="BA2227" s="76"/>
      <c r="BB2227" s="76"/>
    </row>
    <row r="2228" spans="5:54" x14ac:dyDescent="0.35">
      <c r="E2228" s="83"/>
      <c r="F2228" s="83"/>
      <c r="G2228" s="76"/>
      <c r="H2228" s="76"/>
      <c r="I2228" s="76"/>
      <c r="J2228" s="76"/>
      <c r="K2228" s="76"/>
      <c r="L2228" s="76"/>
      <c r="M2228" s="76"/>
      <c r="N2228" s="76"/>
      <c r="O2228" s="76"/>
      <c r="P2228" s="76"/>
      <c r="Q2228" s="76"/>
      <c r="R2228" s="76"/>
      <c r="S2228" s="76"/>
      <c r="T2228" s="76"/>
      <c r="U2228" s="76"/>
      <c r="V2228" s="76"/>
      <c r="W2228" s="76"/>
      <c r="X2228" s="76"/>
      <c r="Y2228" s="76"/>
      <c r="Z2228" s="76"/>
      <c r="AA2228" s="76"/>
      <c r="AB2228" s="76"/>
      <c r="AC2228" s="76"/>
      <c r="AD2228" s="76"/>
      <c r="AE2228" s="76"/>
      <c r="AF2228" s="76"/>
      <c r="AG2228" s="76"/>
      <c r="AH2228" s="76"/>
      <c r="AI2228" s="76"/>
      <c r="AJ2228" s="76"/>
      <c r="AK2228" s="76"/>
      <c r="AL2228" s="76"/>
      <c r="AM2228" s="76"/>
      <c r="AN2228" s="76"/>
      <c r="AO2228" s="76"/>
      <c r="AP2228" s="76"/>
      <c r="AQ2228" s="76"/>
      <c r="AR2228" s="76"/>
      <c r="AS2228" s="76"/>
      <c r="AT2228" s="76"/>
      <c r="AU2228" s="76"/>
      <c r="AV2228" s="76"/>
      <c r="AW2228" s="76"/>
      <c r="AX2228" s="76"/>
      <c r="AY2228" s="76"/>
      <c r="AZ2228" s="76"/>
      <c r="BA2228" s="76"/>
      <c r="BB2228" s="76"/>
    </row>
    <row r="2229" spans="5:54" x14ac:dyDescent="0.35">
      <c r="E2229" s="83"/>
      <c r="F2229" s="83"/>
      <c r="G2229" s="76"/>
      <c r="H2229" s="76"/>
      <c r="I2229" s="76"/>
      <c r="J2229" s="76"/>
      <c r="K2229" s="76"/>
      <c r="L2229" s="76"/>
      <c r="M2229" s="76"/>
      <c r="N2229" s="76"/>
      <c r="O2229" s="76"/>
      <c r="P2229" s="76"/>
      <c r="Q2229" s="76"/>
      <c r="R2229" s="76"/>
      <c r="S2229" s="76"/>
      <c r="T2229" s="76"/>
      <c r="U2229" s="76"/>
      <c r="V2229" s="76"/>
      <c r="W2229" s="76"/>
      <c r="X2229" s="76"/>
      <c r="Y2229" s="76"/>
      <c r="Z2229" s="76"/>
      <c r="AA2229" s="76"/>
      <c r="AB2229" s="76"/>
      <c r="AC2229" s="76"/>
      <c r="AD2229" s="76"/>
      <c r="AE2229" s="76"/>
      <c r="AF2229" s="76"/>
      <c r="AG2229" s="76"/>
      <c r="AH2229" s="76"/>
      <c r="AI2229" s="76"/>
      <c r="AJ2229" s="76"/>
      <c r="AK2229" s="76"/>
      <c r="AL2229" s="76"/>
      <c r="AM2229" s="76"/>
      <c r="AN2229" s="76"/>
      <c r="AO2229" s="76"/>
      <c r="AP2229" s="76"/>
      <c r="AQ2229" s="76"/>
      <c r="AR2229" s="76"/>
      <c r="AS2229" s="76"/>
      <c r="AT2229" s="76"/>
      <c r="AU2229" s="76"/>
      <c r="AV2229" s="76"/>
      <c r="AW2229" s="76"/>
      <c r="AX2229" s="76"/>
      <c r="AY2229" s="76"/>
      <c r="AZ2229" s="76"/>
      <c r="BA2229" s="76"/>
      <c r="BB2229" s="76"/>
    </row>
    <row r="2230" spans="5:54" x14ac:dyDescent="0.35">
      <c r="E2230" s="83"/>
      <c r="F2230" s="83"/>
      <c r="G2230" s="76"/>
      <c r="H2230" s="76"/>
      <c r="I2230" s="76"/>
      <c r="J2230" s="76"/>
      <c r="K2230" s="76"/>
      <c r="L2230" s="76"/>
      <c r="M2230" s="76"/>
      <c r="N2230" s="76"/>
      <c r="O2230" s="76"/>
      <c r="P2230" s="76"/>
      <c r="Q2230" s="76"/>
      <c r="R2230" s="76"/>
      <c r="S2230" s="76"/>
      <c r="T2230" s="76"/>
      <c r="U2230" s="76"/>
      <c r="V2230" s="76"/>
      <c r="W2230" s="76"/>
      <c r="X2230" s="76"/>
      <c r="Y2230" s="76"/>
      <c r="Z2230" s="76"/>
      <c r="AA2230" s="76"/>
      <c r="AB2230" s="76"/>
      <c r="AC2230" s="76"/>
      <c r="AD2230" s="76"/>
      <c r="AE2230" s="76"/>
      <c r="AF2230" s="76"/>
      <c r="AG2230" s="76"/>
      <c r="AH2230" s="76"/>
      <c r="AI2230" s="76"/>
      <c r="AJ2230" s="76"/>
      <c r="AK2230" s="76"/>
      <c r="AL2230" s="76"/>
      <c r="AM2230" s="76"/>
      <c r="AN2230" s="76"/>
      <c r="AO2230" s="76"/>
      <c r="AP2230" s="76"/>
      <c r="AQ2230" s="76"/>
      <c r="AR2230" s="76"/>
      <c r="AS2230" s="76"/>
      <c r="AT2230" s="76"/>
      <c r="AU2230" s="76"/>
      <c r="AV2230" s="76"/>
      <c r="AW2230" s="76"/>
      <c r="AX2230" s="76"/>
      <c r="AY2230" s="76"/>
      <c r="AZ2230" s="76"/>
      <c r="BA2230" s="76"/>
      <c r="BB2230" s="76"/>
    </row>
    <row r="2231" spans="5:54" x14ac:dyDescent="0.35">
      <c r="E2231" s="83"/>
      <c r="F2231" s="83"/>
      <c r="G2231" s="76"/>
      <c r="H2231" s="76"/>
      <c r="I2231" s="76"/>
      <c r="J2231" s="76"/>
      <c r="K2231" s="76"/>
      <c r="L2231" s="76"/>
      <c r="M2231" s="76"/>
      <c r="N2231" s="76"/>
      <c r="O2231" s="76"/>
      <c r="P2231" s="76"/>
      <c r="Q2231" s="76"/>
      <c r="R2231" s="76"/>
      <c r="S2231" s="76"/>
      <c r="T2231" s="76"/>
      <c r="U2231" s="76"/>
      <c r="V2231" s="76"/>
      <c r="W2231" s="76"/>
      <c r="X2231" s="76"/>
      <c r="Y2231" s="76"/>
      <c r="Z2231" s="76"/>
      <c r="AA2231" s="76"/>
      <c r="AB2231" s="76"/>
      <c r="AC2231" s="76"/>
      <c r="AD2231" s="76"/>
      <c r="AE2231" s="76"/>
      <c r="AF2231" s="76"/>
      <c r="AG2231" s="76"/>
      <c r="AH2231" s="76"/>
      <c r="AI2231" s="76"/>
      <c r="AJ2231" s="76"/>
      <c r="AK2231" s="76"/>
      <c r="AL2231" s="76"/>
      <c r="AM2231" s="76"/>
      <c r="AN2231" s="76"/>
      <c r="AO2231" s="76"/>
      <c r="AP2231" s="76"/>
      <c r="AQ2231" s="76"/>
      <c r="AR2231" s="76"/>
      <c r="AS2231" s="76"/>
      <c r="AT2231" s="76"/>
      <c r="AU2231" s="76"/>
      <c r="AV2231" s="76"/>
      <c r="AW2231" s="76"/>
      <c r="AX2231" s="76"/>
      <c r="AY2231" s="76"/>
      <c r="AZ2231" s="76"/>
      <c r="BA2231" s="76"/>
      <c r="BB2231" s="76"/>
    </row>
    <row r="2232" spans="5:54" x14ac:dyDescent="0.35">
      <c r="E2232" s="83"/>
      <c r="F2232" s="83"/>
      <c r="G2232" s="76"/>
      <c r="H2232" s="76"/>
      <c r="I2232" s="76"/>
      <c r="J2232" s="76"/>
      <c r="K2232" s="76"/>
      <c r="L2232" s="76"/>
      <c r="M2232" s="76"/>
      <c r="N2232" s="76"/>
      <c r="O2232" s="76"/>
      <c r="P2232" s="76"/>
      <c r="Q2232" s="76"/>
      <c r="R2232" s="76"/>
      <c r="S2232" s="76"/>
      <c r="T2232" s="76"/>
      <c r="U2232" s="76"/>
      <c r="V2232" s="76"/>
      <c r="W2232" s="76"/>
      <c r="X2232" s="76"/>
      <c r="Y2232" s="76"/>
      <c r="Z2232" s="76"/>
      <c r="AA2232" s="76"/>
      <c r="AB2232" s="76"/>
      <c r="AC2232" s="76"/>
      <c r="AD2232" s="76"/>
      <c r="AE2232" s="76"/>
      <c r="AF2232" s="76"/>
      <c r="AG2232" s="76"/>
      <c r="AH2232" s="76"/>
      <c r="AI2232" s="76"/>
      <c r="AJ2232" s="76"/>
      <c r="AK2232" s="76"/>
      <c r="AL2232" s="76"/>
      <c r="AM2232" s="76"/>
      <c r="AN2232" s="76"/>
      <c r="AO2232" s="76"/>
      <c r="AP2232" s="76"/>
      <c r="AQ2232" s="76"/>
      <c r="AR2232" s="76"/>
      <c r="AS2232" s="76"/>
      <c r="AT2232" s="76"/>
      <c r="AU2232" s="76"/>
      <c r="AV2232" s="76"/>
      <c r="AW2232" s="76"/>
      <c r="AX2232" s="76"/>
      <c r="AY2232" s="76"/>
      <c r="AZ2232" s="76"/>
      <c r="BA2232" s="76"/>
      <c r="BB2232" s="76"/>
    </row>
    <row r="2233" spans="5:54" x14ac:dyDescent="0.35">
      <c r="E2233" s="83"/>
      <c r="F2233" s="83"/>
      <c r="G2233" s="76"/>
      <c r="H2233" s="76"/>
      <c r="I2233" s="76"/>
      <c r="J2233" s="76"/>
      <c r="K2233" s="76"/>
      <c r="L2233" s="76"/>
      <c r="M2233" s="76"/>
      <c r="N2233" s="76"/>
      <c r="O2233" s="76"/>
      <c r="P2233" s="76"/>
      <c r="Q2233" s="76"/>
      <c r="R2233" s="76"/>
      <c r="S2233" s="76"/>
      <c r="T2233" s="76"/>
      <c r="U2233" s="76"/>
      <c r="V2233" s="76"/>
      <c r="W2233" s="76"/>
      <c r="X2233" s="76"/>
      <c r="Y2233" s="76"/>
      <c r="Z2233" s="76"/>
      <c r="AA2233" s="76"/>
      <c r="AB2233" s="76"/>
      <c r="AC2233" s="76"/>
      <c r="AD2233" s="76"/>
      <c r="AE2233" s="76"/>
      <c r="AF2233" s="76"/>
      <c r="AG2233" s="76"/>
      <c r="AH2233" s="76"/>
      <c r="AI2233" s="76"/>
      <c r="AJ2233" s="76"/>
      <c r="AK2233" s="76"/>
      <c r="AL2233" s="76"/>
      <c r="AM2233" s="76"/>
      <c r="AN2233" s="76"/>
      <c r="AO2233" s="76"/>
      <c r="AP2233" s="76"/>
      <c r="AQ2233" s="76"/>
      <c r="AR2233" s="76"/>
      <c r="AS2233" s="76"/>
      <c r="AT2233" s="76"/>
      <c r="AU2233" s="76"/>
      <c r="AV2233" s="76"/>
      <c r="AW2233" s="76"/>
      <c r="AX2233" s="76"/>
      <c r="AY2233" s="76"/>
      <c r="AZ2233" s="76"/>
      <c r="BA2233" s="76"/>
      <c r="BB2233" s="76"/>
    </row>
    <row r="2234" spans="5:54" x14ac:dyDescent="0.35">
      <c r="E2234" s="83"/>
      <c r="F2234" s="83"/>
      <c r="G2234" s="76"/>
      <c r="H2234" s="76"/>
      <c r="I2234" s="76"/>
      <c r="J2234" s="76"/>
      <c r="K2234" s="76"/>
      <c r="L2234" s="76"/>
      <c r="M2234" s="76"/>
      <c r="N2234" s="76"/>
      <c r="O2234" s="76"/>
      <c r="P2234" s="76"/>
      <c r="Q2234" s="76"/>
      <c r="R2234" s="76"/>
      <c r="S2234" s="76"/>
      <c r="T2234" s="76"/>
      <c r="U2234" s="76"/>
      <c r="V2234" s="76"/>
      <c r="W2234" s="76"/>
      <c r="X2234" s="76"/>
      <c r="Y2234" s="76"/>
      <c r="Z2234" s="76"/>
      <c r="AA2234" s="76"/>
      <c r="AB2234" s="76"/>
      <c r="AC2234" s="76"/>
      <c r="AD2234" s="76"/>
      <c r="AE2234" s="76"/>
      <c r="AF2234" s="76"/>
      <c r="AG2234" s="76"/>
      <c r="AH2234" s="76"/>
      <c r="AI2234" s="76"/>
      <c r="AJ2234" s="76"/>
      <c r="AK2234" s="76"/>
      <c r="AL2234" s="76"/>
      <c r="AM2234" s="76"/>
      <c r="AN2234" s="76"/>
      <c r="AO2234" s="76"/>
      <c r="AP2234" s="76"/>
      <c r="AQ2234" s="76"/>
      <c r="AR2234" s="76"/>
      <c r="AS2234" s="76"/>
      <c r="AT2234" s="76"/>
      <c r="AU2234" s="76"/>
      <c r="AV2234" s="76"/>
      <c r="AW2234" s="76"/>
      <c r="AX2234" s="76"/>
      <c r="AY2234" s="76"/>
      <c r="AZ2234" s="76"/>
      <c r="BA2234" s="76"/>
      <c r="BB2234" s="76"/>
    </row>
    <row r="2235" spans="5:54" x14ac:dyDescent="0.35">
      <c r="E2235" s="83"/>
      <c r="F2235" s="83"/>
      <c r="G2235" s="76"/>
      <c r="H2235" s="76"/>
      <c r="I2235" s="76"/>
      <c r="J2235" s="76"/>
      <c r="K2235" s="76"/>
      <c r="L2235" s="76"/>
      <c r="M2235" s="76"/>
      <c r="N2235" s="76"/>
      <c r="O2235" s="76"/>
      <c r="P2235" s="76"/>
      <c r="Q2235" s="76"/>
      <c r="R2235" s="76"/>
      <c r="S2235" s="76"/>
      <c r="T2235" s="76"/>
      <c r="U2235" s="76"/>
      <c r="V2235" s="76"/>
      <c r="W2235" s="76"/>
      <c r="X2235" s="76"/>
      <c r="Y2235" s="76"/>
      <c r="Z2235" s="76"/>
      <c r="AA2235" s="76"/>
      <c r="AB2235" s="76"/>
      <c r="AC2235" s="76"/>
      <c r="AD2235" s="76"/>
      <c r="AE2235" s="76"/>
      <c r="AF2235" s="76"/>
      <c r="AG2235" s="76"/>
      <c r="AH2235" s="76"/>
      <c r="AI2235" s="76"/>
      <c r="AJ2235" s="76"/>
      <c r="AK2235" s="76"/>
      <c r="AL2235" s="76"/>
      <c r="AM2235" s="76"/>
      <c r="AN2235" s="76"/>
      <c r="AO2235" s="76"/>
      <c r="AP2235" s="76"/>
      <c r="AQ2235" s="76"/>
      <c r="AR2235" s="76"/>
      <c r="AS2235" s="76"/>
      <c r="AT2235" s="76"/>
      <c r="AU2235" s="76"/>
      <c r="AV2235" s="76"/>
      <c r="AW2235" s="76"/>
      <c r="AX2235" s="76"/>
      <c r="AY2235" s="76"/>
      <c r="AZ2235" s="76"/>
      <c r="BA2235" s="76"/>
      <c r="BB2235" s="76"/>
    </row>
    <row r="2236" spans="5:54" x14ac:dyDescent="0.35">
      <c r="E2236" s="83"/>
      <c r="F2236" s="83"/>
      <c r="G2236" s="76"/>
      <c r="H2236" s="76"/>
      <c r="I2236" s="76"/>
      <c r="J2236" s="76"/>
      <c r="K2236" s="76"/>
      <c r="L2236" s="76"/>
      <c r="M2236" s="76"/>
      <c r="N2236" s="76"/>
      <c r="O2236" s="76"/>
      <c r="P2236" s="76"/>
      <c r="Q2236" s="76"/>
      <c r="R2236" s="76"/>
      <c r="S2236" s="76"/>
      <c r="T2236" s="76"/>
      <c r="U2236" s="76"/>
      <c r="V2236" s="76"/>
      <c r="W2236" s="76"/>
      <c r="X2236" s="76"/>
      <c r="Y2236" s="76"/>
      <c r="Z2236" s="76"/>
      <c r="AA2236" s="76"/>
      <c r="AB2236" s="76"/>
      <c r="AC2236" s="76"/>
      <c r="AD2236" s="76"/>
      <c r="AE2236" s="76"/>
      <c r="AF2236" s="76"/>
      <c r="AG2236" s="76"/>
      <c r="AH2236" s="76"/>
      <c r="AI2236" s="76"/>
      <c r="AJ2236" s="76"/>
      <c r="AK2236" s="76"/>
      <c r="AL2236" s="76"/>
      <c r="AM2236" s="76"/>
      <c r="AN2236" s="76"/>
      <c r="AO2236" s="76"/>
      <c r="AP2236" s="76"/>
      <c r="AQ2236" s="76"/>
      <c r="AR2236" s="76"/>
      <c r="AS2236" s="76"/>
      <c r="AT2236" s="76"/>
      <c r="AU2236" s="76"/>
      <c r="AV2236" s="76"/>
      <c r="AW2236" s="76"/>
      <c r="AX2236" s="76"/>
      <c r="AY2236" s="76"/>
      <c r="AZ2236" s="76"/>
      <c r="BA2236" s="76"/>
      <c r="BB2236" s="76"/>
    </row>
    <row r="2237" spans="5:54" x14ac:dyDescent="0.35">
      <c r="E2237" s="83"/>
      <c r="F2237" s="83"/>
      <c r="G2237" s="76"/>
      <c r="H2237" s="76"/>
      <c r="I2237" s="76"/>
      <c r="J2237" s="76"/>
      <c r="K2237" s="76"/>
      <c r="L2237" s="76"/>
      <c r="M2237" s="76"/>
      <c r="N2237" s="76"/>
      <c r="O2237" s="76"/>
      <c r="P2237" s="76"/>
      <c r="Q2237" s="76"/>
      <c r="R2237" s="76"/>
      <c r="S2237" s="76"/>
      <c r="T2237" s="76"/>
      <c r="U2237" s="76"/>
      <c r="V2237" s="76"/>
      <c r="W2237" s="76"/>
      <c r="X2237" s="76"/>
      <c r="Y2237" s="76"/>
      <c r="Z2237" s="76"/>
      <c r="AA2237" s="76"/>
      <c r="AB2237" s="76"/>
      <c r="AC2237" s="76"/>
      <c r="AD2237" s="76"/>
      <c r="AE2237" s="76"/>
      <c r="AF2237" s="76"/>
      <c r="AG2237" s="76"/>
      <c r="AH2237" s="76"/>
      <c r="AI2237" s="76"/>
      <c r="AJ2237" s="76"/>
      <c r="AK2237" s="76"/>
      <c r="AL2237" s="76"/>
      <c r="AM2237" s="76"/>
      <c r="AN2237" s="76"/>
      <c r="AO2237" s="76"/>
      <c r="AP2237" s="76"/>
      <c r="AQ2237" s="76"/>
      <c r="AR2237" s="76"/>
      <c r="AS2237" s="76"/>
      <c r="AT2237" s="76"/>
      <c r="AU2237" s="76"/>
      <c r="AV2237" s="76"/>
      <c r="AW2237" s="76"/>
      <c r="AX2237" s="76"/>
      <c r="AY2237" s="76"/>
      <c r="AZ2237" s="76"/>
      <c r="BA2237" s="76"/>
      <c r="BB2237" s="76"/>
    </row>
    <row r="2238" spans="5:54" x14ac:dyDescent="0.35">
      <c r="E2238" s="83"/>
      <c r="F2238" s="83"/>
      <c r="G2238" s="76"/>
      <c r="H2238" s="76"/>
      <c r="I2238" s="76"/>
      <c r="J2238" s="76"/>
      <c r="K2238" s="76"/>
      <c r="L2238" s="76"/>
      <c r="M2238" s="76"/>
      <c r="N2238" s="76"/>
      <c r="O2238" s="76"/>
      <c r="P2238" s="76"/>
      <c r="Q2238" s="76"/>
      <c r="R2238" s="76"/>
      <c r="S2238" s="76"/>
      <c r="T2238" s="76"/>
      <c r="U2238" s="76"/>
      <c r="V2238" s="76"/>
      <c r="W2238" s="76"/>
      <c r="X2238" s="76"/>
      <c r="Y2238" s="76"/>
      <c r="Z2238" s="76"/>
      <c r="AA2238" s="76"/>
      <c r="AB2238" s="76"/>
      <c r="AC2238" s="76"/>
      <c r="AD2238" s="76"/>
      <c r="AE2238" s="76"/>
      <c r="AF2238" s="76"/>
      <c r="AG2238" s="76"/>
      <c r="AH2238" s="76"/>
      <c r="AI2238" s="76"/>
      <c r="AJ2238" s="76"/>
      <c r="AK2238" s="76"/>
      <c r="AL2238" s="76"/>
      <c r="AM2238" s="76"/>
      <c r="AN2238" s="76"/>
      <c r="AO2238" s="76"/>
      <c r="AP2238" s="76"/>
      <c r="AQ2238" s="76"/>
      <c r="AR2238" s="76"/>
      <c r="AS2238" s="76"/>
      <c r="AT2238" s="76"/>
      <c r="AU2238" s="76"/>
      <c r="AV2238" s="76"/>
      <c r="AW2238" s="76"/>
      <c r="AX2238" s="76"/>
      <c r="AY2238" s="76"/>
      <c r="AZ2238" s="76"/>
      <c r="BA2238" s="76"/>
      <c r="BB2238" s="76"/>
    </row>
    <row r="2239" spans="5:54" x14ac:dyDescent="0.35">
      <c r="E2239" s="83"/>
      <c r="F2239" s="83"/>
      <c r="G2239" s="76"/>
      <c r="H2239" s="76"/>
      <c r="I2239" s="76"/>
      <c r="J2239" s="76"/>
      <c r="K2239" s="76"/>
      <c r="L2239" s="76"/>
      <c r="M2239" s="76"/>
      <c r="N2239" s="76"/>
      <c r="O2239" s="76"/>
      <c r="P2239" s="76"/>
      <c r="Q2239" s="76"/>
      <c r="R2239" s="76"/>
      <c r="S2239" s="76"/>
      <c r="T2239" s="76"/>
      <c r="U2239" s="76"/>
      <c r="V2239" s="76"/>
      <c r="W2239" s="76"/>
      <c r="X2239" s="76"/>
      <c r="Y2239" s="76"/>
      <c r="Z2239" s="76"/>
      <c r="AA2239" s="76"/>
      <c r="AB2239" s="76"/>
      <c r="AC2239" s="76"/>
      <c r="AD2239" s="76"/>
      <c r="AE2239" s="76"/>
      <c r="AF2239" s="76"/>
      <c r="AG2239" s="76"/>
      <c r="AH2239" s="76"/>
      <c r="AI2239" s="76"/>
      <c r="AJ2239" s="76"/>
      <c r="AK2239" s="76"/>
      <c r="AL2239" s="76"/>
      <c r="AM2239" s="76"/>
      <c r="AN2239" s="76"/>
      <c r="AO2239" s="76"/>
      <c r="AP2239" s="76"/>
      <c r="AQ2239" s="76"/>
      <c r="AR2239" s="76"/>
      <c r="AS2239" s="76"/>
      <c r="AT2239" s="76"/>
      <c r="AU2239" s="76"/>
      <c r="AV2239" s="76"/>
      <c r="AW2239" s="76"/>
      <c r="AX2239" s="76"/>
      <c r="AY2239" s="76"/>
      <c r="AZ2239" s="76"/>
      <c r="BA2239" s="76"/>
      <c r="BB2239" s="76"/>
    </row>
    <row r="2240" spans="5:54" x14ac:dyDescent="0.35">
      <c r="E2240" s="83"/>
      <c r="F2240" s="83"/>
      <c r="G2240" s="76"/>
      <c r="H2240" s="76"/>
      <c r="I2240" s="76"/>
      <c r="J2240" s="76"/>
      <c r="K2240" s="76"/>
      <c r="L2240" s="76"/>
      <c r="M2240" s="76"/>
      <c r="N2240" s="76"/>
      <c r="O2240" s="76"/>
      <c r="P2240" s="76"/>
      <c r="Q2240" s="76"/>
      <c r="R2240" s="76"/>
      <c r="S2240" s="76"/>
      <c r="T2240" s="76"/>
      <c r="U2240" s="76"/>
      <c r="V2240" s="76"/>
      <c r="W2240" s="76"/>
      <c r="X2240" s="76"/>
      <c r="Y2240" s="76"/>
      <c r="Z2240" s="76"/>
      <c r="AA2240" s="76"/>
      <c r="AB2240" s="76"/>
      <c r="AC2240" s="76"/>
      <c r="AD2240" s="76"/>
      <c r="AE2240" s="76"/>
      <c r="AF2240" s="76"/>
      <c r="AG2240" s="76"/>
      <c r="AH2240" s="76"/>
      <c r="AI2240" s="76"/>
      <c r="AJ2240" s="76"/>
      <c r="AK2240" s="76"/>
      <c r="AL2240" s="76"/>
      <c r="AM2240" s="76"/>
      <c r="AN2240" s="76"/>
      <c r="AO2240" s="76"/>
      <c r="AP2240" s="76"/>
      <c r="AQ2240" s="76"/>
      <c r="AR2240" s="76"/>
      <c r="AS2240" s="76"/>
      <c r="AT2240" s="76"/>
      <c r="AU2240" s="76"/>
      <c r="AV2240" s="76"/>
      <c r="AW2240" s="76"/>
      <c r="AX2240" s="76"/>
      <c r="AY2240" s="76"/>
      <c r="AZ2240" s="76"/>
      <c r="BA2240" s="76"/>
      <c r="BB2240" s="76"/>
    </row>
    <row r="2241" spans="5:54" x14ac:dyDescent="0.35">
      <c r="E2241" s="83"/>
      <c r="F2241" s="83"/>
      <c r="G2241" s="76"/>
      <c r="H2241" s="76"/>
      <c r="I2241" s="76"/>
      <c r="J2241" s="76"/>
      <c r="K2241" s="76"/>
      <c r="L2241" s="76"/>
      <c r="M2241" s="76"/>
      <c r="N2241" s="76"/>
      <c r="O2241" s="76"/>
      <c r="P2241" s="76"/>
      <c r="Q2241" s="76"/>
      <c r="R2241" s="76"/>
      <c r="S2241" s="76"/>
      <c r="T2241" s="76"/>
      <c r="U2241" s="76"/>
      <c r="V2241" s="76"/>
      <c r="W2241" s="76"/>
      <c r="X2241" s="76"/>
      <c r="Y2241" s="76"/>
      <c r="Z2241" s="76"/>
      <c r="AA2241" s="76"/>
      <c r="AB2241" s="76"/>
      <c r="AC2241" s="76"/>
      <c r="AD2241" s="76"/>
      <c r="AE2241" s="76"/>
      <c r="AF2241" s="76"/>
      <c r="AG2241" s="76"/>
      <c r="AH2241" s="76"/>
      <c r="AI2241" s="76"/>
      <c r="AJ2241" s="76"/>
      <c r="AK2241" s="76"/>
      <c r="AL2241" s="76"/>
      <c r="AM2241" s="76"/>
      <c r="AN2241" s="76"/>
      <c r="AO2241" s="76"/>
      <c r="AP2241" s="76"/>
      <c r="AQ2241" s="76"/>
      <c r="AR2241" s="76"/>
      <c r="AS2241" s="76"/>
      <c r="AT2241" s="76"/>
      <c r="AU2241" s="76"/>
      <c r="AV2241" s="76"/>
      <c r="AW2241" s="76"/>
      <c r="AX2241" s="76"/>
      <c r="AY2241" s="76"/>
      <c r="AZ2241" s="76"/>
      <c r="BA2241" s="76"/>
      <c r="BB2241" s="76"/>
    </row>
    <row r="2242" spans="5:54" x14ac:dyDescent="0.35">
      <c r="E2242" s="83"/>
      <c r="F2242" s="83"/>
      <c r="G2242" s="76"/>
      <c r="H2242" s="76"/>
      <c r="I2242" s="76"/>
      <c r="J2242" s="76"/>
      <c r="K2242" s="76"/>
      <c r="L2242" s="76"/>
      <c r="M2242" s="76"/>
      <c r="N2242" s="76"/>
      <c r="O2242" s="76"/>
      <c r="P2242" s="76"/>
      <c r="Q2242" s="76"/>
      <c r="R2242" s="76"/>
      <c r="S2242" s="76"/>
      <c r="T2242" s="76"/>
      <c r="U2242" s="76"/>
      <c r="V2242" s="76"/>
      <c r="W2242" s="76"/>
      <c r="X2242" s="76"/>
      <c r="Y2242" s="76"/>
      <c r="Z2242" s="76"/>
      <c r="AA2242" s="76"/>
      <c r="AB2242" s="76"/>
      <c r="AC2242" s="76"/>
      <c r="AD2242" s="76"/>
      <c r="AE2242" s="76"/>
      <c r="AF2242" s="76"/>
      <c r="AG2242" s="76"/>
      <c r="AH2242" s="76"/>
      <c r="AI2242" s="76"/>
      <c r="AJ2242" s="76"/>
      <c r="AK2242" s="76"/>
      <c r="AL2242" s="76"/>
      <c r="AM2242" s="76"/>
      <c r="AN2242" s="76"/>
      <c r="AO2242" s="76"/>
      <c r="AP2242" s="76"/>
      <c r="AQ2242" s="76"/>
      <c r="AR2242" s="76"/>
      <c r="AS2242" s="76"/>
      <c r="AT2242" s="76"/>
      <c r="AU2242" s="76"/>
      <c r="AV2242" s="76"/>
      <c r="AW2242" s="76"/>
      <c r="AX2242" s="76"/>
      <c r="AY2242" s="76"/>
      <c r="AZ2242" s="76"/>
      <c r="BA2242" s="76"/>
      <c r="BB2242" s="76"/>
    </row>
    <row r="2243" spans="5:54" x14ac:dyDescent="0.35">
      <c r="E2243" s="83"/>
      <c r="F2243" s="83"/>
      <c r="G2243" s="76"/>
      <c r="H2243" s="76"/>
      <c r="I2243" s="76"/>
      <c r="J2243" s="76"/>
      <c r="K2243" s="76"/>
      <c r="L2243" s="76"/>
      <c r="M2243" s="76"/>
      <c r="N2243" s="76"/>
      <c r="O2243" s="76"/>
      <c r="P2243" s="76"/>
      <c r="Q2243" s="76"/>
      <c r="R2243" s="76"/>
      <c r="S2243" s="76"/>
      <c r="T2243" s="76"/>
      <c r="U2243" s="76"/>
      <c r="V2243" s="76"/>
      <c r="W2243" s="76"/>
      <c r="X2243" s="76"/>
      <c r="Y2243" s="76"/>
      <c r="Z2243" s="76"/>
      <c r="AA2243" s="76"/>
      <c r="AB2243" s="76"/>
      <c r="AC2243" s="76"/>
      <c r="AD2243" s="76"/>
      <c r="AE2243" s="76"/>
      <c r="AF2243" s="76"/>
      <c r="AG2243" s="76"/>
      <c r="AH2243" s="76"/>
      <c r="AI2243" s="76"/>
      <c r="AJ2243" s="76"/>
      <c r="AK2243" s="76"/>
      <c r="AL2243" s="76"/>
      <c r="AM2243" s="76"/>
      <c r="AN2243" s="76"/>
      <c r="AO2243" s="76"/>
      <c r="AP2243" s="76"/>
      <c r="AQ2243" s="76"/>
      <c r="AR2243" s="76"/>
      <c r="AS2243" s="76"/>
      <c r="AT2243" s="76"/>
      <c r="AU2243" s="76"/>
      <c r="AV2243" s="76"/>
      <c r="AW2243" s="76"/>
      <c r="AX2243" s="76"/>
      <c r="AY2243" s="76"/>
      <c r="AZ2243" s="76"/>
      <c r="BA2243" s="76"/>
      <c r="BB2243" s="76"/>
    </row>
    <row r="2244" spans="5:54" x14ac:dyDescent="0.35">
      <c r="E2244" s="83"/>
      <c r="F2244" s="83"/>
      <c r="G2244" s="76"/>
      <c r="H2244" s="76"/>
      <c r="I2244" s="76"/>
      <c r="J2244" s="76"/>
      <c r="K2244" s="76"/>
      <c r="L2244" s="76"/>
      <c r="M2244" s="76"/>
      <c r="N2244" s="76"/>
      <c r="O2244" s="76"/>
      <c r="P2244" s="76"/>
      <c r="Q2244" s="76"/>
      <c r="R2244" s="76"/>
      <c r="S2244" s="76"/>
      <c r="T2244" s="76"/>
      <c r="U2244" s="76"/>
      <c r="V2244" s="76"/>
      <c r="W2244" s="76"/>
      <c r="X2244" s="76"/>
      <c r="Y2244" s="76"/>
      <c r="Z2244" s="76"/>
      <c r="AA2244" s="76"/>
      <c r="AB2244" s="76"/>
      <c r="AC2244" s="76"/>
      <c r="AD2244" s="76"/>
      <c r="AE2244" s="76"/>
      <c r="AF2244" s="76"/>
      <c r="AG2244" s="76"/>
      <c r="AH2244" s="76"/>
      <c r="AI2244" s="76"/>
      <c r="AJ2244" s="76"/>
      <c r="AK2244" s="76"/>
      <c r="AL2244" s="76"/>
      <c r="AM2244" s="76"/>
      <c r="AN2244" s="76"/>
      <c r="AO2244" s="76"/>
      <c r="AP2244" s="76"/>
      <c r="AQ2244" s="76"/>
      <c r="AR2244" s="76"/>
      <c r="AS2244" s="76"/>
      <c r="AT2244" s="76"/>
      <c r="AU2244" s="76"/>
      <c r="AV2244" s="76"/>
      <c r="AW2244" s="76"/>
      <c r="AX2244" s="76"/>
      <c r="AY2244" s="76"/>
      <c r="AZ2244" s="76"/>
      <c r="BA2244" s="76"/>
      <c r="BB2244" s="76"/>
    </row>
    <row r="2245" spans="5:54" x14ac:dyDescent="0.35">
      <c r="E2245" s="83"/>
      <c r="F2245" s="83"/>
      <c r="G2245" s="76"/>
      <c r="H2245" s="76"/>
      <c r="I2245" s="76"/>
      <c r="J2245" s="76"/>
      <c r="K2245" s="76"/>
      <c r="L2245" s="76"/>
      <c r="M2245" s="76"/>
      <c r="N2245" s="76"/>
      <c r="O2245" s="76"/>
      <c r="P2245" s="76"/>
      <c r="Q2245" s="76"/>
      <c r="R2245" s="76"/>
      <c r="S2245" s="76"/>
      <c r="T2245" s="76"/>
      <c r="U2245" s="76"/>
      <c r="V2245" s="76"/>
      <c r="W2245" s="76"/>
      <c r="X2245" s="76"/>
      <c r="Y2245" s="76"/>
      <c r="Z2245" s="76"/>
      <c r="AA2245" s="76"/>
      <c r="AB2245" s="76"/>
      <c r="AC2245" s="76"/>
      <c r="AD2245" s="76"/>
      <c r="AE2245" s="76"/>
      <c r="AF2245" s="76"/>
      <c r="AG2245" s="76"/>
      <c r="AH2245" s="76"/>
      <c r="AI2245" s="76"/>
      <c r="AJ2245" s="76"/>
      <c r="AK2245" s="76"/>
      <c r="AL2245" s="76"/>
      <c r="AM2245" s="76"/>
      <c r="AN2245" s="76"/>
      <c r="AO2245" s="76"/>
      <c r="AP2245" s="76"/>
      <c r="AQ2245" s="76"/>
      <c r="AR2245" s="76"/>
      <c r="AS2245" s="76"/>
      <c r="AT2245" s="76"/>
      <c r="AU2245" s="76"/>
      <c r="AV2245" s="76"/>
      <c r="AW2245" s="76"/>
      <c r="AX2245" s="76"/>
      <c r="AY2245" s="76"/>
      <c r="AZ2245" s="76"/>
      <c r="BA2245" s="76"/>
      <c r="BB2245" s="76"/>
    </row>
    <row r="2246" spans="5:54" x14ac:dyDescent="0.35">
      <c r="E2246" s="83"/>
      <c r="F2246" s="83"/>
      <c r="G2246" s="76"/>
      <c r="H2246" s="76"/>
      <c r="I2246" s="76"/>
      <c r="J2246" s="76"/>
      <c r="K2246" s="76"/>
      <c r="L2246" s="76"/>
      <c r="M2246" s="76"/>
      <c r="N2246" s="76"/>
      <c r="O2246" s="76"/>
      <c r="P2246" s="76"/>
      <c r="Q2246" s="76"/>
      <c r="R2246" s="76"/>
      <c r="S2246" s="76"/>
      <c r="T2246" s="76"/>
      <c r="U2246" s="76"/>
      <c r="V2246" s="76"/>
      <c r="W2246" s="76"/>
      <c r="X2246" s="76"/>
      <c r="Y2246" s="76"/>
      <c r="Z2246" s="76"/>
      <c r="AA2246" s="76"/>
      <c r="AB2246" s="76"/>
      <c r="AC2246" s="76"/>
      <c r="AD2246" s="76"/>
      <c r="AE2246" s="76"/>
      <c r="AF2246" s="76"/>
      <c r="AG2246" s="76"/>
      <c r="AH2246" s="76"/>
      <c r="AI2246" s="76"/>
      <c r="AJ2246" s="76"/>
      <c r="AK2246" s="76"/>
      <c r="AL2246" s="76"/>
      <c r="AM2246" s="76"/>
      <c r="AN2246" s="76"/>
      <c r="AO2246" s="76"/>
      <c r="AP2246" s="76"/>
      <c r="AQ2246" s="76"/>
      <c r="AR2246" s="76"/>
      <c r="AS2246" s="76"/>
      <c r="AT2246" s="76"/>
      <c r="AU2246" s="76"/>
      <c r="AV2246" s="76"/>
      <c r="AW2246" s="76"/>
      <c r="AX2246" s="76"/>
      <c r="AY2246" s="76"/>
      <c r="AZ2246" s="76"/>
      <c r="BA2246" s="76"/>
      <c r="BB2246" s="76"/>
    </row>
    <row r="2247" spans="5:54" x14ac:dyDescent="0.35">
      <c r="E2247" s="83"/>
      <c r="F2247" s="83"/>
      <c r="G2247" s="76"/>
      <c r="H2247" s="76"/>
      <c r="I2247" s="76"/>
      <c r="J2247" s="76"/>
      <c r="K2247" s="76"/>
      <c r="L2247" s="76"/>
      <c r="M2247" s="76"/>
      <c r="N2247" s="76"/>
      <c r="O2247" s="76"/>
      <c r="P2247" s="76"/>
      <c r="Q2247" s="76"/>
      <c r="R2247" s="76"/>
      <c r="S2247" s="76"/>
      <c r="T2247" s="76"/>
      <c r="U2247" s="76"/>
      <c r="V2247" s="76"/>
      <c r="W2247" s="76"/>
      <c r="X2247" s="76"/>
      <c r="Y2247" s="76"/>
      <c r="Z2247" s="76"/>
      <c r="AA2247" s="76"/>
      <c r="AB2247" s="76"/>
      <c r="AC2247" s="76"/>
      <c r="AD2247" s="76"/>
      <c r="AE2247" s="76"/>
      <c r="AF2247" s="76"/>
      <c r="AG2247" s="76"/>
      <c r="AH2247" s="76"/>
      <c r="AI2247" s="76"/>
      <c r="AJ2247" s="76"/>
      <c r="AK2247" s="76"/>
      <c r="AL2247" s="76"/>
      <c r="AM2247" s="76"/>
      <c r="AN2247" s="76"/>
      <c r="AO2247" s="76"/>
      <c r="AP2247" s="76"/>
      <c r="AQ2247" s="76"/>
      <c r="AR2247" s="76"/>
      <c r="AS2247" s="76"/>
      <c r="AT2247" s="76"/>
      <c r="AU2247" s="76"/>
      <c r="AV2247" s="76"/>
      <c r="AW2247" s="76"/>
      <c r="AX2247" s="76"/>
      <c r="AY2247" s="76"/>
      <c r="AZ2247" s="76"/>
      <c r="BA2247" s="76"/>
      <c r="BB2247" s="76"/>
    </row>
    <row r="2248" spans="5:54" x14ac:dyDescent="0.35">
      <c r="E2248" s="83"/>
      <c r="F2248" s="83"/>
      <c r="G2248" s="76"/>
      <c r="H2248" s="76"/>
      <c r="I2248" s="76"/>
      <c r="J2248" s="76"/>
      <c r="K2248" s="76"/>
      <c r="L2248" s="76"/>
      <c r="M2248" s="76"/>
      <c r="N2248" s="76"/>
      <c r="O2248" s="76"/>
      <c r="P2248" s="76"/>
      <c r="Q2248" s="76"/>
      <c r="R2248" s="76"/>
      <c r="S2248" s="76"/>
      <c r="T2248" s="76"/>
      <c r="U2248" s="76"/>
      <c r="V2248" s="76"/>
      <c r="W2248" s="76"/>
      <c r="X2248" s="76"/>
      <c r="Y2248" s="76"/>
      <c r="Z2248" s="76"/>
      <c r="AA2248" s="76"/>
      <c r="AB2248" s="76"/>
      <c r="AC2248" s="76"/>
      <c r="AD2248" s="76"/>
      <c r="AE2248" s="76"/>
      <c r="AF2248" s="76"/>
      <c r="AG2248" s="76"/>
      <c r="AH2248" s="76"/>
      <c r="AI2248" s="76"/>
      <c r="AJ2248" s="76"/>
      <c r="AK2248" s="76"/>
      <c r="AL2248" s="76"/>
      <c r="AM2248" s="76"/>
      <c r="AN2248" s="76"/>
      <c r="AO2248" s="76"/>
      <c r="AP2248" s="76"/>
      <c r="AQ2248" s="76"/>
      <c r="AR2248" s="76"/>
      <c r="AS2248" s="76"/>
      <c r="AT2248" s="76"/>
      <c r="AU2248" s="76"/>
      <c r="AV2248" s="76"/>
      <c r="AW2248" s="76"/>
      <c r="AX2248" s="76"/>
      <c r="AY2248" s="76"/>
      <c r="AZ2248" s="76"/>
      <c r="BA2248" s="76"/>
      <c r="BB2248" s="76"/>
    </row>
    <row r="2249" spans="5:54" x14ac:dyDescent="0.35">
      <c r="E2249" s="83"/>
      <c r="F2249" s="83"/>
      <c r="G2249" s="76"/>
      <c r="H2249" s="76"/>
      <c r="I2249" s="76"/>
      <c r="J2249" s="76"/>
      <c r="K2249" s="76"/>
      <c r="L2249" s="76"/>
      <c r="M2249" s="76"/>
      <c r="N2249" s="76"/>
      <c r="O2249" s="76"/>
      <c r="P2249" s="76"/>
      <c r="Q2249" s="76"/>
      <c r="R2249" s="76"/>
      <c r="S2249" s="76"/>
      <c r="T2249" s="76"/>
      <c r="U2249" s="76"/>
      <c r="V2249" s="76"/>
      <c r="W2249" s="76"/>
      <c r="X2249" s="76"/>
      <c r="Y2249" s="76"/>
      <c r="Z2249" s="76"/>
      <c r="AA2249" s="76"/>
      <c r="AB2249" s="76"/>
      <c r="AC2249" s="76"/>
      <c r="AD2249" s="76"/>
      <c r="AE2249" s="76"/>
      <c r="AF2249" s="76"/>
      <c r="AG2249" s="76"/>
      <c r="AH2249" s="76"/>
      <c r="AI2249" s="76"/>
      <c r="AJ2249" s="76"/>
      <c r="AK2249" s="76"/>
      <c r="AL2249" s="76"/>
      <c r="AM2249" s="76"/>
      <c r="AN2249" s="76"/>
      <c r="AO2249" s="76"/>
      <c r="AP2249" s="76"/>
      <c r="AQ2249" s="76"/>
      <c r="AR2249" s="76"/>
      <c r="AS2249" s="76"/>
      <c r="AT2249" s="76"/>
      <c r="AU2249" s="76"/>
      <c r="AV2249" s="76"/>
      <c r="AW2249" s="76"/>
      <c r="AX2249" s="76"/>
      <c r="AY2249" s="76"/>
      <c r="AZ2249" s="76"/>
      <c r="BA2249" s="76"/>
      <c r="BB2249" s="76"/>
    </row>
    <row r="2250" spans="5:54" x14ac:dyDescent="0.35">
      <c r="E2250" s="83"/>
      <c r="F2250" s="83"/>
      <c r="G2250" s="76"/>
      <c r="H2250" s="76"/>
      <c r="I2250" s="76"/>
      <c r="J2250" s="76"/>
      <c r="K2250" s="76"/>
      <c r="L2250" s="76"/>
      <c r="M2250" s="76"/>
      <c r="N2250" s="76"/>
      <c r="O2250" s="76"/>
      <c r="P2250" s="76"/>
      <c r="Q2250" s="76"/>
      <c r="R2250" s="76"/>
      <c r="S2250" s="76"/>
      <c r="T2250" s="76"/>
      <c r="U2250" s="76"/>
      <c r="V2250" s="76"/>
      <c r="W2250" s="76"/>
      <c r="X2250" s="76"/>
      <c r="Y2250" s="76"/>
      <c r="Z2250" s="76"/>
      <c r="AA2250" s="76"/>
      <c r="AB2250" s="76"/>
      <c r="AC2250" s="76"/>
      <c r="AD2250" s="76"/>
      <c r="AE2250" s="76"/>
      <c r="AF2250" s="76"/>
      <c r="AG2250" s="76"/>
      <c r="AH2250" s="76"/>
      <c r="AI2250" s="76"/>
      <c r="AJ2250" s="76"/>
      <c r="AK2250" s="76"/>
      <c r="AL2250" s="76"/>
      <c r="AM2250" s="76"/>
      <c r="AN2250" s="76"/>
      <c r="AO2250" s="76"/>
      <c r="AP2250" s="76"/>
      <c r="AQ2250" s="76"/>
      <c r="AR2250" s="76"/>
      <c r="AS2250" s="76"/>
      <c r="AT2250" s="76"/>
      <c r="AU2250" s="76"/>
      <c r="AV2250" s="76"/>
      <c r="AW2250" s="76"/>
      <c r="AX2250" s="76"/>
      <c r="AY2250" s="76"/>
      <c r="AZ2250" s="76"/>
      <c r="BA2250" s="76"/>
      <c r="BB2250" s="76"/>
    </row>
    <row r="2251" spans="5:54" x14ac:dyDescent="0.35">
      <c r="E2251" s="83"/>
      <c r="F2251" s="83"/>
      <c r="G2251" s="76"/>
      <c r="H2251" s="76"/>
      <c r="I2251" s="76"/>
      <c r="J2251" s="76"/>
      <c r="K2251" s="76"/>
      <c r="L2251" s="76"/>
      <c r="M2251" s="76"/>
      <c r="N2251" s="76"/>
      <c r="O2251" s="76"/>
      <c r="P2251" s="76"/>
      <c r="Q2251" s="76"/>
      <c r="R2251" s="76"/>
      <c r="S2251" s="76"/>
      <c r="T2251" s="76"/>
      <c r="U2251" s="76"/>
      <c r="V2251" s="76"/>
      <c r="W2251" s="76"/>
      <c r="X2251" s="76"/>
      <c r="Y2251" s="76"/>
      <c r="Z2251" s="76"/>
      <c r="AA2251" s="76"/>
      <c r="AB2251" s="76"/>
      <c r="AC2251" s="76"/>
      <c r="AD2251" s="76"/>
      <c r="AE2251" s="76"/>
      <c r="AF2251" s="76"/>
      <c r="AG2251" s="76"/>
      <c r="AH2251" s="76"/>
      <c r="AI2251" s="76"/>
      <c r="AJ2251" s="76"/>
      <c r="AK2251" s="76"/>
      <c r="AL2251" s="76"/>
      <c r="AM2251" s="76"/>
      <c r="AN2251" s="76"/>
      <c r="AO2251" s="76"/>
      <c r="AP2251" s="76"/>
      <c r="AQ2251" s="76"/>
      <c r="AR2251" s="76"/>
      <c r="AS2251" s="76"/>
      <c r="AT2251" s="76"/>
      <c r="AU2251" s="76"/>
      <c r="AV2251" s="76"/>
      <c r="AW2251" s="76"/>
      <c r="AX2251" s="76"/>
      <c r="AY2251" s="76"/>
      <c r="AZ2251" s="76"/>
      <c r="BA2251" s="76"/>
      <c r="BB2251" s="76"/>
    </row>
    <row r="2252" spans="5:54" x14ac:dyDescent="0.35">
      <c r="E2252" s="83"/>
      <c r="F2252" s="83"/>
      <c r="G2252" s="76"/>
      <c r="H2252" s="76"/>
      <c r="I2252" s="76"/>
      <c r="J2252" s="76"/>
      <c r="K2252" s="76"/>
      <c r="L2252" s="76"/>
      <c r="M2252" s="76"/>
      <c r="N2252" s="76"/>
      <c r="O2252" s="76"/>
      <c r="P2252" s="76"/>
      <c r="Q2252" s="76"/>
      <c r="R2252" s="76"/>
      <c r="S2252" s="76"/>
      <c r="T2252" s="76"/>
      <c r="U2252" s="76"/>
      <c r="V2252" s="76"/>
      <c r="W2252" s="76"/>
      <c r="X2252" s="76"/>
      <c r="Y2252" s="76"/>
      <c r="Z2252" s="76"/>
      <c r="AA2252" s="76"/>
      <c r="AB2252" s="76"/>
      <c r="AC2252" s="76"/>
      <c r="AD2252" s="76"/>
      <c r="AE2252" s="76"/>
      <c r="AF2252" s="76"/>
      <c r="AG2252" s="76"/>
      <c r="AH2252" s="76"/>
      <c r="AI2252" s="76"/>
      <c r="AJ2252" s="76"/>
      <c r="AK2252" s="76"/>
      <c r="AL2252" s="76"/>
      <c r="AM2252" s="76"/>
      <c r="AN2252" s="76"/>
      <c r="AO2252" s="76"/>
      <c r="AP2252" s="76"/>
      <c r="AQ2252" s="76"/>
      <c r="AR2252" s="76"/>
      <c r="AS2252" s="76"/>
      <c r="AT2252" s="76"/>
      <c r="AU2252" s="76"/>
      <c r="AV2252" s="76"/>
      <c r="AW2252" s="76"/>
      <c r="AX2252" s="76"/>
      <c r="AY2252" s="76"/>
      <c r="AZ2252" s="76"/>
      <c r="BA2252" s="76"/>
      <c r="BB2252" s="76"/>
    </row>
    <row r="2253" spans="5:54" x14ac:dyDescent="0.35">
      <c r="E2253" s="83"/>
      <c r="F2253" s="83"/>
      <c r="G2253" s="76"/>
      <c r="H2253" s="76"/>
      <c r="I2253" s="76"/>
      <c r="J2253" s="76"/>
      <c r="K2253" s="76"/>
      <c r="L2253" s="76"/>
      <c r="M2253" s="76"/>
      <c r="N2253" s="76"/>
      <c r="O2253" s="76"/>
      <c r="P2253" s="76"/>
      <c r="Q2253" s="76"/>
      <c r="R2253" s="76"/>
      <c r="S2253" s="76"/>
      <c r="T2253" s="76"/>
      <c r="U2253" s="76"/>
      <c r="V2253" s="76"/>
      <c r="W2253" s="76"/>
      <c r="X2253" s="76"/>
      <c r="Y2253" s="76"/>
      <c r="Z2253" s="76"/>
      <c r="AA2253" s="76"/>
      <c r="AB2253" s="76"/>
      <c r="AC2253" s="76"/>
      <c r="AD2253" s="76"/>
      <c r="AE2253" s="76"/>
      <c r="AF2253" s="76"/>
      <c r="AG2253" s="76"/>
      <c r="AH2253" s="76"/>
      <c r="AI2253" s="76"/>
      <c r="AJ2253" s="76"/>
      <c r="AK2253" s="76"/>
      <c r="AL2253" s="76"/>
      <c r="AM2253" s="76"/>
      <c r="AN2253" s="76"/>
      <c r="AO2253" s="76"/>
      <c r="AP2253" s="76"/>
      <c r="AQ2253" s="76"/>
      <c r="AR2253" s="76"/>
      <c r="AS2253" s="76"/>
      <c r="AT2253" s="76"/>
      <c r="AU2253" s="76"/>
      <c r="AV2253" s="76"/>
      <c r="AW2253" s="76"/>
      <c r="AX2253" s="76"/>
      <c r="AY2253" s="76"/>
      <c r="AZ2253" s="76"/>
      <c r="BA2253" s="76"/>
      <c r="BB2253" s="76"/>
    </row>
    <row r="2254" spans="5:54" x14ac:dyDescent="0.35">
      <c r="E2254" s="83"/>
      <c r="F2254" s="83"/>
      <c r="G2254" s="76"/>
      <c r="H2254" s="76"/>
      <c r="I2254" s="76"/>
      <c r="J2254" s="76"/>
      <c r="K2254" s="76"/>
      <c r="L2254" s="76"/>
      <c r="M2254" s="76"/>
      <c r="N2254" s="76"/>
      <c r="O2254" s="76"/>
      <c r="P2254" s="76"/>
      <c r="Q2254" s="76"/>
      <c r="R2254" s="76"/>
      <c r="S2254" s="76"/>
      <c r="T2254" s="76"/>
      <c r="U2254" s="76"/>
      <c r="V2254" s="76"/>
      <c r="W2254" s="76"/>
      <c r="X2254" s="76"/>
      <c r="Y2254" s="76"/>
      <c r="Z2254" s="76"/>
      <c r="AA2254" s="76"/>
      <c r="AB2254" s="76"/>
      <c r="AC2254" s="76"/>
      <c r="AD2254" s="76"/>
      <c r="AE2254" s="76"/>
      <c r="AF2254" s="76"/>
      <c r="AG2254" s="76"/>
      <c r="AH2254" s="76"/>
      <c r="AI2254" s="76"/>
      <c r="AJ2254" s="76"/>
      <c r="AK2254" s="76"/>
      <c r="AL2254" s="76"/>
      <c r="AM2254" s="76"/>
      <c r="AN2254" s="76"/>
      <c r="AO2254" s="76"/>
      <c r="AP2254" s="76"/>
      <c r="AQ2254" s="76"/>
      <c r="AR2254" s="76"/>
      <c r="AS2254" s="76"/>
      <c r="AT2254" s="76"/>
      <c r="AU2254" s="76"/>
      <c r="AV2254" s="76"/>
      <c r="AW2254" s="76"/>
      <c r="AX2254" s="76"/>
      <c r="AY2254" s="76"/>
      <c r="AZ2254" s="76"/>
      <c r="BA2254" s="76"/>
      <c r="BB2254" s="76"/>
    </row>
    <row r="2255" spans="5:54" x14ac:dyDescent="0.35">
      <c r="E2255" s="83"/>
      <c r="F2255" s="83"/>
      <c r="G2255" s="76"/>
      <c r="H2255" s="76"/>
      <c r="I2255" s="76"/>
      <c r="J2255" s="76"/>
      <c r="K2255" s="76"/>
      <c r="L2255" s="76"/>
      <c r="M2255" s="76"/>
      <c r="N2255" s="76"/>
      <c r="O2255" s="76"/>
      <c r="P2255" s="76"/>
      <c r="Q2255" s="76"/>
      <c r="R2255" s="76"/>
      <c r="S2255" s="76"/>
      <c r="T2255" s="76"/>
      <c r="U2255" s="76"/>
      <c r="V2255" s="76"/>
      <c r="W2255" s="76"/>
      <c r="X2255" s="76"/>
      <c r="Y2255" s="76"/>
      <c r="Z2255" s="76"/>
      <c r="AA2255" s="76"/>
      <c r="AB2255" s="76"/>
      <c r="AC2255" s="76"/>
      <c r="AD2255" s="76"/>
      <c r="AE2255" s="76"/>
      <c r="AF2255" s="76"/>
      <c r="AG2255" s="76"/>
      <c r="AH2255" s="76"/>
      <c r="AI2255" s="76"/>
      <c r="AJ2255" s="76"/>
      <c r="AK2255" s="76"/>
      <c r="AL2255" s="76"/>
      <c r="AM2255" s="76"/>
      <c r="AN2255" s="76"/>
      <c r="AO2255" s="76"/>
      <c r="AP2255" s="76"/>
      <c r="AQ2255" s="76"/>
      <c r="AR2255" s="76"/>
      <c r="AS2255" s="76"/>
      <c r="AT2255" s="76"/>
      <c r="AU2255" s="76"/>
      <c r="AV2255" s="76"/>
      <c r="AW2255" s="76"/>
      <c r="AX2255" s="76"/>
      <c r="AY2255" s="76"/>
      <c r="AZ2255" s="76"/>
      <c r="BA2255" s="76"/>
      <c r="BB2255" s="76"/>
    </row>
    <row r="2256" spans="5:54" x14ac:dyDescent="0.35">
      <c r="E2256" s="83"/>
      <c r="F2256" s="83"/>
      <c r="G2256" s="76"/>
      <c r="H2256" s="76"/>
      <c r="I2256" s="76"/>
      <c r="J2256" s="76"/>
      <c r="K2256" s="76"/>
      <c r="L2256" s="76"/>
      <c r="M2256" s="76"/>
      <c r="N2256" s="76"/>
      <c r="O2256" s="76"/>
      <c r="P2256" s="76"/>
      <c r="Q2256" s="76"/>
      <c r="R2256" s="76"/>
      <c r="S2256" s="76"/>
      <c r="T2256" s="76"/>
      <c r="U2256" s="76"/>
      <c r="V2256" s="76"/>
      <c r="W2256" s="76"/>
      <c r="X2256" s="76"/>
      <c r="Y2256" s="76"/>
      <c r="Z2256" s="76"/>
      <c r="AA2256" s="76"/>
      <c r="AB2256" s="76"/>
      <c r="AC2256" s="76"/>
      <c r="AD2256" s="76"/>
      <c r="AE2256" s="76"/>
      <c r="AF2256" s="76"/>
      <c r="AG2256" s="76"/>
      <c r="AH2256" s="76"/>
      <c r="AI2256" s="76"/>
      <c r="AJ2256" s="76"/>
      <c r="AK2256" s="76"/>
      <c r="AL2256" s="76"/>
      <c r="AM2256" s="76"/>
      <c r="AN2256" s="76"/>
      <c r="AO2256" s="76"/>
      <c r="AP2256" s="76"/>
      <c r="AQ2256" s="76"/>
      <c r="AR2256" s="76"/>
      <c r="AS2256" s="76"/>
      <c r="AT2256" s="76"/>
      <c r="AU2256" s="76"/>
      <c r="AV2256" s="76"/>
      <c r="AW2256" s="76"/>
      <c r="AX2256" s="76"/>
      <c r="AY2256" s="76"/>
      <c r="AZ2256" s="76"/>
      <c r="BA2256" s="76"/>
      <c r="BB2256" s="76"/>
    </row>
    <row r="2257" spans="5:54" x14ac:dyDescent="0.35">
      <c r="E2257" s="83"/>
      <c r="F2257" s="83"/>
      <c r="G2257" s="76"/>
      <c r="H2257" s="76"/>
      <c r="I2257" s="76"/>
      <c r="J2257" s="76"/>
      <c r="K2257" s="76"/>
      <c r="L2257" s="76"/>
      <c r="M2257" s="76"/>
      <c r="N2257" s="76"/>
      <c r="O2257" s="76"/>
      <c r="P2257" s="76"/>
      <c r="Q2257" s="76"/>
      <c r="R2257" s="76"/>
      <c r="S2257" s="76"/>
      <c r="T2257" s="76"/>
      <c r="U2257" s="76"/>
      <c r="V2257" s="76"/>
      <c r="W2257" s="76"/>
      <c r="X2257" s="76"/>
      <c r="Y2257" s="76"/>
      <c r="Z2257" s="76"/>
      <c r="AA2257" s="76"/>
      <c r="AB2257" s="76"/>
      <c r="AC2257" s="76"/>
      <c r="AD2257" s="76"/>
      <c r="AE2257" s="76"/>
      <c r="AF2257" s="76"/>
      <c r="AG2257" s="76"/>
      <c r="AH2257" s="76"/>
      <c r="AI2257" s="76"/>
      <c r="AJ2257" s="76"/>
      <c r="AK2257" s="76"/>
      <c r="AL2257" s="76"/>
      <c r="AM2257" s="76"/>
      <c r="AN2257" s="76"/>
      <c r="AO2257" s="76"/>
      <c r="AP2257" s="76"/>
      <c r="AQ2257" s="76"/>
      <c r="AR2257" s="76"/>
      <c r="AS2257" s="76"/>
      <c r="AT2257" s="76"/>
      <c r="AU2257" s="76"/>
      <c r="AV2257" s="76"/>
      <c r="AW2257" s="76"/>
      <c r="AX2257" s="76"/>
      <c r="AY2257" s="76"/>
      <c r="AZ2257" s="76"/>
      <c r="BA2257" s="76"/>
      <c r="BB2257" s="76"/>
    </row>
    <row r="2258" spans="5:54" x14ac:dyDescent="0.35">
      <c r="E2258" s="83"/>
      <c r="F2258" s="83"/>
      <c r="G2258" s="76"/>
      <c r="H2258" s="76"/>
      <c r="I2258" s="76"/>
      <c r="J2258" s="76"/>
      <c r="K2258" s="76"/>
      <c r="L2258" s="76"/>
      <c r="M2258" s="76"/>
      <c r="N2258" s="76"/>
      <c r="O2258" s="76"/>
      <c r="P2258" s="76"/>
      <c r="Q2258" s="76"/>
      <c r="R2258" s="76"/>
      <c r="S2258" s="76"/>
      <c r="T2258" s="76"/>
      <c r="U2258" s="76"/>
      <c r="V2258" s="76"/>
      <c r="W2258" s="76"/>
      <c r="X2258" s="76"/>
      <c r="Y2258" s="76"/>
      <c r="Z2258" s="76"/>
      <c r="AA2258" s="76"/>
      <c r="AB2258" s="76"/>
      <c r="AC2258" s="76"/>
      <c r="AD2258" s="76"/>
      <c r="AE2258" s="76"/>
      <c r="AF2258" s="76"/>
      <c r="AG2258" s="76"/>
      <c r="AH2258" s="76"/>
      <c r="AI2258" s="76"/>
      <c r="AJ2258" s="76"/>
      <c r="AK2258" s="76"/>
      <c r="AL2258" s="76"/>
      <c r="AM2258" s="76"/>
      <c r="AN2258" s="76"/>
      <c r="AO2258" s="76"/>
      <c r="AP2258" s="76"/>
      <c r="AQ2258" s="76"/>
      <c r="AR2258" s="76"/>
      <c r="AS2258" s="76"/>
      <c r="AT2258" s="76"/>
      <c r="AU2258" s="76"/>
      <c r="AV2258" s="76"/>
      <c r="AW2258" s="76"/>
      <c r="AX2258" s="76"/>
      <c r="AY2258" s="76"/>
      <c r="AZ2258" s="76"/>
      <c r="BA2258" s="76"/>
      <c r="BB2258" s="76"/>
    </row>
    <row r="2259" spans="5:54" x14ac:dyDescent="0.35">
      <c r="E2259" s="83"/>
      <c r="F2259" s="83"/>
      <c r="G2259" s="76"/>
      <c r="H2259" s="76"/>
      <c r="I2259" s="76"/>
      <c r="J2259" s="76"/>
      <c r="K2259" s="76"/>
      <c r="L2259" s="76"/>
      <c r="M2259" s="76"/>
      <c r="N2259" s="76"/>
      <c r="O2259" s="76"/>
      <c r="P2259" s="76"/>
      <c r="Q2259" s="76"/>
      <c r="R2259" s="76"/>
      <c r="S2259" s="76"/>
      <c r="T2259" s="76"/>
      <c r="U2259" s="76"/>
      <c r="V2259" s="76"/>
      <c r="W2259" s="76"/>
      <c r="X2259" s="76"/>
      <c r="Y2259" s="76"/>
      <c r="Z2259" s="76"/>
      <c r="AA2259" s="76"/>
      <c r="AB2259" s="76"/>
      <c r="AC2259" s="76"/>
      <c r="AD2259" s="76"/>
      <c r="AE2259" s="76"/>
      <c r="AF2259" s="76"/>
      <c r="AG2259" s="76"/>
      <c r="AH2259" s="76"/>
      <c r="AI2259" s="76"/>
      <c r="AJ2259" s="76"/>
      <c r="AK2259" s="76"/>
      <c r="AL2259" s="76"/>
      <c r="AM2259" s="76"/>
      <c r="AN2259" s="76"/>
      <c r="AO2259" s="76"/>
      <c r="AP2259" s="76"/>
      <c r="AQ2259" s="76"/>
      <c r="AR2259" s="76"/>
      <c r="AS2259" s="76"/>
      <c r="AT2259" s="76"/>
      <c r="AU2259" s="76"/>
      <c r="AV2259" s="76"/>
      <c r="AW2259" s="76"/>
      <c r="AX2259" s="76"/>
      <c r="AY2259" s="76"/>
      <c r="AZ2259" s="76"/>
      <c r="BA2259" s="76"/>
      <c r="BB2259" s="76"/>
    </row>
    <row r="2260" spans="5:54" x14ac:dyDescent="0.35">
      <c r="E2260" s="83"/>
      <c r="F2260" s="83"/>
      <c r="G2260" s="76"/>
      <c r="H2260" s="76"/>
      <c r="I2260" s="76"/>
      <c r="J2260" s="76"/>
      <c r="K2260" s="76"/>
      <c r="L2260" s="76"/>
      <c r="M2260" s="76"/>
      <c r="N2260" s="76"/>
      <c r="O2260" s="76"/>
      <c r="P2260" s="76"/>
      <c r="Q2260" s="76"/>
      <c r="R2260" s="76"/>
      <c r="S2260" s="76"/>
      <c r="T2260" s="76"/>
      <c r="U2260" s="76"/>
      <c r="V2260" s="76"/>
      <c r="W2260" s="76"/>
      <c r="X2260" s="76"/>
      <c r="Y2260" s="76"/>
      <c r="Z2260" s="76"/>
      <c r="AA2260" s="76"/>
      <c r="AB2260" s="76"/>
      <c r="AC2260" s="76"/>
      <c r="AD2260" s="76"/>
      <c r="AE2260" s="76"/>
      <c r="AF2260" s="76"/>
      <c r="AG2260" s="76"/>
      <c r="AH2260" s="76"/>
      <c r="AI2260" s="76"/>
      <c r="AJ2260" s="76"/>
      <c r="AK2260" s="76"/>
      <c r="AL2260" s="76"/>
      <c r="AM2260" s="76"/>
      <c r="AN2260" s="76"/>
      <c r="AO2260" s="76"/>
      <c r="AP2260" s="76"/>
      <c r="AQ2260" s="76"/>
      <c r="AR2260" s="76"/>
      <c r="AS2260" s="76"/>
      <c r="AT2260" s="76"/>
      <c r="AU2260" s="76"/>
      <c r="AV2260" s="76"/>
      <c r="AW2260" s="76"/>
      <c r="AX2260" s="76"/>
      <c r="AY2260" s="76"/>
      <c r="AZ2260" s="76"/>
      <c r="BA2260" s="76"/>
      <c r="BB2260" s="76"/>
    </row>
    <row r="2261" spans="5:54" x14ac:dyDescent="0.35">
      <c r="E2261" s="83"/>
      <c r="F2261" s="83"/>
      <c r="G2261" s="76"/>
      <c r="H2261" s="76"/>
      <c r="I2261" s="76"/>
      <c r="J2261" s="76"/>
      <c r="K2261" s="76"/>
      <c r="L2261" s="76"/>
      <c r="M2261" s="76"/>
      <c r="N2261" s="76"/>
      <c r="O2261" s="76"/>
      <c r="P2261" s="76"/>
      <c r="Q2261" s="76"/>
      <c r="R2261" s="76"/>
      <c r="S2261" s="76"/>
      <c r="T2261" s="76"/>
      <c r="U2261" s="76"/>
      <c r="V2261" s="76"/>
      <c r="W2261" s="76"/>
      <c r="X2261" s="76"/>
      <c r="Y2261" s="76"/>
      <c r="Z2261" s="76"/>
      <c r="AA2261" s="76"/>
      <c r="AB2261" s="76"/>
      <c r="AC2261" s="76"/>
      <c r="AD2261" s="76"/>
      <c r="AE2261" s="76"/>
      <c r="AF2261" s="76"/>
      <c r="AG2261" s="76"/>
      <c r="AH2261" s="76"/>
      <c r="AI2261" s="76"/>
      <c r="AJ2261" s="76"/>
      <c r="AK2261" s="76"/>
      <c r="AL2261" s="76"/>
      <c r="AM2261" s="76"/>
      <c r="AN2261" s="76"/>
      <c r="AO2261" s="76"/>
      <c r="AP2261" s="76"/>
      <c r="AQ2261" s="76"/>
      <c r="AR2261" s="76"/>
      <c r="AS2261" s="76"/>
      <c r="AT2261" s="76"/>
      <c r="AU2261" s="76"/>
      <c r="AV2261" s="76"/>
      <c r="AW2261" s="76"/>
      <c r="AX2261" s="76"/>
      <c r="AY2261" s="76"/>
      <c r="AZ2261" s="76"/>
      <c r="BA2261" s="76"/>
      <c r="BB2261" s="76"/>
    </row>
    <row r="2262" spans="5:54" x14ac:dyDescent="0.35">
      <c r="E2262" s="83"/>
      <c r="F2262" s="83"/>
      <c r="G2262" s="76"/>
      <c r="H2262" s="76"/>
      <c r="I2262" s="76"/>
      <c r="J2262" s="76"/>
      <c r="K2262" s="76"/>
      <c r="L2262" s="76"/>
      <c r="M2262" s="76"/>
      <c r="N2262" s="76"/>
      <c r="O2262" s="76"/>
      <c r="P2262" s="76"/>
      <c r="Q2262" s="76"/>
      <c r="R2262" s="76"/>
      <c r="S2262" s="76"/>
      <c r="T2262" s="76"/>
      <c r="U2262" s="76"/>
      <c r="V2262" s="76"/>
      <c r="W2262" s="76"/>
      <c r="X2262" s="76"/>
      <c r="Y2262" s="76"/>
      <c r="Z2262" s="76"/>
      <c r="AA2262" s="76"/>
      <c r="AB2262" s="76"/>
      <c r="AC2262" s="76"/>
      <c r="AD2262" s="76"/>
      <c r="AE2262" s="76"/>
      <c r="AF2262" s="76"/>
      <c r="AG2262" s="76"/>
      <c r="AH2262" s="76"/>
      <c r="AI2262" s="76"/>
      <c r="AJ2262" s="76"/>
      <c r="AK2262" s="76"/>
      <c r="AL2262" s="76"/>
      <c r="AM2262" s="76"/>
      <c r="AN2262" s="76"/>
      <c r="AO2262" s="76"/>
      <c r="AP2262" s="76"/>
      <c r="AQ2262" s="76"/>
      <c r="AR2262" s="76"/>
      <c r="AS2262" s="76"/>
      <c r="AT2262" s="76"/>
      <c r="AU2262" s="76"/>
      <c r="AV2262" s="76"/>
      <c r="AW2262" s="76"/>
      <c r="AX2262" s="76"/>
      <c r="AY2262" s="76"/>
      <c r="AZ2262" s="76"/>
      <c r="BA2262" s="76"/>
      <c r="BB2262" s="76"/>
    </row>
    <row r="2263" spans="5:54" x14ac:dyDescent="0.35">
      <c r="E2263" s="83"/>
      <c r="F2263" s="83"/>
      <c r="G2263" s="76"/>
      <c r="H2263" s="76"/>
      <c r="I2263" s="76"/>
      <c r="J2263" s="76"/>
      <c r="K2263" s="76"/>
      <c r="L2263" s="76"/>
      <c r="M2263" s="76"/>
      <c r="N2263" s="76"/>
      <c r="O2263" s="76"/>
      <c r="P2263" s="76"/>
      <c r="Q2263" s="76"/>
      <c r="R2263" s="76"/>
      <c r="S2263" s="76"/>
      <c r="T2263" s="76"/>
      <c r="U2263" s="76"/>
      <c r="V2263" s="76"/>
      <c r="W2263" s="76"/>
      <c r="X2263" s="76"/>
      <c r="Y2263" s="76"/>
      <c r="Z2263" s="76"/>
      <c r="AA2263" s="76"/>
      <c r="AB2263" s="76"/>
      <c r="AC2263" s="76"/>
      <c r="AD2263" s="76"/>
      <c r="AE2263" s="76"/>
      <c r="AF2263" s="76"/>
      <c r="AG2263" s="76"/>
      <c r="AH2263" s="76"/>
      <c r="AI2263" s="76"/>
      <c r="AJ2263" s="76"/>
      <c r="AK2263" s="76"/>
      <c r="AL2263" s="76"/>
      <c r="AM2263" s="76"/>
      <c r="AN2263" s="76"/>
      <c r="AO2263" s="76"/>
      <c r="AP2263" s="76"/>
      <c r="AQ2263" s="76"/>
      <c r="AR2263" s="76"/>
      <c r="AS2263" s="76"/>
      <c r="AT2263" s="76"/>
      <c r="AU2263" s="76"/>
      <c r="AV2263" s="76"/>
      <c r="AW2263" s="76"/>
      <c r="AX2263" s="76"/>
      <c r="AY2263" s="76"/>
      <c r="AZ2263" s="76"/>
      <c r="BA2263" s="76"/>
      <c r="BB2263" s="76"/>
    </row>
    <row r="2264" spans="5:54" x14ac:dyDescent="0.35">
      <c r="E2264" s="83"/>
      <c r="F2264" s="83"/>
      <c r="G2264" s="76"/>
      <c r="H2264" s="76"/>
      <c r="I2264" s="76"/>
      <c r="J2264" s="76"/>
      <c r="K2264" s="76"/>
      <c r="L2264" s="76"/>
      <c r="M2264" s="76"/>
      <c r="N2264" s="76"/>
      <c r="O2264" s="76"/>
      <c r="P2264" s="76"/>
      <c r="Q2264" s="76"/>
      <c r="R2264" s="76"/>
      <c r="S2264" s="76"/>
      <c r="T2264" s="76"/>
      <c r="U2264" s="76"/>
      <c r="V2264" s="76"/>
      <c r="W2264" s="76"/>
      <c r="X2264" s="76"/>
      <c r="Y2264" s="76"/>
      <c r="Z2264" s="76"/>
      <c r="AA2264" s="76"/>
      <c r="AB2264" s="76"/>
      <c r="AC2264" s="76"/>
      <c r="AD2264" s="76"/>
      <c r="AE2264" s="76"/>
      <c r="AF2264" s="76"/>
      <c r="AG2264" s="76"/>
      <c r="AH2264" s="76"/>
      <c r="AI2264" s="76"/>
      <c r="AJ2264" s="76"/>
      <c r="AK2264" s="76"/>
      <c r="AL2264" s="76"/>
      <c r="AM2264" s="76"/>
      <c r="AN2264" s="76"/>
      <c r="AO2264" s="76"/>
      <c r="AP2264" s="76"/>
      <c r="AQ2264" s="76"/>
      <c r="AR2264" s="76"/>
      <c r="AS2264" s="76"/>
      <c r="AT2264" s="76"/>
      <c r="AU2264" s="76"/>
      <c r="AV2264" s="76"/>
      <c r="AW2264" s="76"/>
      <c r="AX2264" s="76"/>
      <c r="AY2264" s="76"/>
      <c r="AZ2264" s="76"/>
      <c r="BA2264" s="76"/>
      <c r="BB2264" s="76"/>
    </row>
    <row r="2265" spans="5:54" x14ac:dyDescent="0.35">
      <c r="E2265" s="83"/>
      <c r="F2265" s="83"/>
      <c r="G2265" s="76"/>
      <c r="H2265" s="76"/>
      <c r="I2265" s="76"/>
      <c r="J2265" s="76"/>
      <c r="K2265" s="76"/>
      <c r="L2265" s="76"/>
      <c r="M2265" s="76"/>
      <c r="N2265" s="76"/>
      <c r="O2265" s="76"/>
      <c r="P2265" s="76"/>
      <c r="Q2265" s="76"/>
      <c r="R2265" s="76"/>
      <c r="S2265" s="76"/>
      <c r="T2265" s="76"/>
      <c r="U2265" s="76"/>
      <c r="V2265" s="76"/>
      <c r="W2265" s="76"/>
      <c r="X2265" s="76"/>
      <c r="Y2265" s="76"/>
      <c r="Z2265" s="76"/>
      <c r="AA2265" s="76"/>
      <c r="AB2265" s="76"/>
      <c r="AC2265" s="76"/>
      <c r="AD2265" s="76"/>
      <c r="AE2265" s="76"/>
      <c r="AF2265" s="76"/>
      <c r="AG2265" s="76"/>
      <c r="AH2265" s="76"/>
      <c r="AI2265" s="76"/>
      <c r="AJ2265" s="76"/>
      <c r="AK2265" s="76"/>
      <c r="AL2265" s="76"/>
      <c r="AM2265" s="76"/>
      <c r="AN2265" s="76"/>
      <c r="AO2265" s="76"/>
      <c r="AP2265" s="76"/>
      <c r="AQ2265" s="76"/>
      <c r="AR2265" s="76"/>
      <c r="AS2265" s="76"/>
      <c r="AT2265" s="76"/>
      <c r="AU2265" s="76"/>
      <c r="AV2265" s="76"/>
      <c r="AW2265" s="76"/>
      <c r="AX2265" s="76"/>
      <c r="AY2265" s="76"/>
      <c r="AZ2265" s="76"/>
      <c r="BA2265" s="76"/>
      <c r="BB2265" s="76"/>
    </row>
    <row r="2266" spans="5:54" x14ac:dyDescent="0.35">
      <c r="E2266" s="83"/>
      <c r="F2266" s="83"/>
      <c r="G2266" s="76"/>
      <c r="H2266" s="76"/>
      <c r="I2266" s="76"/>
      <c r="J2266" s="76"/>
      <c r="K2266" s="76"/>
      <c r="L2266" s="76"/>
      <c r="M2266" s="76"/>
      <c r="N2266" s="76"/>
      <c r="O2266" s="76"/>
      <c r="P2266" s="76"/>
      <c r="Q2266" s="76"/>
      <c r="R2266" s="76"/>
      <c r="S2266" s="76"/>
      <c r="T2266" s="76"/>
      <c r="U2266" s="76"/>
      <c r="V2266" s="76"/>
      <c r="W2266" s="76"/>
      <c r="X2266" s="76"/>
      <c r="Y2266" s="76"/>
      <c r="Z2266" s="76"/>
      <c r="AA2266" s="76"/>
      <c r="AB2266" s="76"/>
      <c r="AC2266" s="76"/>
      <c r="AD2266" s="76"/>
      <c r="AE2266" s="76"/>
      <c r="AF2266" s="76"/>
      <c r="AG2266" s="76"/>
      <c r="AH2266" s="76"/>
      <c r="AI2266" s="76"/>
      <c r="AJ2266" s="76"/>
      <c r="AK2266" s="76"/>
      <c r="AL2266" s="76"/>
      <c r="AM2266" s="76"/>
      <c r="AN2266" s="76"/>
      <c r="AO2266" s="76"/>
      <c r="AP2266" s="76"/>
      <c r="AQ2266" s="76"/>
      <c r="AR2266" s="76"/>
      <c r="AS2266" s="76"/>
      <c r="AT2266" s="76"/>
      <c r="AU2266" s="76"/>
      <c r="AV2266" s="76"/>
      <c r="AW2266" s="76"/>
      <c r="AX2266" s="76"/>
      <c r="AY2266" s="76"/>
      <c r="AZ2266" s="76"/>
      <c r="BA2266" s="76"/>
      <c r="BB2266" s="76"/>
    </row>
    <row r="2267" spans="5:54" x14ac:dyDescent="0.35">
      <c r="E2267" s="83"/>
      <c r="F2267" s="83"/>
      <c r="G2267" s="76"/>
      <c r="H2267" s="76"/>
      <c r="I2267" s="76"/>
      <c r="J2267" s="76"/>
      <c r="K2267" s="76"/>
      <c r="L2267" s="76"/>
      <c r="M2267" s="76"/>
      <c r="N2267" s="76"/>
      <c r="O2267" s="76"/>
      <c r="P2267" s="76"/>
      <c r="Q2267" s="76"/>
      <c r="R2267" s="76"/>
      <c r="S2267" s="76"/>
      <c r="T2267" s="76"/>
      <c r="U2267" s="76"/>
      <c r="V2267" s="76"/>
      <c r="W2267" s="76"/>
      <c r="X2267" s="76"/>
      <c r="Y2267" s="76"/>
      <c r="Z2267" s="76"/>
      <c r="AA2267" s="76"/>
      <c r="AB2267" s="76"/>
      <c r="AC2267" s="76"/>
      <c r="AD2267" s="76"/>
      <c r="AE2267" s="76"/>
      <c r="AF2267" s="76"/>
      <c r="AG2267" s="76"/>
      <c r="AH2267" s="76"/>
      <c r="AI2267" s="76"/>
      <c r="AJ2267" s="76"/>
      <c r="AK2267" s="76"/>
      <c r="AL2267" s="76"/>
      <c r="AM2267" s="76"/>
      <c r="AN2267" s="76"/>
      <c r="AO2267" s="76"/>
      <c r="AP2267" s="76"/>
      <c r="AQ2267" s="76"/>
      <c r="AR2267" s="76"/>
      <c r="AS2267" s="76"/>
      <c r="AT2267" s="76"/>
      <c r="AU2267" s="76"/>
      <c r="AV2267" s="76"/>
      <c r="AW2267" s="76"/>
      <c r="AX2267" s="76"/>
      <c r="AY2267" s="76"/>
      <c r="AZ2267" s="76"/>
      <c r="BA2267" s="76"/>
      <c r="BB2267" s="76"/>
    </row>
    <row r="2268" spans="5:54" x14ac:dyDescent="0.35">
      <c r="E2268" s="83"/>
      <c r="F2268" s="83"/>
      <c r="G2268" s="76"/>
      <c r="H2268" s="76"/>
      <c r="I2268" s="76"/>
      <c r="J2268" s="76"/>
      <c r="K2268" s="76"/>
      <c r="L2268" s="76"/>
      <c r="M2268" s="76"/>
      <c r="N2268" s="76"/>
      <c r="O2268" s="76"/>
      <c r="P2268" s="76"/>
      <c r="Q2268" s="76"/>
      <c r="R2268" s="76"/>
      <c r="S2268" s="76"/>
      <c r="T2268" s="76"/>
      <c r="U2268" s="76"/>
      <c r="V2268" s="76"/>
      <c r="W2268" s="76"/>
      <c r="X2268" s="76"/>
      <c r="Y2268" s="76"/>
      <c r="Z2268" s="76"/>
      <c r="AA2268" s="76"/>
      <c r="AB2268" s="76"/>
      <c r="AC2268" s="76"/>
      <c r="AD2268" s="76"/>
      <c r="AE2268" s="76"/>
      <c r="AF2268" s="76"/>
      <c r="AG2268" s="76"/>
      <c r="AH2268" s="76"/>
      <c r="AI2268" s="76"/>
      <c r="AJ2268" s="76"/>
      <c r="AK2268" s="76"/>
      <c r="AL2268" s="76"/>
      <c r="AM2268" s="76"/>
      <c r="AN2268" s="76"/>
      <c r="AO2268" s="76"/>
      <c r="AP2268" s="76"/>
      <c r="AQ2268" s="76"/>
      <c r="AR2268" s="76"/>
      <c r="AS2268" s="76"/>
      <c r="AT2268" s="76"/>
      <c r="AU2268" s="76"/>
      <c r="AV2268" s="76"/>
      <c r="AW2268" s="76"/>
      <c r="AX2268" s="76"/>
      <c r="AY2268" s="76"/>
      <c r="AZ2268" s="76"/>
      <c r="BA2268" s="76"/>
      <c r="BB2268" s="76"/>
    </row>
    <row r="2269" spans="5:54" x14ac:dyDescent="0.35">
      <c r="E2269" s="83"/>
      <c r="F2269" s="83"/>
      <c r="G2269" s="76"/>
      <c r="H2269" s="76"/>
      <c r="I2269" s="76"/>
      <c r="J2269" s="76"/>
      <c r="K2269" s="76"/>
      <c r="L2269" s="76"/>
      <c r="M2269" s="76"/>
      <c r="N2269" s="76"/>
      <c r="O2269" s="76"/>
      <c r="P2269" s="76"/>
      <c r="Q2269" s="76"/>
      <c r="R2269" s="76"/>
      <c r="S2269" s="76"/>
      <c r="T2269" s="76"/>
      <c r="U2269" s="76"/>
      <c r="V2269" s="76"/>
      <c r="W2269" s="76"/>
      <c r="X2269" s="76"/>
      <c r="Y2269" s="76"/>
      <c r="Z2269" s="76"/>
      <c r="AA2269" s="76"/>
      <c r="AB2269" s="76"/>
      <c r="AC2269" s="76"/>
      <c r="AD2269" s="76"/>
      <c r="AE2269" s="76"/>
      <c r="AF2269" s="76"/>
      <c r="AG2269" s="76"/>
      <c r="AH2269" s="76"/>
      <c r="AI2269" s="76"/>
      <c r="AJ2269" s="76"/>
      <c r="AK2269" s="76"/>
      <c r="AL2269" s="76"/>
      <c r="AM2269" s="76"/>
      <c r="AN2269" s="76"/>
      <c r="AO2269" s="76"/>
      <c r="AP2269" s="76"/>
      <c r="AQ2269" s="76"/>
      <c r="AR2269" s="76"/>
      <c r="AS2269" s="76"/>
      <c r="AT2269" s="76"/>
      <c r="AU2269" s="76"/>
      <c r="AV2269" s="76"/>
      <c r="AW2269" s="76"/>
      <c r="AX2269" s="76"/>
      <c r="AY2269" s="76"/>
      <c r="AZ2269" s="76"/>
      <c r="BA2269" s="76"/>
      <c r="BB2269" s="76"/>
    </row>
    <row r="2270" spans="5:54" x14ac:dyDescent="0.35">
      <c r="E2270" s="83"/>
      <c r="F2270" s="83"/>
      <c r="G2270" s="76"/>
      <c r="H2270" s="76"/>
      <c r="I2270" s="76"/>
      <c r="J2270" s="76"/>
      <c r="K2270" s="76"/>
      <c r="L2270" s="76"/>
      <c r="M2270" s="76"/>
      <c r="N2270" s="76"/>
      <c r="O2270" s="76"/>
      <c r="P2270" s="76"/>
      <c r="Q2270" s="76"/>
      <c r="R2270" s="76"/>
      <c r="S2270" s="76"/>
      <c r="T2270" s="76"/>
      <c r="U2270" s="76"/>
      <c r="V2270" s="76"/>
      <c r="W2270" s="76"/>
      <c r="X2270" s="76"/>
      <c r="Y2270" s="76"/>
      <c r="Z2270" s="76"/>
      <c r="AA2270" s="76"/>
      <c r="AB2270" s="76"/>
      <c r="AC2270" s="76"/>
      <c r="AD2270" s="76"/>
      <c r="AE2270" s="76"/>
      <c r="AF2270" s="76"/>
      <c r="AG2270" s="76"/>
      <c r="AH2270" s="76"/>
      <c r="AI2270" s="76"/>
      <c r="AJ2270" s="76"/>
      <c r="AK2270" s="76"/>
      <c r="AL2270" s="76"/>
      <c r="AM2270" s="76"/>
      <c r="AN2270" s="76"/>
      <c r="AO2270" s="76"/>
      <c r="AP2270" s="76"/>
      <c r="AQ2270" s="76"/>
      <c r="AR2270" s="76"/>
      <c r="AS2270" s="76"/>
      <c r="AT2270" s="76"/>
      <c r="AU2270" s="76"/>
      <c r="AV2270" s="76"/>
      <c r="AW2270" s="76"/>
      <c r="AX2270" s="76"/>
      <c r="AY2270" s="76"/>
      <c r="AZ2270" s="76"/>
      <c r="BA2270" s="76"/>
      <c r="BB2270" s="76"/>
    </row>
    <row r="2271" spans="5:54" x14ac:dyDescent="0.35">
      <c r="E2271" s="83"/>
      <c r="F2271" s="83"/>
      <c r="G2271" s="76"/>
      <c r="H2271" s="76"/>
      <c r="I2271" s="76"/>
      <c r="J2271" s="76"/>
      <c r="K2271" s="76"/>
      <c r="L2271" s="76"/>
      <c r="M2271" s="76"/>
      <c r="N2271" s="76"/>
      <c r="O2271" s="76"/>
      <c r="P2271" s="76"/>
      <c r="Q2271" s="76"/>
      <c r="R2271" s="76"/>
      <c r="S2271" s="76"/>
      <c r="T2271" s="76"/>
      <c r="U2271" s="76"/>
      <c r="V2271" s="76"/>
      <c r="W2271" s="76"/>
      <c r="X2271" s="76"/>
      <c r="Y2271" s="76"/>
      <c r="Z2271" s="76"/>
      <c r="AA2271" s="76"/>
      <c r="AB2271" s="76"/>
      <c r="AC2271" s="76"/>
      <c r="AD2271" s="76"/>
      <c r="AE2271" s="76"/>
      <c r="AF2271" s="76"/>
      <c r="AG2271" s="76"/>
      <c r="AH2271" s="76"/>
      <c r="AI2271" s="76"/>
      <c r="AJ2271" s="76"/>
      <c r="AK2271" s="76"/>
      <c r="AL2271" s="76"/>
      <c r="AM2271" s="76"/>
      <c r="AN2271" s="76"/>
      <c r="AO2271" s="76"/>
      <c r="AP2271" s="76"/>
      <c r="AQ2271" s="76"/>
      <c r="AR2271" s="76"/>
      <c r="AS2271" s="76"/>
      <c r="AT2271" s="76"/>
      <c r="AU2271" s="76"/>
      <c r="AV2271" s="76"/>
      <c r="AW2271" s="76"/>
      <c r="AX2271" s="76"/>
      <c r="AY2271" s="76"/>
      <c r="AZ2271" s="76"/>
      <c r="BA2271" s="76"/>
      <c r="BB2271" s="76"/>
    </row>
    <row r="2272" spans="5:54" x14ac:dyDescent="0.35">
      <c r="E2272" s="83"/>
      <c r="F2272" s="83"/>
      <c r="G2272" s="76"/>
      <c r="H2272" s="76"/>
      <c r="I2272" s="76"/>
      <c r="J2272" s="76"/>
      <c r="K2272" s="76"/>
      <c r="L2272" s="76"/>
      <c r="M2272" s="76"/>
      <c r="N2272" s="76"/>
      <c r="O2272" s="76"/>
      <c r="P2272" s="76"/>
      <c r="Q2272" s="76"/>
      <c r="R2272" s="76"/>
      <c r="S2272" s="76"/>
      <c r="T2272" s="76"/>
      <c r="U2272" s="76"/>
      <c r="V2272" s="76"/>
      <c r="W2272" s="76"/>
      <c r="X2272" s="76"/>
      <c r="Y2272" s="76"/>
      <c r="Z2272" s="76"/>
      <c r="AA2272" s="76"/>
      <c r="AB2272" s="76"/>
      <c r="AC2272" s="76"/>
      <c r="AD2272" s="76"/>
      <c r="AE2272" s="76"/>
      <c r="AF2272" s="76"/>
      <c r="AG2272" s="76"/>
      <c r="AH2272" s="76"/>
      <c r="AI2272" s="76"/>
      <c r="AJ2272" s="76"/>
      <c r="AK2272" s="76"/>
      <c r="AL2272" s="76"/>
      <c r="AM2272" s="76"/>
      <c r="AN2272" s="76"/>
      <c r="AO2272" s="76"/>
      <c r="AP2272" s="76"/>
      <c r="AQ2272" s="76"/>
      <c r="AR2272" s="76"/>
      <c r="AS2272" s="76"/>
      <c r="AT2272" s="76"/>
      <c r="AU2272" s="76"/>
      <c r="AV2272" s="76"/>
      <c r="AW2272" s="76"/>
      <c r="AX2272" s="76"/>
      <c r="AY2272" s="76"/>
      <c r="AZ2272" s="76"/>
      <c r="BA2272" s="76"/>
      <c r="BB2272" s="76"/>
    </row>
    <row r="2273" spans="5:54" x14ac:dyDescent="0.35">
      <c r="E2273" s="83"/>
      <c r="F2273" s="83"/>
      <c r="G2273" s="76"/>
      <c r="H2273" s="76"/>
      <c r="I2273" s="76"/>
      <c r="J2273" s="76"/>
      <c r="K2273" s="76"/>
      <c r="L2273" s="76"/>
      <c r="M2273" s="76"/>
      <c r="N2273" s="76"/>
      <c r="O2273" s="76"/>
      <c r="P2273" s="76"/>
      <c r="Q2273" s="76"/>
      <c r="R2273" s="76"/>
      <c r="S2273" s="76"/>
      <c r="T2273" s="76"/>
      <c r="U2273" s="76"/>
      <c r="V2273" s="76"/>
      <c r="W2273" s="76"/>
      <c r="X2273" s="76"/>
      <c r="Y2273" s="76"/>
      <c r="Z2273" s="76"/>
      <c r="AA2273" s="76"/>
      <c r="AB2273" s="76"/>
      <c r="AC2273" s="76"/>
      <c r="AD2273" s="76"/>
      <c r="AE2273" s="76"/>
      <c r="AF2273" s="76"/>
      <c r="AG2273" s="76"/>
      <c r="AH2273" s="76"/>
      <c r="AI2273" s="76"/>
      <c r="AJ2273" s="76"/>
      <c r="AK2273" s="76"/>
      <c r="AL2273" s="76"/>
      <c r="AM2273" s="76"/>
      <c r="AN2273" s="76"/>
      <c r="AO2273" s="76"/>
      <c r="AP2273" s="76"/>
      <c r="AQ2273" s="76"/>
      <c r="AR2273" s="76"/>
      <c r="AS2273" s="76"/>
      <c r="AT2273" s="76"/>
      <c r="AU2273" s="76"/>
      <c r="AV2273" s="76"/>
      <c r="AW2273" s="76"/>
      <c r="AX2273" s="76"/>
      <c r="AY2273" s="76"/>
      <c r="AZ2273" s="76"/>
      <c r="BA2273" s="76"/>
      <c r="BB2273" s="76"/>
    </row>
    <row r="2274" spans="5:54" x14ac:dyDescent="0.35">
      <c r="E2274" s="83"/>
      <c r="F2274" s="83"/>
      <c r="G2274" s="76"/>
      <c r="H2274" s="76"/>
      <c r="I2274" s="76"/>
      <c r="J2274" s="76"/>
      <c r="K2274" s="76"/>
      <c r="L2274" s="76"/>
      <c r="M2274" s="76"/>
      <c r="N2274" s="76"/>
      <c r="O2274" s="76"/>
      <c r="P2274" s="76"/>
      <c r="Q2274" s="76"/>
      <c r="R2274" s="76"/>
      <c r="S2274" s="76"/>
      <c r="T2274" s="76"/>
      <c r="U2274" s="76"/>
      <c r="V2274" s="76"/>
      <c r="W2274" s="76"/>
      <c r="X2274" s="76"/>
      <c r="Y2274" s="76"/>
      <c r="Z2274" s="76"/>
      <c r="AA2274" s="76"/>
      <c r="AB2274" s="76"/>
      <c r="AC2274" s="76"/>
      <c r="AD2274" s="76"/>
      <c r="AE2274" s="76"/>
      <c r="AF2274" s="76"/>
      <c r="AG2274" s="76"/>
      <c r="AH2274" s="76"/>
      <c r="AI2274" s="76"/>
      <c r="AJ2274" s="76"/>
      <c r="AK2274" s="76"/>
      <c r="AL2274" s="76"/>
      <c r="AM2274" s="76"/>
      <c r="AN2274" s="76"/>
      <c r="AO2274" s="76"/>
      <c r="AP2274" s="76"/>
      <c r="AQ2274" s="76"/>
      <c r="AR2274" s="76"/>
      <c r="AS2274" s="76"/>
      <c r="AT2274" s="76"/>
      <c r="AU2274" s="76"/>
      <c r="AV2274" s="76"/>
      <c r="AW2274" s="76"/>
      <c r="AX2274" s="76"/>
      <c r="AY2274" s="76"/>
      <c r="AZ2274" s="76"/>
      <c r="BA2274" s="76"/>
      <c r="BB2274" s="76"/>
    </row>
    <row r="2275" spans="5:54" x14ac:dyDescent="0.35">
      <c r="E2275" s="83"/>
      <c r="F2275" s="83"/>
      <c r="G2275" s="76"/>
      <c r="H2275" s="76"/>
      <c r="I2275" s="76"/>
      <c r="J2275" s="76"/>
      <c r="K2275" s="76"/>
      <c r="L2275" s="76"/>
      <c r="M2275" s="76"/>
      <c r="N2275" s="76"/>
      <c r="O2275" s="76"/>
      <c r="P2275" s="76"/>
      <c r="Q2275" s="76"/>
      <c r="R2275" s="76"/>
      <c r="S2275" s="76"/>
      <c r="T2275" s="76"/>
      <c r="U2275" s="76"/>
      <c r="V2275" s="76"/>
      <c r="W2275" s="76"/>
      <c r="X2275" s="76"/>
      <c r="Y2275" s="76"/>
      <c r="Z2275" s="76"/>
      <c r="AA2275" s="76"/>
      <c r="AB2275" s="76"/>
      <c r="AC2275" s="76"/>
      <c r="AD2275" s="76"/>
      <c r="AE2275" s="76"/>
      <c r="AF2275" s="76"/>
      <c r="AG2275" s="76"/>
      <c r="AH2275" s="76"/>
      <c r="AI2275" s="76"/>
      <c r="AJ2275" s="76"/>
      <c r="AK2275" s="76"/>
      <c r="AL2275" s="76"/>
      <c r="AM2275" s="76"/>
      <c r="AN2275" s="76"/>
      <c r="AO2275" s="76"/>
      <c r="AP2275" s="76"/>
      <c r="AQ2275" s="76"/>
      <c r="AR2275" s="76"/>
      <c r="AS2275" s="76"/>
      <c r="AT2275" s="76"/>
      <c r="AU2275" s="76"/>
      <c r="AV2275" s="76"/>
      <c r="AW2275" s="76"/>
      <c r="AX2275" s="76"/>
      <c r="AY2275" s="76"/>
      <c r="AZ2275" s="76"/>
      <c r="BA2275" s="76"/>
      <c r="BB2275" s="76"/>
    </row>
    <row r="2276" spans="5:54" x14ac:dyDescent="0.35">
      <c r="E2276" s="83"/>
      <c r="F2276" s="83"/>
      <c r="G2276" s="76"/>
      <c r="H2276" s="76"/>
      <c r="I2276" s="76"/>
      <c r="J2276" s="76"/>
      <c r="K2276" s="76"/>
      <c r="L2276" s="76"/>
      <c r="M2276" s="76"/>
      <c r="N2276" s="76"/>
      <c r="O2276" s="76"/>
      <c r="P2276" s="76"/>
      <c r="Q2276" s="76"/>
      <c r="R2276" s="76"/>
      <c r="S2276" s="76"/>
      <c r="T2276" s="76"/>
      <c r="U2276" s="76"/>
      <c r="V2276" s="76"/>
      <c r="W2276" s="76"/>
      <c r="X2276" s="76"/>
      <c r="Y2276" s="76"/>
      <c r="Z2276" s="76"/>
      <c r="AA2276" s="76"/>
      <c r="AB2276" s="76"/>
      <c r="AC2276" s="76"/>
      <c r="AD2276" s="76"/>
      <c r="AE2276" s="76"/>
      <c r="AF2276" s="76"/>
      <c r="AG2276" s="76"/>
      <c r="AH2276" s="76"/>
      <c r="AI2276" s="76"/>
      <c r="AJ2276" s="76"/>
      <c r="AK2276" s="76"/>
      <c r="AL2276" s="76"/>
      <c r="AM2276" s="76"/>
      <c r="AN2276" s="76"/>
      <c r="AO2276" s="76"/>
      <c r="AP2276" s="76"/>
      <c r="AQ2276" s="76"/>
      <c r="AR2276" s="76"/>
      <c r="AS2276" s="76"/>
      <c r="AT2276" s="76"/>
      <c r="AU2276" s="76"/>
      <c r="AV2276" s="76"/>
      <c r="AW2276" s="76"/>
      <c r="AX2276" s="76"/>
      <c r="AY2276" s="76"/>
      <c r="AZ2276" s="76"/>
      <c r="BA2276" s="76"/>
      <c r="BB2276" s="76"/>
    </row>
    <row r="2277" spans="5:54" x14ac:dyDescent="0.35">
      <c r="E2277" s="83"/>
      <c r="F2277" s="83"/>
      <c r="G2277" s="76"/>
      <c r="H2277" s="76"/>
      <c r="I2277" s="76"/>
      <c r="J2277" s="76"/>
      <c r="K2277" s="76"/>
      <c r="L2277" s="76"/>
      <c r="M2277" s="76"/>
      <c r="N2277" s="76"/>
      <c r="O2277" s="76"/>
      <c r="P2277" s="76"/>
      <c r="Q2277" s="76"/>
      <c r="R2277" s="76"/>
      <c r="S2277" s="76"/>
      <c r="T2277" s="76"/>
      <c r="U2277" s="76"/>
      <c r="V2277" s="76"/>
      <c r="W2277" s="76"/>
      <c r="X2277" s="76"/>
      <c r="Y2277" s="76"/>
      <c r="Z2277" s="76"/>
      <c r="AA2277" s="76"/>
      <c r="AB2277" s="76"/>
      <c r="AC2277" s="76"/>
      <c r="AD2277" s="76"/>
      <c r="AE2277" s="76"/>
      <c r="AF2277" s="76"/>
      <c r="AG2277" s="76"/>
      <c r="AH2277" s="76"/>
      <c r="AI2277" s="76"/>
      <c r="AJ2277" s="76"/>
      <c r="AK2277" s="76"/>
      <c r="AL2277" s="76"/>
      <c r="AM2277" s="76"/>
      <c r="AN2277" s="76"/>
      <c r="AO2277" s="76"/>
      <c r="AP2277" s="76"/>
      <c r="AQ2277" s="76"/>
      <c r="AR2277" s="76"/>
      <c r="AS2277" s="76"/>
      <c r="AT2277" s="76"/>
      <c r="AU2277" s="76"/>
      <c r="AV2277" s="76"/>
      <c r="AW2277" s="76"/>
      <c r="AX2277" s="76"/>
      <c r="AY2277" s="76"/>
      <c r="AZ2277" s="76"/>
      <c r="BA2277" s="76"/>
      <c r="BB2277" s="76"/>
    </row>
    <row r="2278" spans="5:54" x14ac:dyDescent="0.35">
      <c r="E2278" s="83"/>
      <c r="F2278" s="83"/>
      <c r="G2278" s="76"/>
      <c r="H2278" s="76"/>
      <c r="I2278" s="76"/>
      <c r="J2278" s="76"/>
      <c r="K2278" s="76"/>
      <c r="L2278" s="76"/>
      <c r="M2278" s="76"/>
      <c r="N2278" s="76"/>
      <c r="O2278" s="76"/>
      <c r="P2278" s="76"/>
      <c r="Q2278" s="76"/>
      <c r="R2278" s="76"/>
      <c r="S2278" s="76"/>
      <c r="T2278" s="76"/>
      <c r="U2278" s="76"/>
      <c r="V2278" s="76"/>
      <c r="W2278" s="76"/>
      <c r="X2278" s="76"/>
      <c r="Y2278" s="76"/>
      <c r="Z2278" s="76"/>
      <c r="AA2278" s="76"/>
      <c r="AB2278" s="76"/>
      <c r="AC2278" s="76"/>
      <c r="AD2278" s="76"/>
      <c r="AE2278" s="76"/>
      <c r="AF2278" s="76"/>
      <c r="AG2278" s="76"/>
      <c r="AH2278" s="76"/>
      <c r="AI2278" s="76"/>
      <c r="AJ2278" s="76"/>
      <c r="AK2278" s="76"/>
      <c r="AL2278" s="76"/>
      <c r="AM2278" s="76"/>
      <c r="AN2278" s="76"/>
      <c r="AO2278" s="76"/>
      <c r="AP2278" s="76"/>
      <c r="AQ2278" s="76"/>
      <c r="AR2278" s="76"/>
      <c r="AS2278" s="76"/>
      <c r="AT2278" s="76"/>
      <c r="AU2278" s="76"/>
      <c r="AV2278" s="76"/>
      <c r="AW2278" s="76"/>
      <c r="AX2278" s="76"/>
      <c r="AY2278" s="76"/>
      <c r="AZ2278" s="76"/>
      <c r="BA2278" s="76"/>
      <c r="BB2278" s="76"/>
    </row>
    <row r="2279" spans="5:54" x14ac:dyDescent="0.35">
      <c r="E2279" s="83"/>
      <c r="F2279" s="83"/>
      <c r="G2279" s="76"/>
      <c r="H2279" s="76"/>
      <c r="I2279" s="76"/>
      <c r="J2279" s="76"/>
      <c r="K2279" s="76"/>
      <c r="L2279" s="76"/>
      <c r="M2279" s="76"/>
      <c r="N2279" s="76"/>
      <c r="O2279" s="76"/>
      <c r="P2279" s="76"/>
      <c r="Q2279" s="76"/>
      <c r="R2279" s="76"/>
      <c r="S2279" s="76"/>
      <c r="T2279" s="76"/>
      <c r="U2279" s="76"/>
      <c r="V2279" s="76"/>
      <c r="W2279" s="76"/>
      <c r="X2279" s="76"/>
      <c r="Y2279" s="76"/>
      <c r="Z2279" s="76"/>
      <c r="AA2279" s="76"/>
      <c r="AB2279" s="76"/>
      <c r="AC2279" s="76"/>
      <c r="AD2279" s="76"/>
      <c r="AE2279" s="76"/>
      <c r="AF2279" s="76"/>
      <c r="AG2279" s="76"/>
      <c r="AH2279" s="76"/>
      <c r="AI2279" s="76"/>
      <c r="AJ2279" s="76"/>
      <c r="AK2279" s="76"/>
      <c r="AL2279" s="76"/>
      <c r="AM2279" s="76"/>
      <c r="AN2279" s="76"/>
      <c r="AO2279" s="76"/>
      <c r="AP2279" s="76"/>
      <c r="AQ2279" s="76"/>
      <c r="AR2279" s="76"/>
      <c r="AS2279" s="76"/>
      <c r="AT2279" s="76"/>
      <c r="AU2279" s="76"/>
      <c r="AV2279" s="76"/>
      <c r="AW2279" s="76"/>
      <c r="AX2279" s="76"/>
      <c r="AY2279" s="76"/>
      <c r="AZ2279" s="76"/>
      <c r="BA2279" s="76"/>
      <c r="BB2279" s="76"/>
    </row>
    <row r="2280" spans="5:54" x14ac:dyDescent="0.35">
      <c r="E2280" s="83"/>
      <c r="F2280" s="83"/>
      <c r="G2280" s="76"/>
      <c r="H2280" s="76"/>
      <c r="I2280" s="76"/>
      <c r="J2280" s="76"/>
      <c r="K2280" s="76"/>
      <c r="L2280" s="76"/>
      <c r="M2280" s="76"/>
      <c r="N2280" s="76"/>
      <c r="O2280" s="76"/>
      <c r="P2280" s="76"/>
      <c r="Q2280" s="76"/>
      <c r="R2280" s="76"/>
      <c r="S2280" s="76"/>
      <c r="T2280" s="76"/>
      <c r="U2280" s="76"/>
      <c r="V2280" s="76"/>
      <c r="W2280" s="76"/>
      <c r="X2280" s="76"/>
      <c r="Y2280" s="76"/>
      <c r="Z2280" s="76"/>
      <c r="AA2280" s="76"/>
      <c r="AB2280" s="76"/>
      <c r="AC2280" s="76"/>
      <c r="AD2280" s="76"/>
      <c r="AE2280" s="76"/>
      <c r="AF2280" s="76"/>
      <c r="AG2280" s="76"/>
      <c r="AH2280" s="76"/>
      <c r="AI2280" s="76"/>
      <c r="AJ2280" s="76"/>
      <c r="AK2280" s="76"/>
      <c r="AL2280" s="76"/>
      <c r="AM2280" s="76"/>
      <c r="AN2280" s="76"/>
      <c r="AO2280" s="76"/>
      <c r="AP2280" s="76"/>
      <c r="AQ2280" s="76"/>
      <c r="AR2280" s="76"/>
      <c r="AS2280" s="76"/>
      <c r="AT2280" s="76"/>
      <c r="AU2280" s="76"/>
      <c r="AV2280" s="76"/>
      <c r="AW2280" s="76"/>
      <c r="AX2280" s="76"/>
      <c r="AY2280" s="76"/>
      <c r="AZ2280" s="76"/>
      <c r="BA2280" s="76"/>
      <c r="BB2280" s="76"/>
    </row>
    <row r="2281" spans="5:54" x14ac:dyDescent="0.35">
      <c r="E2281" s="83"/>
      <c r="F2281" s="83"/>
      <c r="G2281" s="76"/>
      <c r="H2281" s="76"/>
      <c r="I2281" s="76"/>
      <c r="J2281" s="76"/>
      <c r="K2281" s="76"/>
      <c r="L2281" s="76"/>
      <c r="M2281" s="76"/>
      <c r="N2281" s="76"/>
      <c r="O2281" s="76"/>
      <c r="P2281" s="76"/>
      <c r="Q2281" s="76"/>
      <c r="R2281" s="76"/>
      <c r="S2281" s="76"/>
      <c r="T2281" s="76"/>
      <c r="U2281" s="76"/>
      <c r="V2281" s="76"/>
      <c r="W2281" s="76"/>
      <c r="X2281" s="76"/>
      <c r="Y2281" s="76"/>
      <c r="Z2281" s="76"/>
      <c r="AA2281" s="76"/>
      <c r="AB2281" s="76"/>
      <c r="AC2281" s="76"/>
      <c r="AD2281" s="76"/>
      <c r="AE2281" s="76"/>
      <c r="AF2281" s="76"/>
      <c r="AG2281" s="76"/>
      <c r="AH2281" s="76"/>
      <c r="AI2281" s="76"/>
      <c r="AJ2281" s="76"/>
      <c r="AK2281" s="76"/>
      <c r="AL2281" s="76"/>
      <c r="AM2281" s="76"/>
      <c r="AN2281" s="76"/>
      <c r="AO2281" s="76"/>
      <c r="AP2281" s="76"/>
      <c r="AQ2281" s="76"/>
      <c r="AR2281" s="76"/>
      <c r="AS2281" s="76"/>
      <c r="AT2281" s="76"/>
      <c r="AU2281" s="76"/>
      <c r="AV2281" s="76"/>
      <c r="AW2281" s="76"/>
      <c r="AX2281" s="76"/>
      <c r="AY2281" s="76"/>
      <c r="AZ2281" s="76"/>
      <c r="BA2281" s="76"/>
      <c r="BB2281" s="76"/>
    </row>
    <row r="2282" spans="5:54" x14ac:dyDescent="0.35">
      <c r="E2282" s="83"/>
      <c r="F2282" s="83"/>
      <c r="G2282" s="76"/>
      <c r="H2282" s="76"/>
      <c r="I2282" s="76"/>
      <c r="J2282" s="76"/>
      <c r="K2282" s="76"/>
      <c r="L2282" s="76"/>
      <c r="M2282" s="76"/>
      <c r="N2282" s="76"/>
      <c r="O2282" s="76"/>
      <c r="P2282" s="76"/>
      <c r="Q2282" s="76"/>
      <c r="R2282" s="76"/>
      <c r="S2282" s="76"/>
      <c r="T2282" s="76"/>
      <c r="U2282" s="76"/>
      <c r="V2282" s="76"/>
      <c r="W2282" s="76"/>
      <c r="X2282" s="76"/>
      <c r="Y2282" s="76"/>
      <c r="Z2282" s="76"/>
      <c r="AA2282" s="76"/>
      <c r="AB2282" s="76"/>
      <c r="AC2282" s="76"/>
      <c r="AD2282" s="76"/>
      <c r="AE2282" s="76"/>
      <c r="AF2282" s="76"/>
      <c r="AG2282" s="76"/>
      <c r="AH2282" s="76"/>
      <c r="AI2282" s="76"/>
      <c r="AJ2282" s="76"/>
      <c r="AK2282" s="76"/>
      <c r="AL2282" s="76"/>
      <c r="AM2282" s="76"/>
      <c r="AN2282" s="76"/>
      <c r="AO2282" s="76"/>
      <c r="AP2282" s="76"/>
      <c r="AQ2282" s="76"/>
      <c r="AR2282" s="76"/>
      <c r="AS2282" s="76"/>
      <c r="AT2282" s="76"/>
      <c r="AU2282" s="76"/>
      <c r="AV2282" s="76"/>
      <c r="AW2282" s="76"/>
      <c r="AX2282" s="76"/>
      <c r="AY2282" s="76"/>
      <c r="AZ2282" s="76"/>
      <c r="BA2282" s="76"/>
      <c r="BB2282" s="76"/>
    </row>
    <row r="2283" spans="5:54" x14ac:dyDescent="0.35">
      <c r="E2283" s="83"/>
      <c r="F2283" s="83"/>
      <c r="G2283" s="76"/>
      <c r="H2283" s="76"/>
      <c r="I2283" s="76"/>
      <c r="J2283" s="76"/>
      <c r="K2283" s="76"/>
      <c r="L2283" s="76"/>
      <c r="M2283" s="76"/>
      <c r="N2283" s="76"/>
      <c r="O2283" s="76"/>
      <c r="P2283" s="76"/>
      <c r="Q2283" s="76"/>
      <c r="R2283" s="76"/>
      <c r="S2283" s="76"/>
      <c r="T2283" s="76"/>
      <c r="U2283" s="76"/>
      <c r="V2283" s="76"/>
      <c r="W2283" s="76"/>
      <c r="X2283" s="76"/>
      <c r="Y2283" s="76"/>
      <c r="Z2283" s="76"/>
      <c r="AA2283" s="76"/>
      <c r="AB2283" s="76"/>
      <c r="AC2283" s="76"/>
      <c r="AD2283" s="76"/>
      <c r="AE2283" s="76"/>
      <c r="AF2283" s="76"/>
      <c r="AG2283" s="76"/>
      <c r="AH2283" s="76"/>
      <c r="AI2283" s="76"/>
      <c r="AJ2283" s="76"/>
      <c r="AK2283" s="76"/>
      <c r="AL2283" s="76"/>
      <c r="AM2283" s="76"/>
      <c r="AN2283" s="76"/>
      <c r="AO2283" s="76"/>
      <c r="AP2283" s="76"/>
      <c r="AQ2283" s="76"/>
      <c r="AR2283" s="76"/>
      <c r="AS2283" s="76"/>
      <c r="AT2283" s="76"/>
      <c r="AU2283" s="76"/>
      <c r="AV2283" s="76"/>
      <c r="AW2283" s="76"/>
      <c r="AX2283" s="76"/>
      <c r="AY2283" s="76"/>
      <c r="AZ2283" s="76"/>
      <c r="BA2283" s="76"/>
      <c r="BB2283" s="76"/>
    </row>
    <row r="2284" spans="5:54" x14ac:dyDescent="0.35">
      <c r="E2284" s="83"/>
      <c r="F2284" s="83"/>
      <c r="G2284" s="76"/>
      <c r="H2284" s="76"/>
      <c r="I2284" s="76"/>
      <c r="J2284" s="76"/>
      <c r="K2284" s="76"/>
      <c r="L2284" s="76"/>
      <c r="M2284" s="76"/>
      <c r="N2284" s="76"/>
      <c r="O2284" s="76"/>
      <c r="P2284" s="76"/>
      <c r="Q2284" s="76"/>
      <c r="R2284" s="76"/>
      <c r="S2284" s="76"/>
      <c r="T2284" s="76"/>
      <c r="U2284" s="76"/>
      <c r="V2284" s="76"/>
      <c r="W2284" s="76"/>
      <c r="X2284" s="76"/>
      <c r="Y2284" s="76"/>
      <c r="Z2284" s="76"/>
      <c r="AA2284" s="76"/>
      <c r="AB2284" s="76"/>
      <c r="AC2284" s="76"/>
      <c r="AD2284" s="76"/>
      <c r="AE2284" s="76"/>
      <c r="AF2284" s="76"/>
      <c r="AG2284" s="76"/>
      <c r="AH2284" s="76"/>
      <c r="AI2284" s="76"/>
      <c r="AJ2284" s="76"/>
      <c r="AK2284" s="76"/>
      <c r="AL2284" s="76"/>
      <c r="AM2284" s="76"/>
      <c r="AN2284" s="76"/>
      <c r="AO2284" s="76"/>
      <c r="AP2284" s="76"/>
      <c r="AQ2284" s="76"/>
      <c r="AR2284" s="76"/>
      <c r="AS2284" s="76"/>
      <c r="AT2284" s="76"/>
      <c r="AU2284" s="76"/>
      <c r="AV2284" s="76"/>
      <c r="AW2284" s="76"/>
      <c r="AX2284" s="76"/>
      <c r="AY2284" s="76"/>
      <c r="AZ2284" s="76"/>
      <c r="BA2284" s="76"/>
      <c r="BB2284" s="76"/>
    </row>
    <row r="2285" spans="5:54" x14ac:dyDescent="0.35">
      <c r="E2285" s="83"/>
      <c r="F2285" s="83"/>
      <c r="G2285" s="76"/>
      <c r="H2285" s="76"/>
      <c r="I2285" s="76"/>
      <c r="J2285" s="76"/>
      <c r="K2285" s="76"/>
      <c r="L2285" s="76"/>
      <c r="M2285" s="76"/>
      <c r="N2285" s="76"/>
      <c r="O2285" s="76"/>
      <c r="P2285" s="76"/>
      <c r="Q2285" s="76"/>
      <c r="R2285" s="76"/>
      <c r="S2285" s="76"/>
      <c r="T2285" s="76"/>
      <c r="U2285" s="76"/>
      <c r="V2285" s="76"/>
      <c r="W2285" s="76"/>
      <c r="X2285" s="76"/>
      <c r="Y2285" s="76"/>
      <c r="Z2285" s="76"/>
      <c r="AA2285" s="76"/>
      <c r="AB2285" s="76"/>
      <c r="AC2285" s="76"/>
      <c r="AD2285" s="76"/>
      <c r="AE2285" s="76"/>
      <c r="AF2285" s="76"/>
      <c r="AG2285" s="76"/>
      <c r="AH2285" s="76"/>
      <c r="AI2285" s="76"/>
      <c r="AJ2285" s="76"/>
      <c r="AK2285" s="76"/>
      <c r="AL2285" s="76"/>
      <c r="AM2285" s="76"/>
      <c r="AN2285" s="76"/>
      <c r="AO2285" s="76"/>
      <c r="AP2285" s="76"/>
      <c r="AQ2285" s="76"/>
      <c r="AR2285" s="76"/>
      <c r="AS2285" s="76"/>
      <c r="AT2285" s="76"/>
      <c r="AU2285" s="76"/>
      <c r="AV2285" s="76"/>
      <c r="AW2285" s="76"/>
      <c r="AX2285" s="76"/>
      <c r="AY2285" s="76"/>
      <c r="AZ2285" s="76"/>
      <c r="BA2285" s="76"/>
      <c r="BB2285" s="76"/>
    </row>
    <row r="2286" spans="5:54" x14ac:dyDescent="0.35">
      <c r="E2286" s="83"/>
      <c r="F2286" s="83"/>
      <c r="G2286" s="76"/>
      <c r="H2286" s="76"/>
      <c r="I2286" s="76"/>
      <c r="J2286" s="76"/>
      <c r="K2286" s="76"/>
      <c r="L2286" s="76"/>
      <c r="M2286" s="76"/>
      <c r="N2286" s="76"/>
      <c r="O2286" s="76"/>
      <c r="P2286" s="76"/>
      <c r="Q2286" s="76"/>
      <c r="R2286" s="76"/>
      <c r="S2286" s="76"/>
      <c r="T2286" s="76"/>
      <c r="U2286" s="76"/>
      <c r="V2286" s="76"/>
      <c r="W2286" s="76"/>
      <c r="X2286" s="76"/>
      <c r="Y2286" s="76"/>
      <c r="Z2286" s="76"/>
      <c r="AA2286" s="76"/>
      <c r="AB2286" s="76"/>
      <c r="AC2286" s="76"/>
      <c r="AD2286" s="76"/>
      <c r="AE2286" s="76"/>
      <c r="AF2286" s="76"/>
      <c r="AG2286" s="76"/>
      <c r="AH2286" s="76"/>
      <c r="AI2286" s="76"/>
      <c r="AJ2286" s="76"/>
      <c r="AK2286" s="76"/>
      <c r="AL2286" s="76"/>
      <c r="AM2286" s="76"/>
      <c r="AN2286" s="76"/>
      <c r="AO2286" s="76"/>
      <c r="AP2286" s="76"/>
      <c r="AQ2286" s="76"/>
      <c r="AR2286" s="76"/>
      <c r="AS2286" s="76"/>
      <c r="AT2286" s="76"/>
      <c r="AU2286" s="76"/>
      <c r="AV2286" s="76"/>
      <c r="AW2286" s="76"/>
      <c r="AX2286" s="76"/>
      <c r="AY2286" s="76"/>
      <c r="AZ2286" s="76"/>
      <c r="BA2286" s="76"/>
      <c r="BB2286" s="76"/>
    </row>
    <row r="2287" spans="5:54" x14ac:dyDescent="0.35">
      <c r="E2287" s="83"/>
      <c r="F2287" s="83"/>
      <c r="G2287" s="76"/>
      <c r="H2287" s="76"/>
      <c r="I2287" s="76"/>
      <c r="J2287" s="76"/>
      <c r="K2287" s="76"/>
      <c r="L2287" s="76"/>
      <c r="M2287" s="76"/>
      <c r="N2287" s="76"/>
      <c r="O2287" s="76"/>
      <c r="P2287" s="76"/>
      <c r="Q2287" s="76"/>
      <c r="R2287" s="76"/>
      <c r="S2287" s="76"/>
      <c r="T2287" s="76"/>
      <c r="U2287" s="76"/>
      <c r="V2287" s="76"/>
      <c r="W2287" s="76"/>
      <c r="X2287" s="76"/>
      <c r="Y2287" s="76"/>
      <c r="Z2287" s="76"/>
      <c r="AA2287" s="76"/>
      <c r="AB2287" s="76"/>
      <c r="AC2287" s="76"/>
      <c r="AD2287" s="76"/>
      <c r="AE2287" s="76"/>
      <c r="AF2287" s="76"/>
      <c r="AG2287" s="76"/>
      <c r="AH2287" s="76"/>
      <c r="AI2287" s="76"/>
      <c r="AJ2287" s="76"/>
      <c r="AK2287" s="76"/>
      <c r="AL2287" s="76"/>
      <c r="AM2287" s="76"/>
      <c r="AN2287" s="76"/>
      <c r="AO2287" s="76"/>
      <c r="AP2287" s="76"/>
      <c r="AQ2287" s="76"/>
      <c r="AR2287" s="76"/>
      <c r="AS2287" s="76"/>
      <c r="AT2287" s="76"/>
      <c r="AU2287" s="76"/>
      <c r="AV2287" s="76"/>
      <c r="AW2287" s="76"/>
      <c r="AX2287" s="76"/>
      <c r="AY2287" s="76"/>
      <c r="AZ2287" s="76"/>
      <c r="BA2287" s="76"/>
      <c r="BB2287" s="76"/>
    </row>
    <row r="2288" spans="5:54" x14ac:dyDescent="0.35">
      <c r="E2288" s="83"/>
      <c r="F2288" s="83"/>
      <c r="G2288" s="76"/>
      <c r="H2288" s="76"/>
      <c r="I2288" s="76"/>
      <c r="J2288" s="76"/>
      <c r="K2288" s="76"/>
      <c r="L2288" s="76"/>
      <c r="M2288" s="76"/>
      <c r="N2288" s="76"/>
      <c r="O2288" s="76"/>
      <c r="P2288" s="76"/>
      <c r="Q2288" s="76"/>
      <c r="R2288" s="76"/>
      <c r="S2288" s="76"/>
      <c r="T2288" s="76"/>
      <c r="U2288" s="76"/>
      <c r="V2288" s="76"/>
      <c r="W2288" s="76"/>
      <c r="X2288" s="76"/>
      <c r="Y2288" s="76"/>
      <c r="Z2288" s="76"/>
      <c r="AA2288" s="76"/>
      <c r="AB2288" s="76"/>
      <c r="AC2288" s="76"/>
      <c r="AD2288" s="76"/>
      <c r="AE2288" s="76"/>
      <c r="AF2288" s="76"/>
      <c r="AG2288" s="76"/>
      <c r="AH2288" s="76"/>
      <c r="AI2288" s="76"/>
      <c r="AJ2288" s="76"/>
      <c r="AK2288" s="76"/>
      <c r="AL2288" s="76"/>
      <c r="AM2288" s="76"/>
      <c r="AN2288" s="76"/>
      <c r="AO2288" s="76"/>
      <c r="AP2288" s="76"/>
      <c r="AQ2288" s="76"/>
      <c r="AR2288" s="76"/>
      <c r="AS2288" s="76"/>
      <c r="AT2288" s="76"/>
      <c r="AU2288" s="76"/>
      <c r="AV2288" s="76"/>
      <c r="AW2288" s="76"/>
      <c r="AX2288" s="76"/>
      <c r="AY2288" s="76"/>
      <c r="AZ2288" s="76"/>
      <c r="BA2288" s="76"/>
      <c r="BB2288" s="76"/>
    </row>
    <row r="2289" spans="5:54" x14ac:dyDescent="0.35">
      <c r="E2289" s="83"/>
      <c r="F2289" s="83"/>
      <c r="G2289" s="76"/>
      <c r="H2289" s="76"/>
      <c r="I2289" s="76"/>
      <c r="J2289" s="76"/>
      <c r="K2289" s="76"/>
      <c r="L2289" s="76"/>
      <c r="M2289" s="76"/>
      <c r="N2289" s="76"/>
      <c r="O2289" s="76"/>
      <c r="P2289" s="76"/>
      <c r="Q2289" s="76"/>
      <c r="R2289" s="76"/>
      <c r="S2289" s="76"/>
      <c r="T2289" s="76"/>
      <c r="U2289" s="76"/>
      <c r="V2289" s="76"/>
      <c r="W2289" s="76"/>
      <c r="X2289" s="76"/>
      <c r="Y2289" s="76"/>
      <c r="Z2289" s="76"/>
      <c r="AA2289" s="76"/>
      <c r="AB2289" s="76"/>
      <c r="AC2289" s="76"/>
      <c r="AD2289" s="76"/>
      <c r="AE2289" s="76"/>
      <c r="AF2289" s="76"/>
      <c r="AG2289" s="76"/>
      <c r="AH2289" s="76"/>
      <c r="AI2289" s="76"/>
      <c r="AJ2289" s="76"/>
      <c r="AK2289" s="76"/>
      <c r="AL2289" s="76"/>
      <c r="AM2289" s="76"/>
      <c r="AN2289" s="76"/>
      <c r="AO2289" s="76"/>
      <c r="AP2289" s="76"/>
      <c r="AQ2289" s="76"/>
      <c r="AR2289" s="76"/>
      <c r="AS2289" s="76"/>
      <c r="AT2289" s="76"/>
      <c r="AU2289" s="76"/>
      <c r="AV2289" s="76"/>
      <c r="AW2289" s="76"/>
      <c r="AX2289" s="76"/>
      <c r="AY2289" s="76"/>
      <c r="AZ2289" s="76"/>
      <c r="BA2289" s="76"/>
      <c r="BB2289" s="76"/>
    </row>
    <row r="2290" spans="5:54" x14ac:dyDescent="0.35">
      <c r="E2290" s="83"/>
      <c r="F2290" s="83"/>
      <c r="G2290" s="76"/>
      <c r="H2290" s="76"/>
      <c r="I2290" s="76"/>
      <c r="J2290" s="76"/>
      <c r="K2290" s="76"/>
      <c r="L2290" s="76"/>
      <c r="M2290" s="76"/>
      <c r="N2290" s="76"/>
      <c r="O2290" s="76"/>
      <c r="P2290" s="76"/>
      <c r="Q2290" s="76"/>
      <c r="R2290" s="76"/>
      <c r="S2290" s="76"/>
      <c r="T2290" s="76"/>
      <c r="U2290" s="76"/>
      <c r="V2290" s="76"/>
      <c r="W2290" s="76"/>
      <c r="X2290" s="76"/>
      <c r="Y2290" s="76"/>
      <c r="Z2290" s="76"/>
      <c r="AA2290" s="76"/>
      <c r="AB2290" s="76"/>
      <c r="AC2290" s="76"/>
      <c r="AD2290" s="76"/>
      <c r="AE2290" s="76"/>
      <c r="AF2290" s="76"/>
      <c r="AG2290" s="76"/>
      <c r="AH2290" s="76"/>
      <c r="AI2290" s="76"/>
      <c r="AJ2290" s="76"/>
      <c r="AK2290" s="76"/>
      <c r="AL2290" s="76"/>
      <c r="AM2290" s="76"/>
      <c r="AN2290" s="76"/>
      <c r="AO2290" s="76"/>
      <c r="AP2290" s="76"/>
      <c r="AQ2290" s="76"/>
      <c r="AR2290" s="76"/>
      <c r="AS2290" s="76"/>
      <c r="AT2290" s="76"/>
      <c r="AU2290" s="76"/>
      <c r="AV2290" s="76"/>
      <c r="AW2290" s="76"/>
      <c r="AX2290" s="76"/>
      <c r="AY2290" s="76"/>
      <c r="AZ2290" s="76"/>
      <c r="BA2290" s="76"/>
      <c r="BB2290" s="76"/>
    </row>
    <row r="2291" spans="5:54" x14ac:dyDescent="0.35">
      <c r="E2291" s="83"/>
      <c r="F2291" s="83"/>
      <c r="G2291" s="76"/>
      <c r="H2291" s="76"/>
      <c r="I2291" s="76"/>
      <c r="J2291" s="76"/>
      <c r="K2291" s="76"/>
      <c r="L2291" s="76"/>
      <c r="M2291" s="76"/>
      <c r="N2291" s="76"/>
      <c r="O2291" s="76"/>
      <c r="P2291" s="76"/>
      <c r="Q2291" s="76"/>
      <c r="R2291" s="76"/>
      <c r="S2291" s="76"/>
      <c r="T2291" s="76"/>
      <c r="U2291" s="76"/>
      <c r="V2291" s="76"/>
      <c r="W2291" s="76"/>
      <c r="X2291" s="76"/>
      <c r="Y2291" s="76"/>
      <c r="Z2291" s="76"/>
      <c r="AA2291" s="76"/>
      <c r="AB2291" s="76"/>
      <c r="AC2291" s="76"/>
      <c r="AD2291" s="76"/>
      <c r="AE2291" s="76"/>
      <c r="AF2291" s="76"/>
      <c r="AG2291" s="76"/>
      <c r="AH2291" s="76"/>
      <c r="AI2291" s="76"/>
      <c r="AJ2291" s="76"/>
      <c r="AK2291" s="76"/>
      <c r="AL2291" s="76"/>
      <c r="AM2291" s="76"/>
      <c r="AN2291" s="76"/>
      <c r="AO2291" s="76"/>
      <c r="AP2291" s="76"/>
      <c r="AQ2291" s="76"/>
      <c r="AR2291" s="76"/>
      <c r="AS2291" s="76"/>
      <c r="AT2291" s="76"/>
      <c r="AU2291" s="76"/>
      <c r="AV2291" s="76"/>
      <c r="AW2291" s="76"/>
      <c r="AX2291" s="76"/>
      <c r="AY2291" s="76"/>
      <c r="AZ2291" s="76"/>
      <c r="BA2291" s="76"/>
      <c r="BB2291" s="76"/>
    </row>
    <row r="2292" spans="5:54" x14ac:dyDescent="0.35">
      <c r="E2292" s="83"/>
      <c r="F2292" s="83"/>
      <c r="G2292" s="76"/>
      <c r="H2292" s="76"/>
      <c r="I2292" s="76"/>
      <c r="J2292" s="76"/>
      <c r="K2292" s="76"/>
      <c r="L2292" s="76"/>
      <c r="M2292" s="76"/>
      <c r="N2292" s="76"/>
      <c r="O2292" s="76"/>
      <c r="P2292" s="76"/>
      <c r="Q2292" s="76"/>
      <c r="R2292" s="76"/>
      <c r="S2292" s="76"/>
      <c r="T2292" s="76"/>
      <c r="U2292" s="76"/>
      <c r="V2292" s="76"/>
      <c r="W2292" s="76"/>
      <c r="X2292" s="76"/>
      <c r="Y2292" s="76"/>
      <c r="Z2292" s="76"/>
      <c r="AA2292" s="76"/>
      <c r="AB2292" s="76"/>
      <c r="AC2292" s="76"/>
      <c r="AD2292" s="76"/>
      <c r="AE2292" s="76"/>
      <c r="AF2292" s="76"/>
      <c r="AG2292" s="76"/>
      <c r="AH2292" s="76"/>
      <c r="AI2292" s="76"/>
      <c r="AJ2292" s="76"/>
      <c r="AK2292" s="76"/>
      <c r="AL2292" s="76"/>
      <c r="AM2292" s="76"/>
      <c r="AN2292" s="76"/>
      <c r="AO2292" s="76"/>
      <c r="AP2292" s="76"/>
      <c r="AQ2292" s="76"/>
      <c r="AR2292" s="76"/>
      <c r="AS2292" s="76"/>
      <c r="AT2292" s="76"/>
      <c r="AU2292" s="76"/>
      <c r="AV2292" s="76"/>
      <c r="AW2292" s="76"/>
      <c r="AX2292" s="76"/>
      <c r="AY2292" s="76"/>
      <c r="AZ2292" s="76"/>
      <c r="BA2292" s="76"/>
      <c r="BB2292" s="76"/>
    </row>
    <row r="2293" spans="5:54" x14ac:dyDescent="0.35">
      <c r="E2293" s="83"/>
      <c r="F2293" s="83"/>
      <c r="G2293" s="76"/>
      <c r="H2293" s="76"/>
      <c r="I2293" s="76"/>
      <c r="J2293" s="76"/>
      <c r="K2293" s="76"/>
      <c r="L2293" s="76"/>
      <c r="M2293" s="76"/>
      <c r="N2293" s="76"/>
      <c r="O2293" s="76"/>
      <c r="P2293" s="76"/>
      <c r="Q2293" s="76"/>
      <c r="R2293" s="76"/>
      <c r="S2293" s="76"/>
      <c r="T2293" s="76"/>
      <c r="U2293" s="76"/>
      <c r="V2293" s="76"/>
      <c r="W2293" s="76"/>
      <c r="X2293" s="76"/>
      <c r="Y2293" s="76"/>
      <c r="Z2293" s="76"/>
      <c r="AA2293" s="76"/>
      <c r="AB2293" s="76"/>
      <c r="AC2293" s="76"/>
      <c r="AD2293" s="76"/>
      <c r="AE2293" s="76"/>
      <c r="AF2293" s="76"/>
      <c r="AG2293" s="76"/>
      <c r="AH2293" s="76"/>
      <c r="AI2293" s="76"/>
      <c r="AJ2293" s="76"/>
      <c r="AK2293" s="76"/>
      <c r="AL2293" s="76"/>
      <c r="AM2293" s="76"/>
      <c r="AN2293" s="76"/>
      <c r="AO2293" s="76"/>
      <c r="AP2293" s="76"/>
      <c r="AQ2293" s="76"/>
      <c r="AR2293" s="76"/>
      <c r="AS2293" s="76"/>
      <c r="AT2293" s="76"/>
      <c r="AU2293" s="76"/>
      <c r="AV2293" s="76"/>
      <c r="AW2293" s="76"/>
      <c r="AX2293" s="76"/>
      <c r="AY2293" s="76"/>
      <c r="AZ2293" s="76"/>
      <c r="BA2293" s="76"/>
      <c r="BB2293" s="76"/>
    </row>
    <row r="2294" spans="5:54" x14ac:dyDescent="0.35">
      <c r="E2294" s="83"/>
      <c r="F2294" s="83"/>
      <c r="G2294" s="76"/>
      <c r="H2294" s="76"/>
      <c r="I2294" s="76"/>
      <c r="J2294" s="76"/>
      <c r="K2294" s="76"/>
      <c r="L2294" s="76"/>
      <c r="M2294" s="76"/>
      <c r="N2294" s="76"/>
      <c r="O2294" s="76"/>
      <c r="P2294" s="76"/>
      <c r="Q2294" s="76"/>
      <c r="R2294" s="76"/>
      <c r="S2294" s="76"/>
      <c r="T2294" s="76"/>
      <c r="U2294" s="76"/>
      <c r="V2294" s="76"/>
      <c r="W2294" s="76"/>
      <c r="X2294" s="76"/>
      <c r="Y2294" s="76"/>
      <c r="Z2294" s="76"/>
      <c r="AA2294" s="76"/>
      <c r="AB2294" s="76"/>
      <c r="AC2294" s="76"/>
      <c r="AD2294" s="76"/>
      <c r="AE2294" s="76"/>
      <c r="AF2294" s="76"/>
      <c r="AG2294" s="76"/>
      <c r="AH2294" s="76"/>
      <c r="AI2294" s="76"/>
      <c r="AJ2294" s="76"/>
      <c r="AK2294" s="76"/>
      <c r="AL2294" s="76"/>
      <c r="AM2294" s="76"/>
      <c r="AN2294" s="76"/>
      <c r="AO2294" s="76"/>
      <c r="AP2294" s="76"/>
      <c r="AQ2294" s="76"/>
      <c r="AR2294" s="76"/>
      <c r="AS2294" s="76"/>
      <c r="AT2294" s="76"/>
      <c r="AU2294" s="76"/>
      <c r="AV2294" s="76"/>
      <c r="AW2294" s="76"/>
      <c r="AX2294" s="76"/>
      <c r="AY2294" s="76"/>
      <c r="AZ2294" s="76"/>
      <c r="BA2294" s="76"/>
      <c r="BB2294" s="76"/>
    </row>
    <row r="2295" spans="5:54" x14ac:dyDescent="0.35">
      <c r="E2295" s="83"/>
      <c r="F2295" s="83"/>
      <c r="G2295" s="76"/>
      <c r="H2295" s="76"/>
      <c r="I2295" s="76"/>
      <c r="J2295" s="76"/>
      <c r="K2295" s="76"/>
      <c r="L2295" s="76"/>
      <c r="M2295" s="76"/>
      <c r="N2295" s="76"/>
      <c r="O2295" s="76"/>
      <c r="P2295" s="76"/>
      <c r="Q2295" s="76"/>
      <c r="R2295" s="76"/>
      <c r="S2295" s="76"/>
      <c r="T2295" s="76"/>
      <c r="U2295" s="76"/>
      <c r="V2295" s="76"/>
      <c r="W2295" s="76"/>
      <c r="X2295" s="76"/>
      <c r="Y2295" s="76"/>
      <c r="Z2295" s="76"/>
      <c r="AA2295" s="76"/>
      <c r="AB2295" s="76"/>
      <c r="AC2295" s="76"/>
      <c r="AD2295" s="76"/>
      <c r="AE2295" s="76"/>
      <c r="AF2295" s="76"/>
      <c r="AG2295" s="76"/>
      <c r="AH2295" s="76"/>
      <c r="AI2295" s="76"/>
      <c r="AJ2295" s="76"/>
      <c r="AK2295" s="76"/>
      <c r="AL2295" s="76"/>
      <c r="AM2295" s="76"/>
      <c r="AN2295" s="76"/>
      <c r="AO2295" s="76"/>
      <c r="AP2295" s="76"/>
      <c r="AQ2295" s="76"/>
      <c r="AR2295" s="76"/>
      <c r="AS2295" s="76"/>
      <c r="AT2295" s="76"/>
      <c r="AU2295" s="76"/>
      <c r="AV2295" s="76"/>
      <c r="AW2295" s="76"/>
      <c r="AX2295" s="76"/>
      <c r="AY2295" s="76"/>
      <c r="AZ2295" s="76"/>
      <c r="BA2295" s="76"/>
      <c r="BB2295" s="76"/>
    </row>
    <row r="2296" spans="5:54" x14ac:dyDescent="0.35">
      <c r="E2296" s="83"/>
      <c r="F2296" s="83"/>
      <c r="G2296" s="76"/>
      <c r="H2296" s="76"/>
      <c r="I2296" s="76"/>
      <c r="J2296" s="76"/>
      <c r="K2296" s="76"/>
      <c r="L2296" s="76"/>
      <c r="M2296" s="76"/>
      <c r="N2296" s="76"/>
      <c r="O2296" s="76"/>
      <c r="P2296" s="76"/>
      <c r="Q2296" s="76"/>
      <c r="R2296" s="76"/>
      <c r="S2296" s="76"/>
      <c r="T2296" s="76"/>
      <c r="U2296" s="76"/>
      <c r="V2296" s="76"/>
      <c r="W2296" s="76"/>
      <c r="X2296" s="76"/>
      <c r="Y2296" s="76"/>
      <c r="Z2296" s="76"/>
      <c r="AA2296" s="76"/>
      <c r="AB2296" s="76"/>
      <c r="AC2296" s="76"/>
      <c r="AD2296" s="76"/>
      <c r="AE2296" s="76"/>
      <c r="AF2296" s="76"/>
      <c r="AG2296" s="76"/>
      <c r="AH2296" s="76"/>
      <c r="AI2296" s="76"/>
      <c r="AJ2296" s="76"/>
      <c r="AK2296" s="76"/>
      <c r="AL2296" s="76"/>
      <c r="AM2296" s="76"/>
      <c r="AN2296" s="76"/>
      <c r="AO2296" s="76"/>
      <c r="AP2296" s="76"/>
      <c r="AQ2296" s="76"/>
      <c r="AR2296" s="76"/>
      <c r="AS2296" s="76"/>
      <c r="AT2296" s="76"/>
      <c r="AU2296" s="76"/>
      <c r="AV2296" s="76"/>
      <c r="AW2296" s="76"/>
      <c r="AX2296" s="76"/>
      <c r="AY2296" s="76"/>
      <c r="AZ2296" s="76"/>
      <c r="BA2296" s="76"/>
      <c r="BB2296" s="76"/>
    </row>
    <row r="2297" spans="5:54" x14ac:dyDescent="0.35">
      <c r="E2297" s="83"/>
      <c r="F2297" s="83"/>
      <c r="G2297" s="76"/>
      <c r="H2297" s="76"/>
      <c r="I2297" s="76"/>
      <c r="J2297" s="76"/>
      <c r="K2297" s="76"/>
      <c r="L2297" s="76"/>
      <c r="M2297" s="76"/>
      <c r="N2297" s="76"/>
      <c r="O2297" s="76"/>
      <c r="P2297" s="76"/>
      <c r="Q2297" s="76"/>
      <c r="R2297" s="76"/>
      <c r="S2297" s="76"/>
      <c r="T2297" s="76"/>
      <c r="U2297" s="76"/>
      <c r="V2297" s="76"/>
      <c r="W2297" s="76"/>
      <c r="X2297" s="76"/>
      <c r="Y2297" s="76"/>
      <c r="Z2297" s="76"/>
      <c r="AA2297" s="76"/>
      <c r="AB2297" s="76"/>
      <c r="AC2297" s="76"/>
      <c r="AD2297" s="76"/>
      <c r="AE2297" s="76"/>
      <c r="AF2297" s="76"/>
      <c r="AG2297" s="76"/>
      <c r="AH2297" s="76"/>
      <c r="AI2297" s="76"/>
      <c r="AJ2297" s="76"/>
      <c r="AK2297" s="76"/>
      <c r="AL2297" s="76"/>
      <c r="AM2297" s="76"/>
      <c r="AN2297" s="76"/>
      <c r="AO2297" s="76"/>
      <c r="AP2297" s="76"/>
      <c r="AQ2297" s="76"/>
      <c r="AR2297" s="76"/>
      <c r="AS2297" s="76"/>
      <c r="AT2297" s="76"/>
      <c r="AU2297" s="76"/>
      <c r="AV2297" s="76"/>
      <c r="AW2297" s="76"/>
      <c r="AX2297" s="76"/>
      <c r="AY2297" s="76"/>
      <c r="AZ2297" s="76"/>
      <c r="BA2297" s="76"/>
      <c r="BB2297" s="76"/>
    </row>
    <row r="2298" spans="5:54" x14ac:dyDescent="0.35">
      <c r="E2298" s="83"/>
      <c r="F2298" s="83"/>
      <c r="G2298" s="76"/>
      <c r="H2298" s="76"/>
      <c r="I2298" s="76"/>
      <c r="J2298" s="76"/>
      <c r="K2298" s="76"/>
      <c r="L2298" s="76"/>
      <c r="M2298" s="76"/>
      <c r="N2298" s="76"/>
      <c r="O2298" s="76"/>
      <c r="P2298" s="76"/>
      <c r="Q2298" s="76"/>
      <c r="R2298" s="76"/>
      <c r="S2298" s="76"/>
      <c r="T2298" s="76"/>
      <c r="U2298" s="76"/>
      <c r="V2298" s="76"/>
      <c r="W2298" s="76"/>
      <c r="X2298" s="76"/>
      <c r="Y2298" s="76"/>
      <c r="Z2298" s="76"/>
      <c r="AA2298" s="76"/>
      <c r="AB2298" s="76"/>
      <c r="AC2298" s="76"/>
      <c r="AD2298" s="76"/>
      <c r="AE2298" s="76"/>
      <c r="AF2298" s="76"/>
      <c r="AG2298" s="76"/>
      <c r="AH2298" s="76"/>
      <c r="AI2298" s="76"/>
      <c r="AJ2298" s="76"/>
      <c r="AK2298" s="76"/>
      <c r="AL2298" s="76"/>
      <c r="AM2298" s="76"/>
      <c r="AN2298" s="76"/>
      <c r="AO2298" s="76"/>
      <c r="AP2298" s="76"/>
      <c r="AQ2298" s="76"/>
      <c r="AR2298" s="76"/>
      <c r="AS2298" s="76"/>
      <c r="AT2298" s="76"/>
      <c r="AU2298" s="76"/>
      <c r="AV2298" s="76"/>
      <c r="AW2298" s="76"/>
      <c r="AX2298" s="76"/>
      <c r="AY2298" s="76"/>
      <c r="AZ2298" s="76"/>
      <c r="BA2298" s="76"/>
      <c r="BB2298" s="76"/>
    </row>
    <row r="2299" spans="5:54" x14ac:dyDescent="0.35">
      <c r="E2299" s="83"/>
      <c r="F2299" s="83"/>
      <c r="G2299" s="76"/>
      <c r="H2299" s="76"/>
      <c r="I2299" s="76"/>
      <c r="J2299" s="76"/>
      <c r="K2299" s="76"/>
      <c r="L2299" s="76"/>
      <c r="M2299" s="76"/>
      <c r="N2299" s="76"/>
      <c r="O2299" s="76"/>
      <c r="P2299" s="76"/>
      <c r="Q2299" s="76"/>
      <c r="R2299" s="76"/>
      <c r="S2299" s="76"/>
      <c r="T2299" s="76"/>
      <c r="U2299" s="76"/>
      <c r="V2299" s="76"/>
      <c r="W2299" s="76"/>
      <c r="X2299" s="76"/>
      <c r="Y2299" s="76"/>
      <c r="Z2299" s="76"/>
      <c r="AA2299" s="76"/>
      <c r="AB2299" s="76"/>
      <c r="AC2299" s="76"/>
      <c r="AD2299" s="76"/>
      <c r="AE2299" s="76"/>
      <c r="AF2299" s="76"/>
      <c r="AG2299" s="76"/>
      <c r="AH2299" s="76"/>
      <c r="AI2299" s="76"/>
      <c r="AJ2299" s="76"/>
      <c r="AK2299" s="76"/>
      <c r="AL2299" s="76"/>
      <c r="AM2299" s="76"/>
      <c r="AN2299" s="76"/>
      <c r="AO2299" s="76"/>
      <c r="AP2299" s="76"/>
      <c r="AQ2299" s="76"/>
      <c r="AR2299" s="76"/>
      <c r="AS2299" s="76"/>
      <c r="AT2299" s="76"/>
      <c r="AU2299" s="76"/>
      <c r="AV2299" s="76"/>
      <c r="AW2299" s="76"/>
      <c r="AX2299" s="76"/>
      <c r="AY2299" s="76"/>
      <c r="AZ2299" s="76"/>
      <c r="BA2299" s="76"/>
      <c r="BB2299" s="76"/>
    </row>
    <row r="2300" spans="5:54" x14ac:dyDescent="0.35">
      <c r="E2300" s="83"/>
      <c r="F2300" s="83"/>
      <c r="G2300" s="76"/>
      <c r="H2300" s="76"/>
      <c r="I2300" s="76"/>
      <c r="J2300" s="76"/>
      <c r="K2300" s="76"/>
      <c r="L2300" s="76"/>
      <c r="M2300" s="76"/>
      <c r="N2300" s="76"/>
      <c r="O2300" s="76"/>
      <c r="P2300" s="76"/>
      <c r="Q2300" s="76"/>
      <c r="R2300" s="76"/>
      <c r="S2300" s="76"/>
      <c r="T2300" s="76"/>
      <c r="U2300" s="76"/>
      <c r="V2300" s="76"/>
      <c r="W2300" s="76"/>
      <c r="X2300" s="76"/>
      <c r="Y2300" s="76"/>
      <c r="Z2300" s="76"/>
      <c r="AA2300" s="76"/>
      <c r="AB2300" s="76"/>
      <c r="AC2300" s="76"/>
      <c r="AD2300" s="76"/>
      <c r="AE2300" s="76"/>
      <c r="AF2300" s="76"/>
      <c r="AG2300" s="76"/>
      <c r="AH2300" s="76"/>
      <c r="AI2300" s="76"/>
      <c r="AJ2300" s="76"/>
      <c r="AK2300" s="76"/>
      <c r="AL2300" s="76"/>
      <c r="AM2300" s="76"/>
      <c r="AN2300" s="76"/>
      <c r="AO2300" s="76"/>
      <c r="AP2300" s="76"/>
      <c r="AQ2300" s="76"/>
      <c r="AR2300" s="76"/>
      <c r="AS2300" s="76"/>
      <c r="AT2300" s="76"/>
      <c r="AU2300" s="76"/>
      <c r="AV2300" s="76"/>
      <c r="AW2300" s="76"/>
      <c r="AX2300" s="76"/>
      <c r="AY2300" s="76"/>
      <c r="AZ2300" s="76"/>
      <c r="BA2300" s="76"/>
      <c r="BB2300" s="76"/>
    </row>
    <row r="2301" spans="5:54" x14ac:dyDescent="0.35">
      <c r="E2301" s="83"/>
      <c r="F2301" s="83"/>
      <c r="G2301" s="76"/>
      <c r="H2301" s="76"/>
      <c r="I2301" s="76"/>
      <c r="J2301" s="76"/>
      <c r="K2301" s="76"/>
      <c r="L2301" s="76"/>
      <c r="M2301" s="76"/>
      <c r="N2301" s="76"/>
      <c r="O2301" s="76"/>
      <c r="P2301" s="76"/>
      <c r="Q2301" s="76"/>
      <c r="R2301" s="76"/>
      <c r="S2301" s="76"/>
      <c r="T2301" s="76"/>
      <c r="U2301" s="76"/>
      <c r="V2301" s="76"/>
      <c r="W2301" s="76"/>
      <c r="X2301" s="76"/>
      <c r="Y2301" s="76"/>
      <c r="Z2301" s="76"/>
      <c r="AA2301" s="76"/>
      <c r="AB2301" s="76"/>
      <c r="AC2301" s="76"/>
      <c r="AD2301" s="76"/>
      <c r="AE2301" s="76"/>
      <c r="AF2301" s="76"/>
      <c r="AG2301" s="76"/>
      <c r="AH2301" s="76"/>
      <c r="AI2301" s="76"/>
      <c r="AJ2301" s="76"/>
      <c r="AK2301" s="76"/>
      <c r="AL2301" s="76"/>
      <c r="AM2301" s="76"/>
      <c r="AN2301" s="76"/>
      <c r="AO2301" s="76"/>
      <c r="AP2301" s="76"/>
      <c r="AQ2301" s="76"/>
      <c r="AR2301" s="76"/>
      <c r="AS2301" s="76"/>
      <c r="AT2301" s="76"/>
      <c r="AU2301" s="76"/>
      <c r="AV2301" s="76"/>
      <c r="AW2301" s="76"/>
      <c r="AX2301" s="76"/>
      <c r="AY2301" s="76"/>
      <c r="AZ2301" s="76"/>
      <c r="BA2301" s="76"/>
      <c r="BB2301" s="76"/>
    </row>
    <row r="2302" spans="5:54" x14ac:dyDescent="0.35">
      <c r="E2302" s="83"/>
      <c r="F2302" s="83"/>
      <c r="G2302" s="76"/>
      <c r="H2302" s="76"/>
      <c r="I2302" s="76"/>
      <c r="J2302" s="76"/>
      <c r="K2302" s="76"/>
      <c r="L2302" s="76"/>
      <c r="M2302" s="76"/>
      <c r="N2302" s="76"/>
      <c r="O2302" s="76"/>
      <c r="P2302" s="76"/>
      <c r="Q2302" s="76"/>
      <c r="R2302" s="76"/>
      <c r="S2302" s="76"/>
      <c r="T2302" s="76"/>
      <c r="U2302" s="76"/>
      <c r="V2302" s="76"/>
      <c r="W2302" s="76"/>
      <c r="X2302" s="76"/>
      <c r="Y2302" s="76"/>
      <c r="Z2302" s="76"/>
      <c r="AA2302" s="76"/>
      <c r="AB2302" s="76"/>
      <c r="AC2302" s="76"/>
      <c r="AD2302" s="76"/>
      <c r="AE2302" s="76"/>
      <c r="AF2302" s="76"/>
      <c r="AG2302" s="76"/>
      <c r="AH2302" s="76"/>
      <c r="AI2302" s="76"/>
      <c r="AJ2302" s="76"/>
      <c r="AK2302" s="76"/>
      <c r="AL2302" s="76"/>
      <c r="AM2302" s="76"/>
      <c r="AN2302" s="76"/>
      <c r="AO2302" s="76"/>
      <c r="AP2302" s="76"/>
      <c r="AQ2302" s="76"/>
      <c r="AR2302" s="76"/>
      <c r="AS2302" s="76"/>
      <c r="AT2302" s="76"/>
      <c r="AU2302" s="76"/>
      <c r="AV2302" s="76"/>
      <c r="AW2302" s="76"/>
      <c r="AX2302" s="76"/>
      <c r="AY2302" s="76"/>
      <c r="AZ2302" s="76"/>
      <c r="BA2302" s="76"/>
      <c r="BB2302" s="76"/>
    </row>
    <row r="2303" spans="5:54" x14ac:dyDescent="0.35">
      <c r="E2303" s="83"/>
      <c r="F2303" s="83"/>
      <c r="G2303" s="76"/>
      <c r="H2303" s="76"/>
      <c r="I2303" s="76"/>
      <c r="J2303" s="76"/>
      <c r="K2303" s="76"/>
      <c r="L2303" s="76"/>
      <c r="M2303" s="76"/>
      <c r="N2303" s="76"/>
      <c r="O2303" s="76"/>
      <c r="P2303" s="76"/>
      <c r="Q2303" s="76"/>
      <c r="R2303" s="76"/>
      <c r="S2303" s="76"/>
      <c r="T2303" s="76"/>
      <c r="U2303" s="76"/>
      <c r="V2303" s="76"/>
      <c r="W2303" s="76"/>
      <c r="X2303" s="76"/>
      <c r="Y2303" s="76"/>
      <c r="Z2303" s="76"/>
      <c r="AA2303" s="76"/>
      <c r="AB2303" s="76"/>
      <c r="AC2303" s="76"/>
      <c r="AD2303" s="76"/>
      <c r="AE2303" s="76"/>
      <c r="AF2303" s="76"/>
      <c r="AG2303" s="76"/>
      <c r="AH2303" s="76"/>
      <c r="AI2303" s="76"/>
      <c r="AJ2303" s="76"/>
      <c r="AK2303" s="76"/>
      <c r="AL2303" s="76"/>
      <c r="AM2303" s="76"/>
      <c r="AN2303" s="76"/>
      <c r="AO2303" s="76"/>
      <c r="AP2303" s="76"/>
      <c r="AQ2303" s="76"/>
      <c r="AR2303" s="76"/>
      <c r="AS2303" s="76"/>
      <c r="AT2303" s="76"/>
      <c r="AU2303" s="76"/>
      <c r="AV2303" s="76"/>
      <c r="AW2303" s="76"/>
      <c r="AX2303" s="76"/>
      <c r="AY2303" s="76"/>
      <c r="AZ2303" s="76"/>
      <c r="BA2303" s="76"/>
      <c r="BB2303" s="76"/>
    </row>
    <row r="2304" spans="5:54" x14ac:dyDescent="0.35">
      <c r="E2304" s="83"/>
      <c r="F2304" s="83"/>
      <c r="G2304" s="76"/>
      <c r="H2304" s="76"/>
      <c r="I2304" s="76"/>
      <c r="J2304" s="76"/>
      <c r="K2304" s="76"/>
      <c r="L2304" s="76"/>
      <c r="M2304" s="76"/>
      <c r="N2304" s="76"/>
      <c r="O2304" s="76"/>
      <c r="P2304" s="76"/>
      <c r="Q2304" s="76"/>
      <c r="R2304" s="76"/>
      <c r="S2304" s="76"/>
      <c r="T2304" s="76"/>
      <c r="U2304" s="76"/>
      <c r="V2304" s="76"/>
      <c r="W2304" s="76"/>
      <c r="X2304" s="76"/>
      <c r="Y2304" s="76"/>
      <c r="Z2304" s="76"/>
      <c r="AA2304" s="76"/>
      <c r="AB2304" s="76"/>
      <c r="AC2304" s="76"/>
      <c r="AD2304" s="76"/>
      <c r="AE2304" s="76"/>
      <c r="AF2304" s="76"/>
      <c r="AG2304" s="76"/>
      <c r="AH2304" s="76"/>
      <c r="AI2304" s="76"/>
      <c r="AJ2304" s="76"/>
      <c r="AK2304" s="76"/>
      <c r="AL2304" s="76"/>
      <c r="AM2304" s="76"/>
      <c r="AN2304" s="76"/>
      <c r="AO2304" s="76"/>
      <c r="AP2304" s="76"/>
      <c r="AQ2304" s="76"/>
      <c r="AR2304" s="76"/>
      <c r="AS2304" s="76"/>
      <c r="AT2304" s="76"/>
      <c r="AU2304" s="76"/>
      <c r="AV2304" s="76"/>
      <c r="AW2304" s="76"/>
      <c r="AX2304" s="76"/>
      <c r="AY2304" s="76"/>
      <c r="AZ2304" s="76"/>
      <c r="BA2304" s="76"/>
      <c r="BB2304" s="76"/>
    </row>
    <row r="2305" spans="5:54" x14ac:dyDescent="0.35">
      <c r="E2305" s="83"/>
      <c r="F2305" s="83"/>
      <c r="G2305" s="76"/>
      <c r="H2305" s="76"/>
      <c r="I2305" s="76"/>
      <c r="J2305" s="76"/>
      <c r="K2305" s="76"/>
      <c r="L2305" s="76"/>
      <c r="M2305" s="76"/>
      <c r="N2305" s="76"/>
      <c r="O2305" s="76"/>
      <c r="P2305" s="76"/>
      <c r="Q2305" s="76"/>
      <c r="R2305" s="76"/>
      <c r="S2305" s="76"/>
      <c r="T2305" s="76"/>
      <c r="U2305" s="76"/>
      <c r="V2305" s="76"/>
      <c r="W2305" s="76"/>
      <c r="X2305" s="76"/>
      <c r="Y2305" s="76"/>
      <c r="Z2305" s="76"/>
      <c r="AA2305" s="76"/>
      <c r="AB2305" s="76"/>
      <c r="AC2305" s="76"/>
      <c r="AD2305" s="76"/>
      <c r="AE2305" s="76"/>
      <c r="AF2305" s="76"/>
      <c r="AG2305" s="76"/>
      <c r="AH2305" s="76"/>
      <c r="AI2305" s="76"/>
      <c r="AJ2305" s="76"/>
      <c r="AK2305" s="76"/>
      <c r="AL2305" s="76"/>
      <c r="AM2305" s="76"/>
      <c r="AN2305" s="76"/>
      <c r="AO2305" s="76"/>
      <c r="AP2305" s="76"/>
      <c r="AQ2305" s="76"/>
      <c r="AR2305" s="76"/>
      <c r="AS2305" s="76"/>
      <c r="AT2305" s="76"/>
      <c r="AU2305" s="76"/>
      <c r="AV2305" s="76"/>
      <c r="AW2305" s="76"/>
      <c r="AX2305" s="76"/>
      <c r="AY2305" s="76"/>
      <c r="AZ2305" s="76"/>
      <c r="BA2305" s="76"/>
      <c r="BB2305" s="76"/>
    </row>
    <row r="2306" spans="5:54" x14ac:dyDescent="0.35">
      <c r="E2306" s="83"/>
      <c r="F2306" s="83"/>
      <c r="G2306" s="76"/>
      <c r="H2306" s="76"/>
      <c r="I2306" s="76"/>
      <c r="J2306" s="76"/>
      <c r="K2306" s="76"/>
      <c r="L2306" s="76"/>
      <c r="M2306" s="76"/>
      <c r="N2306" s="76"/>
      <c r="O2306" s="76"/>
      <c r="P2306" s="76"/>
      <c r="Q2306" s="76"/>
      <c r="R2306" s="76"/>
      <c r="S2306" s="76"/>
      <c r="T2306" s="76"/>
      <c r="U2306" s="76"/>
      <c r="V2306" s="76"/>
      <c r="W2306" s="76"/>
      <c r="X2306" s="76"/>
      <c r="Y2306" s="76"/>
      <c r="Z2306" s="76"/>
      <c r="AA2306" s="76"/>
      <c r="AB2306" s="76"/>
      <c r="AC2306" s="76"/>
      <c r="AD2306" s="76"/>
      <c r="AE2306" s="76"/>
      <c r="AF2306" s="76"/>
      <c r="AG2306" s="76"/>
      <c r="AH2306" s="76"/>
      <c r="AI2306" s="76"/>
      <c r="AJ2306" s="76"/>
      <c r="AK2306" s="76"/>
      <c r="AL2306" s="76"/>
      <c r="AM2306" s="76"/>
      <c r="AN2306" s="76"/>
      <c r="AO2306" s="76"/>
      <c r="AP2306" s="76"/>
      <c r="AQ2306" s="76"/>
      <c r="AR2306" s="76"/>
      <c r="AS2306" s="76"/>
      <c r="AT2306" s="76"/>
      <c r="AU2306" s="76"/>
      <c r="AV2306" s="76"/>
      <c r="AW2306" s="76"/>
      <c r="AX2306" s="76"/>
      <c r="AY2306" s="76"/>
      <c r="AZ2306" s="76"/>
      <c r="BA2306" s="76"/>
      <c r="BB2306" s="76"/>
    </row>
    <row r="2307" spans="5:54" x14ac:dyDescent="0.35">
      <c r="E2307" s="83"/>
      <c r="F2307" s="83"/>
      <c r="G2307" s="76"/>
      <c r="H2307" s="76"/>
      <c r="I2307" s="76"/>
      <c r="J2307" s="76"/>
      <c r="K2307" s="76"/>
      <c r="L2307" s="76"/>
      <c r="M2307" s="76"/>
      <c r="N2307" s="76"/>
      <c r="O2307" s="76"/>
      <c r="P2307" s="76"/>
      <c r="Q2307" s="76"/>
      <c r="R2307" s="76"/>
      <c r="S2307" s="76"/>
      <c r="T2307" s="76"/>
      <c r="U2307" s="76"/>
      <c r="V2307" s="76"/>
      <c r="W2307" s="76"/>
      <c r="X2307" s="76"/>
      <c r="Y2307" s="76"/>
      <c r="Z2307" s="76"/>
      <c r="AA2307" s="76"/>
      <c r="AB2307" s="76"/>
      <c r="AC2307" s="76"/>
      <c r="AD2307" s="76"/>
      <c r="AE2307" s="76"/>
      <c r="AF2307" s="76"/>
      <c r="AG2307" s="76"/>
      <c r="AH2307" s="76"/>
      <c r="AI2307" s="76"/>
      <c r="AJ2307" s="76"/>
      <c r="AK2307" s="76"/>
      <c r="AL2307" s="76"/>
      <c r="AM2307" s="76"/>
      <c r="AN2307" s="76"/>
      <c r="AO2307" s="76"/>
      <c r="AP2307" s="76"/>
      <c r="AQ2307" s="76"/>
      <c r="AR2307" s="76"/>
      <c r="AS2307" s="76"/>
      <c r="AT2307" s="76"/>
      <c r="AU2307" s="76"/>
      <c r="AV2307" s="76"/>
      <c r="AW2307" s="76"/>
      <c r="AX2307" s="76"/>
      <c r="AY2307" s="76"/>
      <c r="AZ2307" s="76"/>
      <c r="BA2307" s="76"/>
      <c r="BB2307" s="76"/>
    </row>
    <row r="2308" spans="5:54" x14ac:dyDescent="0.35">
      <c r="E2308" s="83"/>
      <c r="F2308" s="83"/>
      <c r="G2308" s="76"/>
      <c r="H2308" s="76"/>
      <c r="I2308" s="76"/>
      <c r="J2308" s="76"/>
      <c r="K2308" s="76"/>
      <c r="L2308" s="76"/>
      <c r="M2308" s="76"/>
      <c r="N2308" s="76"/>
      <c r="O2308" s="76"/>
      <c r="P2308" s="76"/>
      <c r="Q2308" s="76"/>
      <c r="R2308" s="76"/>
      <c r="S2308" s="76"/>
      <c r="T2308" s="76"/>
      <c r="U2308" s="76"/>
      <c r="V2308" s="76"/>
      <c r="W2308" s="76"/>
      <c r="X2308" s="76"/>
      <c r="Y2308" s="76"/>
      <c r="Z2308" s="76"/>
      <c r="AA2308" s="76"/>
      <c r="AB2308" s="76"/>
      <c r="AC2308" s="76"/>
      <c r="AD2308" s="76"/>
      <c r="AE2308" s="76"/>
      <c r="AF2308" s="76"/>
      <c r="AG2308" s="76"/>
      <c r="AH2308" s="76"/>
      <c r="AI2308" s="76"/>
      <c r="AJ2308" s="76"/>
      <c r="AK2308" s="76"/>
      <c r="AL2308" s="76"/>
      <c r="AM2308" s="76"/>
      <c r="AN2308" s="76"/>
      <c r="AO2308" s="76"/>
      <c r="AP2308" s="76"/>
      <c r="AQ2308" s="76"/>
      <c r="AR2308" s="76"/>
      <c r="AS2308" s="76"/>
      <c r="AT2308" s="76"/>
      <c r="AU2308" s="76"/>
      <c r="AV2308" s="76"/>
      <c r="AW2308" s="76"/>
      <c r="AX2308" s="76"/>
      <c r="AY2308" s="76"/>
      <c r="AZ2308" s="76"/>
      <c r="BA2308" s="76"/>
      <c r="BB2308" s="76"/>
    </row>
    <row r="2309" spans="5:54" x14ac:dyDescent="0.35">
      <c r="E2309" s="83"/>
      <c r="F2309" s="83"/>
      <c r="G2309" s="76"/>
      <c r="H2309" s="76"/>
      <c r="I2309" s="76"/>
      <c r="J2309" s="76"/>
      <c r="K2309" s="76"/>
      <c r="L2309" s="76"/>
      <c r="M2309" s="76"/>
      <c r="N2309" s="76"/>
      <c r="O2309" s="76"/>
      <c r="P2309" s="76"/>
      <c r="Q2309" s="76"/>
      <c r="R2309" s="76"/>
      <c r="S2309" s="76"/>
      <c r="T2309" s="76"/>
      <c r="U2309" s="76"/>
      <c r="V2309" s="76"/>
      <c r="W2309" s="76"/>
      <c r="X2309" s="76"/>
      <c r="Y2309" s="76"/>
      <c r="Z2309" s="76"/>
      <c r="AA2309" s="76"/>
      <c r="AB2309" s="76"/>
      <c r="AC2309" s="76"/>
      <c r="AD2309" s="76"/>
      <c r="AE2309" s="76"/>
      <c r="AF2309" s="76"/>
      <c r="AG2309" s="76"/>
      <c r="AH2309" s="76"/>
      <c r="AI2309" s="76"/>
      <c r="AJ2309" s="76"/>
      <c r="AK2309" s="76"/>
      <c r="AL2309" s="76"/>
      <c r="AM2309" s="76"/>
      <c r="AN2309" s="76"/>
      <c r="AO2309" s="76"/>
      <c r="AP2309" s="76"/>
      <c r="AQ2309" s="76"/>
      <c r="AR2309" s="76"/>
      <c r="AS2309" s="76"/>
      <c r="AT2309" s="76"/>
      <c r="AU2309" s="76"/>
      <c r="AV2309" s="76"/>
      <c r="AW2309" s="76"/>
      <c r="AX2309" s="76"/>
      <c r="AY2309" s="76"/>
      <c r="AZ2309" s="76"/>
      <c r="BA2309" s="76"/>
      <c r="BB2309" s="76"/>
    </row>
    <row r="2310" spans="5:54" x14ac:dyDescent="0.35">
      <c r="E2310" s="83"/>
      <c r="F2310" s="83"/>
      <c r="G2310" s="76"/>
      <c r="H2310" s="76"/>
      <c r="I2310" s="76"/>
      <c r="J2310" s="76"/>
      <c r="K2310" s="76"/>
      <c r="L2310" s="76"/>
      <c r="M2310" s="76"/>
      <c r="N2310" s="76"/>
      <c r="O2310" s="76"/>
      <c r="P2310" s="76"/>
      <c r="Q2310" s="76"/>
      <c r="R2310" s="76"/>
      <c r="S2310" s="76"/>
      <c r="T2310" s="76"/>
      <c r="U2310" s="76"/>
      <c r="V2310" s="76"/>
      <c r="W2310" s="76"/>
      <c r="X2310" s="76"/>
      <c r="Y2310" s="76"/>
      <c r="Z2310" s="76"/>
      <c r="AA2310" s="76"/>
      <c r="AB2310" s="76"/>
      <c r="AC2310" s="76"/>
      <c r="AD2310" s="76"/>
      <c r="AE2310" s="76"/>
      <c r="AF2310" s="76"/>
      <c r="AG2310" s="76"/>
      <c r="AH2310" s="76"/>
      <c r="AI2310" s="76"/>
      <c r="AJ2310" s="76"/>
      <c r="AK2310" s="76"/>
      <c r="AL2310" s="76"/>
      <c r="AM2310" s="76"/>
      <c r="AN2310" s="76"/>
      <c r="AO2310" s="76"/>
      <c r="AP2310" s="76"/>
      <c r="AQ2310" s="76"/>
      <c r="AR2310" s="76"/>
      <c r="AS2310" s="76"/>
      <c r="AT2310" s="76"/>
      <c r="AU2310" s="76"/>
      <c r="AV2310" s="76"/>
      <c r="AW2310" s="76"/>
      <c r="AX2310" s="76"/>
      <c r="AY2310" s="76"/>
      <c r="AZ2310" s="76"/>
      <c r="BA2310" s="76"/>
      <c r="BB2310" s="76"/>
    </row>
    <row r="2311" spans="5:54" x14ac:dyDescent="0.35">
      <c r="E2311" s="83"/>
      <c r="F2311" s="83"/>
      <c r="G2311" s="76"/>
      <c r="H2311" s="76"/>
      <c r="I2311" s="76"/>
      <c r="J2311" s="76"/>
      <c r="K2311" s="76"/>
      <c r="L2311" s="76"/>
      <c r="M2311" s="76"/>
      <c r="N2311" s="76"/>
      <c r="O2311" s="76"/>
      <c r="P2311" s="76"/>
      <c r="Q2311" s="76"/>
      <c r="R2311" s="76"/>
      <c r="S2311" s="76"/>
      <c r="T2311" s="76"/>
      <c r="U2311" s="76"/>
      <c r="V2311" s="76"/>
      <c r="W2311" s="76"/>
      <c r="X2311" s="76"/>
      <c r="Y2311" s="76"/>
      <c r="Z2311" s="76"/>
      <c r="AA2311" s="76"/>
      <c r="AB2311" s="76"/>
      <c r="AC2311" s="76"/>
      <c r="AD2311" s="76"/>
      <c r="AE2311" s="76"/>
      <c r="AF2311" s="76"/>
      <c r="AG2311" s="76"/>
      <c r="AH2311" s="76"/>
      <c r="AI2311" s="76"/>
      <c r="AJ2311" s="76"/>
      <c r="AK2311" s="76"/>
      <c r="AL2311" s="76"/>
      <c r="AM2311" s="76"/>
      <c r="AN2311" s="76"/>
      <c r="AO2311" s="76"/>
      <c r="AP2311" s="76"/>
      <c r="AQ2311" s="76"/>
      <c r="AR2311" s="76"/>
      <c r="AS2311" s="76"/>
      <c r="AT2311" s="76"/>
      <c r="AU2311" s="76"/>
      <c r="AV2311" s="76"/>
      <c r="AW2311" s="76"/>
      <c r="AX2311" s="76"/>
      <c r="AY2311" s="76"/>
      <c r="AZ2311" s="76"/>
      <c r="BA2311" s="76"/>
      <c r="BB2311" s="76"/>
    </row>
    <row r="2312" spans="5:54" x14ac:dyDescent="0.35">
      <c r="E2312" s="83"/>
      <c r="F2312" s="83"/>
      <c r="G2312" s="76"/>
      <c r="H2312" s="76"/>
      <c r="I2312" s="76"/>
      <c r="J2312" s="76"/>
      <c r="K2312" s="76"/>
      <c r="L2312" s="76"/>
      <c r="M2312" s="76"/>
      <c r="N2312" s="76"/>
      <c r="O2312" s="76"/>
      <c r="P2312" s="76"/>
      <c r="Q2312" s="76"/>
      <c r="R2312" s="76"/>
      <c r="S2312" s="76"/>
      <c r="T2312" s="76"/>
      <c r="U2312" s="76"/>
      <c r="V2312" s="76"/>
      <c r="W2312" s="76"/>
      <c r="X2312" s="76"/>
      <c r="Y2312" s="76"/>
      <c r="Z2312" s="76"/>
      <c r="AA2312" s="76"/>
      <c r="AB2312" s="76"/>
      <c r="AC2312" s="76"/>
      <c r="AD2312" s="76"/>
      <c r="AE2312" s="76"/>
      <c r="AF2312" s="76"/>
      <c r="AG2312" s="76"/>
      <c r="AH2312" s="76"/>
      <c r="AI2312" s="76"/>
      <c r="AJ2312" s="76"/>
      <c r="AK2312" s="76"/>
      <c r="AL2312" s="76"/>
      <c r="AM2312" s="76"/>
      <c r="AN2312" s="76"/>
      <c r="AO2312" s="76"/>
      <c r="AP2312" s="76"/>
      <c r="AQ2312" s="76"/>
      <c r="AR2312" s="76"/>
      <c r="AS2312" s="76"/>
      <c r="AT2312" s="76"/>
      <c r="AU2312" s="76"/>
      <c r="AV2312" s="76"/>
      <c r="AW2312" s="76"/>
      <c r="AX2312" s="76"/>
      <c r="AY2312" s="76"/>
      <c r="AZ2312" s="76"/>
      <c r="BA2312" s="76"/>
      <c r="BB2312" s="76"/>
    </row>
    <row r="2313" spans="5:54" x14ac:dyDescent="0.35">
      <c r="E2313" s="83"/>
      <c r="F2313" s="83"/>
      <c r="G2313" s="76"/>
      <c r="H2313" s="76"/>
      <c r="I2313" s="76"/>
      <c r="J2313" s="76"/>
      <c r="K2313" s="76"/>
      <c r="L2313" s="76"/>
      <c r="M2313" s="76"/>
      <c r="N2313" s="76"/>
      <c r="O2313" s="76"/>
      <c r="P2313" s="76"/>
      <c r="Q2313" s="76"/>
      <c r="R2313" s="76"/>
      <c r="S2313" s="76"/>
      <c r="T2313" s="76"/>
      <c r="U2313" s="76"/>
      <c r="V2313" s="76"/>
      <c r="W2313" s="76"/>
      <c r="X2313" s="76"/>
      <c r="Y2313" s="76"/>
      <c r="Z2313" s="76"/>
      <c r="AA2313" s="76"/>
      <c r="AB2313" s="76"/>
      <c r="AC2313" s="76"/>
      <c r="AD2313" s="76"/>
      <c r="AE2313" s="76"/>
      <c r="AF2313" s="76"/>
      <c r="AG2313" s="76"/>
      <c r="AH2313" s="76"/>
      <c r="AI2313" s="76"/>
      <c r="AJ2313" s="76"/>
      <c r="AK2313" s="76"/>
      <c r="AL2313" s="76"/>
      <c r="AM2313" s="76"/>
      <c r="AN2313" s="76"/>
      <c r="AO2313" s="76"/>
      <c r="AP2313" s="76"/>
      <c r="AQ2313" s="76"/>
      <c r="AR2313" s="76"/>
      <c r="AS2313" s="76"/>
      <c r="AT2313" s="76"/>
      <c r="AU2313" s="76"/>
      <c r="AV2313" s="76"/>
      <c r="AW2313" s="76"/>
      <c r="AX2313" s="76"/>
      <c r="AY2313" s="76"/>
      <c r="AZ2313" s="76"/>
      <c r="BA2313" s="76"/>
      <c r="BB2313" s="76"/>
    </row>
    <row r="2314" spans="5:54" x14ac:dyDescent="0.35">
      <c r="E2314" s="83"/>
      <c r="F2314" s="83"/>
      <c r="G2314" s="76"/>
      <c r="H2314" s="76"/>
      <c r="I2314" s="76"/>
      <c r="J2314" s="76"/>
      <c r="K2314" s="76"/>
      <c r="L2314" s="76"/>
      <c r="M2314" s="76"/>
      <c r="N2314" s="76"/>
      <c r="O2314" s="76"/>
      <c r="P2314" s="76"/>
      <c r="Q2314" s="76"/>
      <c r="R2314" s="76"/>
      <c r="S2314" s="76"/>
      <c r="T2314" s="76"/>
      <c r="U2314" s="76"/>
      <c r="V2314" s="76"/>
      <c r="W2314" s="76"/>
      <c r="X2314" s="76"/>
      <c r="Y2314" s="76"/>
      <c r="Z2314" s="76"/>
      <c r="AA2314" s="76"/>
      <c r="AB2314" s="76"/>
      <c r="AC2314" s="76"/>
      <c r="AD2314" s="76"/>
      <c r="AE2314" s="76"/>
      <c r="AF2314" s="76"/>
      <c r="AG2314" s="76"/>
      <c r="AH2314" s="76"/>
      <c r="AI2314" s="76"/>
      <c r="AJ2314" s="76"/>
      <c r="AK2314" s="76"/>
      <c r="AL2314" s="76"/>
      <c r="AM2314" s="76"/>
      <c r="AN2314" s="76"/>
      <c r="AO2314" s="76"/>
      <c r="AP2314" s="76"/>
      <c r="AQ2314" s="76"/>
      <c r="AR2314" s="76"/>
      <c r="AS2314" s="76"/>
      <c r="AT2314" s="76"/>
      <c r="AU2314" s="76"/>
      <c r="AV2314" s="76"/>
      <c r="AW2314" s="76"/>
      <c r="AX2314" s="76"/>
      <c r="AY2314" s="76"/>
      <c r="AZ2314" s="76"/>
      <c r="BA2314" s="76"/>
      <c r="BB2314" s="76"/>
    </row>
    <row r="2315" spans="5:54" x14ac:dyDescent="0.35">
      <c r="E2315" s="83"/>
      <c r="F2315" s="83"/>
      <c r="G2315" s="76"/>
      <c r="H2315" s="76"/>
      <c r="I2315" s="76"/>
      <c r="J2315" s="76"/>
      <c r="K2315" s="76"/>
      <c r="L2315" s="76"/>
      <c r="M2315" s="76"/>
      <c r="N2315" s="76"/>
      <c r="O2315" s="76"/>
      <c r="P2315" s="76"/>
      <c r="Q2315" s="76"/>
      <c r="R2315" s="76"/>
      <c r="S2315" s="76"/>
      <c r="T2315" s="76"/>
      <c r="U2315" s="76"/>
      <c r="V2315" s="76"/>
      <c r="W2315" s="76"/>
      <c r="X2315" s="76"/>
      <c r="Y2315" s="76"/>
      <c r="Z2315" s="76"/>
      <c r="AA2315" s="76"/>
      <c r="AB2315" s="76"/>
      <c r="AC2315" s="76"/>
      <c r="AD2315" s="76"/>
      <c r="AE2315" s="76"/>
      <c r="AF2315" s="76"/>
      <c r="AG2315" s="76"/>
      <c r="AH2315" s="76"/>
      <c r="AI2315" s="76"/>
      <c r="AJ2315" s="76"/>
      <c r="AK2315" s="76"/>
      <c r="AL2315" s="76"/>
      <c r="AM2315" s="76"/>
      <c r="AN2315" s="76"/>
      <c r="AO2315" s="76"/>
      <c r="AP2315" s="76"/>
      <c r="AQ2315" s="76"/>
      <c r="AR2315" s="76"/>
      <c r="AS2315" s="76"/>
      <c r="AT2315" s="76"/>
      <c r="AU2315" s="76"/>
      <c r="AV2315" s="76"/>
      <c r="AW2315" s="76"/>
      <c r="AX2315" s="76"/>
      <c r="AY2315" s="76"/>
      <c r="AZ2315" s="76"/>
      <c r="BA2315" s="76"/>
      <c r="BB2315" s="76"/>
    </row>
    <row r="2316" spans="5:54" x14ac:dyDescent="0.35">
      <c r="E2316" s="83"/>
      <c r="F2316" s="83"/>
      <c r="G2316" s="76"/>
      <c r="H2316" s="76"/>
      <c r="I2316" s="76"/>
      <c r="J2316" s="76"/>
      <c r="K2316" s="76"/>
      <c r="L2316" s="76"/>
      <c r="M2316" s="76"/>
      <c r="N2316" s="76"/>
      <c r="O2316" s="76"/>
      <c r="P2316" s="76"/>
      <c r="Q2316" s="76"/>
      <c r="R2316" s="76"/>
      <c r="S2316" s="76"/>
      <c r="T2316" s="76"/>
      <c r="U2316" s="76"/>
      <c r="V2316" s="76"/>
      <c r="W2316" s="76"/>
      <c r="X2316" s="76"/>
      <c r="Y2316" s="76"/>
      <c r="Z2316" s="76"/>
      <c r="AA2316" s="76"/>
      <c r="AB2316" s="76"/>
      <c r="AC2316" s="76"/>
      <c r="AD2316" s="76"/>
      <c r="AE2316" s="76"/>
      <c r="AF2316" s="76"/>
      <c r="AG2316" s="76"/>
      <c r="AH2316" s="76"/>
      <c r="AI2316" s="76"/>
      <c r="AJ2316" s="76"/>
      <c r="AK2316" s="76"/>
      <c r="AL2316" s="76"/>
      <c r="AM2316" s="76"/>
      <c r="AN2316" s="76"/>
      <c r="AO2316" s="76"/>
      <c r="AP2316" s="76"/>
      <c r="AQ2316" s="76"/>
      <c r="AR2316" s="76"/>
      <c r="AS2316" s="76"/>
      <c r="AT2316" s="76"/>
      <c r="AU2316" s="76"/>
      <c r="AV2316" s="76"/>
      <c r="AW2316" s="76"/>
      <c r="AX2316" s="76"/>
      <c r="AY2316" s="76"/>
      <c r="AZ2316" s="76"/>
      <c r="BA2316" s="76"/>
      <c r="BB2316" s="76"/>
    </row>
    <row r="2317" spans="5:54" x14ac:dyDescent="0.35">
      <c r="E2317" s="83"/>
      <c r="F2317" s="83"/>
      <c r="G2317" s="76"/>
      <c r="H2317" s="76"/>
      <c r="I2317" s="76"/>
      <c r="J2317" s="76"/>
      <c r="K2317" s="76"/>
      <c r="L2317" s="76"/>
      <c r="M2317" s="76"/>
      <c r="N2317" s="76"/>
      <c r="O2317" s="76"/>
      <c r="P2317" s="76"/>
      <c r="Q2317" s="76"/>
      <c r="R2317" s="76"/>
      <c r="S2317" s="76"/>
      <c r="T2317" s="76"/>
      <c r="U2317" s="76"/>
      <c r="V2317" s="76"/>
      <c r="W2317" s="76"/>
      <c r="X2317" s="76"/>
      <c r="Y2317" s="76"/>
      <c r="Z2317" s="76"/>
      <c r="AA2317" s="76"/>
      <c r="AB2317" s="76"/>
      <c r="AC2317" s="76"/>
      <c r="AD2317" s="76"/>
      <c r="AE2317" s="76"/>
      <c r="AF2317" s="76"/>
      <c r="AG2317" s="76"/>
      <c r="AH2317" s="76"/>
      <c r="AI2317" s="76"/>
      <c r="AJ2317" s="76"/>
      <c r="AK2317" s="76"/>
      <c r="AL2317" s="76"/>
      <c r="AM2317" s="76"/>
      <c r="AN2317" s="76"/>
      <c r="AO2317" s="76"/>
      <c r="AP2317" s="76"/>
      <c r="AQ2317" s="76"/>
      <c r="AR2317" s="76"/>
      <c r="AS2317" s="76"/>
      <c r="AT2317" s="76"/>
      <c r="AU2317" s="76"/>
      <c r="AV2317" s="76"/>
      <c r="AW2317" s="76"/>
      <c r="AX2317" s="76"/>
      <c r="AY2317" s="76"/>
      <c r="AZ2317" s="76"/>
      <c r="BA2317" s="76"/>
      <c r="BB2317" s="76"/>
    </row>
    <row r="2318" spans="5:54" x14ac:dyDescent="0.35">
      <c r="E2318" s="83"/>
      <c r="F2318" s="83"/>
      <c r="G2318" s="76"/>
      <c r="H2318" s="76"/>
      <c r="I2318" s="76"/>
      <c r="J2318" s="76"/>
      <c r="K2318" s="76"/>
      <c r="L2318" s="76"/>
      <c r="M2318" s="76"/>
      <c r="N2318" s="76"/>
      <c r="O2318" s="76"/>
      <c r="P2318" s="76"/>
      <c r="Q2318" s="76"/>
      <c r="R2318" s="76"/>
      <c r="S2318" s="76"/>
      <c r="T2318" s="76"/>
      <c r="U2318" s="76"/>
      <c r="V2318" s="76"/>
      <c r="W2318" s="76"/>
      <c r="X2318" s="76"/>
      <c r="Y2318" s="76"/>
      <c r="Z2318" s="76"/>
      <c r="AA2318" s="76"/>
      <c r="AB2318" s="76"/>
      <c r="AC2318" s="76"/>
      <c r="AD2318" s="76"/>
      <c r="AE2318" s="76"/>
      <c r="AF2318" s="76"/>
      <c r="AG2318" s="76"/>
      <c r="AH2318" s="76"/>
      <c r="AI2318" s="76"/>
      <c r="AJ2318" s="76"/>
      <c r="AK2318" s="76"/>
      <c r="AL2318" s="76"/>
      <c r="AM2318" s="76"/>
      <c r="AN2318" s="76"/>
      <c r="AO2318" s="76"/>
      <c r="AP2318" s="76"/>
      <c r="AQ2318" s="76"/>
      <c r="AR2318" s="76"/>
      <c r="AS2318" s="76"/>
      <c r="AT2318" s="76"/>
      <c r="AU2318" s="76"/>
      <c r="AV2318" s="76"/>
      <c r="AW2318" s="76"/>
      <c r="AX2318" s="76"/>
      <c r="AY2318" s="76"/>
      <c r="AZ2318" s="76"/>
      <c r="BA2318" s="76"/>
      <c r="BB2318" s="76"/>
    </row>
    <row r="2319" spans="5:54" x14ac:dyDescent="0.35">
      <c r="E2319" s="83"/>
      <c r="F2319" s="83"/>
      <c r="G2319" s="76"/>
      <c r="H2319" s="76"/>
      <c r="I2319" s="76"/>
      <c r="J2319" s="76"/>
      <c r="K2319" s="76"/>
      <c r="L2319" s="76"/>
      <c r="M2319" s="76"/>
      <c r="N2319" s="76"/>
      <c r="O2319" s="76"/>
      <c r="P2319" s="76"/>
      <c r="Q2319" s="76"/>
      <c r="R2319" s="76"/>
      <c r="S2319" s="76"/>
      <c r="T2319" s="76"/>
      <c r="U2319" s="76"/>
      <c r="V2319" s="76"/>
      <c r="W2319" s="76"/>
      <c r="X2319" s="76"/>
      <c r="Y2319" s="76"/>
      <c r="Z2319" s="76"/>
      <c r="AA2319" s="76"/>
      <c r="AB2319" s="76"/>
      <c r="AC2319" s="76"/>
      <c r="AD2319" s="76"/>
      <c r="AE2319" s="76"/>
      <c r="AF2319" s="76"/>
      <c r="AG2319" s="76"/>
      <c r="AH2319" s="76"/>
      <c r="AI2319" s="76"/>
      <c r="AJ2319" s="76"/>
      <c r="AK2319" s="76"/>
      <c r="AL2319" s="76"/>
      <c r="AM2319" s="76"/>
      <c r="AN2319" s="76"/>
      <c r="AO2319" s="76"/>
      <c r="AP2319" s="76"/>
      <c r="AQ2319" s="76"/>
      <c r="AR2319" s="76"/>
      <c r="AS2319" s="76"/>
      <c r="AT2319" s="76"/>
      <c r="AU2319" s="76"/>
      <c r="AV2319" s="76"/>
      <c r="AW2319" s="76"/>
      <c r="AX2319" s="76"/>
      <c r="AY2319" s="76"/>
      <c r="AZ2319" s="76"/>
      <c r="BA2319" s="76"/>
      <c r="BB2319" s="76"/>
    </row>
    <row r="2320" spans="5:54" x14ac:dyDescent="0.35">
      <c r="E2320" s="83"/>
      <c r="F2320" s="83"/>
      <c r="G2320" s="76"/>
      <c r="H2320" s="76"/>
      <c r="I2320" s="76"/>
      <c r="J2320" s="76"/>
      <c r="K2320" s="76"/>
      <c r="L2320" s="76"/>
      <c r="M2320" s="76"/>
      <c r="N2320" s="76"/>
      <c r="O2320" s="76"/>
      <c r="P2320" s="76"/>
      <c r="Q2320" s="76"/>
      <c r="R2320" s="76"/>
      <c r="S2320" s="76"/>
      <c r="T2320" s="76"/>
      <c r="U2320" s="76"/>
      <c r="V2320" s="76"/>
      <c r="W2320" s="76"/>
      <c r="X2320" s="76"/>
      <c r="Y2320" s="76"/>
      <c r="Z2320" s="76"/>
      <c r="AA2320" s="76"/>
      <c r="AB2320" s="76"/>
      <c r="AC2320" s="76"/>
      <c r="AD2320" s="76"/>
      <c r="AE2320" s="76"/>
      <c r="AF2320" s="76"/>
      <c r="AG2320" s="76"/>
      <c r="AH2320" s="76"/>
      <c r="AI2320" s="76"/>
      <c r="AJ2320" s="76"/>
      <c r="AK2320" s="76"/>
      <c r="AL2320" s="76"/>
      <c r="AM2320" s="76"/>
      <c r="AN2320" s="76"/>
      <c r="AO2320" s="76"/>
      <c r="AP2320" s="76"/>
      <c r="AQ2320" s="76"/>
      <c r="AR2320" s="76"/>
      <c r="AS2320" s="76"/>
      <c r="AT2320" s="76"/>
      <c r="AU2320" s="76"/>
      <c r="AV2320" s="76"/>
      <c r="AW2320" s="76"/>
      <c r="AX2320" s="76"/>
      <c r="AY2320" s="76"/>
      <c r="AZ2320" s="76"/>
      <c r="BA2320" s="76"/>
      <c r="BB2320" s="76"/>
    </row>
    <row r="2321" spans="5:54" x14ac:dyDescent="0.35">
      <c r="E2321" s="83"/>
      <c r="F2321" s="83"/>
      <c r="G2321" s="76"/>
      <c r="H2321" s="76"/>
      <c r="I2321" s="76"/>
      <c r="J2321" s="76"/>
      <c r="K2321" s="76"/>
      <c r="L2321" s="76"/>
      <c r="M2321" s="76"/>
      <c r="N2321" s="76"/>
      <c r="O2321" s="76"/>
      <c r="P2321" s="76"/>
      <c r="Q2321" s="76"/>
      <c r="R2321" s="76"/>
      <c r="S2321" s="76"/>
      <c r="T2321" s="76"/>
      <c r="U2321" s="76"/>
      <c r="V2321" s="76"/>
      <c r="W2321" s="76"/>
      <c r="X2321" s="76"/>
      <c r="Y2321" s="76"/>
      <c r="Z2321" s="76"/>
      <c r="AA2321" s="76"/>
      <c r="AB2321" s="76"/>
      <c r="AC2321" s="76"/>
      <c r="AD2321" s="76"/>
      <c r="AE2321" s="76"/>
      <c r="AF2321" s="76"/>
      <c r="AG2321" s="76"/>
      <c r="AH2321" s="76"/>
      <c r="AI2321" s="76"/>
      <c r="AJ2321" s="76"/>
      <c r="AK2321" s="76"/>
      <c r="AL2321" s="76"/>
      <c r="AM2321" s="76"/>
      <c r="AN2321" s="76"/>
      <c r="AO2321" s="76"/>
      <c r="AP2321" s="76"/>
      <c r="AQ2321" s="76"/>
      <c r="AR2321" s="76"/>
      <c r="AS2321" s="76"/>
      <c r="AT2321" s="76"/>
      <c r="AU2321" s="76"/>
      <c r="AV2321" s="76"/>
      <c r="AW2321" s="76"/>
      <c r="AX2321" s="76"/>
      <c r="AY2321" s="76"/>
      <c r="AZ2321" s="76"/>
      <c r="BA2321" s="76"/>
      <c r="BB2321" s="76"/>
    </row>
    <row r="2322" spans="5:54" x14ac:dyDescent="0.35">
      <c r="E2322" s="83"/>
      <c r="F2322" s="83"/>
      <c r="G2322" s="76"/>
      <c r="H2322" s="76"/>
      <c r="I2322" s="76"/>
      <c r="J2322" s="76"/>
      <c r="K2322" s="76"/>
      <c r="L2322" s="76"/>
      <c r="M2322" s="76"/>
      <c r="N2322" s="76"/>
      <c r="O2322" s="76"/>
      <c r="P2322" s="76"/>
      <c r="Q2322" s="76"/>
      <c r="R2322" s="76"/>
      <c r="S2322" s="76"/>
      <c r="T2322" s="76"/>
      <c r="U2322" s="76"/>
      <c r="V2322" s="76"/>
      <c r="W2322" s="76"/>
      <c r="X2322" s="76"/>
      <c r="Y2322" s="76"/>
      <c r="Z2322" s="76"/>
      <c r="AA2322" s="76"/>
      <c r="AB2322" s="76"/>
      <c r="AC2322" s="76"/>
      <c r="AD2322" s="76"/>
      <c r="AE2322" s="76"/>
      <c r="AF2322" s="76"/>
      <c r="AG2322" s="76"/>
      <c r="AH2322" s="76"/>
      <c r="AI2322" s="76"/>
      <c r="AJ2322" s="76"/>
      <c r="AK2322" s="76"/>
      <c r="AL2322" s="76"/>
      <c r="AM2322" s="76"/>
      <c r="AN2322" s="76"/>
      <c r="AO2322" s="76"/>
      <c r="AP2322" s="76"/>
      <c r="AQ2322" s="76"/>
      <c r="AR2322" s="76"/>
      <c r="AS2322" s="76"/>
      <c r="AT2322" s="76"/>
      <c r="AU2322" s="76"/>
      <c r="AV2322" s="76"/>
      <c r="AW2322" s="76"/>
      <c r="AX2322" s="76"/>
      <c r="AY2322" s="76"/>
      <c r="AZ2322" s="76"/>
      <c r="BA2322" s="76"/>
      <c r="BB2322" s="76"/>
    </row>
    <row r="2323" spans="5:54" x14ac:dyDescent="0.35">
      <c r="E2323" s="83"/>
      <c r="F2323" s="83"/>
      <c r="G2323" s="76"/>
      <c r="H2323" s="76"/>
      <c r="I2323" s="76"/>
      <c r="J2323" s="76"/>
      <c r="K2323" s="76"/>
      <c r="L2323" s="76"/>
      <c r="M2323" s="76"/>
      <c r="N2323" s="76"/>
      <c r="O2323" s="76"/>
      <c r="P2323" s="76"/>
      <c r="Q2323" s="76"/>
      <c r="R2323" s="76"/>
      <c r="S2323" s="76"/>
      <c r="T2323" s="76"/>
      <c r="U2323" s="76"/>
      <c r="V2323" s="76"/>
      <c r="W2323" s="76"/>
      <c r="X2323" s="76"/>
      <c r="Y2323" s="76"/>
      <c r="Z2323" s="76"/>
      <c r="AA2323" s="76"/>
      <c r="AB2323" s="76"/>
      <c r="AC2323" s="76"/>
      <c r="AD2323" s="76"/>
      <c r="AE2323" s="76"/>
      <c r="AF2323" s="76"/>
      <c r="AG2323" s="76"/>
      <c r="AH2323" s="76"/>
      <c r="AI2323" s="76"/>
      <c r="AJ2323" s="76"/>
      <c r="AK2323" s="76"/>
      <c r="AL2323" s="76"/>
      <c r="AM2323" s="76"/>
      <c r="AN2323" s="76"/>
      <c r="AO2323" s="76"/>
      <c r="AP2323" s="76"/>
      <c r="AQ2323" s="76"/>
      <c r="AR2323" s="76"/>
      <c r="AS2323" s="76"/>
      <c r="AT2323" s="76"/>
      <c r="AU2323" s="76"/>
      <c r="AV2323" s="76"/>
      <c r="AW2323" s="76"/>
      <c r="AX2323" s="76"/>
      <c r="AY2323" s="76"/>
      <c r="AZ2323" s="76"/>
      <c r="BA2323" s="76"/>
      <c r="BB2323" s="76"/>
    </row>
    <row r="2324" spans="5:54" x14ac:dyDescent="0.35">
      <c r="E2324" s="83"/>
      <c r="F2324" s="83"/>
      <c r="G2324" s="76"/>
      <c r="H2324" s="76"/>
      <c r="I2324" s="76"/>
      <c r="J2324" s="76"/>
      <c r="K2324" s="76"/>
      <c r="L2324" s="76"/>
      <c r="M2324" s="76"/>
      <c r="N2324" s="76"/>
      <c r="O2324" s="76"/>
      <c r="P2324" s="76"/>
      <c r="Q2324" s="76"/>
      <c r="R2324" s="76"/>
      <c r="S2324" s="76"/>
      <c r="T2324" s="76"/>
      <c r="U2324" s="76"/>
      <c r="V2324" s="76"/>
      <c r="W2324" s="76"/>
      <c r="X2324" s="76"/>
      <c r="Y2324" s="76"/>
      <c r="Z2324" s="76"/>
      <c r="AA2324" s="76"/>
      <c r="AB2324" s="76"/>
      <c r="AC2324" s="76"/>
      <c r="AD2324" s="76"/>
      <c r="AE2324" s="76"/>
      <c r="AF2324" s="76"/>
      <c r="AG2324" s="76"/>
      <c r="AH2324" s="76"/>
      <c r="AI2324" s="76"/>
      <c r="AJ2324" s="76"/>
      <c r="AK2324" s="76"/>
      <c r="AL2324" s="76"/>
      <c r="AM2324" s="76"/>
      <c r="AN2324" s="76"/>
      <c r="AO2324" s="76"/>
      <c r="AP2324" s="76"/>
      <c r="AQ2324" s="76"/>
      <c r="AR2324" s="76"/>
      <c r="AS2324" s="76"/>
      <c r="AT2324" s="76"/>
      <c r="AU2324" s="76"/>
      <c r="AV2324" s="76"/>
      <c r="AW2324" s="76"/>
      <c r="AX2324" s="76"/>
      <c r="AY2324" s="76"/>
      <c r="AZ2324" s="76"/>
      <c r="BA2324" s="76"/>
      <c r="BB2324" s="76"/>
    </row>
    <row r="2325" spans="5:54" x14ac:dyDescent="0.35">
      <c r="E2325" s="83"/>
      <c r="F2325" s="83"/>
      <c r="G2325" s="76"/>
      <c r="H2325" s="76"/>
      <c r="I2325" s="76"/>
      <c r="J2325" s="76"/>
      <c r="K2325" s="76"/>
      <c r="L2325" s="76"/>
      <c r="M2325" s="76"/>
      <c r="N2325" s="76"/>
      <c r="O2325" s="76"/>
      <c r="P2325" s="76"/>
      <c r="Q2325" s="76"/>
      <c r="R2325" s="76"/>
      <c r="S2325" s="76"/>
      <c r="T2325" s="76"/>
      <c r="U2325" s="76"/>
      <c r="V2325" s="76"/>
      <c r="W2325" s="76"/>
      <c r="X2325" s="76"/>
      <c r="Y2325" s="76"/>
      <c r="Z2325" s="76"/>
      <c r="AA2325" s="76"/>
      <c r="AB2325" s="76"/>
      <c r="AC2325" s="76"/>
      <c r="AD2325" s="76"/>
      <c r="AE2325" s="76"/>
      <c r="AF2325" s="76"/>
      <c r="AG2325" s="76"/>
      <c r="AH2325" s="76"/>
      <c r="AI2325" s="76"/>
      <c r="AJ2325" s="76"/>
      <c r="AK2325" s="76"/>
      <c r="AL2325" s="76"/>
      <c r="AM2325" s="76"/>
      <c r="AN2325" s="76"/>
      <c r="AO2325" s="76"/>
      <c r="AP2325" s="76"/>
      <c r="AQ2325" s="76"/>
      <c r="AR2325" s="76"/>
      <c r="AS2325" s="76"/>
      <c r="AT2325" s="76"/>
      <c r="AU2325" s="76"/>
      <c r="AV2325" s="76"/>
      <c r="AW2325" s="76"/>
      <c r="AX2325" s="76"/>
      <c r="AY2325" s="76"/>
      <c r="AZ2325" s="76"/>
      <c r="BA2325" s="76"/>
      <c r="BB2325" s="76"/>
    </row>
    <row r="2326" spans="5:54" x14ac:dyDescent="0.35">
      <c r="E2326" s="83"/>
      <c r="F2326" s="83"/>
      <c r="G2326" s="76"/>
      <c r="H2326" s="76"/>
      <c r="I2326" s="76"/>
      <c r="J2326" s="76"/>
      <c r="K2326" s="76"/>
      <c r="L2326" s="76"/>
      <c r="M2326" s="76"/>
      <c r="N2326" s="76"/>
      <c r="O2326" s="76"/>
      <c r="P2326" s="76"/>
      <c r="Q2326" s="76"/>
      <c r="R2326" s="76"/>
      <c r="S2326" s="76"/>
      <c r="T2326" s="76"/>
      <c r="U2326" s="76"/>
      <c r="V2326" s="76"/>
      <c r="W2326" s="76"/>
      <c r="X2326" s="76"/>
      <c r="Y2326" s="76"/>
      <c r="Z2326" s="76"/>
      <c r="AA2326" s="76"/>
      <c r="AB2326" s="76"/>
      <c r="AC2326" s="76"/>
      <c r="AD2326" s="76"/>
      <c r="AE2326" s="76"/>
      <c r="AF2326" s="76"/>
      <c r="AG2326" s="76"/>
      <c r="AH2326" s="76"/>
      <c r="AI2326" s="76"/>
      <c r="AJ2326" s="76"/>
      <c r="AK2326" s="76"/>
      <c r="AL2326" s="76"/>
      <c r="AM2326" s="76"/>
      <c r="AN2326" s="76"/>
      <c r="AO2326" s="76"/>
      <c r="AP2326" s="76"/>
      <c r="AQ2326" s="76"/>
      <c r="AR2326" s="76"/>
      <c r="AS2326" s="76"/>
      <c r="AT2326" s="76"/>
      <c r="AU2326" s="76"/>
      <c r="AV2326" s="76"/>
      <c r="AW2326" s="76"/>
      <c r="AX2326" s="76"/>
      <c r="AY2326" s="76"/>
      <c r="AZ2326" s="76"/>
      <c r="BA2326" s="76"/>
      <c r="BB2326" s="76"/>
    </row>
    <row r="2327" spans="5:54" x14ac:dyDescent="0.35">
      <c r="E2327" s="83"/>
      <c r="F2327" s="83"/>
      <c r="G2327" s="76"/>
      <c r="H2327" s="76"/>
      <c r="I2327" s="76"/>
      <c r="J2327" s="76"/>
      <c r="K2327" s="76"/>
      <c r="L2327" s="76"/>
      <c r="M2327" s="76"/>
      <c r="N2327" s="76"/>
      <c r="O2327" s="76"/>
      <c r="P2327" s="76"/>
      <c r="Q2327" s="76"/>
      <c r="R2327" s="76"/>
      <c r="S2327" s="76"/>
      <c r="T2327" s="76"/>
      <c r="U2327" s="76"/>
      <c r="V2327" s="76"/>
      <c r="W2327" s="76"/>
      <c r="X2327" s="76"/>
      <c r="Y2327" s="76"/>
      <c r="Z2327" s="76"/>
      <c r="AA2327" s="76"/>
      <c r="AB2327" s="76"/>
      <c r="AC2327" s="76"/>
      <c r="AD2327" s="76"/>
      <c r="AE2327" s="76"/>
      <c r="AF2327" s="76"/>
      <c r="AG2327" s="76"/>
      <c r="AH2327" s="76"/>
      <c r="AI2327" s="76"/>
      <c r="AJ2327" s="76"/>
      <c r="AK2327" s="76"/>
      <c r="AL2327" s="76"/>
      <c r="AM2327" s="76"/>
      <c r="AN2327" s="76"/>
      <c r="AO2327" s="76"/>
      <c r="AP2327" s="76"/>
      <c r="AQ2327" s="76"/>
      <c r="AR2327" s="76"/>
      <c r="AS2327" s="76"/>
      <c r="AT2327" s="76"/>
      <c r="AU2327" s="76"/>
      <c r="AV2327" s="76"/>
      <c r="AW2327" s="76"/>
      <c r="AX2327" s="76"/>
      <c r="AY2327" s="76"/>
      <c r="AZ2327" s="76"/>
      <c r="BA2327" s="76"/>
      <c r="BB2327" s="76"/>
    </row>
    <row r="2328" spans="5:54" x14ac:dyDescent="0.35">
      <c r="E2328" s="83"/>
      <c r="F2328" s="83"/>
      <c r="G2328" s="76"/>
      <c r="H2328" s="76"/>
      <c r="I2328" s="76"/>
      <c r="J2328" s="76"/>
      <c r="K2328" s="76"/>
      <c r="L2328" s="76"/>
      <c r="M2328" s="76"/>
      <c r="N2328" s="76"/>
      <c r="O2328" s="76"/>
      <c r="P2328" s="76"/>
      <c r="Q2328" s="76"/>
      <c r="R2328" s="76"/>
      <c r="S2328" s="76"/>
      <c r="T2328" s="76"/>
      <c r="U2328" s="76"/>
      <c r="V2328" s="76"/>
      <c r="W2328" s="76"/>
      <c r="X2328" s="76"/>
      <c r="Y2328" s="76"/>
      <c r="Z2328" s="76"/>
      <c r="AA2328" s="76"/>
      <c r="AB2328" s="76"/>
      <c r="AC2328" s="76"/>
      <c r="AD2328" s="76"/>
      <c r="AE2328" s="76"/>
      <c r="AF2328" s="76"/>
      <c r="AG2328" s="76"/>
      <c r="AH2328" s="76"/>
      <c r="AI2328" s="76"/>
      <c r="AJ2328" s="76"/>
      <c r="AK2328" s="76"/>
      <c r="AL2328" s="76"/>
      <c r="AM2328" s="76"/>
      <c r="AN2328" s="76"/>
      <c r="AO2328" s="76"/>
      <c r="AP2328" s="76"/>
      <c r="AQ2328" s="76"/>
      <c r="AR2328" s="76"/>
      <c r="AS2328" s="76"/>
      <c r="AT2328" s="76"/>
      <c r="AU2328" s="76"/>
      <c r="AV2328" s="76"/>
      <c r="AW2328" s="76"/>
      <c r="AX2328" s="76"/>
      <c r="AY2328" s="76"/>
      <c r="AZ2328" s="76"/>
      <c r="BA2328" s="76"/>
      <c r="BB2328" s="76"/>
    </row>
    <row r="2329" spans="5:54" x14ac:dyDescent="0.35">
      <c r="E2329" s="83"/>
      <c r="F2329" s="83"/>
      <c r="G2329" s="76"/>
      <c r="H2329" s="76"/>
      <c r="I2329" s="76"/>
      <c r="J2329" s="76"/>
      <c r="K2329" s="76"/>
      <c r="L2329" s="76"/>
      <c r="M2329" s="76"/>
      <c r="N2329" s="76"/>
      <c r="O2329" s="76"/>
      <c r="P2329" s="76"/>
      <c r="Q2329" s="76"/>
      <c r="R2329" s="76"/>
      <c r="S2329" s="76"/>
      <c r="T2329" s="76"/>
      <c r="U2329" s="76"/>
      <c r="V2329" s="76"/>
      <c r="W2329" s="76"/>
      <c r="X2329" s="76"/>
      <c r="Y2329" s="76"/>
      <c r="Z2329" s="76"/>
      <c r="AA2329" s="76"/>
      <c r="AB2329" s="76"/>
      <c r="AC2329" s="76"/>
      <c r="AD2329" s="76"/>
      <c r="AE2329" s="76"/>
      <c r="AF2329" s="76"/>
      <c r="AG2329" s="76"/>
      <c r="AH2329" s="76"/>
      <c r="AI2329" s="76"/>
      <c r="AJ2329" s="76"/>
      <c r="AK2329" s="76"/>
      <c r="AL2329" s="76"/>
      <c r="AM2329" s="76"/>
      <c r="AN2329" s="76"/>
      <c r="AO2329" s="76"/>
      <c r="AP2329" s="76"/>
      <c r="AQ2329" s="76"/>
      <c r="AR2329" s="76"/>
      <c r="AS2329" s="76"/>
      <c r="AT2329" s="76"/>
      <c r="AU2329" s="76"/>
      <c r="AV2329" s="76"/>
      <c r="AW2329" s="76"/>
      <c r="AX2329" s="76"/>
      <c r="AY2329" s="76"/>
      <c r="AZ2329" s="76"/>
      <c r="BA2329" s="76"/>
      <c r="BB2329" s="76"/>
    </row>
    <row r="2330" spans="5:54" x14ac:dyDescent="0.35">
      <c r="E2330" s="83"/>
      <c r="F2330" s="83"/>
      <c r="G2330" s="76"/>
      <c r="H2330" s="76"/>
      <c r="I2330" s="76"/>
      <c r="J2330" s="76"/>
      <c r="K2330" s="76"/>
      <c r="L2330" s="76"/>
      <c r="M2330" s="76"/>
      <c r="N2330" s="76"/>
      <c r="O2330" s="76"/>
      <c r="P2330" s="76"/>
      <c r="Q2330" s="76"/>
      <c r="R2330" s="76"/>
      <c r="S2330" s="76"/>
      <c r="T2330" s="76"/>
      <c r="U2330" s="76"/>
      <c r="V2330" s="76"/>
      <c r="W2330" s="76"/>
      <c r="X2330" s="76"/>
      <c r="Y2330" s="76"/>
      <c r="Z2330" s="76"/>
      <c r="AA2330" s="76"/>
      <c r="AB2330" s="76"/>
      <c r="AC2330" s="76"/>
      <c r="AD2330" s="76"/>
      <c r="AE2330" s="76"/>
      <c r="AF2330" s="76"/>
      <c r="AG2330" s="76"/>
      <c r="AH2330" s="76"/>
      <c r="AI2330" s="76"/>
      <c r="AJ2330" s="76"/>
      <c r="AK2330" s="76"/>
      <c r="AL2330" s="76"/>
      <c r="AM2330" s="76"/>
      <c r="AN2330" s="76"/>
      <c r="AO2330" s="76"/>
      <c r="AP2330" s="76"/>
      <c r="AQ2330" s="76"/>
      <c r="AR2330" s="76"/>
      <c r="AS2330" s="76"/>
      <c r="AT2330" s="76"/>
      <c r="AU2330" s="76"/>
      <c r="AV2330" s="76"/>
      <c r="AW2330" s="76"/>
      <c r="AX2330" s="76"/>
      <c r="AY2330" s="76"/>
      <c r="AZ2330" s="76"/>
      <c r="BA2330" s="76"/>
      <c r="BB2330" s="76"/>
    </row>
    <row r="2331" spans="5:54" x14ac:dyDescent="0.35">
      <c r="E2331" s="83"/>
      <c r="F2331" s="83"/>
      <c r="G2331" s="76"/>
      <c r="H2331" s="76"/>
      <c r="I2331" s="76"/>
      <c r="J2331" s="76"/>
      <c r="K2331" s="76"/>
      <c r="L2331" s="76"/>
      <c r="M2331" s="76"/>
      <c r="N2331" s="76"/>
      <c r="O2331" s="76"/>
      <c r="P2331" s="76"/>
      <c r="Q2331" s="76"/>
      <c r="R2331" s="76"/>
      <c r="S2331" s="76"/>
      <c r="T2331" s="76"/>
      <c r="U2331" s="76"/>
      <c r="V2331" s="76"/>
      <c r="W2331" s="76"/>
      <c r="X2331" s="76"/>
      <c r="Y2331" s="76"/>
      <c r="Z2331" s="76"/>
      <c r="AA2331" s="76"/>
      <c r="AB2331" s="76"/>
      <c r="AC2331" s="76"/>
      <c r="AD2331" s="76"/>
      <c r="AE2331" s="76"/>
      <c r="AF2331" s="76"/>
      <c r="AG2331" s="76"/>
      <c r="AH2331" s="76"/>
      <c r="AI2331" s="76"/>
      <c r="AJ2331" s="76"/>
      <c r="AK2331" s="76"/>
      <c r="AL2331" s="76"/>
      <c r="AM2331" s="76"/>
      <c r="AN2331" s="76"/>
      <c r="AO2331" s="76"/>
      <c r="AP2331" s="76"/>
      <c r="AQ2331" s="76"/>
      <c r="AR2331" s="76"/>
      <c r="AS2331" s="76"/>
      <c r="AT2331" s="76"/>
      <c r="AU2331" s="76"/>
      <c r="AV2331" s="76"/>
      <c r="AW2331" s="76"/>
      <c r="AX2331" s="76"/>
      <c r="AY2331" s="76"/>
      <c r="AZ2331" s="76"/>
      <c r="BA2331" s="76"/>
      <c r="BB2331" s="76"/>
    </row>
    <row r="2332" spans="5:54" x14ac:dyDescent="0.35">
      <c r="E2332" s="83"/>
      <c r="F2332" s="83"/>
      <c r="G2332" s="76"/>
      <c r="H2332" s="76"/>
      <c r="I2332" s="76"/>
      <c r="J2332" s="76"/>
      <c r="K2332" s="76"/>
      <c r="L2332" s="76"/>
      <c r="M2332" s="76"/>
      <c r="N2332" s="76"/>
      <c r="O2332" s="76"/>
      <c r="P2332" s="76"/>
      <c r="Q2332" s="76"/>
      <c r="R2332" s="76"/>
      <c r="S2332" s="76"/>
      <c r="T2332" s="76"/>
      <c r="U2332" s="76"/>
      <c r="V2332" s="76"/>
      <c r="W2332" s="76"/>
      <c r="X2332" s="76"/>
      <c r="Y2332" s="76"/>
      <c r="Z2332" s="76"/>
      <c r="AA2332" s="76"/>
      <c r="AB2332" s="76"/>
      <c r="AC2332" s="76"/>
      <c r="AD2332" s="76"/>
      <c r="AE2332" s="76"/>
      <c r="AF2332" s="76"/>
      <c r="AG2332" s="76"/>
      <c r="AH2332" s="76"/>
      <c r="AI2332" s="76"/>
      <c r="AJ2332" s="76"/>
      <c r="AK2332" s="76"/>
      <c r="AL2332" s="76"/>
      <c r="AM2332" s="76"/>
      <c r="AN2332" s="76"/>
      <c r="AO2332" s="76"/>
      <c r="AP2332" s="76"/>
      <c r="AQ2332" s="76"/>
      <c r="AR2332" s="76"/>
      <c r="AS2332" s="76"/>
      <c r="AT2332" s="76"/>
      <c r="AU2332" s="76"/>
      <c r="AV2332" s="76"/>
      <c r="AW2332" s="76"/>
      <c r="AX2332" s="76"/>
      <c r="AY2332" s="76"/>
      <c r="AZ2332" s="76"/>
      <c r="BA2332" s="76"/>
      <c r="BB2332" s="76"/>
    </row>
    <row r="2333" spans="5:54" x14ac:dyDescent="0.35">
      <c r="E2333" s="83"/>
      <c r="F2333" s="83"/>
      <c r="G2333" s="76"/>
      <c r="H2333" s="76"/>
      <c r="I2333" s="76"/>
      <c r="J2333" s="76"/>
      <c r="K2333" s="76"/>
      <c r="L2333" s="76"/>
      <c r="M2333" s="76"/>
      <c r="N2333" s="76"/>
      <c r="O2333" s="76"/>
      <c r="P2333" s="76"/>
      <c r="Q2333" s="76"/>
      <c r="R2333" s="76"/>
      <c r="S2333" s="76"/>
      <c r="T2333" s="76"/>
      <c r="U2333" s="76"/>
      <c r="V2333" s="76"/>
      <c r="W2333" s="76"/>
      <c r="X2333" s="76"/>
      <c r="Y2333" s="76"/>
      <c r="Z2333" s="76"/>
      <c r="AA2333" s="76"/>
      <c r="AB2333" s="76"/>
      <c r="AC2333" s="76"/>
      <c r="AD2333" s="76"/>
      <c r="AE2333" s="76"/>
      <c r="AF2333" s="76"/>
      <c r="AG2333" s="76"/>
      <c r="AH2333" s="76"/>
      <c r="AI2333" s="76"/>
      <c r="AJ2333" s="76"/>
      <c r="AK2333" s="76"/>
      <c r="AL2333" s="76"/>
      <c r="AM2333" s="76"/>
      <c r="AN2333" s="76"/>
      <c r="AO2333" s="76"/>
      <c r="AP2333" s="76"/>
      <c r="AQ2333" s="76"/>
      <c r="AR2333" s="76"/>
      <c r="AS2333" s="76"/>
      <c r="AT2333" s="76"/>
      <c r="AU2333" s="76"/>
      <c r="AV2333" s="76"/>
      <c r="AW2333" s="76"/>
      <c r="AX2333" s="76"/>
      <c r="AY2333" s="76"/>
      <c r="AZ2333" s="76"/>
      <c r="BA2333" s="76"/>
      <c r="BB2333" s="76"/>
    </row>
    <row r="2334" spans="5:54" x14ac:dyDescent="0.35">
      <c r="E2334" s="83"/>
      <c r="F2334" s="83"/>
      <c r="G2334" s="76"/>
      <c r="H2334" s="76"/>
      <c r="I2334" s="76"/>
      <c r="J2334" s="76"/>
      <c r="K2334" s="76"/>
      <c r="L2334" s="76"/>
      <c r="M2334" s="76"/>
      <c r="N2334" s="76"/>
      <c r="O2334" s="76"/>
      <c r="P2334" s="76"/>
      <c r="Q2334" s="76"/>
      <c r="R2334" s="76"/>
      <c r="S2334" s="76"/>
      <c r="T2334" s="76"/>
      <c r="U2334" s="76"/>
      <c r="V2334" s="76"/>
      <c r="W2334" s="76"/>
      <c r="X2334" s="76"/>
      <c r="Y2334" s="76"/>
      <c r="Z2334" s="76"/>
      <c r="AA2334" s="76"/>
      <c r="AB2334" s="76"/>
      <c r="AC2334" s="76"/>
      <c r="AD2334" s="76"/>
      <c r="AE2334" s="76"/>
      <c r="AF2334" s="76"/>
      <c r="AG2334" s="76"/>
      <c r="AH2334" s="76"/>
      <c r="AI2334" s="76"/>
      <c r="AJ2334" s="76"/>
      <c r="AK2334" s="76"/>
      <c r="AL2334" s="76"/>
      <c r="AM2334" s="76"/>
      <c r="AN2334" s="76"/>
      <c r="AO2334" s="76"/>
      <c r="AP2334" s="76"/>
      <c r="AQ2334" s="76"/>
      <c r="AR2334" s="76"/>
      <c r="AS2334" s="76"/>
      <c r="AT2334" s="76"/>
      <c r="AU2334" s="76"/>
      <c r="AV2334" s="76"/>
      <c r="AW2334" s="76"/>
      <c r="AX2334" s="76"/>
      <c r="AY2334" s="76"/>
      <c r="AZ2334" s="76"/>
      <c r="BA2334" s="76"/>
      <c r="BB2334" s="76"/>
    </row>
    <row r="2335" spans="5:54" x14ac:dyDescent="0.35">
      <c r="E2335" s="83"/>
      <c r="F2335" s="83"/>
      <c r="G2335" s="76"/>
      <c r="H2335" s="76"/>
      <c r="I2335" s="76"/>
      <c r="J2335" s="76"/>
      <c r="K2335" s="76"/>
      <c r="L2335" s="76"/>
      <c r="M2335" s="76"/>
      <c r="N2335" s="76"/>
      <c r="O2335" s="76"/>
      <c r="P2335" s="76"/>
      <c r="Q2335" s="76"/>
      <c r="R2335" s="76"/>
      <c r="S2335" s="76"/>
      <c r="T2335" s="76"/>
      <c r="U2335" s="76"/>
      <c r="V2335" s="76"/>
      <c r="W2335" s="76"/>
      <c r="X2335" s="76"/>
      <c r="Y2335" s="76"/>
      <c r="Z2335" s="76"/>
      <c r="AA2335" s="76"/>
      <c r="AB2335" s="76"/>
      <c r="AC2335" s="76"/>
      <c r="AD2335" s="76"/>
      <c r="AE2335" s="76"/>
      <c r="AF2335" s="76"/>
      <c r="AG2335" s="76"/>
      <c r="AH2335" s="76"/>
      <c r="AI2335" s="76"/>
      <c r="AJ2335" s="76"/>
      <c r="AK2335" s="76"/>
      <c r="AL2335" s="76"/>
      <c r="AM2335" s="76"/>
      <c r="AN2335" s="76"/>
      <c r="AO2335" s="76"/>
      <c r="AP2335" s="76"/>
      <c r="AQ2335" s="76"/>
      <c r="AR2335" s="76"/>
      <c r="AS2335" s="76"/>
      <c r="AT2335" s="76"/>
      <c r="AU2335" s="76"/>
      <c r="AV2335" s="76"/>
      <c r="AW2335" s="76"/>
      <c r="AX2335" s="76"/>
      <c r="AY2335" s="76"/>
      <c r="AZ2335" s="76"/>
      <c r="BA2335" s="76"/>
      <c r="BB2335" s="76"/>
    </row>
    <row r="2336" spans="5:54" x14ac:dyDescent="0.35">
      <c r="E2336" s="83"/>
      <c r="F2336" s="83"/>
      <c r="G2336" s="76"/>
      <c r="H2336" s="76"/>
      <c r="I2336" s="76"/>
      <c r="J2336" s="76"/>
      <c r="K2336" s="76"/>
      <c r="L2336" s="76"/>
      <c r="M2336" s="76"/>
      <c r="N2336" s="76"/>
      <c r="O2336" s="76"/>
      <c r="P2336" s="76"/>
      <c r="Q2336" s="76"/>
      <c r="R2336" s="76"/>
      <c r="S2336" s="76"/>
      <c r="T2336" s="76"/>
      <c r="U2336" s="76"/>
      <c r="V2336" s="76"/>
      <c r="W2336" s="76"/>
      <c r="X2336" s="76"/>
      <c r="Y2336" s="76"/>
      <c r="Z2336" s="76"/>
      <c r="AA2336" s="76"/>
      <c r="AB2336" s="76"/>
      <c r="AC2336" s="76"/>
      <c r="AD2336" s="76"/>
      <c r="AE2336" s="76"/>
      <c r="AF2336" s="76"/>
      <c r="AG2336" s="76"/>
      <c r="AH2336" s="76"/>
      <c r="AI2336" s="76"/>
      <c r="AJ2336" s="76"/>
      <c r="AK2336" s="76"/>
      <c r="AL2336" s="76"/>
      <c r="AM2336" s="76"/>
      <c r="AN2336" s="76"/>
      <c r="AO2336" s="76"/>
      <c r="AP2336" s="76"/>
      <c r="AQ2336" s="76"/>
      <c r="AR2336" s="76"/>
      <c r="AS2336" s="76"/>
      <c r="AT2336" s="76"/>
      <c r="AU2336" s="76"/>
      <c r="AV2336" s="76"/>
      <c r="AW2336" s="76"/>
      <c r="AX2336" s="76"/>
      <c r="AY2336" s="76"/>
      <c r="AZ2336" s="76"/>
      <c r="BA2336" s="76"/>
      <c r="BB2336" s="76"/>
    </row>
    <row r="2337" spans="5:54" x14ac:dyDescent="0.35">
      <c r="E2337" s="83"/>
      <c r="F2337" s="83"/>
      <c r="G2337" s="76"/>
      <c r="H2337" s="76"/>
      <c r="I2337" s="76"/>
      <c r="J2337" s="76"/>
      <c r="K2337" s="76"/>
      <c r="L2337" s="76"/>
      <c r="M2337" s="76"/>
      <c r="N2337" s="76"/>
      <c r="O2337" s="76"/>
      <c r="P2337" s="76"/>
      <c r="Q2337" s="76"/>
      <c r="R2337" s="76"/>
      <c r="S2337" s="76"/>
      <c r="T2337" s="76"/>
      <c r="U2337" s="76"/>
      <c r="V2337" s="76"/>
      <c r="W2337" s="76"/>
      <c r="X2337" s="76"/>
      <c r="Y2337" s="76"/>
      <c r="Z2337" s="76"/>
      <c r="AA2337" s="76"/>
      <c r="AB2337" s="76"/>
      <c r="AC2337" s="76"/>
      <c r="AD2337" s="76"/>
      <c r="AE2337" s="76"/>
      <c r="AF2337" s="76"/>
      <c r="AG2337" s="76"/>
      <c r="AH2337" s="76"/>
      <c r="AI2337" s="76"/>
      <c r="AJ2337" s="76"/>
      <c r="AK2337" s="76"/>
      <c r="AL2337" s="76"/>
      <c r="AM2337" s="76"/>
      <c r="AN2337" s="76"/>
      <c r="AO2337" s="76"/>
      <c r="AP2337" s="76"/>
      <c r="AQ2337" s="76"/>
      <c r="AR2337" s="76"/>
      <c r="AS2337" s="76"/>
      <c r="AT2337" s="76"/>
      <c r="AU2337" s="76"/>
      <c r="AV2337" s="76"/>
      <c r="AW2337" s="76"/>
      <c r="AX2337" s="76"/>
      <c r="AY2337" s="76"/>
      <c r="AZ2337" s="76"/>
      <c r="BA2337" s="76"/>
      <c r="BB2337" s="76"/>
    </row>
    <row r="2338" spans="5:54" x14ac:dyDescent="0.35">
      <c r="E2338" s="83"/>
      <c r="F2338" s="83"/>
      <c r="G2338" s="76"/>
      <c r="H2338" s="76"/>
      <c r="I2338" s="76"/>
      <c r="J2338" s="76"/>
      <c r="K2338" s="76"/>
      <c r="L2338" s="76"/>
      <c r="M2338" s="76"/>
      <c r="N2338" s="76"/>
      <c r="O2338" s="76"/>
      <c r="P2338" s="76"/>
      <c r="Q2338" s="76"/>
      <c r="R2338" s="76"/>
      <c r="S2338" s="76"/>
      <c r="T2338" s="76"/>
      <c r="U2338" s="76"/>
      <c r="V2338" s="76"/>
      <c r="W2338" s="76"/>
      <c r="X2338" s="76"/>
      <c r="Y2338" s="76"/>
      <c r="Z2338" s="76"/>
      <c r="AA2338" s="76"/>
      <c r="AB2338" s="76"/>
      <c r="AC2338" s="76"/>
      <c r="AD2338" s="76"/>
      <c r="AE2338" s="76"/>
      <c r="AF2338" s="76"/>
      <c r="AG2338" s="76"/>
      <c r="AH2338" s="76"/>
      <c r="AI2338" s="76"/>
      <c r="AJ2338" s="76"/>
      <c r="AK2338" s="76"/>
      <c r="AL2338" s="76"/>
      <c r="AM2338" s="76"/>
      <c r="AN2338" s="76"/>
      <c r="AO2338" s="76"/>
      <c r="AP2338" s="76"/>
      <c r="AQ2338" s="76"/>
      <c r="AR2338" s="76"/>
      <c r="AS2338" s="76"/>
      <c r="AT2338" s="76"/>
      <c r="AU2338" s="76"/>
      <c r="AV2338" s="76"/>
      <c r="AW2338" s="76"/>
      <c r="AX2338" s="76"/>
      <c r="AY2338" s="76"/>
      <c r="AZ2338" s="76"/>
      <c r="BA2338" s="76"/>
      <c r="BB2338" s="76"/>
    </row>
    <row r="2339" spans="5:54" x14ac:dyDescent="0.35">
      <c r="E2339" s="83"/>
      <c r="F2339" s="83"/>
      <c r="G2339" s="76"/>
      <c r="H2339" s="76"/>
      <c r="I2339" s="76"/>
      <c r="J2339" s="76"/>
      <c r="K2339" s="76"/>
      <c r="L2339" s="76"/>
      <c r="M2339" s="76"/>
      <c r="N2339" s="76"/>
      <c r="O2339" s="76"/>
      <c r="P2339" s="76"/>
      <c r="Q2339" s="76"/>
      <c r="R2339" s="76"/>
      <c r="S2339" s="76"/>
      <c r="T2339" s="76"/>
      <c r="U2339" s="76"/>
      <c r="V2339" s="76"/>
      <c r="W2339" s="76"/>
      <c r="X2339" s="76"/>
      <c r="Y2339" s="76"/>
      <c r="Z2339" s="76"/>
      <c r="AA2339" s="76"/>
      <c r="AB2339" s="76"/>
      <c r="AC2339" s="76"/>
      <c r="AD2339" s="76"/>
      <c r="AE2339" s="76"/>
      <c r="AF2339" s="76"/>
      <c r="AG2339" s="76"/>
      <c r="AH2339" s="76"/>
      <c r="AI2339" s="76"/>
      <c r="AJ2339" s="76"/>
      <c r="AK2339" s="76"/>
      <c r="AL2339" s="76"/>
      <c r="AM2339" s="76"/>
      <c r="AN2339" s="76"/>
      <c r="AO2339" s="76"/>
      <c r="AP2339" s="76"/>
      <c r="AQ2339" s="76"/>
      <c r="AR2339" s="76"/>
      <c r="AS2339" s="76"/>
      <c r="AT2339" s="76"/>
      <c r="AU2339" s="76"/>
      <c r="AV2339" s="76"/>
      <c r="AW2339" s="76"/>
      <c r="AX2339" s="76"/>
      <c r="AY2339" s="76"/>
      <c r="AZ2339" s="76"/>
      <c r="BA2339" s="76"/>
      <c r="BB2339" s="76"/>
    </row>
    <row r="2340" spans="5:54" x14ac:dyDescent="0.35">
      <c r="E2340" s="83"/>
      <c r="F2340" s="83"/>
      <c r="G2340" s="76"/>
      <c r="H2340" s="76"/>
      <c r="I2340" s="76"/>
      <c r="J2340" s="76"/>
      <c r="K2340" s="76"/>
      <c r="L2340" s="76"/>
      <c r="M2340" s="76"/>
      <c r="N2340" s="76"/>
      <c r="O2340" s="76"/>
      <c r="P2340" s="76"/>
      <c r="Q2340" s="76"/>
      <c r="R2340" s="76"/>
      <c r="S2340" s="76"/>
      <c r="T2340" s="76"/>
      <c r="U2340" s="76"/>
      <c r="V2340" s="76"/>
      <c r="W2340" s="76"/>
      <c r="X2340" s="76"/>
      <c r="Y2340" s="76"/>
      <c r="Z2340" s="76"/>
      <c r="AA2340" s="76"/>
      <c r="AB2340" s="76"/>
      <c r="AC2340" s="76"/>
      <c r="AD2340" s="76"/>
      <c r="AE2340" s="76"/>
      <c r="AF2340" s="76"/>
      <c r="AG2340" s="76"/>
      <c r="AH2340" s="76"/>
      <c r="AI2340" s="76"/>
      <c r="AJ2340" s="76"/>
      <c r="AK2340" s="76"/>
      <c r="AL2340" s="76"/>
      <c r="AM2340" s="76"/>
      <c r="AN2340" s="76"/>
      <c r="AO2340" s="76"/>
      <c r="AP2340" s="76"/>
      <c r="AQ2340" s="76"/>
      <c r="AR2340" s="76"/>
      <c r="AS2340" s="76"/>
      <c r="AT2340" s="76"/>
      <c r="AU2340" s="76"/>
      <c r="AV2340" s="76"/>
      <c r="AW2340" s="76"/>
      <c r="AX2340" s="76"/>
      <c r="AY2340" s="76"/>
      <c r="AZ2340" s="76"/>
      <c r="BA2340" s="76"/>
      <c r="BB2340" s="76"/>
    </row>
    <row r="2341" spans="5:54" x14ac:dyDescent="0.35">
      <c r="E2341" s="83"/>
      <c r="F2341" s="83"/>
      <c r="G2341" s="76"/>
      <c r="H2341" s="76"/>
      <c r="I2341" s="76"/>
      <c r="J2341" s="76"/>
      <c r="K2341" s="76"/>
      <c r="L2341" s="76"/>
      <c r="M2341" s="76"/>
      <c r="N2341" s="76"/>
      <c r="O2341" s="76"/>
      <c r="P2341" s="76"/>
      <c r="Q2341" s="76"/>
      <c r="R2341" s="76"/>
      <c r="S2341" s="76"/>
      <c r="T2341" s="76"/>
      <c r="U2341" s="76"/>
      <c r="V2341" s="76"/>
      <c r="W2341" s="76"/>
      <c r="X2341" s="76"/>
      <c r="Y2341" s="76"/>
      <c r="Z2341" s="76"/>
      <c r="AA2341" s="76"/>
      <c r="AB2341" s="76"/>
      <c r="AC2341" s="76"/>
      <c r="AD2341" s="76"/>
      <c r="AE2341" s="76"/>
      <c r="AF2341" s="76"/>
      <c r="AG2341" s="76"/>
      <c r="AH2341" s="76"/>
      <c r="AI2341" s="76"/>
      <c r="AJ2341" s="76"/>
      <c r="AK2341" s="76"/>
      <c r="AL2341" s="76"/>
      <c r="AM2341" s="76"/>
      <c r="AN2341" s="76"/>
      <c r="AO2341" s="76"/>
      <c r="AP2341" s="76"/>
      <c r="AQ2341" s="76"/>
      <c r="AR2341" s="76"/>
      <c r="AS2341" s="76"/>
      <c r="AT2341" s="76"/>
      <c r="AU2341" s="76"/>
      <c r="AV2341" s="76"/>
      <c r="AW2341" s="76"/>
      <c r="AX2341" s="76"/>
      <c r="AY2341" s="76"/>
      <c r="AZ2341" s="76"/>
      <c r="BA2341" s="76"/>
      <c r="BB2341" s="76"/>
    </row>
    <row r="2342" spans="5:54" x14ac:dyDescent="0.35">
      <c r="E2342" s="83"/>
      <c r="F2342" s="83"/>
      <c r="G2342" s="76"/>
      <c r="H2342" s="76"/>
      <c r="I2342" s="76"/>
      <c r="J2342" s="76"/>
      <c r="K2342" s="76"/>
      <c r="L2342" s="76"/>
      <c r="M2342" s="76"/>
      <c r="N2342" s="76"/>
      <c r="O2342" s="76"/>
      <c r="P2342" s="76"/>
      <c r="Q2342" s="76"/>
      <c r="R2342" s="76"/>
      <c r="S2342" s="76"/>
      <c r="T2342" s="76"/>
      <c r="U2342" s="76"/>
      <c r="V2342" s="76"/>
      <c r="W2342" s="76"/>
      <c r="X2342" s="76"/>
      <c r="Y2342" s="76"/>
      <c r="Z2342" s="76"/>
      <c r="AA2342" s="76"/>
      <c r="AB2342" s="76"/>
      <c r="AC2342" s="76"/>
      <c r="AD2342" s="76"/>
      <c r="AE2342" s="76"/>
      <c r="AF2342" s="76"/>
      <c r="AG2342" s="76"/>
      <c r="AH2342" s="76"/>
      <c r="AI2342" s="76"/>
      <c r="AJ2342" s="76"/>
      <c r="AK2342" s="76"/>
      <c r="AL2342" s="76"/>
      <c r="AM2342" s="76"/>
      <c r="AN2342" s="76"/>
      <c r="AO2342" s="76"/>
      <c r="AP2342" s="76"/>
      <c r="AQ2342" s="76"/>
      <c r="AR2342" s="76"/>
      <c r="AS2342" s="76"/>
      <c r="AT2342" s="76"/>
      <c r="AU2342" s="76"/>
      <c r="AV2342" s="76"/>
      <c r="AW2342" s="76"/>
      <c r="AX2342" s="76"/>
      <c r="AY2342" s="76"/>
      <c r="AZ2342" s="76"/>
      <c r="BA2342" s="76"/>
      <c r="BB2342" s="76"/>
    </row>
    <row r="2343" spans="5:54" x14ac:dyDescent="0.35">
      <c r="E2343" s="83"/>
      <c r="F2343" s="83"/>
      <c r="G2343" s="76"/>
      <c r="H2343" s="76"/>
      <c r="I2343" s="76"/>
      <c r="J2343" s="76"/>
      <c r="K2343" s="76"/>
      <c r="L2343" s="76"/>
      <c r="M2343" s="76"/>
      <c r="N2343" s="76"/>
      <c r="O2343" s="76"/>
      <c r="P2343" s="76"/>
      <c r="Q2343" s="76"/>
      <c r="R2343" s="76"/>
      <c r="S2343" s="76"/>
      <c r="T2343" s="76"/>
      <c r="U2343" s="76"/>
      <c r="V2343" s="76"/>
      <c r="W2343" s="76"/>
      <c r="X2343" s="76"/>
      <c r="Y2343" s="76"/>
      <c r="Z2343" s="76"/>
      <c r="AA2343" s="76"/>
      <c r="AB2343" s="76"/>
      <c r="AC2343" s="76"/>
      <c r="AD2343" s="76"/>
      <c r="AE2343" s="76"/>
      <c r="AF2343" s="76"/>
      <c r="AG2343" s="76"/>
      <c r="AH2343" s="76"/>
      <c r="AI2343" s="76"/>
      <c r="AJ2343" s="76"/>
      <c r="AK2343" s="76"/>
      <c r="AL2343" s="76"/>
      <c r="AM2343" s="76"/>
      <c r="AN2343" s="76"/>
      <c r="AO2343" s="76"/>
      <c r="AP2343" s="76"/>
      <c r="AQ2343" s="76"/>
      <c r="AR2343" s="76"/>
      <c r="AS2343" s="76"/>
      <c r="AT2343" s="76"/>
      <c r="AU2343" s="76"/>
      <c r="AV2343" s="76"/>
      <c r="AW2343" s="76"/>
      <c r="AX2343" s="76"/>
      <c r="AY2343" s="76"/>
      <c r="AZ2343" s="76"/>
      <c r="BA2343" s="76"/>
      <c r="BB2343" s="76"/>
    </row>
    <row r="2344" spans="5:54" x14ac:dyDescent="0.35">
      <c r="E2344" s="83"/>
      <c r="F2344" s="83"/>
      <c r="G2344" s="76"/>
      <c r="H2344" s="76"/>
      <c r="I2344" s="76"/>
      <c r="J2344" s="76"/>
      <c r="K2344" s="76"/>
      <c r="L2344" s="76"/>
      <c r="M2344" s="76"/>
      <c r="N2344" s="76"/>
      <c r="O2344" s="76"/>
      <c r="P2344" s="76"/>
      <c r="Q2344" s="76"/>
      <c r="R2344" s="76"/>
      <c r="S2344" s="76"/>
      <c r="T2344" s="76"/>
      <c r="U2344" s="76"/>
      <c r="V2344" s="76"/>
      <c r="W2344" s="76"/>
      <c r="X2344" s="76"/>
      <c r="Y2344" s="76"/>
      <c r="Z2344" s="76"/>
      <c r="AA2344" s="76"/>
      <c r="AB2344" s="76"/>
      <c r="AC2344" s="76"/>
      <c r="AD2344" s="76"/>
      <c r="AE2344" s="76"/>
      <c r="AF2344" s="76"/>
      <c r="AG2344" s="76"/>
      <c r="AH2344" s="76"/>
      <c r="AI2344" s="76"/>
      <c r="AJ2344" s="76"/>
      <c r="AK2344" s="76"/>
      <c r="AL2344" s="76"/>
      <c r="AM2344" s="76"/>
      <c r="AN2344" s="76"/>
      <c r="AO2344" s="76"/>
      <c r="AP2344" s="76"/>
      <c r="AQ2344" s="76"/>
      <c r="AR2344" s="76"/>
      <c r="AS2344" s="76"/>
      <c r="AT2344" s="76"/>
      <c r="AU2344" s="76"/>
      <c r="AV2344" s="76"/>
      <c r="AW2344" s="76"/>
      <c r="AX2344" s="76"/>
      <c r="AY2344" s="76"/>
      <c r="AZ2344" s="76"/>
      <c r="BA2344" s="76"/>
      <c r="BB2344" s="76"/>
    </row>
    <row r="2345" spans="5:54" x14ac:dyDescent="0.35">
      <c r="E2345" s="83"/>
      <c r="F2345" s="83"/>
      <c r="G2345" s="76"/>
      <c r="H2345" s="76"/>
      <c r="I2345" s="76"/>
      <c r="J2345" s="76"/>
      <c r="K2345" s="76"/>
      <c r="L2345" s="76"/>
      <c r="M2345" s="76"/>
      <c r="N2345" s="76"/>
      <c r="O2345" s="76"/>
      <c r="P2345" s="76"/>
      <c r="Q2345" s="76"/>
      <c r="R2345" s="76"/>
      <c r="S2345" s="76"/>
      <c r="T2345" s="76"/>
      <c r="U2345" s="76"/>
      <c r="V2345" s="76"/>
      <c r="W2345" s="76"/>
      <c r="X2345" s="76"/>
      <c r="Y2345" s="76"/>
      <c r="Z2345" s="76"/>
      <c r="AA2345" s="76"/>
      <c r="AB2345" s="76"/>
      <c r="AC2345" s="76"/>
      <c r="AD2345" s="76"/>
      <c r="AE2345" s="76"/>
      <c r="AF2345" s="76"/>
      <c r="AG2345" s="76"/>
      <c r="AH2345" s="76"/>
      <c r="AI2345" s="76"/>
      <c r="AJ2345" s="76"/>
      <c r="AK2345" s="76"/>
      <c r="AL2345" s="76"/>
      <c r="AM2345" s="76"/>
      <c r="AN2345" s="76"/>
      <c r="AO2345" s="76"/>
      <c r="AP2345" s="76"/>
      <c r="AQ2345" s="76"/>
      <c r="AR2345" s="76"/>
      <c r="AS2345" s="76"/>
      <c r="AT2345" s="76"/>
      <c r="AU2345" s="76"/>
      <c r="AV2345" s="76"/>
      <c r="AW2345" s="76"/>
      <c r="AX2345" s="76"/>
      <c r="AY2345" s="76"/>
      <c r="AZ2345" s="76"/>
      <c r="BA2345" s="76"/>
      <c r="BB2345" s="76"/>
    </row>
    <row r="2346" spans="5:54" x14ac:dyDescent="0.35">
      <c r="E2346" s="83"/>
      <c r="F2346" s="83"/>
      <c r="G2346" s="76"/>
      <c r="H2346" s="76"/>
      <c r="I2346" s="76"/>
      <c r="J2346" s="76"/>
      <c r="K2346" s="76"/>
      <c r="L2346" s="76"/>
      <c r="M2346" s="76"/>
      <c r="N2346" s="76"/>
      <c r="O2346" s="76"/>
      <c r="P2346" s="76"/>
      <c r="Q2346" s="76"/>
      <c r="R2346" s="76"/>
      <c r="S2346" s="76"/>
      <c r="T2346" s="76"/>
      <c r="U2346" s="76"/>
      <c r="V2346" s="76"/>
      <c r="W2346" s="76"/>
      <c r="X2346" s="76"/>
      <c r="Y2346" s="76"/>
      <c r="Z2346" s="76"/>
      <c r="AA2346" s="76"/>
      <c r="AB2346" s="76"/>
      <c r="AC2346" s="76"/>
      <c r="AD2346" s="76"/>
      <c r="AE2346" s="76"/>
      <c r="AF2346" s="76"/>
      <c r="AG2346" s="76"/>
      <c r="AH2346" s="76"/>
      <c r="AI2346" s="76"/>
      <c r="AJ2346" s="76"/>
      <c r="AK2346" s="76"/>
      <c r="AL2346" s="76"/>
      <c r="AM2346" s="76"/>
      <c r="AN2346" s="76"/>
      <c r="AO2346" s="76"/>
      <c r="AP2346" s="76"/>
      <c r="AQ2346" s="76"/>
      <c r="AR2346" s="76"/>
      <c r="AS2346" s="76"/>
      <c r="AT2346" s="76"/>
      <c r="AU2346" s="76"/>
      <c r="AV2346" s="76"/>
      <c r="AW2346" s="76"/>
      <c r="AX2346" s="76"/>
      <c r="AY2346" s="76"/>
      <c r="AZ2346" s="76"/>
      <c r="BA2346" s="76"/>
      <c r="BB2346" s="76"/>
    </row>
    <row r="2347" spans="5:54" x14ac:dyDescent="0.35">
      <c r="E2347" s="83"/>
      <c r="F2347" s="83"/>
      <c r="G2347" s="76"/>
      <c r="H2347" s="76"/>
      <c r="I2347" s="76"/>
      <c r="J2347" s="76"/>
      <c r="K2347" s="76"/>
      <c r="L2347" s="76"/>
      <c r="M2347" s="76"/>
      <c r="N2347" s="76"/>
      <c r="O2347" s="76"/>
      <c r="P2347" s="76"/>
      <c r="Q2347" s="76"/>
      <c r="R2347" s="76"/>
      <c r="S2347" s="76"/>
      <c r="T2347" s="76"/>
      <c r="U2347" s="76"/>
      <c r="V2347" s="76"/>
      <c r="W2347" s="76"/>
      <c r="X2347" s="76"/>
      <c r="Y2347" s="76"/>
      <c r="Z2347" s="76"/>
      <c r="AA2347" s="76"/>
      <c r="AB2347" s="76"/>
      <c r="AC2347" s="76"/>
      <c r="AD2347" s="76"/>
      <c r="AE2347" s="76"/>
      <c r="AF2347" s="76"/>
      <c r="AG2347" s="76"/>
      <c r="AH2347" s="76"/>
      <c r="AI2347" s="76"/>
      <c r="AJ2347" s="76"/>
      <c r="AK2347" s="76"/>
      <c r="AL2347" s="76"/>
      <c r="AM2347" s="76"/>
      <c r="AN2347" s="76"/>
      <c r="AO2347" s="76"/>
      <c r="AP2347" s="76"/>
      <c r="AQ2347" s="76"/>
      <c r="AR2347" s="76"/>
      <c r="AS2347" s="76"/>
      <c r="AT2347" s="76"/>
      <c r="AU2347" s="76"/>
      <c r="AV2347" s="76"/>
      <c r="AW2347" s="76"/>
      <c r="AX2347" s="76"/>
      <c r="AY2347" s="76"/>
      <c r="AZ2347" s="76"/>
      <c r="BA2347" s="76"/>
      <c r="BB2347" s="76"/>
    </row>
    <row r="2348" spans="5:54" x14ac:dyDescent="0.35">
      <c r="E2348" s="83"/>
      <c r="F2348" s="83"/>
      <c r="G2348" s="76"/>
      <c r="H2348" s="76"/>
      <c r="I2348" s="76"/>
      <c r="J2348" s="76"/>
      <c r="K2348" s="76"/>
      <c r="L2348" s="76"/>
      <c r="M2348" s="76"/>
      <c r="N2348" s="76"/>
      <c r="O2348" s="76"/>
      <c r="P2348" s="76"/>
      <c r="Q2348" s="76"/>
      <c r="R2348" s="76"/>
      <c r="S2348" s="76"/>
      <c r="T2348" s="76"/>
      <c r="U2348" s="76"/>
      <c r="V2348" s="76"/>
      <c r="W2348" s="76"/>
      <c r="X2348" s="76"/>
      <c r="Y2348" s="76"/>
      <c r="Z2348" s="76"/>
      <c r="AA2348" s="76"/>
      <c r="AB2348" s="76"/>
      <c r="AC2348" s="76"/>
      <c r="AD2348" s="76"/>
      <c r="AE2348" s="76"/>
      <c r="AF2348" s="76"/>
      <c r="AG2348" s="76"/>
      <c r="AH2348" s="76"/>
      <c r="AI2348" s="76"/>
      <c r="AJ2348" s="76"/>
      <c r="AK2348" s="76"/>
      <c r="AL2348" s="76"/>
      <c r="AM2348" s="76"/>
      <c r="AN2348" s="76"/>
      <c r="AO2348" s="76"/>
      <c r="AP2348" s="76"/>
      <c r="AQ2348" s="76"/>
      <c r="AR2348" s="76"/>
      <c r="AS2348" s="76"/>
      <c r="AT2348" s="76"/>
      <c r="AU2348" s="76"/>
      <c r="AV2348" s="76"/>
      <c r="AW2348" s="76"/>
      <c r="AX2348" s="76"/>
      <c r="AY2348" s="76"/>
      <c r="AZ2348" s="76"/>
      <c r="BA2348" s="76"/>
      <c r="BB2348" s="76"/>
    </row>
    <row r="2349" spans="5:54" x14ac:dyDescent="0.35">
      <c r="E2349" s="83"/>
      <c r="F2349" s="83"/>
      <c r="G2349" s="76"/>
      <c r="H2349" s="76"/>
      <c r="I2349" s="76"/>
      <c r="J2349" s="76"/>
      <c r="K2349" s="76"/>
      <c r="L2349" s="76"/>
      <c r="M2349" s="76"/>
      <c r="N2349" s="76"/>
      <c r="O2349" s="76"/>
      <c r="P2349" s="76"/>
      <c r="Q2349" s="76"/>
      <c r="R2349" s="76"/>
      <c r="S2349" s="76"/>
      <c r="T2349" s="76"/>
      <c r="U2349" s="76"/>
      <c r="V2349" s="76"/>
      <c r="W2349" s="76"/>
      <c r="X2349" s="76"/>
      <c r="Y2349" s="76"/>
      <c r="Z2349" s="76"/>
      <c r="AA2349" s="76"/>
      <c r="AB2349" s="76"/>
      <c r="AC2349" s="76"/>
      <c r="AD2349" s="76"/>
      <c r="AE2349" s="76"/>
      <c r="AF2349" s="76"/>
      <c r="AG2349" s="76"/>
      <c r="AH2349" s="76"/>
      <c r="AI2349" s="76"/>
      <c r="AJ2349" s="76"/>
      <c r="AK2349" s="76"/>
      <c r="AL2349" s="76"/>
      <c r="AM2349" s="76"/>
      <c r="AN2349" s="76"/>
      <c r="AO2349" s="76"/>
      <c r="AP2349" s="76"/>
      <c r="AQ2349" s="76"/>
      <c r="AR2349" s="76"/>
      <c r="AS2349" s="76"/>
      <c r="AT2349" s="76"/>
      <c r="AU2349" s="76"/>
      <c r="AV2349" s="76"/>
      <c r="AW2349" s="76"/>
      <c r="AX2349" s="76"/>
      <c r="AY2349" s="76"/>
      <c r="AZ2349" s="76"/>
      <c r="BA2349" s="76"/>
      <c r="BB2349" s="76"/>
    </row>
    <row r="2350" spans="5:54" x14ac:dyDescent="0.35">
      <c r="E2350" s="83"/>
      <c r="F2350" s="83"/>
      <c r="G2350" s="76"/>
      <c r="H2350" s="76"/>
      <c r="I2350" s="76"/>
      <c r="J2350" s="76"/>
      <c r="K2350" s="76"/>
      <c r="L2350" s="76"/>
      <c r="M2350" s="76"/>
      <c r="N2350" s="76"/>
      <c r="O2350" s="76"/>
      <c r="P2350" s="76"/>
      <c r="Q2350" s="76"/>
      <c r="R2350" s="76"/>
      <c r="S2350" s="76"/>
      <c r="T2350" s="76"/>
      <c r="U2350" s="76"/>
      <c r="V2350" s="76"/>
      <c r="W2350" s="76"/>
      <c r="X2350" s="76"/>
      <c r="Y2350" s="76"/>
      <c r="Z2350" s="76"/>
      <c r="AA2350" s="76"/>
      <c r="AB2350" s="76"/>
      <c r="AC2350" s="76"/>
      <c r="AD2350" s="76"/>
      <c r="AE2350" s="76"/>
      <c r="AF2350" s="76"/>
      <c r="AG2350" s="76"/>
      <c r="AH2350" s="76"/>
      <c r="AI2350" s="76"/>
      <c r="AJ2350" s="76"/>
      <c r="AK2350" s="76"/>
      <c r="AL2350" s="76"/>
      <c r="AM2350" s="76"/>
      <c r="AN2350" s="76"/>
      <c r="AO2350" s="76"/>
      <c r="AP2350" s="76"/>
      <c r="AQ2350" s="76"/>
      <c r="AR2350" s="76"/>
      <c r="AS2350" s="76"/>
      <c r="AT2350" s="76"/>
      <c r="AU2350" s="76"/>
      <c r="AV2350" s="76"/>
      <c r="AW2350" s="76"/>
      <c r="AX2350" s="76"/>
      <c r="AY2350" s="76"/>
      <c r="AZ2350" s="76"/>
      <c r="BA2350" s="76"/>
      <c r="BB2350" s="76"/>
    </row>
    <row r="2351" spans="5:54" x14ac:dyDescent="0.35">
      <c r="E2351" s="83"/>
      <c r="F2351" s="83"/>
      <c r="G2351" s="76"/>
      <c r="H2351" s="76"/>
      <c r="I2351" s="76"/>
      <c r="J2351" s="76"/>
      <c r="K2351" s="76"/>
      <c r="L2351" s="76"/>
      <c r="M2351" s="76"/>
      <c r="N2351" s="76"/>
      <c r="O2351" s="76"/>
      <c r="P2351" s="76"/>
      <c r="Q2351" s="76"/>
      <c r="R2351" s="76"/>
      <c r="S2351" s="76"/>
      <c r="T2351" s="76"/>
      <c r="U2351" s="76"/>
      <c r="V2351" s="76"/>
      <c r="W2351" s="76"/>
      <c r="X2351" s="76"/>
      <c r="Y2351" s="76"/>
      <c r="Z2351" s="76"/>
      <c r="AA2351" s="76"/>
      <c r="AB2351" s="76"/>
      <c r="AC2351" s="76"/>
      <c r="AD2351" s="76"/>
      <c r="AE2351" s="76"/>
      <c r="AF2351" s="76"/>
      <c r="AG2351" s="76"/>
      <c r="AH2351" s="76"/>
      <c r="AI2351" s="76"/>
      <c r="AJ2351" s="76"/>
      <c r="AK2351" s="76"/>
      <c r="AL2351" s="76"/>
      <c r="AM2351" s="76"/>
      <c r="AN2351" s="76"/>
      <c r="AO2351" s="76"/>
      <c r="AP2351" s="76"/>
      <c r="AQ2351" s="76"/>
      <c r="AR2351" s="76"/>
      <c r="AS2351" s="76"/>
      <c r="AT2351" s="76"/>
      <c r="AU2351" s="76"/>
      <c r="AV2351" s="76"/>
      <c r="AW2351" s="76"/>
      <c r="AX2351" s="76"/>
      <c r="AY2351" s="76"/>
      <c r="AZ2351" s="76"/>
      <c r="BA2351" s="76"/>
      <c r="BB2351" s="76"/>
    </row>
    <row r="2352" spans="5:54" x14ac:dyDescent="0.35">
      <c r="E2352" s="83"/>
      <c r="F2352" s="83"/>
      <c r="G2352" s="76"/>
      <c r="H2352" s="76"/>
      <c r="I2352" s="76"/>
      <c r="J2352" s="76"/>
      <c r="K2352" s="76"/>
      <c r="L2352" s="76"/>
      <c r="M2352" s="76"/>
      <c r="N2352" s="76"/>
      <c r="O2352" s="76"/>
      <c r="P2352" s="76"/>
      <c r="Q2352" s="76"/>
      <c r="R2352" s="76"/>
      <c r="S2352" s="76"/>
      <c r="T2352" s="76"/>
      <c r="U2352" s="76"/>
      <c r="V2352" s="76"/>
      <c r="W2352" s="76"/>
      <c r="X2352" s="76"/>
      <c r="Y2352" s="76"/>
      <c r="Z2352" s="76"/>
      <c r="AA2352" s="76"/>
      <c r="AB2352" s="76"/>
      <c r="AC2352" s="76"/>
      <c r="AD2352" s="76"/>
      <c r="AE2352" s="76"/>
      <c r="AF2352" s="76"/>
      <c r="AG2352" s="76"/>
      <c r="AH2352" s="76"/>
      <c r="AI2352" s="76"/>
      <c r="AJ2352" s="76"/>
      <c r="AK2352" s="76"/>
      <c r="AL2352" s="76"/>
      <c r="AM2352" s="76"/>
      <c r="AN2352" s="76"/>
      <c r="AO2352" s="76"/>
      <c r="AP2352" s="76"/>
      <c r="AQ2352" s="76"/>
      <c r="AR2352" s="76"/>
      <c r="AS2352" s="76"/>
      <c r="AT2352" s="76"/>
      <c r="AU2352" s="76"/>
      <c r="AV2352" s="76"/>
      <c r="AW2352" s="76"/>
      <c r="AX2352" s="76"/>
      <c r="AY2352" s="76"/>
      <c r="AZ2352" s="76"/>
      <c r="BA2352" s="76"/>
      <c r="BB2352" s="76"/>
    </row>
    <row r="2353" spans="5:54" x14ac:dyDescent="0.35">
      <c r="E2353" s="83"/>
      <c r="F2353" s="83"/>
      <c r="G2353" s="76"/>
      <c r="H2353" s="76"/>
      <c r="I2353" s="76"/>
      <c r="J2353" s="76"/>
      <c r="K2353" s="76"/>
      <c r="L2353" s="76"/>
      <c r="M2353" s="76"/>
      <c r="N2353" s="76"/>
      <c r="O2353" s="76"/>
      <c r="P2353" s="76"/>
      <c r="Q2353" s="76"/>
      <c r="R2353" s="76"/>
      <c r="S2353" s="76"/>
      <c r="T2353" s="76"/>
      <c r="U2353" s="76"/>
      <c r="V2353" s="76"/>
      <c r="W2353" s="76"/>
      <c r="X2353" s="76"/>
      <c r="Y2353" s="76"/>
      <c r="Z2353" s="76"/>
      <c r="AA2353" s="76"/>
      <c r="AB2353" s="76"/>
      <c r="AC2353" s="76"/>
      <c r="AD2353" s="76"/>
      <c r="AE2353" s="76"/>
      <c r="AF2353" s="76"/>
      <c r="AG2353" s="76"/>
      <c r="AH2353" s="76"/>
      <c r="AI2353" s="76"/>
      <c r="AJ2353" s="76"/>
      <c r="AK2353" s="76"/>
      <c r="AL2353" s="76"/>
      <c r="AM2353" s="76"/>
      <c r="AN2353" s="76"/>
      <c r="AO2353" s="76"/>
      <c r="AP2353" s="76"/>
      <c r="AQ2353" s="76"/>
      <c r="AR2353" s="76"/>
      <c r="AS2353" s="76"/>
      <c r="AT2353" s="76"/>
      <c r="AU2353" s="76"/>
      <c r="AV2353" s="76"/>
      <c r="AW2353" s="76"/>
      <c r="AX2353" s="76"/>
      <c r="AY2353" s="76"/>
      <c r="AZ2353" s="76"/>
      <c r="BA2353" s="76"/>
      <c r="BB2353" s="76"/>
    </row>
    <row r="2354" spans="5:54" x14ac:dyDescent="0.35">
      <c r="E2354" s="83"/>
      <c r="F2354" s="83"/>
      <c r="G2354" s="76"/>
      <c r="H2354" s="76"/>
      <c r="I2354" s="76"/>
      <c r="J2354" s="76"/>
      <c r="K2354" s="76"/>
      <c r="L2354" s="76"/>
      <c r="M2354" s="76"/>
      <c r="N2354" s="76"/>
      <c r="O2354" s="76"/>
      <c r="P2354" s="76"/>
      <c r="Q2354" s="76"/>
      <c r="R2354" s="76"/>
      <c r="S2354" s="76"/>
      <c r="T2354" s="76"/>
      <c r="U2354" s="76"/>
      <c r="V2354" s="76"/>
      <c r="W2354" s="76"/>
      <c r="X2354" s="76"/>
      <c r="Y2354" s="76"/>
      <c r="Z2354" s="76"/>
      <c r="AA2354" s="76"/>
      <c r="AB2354" s="76"/>
      <c r="AC2354" s="76"/>
      <c r="AD2354" s="76"/>
      <c r="AE2354" s="76"/>
      <c r="AF2354" s="76"/>
      <c r="AG2354" s="76"/>
      <c r="AH2354" s="76"/>
      <c r="AI2354" s="76"/>
      <c r="AJ2354" s="76"/>
      <c r="AK2354" s="76"/>
      <c r="AL2354" s="76"/>
      <c r="AM2354" s="76"/>
      <c r="AN2354" s="76"/>
      <c r="AO2354" s="76"/>
      <c r="AP2354" s="76"/>
      <c r="AQ2354" s="76"/>
      <c r="AR2354" s="76"/>
      <c r="AS2354" s="76"/>
      <c r="AT2354" s="76"/>
      <c r="AU2354" s="76"/>
      <c r="AV2354" s="76"/>
      <c r="AW2354" s="76"/>
      <c r="AX2354" s="76"/>
      <c r="AY2354" s="76"/>
      <c r="AZ2354" s="76"/>
      <c r="BA2354" s="76"/>
      <c r="BB2354" s="76"/>
    </row>
    <row r="2355" spans="5:54" x14ac:dyDescent="0.35">
      <c r="E2355" s="83"/>
      <c r="F2355" s="83"/>
      <c r="G2355" s="76"/>
      <c r="H2355" s="76"/>
      <c r="I2355" s="76"/>
      <c r="J2355" s="76"/>
      <c r="K2355" s="76"/>
      <c r="L2355" s="76"/>
      <c r="M2355" s="76"/>
      <c r="N2355" s="76"/>
      <c r="O2355" s="76"/>
      <c r="P2355" s="76"/>
      <c r="Q2355" s="76"/>
      <c r="R2355" s="76"/>
      <c r="S2355" s="76"/>
      <c r="T2355" s="76"/>
      <c r="U2355" s="76"/>
      <c r="V2355" s="76"/>
      <c r="W2355" s="76"/>
      <c r="X2355" s="76"/>
      <c r="Y2355" s="76"/>
      <c r="Z2355" s="76"/>
      <c r="AA2355" s="76"/>
      <c r="AB2355" s="76"/>
      <c r="AC2355" s="76"/>
      <c r="AD2355" s="76"/>
      <c r="AE2355" s="76"/>
      <c r="AF2355" s="76"/>
      <c r="AG2355" s="76"/>
      <c r="AH2355" s="76"/>
      <c r="AI2355" s="76"/>
      <c r="AJ2355" s="76"/>
      <c r="AK2355" s="76"/>
      <c r="AL2355" s="76"/>
      <c r="AM2355" s="76"/>
      <c r="AN2355" s="76"/>
      <c r="AO2355" s="76"/>
      <c r="AP2355" s="76"/>
      <c r="AQ2355" s="76"/>
      <c r="AR2355" s="76"/>
      <c r="AS2355" s="76"/>
      <c r="AT2355" s="76"/>
      <c r="AU2355" s="76"/>
      <c r="AV2355" s="76"/>
      <c r="AW2355" s="76"/>
      <c r="AX2355" s="76"/>
      <c r="AY2355" s="76"/>
      <c r="AZ2355" s="76"/>
      <c r="BA2355" s="76"/>
      <c r="BB2355" s="76"/>
    </row>
    <row r="2356" spans="5:54" x14ac:dyDescent="0.35">
      <c r="E2356" s="83"/>
      <c r="F2356" s="83"/>
      <c r="G2356" s="76"/>
      <c r="H2356" s="76"/>
      <c r="I2356" s="76"/>
      <c r="J2356" s="76"/>
      <c r="K2356" s="76"/>
      <c r="L2356" s="76"/>
      <c r="M2356" s="76"/>
      <c r="N2356" s="76"/>
      <c r="O2356" s="76"/>
      <c r="P2356" s="76"/>
      <c r="Q2356" s="76"/>
      <c r="R2356" s="76"/>
      <c r="S2356" s="76"/>
      <c r="T2356" s="76"/>
      <c r="U2356" s="76"/>
      <c r="V2356" s="76"/>
      <c r="W2356" s="76"/>
      <c r="X2356" s="76"/>
      <c r="Y2356" s="76"/>
      <c r="Z2356" s="76"/>
      <c r="AA2356" s="76"/>
      <c r="AB2356" s="76"/>
      <c r="AC2356" s="76"/>
      <c r="AD2356" s="76"/>
      <c r="AE2356" s="76"/>
      <c r="AF2356" s="76"/>
      <c r="AG2356" s="76"/>
      <c r="AH2356" s="76"/>
      <c r="AI2356" s="76"/>
      <c r="AJ2356" s="76"/>
      <c r="AK2356" s="76"/>
      <c r="AL2356" s="76"/>
      <c r="AM2356" s="76"/>
      <c r="AN2356" s="76"/>
      <c r="AO2356" s="76"/>
      <c r="AP2356" s="76"/>
      <c r="AQ2356" s="76"/>
      <c r="AR2356" s="76"/>
      <c r="AS2356" s="76"/>
      <c r="AT2356" s="76"/>
      <c r="AU2356" s="76"/>
      <c r="AV2356" s="76"/>
      <c r="AW2356" s="76"/>
      <c r="AX2356" s="76"/>
      <c r="AY2356" s="76"/>
      <c r="AZ2356" s="76"/>
      <c r="BA2356" s="76"/>
      <c r="BB2356" s="76"/>
    </row>
    <row r="2357" spans="5:54" x14ac:dyDescent="0.35">
      <c r="E2357" s="83"/>
      <c r="F2357" s="83"/>
      <c r="G2357" s="76"/>
      <c r="H2357" s="76"/>
      <c r="I2357" s="76"/>
      <c r="J2357" s="76"/>
      <c r="K2357" s="76"/>
      <c r="L2357" s="76"/>
      <c r="M2357" s="76"/>
      <c r="N2357" s="76"/>
      <c r="O2357" s="76"/>
      <c r="P2357" s="76"/>
      <c r="Q2357" s="76"/>
      <c r="R2357" s="76"/>
      <c r="S2357" s="76"/>
      <c r="T2357" s="76"/>
      <c r="U2357" s="76"/>
      <c r="V2357" s="76"/>
      <c r="W2357" s="76"/>
      <c r="X2357" s="76"/>
      <c r="Y2357" s="76"/>
      <c r="Z2357" s="76"/>
      <c r="AA2357" s="76"/>
      <c r="AB2357" s="76"/>
      <c r="AC2357" s="76"/>
      <c r="AD2357" s="76"/>
      <c r="AE2357" s="76"/>
      <c r="AF2357" s="76"/>
      <c r="AG2357" s="76"/>
      <c r="AH2357" s="76"/>
      <c r="AI2357" s="76"/>
      <c r="AJ2357" s="76"/>
      <c r="AK2357" s="76"/>
      <c r="AL2357" s="76"/>
      <c r="AM2357" s="76"/>
      <c r="AN2357" s="76"/>
      <c r="AO2357" s="76"/>
      <c r="AP2357" s="76"/>
      <c r="AQ2357" s="76"/>
      <c r="AR2357" s="76"/>
      <c r="AS2357" s="76"/>
      <c r="AT2357" s="76"/>
      <c r="AU2357" s="76"/>
      <c r="AV2357" s="76"/>
      <c r="AW2357" s="76"/>
      <c r="AX2357" s="76"/>
      <c r="AY2357" s="76"/>
      <c r="AZ2357" s="76"/>
      <c r="BA2357" s="76"/>
      <c r="BB2357" s="76"/>
    </row>
    <row r="2358" spans="5:54" x14ac:dyDescent="0.35">
      <c r="E2358" s="83"/>
      <c r="F2358" s="83"/>
      <c r="G2358" s="76"/>
      <c r="H2358" s="76"/>
      <c r="I2358" s="76"/>
      <c r="J2358" s="76"/>
      <c r="K2358" s="76"/>
      <c r="L2358" s="76"/>
      <c r="M2358" s="76"/>
      <c r="N2358" s="76"/>
      <c r="O2358" s="76"/>
      <c r="P2358" s="76"/>
      <c r="Q2358" s="76"/>
      <c r="R2358" s="76"/>
      <c r="S2358" s="76"/>
      <c r="T2358" s="76"/>
      <c r="U2358" s="76"/>
      <c r="V2358" s="76"/>
      <c r="W2358" s="76"/>
      <c r="X2358" s="76"/>
      <c r="Y2358" s="76"/>
      <c r="Z2358" s="76"/>
      <c r="AA2358" s="76"/>
      <c r="AB2358" s="76"/>
      <c r="AC2358" s="76"/>
      <c r="AD2358" s="76"/>
      <c r="AE2358" s="76"/>
      <c r="AF2358" s="76"/>
      <c r="AG2358" s="76"/>
      <c r="AH2358" s="76"/>
      <c r="AI2358" s="76"/>
      <c r="AJ2358" s="76"/>
      <c r="AK2358" s="76"/>
      <c r="AL2358" s="76"/>
      <c r="AM2358" s="76"/>
      <c r="AN2358" s="76"/>
      <c r="AO2358" s="76"/>
      <c r="AP2358" s="76"/>
      <c r="AQ2358" s="76"/>
      <c r="AR2358" s="76"/>
      <c r="AS2358" s="76"/>
      <c r="AT2358" s="76"/>
      <c r="AU2358" s="76"/>
      <c r="AV2358" s="76"/>
      <c r="AW2358" s="76"/>
      <c r="AX2358" s="76"/>
      <c r="AY2358" s="76"/>
      <c r="AZ2358" s="76"/>
      <c r="BA2358" s="76"/>
      <c r="BB2358" s="76"/>
    </row>
    <row r="2359" spans="5:54" x14ac:dyDescent="0.35">
      <c r="E2359" s="83"/>
      <c r="F2359" s="83"/>
      <c r="G2359" s="76"/>
      <c r="H2359" s="76"/>
      <c r="I2359" s="76"/>
      <c r="J2359" s="76"/>
      <c r="K2359" s="76"/>
      <c r="L2359" s="76"/>
      <c r="M2359" s="76"/>
      <c r="N2359" s="76"/>
      <c r="O2359" s="76"/>
      <c r="P2359" s="76"/>
      <c r="Q2359" s="76"/>
      <c r="R2359" s="76"/>
      <c r="S2359" s="76"/>
      <c r="T2359" s="76"/>
      <c r="U2359" s="76"/>
      <c r="V2359" s="76"/>
      <c r="W2359" s="76"/>
      <c r="X2359" s="76"/>
      <c r="Y2359" s="76"/>
      <c r="Z2359" s="76"/>
      <c r="AA2359" s="76"/>
      <c r="AB2359" s="76"/>
      <c r="AC2359" s="76"/>
      <c r="AD2359" s="76"/>
      <c r="AE2359" s="76"/>
      <c r="AF2359" s="76"/>
      <c r="AG2359" s="76"/>
      <c r="AH2359" s="76"/>
      <c r="AI2359" s="76"/>
      <c r="AJ2359" s="76"/>
      <c r="AK2359" s="76"/>
      <c r="AL2359" s="76"/>
      <c r="AM2359" s="76"/>
      <c r="AN2359" s="76"/>
      <c r="AO2359" s="76"/>
      <c r="AP2359" s="76"/>
      <c r="AQ2359" s="76"/>
      <c r="AR2359" s="76"/>
      <c r="AS2359" s="76"/>
      <c r="AT2359" s="76"/>
      <c r="AU2359" s="76"/>
      <c r="AV2359" s="76"/>
      <c r="AW2359" s="76"/>
      <c r="AX2359" s="76"/>
      <c r="AY2359" s="76"/>
      <c r="AZ2359" s="76"/>
      <c r="BA2359" s="76"/>
      <c r="BB2359" s="76"/>
    </row>
    <row r="2360" spans="5:54" x14ac:dyDescent="0.35">
      <c r="E2360" s="83"/>
      <c r="F2360" s="83"/>
      <c r="G2360" s="76"/>
      <c r="H2360" s="76"/>
      <c r="I2360" s="76"/>
      <c r="J2360" s="76"/>
      <c r="K2360" s="76"/>
      <c r="L2360" s="76"/>
      <c r="M2360" s="76"/>
      <c r="N2360" s="76"/>
      <c r="O2360" s="76"/>
      <c r="P2360" s="76"/>
      <c r="Q2360" s="76"/>
      <c r="R2360" s="76"/>
      <c r="S2360" s="76"/>
      <c r="T2360" s="76"/>
      <c r="U2360" s="76"/>
      <c r="V2360" s="76"/>
      <c r="W2360" s="76"/>
      <c r="X2360" s="76"/>
      <c r="Y2360" s="76"/>
      <c r="Z2360" s="76"/>
      <c r="AA2360" s="76"/>
      <c r="AB2360" s="76"/>
      <c r="AC2360" s="76"/>
      <c r="AD2360" s="76"/>
      <c r="AE2360" s="76"/>
      <c r="AF2360" s="76"/>
      <c r="AG2360" s="76"/>
      <c r="AH2360" s="76"/>
      <c r="AI2360" s="76"/>
      <c r="AJ2360" s="76"/>
      <c r="AK2360" s="76"/>
      <c r="AL2360" s="76"/>
      <c r="AM2360" s="76"/>
      <c r="AN2360" s="76"/>
      <c r="AO2360" s="76"/>
      <c r="AP2360" s="76"/>
      <c r="AQ2360" s="76"/>
      <c r="AR2360" s="76"/>
      <c r="AS2360" s="76"/>
      <c r="AT2360" s="76"/>
      <c r="AU2360" s="76"/>
      <c r="AV2360" s="76"/>
      <c r="AW2360" s="76"/>
      <c r="AX2360" s="76"/>
      <c r="AY2360" s="76"/>
      <c r="AZ2360" s="76"/>
      <c r="BA2360" s="76"/>
      <c r="BB2360" s="76"/>
    </row>
    <row r="2361" spans="5:54" x14ac:dyDescent="0.35">
      <c r="E2361" s="83"/>
      <c r="F2361" s="83"/>
      <c r="G2361" s="76"/>
      <c r="H2361" s="76"/>
      <c r="I2361" s="76"/>
      <c r="J2361" s="76"/>
      <c r="K2361" s="76"/>
      <c r="L2361" s="76"/>
      <c r="M2361" s="76"/>
      <c r="N2361" s="76"/>
      <c r="O2361" s="76"/>
      <c r="P2361" s="76"/>
      <c r="Q2361" s="76"/>
      <c r="R2361" s="76"/>
      <c r="S2361" s="76"/>
      <c r="T2361" s="76"/>
      <c r="U2361" s="76"/>
      <c r="V2361" s="76"/>
      <c r="W2361" s="76"/>
      <c r="X2361" s="76"/>
      <c r="Y2361" s="76"/>
      <c r="Z2361" s="76"/>
      <c r="AA2361" s="76"/>
      <c r="AB2361" s="76"/>
      <c r="AC2361" s="76"/>
      <c r="AD2361" s="76"/>
      <c r="AE2361" s="76"/>
      <c r="AF2361" s="76"/>
      <c r="AG2361" s="76"/>
      <c r="AH2361" s="76"/>
      <c r="AI2361" s="76"/>
      <c r="AJ2361" s="76"/>
      <c r="AK2361" s="76"/>
      <c r="AL2361" s="76"/>
      <c r="AM2361" s="76"/>
      <c r="AN2361" s="76"/>
      <c r="AO2361" s="76"/>
      <c r="AP2361" s="76"/>
      <c r="AQ2361" s="76"/>
      <c r="AR2361" s="76"/>
      <c r="AS2361" s="76"/>
      <c r="AT2361" s="76"/>
      <c r="AU2361" s="76"/>
      <c r="AV2361" s="76"/>
      <c r="AW2361" s="76"/>
      <c r="AX2361" s="76"/>
      <c r="AY2361" s="76"/>
      <c r="AZ2361" s="76"/>
      <c r="BA2361" s="76"/>
      <c r="BB2361" s="76"/>
    </row>
    <row r="2362" spans="5:54" x14ac:dyDescent="0.35">
      <c r="E2362" s="83"/>
      <c r="F2362" s="83"/>
      <c r="G2362" s="76"/>
      <c r="H2362" s="76"/>
      <c r="I2362" s="76"/>
      <c r="J2362" s="76"/>
      <c r="K2362" s="76"/>
      <c r="L2362" s="76"/>
      <c r="M2362" s="76"/>
      <c r="N2362" s="76"/>
      <c r="O2362" s="76"/>
      <c r="P2362" s="76"/>
      <c r="Q2362" s="76"/>
      <c r="R2362" s="76"/>
      <c r="S2362" s="76"/>
      <c r="T2362" s="76"/>
      <c r="U2362" s="76"/>
      <c r="V2362" s="76"/>
      <c r="W2362" s="76"/>
      <c r="X2362" s="76"/>
      <c r="Y2362" s="76"/>
      <c r="Z2362" s="76"/>
      <c r="AA2362" s="76"/>
      <c r="AB2362" s="76"/>
      <c r="AC2362" s="76"/>
      <c r="AD2362" s="76"/>
      <c r="AE2362" s="76"/>
      <c r="AF2362" s="76"/>
      <c r="AG2362" s="76"/>
      <c r="AH2362" s="76"/>
      <c r="AI2362" s="76"/>
      <c r="AJ2362" s="76"/>
      <c r="AK2362" s="76"/>
      <c r="AL2362" s="76"/>
      <c r="AM2362" s="76"/>
      <c r="AN2362" s="76"/>
      <c r="AO2362" s="76"/>
      <c r="AP2362" s="76"/>
      <c r="AQ2362" s="76"/>
      <c r="AR2362" s="76"/>
      <c r="AS2362" s="76"/>
      <c r="AT2362" s="76"/>
      <c r="AU2362" s="76"/>
      <c r="AV2362" s="76"/>
      <c r="AW2362" s="76"/>
      <c r="AX2362" s="76"/>
      <c r="AY2362" s="76"/>
      <c r="AZ2362" s="76"/>
      <c r="BA2362" s="76"/>
      <c r="BB2362" s="76"/>
    </row>
    <row r="2363" spans="5:54" x14ac:dyDescent="0.35">
      <c r="E2363" s="83"/>
      <c r="F2363" s="83"/>
      <c r="G2363" s="76"/>
      <c r="H2363" s="76"/>
      <c r="I2363" s="76"/>
      <c r="J2363" s="76"/>
      <c r="K2363" s="76"/>
      <c r="L2363" s="76"/>
      <c r="M2363" s="76"/>
      <c r="N2363" s="76"/>
      <c r="O2363" s="76"/>
      <c r="P2363" s="76"/>
      <c r="Q2363" s="76"/>
      <c r="R2363" s="76"/>
      <c r="S2363" s="76"/>
      <c r="T2363" s="76"/>
      <c r="U2363" s="76"/>
      <c r="V2363" s="76"/>
      <c r="W2363" s="76"/>
      <c r="X2363" s="76"/>
      <c r="Y2363" s="76"/>
      <c r="Z2363" s="76"/>
      <c r="AA2363" s="76"/>
      <c r="AB2363" s="76"/>
      <c r="AC2363" s="76"/>
      <c r="AD2363" s="76"/>
      <c r="AE2363" s="76"/>
      <c r="AF2363" s="76"/>
      <c r="AG2363" s="76"/>
      <c r="AH2363" s="76"/>
      <c r="AI2363" s="76"/>
      <c r="AJ2363" s="76"/>
      <c r="AK2363" s="76"/>
      <c r="AL2363" s="76"/>
      <c r="AM2363" s="76"/>
      <c r="AN2363" s="76"/>
      <c r="AO2363" s="76"/>
      <c r="AP2363" s="76"/>
      <c r="AQ2363" s="76"/>
      <c r="AR2363" s="76"/>
      <c r="AS2363" s="76"/>
      <c r="AT2363" s="76"/>
      <c r="AU2363" s="76"/>
      <c r="AV2363" s="76"/>
      <c r="AW2363" s="76"/>
      <c r="AX2363" s="76"/>
      <c r="AY2363" s="76"/>
      <c r="AZ2363" s="76"/>
      <c r="BA2363" s="76"/>
      <c r="BB2363" s="76"/>
    </row>
    <row r="2364" spans="5:54" x14ac:dyDescent="0.35">
      <c r="E2364" s="83"/>
      <c r="F2364" s="83"/>
      <c r="G2364" s="76"/>
      <c r="H2364" s="76"/>
      <c r="I2364" s="76"/>
      <c r="J2364" s="76"/>
      <c r="K2364" s="76"/>
      <c r="L2364" s="76"/>
      <c r="M2364" s="76"/>
      <c r="N2364" s="76"/>
      <c r="O2364" s="76"/>
      <c r="P2364" s="76"/>
      <c r="Q2364" s="76"/>
      <c r="R2364" s="76"/>
      <c r="S2364" s="76"/>
      <c r="T2364" s="76"/>
      <c r="U2364" s="76"/>
      <c r="V2364" s="76"/>
      <c r="W2364" s="76"/>
      <c r="X2364" s="76"/>
      <c r="Y2364" s="76"/>
      <c r="Z2364" s="76"/>
      <c r="AA2364" s="76"/>
      <c r="AB2364" s="76"/>
      <c r="AC2364" s="76"/>
      <c r="AD2364" s="76"/>
      <c r="AE2364" s="76"/>
      <c r="AF2364" s="76"/>
      <c r="AG2364" s="76"/>
      <c r="AH2364" s="76"/>
      <c r="AI2364" s="76"/>
      <c r="AJ2364" s="76"/>
      <c r="AK2364" s="76"/>
      <c r="AL2364" s="76"/>
      <c r="AM2364" s="76"/>
      <c r="AN2364" s="76"/>
      <c r="AO2364" s="76"/>
      <c r="AP2364" s="76"/>
      <c r="AQ2364" s="76"/>
      <c r="AR2364" s="76"/>
      <c r="AS2364" s="76"/>
      <c r="AT2364" s="76"/>
      <c r="AU2364" s="76"/>
      <c r="AV2364" s="76"/>
      <c r="AW2364" s="76"/>
      <c r="AX2364" s="76"/>
      <c r="AY2364" s="76"/>
      <c r="AZ2364" s="76"/>
      <c r="BA2364" s="76"/>
      <c r="BB2364" s="76"/>
    </row>
    <row r="2365" spans="5:54" x14ac:dyDescent="0.35">
      <c r="E2365" s="83"/>
      <c r="F2365" s="83"/>
      <c r="G2365" s="76"/>
      <c r="H2365" s="76"/>
      <c r="I2365" s="76"/>
      <c r="J2365" s="76"/>
      <c r="K2365" s="76"/>
      <c r="L2365" s="76"/>
      <c r="M2365" s="76"/>
      <c r="N2365" s="76"/>
      <c r="O2365" s="76"/>
      <c r="P2365" s="76"/>
      <c r="Q2365" s="76"/>
      <c r="R2365" s="76"/>
      <c r="S2365" s="76"/>
      <c r="T2365" s="76"/>
      <c r="U2365" s="76"/>
      <c r="V2365" s="76"/>
      <c r="W2365" s="76"/>
      <c r="X2365" s="76"/>
      <c r="Y2365" s="76"/>
      <c r="Z2365" s="76"/>
      <c r="AA2365" s="76"/>
      <c r="AB2365" s="76"/>
      <c r="AC2365" s="76"/>
      <c r="AD2365" s="76"/>
      <c r="AE2365" s="76"/>
      <c r="AF2365" s="76"/>
      <c r="AG2365" s="76"/>
      <c r="AH2365" s="76"/>
      <c r="AI2365" s="76"/>
      <c r="AJ2365" s="76"/>
      <c r="AK2365" s="76"/>
      <c r="AL2365" s="76"/>
      <c r="AM2365" s="76"/>
      <c r="AN2365" s="76"/>
      <c r="AO2365" s="76"/>
      <c r="AP2365" s="76"/>
      <c r="AQ2365" s="76"/>
      <c r="AR2365" s="76"/>
      <c r="AS2365" s="76"/>
      <c r="AT2365" s="76"/>
      <c r="AU2365" s="76"/>
      <c r="AV2365" s="76"/>
      <c r="AW2365" s="76"/>
      <c r="AX2365" s="76"/>
      <c r="AY2365" s="76"/>
      <c r="AZ2365" s="76"/>
      <c r="BA2365" s="76"/>
      <c r="BB2365" s="76"/>
    </row>
    <row r="2366" spans="5:54" x14ac:dyDescent="0.35">
      <c r="E2366" s="83"/>
      <c r="F2366" s="83"/>
      <c r="G2366" s="76"/>
      <c r="H2366" s="76"/>
      <c r="I2366" s="76"/>
      <c r="J2366" s="76"/>
      <c r="K2366" s="76"/>
      <c r="L2366" s="76"/>
      <c r="M2366" s="76"/>
      <c r="N2366" s="76"/>
      <c r="O2366" s="76"/>
      <c r="P2366" s="76"/>
      <c r="Q2366" s="76"/>
      <c r="R2366" s="76"/>
      <c r="S2366" s="76"/>
      <c r="T2366" s="76"/>
      <c r="U2366" s="76"/>
      <c r="V2366" s="76"/>
      <c r="W2366" s="76"/>
      <c r="X2366" s="76"/>
      <c r="Y2366" s="76"/>
      <c r="Z2366" s="76"/>
      <c r="AA2366" s="76"/>
      <c r="AB2366" s="76"/>
      <c r="AC2366" s="76"/>
      <c r="AD2366" s="76"/>
      <c r="AE2366" s="76"/>
      <c r="AF2366" s="76"/>
      <c r="AG2366" s="76"/>
      <c r="AH2366" s="76"/>
      <c r="AI2366" s="76"/>
      <c r="AJ2366" s="76"/>
      <c r="AK2366" s="76"/>
      <c r="AL2366" s="76"/>
      <c r="AM2366" s="76"/>
      <c r="AN2366" s="76"/>
      <c r="AO2366" s="76"/>
      <c r="AP2366" s="76"/>
      <c r="AQ2366" s="76"/>
      <c r="AR2366" s="76"/>
      <c r="AS2366" s="76"/>
      <c r="AT2366" s="76"/>
      <c r="AU2366" s="76"/>
      <c r="AV2366" s="76"/>
      <c r="AW2366" s="76"/>
      <c r="AX2366" s="76"/>
      <c r="AY2366" s="76"/>
      <c r="AZ2366" s="76"/>
      <c r="BA2366" s="76"/>
      <c r="BB2366" s="76"/>
    </row>
    <row r="2367" spans="5:54" x14ac:dyDescent="0.35">
      <c r="E2367" s="83"/>
      <c r="F2367" s="83"/>
      <c r="G2367" s="76"/>
      <c r="H2367" s="76"/>
      <c r="I2367" s="76"/>
      <c r="J2367" s="76"/>
      <c r="K2367" s="76"/>
      <c r="L2367" s="76"/>
      <c r="M2367" s="76"/>
      <c r="N2367" s="76"/>
      <c r="O2367" s="76"/>
      <c r="P2367" s="76"/>
      <c r="Q2367" s="76"/>
      <c r="R2367" s="76"/>
      <c r="S2367" s="76"/>
      <c r="T2367" s="76"/>
      <c r="U2367" s="76"/>
      <c r="V2367" s="76"/>
      <c r="W2367" s="76"/>
      <c r="X2367" s="76"/>
      <c r="Y2367" s="76"/>
      <c r="Z2367" s="76"/>
      <c r="AA2367" s="76"/>
      <c r="AB2367" s="76"/>
      <c r="AC2367" s="76"/>
      <c r="AD2367" s="76"/>
      <c r="AE2367" s="76"/>
      <c r="AF2367" s="76"/>
      <c r="AG2367" s="76"/>
      <c r="AH2367" s="76"/>
      <c r="AI2367" s="76"/>
      <c r="AJ2367" s="76"/>
      <c r="AK2367" s="76"/>
      <c r="AL2367" s="76"/>
      <c r="AM2367" s="76"/>
      <c r="AN2367" s="76"/>
      <c r="AO2367" s="76"/>
      <c r="AP2367" s="76"/>
      <c r="AQ2367" s="76"/>
      <c r="AR2367" s="76"/>
      <c r="AS2367" s="76"/>
      <c r="AT2367" s="76"/>
      <c r="AU2367" s="76"/>
      <c r="AV2367" s="76"/>
      <c r="AW2367" s="76"/>
      <c r="AX2367" s="76"/>
      <c r="AY2367" s="76"/>
      <c r="AZ2367" s="76"/>
      <c r="BA2367" s="76"/>
      <c r="BB2367" s="76"/>
    </row>
    <row r="2368" spans="5:54" x14ac:dyDescent="0.35">
      <c r="E2368" s="83"/>
      <c r="F2368" s="83"/>
      <c r="G2368" s="76"/>
      <c r="H2368" s="76"/>
      <c r="I2368" s="76"/>
      <c r="J2368" s="76"/>
      <c r="K2368" s="76"/>
      <c r="L2368" s="76"/>
      <c r="M2368" s="76"/>
      <c r="N2368" s="76"/>
      <c r="O2368" s="76"/>
      <c r="P2368" s="76"/>
      <c r="Q2368" s="76"/>
      <c r="R2368" s="76"/>
      <c r="S2368" s="76"/>
      <c r="T2368" s="76"/>
      <c r="U2368" s="76"/>
      <c r="V2368" s="76"/>
      <c r="W2368" s="76"/>
      <c r="X2368" s="76"/>
      <c r="Y2368" s="76"/>
      <c r="Z2368" s="76"/>
      <c r="AA2368" s="76"/>
      <c r="AB2368" s="76"/>
      <c r="AC2368" s="76"/>
      <c r="AD2368" s="76"/>
      <c r="AE2368" s="76"/>
      <c r="AF2368" s="76"/>
      <c r="AG2368" s="76"/>
      <c r="AH2368" s="76"/>
      <c r="AI2368" s="76"/>
      <c r="AJ2368" s="76"/>
      <c r="AK2368" s="76"/>
      <c r="AL2368" s="76"/>
      <c r="AM2368" s="76"/>
      <c r="AN2368" s="76"/>
      <c r="AO2368" s="76"/>
      <c r="AP2368" s="76"/>
      <c r="AQ2368" s="76"/>
      <c r="AR2368" s="76"/>
      <c r="AS2368" s="76"/>
      <c r="AT2368" s="76"/>
      <c r="AU2368" s="76"/>
      <c r="AV2368" s="76"/>
      <c r="AW2368" s="76"/>
      <c r="AX2368" s="76"/>
      <c r="AY2368" s="76"/>
      <c r="AZ2368" s="76"/>
      <c r="BA2368" s="76"/>
      <c r="BB2368" s="76"/>
    </row>
    <row r="2369" spans="5:54" x14ac:dyDescent="0.35">
      <c r="E2369" s="83"/>
      <c r="F2369" s="83"/>
      <c r="G2369" s="76"/>
      <c r="H2369" s="76"/>
      <c r="I2369" s="76"/>
      <c r="J2369" s="76"/>
      <c r="K2369" s="76"/>
      <c r="L2369" s="76"/>
      <c r="M2369" s="76"/>
      <c r="N2369" s="76"/>
      <c r="O2369" s="76"/>
      <c r="P2369" s="76"/>
      <c r="Q2369" s="76"/>
      <c r="R2369" s="76"/>
      <c r="S2369" s="76"/>
      <c r="T2369" s="76"/>
      <c r="U2369" s="76"/>
      <c r="V2369" s="76"/>
      <c r="W2369" s="76"/>
      <c r="X2369" s="76"/>
      <c r="Y2369" s="76"/>
      <c r="Z2369" s="76"/>
      <c r="AA2369" s="76"/>
      <c r="AB2369" s="76"/>
      <c r="AC2369" s="76"/>
      <c r="AD2369" s="76"/>
      <c r="AE2369" s="76"/>
      <c r="AF2369" s="76"/>
      <c r="AG2369" s="76"/>
      <c r="AH2369" s="76"/>
      <c r="AI2369" s="76"/>
      <c r="AJ2369" s="76"/>
      <c r="AK2369" s="76"/>
      <c r="AL2369" s="76"/>
      <c r="AM2369" s="76"/>
      <c r="AN2369" s="76"/>
      <c r="AO2369" s="76"/>
      <c r="AP2369" s="76"/>
      <c r="AQ2369" s="76"/>
      <c r="AR2369" s="76"/>
      <c r="AS2369" s="76"/>
      <c r="AT2369" s="76"/>
      <c r="AU2369" s="76"/>
      <c r="AV2369" s="76"/>
      <c r="AW2369" s="76"/>
      <c r="AX2369" s="76"/>
      <c r="AY2369" s="76"/>
      <c r="AZ2369" s="76"/>
      <c r="BA2369" s="76"/>
      <c r="BB2369" s="76"/>
    </row>
    <row r="2370" spans="5:54" x14ac:dyDescent="0.35">
      <c r="E2370" s="83"/>
      <c r="F2370" s="83"/>
      <c r="G2370" s="76"/>
      <c r="H2370" s="76"/>
      <c r="I2370" s="76"/>
      <c r="J2370" s="76"/>
      <c r="K2370" s="76"/>
      <c r="L2370" s="76"/>
      <c r="M2370" s="76"/>
      <c r="N2370" s="76"/>
      <c r="O2370" s="76"/>
      <c r="P2370" s="76"/>
      <c r="Q2370" s="76"/>
      <c r="R2370" s="76"/>
      <c r="S2370" s="76"/>
      <c r="T2370" s="76"/>
      <c r="U2370" s="76"/>
      <c r="V2370" s="76"/>
      <c r="W2370" s="76"/>
      <c r="X2370" s="76"/>
      <c r="Y2370" s="76"/>
      <c r="Z2370" s="76"/>
      <c r="AA2370" s="76"/>
      <c r="AB2370" s="76"/>
      <c r="AC2370" s="76"/>
      <c r="AD2370" s="76"/>
      <c r="AE2370" s="76"/>
      <c r="AF2370" s="76"/>
      <c r="AG2370" s="76"/>
      <c r="AH2370" s="76"/>
      <c r="AI2370" s="76"/>
      <c r="AJ2370" s="76"/>
      <c r="AK2370" s="76"/>
      <c r="AL2370" s="76"/>
      <c r="AM2370" s="76"/>
      <c r="AN2370" s="76"/>
      <c r="AO2370" s="76"/>
      <c r="AP2370" s="76"/>
      <c r="AQ2370" s="76"/>
      <c r="AR2370" s="76"/>
      <c r="AS2370" s="76"/>
      <c r="AT2370" s="76"/>
      <c r="AU2370" s="76"/>
      <c r="AV2370" s="76"/>
      <c r="AW2370" s="76"/>
      <c r="AX2370" s="76"/>
      <c r="AY2370" s="76"/>
      <c r="AZ2370" s="76"/>
      <c r="BA2370" s="76"/>
      <c r="BB2370" s="76"/>
    </row>
    <row r="2371" spans="5:54" x14ac:dyDescent="0.35">
      <c r="E2371" s="83"/>
      <c r="F2371" s="83"/>
      <c r="G2371" s="76"/>
      <c r="H2371" s="76"/>
      <c r="I2371" s="76"/>
      <c r="J2371" s="76"/>
      <c r="K2371" s="76"/>
      <c r="L2371" s="76"/>
      <c r="M2371" s="76"/>
      <c r="N2371" s="76"/>
      <c r="O2371" s="76"/>
      <c r="P2371" s="76"/>
      <c r="Q2371" s="76"/>
      <c r="R2371" s="76"/>
      <c r="S2371" s="76"/>
      <c r="T2371" s="76"/>
      <c r="U2371" s="76"/>
      <c r="V2371" s="76"/>
      <c r="W2371" s="76"/>
      <c r="X2371" s="76"/>
      <c r="Y2371" s="76"/>
      <c r="Z2371" s="76"/>
      <c r="AA2371" s="76"/>
      <c r="AB2371" s="76"/>
      <c r="AC2371" s="76"/>
      <c r="AD2371" s="76"/>
      <c r="AE2371" s="76"/>
      <c r="AF2371" s="76"/>
      <c r="AG2371" s="76"/>
      <c r="AH2371" s="76"/>
      <c r="AI2371" s="76"/>
      <c r="AJ2371" s="76"/>
      <c r="AK2371" s="76"/>
      <c r="AL2371" s="76"/>
      <c r="AM2371" s="76"/>
      <c r="AN2371" s="76"/>
      <c r="AO2371" s="76"/>
      <c r="AP2371" s="76"/>
      <c r="AQ2371" s="76"/>
      <c r="AR2371" s="76"/>
      <c r="AS2371" s="76"/>
      <c r="AT2371" s="76"/>
      <c r="AU2371" s="76"/>
      <c r="AV2371" s="76"/>
      <c r="AW2371" s="76"/>
      <c r="AX2371" s="76"/>
      <c r="AY2371" s="76"/>
      <c r="AZ2371" s="76"/>
      <c r="BA2371" s="76"/>
      <c r="BB2371" s="76"/>
    </row>
    <row r="2372" spans="5:54" x14ac:dyDescent="0.35">
      <c r="E2372" s="83"/>
      <c r="F2372" s="83"/>
      <c r="G2372" s="76"/>
      <c r="H2372" s="76"/>
      <c r="I2372" s="76"/>
      <c r="J2372" s="76"/>
      <c r="K2372" s="76"/>
      <c r="L2372" s="76"/>
      <c r="M2372" s="76"/>
      <c r="N2372" s="76"/>
      <c r="O2372" s="76"/>
      <c r="P2372" s="76"/>
      <c r="Q2372" s="76"/>
      <c r="R2372" s="76"/>
      <c r="S2372" s="76"/>
      <c r="T2372" s="76"/>
      <c r="U2372" s="76"/>
      <c r="V2372" s="76"/>
      <c r="W2372" s="76"/>
      <c r="X2372" s="76"/>
      <c r="Y2372" s="76"/>
      <c r="Z2372" s="76"/>
      <c r="AA2372" s="76"/>
      <c r="AB2372" s="76"/>
      <c r="AC2372" s="76"/>
      <c r="AD2372" s="76"/>
      <c r="AE2372" s="76"/>
      <c r="AF2372" s="76"/>
      <c r="AG2372" s="76"/>
      <c r="AH2372" s="76"/>
      <c r="AI2372" s="76"/>
      <c r="AJ2372" s="76"/>
      <c r="AK2372" s="76"/>
      <c r="AL2372" s="76"/>
      <c r="AM2372" s="76"/>
      <c r="AN2372" s="76"/>
      <c r="AO2372" s="76"/>
      <c r="AP2372" s="76"/>
      <c r="AQ2372" s="76"/>
      <c r="AR2372" s="76"/>
      <c r="AS2372" s="76"/>
      <c r="AT2372" s="76"/>
      <c r="AU2372" s="76"/>
      <c r="AV2372" s="76"/>
      <c r="AW2372" s="76"/>
      <c r="AX2372" s="76"/>
      <c r="AY2372" s="76"/>
      <c r="AZ2372" s="76"/>
      <c r="BA2372" s="76"/>
      <c r="BB2372" s="76"/>
    </row>
    <row r="2373" spans="5:54" x14ac:dyDescent="0.35">
      <c r="E2373" s="83"/>
      <c r="F2373" s="83"/>
      <c r="G2373" s="76"/>
      <c r="H2373" s="76"/>
      <c r="I2373" s="76"/>
      <c r="J2373" s="76"/>
      <c r="K2373" s="76"/>
      <c r="L2373" s="76"/>
      <c r="M2373" s="76"/>
      <c r="N2373" s="76"/>
      <c r="O2373" s="76"/>
      <c r="P2373" s="76"/>
      <c r="Q2373" s="76"/>
      <c r="R2373" s="76"/>
      <c r="S2373" s="76"/>
      <c r="T2373" s="76"/>
      <c r="U2373" s="76"/>
      <c r="V2373" s="76"/>
      <c r="W2373" s="76"/>
      <c r="X2373" s="76"/>
      <c r="Y2373" s="76"/>
      <c r="Z2373" s="76"/>
      <c r="AA2373" s="76"/>
      <c r="AB2373" s="76"/>
      <c r="AC2373" s="76"/>
      <c r="AD2373" s="76"/>
      <c r="AE2373" s="76"/>
      <c r="AF2373" s="76"/>
      <c r="AG2373" s="76"/>
      <c r="AH2373" s="76"/>
      <c r="AI2373" s="76"/>
      <c r="AJ2373" s="76"/>
      <c r="AK2373" s="76"/>
      <c r="AL2373" s="76"/>
      <c r="AM2373" s="76"/>
      <c r="AN2373" s="76"/>
      <c r="AO2373" s="76"/>
      <c r="AP2373" s="76"/>
      <c r="AQ2373" s="76"/>
      <c r="AR2373" s="76"/>
      <c r="AS2373" s="76"/>
      <c r="AT2373" s="76"/>
      <c r="AU2373" s="76"/>
      <c r="AV2373" s="76"/>
      <c r="AW2373" s="76"/>
      <c r="AX2373" s="76"/>
      <c r="AY2373" s="76"/>
      <c r="AZ2373" s="76"/>
      <c r="BA2373" s="76"/>
      <c r="BB2373" s="76"/>
    </row>
    <row r="2374" spans="5:54" x14ac:dyDescent="0.35">
      <c r="E2374" s="83"/>
      <c r="F2374" s="83"/>
      <c r="G2374" s="76"/>
      <c r="H2374" s="76"/>
      <c r="I2374" s="76"/>
      <c r="J2374" s="76"/>
      <c r="K2374" s="76"/>
      <c r="L2374" s="76"/>
      <c r="M2374" s="76"/>
      <c r="N2374" s="76"/>
      <c r="O2374" s="76"/>
      <c r="P2374" s="76"/>
      <c r="Q2374" s="76"/>
      <c r="R2374" s="76"/>
      <c r="S2374" s="76"/>
      <c r="T2374" s="76"/>
      <c r="U2374" s="76"/>
      <c r="V2374" s="76"/>
      <c r="W2374" s="76"/>
      <c r="X2374" s="76"/>
      <c r="Y2374" s="76"/>
      <c r="Z2374" s="76"/>
      <c r="AA2374" s="76"/>
      <c r="AB2374" s="76"/>
      <c r="AC2374" s="76"/>
      <c r="AD2374" s="76"/>
      <c r="AE2374" s="76"/>
      <c r="AF2374" s="76"/>
      <c r="AG2374" s="76"/>
      <c r="AH2374" s="76"/>
      <c r="AI2374" s="76"/>
      <c r="AJ2374" s="76"/>
      <c r="AK2374" s="76"/>
      <c r="AL2374" s="76"/>
      <c r="AM2374" s="76"/>
      <c r="AN2374" s="76"/>
      <c r="AO2374" s="76"/>
      <c r="AP2374" s="76"/>
      <c r="AQ2374" s="76"/>
      <c r="AR2374" s="76"/>
      <c r="AS2374" s="76"/>
      <c r="AT2374" s="76"/>
      <c r="AU2374" s="76"/>
      <c r="AV2374" s="76"/>
      <c r="AW2374" s="76"/>
      <c r="AX2374" s="76"/>
      <c r="AY2374" s="76"/>
      <c r="AZ2374" s="76"/>
      <c r="BA2374" s="76"/>
      <c r="BB2374" s="76"/>
    </row>
    <row r="2375" spans="5:54" x14ac:dyDescent="0.35">
      <c r="E2375" s="83"/>
      <c r="F2375" s="83"/>
      <c r="G2375" s="76"/>
      <c r="H2375" s="76"/>
      <c r="I2375" s="76"/>
      <c r="J2375" s="76"/>
      <c r="K2375" s="76"/>
      <c r="L2375" s="76"/>
      <c r="M2375" s="76"/>
      <c r="N2375" s="76"/>
      <c r="O2375" s="76"/>
      <c r="P2375" s="76"/>
      <c r="Q2375" s="76"/>
      <c r="R2375" s="76"/>
      <c r="S2375" s="76"/>
      <c r="T2375" s="76"/>
      <c r="U2375" s="76"/>
      <c r="V2375" s="76"/>
      <c r="W2375" s="76"/>
      <c r="X2375" s="76"/>
      <c r="Y2375" s="76"/>
      <c r="Z2375" s="76"/>
      <c r="AA2375" s="76"/>
      <c r="AB2375" s="76"/>
      <c r="AC2375" s="76"/>
      <c r="AD2375" s="76"/>
      <c r="AE2375" s="76"/>
      <c r="AF2375" s="76"/>
      <c r="AG2375" s="76"/>
      <c r="AH2375" s="76"/>
      <c r="AI2375" s="76"/>
      <c r="AJ2375" s="76"/>
      <c r="AK2375" s="76"/>
      <c r="AL2375" s="76"/>
      <c r="AM2375" s="76"/>
      <c r="AN2375" s="76"/>
      <c r="AO2375" s="76"/>
      <c r="AP2375" s="76"/>
      <c r="AQ2375" s="76"/>
      <c r="AR2375" s="76"/>
      <c r="AS2375" s="76"/>
      <c r="AT2375" s="76"/>
      <c r="AU2375" s="76"/>
      <c r="AV2375" s="76"/>
      <c r="AW2375" s="76"/>
      <c r="AX2375" s="76"/>
      <c r="AY2375" s="76"/>
      <c r="AZ2375" s="76"/>
      <c r="BA2375" s="76"/>
      <c r="BB2375" s="76"/>
    </row>
    <row r="2376" spans="5:54" x14ac:dyDescent="0.35">
      <c r="E2376" s="83"/>
      <c r="F2376" s="83"/>
      <c r="G2376" s="76"/>
      <c r="H2376" s="76"/>
      <c r="I2376" s="76"/>
      <c r="J2376" s="76"/>
      <c r="K2376" s="76"/>
      <c r="L2376" s="76"/>
      <c r="M2376" s="76"/>
      <c r="N2376" s="76"/>
      <c r="O2376" s="76"/>
      <c r="P2376" s="76"/>
      <c r="Q2376" s="76"/>
      <c r="R2376" s="76"/>
      <c r="S2376" s="76"/>
      <c r="T2376" s="76"/>
      <c r="U2376" s="76"/>
      <c r="V2376" s="76"/>
      <c r="W2376" s="76"/>
      <c r="X2376" s="76"/>
      <c r="Y2376" s="76"/>
      <c r="Z2376" s="76"/>
      <c r="AA2376" s="76"/>
      <c r="AB2376" s="76"/>
      <c r="AC2376" s="76"/>
      <c r="AD2376" s="76"/>
      <c r="AE2376" s="76"/>
      <c r="AF2376" s="76"/>
      <c r="AG2376" s="76"/>
      <c r="AH2376" s="76"/>
      <c r="AI2376" s="76"/>
      <c r="AJ2376" s="76"/>
      <c r="AK2376" s="76"/>
      <c r="AL2376" s="76"/>
      <c r="AM2376" s="76"/>
      <c r="AN2376" s="76"/>
      <c r="AO2376" s="76"/>
      <c r="AP2376" s="76"/>
      <c r="AQ2376" s="76"/>
      <c r="AR2376" s="76"/>
      <c r="AS2376" s="76"/>
      <c r="AT2376" s="76"/>
      <c r="AU2376" s="76"/>
      <c r="AV2376" s="76"/>
      <c r="AW2376" s="76"/>
      <c r="AX2376" s="76"/>
      <c r="AY2376" s="76"/>
      <c r="AZ2376" s="76"/>
      <c r="BA2376" s="76"/>
      <c r="BB2376" s="76"/>
    </row>
    <row r="2377" spans="5:54" x14ac:dyDescent="0.35">
      <c r="E2377" s="83"/>
      <c r="F2377" s="83"/>
      <c r="G2377" s="76"/>
      <c r="H2377" s="76"/>
      <c r="I2377" s="76"/>
      <c r="J2377" s="76"/>
      <c r="K2377" s="76"/>
      <c r="L2377" s="76"/>
      <c r="M2377" s="76"/>
      <c r="N2377" s="76"/>
      <c r="O2377" s="76"/>
      <c r="P2377" s="76"/>
      <c r="Q2377" s="76"/>
      <c r="R2377" s="76"/>
      <c r="S2377" s="76"/>
      <c r="T2377" s="76"/>
      <c r="U2377" s="76"/>
      <c r="V2377" s="76"/>
      <c r="W2377" s="76"/>
      <c r="X2377" s="76"/>
      <c r="Y2377" s="76"/>
      <c r="Z2377" s="76"/>
      <c r="AA2377" s="76"/>
      <c r="AB2377" s="76"/>
      <c r="AC2377" s="76"/>
      <c r="AD2377" s="76"/>
      <c r="AE2377" s="76"/>
      <c r="AF2377" s="76"/>
      <c r="AG2377" s="76"/>
      <c r="AH2377" s="76"/>
      <c r="AI2377" s="76"/>
      <c r="AJ2377" s="76"/>
      <c r="AK2377" s="76"/>
      <c r="AL2377" s="76"/>
      <c r="AM2377" s="76"/>
      <c r="AN2377" s="76"/>
      <c r="AO2377" s="76"/>
      <c r="AP2377" s="76"/>
      <c r="AQ2377" s="76"/>
      <c r="AR2377" s="76"/>
      <c r="AS2377" s="76"/>
      <c r="AT2377" s="76"/>
      <c r="AU2377" s="76"/>
      <c r="AV2377" s="76"/>
      <c r="AW2377" s="76"/>
      <c r="AX2377" s="76"/>
      <c r="AY2377" s="76"/>
      <c r="AZ2377" s="76"/>
      <c r="BA2377" s="76"/>
      <c r="BB2377" s="76"/>
    </row>
    <row r="2378" spans="5:54" x14ac:dyDescent="0.35">
      <c r="E2378" s="83"/>
      <c r="F2378" s="83"/>
      <c r="G2378" s="76"/>
      <c r="H2378" s="76"/>
      <c r="I2378" s="76"/>
      <c r="J2378" s="76"/>
      <c r="K2378" s="76"/>
      <c r="L2378" s="76"/>
      <c r="M2378" s="76"/>
      <c r="N2378" s="76"/>
      <c r="O2378" s="76"/>
      <c r="P2378" s="76"/>
      <c r="Q2378" s="76"/>
      <c r="R2378" s="76"/>
      <c r="S2378" s="76"/>
      <c r="T2378" s="76"/>
      <c r="U2378" s="76"/>
      <c r="V2378" s="76"/>
      <c r="W2378" s="76"/>
      <c r="X2378" s="76"/>
      <c r="Y2378" s="76"/>
      <c r="Z2378" s="76"/>
      <c r="AA2378" s="76"/>
      <c r="AB2378" s="76"/>
      <c r="AC2378" s="76"/>
      <c r="AD2378" s="76"/>
      <c r="AE2378" s="76"/>
      <c r="AF2378" s="76"/>
      <c r="AG2378" s="76"/>
      <c r="AH2378" s="76"/>
      <c r="AI2378" s="76"/>
      <c r="AJ2378" s="76"/>
      <c r="AK2378" s="76"/>
      <c r="AL2378" s="76"/>
      <c r="AM2378" s="76"/>
      <c r="AN2378" s="76"/>
      <c r="AO2378" s="76"/>
      <c r="AP2378" s="76"/>
      <c r="AQ2378" s="76"/>
      <c r="AR2378" s="76"/>
      <c r="AS2378" s="76"/>
      <c r="AT2378" s="76"/>
      <c r="AU2378" s="76"/>
      <c r="AV2378" s="76"/>
      <c r="AW2378" s="76"/>
      <c r="AX2378" s="76"/>
      <c r="AY2378" s="76"/>
      <c r="AZ2378" s="76"/>
      <c r="BA2378" s="76"/>
      <c r="BB2378" s="76"/>
    </row>
    <row r="2379" spans="5:54" x14ac:dyDescent="0.35">
      <c r="E2379" s="83"/>
      <c r="F2379" s="83"/>
      <c r="G2379" s="76"/>
      <c r="H2379" s="76"/>
      <c r="I2379" s="76"/>
      <c r="J2379" s="76"/>
      <c r="K2379" s="76"/>
      <c r="L2379" s="76"/>
      <c r="M2379" s="76"/>
      <c r="N2379" s="76"/>
      <c r="O2379" s="76"/>
      <c r="P2379" s="76"/>
      <c r="Q2379" s="76"/>
      <c r="R2379" s="76"/>
      <c r="S2379" s="76"/>
      <c r="T2379" s="76"/>
      <c r="U2379" s="76"/>
      <c r="V2379" s="76"/>
      <c r="W2379" s="76"/>
      <c r="X2379" s="76"/>
      <c r="Y2379" s="76"/>
      <c r="Z2379" s="76"/>
      <c r="AA2379" s="76"/>
      <c r="AB2379" s="76"/>
      <c r="AC2379" s="76"/>
      <c r="AD2379" s="76"/>
      <c r="AE2379" s="76"/>
      <c r="AF2379" s="76"/>
      <c r="AG2379" s="76"/>
      <c r="AH2379" s="76"/>
      <c r="AI2379" s="76"/>
      <c r="AJ2379" s="76"/>
      <c r="AK2379" s="76"/>
      <c r="AL2379" s="76"/>
      <c r="AM2379" s="76"/>
      <c r="AN2379" s="76"/>
      <c r="AO2379" s="76"/>
      <c r="AP2379" s="76"/>
      <c r="AQ2379" s="76"/>
      <c r="AR2379" s="76"/>
      <c r="AS2379" s="76"/>
      <c r="AT2379" s="76"/>
      <c r="AU2379" s="76"/>
      <c r="AV2379" s="76"/>
      <c r="AW2379" s="76"/>
      <c r="AX2379" s="76"/>
      <c r="AY2379" s="76"/>
      <c r="AZ2379" s="76"/>
      <c r="BA2379" s="76"/>
      <c r="BB2379" s="76"/>
    </row>
    <row r="2380" spans="5:54" x14ac:dyDescent="0.35">
      <c r="E2380" s="83"/>
      <c r="F2380" s="83"/>
      <c r="G2380" s="76"/>
      <c r="H2380" s="76"/>
      <c r="I2380" s="76"/>
      <c r="J2380" s="76"/>
      <c r="K2380" s="76"/>
      <c r="L2380" s="76"/>
      <c r="M2380" s="76"/>
      <c r="N2380" s="76"/>
      <c r="O2380" s="76"/>
      <c r="P2380" s="76"/>
      <c r="Q2380" s="76"/>
      <c r="R2380" s="76"/>
      <c r="S2380" s="76"/>
      <c r="T2380" s="76"/>
      <c r="U2380" s="76"/>
      <c r="V2380" s="76"/>
      <c r="W2380" s="76"/>
      <c r="X2380" s="76"/>
      <c r="Y2380" s="76"/>
      <c r="Z2380" s="76"/>
      <c r="AA2380" s="76"/>
      <c r="AB2380" s="76"/>
      <c r="AC2380" s="76"/>
      <c r="AD2380" s="76"/>
      <c r="AE2380" s="76"/>
      <c r="AF2380" s="76"/>
      <c r="AG2380" s="76"/>
      <c r="AH2380" s="76"/>
      <c r="AI2380" s="76"/>
      <c r="AJ2380" s="76"/>
      <c r="AK2380" s="76"/>
      <c r="AL2380" s="76"/>
      <c r="AM2380" s="76"/>
      <c r="AN2380" s="76"/>
      <c r="AO2380" s="76"/>
      <c r="AP2380" s="76"/>
      <c r="AQ2380" s="76"/>
      <c r="AR2380" s="76"/>
      <c r="AS2380" s="76"/>
      <c r="AT2380" s="76"/>
      <c r="AU2380" s="76"/>
      <c r="AV2380" s="76"/>
      <c r="AW2380" s="76"/>
      <c r="AX2380" s="76"/>
      <c r="AY2380" s="76"/>
      <c r="AZ2380" s="76"/>
      <c r="BA2380" s="76"/>
      <c r="BB2380" s="76"/>
    </row>
    <row r="2381" spans="5:54" x14ac:dyDescent="0.35">
      <c r="E2381" s="83"/>
      <c r="F2381" s="83"/>
      <c r="G2381" s="76"/>
      <c r="H2381" s="76"/>
      <c r="I2381" s="76"/>
      <c r="J2381" s="76"/>
      <c r="K2381" s="76"/>
      <c r="L2381" s="76"/>
      <c r="M2381" s="76"/>
      <c r="N2381" s="76"/>
      <c r="O2381" s="76"/>
      <c r="P2381" s="76"/>
      <c r="Q2381" s="76"/>
      <c r="R2381" s="76"/>
      <c r="S2381" s="76"/>
      <c r="T2381" s="76"/>
      <c r="U2381" s="76"/>
      <c r="V2381" s="76"/>
      <c r="W2381" s="76"/>
      <c r="X2381" s="76"/>
      <c r="Y2381" s="76"/>
      <c r="Z2381" s="76"/>
      <c r="AA2381" s="76"/>
      <c r="AB2381" s="76"/>
      <c r="AC2381" s="76"/>
      <c r="AD2381" s="76"/>
      <c r="AE2381" s="76"/>
      <c r="AF2381" s="76"/>
      <c r="AG2381" s="76"/>
      <c r="AH2381" s="76"/>
      <c r="AI2381" s="76"/>
      <c r="AJ2381" s="76"/>
      <c r="AK2381" s="76"/>
      <c r="AL2381" s="76"/>
      <c r="AM2381" s="76"/>
      <c r="AN2381" s="76"/>
      <c r="AO2381" s="76"/>
      <c r="AP2381" s="76"/>
      <c r="AQ2381" s="76"/>
      <c r="AR2381" s="76"/>
      <c r="AS2381" s="76"/>
      <c r="AT2381" s="76"/>
      <c r="AU2381" s="76"/>
      <c r="AV2381" s="76"/>
      <c r="AW2381" s="76"/>
      <c r="AX2381" s="76"/>
      <c r="AY2381" s="76"/>
      <c r="AZ2381" s="76"/>
      <c r="BA2381" s="76"/>
      <c r="BB2381" s="76"/>
    </row>
    <row r="2382" spans="5:54" x14ac:dyDescent="0.35">
      <c r="E2382" s="83"/>
      <c r="F2382" s="83"/>
      <c r="G2382" s="76"/>
      <c r="H2382" s="76"/>
      <c r="I2382" s="76"/>
      <c r="J2382" s="76"/>
      <c r="K2382" s="76"/>
      <c r="L2382" s="76"/>
      <c r="M2382" s="76"/>
      <c r="N2382" s="76"/>
      <c r="O2382" s="76"/>
      <c r="P2382" s="76"/>
      <c r="Q2382" s="76"/>
      <c r="R2382" s="76"/>
      <c r="S2382" s="76"/>
      <c r="T2382" s="76"/>
      <c r="U2382" s="76"/>
      <c r="V2382" s="76"/>
      <c r="W2382" s="76"/>
      <c r="X2382" s="76"/>
      <c r="Y2382" s="76"/>
      <c r="Z2382" s="76"/>
      <c r="AA2382" s="76"/>
      <c r="AB2382" s="76"/>
      <c r="AC2382" s="76"/>
      <c r="AD2382" s="76"/>
      <c r="AE2382" s="76"/>
      <c r="AF2382" s="76"/>
      <c r="AG2382" s="76"/>
      <c r="AH2382" s="76"/>
      <c r="AI2382" s="76"/>
      <c r="AJ2382" s="76"/>
      <c r="AK2382" s="76"/>
      <c r="AL2382" s="76"/>
      <c r="AM2382" s="76"/>
      <c r="AN2382" s="76"/>
      <c r="AO2382" s="76"/>
      <c r="AP2382" s="76"/>
      <c r="AQ2382" s="76"/>
      <c r="AR2382" s="76"/>
      <c r="AS2382" s="76"/>
      <c r="AT2382" s="76"/>
      <c r="AU2382" s="76"/>
      <c r="AV2382" s="76"/>
      <c r="AW2382" s="76"/>
      <c r="AX2382" s="76"/>
      <c r="AY2382" s="76"/>
      <c r="AZ2382" s="76"/>
      <c r="BA2382" s="76"/>
      <c r="BB2382" s="76"/>
    </row>
    <row r="2383" spans="5:54" x14ac:dyDescent="0.35">
      <c r="E2383" s="83"/>
      <c r="F2383" s="83"/>
      <c r="G2383" s="76"/>
      <c r="H2383" s="76"/>
      <c r="I2383" s="76"/>
      <c r="J2383" s="76"/>
      <c r="K2383" s="76"/>
      <c r="L2383" s="76"/>
      <c r="M2383" s="76"/>
      <c r="N2383" s="76"/>
      <c r="O2383" s="76"/>
      <c r="P2383" s="76"/>
      <c r="Q2383" s="76"/>
      <c r="R2383" s="76"/>
      <c r="S2383" s="76"/>
      <c r="T2383" s="76"/>
      <c r="U2383" s="76"/>
      <c r="V2383" s="76"/>
      <c r="W2383" s="76"/>
      <c r="X2383" s="76"/>
      <c r="Y2383" s="76"/>
      <c r="Z2383" s="76"/>
      <c r="AA2383" s="76"/>
      <c r="AB2383" s="76"/>
      <c r="AC2383" s="76"/>
      <c r="AD2383" s="76"/>
      <c r="AE2383" s="76"/>
      <c r="AF2383" s="76"/>
      <c r="AG2383" s="76"/>
      <c r="AH2383" s="76"/>
      <c r="AI2383" s="76"/>
      <c r="AJ2383" s="76"/>
      <c r="AK2383" s="76"/>
      <c r="AL2383" s="76"/>
      <c r="AM2383" s="76"/>
      <c r="AN2383" s="76"/>
      <c r="AO2383" s="76"/>
      <c r="AP2383" s="76"/>
      <c r="AQ2383" s="76"/>
      <c r="AR2383" s="76"/>
      <c r="AS2383" s="76"/>
      <c r="AT2383" s="76"/>
      <c r="AU2383" s="76"/>
      <c r="AV2383" s="76"/>
      <c r="AW2383" s="76"/>
      <c r="AX2383" s="76"/>
      <c r="AY2383" s="76"/>
      <c r="AZ2383" s="76"/>
      <c r="BA2383" s="76"/>
      <c r="BB2383" s="76"/>
    </row>
    <row r="2384" spans="5:54" x14ac:dyDescent="0.35">
      <c r="E2384" s="83"/>
      <c r="F2384" s="83"/>
      <c r="G2384" s="76"/>
      <c r="H2384" s="76"/>
      <c r="I2384" s="76"/>
      <c r="J2384" s="76"/>
      <c r="K2384" s="76"/>
      <c r="L2384" s="76"/>
      <c r="M2384" s="76"/>
      <c r="N2384" s="76"/>
      <c r="O2384" s="76"/>
      <c r="P2384" s="76"/>
      <c r="Q2384" s="76"/>
      <c r="R2384" s="76"/>
      <c r="S2384" s="76"/>
      <c r="T2384" s="76"/>
      <c r="U2384" s="76"/>
      <c r="V2384" s="76"/>
      <c r="W2384" s="76"/>
      <c r="X2384" s="76"/>
      <c r="Y2384" s="76"/>
      <c r="Z2384" s="76"/>
      <c r="AA2384" s="76"/>
      <c r="AB2384" s="76"/>
      <c r="AC2384" s="76"/>
      <c r="AD2384" s="76"/>
      <c r="AE2384" s="76"/>
      <c r="AF2384" s="76"/>
      <c r="AG2384" s="76"/>
      <c r="AH2384" s="76"/>
      <c r="AI2384" s="76"/>
      <c r="AJ2384" s="76"/>
      <c r="AK2384" s="76"/>
      <c r="AL2384" s="76"/>
      <c r="AM2384" s="76"/>
      <c r="AN2384" s="76"/>
      <c r="AO2384" s="76"/>
      <c r="AP2384" s="76"/>
      <c r="AQ2384" s="76"/>
      <c r="AR2384" s="76"/>
      <c r="AS2384" s="76"/>
      <c r="AT2384" s="76"/>
      <c r="AU2384" s="76"/>
      <c r="AV2384" s="76"/>
      <c r="AW2384" s="76"/>
      <c r="AX2384" s="76"/>
      <c r="AY2384" s="76"/>
      <c r="AZ2384" s="76"/>
      <c r="BA2384" s="76"/>
      <c r="BB2384" s="76"/>
    </row>
    <row r="2385" spans="5:54" x14ac:dyDescent="0.35">
      <c r="E2385" s="83"/>
      <c r="F2385" s="83"/>
      <c r="G2385" s="76"/>
      <c r="H2385" s="76"/>
      <c r="I2385" s="76"/>
      <c r="J2385" s="76"/>
      <c r="K2385" s="76"/>
      <c r="L2385" s="76"/>
      <c r="M2385" s="76"/>
      <c r="N2385" s="76"/>
      <c r="O2385" s="76"/>
      <c r="P2385" s="76"/>
      <c r="Q2385" s="76"/>
      <c r="R2385" s="76"/>
      <c r="S2385" s="76"/>
      <c r="T2385" s="76"/>
      <c r="U2385" s="76"/>
      <c r="V2385" s="76"/>
      <c r="W2385" s="76"/>
      <c r="X2385" s="76"/>
      <c r="Y2385" s="76"/>
      <c r="Z2385" s="76"/>
      <c r="AA2385" s="76"/>
      <c r="AB2385" s="76"/>
      <c r="AC2385" s="76"/>
      <c r="AD2385" s="76"/>
      <c r="AE2385" s="76"/>
      <c r="AF2385" s="76"/>
      <c r="AG2385" s="76"/>
      <c r="AH2385" s="76"/>
      <c r="AI2385" s="76"/>
      <c r="AJ2385" s="76"/>
      <c r="AK2385" s="76"/>
      <c r="AL2385" s="76"/>
      <c r="AM2385" s="76"/>
      <c r="AN2385" s="76"/>
      <c r="AO2385" s="76"/>
      <c r="AP2385" s="76"/>
      <c r="AQ2385" s="76"/>
      <c r="AR2385" s="76"/>
      <c r="AS2385" s="76"/>
      <c r="AT2385" s="76"/>
      <c r="AU2385" s="76"/>
      <c r="AV2385" s="76"/>
      <c r="AW2385" s="76"/>
      <c r="AX2385" s="76"/>
      <c r="AY2385" s="76"/>
      <c r="AZ2385" s="76"/>
      <c r="BA2385" s="76"/>
      <c r="BB2385" s="76"/>
    </row>
    <row r="2386" spans="5:54" x14ac:dyDescent="0.35">
      <c r="E2386" s="83"/>
      <c r="F2386" s="83"/>
      <c r="G2386" s="76"/>
      <c r="H2386" s="76"/>
      <c r="I2386" s="76"/>
      <c r="J2386" s="76"/>
      <c r="K2386" s="76"/>
      <c r="L2386" s="76"/>
      <c r="M2386" s="76"/>
      <c r="N2386" s="76"/>
      <c r="O2386" s="76"/>
      <c r="P2386" s="76"/>
      <c r="Q2386" s="76"/>
      <c r="R2386" s="76"/>
      <c r="S2386" s="76"/>
      <c r="T2386" s="76"/>
      <c r="U2386" s="76"/>
      <c r="V2386" s="76"/>
      <c r="W2386" s="76"/>
      <c r="X2386" s="76"/>
      <c r="Y2386" s="76"/>
      <c r="Z2386" s="76"/>
      <c r="AA2386" s="76"/>
      <c r="AB2386" s="76"/>
      <c r="AC2386" s="76"/>
      <c r="AD2386" s="76"/>
      <c r="AE2386" s="76"/>
      <c r="AF2386" s="76"/>
      <c r="AG2386" s="76"/>
      <c r="AH2386" s="76"/>
      <c r="AI2386" s="76"/>
      <c r="AJ2386" s="76"/>
      <c r="AK2386" s="76"/>
      <c r="AL2386" s="76"/>
      <c r="AM2386" s="76"/>
      <c r="AN2386" s="76"/>
      <c r="AO2386" s="76"/>
      <c r="AP2386" s="76"/>
      <c r="AQ2386" s="76"/>
      <c r="AR2386" s="76"/>
      <c r="AS2386" s="76"/>
      <c r="AT2386" s="76"/>
      <c r="AU2386" s="76"/>
      <c r="AV2386" s="76"/>
      <c r="AW2386" s="76"/>
      <c r="AX2386" s="76"/>
      <c r="AY2386" s="76"/>
      <c r="AZ2386" s="76"/>
      <c r="BA2386" s="76"/>
      <c r="BB2386" s="76"/>
    </row>
    <row r="2387" spans="5:54" x14ac:dyDescent="0.35">
      <c r="E2387" s="83"/>
      <c r="F2387" s="83"/>
      <c r="G2387" s="76"/>
      <c r="H2387" s="76"/>
      <c r="I2387" s="76"/>
      <c r="J2387" s="76"/>
      <c r="K2387" s="76"/>
      <c r="L2387" s="76"/>
      <c r="M2387" s="76"/>
      <c r="N2387" s="76"/>
      <c r="O2387" s="76"/>
      <c r="P2387" s="76"/>
      <c r="Q2387" s="76"/>
      <c r="R2387" s="76"/>
      <c r="S2387" s="76"/>
      <c r="T2387" s="76"/>
      <c r="U2387" s="76"/>
      <c r="V2387" s="76"/>
      <c r="W2387" s="76"/>
      <c r="X2387" s="76"/>
      <c r="Y2387" s="76"/>
      <c r="Z2387" s="76"/>
      <c r="AA2387" s="76"/>
      <c r="AB2387" s="76"/>
      <c r="AC2387" s="76"/>
      <c r="AD2387" s="76"/>
      <c r="AE2387" s="76"/>
      <c r="AF2387" s="76"/>
      <c r="AG2387" s="76"/>
      <c r="AH2387" s="76"/>
      <c r="AI2387" s="76"/>
      <c r="AJ2387" s="76"/>
      <c r="AK2387" s="76"/>
      <c r="AL2387" s="76"/>
      <c r="AM2387" s="76"/>
      <c r="AN2387" s="76"/>
      <c r="AO2387" s="76"/>
      <c r="AP2387" s="76"/>
      <c r="AQ2387" s="76"/>
      <c r="AR2387" s="76"/>
      <c r="AS2387" s="76"/>
      <c r="AT2387" s="76"/>
      <c r="AU2387" s="76"/>
      <c r="AV2387" s="76"/>
      <c r="AW2387" s="76"/>
      <c r="AX2387" s="76"/>
      <c r="AY2387" s="76"/>
      <c r="AZ2387" s="76"/>
      <c r="BA2387" s="76"/>
      <c r="BB2387" s="76"/>
    </row>
    <row r="2388" spans="5:54" x14ac:dyDescent="0.35">
      <c r="E2388" s="83"/>
      <c r="F2388" s="83"/>
      <c r="G2388" s="76"/>
      <c r="H2388" s="76"/>
      <c r="I2388" s="76"/>
      <c r="J2388" s="76"/>
      <c r="K2388" s="76"/>
      <c r="L2388" s="76"/>
      <c r="M2388" s="76"/>
      <c r="N2388" s="76"/>
      <c r="O2388" s="76"/>
      <c r="P2388" s="76"/>
      <c r="Q2388" s="76"/>
      <c r="R2388" s="76"/>
      <c r="S2388" s="76"/>
      <c r="T2388" s="76"/>
      <c r="U2388" s="76"/>
      <c r="V2388" s="76"/>
      <c r="W2388" s="76"/>
      <c r="X2388" s="76"/>
      <c r="Y2388" s="76"/>
      <c r="Z2388" s="76"/>
      <c r="AA2388" s="76"/>
      <c r="AB2388" s="76"/>
      <c r="AC2388" s="76"/>
      <c r="AD2388" s="76"/>
      <c r="AE2388" s="76"/>
      <c r="AF2388" s="76"/>
      <c r="AG2388" s="76"/>
      <c r="AH2388" s="76"/>
      <c r="AI2388" s="76"/>
      <c r="AJ2388" s="76"/>
      <c r="AK2388" s="76"/>
      <c r="AL2388" s="76"/>
      <c r="AM2388" s="76"/>
      <c r="AN2388" s="76"/>
      <c r="AO2388" s="76"/>
      <c r="AP2388" s="76"/>
      <c r="AQ2388" s="76"/>
      <c r="AR2388" s="76"/>
      <c r="AS2388" s="76"/>
      <c r="AT2388" s="76"/>
      <c r="AU2388" s="76"/>
      <c r="AV2388" s="76"/>
      <c r="AW2388" s="76"/>
      <c r="AX2388" s="76"/>
      <c r="AY2388" s="76"/>
      <c r="AZ2388" s="76"/>
      <c r="BA2388" s="76"/>
      <c r="BB2388" s="76"/>
    </row>
    <row r="2389" spans="5:54" x14ac:dyDescent="0.35">
      <c r="E2389" s="83"/>
      <c r="F2389" s="83"/>
      <c r="G2389" s="76"/>
      <c r="H2389" s="76"/>
      <c r="I2389" s="76"/>
      <c r="J2389" s="76"/>
      <c r="K2389" s="76"/>
      <c r="L2389" s="76"/>
      <c r="M2389" s="76"/>
      <c r="N2389" s="76"/>
      <c r="O2389" s="76"/>
      <c r="P2389" s="76"/>
      <c r="Q2389" s="76"/>
      <c r="R2389" s="76"/>
      <c r="S2389" s="76"/>
      <c r="T2389" s="76"/>
      <c r="U2389" s="76"/>
      <c r="V2389" s="76"/>
      <c r="W2389" s="76"/>
      <c r="X2389" s="76"/>
      <c r="Y2389" s="76"/>
      <c r="Z2389" s="76"/>
      <c r="AA2389" s="76"/>
      <c r="AB2389" s="76"/>
      <c r="AC2389" s="76"/>
      <c r="AD2389" s="76"/>
      <c r="AE2389" s="76"/>
      <c r="AF2389" s="76"/>
      <c r="AG2389" s="76"/>
      <c r="AH2389" s="76"/>
      <c r="AI2389" s="76"/>
      <c r="AJ2389" s="76"/>
      <c r="AK2389" s="76"/>
      <c r="AL2389" s="76"/>
      <c r="AM2389" s="76"/>
      <c r="AN2389" s="76"/>
      <c r="AO2389" s="76"/>
      <c r="AP2389" s="76"/>
      <c r="AQ2389" s="76"/>
      <c r="AR2389" s="76"/>
      <c r="AS2389" s="76"/>
      <c r="AT2389" s="76"/>
      <c r="AU2389" s="76"/>
      <c r="AV2389" s="76"/>
      <c r="AW2389" s="76"/>
      <c r="AX2389" s="76"/>
      <c r="AY2389" s="76"/>
      <c r="AZ2389" s="76"/>
      <c r="BA2389" s="76"/>
      <c r="BB2389" s="76"/>
    </row>
    <row r="2390" spans="5:54" x14ac:dyDescent="0.35">
      <c r="E2390" s="83"/>
      <c r="F2390" s="83"/>
      <c r="G2390" s="76"/>
      <c r="H2390" s="76"/>
      <c r="I2390" s="76"/>
      <c r="J2390" s="76"/>
      <c r="K2390" s="76"/>
      <c r="L2390" s="76"/>
      <c r="M2390" s="76"/>
      <c r="N2390" s="76"/>
      <c r="O2390" s="76"/>
      <c r="P2390" s="76"/>
      <c r="Q2390" s="76"/>
      <c r="R2390" s="76"/>
      <c r="S2390" s="76"/>
      <c r="T2390" s="76"/>
      <c r="U2390" s="76"/>
      <c r="V2390" s="76"/>
      <c r="W2390" s="76"/>
      <c r="X2390" s="76"/>
      <c r="Y2390" s="76"/>
      <c r="Z2390" s="76"/>
      <c r="AA2390" s="76"/>
      <c r="AB2390" s="76"/>
      <c r="AC2390" s="76"/>
      <c r="AD2390" s="76"/>
      <c r="AE2390" s="76"/>
      <c r="AF2390" s="76"/>
      <c r="AG2390" s="76"/>
      <c r="AH2390" s="76"/>
      <c r="AI2390" s="76"/>
      <c r="AJ2390" s="76"/>
      <c r="AK2390" s="76"/>
      <c r="AL2390" s="76"/>
      <c r="AM2390" s="76"/>
      <c r="AN2390" s="76"/>
      <c r="AO2390" s="76"/>
      <c r="AP2390" s="76"/>
      <c r="AQ2390" s="76"/>
      <c r="AR2390" s="76"/>
      <c r="AS2390" s="76"/>
      <c r="AT2390" s="76"/>
      <c r="AU2390" s="76"/>
      <c r="AV2390" s="76"/>
      <c r="AW2390" s="76"/>
      <c r="AX2390" s="76"/>
      <c r="AY2390" s="76"/>
      <c r="AZ2390" s="76"/>
      <c r="BA2390" s="76"/>
      <c r="BB2390" s="76"/>
    </row>
    <row r="2391" spans="5:54" x14ac:dyDescent="0.35">
      <c r="E2391" s="83"/>
      <c r="F2391" s="83"/>
      <c r="G2391" s="76"/>
      <c r="H2391" s="76"/>
      <c r="I2391" s="76"/>
      <c r="J2391" s="76"/>
      <c r="K2391" s="76"/>
      <c r="L2391" s="76"/>
      <c r="M2391" s="76"/>
      <c r="N2391" s="76"/>
      <c r="O2391" s="76"/>
      <c r="P2391" s="76"/>
      <c r="Q2391" s="76"/>
      <c r="R2391" s="76"/>
      <c r="S2391" s="76"/>
      <c r="T2391" s="76"/>
      <c r="U2391" s="76"/>
      <c r="V2391" s="76"/>
      <c r="W2391" s="76"/>
      <c r="X2391" s="76"/>
      <c r="Y2391" s="76"/>
      <c r="Z2391" s="76"/>
      <c r="AA2391" s="76"/>
      <c r="AB2391" s="76"/>
      <c r="AC2391" s="76"/>
      <c r="AD2391" s="76"/>
      <c r="AE2391" s="76"/>
      <c r="AF2391" s="76"/>
      <c r="AG2391" s="76"/>
      <c r="AH2391" s="76"/>
      <c r="AI2391" s="76"/>
      <c r="AJ2391" s="76"/>
      <c r="AK2391" s="76"/>
      <c r="AL2391" s="76"/>
      <c r="AM2391" s="76"/>
      <c r="AN2391" s="76"/>
      <c r="AO2391" s="76"/>
      <c r="AP2391" s="76"/>
      <c r="AQ2391" s="76"/>
      <c r="AR2391" s="76"/>
      <c r="AS2391" s="76"/>
      <c r="AT2391" s="76"/>
      <c r="AU2391" s="76"/>
      <c r="AV2391" s="76"/>
      <c r="AW2391" s="76"/>
      <c r="AX2391" s="76"/>
      <c r="AY2391" s="76"/>
      <c r="AZ2391" s="76"/>
      <c r="BA2391" s="76"/>
      <c r="BB2391" s="76"/>
    </row>
    <row r="2392" spans="5:54" x14ac:dyDescent="0.35">
      <c r="E2392" s="83"/>
      <c r="F2392" s="83"/>
      <c r="G2392" s="76"/>
      <c r="H2392" s="76"/>
      <c r="I2392" s="76"/>
      <c r="J2392" s="76"/>
      <c r="K2392" s="76"/>
      <c r="L2392" s="76"/>
      <c r="M2392" s="76"/>
      <c r="N2392" s="76"/>
      <c r="O2392" s="76"/>
      <c r="P2392" s="76"/>
      <c r="Q2392" s="76"/>
      <c r="R2392" s="76"/>
      <c r="S2392" s="76"/>
      <c r="T2392" s="76"/>
      <c r="U2392" s="76"/>
      <c r="V2392" s="76"/>
      <c r="W2392" s="76"/>
      <c r="X2392" s="76"/>
      <c r="Y2392" s="76"/>
      <c r="Z2392" s="76"/>
      <c r="AA2392" s="76"/>
      <c r="AB2392" s="76"/>
      <c r="AC2392" s="76"/>
      <c r="AD2392" s="76"/>
      <c r="AE2392" s="76"/>
      <c r="AF2392" s="76"/>
      <c r="AG2392" s="76"/>
      <c r="AH2392" s="76"/>
      <c r="AI2392" s="76"/>
      <c r="AJ2392" s="76"/>
      <c r="AK2392" s="76"/>
      <c r="AL2392" s="76"/>
      <c r="AM2392" s="76"/>
      <c r="AN2392" s="76"/>
      <c r="AO2392" s="76"/>
      <c r="AP2392" s="76"/>
      <c r="AQ2392" s="76"/>
      <c r="AR2392" s="76"/>
      <c r="AS2392" s="76"/>
      <c r="AT2392" s="76"/>
      <c r="AU2392" s="76"/>
      <c r="AV2392" s="76"/>
      <c r="AW2392" s="76"/>
      <c r="AX2392" s="76"/>
      <c r="AY2392" s="76"/>
      <c r="AZ2392" s="76"/>
      <c r="BA2392" s="76"/>
      <c r="BB2392" s="76"/>
    </row>
    <row r="2393" spans="5:54" x14ac:dyDescent="0.35">
      <c r="E2393" s="83"/>
      <c r="F2393" s="83"/>
      <c r="G2393" s="76"/>
      <c r="H2393" s="76"/>
      <c r="I2393" s="76"/>
      <c r="J2393" s="76"/>
      <c r="K2393" s="76"/>
      <c r="L2393" s="76"/>
      <c r="M2393" s="76"/>
      <c r="N2393" s="76"/>
      <c r="O2393" s="76"/>
      <c r="P2393" s="76"/>
      <c r="Q2393" s="76"/>
      <c r="R2393" s="76"/>
      <c r="S2393" s="76"/>
      <c r="T2393" s="76"/>
      <c r="U2393" s="76"/>
      <c r="V2393" s="76"/>
      <c r="W2393" s="76"/>
      <c r="X2393" s="76"/>
      <c r="Y2393" s="76"/>
      <c r="Z2393" s="76"/>
      <c r="AA2393" s="76"/>
      <c r="AB2393" s="76"/>
      <c r="AC2393" s="76"/>
      <c r="AD2393" s="76"/>
      <c r="AE2393" s="76"/>
      <c r="AF2393" s="76"/>
      <c r="AG2393" s="76"/>
      <c r="AH2393" s="76"/>
      <c r="AI2393" s="76"/>
      <c r="AJ2393" s="76"/>
      <c r="AK2393" s="76"/>
      <c r="AL2393" s="76"/>
      <c r="AM2393" s="76"/>
      <c r="AN2393" s="76"/>
      <c r="AO2393" s="76"/>
      <c r="AP2393" s="76"/>
      <c r="AQ2393" s="76"/>
      <c r="AR2393" s="76"/>
      <c r="AS2393" s="76"/>
      <c r="AT2393" s="76"/>
      <c r="AU2393" s="76"/>
      <c r="AV2393" s="76"/>
      <c r="AW2393" s="76"/>
      <c r="AX2393" s="76"/>
      <c r="AY2393" s="76"/>
      <c r="AZ2393" s="76"/>
      <c r="BA2393" s="76"/>
      <c r="BB2393" s="76"/>
    </row>
    <row r="2394" spans="5:54" x14ac:dyDescent="0.35">
      <c r="E2394" s="83"/>
      <c r="F2394" s="83"/>
      <c r="G2394" s="76"/>
      <c r="H2394" s="76"/>
      <c r="I2394" s="76"/>
      <c r="J2394" s="76"/>
      <c r="K2394" s="76"/>
      <c r="L2394" s="76"/>
      <c r="M2394" s="76"/>
      <c r="N2394" s="76"/>
      <c r="O2394" s="76"/>
      <c r="P2394" s="76"/>
      <c r="Q2394" s="76"/>
      <c r="R2394" s="76"/>
      <c r="S2394" s="76"/>
      <c r="T2394" s="76"/>
      <c r="U2394" s="76"/>
      <c r="V2394" s="76"/>
      <c r="W2394" s="76"/>
      <c r="X2394" s="76"/>
      <c r="Y2394" s="76"/>
      <c r="Z2394" s="76"/>
      <c r="AA2394" s="76"/>
      <c r="AB2394" s="76"/>
      <c r="AC2394" s="76"/>
      <c r="AD2394" s="76"/>
      <c r="AE2394" s="76"/>
      <c r="AF2394" s="76"/>
      <c r="AG2394" s="76"/>
      <c r="AH2394" s="76"/>
      <c r="AI2394" s="76"/>
      <c r="AJ2394" s="76"/>
      <c r="AK2394" s="76"/>
      <c r="AL2394" s="76"/>
      <c r="AM2394" s="76"/>
      <c r="AN2394" s="76"/>
      <c r="AO2394" s="76"/>
      <c r="AP2394" s="76"/>
      <c r="AQ2394" s="76"/>
      <c r="AR2394" s="76"/>
      <c r="AS2394" s="76"/>
      <c r="AT2394" s="76"/>
      <c r="AU2394" s="76"/>
      <c r="AV2394" s="76"/>
      <c r="AW2394" s="76"/>
      <c r="AX2394" s="76"/>
      <c r="AY2394" s="76"/>
      <c r="AZ2394" s="76"/>
      <c r="BA2394" s="76"/>
      <c r="BB2394" s="76"/>
    </row>
    <row r="2395" spans="5:54" x14ac:dyDescent="0.35">
      <c r="E2395" s="83"/>
      <c r="F2395" s="83"/>
      <c r="G2395" s="76"/>
      <c r="H2395" s="76"/>
      <c r="I2395" s="76"/>
      <c r="J2395" s="76"/>
      <c r="K2395" s="76"/>
      <c r="L2395" s="76"/>
      <c r="M2395" s="76"/>
      <c r="N2395" s="76"/>
      <c r="O2395" s="76"/>
      <c r="P2395" s="76"/>
      <c r="Q2395" s="76"/>
      <c r="R2395" s="76"/>
      <c r="S2395" s="76"/>
      <c r="T2395" s="76"/>
      <c r="U2395" s="76"/>
      <c r="V2395" s="76"/>
      <c r="W2395" s="76"/>
      <c r="X2395" s="76"/>
      <c r="Y2395" s="76"/>
      <c r="Z2395" s="76"/>
      <c r="AA2395" s="76"/>
      <c r="AB2395" s="76"/>
      <c r="AC2395" s="76"/>
      <c r="AD2395" s="76"/>
      <c r="AE2395" s="76"/>
      <c r="AF2395" s="76"/>
      <c r="AG2395" s="76"/>
      <c r="AH2395" s="76"/>
      <c r="AI2395" s="76"/>
      <c r="AJ2395" s="76"/>
      <c r="AK2395" s="76"/>
      <c r="AL2395" s="76"/>
      <c r="AM2395" s="76"/>
      <c r="AN2395" s="76"/>
      <c r="AO2395" s="76"/>
      <c r="AP2395" s="76"/>
      <c r="AQ2395" s="76"/>
      <c r="AR2395" s="76"/>
      <c r="AS2395" s="76"/>
      <c r="AT2395" s="76"/>
      <c r="AU2395" s="76"/>
      <c r="AV2395" s="76"/>
      <c r="AW2395" s="76"/>
      <c r="AX2395" s="76"/>
      <c r="AY2395" s="76"/>
      <c r="AZ2395" s="76"/>
      <c r="BA2395" s="76"/>
      <c r="BB2395" s="76"/>
    </row>
    <row r="2396" spans="5:54" x14ac:dyDescent="0.35">
      <c r="E2396" s="83"/>
      <c r="F2396" s="83"/>
      <c r="G2396" s="76"/>
      <c r="H2396" s="76"/>
      <c r="I2396" s="76"/>
      <c r="J2396" s="76"/>
      <c r="K2396" s="76"/>
      <c r="L2396" s="76"/>
      <c r="M2396" s="76"/>
      <c r="N2396" s="76"/>
      <c r="O2396" s="76"/>
      <c r="P2396" s="76"/>
      <c r="Q2396" s="76"/>
      <c r="R2396" s="76"/>
      <c r="S2396" s="76"/>
      <c r="T2396" s="76"/>
      <c r="U2396" s="76"/>
      <c r="V2396" s="76"/>
      <c r="W2396" s="76"/>
      <c r="X2396" s="76"/>
      <c r="Y2396" s="76"/>
      <c r="Z2396" s="76"/>
      <c r="AA2396" s="76"/>
      <c r="AB2396" s="76"/>
      <c r="AC2396" s="76"/>
      <c r="AD2396" s="76"/>
      <c r="AE2396" s="76"/>
      <c r="AF2396" s="76"/>
      <c r="AG2396" s="76"/>
      <c r="AH2396" s="76"/>
      <c r="AI2396" s="76"/>
      <c r="AJ2396" s="76"/>
      <c r="AK2396" s="76"/>
      <c r="AL2396" s="76"/>
      <c r="AM2396" s="76"/>
      <c r="AN2396" s="76"/>
      <c r="AO2396" s="76"/>
      <c r="AP2396" s="76"/>
      <c r="AQ2396" s="76"/>
      <c r="AR2396" s="76"/>
      <c r="AS2396" s="76"/>
      <c r="AT2396" s="76"/>
      <c r="AU2396" s="76"/>
      <c r="AV2396" s="76"/>
      <c r="AW2396" s="76"/>
      <c r="AX2396" s="76"/>
      <c r="AY2396" s="76"/>
      <c r="AZ2396" s="76"/>
      <c r="BA2396" s="76"/>
      <c r="BB2396" s="76"/>
    </row>
    <row r="2397" spans="5:54" x14ac:dyDescent="0.35">
      <c r="E2397" s="83"/>
      <c r="F2397" s="83"/>
      <c r="G2397" s="76"/>
      <c r="H2397" s="76"/>
      <c r="I2397" s="76"/>
      <c r="J2397" s="76"/>
      <c r="K2397" s="76"/>
      <c r="L2397" s="76"/>
      <c r="M2397" s="76"/>
      <c r="N2397" s="76"/>
      <c r="O2397" s="76"/>
      <c r="P2397" s="76"/>
      <c r="Q2397" s="76"/>
      <c r="R2397" s="76"/>
      <c r="S2397" s="76"/>
      <c r="T2397" s="76"/>
      <c r="U2397" s="76"/>
      <c r="V2397" s="76"/>
      <c r="W2397" s="76"/>
      <c r="X2397" s="76"/>
      <c r="Y2397" s="76"/>
      <c r="Z2397" s="76"/>
      <c r="AA2397" s="76"/>
      <c r="AB2397" s="76"/>
      <c r="AC2397" s="76"/>
      <c r="AD2397" s="76"/>
      <c r="AE2397" s="76"/>
      <c r="AF2397" s="76"/>
      <c r="AG2397" s="76"/>
      <c r="AH2397" s="76"/>
      <c r="AI2397" s="76"/>
      <c r="AJ2397" s="76"/>
      <c r="AK2397" s="76"/>
      <c r="AL2397" s="76"/>
      <c r="AM2397" s="76"/>
      <c r="AN2397" s="76"/>
      <c r="AO2397" s="76"/>
      <c r="AP2397" s="76"/>
      <c r="AQ2397" s="76"/>
      <c r="AR2397" s="76"/>
      <c r="AS2397" s="76"/>
      <c r="AT2397" s="76"/>
      <c r="AU2397" s="76"/>
      <c r="AV2397" s="76"/>
      <c r="AW2397" s="76"/>
      <c r="AX2397" s="76"/>
      <c r="AY2397" s="76"/>
      <c r="AZ2397" s="76"/>
      <c r="BA2397" s="76"/>
      <c r="BB2397" s="76"/>
    </row>
    <row r="2398" spans="5:54" x14ac:dyDescent="0.35">
      <c r="E2398" s="83"/>
      <c r="F2398" s="83"/>
      <c r="G2398" s="76"/>
      <c r="H2398" s="76"/>
      <c r="I2398" s="76"/>
      <c r="J2398" s="76"/>
      <c r="K2398" s="76"/>
      <c r="L2398" s="76"/>
      <c r="M2398" s="76"/>
      <c r="N2398" s="76"/>
      <c r="O2398" s="76"/>
      <c r="P2398" s="76"/>
      <c r="Q2398" s="76"/>
      <c r="R2398" s="76"/>
      <c r="S2398" s="76"/>
      <c r="T2398" s="76"/>
      <c r="U2398" s="76"/>
      <c r="V2398" s="76"/>
      <c r="W2398" s="76"/>
      <c r="X2398" s="76"/>
      <c r="Y2398" s="76"/>
      <c r="Z2398" s="76"/>
      <c r="AA2398" s="76"/>
      <c r="AB2398" s="76"/>
      <c r="AC2398" s="76"/>
      <c r="AD2398" s="76"/>
      <c r="AE2398" s="76"/>
      <c r="AF2398" s="76"/>
      <c r="AG2398" s="76"/>
      <c r="AH2398" s="76"/>
      <c r="AI2398" s="76"/>
      <c r="AJ2398" s="76"/>
      <c r="AK2398" s="76"/>
      <c r="AL2398" s="76"/>
      <c r="AM2398" s="76"/>
      <c r="AN2398" s="76"/>
      <c r="AO2398" s="76"/>
      <c r="AP2398" s="76"/>
      <c r="AQ2398" s="76"/>
      <c r="AR2398" s="76"/>
      <c r="AS2398" s="76"/>
      <c r="AT2398" s="76"/>
      <c r="AU2398" s="76"/>
      <c r="AV2398" s="76"/>
      <c r="AW2398" s="76"/>
      <c r="AX2398" s="76"/>
      <c r="AY2398" s="76"/>
      <c r="AZ2398" s="76"/>
      <c r="BA2398" s="76"/>
      <c r="BB2398" s="76"/>
    </row>
    <row r="2399" spans="5:54" x14ac:dyDescent="0.35">
      <c r="E2399" s="83"/>
      <c r="F2399" s="83"/>
      <c r="G2399" s="76"/>
      <c r="H2399" s="76"/>
      <c r="I2399" s="76"/>
      <c r="J2399" s="76"/>
      <c r="K2399" s="76"/>
      <c r="L2399" s="76"/>
      <c r="M2399" s="76"/>
      <c r="N2399" s="76"/>
      <c r="O2399" s="76"/>
      <c r="P2399" s="76"/>
      <c r="Q2399" s="76"/>
      <c r="R2399" s="76"/>
      <c r="S2399" s="76"/>
      <c r="T2399" s="76"/>
      <c r="U2399" s="76"/>
      <c r="V2399" s="76"/>
      <c r="W2399" s="76"/>
      <c r="X2399" s="76"/>
      <c r="Y2399" s="76"/>
      <c r="Z2399" s="76"/>
      <c r="AA2399" s="76"/>
      <c r="AB2399" s="76"/>
      <c r="AC2399" s="76"/>
      <c r="AD2399" s="76"/>
      <c r="AE2399" s="76"/>
      <c r="AF2399" s="76"/>
      <c r="AG2399" s="76"/>
      <c r="AH2399" s="76"/>
      <c r="AI2399" s="76"/>
      <c r="AJ2399" s="76"/>
      <c r="AK2399" s="76"/>
      <c r="AL2399" s="76"/>
      <c r="AM2399" s="76"/>
      <c r="AN2399" s="76"/>
      <c r="AO2399" s="76"/>
      <c r="AP2399" s="76"/>
      <c r="AQ2399" s="76"/>
      <c r="AR2399" s="76"/>
      <c r="AS2399" s="76"/>
      <c r="AT2399" s="76"/>
      <c r="AU2399" s="76"/>
      <c r="AV2399" s="76"/>
      <c r="AW2399" s="76"/>
      <c r="AX2399" s="76"/>
      <c r="AY2399" s="76"/>
      <c r="AZ2399" s="76"/>
      <c r="BA2399" s="76"/>
      <c r="BB2399" s="76"/>
    </row>
    <row r="2400" spans="5:54" x14ac:dyDescent="0.35">
      <c r="E2400" s="83"/>
      <c r="F2400" s="83"/>
      <c r="G2400" s="76"/>
      <c r="H2400" s="76"/>
      <c r="I2400" s="76"/>
      <c r="J2400" s="76"/>
      <c r="K2400" s="76"/>
      <c r="L2400" s="76"/>
      <c r="M2400" s="76"/>
      <c r="N2400" s="76"/>
      <c r="O2400" s="76"/>
      <c r="P2400" s="76"/>
      <c r="Q2400" s="76"/>
      <c r="R2400" s="76"/>
      <c r="S2400" s="76"/>
      <c r="T2400" s="76"/>
      <c r="U2400" s="76"/>
      <c r="V2400" s="76"/>
      <c r="W2400" s="76"/>
      <c r="X2400" s="76"/>
      <c r="Y2400" s="76"/>
      <c r="Z2400" s="76"/>
      <c r="AA2400" s="76"/>
      <c r="AB2400" s="76"/>
      <c r="AC2400" s="76"/>
      <c r="AD2400" s="76"/>
      <c r="AE2400" s="76"/>
      <c r="AF2400" s="76"/>
      <c r="AG2400" s="76"/>
      <c r="AH2400" s="76"/>
      <c r="AI2400" s="76"/>
      <c r="AJ2400" s="76"/>
      <c r="AK2400" s="76"/>
      <c r="AL2400" s="76"/>
      <c r="AM2400" s="76"/>
      <c r="AN2400" s="76"/>
      <c r="AO2400" s="76"/>
      <c r="AP2400" s="76"/>
      <c r="AQ2400" s="76"/>
      <c r="AR2400" s="76"/>
      <c r="AS2400" s="76"/>
      <c r="AT2400" s="76"/>
      <c r="AU2400" s="76"/>
      <c r="AV2400" s="76"/>
      <c r="AW2400" s="76"/>
      <c r="AX2400" s="76"/>
      <c r="AY2400" s="76"/>
      <c r="AZ2400" s="76"/>
      <c r="BA2400" s="76"/>
      <c r="BB2400" s="76"/>
    </row>
    <row r="2401" spans="5:54" x14ac:dyDescent="0.35">
      <c r="E2401" s="83"/>
      <c r="F2401" s="83"/>
      <c r="G2401" s="76"/>
      <c r="H2401" s="76"/>
      <c r="I2401" s="76"/>
      <c r="J2401" s="76"/>
      <c r="K2401" s="76"/>
      <c r="L2401" s="76"/>
      <c r="M2401" s="76"/>
      <c r="N2401" s="76"/>
      <c r="O2401" s="76"/>
      <c r="P2401" s="76"/>
      <c r="Q2401" s="76"/>
      <c r="R2401" s="76"/>
      <c r="S2401" s="76"/>
      <c r="T2401" s="76"/>
      <c r="U2401" s="76"/>
      <c r="V2401" s="76"/>
      <c r="W2401" s="76"/>
      <c r="X2401" s="76"/>
      <c r="Y2401" s="76"/>
      <c r="Z2401" s="76"/>
      <c r="AA2401" s="76"/>
      <c r="AB2401" s="76"/>
      <c r="AC2401" s="76"/>
      <c r="AD2401" s="76"/>
      <c r="AE2401" s="76"/>
      <c r="AF2401" s="76"/>
      <c r="AG2401" s="76"/>
      <c r="AH2401" s="76"/>
      <c r="AI2401" s="76"/>
      <c r="AJ2401" s="76"/>
      <c r="AK2401" s="76"/>
      <c r="AL2401" s="76"/>
      <c r="AM2401" s="76"/>
      <c r="AN2401" s="76"/>
      <c r="AO2401" s="76"/>
      <c r="AP2401" s="76"/>
      <c r="AQ2401" s="76"/>
      <c r="AR2401" s="76"/>
      <c r="AS2401" s="76"/>
      <c r="AT2401" s="76"/>
      <c r="AU2401" s="76"/>
      <c r="AV2401" s="76"/>
      <c r="AW2401" s="76"/>
      <c r="AX2401" s="76"/>
      <c r="AY2401" s="76"/>
      <c r="AZ2401" s="76"/>
      <c r="BA2401" s="76"/>
      <c r="BB2401" s="76"/>
    </row>
    <row r="2402" spans="5:54" x14ac:dyDescent="0.35">
      <c r="E2402" s="83"/>
      <c r="F2402" s="83"/>
      <c r="G2402" s="76"/>
      <c r="H2402" s="76"/>
      <c r="I2402" s="76"/>
      <c r="J2402" s="76"/>
      <c r="K2402" s="76"/>
      <c r="L2402" s="76"/>
      <c r="M2402" s="76"/>
      <c r="N2402" s="76"/>
      <c r="O2402" s="76"/>
      <c r="P2402" s="76"/>
      <c r="Q2402" s="76"/>
      <c r="R2402" s="76"/>
      <c r="S2402" s="76"/>
      <c r="T2402" s="76"/>
      <c r="U2402" s="76"/>
      <c r="V2402" s="76"/>
      <c r="W2402" s="76"/>
      <c r="X2402" s="76"/>
      <c r="Y2402" s="76"/>
      <c r="Z2402" s="76"/>
      <c r="AA2402" s="76"/>
      <c r="AB2402" s="76"/>
      <c r="AC2402" s="76"/>
      <c r="AD2402" s="76"/>
      <c r="AE2402" s="76"/>
      <c r="AF2402" s="76"/>
      <c r="AG2402" s="76"/>
      <c r="AH2402" s="76"/>
      <c r="AI2402" s="76"/>
      <c r="AJ2402" s="76"/>
      <c r="AK2402" s="76"/>
      <c r="AL2402" s="76"/>
      <c r="AM2402" s="76"/>
      <c r="AN2402" s="76"/>
      <c r="AO2402" s="76"/>
      <c r="AP2402" s="76"/>
      <c r="AQ2402" s="76"/>
      <c r="AR2402" s="76"/>
      <c r="AS2402" s="76"/>
      <c r="AT2402" s="76"/>
      <c r="AU2402" s="76"/>
      <c r="AV2402" s="76"/>
      <c r="AW2402" s="76"/>
      <c r="AX2402" s="76"/>
      <c r="AY2402" s="76"/>
      <c r="AZ2402" s="76"/>
      <c r="BA2402" s="76"/>
      <c r="BB2402" s="76"/>
    </row>
    <row r="2403" spans="5:54" x14ac:dyDescent="0.35">
      <c r="E2403" s="83"/>
      <c r="F2403" s="83"/>
      <c r="G2403" s="76"/>
      <c r="H2403" s="76"/>
      <c r="I2403" s="76"/>
      <c r="J2403" s="76"/>
      <c r="K2403" s="76"/>
      <c r="L2403" s="76"/>
      <c r="M2403" s="76"/>
      <c r="N2403" s="76"/>
      <c r="O2403" s="76"/>
      <c r="P2403" s="76"/>
      <c r="Q2403" s="76"/>
      <c r="R2403" s="76"/>
      <c r="S2403" s="76"/>
      <c r="T2403" s="76"/>
      <c r="U2403" s="76"/>
      <c r="V2403" s="76"/>
      <c r="W2403" s="76"/>
      <c r="X2403" s="76"/>
      <c r="Y2403" s="76"/>
      <c r="Z2403" s="76"/>
      <c r="AA2403" s="76"/>
      <c r="AB2403" s="76"/>
      <c r="AC2403" s="76"/>
      <c r="AD2403" s="76"/>
      <c r="AE2403" s="76"/>
      <c r="AF2403" s="76"/>
      <c r="AG2403" s="76"/>
      <c r="AH2403" s="76"/>
      <c r="AI2403" s="76"/>
      <c r="AJ2403" s="76"/>
      <c r="AK2403" s="76"/>
      <c r="AL2403" s="76"/>
      <c r="AM2403" s="76"/>
      <c r="AN2403" s="76"/>
      <c r="AO2403" s="76"/>
      <c r="AP2403" s="76"/>
      <c r="AQ2403" s="76"/>
      <c r="AR2403" s="76"/>
      <c r="AS2403" s="76"/>
      <c r="AT2403" s="76"/>
      <c r="AU2403" s="76"/>
      <c r="AV2403" s="76"/>
      <c r="AW2403" s="76"/>
      <c r="AX2403" s="76"/>
      <c r="AY2403" s="76"/>
      <c r="AZ2403" s="76"/>
      <c r="BA2403" s="76"/>
      <c r="BB2403" s="76"/>
    </row>
    <row r="2404" spans="5:54" x14ac:dyDescent="0.35">
      <c r="E2404" s="83"/>
      <c r="F2404" s="83"/>
      <c r="G2404" s="76"/>
      <c r="H2404" s="76"/>
      <c r="I2404" s="76"/>
      <c r="J2404" s="76"/>
      <c r="K2404" s="76"/>
      <c r="L2404" s="76"/>
      <c r="M2404" s="76"/>
      <c r="N2404" s="76"/>
      <c r="O2404" s="76"/>
      <c r="P2404" s="76"/>
      <c r="Q2404" s="76"/>
      <c r="R2404" s="76"/>
      <c r="S2404" s="76"/>
      <c r="T2404" s="76"/>
      <c r="U2404" s="76"/>
      <c r="V2404" s="76"/>
      <c r="W2404" s="76"/>
      <c r="X2404" s="76"/>
      <c r="Y2404" s="76"/>
      <c r="Z2404" s="76"/>
      <c r="AA2404" s="76"/>
      <c r="AB2404" s="76"/>
      <c r="AC2404" s="76"/>
      <c r="AD2404" s="76"/>
      <c r="AE2404" s="76"/>
      <c r="AF2404" s="76"/>
      <c r="AG2404" s="76"/>
      <c r="AH2404" s="76"/>
      <c r="AI2404" s="76"/>
      <c r="AJ2404" s="76"/>
      <c r="AK2404" s="76"/>
      <c r="AL2404" s="76"/>
      <c r="AM2404" s="76"/>
      <c r="AN2404" s="76"/>
      <c r="AO2404" s="76"/>
      <c r="AP2404" s="76"/>
      <c r="AQ2404" s="76"/>
      <c r="AR2404" s="76"/>
      <c r="AS2404" s="76"/>
      <c r="AT2404" s="76"/>
      <c r="AU2404" s="76"/>
      <c r="AV2404" s="76"/>
      <c r="AW2404" s="76"/>
      <c r="AX2404" s="76"/>
      <c r="AY2404" s="76"/>
      <c r="AZ2404" s="76"/>
      <c r="BA2404" s="76"/>
      <c r="BB2404" s="76"/>
    </row>
    <row r="2405" spans="5:54" x14ac:dyDescent="0.35">
      <c r="E2405" s="83"/>
      <c r="F2405" s="83"/>
      <c r="G2405" s="76"/>
      <c r="H2405" s="76"/>
      <c r="I2405" s="76"/>
      <c r="J2405" s="76"/>
      <c r="K2405" s="76"/>
      <c r="L2405" s="76"/>
      <c r="M2405" s="76"/>
      <c r="N2405" s="76"/>
      <c r="O2405" s="76"/>
      <c r="P2405" s="76"/>
      <c r="Q2405" s="76"/>
      <c r="R2405" s="76"/>
      <c r="S2405" s="76"/>
      <c r="T2405" s="76"/>
      <c r="U2405" s="76"/>
      <c r="V2405" s="76"/>
      <c r="W2405" s="76"/>
      <c r="X2405" s="76"/>
      <c r="Y2405" s="76"/>
      <c r="Z2405" s="76"/>
      <c r="AA2405" s="76"/>
      <c r="AB2405" s="76"/>
      <c r="AC2405" s="76"/>
      <c r="AD2405" s="76"/>
      <c r="AE2405" s="76"/>
      <c r="AF2405" s="76"/>
      <c r="AG2405" s="76"/>
      <c r="AH2405" s="76"/>
      <c r="AI2405" s="76"/>
      <c r="AJ2405" s="76"/>
      <c r="AK2405" s="76"/>
      <c r="AL2405" s="76"/>
      <c r="AM2405" s="76"/>
      <c r="AN2405" s="76"/>
      <c r="AO2405" s="76"/>
      <c r="AP2405" s="76"/>
      <c r="AQ2405" s="76"/>
      <c r="AR2405" s="76"/>
      <c r="AS2405" s="76"/>
      <c r="AT2405" s="76"/>
      <c r="AU2405" s="76"/>
      <c r="AV2405" s="76"/>
      <c r="AW2405" s="76"/>
      <c r="AX2405" s="76"/>
      <c r="AY2405" s="76"/>
      <c r="AZ2405" s="76"/>
      <c r="BA2405" s="76"/>
      <c r="BB2405" s="76"/>
    </row>
    <row r="2406" spans="5:54" x14ac:dyDescent="0.35">
      <c r="E2406" s="83"/>
      <c r="F2406" s="83"/>
      <c r="G2406" s="76"/>
      <c r="H2406" s="76"/>
      <c r="I2406" s="76"/>
      <c r="J2406" s="76"/>
      <c r="K2406" s="76"/>
      <c r="L2406" s="76"/>
      <c r="M2406" s="76"/>
      <c r="N2406" s="76"/>
      <c r="O2406" s="76"/>
      <c r="P2406" s="76"/>
      <c r="Q2406" s="76"/>
      <c r="R2406" s="76"/>
      <c r="S2406" s="76"/>
      <c r="T2406" s="76"/>
      <c r="U2406" s="76"/>
      <c r="V2406" s="76"/>
      <c r="W2406" s="76"/>
      <c r="X2406" s="76"/>
      <c r="Y2406" s="76"/>
      <c r="Z2406" s="76"/>
      <c r="AA2406" s="76"/>
      <c r="AB2406" s="76"/>
      <c r="AC2406" s="76"/>
      <c r="AD2406" s="76"/>
      <c r="AE2406" s="76"/>
      <c r="AF2406" s="76"/>
      <c r="AG2406" s="76"/>
      <c r="AH2406" s="76"/>
      <c r="AI2406" s="76"/>
      <c r="AJ2406" s="76"/>
      <c r="AK2406" s="76"/>
      <c r="AL2406" s="76"/>
      <c r="AM2406" s="76"/>
      <c r="AN2406" s="76"/>
      <c r="AO2406" s="76"/>
      <c r="AP2406" s="76"/>
      <c r="AQ2406" s="76"/>
      <c r="AR2406" s="76"/>
      <c r="AS2406" s="76"/>
      <c r="AT2406" s="76"/>
      <c r="AU2406" s="76"/>
      <c r="AV2406" s="76"/>
      <c r="AW2406" s="76"/>
      <c r="AX2406" s="76"/>
      <c r="AY2406" s="76"/>
      <c r="AZ2406" s="76"/>
      <c r="BA2406" s="76"/>
      <c r="BB2406" s="76"/>
    </row>
    <row r="2407" spans="5:54" x14ac:dyDescent="0.35">
      <c r="E2407" s="83"/>
      <c r="F2407" s="83"/>
      <c r="G2407" s="76"/>
      <c r="H2407" s="76"/>
      <c r="I2407" s="76"/>
      <c r="J2407" s="76"/>
      <c r="K2407" s="76"/>
      <c r="L2407" s="76"/>
      <c r="M2407" s="76"/>
      <c r="N2407" s="76"/>
      <c r="O2407" s="76"/>
      <c r="P2407" s="76"/>
      <c r="Q2407" s="76"/>
      <c r="R2407" s="76"/>
      <c r="S2407" s="76"/>
      <c r="T2407" s="76"/>
      <c r="U2407" s="76"/>
      <c r="V2407" s="76"/>
      <c r="W2407" s="76"/>
      <c r="X2407" s="76"/>
      <c r="Y2407" s="76"/>
      <c r="Z2407" s="76"/>
      <c r="AA2407" s="76"/>
      <c r="AB2407" s="76"/>
      <c r="AC2407" s="76"/>
      <c r="AD2407" s="76"/>
      <c r="AE2407" s="76"/>
      <c r="AF2407" s="76"/>
      <c r="AG2407" s="76"/>
      <c r="AH2407" s="76"/>
      <c r="AI2407" s="76"/>
      <c r="AJ2407" s="76"/>
      <c r="AK2407" s="76"/>
      <c r="AL2407" s="76"/>
      <c r="AM2407" s="76"/>
      <c r="AN2407" s="76"/>
      <c r="AO2407" s="76"/>
      <c r="AP2407" s="76"/>
      <c r="AQ2407" s="76"/>
      <c r="AR2407" s="76"/>
      <c r="AS2407" s="76"/>
      <c r="AT2407" s="76"/>
      <c r="AU2407" s="76"/>
      <c r="AV2407" s="76"/>
      <c r="AW2407" s="76"/>
      <c r="AX2407" s="76"/>
      <c r="AY2407" s="76"/>
      <c r="AZ2407" s="76"/>
      <c r="BA2407" s="76"/>
      <c r="BB2407" s="76"/>
    </row>
    <row r="2408" spans="5:54" x14ac:dyDescent="0.35">
      <c r="E2408" s="83"/>
      <c r="F2408" s="83"/>
      <c r="G2408" s="76"/>
      <c r="H2408" s="76"/>
      <c r="I2408" s="76"/>
      <c r="J2408" s="76"/>
      <c r="K2408" s="76"/>
      <c r="L2408" s="76"/>
      <c r="M2408" s="76"/>
      <c r="N2408" s="76"/>
      <c r="O2408" s="76"/>
      <c r="P2408" s="76"/>
      <c r="Q2408" s="76"/>
      <c r="R2408" s="76"/>
      <c r="S2408" s="76"/>
      <c r="T2408" s="76"/>
      <c r="U2408" s="76"/>
      <c r="V2408" s="76"/>
      <c r="W2408" s="76"/>
      <c r="X2408" s="76"/>
      <c r="Y2408" s="76"/>
      <c r="Z2408" s="76"/>
      <c r="AA2408" s="76"/>
      <c r="AB2408" s="76"/>
      <c r="AC2408" s="76"/>
      <c r="AD2408" s="76"/>
      <c r="AE2408" s="76"/>
      <c r="AF2408" s="76"/>
      <c r="AG2408" s="76"/>
      <c r="AH2408" s="76"/>
      <c r="AI2408" s="76"/>
      <c r="AJ2408" s="76"/>
      <c r="AK2408" s="76"/>
      <c r="AL2408" s="76"/>
      <c r="AM2408" s="76"/>
      <c r="AN2408" s="76"/>
      <c r="AO2408" s="76"/>
      <c r="AP2408" s="76"/>
      <c r="AQ2408" s="76"/>
      <c r="AR2408" s="76"/>
      <c r="AS2408" s="76"/>
      <c r="AT2408" s="76"/>
      <c r="AU2408" s="76"/>
      <c r="AV2408" s="76"/>
      <c r="AW2408" s="76"/>
      <c r="AX2408" s="76"/>
      <c r="AY2408" s="76"/>
      <c r="AZ2408" s="76"/>
      <c r="BA2408" s="76"/>
      <c r="BB2408" s="76"/>
    </row>
    <row r="2409" spans="5:54" x14ac:dyDescent="0.35">
      <c r="E2409" s="83"/>
      <c r="F2409" s="83"/>
      <c r="G2409" s="76"/>
      <c r="H2409" s="76"/>
      <c r="I2409" s="76"/>
      <c r="J2409" s="76"/>
      <c r="K2409" s="76"/>
      <c r="L2409" s="76"/>
      <c r="M2409" s="76"/>
      <c r="N2409" s="76"/>
      <c r="O2409" s="76"/>
      <c r="P2409" s="76"/>
      <c r="Q2409" s="76"/>
      <c r="R2409" s="76"/>
      <c r="S2409" s="76"/>
      <c r="T2409" s="76"/>
      <c r="U2409" s="76"/>
      <c r="V2409" s="76"/>
      <c r="W2409" s="76"/>
      <c r="X2409" s="76"/>
      <c r="Y2409" s="76"/>
      <c r="Z2409" s="76"/>
      <c r="AA2409" s="76"/>
      <c r="AB2409" s="76"/>
      <c r="AC2409" s="76"/>
      <c r="AD2409" s="76"/>
      <c r="AE2409" s="76"/>
      <c r="AF2409" s="76"/>
      <c r="AG2409" s="76"/>
      <c r="AH2409" s="76"/>
      <c r="AI2409" s="76"/>
      <c r="AJ2409" s="76"/>
      <c r="AK2409" s="76"/>
      <c r="AL2409" s="76"/>
      <c r="AM2409" s="76"/>
      <c r="AN2409" s="76"/>
      <c r="AO2409" s="76"/>
      <c r="AP2409" s="76"/>
      <c r="AQ2409" s="76"/>
      <c r="AR2409" s="76"/>
      <c r="AS2409" s="76"/>
      <c r="AT2409" s="76"/>
      <c r="AU2409" s="76"/>
      <c r="AV2409" s="76"/>
      <c r="AW2409" s="76"/>
      <c r="AX2409" s="76"/>
      <c r="AY2409" s="76"/>
      <c r="AZ2409" s="76"/>
      <c r="BA2409" s="76"/>
      <c r="BB2409" s="76"/>
    </row>
    <row r="2410" spans="5:54" x14ac:dyDescent="0.35">
      <c r="E2410" s="83"/>
      <c r="F2410" s="83"/>
      <c r="G2410" s="76"/>
      <c r="H2410" s="76"/>
      <c r="I2410" s="76"/>
      <c r="J2410" s="76"/>
      <c r="K2410" s="76"/>
      <c r="L2410" s="76"/>
      <c r="M2410" s="76"/>
      <c r="N2410" s="76"/>
      <c r="O2410" s="76"/>
      <c r="P2410" s="76"/>
      <c r="Q2410" s="76"/>
      <c r="R2410" s="76"/>
      <c r="S2410" s="76"/>
      <c r="T2410" s="76"/>
      <c r="U2410" s="76"/>
      <c r="V2410" s="76"/>
      <c r="W2410" s="76"/>
      <c r="X2410" s="76"/>
      <c r="Y2410" s="76"/>
      <c r="Z2410" s="76"/>
      <c r="AA2410" s="76"/>
      <c r="AB2410" s="76"/>
      <c r="AC2410" s="76"/>
      <c r="AD2410" s="76"/>
      <c r="AE2410" s="76"/>
      <c r="AF2410" s="76"/>
      <c r="AG2410" s="76"/>
      <c r="AH2410" s="76"/>
      <c r="AI2410" s="76"/>
      <c r="AJ2410" s="76"/>
      <c r="AK2410" s="76"/>
      <c r="AL2410" s="76"/>
      <c r="AM2410" s="76"/>
      <c r="AN2410" s="76"/>
      <c r="AO2410" s="76"/>
      <c r="AP2410" s="76"/>
      <c r="AQ2410" s="76"/>
      <c r="AR2410" s="76"/>
      <c r="AS2410" s="76"/>
      <c r="AT2410" s="76"/>
      <c r="AU2410" s="76"/>
      <c r="AV2410" s="76"/>
      <c r="AW2410" s="76"/>
      <c r="AX2410" s="76"/>
      <c r="AY2410" s="76"/>
      <c r="AZ2410" s="76"/>
      <c r="BA2410" s="76"/>
      <c r="BB2410" s="76"/>
    </row>
    <row r="2411" spans="5:54" x14ac:dyDescent="0.35">
      <c r="E2411" s="83"/>
      <c r="F2411" s="83"/>
      <c r="G2411" s="76"/>
      <c r="H2411" s="76"/>
      <c r="I2411" s="76"/>
      <c r="J2411" s="76"/>
      <c r="K2411" s="76"/>
      <c r="L2411" s="76"/>
      <c r="M2411" s="76"/>
      <c r="N2411" s="76"/>
      <c r="O2411" s="76"/>
      <c r="P2411" s="76"/>
      <c r="Q2411" s="76"/>
      <c r="R2411" s="76"/>
      <c r="S2411" s="76"/>
      <c r="T2411" s="76"/>
      <c r="U2411" s="76"/>
      <c r="V2411" s="76"/>
      <c r="W2411" s="76"/>
      <c r="X2411" s="76"/>
      <c r="Y2411" s="76"/>
      <c r="Z2411" s="76"/>
      <c r="AA2411" s="76"/>
      <c r="AB2411" s="76"/>
      <c r="AC2411" s="76"/>
      <c r="AD2411" s="76"/>
      <c r="AE2411" s="76"/>
      <c r="AF2411" s="76"/>
      <c r="AG2411" s="76"/>
      <c r="AH2411" s="76"/>
      <c r="AI2411" s="76"/>
      <c r="AJ2411" s="76"/>
      <c r="AK2411" s="76"/>
      <c r="AL2411" s="76"/>
      <c r="AM2411" s="76"/>
      <c r="AN2411" s="76"/>
      <c r="AO2411" s="76"/>
      <c r="AP2411" s="76"/>
      <c r="AQ2411" s="76"/>
      <c r="AR2411" s="76"/>
      <c r="AS2411" s="76"/>
      <c r="AT2411" s="76"/>
      <c r="AU2411" s="76"/>
      <c r="AV2411" s="76"/>
      <c r="AW2411" s="76"/>
      <c r="AX2411" s="76"/>
      <c r="AY2411" s="76"/>
      <c r="AZ2411" s="76"/>
      <c r="BA2411" s="76"/>
      <c r="BB2411" s="76"/>
    </row>
    <row r="2412" spans="5:54" x14ac:dyDescent="0.35">
      <c r="E2412" s="83"/>
      <c r="F2412" s="83"/>
      <c r="G2412" s="76"/>
      <c r="H2412" s="76"/>
      <c r="I2412" s="76"/>
      <c r="J2412" s="76"/>
      <c r="K2412" s="76"/>
      <c r="L2412" s="76"/>
      <c r="M2412" s="76"/>
      <c r="N2412" s="76"/>
      <c r="O2412" s="76"/>
      <c r="P2412" s="76"/>
      <c r="Q2412" s="76"/>
      <c r="R2412" s="76"/>
      <c r="S2412" s="76"/>
      <c r="T2412" s="76"/>
      <c r="U2412" s="76"/>
      <c r="V2412" s="76"/>
      <c r="W2412" s="76"/>
      <c r="X2412" s="76"/>
      <c r="Y2412" s="76"/>
      <c r="Z2412" s="76"/>
      <c r="AA2412" s="76"/>
      <c r="AB2412" s="76"/>
      <c r="AC2412" s="76"/>
      <c r="AD2412" s="76"/>
      <c r="AE2412" s="76"/>
      <c r="AF2412" s="76"/>
      <c r="AG2412" s="76"/>
      <c r="AH2412" s="76"/>
      <c r="AI2412" s="76"/>
      <c r="AJ2412" s="76"/>
      <c r="AK2412" s="76"/>
      <c r="AL2412" s="76"/>
      <c r="AM2412" s="76"/>
      <c r="AN2412" s="76"/>
      <c r="AO2412" s="76"/>
      <c r="AP2412" s="76"/>
      <c r="AQ2412" s="76"/>
      <c r="AR2412" s="76"/>
      <c r="AS2412" s="76"/>
      <c r="AT2412" s="76"/>
      <c r="AU2412" s="76"/>
      <c r="AV2412" s="76"/>
      <c r="AW2412" s="76"/>
      <c r="AX2412" s="76"/>
      <c r="AY2412" s="76"/>
      <c r="AZ2412" s="76"/>
      <c r="BA2412" s="76"/>
      <c r="BB2412" s="76"/>
    </row>
    <row r="2413" spans="5:54" x14ac:dyDescent="0.35">
      <c r="E2413" s="83"/>
      <c r="F2413" s="83"/>
      <c r="G2413" s="76"/>
      <c r="H2413" s="76"/>
      <c r="I2413" s="76"/>
      <c r="J2413" s="76"/>
      <c r="K2413" s="76"/>
      <c r="L2413" s="76"/>
      <c r="M2413" s="76"/>
      <c r="N2413" s="76"/>
      <c r="O2413" s="76"/>
      <c r="P2413" s="76"/>
      <c r="Q2413" s="76"/>
      <c r="R2413" s="76"/>
      <c r="S2413" s="76"/>
      <c r="T2413" s="76"/>
      <c r="U2413" s="76"/>
      <c r="V2413" s="76"/>
      <c r="W2413" s="76"/>
      <c r="X2413" s="76"/>
      <c r="Y2413" s="76"/>
      <c r="Z2413" s="76"/>
      <c r="AA2413" s="76"/>
      <c r="AB2413" s="76"/>
      <c r="AC2413" s="76"/>
      <c r="AD2413" s="76"/>
      <c r="AE2413" s="76"/>
      <c r="AF2413" s="76"/>
      <c r="AG2413" s="76"/>
      <c r="AH2413" s="76"/>
      <c r="AI2413" s="76"/>
      <c r="AJ2413" s="76"/>
      <c r="AK2413" s="76"/>
      <c r="AL2413" s="76"/>
      <c r="AM2413" s="76"/>
      <c r="AN2413" s="76"/>
      <c r="AO2413" s="76"/>
      <c r="AP2413" s="76"/>
      <c r="AQ2413" s="76"/>
      <c r="AR2413" s="76"/>
      <c r="AS2413" s="76"/>
      <c r="AT2413" s="76"/>
      <c r="AU2413" s="76"/>
      <c r="AV2413" s="76"/>
      <c r="AW2413" s="76"/>
      <c r="AX2413" s="76"/>
      <c r="AY2413" s="76"/>
      <c r="AZ2413" s="76"/>
      <c r="BA2413" s="76"/>
      <c r="BB2413" s="76"/>
    </row>
    <row r="2414" spans="5:54" x14ac:dyDescent="0.35">
      <c r="E2414" s="83"/>
      <c r="F2414" s="83"/>
      <c r="G2414" s="76"/>
      <c r="H2414" s="76"/>
      <c r="I2414" s="76"/>
      <c r="J2414" s="76"/>
      <c r="K2414" s="76"/>
      <c r="L2414" s="76"/>
      <c r="M2414" s="76"/>
      <c r="N2414" s="76"/>
      <c r="O2414" s="76"/>
      <c r="P2414" s="76"/>
      <c r="Q2414" s="76"/>
      <c r="R2414" s="76"/>
      <c r="S2414" s="76"/>
      <c r="T2414" s="76"/>
      <c r="U2414" s="76"/>
      <c r="V2414" s="76"/>
      <c r="W2414" s="76"/>
      <c r="X2414" s="76"/>
      <c r="Y2414" s="76"/>
      <c r="Z2414" s="76"/>
      <c r="AA2414" s="76"/>
      <c r="AB2414" s="76"/>
      <c r="AC2414" s="76"/>
      <c r="AD2414" s="76"/>
      <c r="AE2414" s="76"/>
      <c r="AF2414" s="76"/>
      <c r="AG2414" s="76"/>
      <c r="AH2414" s="76"/>
      <c r="AI2414" s="76"/>
      <c r="AJ2414" s="76"/>
      <c r="AK2414" s="76"/>
      <c r="AL2414" s="76"/>
      <c r="AM2414" s="76"/>
      <c r="AN2414" s="76"/>
      <c r="AO2414" s="76"/>
      <c r="AP2414" s="76"/>
      <c r="AQ2414" s="76"/>
      <c r="AR2414" s="76"/>
      <c r="AS2414" s="76"/>
      <c r="AT2414" s="76"/>
      <c r="AU2414" s="76"/>
      <c r="AV2414" s="76"/>
      <c r="AW2414" s="76"/>
      <c r="AX2414" s="76"/>
      <c r="AY2414" s="76"/>
      <c r="AZ2414" s="76"/>
      <c r="BA2414" s="76"/>
      <c r="BB2414" s="76"/>
    </row>
    <row r="2415" spans="5:54" x14ac:dyDescent="0.35">
      <c r="E2415" s="83"/>
      <c r="F2415" s="83"/>
      <c r="G2415" s="76"/>
      <c r="H2415" s="76"/>
      <c r="I2415" s="76"/>
      <c r="J2415" s="76"/>
      <c r="K2415" s="76"/>
      <c r="L2415" s="76"/>
      <c r="M2415" s="76"/>
      <c r="N2415" s="76"/>
      <c r="O2415" s="76"/>
      <c r="P2415" s="76"/>
      <c r="Q2415" s="76"/>
      <c r="R2415" s="76"/>
      <c r="S2415" s="76"/>
      <c r="T2415" s="76"/>
      <c r="U2415" s="76"/>
      <c r="V2415" s="76"/>
      <c r="W2415" s="76"/>
      <c r="X2415" s="76"/>
      <c r="Y2415" s="76"/>
      <c r="Z2415" s="76"/>
      <c r="AA2415" s="76"/>
      <c r="AB2415" s="76"/>
      <c r="AC2415" s="76"/>
      <c r="AD2415" s="76"/>
      <c r="AE2415" s="76"/>
      <c r="AF2415" s="76"/>
      <c r="AG2415" s="76"/>
      <c r="AH2415" s="76"/>
      <c r="AI2415" s="76"/>
      <c r="AJ2415" s="76"/>
      <c r="AK2415" s="76"/>
      <c r="AL2415" s="76"/>
      <c r="AM2415" s="76"/>
      <c r="AN2415" s="76"/>
      <c r="AO2415" s="76"/>
      <c r="AP2415" s="76"/>
      <c r="AQ2415" s="76"/>
      <c r="AR2415" s="76"/>
      <c r="AS2415" s="76"/>
      <c r="AT2415" s="76"/>
      <c r="AU2415" s="76"/>
      <c r="AV2415" s="76"/>
      <c r="AW2415" s="76"/>
      <c r="AX2415" s="76"/>
      <c r="AY2415" s="76"/>
      <c r="AZ2415" s="76"/>
      <c r="BA2415" s="76"/>
      <c r="BB2415" s="76"/>
    </row>
    <row r="2416" spans="5:54" x14ac:dyDescent="0.35">
      <c r="E2416" s="83"/>
      <c r="F2416" s="83"/>
      <c r="G2416" s="76"/>
      <c r="H2416" s="76"/>
      <c r="I2416" s="76"/>
      <c r="J2416" s="76"/>
      <c r="K2416" s="76"/>
      <c r="L2416" s="76"/>
      <c r="M2416" s="76"/>
      <c r="N2416" s="76"/>
      <c r="O2416" s="76"/>
      <c r="P2416" s="76"/>
      <c r="Q2416" s="76"/>
      <c r="R2416" s="76"/>
      <c r="S2416" s="76"/>
      <c r="T2416" s="76"/>
      <c r="U2416" s="76"/>
      <c r="V2416" s="76"/>
      <c r="W2416" s="76"/>
      <c r="X2416" s="76"/>
      <c r="Y2416" s="76"/>
      <c r="Z2416" s="76"/>
      <c r="AA2416" s="76"/>
      <c r="AB2416" s="76"/>
      <c r="AC2416" s="76"/>
      <c r="AD2416" s="76"/>
      <c r="AE2416" s="76"/>
      <c r="AF2416" s="76"/>
      <c r="AG2416" s="76"/>
      <c r="AH2416" s="76"/>
      <c r="AI2416" s="76"/>
      <c r="AJ2416" s="76"/>
      <c r="AK2416" s="76"/>
      <c r="AL2416" s="76"/>
      <c r="AM2416" s="76"/>
      <c r="AN2416" s="76"/>
      <c r="AO2416" s="76"/>
      <c r="AP2416" s="76"/>
      <c r="AQ2416" s="76"/>
      <c r="AR2416" s="76"/>
      <c r="AS2416" s="76"/>
      <c r="AT2416" s="76"/>
      <c r="AU2416" s="76"/>
      <c r="AV2416" s="76"/>
      <c r="AW2416" s="76"/>
      <c r="AX2416" s="76"/>
      <c r="AY2416" s="76"/>
      <c r="AZ2416" s="76"/>
      <c r="BA2416" s="76"/>
      <c r="BB2416" s="76"/>
    </row>
    <row r="2417" spans="5:54" x14ac:dyDescent="0.35">
      <c r="E2417" s="83"/>
      <c r="F2417" s="83"/>
      <c r="G2417" s="76"/>
      <c r="H2417" s="76"/>
      <c r="I2417" s="76"/>
      <c r="J2417" s="76"/>
      <c r="K2417" s="76"/>
      <c r="L2417" s="76"/>
      <c r="M2417" s="76"/>
      <c r="N2417" s="76"/>
      <c r="O2417" s="76"/>
      <c r="P2417" s="76"/>
      <c r="Q2417" s="76"/>
      <c r="R2417" s="76"/>
      <c r="S2417" s="76"/>
      <c r="T2417" s="76"/>
      <c r="U2417" s="76"/>
      <c r="V2417" s="76"/>
      <c r="W2417" s="76"/>
      <c r="X2417" s="76"/>
      <c r="Y2417" s="76"/>
      <c r="Z2417" s="76"/>
      <c r="AA2417" s="76"/>
      <c r="AB2417" s="76"/>
      <c r="AC2417" s="76"/>
      <c r="AD2417" s="76"/>
      <c r="AE2417" s="76"/>
      <c r="AF2417" s="76"/>
      <c r="AG2417" s="76"/>
      <c r="AH2417" s="76"/>
      <c r="AI2417" s="76"/>
      <c r="AJ2417" s="76"/>
      <c r="AK2417" s="76"/>
      <c r="AL2417" s="76"/>
      <c r="AM2417" s="76"/>
      <c r="AN2417" s="76"/>
      <c r="AO2417" s="76"/>
      <c r="AP2417" s="76"/>
      <c r="AQ2417" s="76"/>
      <c r="AR2417" s="76"/>
      <c r="AS2417" s="76"/>
      <c r="AT2417" s="76"/>
      <c r="AU2417" s="76"/>
      <c r="AV2417" s="76"/>
      <c r="AW2417" s="76"/>
      <c r="AX2417" s="76"/>
      <c r="AY2417" s="76"/>
      <c r="AZ2417" s="76"/>
      <c r="BA2417" s="76"/>
      <c r="BB2417" s="76"/>
    </row>
    <row r="2418" spans="5:54" x14ac:dyDescent="0.35">
      <c r="E2418" s="83"/>
      <c r="F2418" s="83"/>
      <c r="G2418" s="76"/>
      <c r="H2418" s="76"/>
      <c r="I2418" s="76"/>
      <c r="J2418" s="76"/>
      <c r="K2418" s="76"/>
      <c r="L2418" s="76"/>
      <c r="M2418" s="76"/>
      <c r="N2418" s="76"/>
      <c r="O2418" s="76"/>
      <c r="P2418" s="76"/>
      <c r="Q2418" s="76"/>
      <c r="R2418" s="76"/>
      <c r="S2418" s="76"/>
      <c r="T2418" s="76"/>
      <c r="U2418" s="76"/>
      <c r="V2418" s="76"/>
      <c r="W2418" s="76"/>
      <c r="X2418" s="76"/>
      <c r="Y2418" s="76"/>
      <c r="Z2418" s="76"/>
      <c r="AA2418" s="76"/>
      <c r="AB2418" s="76"/>
      <c r="AC2418" s="76"/>
      <c r="AD2418" s="76"/>
      <c r="AE2418" s="76"/>
      <c r="AF2418" s="76"/>
      <c r="AG2418" s="76"/>
      <c r="AH2418" s="76"/>
      <c r="AI2418" s="76"/>
      <c r="AJ2418" s="76"/>
      <c r="AK2418" s="76"/>
      <c r="AL2418" s="76"/>
      <c r="AM2418" s="76"/>
      <c r="AN2418" s="76"/>
      <c r="AO2418" s="76"/>
      <c r="AP2418" s="76"/>
      <c r="AQ2418" s="76"/>
      <c r="AR2418" s="76"/>
      <c r="AS2418" s="76"/>
      <c r="AT2418" s="76"/>
      <c r="AU2418" s="76"/>
      <c r="AV2418" s="76"/>
      <c r="AW2418" s="76"/>
      <c r="AX2418" s="76"/>
      <c r="AY2418" s="76"/>
      <c r="AZ2418" s="76"/>
      <c r="BA2418" s="76"/>
      <c r="BB2418" s="76"/>
    </row>
    <row r="2419" spans="5:54" x14ac:dyDescent="0.35">
      <c r="E2419" s="83"/>
      <c r="F2419" s="83"/>
      <c r="G2419" s="76"/>
      <c r="H2419" s="76"/>
      <c r="I2419" s="76"/>
      <c r="J2419" s="76"/>
      <c r="K2419" s="76"/>
      <c r="L2419" s="76"/>
      <c r="M2419" s="76"/>
      <c r="N2419" s="76"/>
      <c r="O2419" s="76"/>
      <c r="P2419" s="76"/>
      <c r="Q2419" s="76"/>
      <c r="R2419" s="76"/>
      <c r="S2419" s="76"/>
      <c r="T2419" s="76"/>
      <c r="U2419" s="76"/>
      <c r="V2419" s="76"/>
      <c r="W2419" s="76"/>
      <c r="X2419" s="76"/>
      <c r="Y2419" s="76"/>
      <c r="Z2419" s="76"/>
      <c r="AA2419" s="76"/>
      <c r="AB2419" s="76"/>
      <c r="AC2419" s="76"/>
      <c r="AD2419" s="76"/>
      <c r="AE2419" s="76"/>
      <c r="AF2419" s="76"/>
      <c r="AG2419" s="76"/>
      <c r="AH2419" s="76"/>
      <c r="AI2419" s="76"/>
      <c r="AJ2419" s="76"/>
      <c r="AK2419" s="76"/>
      <c r="AL2419" s="76"/>
      <c r="AM2419" s="76"/>
      <c r="AN2419" s="76"/>
      <c r="AO2419" s="76"/>
      <c r="AP2419" s="76"/>
      <c r="AQ2419" s="76"/>
      <c r="AR2419" s="76"/>
      <c r="AS2419" s="76"/>
      <c r="AT2419" s="76"/>
      <c r="AU2419" s="76"/>
      <c r="AV2419" s="76"/>
      <c r="AW2419" s="76"/>
      <c r="AX2419" s="76"/>
      <c r="AY2419" s="76"/>
      <c r="AZ2419" s="76"/>
      <c r="BA2419" s="76"/>
      <c r="BB2419" s="76"/>
    </row>
    <row r="2420" spans="5:54" x14ac:dyDescent="0.35">
      <c r="E2420" s="83"/>
      <c r="F2420" s="83"/>
      <c r="G2420" s="76"/>
      <c r="H2420" s="76"/>
      <c r="I2420" s="76"/>
      <c r="J2420" s="76"/>
      <c r="K2420" s="76"/>
      <c r="L2420" s="76"/>
      <c r="M2420" s="76"/>
      <c r="N2420" s="76"/>
      <c r="O2420" s="76"/>
      <c r="P2420" s="76"/>
      <c r="Q2420" s="76"/>
      <c r="R2420" s="76"/>
      <c r="S2420" s="76"/>
      <c r="T2420" s="76"/>
      <c r="U2420" s="76"/>
      <c r="V2420" s="76"/>
      <c r="W2420" s="76"/>
      <c r="X2420" s="76"/>
      <c r="Y2420" s="76"/>
      <c r="Z2420" s="76"/>
      <c r="AA2420" s="76"/>
      <c r="AB2420" s="76"/>
      <c r="AC2420" s="76"/>
      <c r="AD2420" s="76"/>
      <c r="AE2420" s="76"/>
      <c r="AF2420" s="76"/>
      <c r="AG2420" s="76"/>
      <c r="AH2420" s="76"/>
      <c r="AI2420" s="76"/>
      <c r="AJ2420" s="76"/>
      <c r="AK2420" s="76"/>
      <c r="AL2420" s="76"/>
      <c r="AM2420" s="76"/>
      <c r="AN2420" s="76"/>
      <c r="AO2420" s="76"/>
      <c r="AP2420" s="76"/>
      <c r="AQ2420" s="76"/>
      <c r="AR2420" s="76"/>
      <c r="AS2420" s="76"/>
      <c r="AT2420" s="76"/>
      <c r="AU2420" s="76"/>
      <c r="AV2420" s="76"/>
      <c r="AW2420" s="76"/>
      <c r="AX2420" s="76"/>
      <c r="AY2420" s="76"/>
      <c r="AZ2420" s="76"/>
      <c r="BA2420" s="76"/>
      <c r="BB2420" s="76"/>
    </row>
    <row r="2421" spans="5:54" x14ac:dyDescent="0.35">
      <c r="E2421" s="83"/>
      <c r="F2421" s="83"/>
      <c r="G2421" s="76"/>
      <c r="H2421" s="76"/>
      <c r="I2421" s="76"/>
      <c r="J2421" s="76"/>
      <c r="K2421" s="76"/>
      <c r="L2421" s="76"/>
      <c r="M2421" s="76"/>
      <c r="N2421" s="76"/>
      <c r="O2421" s="76"/>
      <c r="P2421" s="76"/>
      <c r="Q2421" s="76"/>
      <c r="R2421" s="76"/>
      <c r="S2421" s="76"/>
      <c r="T2421" s="76"/>
      <c r="U2421" s="76"/>
      <c r="V2421" s="76"/>
      <c r="W2421" s="76"/>
      <c r="X2421" s="76"/>
      <c r="Y2421" s="76"/>
      <c r="Z2421" s="76"/>
      <c r="AA2421" s="76"/>
      <c r="AB2421" s="76"/>
      <c r="AC2421" s="76"/>
      <c r="AD2421" s="76"/>
      <c r="AE2421" s="76"/>
      <c r="AF2421" s="76"/>
      <c r="AG2421" s="76"/>
      <c r="AH2421" s="76"/>
      <c r="AI2421" s="76"/>
      <c r="AJ2421" s="76"/>
      <c r="AK2421" s="76"/>
      <c r="AL2421" s="76"/>
      <c r="AM2421" s="76"/>
      <c r="AN2421" s="76"/>
      <c r="AO2421" s="76"/>
      <c r="AP2421" s="76"/>
      <c r="AQ2421" s="76"/>
      <c r="AR2421" s="76"/>
      <c r="AS2421" s="76"/>
      <c r="AT2421" s="76"/>
      <c r="AU2421" s="76"/>
      <c r="AV2421" s="76"/>
      <c r="AW2421" s="76"/>
      <c r="AX2421" s="76"/>
      <c r="AY2421" s="76"/>
      <c r="AZ2421" s="76"/>
      <c r="BA2421" s="76"/>
      <c r="BB2421" s="76"/>
    </row>
    <row r="2422" spans="5:54" x14ac:dyDescent="0.35">
      <c r="E2422" s="83"/>
      <c r="F2422" s="83"/>
      <c r="G2422" s="76"/>
      <c r="H2422" s="76"/>
      <c r="I2422" s="76"/>
      <c r="J2422" s="76"/>
      <c r="K2422" s="76"/>
      <c r="L2422" s="76"/>
      <c r="M2422" s="76"/>
      <c r="N2422" s="76"/>
      <c r="O2422" s="76"/>
      <c r="P2422" s="76"/>
      <c r="Q2422" s="76"/>
      <c r="R2422" s="76"/>
      <c r="S2422" s="76"/>
      <c r="T2422" s="76"/>
      <c r="U2422" s="76"/>
      <c r="V2422" s="76"/>
      <c r="W2422" s="76"/>
      <c r="X2422" s="76"/>
      <c r="Y2422" s="76"/>
      <c r="Z2422" s="76"/>
      <c r="AA2422" s="76"/>
      <c r="AB2422" s="76"/>
      <c r="AC2422" s="76"/>
      <c r="AD2422" s="76"/>
      <c r="AE2422" s="76"/>
      <c r="AF2422" s="76"/>
      <c r="AG2422" s="76"/>
      <c r="AH2422" s="76"/>
      <c r="AI2422" s="76"/>
      <c r="AJ2422" s="76"/>
      <c r="AK2422" s="76"/>
      <c r="AL2422" s="76"/>
      <c r="AM2422" s="76"/>
      <c r="AN2422" s="76"/>
      <c r="AO2422" s="76"/>
      <c r="AP2422" s="76"/>
      <c r="AQ2422" s="76"/>
      <c r="AR2422" s="76"/>
      <c r="AS2422" s="76"/>
      <c r="AT2422" s="76"/>
      <c r="AU2422" s="76"/>
      <c r="AV2422" s="76"/>
      <c r="AW2422" s="76"/>
      <c r="AX2422" s="76"/>
      <c r="AY2422" s="76"/>
      <c r="AZ2422" s="76"/>
      <c r="BA2422" s="76"/>
      <c r="BB2422" s="76"/>
    </row>
    <row r="2423" spans="5:54" x14ac:dyDescent="0.35">
      <c r="E2423" s="83"/>
      <c r="F2423" s="83"/>
      <c r="G2423" s="76"/>
      <c r="H2423" s="76"/>
      <c r="I2423" s="76"/>
      <c r="J2423" s="76"/>
      <c r="K2423" s="76"/>
      <c r="L2423" s="76"/>
      <c r="M2423" s="76"/>
      <c r="N2423" s="76"/>
      <c r="O2423" s="76"/>
      <c r="P2423" s="76"/>
      <c r="Q2423" s="76"/>
      <c r="R2423" s="76"/>
      <c r="S2423" s="76"/>
      <c r="T2423" s="76"/>
      <c r="U2423" s="76"/>
      <c r="V2423" s="76"/>
      <c r="W2423" s="76"/>
      <c r="X2423" s="76"/>
      <c r="Y2423" s="76"/>
      <c r="Z2423" s="76"/>
      <c r="AA2423" s="76"/>
      <c r="AB2423" s="76"/>
      <c r="AC2423" s="76"/>
      <c r="AD2423" s="76"/>
      <c r="AE2423" s="76"/>
      <c r="AF2423" s="76"/>
      <c r="AG2423" s="76"/>
      <c r="AH2423" s="76"/>
      <c r="AI2423" s="76"/>
      <c r="AJ2423" s="76"/>
      <c r="AK2423" s="76"/>
      <c r="AL2423" s="76"/>
      <c r="AM2423" s="76"/>
      <c r="AN2423" s="76"/>
      <c r="AO2423" s="76"/>
      <c r="AP2423" s="76"/>
      <c r="AQ2423" s="76"/>
      <c r="AR2423" s="76"/>
      <c r="AS2423" s="76"/>
      <c r="AT2423" s="76"/>
      <c r="AU2423" s="76"/>
      <c r="AV2423" s="76"/>
      <c r="AW2423" s="76"/>
      <c r="AX2423" s="76"/>
      <c r="AY2423" s="76"/>
      <c r="AZ2423" s="76"/>
      <c r="BA2423" s="76"/>
      <c r="BB2423" s="76"/>
    </row>
    <row r="2424" spans="5:54" x14ac:dyDescent="0.35">
      <c r="E2424" s="83"/>
      <c r="F2424" s="83"/>
      <c r="G2424" s="76"/>
      <c r="H2424" s="76"/>
      <c r="I2424" s="76"/>
      <c r="J2424" s="76"/>
      <c r="K2424" s="76"/>
      <c r="L2424" s="76"/>
      <c r="M2424" s="76"/>
      <c r="N2424" s="76"/>
      <c r="O2424" s="76"/>
      <c r="P2424" s="76"/>
      <c r="Q2424" s="76"/>
      <c r="R2424" s="76"/>
      <c r="S2424" s="76"/>
      <c r="T2424" s="76"/>
      <c r="U2424" s="76"/>
      <c r="V2424" s="76"/>
      <c r="W2424" s="76"/>
      <c r="X2424" s="76"/>
      <c r="Y2424" s="76"/>
      <c r="Z2424" s="76"/>
      <c r="AA2424" s="76"/>
      <c r="AB2424" s="76"/>
      <c r="AC2424" s="76"/>
      <c r="AD2424" s="76"/>
      <c r="AE2424" s="76"/>
      <c r="AF2424" s="76"/>
      <c r="AG2424" s="76"/>
      <c r="AH2424" s="76"/>
      <c r="AI2424" s="76"/>
      <c r="AJ2424" s="76"/>
      <c r="AK2424" s="76"/>
      <c r="AL2424" s="76"/>
      <c r="AM2424" s="76"/>
      <c r="AN2424" s="76"/>
      <c r="AO2424" s="76"/>
      <c r="AP2424" s="76"/>
      <c r="AQ2424" s="76"/>
      <c r="AR2424" s="76"/>
      <c r="AS2424" s="76"/>
      <c r="AT2424" s="76"/>
      <c r="AU2424" s="76"/>
      <c r="AV2424" s="76"/>
      <c r="AW2424" s="76"/>
      <c r="AX2424" s="76"/>
      <c r="AY2424" s="76"/>
      <c r="AZ2424" s="76"/>
      <c r="BA2424" s="76"/>
      <c r="BB2424" s="76"/>
    </row>
    <row r="2425" spans="5:54" x14ac:dyDescent="0.35">
      <c r="E2425" s="83"/>
      <c r="F2425" s="83"/>
      <c r="G2425" s="76"/>
      <c r="H2425" s="76"/>
      <c r="I2425" s="76"/>
      <c r="J2425" s="76"/>
      <c r="K2425" s="76"/>
      <c r="L2425" s="76"/>
      <c r="M2425" s="76"/>
      <c r="N2425" s="76"/>
      <c r="O2425" s="76"/>
      <c r="P2425" s="76"/>
      <c r="Q2425" s="76"/>
      <c r="R2425" s="76"/>
      <c r="S2425" s="76"/>
      <c r="T2425" s="76"/>
      <c r="U2425" s="76"/>
      <c r="V2425" s="76"/>
      <c r="W2425" s="76"/>
      <c r="X2425" s="76"/>
      <c r="Y2425" s="76"/>
      <c r="Z2425" s="76"/>
      <c r="AA2425" s="76"/>
      <c r="AB2425" s="76"/>
      <c r="AC2425" s="76"/>
      <c r="AD2425" s="76"/>
      <c r="AE2425" s="76"/>
      <c r="AF2425" s="76"/>
      <c r="AG2425" s="76"/>
      <c r="AH2425" s="76"/>
      <c r="AI2425" s="76"/>
      <c r="AJ2425" s="76"/>
      <c r="AK2425" s="76"/>
      <c r="AL2425" s="76"/>
      <c r="AM2425" s="76"/>
      <c r="AN2425" s="76"/>
      <c r="AO2425" s="76"/>
      <c r="AP2425" s="76"/>
      <c r="AQ2425" s="76"/>
      <c r="AR2425" s="76"/>
      <c r="AS2425" s="76"/>
      <c r="AT2425" s="76"/>
      <c r="AU2425" s="76"/>
      <c r="AV2425" s="76"/>
      <c r="AW2425" s="76"/>
      <c r="AX2425" s="76"/>
      <c r="AY2425" s="76"/>
      <c r="AZ2425" s="76"/>
      <c r="BA2425" s="76"/>
      <c r="BB2425" s="76"/>
    </row>
    <row r="2426" spans="5:54" x14ac:dyDescent="0.35">
      <c r="E2426" s="83"/>
      <c r="F2426" s="83"/>
      <c r="G2426" s="76"/>
      <c r="H2426" s="76"/>
      <c r="I2426" s="76"/>
      <c r="J2426" s="76"/>
      <c r="K2426" s="76"/>
      <c r="L2426" s="76"/>
      <c r="M2426" s="76"/>
      <c r="N2426" s="76"/>
      <c r="O2426" s="76"/>
      <c r="P2426" s="76"/>
      <c r="Q2426" s="76"/>
      <c r="R2426" s="76"/>
      <c r="S2426" s="76"/>
      <c r="T2426" s="76"/>
      <c r="U2426" s="76"/>
      <c r="V2426" s="76"/>
      <c r="W2426" s="76"/>
      <c r="X2426" s="76"/>
      <c r="Y2426" s="76"/>
      <c r="Z2426" s="76"/>
      <c r="AA2426" s="76"/>
      <c r="AB2426" s="76"/>
      <c r="AC2426" s="76"/>
      <c r="AD2426" s="76"/>
      <c r="AE2426" s="76"/>
      <c r="AF2426" s="76"/>
      <c r="AG2426" s="76"/>
      <c r="AH2426" s="76"/>
      <c r="AI2426" s="76"/>
      <c r="AJ2426" s="76"/>
      <c r="AK2426" s="76"/>
      <c r="AL2426" s="76"/>
      <c r="AM2426" s="76"/>
      <c r="AN2426" s="76"/>
      <c r="AO2426" s="76"/>
      <c r="AP2426" s="76"/>
      <c r="AQ2426" s="76"/>
      <c r="AR2426" s="76"/>
      <c r="AS2426" s="76"/>
      <c r="AT2426" s="76"/>
      <c r="AU2426" s="76"/>
      <c r="AV2426" s="76"/>
      <c r="AW2426" s="76"/>
      <c r="AX2426" s="76"/>
      <c r="AY2426" s="76"/>
      <c r="AZ2426" s="76"/>
      <c r="BA2426" s="76"/>
      <c r="BB2426" s="76"/>
    </row>
    <row r="2427" spans="5:54" x14ac:dyDescent="0.35">
      <c r="E2427" s="83"/>
      <c r="F2427" s="83"/>
      <c r="G2427" s="76"/>
      <c r="H2427" s="76"/>
      <c r="I2427" s="76"/>
      <c r="J2427" s="76"/>
      <c r="K2427" s="76"/>
      <c r="L2427" s="76"/>
      <c r="M2427" s="76"/>
      <c r="N2427" s="76"/>
      <c r="O2427" s="76"/>
      <c r="P2427" s="76"/>
      <c r="Q2427" s="76"/>
      <c r="R2427" s="76"/>
      <c r="S2427" s="76"/>
      <c r="T2427" s="76"/>
      <c r="U2427" s="76"/>
      <c r="V2427" s="76"/>
      <c r="W2427" s="76"/>
      <c r="X2427" s="76"/>
      <c r="Y2427" s="76"/>
      <c r="Z2427" s="76"/>
      <c r="AA2427" s="76"/>
      <c r="AB2427" s="76"/>
      <c r="AC2427" s="76"/>
      <c r="AD2427" s="76"/>
      <c r="AE2427" s="76"/>
      <c r="AF2427" s="76"/>
      <c r="AG2427" s="76"/>
      <c r="AH2427" s="76"/>
      <c r="AI2427" s="76"/>
      <c r="AJ2427" s="76"/>
      <c r="AK2427" s="76"/>
      <c r="AL2427" s="76"/>
      <c r="AM2427" s="76"/>
      <c r="AN2427" s="76"/>
      <c r="AO2427" s="76"/>
      <c r="AP2427" s="76"/>
      <c r="AQ2427" s="76"/>
      <c r="AR2427" s="76"/>
      <c r="AS2427" s="76"/>
      <c r="AT2427" s="76"/>
      <c r="AU2427" s="76"/>
      <c r="AV2427" s="76"/>
      <c r="AW2427" s="76"/>
      <c r="AX2427" s="76"/>
      <c r="AY2427" s="76"/>
      <c r="AZ2427" s="76"/>
      <c r="BA2427" s="76"/>
      <c r="BB2427" s="76"/>
    </row>
    <row r="2428" spans="5:54" x14ac:dyDescent="0.35">
      <c r="E2428" s="83"/>
      <c r="F2428" s="83"/>
      <c r="G2428" s="76"/>
      <c r="H2428" s="76"/>
      <c r="I2428" s="76"/>
      <c r="J2428" s="76"/>
      <c r="K2428" s="76"/>
      <c r="L2428" s="76"/>
      <c r="M2428" s="76"/>
      <c r="N2428" s="76"/>
      <c r="O2428" s="76"/>
      <c r="P2428" s="76"/>
      <c r="Q2428" s="76"/>
      <c r="R2428" s="76"/>
      <c r="S2428" s="76"/>
      <c r="T2428" s="76"/>
      <c r="U2428" s="76"/>
      <c r="V2428" s="76"/>
      <c r="W2428" s="76"/>
      <c r="X2428" s="76"/>
      <c r="Y2428" s="76"/>
      <c r="Z2428" s="76"/>
      <c r="AA2428" s="76"/>
      <c r="AB2428" s="76"/>
      <c r="AC2428" s="76"/>
      <c r="AD2428" s="76"/>
      <c r="AE2428" s="76"/>
      <c r="AF2428" s="76"/>
      <c r="AG2428" s="76"/>
      <c r="AH2428" s="76"/>
      <c r="AI2428" s="76"/>
      <c r="AJ2428" s="76"/>
      <c r="AK2428" s="76"/>
      <c r="AL2428" s="76"/>
      <c r="AM2428" s="76"/>
      <c r="AN2428" s="76"/>
      <c r="AO2428" s="76"/>
      <c r="AP2428" s="76"/>
      <c r="AQ2428" s="76"/>
      <c r="AR2428" s="76"/>
      <c r="AS2428" s="76"/>
      <c r="AT2428" s="76"/>
      <c r="AU2428" s="76"/>
      <c r="AV2428" s="76"/>
      <c r="AW2428" s="76"/>
      <c r="AX2428" s="76"/>
      <c r="AY2428" s="76"/>
      <c r="AZ2428" s="76"/>
      <c r="BA2428" s="76"/>
      <c r="BB2428" s="76"/>
    </row>
    <row r="2429" spans="5:54" x14ac:dyDescent="0.35">
      <c r="E2429" s="83"/>
      <c r="F2429" s="83"/>
      <c r="G2429" s="76"/>
      <c r="H2429" s="76"/>
      <c r="I2429" s="76"/>
      <c r="J2429" s="76"/>
      <c r="K2429" s="76"/>
      <c r="L2429" s="76"/>
      <c r="M2429" s="76"/>
      <c r="N2429" s="76"/>
      <c r="O2429" s="76"/>
      <c r="P2429" s="76"/>
      <c r="Q2429" s="76"/>
      <c r="R2429" s="76"/>
      <c r="S2429" s="76"/>
      <c r="T2429" s="76"/>
      <c r="U2429" s="76"/>
      <c r="V2429" s="76"/>
      <c r="W2429" s="76"/>
      <c r="X2429" s="76"/>
      <c r="Y2429" s="76"/>
      <c r="Z2429" s="76"/>
      <c r="AA2429" s="76"/>
      <c r="AB2429" s="76"/>
      <c r="AC2429" s="76"/>
      <c r="AD2429" s="76"/>
      <c r="AE2429" s="76"/>
      <c r="AF2429" s="76"/>
      <c r="AG2429" s="76"/>
      <c r="AH2429" s="76"/>
      <c r="AI2429" s="76"/>
      <c r="AJ2429" s="76"/>
      <c r="AK2429" s="76"/>
      <c r="AL2429" s="76"/>
      <c r="AM2429" s="76"/>
      <c r="AN2429" s="76"/>
      <c r="AO2429" s="76"/>
      <c r="AP2429" s="76"/>
      <c r="AQ2429" s="76"/>
      <c r="AR2429" s="76"/>
      <c r="AS2429" s="76"/>
      <c r="AT2429" s="76"/>
      <c r="AU2429" s="76"/>
      <c r="AV2429" s="76"/>
      <c r="AW2429" s="76"/>
      <c r="AX2429" s="76"/>
      <c r="AY2429" s="76"/>
      <c r="AZ2429" s="76"/>
      <c r="BA2429" s="76"/>
      <c r="BB2429" s="76"/>
    </row>
    <row r="2430" spans="5:54" x14ac:dyDescent="0.35">
      <c r="E2430" s="83"/>
      <c r="F2430" s="83"/>
      <c r="G2430" s="76"/>
      <c r="H2430" s="76"/>
      <c r="I2430" s="76"/>
      <c r="J2430" s="76"/>
      <c r="K2430" s="76"/>
      <c r="L2430" s="76"/>
      <c r="M2430" s="76"/>
      <c r="N2430" s="76"/>
      <c r="O2430" s="76"/>
      <c r="P2430" s="76"/>
      <c r="Q2430" s="76"/>
      <c r="R2430" s="76"/>
      <c r="S2430" s="76"/>
      <c r="T2430" s="76"/>
      <c r="U2430" s="76"/>
      <c r="V2430" s="76"/>
      <c r="W2430" s="76"/>
      <c r="X2430" s="76"/>
      <c r="Y2430" s="76"/>
      <c r="Z2430" s="76"/>
      <c r="AA2430" s="76"/>
      <c r="AB2430" s="76"/>
      <c r="AC2430" s="76"/>
      <c r="AD2430" s="76"/>
      <c r="AE2430" s="76"/>
      <c r="AF2430" s="76"/>
      <c r="AG2430" s="76"/>
      <c r="AH2430" s="76"/>
      <c r="AI2430" s="76"/>
      <c r="AJ2430" s="76"/>
      <c r="AK2430" s="76"/>
      <c r="AL2430" s="76"/>
      <c r="AM2430" s="76"/>
      <c r="AN2430" s="76"/>
      <c r="AO2430" s="76"/>
      <c r="AP2430" s="76"/>
      <c r="AQ2430" s="76"/>
      <c r="AR2430" s="76"/>
      <c r="AS2430" s="76"/>
      <c r="AT2430" s="76"/>
      <c r="AU2430" s="76"/>
      <c r="AV2430" s="76"/>
      <c r="AW2430" s="76"/>
      <c r="AX2430" s="76"/>
      <c r="AY2430" s="76"/>
      <c r="AZ2430" s="76"/>
      <c r="BA2430" s="76"/>
      <c r="BB2430" s="76"/>
    </row>
    <row r="2431" spans="5:54" x14ac:dyDescent="0.35">
      <c r="E2431" s="83"/>
      <c r="F2431" s="83"/>
      <c r="G2431" s="76"/>
      <c r="H2431" s="76"/>
      <c r="I2431" s="76"/>
      <c r="J2431" s="76"/>
      <c r="K2431" s="76"/>
      <c r="L2431" s="76"/>
      <c r="M2431" s="76"/>
      <c r="N2431" s="76"/>
      <c r="O2431" s="76"/>
      <c r="P2431" s="76"/>
      <c r="Q2431" s="76"/>
      <c r="R2431" s="76"/>
      <c r="S2431" s="76"/>
      <c r="T2431" s="76"/>
      <c r="U2431" s="76"/>
      <c r="V2431" s="76"/>
      <c r="W2431" s="76"/>
      <c r="X2431" s="76"/>
      <c r="Y2431" s="76"/>
      <c r="Z2431" s="76"/>
      <c r="AA2431" s="76"/>
      <c r="AB2431" s="76"/>
      <c r="AC2431" s="76"/>
      <c r="AD2431" s="76"/>
      <c r="AE2431" s="76"/>
      <c r="AF2431" s="76"/>
      <c r="AG2431" s="76"/>
      <c r="AH2431" s="76"/>
      <c r="AI2431" s="76"/>
      <c r="AJ2431" s="76"/>
      <c r="AK2431" s="76"/>
      <c r="AL2431" s="76"/>
      <c r="AM2431" s="76"/>
      <c r="AN2431" s="76"/>
      <c r="AO2431" s="76"/>
      <c r="AP2431" s="76"/>
      <c r="AQ2431" s="76"/>
      <c r="AR2431" s="76"/>
      <c r="AS2431" s="76"/>
      <c r="AT2431" s="76"/>
      <c r="AU2431" s="76"/>
      <c r="AV2431" s="76"/>
      <c r="AW2431" s="76"/>
      <c r="AX2431" s="76"/>
      <c r="AY2431" s="76"/>
      <c r="AZ2431" s="76"/>
      <c r="BA2431" s="76"/>
      <c r="BB2431" s="76"/>
    </row>
    <row r="2432" spans="5:54" x14ac:dyDescent="0.35">
      <c r="E2432" s="83"/>
      <c r="F2432" s="83"/>
      <c r="G2432" s="76"/>
      <c r="H2432" s="76"/>
      <c r="I2432" s="76"/>
      <c r="J2432" s="76"/>
      <c r="K2432" s="76"/>
      <c r="L2432" s="76"/>
      <c r="M2432" s="76"/>
      <c r="N2432" s="76"/>
      <c r="O2432" s="76"/>
      <c r="P2432" s="76"/>
      <c r="Q2432" s="76"/>
      <c r="R2432" s="76"/>
      <c r="S2432" s="76"/>
      <c r="T2432" s="76"/>
      <c r="U2432" s="76"/>
      <c r="V2432" s="76"/>
      <c r="W2432" s="76"/>
      <c r="X2432" s="76"/>
      <c r="Y2432" s="76"/>
      <c r="Z2432" s="76"/>
      <c r="AA2432" s="76"/>
      <c r="AB2432" s="76"/>
      <c r="AC2432" s="76"/>
      <c r="AD2432" s="76"/>
      <c r="AE2432" s="76"/>
      <c r="AF2432" s="76"/>
      <c r="AG2432" s="76"/>
      <c r="AH2432" s="76"/>
      <c r="AI2432" s="76"/>
      <c r="AJ2432" s="76"/>
      <c r="AK2432" s="76"/>
      <c r="AL2432" s="76"/>
      <c r="AM2432" s="76"/>
      <c r="AN2432" s="76"/>
      <c r="AO2432" s="76"/>
      <c r="AP2432" s="76"/>
      <c r="AQ2432" s="76"/>
      <c r="AR2432" s="76"/>
      <c r="AS2432" s="76"/>
      <c r="AT2432" s="76"/>
      <c r="AU2432" s="76"/>
      <c r="AV2432" s="76"/>
      <c r="AW2432" s="76"/>
      <c r="AX2432" s="76"/>
      <c r="AY2432" s="76"/>
      <c r="AZ2432" s="76"/>
      <c r="BA2432" s="76"/>
      <c r="BB2432" s="76"/>
    </row>
    <row r="2433" spans="5:54" x14ac:dyDescent="0.35">
      <c r="E2433" s="83"/>
      <c r="F2433" s="83"/>
      <c r="G2433" s="76"/>
      <c r="H2433" s="76"/>
      <c r="I2433" s="76"/>
      <c r="J2433" s="76"/>
      <c r="K2433" s="76"/>
      <c r="L2433" s="76"/>
      <c r="M2433" s="76"/>
      <c r="N2433" s="76"/>
      <c r="O2433" s="76"/>
      <c r="P2433" s="76"/>
      <c r="Q2433" s="76"/>
      <c r="R2433" s="76"/>
      <c r="S2433" s="76"/>
      <c r="T2433" s="76"/>
      <c r="U2433" s="76"/>
      <c r="V2433" s="76"/>
      <c r="W2433" s="76"/>
      <c r="X2433" s="76"/>
      <c r="Y2433" s="76"/>
      <c r="Z2433" s="76"/>
      <c r="AA2433" s="76"/>
      <c r="AB2433" s="76"/>
      <c r="AC2433" s="76"/>
      <c r="AD2433" s="76"/>
      <c r="AE2433" s="76"/>
      <c r="AF2433" s="76"/>
      <c r="AG2433" s="76"/>
      <c r="AH2433" s="76"/>
      <c r="AI2433" s="76"/>
      <c r="AJ2433" s="76"/>
      <c r="AK2433" s="76"/>
      <c r="AL2433" s="76"/>
      <c r="AM2433" s="76"/>
      <c r="AN2433" s="76"/>
      <c r="AO2433" s="76"/>
      <c r="AP2433" s="76"/>
      <c r="AQ2433" s="76"/>
      <c r="AR2433" s="76"/>
      <c r="AS2433" s="76"/>
      <c r="AT2433" s="76"/>
      <c r="AU2433" s="76"/>
      <c r="AV2433" s="76"/>
      <c r="AW2433" s="76"/>
      <c r="AX2433" s="76"/>
      <c r="AY2433" s="76"/>
      <c r="AZ2433" s="76"/>
      <c r="BA2433" s="76"/>
      <c r="BB2433" s="76"/>
    </row>
    <row r="2434" spans="5:54" x14ac:dyDescent="0.35">
      <c r="E2434" s="83"/>
      <c r="F2434" s="83"/>
      <c r="G2434" s="76"/>
      <c r="H2434" s="76"/>
      <c r="I2434" s="76"/>
      <c r="J2434" s="76"/>
      <c r="K2434" s="76"/>
      <c r="L2434" s="76"/>
      <c r="M2434" s="76"/>
      <c r="N2434" s="76"/>
      <c r="O2434" s="76"/>
      <c r="P2434" s="76"/>
      <c r="Q2434" s="76"/>
      <c r="R2434" s="76"/>
      <c r="S2434" s="76"/>
      <c r="T2434" s="76"/>
      <c r="U2434" s="76"/>
      <c r="V2434" s="76"/>
      <c r="W2434" s="76"/>
      <c r="X2434" s="76"/>
      <c r="Y2434" s="76"/>
      <c r="Z2434" s="76"/>
      <c r="AA2434" s="76"/>
      <c r="AB2434" s="76"/>
      <c r="AC2434" s="76"/>
      <c r="AD2434" s="76"/>
      <c r="AE2434" s="76"/>
      <c r="AF2434" s="76"/>
      <c r="AG2434" s="76"/>
      <c r="AH2434" s="76"/>
      <c r="AI2434" s="76"/>
      <c r="AJ2434" s="76"/>
      <c r="AK2434" s="76"/>
      <c r="AL2434" s="76"/>
      <c r="AM2434" s="76"/>
      <c r="AN2434" s="76"/>
      <c r="AO2434" s="76"/>
      <c r="AP2434" s="76"/>
      <c r="AQ2434" s="76"/>
      <c r="AR2434" s="76"/>
      <c r="AS2434" s="76"/>
      <c r="AT2434" s="76"/>
      <c r="AU2434" s="76"/>
      <c r="AV2434" s="76"/>
      <c r="AW2434" s="76"/>
      <c r="AX2434" s="76"/>
      <c r="AY2434" s="76"/>
      <c r="AZ2434" s="76"/>
      <c r="BA2434" s="76"/>
      <c r="BB2434" s="76"/>
    </row>
    <row r="2435" spans="5:54" x14ac:dyDescent="0.35">
      <c r="E2435" s="83"/>
      <c r="F2435" s="83"/>
      <c r="G2435" s="76"/>
      <c r="H2435" s="76"/>
      <c r="I2435" s="76"/>
      <c r="J2435" s="76"/>
      <c r="K2435" s="76"/>
      <c r="L2435" s="76"/>
      <c r="M2435" s="76"/>
      <c r="N2435" s="76"/>
      <c r="O2435" s="76"/>
      <c r="P2435" s="76"/>
      <c r="Q2435" s="76"/>
      <c r="R2435" s="76"/>
      <c r="S2435" s="76"/>
      <c r="T2435" s="76"/>
      <c r="U2435" s="76"/>
      <c r="V2435" s="76"/>
      <c r="W2435" s="76"/>
      <c r="X2435" s="76"/>
      <c r="Y2435" s="76"/>
      <c r="Z2435" s="76"/>
      <c r="AA2435" s="76"/>
      <c r="AB2435" s="76"/>
      <c r="AC2435" s="76"/>
      <c r="AD2435" s="76"/>
      <c r="AE2435" s="76"/>
      <c r="AF2435" s="76"/>
      <c r="AG2435" s="76"/>
      <c r="AH2435" s="76"/>
      <c r="AI2435" s="76"/>
      <c r="AJ2435" s="76"/>
      <c r="AK2435" s="76"/>
      <c r="AL2435" s="76"/>
      <c r="AM2435" s="76"/>
      <c r="AN2435" s="76"/>
      <c r="AO2435" s="76"/>
      <c r="AP2435" s="76"/>
      <c r="AQ2435" s="76"/>
      <c r="AR2435" s="76"/>
      <c r="AS2435" s="76"/>
      <c r="AT2435" s="76"/>
      <c r="AU2435" s="76"/>
      <c r="AV2435" s="76"/>
      <c r="AW2435" s="76"/>
      <c r="AX2435" s="76"/>
      <c r="AY2435" s="76"/>
      <c r="AZ2435" s="76"/>
      <c r="BA2435" s="76"/>
      <c r="BB2435" s="76"/>
    </row>
    <row r="2436" spans="5:54" x14ac:dyDescent="0.35">
      <c r="E2436" s="83"/>
      <c r="F2436" s="83"/>
      <c r="G2436" s="76"/>
      <c r="H2436" s="76"/>
      <c r="I2436" s="76"/>
      <c r="J2436" s="76"/>
      <c r="K2436" s="76"/>
      <c r="L2436" s="76"/>
      <c r="M2436" s="76"/>
      <c r="N2436" s="76"/>
      <c r="O2436" s="76"/>
      <c r="P2436" s="76"/>
      <c r="Q2436" s="76"/>
      <c r="R2436" s="76"/>
      <c r="S2436" s="76"/>
      <c r="T2436" s="76"/>
      <c r="U2436" s="76"/>
      <c r="V2436" s="76"/>
      <c r="W2436" s="76"/>
      <c r="X2436" s="76"/>
      <c r="Y2436" s="76"/>
      <c r="Z2436" s="76"/>
      <c r="AA2436" s="76"/>
      <c r="AB2436" s="76"/>
      <c r="AC2436" s="76"/>
      <c r="AD2436" s="76"/>
      <c r="AE2436" s="76"/>
      <c r="AF2436" s="76"/>
      <c r="AG2436" s="76"/>
      <c r="AH2436" s="76"/>
      <c r="AI2436" s="76"/>
      <c r="AJ2436" s="76"/>
      <c r="AK2436" s="76"/>
      <c r="AL2436" s="76"/>
      <c r="AM2436" s="76"/>
      <c r="AN2436" s="76"/>
      <c r="AO2436" s="76"/>
      <c r="AP2436" s="76"/>
      <c r="AQ2436" s="76"/>
      <c r="AR2436" s="76"/>
      <c r="AS2436" s="76"/>
      <c r="AT2436" s="76"/>
      <c r="AU2436" s="76"/>
      <c r="AV2436" s="76"/>
      <c r="AW2436" s="76"/>
      <c r="AX2436" s="76"/>
      <c r="AY2436" s="76"/>
      <c r="AZ2436" s="76"/>
      <c r="BA2436" s="76"/>
      <c r="BB2436" s="76"/>
    </row>
    <row r="2437" spans="5:54" x14ac:dyDescent="0.35">
      <c r="E2437" s="83"/>
      <c r="F2437" s="83"/>
      <c r="G2437" s="76"/>
      <c r="H2437" s="76"/>
      <c r="I2437" s="76"/>
      <c r="J2437" s="76"/>
      <c r="K2437" s="76"/>
      <c r="L2437" s="76"/>
      <c r="M2437" s="76"/>
      <c r="N2437" s="76"/>
      <c r="O2437" s="76"/>
      <c r="P2437" s="76"/>
      <c r="Q2437" s="76"/>
      <c r="R2437" s="76"/>
      <c r="S2437" s="76"/>
      <c r="T2437" s="76"/>
      <c r="U2437" s="76"/>
      <c r="V2437" s="76"/>
      <c r="W2437" s="76"/>
      <c r="X2437" s="76"/>
      <c r="Y2437" s="76"/>
      <c r="Z2437" s="76"/>
      <c r="AA2437" s="76"/>
      <c r="AB2437" s="76"/>
      <c r="AC2437" s="76"/>
      <c r="AD2437" s="76"/>
      <c r="AE2437" s="76"/>
      <c r="AF2437" s="76"/>
      <c r="AG2437" s="76"/>
      <c r="AH2437" s="76"/>
      <c r="AI2437" s="76"/>
      <c r="AJ2437" s="76"/>
      <c r="AK2437" s="76"/>
      <c r="AL2437" s="76"/>
      <c r="AM2437" s="76"/>
      <c r="AN2437" s="76"/>
      <c r="AO2437" s="76"/>
      <c r="AP2437" s="76"/>
      <c r="AQ2437" s="76"/>
      <c r="AR2437" s="76"/>
      <c r="AS2437" s="76"/>
      <c r="AT2437" s="76"/>
      <c r="AU2437" s="76"/>
      <c r="AV2437" s="76"/>
      <c r="AW2437" s="76"/>
      <c r="AX2437" s="76"/>
      <c r="AY2437" s="76"/>
      <c r="AZ2437" s="76"/>
      <c r="BA2437" s="76"/>
      <c r="BB2437" s="76"/>
    </row>
    <row r="2438" spans="5:54" x14ac:dyDescent="0.35">
      <c r="E2438" s="83"/>
      <c r="F2438" s="83"/>
      <c r="G2438" s="76"/>
      <c r="H2438" s="76"/>
      <c r="I2438" s="76"/>
      <c r="J2438" s="76"/>
      <c r="K2438" s="76"/>
      <c r="L2438" s="76"/>
      <c r="M2438" s="76"/>
      <c r="N2438" s="76"/>
      <c r="O2438" s="76"/>
      <c r="P2438" s="76"/>
      <c r="Q2438" s="76"/>
      <c r="R2438" s="76"/>
      <c r="S2438" s="76"/>
      <c r="T2438" s="76"/>
      <c r="U2438" s="76"/>
      <c r="V2438" s="76"/>
      <c r="W2438" s="76"/>
      <c r="X2438" s="76"/>
      <c r="Y2438" s="76"/>
      <c r="Z2438" s="76"/>
      <c r="AA2438" s="76"/>
      <c r="AB2438" s="76"/>
      <c r="AC2438" s="76"/>
      <c r="AD2438" s="76"/>
      <c r="AE2438" s="76"/>
      <c r="AF2438" s="76"/>
      <c r="AG2438" s="76"/>
      <c r="AH2438" s="76"/>
      <c r="AI2438" s="76"/>
      <c r="AJ2438" s="76"/>
      <c r="AK2438" s="76"/>
      <c r="AL2438" s="76"/>
      <c r="AM2438" s="76"/>
      <c r="AN2438" s="76"/>
      <c r="AO2438" s="76"/>
      <c r="AP2438" s="76"/>
      <c r="AQ2438" s="76"/>
      <c r="AR2438" s="76"/>
      <c r="AS2438" s="76"/>
      <c r="AT2438" s="76"/>
      <c r="AU2438" s="76"/>
      <c r="AV2438" s="76"/>
      <c r="AW2438" s="76"/>
      <c r="AX2438" s="76"/>
      <c r="AY2438" s="76"/>
      <c r="AZ2438" s="76"/>
      <c r="BA2438" s="76"/>
      <c r="BB2438" s="76"/>
    </row>
    <row r="2439" spans="5:54" x14ac:dyDescent="0.35">
      <c r="E2439" s="83"/>
      <c r="F2439" s="83"/>
      <c r="G2439" s="76"/>
      <c r="H2439" s="76"/>
      <c r="I2439" s="76"/>
      <c r="J2439" s="76"/>
      <c r="K2439" s="76"/>
      <c r="L2439" s="76"/>
      <c r="M2439" s="76"/>
      <c r="N2439" s="76"/>
      <c r="O2439" s="76"/>
      <c r="P2439" s="76"/>
      <c r="Q2439" s="76"/>
      <c r="R2439" s="76"/>
      <c r="S2439" s="76"/>
      <c r="T2439" s="76"/>
      <c r="U2439" s="76"/>
      <c r="V2439" s="76"/>
      <c r="W2439" s="76"/>
      <c r="X2439" s="76"/>
      <c r="Y2439" s="76"/>
      <c r="Z2439" s="76"/>
      <c r="AA2439" s="76"/>
      <c r="AB2439" s="76"/>
      <c r="AC2439" s="76"/>
      <c r="AD2439" s="76"/>
      <c r="AE2439" s="76"/>
      <c r="AF2439" s="76"/>
      <c r="AG2439" s="76"/>
      <c r="AH2439" s="76"/>
      <c r="AI2439" s="76"/>
      <c r="AJ2439" s="76"/>
      <c r="AK2439" s="76"/>
      <c r="AL2439" s="76"/>
      <c r="AM2439" s="76"/>
      <c r="AN2439" s="76"/>
      <c r="AO2439" s="76"/>
      <c r="AP2439" s="76"/>
      <c r="AQ2439" s="76"/>
      <c r="AR2439" s="76"/>
      <c r="AS2439" s="76"/>
      <c r="AT2439" s="76"/>
      <c r="AU2439" s="76"/>
      <c r="AV2439" s="76"/>
      <c r="AW2439" s="76"/>
      <c r="AX2439" s="76"/>
      <c r="AY2439" s="76"/>
      <c r="AZ2439" s="76"/>
      <c r="BA2439" s="76"/>
      <c r="BB2439" s="76"/>
    </row>
    <row r="2440" spans="5:54" x14ac:dyDescent="0.35">
      <c r="E2440" s="83"/>
      <c r="F2440" s="83"/>
      <c r="G2440" s="76"/>
      <c r="H2440" s="76"/>
      <c r="I2440" s="76"/>
      <c r="J2440" s="76"/>
      <c r="K2440" s="76"/>
      <c r="L2440" s="76"/>
      <c r="M2440" s="76"/>
      <c r="N2440" s="76"/>
      <c r="O2440" s="76"/>
      <c r="P2440" s="76"/>
      <c r="Q2440" s="76"/>
      <c r="R2440" s="76"/>
      <c r="S2440" s="76"/>
      <c r="T2440" s="76"/>
      <c r="U2440" s="76"/>
      <c r="V2440" s="76"/>
      <c r="W2440" s="76"/>
      <c r="X2440" s="76"/>
      <c r="Y2440" s="76"/>
      <c r="Z2440" s="76"/>
      <c r="AA2440" s="76"/>
      <c r="AB2440" s="76"/>
      <c r="AC2440" s="76"/>
      <c r="AD2440" s="76"/>
      <c r="AE2440" s="76"/>
      <c r="AF2440" s="76"/>
      <c r="AG2440" s="76"/>
      <c r="AH2440" s="76"/>
      <c r="AI2440" s="76"/>
      <c r="AJ2440" s="76"/>
      <c r="AK2440" s="76"/>
      <c r="AL2440" s="76"/>
      <c r="AM2440" s="76"/>
      <c r="AN2440" s="76"/>
      <c r="AO2440" s="76"/>
      <c r="AP2440" s="76"/>
      <c r="AQ2440" s="76"/>
      <c r="AR2440" s="76"/>
      <c r="AS2440" s="76"/>
      <c r="AT2440" s="76"/>
      <c r="AU2440" s="76"/>
      <c r="AV2440" s="76"/>
      <c r="AW2440" s="76"/>
      <c r="AX2440" s="76"/>
      <c r="AY2440" s="76"/>
      <c r="AZ2440" s="76"/>
      <c r="BA2440" s="76"/>
      <c r="BB2440" s="76"/>
    </row>
    <row r="2441" spans="5:54" x14ac:dyDescent="0.35">
      <c r="E2441" s="83"/>
      <c r="F2441" s="83"/>
      <c r="G2441" s="76"/>
      <c r="H2441" s="76"/>
      <c r="I2441" s="76"/>
      <c r="J2441" s="76"/>
      <c r="K2441" s="76"/>
      <c r="L2441" s="76"/>
      <c r="M2441" s="76"/>
      <c r="N2441" s="76"/>
      <c r="O2441" s="76"/>
      <c r="P2441" s="76"/>
      <c r="Q2441" s="76"/>
      <c r="R2441" s="76"/>
      <c r="S2441" s="76"/>
      <c r="T2441" s="76"/>
      <c r="U2441" s="76"/>
      <c r="V2441" s="76"/>
      <c r="W2441" s="76"/>
      <c r="X2441" s="76"/>
      <c r="Y2441" s="76"/>
      <c r="Z2441" s="76"/>
      <c r="AA2441" s="76"/>
      <c r="AB2441" s="76"/>
      <c r="AC2441" s="76"/>
      <c r="AD2441" s="76"/>
      <c r="AE2441" s="76"/>
      <c r="AF2441" s="76"/>
      <c r="AG2441" s="76"/>
      <c r="AH2441" s="76"/>
      <c r="AI2441" s="76"/>
      <c r="AJ2441" s="76"/>
      <c r="AK2441" s="76"/>
      <c r="AL2441" s="76"/>
      <c r="AM2441" s="76"/>
      <c r="AN2441" s="76"/>
      <c r="AO2441" s="76"/>
      <c r="AP2441" s="76"/>
      <c r="AQ2441" s="76"/>
      <c r="AR2441" s="76"/>
      <c r="AS2441" s="76"/>
      <c r="AT2441" s="76"/>
      <c r="AU2441" s="76"/>
      <c r="AV2441" s="76"/>
      <c r="AW2441" s="76"/>
      <c r="AX2441" s="76"/>
      <c r="AY2441" s="76"/>
      <c r="AZ2441" s="76"/>
      <c r="BA2441" s="76"/>
      <c r="BB2441" s="76"/>
    </row>
    <row r="2442" spans="5:54" x14ac:dyDescent="0.35">
      <c r="E2442" s="83"/>
      <c r="F2442" s="83"/>
      <c r="G2442" s="76"/>
      <c r="H2442" s="76"/>
      <c r="I2442" s="76"/>
      <c r="J2442" s="76"/>
      <c r="K2442" s="76"/>
      <c r="L2442" s="76"/>
      <c r="M2442" s="76"/>
      <c r="N2442" s="76"/>
      <c r="O2442" s="76"/>
      <c r="P2442" s="76"/>
      <c r="Q2442" s="76"/>
      <c r="R2442" s="76"/>
      <c r="S2442" s="76"/>
      <c r="T2442" s="76"/>
      <c r="U2442" s="76"/>
      <c r="V2442" s="76"/>
      <c r="W2442" s="76"/>
      <c r="X2442" s="76"/>
      <c r="Y2442" s="76"/>
      <c r="Z2442" s="76"/>
      <c r="AA2442" s="76"/>
      <c r="AB2442" s="76"/>
      <c r="AC2442" s="76"/>
      <c r="AD2442" s="76"/>
      <c r="AE2442" s="76"/>
      <c r="AF2442" s="76"/>
      <c r="AG2442" s="76"/>
      <c r="AH2442" s="76"/>
      <c r="AI2442" s="76"/>
      <c r="AJ2442" s="76"/>
      <c r="AK2442" s="76"/>
      <c r="AL2442" s="76"/>
      <c r="AM2442" s="76"/>
      <c r="AN2442" s="76"/>
      <c r="AO2442" s="76"/>
      <c r="AP2442" s="76"/>
      <c r="AQ2442" s="76"/>
      <c r="AR2442" s="76"/>
      <c r="AS2442" s="76"/>
      <c r="AT2442" s="76"/>
      <c r="AU2442" s="76"/>
      <c r="AV2442" s="76"/>
      <c r="AW2442" s="76"/>
      <c r="AX2442" s="76"/>
      <c r="AY2442" s="76"/>
      <c r="AZ2442" s="76"/>
      <c r="BA2442" s="76"/>
      <c r="BB2442" s="76"/>
    </row>
    <row r="2443" spans="5:54" x14ac:dyDescent="0.35">
      <c r="E2443" s="83"/>
      <c r="F2443" s="83"/>
      <c r="G2443" s="76"/>
      <c r="H2443" s="76"/>
      <c r="I2443" s="76"/>
      <c r="J2443" s="76"/>
      <c r="K2443" s="76"/>
      <c r="L2443" s="76"/>
      <c r="M2443" s="76"/>
      <c r="N2443" s="76"/>
      <c r="O2443" s="76"/>
      <c r="P2443" s="76"/>
      <c r="Q2443" s="76"/>
      <c r="R2443" s="76"/>
      <c r="S2443" s="76"/>
      <c r="T2443" s="76"/>
      <c r="U2443" s="76"/>
      <c r="V2443" s="76"/>
      <c r="W2443" s="76"/>
      <c r="X2443" s="76"/>
      <c r="Y2443" s="76"/>
      <c r="Z2443" s="76"/>
      <c r="AA2443" s="76"/>
      <c r="AB2443" s="76"/>
      <c r="AC2443" s="76"/>
      <c r="AD2443" s="76"/>
      <c r="AE2443" s="76"/>
      <c r="AF2443" s="76"/>
      <c r="AG2443" s="76"/>
      <c r="AH2443" s="76"/>
      <c r="AI2443" s="76"/>
      <c r="AJ2443" s="76"/>
      <c r="AK2443" s="76"/>
      <c r="AL2443" s="76"/>
      <c r="AM2443" s="76"/>
      <c r="AN2443" s="76"/>
      <c r="AO2443" s="76"/>
      <c r="AP2443" s="76"/>
      <c r="AQ2443" s="76"/>
      <c r="AR2443" s="76"/>
      <c r="AS2443" s="76"/>
      <c r="AT2443" s="76"/>
      <c r="AU2443" s="76"/>
      <c r="AV2443" s="76"/>
      <c r="AW2443" s="76"/>
      <c r="AX2443" s="76"/>
      <c r="AY2443" s="76"/>
      <c r="AZ2443" s="76"/>
      <c r="BA2443" s="76"/>
      <c r="BB2443" s="76"/>
    </row>
    <row r="2444" spans="5:54" x14ac:dyDescent="0.35">
      <c r="E2444" s="83"/>
      <c r="F2444" s="83"/>
      <c r="G2444" s="76"/>
      <c r="H2444" s="76"/>
      <c r="I2444" s="76"/>
      <c r="J2444" s="76"/>
      <c r="K2444" s="76"/>
      <c r="L2444" s="76"/>
      <c r="M2444" s="76"/>
      <c r="N2444" s="76"/>
      <c r="O2444" s="76"/>
      <c r="P2444" s="76"/>
      <c r="Q2444" s="76"/>
      <c r="R2444" s="76"/>
      <c r="S2444" s="76"/>
      <c r="T2444" s="76"/>
      <c r="U2444" s="76"/>
      <c r="V2444" s="76"/>
      <c r="W2444" s="76"/>
      <c r="X2444" s="76"/>
      <c r="Y2444" s="76"/>
      <c r="Z2444" s="76"/>
      <c r="AA2444" s="76"/>
      <c r="AB2444" s="76"/>
      <c r="AC2444" s="76"/>
      <c r="AD2444" s="76"/>
      <c r="AE2444" s="76"/>
      <c r="AF2444" s="76"/>
      <c r="AG2444" s="76"/>
      <c r="AH2444" s="76"/>
      <c r="AI2444" s="76"/>
      <c r="AJ2444" s="76"/>
      <c r="AK2444" s="76"/>
      <c r="AL2444" s="76"/>
      <c r="AM2444" s="76"/>
      <c r="AN2444" s="76"/>
      <c r="AO2444" s="76"/>
      <c r="AP2444" s="76"/>
      <c r="AQ2444" s="76"/>
      <c r="AR2444" s="76"/>
      <c r="AS2444" s="76"/>
      <c r="AT2444" s="76"/>
      <c r="AU2444" s="76"/>
      <c r="AV2444" s="76"/>
      <c r="AW2444" s="76"/>
      <c r="AX2444" s="76"/>
      <c r="AY2444" s="76"/>
      <c r="AZ2444" s="76"/>
      <c r="BA2444" s="76"/>
      <c r="BB2444" s="76"/>
    </row>
    <row r="2445" spans="5:54" x14ac:dyDescent="0.35">
      <c r="E2445" s="83"/>
      <c r="F2445" s="83"/>
      <c r="G2445" s="76"/>
      <c r="H2445" s="76"/>
      <c r="I2445" s="76"/>
      <c r="J2445" s="76"/>
      <c r="K2445" s="76"/>
      <c r="L2445" s="76"/>
      <c r="M2445" s="76"/>
      <c r="N2445" s="76"/>
      <c r="O2445" s="76"/>
      <c r="P2445" s="76"/>
      <c r="Q2445" s="76"/>
      <c r="R2445" s="76"/>
      <c r="S2445" s="76"/>
      <c r="T2445" s="76"/>
      <c r="U2445" s="76"/>
      <c r="V2445" s="76"/>
      <c r="W2445" s="76"/>
      <c r="X2445" s="76"/>
      <c r="Y2445" s="76"/>
      <c r="Z2445" s="76"/>
      <c r="AA2445" s="76"/>
      <c r="AB2445" s="76"/>
      <c r="AC2445" s="76"/>
      <c r="AD2445" s="76"/>
      <c r="AE2445" s="76"/>
      <c r="AF2445" s="76"/>
      <c r="AG2445" s="76"/>
      <c r="AH2445" s="76"/>
      <c r="AI2445" s="76"/>
      <c r="AJ2445" s="76"/>
      <c r="AK2445" s="76"/>
      <c r="AL2445" s="76"/>
      <c r="AM2445" s="76"/>
      <c r="AN2445" s="76"/>
      <c r="AO2445" s="76"/>
      <c r="AP2445" s="76"/>
      <c r="AQ2445" s="76"/>
      <c r="AR2445" s="76"/>
      <c r="AS2445" s="76"/>
      <c r="AT2445" s="76"/>
      <c r="AU2445" s="76"/>
      <c r="AV2445" s="76"/>
      <c r="AW2445" s="76"/>
      <c r="AX2445" s="76"/>
      <c r="AY2445" s="76"/>
      <c r="AZ2445" s="76"/>
      <c r="BA2445" s="76"/>
      <c r="BB2445" s="76"/>
    </row>
    <row r="2446" spans="5:54" x14ac:dyDescent="0.35">
      <c r="E2446" s="83"/>
      <c r="F2446" s="83"/>
      <c r="G2446" s="76"/>
      <c r="H2446" s="76"/>
      <c r="I2446" s="76"/>
      <c r="J2446" s="76"/>
      <c r="K2446" s="76"/>
      <c r="L2446" s="76"/>
      <c r="M2446" s="76"/>
      <c r="N2446" s="76"/>
      <c r="O2446" s="76"/>
      <c r="P2446" s="76"/>
      <c r="Q2446" s="76"/>
      <c r="R2446" s="76"/>
      <c r="S2446" s="76"/>
      <c r="T2446" s="76"/>
      <c r="U2446" s="76"/>
      <c r="V2446" s="76"/>
      <c r="W2446" s="76"/>
      <c r="X2446" s="76"/>
      <c r="Y2446" s="76"/>
      <c r="Z2446" s="76"/>
      <c r="AA2446" s="76"/>
      <c r="AB2446" s="76"/>
      <c r="AC2446" s="76"/>
      <c r="AD2446" s="76"/>
      <c r="AE2446" s="76"/>
      <c r="AF2446" s="76"/>
      <c r="AG2446" s="76"/>
      <c r="AH2446" s="76"/>
      <c r="AI2446" s="76"/>
      <c r="AJ2446" s="76"/>
      <c r="AK2446" s="76"/>
      <c r="AL2446" s="76"/>
      <c r="AM2446" s="76"/>
      <c r="AN2446" s="76"/>
      <c r="AO2446" s="76"/>
      <c r="AP2446" s="76"/>
      <c r="AQ2446" s="76"/>
      <c r="AR2446" s="76"/>
      <c r="AS2446" s="76"/>
      <c r="AT2446" s="76"/>
      <c r="AU2446" s="76"/>
      <c r="AV2446" s="76"/>
      <c r="AW2446" s="76"/>
      <c r="AX2446" s="76"/>
      <c r="AY2446" s="76"/>
      <c r="AZ2446" s="76"/>
      <c r="BA2446" s="76"/>
      <c r="BB2446" s="76"/>
    </row>
    <row r="2447" spans="5:54" x14ac:dyDescent="0.35">
      <c r="E2447" s="83"/>
      <c r="F2447" s="83"/>
      <c r="G2447" s="76"/>
      <c r="H2447" s="76"/>
      <c r="I2447" s="76"/>
      <c r="J2447" s="76"/>
      <c r="K2447" s="76"/>
      <c r="L2447" s="76"/>
      <c r="M2447" s="76"/>
      <c r="N2447" s="76"/>
      <c r="O2447" s="76"/>
      <c r="P2447" s="76"/>
      <c r="Q2447" s="76"/>
      <c r="R2447" s="76"/>
      <c r="S2447" s="76"/>
      <c r="T2447" s="76"/>
      <c r="U2447" s="76"/>
      <c r="V2447" s="76"/>
      <c r="W2447" s="76"/>
      <c r="X2447" s="76"/>
      <c r="Y2447" s="76"/>
      <c r="Z2447" s="76"/>
      <c r="AA2447" s="76"/>
      <c r="AB2447" s="76"/>
      <c r="AC2447" s="76"/>
      <c r="AD2447" s="76"/>
      <c r="AE2447" s="76"/>
      <c r="AF2447" s="76"/>
      <c r="AG2447" s="76"/>
      <c r="AH2447" s="76"/>
      <c r="AI2447" s="76"/>
      <c r="AJ2447" s="76"/>
      <c r="AK2447" s="76"/>
      <c r="AL2447" s="76"/>
      <c r="AM2447" s="76"/>
      <c r="AN2447" s="76"/>
      <c r="AO2447" s="76"/>
      <c r="AP2447" s="76"/>
      <c r="AQ2447" s="76"/>
      <c r="AR2447" s="76"/>
      <c r="AS2447" s="76"/>
      <c r="AT2447" s="76"/>
      <c r="AU2447" s="76"/>
      <c r="AV2447" s="76"/>
      <c r="AW2447" s="76"/>
      <c r="AX2447" s="76"/>
      <c r="AY2447" s="76"/>
      <c r="AZ2447" s="76"/>
      <c r="BA2447" s="76"/>
      <c r="BB2447" s="76"/>
    </row>
    <row r="2448" spans="5:54" x14ac:dyDescent="0.35">
      <c r="E2448" s="83"/>
      <c r="F2448" s="83"/>
      <c r="G2448" s="76"/>
      <c r="H2448" s="76"/>
      <c r="I2448" s="76"/>
      <c r="J2448" s="76"/>
      <c r="K2448" s="76"/>
      <c r="L2448" s="76"/>
      <c r="M2448" s="76"/>
      <c r="N2448" s="76"/>
      <c r="O2448" s="76"/>
      <c r="P2448" s="76"/>
      <c r="Q2448" s="76"/>
      <c r="R2448" s="76"/>
      <c r="S2448" s="76"/>
      <c r="T2448" s="76"/>
      <c r="U2448" s="76"/>
      <c r="V2448" s="76"/>
      <c r="W2448" s="76"/>
      <c r="X2448" s="76"/>
      <c r="Y2448" s="76"/>
      <c r="Z2448" s="76"/>
      <c r="AA2448" s="76"/>
      <c r="AB2448" s="76"/>
      <c r="AC2448" s="76"/>
      <c r="AD2448" s="76"/>
      <c r="AE2448" s="76"/>
      <c r="AF2448" s="76"/>
      <c r="AG2448" s="76"/>
      <c r="AH2448" s="76"/>
      <c r="AI2448" s="76"/>
      <c r="AJ2448" s="76"/>
      <c r="AK2448" s="76"/>
      <c r="AL2448" s="76"/>
      <c r="AM2448" s="76"/>
      <c r="AN2448" s="76"/>
      <c r="AO2448" s="76"/>
      <c r="AP2448" s="76"/>
      <c r="AQ2448" s="76"/>
      <c r="AR2448" s="76"/>
      <c r="AS2448" s="76"/>
      <c r="AT2448" s="76"/>
      <c r="AU2448" s="76"/>
      <c r="AV2448" s="76"/>
      <c r="AW2448" s="76"/>
      <c r="AX2448" s="76"/>
      <c r="AY2448" s="76"/>
      <c r="AZ2448" s="76"/>
      <c r="BA2448" s="76"/>
      <c r="BB2448" s="76"/>
    </row>
    <row r="2449" spans="5:54" x14ac:dyDescent="0.35">
      <c r="E2449" s="83"/>
      <c r="F2449" s="83"/>
      <c r="G2449" s="76"/>
      <c r="H2449" s="76"/>
      <c r="I2449" s="76"/>
      <c r="J2449" s="76"/>
      <c r="K2449" s="76"/>
      <c r="L2449" s="76"/>
      <c r="M2449" s="76"/>
      <c r="N2449" s="76"/>
      <c r="O2449" s="76"/>
      <c r="P2449" s="76"/>
      <c r="Q2449" s="76"/>
      <c r="R2449" s="76"/>
      <c r="S2449" s="76"/>
      <c r="T2449" s="76"/>
      <c r="U2449" s="76"/>
      <c r="V2449" s="76"/>
      <c r="W2449" s="76"/>
      <c r="X2449" s="76"/>
      <c r="Y2449" s="76"/>
      <c r="Z2449" s="76"/>
      <c r="AA2449" s="76"/>
      <c r="AB2449" s="76"/>
      <c r="AC2449" s="76"/>
      <c r="AD2449" s="76"/>
      <c r="AE2449" s="76"/>
      <c r="AF2449" s="76"/>
      <c r="AG2449" s="76"/>
      <c r="AH2449" s="76"/>
      <c r="AI2449" s="76"/>
      <c r="AJ2449" s="76"/>
      <c r="AK2449" s="76"/>
      <c r="AL2449" s="76"/>
      <c r="AM2449" s="76"/>
      <c r="AN2449" s="76"/>
      <c r="AO2449" s="76"/>
      <c r="AP2449" s="76"/>
      <c r="AQ2449" s="76"/>
      <c r="AR2449" s="76"/>
      <c r="AS2449" s="76"/>
      <c r="AT2449" s="76"/>
      <c r="AU2449" s="76"/>
      <c r="AV2449" s="76"/>
      <c r="AW2449" s="76"/>
      <c r="AX2449" s="76"/>
      <c r="AY2449" s="76"/>
      <c r="AZ2449" s="76"/>
      <c r="BA2449" s="76"/>
      <c r="BB2449" s="76"/>
    </row>
    <row r="2450" spans="5:54" x14ac:dyDescent="0.35">
      <c r="E2450" s="83"/>
      <c r="F2450" s="83"/>
      <c r="G2450" s="76"/>
      <c r="H2450" s="76"/>
      <c r="I2450" s="76"/>
      <c r="J2450" s="76"/>
      <c r="K2450" s="76"/>
      <c r="L2450" s="76"/>
      <c r="M2450" s="76"/>
      <c r="N2450" s="76"/>
      <c r="O2450" s="76"/>
      <c r="P2450" s="76"/>
      <c r="Q2450" s="76"/>
      <c r="R2450" s="76"/>
      <c r="S2450" s="76"/>
      <c r="T2450" s="76"/>
      <c r="U2450" s="76"/>
      <c r="V2450" s="76"/>
      <c r="W2450" s="76"/>
      <c r="X2450" s="76"/>
      <c r="Y2450" s="76"/>
      <c r="Z2450" s="76"/>
      <c r="AA2450" s="76"/>
      <c r="AB2450" s="76"/>
      <c r="AC2450" s="76"/>
      <c r="AD2450" s="76"/>
      <c r="AE2450" s="76"/>
      <c r="AF2450" s="76"/>
      <c r="AG2450" s="76"/>
      <c r="AH2450" s="76"/>
      <c r="AI2450" s="76"/>
      <c r="AJ2450" s="76"/>
      <c r="AK2450" s="76"/>
      <c r="AL2450" s="76"/>
      <c r="AM2450" s="76"/>
      <c r="AN2450" s="76"/>
      <c r="AO2450" s="76"/>
      <c r="AP2450" s="76"/>
      <c r="AQ2450" s="76"/>
      <c r="AR2450" s="76"/>
      <c r="AS2450" s="76"/>
      <c r="AT2450" s="76"/>
      <c r="AU2450" s="76"/>
      <c r="AV2450" s="76"/>
      <c r="AW2450" s="76"/>
      <c r="AX2450" s="76"/>
      <c r="AY2450" s="76"/>
      <c r="AZ2450" s="76"/>
      <c r="BA2450" s="76"/>
      <c r="BB2450" s="76"/>
    </row>
    <row r="2451" spans="5:54" x14ac:dyDescent="0.35">
      <c r="E2451" s="83"/>
      <c r="F2451" s="83"/>
      <c r="G2451" s="76"/>
      <c r="H2451" s="76"/>
      <c r="I2451" s="76"/>
      <c r="J2451" s="76"/>
      <c r="K2451" s="76"/>
      <c r="L2451" s="76"/>
      <c r="M2451" s="76"/>
      <c r="N2451" s="76"/>
      <c r="O2451" s="76"/>
      <c r="P2451" s="76"/>
      <c r="Q2451" s="76"/>
      <c r="R2451" s="76"/>
      <c r="S2451" s="76"/>
      <c r="T2451" s="76"/>
      <c r="U2451" s="76"/>
      <c r="V2451" s="76"/>
      <c r="W2451" s="76"/>
      <c r="X2451" s="76"/>
      <c r="Y2451" s="76"/>
      <c r="Z2451" s="76"/>
      <c r="AA2451" s="76"/>
      <c r="AB2451" s="76"/>
      <c r="AC2451" s="76"/>
      <c r="AD2451" s="76"/>
      <c r="AE2451" s="76"/>
      <c r="AF2451" s="76"/>
      <c r="AG2451" s="76"/>
      <c r="AH2451" s="76"/>
      <c r="AI2451" s="76"/>
      <c r="AJ2451" s="76"/>
      <c r="AK2451" s="76"/>
      <c r="AL2451" s="76"/>
      <c r="AM2451" s="76"/>
      <c r="AN2451" s="76"/>
      <c r="AO2451" s="76"/>
      <c r="AP2451" s="76"/>
      <c r="AQ2451" s="76"/>
      <c r="AR2451" s="76"/>
      <c r="AS2451" s="76"/>
      <c r="AT2451" s="76"/>
      <c r="AU2451" s="76"/>
      <c r="AV2451" s="76"/>
      <c r="AW2451" s="76"/>
      <c r="AX2451" s="76"/>
      <c r="AY2451" s="76"/>
      <c r="AZ2451" s="76"/>
      <c r="BA2451" s="76"/>
      <c r="BB2451" s="76"/>
    </row>
    <row r="2452" spans="5:54" x14ac:dyDescent="0.35">
      <c r="E2452" s="83"/>
      <c r="F2452" s="83"/>
      <c r="G2452" s="76"/>
      <c r="H2452" s="76"/>
      <c r="I2452" s="76"/>
      <c r="J2452" s="76"/>
      <c r="K2452" s="76"/>
      <c r="L2452" s="76"/>
      <c r="M2452" s="76"/>
      <c r="N2452" s="76"/>
      <c r="O2452" s="76"/>
      <c r="P2452" s="76"/>
      <c r="Q2452" s="76"/>
      <c r="R2452" s="76"/>
      <c r="S2452" s="76"/>
      <c r="T2452" s="76"/>
      <c r="U2452" s="76"/>
      <c r="V2452" s="76"/>
      <c r="W2452" s="76"/>
      <c r="X2452" s="76"/>
      <c r="Y2452" s="76"/>
      <c r="Z2452" s="76"/>
      <c r="AA2452" s="76"/>
      <c r="AB2452" s="76"/>
      <c r="AC2452" s="76"/>
      <c r="AD2452" s="76"/>
      <c r="AE2452" s="76"/>
      <c r="AF2452" s="76"/>
      <c r="AG2452" s="76"/>
      <c r="AH2452" s="76"/>
      <c r="AI2452" s="76"/>
      <c r="AJ2452" s="76"/>
      <c r="AK2452" s="76"/>
      <c r="AL2452" s="76"/>
      <c r="AM2452" s="76"/>
      <c r="AN2452" s="76"/>
      <c r="AO2452" s="76"/>
      <c r="AP2452" s="76"/>
      <c r="AQ2452" s="76"/>
      <c r="AR2452" s="76"/>
      <c r="AS2452" s="76"/>
      <c r="AT2452" s="76"/>
      <c r="AU2452" s="76"/>
      <c r="AV2452" s="76"/>
      <c r="AW2452" s="76"/>
      <c r="AX2452" s="76"/>
      <c r="AY2452" s="76"/>
      <c r="AZ2452" s="76"/>
      <c r="BA2452" s="76"/>
      <c r="BB2452" s="76"/>
    </row>
    <row r="2453" spans="5:54" x14ac:dyDescent="0.35">
      <c r="E2453" s="83"/>
      <c r="F2453" s="83"/>
      <c r="G2453" s="76"/>
      <c r="H2453" s="76"/>
      <c r="I2453" s="76"/>
      <c r="J2453" s="76"/>
      <c r="K2453" s="76"/>
      <c r="L2453" s="76"/>
      <c r="M2453" s="76"/>
      <c r="N2453" s="76"/>
      <c r="O2453" s="76"/>
      <c r="P2453" s="76"/>
      <c r="Q2453" s="76"/>
      <c r="R2453" s="76"/>
      <c r="S2453" s="76"/>
      <c r="T2453" s="76"/>
      <c r="U2453" s="76"/>
      <c r="V2453" s="76"/>
      <c r="W2453" s="76"/>
      <c r="X2453" s="76"/>
      <c r="Y2453" s="76"/>
      <c r="Z2453" s="76"/>
      <c r="AA2453" s="76"/>
      <c r="AB2453" s="76"/>
      <c r="AC2453" s="76"/>
      <c r="AD2453" s="76"/>
      <c r="AE2453" s="76"/>
      <c r="AF2453" s="76"/>
      <c r="AG2453" s="76"/>
      <c r="AH2453" s="76"/>
      <c r="AI2453" s="76"/>
      <c r="AJ2453" s="76"/>
      <c r="AK2453" s="76"/>
      <c r="AL2453" s="76"/>
      <c r="AM2453" s="76"/>
      <c r="AN2453" s="76"/>
      <c r="AO2453" s="76"/>
      <c r="AP2453" s="76"/>
      <c r="AQ2453" s="76"/>
      <c r="AR2453" s="76"/>
      <c r="AS2453" s="76"/>
      <c r="AT2453" s="76"/>
      <c r="AU2453" s="76"/>
      <c r="AV2453" s="76"/>
      <c r="AW2453" s="76"/>
      <c r="AX2453" s="76"/>
      <c r="AY2453" s="76"/>
      <c r="AZ2453" s="76"/>
      <c r="BA2453" s="76"/>
      <c r="BB2453" s="76"/>
    </row>
    <row r="2454" spans="5:54" x14ac:dyDescent="0.35">
      <c r="E2454" s="83"/>
      <c r="F2454" s="83"/>
      <c r="G2454" s="76"/>
      <c r="H2454" s="76"/>
      <c r="I2454" s="76"/>
      <c r="J2454" s="76"/>
      <c r="K2454" s="76"/>
      <c r="L2454" s="76"/>
      <c r="M2454" s="76"/>
      <c r="N2454" s="76"/>
      <c r="O2454" s="76"/>
      <c r="P2454" s="76"/>
      <c r="Q2454" s="76"/>
      <c r="R2454" s="76"/>
      <c r="S2454" s="76"/>
      <c r="T2454" s="76"/>
      <c r="U2454" s="76"/>
      <c r="V2454" s="76"/>
      <c r="W2454" s="76"/>
      <c r="X2454" s="76"/>
      <c r="Y2454" s="76"/>
      <c r="Z2454" s="76"/>
      <c r="AA2454" s="76"/>
      <c r="AB2454" s="76"/>
      <c r="AC2454" s="76"/>
      <c r="AD2454" s="76"/>
      <c r="AE2454" s="76"/>
      <c r="AF2454" s="76"/>
      <c r="AG2454" s="76"/>
      <c r="AH2454" s="76"/>
      <c r="AI2454" s="76"/>
      <c r="AJ2454" s="76"/>
      <c r="AK2454" s="76"/>
      <c r="AL2454" s="76"/>
      <c r="AM2454" s="76"/>
      <c r="AN2454" s="76"/>
      <c r="AO2454" s="76"/>
      <c r="AP2454" s="76"/>
      <c r="AQ2454" s="76"/>
      <c r="AR2454" s="76"/>
      <c r="AS2454" s="76"/>
      <c r="AT2454" s="76"/>
      <c r="AU2454" s="76"/>
      <c r="AV2454" s="76"/>
      <c r="AW2454" s="76"/>
      <c r="AX2454" s="76"/>
      <c r="AY2454" s="76"/>
      <c r="AZ2454" s="76"/>
      <c r="BA2454" s="76"/>
      <c r="BB2454" s="76"/>
    </row>
    <row r="2455" spans="5:54" x14ac:dyDescent="0.35">
      <c r="E2455" s="83"/>
      <c r="F2455" s="83"/>
      <c r="G2455" s="76"/>
      <c r="H2455" s="76"/>
      <c r="I2455" s="76"/>
      <c r="J2455" s="76"/>
      <c r="K2455" s="76"/>
      <c r="L2455" s="76"/>
      <c r="M2455" s="76"/>
      <c r="N2455" s="76"/>
      <c r="O2455" s="76"/>
      <c r="P2455" s="76"/>
      <c r="Q2455" s="76"/>
      <c r="R2455" s="76"/>
      <c r="S2455" s="76"/>
      <c r="T2455" s="76"/>
      <c r="U2455" s="76"/>
      <c r="V2455" s="76"/>
      <c r="W2455" s="76"/>
      <c r="X2455" s="76"/>
      <c r="Y2455" s="76"/>
      <c r="Z2455" s="76"/>
      <c r="AA2455" s="76"/>
      <c r="AB2455" s="76"/>
      <c r="AC2455" s="76"/>
      <c r="AD2455" s="76"/>
      <c r="AE2455" s="76"/>
      <c r="AF2455" s="76"/>
      <c r="AG2455" s="76"/>
      <c r="AH2455" s="76"/>
      <c r="AI2455" s="76"/>
      <c r="AJ2455" s="76"/>
      <c r="AK2455" s="76"/>
      <c r="AL2455" s="76"/>
      <c r="AM2455" s="76"/>
      <c r="AN2455" s="76"/>
      <c r="AO2455" s="76"/>
      <c r="AP2455" s="76"/>
      <c r="AQ2455" s="76"/>
      <c r="AR2455" s="76"/>
      <c r="AS2455" s="76"/>
      <c r="AT2455" s="76"/>
      <c r="AU2455" s="76"/>
      <c r="AV2455" s="76"/>
      <c r="AW2455" s="76"/>
      <c r="AX2455" s="76"/>
      <c r="AY2455" s="76"/>
      <c r="AZ2455" s="76"/>
      <c r="BA2455" s="76"/>
      <c r="BB2455" s="76"/>
    </row>
    <row r="2456" spans="5:54" x14ac:dyDescent="0.35">
      <c r="E2456" s="83"/>
      <c r="F2456" s="83"/>
      <c r="G2456" s="76"/>
      <c r="H2456" s="76"/>
      <c r="I2456" s="76"/>
      <c r="J2456" s="76"/>
      <c r="K2456" s="76"/>
      <c r="L2456" s="76"/>
      <c r="M2456" s="76"/>
      <c r="N2456" s="76"/>
      <c r="O2456" s="76"/>
      <c r="P2456" s="76"/>
      <c r="Q2456" s="76"/>
      <c r="R2456" s="76"/>
      <c r="S2456" s="76"/>
      <c r="T2456" s="76"/>
      <c r="U2456" s="76"/>
      <c r="V2456" s="76"/>
      <c r="W2456" s="76"/>
      <c r="X2456" s="76"/>
      <c r="Y2456" s="76"/>
      <c r="Z2456" s="76"/>
      <c r="AA2456" s="76"/>
      <c r="AB2456" s="76"/>
      <c r="AC2456" s="76"/>
      <c r="AD2456" s="76"/>
      <c r="AE2456" s="76"/>
      <c r="AF2456" s="76"/>
      <c r="AG2456" s="76"/>
      <c r="AH2456" s="76"/>
      <c r="AI2456" s="76"/>
      <c r="AJ2456" s="76"/>
      <c r="AK2456" s="76"/>
      <c r="AL2456" s="76"/>
      <c r="AM2456" s="76"/>
      <c r="AN2456" s="76"/>
      <c r="AO2456" s="76"/>
      <c r="AP2456" s="76"/>
      <c r="AQ2456" s="76"/>
      <c r="AR2456" s="76"/>
      <c r="AS2456" s="76"/>
      <c r="AT2456" s="76"/>
      <c r="AU2456" s="76"/>
      <c r="AV2456" s="76"/>
      <c r="AW2456" s="76"/>
      <c r="AX2456" s="76"/>
      <c r="AY2456" s="76"/>
      <c r="AZ2456" s="76"/>
      <c r="BA2456" s="76"/>
      <c r="BB2456" s="76"/>
    </row>
    <row r="2457" spans="5:54" x14ac:dyDescent="0.35">
      <c r="E2457" s="83"/>
      <c r="F2457" s="83"/>
      <c r="G2457" s="76"/>
      <c r="H2457" s="76"/>
      <c r="I2457" s="76"/>
      <c r="J2457" s="76"/>
      <c r="K2457" s="76"/>
      <c r="L2457" s="76"/>
      <c r="M2457" s="76"/>
      <c r="N2457" s="76"/>
      <c r="O2457" s="76"/>
      <c r="P2457" s="76"/>
      <c r="Q2457" s="76"/>
      <c r="R2457" s="76"/>
      <c r="S2457" s="76"/>
      <c r="T2457" s="76"/>
      <c r="U2457" s="76"/>
      <c r="V2457" s="76"/>
      <c r="W2457" s="76"/>
      <c r="X2457" s="76"/>
      <c r="Y2457" s="76"/>
      <c r="Z2457" s="76"/>
      <c r="AA2457" s="76"/>
      <c r="AB2457" s="76"/>
      <c r="AC2457" s="76"/>
      <c r="AD2457" s="76"/>
      <c r="AE2457" s="76"/>
      <c r="AF2457" s="76"/>
      <c r="AG2457" s="76"/>
      <c r="AH2457" s="76"/>
      <c r="AI2457" s="76"/>
      <c r="AJ2457" s="76"/>
      <c r="AK2457" s="76"/>
      <c r="AL2457" s="76"/>
      <c r="AM2457" s="76"/>
      <c r="AN2457" s="76"/>
      <c r="AO2457" s="76"/>
      <c r="AP2457" s="76"/>
      <c r="AQ2457" s="76"/>
      <c r="AR2457" s="76"/>
      <c r="AS2457" s="76"/>
      <c r="AT2457" s="76"/>
      <c r="AU2457" s="76"/>
      <c r="AV2457" s="76"/>
      <c r="AW2457" s="76"/>
      <c r="AX2457" s="76"/>
      <c r="AY2457" s="76"/>
      <c r="AZ2457" s="76"/>
      <c r="BA2457" s="76"/>
      <c r="BB2457" s="76"/>
    </row>
    <row r="2458" spans="5:54" x14ac:dyDescent="0.35">
      <c r="E2458" s="83"/>
      <c r="F2458" s="83"/>
      <c r="G2458" s="76"/>
      <c r="H2458" s="76"/>
      <c r="I2458" s="76"/>
      <c r="J2458" s="76"/>
      <c r="K2458" s="76"/>
      <c r="L2458" s="76"/>
      <c r="M2458" s="76"/>
      <c r="N2458" s="76"/>
      <c r="O2458" s="76"/>
      <c r="P2458" s="76"/>
      <c r="Q2458" s="76"/>
      <c r="R2458" s="76"/>
      <c r="S2458" s="76"/>
      <c r="T2458" s="76"/>
      <c r="U2458" s="76"/>
      <c r="V2458" s="76"/>
      <c r="W2458" s="76"/>
      <c r="X2458" s="76"/>
      <c r="Y2458" s="76"/>
      <c r="Z2458" s="76"/>
      <c r="AA2458" s="76"/>
      <c r="AB2458" s="76"/>
      <c r="AC2458" s="76"/>
      <c r="AD2458" s="76"/>
      <c r="AE2458" s="76"/>
      <c r="AF2458" s="76"/>
      <c r="AG2458" s="76"/>
      <c r="AH2458" s="76"/>
      <c r="AI2458" s="76"/>
      <c r="AJ2458" s="76"/>
      <c r="AK2458" s="76"/>
      <c r="AL2458" s="76"/>
      <c r="AM2458" s="76"/>
      <c r="AN2458" s="76"/>
      <c r="AO2458" s="76"/>
      <c r="AP2458" s="76"/>
      <c r="AQ2458" s="76"/>
      <c r="AR2458" s="76"/>
      <c r="AS2458" s="76"/>
      <c r="AT2458" s="76"/>
      <c r="AU2458" s="76"/>
      <c r="AV2458" s="76"/>
      <c r="AW2458" s="76"/>
      <c r="AX2458" s="76"/>
      <c r="AY2458" s="76"/>
      <c r="AZ2458" s="76"/>
      <c r="BA2458" s="76"/>
      <c r="BB2458" s="76"/>
    </row>
    <row r="2459" spans="5:54" x14ac:dyDescent="0.35">
      <c r="E2459" s="83"/>
      <c r="F2459" s="83"/>
      <c r="G2459" s="76"/>
      <c r="H2459" s="76"/>
      <c r="I2459" s="76"/>
      <c r="J2459" s="76"/>
      <c r="K2459" s="76"/>
      <c r="L2459" s="76"/>
      <c r="M2459" s="76"/>
      <c r="N2459" s="76"/>
      <c r="O2459" s="76"/>
      <c r="P2459" s="76"/>
      <c r="Q2459" s="76"/>
      <c r="R2459" s="76"/>
      <c r="S2459" s="76"/>
      <c r="T2459" s="76"/>
      <c r="U2459" s="76"/>
      <c r="V2459" s="76"/>
      <c r="W2459" s="76"/>
      <c r="X2459" s="76"/>
      <c r="Y2459" s="76"/>
      <c r="Z2459" s="76"/>
      <c r="AA2459" s="76"/>
      <c r="AB2459" s="76"/>
      <c r="AC2459" s="76"/>
      <c r="AD2459" s="76"/>
      <c r="AE2459" s="76"/>
      <c r="AF2459" s="76"/>
      <c r="AG2459" s="76"/>
      <c r="AH2459" s="76"/>
      <c r="AI2459" s="76"/>
      <c r="AJ2459" s="76"/>
      <c r="AK2459" s="76"/>
      <c r="AL2459" s="76"/>
      <c r="AM2459" s="76"/>
      <c r="AN2459" s="76"/>
      <c r="AO2459" s="76"/>
      <c r="AP2459" s="76"/>
      <c r="AQ2459" s="76"/>
      <c r="AR2459" s="76"/>
      <c r="AS2459" s="76"/>
      <c r="AT2459" s="76"/>
      <c r="AU2459" s="76"/>
      <c r="AV2459" s="76"/>
      <c r="AW2459" s="76"/>
      <c r="AX2459" s="76"/>
      <c r="AY2459" s="76"/>
      <c r="AZ2459" s="76"/>
      <c r="BA2459" s="76"/>
      <c r="BB2459" s="76"/>
    </row>
    <row r="2460" spans="5:54" x14ac:dyDescent="0.35">
      <c r="E2460" s="83"/>
      <c r="F2460" s="83"/>
      <c r="G2460" s="76"/>
      <c r="H2460" s="76"/>
      <c r="I2460" s="76"/>
      <c r="J2460" s="76"/>
      <c r="K2460" s="76"/>
      <c r="L2460" s="76"/>
      <c r="M2460" s="76"/>
      <c r="N2460" s="76"/>
      <c r="O2460" s="76"/>
      <c r="P2460" s="76"/>
      <c r="Q2460" s="76"/>
      <c r="R2460" s="76"/>
      <c r="S2460" s="76"/>
      <c r="T2460" s="76"/>
      <c r="U2460" s="76"/>
      <c r="V2460" s="76"/>
      <c r="W2460" s="76"/>
      <c r="X2460" s="76"/>
      <c r="Y2460" s="76"/>
      <c r="Z2460" s="76"/>
      <c r="AA2460" s="76"/>
      <c r="AB2460" s="76"/>
      <c r="AC2460" s="76"/>
      <c r="AD2460" s="76"/>
      <c r="AE2460" s="76"/>
      <c r="AF2460" s="76"/>
      <c r="AG2460" s="76"/>
      <c r="AH2460" s="76"/>
      <c r="AI2460" s="76"/>
      <c r="AJ2460" s="76"/>
      <c r="AK2460" s="76"/>
      <c r="AL2460" s="76"/>
      <c r="AM2460" s="76"/>
      <c r="AN2460" s="76"/>
      <c r="AO2460" s="76"/>
      <c r="AP2460" s="76"/>
      <c r="AQ2460" s="76"/>
      <c r="AR2460" s="76"/>
      <c r="AS2460" s="76"/>
      <c r="AT2460" s="76"/>
      <c r="AU2460" s="76"/>
      <c r="AV2460" s="76"/>
      <c r="AW2460" s="76"/>
      <c r="AX2460" s="76"/>
      <c r="AY2460" s="76"/>
      <c r="AZ2460" s="76"/>
      <c r="BA2460" s="76"/>
      <c r="BB2460" s="76"/>
    </row>
    <row r="2461" spans="5:54" x14ac:dyDescent="0.35">
      <c r="E2461" s="83"/>
      <c r="F2461" s="83"/>
      <c r="G2461" s="76"/>
      <c r="H2461" s="76"/>
      <c r="I2461" s="76"/>
      <c r="J2461" s="76"/>
      <c r="K2461" s="76"/>
      <c r="L2461" s="76"/>
      <c r="M2461" s="76"/>
      <c r="N2461" s="76"/>
      <c r="O2461" s="76"/>
      <c r="P2461" s="76"/>
      <c r="Q2461" s="76"/>
      <c r="R2461" s="76"/>
      <c r="S2461" s="76"/>
      <c r="T2461" s="76"/>
      <c r="U2461" s="76"/>
      <c r="V2461" s="76"/>
      <c r="W2461" s="76"/>
      <c r="X2461" s="76"/>
      <c r="Y2461" s="76"/>
      <c r="Z2461" s="76"/>
      <c r="AA2461" s="76"/>
      <c r="AB2461" s="76"/>
      <c r="AC2461" s="76"/>
      <c r="AD2461" s="76"/>
      <c r="AE2461" s="76"/>
      <c r="AF2461" s="76"/>
      <c r="AG2461" s="76"/>
      <c r="AH2461" s="76"/>
      <c r="AI2461" s="76"/>
      <c r="AJ2461" s="76"/>
      <c r="AK2461" s="76"/>
      <c r="AL2461" s="76"/>
      <c r="AM2461" s="76"/>
      <c r="AN2461" s="76"/>
      <c r="AO2461" s="76"/>
      <c r="AP2461" s="76"/>
      <c r="AQ2461" s="76"/>
      <c r="AR2461" s="76"/>
      <c r="AS2461" s="76"/>
      <c r="AT2461" s="76"/>
      <c r="AU2461" s="76"/>
      <c r="AV2461" s="76"/>
      <c r="AW2461" s="76"/>
      <c r="AX2461" s="76"/>
      <c r="AY2461" s="76"/>
      <c r="AZ2461" s="76"/>
      <c r="BA2461" s="76"/>
      <c r="BB2461" s="76"/>
    </row>
    <row r="2462" spans="5:54" x14ac:dyDescent="0.35">
      <c r="E2462" s="83"/>
      <c r="F2462" s="83"/>
      <c r="G2462" s="76"/>
      <c r="H2462" s="76"/>
      <c r="I2462" s="76"/>
      <c r="J2462" s="76"/>
      <c r="K2462" s="76"/>
      <c r="L2462" s="76"/>
      <c r="M2462" s="76"/>
      <c r="N2462" s="76"/>
      <c r="O2462" s="76"/>
      <c r="P2462" s="76"/>
      <c r="Q2462" s="76"/>
      <c r="R2462" s="76"/>
      <c r="S2462" s="76"/>
      <c r="T2462" s="76"/>
      <c r="U2462" s="76"/>
      <c r="V2462" s="76"/>
      <c r="W2462" s="76"/>
      <c r="X2462" s="76"/>
      <c r="Y2462" s="76"/>
      <c r="Z2462" s="76"/>
      <c r="AA2462" s="76"/>
      <c r="AB2462" s="76"/>
      <c r="AC2462" s="76"/>
      <c r="AD2462" s="76"/>
      <c r="AE2462" s="76"/>
      <c r="AF2462" s="76"/>
      <c r="AG2462" s="76"/>
      <c r="AH2462" s="76"/>
      <c r="AI2462" s="76"/>
      <c r="AJ2462" s="76"/>
      <c r="AK2462" s="76"/>
      <c r="AL2462" s="76"/>
      <c r="AM2462" s="76"/>
      <c r="AN2462" s="76"/>
      <c r="AO2462" s="76"/>
      <c r="AP2462" s="76"/>
      <c r="AQ2462" s="76"/>
      <c r="AR2462" s="76"/>
      <c r="AS2462" s="76"/>
      <c r="AT2462" s="76"/>
      <c r="AU2462" s="76"/>
      <c r="AV2462" s="76"/>
      <c r="AW2462" s="76"/>
      <c r="AX2462" s="76"/>
      <c r="AY2462" s="76"/>
      <c r="AZ2462" s="76"/>
      <c r="BA2462" s="76"/>
      <c r="BB2462" s="76"/>
    </row>
    <row r="2463" spans="5:54" x14ac:dyDescent="0.35">
      <c r="E2463" s="83"/>
      <c r="F2463" s="83"/>
      <c r="G2463" s="76"/>
      <c r="H2463" s="76"/>
      <c r="I2463" s="76"/>
      <c r="J2463" s="76"/>
      <c r="K2463" s="76"/>
      <c r="L2463" s="76"/>
      <c r="M2463" s="76"/>
      <c r="N2463" s="76"/>
      <c r="O2463" s="76"/>
      <c r="P2463" s="76"/>
      <c r="Q2463" s="76"/>
      <c r="R2463" s="76"/>
      <c r="S2463" s="76"/>
      <c r="T2463" s="76"/>
      <c r="U2463" s="76"/>
      <c r="V2463" s="76"/>
      <c r="W2463" s="76"/>
      <c r="X2463" s="76"/>
      <c r="Y2463" s="76"/>
      <c r="Z2463" s="76"/>
      <c r="AA2463" s="76"/>
      <c r="AB2463" s="76"/>
      <c r="AC2463" s="76"/>
      <c r="AD2463" s="76"/>
      <c r="AE2463" s="76"/>
      <c r="AF2463" s="76"/>
      <c r="AG2463" s="76"/>
      <c r="AH2463" s="76"/>
      <c r="AI2463" s="76"/>
      <c r="AJ2463" s="76"/>
      <c r="AK2463" s="76"/>
      <c r="AL2463" s="76"/>
      <c r="AM2463" s="76"/>
      <c r="AN2463" s="76"/>
      <c r="AO2463" s="76"/>
      <c r="AP2463" s="76"/>
      <c r="AQ2463" s="76"/>
      <c r="AR2463" s="76"/>
      <c r="AS2463" s="76"/>
      <c r="AT2463" s="76"/>
      <c r="AU2463" s="76"/>
      <c r="AV2463" s="76"/>
      <c r="AW2463" s="76"/>
      <c r="AX2463" s="76"/>
      <c r="AY2463" s="76"/>
      <c r="AZ2463" s="76"/>
      <c r="BA2463" s="76"/>
      <c r="BB2463" s="76"/>
    </row>
    <row r="2464" spans="5:54" x14ac:dyDescent="0.35">
      <c r="E2464" s="83"/>
      <c r="F2464" s="83"/>
      <c r="G2464" s="76"/>
      <c r="H2464" s="76"/>
      <c r="I2464" s="76"/>
      <c r="J2464" s="76"/>
      <c r="K2464" s="76"/>
      <c r="L2464" s="76"/>
      <c r="M2464" s="76"/>
      <c r="N2464" s="76"/>
      <c r="O2464" s="76"/>
      <c r="P2464" s="76"/>
      <c r="Q2464" s="76"/>
      <c r="R2464" s="76"/>
      <c r="S2464" s="76"/>
      <c r="T2464" s="76"/>
      <c r="U2464" s="76"/>
      <c r="V2464" s="76"/>
      <c r="W2464" s="76"/>
      <c r="X2464" s="76"/>
      <c r="Y2464" s="76"/>
      <c r="Z2464" s="76"/>
      <c r="AA2464" s="76"/>
      <c r="AB2464" s="76"/>
      <c r="AC2464" s="76"/>
      <c r="AD2464" s="76"/>
      <c r="AE2464" s="76"/>
      <c r="AF2464" s="76"/>
      <c r="AG2464" s="76"/>
      <c r="AH2464" s="76"/>
      <c r="AI2464" s="76"/>
      <c r="AJ2464" s="76"/>
      <c r="AK2464" s="76"/>
      <c r="AL2464" s="76"/>
      <c r="AM2464" s="76"/>
      <c r="AN2464" s="76"/>
      <c r="AO2464" s="76"/>
      <c r="AP2464" s="76"/>
      <c r="AQ2464" s="76"/>
      <c r="AR2464" s="76"/>
      <c r="AS2464" s="76"/>
      <c r="AT2464" s="76"/>
      <c r="AU2464" s="76"/>
      <c r="AV2464" s="76"/>
      <c r="AW2464" s="76"/>
      <c r="AX2464" s="76"/>
      <c r="AY2464" s="76"/>
      <c r="AZ2464" s="76"/>
      <c r="BA2464" s="76"/>
      <c r="BB2464" s="76"/>
    </row>
    <row r="2465" spans="5:54" x14ac:dyDescent="0.35">
      <c r="E2465" s="83"/>
      <c r="F2465" s="83"/>
      <c r="G2465" s="76"/>
      <c r="H2465" s="76"/>
      <c r="I2465" s="76"/>
      <c r="J2465" s="76"/>
      <c r="K2465" s="76"/>
      <c r="L2465" s="76"/>
      <c r="M2465" s="76"/>
      <c r="N2465" s="76"/>
      <c r="O2465" s="76"/>
      <c r="P2465" s="76"/>
      <c r="Q2465" s="76"/>
      <c r="R2465" s="76"/>
      <c r="S2465" s="76"/>
      <c r="T2465" s="76"/>
      <c r="U2465" s="76"/>
      <c r="V2465" s="76"/>
      <c r="W2465" s="76"/>
      <c r="X2465" s="76"/>
      <c r="Y2465" s="76"/>
      <c r="Z2465" s="76"/>
      <c r="AA2465" s="76"/>
      <c r="AB2465" s="76"/>
      <c r="AC2465" s="76"/>
      <c r="AD2465" s="76"/>
      <c r="AE2465" s="76"/>
      <c r="AF2465" s="76"/>
      <c r="AG2465" s="76"/>
      <c r="AH2465" s="76"/>
      <c r="AI2465" s="76"/>
      <c r="AJ2465" s="76"/>
      <c r="AK2465" s="76"/>
      <c r="AL2465" s="76"/>
      <c r="AM2465" s="76"/>
      <c r="AN2465" s="76"/>
      <c r="AO2465" s="76"/>
      <c r="AP2465" s="76"/>
      <c r="AQ2465" s="76"/>
      <c r="AR2465" s="76"/>
      <c r="AS2465" s="76"/>
      <c r="AT2465" s="76"/>
      <c r="AU2465" s="76"/>
      <c r="AV2465" s="76"/>
      <c r="AW2465" s="76"/>
      <c r="AX2465" s="76"/>
      <c r="AY2465" s="76"/>
      <c r="AZ2465" s="76"/>
      <c r="BA2465" s="76"/>
      <c r="BB2465" s="76"/>
    </row>
    <row r="2466" spans="5:54" x14ac:dyDescent="0.35">
      <c r="E2466" s="83"/>
      <c r="F2466" s="83"/>
      <c r="G2466" s="76"/>
      <c r="H2466" s="76"/>
      <c r="I2466" s="76"/>
      <c r="J2466" s="76"/>
      <c r="K2466" s="76"/>
      <c r="L2466" s="76"/>
      <c r="M2466" s="76"/>
      <c r="N2466" s="76"/>
      <c r="O2466" s="76"/>
      <c r="P2466" s="76"/>
      <c r="Q2466" s="76"/>
      <c r="R2466" s="76"/>
      <c r="S2466" s="76"/>
      <c r="T2466" s="76"/>
      <c r="U2466" s="76"/>
      <c r="V2466" s="76"/>
      <c r="W2466" s="76"/>
      <c r="X2466" s="76"/>
      <c r="Y2466" s="76"/>
      <c r="Z2466" s="76"/>
      <c r="AA2466" s="76"/>
      <c r="AB2466" s="76"/>
      <c r="AC2466" s="76"/>
      <c r="AD2466" s="76"/>
      <c r="AE2466" s="76"/>
      <c r="AF2466" s="76"/>
      <c r="AG2466" s="76"/>
      <c r="AH2466" s="76"/>
      <c r="AI2466" s="76"/>
      <c r="AJ2466" s="76"/>
      <c r="AK2466" s="76"/>
      <c r="AL2466" s="76"/>
      <c r="AM2466" s="76"/>
      <c r="AN2466" s="76"/>
      <c r="AO2466" s="76"/>
      <c r="AP2466" s="76"/>
      <c r="AQ2466" s="76"/>
      <c r="AR2466" s="76"/>
      <c r="AS2466" s="76"/>
      <c r="AT2466" s="76"/>
      <c r="AU2466" s="76"/>
      <c r="AV2466" s="76"/>
      <c r="AW2466" s="76"/>
      <c r="AX2466" s="76"/>
      <c r="AY2466" s="76"/>
      <c r="AZ2466" s="76"/>
      <c r="BA2466" s="76"/>
      <c r="BB2466" s="76"/>
    </row>
    <row r="2467" spans="5:54" x14ac:dyDescent="0.35">
      <c r="E2467" s="83"/>
      <c r="F2467" s="83"/>
      <c r="G2467" s="76"/>
      <c r="H2467" s="76"/>
      <c r="I2467" s="76"/>
      <c r="J2467" s="76"/>
      <c r="K2467" s="76"/>
      <c r="L2467" s="76"/>
      <c r="M2467" s="76"/>
      <c r="N2467" s="76"/>
      <c r="O2467" s="76"/>
      <c r="P2467" s="76"/>
      <c r="Q2467" s="76"/>
      <c r="R2467" s="76"/>
      <c r="S2467" s="76"/>
      <c r="T2467" s="76"/>
      <c r="U2467" s="76"/>
      <c r="V2467" s="76"/>
      <c r="W2467" s="76"/>
      <c r="X2467" s="76"/>
      <c r="Y2467" s="76"/>
      <c r="Z2467" s="76"/>
      <c r="AA2467" s="76"/>
      <c r="AB2467" s="76"/>
      <c r="AC2467" s="76"/>
      <c r="AD2467" s="76"/>
      <c r="AE2467" s="76"/>
      <c r="AF2467" s="76"/>
      <c r="AG2467" s="76"/>
      <c r="AH2467" s="76"/>
      <c r="AI2467" s="76"/>
      <c r="AJ2467" s="76"/>
      <c r="AK2467" s="76"/>
      <c r="AL2467" s="76"/>
      <c r="AM2467" s="76"/>
      <c r="AN2467" s="76"/>
      <c r="AO2467" s="76"/>
      <c r="AP2467" s="76"/>
      <c r="AQ2467" s="76"/>
      <c r="AR2467" s="76"/>
      <c r="AS2467" s="76"/>
      <c r="AT2467" s="76"/>
      <c r="AU2467" s="76"/>
      <c r="AV2467" s="76"/>
      <c r="AW2467" s="76"/>
      <c r="AX2467" s="76"/>
      <c r="AY2467" s="76"/>
      <c r="AZ2467" s="76"/>
      <c r="BA2467" s="76"/>
      <c r="BB2467" s="76"/>
    </row>
    <row r="2468" spans="5:54" x14ac:dyDescent="0.35">
      <c r="E2468" s="83"/>
      <c r="F2468" s="83"/>
      <c r="G2468" s="76"/>
      <c r="H2468" s="76"/>
      <c r="I2468" s="76"/>
      <c r="J2468" s="76"/>
      <c r="K2468" s="76"/>
      <c r="L2468" s="76"/>
      <c r="M2468" s="76"/>
      <c r="N2468" s="76"/>
      <c r="O2468" s="76"/>
      <c r="P2468" s="76"/>
      <c r="Q2468" s="76"/>
      <c r="R2468" s="76"/>
      <c r="S2468" s="76"/>
      <c r="T2468" s="76"/>
      <c r="U2468" s="76"/>
      <c r="V2468" s="76"/>
      <c r="W2468" s="76"/>
      <c r="X2468" s="76"/>
      <c r="Y2468" s="76"/>
      <c r="Z2468" s="76"/>
      <c r="AA2468" s="76"/>
      <c r="AB2468" s="76"/>
      <c r="AC2468" s="76"/>
      <c r="AD2468" s="76"/>
      <c r="AE2468" s="76"/>
      <c r="AF2468" s="76"/>
      <c r="AG2468" s="76"/>
      <c r="AH2468" s="76"/>
      <c r="AI2468" s="76"/>
      <c r="AJ2468" s="76"/>
      <c r="AK2468" s="76"/>
      <c r="AL2468" s="76"/>
      <c r="AM2468" s="76"/>
      <c r="AN2468" s="76"/>
      <c r="AO2468" s="76"/>
      <c r="AP2468" s="76"/>
      <c r="AQ2468" s="76"/>
      <c r="AR2468" s="76"/>
      <c r="AS2468" s="76"/>
      <c r="AT2468" s="76"/>
      <c r="AU2468" s="76"/>
      <c r="AV2468" s="76"/>
      <c r="AW2468" s="76"/>
      <c r="AX2468" s="76"/>
      <c r="AY2468" s="76"/>
      <c r="AZ2468" s="76"/>
      <c r="BA2468" s="76"/>
      <c r="BB2468" s="76"/>
    </row>
    <row r="2469" spans="5:54" x14ac:dyDescent="0.35">
      <c r="E2469" s="83"/>
      <c r="F2469" s="83"/>
      <c r="G2469" s="76"/>
      <c r="H2469" s="76"/>
      <c r="I2469" s="76"/>
      <c r="J2469" s="76"/>
      <c r="K2469" s="76"/>
      <c r="L2469" s="76"/>
      <c r="M2469" s="76"/>
      <c r="N2469" s="76"/>
      <c r="O2469" s="76"/>
      <c r="P2469" s="76"/>
      <c r="Q2469" s="76"/>
      <c r="R2469" s="76"/>
      <c r="S2469" s="76"/>
      <c r="T2469" s="76"/>
      <c r="U2469" s="76"/>
      <c r="V2469" s="76"/>
      <c r="W2469" s="76"/>
      <c r="X2469" s="76"/>
      <c r="Y2469" s="76"/>
      <c r="Z2469" s="76"/>
      <c r="AA2469" s="76"/>
      <c r="AB2469" s="76"/>
      <c r="AC2469" s="76"/>
      <c r="AD2469" s="76"/>
      <c r="AE2469" s="76"/>
      <c r="AF2469" s="76"/>
      <c r="AG2469" s="76"/>
      <c r="AH2469" s="76"/>
      <c r="AI2469" s="76"/>
      <c r="AJ2469" s="76"/>
      <c r="AK2469" s="76"/>
      <c r="AL2469" s="76"/>
      <c r="AM2469" s="76"/>
      <c r="AN2469" s="76"/>
      <c r="AO2469" s="76"/>
      <c r="AP2469" s="76"/>
      <c r="AQ2469" s="76"/>
      <c r="AR2469" s="76"/>
      <c r="AS2469" s="76"/>
      <c r="AT2469" s="76"/>
      <c r="AU2469" s="76"/>
      <c r="AV2469" s="76"/>
      <c r="AW2469" s="76"/>
      <c r="AX2469" s="76"/>
      <c r="AY2469" s="76"/>
      <c r="AZ2469" s="76"/>
      <c r="BA2469" s="76"/>
      <c r="BB2469" s="76"/>
    </row>
    <row r="2470" spans="5:54" x14ac:dyDescent="0.35">
      <c r="E2470" s="83"/>
      <c r="F2470" s="83"/>
      <c r="G2470" s="76"/>
      <c r="H2470" s="76"/>
      <c r="I2470" s="76"/>
      <c r="J2470" s="76"/>
      <c r="K2470" s="76"/>
      <c r="L2470" s="76"/>
      <c r="M2470" s="76"/>
      <c r="N2470" s="76"/>
      <c r="O2470" s="76"/>
      <c r="P2470" s="76"/>
      <c r="Q2470" s="76"/>
      <c r="R2470" s="76"/>
      <c r="S2470" s="76"/>
      <c r="T2470" s="76"/>
      <c r="U2470" s="76"/>
      <c r="V2470" s="76"/>
      <c r="W2470" s="76"/>
      <c r="X2470" s="76"/>
      <c r="Y2470" s="76"/>
      <c r="Z2470" s="76"/>
      <c r="AA2470" s="76"/>
      <c r="AB2470" s="76"/>
      <c r="AC2470" s="76"/>
      <c r="AD2470" s="76"/>
      <c r="AE2470" s="76"/>
      <c r="AF2470" s="76"/>
      <c r="AG2470" s="76"/>
      <c r="AH2470" s="76"/>
      <c r="AI2470" s="76"/>
      <c r="AJ2470" s="76"/>
      <c r="AK2470" s="76"/>
      <c r="AL2470" s="76"/>
      <c r="AM2470" s="76"/>
      <c r="AN2470" s="76"/>
      <c r="AO2470" s="76"/>
      <c r="AP2470" s="76"/>
      <c r="AQ2470" s="76"/>
      <c r="AR2470" s="76"/>
      <c r="AS2470" s="76"/>
      <c r="AT2470" s="76"/>
      <c r="AU2470" s="76"/>
      <c r="AV2470" s="76"/>
      <c r="AW2470" s="76"/>
      <c r="AX2470" s="76"/>
      <c r="AY2470" s="76"/>
      <c r="AZ2470" s="76"/>
      <c r="BA2470" s="76"/>
      <c r="BB2470" s="76"/>
    </row>
    <row r="2471" spans="5:54" x14ac:dyDescent="0.35">
      <c r="E2471" s="83"/>
      <c r="F2471" s="83"/>
      <c r="G2471" s="76"/>
      <c r="H2471" s="76"/>
      <c r="I2471" s="76"/>
      <c r="J2471" s="76"/>
      <c r="K2471" s="76"/>
      <c r="L2471" s="76"/>
      <c r="M2471" s="76"/>
      <c r="N2471" s="76"/>
      <c r="O2471" s="76"/>
      <c r="P2471" s="76"/>
      <c r="Q2471" s="76"/>
      <c r="R2471" s="76"/>
      <c r="S2471" s="76"/>
      <c r="T2471" s="76"/>
      <c r="U2471" s="76"/>
      <c r="V2471" s="76"/>
      <c r="W2471" s="76"/>
      <c r="X2471" s="76"/>
      <c r="Y2471" s="76"/>
      <c r="Z2471" s="76"/>
      <c r="AA2471" s="76"/>
      <c r="AB2471" s="76"/>
      <c r="AC2471" s="76"/>
      <c r="AD2471" s="76"/>
      <c r="AE2471" s="76"/>
      <c r="AF2471" s="76"/>
      <c r="AG2471" s="76"/>
      <c r="AH2471" s="76"/>
      <c r="AI2471" s="76"/>
      <c r="AJ2471" s="76"/>
      <c r="AK2471" s="76"/>
      <c r="AL2471" s="76"/>
      <c r="AM2471" s="76"/>
      <c r="AN2471" s="76"/>
      <c r="AO2471" s="76"/>
      <c r="AP2471" s="76"/>
      <c r="AQ2471" s="76"/>
      <c r="AR2471" s="76"/>
      <c r="AS2471" s="76"/>
      <c r="AT2471" s="76"/>
      <c r="AU2471" s="76"/>
      <c r="AV2471" s="76"/>
      <c r="AW2471" s="76"/>
      <c r="AX2471" s="76"/>
      <c r="AY2471" s="76"/>
      <c r="AZ2471" s="76"/>
      <c r="BA2471" s="76"/>
      <c r="BB2471" s="76"/>
    </row>
    <row r="2472" spans="5:54" x14ac:dyDescent="0.35">
      <c r="E2472" s="83"/>
      <c r="F2472" s="83"/>
      <c r="G2472" s="76"/>
      <c r="H2472" s="76"/>
      <c r="I2472" s="76"/>
      <c r="J2472" s="76"/>
      <c r="K2472" s="76"/>
      <c r="L2472" s="76"/>
      <c r="M2472" s="76"/>
      <c r="N2472" s="76"/>
      <c r="O2472" s="76"/>
      <c r="P2472" s="76"/>
      <c r="Q2472" s="76"/>
      <c r="R2472" s="76"/>
      <c r="S2472" s="76"/>
      <c r="T2472" s="76"/>
      <c r="U2472" s="76"/>
      <c r="V2472" s="76"/>
      <c r="W2472" s="76"/>
      <c r="X2472" s="76"/>
      <c r="Y2472" s="76"/>
      <c r="Z2472" s="76"/>
      <c r="AA2472" s="76"/>
      <c r="AB2472" s="76"/>
      <c r="AC2472" s="76"/>
      <c r="AD2472" s="76"/>
      <c r="AE2472" s="76"/>
      <c r="AF2472" s="76"/>
      <c r="AG2472" s="76"/>
      <c r="AH2472" s="76"/>
      <c r="AI2472" s="76"/>
      <c r="AJ2472" s="76"/>
      <c r="AK2472" s="76"/>
      <c r="AL2472" s="76"/>
      <c r="AM2472" s="76"/>
      <c r="AN2472" s="76"/>
      <c r="AO2472" s="76"/>
      <c r="AP2472" s="76"/>
      <c r="AQ2472" s="76"/>
      <c r="AR2472" s="76"/>
      <c r="AS2472" s="76"/>
      <c r="AT2472" s="76"/>
      <c r="AU2472" s="76"/>
      <c r="AV2472" s="76"/>
      <c r="AW2472" s="76"/>
      <c r="AX2472" s="76"/>
      <c r="AY2472" s="76"/>
      <c r="AZ2472" s="76"/>
      <c r="BA2472" s="76"/>
      <c r="BB2472" s="76"/>
    </row>
    <row r="2473" spans="5:54" x14ac:dyDescent="0.35">
      <c r="E2473" s="83"/>
      <c r="F2473" s="83"/>
      <c r="G2473" s="76"/>
      <c r="H2473" s="76"/>
      <c r="I2473" s="76"/>
      <c r="J2473" s="76"/>
      <c r="K2473" s="76"/>
      <c r="L2473" s="76"/>
      <c r="M2473" s="76"/>
      <c r="N2473" s="76"/>
      <c r="O2473" s="76"/>
      <c r="P2473" s="76"/>
      <c r="Q2473" s="76"/>
      <c r="R2473" s="76"/>
      <c r="S2473" s="76"/>
      <c r="T2473" s="76"/>
      <c r="U2473" s="76"/>
      <c r="V2473" s="76"/>
      <c r="W2473" s="76"/>
      <c r="X2473" s="76"/>
      <c r="Y2473" s="76"/>
      <c r="Z2473" s="76"/>
      <c r="AA2473" s="76"/>
      <c r="AB2473" s="76"/>
      <c r="AC2473" s="76"/>
      <c r="AD2473" s="76"/>
      <c r="AE2473" s="76"/>
      <c r="AF2473" s="76"/>
      <c r="AG2473" s="76"/>
      <c r="AH2473" s="76"/>
      <c r="AI2473" s="76"/>
      <c r="AJ2473" s="76"/>
      <c r="AK2473" s="76"/>
      <c r="AL2473" s="76"/>
      <c r="AM2473" s="76"/>
      <c r="AN2473" s="76"/>
      <c r="AO2473" s="76"/>
      <c r="AP2473" s="76"/>
      <c r="AQ2473" s="76"/>
      <c r="AR2473" s="76"/>
      <c r="AS2473" s="76"/>
      <c r="AT2473" s="76"/>
      <c r="AU2473" s="76"/>
      <c r="AV2473" s="76"/>
      <c r="AW2473" s="76"/>
      <c r="AX2473" s="76"/>
      <c r="AY2473" s="76"/>
      <c r="AZ2473" s="76"/>
      <c r="BA2473" s="76"/>
      <c r="BB2473" s="76"/>
    </row>
    <row r="2474" spans="5:54" x14ac:dyDescent="0.35">
      <c r="E2474" s="83"/>
      <c r="F2474" s="83"/>
      <c r="G2474" s="76"/>
      <c r="H2474" s="76"/>
      <c r="I2474" s="76"/>
      <c r="J2474" s="76"/>
      <c r="K2474" s="76"/>
      <c r="L2474" s="76"/>
      <c r="M2474" s="76"/>
      <c r="N2474" s="76"/>
      <c r="O2474" s="76"/>
      <c r="P2474" s="76"/>
      <c r="Q2474" s="76"/>
      <c r="R2474" s="76"/>
      <c r="S2474" s="76"/>
      <c r="T2474" s="76"/>
      <c r="U2474" s="76"/>
      <c r="V2474" s="76"/>
      <c r="W2474" s="76"/>
      <c r="X2474" s="76"/>
      <c r="Y2474" s="76"/>
      <c r="Z2474" s="76"/>
      <c r="AA2474" s="76"/>
      <c r="AB2474" s="76"/>
      <c r="AC2474" s="76"/>
      <c r="AD2474" s="76"/>
      <c r="AE2474" s="76"/>
      <c r="AF2474" s="76"/>
      <c r="AG2474" s="76"/>
      <c r="AH2474" s="76"/>
      <c r="AI2474" s="76"/>
      <c r="AJ2474" s="76"/>
      <c r="AK2474" s="76"/>
      <c r="AL2474" s="76"/>
      <c r="AM2474" s="76"/>
      <c r="AN2474" s="76"/>
      <c r="AO2474" s="76"/>
      <c r="AP2474" s="76"/>
      <c r="AQ2474" s="76"/>
      <c r="AR2474" s="76"/>
      <c r="AS2474" s="76"/>
      <c r="AT2474" s="76"/>
      <c r="AU2474" s="76"/>
      <c r="AV2474" s="76"/>
      <c r="AW2474" s="76"/>
      <c r="AX2474" s="76"/>
      <c r="AY2474" s="76"/>
      <c r="AZ2474" s="76"/>
      <c r="BA2474" s="76"/>
      <c r="BB2474" s="76"/>
    </row>
    <row r="2475" spans="5:54" x14ac:dyDescent="0.35">
      <c r="E2475" s="83"/>
      <c r="F2475" s="83"/>
      <c r="G2475" s="76"/>
      <c r="H2475" s="76"/>
      <c r="I2475" s="76"/>
      <c r="J2475" s="76"/>
      <c r="K2475" s="76"/>
      <c r="L2475" s="76"/>
      <c r="M2475" s="76"/>
      <c r="N2475" s="76"/>
      <c r="O2475" s="76"/>
      <c r="P2475" s="76"/>
      <c r="Q2475" s="76"/>
      <c r="R2475" s="76"/>
      <c r="S2475" s="76"/>
      <c r="T2475" s="76"/>
      <c r="U2475" s="76"/>
      <c r="V2475" s="76"/>
      <c r="W2475" s="76"/>
      <c r="X2475" s="76"/>
      <c r="Y2475" s="76"/>
      <c r="Z2475" s="76"/>
      <c r="AA2475" s="76"/>
      <c r="AB2475" s="76"/>
      <c r="AC2475" s="76"/>
      <c r="AD2475" s="76"/>
      <c r="AE2475" s="76"/>
      <c r="AF2475" s="76"/>
      <c r="AG2475" s="76"/>
      <c r="AH2475" s="76"/>
      <c r="AI2475" s="76"/>
      <c r="AJ2475" s="76"/>
      <c r="AK2475" s="76"/>
      <c r="AL2475" s="76"/>
      <c r="AM2475" s="76"/>
      <c r="AN2475" s="76"/>
      <c r="AO2475" s="76"/>
      <c r="AP2475" s="76"/>
      <c r="AQ2475" s="76"/>
      <c r="AR2475" s="76"/>
      <c r="AS2475" s="76"/>
      <c r="AT2475" s="76"/>
      <c r="AU2475" s="76"/>
      <c r="AV2475" s="76"/>
      <c r="AW2475" s="76"/>
      <c r="AX2475" s="76"/>
      <c r="AY2475" s="76"/>
      <c r="AZ2475" s="76"/>
      <c r="BA2475" s="76"/>
      <c r="BB2475" s="76"/>
    </row>
    <row r="2476" spans="5:54" x14ac:dyDescent="0.35">
      <c r="E2476" s="83"/>
      <c r="F2476" s="83"/>
      <c r="G2476" s="76"/>
      <c r="H2476" s="76"/>
      <c r="I2476" s="76"/>
      <c r="J2476" s="76"/>
      <c r="K2476" s="76"/>
      <c r="L2476" s="76"/>
      <c r="M2476" s="76"/>
      <c r="N2476" s="76"/>
      <c r="O2476" s="76"/>
      <c r="P2476" s="76"/>
      <c r="Q2476" s="76"/>
      <c r="R2476" s="76"/>
      <c r="S2476" s="76"/>
      <c r="T2476" s="76"/>
      <c r="U2476" s="76"/>
      <c r="V2476" s="76"/>
      <c r="W2476" s="76"/>
      <c r="X2476" s="76"/>
      <c r="Y2476" s="76"/>
      <c r="Z2476" s="76"/>
      <c r="AA2476" s="76"/>
      <c r="AB2476" s="76"/>
      <c r="AC2476" s="76"/>
      <c r="AD2476" s="76"/>
      <c r="AE2476" s="76"/>
      <c r="AF2476" s="76"/>
      <c r="AG2476" s="76"/>
      <c r="AH2476" s="76"/>
      <c r="AI2476" s="76"/>
      <c r="AJ2476" s="76"/>
      <c r="AK2476" s="76"/>
      <c r="AL2476" s="76"/>
      <c r="AM2476" s="76"/>
      <c r="AN2476" s="76"/>
      <c r="AO2476" s="76"/>
      <c r="AP2476" s="76"/>
      <c r="AQ2476" s="76"/>
      <c r="AR2476" s="76"/>
      <c r="AS2476" s="76"/>
      <c r="AT2476" s="76"/>
      <c r="AU2476" s="76"/>
      <c r="AV2476" s="76"/>
      <c r="AW2476" s="76"/>
      <c r="AX2476" s="76"/>
      <c r="AY2476" s="76"/>
      <c r="AZ2476" s="76"/>
      <c r="BA2476" s="76"/>
      <c r="BB2476" s="76"/>
    </row>
    <row r="2477" spans="5:54" x14ac:dyDescent="0.35">
      <c r="E2477" s="83"/>
      <c r="F2477" s="83"/>
      <c r="G2477" s="76"/>
      <c r="H2477" s="76"/>
      <c r="I2477" s="76"/>
      <c r="J2477" s="76"/>
      <c r="K2477" s="76"/>
      <c r="L2477" s="76"/>
      <c r="M2477" s="76"/>
      <c r="N2477" s="76"/>
      <c r="O2477" s="76"/>
      <c r="P2477" s="76"/>
      <c r="Q2477" s="76"/>
      <c r="R2477" s="76"/>
      <c r="S2477" s="76"/>
      <c r="T2477" s="76"/>
      <c r="U2477" s="76"/>
      <c r="V2477" s="76"/>
      <c r="W2477" s="76"/>
      <c r="X2477" s="76"/>
      <c r="Y2477" s="76"/>
      <c r="Z2477" s="76"/>
      <c r="AA2477" s="76"/>
      <c r="AB2477" s="76"/>
      <c r="AC2477" s="76"/>
      <c r="AD2477" s="76"/>
      <c r="AE2477" s="76"/>
      <c r="AF2477" s="76"/>
      <c r="AG2477" s="76"/>
      <c r="AH2477" s="76"/>
      <c r="AI2477" s="76"/>
      <c r="AJ2477" s="76"/>
      <c r="AK2477" s="76"/>
      <c r="AL2477" s="76"/>
      <c r="AM2477" s="76"/>
      <c r="AN2477" s="76"/>
      <c r="AO2477" s="76"/>
      <c r="AP2477" s="76"/>
      <c r="AQ2477" s="76"/>
      <c r="AR2477" s="76"/>
      <c r="AS2477" s="76"/>
      <c r="AT2477" s="76"/>
      <c r="AU2477" s="76"/>
      <c r="AV2477" s="76"/>
      <c r="AW2477" s="76"/>
      <c r="AX2477" s="76"/>
      <c r="AY2477" s="76"/>
      <c r="AZ2477" s="76"/>
      <c r="BA2477" s="76"/>
      <c r="BB2477" s="76"/>
    </row>
    <row r="2478" spans="5:54" x14ac:dyDescent="0.35">
      <c r="E2478" s="83"/>
      <c r="F2478" s="83"/>
      <c r="G2478" s="76"/>
      <c r="H2478" s="76"/>
      <c r="I2478" s="76"/>
      <c r="J2478" s="76"/>
      <c r="K2478" s="76"/>
      <c r="L2478" s="76"/>
      <c r="M2478" s="76"/>
      <c r="N2478" s="76"/>
      <c r="O2478" s="76"/>
      <c r="P2478" s="76"/>
      <c r="Q2478" s="76"/>
      <c r="R2478" s="76"/>
      <c r="S2478" s="76"/>
      <c r="T2478" s="76"/>
      <c r="U2478" s="76"/>
      <c r="V2478" s="76"/>
      <c r="W2478" s="76"/>
      <c r="X2478" s="76"/>
      <c r="Y2478" s="76"/>
      <c r="Z2478" s="76"/>
      <c r="AA2478" s="76"/>
      <c r="AB2478" s="76"/>
      <c r="AC2478" s="76"/>
      <c r="AD2478" s="76"/>
      <c r="AE2478" s="76"/>
      <c r="AF2478" s="76"/>
      <c r="AG2478" s="76"/>
      <c r="AH2478" s="76"/>
      <c r="AI2478" s="76"/>
      <c r="AJ2478" s="76"/>
      <c r="AK2478" s="76"/>
      <c r="AL2478" s="76"/>
      <c r="AM2478" s="76"/>
      <c r="AN2478" s="76"/>
      <c r="AO2478" s="76"/>
      <c r="AP2478" s="76"/>
      <c r="AQ2478" s="76"/>
      <c r="AR2478" s="76"/>
      <c r="AS2478" s="76"/>
      <c r="AT2478" s="76"/>
      <c r="AU2478" s="76"/>
      <c r="AV2478" s="76"/>
      <c r="AW2478" s="76"/>
      <c r="AX2478" s="76"/>
      <c r="AY2478" s="76"/>
      <c r="AZ2478" s="76"/>
      <c r="BA2478" s="76"/>
      <c r="BB2478" s="76"/>
    </row>
    <row r="2479" spans="5:54" x14ac:dyDescent="0.35">
      <c r="E2479" s="83"/>
      <c r="F2479" s="83"/>
      <c r="G2479" s="76"/>
      <c r="H2479" s="76"/>
      <c r="I2479" s="76"/>
      <c r="J2479" s="76"/>
      <c r="K2479" s="76"/>
      <c r="L2479" s="76"/>
      <c r="M2479" s="76"/>
      <c r="N2479" s="76"/>
      <c r="O2479" s="76"/>
      <c r="P2479" s="76"/>
      <c r="Q2479" s="76"/>
      <c r="R2479" s="76"/>
      <c r="S2479" s="76"/>
      <c r="T2479" s="76"/>
      <c r="U2479" s="76"/>
      <c r="V2479" s="76"/>
      <c r="W2479" s="76"/>
      <c r="X2479" s="76"/>
      <c r="Y2479" s="76"/>
      <c r="Z2479" s="76"/>
      <c r="AA2479" s="76"/>
      <c r="AB2479" s="76"/>
      <c r="AC2479" s="76"/>
      <c r="AD2479" s="76"/>
      <c r="AE2479" s="76"/>
      <c r="AF2479" s="76"/>
      <c r="AG2479" s="76"/>
      <c r="AH2479" s="76"/>
      <c r="AI2479" s="76"/>
      <c r="AJ2479" s="76"/>
      <c r="AK2479" s="76"/>
      <c r="AL2479" s="76"/>
      <c r="AM2479" s="76"/>
      <c r="AN2479" s="76"/>
      <c r="AO2479" s="76"/>
      <c r="AP2479" s="76"/>
      <c r="AQ2479" s="76"/>
      <c r="AR2479" s="76"/>
      <c r="AS2479" s="76"/>
      <c r="AT2479" s="76"/>
      <c r="AU2479" s="76"/>
      <c r="AV2479" s="76"/>
      <c r="AW2479" s="76"/>
      <c r="AX2479" s="76"/>
      <c r="AY2479" s="76"/>
      <c r="AZ2479" s="76"/>
      <c r="BA2479" s="76"/>
      <c r="BB2479" s="76"/>
    </row>
    <row r="2480" spans="5:54" x14ac:dyDescent="0.35">
      <c r="E2480" s="83"/>
      <c r="F2480" s="83"/>
      <c r="G2480" s="76"/>
      <c r="H2480" s="76"/>
      <c r="I2480" s="76"/>
      <c r="J2480" s="76"/>
      <c r="K2480" s="76"/>
      <c r="L2480" s="76"/>
      <c r="M2480" s="76"/>
      <c r="N2480" s="76"/>
      <c r="O2480" s="76"/>
      <c r="P2480" s="76"/>
      <c r="Q2480" s="76"/>
      <c r="R2480" s="76"/>
      <c r="S2480" s="76"/>
      <c r="T2480" s="76"/>
      <c r="U2480" s="76"/>
      <c r="V2480" s="76"/>
      <c r="W2480" s="76"/>
      <c r="X2480" s="76"/>
      <c r="Y2480" s="76"/>
      <c r="Z2480" s="76"/>
      <c r="AA2480" s="76"/>
      <c r="AB2480" s="76"/>
      <c r="AC2480" s="76"/>
      <c r="AD2480" s="76"/>
      <c r="AE2480" s="76"/>
      <c r="AF2480" s="76"/>
      <c r="AG2480" s="76"/>
      <c r="AH2480" s="76"/>
      <c r="AI2480" s="76"/>
      <c r="AJ2480" s="76"/>
      <c r="AK2480" s="76"/>
      <c r="AL2480" s="76"/>
      <c r="AM2480" s="76"/>
      <c r="AN2480" s="76"/>
      <c r="AO2480" s="76"/>
      <c r="AP2480" s="76"/>
      <c r="AQ2480" s="76"/>
      <c r="AR2480" s="76"/>
      <c r="AS2480" s="76"/>
      <c r="AT2480" s="76"/>
      <c r="AU2480" s="76"/>
      <c r="AV2480" s="76"/>
      <c r="AW2480" s="76"/>
      <c r="AX2480" s="76"/>
      <c r="AY2480" s="76"/>
      <c r="AZ2480" s="76"/>
      <c r="BA2480" s="76"/>
      <c r="BB2480" s="76"/>
    </row>
    <row r="2481" spans="5:54" x14ac:dyDescent="0.35">
      <c r="E2481" s="83"/>
      <c r="F2481" s="83"/>
      <c r="G2481" s="76"/>
      <c r="H2481" s="76"/>
      <c r="I2481" s="76"/>
      <c r="J2481" s="76"/>
      <c r="K2481" s="76"/>
      <c r="L2481" s="76"/>
      <c r="M2481" s="76"/>
      <c r="N2481" s="76"/>
      <c r="O2481" s="76"/>
      <c r="P2481" s="76"/>
      <c r="Q2481" s="76"/>
      <c r="R2481" s="76"/>
      <c r="S2481" s="76"/>
      <c r="T2481" s="76"/>
      <c r="U2481" s="76"/>
      <c r="V2481" s="76"/>
      <c r="W2481" s="76"/>
      <c r="X2481" s="76"/>
      <c r="Y2481" s="76"/>
      <c r="Z2481" s="76"/>
      <c r="AA2481" s="76"/>
      <c r="AB2481" s="76"/>
      <c r="AC2481" s="76"/>
      <c r="AD2481" s="76"/>
      <c r="AE2481" s="76"/>
      <c r="AF2481" s="76"/>
      <c r="AG2481" s="76"/>
      <c r="AH2481" s="76"/>
      <c r="AI2481" s="76"/>
      <c r="AJ2481" s="76"/>
      <c r="AK2481" s="76"/>
      <c r="AL2481" s="76"/>
      <c r="AM2481" s="76"/>
      <c r="AN2481" s="76"/>
      <c r="AO2481" s="76"/>
      <c r="AP2481" s="76"/>
      <c r="AQ2481" s="76"/>
      <c r="AR2481" s="76"/>
      <c r="AS2481" s="76"/>
      <c r="AT2481" s="76"/>
      <c r="AU2481" s="76"/>
      <c r="AV2481" s="76"/>
      <c r="AW2481" s="76"/>
      <c r="AX2481" s="76"/>
      <c r="AY2481" s="76"/>
      <c r="AZ2481" s="76"/>
      <c r="BA2481" s="76"/>
      <c r="BB2481" s="76"/>
    </row>
    <row r="2482" spans="5:54" x14ac:dyDescent="0.35">
      <c r="E2482" s="83"/>
      <c r="F2482" s="83"/>
      <c r="G2482" s="76"/>
      <c r="H2482" s="76"/>
      <c r="I2482" s="76"/>
      <c r="J2482" s="76"/>
      <c r="K2482" s="76"/>
      <c r="L2482" s="76"/>
      <c r="M2482" s="76"/>
      <c r="N2482" s="76"/>
      <c r="O2482" s="76"/>
      <c r="P2482" s="76"/>
      <c r="Q2482" s="76"/>
      <c r="R2482" s="76"/>
      <c r="S2482" s="76"/>
      <c r="T2482" s="76"/>
      <c r="U2482" s="76"/>
      <c r="V2482" s="76"/>
      <c r="W2482" s="76"/>
      <c r="X2482" s="76"/>
      <c r="Y2482" s="76"/>
      <c r="Z2482" s="76"/>
      <c r="AA2482" s="76"/>
      <c r="AB2482" s="76"/>
      <c r="AC2482" s="76"/>
      <c r="AD2482" s="76"/>
      <c r="AE2482" s="76"/>
      <c r="AF2482" s="76"/>
      <c r="AG2482" s="76"/>
      <c r="AH2482" s="76"/>
      <c r="AI2482" s="76"/>
      <c r="AJ2482" s="76"/>
      <c r="AK2482" s="76"/>
      <c r="AL2482" s="76"/>
      <c r="AM2482" s="76"/>
      <c r="AN2482" s="76"/>
      <c r="AO2482" s="76"/>
      <c r="AP2482" s="76"/>
      <c r="AQ2482" s="76"/>
      <c r="AR2482" s="76"/>
      <c r="AS2482" s="76"/>
      <c r="AT2482" s="76"/>
      <c r="AU2482" s="76"/>
      <c r="AV2482" s="76"/>
      <c r="AW2482" s="76"/>
      <c r="AX2482" s="76"/>
      <c r="AY2482" s="76"/>
      <c r="AZ2482" s="76"/>
      <c r="BA2482" s="76"/>
      <c r="BB2482" s="76"/>
    </row>
    <row r="2483" spans="5:54" x14ac:dyDescent="0.35">
      <c r="E2483" s="83"/>
      <c r="F2483" s="83"/>
      <c r="G2483" s="76"/>
      <c r="H2483" s="76"/>
      <c r="I2483" s="76"/>
      <c r="J2483" s="76"/>
      <c r="K2483" s="76"/>
      <c r="L2483" s="76"/>
      <c r="M2483" s="76"/>
      <c r="N2483" s="76"/>
      <c r="O2483" s="76"/>
      <c r="P2483" s="76"/>
      <c r="Q2483" s="76"/>
      <c r="R2483" s="76"/>
      <c r="S2483" s="76"/>
      <c r="T2483" s="76"/>
      <c r="U2483" s="76"/>
      <c r="V2483" s="76"/>
      <c r="W2483" s="76"/>
      <c r="X2483" s="76"/>
      <c r="Y2483" s="76"/>
      <c r="Z2483" s="76"/>
      <c r="AA2483" s="76"/>
      <c r="AB2483" s="76"/>
      <c r="AC2483" s="76"/>
      <c r="AD2483" s="76"/>
      <c r="AE2483" s="76"/>
      <c r="AF2483" s="76"/>
      <c r="AG2483" s="76"/>
      <c r="AH2483" s="76"/>
      <c r="AI2483" s="76"/>
      <c r="AJ2483" s="76"/>
      <c r="AK2483" s="76"/>
      <c r="AL2483" s="76"/>
      <c r="AM2483" s="76"/>
      <c r="AN2483" s="76"/>
      <c r="AO2483" s="76"/>
      <c r="AP2483" s="76"/>
      <c r="AQ2483" s="76"/>
      <c r="AR2483" s="76"/>
      <c r="AS2483" s="76"/>
      <c r="AT2483" s="76"/>
      <c r="AU2483" s="76"/>
      <c r="AV2483" s="76"/>
      <c r="AW2483" s="76"/>
      <c r="AX2483" s="76"/>
      <c r="AY2483" s="76"/>
      <c r="AZ2483" s="76"/>
      <c r="BA2483" s="76"/>
      <c r="BB2483" s="76"/>
    </row>
    <row r="2484" spans="5:54" x14ac:dyDescent="0.35">
      <c r="E2484" s="83"/>
      <c r="F2484" s="83"/>
      <c r="G2484" s="76"/>
      <c r="H2484" s="76"/>
      <c r="I2484" s="76"/>
      <c r="J2484" s="76"/>
      <c r="K2484" s="76"/>
      <c r="L2484" s="76"/>
      <c r="M2484" s="76"/>
      <c r="N2484" s="76"/>
      <c r="O2484" s="76"/>
      <c r="P2484" s="76"/>
      <c r="Q2484" s="76"/>
      <c r="R2484" s="76"/>
      <c r="S2484" s="76"/>
      <c r="T2484" s="76"/>
      <c r="U2484" s="76"/>
      <c r="V2484" s="76"/>
      <c r="W2484" s="76"/>
      <c r="X2484" s="76"/>
      <c r="Y2484" s="76"/>
      <c r="Z2484" s="76"/>
      <c r="AA2484" s="76"/>
      <c r="AB2484" s="76"/>
      <c r="AC2484" s="76"/>
      <c r="AD2484" s="76"/>
      <c r="AE2484" s="76"/>
      <c r="AF2484" s="76"/>
      <c r="AG2484" s="76"/>
      <c r="AH2484" s="76"/>
      <c r="AI2484" s="76"/>
      <c r="AJ2484" s="76"/>
      <c r="AK2484" s="76"/>
      <c r="AL2484" s="76"/>
      <c r="AM2484" s="76"/>
      <c r="AN2484" s="76"/>
      <c r="AO2484" s="76"/>
      <c r="AP2484" s="76"/>
      <c r="AQ2484" s="76"/>
      <c r="AR2484" s="76"/>
      <c r="AS2484" s="76"/>
      <c r="AT2484" s="76"/>
      <c r="AU2484" s="76"/>
      <c r="AV2484" s="76"/>
      <c r="AW2484" s="76"/>
      <c r="AX2484" s="76"/>
      <c r="AY2484" s="76"/>
      <c r="AZ2484" s="76"/>
      <c r="BA2484" s="76"/>
      <c r="BB2484" s="76"/>
    </row>
    <row r="2485" spans="5:54" x14ac:dyDescent="0.35">
      <c r="E2485" s="83"/>
      <c r="F2485" s="83"/>
      <c r="G2485" s="76"/>
      <c r="H2485" s="76"/>
      <c r="I2485" s="76"/>
      <c r="J2485" s="76"/>
      <c r="K2485" s="76"/>
      <c r="L2485" s="76"/>
      <c r="M2485" s="76"/>
      <c r="N2485" s="76"/>
      <c r="O2485" s="76"/>
      <c r="P2485" s="76"/>
      <c r="Q2485" s="76"/>
      <c r="R2485" s="76"/>
      <c r="S2485" s="76"/>
      <c r="T2485" s="76"/>
      <c r="U2485" s="76"/>
      <c r="V2485" s="76"/>
      <c r="W2485" s="76"/>
      <c r="X2485" s="76"/>
      <c r="Y2485" s="76"/>
      <c r="Z2485" s="76"/>
      <c r="AA2485" s="76"/>
      <c r="AB2485" s="76"/>
      <c r="AC2485" s="76"/>
      <c r="AD2485" s="76"/>
      <c r="AE2485" s="76"/>
      <c r="AF2485" s="76"/>
      <c r="AG2485" s="76"/>
      <c r="AH2485" s="76"/>
      <c r="AI2485" s="76"/>
      <c r="AJ2485" s="76"/>
      <c r="AK2485" s="76"/>
      <c r="AL2485" s="76"/>
      <c r="AM2485" s="76"/>
      <c r="AN2485" s="76"/>
      <c r="AO2485" s="76"/>
      <c r="AP2485" s="76"/>
      <c r="AQ2485" s="76"/>
      <c r="AR2485" s="76"/>
      <c r="AS2485" s="76"/>
      <c r="AT2485" s="76"/>
      <c r="AU2485" s="76"/>
      <c r="AV2485" s="76"/>
      <c r="AW2485" s="76"/>
      <c r="AX2485" s="76"/>
      <c r="AY2485" s="76"/>
      <c r="AZ2485" s="76"/>
      <c r="BA2485" s="76"/>
      <c r="BB2485" s="76"/>
    </row>
    <row r="2486" spans="5:54" x14ac:dyDescent="0.35">
      <c r="E2486" s="83"/>
      <c r="F2486" s="83"/>
      <c r="G2486" s="76"/>
      <c r="H2486" s="76"/>
      <c r="I2486" s="76"/>
      <c r="J2486" s="76"/>
      <c r="K2486" s="76"/>
      <c r="L2486" s="76"/>
      <c r="M2486" s="76"/>
      <c r="N2486" s="76"/>
      <c r="O2486" s="76"/>
      <c r="P2486" s="76"/>
      <c r="Q2486" s="76"/>
      <c r="R2486" s="76"/>
      <c r="S2486" s="76"/>
      <c r="T2486" s="76"/>
      <c r="U2486" s="76"/>
      <c r="V2486" s="76"/>
      <c r="W2486" s="76"/>
      <c r="X2486" s="76"/>
      <c r="Y2486" s="76"/>
      <c r="Z2486" s="76"/>
      <c r="AA2486" s="76"/>
      <c r="AB2486" s="76"/>
      <c r="AC2486" s="76"/>
      <c r="AD2486" s="76"/>
      <c r="AE2486" s="76"/>
      <c r="AF2486" s="76"/>
      <c r="AG2486" s="76"/>
      <c r="AH2486" s="76"/>
      <c r="AI2486" s="76"/>
      <c r="AJ2486" s="76"/>
      <c r="AK2486" s="76"/>
      <c r="AL2486" s="76"/>
      <c r="AM2486" s="76"/>
      <c r="AN2486" s="76"/>
      <c r="AO2486" s="76"/>
      <c r="AP2486" s="76"/>
      <c r="AQ2486" s="76"/>
      <c r="AR2486" s="76"/>
      <c r="AS2486" s="76"/>
      <c r="AT2486" s="76"/>
      <c r="AU2486" s="76"/>
      <c r="AV2486" s="76"/>
      <c r="AW2486" s="76"/>
      <c r="AX2486" s="76"/>
      <c r="AY2486" s="76"/>
      <c r="AZ2486" s="76"/>
      <c r="BA2486" s="76"/>
      <c r="BB2486" s="76"/>
    </row>
    <row r="2487" spans="5:54" x14ac:dyDescent="0.35">
      <c r="E2487" s="83"/>
      <c r="F2487" s="83"/>
      <c r="G2487" s="76"/>
      <c r="H2487" s="76"/>
      <c r="I2487" s="76"/>
      <c r="J2487" s="76"/>
      <c r="K2487" s="76"/>
      <c r="L2487" s="76"/>
      <c r="M2487" s="76"/>
      <c r="N2487" s="76"/>
      <c r="O2487" s="76"/>
      <c r="P2487" s="76"/>
      <c r="Q2487" s="76"/>
      <c r="R2487" s="76"/>
      <c r="S2487" s="76"/>
      <c r="T2487" s="76"/>
      <c r="U2487" s="76"/>
      <c r="V2487" s="76"/>
      <c r="W2487" s="76"/>
      <c r="X2487" s="76"/>
      <c r="Y2487" s="76"/>
      <c r="Z2487" s="76"/>
      <c r="AA2487" s="76"/>
      <c r="AB2487" s="76"/>
      <c r="AC2487" s="76"/>
      <c r="AD2487" s="76"/>
      <c r="AE2487" s="76"/>
      <c r="AF2487" s="76"/>
      <c r="AG2487" s="76"/>
      <c r="AH2487" s="76"/>
      <c r="AI2487" s="76"/>
      <c r="AJ2487" s="76"/>
      <c r="AK2487" s="76"/>
      <c r="AL2487" s="76"/>
      <c r="AM2487" s="76"/>
      <c r="AN2487" s="76"/>
      <c r="AO2487" s="76"/>
      <c r="AP2487" s="76"/>
      <c r="AQ2487" s="76"/>
      <c r="AR2487" s="76"/>
      <c r="AS2487" s="76"/>
      <c r="AT2487" s="76"/>
      <c r="AU2487" s="76"/>
      <c r="AV2487" s="76"/>
      <c r="AW2487" s="76"/>
      <c r="AX2487" s="76"/>
      <c r="AY2487" s="76"/>
      <c r="AZ2487" s="76"/>
      <c r="BA2487" s="76"/>
      <c r="BB2487" s="76"/>
    </row>
    <row r="2488" spans="5:54" x14ac:dyDescent="0.35">
      <c r="E2488" s="83"/>
      <c r="F2488" s="83"/>
      <c r="G2488" s="76"/>
      <c r="H2488" s="76"/>
      <c r="I2488" s="76"/>
      <c r="J2488" s="76"/>
      <c r="K2488" s="76"/>
      <c r="L2488" s="76"/>
      <c r="M2488" s="76"/>
      <c r="N2488" s="76"/>
      <c r="O2488" s="76"/>
      <c r="P2488" s="76"/>
      <c r="Q2488" s="76"/>
      <c r="R2488" s="76"/>
      <c r="S2488" s="76"/>
      <c r="T2488" s="76"/>
      <c r="U2488" s="76"/>
      <c r="V2488" s="76"/>
      <c r="W2488" s="76"/>
      <c r="X2488" s="76"/>
      <c r="Y2488" s="76"/>
      <c r="Z2488" s="76"/>
      <c r="AA2488" s="76"/>
      <c r="AB2488" s="76"/>
      <c r="AC2488" s="76"/>
      <c r="AD2488" s="76"/>
      <c r="AE2488" s="76"/>
      <c r="AF2488" s="76"/>
      <c r="AG2488" s="76"/>
      <c r="AH2488" s="76"/>
      <c r="AI2488" s="76"/>
      <c r="AJ2488" s="76"/>
      <c r="AK2488" s="76"/>
      <c r="AL2488" s="76"/>
      <c r="AM2488" s="76"/>
      <c r="AN2488" s="76"/>
      <c r="AO2488" s="76"/>
      <c r="AP2488" s="76"/>
      <c r="AQ2488" s="76"/>
      <c r="AR2488" s="76"/>
      <c r="AS2488" s="76"/>
      <c r="AT2488" s="76"/>
      <c r="AU2488" s="76"/>
      <c r="AV2488" s="76"/>
      <c r="AW2488" s="76"/>
      <c r="AX2488" s="76"/>
      <c r="AY2488" s="76"/>
      <c r="AZ2488" s="76"/>
      <c r="BA2488" s="76"/>
      <c r="BB2488" s="76"/>
    </row>
    <row r="2489" spans="5:54" x14ac:dyDescent="0.35">
      <c r="E2489" s="83"/>
      <c r="F2489" s="83"/>
      <c r="G2489" s="76"/>
      <c r="H2489" s="76"/>
      <c r="I2489" s="76"/>
      <c r="J2489" s="76"/>
      <c r="K2489" s="76"/>
      <c r="L2489" s="76"/>
      <c r="M2489" s="76"/>
      <c r="N2489" s="76"/>
      <c r="O2489" s="76"/>
      <c r="P2489" s="76"/>
      <c r="Q2489" s="76"/>
      <c r="R2489" s="76"/>
      <c r="S2489" s="76"/>
      <c r="T2489" s="76"/>
      <c r="U2489" s="76"/>
      <c r="V2489" s="76"/>
      <c r="W2489" s="76"/>
      <c r="X2489" s="76"/>
      <c r="Y2489" s="76"/>
      <c r="Z2489" s="76"/>
      <c r="AA2489" s="76"/>
      <c r="AB2489" s="76"/>
      <c r="AC2489" s="76"/>
      <c r="AD2489" s="76"/>
      <c r="AE2489" s="76"/>
      <c r="AF2489" s="76"/>
      <c r="AG2489" s="76"/>
      <c r="AH2489" s="76"/>
      <c r="AI2489" s="76"/>
      <c r="AJ2489" s="76"/>
      <c r="AK2489" s="76"/>
      <c r="AL2489" s="76"/>
      <c r="AM2489" s="76"/>
      <c r="AN2489" s="76"/>
      <c r="AO2489" s="76"/>
      <c r="AP2489" s="76"/>
      <c r="AQ2489" s="76"/>
      <c r="AR2489" s="76"/>
      <c r="AS2489" s="76"/>
      <c r="AT2489" s="76"/>
      <c r="AU2489" s="76"/>
      <c r="AV2489" s="76"/>
      <c r="AW2489" s="76"/>
      <c r="AX2489" s="76"/>
      <c r="AY2489" s="76"/>
      <c r="AZ2489" s="76"/>
      <c r="BA2489" s="76"/>
      <c r="BB2489" s="76"/>
    </row>
    <row r="2490" spans="5:54" x14ac:dyDescent="0.35">
      <c r="E2490" s="83"/>
      <c r="F2490" s="83"/>
      <c r="G2490" s="76"/>
      <c r="H2490" s="76"/>
      <c r="I2490" s="76"/>
      <c r="J2490" s="76"/>
      <c r="K2490" s="76"/>
      <c r="L2490" s="76"/>
      <c r="M2490" s="76"/>
      <c r="N2490" s="76"/>
      <c r="O2490" s="76"/>
      <c r="P2490" s="76"/>
      <c r="Q2490" s="76"/>
      <c r="R2490" s="76"/>
      <c r="S2490" s="76"/>
      <c r="T2490" s="76"/>
      <c r="U2490" s="76"/>
      <c r="V2490" s="76"/>
      <c r="W2490" s="76"/>
      <c r="X2490" s="76"/>
      <c r="Y2490" s="76"/>
      <c r="Z2490" s="76"/>
      <c r="AA2490" s="76"/>
      <c r="AB2490" s="76"/>
      <c r="AC2490" s="76"/>
      <c r="AD2490" s="76"/>
      <c r="AE2490" s="76"/>
      <c r="AF2490" s="76"/>
      <c r="AG2490" s="76"/>
      <c r="AH2490" s="76"/>
      <c r="AI2490" s="76"/>
      <c r="AJ2490" s="76"/>
      <c r="AK2490" s="76"/>
      <c r="AL2490" s="76"/>
      <c r="AM2490" s="76"/>
      <c r="AN2490" s="76"/>
      <c r="AO2490" s="76"/>
      <c r="AP2490" s="76"/>
      <c r="AQ2490" s="76"/>
      <c r="AR2490" s="76"/>
      <c r="AS2490" s="76"/>
      <c r="AT2490" s="76"/>
      <c r="AU2490" s="76"/>
      <c r="AV2490" s="76"/>
      <c r="AW2490" s="76"/>
      <c r="AX2490" s="76"/>
      <c r="AY2490" s="76"/>
      <c r="AZ2490" s="76"/>
      <c r="BA2490" s="76"/>
      <c r="BB2490" s="76"/>
    </row>
    <row r="2491" spans="5:54" x14ac:dyDescent="0.35">
      <c r="E2491" s="83"/>
      <c r="F2491" s="83"/>
      <c r="G2491" s="76"/>
      <c r="H2491" s="76"/>
      <c r="I2491" s="76"/>
      <c r="J2491" s="76"/>
      <c r="K2491" s="76"/>
      <c r="L2491" s="76"/>
      <c r="M2491" s="76"/>
      <c r="N2491" s="76"/>
      <c r="O2491" s="76"/>
      <c r="P2491" s="76"/>
      <c r="Q2491" s="76"/>
      <c r="R2491" s="76"/>
      <c r="S2491" s="76"/>
      <c r="T2491" s="76"/>
      <c r="U2491" s="76"/>
      <c r="V2491" s="76"/>
      <c r="W2491" s="76"/>
      <c r="X2491" s="76"/>
      <c r="Y2491" s="76"/>
      <c r="Z2491" s="76"/>
      <c r="AA2491" s="76"/>
      <c r="AB2491" s="76"/>
      <c r="AC2491" s="76"/>
      <c r="AD2491" s="76"/>
      <c r="AE2491" s="76"/>
      <c r="AF2491" s="76"/>
      <c r="AG2491" s="76"/>
      <c r="AH2491" s="76"/>
      <c r="AI2491" s="76"/>
      <c r="AJ2491" s="76"/>
      <c r="AK2491" s="76"/>
      <c r="AL2491" s="76"/>
      <c r="AM2491" s="76"/>
      <c r="AN2491" s="76"/>
      <c r="AO2491" s="76"/>
      <c r="AP2491" s="76"/>
      <c r="AQ2491" s="76"/>
      <c r="AR2491" s="76"/>
      <c r="AS2491" s="76"/>
      <c r="AT2491" s="76"/>
      <c r="AU2491" s="76"/>
      <c r="AV2491" s="76"/>
      <c r="AW2491" s="76"/>
      <c r="AX2491" s="76"/>
      <c r="AY2491" s="76"/>
      <c r="AZ2491" s="76"/>
      <c r="BA2491" s="76"/>
      <c r="BB2491" s="76"/>
    </row>
    <row r="2492" spans="5:54" x14ac:dyDescent="0.35">
      <c r="E2492" s="83"/>
      <c r="F2492" s="83"/>
      <c r="G2492" s="76"/>
      <c r="H2492" s="76"/>
      <c r="I2492" s="76"/>
      <c r="J2492" s="76"/>
      <c r="K2492" s="76"/>
      <c r="L2492" s="76"/>
      <c r="M2492" s="76"/>
      <c r="N2492" s="76"/>
      <c r="O2492" s="76"/>
      <c r="P2492" s="76"/>
      <c r="Q2492" s="76"/>
      <c r="R2492" s="76"/>
      <c r="S2492" s="76"/>
      <c r="T2492" s="76"/>
      <c r="U2492" s="76"/>
      <c r="V2492" s="76"/>
      <c r="W2492" s="76"/>
      <c r="X2492" s="76"/>
      <c r="Y2492" s="76"/>
      <c r="Z2492" s="76"/>
      <c r="AA2492" s="76"/>
      <c r="AB2492" s="76"/>
      <c r="AC2492" s="76"/>
      <c r="AD2492" s="76"/>
      <c r="AE2492" s="76"/>
      <c r="AF2492" s="76"/>
      <c r="AG2492" s="76"/>
      <c r="AH2492" s="76"/>
      <c r="AI2492" s="76"/>
      <c r="AJ2492" s="76"/>
      <c r="AK2492" s="76"/>
      <c r="AL2492" s="76"/>
      <c r="AM2492" s="76"/>
      <c r="AN2492" s="76"/>
      <c r="AO2492" s="76"/>
      <c r="AP2492" s="76"/>
      <c r="AQ2492" s="76"/>
      <c r="AR2492" s="76"/>
      <c r="AS2492" s="76"/>
      <c r="AT2492" s="76"/>
      <c r="AU2492" s="76"/>
      <c r="AV2492" s="76"/>
      <c r="AW2492" s="76"/>
      <c r="AX2492" s="76"/>
      <c r="AY2492" s="76"/>
      <c r="AZ2492" s="76"/>
      <c r="BA2492" s="76"/>
      <c r="BB2492" s="76"/>
    </row>
    <row r="2493" spans="5:54" x14ac:dyDescent="0.35">
      <c r="E2493" s="83"/>
      <c r="F2493" s="83"/>
      <c r="G2493" s="76"/>
      <c r="H2493" s="76"/>
      <c r="I2493" s="76"/>
      <c r="J2493" s="76"/>
      <c r="K2493" s="76"/>
      <c r="L2493" s="76"/>
      <c r="M2493" s="76"/>
      <c r="N2493" s="76"/>
      <c r="O2493" s="76"/>
      <c r="P2493" s="76"/>
      <c r="Q2493" s="76"/>
      <c r="R2493" s="76"/>
      <c r="S2493" s="76"/>
      <c r="T2493" s="76"/>
      <c r="U2493" s="76"/>
      <c r="V2493" s="76"/>
      <c r="W2493" s="76"/>
      <c r="X2493" s="76"/>
      <c r="Y2493" s="76"/>
      <c r="Z2493" s="76"/>
      <c r="AA2493" s="76"/>
      <c r="AB2493" s="76"/>
      <c r="AC2493" s="76"/>
      <c r="AD2493" s="76"/>
      <c r="AE2493" s="76"/>
      <c r="AF2493" s="76"/>
      <c r="AG2493" s="76"/>
      <c r="AH2493" s="76"/>
      <c r="AI2493" s="76"/>
      <c r="AJ2493" s="76"/>
      <c r="AK2493" s="76"/>
      <c r="AL2493" s="76"/>
      <c r="AM2493" s="76"/>
      <c r="AN2493" s="76"/>
      <c r="AO2493" s="76"/>
      <c r="AP2493" s="76"/>
      <c r="AQ2493" s="76"/>
      <c r="AR2493" s="76"/>
      <c r="AS2493" s="76"/>
      <c r="AT2493" s="76"/>
      <c r="AU2493" s="76"/>
      <c r="AV2493" s="76"/>
      <c r="AW2493" s="76"/>
      <c r="AX2493" s="76"/>
      <c r="AY2493" s="76"/>
      <c r="AZ2493" s="76"/>
      <c r="BA2493" s="76"/>
      <c r="BB2493" s="76"/>
    </row>
    <row r="2494" spans="5:54" x14ac:dyDescent="0.35">
      <c r="E2494" s="83"/>
      <c r="F2494" s="83"/>
      <c r="G2494" s="76"/>
      <c r="H2494" s="76"/>
      <c r="I2494" s="76"/>
      <c r="J2494" s="76"/>
      <c r="K2494" s="76"/>
      <c r="L2494" s="76"/>
      <c r="M2494" s="76"/>
      <c r="N2494" s="76"/>
      <c r="O2494" s="76"/>
      <c r="P2494" s="76"/>
      <c r="Q2494" s="76"/>
      <c r="R2494" s="76"/>
      <c r="S2494" s="76"/>
      <c r="T2494" s="76"/>
      <c r="U2494" s="76"/>
      <c r="V2494" s="76"/>
      <c r="W2494" s="76"/>
      <c r="X2494" s="76"/>
      <c r="Y2494" s="76"/>
      <c r="Z2494" s="76"/>
      <c r="AA2494" s="76"/>
      <c r="AB2494" s="76"/>
      <c r="AC2494" s="76"/>
      <c r="AD2494" s="76"/>
      <c r="AE2494" s="76"/>
      <c r="AF2494" s="76"/>
      <c r="AG2494" s="76"/>
      <c r="AH2494" s="76"/>
      <c r="AI2494" s="76"/>
      <c r="AJ2494" s="76"/>
      <c r="AK2494" s="76"/>
      <c r="AL2494" s="76"/>
      <c r="AM2494" s="76"/>
      <c r="AN2494" s="76"/>
      <c r="AO2494" s="76"/>
      <c r="AP2494" s="76"/>
      <c r="AQ2494" s="76"/>
      <c r="AR2494" s="76"/>
      <c r="AS2494" s="76"/>
      <c r="AT2494" s="76"/>
      <c r="AU2494" s="76"/>
      <c r="AV2494" s="76"/>
      <c r="AW2494" s="76"/>
      <c r="AX2494" s="76"/>
      <c r="AY2494" s="76"/>
      <c r="AZ2494" s="76"/>
      <c r="BA2494" s="76"/>
      <c r="BB2494" s="76"/>
    </row>
    <row r="2495" spans="5:54" x14ac:dyDescent="0.35">
      <c r="E2495" s="83"/>
      <c r="F2495" s="83"/>
      <c r="G2495" s="76"/>
      <c r="H2495" s="76"/>
      <c r="I2495" s="76"/>
      <c r="J2495" s="76"/>
      <c r="K2495" s="76"/>
      <c r="L2495" s="76"/>
      <c r="M2495" s="76"/>
      <c r="N2495" s="76"/>
      <c r="O2495" s="76"/>
      <c r="P2495" s="76"/>
      <c r="Q2495" s="76"/>
      <c r="R2495" s="76"/>
      <c r="S2495" s="76"/>
      <c r="T2495" s="76"/>
      <c r="U2495" s="76"/>
      <c r="V2495" s="76"/>
      <c r="W2495" s="76"/>
      <c r="X2495" s="76"/>
      <c r="Y2495" s="76"/>
      <c r="Z2495" s="76"/>
      <c r="AA2495" s="76"/>
      <c r="AB2495" s="76"/>
      <c r="AC2495" s="76"/>
      <c r="AD2495" s="76"/>
      <c r="AE2495" s="76"/>
      <c r="AF2495" s="76"/>
      <c r="AG2495" s="76"/>
      <c r="AH2495" s="76"/>
      <c r="AI2495" s="76"/>
      <c r="AJ2495" s="76"/>
      <c r="AK2495" s="76"/>
      <c r="AL2495" s="76"/>
      <c r="AM2495" s="76"/>
      <c r="AN2495" s="76"/>
      <c r="AO2495" s="76"/>
      <c r="AP2495" s="76"/>
      <c r="AQ2495" s="76"/>
      <c r="AR2495" s="76"/>
      <c r="AS2495" s="76"/>
      <c r="AT2495" s="76"/>
      <c r="AU2495" s="76"/>
      <c r="AV2495" s="76"/>
      <c r="AW2495" s="76"/>
      <c r="AX2495" s="76"/>
      <c r="AY2495" s="76"/>
      <c r="AZ2495" s="76"/>
      <c r="BA2495" s="76"/>
      <c r="BB2495" s="76"/>
    </row>
    <row r="2496" spans="5:54" x14ac:dyDescent="0.35">
      <c r="E2496" s="83"/>
      <c r="F2496" s="83"/>
      <c r="G2496" s="76"/>
      <c r="H2496" s="76"/>
      <c r="I2496" s="76"/>
      <c r="J2496" s="76"/>
      <c r="K2496" s="76"/>
      <c r="L2496" s="76"/>
      <c r="M2496" s="76"/>
      <c r="N2496" s="76"/>
      <c r="O2496" s="76"/>
      <c r="P2496" s="76"/>
      <c r="Q2496" s="76"/>
      <c r="R2496" s="76"/>
      <c r="S2496" s="76"/>
      <c r="T2496" s="76"/>
      <c r="U2496" s="76"/>
      <c r="V2496" s="76"/>
      <c r="W2496" s="76"/>
      <c r="X2496" s="76"/>
      <c r="Y2496" s="76"/>
      <c r="Z2496" s="76"/>
      <c r="AA2496" s="76"/>
      <c r="AB2496" s="76"/>
      <c r="AC2496" s="76"/>
      <c r="AD2496" s="76"/>
      <c r="AE2496" s="76"/>
      <c r="AF2496" s="76"/>
      <c r="AG2496" s="76"/>
      <c r="AH2496" s="76"/>
      <c r="AI2496" s="76"/>
      <c r="AJ2496" s="76"/>
      <c r="AK2496" s="76"/>
      <c r="AL2496" s="76"/>
      <c r="AM2496" s="76"/>
      <c r="AN2496" s="76"/>
      <c r="AO2496" s="76"/>
      <c r="AP2496" s="76"/>
      <c r="AQ2496" s="76"/>
      <c r="AR2496" s="76"/>
      <c r="AS2496" s="76"/>
      <c r="AT2496" s="76"/>
      <c r="AU2496" s="76"/>
      <c r="AV2496" s="76"/>
      <c r="AW2496" s="76"/>
      <c r="AX2496" s="76"/>
      <c r="AY2496" s="76"/>
      <c r="AZ2496" s="76"/>
      <c r="BA2496" s="76"/>
      <c r="BB2496" s="76"/>
    </row>
    <row r="2497" spans="5:54" x14ac:dyDescent="0.35">
      <c r="E2497" s="83"/>
      <c r="F2497" s="83"/>
      <c r="G2497" s="76"/>
      <c r="H2497" s="76"/>
      <c r="I2497" s="76"/>
      <c r="J2497" s="76"/>
      <c r="K2497" s="76"/>
      <c r="L2497" s="76"/>
      <c r="M2497" s="76"/>
      <c r="N2497" s="76"/>
      <c r="O2497" s="76"/>
      <c r="P2497" s="76"/>
      <c r="Q2497" s="76"/>
      <c r="R2497" s="76"/>
      <c r="S2497" s="76"/>
      <c r="T2497" s="76"/>
      <c r="U2497" s="76"/>
      <c r="V2497" s="76"/>
      <c r="W2497" s="76"/>
      <c r="X2497" s="76"/>
      <c r="Y2497" s="76"/>
      <c r="Z2497" s="76"/>
      <c r="AA2497" s="76"/>
      <c r="AB2497" s="76"/>
      <c r="AC2497" s="76"/>
      <c r="AD2497" s="76"/>
      <c r="AE2497" s="76"/>
      <c r="AF2497" s="76"/>
      <c r="AG2497" s="76"/>
      <c r="AH2497" s="76"/>
      <c r="AI2497" s="76"/>
      <c r="AJ2497" s="76"/>
      <c r="AK2497" s="76"/>
      <c r="AL2497" s="76"/>
      <c r="AM2497" s="76"/>
      <c r="AN2497" s="76"/>
      <c r="AO2497" s="76"/>
      <c r="AP2497" s="76"/>
      <c r="AQ2497" s="76"/>
      <c r="AR2497" s="76"/>
      <c r="AS2497" s="76"/>
      <c r="AT2497" s="76"/>
      <c r="AU2497" s="76"/>
      <c r="AV2497" s="76"/>
      <c r="AW2497" s="76"/>
      <c r="AX2497" s="76"/>
      <c r="AY2497" s="76"/>
      <c r="AZ2497" s="76"/>
      <c r="BA2497" s="76"/>
      <c r="BB2497" s="76"/>
    </row>
    <row r="2498" spans="5:54" x14ac:dyDescent="0.35">
      <c r="E2498" s="83"/>
      <c r="F2498" s="83"/>
      <c r="G2498" s="76"/>
      <c r="H2498" s="76"/>
      <c r="I2498" s="76"/>
      <c r="J2498" s="76"/>
      <c r="K2498" s="76"/>
      <c r="L2498" s="76"/>
      <c r="M2498" s="76"/>
      <c r="N2498" s="76"/>
      <c r="O2498" s="76"/>
      <c r="P2498" s="76"/>
      <c r="Q2498" s="76"/>
      <c r="R2498" s="76"/>
      <c r="S2498" s="76"/>
      <c r="T2498" s="76"/>
      <c r="U2498" s="76"/>
      <c r="V2498" s="76"/>
      <c r="W2498" s="76"/>
      <c r="X2498" s="76"/>
      <c r="Y2498" s="76"/>
      <c r="Z2498" s="76"/>
      <c r="AA2498" s="76"/>
      <c r="AB2498" s="76"/>
      <c r="AC2498" s="76"/>
      <c r="AD2498" s="76"/>
      <c r="AE2498" s="76"/>
      <c r="AF2498" s="76"/>
      <c r="AG2498" s="76"/>
      <c r="AH2498" s="76"/>
      <c r="AI2498" s="76"/>
      <c r="AJ2498" s="76"/>
      <c r="AK2498" s="76"/>
      <c r="AL2498" s="76"/>
      <c r="AM2498" s="76"/>
      <c r="AN2498" s="76"/>
      <c r="AO2498" s="76"/>
      <c r="AP2498" s="76"/>
      <c r="AQ2498" s="76"/>
      <c r="AR2498" s="76"/>
      <c r="AS2498" s="76"/>
      <c r="AT2498" s="76"/>
      <c r="AU2498" s="76"/>
      <c r="AV2498" s="76"/>
      <c r="AW2498" s="76"/>
      <c r="AX2498" s="76"/>
      <c r="AY2498" s="76"/>
      <c r="AZ2498" s="76"/>
      <c r="BA2498" s="76"/>
      <c r="BB2498" s="76"/>
    </row>
    <row r="2499" spans="5:54" x14ac:dyDescent="0.35">
      <c r="E2499" s="83"/>
      <c r="F2499" s="83"/>
      <c r="G2499" s="76"/>
      <c r="H2499" s="76"/>
      <c r="I2499" s="76"/>
      <c r="J2499" s="76"/>
      <c r="K2499" s="76"/>
      <c r="L2499" s="76"/>
      <c r="M2499" s="76"/>
      <c r="N2499" s="76"/>
      <c r="O2499" s="76"/>
      <c r="P2499" s="76"/>
      <c r="Q2499" s="76"/>
      <c r="R2499" s="76"/>
      <c r="S2499" s="76"/>
      <c r="T2499" s="76"/>
      <c r="U2499" s="76"/>
      <c r="V2499" s="76"/>
      <c r="W2499" s="76"/>
      <c r="X2499" s="76"/>
      <c r="Y2499" s="76"/>
      <c r="Z2499" s="76"/>
      <c r="AA2499" s="76"/>
      <c r="AB2499" s="76"/>
      <c r="AC2499" s="76"/>
      <c r="AD2499" s="76"/>
      <c r="AE2499" s="76"/>
      <c r="AF2499" s="76"/>
      <c r="AG2499" s="76"/>
      <c r="AH2499" s="76"/>
      <c r="AI2499" s="76"/>
      <c r="AJ2499" s="76"/>
      <c r="AK2499" s="76"/>
      <c r="AL2499" s="76"/>
      <c r="AM2499" s="76"/>
      <c r="AN2499" s="76"/>
      <c r="AO2499" s="76"/>
      <c r="AP2499" s="76"/>
      <c r="AQ2499" s="76"/>
      <c r="AR2499" s="76"/>
      <c r="AS2499" s="76"/>
      <c r="AT2499" s="76"/>
      <c r="AU2499" s="76"/>
      <c r="AV2499" s="76"/>
      <c r="AW2499" s="76"/>
      <c r="AX2499" s="76"/>
      <c r="AY2499" s="76"/>
      <c r="AZ2499" s="76"/>
      <c r="BA2499" s="76"/>
      <c r="BB2499" s="76"/>
    </row>
    <row r="2500" spans="5:54" x14ac:dyDescent="0.35">
      <c r="E2500" s="83"/>
      <c r="F2500" s="83"/>
      <c r="G2500" s="76"/>
      <c r="H2500" s="76"/>
      <c r="I2500" s="76"/>
      <c r="J2500" s="76"/>
      <c r="K2500" s="76"/>
      <c r="L2500" s="76"/>
      <c r="M2500" s="76"/>
      <c r="N2500" s="76"/>
      <c r="O2500" s="76"/>
      <c r="P2500" s="76"/>
      <c r="Q2500" s="76"/>
      <c r="R2500" s="76"/>
      <c r="S2500" s="76"/>
      <c r="T2500" s="76"/>
      <c r="U2500" s="76"/>
      <c r="V2500" s="76"/>
      <c r="W2500" s="76"/>
      <c r="X2500" s="76"/>
      <c r="Y2500" s="76"/>
      <c r="Z2500" s="76"/>
      <c r="AA2500" s="76"/>
      <c r="AB2500" s="76"/>
      <c r="AC2500" s="76"/>
      <c r="AD2500" s="76"/>
      <c r="AE2500" s="76"/>
      <c r="AF2500" s="76"/>
      <c r="AG2500" s="76"/>
      <c r="AH2500" s="76"/>
      <c r="AI2500" s="76"/>
      <c r="AJ2500" s="76"/>
      <c r="AK2500" s="76"/>
      <c r="AL2500" s="76"/>
      <c r="AM2500" s="76"/>
      <c r="AN2500" s="76"/>
      <c r="AO2500" s="76"/>
      <c r="AP2500" s="76"/>
      <c r="AQ2500" s="76"/>
      <c r="AR2500" s="76"/>
      <c r="AS2500" s="76"/>
      <c r="AT2500" s="76"/>
      <c r="AU2500" s="76"/>
      <c r="AV2500" s="76"/>
      <c r="AW2500" s="76"/>
      <c r="AX2500" s="76"/>
      <c r="AY2500" s="76"/>
      <c r="AZ2500" s="76"/>
      <c r="BA2500" s="76"/>
      <c r="BB2500" s="76"/>
    </row>
    <row r="2501" spans="5:54" x14ac:dyDescent="0.35">
      <c r="E2501" s="83"/>
      <c r="F2501" s="83"/>
      <c r="G2501" s="76"/>
      <c r="H2501" s="76"/>
      <c r="I2501" s="76"/>
      <c r="J2501" s="76"/>
      <c r="K2501" s="76"/>
      <c r="L2501" s="76"/>
      <c r="M2501" s="76"/>
      <c r="N2501" s="76"/>
      <c r="O2501" s="76"/>
      <c r="P2501" s="76"/>
      <c r="Q2501" s="76"/>
      <c r="R2501" s="76"/>
      <c r="S2501" s="76"/>
      <c r="T2501" s="76"/>
      <c r="U2501" s="76"/>
      <c r="V2501" s="76"/>
      <c r="W2501" s="76"/>
      <c r="X2501" s="76"/>
      <c r="Y2501" s="76"/>
      <c r="Z2501" s="76"/>
      <c r="AA2501" s="76"/>
      <c r="AB2501" s="76"/>
      <c r="AC2501" s="76"/>
      <c r="AD2501" s="76"/>
      <c r="AE2501" s="76"/>
      <c r="AF2501" s="76"/>
      <c r="AG2501" s="76"/>
      <c r="AH2501" s="76"/>
      <c r="AI2501" s="76"/>
      <c r="AJ2501" s="76"/>
      <c r="AK2501" s="76"/>
      <c r="AL2501" s="76"/>
      <c r="AM2501" s="76"/>
      <c r="AN2501" s="76"/>
      <c r="AO2501" s="76"/>
      <c r="AP2501" s="76"/>
      <c r="AQ2501" s="76"/>
      <c r="AR2501" s="76"/>
      <c r="AS2501" s="76"/>
      <c r="AT2501" s="76"/>
      <c r="AU2501" s="76"/>
      <c r="AV2501" s="76"/>
      <c r="AW2501" s="76"/>
      <c r="AX2501" s="76"/>
      <c r="AY2501" s="76"/>
      <c r="AZ2501" s="76"/>
      <c r="BA2501" s="76"/>
      <c r="BB2501" s="76"/>
    </row>
    <row r="2502" spans="5:54" x14ac:dyDescent="0.35">
      <c r="E2502" s="83"/>
      <c r="F2502" s="83"/>
      <c r="G2502" s="76"/>
      <c r="H2502" s="76"/>
      <c r="I2502" s="76"/>
      <c r="J2502" s="76"/>
      <c r="K2502" s="76"/>
      <c r="L2502" s="76"/>
      <c r="M2502" s="76"/>
      <c r="N2502" s="76"/>
      <c r="O2502" s="76"/>
      <c r="P2502" s="76"/>
      <c r="Q2502" s="76"/>
      <c r="R2502" s="76"/>
      <c r="S2502" s="76"/>
      <c r="T2502" s="76"/>
      <c r="U2502" s="76"/>
      <c r="V2502" s="76"/>
      <c r="W2502" s="76"/>
      <c r="X2502" s="76"/>
      <c r="Y2502" s="76"/>
      <c r="Z2502" s="76"/>
      <c r="AA2502" s="76"/>
      <c r="AB2502" s="76"/>
      <c r="AC2502" s="76"/>
      <c r="AD2502" s="76"/>
      <c r="AE2502" s="76"/>
      <c r="AF2502" s="76"/>
      <c r="AG2502" s="76"/>
      <c r="AH2502" s="76"/>
      <c r="AI2502" s="76"/>
      <c r="AJ2502" s="76"/>
      <c r="AK2502" s="76"/>
      <c r="AL2502" s="76"/>
      <c r="AM2502" s="76"/>
      <c r="AN2502" s="76"/>
      <c r="AO2502" s="76"/>
      <c r="AP2502" s="76"/>
      <c r="AQ2502" s="76"/>
      <c r="AR2502" s="76"/>
      <c r="AS2502" s="76"/>
      <c r="AT2502" s="76"/>
      <c r="AU2502" s="76"/>
      <c r="AV2502" s="76"/>
      <c r="AW2502" s="76"/>
      <c r="AX2502" s="76"/>
      <c r="AY2502" s="76"/>
      <c r="AZ2502" s="76"/>
      <c r="BA2502" s="76"/>
      <c r="BB2502" s="76"/>
    </row>
    <row r="2503" spans="5:54" x14ac:dyDescent="0.35">
      <c r="E2503" s="83"/>
      <c r="F2503" s="83"/>
      <c r="G2503" s="76"/>
      <c r="H2503" s="76"/>
      <c r="I2503" s="76"/>
      <c r="J2503" s="76"/>
      <c r="K2503" s="76"/>
      <c r="L2503" s="76"/>
      <c r="M2503" s="76"/>
      <c r="N2503" s="76"/>
      <c r="O2503" s="76"/>
      <c r="P2503" s="76"/>
      <c r="Q2503" s="76"/>
      <c r="R2503" s="76"/>
      <c r="S2503" s="76"/>
      <c r="T2503" s="76"/>
      <c r="U2503" s="76"/>
      <c r="V2503" s="76"/>
      <c r="W2503" s="76"/>
      <c r="X2503" s="76"/>
      <c r="Y2503" s="76"/>
      <c r="Z2503" s="76"/>
      <c r="AA2503" s="76"/>
      <c r="AB2503" s="76"/>
      <c r="AC2503" s="76"/>
      <c r="AD2503" s="76"/>
      <c r="AE2503" s="76"/>
      <c r="AF2503" s="76"/>
      <c r="AG2503" s="76"/>
      <c r="AH2503" s="76"/>
      <c r="AI2503" s="76"/>
      <c r="AJ2503" s="76"/>
      <c r="AK2503" s="76"/>
      <c r="AL2503" s="76"/>
      <c r="AM2503" s="76"/>
      <c r="AN2503" s="76"/>
      <c r="AO2503" s="76"/>
      <c r="AP2503" s="76"/>
      <c r="AQ2503" s="76"/>
      <c r="AR2503" s="76"/>
      <c r="AS2503" s="76"/>
      <c r="AT2503" s="76"/>
      <c r="AU2503" s="76"/>
      <c r="AV2503" s="76"/>
      <c r="AW2503" s="76"/>
      <c r="AX2503" s="76"/>
      <c r="AY2503" s="76"/>
      <c r="AZ2503" s="76"/>
      <c r="BA2503" s="76"/>
      <c r="BB2503" s="76"/>
    </row>
    <row r="2504" spans="5:54" x14ac:dyDescent="0.35">
      <c r="E2504" s="83"/>
      <c r="F2504" s="83"/>
      <c r="G2504" s="76"/>
      <c r="H2504" s="76"/>
      <c r="I2504" s="76"/>
      <c r="J2504" s="76"/>
      <c r="K2504" s="76"/>
      <c r="L2504" s="76"/>
      <c r="M2504" s="76"/>
      <c r="N2504" s="76"/>
      <c r="O2504" s="76"/>
      <c r="P2504" s="76"/>
      <c r="Q2504" s="76"/>
      <c r="R2504" s="76"/>
      <c r="S2504" s="76"/>
      <c r="T2504" s="76"/>
      <c r="U2504" s="76"/>
      <c r="V2504" s="76"/>
      <c r="W2504" s="76"/>
      <c r="X2504" s="76"/>
      <c r="Y2504" s="76"/>
      <c r="Z2504" s="76"/>
      <c r="AA2504" s="76"/>
      <c r="AB2504" s="76"/>
      <c r="AC2504" s="76"/>
      <c r="AD2504" s="76"/>
      <c r="AE2504" s="76"/>
      <c r="AF2504" s="76"/>
      <c r="AG2504" s="76"/>
      <c r="AH2504" s="76"/>
      <c r="AI2504" s="76"/>
      <c r="AJ2504" s="76"/>
      <c r="AK2504" s="76"/>
      <c r="AL2504" s="76"/>
      <c r="AM2504" s="76"/>
      <c r="AN2504" s="76"/>
      <c r="AO2504" s="76"/>
      <c r="AP2504" s="76"/>
      <c r="AQ2504" s="76"/>
      <c r="AR2504" s="76"/>
      <c r="AS2504" s="76"/>
      <c r="AT2504" s="76"/>
      <c r="AU2504" s="76"/>
      <c r="AV2504" s="76"/>
      <c r="AW2504" s="76"/>
      <c r="AX2504" s="76"/>
      <c r="AY2504" s="76"/>
      <c r="AZ2504" s="76"/>
      <c r="BA2504" s="76"/>
      <c r="BB2504" s="76"/>
    </row>
    <row r="2505" spans="5:54" x14ac:dyDescent="0.35">
      <c r="E2505" s="83"/>
      <c r="F2505" s="83"/>
      <c r="G2505" s="76"/>
      <c r="H2505" s="76"/>
      <c r="I2505" s="76"/>
      <c r="J2505" s="76"/>
      <c r="K2505" s="76"/>
      <c r="L2505" s="76"/>
      <c r="M2505" s="76"/>
      <c r="N2505" s="76"/>
      <c r="O2505" s="76"/>
      <c r="P2505" s="76"/>
      <c r="Q2505" s="76"/>
      <c r="R2505" s="76"/>
      <c r="S2505" s="76"/>
      <c r="T2505" s="76"/>
      <c r="U2505" s="76"/>
      <c r="V2505" s="76"/>
      <c r="W2505" s="76"/>
      <c r="X2505" s="76"/>
      <c r="Y2505" s="76"/>
      <c r="Z2505" s="76"/>
      <c r="AA2505" s="76"/>
      <c r="AB2505" s="76"/>
      <c r="AC2505" s="76"/>
      <c r="AD2505" s="76"/>
      <c r="AE2505" s="76"/>
      <c r="AF2505" s="76"/>
      <c r="AG2505" s="76"/>
      <c r="AH2505" s="76"/>
      <c r="AI2505" s="76"/>
      <c r="AJ2505" s="76"/>
      <c r="AK2505" s="76"/>
      <c r="AL2505" s="76"/>
      <c r="AM2505" s="76"/>
      <c r="AN2505" s="76"/>
      <c r="AO2505" s="76"/>
      <c r="AP2505" s="76"/>
      <c r="AQ2505" s="76"/>
      <c r="AR2505" s="76"/>
      <c r="AS2505" s="76"/>
      <c r="AT2505" s="76"/>
      <c r="AU2505" s="76"/>
      <c r="AV2505" s="76"/>
      <c r="AW2505" s="76"/>
      <c r="AX2505" s="76"/>
      <c r="AY2505" s="76"/>
      <c r="AZ2505" s="76"/>
      <c r="BA2505" s="76"/>
      <c r="BB2505" s="76"/>
    </row>
    <row r="2506" spans="5:54" x14ac:dyDescent="0.35">
      <c r="E2506" s="83"/>
      <c r="F2506" s="83"/>
      <c r="G2506" s="76"/>
      <c r="H2506" s="76"/>
      <c r="I2506" s="76"/>
      <c r="J2506" s="76"/>
      <c r="K2506" s="76"/>
      <c r="L2506" s="76"/>
      <c r="M2506" s="76"/>
      <c r="N2506" s="76"/>
      <c r="O2506" s="76"/>
      <c r="P2506" s="76"/>
      <c r="Q2506" s="76"/>
      <c r="R2506" s="76"/>
      <c r="S2506" s="76"/>
      <c r="T2506" s="76"/>
      <c r="U2506" s="76"/>
      <c r="V2506" s="76"/>
      <c r="W2506" s="76"/>
      <c r="X2506" s="76"/>
      <c r="Y2506" s="76"/>
      <c r="Z2506" s="76"/>
      <c r="AA2506" s="76"/>
      <c r="AB2506" s="76"/>
      <c r="AC2506" s="76"/>
      <c r="AD2506" s="76"/>
      <c r="AE2506" s="76"/>
      <c r="AF2506" s="76"/>
      <c r="AG2506" s="76"/>
      <c r="AH2506" s="76"/>
      <c r="AI2506" s="76"/>
      <c r="AJ2506" s="76"/>
      <c r="AK2506" s="76"/>
      <c r="AL2506" s="76"/>
      <c r="AM2506" s="76"/>
      <c r="AN2506" s="76"/>
      <c r="AO2506" s="76"/>
      <c r="AP2506" s="76"/>
      <c r="AQ2506" s="76"/>
      <c r="AR2506" s="76"/>
      <c r="AS2506" s="76"/>
      <c r="AT2506" s="76"/>
      <c r="AU2506" s="76"/>
      <c r="AV2506" s="76"/>
      <c r="AW2506" s="76"/>
      <c r="AX2506" s="76"/>
      <c r="AY2506" s="76"/>
      <c r="AZ2506" s="76"/>
      <c r="BA2506" s="76"/>
      <c r="BB2506" s="76"/>
    </row>
    <row r="2507" spans="5:54" x14ac:dyDescent="0.35">
      <c r="E2507" s="83"/>
      <c r="F2507" s="83"/>
      <c r="G2507" s="76"/>
      <c r="H2507" s="76"/>
      <c r="I2507" s="76"/>
      <c r="J2507" s="76"/>
      <c r="K2507" s="76"/>
      <c r="L2507" s="76"/>
      <c r="M2507" s="76"/>
      <c r="N2507" s="76"/>
      <c r="O2507" s="76"/>
      <c r="P2507" s="76"/>
      <c r="Q2507" s="76"/>
      <c r="R2507" s="76"/>
      <c r="S2507" s="76"/>
      <c r="T2507" s="76"/>
      <c r="U2507" s="76"/>
      <c r="V2507" s="76"/>
      <c r="W2507" s="76"/>
      <c r="X2507" s="76"/>
      <c r="Y2507" s="76"/>
      <c r="Z2507" s="76"/>
      <c r="AA2507" s="76"/>
      <c r="AB2507" s="76"/>
      <c r="AC2507" s="76"/>
      <c r="AD2507" s="76"/>
      <c r="AE2507" s="76"/>
      <c r="AF2507" s="76"/>
      <c r="AG2507" s="76"/>
      <c r="AH2507" s="76"/>
      <c r="AI2507" s="76"/>
      <c r="AJ2507" s="76"/>
      <c r="AK2507" s="76"/>
      <c r="AL2507" s="76"/>
      <c r="AM2507" s="76"/>
      <c r="AN2507" s="76"/>
      <c r="AO2507" s="76"/>
      <c r="AP2507" s="76"/>
      <c r="AQ2507" s="76"/>
      <c r="AR2507" s="76"/>
      <c r="AS2507" s="76"/>
      <c r="AT2507" s="76"/>
      <c r="AU2507" s="76"/>
      <c r="AV2507" s="76"/>
      <c r="AW2507" s="76"/>
      <c r="AX2507" s="76"/>
      <c r="AY2507" s="76"/>
      <c r="AZ2507" s="76"/>
      <c r="BA2507" s="76"/>
      <c r="BB2507" s="76"/>
    </row>
    <row r="2508" spans="5:54" x14ac:dyDescent="0.35">
      <c r="E2508" s="83"/>
      <c r="F2508" s="83"/>
      <c r="G2508" s="76"/>
      <c r="H2508" s="76"/>
      <c r="I2508" s="76"/>
      <c r="J2508" s="76"/>
      <c r="K2508" s="76"/>
      <c r="L2508" s="76"/>
      <c r="M2508" s="76"/>
      <c r="N2508" s="76"/>
      <c r="O2508" s="76"/>
      <c r="P2508" s="76"/>
      <c r="Q2508" s="76"/>
      <c r="R2508" s="76"/>
      <c r="S2508" s="76"/>
      <c r="T2508" s="76"/>
      <c r="U2508" s="76"/>
      <c r="V2508" s="76"/>
      <c r="W2508" s="76"/>
      <c r="X2508" s="76"/>
      <c r="Y2508" s="76"/>
      <c r="Z2508" s="76"/>
      <c r="AA2508" s="76"/>
      <c r="AB2508" s="76"/>
      <c r="AC2508" s="76"/>
      <c r="AD2508" s="76"/>
      <c r="AE2508" s="76"/>
      <c r="AF2508" s="76"/>
      <c r="AG2508" s="76"/>
      <c r="AH2508" s="76"/>
      <c r="AI2508" s="76"/>
      <c r="AJ2508" s="76"/>
      <c r="AK2508" s="76"/>
      <c r="AL2508" s="76"/>
      <c r="AM2508" s="76"/>
      <c r="AN2508" s="76"/>
      <c r="AO2508" s="76"/>
      <c r="AP2508" s="76"/>
      <c r="AQ2508" s="76"/>
      <c r="AR2508" s="76"/>
      <c r="AS2508" s="76"/>
      <c r="AT2508" s="76"/>
      <c r="AU2508" s="76"/>
      <c r="AV2508" s="76"/>
      <c r="AW2508" s="76"/>
      <c r="AX2508" s="76"/>
      <c r="AY2508" s="76"/>
      <c r="AZ2508" s="76"/>
      <c r="BA2508" s="76"/>
      <c r="BB2508" s="76"/>
    </row>
    <row r="2509" spans="5:54" x14ac:dyDescent="0.35">
      <c r="E2509" s="83"/>
      <c r="F2509" s="83"/>
      <c r="G2509" s="76"/>
      <c r="H2509" s="76"/>
      <c r="I2509" s="76"/>
      <c r="J2509" s="76"/>
      <c r="K2509" s="76"/>
      <c r="L2509" s="76"/>
      <c r="M2509" s="76"/>
      <c r="N2509" s="76"/>
      <c r="O2509" s="76"/>
      <c r="P2509" s="76"/>
      <c r="Q2509" s="76"/>
      <c r="R2509" s="76"/>
      <c r="S2509" s="76"/>
      <c r="T2509" s="76"/>
      <c r="U2509" s="76"/>
      <c r="V2509" s="76"/>
      <c r="W2509" s="76"/>
      <c r="X2509" s="76"/>
      <c r="Y2509" s="76"/>
      <c r="Z2509" s="76"/>
      <c r="AA2509" s="76"/>
      <c r="AB2509" s="76"/>
      <c r="AC2509" s="76"/>
      <c r="AD2509" s="76"/>
      <c r="AE2509" s="76"/>
      <c r="AF2509" s="76"/>
      <c r="AG2509" s="76"/>
      <c r="AH2509" s="76"/>
      <c r="AI2509" s="76"/>
      <c r="AJ2509" s="76"/>
      <c r="AK2509" s="76"/>
      <c r="AL2509" s="76"/>
      <c r="AM2509" s="76"/>
      <c r="AN2509" s="76"/>
      <c r="AO2509" s="76"/>
      <c r="AP2509" s="76"/>
      <c r="AQ2509" s="76"/>
      <c r="AR2509" s="76"/>
      <c r="AS2509" s="76"/>
      <c r="AT2509" s="76"/>
      <c r="AU2509" s="76"/>
      <c r="AV2509" s="76"/>
      <c r="AW2509" s="76"/>
      <c r="AX2509" s="76"/>
      <c r="AY2509" s="76"/>
      <c r="AZ2509" s="76"/>
      <c r="BA2509" s="76"/>
      <c r="BB2509" s="76"/>
    </row>
    <row r="2510" spans="5:54" x14ac:dyDescent="0.35">
      <c r="E2510" s="83"/>
      <c r="F2510" s="83"/>
      <c r="G2510" s="76"/>
      <c r="H2510" s="76"/>
      <c r="I2510" s="76"/>
      <c r="J2510" s="76"/>
      <c r="K2510" s="76"/>
      <c r="L2510" s="76"/>
      <c r="M2510" s="76"/>
      <c r="N2510" s="76"/>
      <c r="O2510" s="76"/>
      <c r="P2510" s="76"/>
      <c r="Q2510" s="76"/>
      <c r="R2510" s="76"/>
      <c r="S2510" s="76"/>
      <c r="T2510" s="76"/>
      <c r="U2510" s="76"/>
      <c r="V2510" s="76"/>
      <c r="W2510" s="76"/>
      <c r="X2510" s="76"/>
      <c r="Y2510" s="76"/>
      <c r="Z2510" s="76"/>
      <c r="AA2510" s="76"/>
      <c r="AB2510" s="76"/>
      <c r="AC2510" s="76"/>
      <c r="AD2510" s="76"/>
      <c r="AE2510" s="76"/>
      <c r="AF2510" s="76"/>
      <c r="AG2510" s="76"/>
      <c r="AH2510" s="76"/>
      <c r="AI2510" s="76"/>
      <c r="AJ2510" s="76"/>
      <c r="AK2510" s="76"/>
      <c r="AL2510" s="76"/>
      <c r="AM2510" s="76"/>
      <c r="AN2510" s="76"/>
      <c r="AO2510" s="76"/>
      <c r="AP2510" s="76"/>
      <c r="AQ2510" s="76"/>
      <c r="AR2510" s="76"/>
      <c r="AS2510" s="76"/>
      <c r="AT2510" s="76"/>
      <c r="AU2510" s="76"/>
      <c r="AV2510" s="76"/>
      <c r="AW2510" s="76"/>
      <c r="AX2510" s="76"/>
      <c r="AY2510" s="76"/>
      <c r="AZ2510" s="76"/>
      <c r="BA2510" s="76"/>
      <c r="BB2510" s="76"/>
    </row>
    <row r="2511" spans="5:54" x14ac:dyDescent="0.35">
      <c r="E2511" s="83"/>
      <c r="F2511" s="83"/>
      <c r="G2511" s="76"/>
      <c r="H2511" s="76"/>
      <c r="I2511" s="76"/>
      <c r="J2511" s="76"/>
      <c r="K2511" s="76"/>
      <c r="L2511" s="76"/>
      <c r="M2511" s="76"/>
      <c r="N2511" s="76"/>
      <c r="O2511" s="76"/>
      <c r="P2511" s="76"/>
      <c r="Q2511" s="76"/>
      <c r="R2511" s="76"/>
      <c r="S2511" s="76"/>
      <c r="T2511" s="76"/>
      <c r="U2511" s="76"/>
      <c r="V2511" s="76"/>
      <c r="W2511" s="76"/>
      <c r="X2511" s="76"/>
      <c r="Y2511" s="76"/>
      <c r="Z2511" s="76"/>
      <c r="AA2511" s="76"/>
      <c r="AB2511" s="76"/>
      <c r="AC2511" s="76"/>
      <c r="AD2511" s="76"/>
      <c r="AE2511" s="76"/>
      <c r="AF2511" s="76"/>
      <c r="AG2511" s="76"/>
      <c r="AH2511" s="76"/>
      <c r="AI2511" s="76"/>
      <c r="AJ2511" s="76"/>
      <c r="AK2511" s="76"/>
      <c r="AL2511" s="76"/>
      <c r="AM2511" s="76"/>
      <c r="AN2511" s="76"/>
      <c r="AO2511" s="76"/>
      <c r="AP2511" s="76"/>
      <c r="AQ2511" s="76"/>
      <c r="AR2511" s="76"/>
      <c r="AS2511" s="76"/>
      <c r="AT2511" s="76"/>
      <c r="AU2511" s="76"/>
      <c r="AV2511" s="76"/>
      <c r="AW2511" s="76"/>
      <c r="AX2511" s="76"/>
      <c r="AY2511" s="76"/>
      <c r="AZ2511" s="76"/>
      <c r="BA2511" s="76"/>
      <c r="BB2511" s="76"/>
    </row>
    <row r="2512" spans="5:54" x14ac:dyDescent="0.35">
      <c r="E2512" s="83"/>
      <c r="F2512" s="83"/>
      <c r="G2512" s="76"/>
      <c r="H2512" s="76"/>
      <c r="I2512" s="76"/>
      <c r="J2512" s="76"/>
      <c r="K2512" s="76"/>
      <c r="L2512" s="76"/>
      <c r="M2512" s="76"/>
      <c r="N2512" s="76"/>
      <c r="O2512" s="76"/>
      <c r="P2512" s="76"/>
      <c r="Q2512" s="76"/>
      <c r="R2512" s="76"/>
      <c r="S2512" s="76"/>
      <c r="T2512" s="76"/>
      <c r="U2512" s="76"/>
      <c r="V2512" s="76"/>
      <c r="W2512" s="76"/>
      <c r="X2512" s="76"/>
      <c r="Y2512" s="76"/>
      <c r="Z2512" s="76"/>
      <c r="AA2512" s="76"/>
      <c r="AB2512" s="76"/>
      <c r="AC2512" s="76"/>
      <c r="AD2512" s="76"/>
      <c r="AE2512" s="76"/>
      <c r="AF2512" s="76"/>
      <c r="AG2512" s="76"/>
      <c r="AH2512" s="76"/>
      <c r="AI2512" s="76"/>
      <c r="AJ2512" s="76"/>
      <c r="AK2512" s="76"/>
      <c r="AL2512" s="76"/>
      <c r="AM2512" s="76"/>
      <c r="AN2512" s="76"/>
      <c r="AO2512" s="76"/>
      <c r="AP2512" s="76"/>
      <c r="AQ2512" s="76"/>
      <c r="AR2512" s="76"/>
      <c r="AS2512" s="76"/>
      <c r="AT2512" s="76"/>
      <c r="AU2512" s="76"/>
      <c r="AV2512" s="76"/>
      <c r="AW2512" s="76"/>
      <c r="AX2512" s="76"/>
      <c r="AY2512" s="76"/>
      <c r="AZ2512" s="76"/>
      <c r="BA2512" s="76"/>
      <c r="BB2512" s="76"/>
    </row>
    <row r="2513" spans="5:54" x14ac:dyDescent="0.35">
      <c r="E2513" s="83"/>
      <c r="F2513" s="83"/>
      <c r="G2513" s="76"/>
      <c r="H2513" s="76"/>
      <c r="I2513" s="76"/>
      <c r="J2513" s="76"/>
      <c r="K2513" s="76"/>
      <c r="L2513" s="76"/>
      <c r="M2513" s="76"/>
      <c r="N2513" s="76"/>
      <c r="O2513" s="76"/>
      <c r="P2513" s="76"/>
      <c r="Q2513" s="76"/>
      <c r="R2513" s="76"/>
      <c r="S2513" s="76"/>
      <c r="T2513" s="76"/>
      <c r="U2513" s="76"/>
      <c r="V2513" s="76"/>
      <c r="W2513" s="76"/>
      <c r="X2513" s="76"/>
      <c r="Y2513" s="76"/>
      <c r="Z2513" s="76"/>
      <c r="AA2513" s="76"/>
      <c r="AB2513" s="76"/>
      <c r="AC2513" s="76"/>
      <c r="AD2513" s="76"/>
      <c r="AE2513" s="76"/>
      <c r="AF2513" s="76"/>
      <c r="AG2513" s="76"/>
      <c r="AH2513" s="76"/>
      <c r="AI2513" s="76"/>
      <c r="AJ2513" s="76"/>
      <c r="AK2513" s="76"/>
      <c r="AL2513" s="76"/>
      <c r="AM2513" s="76"/>
      <c r="AN2513" s="76"/>
      <c r="AO2513" s="76"/>
      <c r="AP2513" s="76"/>
      <c r="AQ2513" s="76"/>
      <c r="AR2513" s="76"/>
      <c r="AS2513" s="76"/>
      <c r="AT2513" s="76"/>
      <c r="AU2513" s="76"/>
      <c r="AV2513" s="76"/>
      <c r="AW2513" s="76"/>
      <c r="AX2513" s="76"/>
      <c r="AY2513" s="76"/>
      <c r="AZ2513" s="76"/>
      <c r="BA2513" s="76"/>
      <c r="BB2513" s="76"/>
    </row>
    <row r="2514" spans="5:54" x14ac:dyDescent="0.35">
      <c r="E2514" s="83"/>
      <c r="F2514" s="83"/>
      <c r="G2514" s="76"/>
      <c r="H2514" s="76"/>
      <c r="I2514" s="76"/>
      <c r="J2514" s="76"/>
      <c r="K2514" s="76"/>
      <c r="L2514" s="76"/>
      <c r="M2514" s="76"/>
      <c r="N2514" s="76"/>
      <c r="O2514" s="76"/>
      <c r="P2514" s="76"/>
      <c r="Q2514" s="76"/>
      <c r="R2514" s="76"/>
      <c r="S2514" s="76"/>
      <c r="T2514" s="76"/>
      <c r="U2514" s="76"/>
      <c r="V2514" s="76"/>
      <c r="W2514" s="76"/>
      <c r="X2514" s="76"/>
      <c r="Y2514" s="76"/>
      <c r="Z2514" s="76"/>
      <c r="AA2514" s="76"/>
      <c r="AB2514" s="76"/>
      <c r="AC2514" s="76"/>
      <c r="AD2514" s="76"/>
      <c r="AE2514" s="76"/>
      <c r="AF2514" s="76"/>
      <c r="AG2514" s="76"/>
      <c r="AH2514" s="76"/>
      <c r="AI2514" s="76"/>
      <c r="AJ2514" s="76"/>
      <c r="AK2514" s="76"/>
      <c r="AL2514" s="76"/>
      <c r="AM2514" s="76"/>
      <c r="AN2514" s="76"/>
      <c r="AO2514" s="76"/>
      <c r="AP2514" s="76"/>
      <c r="AQ2514" s="76"/>
      <c r="AR2514" s="76"/>
      <c r="AS2514" s="76"/>
      <c r="AT2514" s="76"/>
      <c r="AU2514" s="76"/>
      <c r="AV2514" s="76"/>
      <c r="AW2514" s="76"/>
      <c r="AX2514" s="76"/>
      <c r="AY2514" s="76"/>
      <c r="AZ2514" s="76"/>
      <c r="BA2514" s="76"/>
      <c r="BB2514" s="76"/>
    </row>
    <row r="2515" spans="5:54" x14ac:dyDescent="0.35">
      <c r="E2515" s="83"/>
      <c r="F2515" s="83"/>
      <c r="G2515" s="76"/>
      <c r="H2515" s="76"/>
      <c r="I2515" s="76"/>
      <c r="J2515" s="76"/>
      <c r="K2515" s="76"/>
      <c r="L2515" s="76"/>
      <c r="M2515" s="76"/>
      <c r="N2515" s="76"/>
      <c r="O2515" s="76"/>
      <c r="P2515" s="76"/>
      <c r="Q2515" s="76"/>
      <c r="R2515" s="76"/>
      <c r="S2515" s="76"/>
      <c r="T2515" s="76"/>
      <c r="U2515" s="76"/>
      <c r="V2515" s="76"/>
      <c r="W2515" s="76"/>
      <c r="X2515" s="76"/>
      <c r="Y2515" s="76"/>
      <c r="Z2515" s="76"/>
      <c r="AA2515" s="76"/>
      <c r="AB2515" s="76"/>
      <c r="AC2515" s="76"/>
      <c r="AD2515" s="76"/>
      <c r="AE2515" s="76"/>
      <c r="AF2515" s="76"/>
      <c r="AG2515" s="76"/>
      <c r="AH2515" s="76"/>
      <c r="AI2515" s="76"/>
      <c r="AJ2515" s="76"/>
      <c r="AK2515" s="76"/>
      <c r="AL2515" s="76"/>
      <c r="AM2515" s="76"/>
      <c r="AN2515" s="76"/>
      <c r="AO2515" s="76"/>
      <c r="AP2515" s="76"/>
      <c r="AQ2515" s="76"/>
      <c r="AR2515" s="76"/>
      <c r="AS2515" s="76"/>
      <c r="AT2515" s="76"/>
      <c r="AU2515" s="76"/>
      <c r="AV2515" s="76"/>
      <c r="AW2515" s="76"/>
      <c r="AX2515" s="76"/>
      <c r="AY2515" s="76"/>
      <c r="AZ2515" s="76"/>
      <c r="BA2515" s="76"/>
      <c r="BB2515" s="76"/>
    </row>
    <row r="2516" spans="5:54" x14ac:dyDescent="0.35">
      <c r="E2516" s="83"/>
      <c r="F2516" s="83"/>
      <c r="G2516" s="76"/>
      <c r="H2516" s="76"/>
      <c r="I2516" s="76"/>
      <c r="J2516" s="76"/>
      <c r="K2516" s="76"/>
      <c r="L2516" s="76"/>
      <c r="M2516" s="76"/>
      <c r="N2516" s="76"/>
      <c r="O2516" s="76"/>
      <c r="P2516" s="76"/>
      <c r="Q2516" s="76"/>
      <c r="R2516" s="76"/>
      <c r="S2516" s="76"/>
      <c r="T2516" s="76"/>
      <c r="U2516" s="76"/>
      <c r="V2516" s="76"/>
      <c r="W2516" s="76"/>
      <c r="X2516" s="76"/>
      <c r="Y2516" s="76"/>
      <c r="Z2516" s="76"/>
      <c r="AA2516" s="76"/>
      <c r="AB2516" s="76"/>
      <c r="AC2516" s="76"/>
      <c r="AD2516" s="76"/>
      <c r="AE2516" s="76"/>
      <c r="AF2516" s="76"/>
      <c r="AG2516" s="76"/>
      <c r="AH2516" s="76"/>
      <c r="AI2516" s="76"/>
      <c r="AJ2516" s="76"/>
      <c r="AK2516" s="76"/>
      <c r="AL2516" s="76"/>
      <c r="AM2516" s="76"/>
      <c r="AN2516" s="76"/>
      <c r="AO2516" s="76"/>
      <c r="AP2516" s="76"/>
      <c r="AQ2516" s="76"/>
      <c r="AR2516" s="76"/>
      <c r="AS2516" s="76"/>
      <c r="AT2516" s="76"/>
      <c r="AU2516" s="76"/>
      <c r="AV2516" s="76"/>
      <c r="AW2516" s="76"/>
      <c r="AX2516" s="76"/>
      <c r="AY2516" s="76"/>
      <c r="AZ2516" s="76"/>
      <c r="BA2516" s="76"/>
      <c r="BB2516" s="76"/>
    </row>
    <row r="2517" spans="5:54" x14ac:dyDescent="0.35">
      <c r="E2517" s="83"/>
      <c r="F2517" s="83"/>
      <c r="G2517" s="76"/>
      <c r="H2517" s="76"/>
      <c r="I2517" s="76"/>
      <c r="J2517" s="76"/>
      <c r="K2517" s="76"/>
      <c r="L2517" s="76"/>
      <c r="M2517" s="76"/>
      <c r="N2517" s="76"/>
      <c r="O2517" s="76"/>
      <c r="P2517" s="76"/>
      <c r="Q2517" s="76"/>
      <c r="R2517" s="76"/>
      <c r="S2517" s="76"/>
      <c r="T2517" s="76"/>
      <c r="U2517" s="76"/>
      <c r="V2517" s="76"/>
      <c r="W2517" s="76"/>
      <c r="X2517" s="76"/>
      <c r="Y2517" s="76"/>
      <c r="Z2517" s="76"/>
      <c r="AA2517" s="76"/>
      <c r="AB2517" s="76"/>
      <c r="AC2517" s="76"/>
      <c r="AD2517" s="76"/>
      <c r="AE2517" s="76"/>
      <c r="AF2517" s="76"/>
      <c r="AG2517" s="76"/>
      <c r="AH2517" s="76"/>
      <c r="AI2517" s="76"/>
      <c r="AJ2517" s="76"/>
      <c r="AK2517" s="76"/>
      <c r="AL2517" s="76"/>
      <c r="AM2517" s="76"/>
      <c r="AN2517" s="76"/>
      <c r="AO2517" s="76"/>
      <c r="AP2517" s="76"/>
      <c r="AQ2517" s="76"/>
      <c r="AR2517" s="76"/>
      <c r="AS2517" s="76"/>
      <c r="AT2517" s="76"/>
      <c r="AU2517" s="76"/>
      <c r="AV2517" s="76"/>
      <c r="AW2517" s="76"/>
      <c r="AX2517" s="76"/>
      <c r="AY2517" s="76"/>
      <c r="AZ2517" s="76"/>
      <c r="BA2517" s="76"/>
      <c r="BB2517" s="76"/>
    </row>
    <row r="2518" spans="5:54" x14ac:dyDescent="0.35">
      <c r="E2518" s="83"/>
      <c r="F2518" s="83"/>
      <c r="G2518" s="76"/>
      <c r="H2518" s="76"/>
      <c r="I2518" s="76"/>
      <c r="J2518" s="76"/>
      <c r="K2518" s="76"/>
      <c r="L2518" s="76"/>
      <c r="M2518" s="76"/>
      <c r="N2518" s="76"/>
      <c r="O2518" s="76"/>
      <c r="P2518" s="76"/>
      <c r="Q2518" s="76"/>
      <c r="R2518" s="76"/>
      <c r="S2518" s="76"/>
      <c r="T2518" s="76"/>
      <c r="U2518" s="76"/>
      <c r="V2518" s="76"/>
      <c r="W2518" s="76"/>
      <c r="X2518" s="76"/>
      <c r="Y2518" s="76"/>
      <c r="Z2518" s="76"/>
      <c r="AA2518" s="76"/>
      <c r="AB2518" s="76"/>
      <c r="AC2518" s="76"/>
      <c r="AD2518" s="76"/>
      <c r="AE2518" s="76"/>
      <c r="AF2518" s="76"/>
      <c r="AG2518" s="76"/>
      <c r="AH2518" s="76"/>
      <c r="AI2518" s="76"/>
      <c r="AJ2518" s="76"/>
      <c r="AK2518" s="76"/>
      <c r="AL2518" s="76"/>
      <c r="AM2518" s="76"/>
      <c r="AN2518" s="76"/>
      <c r="AO2518" s="76"/>
      <c r="AP2518" s="76"/>
      <c r="AQ2518" s="76"/>
      <c r="AR2518" s="76"/>
      <c r="AS2518" s="76"/>
      <c r="AT2518" s="76"/>
      <c r="AU2518" s="76"/>
      <c r="AV2518" s="76"/>
      <c r="AW2518" s="76"/>
      <c r="AX2518" s="76"/>
      <c r="AY2518" s="76"/>
      <c r="AZ2518" s="76"/>
      <c r="BA2518" s="76"/>
      <c r="BB2518" s="76"/>
    </row>
    <row r="2519" spans="5:54" x14ac:dyDescent="0.35">
      <c r="E2519" s="83"/>
      <c r="F2519" s="83"/>
      <c r="G2519" s="76"/>
      <c r="H2519" s="76"/>
      <c r="I2519" s="76"/>
      <c r="J2519" s="76"/>
      <c r="K2519" s="76"/>
      <c r="L2519" s="76"/>
      <c r="M2519" s="76"/>
      <c r="N2519" s="76"/>
      <c r="O2519" s="76"/>
      <c r="P2519" s="76"/>
      <c r="Q2519" s="76"/>
      <c r="R2519" s="76"/>
      <c r="S2519" s="76"/>
      <c r="T2519" s="76"/>
      <c r="U2519" s="76"/>
      <c r="V2519" s="76"/>
      <c r="W2519" s="76"/>
      <c r="X2519" s="76"/>
      <c r="Y2519" s="76"/>
      <c r="Z2519" s="76"/>
      <c r="AA2519" s="76"/>
      <c r="AB2519" s="76"/>
      <c r="AC2519" s="76"/>
      <c r="AD2519" s="76"/>
      <c r="AE2519" s="76"/>
      <c r="AF2519" s="76"/>
      <c r="AG2519" s="76"/>
      <c r="AH2519" s="76"/>
      <c r="AI2519" s="76"/>
      <c r="AJ2519" s="76"/>
      <c r="AK2519" s="76"/>
      <c r="AL2519" s="76"/>
      <c r="AM2519" s="76"/>
      <c r="AN2519" s="76"/>
      <c r="AO2519" s="76"/>
      <c r="AP2519" s="76"/>
      <c r="AQ2519" s="76"/>
      <c r="AR2519" s="76"/>
      <c r="AS2519" s="76"/>
      <c r="AT2519" s="76"/>
      <c r="AU2519" s="76"/>
      <c r="AV2519" s="76"/>
      <c r="AW2519" s="76"/>
      <c r="AX2519" s="76"/>
      <c r="AY2519" s="76"/>
      <c r="AZ2519" s="76"/>
      <c r="BA2519" s="76"/>
      <c r="BB2519" s="76"/>
    </row>
    <row r="2520" spans="5:54" x14ac:dyDescent="0.35">
      <c r="E2520" s="83"/>
      <c r="F2520" s="83"/>
      <c r="G2520" s="76"/>
      <c r="H2520" s="76"/>
      <c r="I2520" s="76"/>
      <c r="J2520" s="76"/>
      <c r="K2520" s="76"/>
      <c r="L2520" s="76"/>
      <c r="M2520" s="76"/>
      <c r="N2520" s="76"/>
      <c r="O2520" s="76"/>
      <c r="P2520" s="76"/>
      <c r="Q2520" s="76"/>
      <c r="R2520" s="76"/>
      <c r="S2520" s="76"/>
      <c r="T2520" s="76"/>
      <c r="U2520" s="76"/>
      <c r="V2520" s="76"/>
      <c r="W2520" s="76"/>
      <c r="X2520" s="76"/>
      <c r="Y2520" s="76"/>
      <c r="Z2520" s="76"/>
      <c r="AA2520" s="76"/>
      <c r="AB2520" s="76"/>
      <c r="AC2520" s="76"/>
      <c r="AD2520" s="76"/>
      <c r="AE2520" s="76"/>
      <c r="AF2520" s="76"/>
      <c r="AG2520" s="76"/>
      <c r="AH2520" s="76"/>
      <c r="AI2520" s="76"/>
      <c r="AJ2520" s="76"/>
      <c r="AK2520" s="76"/>
      <c r="AL2520" s="76"/>
      <c r="AM2520" s="76"/>
      <c r="AN2520" s="76"/>
      <c r="AO2520" s="76"/>
      <c r="AP2520" s="76"/>
      <c r="AQ2520" s="76"/>
      <c r="AR2520" s="76"/>
      <c r="AS2520" s="76"/>
      <c r="AT2520" s="76"/>
      <c r="AU2520" s="76"/>
      <c r="AV2520" s="76"/>
      <c r="AW2520" s="76"/>
      <c r="AX2520" s="76"/>
      <c r="AY2520" s="76"/>
      <c r="AZ2520" s="76"/>
      <c r="BA2520" s="76"/>
      <c r="BB2520" s="76"/>
    </row>
    <row r="2521" spans="5:54" x14ac:dyDescent="0.35">
      <c r="E2521" s="83"/>
      <c r="F2521" s="83"/>
      <c r="G2521" s="76"/>
      <c r="H2521" s="76"/>
      <c r="I2521" s="76"/>
      <c r="J2521" s="76"/>
      <c r="K2521" s="76"/>
      <c r="L2521" s="76"/>
      <c r="M2521" s="76"/>
      <c r="N2521" s="76"/>
      <c r="O2521" s="76"/>
      <c r="P2521" s="76"/>
      <c r="Q2521" s="76"/>
      <c r="R2521" s="76"/>
      <c r="S2521" s="76"/>
      <c r="T2521" s="76"/>
      <c r="U2521" s="76"/>
      <c r="V2521" s="76"/>
      <c r="W2521" s="76"/>
      <c r="X2521" s="76"/>
      <c r="Y2521" s="76"/>
      <c r="Z2521" s="76"/>
      <c r="AA2521" s="76"/>
      <c r="AB2521" s="76"/>
      <c r="AC2521" s="76"/>
      <c r="AD2521" s="76"/>
      <c r="AE2521" s="76"/>
      <c r="AF2521" s="76"/>
      <c r="AG2521" s="76"/>
      <c r="AH2521" s="76"/>
      <c r="AI2521" s="76"/>
      <c r="AJ2521" s="76"/>
      <c r="AK2521" s="76"/>
      <c r="AL2521" s="76"/>
      <c r="AM2521" s="76"/>
      <c r="AN2521" s="76"/>
      <c r="AO2521" s="76"/>
      <c r="AP2521" s="76"/>
      <c r="AQ2521" s="76"/>
      <c r="AR2521" s="76"/>
      <c r="AS2521" s="76"/>
      <c r="AT2521" s="76"/>
      <c r="AU2521" s="76"/>
      <c r="AV2521" s="76"/>
      <c r="AW2521" s="76"/>
      <c r="AX2521" s="76"/>
      <c r="AY2521" s="76"/>
      <c r="AZ2521" s="76"/>
      <c r="BA2521" s="76"/>
      <c r="BB2521" s="76"/>
    </row>
    <row r="2522" spans="5:54" x14ac:dyDescent="0.35">
      <c r="E2522" s="83"/>
      <c r="F2522" s="83"/>
      <c r="G2522" s="76"/>
      <c r="H2522" s="76"/>
      <c r="I2522" s="76"/>
      <c r="J2522" s="76"/>
      <c r="K2522" s="76"/>
      <c r="L2522" s="76"/>
      <c r="M2522" s="76"/>
      <c r="N2522" s="76"/>
      <c r="O2522" s="76"/>
      <c r="P2522" s="76"/>
      <c r="Q2522" s="76"/>
      <c r="R2522" s="76"/>
      <c r="S2522" s="76"/>
      <c r="T2522" s="76"/>
      <c r="U2522" s="76"/>
      <c r="V2522" s="76"/>
      <c r="W2522" s="76"/>
      <c r="X2522" s="76"/>
      <c r="Y2522" s="76"/>
      <c r="Z2522" s="76"/>
      <c r="AA2522" s="76"/>
      <c r="AB2522" s="76"/>
      <c r="AC2522" s="76"/>
      <c r="AD2522" s="76"/>
      <c r="AE2522" s="76"/>
      <c r="AF2522" s="76"/>
      <c r="AG2522" s="76"/>
      <c r="AH2522" s="76"/>
      <c r="AI2522" s="76"/>
      <c r="AJ2522" s="76"/>
      <c r="AK2522" s="76"/>
      <c r="AL2522" s="76"/>
      <c r="AM2522" s="76"/>
      <c r="AN2522" s="76"/>
      <c r="AO2522" s="76"/>
      <c r="AP2522" s="76"/>
      <c r="AQ2522" s="76"/>
      <c r="AR2522" s="76"/>
      <c r="AS2522" s="76"/>
      <c r="AT2522" s="76"/>
      <c r="AU2522" s="76"/>
      <c r="AV2522" s="76"/>
      <c r="AW2522" s="76"/>
      <c r="AX2522" s="76"/>
      <c r="AY2522" s="76"/>
      <c r="AZ2522" s="76"/>
      <c r="BA2522" s="76"/>
      <c r="BB2522" s="76"/>
    </row>
    <row r="2523" spans="5:54" x14ac:dyDescent="0.35">
      <c r="E2523" s="83"/>
      <c r="F2523" s="83"/>
      <c r="G2523" s="76"/>
      <c r="H2523" s="76"/>
      <c r="I2523" s="76"/>
      <c r="J2523" s="76"/>
      <c r="K2523" s="76"/>
      <c r="L2523" s="76"/>
      <c r="M2523" s="76"/>
      <c r="N2523" s="76"/>
      <c r="O2523" s="76"/>
      <c r="P2523" s="76"/>
      <c r="Q2523" s="76"/>
      <c r="R2523" s="76"/>
      <c r="S2523" s="76"/>
      <c r="T2523" s="76"/>
      <c r="U2523" s="76"/>
      <c r="V2523" s="76"/>
      <c r="W2523" s="76"/>
      <c r="X2523" s="76"/>
      <c r="Y2523" s="76"/>
      <c r="Z2523" s="76"/>
      <c r="AA2523" s="76"/>
      <c r="AB2523" s="76"/>
      <c r="AC2523" s="76"/>
      <c r="AD2523" s="76"/>
      <c r="AE2523" s="76"/>
      <c r="AF2523" s="76"/>
      <c r="AG2523" s="76"/>
      <c r="AH2523" s="76"/>
      <c r="AI2523" s="76"/>
      <c r="AJ2523" s="76"/>
      <c r="AK2523" s="76"/>
      <c r="AL2523" s="76"/>
      <c r="AM2523" s="76"/>
      <c r="AN2523" s="76"/>
      <c r="AO2523" s="76"/>
      <c r="AP2523" s="76"/>
      <c r="AQ2523" s="76"/>
      <c r="AR2523" s="76"/>
      <c r="AS2523" s="76"/>
      <c r="AT2523" s="76"/>
      <c r="AU2523" s="76"/>
      <c r="AV2523" s="76"/>
      <c r="AW2523" s="76"/>
      <c r="AX2523" s="76"/>
      <c r="AY2523" s="76"/>
      <c r="AZ2523" s="76"/>
      <c r="BA2523" s="76"/>
      <c r="BB2523" s="76"/>
    </row>
    <row r="2524" spans="5:54" x14ac:dyDescent="0.35">
      <c r="E2524" s="83"/>
      <c r="F2524" s="83"/>
      <c r="G2524" s="76"/>
      <c r="H2524" s="76"/>
      <c r="I2524" s="76"/>
      <c r="J2524" s="76"/>
      <c r="K2524" s="76"/>
      <c r="L2524" s="76"/>
      <c r="M2524" s="76"/>
      <c r="N2524" s="76"/>
      <c r="O2524" s="76"/>
      <c r="P2524" s="76"/>
      <c r="Q2524" s="76"/>
      <c r="R2524" s="76"/>
      <c r="S2524" s="76"/>
      <c r="T2524" s="76"/>
      <c r="U2524" s="76"/>
      <c r="V2524" s="76"/>
      <c r="W2524" s="76"/>
      <c r="X2524" s="76"/>
      <c r="Y2524" s="76"/>
      <c r="Z2524" s="76"/>
      <c r="AA2524" s="76"/>
      <c r="AB2524" s="76"/>
      <c r="AC2524" s="76"/>
      <c r="AD2524" s="76"/>
      <c r="AE2524" s="76"/>
      <c r="AF2524" s="76"/>
      <c r="AG2524" s="76"/>
      <c r="AH2524" s="76"/>
      <c r="AI2524" s="76"/>
      <c r="AJ2524" s="76"/>
      <c r="AK2524" s="76"/>
      <c r="AL2524" s="76"/>
      <c r="AM2524" s="76"/>
      <c r="AN2524" s="76"/>
      <c r="AO2524" s="76"/>
      <c r="AP2524" s="76"/>
      <c r="AQ2524" s="76"/>
      <c r="AR2524" s="76"/>
      <c r="AS2524" s="76"/>
      <c r="AT2524" s="76"/>
      <c r="AU2524" s="76"/>
      <c r="AV2524" s="76"/>
      <c r="AW2524" s="76"/>
      <c r="AX2524" s="76"/>
      <c r="AY2524" s="76"/>
      <c r="AZ2524" s="76"/>
      <c r="BA2524" s="76"/>
      <c r="BB2524" s="76"/>
    </row>
    <row r="2525" spans="5:54" x14ac:dyDescent="0.35">
      <c r="E2525" s="83"/>
      <c r="F2525" s="83"/>
      <c r="G2525" s="76"/>
      <c r="H2525" s="76"/>
      <c r="I2525" s="76"/>
      <c r="J2525" s="76"/>
      <c r="K2525" s="76"/>
      <c r="L2525" s="76"/>
      <c r="M2525" s="76"/>
      <c r="N2525" s="76"/>
      <c r="O2525" s="76"/>
      <c r="P2525" s="76"/>
      <c r="Q2525" s="76"/>
      <c r="R2525" s="76"/>
      <c r="S2525" s="76"/>
      <c r="T2525" s="76"/>
      <c r="U2525" s="76"/>
      <c r="V2525" s="76"/>
      <c r="W2525" s="76"/>
      <c r="X2525" s="76"/>
      <c r="Y2525" s="76"/>
      <c r="Z2525" s="76"/>
      <c r="AA2525" s="76"/>
      <c r="AB2525" s="76"/>
      <c r="AC2525" s="76"/>
      <c r="AD2525" s="76"/>
      <c r="AE2525" s="76"/>
      <c r="AF2525" s="76"/>
      <c r="AG2525" s="76"/>
      <c r="AH2525" s="76"/>
      <c r="AI2525" s="76"/>
      <c r="AJ2525" s="76"/>
      <c r="AK2525" s="76"/>
      <c r="AL2525" s="76"/>
      <c r="AM2525" s="76"/>
      <c r="AN2525" s="76"/>
      <c r="AO2525" s="76"/>
      <c r="AP2525" s="76"/>
      <c r="AQ2525" s="76"/>
      <c r="AR2525" s="76"/>
      <c r="AS2525" s="76"/>
      <c r="AT2525" s="76"/>
      <c r="AU2525" s="76"/>
      <c r="AV2525" s="76"/>
      <c r="AW2525" s="76"/>
      <c r="AX2525" s="76"/>
      <c r="AY2525" s="76"/>
      <c r="AZ2525" s="76"/>
      <c r="BA2525" s="76"/>
      <c r="BB2525" s="76"/>
    </row>
    <row r="2526" spans="5:54" x14ac:dyDescent="0.35">
      <c r="E2526" s="83"/>
      <c r="F2526" s="83"/>
      <c r="G2526" s="76"/>
      <c r="H2526" s="76"/>
      <c r="I2526" s="76"/>
      <c r="J2526" s="76"/>
      <c r="K2526" s="76"/>
      <c r="L2526" s="76"/>
      <c r="M2526" s="76"/>
      <c r="N2526" s="76"/>
      <c r="O2526" s="76"/>
      <c r="P2526" s="76"/>
      <c r="Q2526" s="76"/>
      <c r="R2526" s="76"/>
      <c r="S2526" s="76"/>
      <c r="T2526" s="76"/>
      <c r="U2526" s="76"/>
      <c r="V2526" s="76"/>
      <c r="W2526" s="76"/>
      <c r="X2526" s="76"/>
      <c r="Y2526" s="76"/>
      <c r="Z2526" s="76"/>
      <c r="AA2526" s="76"/>
      <c r="AB2526" s="76"/>
      <c r="AC2526" s="76"/>
      <c r="AD2526" s="76"/>
      <c r="AE2526" s="76"/>
      <c r="AF2526" s="76"/>
      <c r="AG2526" s="76"/>
      <c r="AH2526" s="76"/>
      <c r="AI2526" s="76"/>
      <c r="AJ2526" s="76"/>
      <c r="AK2526" s="76"/>
      <c r="AL2526" s="76"/>
      <c r="AM2526" s="76"/>
      <c r="AN2526" s="76"/>
      <c r="AO2526" s="76"/>
      <c r="AP2526" s="76"/>
      <c r="AQ2526" s="76"/>
      <c r="AR2526" s="76"/>
      <c r="AS2526" s="76"/>
      <c r="AT2526" s="76"/>
      <c r="AU2526" s="76"/>
      <c r="AV2526" s="76"/>
      <c r="AW2526" s="76"/>
      <c r="AX2526" s="76"/>
      <c r="AY2526" s="76"/>
      <c r="AZ2526" s="76"/>
      <c r="BA2526" s="76"/>
      <c r="BB2526" s="76"/>
    </row>
    <row r="2527" spans="5:54" x14ac:dyDescent="0.35">
      <c r="E2527" s="83"/>
      <c r="F2527" s="83"/>
      <c r="G2527" s="76"/>
      <c r="H2527" s="76"/>
      <c r="I2527" s="76"/>
      <c r="J2527" s="76"/>
      <c r="K2527" s="76"/>
      <c r="L2527" s="76"/>
      <c r="M2527" s="76"/>
      <c r="N2527" s="76"/>
      <c r="O2527" s="76"/>
      <c r="P2527" s="76"/>
      <c r="Q2527" s="76"/>
      <c r="R2527" s="76"/>
      <c r="S2527" s="76"/>
      <c r="T2527" s="76"/>
      <c r="U2527" s="76"/>
      <c r="V2527" s="76"/>
      <c r="W2527" s="76"/>
      <c r="X2527" s="76"/>
      <c r="Y2527" s="76"/>
      <c r="Z2527" s="76"/>
      <c r="AA2527" s="76"/>
      <c r="AB2527" s="76"/>
      <c r="AC2527" s="76"/>
      <c r="AD2527" s="76"/>
      <c r="AE2527" s="76"/>
      <c r="AF2527" s="76"/>
      <c r="AG2527" s="76"/>
      <c r="AH2527" s="76"/>
      <c r="AI2527" s="76"/>
      <c r="AJ2527" s="76"/>
      <c r="AK2527" s="76"/>
      <c r="AL2527" s="76"/>
      <c r="AM2527" s="76"/>
      <c r="AN2527" s="76"/>
      <c r="AO2527" s="76"/>
      <c r="AP2527" s="76"/>
      <c r="AQ2527" s="76"/>
      <c r="AR2527" s="76"/>
      <c r="AS2527" s="76"/>
      <c r="AT2527" s="76"/>
      <c r="AU2527" s="76"/>
      <c r="AV2527" s="76"/>
      <c r="AW2527" s="76"/>
      <c r="AX2527" s="76"/>
      <c r="AY2527" s="76"/>
      <c r="AZ2527" s="76"/>
      <c r="BA2527" s="76"/>
      <c r="BB2527" s="76"/>
    </row>
    <row r="2528" spans="5:54" x14ac:dyDescent="0.35">
      <c r="E2528" s="83"/>
      <c r="F2528" s="83"/>
      <c r="G2528" s="76"/>
      <c r="H2528" s="76"/>
      <c r="I2528" s="76"/>
      <c r="J2528" s="76"/>
      <c r="K2528" s="76"/>
      <c r="L2528" s="76"/>
      <c r="M2528" s="76"/>
      <c r="N2528" s="76"/>
      <c r="O2528" s="76"/>
      <c r="P2528" s="76"/>
      <c r="Q2528" s="76"/>
      <c r="R2528" s="76"/>
      <c r="S2528" s="76"/>
      <c r="T2528" s="76"/>
      <c r="U2528" s="76"/>
      <c r="V2528" s="76"/>
      <c r="W2528" s="76"/>
      <c r="X2528" s="76"/>
      <c r="Y2528" s="76"/>
      <c r="Z2528" s="76"/>
      <c r="AA2528" s="76"/>
      <c r="AB2528" s="76"/>
      <c r="AC2528" s="76"/>
      <c r="AD2528" s="76"/>
      <c r="AE2528" s="76"/>
      <c r="AF2528" s="76"/>
      <c r="AG2528" s="76"/>
      <c r="AH2528" s="76"/>
      <c r="AI2528" s="76"/>
      <c r="AJ2528" s="76"/>
      <c r="AK2528" s="76"/>
      <c r="AL2528" s="76"/>
      <c r="AM2528" s="76"/>
      <c r="AN2528" s="76"/>
      <c r="AO2528" s="76"/>
      <c r="AP2528" s="76"/>
      <c r="AQ2528" s="76"/>
      <c r="AR2528" s="76"/>
      <c r="AS2528" s="76"/>
      <c r="AT2528" s="76"/>
      <c r="AU2528" s="76"/>
      <c r="AV2528" s="76"/>
      <c r="AW2528" s="76"/>
      <c r="AX2528" s="76"/>
      <c r="AY2528" s="76"/>
      <c r="AZ2528" s="76"/>
      <c r="BA2528" s="76"/>
      <c r="BB2528" s="76"/>
    </row>
    <row r="2529" spans="5:54" x14ac:dyDescent="0.35">
      <c r="E2529" s="83"/>
      <c r="F2529" s="83"/>
      <c r="G2529" s="76"/>
      <c r="H2529" s="76"/>
      <c r="I2529" s="76"/>
      <c r="J2529" s="76"/>
      <c r="K2529" s="76"/>
      <c r="L2529" s="76"/>
      <c r="M2529" s="76"/>
      <c r="N2529" s="76"/>
      <c r="O2529" s="76"/>
      <c r="P2529" s="76"/>
      <c r="Q2529" s="76"/>
      <c r="R2529" s="76"/>
      <c r="S2529" s="76"/>
      <c r="T2529" s="76"/>
      <c r="U2529" s="76"/>
      <c r="V2529" s="76"/>
      <c r="W2529" s="76"/>
      <c r="X2529" s="76"/>
      <c r="Y2529" s="76"/>
      <c r="Z2529" s="76"/>
      <c r="AA2529" s="76"/>
      <c r="AB2529" s="76"/>
      <c r="AC2529" s="76"/>
      <c r="AD2529" s="76"/>
      <c r="AE2529" s="76"/>
      <c r="AF2529" s="76"/>
      <c r="AG2529" s="76"/>
      <c r="AH2529" s="76"/>
      <c r="AI2529" s="76"/>
      <c r="AJ2529" s="76"/>
      <c r="AK2529" s="76"/>
      <c r="AL2529" s="76"/>
      <c r="AM2529" s="76"/>
      <c r="AN2529" s="76"/>
      <c r="AO2529" s="76"/>
      <c r="AP2529" s="76"/>
      <c r="AQ2529" s="76"/>
      <c r="AR2529" s="76"/>
      <c r="AS2529" s="76"/>
      <c r="AT2529" s="76"/>
      <c r="AU2529" s="76"/>
      <c r="AV2529" s="76"/>
      <c r="AW2529" s="76"/>
      <c r="AX2529" s="76"/>
      <c r="AY2529" s="76"/>
      <c r="AZ2529" s="76"/>
      <c r="BA2529" s="76"/>
      <c r="BB2529" s="76"/>
    </row>
    <row r="2530" spans="5:54" x14ac:dyDescent="0.35">
      <c r="E2530" s="83"/>
      <c r="F2530" s="83"/>
      <c r="G2530" s="76"/>
      <c r="H2530" s="76"/>
      <c r="I2530" s="76"/>
      <c r="J2530" s="76"/>
      <c r="K2530" s="76"/>
      <c r="L2530" s="76"/>
      <c r="M2530" s="76"/>
      <c r="N2530" s="76"/>
      <c r="O2530" s="76"/>
      <c r="P2530" s="76"/>
      <c r="Q2530" s="76"/>
      <c r="R2530" s="76"/>
      <c r="S2530" s="76"/>
      <c r="T2530" s="76"/>
      <c r="U2530" s="76"/>
      <c r="V2530" s="76"/>
      <c r="W2530" s="76"/>
      <c r="X2530" s="76"/>
      <c r="Y2530" s="76"/>
      <c r="Z2530" s="76"/>
      <c r="AA2530" s="76"/>
      <c r="AB2530" s="76"/>
      <c r="AC2530" s="76"/>
      <c r="AD2530" s="76"/>
      <c r="AE2530" s="76"/>
      <c r="AF2530" s="76"/>
      <c r="AG2530" s="76"/>
      <c r="AH2530" s="76"/>
      <c r="AI2530" s="76"/>
      <c r="AJ2530" s="76"/>
      <c r="AK2530" s="76"/>
      <c r="AL2530" s="76"/>
      <c r="AM2530" s="76"/>
      <c r="AN2530" s="76"/>
      <c r="AO2530" s="76"/>
      <c r="AP2530" s="76"/>
      <c r="AQ2530" s="76"/>
      <c r="AR2530" s="76"/>
      <c r="AS2530" s="76"/>
      <c r="AT2530" s="76"/>
      <c r="AU2530" s="76"/>
      <c r="AV2530" s="76"/>
      <c r="AW2530" s="76"/>
      <c r="AX2530" s="76"/>
      <c r="AY2530" s="76"/>
      <c r="AZ2530" s="76"/>
      <c r="BA2530" s="76"/>
      <c r="BB2530" s="76"/>
    </row>
    <row r="2531" spans="5:54" x14ac:dyDescent="0.35">
      <c r="E2531" s="83"/>
      <c r="F2531" s="83"/>
      <c r="G2531" s="76"/>
      <c r="H2531" s="76"/>
      <c r="I2531" s="76"/>
      <c r="J2531" s="76"/>
      <c r="K2531" s="76"/>
      <c r="L2531" s="76"/>
      <c r="M2531" s="76"/>
      <c r="N2531" s="76"/>
      <c r="O2531" s="76"/>
      <c r="P2531" s="76"/>
      <c r="Q2531" s="76"/>
      <c r="R2531" s="76"/>
      <c r="S2531" s="76"/>
      <c r="T2531" s="76"/>
      <c r="U2531" s="76"/>
      <c r="V2531" s="76"/>
      <c r="W2531" s="76"/>
      <c r="X2531" s="76"/>
      <c r="Y2531" s="76"/>
      <c r="Z2531" s="76"/>
      <c r="AA2531" s="76"/>
      <c r="AB2531" s="76"/>
      <c r="AC2531" s="76"/>
      <c r="AD2531" s="76"/>
      <c r="AE2531" s="76"/>
      <c r="AF2531" s="76"/>
      <c r="AG2531" s="76"/>
      <c r="AH2531" s="76"/>
      <c r="AI2531" s="76"/>
      <c r="AJ2531" s="76"/>
      <c r="AK2531" s="76"/>
      <c r="AL2531" s="76"/>
      <c r="AM2531" s="76"/>
      <c r="AN2531" s="76"/>
      <c r="AO2531" s="76"/>
      <c r="AP2531" s="76"/>
      <c r="AQ2531" s="76"/>
      <c r="AR2531" s="76"/>
      <c r="AS2531" s="76"/>
      <c r="AT2531" s="76"/>
      <c r="AU2531" s="76"/>
      <c r="AV2531" s="76"/>
      <c r="AW2531" s="76"/>
      <c r="AX2531" s="76"/>
      <c r="AY2531" s="76"/>
      <c r="AZ2531" s="76"/>
      <c r="BA2531" s="76"/>
      <c r="BB2531" s="76"/>
    </row>
    <row r="2532" spans="5:54" x14ac:dyDescent="0.35">
      <c r="E2532" s="83"/>
      <c r="F2532" s="83"/>
      <c r="G2532" s="76"/>
      <c r="H2532" s="76"/>
      <c r="I2532" s="76"/>
      <c r="J2532" s="76"/>
      <c r="K2532" s="76"/>
      <c r="L2532" s="76"/>
      <c r="M2532" s="76"/>
      <c r="N2532" s="76"/>
      <c r="O2532" s="76"/>
      <c r="P2532" s="76"/>
      <c r="Q2532" s="76"/>
      <c r="R2532" s="76"/>
      <c r="S2532" s="76"/>
      <c r="T2532" s="76"/>
      <c r="U2532" s="76"/>
      <c r="V2532" s="76"/>
      <c r="W2532" s="76"/>
      <c r="X2532" s="76"/>
      <c r="Y2532" s="76"/>
      <c r="Z2532" s="76"/>
      <c r="AA2532" s="76"/>
      <c r="AB2532" s="76"/>
      <c r="AC2532" s="76"/>
      <c r="AD2532" s="76"/>
      <c r="AE2532" s="76"/>
      <c r="AF2532" s="76"/>
      <c r="AG2532" s="76"/>
      <c r="AH2532" s="76"/>
      <c r="AI2532" s="76"/>
      <c r="AJ2532" s="76"/>
      <c r="AK2532" s="76"/>
      <c r="AL2532" s="76"/>
      <c r="AM2532" s="76"/>
      <c r="AN2532" s="76"/>
      <c r="AO2532" s="76"/>
      <c r="AP2532" s="76"/>
      <c r="AQ2532" s="76"/>
      <c r="AR2532" s="76"/>
      <c r="AS2532" s="76"/>
      <c r="AT2532" s="76"/>
      <c r="AU2532" s="76"/>
      <c r="AV2532" s="76"/>
      <c r="AW2532" s="76"/>
      <c r="AX2532" s="76"/>
      <c r="AY2532" s="76"/>
      <c r="AZ2532" s="76"/>
      <c r="BA2532" s="76"/>
      <c r="BB2532" s="76"/>
    </row>
    <row r="2533" spans="5:54" x14ac:dyDescent="0.35">
      <c r="E2533" s="83"/>
      <c r="F2533" s="83"/>
      <c r="G2533" s="76"/>
      <c r="H2533" s="76"/>
      <c r="I2533" s="76"/>
      <c r="J2533" s="76"/>
      <c r="K2533" s="76"/>
      <c r="L2533" s="76"/>
      <c r="M2533" s="76"/>
      <c r="N2533" s="76"/>
      <c r="O2533" s="76"/>
      <c r="P2533" s="76"/>
      <c r="Q2533" s="76"/>
      <c r="R2533" s="76"/>
      <c r="S2533" s="76"/>
      <c r="T2533" s="76"/>
      <c r="U2533" s="76"/>
      <c r="V2533" s="76"/>
      <c r="W2533" s="76"/>
      <c r="X2533" s="76"/>
      <c r="Y2533" s="76"/>
      <c r="Z2533" s="76"/>
      <c r="AA2533" s="76"/>
      <c r="AB2533" s="76"/>
      <c r="AC2533" s="76"/>
      <c r="AD2533" s="76"/>
      <c r="AE2533" s="76"/>
      <c r="AF2533" s="76"/>
      <c r="AG2533" s="76"/>
      <c r="AH2533" s="76"/>
      <c r="AI2533" s="76"/>
      <c r="AJ2533" s="76"/>
      <c r="AK2533" s="76"/>
      <c r="AL2533" s="76"/>
      <c r="AM2533" s="76"/>
      <c r="AN2533" s="76"/>
      <c r="AO2533" s="76"/>
      <c r="AP2533" s="76"/>
      <c r="AQ2533" s="76"/>
      <c r="AR2533" s="76"/>
      <c r="AS2533" s="76"/>
      <c r="AT2533" s="76"/>
      <c r="AU2533" s="76"/>
      <c r="AV2533" s="76"/>
      <c r="AW2533" s="76"/>
      <c r="AX2533" s="76"/>
      <c r="AY2533" s="76"/>
      <c r="AZ2533" s="76"/>
      <c r="BA2533" s="76"/>
      <c r="BB2533" s="76"/>
    </row>
    <row r="2534" spans="5:54" x14ac:dyDescent="0.35">
      <c r="E2534" s="83"/>
      <c r="F2534" s="83"/>
      <c r="G2534" s="76"/>
      <c r="H2534" s="76"/>
      <c r="I2534" s="76"/>
      <c r="J2534" s="76"/>
      <c r="K2534" s="76"/>
      <c r="L2534" s="76"/>
      <c r="M2534" s="76"/>
      <c r="N2534" s="76"/>
      <c r="O2534" s="76"/>
      <c r="P2534" s="76"/>
      <c r="Q2534" s="76"/>
      <c r="R2534" s="76"/>
      <c r="S2534" s="76"/>
      <c r="T2534" s="76"/>
      <c r="U2534" s="76"/>
      <c r="V2534" s="76"/>
      <c r="W2534" s="76"/>
      <c r="X2534" s="76"/>
      <c r="Y2534" s="76"/>
      <c r="Z2534" s="76"/>
      <c r="AA2534" s="76"/>
      <c r="AB2534" s="76"/>
      <c r="AC2534" s="76"/>
      <c r="AD2534" s="76"/>
      <c r="AE2534" s="76"/>
      <c r="AF2534" s="76"/>
      <c r="AG2534" s="76"/>
      <c r="AH2534" s="76"/>
      <c r="AI2534" s="76"/>
      <c r="AJ2534" s="76"/>
      <c r="AK2534" s="76"/>
      <c r="AL2534" s="76"/>
      <c r="AM2534" s="76"/>
      <c r="AN2534" s="76"/>
      <c r="AO2534" s="76"/>
      <c r="AP2534" s="76"/>
      <c r="AQ2534" s="76"/>
      <c r="AR2534" s="76"/>
      <c r="AS2534" s="76"/>
      <c r="AT2534" s="76"/>
      <c r="AU2534" s="76"/>
      <c r="AV2534" s="76"/>
      <c r="AW2534" s="76"/>
      <c r="AX2534" s="76"/>
      <c r="AY2534" s="76"/>
      <c r="AZ2534" s="76"/>
      <c r="BA2534" s="76"/>
      <c r="BB2534" s="76"/>
    </row>
    <row r="2535" spans="5:54" x14ac:dyDescent="0.35">
      <c r="E2535" s="83"/>
      <c r="F2535" s="83"/>
      <c r="G2535" s="76"/>
      <c r="H2535" s="76"/>
      <c r="I2535" s="76"/>
      <c r="J2535" s="76"/>
      <c r="K2535" s="76"/>
      <c r="L2535" s="76"/>
      <c r="M2535" s="76"/>
      <c r="N2535" s="76"/>
      <c r="O2535" s="76"/>
      <c r="P2535" s="76"/>
      <c r="Q2535" s="76"/>
      <c r="R2535" s="76"/>
      <c r="S2535" s="76"/>
      <c r="T2535" s="76"/>
      <c r="U2535" s="76"/>
      <c r="V2535" s="76"/>
      <c r="W2535" s="76"/>
      <c r="X2535" s="76"/>
      <c r="Y2535" s="76"/>
      <c r="Z2535" s="76"/>
      <c r="AA2535" s="76"/>
      <c r="AB2535" s="76"/>
      <c r="AC2535" s="76"/>
      <c r="AD2535" s="76"/>
      <c r="AE2535" s="76"/>
      <c r="AF2535" s="76"/>
      <c r="AG2535" s="76"/>
      <c r="AH2535" s="76"/>
      <c r="AI2535" s="76"/>
      <c r="AJ2535" s="76"/>
      <c r="AK2535" s="76"/>
      <c r="AL2535" s="76"/>
      <c r="AM2535" s="76"/>
      <c r="AN2535" s="76"/>
      <c r="AO2535" s="76"/>
      <c r="AP2535" s="76"/>
      <c r="AQ2535" s="76"/>
      <c r="AR2535" s="76"/>
      <c r="AS2535" s="76"/>
      <c r="AT2535" s="76"/>
      <c r="AU2535" s="76"/>
      <c r="AV2535" s="76"/>
      <c r="AW2535" s="76"/>
      <c r="AX2535" s="76"/>
      <c r="AY2535" s="76"/>
      <c r="AZ2535" s="76"/>
      <c r="BA2535" s="76"/>
      <c r="BB2535" s="76"/>
    </row>
    <row r="2536" spans="5:54" x14ac:dyDescent="0.35">
      <c r="E2536" s="83"/>
      <c r="F2536" s="83"/>
      <c r="G2536" s="76"/>
      <c r="H2536" s="76"/>
      <c r="I2536" s="76"/>
      <c r="J2536" s="76"/>
      <c r="K2536" s="76"/>
      <c r="L2536" s="76"/>
      <c r="M2536" s="76"/>
      <c r="N2536" s="76"/>
      <c r="O2536" s="76"/>
      <c r="P2536" s="76"/>
      <c r="Q2536" s="76"/>
      <c r="R2536" s="76"/>
      <c r="S2536" s="76"/>
      <c r="T2536" s="76"/>
      <c r="U2536" s="76"/>
      <c r="V2536" s="76"/>
      <c r="W2536" s="76"/>
      <c r="X2536" s="76"/>
      <c r="Y2536" s="76"/>
      <c r="Z2536" s="76"/>
      <c r="AA2536" s="76"/>
      <c r="AB2536" s="76"/>
      <c r="AC2536" s="76"/>
      <c r="AD2536" s="76"/>
      <c r="AE2536" s="76"/>
      <c r="AF2536" s="76"/>
      <c r="AG2536" s="76"/>
      <c r="AH2536" s="76"/>
      <c r="AI2536" s="76"/>
      <c r="AJ2536" s="76"/>
      <c r="AK2536" s="76"/>
      <c r="AL2536" s="76"/>
      <c r="AM2536" s="76"/>
      <c r="AN2536" s="76"/>
      <c r="AO2536" s="76"/>
      <c r="AP2536" s="76"/>
      <c r="AQ2536" s="76"/>
      <c r="AR2536" s="76"/>
      <c r="AS2536" s="76"/>
      <c r="AT2536" s="76"/>
      <c r="AU2536" s="76"/>
      <c r="AV2536" s="76"/>
      <c r="AW2536" s="76"/>
      <c r="AX2536" s="76"/>
      <c r="AY2536" s="76"/>
      <c r="AZ2536" s="76"/>
      <c r="BA2536" s="76"/>
      <c r="BB2536" s="76"/>
    </row>
    <row r="2537" spans="5:54" x14ac:dyDescent="0.35">
      <c r="E2537" s="83"/>
      <c r="F2537" s="83"/>
      <c r="G2537" s="76"/>
      <c r="H2537" s="76"/>
      <c r="I2537" s="76"/>
      <c r="J2537" s="76"/>
      <c r="K2537" s="76"/>
      <c r="L2537" s="76"/>
      <c r="M2537" s="76"/>
      <c r="N2537" s="76"/>
      <c r="O2537" s="76"/>
      <c r="P2537" s="76"/>
      <c r="Q2537" s="76"/>
      <c r="R2537" s="76"/>
      <c r="S2537" s="76"/>
      <c r="T2537" s="76"/>
      <c r="U2537" s="76"/>
      <c r="V2537" s="76"/>
      <c r="W2537" s="76"/>
      <c r="X2537" s="76"/>
      <c r="Y2537" s="76"/>
      <c r="Z2537" s="76"/>
      <c r="AA2537" s="76"/>
      <c r="AB2537" s="76"/>
      <c r="AC2537" s="76"/>
      <c r="AD2537" s="76"/>
      <c r="AE2537" s="76"/>
      <c r="AF2537" s="76"/>
      <c r="AG2537" s="76"/>
      <c r="AH2537" s="76"/>
      <c r="AI2537" s="76"/>
      <c r="AJ2537" s="76"/>
      <c r="AK2537" s="76"/>
      <c r="AL2537" s="76"/>
      <c r="AM2537" s="76"/>
      <c r="AN2537" s="76"/>
      <c r="AO2537" s="76"/>
      <c r="AP2537" s="76"/>
      <c r="AQ2537" s="76"/>
      <c r="AR2537" s="76"/>
      <c r="AS2537" s="76"/>
      <c r="AT2537" s="76"/>
      <c r="AU2537" s="76"/>
      <c r="AV2537" s="76"/>
      <c r="AW2537" s="76"/>
      <c r="AX2537" s="76"/>
      <c r="AY2537" s="76"/>
      <c r="AZ2537" s="76"/>
      <c r="BA2537" s="76"/>
      <c r="BB2537" s="76"/>
    </row>
    <row r="2538" spans="5:54" x14ac:dyDescent="0.35">
      <c r="E2538" s="83"/>
      <c r="F2538" s="83"/>
      <c r="G2538" s="76"/>
      <c r="H2538" s="76"/>
      <c r="I2538" s="76"/>
      <c r="J2538" s="76"/>
      <c r="K2538" s="76"/>
      <c r="L2538" s="76"/>
      <c r="M2538" s="76"/>
      <c r="N2538" s="76"/>
      <c r="O2538" s="76"/>
      <c r="P2538" s="76"/>
      <c r="Q2538" s="76"/>
      <c r="R2538" s="76"/>
      <c r="S2538" s="76"/>
      <c r="T2538" s="76"/>
      <c r="U2538" s="76"/>
      <c r="V2538" s="76"/>
      <c r="W2538" s="76"/>
      <c r="X2538" s="76"/>
      <c r="Y2538" s="76"/>
      <c r="Z2538" s="76"/>
      <c r="AA2538" s="76"/>
      <c r="AB2538" s="76"/>
      <c r="AC2538" s="76"/>
      <c r="AD2538" s="76"/>
      <c r="AE2538" s="76"/>
      <c r="AF2538" s="76"/>
      <c r="AG2538" s="76"/>
      <c r="AH2538" s="76"/>
      <c r="AI2538" s="76"/>
      <c r="AJ2538" s="76"/>
      <c r="AK2538" s="76"/>
      <c r="AL2538" s="76"/>
      <c r="AM2538" s="76"/>
      <c r="AN2538" s="76"/>
      <c r="AO2538" s="76"/>
      <c r="AP2538" s="76"/>
      <c r="AQ2538" s="76"/>
      <c r="AR2538" s="76"/>
      <c r="AS2538" s="76"/>
      <c r="AT2538" s="76"/>
      <c r="AU2538" s="76"/>
      <c r="AV2538" s="76"/>
      <c r="AW2538" s="76"/>
      <c r="AX2538" s="76"/>
      <c r="AY2538" s="76"/>
      <c r="AZ2538" s="76"/>
      <c r="BA2538" s="76"/>
      <c r="BB2538" s="76"/>
    </row>
    <row r="2539" spans="5:54" x14ac:dyDescent="0.35">
      <c r="E2539" s="83"/>
      <c r="F2539" s="83"/>
      <c r="G2539" s="76"/>
      <c r="H2539" s="76"/>
      <c r="I2539" s="76"/>
      <c r="J2539" s="76"/>
      <c r="K2539" s="76"/>
      <c r="L2539" s="76"/>
      <c r="M2539" s="76"/>
      <c r="N2539" s="76"/>
      <c r="O2539" s="76"/>
      <c r="P2539" s="76"/>
      <c r="Q2539" s="76"/>
      <c r="R2539" s="76"/>
      <c r="S2539" s="76"/>
      <c r="T2539" s="76"/>
      <c r="U2539" s="76"/>
      <c r="V2539" s="76"/>
      <c r="W2539" s="76"/>
      <c r="X2539" s="76"/>
      <c r="Y2539" s="76"/>
      <c r="Z2539" s="76"/>
      <c r="AA2539" s="76"/>
      <c r="AB2539" s="76"/>
      <c r="AC2539" s="76"/>
      <c r="AD2539" s="76"/>
      <c r="AE2539" s="76"/>
      <c r="AF2539" s="76"/>
      <c r="AG2539" s="76"/>
      <c r="AH2539" s="76"/>
      <c r="AI2539" s="76"/>
      <c r="AJ2539" s="76"/>
      <c r="AK2539" s="76"/>
      <c r="AL2539" s="76"/>
      <c r="AM2539" s="76"/>
      <c r="AN2539" s="76"/>
      <c r="AO2539" s="76"/>
      <c r="AP2539" s="76"/>
      <c r="AQ2539" s="76"/>
      <c r="AR2539" s="76"/>
      <c r="AS2539" s="76"/>
      <c r="AT2539" s="76"/>
      <c r="AU2539" s="76"/>
      <c r="AV2539" s="76"/>
      <c r="AW2539" s="76"/>
      <c r="AX2539" s="76"/>
      <c r="AY2539" s="76"/>
      <c r="AZ2539" s="76"/>
      <c r="BA2539" s="76"/>
      <c r="BB2539" s="76"/>
    </row>
    <row r="2540" spans="5:54" x14ac:dyDescent="0.35">
      <c r="E2540" s="83"/>
      <c r="F2540" s="83"/>
      <c r="G2540" s="76"/>
      <c r="H2540" s="76"/>
      <c r="I2540" s="76"/>
      <c r="J2540" s="76"/>
      <c r="K2540" s="76"/>
      <c r="L2540" s="76"/>
      <c r="M2540" s="76"/>
      <c r="N2540" s="76"/>
      <c r="O2540" s="76"/>
      <c r="P2540" s="76"/>
      <c r="Q2540" s="76"/>
      <c r="R2540" s="76"/>
      <c r="S2540" s="76"/>
      <c r="T2540" s="76"/>
      <c r="U2540" s="76"/>
      <c r="V2540" s="76"/>
      <c r="W2540" s="76"/>
      <c r="X2540" s="76"/>
      <c r="Y2540" s="76"/>
      <c r="Z2540" s="76"/>
      <c r="AA2540" s="76"/>
      <c r="AB2540" s="76"/>
      <c r="AC2540" s="76"/>
      <c r="AD2540" s="76"/>
      <c r="AE2540" s="76"/>
      <c r="AF2540" s="76"/>
      <c r="AG2540" s="76"/>
      <c r="AH2540" s="76"/>
      <c r="AI2540" s="76"/>
      <c r="AJ2540" s="76"/>
      <c r="AK2540" s="76"/>
      <c r="AL2540" s="76"/>
      <c r="AM2540" s="76"/>
      <c r="AN2540" s="76"/>
      <c r="AO2540" s="76"/>
      <c r="AP2540" s="76"/>
      <c r="AQ2540" s="76"/>
      <c r="AR2540" s="76"/>
      <c r="AS2540" s="76"/>
      <c r="AT2540" s="76"/>
      <c r="AU2540" s="76"/>
      <c r="AV2540" s="76"/>
      <c r="AW2540" s="76"/>
      <c r="AX2540" s="76"/>
      <c r="AY2540" s="76"/>
      <c r="AZ2540" s="76"/>
      <c r="BA2540" s="76"/>
      <c r="BB2540" s="76"/>
    </row>
    <row r="2541" spans="5:54" x14ac:dyDescent="0.35">
      <c r="E2541" s="83"/>
      <c r="F2541" s="83"/>
      <c r="G2541" s="76"/>
      <c r="H2541" s="76"/>
      <c r="I2541" s="76"/>
      <c r="J2541" s="76"/>
      <c r="K2541" s="76"/>
      <c r="L2541" s="76"/>
      <c r="M2541" s="76"/>
      <c r="N2541" s="76"/>
      <c r="O2541" s="76"/>
      <c r="P2541" s="76"/>
      <c r="Q2541" s="76"/>
      <c r="R2541" s="76"/>
      <c r="S2541" s="76"/>
      <c r="T2541" s="76"/>
      <c r="U2541" s="76"/>
      <c r="V2541" s="76"/>
      <c r="W2541" s="76"/>
      <c r="X2541" s="76"/>
      <c r="Y2541" s="76"/>
      <c r="Z2541" s="76"/>
      <c r="AA2541" s="76"/>
      <c r="AB2541" s="76"/>
      <c r="AC2541" s="76"/>
      <c r="AD2541" s="76"/>
      <c r="AE2541" s="76"/>
      <c r="AF2541" s="76"/>
      <c r="AG2541" s="76"/>
      <c r="AH2541" s="76"/>
      <c r="AI2541" s="76"/>
      <c r="AJ2541" s="76"/>
      <c r="AK2541" s="76"/>
      <c r="AL2541" s="76"/>
      <c r="AM2541" s="76"/>
      <c r="AN2541" s="76"/>
      <c r="AO2541" s="76"/>
      <c r="AP2541" s="76"/>
      <c r="AQ2541" s="76"/>
      <c r="AR2541" s="76"/>
      <c r="AS2541" s="76"/>
      <c r="AT2541" s="76"/>
      <c r="AU2541" s="76"/>
      <c r="AV2541" s="76"/>
      <c r="AW2541" s="76"/>
      <c r="AX2541" s="76"/>
      <c r="AY2541" s="76"/>
      <c r="AZ2541" s="76"/>
      <c r="BA2541" s="76"/>
      <c r="BB2541" s="76"/>
    </row>
    <row r="2542" spans="5:54" x14ac:dyDescent="0.35">
      <c r="E2542" s="83"/>
      <c r="F2542" s="83"/>
      <c r="G2542" s="76"/>
      <c r="H2542" s="76"/>
      <c r="I2542" s="76"/>
      <c r="J2542" s="76"/>
      <c r="K2542" s="76"/>
      <c r="L2542" s="76"/>
      <c r="M2542" s="76"/>
      <c r="N2542" s="76"/>
      <c r="O2542" s="76"/>
      <c r="P2542" s="76"/>
      <c r="Q2542" s="76"/>
      <c r="R2542" s="76"/>
      <c r="S2542" s="76"/>
      <c r="T2542" s="76"/>
      <c r="U2542" s="76"/>
      <c r="V2542" s="76"/>
      <c r="W2542" s="76"/>
      <c r="X2542" s="76"/>
      <c r="Y2542" s="76"/>
      <c r="Z2542" s="76"/>
      <c r="AA2542" s="76"/>
      <c r="AB2542" s="76"/>
      <c r="AC2542" s="76"/>
      <c r="AD2542" s="76"/>
      <c r="AE2542" s="76"/>
      <c r="AF2542" s="76"/>
      <c r="AG2542" s="76"/>
      <c r="AH2542" s="76"/>
      <c r="AI2542" s="76"/>
      <c r="AJ2542" s="76"/>
      <c r="AK2542" s="76"/>
      <c r="AL2542" s="76"/>
      <c r="AM2542" s="76"/>
      <c r="AN2542" s="76"/>
      <c r="AO2542" s="76"/>
      <c r="AP2542" s="76"/>
      <c r="AQ2542" s="76"/>
      <c r="AR2542" s="76"/>
      <c r="AS2542" s="76"/>
      <c r="AT2542" s="76"/>
      <c r="AU2542" s="76"/>
      <c r="AV2542" s="76"/>
      <c r="AW2542" s="76"/>
      <c r="AX2542" s="76"/>
      <c r="AY2542" s="76"/>
      <c r="AZ2542" s="76"/>
      <c r="BA2542" s="76"/>
      <c r="BB2542" s="76"/>
    </row>
    <row r="2543" spans="5:54" x14ac:dyDescent="0.35">
      <c r="E2543" s="83"/>
      <c r="F2543" s="83"/>
      <c r="G2543" s="76"/>
      <c r="H2543" s="76"/>
      <c r="I2543" s="76"/>
      <c r="J2543" s="76"/>
      <c r="K2543" s="76"/>
      <c r="L2543" s="76"/>
      <c r="M2543" s="76"/>
      <c r="N2543" s="76"/>
      <c r="O2543" s="76"/>
      <c r="P2543" s="76"/>
      <c r="Q2543" s="76"/>
      <c r="R2543" s="76"/>
      <c r="S2543" s="76"/>
      <c r="T2543" s="76"/>
      <c r="U2543" s="76"/>
      <c r="V2543" s="76"/>
      <c r="W2543" s="76"/>
      <c r="X2543" s="76"/>
      <c r="Y2543" s="76"/>
      <c r="Z2543" s="76"/>
      <c r="AA2543" s="76"/>
      <c r="AB2543" s="76"/>
      <c r="AC2543" s="76"/>
      <c r="AD2543" s="76"/>
      <c r="AE2543" s="76"/>
      <c r="AF2543" s="76"/>
      <c r="AG2543" s="76"/>
      <c r="AH2543" s="76"/>
      <c r="AI2543" s="76"/>
      <c r="AJ2543" s="76"/>
      <c r="AK2543" s="76"/>
      <c r="AL2543" s="76"/>
      <c r="AM2543" s="76"/>
      <c r="AN2543" s="76"/>
      <c r="AO2543" s="76"/>
      <c r="AP2543" s="76"/>
      <c r="AQ2543" s="76"/>
      <c r="AR2543" s="76"/>
      <c r="AS2543" s="76"/>
      <c r="AT2543" s="76"/>
      <c r="AU2543" s="76"/>
      <c r="AV2543" s="76"/>
      <c r="AW2543" s="76"/>
      <c r="AX2543" s="76"/>
      <c r="AY2543" s="76"/>
      <c r="AZ2543" s="76"/>
      <c r="BA2543" s="76"/>
      <c r="BB2543" s="76"/>
    </row>
    <row r="2544" spans="5:54" x14ac:dyDescent="0.35">
      <c r="E2544" s="83"/>
      <c r="F2544" s="83"/>
      <c r="G2544" s="76"/>
      <c r="H2544" s="76"/>
      <c r="I2544" s="76"/>
      <c r="J2544" s="76"/>
      <c r="K2544" s="76"/>
      <c r="L2544" s="76"/>
      <c r="M2544" s="76"/>
      <c r="N2544" s="76"/>
      <c r="O2544" s="76"/>
      <c r="P2544" s="76"/>
      <c r="Q2544" s="76"/>
      <c r="R2544" s="76"/>
      <c r="S2544" s="76"/>
      <c r="T2544" s="76"/>
      <c r="U2544" s="76"/>
      <c r="V2544" s="76"/>
      <c r="W2544" s="76"/>
      <c r="X2544" s="76"/>
      <c r="Y2544" s="76"/>
      <c r="Z2544" s="76"/>
      <c r="AA2544" s="76"/>
      <c r="AB2544" s="76"/>
      <c r="AC2544" s="76"/>
      <c r="AD2544" s="76"/>
      <c r="AE2544" s="76"/>
      <c r="AF2544" s="76"/>
      <c r="AG2544" s="76"/>
      <c r="AH2544" s="76"/>
      <c r="AI2544" s="76"/>
      <c r="AJ2544" s="76"/>
      <c r="AK2544" s="76"/>
      <c r="AL2544" s="76"/>
      <c r="AM2544" s="76"/>
      <c r="AN2544" s="76"/>
      <c r="AO2544" s="76"/>
      <c r="AP2544" s="76"/>
      <c r="AQ2544" s="76"/>
      <c r="AR2544" s="76"/>
      <c r="AS2544" s="76"/>
      <c r="AT2544" s="76"/>
      <c r="AU2544" s="76"/>
      <c r="AV2544" s="76"/>
      <c r="AW2544" s="76"/>
      <c r="AX2544" s="76"/>
      <c r="AY2544" s="76"/>
      <c r="AZ2544" s="76"/>
      <c r="BA2544" s="76"/>
      <c r="BB2544" s="76"/>
    </row>
    <row r="2545" spans="5:54" x14ac:dyDescent="0.35">
      <c r="E2545" s="83"/>
      <c r="F2545" s="83"/>
      <c r="G2545" s="76"/>
      <c r="H2545" s="76"/>
      <c r="I2545" s="76"/>
      <c r="J2545" s="76"/>
      <c r="K2545" s="76"/>
      <c r="L2545" s="76"/>
      <c r="M2545" s="76"/>
      <c r="N2545" s="76"/>
      <c r="O2545" s="76"/>
      <c r="P2545" s="76"/>
      <c r="Q2545" s="76"/>
      <c r="R2545" s="76"/>
      <c r="S2545" s="76"/>
      <c r="T2545" s="76"/>
      <c r="U2545" s="76"/>
      <c r="V2545" s="76"/>
      <c r="W2545" s="76"/>
      <c r="X2545" s="76"/>
      <c r="Y2545" s="76"/>
      <c r="Z2545" s="76"/>
      <c r="AA2545" s="76"/>
      <c r="AB2545" s="76"/>
      <c r="AC2545" s="76"/>
      <c r="AD2545" s="76"/>
      <c r="AE2545" s="76"/>
      <c r="AF2545" s="76"/>
      <c r="AG2545" s="76"/>
      <c r="AH2545" s="76"/>
      <c r="AI2545" s="76"/>
      <c r="AJ2545" s="76"/>
      <c r="AK2545" s="76"/>
      <c r="AL2545" s="76"/>
      <c r="AM2545" s="76"/>
      <c r="AN2545" s="76"/>
      <c r="AO2545" s="76"/>
      <c r="AP2545" s="76"/>
      <c r="AQ2545" s="76"/>
      <c r="AR2545" s="76"/>
      <c r="AS2545" s="76"/>
      <c r="AT2545" s="76"/>
      <c r="AU2545" s="76"/>
      <c r="AV2545" s="76"/>
      <c r="AW2545" s="76"/>
      <c r="AX2545" s="76"/>
      <c r="AY2545" s="76"/>
      <c r="AZ2545" s="76"/>
      <c r="BA2545" s="76"/>
      <c r="BB2545" s="76"/>
    </row>
    <row r="2546" spans="5:54" x14ac:dyDescent="0.35">
      <c r="E2546" s="83"/>
      <c r="F2546" s="83"/>
      <c r="G2546" s="76"/>
      <c r="H2546" s="76"/>
      <c r="I2546" s="76"/>
      <c r="J2546" s="76"/>
      <c r="K2546" s="76"/>
      <c r="L2546" s="76"/>
      <c r="M2546" s="76"/>
      <c r="N2546" s="76"/>
      <c r="O2546" s="76"/>
      <c r="P2546" s="76"/>
      <c r="Q2546" s="76"/>
      <c r="R2546" s="76"/>
      <c r="S2546" s="76"/>
      <c r="T2546" s="76"/>
      <c r="U2546" s="76"/>
      <c r="V2546" s="76"/>
      <c r="W2546" s="76"/>
      <c r="X2546" s="76"/>
      <c r="Y2546" s="76"/>
      <c r="Z2546" s="76"/>
      <c r="AA2546" s="76"/>
      <c r="AB2546" s="76"/>
      <c r="AC2546" s="76"/>
      <c r="AD2546" s="76"/>
      <c r="AE2546" s="76"/>
      <c r="AF2546" s="76"/>
      <c r="AG2546" s="76"/>
      <c r="AH2546" s="76"/>
      <c r="AI2546" s="76"/>
      <c r="AJ2546" s="76"/>
      <c r="AK2546" s="76"/>
      <c r="AL2546" s="76"/>
      <c r="AM2546" s="76"/>
      <c r="AN2546" s="76"/>
      <c r="AO2546" s="76"/>
      <c r="AP2546" s="76"/>
      <c r="AQ2546" s="76"/>
      <c r="AR2546" s="76"/>
      <c r="AS2546" s="76"/>
      <c r="AT2546" s="76"/>
      <c r="AU2546" s="76"/>
      <c r="AV2546" s="76"/>
      <c r="AW2546" s="76"/>
      <c r="AX2546" s="76"/>
      <c r="AY2546" s="76"/>
      <c r="AZ2546" s="76"/>
      <c r="BA2546" s="76"/>
      <c r="BB2546" s="76"/>
    </row>
    <row r="2547" spans="5:54" x14ac:dyDescent="0.35">
      <c r="E2547" s="83"/>
      <c r="F2547" s="83"/>
      <c r="G2547" s="76"/>
      <c r="H2547" s="76"/>
      <c r="I2547" s="76"/>
      <c r="J2547" s="76"/>
      <c r="K2547" s="76"/>
      <c r="L2547" s="76"/>
      <c r="M2547" s="76"/>
      <c r="N2547" s="76"/>
      <c r="O2547" s="76"/>
      <c r="P2547" s="76"/>
      <c r="Q2547" s="76"/>
      <c r="R2547" s="76"/>
      <c r="S2547" s="76"/>
      <c r="T2547" s="76"/>
      <c r="U2547" s="76"/>
      <c r="V2547" s="76"/>
      <c r="W2547" s="76"/>
      <c r="X2547" s="76"/>
      <c r="Y2547" s="76"/>
      <c r="Z2547" s="76"/>
      <c r="AA2547" s="76"/>
      <c r="AB2547" s="76"/>
      <c r="AC2547" s="76"/>
      <c r="AD2547" s="76"/>
      <c r="AE2547" s="76"/>
      <c r="AF2547" s="76"/>
      <c r="AG2547" s="76"/>
      <c r="AH2547" s="76"/>
      <c r="AI2547" s="76"/>
      <c r="AJ2547" s="76"/>
      <c r="AK2547" s="76"/>
      <c r="AL2547" s="76"/>
      <c r="AM2547" s="76"/>
      <c r="AN2547" s="76"/>
      <c r="AO2547" s="76"/>
      <c r="AP2547" s="76"/>
      <c r="AQ2547" s="76"/>
      <c r="AR2547" s="76"/>
      <c r="AS2547" s="76"/>
      <c r="AT2547" s="76"/>
      <c r="AU2547" s="76"/>
      <c r="AV2547" s="76"/>
      <c r="AW2547" s="76"/>
      <c r="AX2547" s="76"/>
      <c r="AY2547" s="76"/>
      <c r="AZ2547" s="76"/>
      <c r="BA2547" s="76"/>
      <c r="BB2547" s="76"/>
    </row>
    <row r="2548" spans="5:54" x14ac:dyDescent="0.35">
      <c r="E2548" s="83"/>
      <c r="F2548" s="83"/>
      <c r="G2548" s="76"/>
      <c r="H2548" s="76"/>
      <c r="I2548" s="76"/>
      <c r="J2548" s="76"/>
      <c r="K2548" s="76"/>
      <c r="L2548" s="76"/>
      <c r="M2548" s="76"/>
      <c r="N2548" s="76"/>
      <c r="O2548" s="76"/>
      <c r="P2548" s="76"/>
      <c r="Q2548" s="76"/>
      <c r="R2548" s="76"/>
      <c r="S2548" s="76"/>
      <c r="T2548" s="76"/>
      <c r="U2548" s="76"/>
      <c r="V2548" s="76"/>
      <c r="W2548" s="76"/>
      <c r="X2548" s="76"/>
      <c r="Y2548" s="76"/>
      <c r="Z2548" s="76"/>
      <c r="AA2548" s="76"/>
      <c r="AB2548" s="76"/>
      <c r="AC2548" s="76"/>
      <c r="AD2548" s="76"/>
      <c r="AE2548" s="76"/>
      <c r="AF2548" s="76"/>
      <c r="AG2548" s="76"/>
      <c r="AH2548" s="76"/>
      <c r="AI2548" s="76"/>
      <c r="AJ2548" s="76"/>
      <c r="AK2548" s="76"/>
      <c r="AL2548" s="76"/>
      <c r="AM2548" s="76"/>
      <c r="AN2548" s="76"/>
      <c r="AO2548" s="76"/>
      <c r="AP2548" s="76"/>
      <c r="AQ2548" s="76"/>
      <c r="AR2548" s="76"/>
      <c r="AS2548" s="76"/>
      <c r="AT2548" s="76"/>
      <c r="AU2548" s="76"/>
      <c r="AV2548" s="76"/>
      <c r="AW2548" s="76"/>
      <c r="AX2548" s="76"/>
      <c r="AY2548" s="76"/>
      <c r="AZ2548" s="76"/>
      <c r="BA2548" s="76"/>
      <c r="BB2548" s="76"/>
    </row>
    <row r="2549" spans="5:54" x14ac:dyDescent="0.35">
      <c r="E2549" s="83"/>
      <c r="F2549" s="83"/>
      <c r="G2549" s="76"/>
      <c r="H2549" s="76"/>
      <c r="I2549" s="76"/>
      <c r="J2549" s="76"/>
      <c r="K2549" s="76"/>
      <c r="L2549" s="76"/>
      <c r="M2549" s="76"/>
      <c r="N2549" s="76"/>
      <c r="O2549" s="76"/>
      <c r="P2549" s="76"/>
      <c r="Q2549" s="76"/>
      <c r="R2549" s="76"/>
      <c r="S2549" s="76"/>
      <c r="T2549" s="76"/>
      <c r="U2549" s="76"/>
      <c r="V2549" s="76"/>
      <c r="W2549" s="76"/>
      <c r="X2549" s="76"/>
      <c r="Y2549" s="76"/>
      <c r="Z2549" s="76"/>
      <c r="AA2549" s="76"/>
      <c r="AB2549" s="76"/>
      <c r="AC2549" s="76"/>
      <c r="AD2549" s="76"/>
      <c r="AE2549" s="76"/>
      <c r="AF2549" s="76"/>
      <c r="AG2549" s="76"/>
      <c r="AH2549" s="76"/>
      <c r="AI2549" s="76"/>
      <c r="AJ2549" s="76"/>
      <c r="AK2549" s="76"/>
      <c r="AL2549" s="76"/>
      <c r="AM2549" s="76"/>
      <c r="AN2549" s="76"/>
      <c r="AO2549" s="76"/>
      <c r="AP2549" s="76"/>
      <c r="AQ2549" s="76"/>
      <c r="AR2549" s="76"/>
      <c r="AS2549" s="76"/>
      <c r="AT2549" s="76"/>
      <c r="AU2549" s="76"/>
      <c r="AV2549" s="76"/>
      <c r="AW2549" s="76"/>
      <c r="AX2549" s="76"/>
      <c r="AY2549" s="76"/>
      <c r="AZ2549" s="76"/>
      <c r="BA2549" s="76"/>
      <c r="BB2549" s="76"/>
    </row>
    <row r="2550" spans="5:54" x14ac:dyDescent="0.35">
      <c r="E2550" s="83"/>
      <c r="F2550" s="83"/>
      <c r="G2550" s="76"/>
      <c r="H2550" s="76"/>
      <c r="I2550" s="76"/>
      <c r="J2550" s="76"/>
      <c r="K2550" s="76"/>
      <c r="L2550" s="76"/>
      <c r="M2550" s="76"/>
      <c r="N2550" s="76"/>
      <c r="O2550" s="76"/>
      <c r="P2550" s="76"/>
      <c r="Q2550" s="76"/>
      <c r="R2550" s="76"/>
      <c r="S2550" s="76"/>
      <c r="T2550" s="76"/>
      <c r="U2550" s="76"/>
      <c r="V2550" s="76"/>
      <c r="W2550" s="76"/>
      <c r="X2550" s="76"/>
      <c r="Y2550" s="76"/>
      <c r="Z2550" s="76"/>
      <c r="AA2550" s="76"/>
      <c r="AB2550" s="76"/>
      <c r="AC2550" s="76"/>
      <c r="AD2550" s="76"/>
      <c r="AE2550" s="76"/>
      <c r="AF2550" s="76"/>
      <c r="AG2550" s="76"/>
      <c r="AH2550" s="76"/>
      <c r="AI2550" s="76"/>
      <c r="AJ2550" s="76"/>
      <c r="AK2550" s="76"/>
      <c r="AL2550" s="76"/>
      <c r="AM2550" s="76"/>
      <c r="AN2550" s="76"/>
      <c r="AO2550" s="76"/>
      <c r="AP2550" s="76"/>
      <c r="AQ2550" s="76"/>
      <c r="AR2550" s="76"/>
      <c r="AS2550" s="76"/>
      <c r="AT2550" s="76"/>
      <c r="AU2550" s="76"/>
      <c r="AV2550" s="76"/>
      <c r="AW2550" s="76"/>
      <c r="AX2550" s="76"/>
      <c r="AY2550" s="76"/>
      <c r="AZ2550" s="76"/>
      <c r="BA2550" s="76"/>
      <c r="BB2550" s="76"/>
    </row>
    <row r="2551" spans="5:54" x14ac:dyDescent="0.35">
      <c r="E2551" s="83"/>
      <c r="F2551" s="83"/>
      <c r="G2551" s="76"/>
      <c r="H2551" s="76"/>
      <c r="I2551" s="76"/>
      <c r="J2551" s="76"/>
      <c r="K2551" s="76"/>
      <c r="L2551" s="76"/>
      <c r="M2551" s="76"/>
      <c r="N2551" s="76"/>
      <c r="O2551" s="76"/>
      <c r="P2551" s="76"/>
      <c r="Q2551" s="76"/>
      <c r="R2551" s="76"/>
      <c r="S2551" s="76"/>
      <c r="T2551" s="76"/>
      <c r="U2551" s="76"/>
      <c r="V2551" s="76"/>
      <c r="W2551" s="76"/>
      <c r="X2551" s="76"/>
      <c r="Y2551" s="76"/>
      <c r="Z2551" s="76"/>
      <c r="AA2551" s="76"/>
      <c r="AB2551" s="76"/>
      <c r="AC2551" s="76"/>
      <c r="AD2551" s="76"/>
      <c r="AE2551" s="76"/>
      <c r="AF2551" s="76"/>
      <c r="AG2551" s="76"/>
      <c r="AH2551" s="76"/>
      <c r="AI2551" s="76"/>
      <c r="AJ2551" s="76"/>
      <c r="AK2551" s="76"/>
      <c r="AL2551" s="76"/>
      <c r="AM2551" s="76"/>
      <c r="AN2551" s="76"/>
      <c r="AO2551" s="76"/>
      <c r="AP2551" s="76"/>
      <c r="AQ2551" s="76"/>
      <c r="AR2551" s="76"/>
      <c r="AS2551" s="76"/>
      <c r="AT2551" s="76"/>
      <c r="AU2551" s="76"/>
      <c r="AV2551" s="76"/>
      <c r="AW2551" s="76"/>
      <c r="AX2551" s="76"/>
      <c r="AY2551" s="76"/>
      <c r="AZ2551" s="76"/>
      <c r="BA2551" s="76"/>
      <c r="BB2551" s="76"/>
    </row>
    <row r="2552" spans="5:54" x14ac:dyDescent="0.35">
      <c r="E2552" s="83"/>
      <c r="F2552" s="83"/>
      <c r="G2552" s="76"/>
      <c r="H2552" s="76"/>
      <c r="I2552" s="76"/>
      <c r="J2552" s="76"/>
      <c r="K2552" s="76"/>
      <c r="L2552" s="76"/>
      <c r="M2552" s="76"/>
      <c r="N2552" s="76"/>
      <c r="O2552" s="76"/>
      <c r="P2552" s="76"/>
      <c r="Q2552" s="76"/>
      <c r="R2552" s="76"/>
      <c r="S2552" s="76"/>
      <c r="T2552" s="76"/>
      <c r="U2552" s="76"/>
      <c r="V2552" s="76"/>
      <c r="W2552" s="76"/>
      <c r="X2552" s="76"/>
      <c r="Y2552" s="76"/>
      <c r="Z2552" s="76"/>
      <c r="AA2552" s="76"/>
      <c r="AB2552" s="76"/>
      <c r="AC2552" s="76"/>
      <c r="AD2552" s="76"/>
      <c r="AE2552" s="76"/>
      <c r="AF2552" s="76"/>
      <c r="AG2552" s="76"/>
      <c r="AH2552" s="76"/>
      <c r="AI2552" s="76"/>
      <c r="AJ2552" s="76"/>
      <c r="AK2552" s="76"/>
      <c r="AL2552" s="76"/>
      <c r="AM2552" s="76"/>
      <c r="AN2552" s="76"/>
      <c r="AO2552" s="76"/>
      <c r="AP2552" s="76"/>
      <c r="AQ2552" s="76"/>
      <c r="AR2552" s="76"/>
      <c r="AS2552" s="76"/>
      <c r="AT2552" s="76"/>
      <c r="AU2552" s="76"/>
      <c r="AV2552" s="76"/>
      <c r="AW2552" s="76"/>
      <c r="AX2552" s="76"/>
      <c r="AY2552" s="76"/>
      <c r="AZ2552" s="76"/>
      <c r="BA2552" s="76"/>
      <c r="BB2552" s="76"/>
    </row>
    <row r="2553" spans="5:54" x14ac:dyDescent="0.35">
      <c r="E2553" s="83"/>
      <c r="F2553" s="83"/>
      <c r="G2553" s="76"/>
      <c r="H2553" s="76"/>
      <c r="I2553" s="76"/>
      <c r="J2553" s="76"/>
      <c r="K2553" s="76"/>
      <c r="L2553" s="76"/>
      <c r="M2553" s="76"/>
      <c r="N2553" s="76"/>
      <c r="O2553" s="76"/>
      <c r="P2553" s="76"/>
      <c r="Q2553" s="76"/>
      <c r="R2553" s="76"/>
      <c r="S2553" s="76"/>
      <c r="T2553" s="76"/>
      <c r="U2553" s="76"/>
      <c r="V2553" s="76"/>
      <c r="W2553" s="76"/>
      <c r="X2553" s="76"/>
      <c r="Y2553" s="76"/>
      <c r="Z2553" s="76"/>
      <c r="AA2553" s="76"/>
      <c r="AB2553" s="76"/>
      <c r="AC2553" s="76"/>
      <c r="AD2553" s="76"/>
      <c r="AE2553" s="76"/>
      <c r="AF2553" s="76"/>
      <c r="AG2553" s="76"/>
      <c r="AH2553" s="76"/>
      <c r="AI2553" s="76"/>
      <c r="AJ2553" s="76"/>
      <c r="AK2553" s="76"/>
      <c r="AL2553" s="76"/>
      <c r="AM2553" s="76"/>
      <c r="AN2553" s="76"/>
      <c r="AO2553" s="76"/>
      <c r="AP2553" s="76"/>
      <c r="AQ2553" s="76"/>
      <c r="AR2553" s="76"/>
      <c r="AS2553" s="76"/>
      <c r="AT2553" s="76"/>
      <c r="AU2553" s="76"/>
      <c r="AV2553" s="76"/>
      <c r="AW2553" s="76"/>
      <c r="AX2553" s="76"/>
      <c r="AY2553" s="76"/>
      <c r="AZ2553" s="76"/>
      <c r="BA2553" s="76"/>
      <c r="BB2553" s="76"/>
    </row>
    <row r="2554" spans="5:54" x14ac:dyDescent="0.35">
      <c r="E2554" s="83"/>
      <c r="F2554" s="83"/>
      <c r="G2554" s="76"/>
      <c r="H2554" s="76"/>
      <c r="I2554" s="76"/>
      <c r="J2554" s="76"/>
      <c r="K2554" s="76"/>
      <c r="L2554" s="76"/>
      <c r="M2554" s="76"/>
      <c r="N2554" s="76"/>
      <c r="O2554" s="76"/>
      <c r="P2554" s="76"/>
      <c r="Q2554" s="76"/>
      <c r="R2554" s="76"/>
      <c r="S2554" s="76"/>
      <c r="T2554" s="76"/>
      <c r="U2554" s="76"/>
      <c r="V2554" s="76"/>
      <c r="W2554" s="76"/>
      <c r="X2554" s="76"/>
      <c r="Y2554" s="76"/>
      <c r="Z2554" s="76"/>
      <c r="AA2554" s="76"/>
      <c r="AB2554" s="76"/>
      <c r="AC2554" s="76"/>
      <c r="AD2554" s="76"/>
      <c r="AE2554" s="76"/>
      <c r="AF2554" s="76"/>
      <c r="AG2554" s="76"/>
      <c r="AH2554" s="76"/>
      <c r="AI2554" s="76"/>
      <c r="AJ2554" s="76"/>
      <c r="AK2554" s="76"/>
      <c r="AL2554" s="76"/>
      <c r="AM2554" s="76"/>
      <c r="AN2554" s="76"/>
      <c r="AO2554" s="76"/>
      <c r="AP2554" s="76"/>
      <c r="AQ2554" s="76"/>
      <c r="AR2554" s="76"/>
      <c r="AS2554" s="76"/>
      <c r="AT2554" s="76"/>
      <c r="AU2554" s="76"/>
      <c r="AV2554" s="76"/>
      <c r="AW2554" s="76"/>
      <c r="AX2554" s="76"/>
      <c r="AY2554" s="76"/>
      <c r="AZ2554" s="76"/>
      <c r="BA2554" s="76"/>
      <c r="BB2554" s="76"/>
    </row>
    <row r="2555" spans="5:54" x14ac:dyDescent="0.35">
      <c r="E2555" s="83"/>
      <c r="F2555" s="83"/>
      <c r="G2555" s="76"/>
      <c r="H2555" s="76"/>
      <c r="I2555" s="76"/>
      <c r="J2555" s="76"/>
      <c r="K2555" s="76"/>
      <c r="L2555" s="76"/>
      <c r="M2555" s="76"/>
      <c r="N2555" s="76"/>
      <c r="O2555" s="76"/>
      <c r="P2555" s="76"/>
      <c r="Q2555" s="76"/>
      <c r="R2555" s="76"/>
      <c r="S2555" s="76"/>
      <c r="T2555" s="76"/>
      <c r="U2555" s="76"/>
      <c r="V2555" s="76"/>
      <c r="W2555" s="76"/>
      <c r="X2555" s="76"/>
      <c r="Y2555" s="76"/>
      <c r="Z2555" s="76"/>
      <c r="AA2555" s="76"/>
      <c r="AB2555" s="76"/>
      <c r="AC2555" s="76"/>
      <c r="AD2555" s="76"/>
      <c r="AE2555" s="76"/>
      <c r="AF2555" s="76"/>
      <c r="AG2555" s="76"/>
      <c r="AH2555" s="76"/>
      <c r="AI2555" s="76"/>
      <c r="AJ2555" s="76"/>
      <c r="AK2555" s="76"/>
      <c r="AL2555" s="76"/>
      <c r="AM2555" s="76"/>
      <c r="AN2555" s="76"/>
      <c r="AO2555" s="76"/>
      <c r="AP2555" s="76"/>
      <c r="AQ2555" s="76"/>
      <c r="AR2555" s="76"/>
      <c r="AS2555" s="76"/>
      <c r="AT2555" s="76"/>
      <c r="AU2555" s="76"/>
      <c r="AV2555" s="76"/>
      <c r="AW2555" s="76"/>
      <c r="AX2555" s="76"/>
      <c r="AY2555" s="76"/>
      <c r="AZ2555" s="76"/>
      <c r="BA2555" s="76"/>
      <c r="BB2555" s="76"/>
    </row>
    <row r="2556" spans="5:54" x14ac:dyDescent="0.35">
      <c r="E2556" s="83"/>
      <c r="F2556" s="83"/>
      <c r="G2556" s="76"/>
      <c r="H2556" s="76"/>
      <c r="I2556" s="76"/>
      <c r="J2556" s="76"/>
      <c r="K2556" s="76"/>
      <c r="L2556" s="76"/>
      <c r="M2556" s="76"/>
      <c r="N2556" s="76"/>
      <c r="O2556" s="76"/>
      <c r="P2556" s="76"/>
      <c r="Q2556" s="76"/>
      <c r="R2556" s="76"/>
      <c r="S2556" s="76"/>
      <c r="T2556" s="76"/>
      <c r="U2556" s="76"/>
      <c r="V2556" s="76"/>
      <c r="W2556" s="76"/>
      <c r="X2556" s="76"/>
      <c r="Y2556" s="76"/>
      <c r="Z2556" s="76"/>
      <c r="AA2556" s="76"/>
      <c r="AB2556" s="76"/>
      <c r="AC2556" s="76"/>
      <c r="AD2556" s="76"/>
      <c r="AE2556" s="76"/>
      <c r="AF2556" s="76"/>
      <c r="AG2556" s="76"/>
      <c r="AH2556" s="76"/>
      <c r="AI2556" s="76"/>
      <c r="AJ2556" s="76"/>
      <c r="AK2556" s="76"/>
      <c r="AL2556" s="76"/>
      <c r="AM2556" s="76"/>
      <c r="AN2556" s="76"/>
      <c r="AO2556" s="76"/>
      <c r="AP2556" s="76"/>
      <c r="AQ2556" s="76"/>
      <c r="AR2556" s="76"/>
      <c r="AS2556" s="76"/>
      <c r="AT2556" s="76"/>
      <c r="AU2556" s="76"/>
      <c r="AV2556" s="76"/>
      <c r="AW2556" s="76"/>
      <c r="AX2556" s="76"/>
      <c r="AY2556" s="76"/>
      <c r="AZ2556" s="76"/>
      <c r="BA2556" s="76"/>
      <c r="BB2556" s="76"/>
    </row>
    <row r="2557" spans="5:54" x14ac:dyDescent="0.35">
      <c r="E2557" s="83"/>
      <c r="F2557" s="83"/>
      <c r="G2557" s="76"/>
      <c r="H2557" s="76"/>
      <c r="I2557" s="76"/>
      <c r="J2557" s="76"/>
      <c r="K2557" s="76"/>
      <c r="L2557" s="76"/>
      <c r="M2557" s="76"/>
      <c r="N2557" s="76"/>
      <c r="O2557" s="76"/>
      <c r="P2557" s="76"/>
      <c r="Q2557" s="76"/>
      <c r="R2557" s="76"/>
      <c r="S2557" s="76"/>
      <c r="T2557" s="76"/>
      <c r="U2557" s="76"/>
      <c r="V2557" s="76"/>
      <c r="W2557" s="76"/>
      <c r="X2557" s="76"/>
      <c r="Y2557" s="76"/>
      <c r="Z2557" s="76"/>
      <c r="AA2557" s="76"/>
      <c r="AB2557" s="76"/>
      <c r="AC2557" s="76"/>
      <c r="AD2557" s="76"/>
      <c r="AE2557" s="76"/>
      <c r="AF2557" s="76"/>
      <c r="AG2557" s="76"/>
      <c r="AH2557" s="76"/>
      <c r="AI2557" s="76"/>
      <c r="AJ2557" s="76"/>
      <c r="AK2557" s="76"/>
      <c r="AL2557" s="76"/>
      <c r="AM2557" s="76"/>
      <c r="AN2557" s="76"/>
      <c r="AO2557" s="76"/>
      <c r="AP2557" s="76"/>
      <c r="AQ2557" s="76"/>
      <c r="AR2557" s="76"/>
      <c r="AS2557" s="76"/>
      <c r="AT2557" s="76"/>
      <c r="AU2557" s="76"/>
      <c r="AV2557" s="76"/>
      <c r="AW2557" s="76"/>
      <c r="AX2557" s="76"/>
      <c r="AY2557" s="76"/>
      <c r="AZ2557" s="76"/>
      <c r="BA2557" s="76"/>
      <c r="BB2557" s="76"/>
    </row>
    <row r="2558" spans="5:54" x14ac:dyDescent="0.35">
      <c r="E2558" s="83"/>
      <c r="F2558" s="83"/>
      <c r="G2558" s="76"/>
      <c r="H2558" s="76"/>
      <c r="I2558" s="76"/>
      <c r="J2558" s="76"/>
      <c r="K2558" s="76"/>
      <c r="L2558" s="76"/>
      <c r="M2558" s="76"/>
      <c r="N2558" s="76"/>
      <c r="O2558" s="76"/>
      <c r="P2558" s="76"/>
      <c r="Q2558" s="76"/>
      <c r="R2558" s="76"/>
      <c r="S2558" s="76"/>
      <c r="T2558" s="76"/>
      <c r="U2558" s="76"/>
      <c r="V2558" s="76"/>
      <c r="W2558" s="76"/>
      <c r="X2558" s="76"/>
      <c r="Y2558" s="76"/>
      <c r="Z2558" s="76"/>
      <c r="AA2558" s="76"/>
      <c r="AB2558" s="76"/>
      <c r="AC2558" s="76"/>
      <c r="AD2558" s="76"/>
      <c r="AE2558" s="76"/>
      <c r="AF2558" s="76"/>
      <c r="AG2558" s="76"/>
      <c r="AH2558" s="76"/>
      <c r="AI2558" s="76"/>
      <c r="AJ2558" s="76"/>
      <c r="AK2558" s="76"/>
      <c r="AL2558" s="76"/>
      <c r="AM2558" s="76"/>
      <c r="AN2558" s="76"/>
      <c r="AO2558" s="76"/>
      <c r="AP2558" s="76"/>
      <c r="AQ2558" s="76"/>
      <c r="AR2558" s="76"/>
      <c r="AS2558" s="76"/>
      <c r="AT2558" s="76"/>
      <c r="AU2558" s="76"/>
      <c r="AV2558" s="76"/>
      <c r="AW2558" s="76"/>
      <c r="AX2558" s="76"/>
      <c r="AY2558" s="76"/>
      <c r="AZ2558" s="76"/>
      <c r="BA2558" s="76"/>
      <c r="BB2558" s="76"/>
    </row>
    <row r="2559" spans="5:54" x14ac:dyDescent="0.35">
      <c r="E2559" s="83"/>
      <c r="F2559" s="83"/>
      <c r="G2559" s="76"/>
      <c r="H2559" s="76"/>
      <c r="I2559" s="76"/>
      <c r="J2559" s="76"/>
      <c r="K2559" s="76"/>
      <c r="L2559" s="76"/>
      <c r="M2559" s="76"/>
      <c r="N2559" s="76"/>
      <c r="O2559" s="76"/>
      <c r="P2559" s="76"/>
      <c r="Q2559" s="76"/>
      <c r="R2559" s="76"/>
      <c r="S2559" s="76"/>
      <c r="T2559" s="76"/>
      <c r="U2559" s="76"/>
      <c r="V2559" s="76"/>
      <c r="W2559" s="76"/>
      <c r="X2559" s="76"/>
      <c r="Y2559" s="76"/>
      <c r="Z2559" s="76"/>
      <c r="AA2559" s="76"/>
      <c r="AB2559" s="76"/>
      <c r="AC2559" s="76"/>
      <c r="AD2559" s="76"/>
      <c r="AE2559" s="76"/>
      <c r="AF2559" s="76"/>
      <c r="AG2559" s="76"/>
      <c r="AH2559" s="76"/>
      <c r="AI2559" s="76"/>
      <c r="AJ2559" s="76"/>
      <c r="AK2559" s="76"/>
      <c r="AL2559" s="76"/>
      <c r="AM2559" s="76"/>
      <c r="AN2559" s="76"/>
      <c r="AO2559" s="76"/>
      <c r="AP2559" s="76"/>
      <c r="AQ2559" s="76"/>
      <c r="AR2559" s="76"/>
      <c r="AS2559" s="76"/>
      <c r="AT2559" s="76"/>
      <c r="AU2559" s="76"/>
      <c r="AV2559" s="76"/>
      <c r="AW2559" s="76"/>
      <c r="AX2559" s="76"/>
      <c r="AY2559" s="76"/>
      <c r="AZ2559" s="76"/>
      <c r="BA2559" s="76"/>
      <c r="BB2559" s="76"/>
    </row>
    <row r="2560" spans="5:54" x14ac:dyDescent="0.35">
      <c r="E2560" s="83"/>
      <c r="F2560" s="83"/>
      <c r="G2560" s="76"/>
      <c r="H2560" s="76"/>
      <c r="I2560" s="76"/>
      <c r="J2560" s="76"/>
      <c r="K2560" s="76"/>
      <c r="L2560" s="76"/>
      <c r="M2560" s="76"/>
      <c r="N2560" s="76"/>
      <c r="O2560" s="76"/>
      <c r="P2560" s="76"/>
      <c r="Q2560" s="76"/>
      <c r="R2560" s="76"/>
      <c r="S2560" s="76"/>
      <c r="T2560" s="76"/>
      <c r="U2560" s="76"/>
      <c r="V2560" s="76"/>
      <c r="W2560" s="76"/>
      <c r="X2560" s="76"/>
      <c r="Y2560" s="76"/>
      <c r="Z2560" s="76"/>
      <c r="AA2560" s="76"/>
      <c r="AB2560" s="76"/>
      <c r="AC2560" s="76"/>
      <c r="AD2560" s="76"/>
      <c r="AE2560" s="76"/>
      <c r="AF2560" s="76"/>
      <c r="AG2560" s="76"/>
      <c r="AH2560" s="76"/>
      <c r="AI2560" s="76"/>
      <c r="AJ2560" s="76"/>
      <c r="AK2560" s="76"/>
      <c r="AL2560" s="76"/>
      <c r="AM2560" s="76"/>
      <c r="AN2560" s="76"/>
      <c r="AO2560" s="76"/>
      <c r="AP2560" s="76"/>
      <c r="AQ2560" s="76"/>
      <c r="AR2560" s="76"/>
      <c r="AS2560" s="76"/>
      <c r="AT2560" s="76"/>
      <c r="AU2560" s="76"/>
      <c r="AV2560" s="76"/>
      <c r="AW2560" s="76"/>
      <c r="AX2560" s="76"/>
      <c r="AY2560" s="76"/>
      <c r="AZ2560" s="76"/>
      <c r="BA2560" s="76"/>
      <c r="BB2560" s="76"/>
    </row>
    <row r="2561" spans="5:54" x14ac:dyDescent="0.35">
      <c r="E2561" s="83"/>
      <c r="F2561" s="83"/>
      <c r="G2561" s="76"/>
      <c r="H2561" s="76"/>
      <c r="I2561" s="76"/>
      <c r="J2561" s="76"/>
      <c r="K2561" s="76"/>
      <c r="L2561" s="76"/>
      <c r="M2561" s="76"/>
      <c r="N2561" s="76"/>
      <c r="O2561" s="76"/>
      <c r="P2561" s="76"/>
      <c r="Q2561" s="76"/>
      <c r="R2561" s="76"/>
      <c r="S2561" s="76"/>
      <c r="T2561" s="76"/>
      <c r="U2561" s="76"/>
      <c r="V2561" s="76"/>
      <c r="W2561" s="76"/>
      <c r="X2561" s="76"/>
      <c r="Y2561" s="76"/>
      <c r="Z2561" s="76"/>
      <c r="AA2561" s="76"/>
      <c r="AB2561" s="76"/>
      <c r="AC2561" s="76"/>
      <c r="AD2561" s="76"/>
      <c r="AE2561" s="76"/>
      <c r="AF2561" s="76"/>
      <c r="AG2561" s="76"/>
      <c r="AH2561" s="76"/>
      <c r="AI2561" s="76"/>
      <c r="AJ2561" s="76"/>
      <c r="AK2561" s="76"/>
      <c r="AL2561" s="76"/>
      <c r="AM2561" s="76"/>
      <c r="AN2561" s="76"/>
      <c r="AO2561" s="76"/>
      <c r="AP2561" s="76"/>
      <c r="AQ2561" s="76"/>
      <c r="AR2561" s="76"/>
      <c r="AS2561" s="76"/>
      <c r="AT2561" s="76"/>
      <c r="AU2561" s="76"/>
      <c r="AV2561" s="76"/>
      <c r="AW2561" s="76"/>
      <c r="AX2561" s="76"/>
      <c r="AY2561" s="76"/>
      <c r="AZ2561" s="76"/>
      <c r="BA2561" s="76"/>
      <c r="BB2561" s="76"/>
    </row>
    <row r="2562" spans="5:54" x14ac:dyDescent="0.35">
      <c r="E2562" s="83"/>
      <c r="F2562" s="83"/>
      <c r="G2562" s="76"/>
      <c r="H2562" s="76"/>
      <c r="I2562" s="76"/>
      <c r="J2562" s="76"/>
      <c r="K2562" s="76"/>
      <c r="L2562" s="76"/>
      <c r="M2562" s="76"/>
      <c r="N2562" s="76"/>
      <c r="O2562" s="76"/>
      <c r="P2562" s="76"/>
      <c r="Q2562" s="76"/>
      <c r="R2562" s="76"/>
      <c r="S2562" s="76"/>
      <c r="T2562" s="76"/>
      <c r="U2562" s="76"/>
      <c r="V2562" s="76"/>
      <c r="W2562" s="76"/>
      <c r="X2562" s="76"/>
      <c r="Y2562" s="76"/>
      <c r="Z2562" s="76"/>
      <c r="AA2562" s="76"/>
      <c r="AB2562" s="76"/>
      <c r="AC2562" s="76"/>
      <c r="AD2562" s="76"/>
      <c r="AE2562" s="76"/>
      <c r="AF2562" s="76"/>
      <c r="AG2562" s="76"/>
      <c r="AH2562" s="76"/>
      <c r="AI2562" s="76"/>
      <c r="AJ2562" s="76"/>
      <c r="AK2562" s="76"/>
      <c r="AL2562" s="76"/>
      <c r="AM2562" s="76"/>
      <c r="AN2562" s="76"/>
      <c r="AO2562" s="76"/>
      <c r="AP2562" s="76"/>
      <c r="AQ2562" s="76"/>
      <c r="AR2562" s="76"/>
      <c r="AS2562" s="76"/>
      <c r="AT2562" s="76"/>
      <c r="AU2562" s="76"/>
      <c r="AV2562" s="76"/>
      <c r="AW2562" s="76"/>
      <c r="AX2562" s="76"/>
      <c r="AY2562" s="76"/>
      <c r="AZ2562" s="76"/>
      <c r="BA2562" s="76"/>
      <c r="BB2562" s="76"/>
    </row>
    <row r="2563" spans="5:54" x14ac:dyDescent="0.35">
      <c r="E2563" s="83"/>
      <c r="F2563" s="83"/>
      <c r="G2563" s="76"/>
      <c r="H2563" s="76"/>
      <c r="I2563" s="76"/>
      <c r="J2563" s="76"/>
      <c r="K2563" s="76"/>
      <c r="L2563" s="76"/>
      <c r="M2563" s="76"/>
      <c r="N2563" s="76"/>
      <c r="O2563" s="76"/>
      <c r="P2563" s="76"/>
      <c r="Q2563" s="76"/>
      <c r="R2563" s="76"/>
      <c r="S2563" s="76"/>
      <c r="T2563" s="76"/>
      <c r="U2563" s="76"/>
      <c r="V2563" s="76"/>
      <c r="W2563" s="76"/>
      <c r="X2563" s="76"/>
      <c r="Y2563" s="76"/>
      <c r="Z2563" s="76"/>
      <c r="AA2563" s="76"/>
      <c r="AB2563" s="76"/>
      <c r="AC2563" s="76"/>
      <c r="AD2563" s="76"/>
      <c r="AE2563" s="76"/>
      <c r="AF2563" s="76"/>
      <c r="AG2563" s="76"/>
      <c r="AH2563" s="76"/>
      <c r="AI2563" s="76"/>
      <c r="AJ2563" s="76"/>
      <c r="AK2563" s="76"/>
      <c r="AL2563" s="76"/>
      <c r="AM2563" s="76"/>
      <c r="AN2563" s="76"/>
      <c r="AO2563" s="76"/>
      <c r="AP2563" s="76"/>
      <c r="AQ2563" s="76"/>
      <c r="AR2563" s="76"/>
      <c r="AS2563" s="76"/>
      <c r="AT2563" s="76"/>
      <c r="AU2563" s="76"/>
      <c r="AV2563" s="76"/>
      <c r="AW2563" s="76"/>
      <c r="AX2563" s="76"/>
      <c r="AY2563" s="76"/>
      <c r="AZ2563" s="76"/>
      <c r="BA2563" s="76"/>
      <c r="BB2563" s="76"/>
    </row>
    <row r="2564" spans="5:54" x14ac:dyDescent="0.35">
      <c r="E2564" s="83"/>
      <c r="F2564" s="83"/>
      <c r="G2564" s="76"/>
      <c r="H2564" s="76"/>
      <c r="I2564" s="76"/>
      <c r="J2564" s="76"/>
      <c r="K2564" s="76"/>
      <c r="L2564" s="76"/>
      <c r="M2564" s="76"/>
      <c r="N2564" s="76"/>
      <c r="O2564" s="76"/>
      <c r="P2564" s="76"/>
      <c r="Q2564" s="76"/>
      <c r="R2564" s="76"/>
      <c r="S2564" s="76"/>
      <c r="T2564" s="76"/>
      <c r="U2564" s="76"/>
      <c r="V2564" s="76"/>
      <c r="W2564" s="76"/>
      <c r="X2564" s="76"/>
      <c r="Y2564" s="76"/>
      <c r="Z2564" s="76"/>
      <c r="AA2564" s="76"/>
      <c r="AB2564" s="76"/>
      <c r="AC2564" s="76"/>
      <c r="AD2564" s="76"/>
      <c r="AE2564" s="76"/>
      <c r="AF2564" s="76"/>
      <c r="AG2564" s="76"/>
      <c r="AH2564" s="76"/>
      <c r="AI2564" s="76"/>
      <c r="AJ2564" s="76"/>
      <c r="AK2564" s="76"/>
      <c r="AL2564" s="76"/>
      <c r="AM2564" s="76"/>
      <c r="AN2564" s="76"/>
      <c r="AO2564" s="76"/>
      <c r="AP2564" s="76"/>
      <c r="AQ2564" s="76"/>
      <c r="AR2564" s="76"/>
      <c r="AS2564" s="76"/>
      <c r="AT2564" s="76"/>
      <c r="AU2564" s="76"/>
      <c r="AV2564" s="76"/>
      <c r="AW2564" s="76"/>
      <c r="AX2564" s="76"/>
      <c r="AY2564" s="76"/>
      <c r="AZ2564" s="76"/>
      <c r="BA2564" s="76"/>
      <c r="BB2564" s="76"/>
    </row>
    <row r="2565" spans="5:54" x14ac:dyDescent="0.35">
      <c r="E2565" s="83"/>
      <c r="F2565" s="83"/>
      <c r="G2565" s="76"/>
      <c r="H2565" s="76"/>
      <c r="I2565" s="76"/>
      <c r="J2565" s="76"/>
      <c r="K2565" s="76"/>
      <c r="L2565" s="76"/>
      <c r="M2565" s="76"/>
      <c r="N2565" s="76"/>
      <c r="O2565" s="76"/>
      <c r="P2565" s="76"/>
      <c r="Q2565" s="76"/>
      <c r="R2565" s="76"/>
      <c r="S2565" s="76"/>
      <c r="T2565" s="76"/>
      <c r="U2565" s="76"/>
      <c r="V2565" s="76"/>
      <c r="W2565" s="76"/>
      <c r="X2565" s="76"/>
      <c r="Y2565" s="76"/>
      <c r="Z2565" s="76"/>
      <c r="AA2565" s="76"/>
      <c r="AB2565" s="76"/>
      <c r="AC2565" s="76"/>
      <c r="AD2565" s="76"/>
      <c r="AE2565" s="76"/>
      <c r="AF2565" s="76"/>
      <c r="AG2565" s="76"/>
      <c r="AH2565" s="76"/>
      <c r="AI2565" s="76"/>
      <c r="AJ2565" s="76"/>
      <c r="AK2565" s="76"/>
      <c r="AL2565" s="76"/>
      <c r="AM2565" s="76"/>
      <c r="AN2565" s="76"/>
      <c r="AO2565" s="76"/>
      <c r="AP2565" s="76"/>
      <c r="AQ2565" s="76"/>
      <c r="AR2565" s="76"/>
      <c r="AS2565" s="76"/>
      <c r="AT2565" s="76"/>
      <c r="AU2565" s="76"/>
      <c r="AV2565" s="76"/>
      <c r="AW2565" s="76"/>
      <c r="AX2565" s="76"/>
      <c r="AY2565" s="76"/>
      <c r="AZ2565" s="76"/>
      <c r="BA2565" s="76"/>
      <c r="BB2565" s="76"/>
    </row>
    <row r="2566" spans="5:54" x14ac:dyDescent="0.35">
      <c r="E2566" s="83"/>
      <c r="F2566" s="83"/>
      <c r="G2566" s="76"/>
      <c r="H2566" s="76"/>
      <c r="I2566" s="76"/>
      <c r="J2566" s="76"/>
      <c r="K2566" s="76"/>
      <c r="L2566" s="76"/>
      <c r="M2566" s="76"/>
      <c r="N2566" s="76"/>
      <c r="O2566" s="76"/>
      <c r="P2566" s="76"/>
      <c r="Q2566" s="76"/>
      <c r="R2566" s="76"/>
      <c r="S2566" s="76"/>
      <c r="T2566" s="76"/>
      <c r="U2566" s="76"/>
      <c r="V2566" s="76"/>
      <c r="W2566" s="76"/>
      <c r="X2566" s="76"/>
      <c r="Y2566" s="76"/>
      <c r="Z2566" s="76"/>
      <c r="AA2566" s="76"/>
      <c r="AB2566" s="76"/>
      <c r="AC2566" s="76"/>
      <c r="AD2566" s="76"/>
      <c r="AE2566" s="76"/>
      <c r="AF2566" s="76"/>
      <c r="AG2566" s="76"/>
      <c r="AH2566" s="76"/>
      <c r="AI2566" s="76"/>
      <c r="AJ2566" s="76"/>
      <c r="AK2566" s="76"/>
      <c r="AL2566" s="76"/>
      <c r="AM2566" s="76"/>
      <c r="AN2566" s="76"/>
      <c r="AO2566" s="76"/>
      <c r="AP2566" s="76"/>
      <c r="AQ2566" s="76"/>
      <c r="AR2566" s="76"/>
      <c r="AS2566" s="76"/>
      <c r="AT2566" s="76"/>
      <c r="AU2566" s="76"/>
      <c r="AV2566" s="76"/>
      <c r="AW2566" s="76"/>
      <c r="AX2566" s="76"/>
      <c r="AY2566" s="76"/>
      <c r="AZ2566" s="76"/>
      <c r="BA2566" s="76"/>
      <c r="BB2566" s="76"/>
    </row>
    <row r="2567" spans="5:54" x14ac:dyDescent="0.35">
      <c r="E2567" s="83"/>
      <c r="F2567" s="83"/>
      <c r="G2567" s="76"/>
      <c r="H2567" s="76"/>
      <c r="I2567" s="76"/>
      <c r="J2567" s="76"/>
      <c r="K2567" s="76"/>
      <c r="L2567" s="76"/>
      <c r="M2567" s="76"/>
      <c r="N2567" s="76"/>
      <c r="O2567" s="76"/>
      <c r="P2567" s="76"/>
      <c r="Q2567" s="76"/>
      <c r="R2567" s="76"/>
      <c r="S2567" s="76"/>
      <c r="T2567" s="76"/>
      <c r="U2567" s="76"/>
      <c r="V2567" s="76"/>
      <c r="W2567" s="76"/>
      <c r="X2567" s="76"/>
      <c r="Y2567" s="76"/>
      <c r="Z2567" s="76"/>
      <c r="AA2567" s="76"/>
      <c r="AB2567" s="76"/>
      <c r="AC2567" s="76"/>
      <c r="AD2567" s="76"/>
      <c r="AE2567" s="76"/>
      <c r="AF2567" s="76"/>
      <c r="AG2567" s="76"/>
      <c r="AH2567" s="76"/>
      <c r="AI2567" s="76"/>
      <c r="AJ2567" s="76"/>
      <c r="AK2567" s="76"/>
      <c r="AL2567" s="76"/>
      <c r="AM2567" s="76"/>
      <c r="AN2567" s="76"/>
      <c r="AO2567" s="76"/>
      <c r="AP2567" s="76"/>
      <c r="AQ2567" s="76"/>
      <c r="AR2567" s="76"/>
      <c r="AS2567" s="76"/>
      <c r="AT2567" s="76"/>
      <c r="AU2567" s="76"/>
      <c r="AV2567" s="76"/>
      <c r="AW2567" s="76"/>
      <c r="AX2567" s="76"/>
      <c r="AY2567" s="76"/>
      <c r="AZ2567" s="76"/>
      <c r="BA2567" s="76"/>
      <c r="BB2567" s="76"/>
    </row>
    <row r="2568" spans="5:54" x14ac:dyDescent="0.35">
      <c r="E2568" s="83"/>
      <c r="F2568" s="83"/>
      <c r="G2568" s="76"/>
      <c r="H2568" s="76"/>
      <c r="I2568" s="76"/>
      <c r="J2568" s="76"/>
      <c r="K2568" s="76"/>
      <c r="L2568" s="76"/>
      <c r="M2568" s="76"/>
      <c r="N2568" s="76"/>
      <c r="O2568" s="76"/>
      <c r="P2568" s="76"/>
      <c r="Q2568" s="76"/>
      <c r="R2568" s="76"/>
      <c r="S2568" s="76"/>
      <c r="T2568" s="76"/>
      <c r="U2568" s="76"/>
      <c r="V2568" s="76"/>
      <c r="W2568" s="76"/>
      <c r="X2568" s="76"/>
      <c r="Y2568" s="76"/>
      <c r="Z2568" s="76"/>
      <c r="AA2568" s="76"/>
      <c r="AB2568" s="76"/>
      <c r="AC2568" s="76"/>
      <c r="AD2568" s="76"/>
      <c r="AE2568" s="76"/>
      <c r="AF2568" s="76"/>
      <c r="AG2568" s="76"/>
      <c r="AH2568" s="76"/>
      <c r="AI2568" s="76"/>
      <c r="AJ2568" s="76"/>
      <c r="AK2568" s="76"/>
      <c r="AL2568" s="76"/>
      <c r="AM2568" s="76"/>
      <c r="AN2568" s="76"/>
      <c r="AO2568" s="76"/>
      <c r="AP2568" s="76"/>
      <c r="AQ2568" s="76"/>
      <c r="AR2568" s="76"/>
      <c r="AS2568" s="76"/>
      <c r="AT2568" s="76"/>
      <c r="AU2568" s="76"/>
      <c r="AV2568" s="76"/>
      <c r="AW2568" s="76"/>
      <c r="AX2568" s="76"/>
      <c r="AY2568" s="76"/>
      <c r="AZ2568" s="76"/>
      <c r="BA2568" s="76"/>
      <c r="BB2568" s="76"/>
    </row>
    <row r="2569" spans="5:54" x14ac:dyDescent="0.35">
      <c r="E2569" s="83"/>
      <c r="F2569" s="83"/>
      <c r="G2569" s="76"/>
      <c r="H2569" s="76"/>
      <c r="I2569" s="76"/>
      <c r="J2569" s="76"/>
      <c r="K2569" s="76"/>
      <c r="L2569" s="76"/>
      <c r="M2569" s="76"/>
      <c r="N2569" s="76"/>
      <c r="O2569" s="76"/>
      <c r="P2569" s="76"/>
      <c r="Q2569" s="76"/>
      <c r="R2569" s="76"/>
      <c r="S2569" s="76"/>
      <c r="T2569" s="76"/>
      <c r="U2569" s="76"/>
      <c r="V2569" s="76"/>
      <c r="W2569" s="76"/>
      <c r="X2569" s="76"/>
      <c r="Y2569" s="76"/>
      <c r="Z2569" s="76"/>
      <c r="AA2569" s="76"/>
      <c r="AB2569" s="76"/>
      <c r="AC2569" s="76"/>
      <c r="AD2569" s="76"/>
      <c r="AE2569" s="76"/>
      <c r="AF2569" s="76"/>
      <c r="AG2569" s="76"/>
      <c r="AH2569" s="76"/>
      <c r="AI2569" s="76"/>
      <c r="AJ2569" s="76"/>
      <c r="AK2569" s="76"/>
      <c r="AL2569" s="76"/>
      <c r="AM2569" s="76"/>
      <c r="AN2569" s="76"/>
      <c r="AO2569" s="76"/>
      <c r="AP2569" s="76"/>
      <c r="AQ2569" s="76"/>
      <c r="AR2569" s="76"/>
      <c r="AS2569" s="76"/>
      <c r="AT2569" s="76"/>
      <c r="AU2569" s="76"/>
      <c r="AV2569" s="76"/>
      <c r="AW2569" s="76"/>
      <c r="AX2569" s="76"/>
      <c r="AY2569" s="76"/>
      <c r="AZ2569" s="76"/>
      <c r="BA2569" s="76"/>
      <c r="BB2569" s="76"/>
    </row>
    <row r="2570" spans="5:54" x14ac:dyDescent="0.35">
      <c r="E2570" s="83"/>
      <c r="F2570" s="83"/>
      <c r="G2570" s="76"/>
      <c r="H2570" s="76"/>
      <c r="I2570" s="76"/>
      <c r="J2570" s="76"/>
      <c r="K2570" s="76"/>
      <c r="L2570" s="76"/>
      <c r="M2570" s="76"/>
      <c r="N2570" s="76"/>
      <c r="O2570" s="76"/>
      <c r="P2570" s="76"/>
      <c r="Q2570" s="76"/>
      <c r="R2570" s="76"/>
      <c r="S2570" s="76"/>
      <c r="T2570" s="76"/>
      <c r="U2570" s="76"/>
      <c r="V2570" s="76"/>
      <c r="W2570" s="76"/>
      <c r="X2570" s="76"/>
      <c r="Y2570" s="76"/>
      <c r="Z2570" s="76"/>
      <c r="AA2570" s="76"/>
      <c r="AB2570" s="76"/>
      <c r="AC2570" s="76"/>
      <c r="AD2570" s="76"/>
      <c r="AE2570" s="76"/>
      <c r="AF2570" s="76"/>
      <c r="AG2570" s="76"/>
      <c r="AH2570" s="76"/>
      <c r="AI2570" s="76"/>
      <c r="AJ2570" s="76"/>
      <c r="AK2570" s="76"/>
      <c r="AL2570" s="76"/>
      <c r="AM2570" s="76"/>
      <c r="AN2570" s="76"/>
      <c r="AO2570" s="76"/>
      <c r="AP2570" s="76"/>
      <c r="AQ2570" s="76"/>
      <c r="AR2570" s="76"/>
      <c r="AS2570" s="76"/>
      <c r="AT2570" s="76"/>
      <c r="AU2570" s="76"/>
      <c r="AV2570" s="76"/>
      <c r="AW2570" s="76"/>
      <c r="AX2570" s="76"/>
      <c r="AY2570" s="76"/>
      <c r="AZ2570" s="76"/>
      <c r="BA2570" s="76"/>
      <c r="BB2570" s="76"/>
    </row>
    <row r="2571" spans="5:54" x14ac:dyDescent="0.35">
      <c r="E2571" s="83"/>
      <c r="F2571" s="83"/>
      <c r="G2571" s="76"/>
      <c r="H2571" s="76"/>
      <c r="I2571" s="76"/>
      <c r="J2571" s="76"/>
      <c r="K2571" s="76"/>
      <c r="L2571" s="76"/>
      <c r="M2571" s="76"/>
      <c r="N2571" s="76"/>
      <c r="O2571" s="76"/>
      <c r="P2571" s="76"/>
      <c r="Q2571" s="76"/>
      <c r="R2571" s="76"/>
      <c r="S2571" s="76"/>
      <c r="T2571" s="76"/>
      <c r="U2571" s="76"/>
      <c r="V2571" s="76"/>
      <c r="W2571" s="76"/>
      <c r="X2571" s="76"/>
      <c r="Y2571" s="76"/>
      <c r="Z2571" s="76"/>
      <c r="AA2571" s="76"/>
      <c r="AB2571" s="76"/>
      <c r="AC2571" s="76"/>
      <c r="AD2571" s="76"/>
      <c r="AE2571" s="76"/>
      <c r="AF2571" s="76"/>
      <c r="AG2571" s="76"/>
      <c r="AH2571" s="76"/>
      <c r="AI2571" s="76"/>
      <c r="AJ2571" s="76"/>
      <c r="AK2571" s="76"/>
      <c r="AL2571" s="76"/>
      <c r="AM2571" s="76"/>
      <c r="AN2571" s="76"/>
      <c r="AO2571" s="76"/>
      <c r="AP2571" s="76"/>
      <c r="AQ2571" s="76"/>
      <c r="AR2571" s="76"/>
      <c r="AS2571" s="76"/>
      <c r="AT2571" s="76"/>
      <c r="AU2571" s="76"/>
      <c r="AV2571" s="76"/>
      <c r="AW2571" s="76"/>
      <c r="AX2571" s="76"/>
      <c r="AY2571" s="76"/>
      <c r="AZ2571" s="76"/>
      <c r="BA2571" s="76"/>
      <c r="BB2571" s="76"/>
    </row>
    <row r="2572" spans="5:54" x14ac:dyDescent="0.35">
      <c r="E2572" s="83"/>
      <c r="F2572" s="83"/>
      <c r="G2572" s="76"/>
      <c r="H2572" s="76"/>
      <c r="I2572" s="76"/>
      <c r="J2572" s="76"/>
      <c r="K2572" s="76"/>
      <c r="L2572" s="76"/>
      <c r="M2572" s="76"/>
      <c r="N2572" s="76"/>
      <c r="O2572" s="76"/>
      <c r="P2572" s="76"/>
      <c r="Q2572" s="76"/>
      <c r="R2572" s="76"/>
      <c r="S2572" s="76"/>
      <c r="T2572" s="76"/>
      <c r="U2572" s="76"/>
      <c r="V2572" s="76"/>
      <c r="W2572" s="76"/>
      <c r="X2572" s="76"/>
      <c r="Y2572" s="76"/>
      <c r="Z2572" s="76"/>
      <c r="AA2572" s="76"/>
      <c r="AB2572" s="76"/>
      <c r="AC2572" s="76"/>
      <c r="AD2572" s="76"/>
      <c r="AE2572" s="76"/>
      <c r="AF2572" s="76"/>
      <c r="AG2572" s="76"/>
      <c r="AH2572" s="76"/>
      <c r="AI2572" s="76"/>
      <c r="AJ2572" s="76"/>
      <c r="AK2572" s="76"/>
      <c r="AL2572" s="76"/>
      <c r="AM2572" s="76"/>
      <c r="AN2572" s="76"/>
      <c r="AO2572" s="76"/>
      <c r="AP2572" s="76"/>
      <c r="AQ2572" s="76"/>
      <c r="AR2572" s="76"/>
      <c r="AS2572" s="76"/>
      <c r="AT2572" s="76"/>
      <c r="AU2572" s="76"/>
      <c r="AV2572" s="76"/>
      <c r="AW2572" s="76"/>
      <c r="AX2572" s="76"/>
      <c r="AY2572" s="76"/>
      <c r="AZ2572" s="76"/>
      <c r="BA2572" s="76"/>
      <c r="BB2572" s="76"/>
    </row>
    <row r="2573" spans="5:54" x14ac:dyDescent="0.35">
      <c r="E2573" s="83"/>
      <c r="F2573" s="83"/>
      <c r="G2573" s="76"/>
      <c r="H2573" s="76"/>
      <c r="I2573" s="76"/>
      <c r="J2573" s="76"/>
      <c r="K2573" s="76"/>
      <c r="L2573" s="76"/>
      <c r="M2573" s="76"/>
      <c r="N2573" s="76"/>
      <c r="O2573" s="76"/>
      <c r="P2573" s="76"/>
      <c r="Q2573" s="76"/>
      <c r="R2573" s="76"/>
      <c r="S2573" s="76"/>
      <c r="T2573" s="76"/>
      <c r="U2573" s="76"/>
      <c r="V2573" s="76"/>
      <c r="W2573" s="76"/>
      <c r="X2573" s="76"/>
      <c r="Y2573" s="76"/>
      <c r="Z2573" s="76"/>
      <c r="AA2573" s="76"/>
      <c r="AB2573" s="76"/>
      <c r="AC2573" s="76"/>
      <c r="AD2573" s="76"/>
      <c r="AE2573" s="76"/>
      <c r="AF2573" s="76"/>
      <c r="AG2573" s="76"/>
      <c r="AH2573" s="76"/>
      <c r="AI2573" s="76"/>
      <c r="AJ2573" s="76"/>
      <c r="AK2573" s="76"/>
      <c r="AL2573" s="76"/>
      <c r="AM2573" s="76"/>
      <c r="AN2573" s="76"/>
      <c r="AO2573" s="76"/>
      <c r="AP2573" s="76"/>
      <c r="AQ2573" s="76"/>
      <c r="AR2573" s="76"/>
      <c r="AS2573" s="76"/>
      <c r="AT2573" s="76"/>
      <c r="AU2573" s="76"/>
      <c r="AV2573" s="76"/>
      <c r="AW2573" s="76"/>
      <c r="AX2573" s="76"/>
      <c r="AY2573" s="76"/>
      <c r="AZ2573" s="76"/>
      <c r="BA2573" s="76"/>
      <c r="BB2573" s="76"/>
    </row>
    <row r="2574" spans="5:54" x14ac:dyDescent="0.35">
      <c r="E2574" s="83"/>
      <c r="F2574" s="83"/>
      <c r="G2574" s="76"/>
      <c r="H2574" s="76"/>
      <c r="I2574" s="76"/>
      <c r="J2574" s="76"/>
      <c r="K2574" s="76"/>
      <c r="L2574" s="76"/>
      <c r="M2574" s="76"/>
      <c r="N2574" s="76"/>
      <c r="O2574" s="76"/>
      <c r="P2574" s="76"/>
      <c r="Q2574" s="76"/>
      <c r="R2574" s="76"/>
      <c r="S2574" s="76"/>
      <c r="T2574" s="76"/>
      <c r="U2574" s="76"/>
      <c r="V2574" s="76"/>
      <c r="W2574" s="76"/>
      <c r="X2574" s="76"/>
      <c r="Y2574" s="76"/>
      <c r="Z2574" s="76"/>
      <c r="AA2574" s="76"/>
      <c r="AB2574" s="76"/>
      <c r="AC2574" s="76"/>
      <c r="AD2574" s="76"/>
      <c r="AE2574" s="76"/>
      <c r="AF2574" s="76"/>
      <c r="AG2574" s="76"/>
      <c r="AH2574" s="76"/>
      <c r="AI2574" s="76"/>
      <c r="AJ2574" s="76"/>
      <c r="AK2574" s="76"/>
      <c r="AL2574" s="76"/>
      <c r="AM2574" s="76"/>
      <c r="AN2574" s="76"/>
      <c r="AO2574" s="76"/>
      <c r="AP2574" s="76"/>
      <c r="AQ2574" s="76"/>
      <c r="AR2574" s="76"/>
      <c r="AS2574" s="76"/>
      <c r="AT2574" s="76"/>
      <c r="AU2574" s="76"/>
      <c r="AV2574" s="76"/>
      <c r="AW2574" s="76"/>
      <c r="AX2574" s="76"/>
      <c r="AY2574" s="76"/>
      <c r="AZ2574" s="76"/>
      <c r="BA2574" s="76"/>
      <c r="BB2574" s="76"/>
    </row>
    <row r="2575" spans="5:54" x14ac:dyDescent="0.35">
      <c r="E2575" s="83"/>
      <c r="F2575" s="83"/>
      <c r="G2575" s="76"/>
      <c r="H2575" s="76"/>
      <c r="I2575" s="76"/>
      <c r="J2575" s="76"/>
      <c r="K2575" s="76"/>
      <c r="L2575" s="76"/>
      <c r="M2575" s="76"/>
      <c r="N2575" s="76"/>
      <c r="O2575" s="76"/>
      <c r="P2575" s="76"/>
      <c r="Q2575" s="76"/>
      <c r="R2575" s="76"/>
      <c r="S2575" s="76"/>
      <c r="T2575" s="76"/>
      <c r="U2575" s="76"/>
      <c r="V2575" s="76"/>
      <c r="W2575" s="76"/>
      <c r="X2575" s="76"/>
      <c r="Y2575" s="76"/>
      <c r="Z2575" s="76"/>
      <c r="AA2575" s="76"/>
      <c r="AB2575" s="76"/>
      <c r="AC2575" s="76"/>
      <c r="AD2575" s="76"/>
      <c r="AE2575" s="76"/>
      <c r="AF2575" s="76"/>
      <c r="AG2575" s="76"/>
      <c r="AH2575" s="76"/>
      <c r="AI2575" s="76"/>
      <c r="AJ2575" s="76"/>
      <c r="AK2575" s="76"/>
      <c r="AL2575" s="76"/>
      <c r="AM2575" s="76"/>
      <c r="AN2575" s="76"/>
      <c r="AO2575" s="76"/>
      <c r="AP2575" s="76"/>
      <c r="AQ2575" s="76"/>
      <c r="AR2575" s="76"/>
      <c r="AS2575" s="76"/>
      <c r="AT2575" s="76"/>
      <c r="AU2575" s="76"/>
      <c r="AV2575" s="76"/>
      <c r="AW2575" s="76"/>
      <c r="AX2575" s="76"/>
      <c r="AY2575" s="76"/>
      <c r="AZ2575" s="76"/>
      <c r="BA2575" s="76"/>
      <c r="BB2575" s="76"/>
    </row>
    <row r="2576" spans="5:54" x14ac:dyDescent="0.35">
      <c r="E2576" s="83"/>
      <c r="F2576" s="83"/>
      <c r="G2576" s="76"/>
      <c r="H2576" s="76"/>
      <c r="I2576" s="76"/>
      <c r="J2576" s="76"/>
      <c r="K2576" s="76"/>
      <c r="L2576" s="76"/>
      <c r="M2576" s="76"/>
      <c r="N2576" s="76"/>
      <c r="O2576" s="76"/>
      <c r="P2576" s="76"/>
      <c r="Q2576" s="76"/>
      <c r="R2576" s="76"/>
      <c r="S2576" s="76"/>
      <c r="T2576" s="76"/>
      <c r="U2576" s="76"/>
      <c r="V2576" s="76"/>
      <c r="W2576" s="76"/>
      <c r="X2576" s="76"/>
      <c r="Y2576" s="76"/>
      <c r="Z2576" s="76"/>
      <c r="AA2576" s="76"/>
      <c r="AB2576" s="76"/>
      <c r="AC2576" s="76"/>
      <c r="AD2576" s="76"/>
      <c r="AE2576" s="76"/>
      <c r="AF2576" s="76"/>
      <c r="AG2576" s="76"/>
      <c r="AH2576" s="76"/>
      <c r="AI2576" s="76"/>
      <c r="AJ2576" s="76"/>
      <c r="AK2576" s="76"/>
      <c r="AL2576" s="76"/>
      <c r="AM2576" s="76"/>
      <c r="AN2576" s="76"/>
      <c r="AO2576" s="76"/>
      <c r="AP2576" s="76"/>
      <c r="AQ2576" s="76"/>
      <c r="AR2576" s="76"/>
      <c r="AS2576" s="76"/>
      <c r="AT2576" s="76"/>
      <c r="AU2576" s="76"/>
      <c r="AV2576" s="76"/>
      <c r="AW2576" s="76"/>
      <c r="AX2576" s="76"/>
      <c r="AY2576" s="76"/>
      <c r="AZ2576" s="76"/>
      <c r="BA2576" s="76"/>
      <c r="BB2576" s="76"/>
    </row>
    <row r="2577" spans="5:54" x14ac:dyDescent="0.35">
      <c r="E2577" s="83"/>
      <c r="F2577" s="83"/>
      <c r="G2577" s="76"/>
      <c r="H2577" s="76"/>
      <c r="I2577" s="76"/>
      <c r="J2577" s="76"/>
      <c r="K2577" s="76"/>
      <c r="L2577" s="76"/>
      <c r="M2577" s="76"/>
      <c r="N2577" s="76"/>
      <c r="O2577" s="76"/>
      <c r="P2577" s="76"/>
      <c r="Q2577" s="76"/>
      <c r="R2577" s="76"/>
      <c r="S2577" s="76"/>
      <c r="T2577" s="76"/>
      <c r="U2577" s="76"/>
      <c r="V2577" s="76"/>
      <c r="W2577" s="76"/>
      <c r="X2577" s="76"/>
      <c r="Y2577" s="76"/>
      <c r="Z2577" s="76"/>
      <c r="AA2577" s="76"/>
      <c r="AB2577" s="76"/>
      <c r="AC2577" s="76"/>
      <c r="AD2577" s="76"/>
      <c r="AE2577" s="76"/>
      <c r="AF2577" s="76"/>
      <c r="AG2577" s="76"/>
      <c r="AH2577" s="76"/>
      <c r="AI2577" s="76"/>
      <c r="AJ2577" s="76"/>
      <c r="AK2577" s="76"/>
      <c r="AL2577" s="76"/>
      <c r="AM2577" s="76"/>
      <c r="AN2577" s="76"/>
      <c r="AO2577" s="76"/>
      <c r="AP2577" s="76"/>
      <c r="AQ2577" s="76"/>
      <c r="AR2577" s="76"/>
      <c r="AS2577" s="76"/>
      <c r="AT2577" s="76"/>
      <c r="AU2577" s="76"/>
      <c r="AV2577" s="76"/>
      <c r="AW2577" s="76"/>
      <c r="AX2577" s="76"/>
      <c r="AY2577" s="76"/>
      <c r="AZ2577" s="76"/>
      <c r="BA2577" s="76"/>
      <c r="BB2577" s="76"/>
    </row>
    <row r="2578" spans="5:54" x14ac:dyDescent="0.35">
      <c r="E2578" s="83"/>
      <c r="F2578" s="83"/>
      <c r="G2578" s="76"/>
      <c r="H2578" s="76"/>
      <c r="I2578" s="76"/>
      <c r="J2578" s="76"/>
      <c r="K2578" s="76"/>
      <c r="L2578" s="76"/>
      <c r="M2578" s="76"/>
      <c r="N2578" s="76"/>
      <c r="O2578" s="76"/>
      <c r="P2578" s="76"/>
      <c r="Q2578" s="76"/>
      <c r="R2578" s="76"/>
      <c r="S2578" s="76"/>
      <c r="T2578" s="76"/>
      <c r="U2578" s="76"/>
      <c r="V2578" s="76"/>
      <c r="W2578" s="76"/>
      <c r="X2578" s="76"/>
      <c r="Y2578" s="76"/>
      <c r="Z2578" s="76"/>
      <c r="AA2578" s="76"/>
      <c r="AB2578" s="76"/>
      <c r="AC2578" s="76"/>
      <c r="AD2578" s="76"/>
      <c r="AE2578" s="76"/>
      <c r="AF2578" s="76"/>
      <c r="AG2578" s="76"/>
      <c r="AH2578" s="76"/>
      <c r="AI2578" s="76"/>
      <c r="AJ2578" s="76"/>
      <c r="AK2578" s="76"/>
      <c r="AL2578" s="76"/>
      <c r="AM2578" s="76"/>
      <c r="AN2578" s="76"/>
      <c r="AO2578" s="76"/>
      <c r="AP2578" s="76"/>
      <c r="AQ2578" s="76"/>
      <c r="AR2578" s="76"/>
      <c r="AS2578" s="76"/>
      <c r="AT2578" s="76"/>
      <c r="AU2578" s="76"/>
      <c r="AV2578" s="76"/>
      <c r="AW2578" s="76"/>
      <c r="AX2578" s="76"/>
      <c r="AY2578" s="76"/>
      <c r="AZ2578" s="76"/>
      <c r="BA2578" s="76"/>
      <c r="BB2578" s="76"/>
    </row>
    <row r="2579" spans="5:54" x14ac:dyDescent="0.35">
      <c r="E2579" s="83"/>
      <c r="F2579" s="83"/>
      <c r="G2579" s="76"/>
      <c r="H2579" s="76"/>
      <c r="I2579" s="76"/>
      <c r="J2579" s="76"/>
      <c r="K2579" s="76"/>
      <c r="L2579" s="76"/>
      <c r="M2579" s="76"/>
      <c r="N2579" s="76"/>
      <c r="O2579" s="76"/>
      <c r="P2579" s="76"/>
      <c r="Q2579" s="76"/>
      <c r="R2579" s="76"/>
      <c r="S2579" s="76"/>
      <c r="T2579" s="76"/>
      <c r="U2579" s="76"/>
      <c r="V2579" s="76"/>
      <c r="W2579" s="76"/>
      <c r="X2579" s="76"/>
      <c r="Y2579" s="76"/>
      <c r="Z2579" s="76"/>
      <c r="AA2579" s="76"/>
      <c r="AB2579" s="76"/>
      <c r="AC2579" s="76"/>
      <c r="AD2579" s="76"/>
      <c r="AE2579" s="76"/>
      <c r="AF2579" s="76"/>
      <c r="AG2579" s="76"/>
      <c r="AH2579" s="76"/>
      <c r="AI2579" s="76"/>
      <c r="AJ2579" s="76"/>
      <c r="AK2579" s="76"/>
      <c r="AL2579" s="76"/>
      <c r="AM2579" s="76"/>
      <c r="AN2579" s="76"/>
      <c r="AO2579" s="76"/>
      <c r="AP2579" s="76"/>
      <c r="AQ2579" s="76"/>
      <c r="AR2579" s="76"/>
      <c r="AS2579" s="76"/>
      <c r="AT2579" s="76"/>
      <c r="AU2579" s="76"/>
      <c r="AV2579" s="76"/>
      <c r="AW2579" s="76"/>
      <c r="AX2579" s="76"/>
      <c r="AY2579" s="76"/>
      <c r="AZ2579" s="76"/>
      <c r="BA2579" s="76"/>
      <c r="BB2579" s="76"/>
    </row>
    <row r="2580" spans="5:54" x14ac:dyDescent="0.35">
      <c r="E2580" s="83"/>
      <c r="F2580" s="83"/>
      <c r="G2580" s="76"/>
      <c r="H2580" s="76"/>
      <c r="I2580" s="76"/>
      <c r="J2580" s="76"/>
      <c r="K2580" s="76"/>
      <c r="L2580" s="76"/>
      <c r="M2580" s="76"/>
      <c r="N2580" s="76"/>
      <c r="O2580" s="76"/>
      <c r="P2580" s="76"/>
      <c r="Q2580" s="76"/>
      <c r="R2580" s="76"/>
      <c r="S2580" s="76"/>
      <c r="T2580" s="76"/>
      <c r="U2580" s="76"/>
      <c r="V2580" s="76"/>
      <c r="W2580" s="76"/>
      <c r="X2580" s="76"/>
      <c r="Y2580" s="76"/>
      <c r="Z2580" s="76"/>
      <c r="AA2580" s="76"/>
      <c r="AB2580" s="76"/>
      <c r="AC2580" s="76"/>
      <c r="AD2580" s="76"/>
      <c r="AE2580" s="76"/>
      <c r="AF2580" s="76"/>
      <c r="AG2580" s="76"/>
      <c r="AH2580" s="76"/>
      <c r="AI2580" s="76"/>
      <c r="AJ2580" s="76"/>
      <c r="AK2580" s="76"/>
      <c r="AL2580" s="76"/>
      <c r="AM2580" s="76"/>
      <c r="AN2580" s="76"/>
      <c r="AO2580" s="76"/>
      <c r="AP2580" s="76"/>
      <c r="AQ2580" s="76"/>
      <c r="AR2580" s="76"/>
      <c r="AS2580" s="76"/>
      <c r="AT2580" s="76"/>
      <c r="AU2580" s="76"/>
      <c r="AV2580" s="76"/>
      <c r="AW2580" s="76"/>
      <c r="AX2580" s="76"/>
      <c r="AY2580" s="76"/>
      <c r="AZ2580" s="76"/>
      <c r="BA2580" s="76"/>
      <c r="BB2580" s="76"/>
    </row>
    <row r="2581" spans="5:54" x14ac:dyDescent="0.35">
      <c r="E2581" s="83"/>
      <c r="F2581" s="83"/>
      <c r="G2581" s="76"/>
      <c r="H2581" s="76"/>
      <c r="I2581" s="76"/>
      <c r="J2581" s="76"/>
      <c r="K2581" s="76"/>
      <c r="L2581" s="76"/>
      <c r="M2581" s="76"/>
      <c r="N2581" s="76"/>
      <c r="O2581" s="76"/>
      <c r="P2581" s="76"/>
      <c r="Q2581" s="76"/>
      <c r="R2581" s="76"/>
      <c r="S2581" s="76"/>
      <c r="T2581" s="76"/>
      <c r="U2581" s="76"/>
      <c r="V2581" s="76"/>
      <c r="W2581" s="76"/>
      <c r="X2581" s="76"/>
      <c r="Y2581" s="76"/>
      <c r="Z2581" s="76"/>
      <c r="AA2581" s="76"/>
      <c r="AB2581" s="76"/>
      <c r="AC2581" s="76"/>
      <c r="AD2581" s="76"/>
      <c r="AE2581" s="76"/>
      <c r="AF2581" s="76"/>
      <c r="AG2581" s="76"/>
      <c r="AH2581" s="76"/>
      <c r="AI2581" s="76"/>
      <c r="AJ2581" s="76"/>
      <c r="AK2581" s="76"/>
      <c r="AL2581" s="76"/>
      <c r="AM2581" s="76"/>
      <c r="AN2581" s="76"/>
      <c r="AO2581" s="76"/>
      <c r="AP2581" s="76"/>
      <c r="AQ2581" s="76"/>
      <c r="AR2581" s="76"/>
      <c r="AS2581" s="76"/>
      <c r="AT2581" s="76"/>
      <c r="AU2581" s="76"/>
      <c r="AV2581" s="76"/>
      <c r="AW2581" s="76"/>
      <c r="AX2581" s="76"/>
      <c r="AY2581" s="76"/>
      <c r="AZ2581" s="76"/>
      <c r="BA2581" s="76"/>
      <c r="BB2581" s="76"/>
    </row>
    <row r="2582" spans="5:54" x14ac:dyDescent="0.35">
      <c r="E2582" s="83"/>
      <c r="F2582" s="83"/>
      <c r="G2582" s="76"/>
      <c r="H2582" s="76"/>
      <c r="I2582" s="76"/>
      <c r="J2582" s="76"/>
      <c r="K2582" s="76"/>
      <c r="L2582" s="76"/>
      <c r="M2582" s="76"/>
      <c r="N2582" s="76"/>
      <c r="O2582" s="76"/>
      <c r="P2582" s="76"/>
      <c r="Q2582" s="76"/>
      <c r="R2582" s="76"/>
      <c r="S2582" s="76"/>
      <c r="T2582" s="76"/>
      <c r="U2582" s="76"/>
      <c r="V2582" s="76"/>
      <c r="W2582" s="76"/>
      <c r="X2582" s="76"/>
      <c r="Y2582" s="76"/>
      <c r="Z2582" s="76"/>
      <c r="AA2582" s="76"/>
      <c r="AB2582" s="76"/>
      <c r="AC2582" s="76"/>
      <c r="AD2582" s="76"/>
      <c r="AE2582" s="76"/>
      <c r="AF2582" s="76"/>
      <c r="AG2582" s="76"/>
      <c r="AH2582" s="76"/>
      <c r="AI2582" s="76"/>
      <c r="AJ2582" s="76"/>
      <c r="AK2582" s="76"/>
      <c r="AL2582" s="76"/>
      <c r="AM2582" s="76"/>
      <c r="AN2582" s="76"/>
      <c r="AO2582" s="76"/>
      <c r="AP2582" s="76"/>
      <c r="AQ2582" s="76"/>
      <c r="AR2582" s="76"/>
      <c r="AS2582" s="76"/>
      <c r="AT2582" s="76"/>
      <c r="AU2582" s="76"/>
      <c r="AV2582" s="76"/>
      <c r="AW2582" s="76"/>
      <c r="AX2582" s="76"/>
      <c r="AY2582" s="76"/>
      <c r="AZ2582" s="76"/>
      <c r="BA2582" s="76"/>
      <c r="BB2582" s="76"/>
    </row>
    <row r="2583" spans="5:54" x14ac:dyDescent="0.35">
      <c r="E2583" s="83"/>
      <c r="F2583" s="83"/>
      <c r="G2583" s="76"/>
      <c r="H2583" s="76"/>
      <c r="I2583" s="76"/>
      <c r="J2583" s="76"/>
      <c r="K2583" s="76"/>
      <c r="L2583" s="76"/>
      <c r="M2583" s="76"/>
      <c r="N2583" s="76"/>
      <c r="O2583" s="76"/>
      <c r="P2583" s="76"/>
      <c r="Q2583" s="76"/>
      <c r="R2583" s="76"/>
      <c r="S2583" s="76"/>
      <c r="T2583" s="76"/>
      <c r="U2583" s="76"/>
      <c r="V2583" s="76"/>
      <c r="W2583" s="76"/>
      <c r="X2583" s="76"/>
      <c r="Y2583" s="76"/>
      <c r="Z2583" s="76"/>
      <c r="AA2583" s="76"/>
      <c r="AB2583" s="76"/>
      <c r="AC2583" s="76"/>
      <c r="AD2583" s="76"/>
      <c r="AE2583" s="76"/>
      <c r="AF2583" s="76"/>
      <c r="AG2583" s="76"/>
      <c r="AH2583" s="76"/>
      <c r="AI2583" s="76"/>
      <c r="AJ2583" s="76"/>
      <c r="AK2583" s="76"/>
      <c r="AL2583" s="76"/>
      <c r="AM2583" s="76"/>
      <c r="AN2583" s="76"/>
      <c r="AO2583" s="76"/>
      <c r="AP2583" s="76"/>
      <c r="AQ2583" s="76"/>
      <c r="AR2583" s="76"/>
      <c r="AS2583" s="76"/>
      <c r="AT2583" s="76"/>
      <c r="AU2583" s="76"/>
      <c r="AV2583" s="76"/>
      <c r="AW2583" s="76"/>
      <c r="AX2583" s="76"/>
      <c r="AY2583" s="76"/>
      <c r="AZ2583" s="76"/>
      <c r="BA2583" s="76"/>
      <c r="BB2583" s="76"/>
    </row>
    <row r="2584" spans="5:54" x14ac:dyDescent="0.35">
      <c r="E2584" s="83"/>
      <c r="F2584" s="83"/>
      <c r="G2584" s="76"/>
      <c r="H2584" s="76"/>
      <c r="I2584" s="76"/>
      <c r="J2584" s="76"/>
      <c r="K2584" s="76"/>
      <c r="L2584" s="76"/>
      <c r="M2584" s="76"/>
      <c r="N2584" s="76"/>
      <c r="O2584" s="76"/>
      <c r="P2584" s="76"/>
      <c r="Q2584" s="76"/>
      <c r="R2584" s="76"/>
      <c r="S2584" s="76"/>
      <c r="T2584" s="76"/>
      <c r="U2584" s="76"/>
      <c r="V2584" s="76"/>
      <c r="W2584" s="76"/>
      <c r="X2584" s="76"/>
      <c r="Y2584" s="76"/>
      <c r="Z2584" s="76"/>
      <c r="AA2584" s="76"/>
      <c r="AB2584" s="76"/>
      <c r="AC2584" s="76"/>
      <c r="AD2584" s="76"/>
      <c r="AE2584" s="76"/>
      <c r="AF2584" s="76"/>
      <c r="AG2584" s="76"/>
      <c r="AH2584" s="76"/>
      <c r="AI2584" s="76"/>
      <c r="AJ2584" s="76"/>
      <c r="AK2584" s="76"/>
      <c r="AL2584" s="76"/>
      <c r="AM2584" s="76"/>
      <c r="AN2584" s="76"/>
      <c r="AO2584" s="76"/>
      <c r="AP2584" s="76"/>
      <c r="AQ2584" s="76"/>
      <c r="AR2584" s="76"/>
      <c r="AS2584" s="76"/>
      <c r="AT2584" s="76"/>
      <c r="AU2584" s="76"/>
      <c r="AV2584" s="76"/>
      <c r="AW2584" s="76"/>
      <c r="AX2584" s="76"/>
      <c r="AY2584" s="76"/>
      <c r="AZ2584" s="76"/>
      <c r="BA2584" s="76"/>
      <c r="BB2584" s="76"/>
    </row>
    <row r="2585" spans="5:54" x14ac:dyDescent="0.35">
      <c r="E2585" s="83"/>
      <c r="F2585" s="83"/>
      <c r="G2585" s="76"/>
      <c r="H2585" s="76"/>
      <c r="I2585" s="76"/>
      <c r="J2585" s="76"/>
      <c r="K2585" s="76"/>
      <c r="L2585" s="76"/>
      <c r="M2585" s="76"/>
      <c r="N2585" s="76"/>
      <c r="O2585" s="76"/>
      <c r="P2585" s="76"/>
      <c r="Q2585" s="76"/>
      <c r="R2585" s="76"/>
      <c r="S2585" s="76"/>
      <c r="T2585" s="76"/>
      <c r="U2585" s="76"/>
      <c r="V2585" s="76"/>
      <c r="W2585" s="76"/>
      <c r="X2585" s="76"/>
      <c r="Y2585" s="76"/>
      <c r="Z2585" s="76"/>
      <c r="AA2585" s="76"/>
      <c r="AB2585" s="76"/>
      <c r="AC2585" s="76"/>
      <c r="AD2585" s="76"/>
      <c r="AE2585" s="76"/>
      <c r="AF2585" s="76"/>
      <c r="AG2585" s="76"/>
      <c r="AH2585" s="76"/>
      <c r="AI2585" s="76"/>
      <c r="AJ2585" s="76"/>
      <c r="AK2585" s="76"/>
      <c r="AL2585" s="76"/>
      <c r="AM2585" s="76"/>
      <c r="AN2585" s="76"/>
      <c r="AO2585" s="76"/>
      <c r="AP2585" s="76"/>
      <c r="AQ2585" s="76"/>
      <c r="AR2585" s="76"/>
      <c r="AS2585" s="76"/>
      <c r="AT2585" s="76"/>
      <c r="AU2585" s="76"/>
      <c r="AV2585" s="76"/>
      <c r="AW2585" s="76"/>
      <c r="AX2585" s="76"/>
      <c r="AY2585" s="76"/>
      <c r="AZ2585" s="76"/>
      <c r="BA2585" s="76"/>
      <c r="BB2585" s="76"/>
    </row>
    <row r="2586" spans="5:54" x14ac:dyDescent="0.35">
      <c r="E2586" s="83"/>
      <c r="F2586" s="83"/>
      <c r="G2586" s="76"/>
      <c r="H2586" s="76"/>
      <c r="I2586" s="76"/>
      <c r="J2586" s="76"/>
      <c r="K2586" s="76"/>
      <c r="L2586" s="76"/>
      <c r="M2586" s="76"/>
      <c r="N2586" s="76"/>
      <c r="O2586" s="76"/>
      <c r="P2586" s="76"/>
      <c r="Q2586" s="76"/>
      <c r="R2586" s="76"/>
      <c r="S2586" s="76"/>
      <c r="T2586" s="76"/>
      <c r="U2586" s="76"/>
      <c r="V2586" s="76"/>
      <c r="W2586" s="76"/>
      <c r="X2586" s="76"/>
      <c r="Y2586" s="76"/>
      <c r="Z2586" s="76"/>
      <c r="AA2586" s="76"/>
      <c r="AB2586" s="76"/>
      <c r="AC2586" s="76"/>
      <c r="AD2586" s="76"/>
      <c r="AE2586" s="76"/>
      <c r="AF2586" s="76"/>
      <c r="AG2586" s="76"/>
      <c r="AH2586" s="76"/>
      <c r="AI2586" s="76"/>
      <c r="AJ2586" s="76"/>
      <c r="AK2586" s="76"/>
      <c r="AL2586" s="76"/>
      <c r="AM2586" s="76"/>
      <c r="AN2586" s="76"/>
      <c r="AO2586" s="76"/>
      <c r="AP2586" s="76"/>
      <c r="AQ2586" s="76"/>
      <c r="AR2586" s="76"/>
      <c r="AS2586" s="76"/>
      <c r="AT2586" s="76"/>
      <c r="AU2586" s="76"/>
      <c r="AV2586" s="76"/>
      <c r="AW2586" s="76"/>
      <c r="AX2586" s="76"/>
      <c r="AY2586" s="76"/>
      <c r="AZ2586" s="76"/>
      <c r="BA2586" s="76"/>
      <c r="BB2586" s="76"/>
    </row>
    <row r="2587" spans="5:54" x14ac:dyDescent="0.35">
      <c r="E2587" s="83"/>
      <c r="F2587" s="83"/>
      <c r="G2587" s="76"/>
      <c r="H2587" s="76"/>
      <c r="I2587" s="76"/>
      <c r="J2587" s="76"/>
      <c r="K2587" s="76"/>
      <c r="L2587" s="76"/>
      <c r="M2587" s="76"/>
      <c r="N2587" s="76"/>
      <c r="O2587" s="76"/>
      <c r="P2587" s="76"/>
      <c r="Q2587" s="76"/>
      <c r="R2587" s="76"/>
      <c r="S2587" s="76"/>
      <c r="T2587" s="76"/>
      <c r="U2587" s="76"/>
      <c r="V2587" s="76"/>
      <c r="W2587" s="76"/>
      <c r="X2587" s="76"/>
      <c r="Y2587" s="76"/>
      <c r="Z2587" s="76"/>
      <c r="AA2587" s="76"/>
      <c r="AB2587" s="76"/>
      <c r="AC2587" s="76"/>
      <c r="AD2587" s="76"/>
      <c r="AE2587" s="76"/>
      <c r="AF2587" s="76"/>
      <c r="AG2587" s="76"/>
      <c r="AH2587" s="76"/>
      <c r="AI2587" s="76"/>
      <c r="AJ2587" s="76"/>
      <c r="AK2587" s="76"/>
      <c r="AL2587" s="76"/>
      <c r="AM2587" s="76"/>
      <c r="AN2587" s="76"/>
      <c r="AO2587" s="76"/>
      <c r="AP2587" s="76"/>
      <c r="AQ2587" s="76"/>
      <c r="AR2587" s="76"/>
      <c r="AS2587" s="76"/>
      <c r="AT2587" s="76"/>
      <c r="AU2587" s="76"/>
      <c r="AV2587" s="76"/>
      <c r="AW2587" s="76"/>
      <c r="AX2587" s="76"/>
      <c r="AY2587" s="76"/>
      <c r="AZ2587" s="76"/>
      <c r="BA2587" s="76"/>
      <c r="BB2587" s="76"/>
    </row>
    <row r="2588" spans="5:54" x14ac:dyDescent="0.35">
      <c r="E2588" s="83"/>
      <c r="F2588" s="83"/>
      <c r="G2588" s="76"/>
      <c r="H2588" s="76"/>
      <c r="I2588" s="76"/>
      <c r="J2588" s="76"/>
      <c r="K2588" s="76"/>
      <c r="L2588" s="76"/>
      <c r="M2588" s="76"/>
      <c r="N2588" s="76"/>
      <c r="O2588" s="76"/>
      <c r="P2588" s="76"/>
      <c r="Q2588" s="76"/>
      <c r="R2588" s="76"/>
      <c r="S2588" s="76"/>
      <c r="T2588" s="76"/>
      <c r="U2588" s="76"/>
      <c r="V2588" s="76"/>
      <c r="W2588" s="76"/>
      <c r="X2588" s="76"/>
      <c r="Y2588" s="76"/>
      <c r="Z2588" s="76"/>
      <c r="AA2588" s="76"/>
      <c r="AB2588" s="76"/>
      <c r="AC2588" s="76"/>
      <c r="AD2588" s="76"/>
      <c r="AE2588" s="76"/>
      <c r="AF2588" s="76"/>
      <c r="AG2588" s="76"/>
      <c r="AH2588" s="76"/>
      <c r="AI2588" s="76"/>
      <c r="AJ2588" s="76"/>
      <c r="AK2588" s="76"/>
      <c r="AL2588" s="76"/>
      <c r="AM2588" s="76"/>
      <c r="AN2588" s="76"/>
      <c r="AO2588" s="76"/>
      <c r="AP2588" s="76"/>
      <c r="AQ2588" s="76"/>
      <c r="AR2588" s="76"/>
      <c r="AS2588" s="76"/>
      <c r="AT2588" s="76"/>
      <c r="AU2588" s="76"/>
      <c r="AV2588" s="76"/>
      <c r="AW2588" s="76"/>
      <c r="AX2588" s="76"/>
      <c r="AY2588" s="76"/>
      <c r="AZ2588" s="76"/>
      <c r="BA2588" s="76"/>
      <c r="BB2588" s="76"/>
    </row>
    <row r="2589" spans="5:54" x14ac:dyDescent="0.35">
      <c r="E2589" s="83"/>
      <c r="F2589" s="83"/>
      <c r="G2589" s="76"/>
      <c r="H2589" s="76"/>
      <c r="I2589" s="76"/>
      <c r="J2589" s="76"/>
      <c r="K2589" s="76"/>
      <c r="L2589" s="76"/>
      <c r="M2589" s="76"/>
      <c r="N2589" s="76"/>
      <c r="O2589" s="76"/>
      <c r="P2589" s="76"/>
      <c r="Q2589" s="76"/>
      <c r="R2589" s="76"/>
      <c r="S2589" s="76"/>
      <c r="T2589" s="76"/>
      <c r="U2589" s="76"/>
      <c r="V2589" s="76"/>
      <c r="W2589" s="76"/>
      <c r="X2589" s="76"/>
      <c r="Y2589" s="76"/>
      <c r="Z2589" s="76"/>
      <c r="AA2589" s="76"/>
      <c r="AB2589" s="76"/>
      <c r="AC2589" s="76"/>
      <c r="AD2589" s="76"/>
      <c r="AE2589" s="76"/>
      <c r="AF2589" s="76"/>
      <c r="AG2589" s="76"/>
      <c r="AH2589" s="76"/>
      <c r="AI2589" s="76"/>
      <c r="AJ2589" s="76"/>
      <c r="AK2589" s="76"/>
      <c r="AL2589" s="76"/>
      <c r="AM2589" s="76"/>
      <c r="AN2589" s="76"/>
      <c r="AO2589" s="76"/>
      <c r="AP2589" s="76"/>
      <c r="AQ2589" s="76"/>
      <c r="AR2589" s="76"/>
      <c r="AS2589" s="76"/>
      <c r="AT2589" s="76"/>
      <c r="AU2589" s="76"/>
      <c r="AV2589" s="76"/>
      <c r="AW2589" s="76"/>
      <c r="AX2589" s="76"/>
      <c r="AY2589" s="76"/>
      <c r="AZ2589" s="76"/>
      <c r="BA2589" s="76"/>
      <c r="BB2589" s="76"/>
    </row>
    <row r="2590" spans="5:54" x14ac:dyDescent="0.35">
      <c r="E2590" s="83"/>
      <c r="F2590" s="83"/>
      <c r="G2590" s="76"/>
      <c r="H2590" s="76"/>
      <c r="I2590" s="76"/>
      <c r="J2590" s="76"/>
      <c r="K2590" s="76"/>
      <c r="L2590" s="76"/>
      <c r="M2590" s="76"/>
      <c r="N2590" s="76"/>
      <c r="O2590" s="76"/>
      <c r="P2590" s="76"/>
      <c r="Q2590" s="76"/>
      <c r="R2590" s="76"/>
      <c r="S2590" s="76"/>
      <c r="T2590" s="76"/>
      <c r="U2590" s="76"/>
      <c r="V2590" s="76"/>
      <c r="W2590" s="76"/>
      <c r="X2590" s="76"/>
      <c r="Y2590" s="76"/>
      <c r="Z2590" s="76"/>
      <c r="AA2590" s="76"/>
      <c r="AB2590" s="76"/>
      <c r="AC2590" s="76"/>
      <c r="AD2590" s="76"/>
      <c r="AE2590" s="76"/>
      <c r="AF2590" s="76"/>
      <c r="AG2590" s="76"/>
      <c r="AH2590" s="76"/>
      <c r="AI2590" s="76"/>
      <c r="AJ2590" s="76"/>
      <c r="AK2590" s="76"/>
      <c r="AL2590" s="76"/>
      <c r="AM2590" s="76"/>
      <c r="AN2590" s="76"/>
      <c r="AO2590" s="76"/>
      <c r="AP2590" s="76"/>
      <c r="AQ2590" s="76"/>
      <c r="AR2590" s="76"/>
      <c r="AS2590" s="76"/>
      <c r="AT2590" s="76"/>
      <c r="AU2590" s="76"/>
      <c r="AV2590" s="76"/>
      <c r="AW2590" s="76"/>
      <c r="AX2590" s="76"/>
      <c r="AY2590" s="76"/>
      <c r="AZ2590" s="76"/>
      <c r="BA2590" s="76"/>
      <c r="BB2590" s="76"/>
    </row>
    <row r="2591" spans="5:54" x14ac:dyDescent="0.35">
      <c r="E2591" s="83"/>
      <c r="F2591" s="83"/>
      <c r="G2591" s="76"/>
      <c r="H2591" s="76"/>
      <c r="I2591" s="76"/>
      <c r="J2591" s="76"/>
      <c r="K2591" s="76"/>
      <c r="L2591" s="76"/>
      <c r="M2591" s="76"/>
      <c r="N2591" s="76"/>
      <c r="O2591" s="76"/>
      <c r="P2591" s="76"/>
      <c r="Q2591" s="76"/>
      <c r="R2591" s="76"/>
      <c r="S2591" s="76"/>
      <c r="T2591" s="76"/>
      <c r="U2591" s="76"/>
      <c r="V2591" s="76"/>
      <c r="W2591" s="76"/>
      <c r="X2591" s="76"/>
      <c r="Y2591" s="76"/>
      <c r="Z2591" s="76"/>
      <c r="AA2591" s="76"/>
      <c r="AB2591" s="76"/>
      <c r="AC2591" s="76"/>
      <c r="AD2591" s="76"/>
      <c r="AE2591" s="76"/>
      <c r="AF2591" s="76"/>
      <c r="AG2591" s="76"/>
      <c r="AH2591" s="76"/>
      <c r="AI2591" s="76"/>
      <c r="AJ2591" s="76"/>
      <c r="AK2591" s="76"/>
      <c r="AL2591" s="76"/>
      <c r="AM2591" s="76"/>
      <c r="AN2591" s="76"/>
      <c r="AO2591" s="76"/>
      <c r="AP2591" s="76"/>
      <c r="AQ2591" s="76"/>
      <c r="AR2591" s="76"/>
      <c r="AS2591" s="76"/>
      <c r="AT2591" s="76"/>
      <c r="AU2591" s="76"/>
      <c r="AV2591" s="76"/>
      <c r="AW2591" s="76"/>
      <c r="AX2591" s="76"/>
      <c r="AY2591" s="76"/>
      <c r="AZ2591" s="76"/>
      <c r="BA2591" s="76"/>
      <c r="BB2591" s="76"/>
    </row>
    <row r="2592" spans="5:54" x14ac:dyDescent="0.35">
      <c r="E2592" s="83"/>
      <c r="F2592" s="83"/>
      <c r="G2592" s="76"/>
      <c r="H2592" s="76"/>
      <c r="I2592" s="76"/>
      <c r="J2592" s="76"/>
      <c r="K2592" s="76"/>
      <c r="L2592" s="76"/>
      <c r="M2592" s="76"/>
      <c r="N2592" s="76"/>
      <c r="O2592" s="76"/>
      <c r="P2592" s="76"/>
      <c r="Q2592" s="76"/>
      <c r="R2592" s="76"/>
      <c r="S2592" s="76"/>
      <c r="T2592" s="76"/>
      <c r="U2592" s="76"/>
      <c r="V2592" s="76"/>
      <c r="W2592" s="76"/>
      <c r="X2592" s="76"/>
      <c r="Y2592" s="76"/>
      <c r="Z2592" s="76"/>
      <c r="AA2592" s="76"/>
      <c r="AB2592" s="76"/>
      <c r="AC2592" s="76"/>
      <c r="AD2592" s="76"/>
      <c r="AE2592" s="76"/>
      <c r="AF2592" s="76"/>
      <c r="AG2592" s="76"/>
      <c r="AH2592" s="76"/>
      <c r="AI2592" s="76"/>
      <c r="AJ2592" s="76"/>
      <c r="AK2592" s="76"/>
      <c r="AL2592" s="76"/>
      <c r="AM2592" s="76"/>
      <c r="AN2592" s="76"/>
      <c r="AO2592" s="76"/>
      <c r="AP2592" s="76"/>
      <c r="AQ2592" s="76"/>
      <c r="AR2592" s="76"/>
      <c r="AS2592" s="76"/>
      <c r="AT2592" s="76"/>
      <c r="AU2592" s="76"/>
      <c r="AV2592" s="76"/>
      <c r="AW2592" s="76"/>
      <c r="AX2592" s="76"/>
      <c r="AY2592" s="76"/>
      <c r="AZ2592" s="76"/>
      <c r="BA2592" s="76"/>
      <c r="BB2592" s="76"/>
    </row>
    <row r="2593" spans="5:54" x14ac:dyDescent="0.35">
      <c r="E2593" s="83"/>
      <c r="F2593" s="83"/>
      <c r="G2593" s="76"/>
      <c r="H2593" s="76"/>
      <c r="I2593" s="76"/>
      <c r="J2593" s="76"/>
      <c r="K2593" s="76"/>
      <c r="L2593" s="76"/>
      <c r="M2593" s="76"/>
      <c r="N2593" s="76"/>
      <c r="O2593" s="76"/>
      <c r="P2593" s="76"/>
      <c r="Q2593" s="76"/>
      <c r="R2593" s="76"/>
      <c r="S2593" s="76"/>
      <c r="T2593" s="76"/>
      <c r="U2593" s="76"/>
      <c r="V2593" s="76"/>
      <c r="W2593" s="76"/>
      <c r="X2593" s="76"/>
      <c r="Y2593" s="76"/>
      <c r="Z2593" s="76"/>
      <c r="AA2593" s="76"/>
      <c r="AB2593" s="76"/>
      <c r="AC2593" s="76"/>
      <c r="AD2593" s="76"/>
      <c r="AE2593" s="76"/>
      <c r="AF2593" s="76"/>
      <c r="AG2593" s="76"/>
      <c r="AH2593" s="76"/>
      <c r="AI2593" s="76"/>
      <c r="AJ2593" s="76"/>
      <c r="AK2593" s="76"/>
      <c r="AL2593" s="76"/>
      <c r="AM2593" s="76"/>
      <c r="AN2593" s="76"/>
      <c r="AO2593" s="76"/>
      <c r="AP2593" s="76"/>
      <c r="AQ2593" s="76"/>
      <c r="AR2593" s="76"/>
      <c r="AS2593" s="76"/>
      <c r="AT2593" s="76"/>
      <c r="AU2593" s="76"/>
      <c r="AV2593" s="76"/>
      <c r="AW2593" s="76"/>
      <c r="AX2593" s="76"/>
      <c r="AY2593" s="76"/>
      <c r="AZ2593" s="76"/>
      <c r="BA2593" s="76"/>
      <c r="BB2593" s="76"/>
    </row>
    <row r="2594" spans="5:54" x14ac:dyDescent="0.35">
      <c r="E2594" s="83"/>
      <c r="F2594" s="83"/>
      <c r="G2594" s="76"/>
      <c r="H2594" s="76"/>
      <c r="I2594" s="76"/>
      <c r="J2594" s="76"/>
      <c r="K2594" s="76"/>
      <c r="L2594" s="76"/>
      <c r="M2594" s="76"/>
      <c r="N2594" s="76"/>
      <c r="O2594" s="76"/>
      <c r="P2594" s="76"/>
      <c r="Q2594" s="76"/>
      <c r="R2594" s="76"/>
      <c r="S2594" s="76"/>
      <c r="T2594" s="76"/>
      <c r="U2594" s="76"/>
      <c r="V2594" s="76"/>
      <c r="W2594" s="76"/>
      <c r="X2594" s="76"/>
      <c r="Y2594" s="76"/>
      <c r="Z2594" s="76"/>
      <c r="AA2594" s="76"/>
      <c r="AB2594" s="76"/>
      <c r="AC2594" s="76"/>
      <c r="AD2594" s="76"/>
      <c r="AE2594" s="76"/>
      <c r="AF2594" s="76"/>
      <c r="AG2594" s="76"/>
      <c r="AH2594" s="76"/>
      <c r="AI2594" s="76"/>
      <c r="AJ2594" s="76"/>
      <c r="AK2594" s="76"/>
      <c r="AL2594" s="76"/>
      <c r="AM2594" s="76"/>
      <c r="AN2594" s="76"/>
      <c r="AO2594" s="76"/>
      <c r="AP2594" s="76"/>
      <c r="AQ2594" s="76"/>
      <c r="AR2594" s="76"/>
      <c r="AS2594" s="76"/>
      <c r="AT2594" s="76"/>
      <c r="AU2594" s="76"/>
      <c r="AV2594" s="76"/>
      <c r="AW2594" s="76"/>
      <c r="AX2594" s="76"/>
      <c r="AY2594" s="76"/>
      <c r="AZ2594" s="76"/>
      <c r="BA2594" s="76"/>
      <c r="BB2594" s="76"/>
    </row>
    <row r="2595" spans="5:54" x14ac:dyDescent="0.35">
      <c r="E2595" s="83"/>
      <c r="F2595" s="83"/>
      <c r="G2595" s="76"/>
      <c r="H2595" s="76"/>
      <c r="I2595" s="76"/>
      <c r="J2595" s="76"/>
      <c r="K2595" s="76"/>
      <c r="L2595" s="76"/>
      <c r="M2595" s="76"/>
      <c r="N2595" s="76"/>
      <c r="O2595" s="76"/>
      <c r="P2595" s="76"/>
      <c r="Q2595" s="76"/>
      <c r="R2595" s="76"/>
      <c r="S2595" s="76"/>
      <c r="T2595" s="76"/>
      <c r="U2595" s="76"/>
      <c r="V2595" s="76"/>
      <c r="W2595" s="76"/>
      <c r="X2595" s="76"/>
      <c r="Y2595" s="76"/>
      <c r="Z2595" s="76"/>
      <c r="AA2595" s="76"/>
      <c r="AB2595" s="76"/>
      <c r="AC2595" s="76"/>
      <c r="AD2595" s="76"/>
      <c r="AE2595" s="76"/>
      <c r="AF2595" s="76"/>
      <c r="AG2595" s="76"/>
      <c r="AH2595" s="76"/>
      <c r="AI2595" s="76"/>
      <c r="AJ2595" s="76"/>
      <c r="AK2595" s="76"/>
      <c r="AL2595" s="76"/>
      <c r="AM2595" s="76"/>
      <c r="AN2595" s="76"/>
      <c r="AO2595" s="76"/>
      <c r="AP2595" s="76"/>
      <c r="AQ2595" s="76"/>
      <c r="AR2595" s="76"/>
      <c r="AS2595" s="76"/>
      <c r="AT2595" s="76"/>
      <c r="AU2595" s="76"/>
      <c r="AV2595" s="76"/>
      <c r="AW2595" s="76"/>
      <c r="AX2595" s="76"/>
      <c r="AY2595" s="76"/>
      <c r="AZ2595" s="76"/>
      <c r="BA2595" s="76"/>
      <c r="BB2595" s="76"/>
    </row>
    <row r="2596" spans="5:54" x14ac:dyDescent="0.35">
      <c r="E2596" s="83"/>
      <c r="F2596" s="83"/>
      <c r="G2596" s="76"/>
      <c r="H2596" s="76"/>
      <c r="I2596" s="76"/>
      <c r="J2596" s="76"/>
      <c r="K2596" s="76"/>
      <c r="L2596" s="76"/>
      <c r="M2596" s="76"/>
      <c r="N2596" s="76"/>
      <c r="O2596" s="76"/>
      <c r="P2596" s="76"/>
      <c r="Q2596" s="76"/>
      <c r="R2596" s="76"/>
      <c r="S2596" s="76"/>
      <c r="T2596" s="76"/>
      <c r="U2596" s="76"/>
      <c r="V2596" s="76"/>
      <c r="W2596" s="76"/>
      <c r="X2596" s="76"/>
      <c r="Y2596" s="76"/>
      <c r="Z2596" s="76"/>
      <c r="AA2596" s="76"/>
      <c r="AB2596" s="76"/>
      <c r="AC2596" s="76"/>
      <c r="AD2596" s="76"/>
      <c r="AE2596" s="76"/>
      <c r="AF2596" s="76"/>
      <c r="AG2596" s="76"/>
      <c r="AH2596" s="76"/>
      <c r="AI2596" s="76"/>
      <c r="AJ2596" s="76"/>
      <c r="AK2596" s="76"/>
      <c r="AL2596" s="76"/>
      <c r="AM2596" s="76"/>
      <c r="AN2596" s="76"/>
      <c r="AO2596" s="76"/>
      <c r="AP2596" s="76"/>
      <c r="AQ2596" s="76"/>
      <c r="AR2596" s="76"/>
      <c r="AS2596" s="76"/>
      <c r="AT2596" s="76"/>
      <c r="AU2596" s="76"/>
      <c r="AV2596" s="76"/>
      <c r="AW2596" s="76"/>
      <c r="AX2596" s="76"/>
      <c r="AY2596" s="76"/>
      <c r="AZ2596" s="76"/>
      <c r="BA2596" s="76"/>
      <c r="BB2596" s="76"/>
    </row>
    <row r="2597" spans="5:54" x14ac:dyDescent="0.35">
      <c r="E2597" s="83"/>
      <c r="F2597" s="83"/>
      <c r="G2597" s="76"/>
      <c r="H2597" s="76"/>
      <c r="I2597" s="76"/>
      <c r="J2597" s="76"/>
      <c r="K2597" s="76"/>
      <c r="L2597" s="76"/>
      <c r="M2597" s="76"/>
      <c r="N2597" s="76"/>
      <c r="O2597" s="76"/>
      <c r="P2597" s="76"/>
      <c r="Q2597" s="76"/>
      <c r="R2597" s="76"/>
      <c r="S2597" s="76"/>
      <c r="T2597" s="76"/>
      <c r="U2597" s="76"/>
      <c r="V2597" s="76"/>
      <c r="W2597" s="76"/>
      <c r="X2597" s="76"/>
      <c r="Y2597" s="76"/>
      <c r="Z2597" s="76"/>
      <c r="AA2597" s="76"/>
      <c r="AB2597" s="76"/>
      <c r="AC2597" s="76"/>
      <c r="AD2597" s="76"/>
      <c r="AE2597" s="76"/>
      <c r="AF2597" s="76"/>
      <c r="AG2597" s="76"/>
      <c r="AH2597" s="76"/>
      <c r="AI2597" s="76"/>
      <c r="AJ2597" s="76"/>
      <c r="AK2597" s="76"/>
      <c r="AL2597" s="76"/>
      <c r="AM2597" s="76"/>
      <c r="AN2597" s="76"/>
      <c r="AO2597" s="76"/>
      <c r="AP2597" s="76"/>
      <c r="AQ2597" s="76"/>
      <c r="AR2597" s="76"/>
      <c r="AS2597" s="76"/>
      <c r="AT2597" s="76"/>
      <c r="AU2597" s="76"/>
      <c r="AV2597" s="76"/>
      <c r="AW2597" s="76"/>
      <c r="AX2597" s="76"/>
      <c r="AY2597" s="76"/>
      <c r="AZ2597" s="76"/>
      <c r="BA2597" s="76"/>
      <c r="BB2597" s="76"/>
    </row>
    <row r="2598" spans="5:54" x14ac:dyDescent="0.35">
      <c r="E2598" s="83"/>
      <c r="F2598" s="83"/>
      <c r="G2598" s="76"/>
      <c r="H2598" s="76"/>
      <c r="I2598" s="76"/>
      <c r="J2598" s="76"/>
      <c r="K2598" s="76"/>
      <c r="L2598" s="76"/>
      <c r="M2598" s="76"/>
      <c r="N2598" s="76"/>
      <c r="O2598" s="76"/>
      <c r="P2598" s="76"/>
      <c r="Q2598" s="76"/>
      <c r="R2598" s="76"/>
      <c r="S2598" s="76"/>
      <c r="T2598" s="76"/>
      <c r="U2598" s="76"/>
      <c r="V2598" s="76"/>
      <c r="W2598" s="76"/>
      <c r="X2598" s="76"/>
      <c r="Y2598" s="76"/>
      <c r="Z2598" s="76"/>
      <c r="AA2598" s="76"/>
      <c r="AB2598" s="76"/>
      <c r="AC2598" s="76"/>
      <c r="AD2598" s="76"/>
      <c r="AE2598" s="76"/>
      <c r="AF2598" s="76"/>
      <c r="AG2598" s="76"/>
      <c r="AH2598" s="76"/>
      <c r="AI2598" s="76"/>
      <c r="AJ2598" s="76"/>
      <c r="AK2598" s="76"/>
      <c r="AL2598" s="76"/>
      <c r="AM2598" s="76"/>
      <c r="AN2598" s="76"/>
      <c r="AO2598" s="76"/>
      <c r="AP2598" s="76"/>
      <c r="AQ2598" s="76"/>
      <c r="AR2598" s="76"/>
      <c r="AS2598" s="76"/>
      <c r="AT2598" s="76"/>
      <c r="AU2598" s="76"/>
      <c r="AV2598" s="76"/>
      <c r="AW2598" s="76"/>
      <c r="AX2598" s="76"/>
      <c r="AY2598" s="76"/>
      <c r="AZ2598" s="76"/>
      <c r="BA2598" s="76"/>
      <c r="BB2598" s="76"/>
    </row>
    <row r="2599" spans="5:54" x14ac:dyDescent="0.35">
      <c r="E2599" s="83"/>
      <c r="F2599" s="83"/>
      <c r="G2599" s="76"/>
      <c r="H2599" s="76"/>
      <c r="I2599" s="76"/>
      <c r="J2599" s="76"/>
      <c r="K2599" s="76"/>
      <c r="L2599" s="76"/>
      <c r="M2599" s="76"/>
      <c r="N2599" s="76"/>
      <c r="O2599" s="76"/>
      <c r="P2599" s="76"/>
      <c r="Q2599" s="76"/>
      <c r="R2599" s="76"/>
      <c r="S2599" s="76"/>
      <c r="T2599" s="76"/>
      <c r="U2599" s="76"/>
      <c r="V2599" s="76"/>
      <c r="W2599" s="76"/>
      <c r="X2599" s="76"/>
      <c r="Y2599" s="76"/>
      <c r="Z2599" s="76"/>
      <c r="AA2599" s="76"/>
      <c r="AB2599" s="76"/>
      <c r="AC2599" s="76"/>
      <c r="AD2599" s="76"/>
      <c r="AE2599" s="76"/>
      <c r="AF2599" s="76"/>
      <c r="AG2599" s="76"/>
      <c r="AH2599" s="76"/>
      <c r="AI2599" s="76"/>
      <c r="AJ2599" s="76"/>
      <c r="AK2599" s="76"/>
      <c r="AL2599" s="76"/>
      <c r="AM2599" s="76"/>
      <c r="AN2599" s="76"/>
      <c r="AO2599" s="76"/>
      <c r="AP2599" s="76"/>
      <c r="AQ2599" s="76"/>
      <c r="AR2599" s="76"/>
      <c r="AS2599" s="76"/>
      <c r="AT2599" s="76"/>
      <c r="AU2599" s="76"/>
      <c r="AV2599" s="76"/>
      <c r="AW2599" s="76"/>
      <c r="AX2599" s="76"/>
      <c r="AY2599" s="76"/>
      <c r="AZ2599" s="76"/>
      <c r="BA2599" s="76"/>
      <c r="BB2599" s="76"/>
    </row>
    <row r="2600" spans="5:54" x14ac:dyDescent="0.35">
      <c r="E2600" s="83"/>
      <c r="F2600" s="83"/>
      <c r="G2600" s="76"/>
      <c r="H2600" s="76"/>
      <c r="I2600" s="76"/>
      <c r="J2600" s="76"/>
      <c r="K2600" s="76"/>
      <c r="L2600" s="76"/>
      <c r="M2600" s="76"/>
      <c r="N2600" s="76"/>
      <c r="O2600" s="76"/>
      <c r="P2600" s="76"/>
      <c r="Q2600" s="76"/>
      <c r="R2600" s="76"/>
      <c r="S2600" s="76"/>
      <c r="T2600" s="76"/>
      <c r="U2600" s="76"/>
      <c r="V2600" s="76"/>
      <c r="W2600" s="76"/>
      <c r="X2600" s="76"/>
      <c r="Y2600" s="76"/>
      <c r="Z2600" s="76"/>
      <c r="AA2600" s="76"/>
      <c r="AB2600" s="76"/>
      <c r="AC2600" s="76"/>
      <c r="AD2600" s="76"/>
      <c r="AE2600" s="76"/>
      <c r="AF2600" s="76"/>
      <c r="AG2600" s="76"/>
      <c r="AH2600" s="76"/>
      <c r="AI2600" s="76"/>
      <c r="AJ2600" s="76"/>
      <c r="AK2600" s="76"/>
      <c r="AL2600" s="76"/>
      <c r="AM2600" s="76"/>
      <c r="AN2600" s="76"/>
      <c r="AO2600" s="76"/>
      <c r="AP2600" s="76"/>
      <c r="AQ2600" s="76"/>
      <c r="AR2600" s="76"/>
      <c r="AS2600" s="76"/>
      <c r="AT2600" s="76"/>
      <c r="AU2600" s="76"/>
      <c r="AV2600" s="76"/>
      <c r="AW2600" s="76"/>
      <c r="AX2600" s="76"/>
      <c r="AY2600" s="76"/>
      <c r="AZ2600" s="76"/>
      <c r="BA2600" s="76"/>
      <c r="BB2600" s="76"/>
    </row>
    <row r="2601" spans="5:54" x14ac:dyDescent="0.35">
      <c r="E2601" s="83"/>
      <c r="F2601" s="83"/>
      <c r="G2601" s="76"/>
      <c r="H2601" s="76"/>
      <c r="I2601" s="76"/>
      <c r="J2601" s="76"/>
      <c r="K2601" s="76"/>
      <c r="L2601" s="76"/>
      <c r="M2601" s="76"/>
      <c r="N2601" s="76"/>
      <c r="O2601" s="76"/>
      <c r="P2601" s="76"/>
      <c r="Q2601" s="76"/>
      <c r="R2601" s="76"/>
      <c r="S2601" s="76"/>
      <c r="T2601" s="76"/>
      <c r="U2601" s="76"/>
      <c r="V2601" s="76"/>
      <c r="W2601" s="76"/>
      <c r="X2601" s="76"/>
      <c r="Y2601" s="76"/>
      <c r="Z2601" s="76"/>
      <c r="AA2601" s="76"/>
      <c r="AB2601" s="76"/>
      <c r="AC2601" s="76"/>
      <c r="AD2601" s="76"/>
      <c r="AE2601" s="76"/>
      <c r="AF2601" s="76"/>
      <c r="AG2601" s="76"/>
      <c r="AH2601" s="76"/>
      <c r="AI2601" s="76"/>
      <c r="AJ2601" s="76"/>
      <c r="AK2601" s="76"/>
      <c r="AL2601" s="76"/>
      <c r="AM2601" s="76"/>
      <c r="AN2601" s="76"/>
      <c r="AO2601" s="76"/>
      <c r="AP2601" s="76"/>
      <c r="AQ2601" s="76"/>
      <c r="AR2601" s="76"/>
      <c r="AS2601" s="76"/>
      <c r="AT2601" s="76"/>
      <c r="AU2601" s="76"/>
      <c r="AV2601" s="76"/>
      <c r="AW2601" s="76"/>
      <c r="AX2601" s="76"/>
      <c r="AY2601" s="76"/>
      <c r="AZ2601" s="76"/>
      <c r="BA2601" s="76"/>
      <c r="BB2601" s="76"/>
    </row>
    <row r="2602" spans="5:54" x14ac:dyDescent="0.35">
      <c r="E2602" s="83"/>
      <c r="F2602" s="83"/>
      <c r="G2602" s="76"/>
      <c r="H2602" s="76"/>
      <c r="I2602" s="76"/>
      <c r="J2602" s="76"/>
      <c r="K2602" s="76"/>
      <c r="L2602" s="76"/>
      <c r="M2602" s="76"/>
      <c r="N2602" s="76"/>
      <c r="O2602" s="76"/>
      <c r="P2602" s="76"/>
      <c r="Q2602" s="76"/>
      <c r="R2602" s="76"/>
      <c r="S2602" s="76"/>
      <c r="T2602" s="76"/>
      <c r="U2602" s="76"/>
      <c r="V2602" s="76"/>
      <c r="W2602" s="76"/>
      <c r="X2602" s="76"/>
      <c r="Y2602" s="76"/>
      <c r="Z2602" s="76"/>
      <c r="AA2602" s="76"/>
      <c r="AB2602" s="76"/>
      <c r="AC2602" s="76"/>
      <c r="AD2602" s="76"/>
      <c r="AE2602" s="76"/>
      <c r="AF2602" s="76"/>
      <c r="AG2602" s="76"/>
      <c r="AH2602" s="76"/>
      <c r="AI2602" s="76"/>
      <c r="AJ2602" s="76"/>
      <c r="AK2602" s="76"/>
      <c r="AL2602" s="76"/>
      <c r="AM2602" s="76"/>
      <c r="AN2602" s="76"/>
      <c r="AO2602" s="76"/>
      <c r="AP2602" s="76"/>
      <c r="AQ2602" s="76"/>
      <c r="AR2602" s="76"/>
      <c r="AS2602" s="76"/>
      <c r="AT2602" s="76"/>
      <c r="AU2602" s="76"/>
      <c r="AV2602" s="76"/>
      <c r="AW2602" s="76"/>
      <c r="AX2602" s="76"/>
      <c r="AY2602" s="76"/>
      <c r="AZ2602" s="76"/>
      <c r="BA2602" s="76"/>
      <c r="BB2602" s="76"/>
    </row>
    <row r="2603" spans="5:54" x14ac:dyDescent="0.35">
      <c r="E2603" s="83"/>
      <c r="F2603" s="83"/>
      <c r="G2603" s="76"/>
      <c r="H2603" s="76"/>
      <c r="I2603" s="76"/>
      <c r="J2603" s="76"/>
      <c r="K2603" s="76"/>
      <c r="L2603" s="76"/>
      <c r="M2603" s="76"/>
      <c r="N2603" s="76"/>
      <c r="O2603" s="76"/>
      <c r="P2603" s="76"/>
      <c r="Q2603" s="76"/>
      <c r="R2603" s="76"/>
      <c r="S2603" s="76"/>
      <c r="T2603" s="76"/>
      <c r="U2603" s="76"/>
      <c r="V2603" s="76"/>
      <c r="W2603" s="76"/>
      <c r="X2603" s="76"/>
      <c r="Y2603" s="76"/>
      <c r="Z2603" s="76"/>
      <c r="AA2603" s="76"/>
      <c r="AB2603" s="76"/>
      <c r="AC2603" s="76"/>
      <c r="AD2603" s="76"/>
      <c r="AE2603" s="76"/>
      <c r="AF2603" s="76"/>
      <c r="AG2603" s="76"/>
      <c r="AH2603" s="76"/>
      <c r="AI2603" s="76"/>
      <c r="AJ2603" s="76"/>
      <c r="AK2603" s="76"/>
      <c r="AL2603" s="76"/>
      <c r="AM2603" s="76"/>
      <c r="AN2603" s="76"/>
      <c r="AO2603" s="76"/>
      <c r="AP2603" s="76"/>
      <c r="AQ2603" s="76"/>
      <c r="AR2603" s="76"/>
      <c r="AS2603" s="76"/>
      <c r="AT2603" s="76"/>
      <c r="AU2603" s="76"/>
      <c r="AV2603" s="76"/>
      <c r="AW2603" s="76"/>
      <c r="AX2603" s="76"/>
      <c r="AY2603" s="76"/>
      <c r="AZ2603" s="76"/>
      <c r="BA2603" s="76"/>
      <c r="BB2603" s="76"/>
    </row>
    <row r="2604" spans="5:54" x14ac:dyDescent="0.35">
      <c r="E2604" s="83"/>
      <c r="F2604" s="83"/>
      <c r="G2604" s="76"/>
      <c r="H2604" s="76"/>
      <c r="I2604" s="76"/>
      <c r="J2604" s="76"/>
      <c r="K2604" s="76"/>
      <c r="L2604" s="76"/>
      <c r="M2604" s="76"/>
      <c r="N2604" s="76"/>
      <c r="O2604" s="76"/>
      <c r="P2604" s="76"/>
      <c r="Q2604" s="76"/>
      <c r="R2604" s="76"/>
      <c r="S2604" s="76"/>
      <c r="T2604" s="76"/>
      <c r="U2604" s="76"/>
      <c r="V2604" s="76"/>
      <c r="W2604" s="76"/>
      <c r="X2604" s="76"/>
      <c r="Y2604" s="76"/>
      <c r="Z2604" s="76"/>
      <c r="AA2604" s="76"/>
      <c r="AB2604" s="76"/>
      <c r="AC2604" s="76"/>
      <c r="AD2604" s="76"/>
      <c r="AE2604" s="76"/>
      <c r="AF2604" s="76"/>
      <c r="AG2604" s="76"/>
      <c r="AH2604" s="76"/>
      <c r="AI2604" s="76"/>
      <c r="AJ2604" s="76"/>
      <c r="AK2604" s="76"/>
      <c r="AL2604" s="76"/>
      <c r="AM2604" s="76"/>
      <c r="AN2604" s="76"/>
      <c r="AO2604" s="76"/>
      <c r="AP2604" s="76"/>
      <c r="AQ2604" s="76"/>
      <c r="AR2604" s="76"/>
      <c r="AS2604" s="76"/>
      <c r="AT2604" s="76"/>
      <c r="AU2604" s="76"/>
      <c r="AV2604" s="76"/>
      <c r="AW2604" s="76"/>
      <c r="AX2604" s="76"/>
      <c r="AY2604" s="76"/>
      <c r="AZ2604" s="76"/>
      <c r="BA2604" s="76"/>
      <c r="BB2604" s="76"/>
    </row>
    <row r="2605" spans="5:54" x14ac:dyDescent="0.35">
      <c r="E2605" s="83"/>
      <c r="F2605" s="83"/>
      <c r="G2605" s="76"/>
      <c r="H2605" s="76"/>
      <c r="I2605" s="76"/>
      <c r="J2605" s="76"/>
      <c r="K2605" s="76"/>
      <c r="L2605" s="76"/>
      <c r="M2605" s="76"/>
      <c r="N2605" s="76"/>
      <c r="O2605" s="76"/>
      <c r="P2605" s="76"/>
      <c r="Q2605" s="76"/>
      <c r="R2605" s="76"/>
      <c r="S2605" s="76"/>
      <c r="T2605" s="76"/>
      <c r="U2605" s="76"/>
      <c r="V2605" s="76"/>
      <c r="W2605" s="76"/>
      <c r="X2605" s="76"/>
      <c r="Y2605" s="76"/>
      <c r="Z2605" s="76"/>
      <c r="AA2605" s="76"/>
      <c r="AB2605" s="76"/>
      <c r="AC2605" s="76"/>
      <c r="AD2605" s="76"/>
      <c r="AE2605" s="76"/>
      <c r="AF2605" s="76"/>
      <c r="AG2605" s="76"/>
      <c r="AH2605" s="76"/>
      <c r="AI2605" s="76"/>
      <c r="AJ2605" s="76"/>
      <c r="AK2605" s="76"/>
      <c r="AL2605" s="76"/>
      <c r="AM2605" s="76"/>
      <c r="AN2605" s="76"/>
      <c r="AO2605" s="76"/>
      <c r="AP2605" s="76"/>
      <c r="AQ2605" s="76"/>
      <c r="AR2605" s="76"/>
      <c r="AS2605" s="76"/>
      <c r="AT2605" s="76"/>
      <c r="AU2605" s="76"/>
      <c r="AV2605" s="76"/>
      <c r="AW2605" s="76"/>
      <c r="AX2605" s="76"/>
      <c r="AY2605" s="76"/>
      <c r="AZ2605" s="76"/>
      <c r="BA2605" s="76"/>
      <c r="BB2605" s="76"/>
    </row>
    <row r="2606" spans="5:54" x14ac:dyDescent="0.35">
      <c r="E2606" s="83"/>
      <c r="F2606" s="83"/>
      <c r="G2606" s="76"/>
      <c r="H2606" s="76"/>
      <c r="I2606" s="76"/>
      <c r="J2606" s="76"/>
      <c r="K2606" s="76"/>
      <c r="L2606" s="76"/>
      <c r="M2606" s="76"/>
      <c r="N2606" s="76"/>
      <c r="O2606" s="76"/>
      <c r="P2606" s="76"/>
      <c r="Q2606" s="76"/>
      <c r="R2606" s="76"/>
      <c r="S2606" s="76"/>
      <c r="T2606" s="76"/>
      <c r="U2606" s="76"/>
      <c r="V2606" s="76"/>
      <c r="W2606" s="76"/>
      <c r="X2606" s="76"/>
      <c r="Y2606" s="76"/>
      <c r="Z2606" s="76"/>
      <c r="AA2606" s="76"/>
      <c r="AB2606" s="76"/>
      <c r="AC2606" s="76"/>
      <c r="AD2606" s="76"/>
      <c r="AE2606" s="76"/>
      <c r="AF2606" s="76"/>
      <c r="AG2606" s="76"/>
      <c r="AH2606" s="76"/>
      <c r="AI2606" s="76"/>
      <c r="AJ2606" s="76"/>
      <c r="AK2606" s="76"/>
      <c r="AL2606" s="76"/>
      <c r="AM2606" s="76"/>
      <c r="AN2606" s="76"/>
      <c r="AO2606" s="76"/>
      <c r="AP2606" s="76"/>
      <c r="AQ2606" s="76"/>
      <c r="AR2606" s="76"/>
      <c r="AS2606" s="76"/>
      <c r="AT2606" s="76"/>
      <c r="AU2606" s="76"/>
      <c r="AV2606" s="76"/>
      <c r="AW2606" s="76"/>
      <c r="AX2606" s="76"/>
      <c r="AY2606" s="76"/>
      <c r="AZ2606" s="76"/>
      <c r="BA2606" s="76"/>
      <c r="BB2606" s="76"/>
    </row>
    <row r="2607" spans="5:54" x14ac:dyDescent="0.35">
      <c r="E2607" s="83"/>
      <c r="F2607" s="83"/>
      <c r="G2607" s="76"/>
      <c r="H2607" s="76"/>
      <c r="I2607" s="76"/>
      <c r="J2607" s="76"/>
      <c r="K2607" s="76"/>
      <c r="L2607" s="76"/>
      <c r="M2607" s="76"/>
      <c r="N2607" s="76"/>
      <c r="O2607" s="76"/>
      <c r="P2607" s="76"/>
      <c r="Q2607" s="76"/>
      <c r="R2607" s="76"/>
      <c r="S2607" s="76"/>
      <c r="T2607" s="76"/>
      <c r="U2607" s="76"/>
      <c r="V2607" s="76"/>
      <c r="W2607" s="76"/>
      <c r="X2607" s="76"/>
      <c r="Y2607" s="76"/>
      <c r="Z2607" s="76"/>
      <c r="AA2607" s="76"/>
      <c r="AB2607" s="76"/>
      <c r="AC2607" s="76"/>
      <c r="AD2607" s="76"/>
      <c r="AE2607" s="76"/>
      <c r="AF2607" s="76"/>
      <c r="AG2607" s="76"/>
      <c r="AH2607" s="76"/>
      <c r="AI2607" s="76"/>
      <c r="AJ2607" s="76"/>
      <c r="AK2607" s="76"/>
      <c r="AL2607" s="76"/>
      <c r="AM2607" s="76"/>
      <c r="AN2607" s="76"/>
      <c r="AO2607" s="76"/>
      <c r="AP2607" s="76"/>
      <c r="AQ2607" s="76"/>
      <c r="AR2607" s="76"/>
      <c r="AS2607" s="76"/>
      <c r="AT2607" s="76"/>
      <c r="AU2607" s="76"/>
      <c r="AV2607" s="76"/>
      <c r="AW2607" s="76"/>
      <c r="AX2607" s="76"/>
      <c r="AY2607" s="76"/>
      <c r="AZ2607" s="76"/>
      <c r="BA2607" s="76"/>
      <c r="BB2607" s="76"/>
    </row>
    <row r="2608" spans="5:54" x14ac:dyDescent="0.35">
      <c r="E2608" s="83"/>
      <c r="F2608" s="83"/>
      <c r="G2608" s="76"/>
      <c r="H2608" s="76"/>
      <c r="I2608" s="76"/>
      <c r="J2608" s="76"/>
      <c r="K2608" s="76"/>
      <c r="L2608" s="76"/>
      <c r="M2608" s="76"/>
      <c r="N2608" s="76"/>
      <c r="O2608" s="76"/>
      <c r="P2608" s="76"/>
      <c r="Q2608" s="76"/>
      <c r="R2608" s="76"/>
      <c r="S2608" s="76"/>
      <c r="T2608" s="76"/>
      <c r="U2608" s="76"/>
      <c r="V2608" s="76"/>
      <c r="W2608" s="76"/>
      <c r="X2608" s="76"/>
      <c r="Y2608" s="76"/>
      <c r="Z2608" s="76"/>
      <c r="AA2608" s="76"/>
      <c r="AB2608" s="76"/>
      <c r="AC2608" s="76"/>
      <c r="AD2608" s="76"/>
      <c r="AE2608" s="76"/>
      <c r="AF2608" s="76"/>
      <c r="AG2608" s="76"/>
      <c r="AH2608" s="76"/>
      <c r="AI2608" s="76"/>
      <c r="AJ2608" s="76"/>
      <c r="AK2608" s="76"/>
      <c r="AL2608" s="76"/>
      <c r="AM2608" s="76"/>
      <c r="AN2608" s="76"/>
      <c r="AO2608" s="76"/>
      <c r="AP2608" s="76"/>
      <c r="AQ2608" s="76"/>
      <c r="AR2608" s="76"/>
      <c r="AS2608" s="76"/>
      <c r="AT2608" s="76"/>
      <c r="AU2608" s="76"/>
      <c r="AV2608" s="76"/>
      <c r="AW2608" s="76"/>
      <c r="AX2608" s="76"/>
      <c r="AY2608" s="76"/>
      <c r="AZ2608" s="76"/>
      <c r="BA2608" s="76"/>
      <c r="BB2608" s="76"/>
    </row>
    <row r="2609" spans="5:54" x14ac:dyDescent="0.35">
      <c r="E2609" s="83"/>
      <c r="F2609" s="83"/>
      <c r="G2609" s="76"/>
      <c r="H2609" s="76"/>
      <c r="I2609" s="76"/>
      <c r="J2609" s="76"/>
      <c r="K2609" s="76"/>
      <c r="L2609" s="76"/>
      <c r="M2609" s="76"/>
      <c r="N2609" s="76"/>
      <c r="O2609" s="76"/>
      <c r="P2609" s="76"/>
      <c r="Q2609" s="76"/>
      <c r="R2609" s="76"/>
      <c r="S2609" s="76"/>
      <c r="T2609" s="76"/>
      <c r="U2609" s="76"/>
      <c r="V2609" s="76"/>
      <c r="W2609" s="76"/>
      <c r="X2609" s="76"/>
      <c r="Y2609" s="76"/>
      <c r="Z2609" s="76"/>
      <c r="AA2609" s="76"/>
      <c r="AB2609" s="76"/>
      <c r="AC2609" s="76"/>
      <c r="AD2609" s="76"/>
      <c r="AE2609" s="76"/>
      <c r="AF2609" s="76"/>
      <c r="AG2609" s="76"/>
      <c r="AH2609" s="76"/>
      <c r="AI2609" s="76"/>
      <c r="AJ2609" s="76"/>
      <c r="AK2609" s="76"/>
      <c r="AL2609" s="76"/>
      <c r="AM2609" s="76"/>
      <c r="AN2609" s="76"/>
      <c r="AO2609" s="76"/>
      <c r="AP2609" s="76"/>
      <c r="AQ2609" s="76"/>
      <c r="AR2609" s="76"/>
      <c r="AS2609" s="76"/>
      <c r="AT2609" s="76"/>
      <c r="AU2609" s="76"/>
      <c r="AV2609" s="76"/>
      <c r="AW2609" s="76"/>
      <c r="AX2609" s="76"/>
      <c r="AY2609" s="76"/>
      <c r="AZ2609" s="76"/>
      <c r="BA2609" s="76"/>
      <c r="BB2609" s="76"/>
    </row>
    <row r="2610" spans="5:54" x14ac:dyDescent="0.35">
      <c r="E2610" s="83"/>
      <c r="F2610" s="83"/>
      <c r="G2610" s="76"/>
      <c r="H2610" s="76"/>
      <c r="I2610" s="76"/>
      <c r="J2610" s="76"/>
      <c r="K2610" s="76"/>
      <c r="L2610" s="76"/>
      <c r="M2610" s="76"/>
      <c r="N2610" s="76"/>
      <c r="O2610" s="76"/>
      <c r="P2610" s="76"/>
      <c r="Q2610" s="76"/>
      <c r="R2610" s="76"/>
      <c r="S2610" s="76"/>
      <c r="T2610" s="76"/>
      <c r="U2610" s="76"/>
      <c r="V2610" s="76"/>
      <c r="W2610" s="76"/>
      <c r="X2610" s="76"/>
      <c r="Y2610" s="76"/>
      <c r="Z2610" s="76"/>
      <c r="AA2610" s="76"/>
      <c r="AB2610" s="76"/>
      <c r="AC2610" s="76"/>
      <c r="AD2610" s="76"/>
      <c r="AE2610" s="76"/>
      <c r="AF2610" s="76"/>
      <c r="AG2610" s="76"/>
      <c r="AH2610" s="76"/>
      <c r="AI2610" s="76"/>
      <c r="AJ2610" s="76"/>
      <c r="AK2610" s="76"/>
      <c r="AL2610" s="76"/>
      <c r="AM2610" s="76"/>
      <c r="AN2610" s="76"/>
      <c r="AO2610" s="76"/>
      <c r="AP2610" s="76"/>
      <c r="AQ2610" s="76"/>
      <c r="AR2610" s="76"/>
      <c r="AS2610" s="76"/>
      <c r="AT2610" s="76"/>
      <c r="AU2610" s="76"/>
      <c r="AV2610" s="76"/>
      <c r="AW2610" s="76"/>
      <c r="AX2610" s="76"/>
      <c r="AY2610" s="76"/>
      <c r="AZ2610" s="76"/>
      <c r="BA2610" s="76"/>
      <c r="BB2610" s="76"/>
    </row>
    <row r="2611" spans="5:54" x14ac:dyDescent="0.35">
      <c r="E2611" s="83"/>
      <c r="F2611" s="83"/>
      <c r="G2611" s="76"/>
      <c r="H2611" s="76"/>
      <c r="I2611" s="76"/>
      <c r="J2611" s="76"/>
      <c r="K2611" s="76"/>
      <c r="L2611" s="76"/>
      <c r="M2611" s="76"/>
      <c r="N2611" s="76"/>
      <c r="O2611" s="76"/>
      <c r="P2611" s="76"/>
      <c r="Q2611" s="76"/>
      <c r="R2611" s="76"/>
      <c r="S2611" s="76"/>
      <c r="T2611" s="76"/>
      <c r="U2611" s="76"/>
      <c r="V2611" s="76"/>
      <c r="W2611" s="76"/>
      <c r="X2611" s="76"/>
      <c r="Y2611" s="76"/>
      <c r="Z2611" s="76"/>
      <c r="AA2611" s="76"/>
      <c r="AB2611" s="76"/>
      <c r="AC2611" s="76"/>
      <c r="AD2611" s="76"/>
      <c r="AE2611" s="76"/>
      <c r="AF2611" s="76"/>
      <c r="AG2611" s="76"/>
      <c r="AH2611" s="76"/>
      <c r="AI2611" s="76"/>
      <c r="AJ2611" s="76"/>
      <c r="AK2611" s="76"/>
      <c r="AL2611" s="76"/>
      <c r="AM2611" s="76"/>
      <c r="AN2611" s="76"/>
      <c r="AO2611" s="76"/>
      <c r="AP2611" s="76"/>
      <c r="AQ2611" s="76"/>
      <c r="AR2611" s="76"/>
      <c r="AS2611" s="76"/>
      <c r="AT2611" s="76"/>
      <c r="AU2611" s="76"/>
      <c r="AV2611" s="76"/>
      <c r="AW2611" s="76"/>
      <c r="AX2611" s="76"/>
      <c r="AY2611" s="76"/>
      <c r="AZ2611" s="76"/>
      <c r="BA2611" s="76"/>
      <c r="BB2611" s="76"/>
    </row>
    <row r="2612" spans="5:54" x14ac:dyDescent="0.35">
      <c r="E2612" s="83"/>
      <c r="F2612" s="83"/>
      <c r="G2612" s="76"/>
      <c r="H2612" s="76"/>
      <c r="I2612" s="76"/>
      <c r="J2612" s="76"/>
      <c r="K2612" s="76"/>
      <c r="L2612" s="76"/>
      <c r="M2612" s="76"/>
      <c r="N2612" s="76"/>
      <c r="O2612" s="76"/>
      <c r="P2612" s="76"/>
      <c r="Q2612" s="76"/>
      <c r="R2612" s="76"/>
      <c r="S2612" s="76"/>
      <c r="T2612" s="76"/>
      <c r="U2612" s="76"/>
      <c r="V2612" s="76"/>
      <c r="W2612" s="76"/>
      <c r="X2612" s="76"/>
      <c r="Y2612" s="76"/>
      <c r="Z2612" s="76"/>
      <c r="AA2612" s="76"/>
      <c r="AB2612" s="76"/>
      <c r="AC2612" s="76"/>
      <c r="AD2612" s="76"/>
      <c r="AE2612" s="76"/>
      <c r="AF2612" s="76"/>
      <c r="AG2612" s="76"/>
      <c r="AH2612" s="76"/>
      <c r="AI2612" s="76"/>
      <c r="AJ2612" s="76"/>
      <c r="AK2612" s="76"/>
      <c r="AL2612" s="76"/>
      <c r="AM2612" s="76"/>
      <c r="AN2612" s="76"/>
      <c r="AO2612" s="76"/>
      <c r="AP2612" s="76"/>
      <c r="AQ2612" s="76"/>
      <c r="AR2612" s="76"/>
      <c r="AS2612" s="76"/>
      <c r="AT2612" s="76"/>
      <c r="AU2612" s="76"/>
      <c r="AV2612" s="76"/>
      <c r="AW2612" s="76"/>
      <c r="AX2612" s="76"/>
      <c r="AY2612" s="76"/>
      <c r="AZ2612" s="76"/>
      <c r="BA2612" s="76"/>
      <c r="BB2612" s="76"/>
    </row>
    <row r="2613" spans="5:54" x14ac:dyDescent="0.35">
      <c r="E2613" s="83"/>
      <c r="F2613" s="83"/>
      <c r="G2613" s="76"/>
      <c r="H2613" s="76"/>
      <c r="I2613" s="76"/>
      <c r="J2613" s="76"/>
      <c r="K2613" s="76"/>
      <c r="L2613" s="76"/>
      <c r="M2613" s="76"/>
      <c r="N2613" s="76"/>
      <c r="O2613" s="76"/>
      <c r="P2613" s="76"/>
      <c r="Q2613" s="76"/>
      <c r="R2613" s="76"/>
      <c r="S2613" s="76"/>
      <c r="T2613" s="76"/>
      <c r="U2613" s="76"/>
      <c r="V2613" s="76"/>
      <c r="W2613" s="76"/>
      <c r="X2613" s="76"/>
      <c r="Y2613" s="76"/>
      <c r="Z2613" s="76"/>
      <c r="AA2613" s="76"/>
      <c r="AB2613" s="76"/>
      <c r="AC2613" s="76"/>
      <c r="AD2613" s="76"/>
      <c r="AE2613" s="76"/>
      <c r="AF2613" s="76"/>
      <c r="AG2613" s="76"/>
      <c r="AH2613" s="76"/>
      <c r="AI2613" s="76"/>
      <c r="AJ2613" s="76"/>
      <c r="AK2613" s="76"/>
      <c r="AL2613" s="76"/>
      <c r="AM2613" s="76"/>
      <c r="AN2613" s="76"/>
      <c r="AO2613" s="76"/>
      <c r="AP2613" s="76"/>
      <c r="AQ2613" s="76"/>
      <c r="AR2613" s="76"/>
      <c r="AS2613" s="76"/>
      <c r="AT2613" s="76"/>
      <c r="AU2613" s="76"/>
      <c r="AV2613" s="76"/>
      <c r="AW2613" s="76"/>
      <c r="AX2613" s="76"/>
      <c r="AY2613" s="76"/>
      <c r="AZ2613" s="76"/>
      <c r="BA2613" s="76"/>
      <c r="BB2613" s="76"/>
    </row>
    <row r="2614" spans="5:54" x14ac:dyDescent="0.35">
      <c r="E2614" s="83"/>
      <c r="F2614" s="83"/>
      <c r="G2614" s="76"/>
      <c r="H2614" s="76"/>
      <c r="I2614" s="76"/>
      <c r="J2614" s="76"/>
      <c r="K2614" s="76"/>
      <c r="L2614" s="76"/>
      <c r="M2614" s="76"/>
      <c r="N2614" s="76"/>
      <c r="O2614" s="76"/>
      <c r="P2614" s="76"/>
      <c r="Q2614" s="76"/>
      <c r="R2614" s="76"/>
      <c r="S2614" s="76"/>
      <c r="T2614" s="76"/>
      <c r="U2614" s="76"/>
      <c r="V2614" s="76"/>
      <c r="W2614" s="76"/>
      <c r="X2614" s="76"/>
      <c r="Y2614" s="76"/>
      <c r="Z2614" s="76"/>
      <c r="AA2614" s="76"/>
      <c r="AB2614" s="76"/>
      <c r="AC2614" s="76"/>
      <c r="AD2614" s="76"/>
      <c r="AE2614" s="76"/>
      <c r="AF2614" s="76"/>
      <c r="AG2614" s="76"/>
      <c r="AH2614" s="76"/>
      <c r="AI2614" s="76"/>
      <c r="AJ2614" s="76"/>
      <c r="AK2614" s="76"/>
      <c r="AL2614" s="76"/>
      <c r="AM2614" s="76"/>
      <c r="AN2614" s="76"/>
      <c r="AO2614" s="76"/>
      <c r="AP2614" s="76"/>
      <c r="AQ2614" s="76"/>
      <c r="AR2614" s="76"/>
      <c r="AS2614" s="76"/>
      <c r="AT2614" s="76"/>
      <c r="AU2614" s="76"/>
      <c r="AV2614" s="76"/>
      <c r="AW2614" s="76"/>
      <c r="AX2614" s="76"/>
      <c r="AY2614" s="76"/>
      <c r="AZ2614" s="76"/>
      <c r="BA2614" s="76"/>
      <c r="BB2614" s="76"/>
    </row>
    <row r="2615" spans="5:54" x14ac:dyDescent="0.35">
      <c r="E2615" s="83"/>
      <c r="F2615" s="83"/>
      <c r="G2615" s="76"/>
      <c r="H2615" s="76"/>
      <c r="I2615" s="76"/>
      <c r="J2615" s="76"/>
      <c r="K2615" s="76"/>
      <c r="L2615" s="76"/>
      <c r="M2615" s="76"/>
      <c r="N2615" s="76"/>
      <c r="O2615" s="76"/>
      <c r="P2615" s="76"/>
      <c r="Q2615" s="76"/>
      <c r="R2615" s="76"/>
      <c r="S2615" s="76"/>
      <c r="T2615" s="76"/>
      <c r="U2615" s="76"/>
      <c r="V2615" s="76"/>
      <c r="W2615" s="76"/>
      <c r="X2615" s="76"/>
      <c r="Y2615" s="76"/>
      <c r="Z2615" s="76"/>
      <c r="AA2615" s="76"/>
      <c r="AB2615" s="76"/>
      <c r="AC2615" s="76"/>
      <c r="AD2615" s="76"/>
      <c r="AE2615" s="76"/>
      <c r="AF2615" s="76"/>
      <c r="AG2615" s="76"/>
      <c r="AH2615" s="76"/>
      <c r="AI2615" s="76"/>
      <c r="AJ2615" s="76"/>
      <c r="AK2615" s="76"/>
      <c r="AL2615" s="76"/>
      <c r="AM2615" s="76"/>
      <c r="AN2615" s="76"/>
      <c r="AO2615" s="76"/>
      <c r="AP2615" s="76"/>
      <c r="AQ2615" s="76"/>
      <c r="AR2615" s="76"/>
      <c r="AS2615" s="76"/>
      <c r="AT2615" s="76"/>
      <c r="AU2615" s="76"/>
      <c r="AV2615" s="76"/>
      <c r="AW2615" s="76"/>
      <c r="AX2615" s="76"/>
      <c r="AY2615" s="76"/>
      <c r="AZ2615" s="76"/>
      <c r="BA2615" s="76"/>
      <c r="BB2615" s="76"/>
    </row>
    <row r="2616" spans="5:54" x14ac:dyDescent="0.35">
      <c r="E2616" s="83"/>
      <c r="F2616" s="83"/>
      <c r="G2616" s="76"/>
      <c r="H2616" s="76"/>
      <c r="I2616" s="76"/>
      <c r="J2616" s="76"/>
      <c r="K2616" s="76"/>
      <c r="L2616" s="76"/>
      <c r="M2616" s="76"/>
      <c r="N2616" s="76"/>
      <c r="O2616" s="76"/>
      <c r="P2616" s="76"/>
      <c r="Q2616" s="76"/>
      <c r="R2616" s="76"/>
      <c r="S2616" s="76"/>
      <c r="T2616" s="76"/>
      <c r="U2616" s="76"/>
      <c r="V2616" s="76"/>
      <c r="W2616" s="76"/>
      <c r="X2616" s="76"/>
      <c r="Y2616" s="76"/>
      <c r="Z2616" s="76"/>
      <c r="AA2616" s="76"/>
      <c r="AB2616" s="76"/>
      <c r="AC2616" s="76"/>
      <c r="AD2616" s="76"/>
      <c r="AE2616" s="76"/>
      <c r="AF2616" s="76"/>
      <c r="AG2616" s="76"/>
      <c r="AH2616" s="76"/>
      <c r="AI2616" s="76"/>
      <c r="AJ2616" s="76"/>
      <c r="AK2616" s="76"/>
      <c r="AL2616" s="76"/>
      <c r="AM2616" s="76"/>
      <c r="AN2616" s="76"/>
      <c r="AO2616" s="76"/>
      <c r="AP2616" s="76"/>
      <c r="AQ2616" s="76"/>
      <c r="AR2616" s="76"/>
      <c r="AS2616" s="76"/>
      <c r="AT2616" s="76"/>
      <c r="AU2616" s="76"/>
      <c r="AV2616" s="76"/>
      <c r="AW2616" s="76"/>
      <c r="AX2616" s="76"/>
      <c r="AY2616" s="76"/>
      <c r="AZ2616" s="76"/>
      <c r="BA2616" s="76"/>
      <c r="BB2616" s="76"/>
    </row>
    <row r="2617" spans="5:54" x14ac:dyDescent="0.35">
      <c r="E2617" s="83"/>
      <c r="F2617" s="83"/>
      <c r="G2617" s="76"/>
      <c r="H2617" s="76"/>
      <c r="I2617" s="76"/>
      <c r="J2617" s="76"/>
      <c r="K2617" s="76"/>
      <c r="L2617" s="76"/>
      <c r="M2617" s="76"/>
      <c r="N2617" s="76"/>
      <c r="O2617" s="76"/>
      <c r="P2617" s="76"/>
      <c r="Q2617" s="76"/>
      <c r="R2617" s="76"/>
      <c r="S2617" s="76"/>
      <c r="T2617" s="76"/>
      <c r="U2617" s="76"/>
      <c r="V2617" s="76"/>
      <c r="W2617" s="76"/>
      <c r="X2617" s="76"/>
      <c r="Y2617" s="76"/>
      <c r="Z2617" s="76"/>
      <c r="AA2617" s="76"/>
      <c r="AB2617" s="76"/>
      <c r="AC2617" s="76"/>
      <c r="AD2617" s="76"/>
      <c r="AE2617" s="76"/>
      <c r="AF2617" s="76"/>
      <c r="AG2617" s="76"/>
      <c r="AH2617" s="76"/>
      <c r="AI2617" s="76"/>
      <c r="AJ2617" s="76"/>
      <c r="AK2617" s="76"/>
      <c r="AL2617" s="76"/>
      <c r="AM2617" s="76"/>
      <c r="AN2617" s="76"/>
      <c r="AO2617" s="76"/>
      <c r="AP2617" s="76"/>
      <c r="AQ2617" s="76"/>
      <c r="AR2617" s="76"/>
      <c r="AS2617" s="76"/>
      <c r="AT2617" s="76"/>
      <c r="AU2617" s="76"/>
      <c r="AV2617" s="76"/>
      <c r="AW2617" s="76"/>
      <c r="AX2617" s="76"/>
      <c r="AY2617" s="76"/>
      <c r="AZ2617" s="76"/>
      <c r="BA2617" s="76"/>
      <c r="BB2617" s="76"/>
    </row>
    <row r="2618" spans="5:54" x14ac:dyDescent="0.35">
      <c r="E2618" s="83"/>
      <c r="F2618" s="83"/>
      <c r="G2618" s="76"/>
      <c r="H2618" s="76"/>
      <c r="I2618" s="76"/>
      <c r="J2618" s="76"/>
      <c r="K2618" s="76"/>
      <c r="L2618" s="76"/>
      <c r="M2618" s="76"/>
      <c r="N2618" s="76"/>
      <c r="O2618" s="76"/>
      <c r="P2618" s="76"/>
      <c r="Q2618" s="76"/>
      <c r="R2618" s="76"/>
      <c r="S2618" s="76"/>
      <c r="T2618" s="76"/>
      <c r="U2618" s="76"/>
      <c r="V2618" s="76"/>
      <c r="W2618" s="76"/>
      <c r="X2618" s="76"/>
      <c r="Y2618" s="76"/>
      <c r="Z2618" s="76"/>
      <c r="AA2618" s="76"/>
      <c r="AB2618" s="76"/>
      <c r="AC2618" s="76"/>
      <c r="AD2618" s="76"/>
      <c r="AE2618" s="76"/>
      <c r="AF2618" s="76"/>
      <c r="AG2618" s="76"/>
      <c r="AH2618" s="76"/>
      <c r="AI2618" s="76"/>
      <c r="AJ2618" s="76"/>
      <c r="AK2618" s="76"/>
      <c r="AL2618" s="76"/>
      <c r="AM2618" s="76"/>
      <c r="AN2618" s="76"/>
      <c r="AO2618" s="76"/>
      <c r="AP2618" s="76"/>
      <c r="AQ2618" s="76"/>
      <c r="AR2618" s="76"/>
      <c r="AS2618" s="76"/>
      <c r="AT2618" s="76"/>
      <c r="AU2618" s="76"/>
      <c r="AV2618" s="76"/>
      <c r="AW2618" s="76"/>
      <c r="AX2618" s="76"/>
      <c r="AY2618" s="76"/>
      <c r="AZ2618" s="76"/>
      <c r="BA2618" s="76"/>
      <c r="BB2618" s="76"/>
    </row>
    <row r="2619" spans="5:54" x14ac:dyDescent="0.35">
      <c r="E2619" s="83"/>
      <c r="F2619" s="83"/>
      <c r="G2619" s="76"/>
      <c r="H2619" s="76"/>
      <c r="I2619" s="76"/>
      <c r="J2619" s="76"/>
      <c r="K2619" s="76"/>
      <c r="L2619" s="76"/>
      <c r="M2619" s="76"/>
      <c r="N2619" s="76"/>
      <c r="O2619" s="76"/>
      <c r="P2619" s="76"/>
      <c r="Q2619" s="76"/>
      <c r="R2619" s="76"/>
      <c r="S2619" s="76"/>
      <c r="T2619" s="76"/>
      <c r="U2619" s="76"/>
      <c r="V2619" s="76"/>
      <c r="W2619" s="76"/>
      <c r="X2619" s="76"/>
      <c r="Y2619" s="76"/>
      <c r="Z2619" s="76"/>
      <c r="AA2619" s="76"/>
      <c r="AB2619" s="76"/>
      <c r="AC2619" s="76"/>
      <c r="AD2619" s="76"/>
      <c r="AE2619" s="76"/>
      <c r="AF2619" s="76"/>
      <c r="AG2619" s="76"/>
      <c r="AH2619" s="76"/>
      <c r="AI2619" s="76"/>
      <c r="AJ2619" s="76"/>
      <c r="AK2619" s="76"/>
      <c r="AL2619" s="76"/>
      <c r="AM2619" s="76"/>
      <c r="AN2619" s="76"/>
      <c r="AO2619" s="76"/>
      <c r="AP2619" s="76"/>
      <c r="AQ2619" s="76"/>
      <c r="AR2619" s="76"/>
      <c r="AS2619" s="76"/>
      <c r="AT2619" s="76"/>
      <c r="AU2619" s="76"/>
      <c r="AV2619" s="76"/>
      <c r="AW2619" s="76"/>
      <c r="AX2619" s="76"/>
      <c r="AY2619" s="76"/>
      <c r="AZ2619" s="76"/>
      <c r="BA2619" s="76"/>
      <c r="BB2619" s="76"/>
    </row>
    <row r="2620" spans="5:54" x14ac:dyDescent="0.35">
      <c r="E2620" s="83"/>
      <c r="F2620" s="83"/>
      <c r="G2620" s="76"/>
      <c r="H2620" s="76"/>
      <c r="I2620" s="76"/>
      <c r="J2620" s="76"/>
      <c r="K2620" s="76"/>
      <c r="L2620" s="76"/>
      <c r="M2620" s="76"/>
      <c r="N2620" s="76"/>
      <c r="O2620" s="76"/>
      <c r="P2620" s="76"/>
      <c r="Q2620" s="76"/>
      <c r="R2620" s="76"/>
      <c r="S2620" s="76"/>
      <c r="T2620" s="76"/>
      <c r="U2620" s="76"/>
      <c r="V2620" s="76"/>
      <c r="W2620" s="76"/>
      <c r="X2620" s="76"/>
      <c r="Y2620" s="76"/>
      <c r="Z2620" s="76"/>
      <c r="AA2620" s="76"/>
      <c r="AB2620" s="76"/>
      <c r="AC2620" s="76"/>
      <c r="AD2620" s="76"/>
      <c r="AE2620" s="76"/>
      <c r="AF2620" s="76"/>
      <c r="AG2620" s="76"/>
      <c r="AH2620" s="76"/>
      <c r="AI2620" s="76"/>
      <c r="AJ2620" s="76"/>
      <c r="AK2620" s="76"/>
      <c r="AL2620" s="76"/>
      <c r="AM2620" s="76"/>
      <c r="AN2620" s="76"/>
      <c r="AO2620" s="76"/>
      <c r="AP2620" s="76"/>
      <c r="AQ2620" s="76"/>
      <c r="AR2620" s="76"/>
      <c r="AS2620" s="76"/>
      <c r="AT2620" s="76"/>
      <c r="AU2620" s="76"/>
      <c r="AV2620" s="76"/>
      <c r="AW2620" s="76"/>
      <c r="AX2620" s="76"/>
      <c r="AY2620" s="76"/>
      <c r="AZ2620" s="76"/>
      <c r="BA2620" s="76"/>
      <c r="BB2620" s="76"/>
    </row>
    <row r="2621" spans="5:54" x14ac:dyDescent="0.35">
      <c r="E2621" s="83"/>
      <c r="F2621" s="83"/>
      <c r="G2621" s="76"/>
      <c r="H2621" s="76"/>
      <c r="I2621" s="76"/>
      <c r="J2621" s="76"/>
      <c r="K2621" s="76"/>
      <c r="L2621" s="76"/>
      <c r="M2621" s="76"/>
      <c r="N2621" s="76"/>
      <c r="O2621" s="76"/>
      <c r="P2621" s="76"/>
      <c r="Q2621" s="76"/>
      <c r="R2621" s="76"/>
      <c r="S2621" s="76"/>
      <c r="T2621" s="76"/>
      <c r="U2621" s="76"/>
      <c r="V2621" s="76"/>
      <c r="W2621" s="76"/>
      <c r="X2621" s="76"/>
      <c r="Y2621" s="76"/>
      <c r="Z2621" s="76"/>
      <c r="AA2621" s="76"/>
      <c r="AB2621" s="76"/>
      <c r="AC2621" s="76"/>
      <c r="AD2621" s="76"/>
      <c r="AE2621" s="76"/>
      <c r="AF2621" s="76"/>
      <c r="AG2621" s="76"/>
      <c r="AH2621" s="76"/>
      <c r="AI2621" s="76"/>
      <c r="AJ2621" s="76"/>
      <c r="AK2621" s="76"/>
      <c r="AL2621" s="76"/>
      <c r="AM2621" s="76"/>
      <c r="AN2621" s="76"/>
      <c r="AO2621" s="76"/>
      <c r="AP2621" s="76"/>
      <c r="AQ2621" s="76"/>
      <c r="AR2621" s="76"/>
      <c r="AS2621" s="76"/>
      <c r="AT2621" s="76"/>
      <c r="AU2621" s="76"/>
      <c r="AV2621" s="76"/>
      <c r="AW2621" s="76"/>
      <c r="AX2621" s="76"/>
      <c r="AY2621" s="76"/>
      <c r="AZ2621" s="76"/>
      <c r="BA2621" s="76"/>
      <c r="BB2621" s="76"/>
    </row>
    <row r="2622" spans="5:54" x14ac:dyDescent="0.35">
      <c r="E2622" s="83"/>
      <c r="F2622" s="83"/>
      <c r="G2622" s="76"/>
      <c r="H2622" s="76"/>
      <c r="I2622" s="76"/>
      <c r="J2622" s="76"/>
      <c r="K2622" s="76"/>
      <c r="L2622" s="76"/>
      <c r="M2622" s="76"/>
      <c r="N2622" s="76"/>
      <c r="O2622" s="76"/>
      <c r="P2622" s="76"/>
      <c r="Q2622" s="76"/>
      <c r="R2622" s="76"/>
      <c r="S2622" s="76"/>
      <c r="T2622" s="76"/>
      <c r="U2622" s="76"/>
      <c r="V2622" s="76"/>
      <c r="W2622" s="76"/>
      <c r="X2622" s="76"/>
      <c r="Y2622" s="76"/>
      <c r="Z2622" s="76"/>
      <c r="AA2622" s="76"/>
      <c r="AB2622" s="76"/>
      <c r="AC2622" s="76"/>
      <c r="AD2622" s="76"/>
      <c r="AE2622" s="76"/>
      <c r="AF2622" s="76"/>
      <c r="AG2622" s="76"/>
      <c r="AH2622" s="76"/>
      <c r="AI2622" s="76"/>
      <c r="AJ2622" s="76"/>
      <c r="AK2622" s="76"/>
      <c r="AL2622" s="76"/>
      <c r="AM2622" s="76"/>
      <c r="AN2622" s="76"/>
      <c r="AO2622" s="76"/>
      <c r="AP2622" s="76"/>
      <c r="AQ2622" s="76"/>
      <c r="AR2622" s="76"/>
      <c r="AS2622" s="76"/>
      <c r="AT2622" s="76"/>
      <c r="AU2622" s="76"/>
      <c r="AV2622" s="76"/>
      <c r="AW2622" s="76"/>
      <c r="AX2622" s="76"/>
      <c r="AY2622" s="76"/>
      <c r="AZ2622" s="76"/>
      <c r="BA2622" s="76"/>
      <c r="BB2622" s="76"/>
    </row>
    <row r="2623" spans="5:54" x14ac:dyDescent="0.35">
      <c r="E2623" s="83"/>
      <c r="F2623" s="83"/>
      <c r="G2623" s="76"/>
      <c r="H2623" s="76"/>
      <c r="I2623" s="76"/>
      <c r="J2623" s="76"/>
      <c r="K2623" s="76"/>
      <c r="L2623" s="76"/>
      <c r="M2623" s="76"/>
      <c r="N2623" s="76"/>
      <c r="O2623" s="76"/>
      <c r="P2623" s="76"/>
      <c r="Q2623" s="76"/>
      <c r="R2623" s="76"/>
      <c r="S2623" s="76"/>
      <c r="T2623" s="76"/>
      <c r="U2623" s="76"/>
      <c r="V2623" s="76"/>
      <c r="W2623" s="76"/>
      <c r="X2623" s="76"/>
      <c r="Y2623" s="76"/>
      <c r="Z2623" s="76"/>
      <c r="AA2623" s="76"/>
      <c r="AB2623" s="76"/>
      <c r="AC2623" s="76"/>
      <c r="AD2623" s="76"/>
      <c r="AE2623" s="76"/>
      <c r="AF2623" s="76"/>
      <c r="AG2623" s="76"/>
      <c r="AH2623" s="76"/>
      <c r="AI2623" s="76"/>
      <c r="AJ2623" s="76"/>
      <c r="AK2623" s="76"/>
      <c r="AL2623" s="76"/>
      <c r="AM2623" s="76"/>
      <c r="AN2623" s="76"/>
      <c r="AO2623" s="76"/>
      <c r="AP2623" s="76"/>
      <c r="AQ2623" s="76"/>
      <c r="AR2623" s="76"/>
      <c r="AS2623" s="76"/>
      <c r="AT2623" s="76"/>
      <c r="AU2623" s="76"/>
      <c r="AV2623" s="76"/>
      <c r="AW2623" s="76"/>
      <c r="AX2623" s="76"/>
      <c r="AY2623" s="76"/>
      <c r="AZ2623" s="76"/>
      <c r="BA2623" s="76"/>
      <c r="BB2623" s="76"/>
    </row>
    <row r="2624" spans="5:54" x14ac:dyDescent="0.35">
      <c r="E2624" s="83"/>
      <c r="F2624" s="83"/>
      <c r="G2624" s="76"/>
      <c r="H2624" s="76"/>
      <c r="I2624" s="76"/>
      <c r="J2624" s="76"/>
      <c r="K2624" s="76"/>
      <c r="L2624" s="76"/>
      <c r="M2624" s="76"/>
      <c r="N2624" s="76"/>
      <c r="O2624" s="76"/>
      <c r="P2624" s="76"/>
      <c r="Q2624" s="76"/>
      <c r="R2624" s="76"/>
      <c r="S2624" s="76"/>
      <c r="T2624" s="76"/>
      <c r="U2624" s="76"/>
      <c r="V2624" s="76"/>
      <c r="W2624" s="76"/>
      <c r="X2624" s="76"/>
      <c r="Y2624" s="76"/>
      <c r="Z2624" s="76"/>
      <c r="AA2624" s="76"/>
      <c r="AB2624" s="76"/>
      <c r="AC2624" s="76"/>
      <c r="AD2624" s="76"/>
      <c r="AE2624" s="76"/>
      <c r="AF2624" s="76"/>
      <c r="AG2624" s="76"/>
      <c r="AH2624" s="76"/>
      <c r="AI2624" s="76"/>
      <c r="AJ2624" s="76"/>
      <c r="AK2624" s="76"/>
      <c r="AL2624" s="76"/>
      <c r="AM2624" s="76"/>
      <c r="AN2624" s="76"/>
      <c r="AO2624" s="76"/>
      <c r="AP2624" s="76"/>
      <c r="AQ2624" s="76"/>
      <c r="AR2624" s="76"/>
      <c r="AS2624" s="76"/>
      <c r="AT2624" s="76"/>
      <c r="AU2624" s="76"/>
      <c r="AV2624" s="76"/>
      <c r="AW2624" s="76"/>
      <c r="AX2624" s="76"/>
      <c r="AY2624" s="76"/>
      <c r="AZ2624" s="76"/>
      <c r="BA2624" s="76"/>
      <c r="BB2624" s="76"/>
    </row>
    <row r="2625" spans="5:54" x14ac:dyDescent="0.35">
      <c r="E2625" s="83"/>
      <c r="F2625" s="83"/>
      <c r="G2625" s="76"/>
      <c r="H2625" s="76"/>
      <c r="I2625" s="76"/>
      <c r="J2625" s="76"/>
      <c r="K2625" s="76"/>
      <c r="L2625" s="76"/>
      <c r="M2625" s="76"/>
      <c r="N2625" s="76"/>
      <c r="O2625" s="76"/>
      <c r="P2625" s="76"/>
      <c r="Q2625" s="76"/>
      <c r="R2625" s="76"/>
      <c r="S2625" s="76"/>
      <c r="T2625" s="76"/>
      <c r="U2625" s="76"/>
      <c r="V2625" s="76"/>
      <c r="W2625" s="76"/>
      <c r="X2625" s="76"/>
      <c r="Y2625" s="76"/>
      <c r="Z2625" s="76"/>
      <c r="AA2625" s="76"/>
      <c r="AB2625" s="76"/>
      <c r="AC2625" s="76"/>
      <c r="AD2625" s="76"/>
      <c r="AE2625" s="76"/>
      <c r="AF2625" s="76"/>
      <c r="AG2625" s="76"/>
      <c r="AH2625" s="76"/>
      <c r="AI2625" s="76"/>
      <c r="AJ2625" s="76"/>
      <c r="AK2625" s="76"/>
      <c r="AL2625" s="76"/>
      <c r="AM2625" s="76"/>
      <c r="AN2625" s="76"/>
      <c r="AO2625" s="76"/>
      <c r="AP2625" s="76"/>
      <c r="AQ2625" s="76"/>
      <c r="AR2625" s="76"/>
      <c r="AS2625" s="76"/>
      <c r="AT2625" s="76"/>
      <c r="AU2625" s="76"/>
      <c r="AV2625" s="76"/>
      <c r="AW2625" s="76"/>
      <c r="AX2625" s="76"/>
      <c r="AY2625" s="76"/>
      <c r="AZ2625" s="76"/>
      <c r="BA2625" s="76"/>
      <c r="BB2625" s="76"/>
    </row>
    <row r="2626" spans="5:54" x14ac:dyDescent="0.35">
      <c r="E2626" s="83"/>
      <c r="F2626" s="83"/>
      <c r="G2626" s="76"/>
      <c r="H2626" s="76"/>
      <c r="I2626" s="76"/>
      <c r="J2626" s="76"/>
      <c r="K2626" s="76"/>
      <c r="L2626" s="76"/>
      <c r="M2626" s="76"/>
      <c r="N2626" s="76"/>
      <c r="O2626" s="76"/>
      <c r="P2626" s="76"/>
      <c r="Q2626" s="76"/>
      <c r="R2626" s="76"/>
      <c r="S2626" s="76"/>
      <c r="T2626" s="76"/>
      <c r="U2626" s="76"/>
      <c r="V2626" s="76"/>
      <c r="W2626" s="76"/>
      <c r="X2626" s="76"/>
      <c r="Y2626" s="76"/>
      <c r="Z2626" s="76"/>
      <c r="AA2626" s="76"/>
      <c r="AB2626" s="76"/>
      <c r="AC2626" s="76"/>
      <c r="AD2626" s="76"/>
      <c r="AE2626" s="76"/>
      <c r="AF2626" s="76"/>
      <c r="AG2626" s="76"/>
      <c r="AH2626" s="76"/>
      <c r="AI2626" s="76"/>
      <c r="AJ2626" s="76"/>
      <c r="AK2626" s="76"/>
      <c r="AL2626" s="76"/>
      <c r="AM2626" s="76"/>
      <c r="AN2626" s="76"/>
      <c r="AO2626" s="76"/>
      <c r="AP2626" s="76"/>
      <c r="AQ2626" s="76"/>
      <c r="AR2626" s="76"/>
      <c r="AS2626" s="76"/>
      <c r="AT2626" s="76"/>
      <c r="AU2626" s="76"/>
      <c r="AV2626" s="76"/>
      <c r="AW2626" s="76"/>
      <c r="AX2626" s="76"/>
      <c r="AY2626" s="76"/>
      <c r="AZ2626" s="76"/>
      <c r="BA2626" s="76"/>
      <c r="BB2626" s="76"/>
    </row>
    <row r="2627" spans="5:54" x14ac:dyDescent="0.35">
      <c r="E2627" s="83"/>
      <c r="F2627" s="83"/>
      <c r="G2627" s="76"/>
      <c r="H2627" s="76"/>
      <c r="I2627" s="76"/>
      <c r="J2627" s="76"/>
      <c r="K2627" s="76"/>
      <c r="L2627" s="76"/>
      <c r="M2627" s="76"/>
      <c r="N2627" s="76"/>
      <c r="O2627" s="76"/>
      <c r="P2627" s="76"/>
      <c r="Q2627" s="76"/>
      <c r="R2627" s="76"/>
      <c r="S2627" s="76"/>
      <c r="T2627" s="76"/>
      <c r="U2627" s="76"/>
      <c r="V2627" s="76"/>
      <c r="W2627" s="76"/>
      <c r="X2627" s="76"/>
      <c r="Y2627" s="76"/>
      <c r="Z2627" s="76"/>
      <c r="AA2627" s="76"/>
      <c r="AB2627" s="76"/>
      <c r="AC2627" s="76"/>
      <c r="AD2627" s="76"/>
      <c r="AE2627" s="76"/>
      <c r="AF2627" s="76"/>
      <c r="AG2627" s="76"/>
      <c r="AH2627" s="76"/>
      <c r="AI2627" s="76"/>
      <c r="AJ2627" s="76"/>
      <c r="AK2627" s="76"/>
      <c r="AL2627" s="76"/>
      <c r="AM2627" s="76"/>
      <c r="AN2627" s="76"/>
      <c r="AO2627" s="76"/>
      <c r="AP2627" s="76"/>
      <c r="AQ2627" s="76"/>
      <c r="AR2627" s="76"/>
      <c r="AS2627" s="76"/>
      <c r="AT2627" s="76"/>
      <c r="AU2627" s="76"/>
      <c r="AV2627" s="76"/>
      <c r="AW2627" s="76"/>
      <c r="AX2627" s="76"/>
      <c r="AY2627" s="76"/>
      <c r="AZ2627" s="76"/>
      <c r="BA2627" s="76"/>
      <c r="BB2627" s="76"/>
    </row>
    <row r="2628" spans="5:54" x14ac:dyDescent="0.35">
      <c r="E2628" s="83"/>
      <c r="F2628" s="83"/>
      <c r="G2628" s="76"/>
      <c r="H2628" s="76"/>
      <c r="I2628" s="76"/>
      <c r="J2628" s="76"/>
      <c r="K2628" s="76"/>
      <c r="L2628" s="76"/>
      <c r="M2628" s="76"/>
      <c r="N2628" s="76"/>
      <c r="O2628" s="76"/>
      <c r="P2628" s="76"/>
      <c r="Q2628" s="76"/>
      <c r="R2628" s="76"/>
      <c r="S2628" s="76"/>
      <c r="T2628" s="76"/>
      <c r="U2628" s="76"/>
      <c r="V2628" s="76"/>
      <c r="W2628" s="76"/>
      <c r="X2628" s="76"/>
      <c r="Y2628" s="76"/>
      <c r="Z2628" s="76"/>
      <c r="AA2628" s="76"/>
      <c r="AB2628" s="76"/>
      <c r="AC2628" s="76"/>
      <c r="AD2628" s="76"/>
      <c r="AE2628" s="76"/>
      <c r="AF2628" s="76"/>
      <c r="AG2628" s="76"/>
      <c r="AH2628" s="76"/>
      <c r="AI2628" s="76"/>
      <c r="AJ2628" s="76"/>
      <c r="AK2628" s="76"/>
      <c r="AL2628" s="76"/>
      <c r="AM2628" s="76"/>
      <c r="AN2628" s="76"/>
      <c r="AO2628" s="76"/>
      <c r="AP2628" s="76"/>
      <c r="AQ2628" s="76"/>
      <c r="AR2628" s="76"/>
      <c r="AS2628" s="76"/>
      <c r="AT2628" s="76"/>
      <c r="AU2628" s="76"/>
      <c r="AV2628" s="76"/>
      <c r="AW2628" s="76"/>
      <c r="AX2628" s="76"/>
      <c r="AY2628" s="76"/>
      <c r="AZ2628" s="76"/>
      <c r="BA2628" s="76"/>
      <c r="BB2628" s="76"/>
    </row>
    <row r="2629" spans="5:54" x14ac:dyDescent="0.35">
      <c r="E2629" s="83"/>
      <c r="F2629" s="83"/>
      <c r="G2629" s="76"/>
      <c r="H2629" s="76"/>
      <c r="I2629" s="76"/>
      <c r="J2629" s="76"/>
      <c r="K2629" s="76"/>
      <c r="L2629" s="76"/>
      <c r="M2629" s="76"/>
      <c r="N2629" s="76"/>
      <c r="O2629" s="76"/>
      <c r="P2629" s="76"/>
      <c r="Q2629" s="76"/>
      <c r="R2629" s="76"/>
      <c r="S2629" s="76"/>
      <c r="T2629" s="76"/>
      <c r="U2629" s="76"/>
      <c r="V2629" s="76"/>
      <c r="W2629" s="76"/>
      <c r="X2629" s="76"/>
      <c r="Y2629" s="76"/>
      <c r="Z2629" s="76"/>
      <c r="AA2629" s="76"/>
      <c r="AB2629" s="76"/>
      <c r="AC2629" s="76"/>
      <c r="AD2629" s="76"/>
      <c r="AE2629" s="76"/>
      <c r="AF2629" s="76"/>
      <c r="AG2629" s="76"/>
      <c r="AH2629" s="76"/>
      <c r="AI2629" s="76"/>
      <c r="AJ2629" s="76"/>
      <c r="AK2629" s="76"/>
      <c r="AL2629" s="76"/>
      <c r="AM2629" s="76"/>
      <c r="AN2629" s="76"/>
      <c r="AO2629" s="76"/>
      <c r="AP2629" s="76"/>
      <c r="AQ2629" s="76"/>
      <c r="AR2629" s="76"/>
      <c r="AS2629" s="76"/>
      <c r="AT2629" s="76"/>
      <c r="AU2629" s="76"/>
      <c r="AV2629" s="76"/>
      <c r="AW2629" s="76"/>
      <c r="AX2629" s="76"/>
      <c r="AY2629" s="76"/>
      <c r="AZ2629" s="76"/>
      <c r="BA2629" s="76"/>
      <c r="BB2629" s="76"/>
    </row>
    <row r="2630" spans="5:54" x14ac:dyDescent="0.35">
      <c r="E2630" s="83"/>
      <c r="F2630" s="83"/>
      <c r="G2630" s="76"/>
      <c r="H2630" s="76"/>
      <c r="I2630" s="76"/>
      <c r="J2630" s="76"/>
      <c r="K2630" s="76"/>
      <c r="L2630" s="76"/>
      <c r="M2630" s="76"/>
      <c r="N2630" s="76"/>
      <c r="O2630" s="76"/>
      <c r="P2630" s="76"/>
      <c r="Q2630" s="76"/>
      <c r="R2630" s="76"/>
      <c r="S2630" s="76"/>
      <c r="T2630" s="76"/>
      <c r="U2630" s="76"/>
      <c r="V2630" s="76"/>
      <c r="W2630" s="76"/>
      <c r="X2630" s="76"/>
      <c r="Y2630" s="76"/>
      <c r="Z2630" s="76"/>
      <c r="AA2630" s="76"/>
      <c r="AB2630" s="76"/>
      <c r="AC2630" s="76"/>
      <c r="AD2630" s="76"/>
      <c r="AE2630" s="76"/>
      <c r="AF2630" s="76"/>
      <c r="AG2630" s="76"/>
      <c r="AH2630" s="76"/>
      <c r="AI2630" s="76"/>
      <c r="AJ2630" s="76"/>
      <c r="AK2630" s="76"/>
      <c r="AL2630" s="76"/>
      <c r="AM2630" s="76"/>
      <c r="AN2630" s="76"/>
      <c r="AO2630" s="76"/>
      <c r="AP2630" s="76"/>
      <c r="AQ2630" s="76"/>
      <c r="AR2630" s="76"/>
      <c r="AS2630" s="76"/>
      <c r="AT2630" s="76"/>
      <c r="AU2630" s="76"/>
      <c r="AV2630" s="76"/>
      <c r="AW2630" s="76"/>
      <c r="AX2630" s="76"/>
      <c r="AY2630" s="76"/>
      <c r="AZ2630" s="76"/>
      <c r="BA2630" s="76"/>
      <c r="BB2630" s="76"/>
    </row>
    <row r="2631" spans="5:54" x14ac:dyDescent="0.35">
      <c r="E2631" s="83"/>
      <c r="F2631" s="83"/>
      <c r="G2631" s="76"/>
      <c r="H2631" s="76"/>
      <c r="I2631" s="76"/>
      <c r="J2631" s="76"/>
      <c r="K2631" s="76"/>
      <c r="L2631" s="76"/>
      <c r="M2631" s="76"/>
      <c r="N2631" s="76"/>
      <c r="O2631" s="76"/>
      <c r="P2631" s="76"/>
      <c r="Q2631" s="76"/>
      <c r="R2631" s="76"/>
      <c r="S2631" s="76"/>
      <c r="T2631" s="76"/>
      <c r="U2631" s="76"/>
      <c r="V2631" s="76"/>
      <c r="W2631" s="76"/>
      <c r="X2631" s="76"/>
      <c r="Y2631" s="76"/>
      <c r="Z2631" s="76"/>
      <c r="AA2631" s="76"/>
      <c r="AB2631" s="76"/>
      <c r="AC2631" s="76"/>
      <c r="AD2631" s="76"/>
      <c r="AE2631" s="76"/>
      <c r="AF2631" s="76"/>
      <c r="AG2631" s="76"/>
      <c r="AH2631" s="76"/>
      <c r="AI2631" s="76"/>
      <c r="AJ2631" s="76"/>
      <c r="AK2631" s="76"/>
      <c r="AL2631" s="76"/>
      <c r="AM2631" s="76"/>
      <c r="AN2631" s="76"/>
      <c r="AO2631" s="76"/>
      <c r="AP2631" s="76"/>
      <c r="AQ2631" s="76"/>
      <c r="AR2631" s="76"/>
      <c r="AS2631" s="76"/>
      <c r="AT2631" s="76"/>
      <c r="AU2631" s="76"/>
      <c r="AV2631" s="76"/>
      <c r="AW2631" s="76"/>
      <c r="AX2631" s="76"/>
      <c r="AY2631" s="76"/>
      <c r="AZ2631" s="76"/>
      <c r="BA2631" s="76"/>
      <c r="BB2631" s="76"/>
    </row>
    <row r="2632" spans="5:54" x14ac:dyDescent="0.35">
      <c r="E2632" s="83"/>
      <c r="F2632" s="83"/>
      <c r="G2632" s="76"/>
      <c r="H2632" s="76"/>
      <c r="I2632" s="76"/>
      <c r="J2632" s="76"/>
      <c r="K2632" s="76"/>
      <c r="L2632" s="76"/>
      <c r="M2632" s="76"/>
      <c r="N2632" s="76"/>
      <c r="O2632" s="76"/>
      <c r="P2632" s="76"/>
      <c r="Q2632" s="76"/>
      <c r="R2632" s="76"/>
      <c r="S2632" s="76"/>
      <c r="T2632" s="76"/>
      <c r="U2632" s="76"/>
      <c r="V2632" s="76"/>
      <c r="W2632" s="76"/>
      <c r="X2632" s="76"/>
      <c r="Y2632" s="76"/>
      <c r="Z2632" s="76"/>
      <c r="AA2632" s="76"/>
      <c r="AB2632" s="76"/>
      <c r="AC2632" s="76"/>
      <c r="AD2632" s="76"/>
      <c r="AE2632" s="76"/>
      <c r="AF2632" s="76"/>
      <c r="AG2632" s="76"/>
      <c r="AH2632" s="76"/>
      <c r="AI2632" s="76"/>
      <c r="AJ2632" s="76"/>
      <c r="AK2632" s="76"/>
      <c r="AL2632" s="76"/>
      <c r="AM2632" s="76"/>
      <c r="AN2632" s="76"/>
      <c r="AO2632" s="76"/>
      <c r="AP2632" s="76"/>
      <c r="AQ2632" s="76"/>
      <c r="AR2632" s="76"/>
      <c r="AS2632" s="76"/>
      <c r="AT2632" s="76"/>
      <c r="AU2632" s="76"/>
      <c r="AV2632" s="76"/>
      <c r="AW2632" s="76"/>
      <c r="AX2632" s="76"/>
      <c r="AY2632" s="76"/>
      <c r="AZ2632" s="76"/>
      <c r="BA2632" s="76"/>
      <c r="BB2632" s="76"/>
    </row>
    <row r="2633" spans="5:54" x14ac:dyDescent="0.35">
      <c r="E2633" s="83"/>
      <c r="F2633" s="83"/>
      <c r="G2633" s="76"/>
      <c r="H2633" s="76"/>
      <c r="I2633" s="76"/>
      <c r="J2633" s="76"/>
      <c r="K2633" s="76"/>
      <c r="L2633" s="76"/>
      <c r="M2633" s="76"/>
      <c r="N2633" s="76"/>
      <c r="O2633" s="76"/>
      <c r="P2633" s="76"/>
      <c r="Q2633" s="76"/>
      <c r="R2633" s="76"/>
      <c r="S2633" s="76"/>
      <c r="T2633" s="76"/>
      <c r="U2633" s="76"/>
      <c r="V2633" s="76"/>
      <c r="W2633" s="76"/>
      <c r="X2633" s="76"/>
      <c r="Y2633" s="76"/>
      <c r="Z2633" s="76"/>
      <c r="AA2633" s="76"/>
      <c r="AB2633" s="76"/>
      <c r="AC2633" s="76"/>
      <c r="AD2633" s="76"/>
      <c r="AE2633" s="76"/>
      <c r="AF2633" s="76"/>
      <c r="AG2633" s="76"/>
      <c r="AH2633" s="76"/>
      <c r="AI2633" s="76"/>
      <c r="AJ2633" s="76"/>
      <c r="AK2633" s="76"/>
      <c r="AL2633" s="76"/>
      <c r="AM2633" s="76"/>
      <c r="AN2633" s="76"/>
      <c r="AO2633" s="76"/>
      <c r="AP2633" s="76"/>
      <c r="AQ2633" s="76"/>
      <c r="AR2633" s="76"/>
      <c r="AS2633" s="76"/>
      <c r="AT2633" s="76"/>
      <c r="AU2633" s="76"/>
      <c r="AV2633" s="76"/>
      <c r="AW2633" s="76"/>
      <c r="AX2633" s="76"/>
      <c r="AY2633" s="76"/>
      <c r="AZ2633" s="76"/>
      <c r="BA2633" s="76"/>
      <c r="BB2633" s="76"/>
    </row>
    <row r="2634" spans="5:54" x14ac:dyDescent="0.35">
      <c r="E2634" s="83"/>
      <c r="F2634" s="83"/>
      <c r="G2634" s="76"/>
      <c r="H2634" s="76"/>
      <c r="I2634" s="76"/>
      <c r="J2634" s="76"/>
      <c r="K2634" s="76"/>
      <c r="L2634" s="76"/>
      <c r="M2634" s="76"/>
      <c r="N2634" s="76"/>
      <c r="O2634" s="76"/>
      <c r="P2634" s="76"/>
      <c r="Q2634" s="76"/>
      <c r="R2634" s="76"/>
      <c r="S2634" s="76"/>
      <c r="T2634" s="76"/>
      <c r="U2634" s="76"/>
      <c r="V2634" s="76"/>
      <c r="W2634" s="76"/>
      <c r="X2634" s="76"/>
      <c r="Y2634" s="76"/>
      <c r="Z2634" s="76"/>
      <c r="AA2634" s="76"/>
      <c r="AB2634" s="76"/>
      <c r="AC2634" s="76"/>
      <c r="AD2634" s="76"/>
      <c r="AE2634" s="76"/>
      <c r="AF2634" s="76"/>
      <c r="AG2634" s="76"/>
      <c r="AH2634" s="76"/>
      <c r="AI2634" s="76"/>
      <c r="AJ2634" s="76"/>
      <c r="AK2634" s="76"/>
      <c r="AL2634" s="76"/>
      <c r="AM2634" s="76"/>
      <c r="AN2634" s="76"/>
      <c r="AO2634" s="76"/>
      <c r="AP2634" s="76"/>
      <c r="AQ2634" s="76"/>
      <c r="AR2634" s="76"/>
      <c r="AS2634" s="76"/>
      <c r="AT2634" s="76"/>
      <c r="AU2634" s="76"/>
      <c r="AV2634" s="76"/>
      <c r="AW2634" s="76"/>
      <c r="AX2634" s="76"/>
      <c r="AY2634" s="76"/>
      <c r="AZ2634" s="76"/>
      <c r="BA2634" s="76"/>
      <c r="BB2634" s="76"/>
    </row>
    <row r="2635" spans="5:54" x14ac:dyDescent="0.35">
      <c r="E2635" s="83"/>
      <c r="F2635" s="83"/>
      <c r="G2635" s="76"/>
      <c r="H2635" s="76"/>
      <c r="I2635" s="76"/>
      <c r="J2635" s="76"/>
      <c r="K2635" s="76"/>
      <c r="L2635" s="76"/>
      <c r="M2635" s="76"/>
      <c r="N2635" s="76"/>
      <c r="O2635" s="76"/>
      <c r="P2635" s="76"/>
      <c r="Q2635" s="76"/>
      <c r="R2635" s="76"/>
      <c r="S2635" s="76"/>
      <c r="T2635" s="76"/>
      <c r="U2635" s="76"/>
      <c r="V2635" s="76"/>
      <c r="W2635" s="76"/>
      <c r="X2635" s="76"/>
      <c r="Y2635" s="76"/>
      <c r="Z2635" s="76"/>
      <c r="AA2635" s="76"/>
      <c r="AB2635" s="76"/>
      <c r="AC2635" s="76"/>
      <c r="AD2635" s="76"/>
      <c r="AE2635" s="76"/>
      <c r="AF2635" s="76"/>
      <c r="AG2635" s="76"/>
      <c r="AH2635" s="76"/>
      <c r="AI2635" s="76"/>
      <c r="AJ2635" s="76"/>
      <c r="AK2635" s="76"/>
      <c r="AL2635" s="76"/>
      <c r="AM2635" s="76"/>
      <c r="AN2635" s="76"/>
      <c r="AO2635" s="76"/>
      <c r="AP2635" s="76"/>
      <c r="AQ2635" s="76"/>
      <c r="AR2635" s="76"/>
      <c r="AS2635" s="76"/>
      <c r="AT2635" s="76"/>
      <c r="AU2635" s="76"/>
      <c r="AV2635" s="76"/>
      <c r="AW2635" s="76"/>
      <c r="AX2635" s="76"/>
      <c r="AY2635" s="76"/>
      <c r="AZ2635" s="76"/>
      <c r="BA2635" s="76"/>
      <c r="BB2635" s="76"/>
    </row>
    <row r="2636" spans="5:54" x14ac:dyDescent="0.35">
      <c r="E2636" s="83"/>
      <c r="F2636" s="83"/>
      <c r="G2636" s="76"/>
      <c r="H2636" s="76"/>
      <c r="I2636" s="76"/>
      <c r="J2636" s="76"/>
      <c r="K2636" s="76"/>
      <c r="L2636" s="76"/>
      <c r="M2636" s="76"/>
      <c r="N2636" s="76"/>
      <c r="O2636" s="76"/>
      <c r="P2636" s="76"/>
      <c r="Q2636" s="76"/>
      <c r="R2636" s="76"/>
      <c r="S2636" s="76"/>
      <c r="T2636" s="76"/>
      <c r="U2636" s="76"/>
      <c r="V2636" s="76"/>
      <c r="W2636" s="76"/>
      <c r="X2636" s="76"/>
      <c r="Y2636" s="76"/>
      <c r="Z2636" s="76"/>
      <c r="AA2636" s="76"/>
      <c r="AB2636" s="76"/>
      <c r="AC2636" s="76"/>
      <c r="AD2636" s="76"/>
      <c r="AE2636" s="76"/>
      <c r="AF2636" s="76"/>
      <c r="AG2636" s="76"/>
      <c r="AH2636" s="76"/>
      <c r="AI2636" s="76"/>
      <c r="AJ2636" s="76"/>
      <c r="AK2636" s="76"/>
      <c r="AL2636" s="76"/>
      <c r="AM2636" s="76"/>
      <c r="AN2636" s="76"/>
      <c r="AO2636" s="76"/>
      <c r="AP2636" s="76"/>
      <c r="AQ2636" s="76"/>
      <c r="AR2636" s="76"/>
      <c r="AS2636" s="76"/>
      <c r="AT2636" s="76"/>
      <c r="AU2636" s="76"/>
      <c r="AV2636" s="76"/>
      <c r="AW2636" s="76"/>
      <c r="AX2636" s="76"/>
      <c r="AY2636" s="76"/>
      <c r="AZ2636" s="76"/>
      <c r="BA2636" s="76"/>
      <c r="BB2636" s="76"/>
    </row>
    <row r="2637" spans="5:54" x14ac:dyDescent="0.35">
      <c r="E2637" s="83"/>
      <c r="F2637" s="83"/>
      <c r="G2637" s="76"/>
      <c r="H2637" s="76"/>
      <c r="I2637" s="76"/>
      <c r="J2637" s="76"/>
      <c r="K2637" s="76"/>
      <c r="L2637" s="76"/>
      <c r="M2637" s="76"/>
      <c r="N2637" s="76"/>
      <c r="O2637" s="76"/>
      <c r="P2637" s="76"/>
      <c r="Q2637" s="76"/>
      <c r="R2637" s="76"/>
      <c r="S2637" s="76"/>
      <c r="T2637" s="76"/>
      <c r="U2637" s="76"/>
      <c r="V2637" s="76"/>
      <c r="W2637" s="76"/>
      <c r="X2637" s="76"/>
      <c r="Y2637" s="76"/>
      <c r="Z2637" s="76"/>
      <c r="AA2637" s="76"/>
      <c r="AB2637" s="76"/>
      <c r="AC2637" s="76"/>
      <c r="AD2637" s="76"/>
      <c r="AE2637" s="76"/>
      <c r="AF2637" s="76"/>
      <c r="AG2637" s="76"/>
      <c r="AH2637" s="76"/>
      <c r="AI2637" s="76"/>
      <c r="AJ2637" s="76"/>
      <c r="AK2637" s="76"/>
      <c r="AL2637" s="76"/>
      <c r="AM2637" s="76"/>
      <c r="AN2637" s="76"/>
      <c r="AO2637" s="76"/>
      <c r="AP2637" s="76"/>
      <c r="AQ2637" s="76"/>
      <c r="AR2637" s="76"/>
      <c r="AS2637" s="76"/>
      <c r="AT2637" s="76"/>
      <c r="AU2637" s="76"/>
      <c r="AV2637" s="76"/>
      <c r="AW2637" s="76"/>
      <c r="AX2637" s="76"/>
      <c r="AY2637" s="76"/>
      <c r="AZ2637" s="76"/>
      <c r="BA2637" s="76"/>
      <c r="BB2637" s="76"/>
    </row>
    <row r="2638" spans="5:54" x14ac:dyDescent="0.35">
      <c r="E2638" s="83"/>
      <c r="F2638" s="83"/>
      <c r="G2638" s="76"/>
      <c r="H2638" s="76"/>
      <c r="I2638" s="76"/>
      <c r="J2638" s="76"/>
      <c r="K2638" s="76"/>
      <c r="L2638" s="76"/>
      <c r="M2638" s="76"/>
      <c r="N2638" s="76"/>
      <c r="O2638" s="76"/>
      <c r="P2638" s="76"/>
      <c r="Q2638" s="76"/>
      <c r="R2638" s="76"/>
      <c r="S2638" s="76"/>
      <c r="T2638" s="76"/>
      <c r="U2638" s="76"/>
      <c r="V2638" s="76"/>
      <c r="W2638" s="76"/>
      <c r="X2638" s="76"/>
      <c r="Y2638" s="76"/>
      <c r="Z2638" s="76"/>
      <c r="AA2638" s="76"/>
      <c r="AB2638" s="76"/>
      <c r="AC2638" s="76"/>
      <c r="AD2638" s="76"/>
      <c r="AE2638" s="76"/>
      <c r="AF2638" s="76"/>
      <c r="AG2638" s="76"/>
      <c r="AH2638" s="76"/>
      <c r="AI2638" s="76"/>
      <c r="AJ2638" s="76"/>
      <c r="AK2638" s="76"/>
      <c r="AL2638" s="76"/>
      <c r="AM2638" s="76"/>
      <c r="AN2638" s="76"/>
      <c r="AO2638" s="76"/>
      <c r="AP2638" s="76"/>
      <c r="AQ2638" s="76"/>
      <c r="AR2638" s="76"/>
      <c r="AS2638" s="76"/>
      <c r="AT2638" s="76"/>
      <c r="AU2638" s="76"/>
      <c r="AV2638" s="76"/>
      <c r="AW2638" s="76"/>
      <c r="AX2638" s="76"/>
      <c r="AY2638" s="76"/>
      <c r="AZ2638" s="76"/>
      <c r="BA2638" s="76"/>
      <c r="BB2638" s="76"/>
    </row>
    <row r="2639" spans="5:54" x14ac:dyDescent="0.35">
      <c r="E2639" s="83"/>
      <c r="F2639" s="83"/>
      <c r="G2639" s="76"/>
      <c r="H2639" s="76"/>
      <c r="I2639" s="76"/>
      <c r="J2639" s="76"/>
      <c r="K2639" s="76"/>
      <c r="L2639" s="76"/>
      <c r="M2639" s="76"/>
      <c r="N2639" s="76"/>
      <c r="O2639" s="76"/>
      <c r="P2639" s="76"/>
      <c r="Q2639" s="76"/>
      <c r="R2639" s="76"/>
      <c r="S2639" s="76"/>
      <c r="T2639" s="76"/>
      <c r="U2639" s="76"/>
      <c r="V2639" s="76"/>
      <c r="W2639" s="76"/>
      <c r="X2639" s="76"/>
      <c r="Y2639" s="76"/>
      <c r="Z2639" s="76"/>
      <c r="AA2639" s="76"/>
      <c r="AB2639" s="76"/>
      <c r="AC2639" s="76"/>
      <c r="AD2639" s="76"/>
      <c r="AE2639" s="76"/>
      <c r="AF2639" s="76"/>
      <c r="AG2639" s="76"/>
      <c r="AH2639" s="76"/>
      <c r="AI2639" s="76"/>
      <c r="AJ2639" s="76"/>
      <c r="AK2639" s="76"/>
      <c r="AL2639" s="76"/>
      <c r="AM2639" s="76"/>
      <c r="AN2639" s="76"/>
      <c r="AO2639" s="76"/>
      <c r="AP2639" s="76"/>
      <c r="AQ2639" s="76"/>
      <c r="AR2639" s="76"/>
      <c r="AS2639" s="76"/>
      <c r="AT2639" s="76"/>
      <c r="AU2639" s="76"/>
      <c r="AV2639" s="76"/>
      <c r="AW2639" s="76"/>
      <c r="AX2639" s="76"/>
      <c r="AY2639" s="76"/>
      <c r="AZ2639" s="76"/>
      <c r="BA2639" s="76"/>
      <c r="BB2639" s="76"/>
    </row>
    <row r="2640" spans="5:54" x14ac:dyDescent="0.35">
      <c r="E2640" s="83"/>
      <c r="F2640" s="83"/>
      <c r="G2640" s="76"/>
      <c r="H2640" s="76"/>
      <c r="I2640" s="76"/>
      <c r="J2640" s="76"/>
      <c r="K2640" s="76"/>
      <c r="L2640" s="76"/>
      <c r="M2640" s="76"/>
      <c r="N2640" s="76"/>
      <c r="O2640" s="76"/>
      <c r="P2640" s="76"/>
      <c r="Q2640" s="76"/>
      <c r="R2640" s="76"/>
      <c r="S2640" s="76"/>
      <c r="T2640" s="76"/>
      <c r="U2640" s="76"/>
      <c r="V2640" s="76"/>
      <c r="W2640" s="76"/>
      <c r="X2640" s="76"/>
      <c r="Y2640" s="76"/>
      <c r="Z2640" s="76"/>
      <c r="AA2640" s="76"/>
      <c r="AB2640" s="76"/>
      <c r="AC2640" s="76"/>
      <c r="AD2640" s="76"/>
      <c r="AE2640" s="76"/>
      <c r="AF2640" s="76"/>
      <c r="AG2640" s="76"/>
      <c r="AH2640" s="76"/>
      <c r="AI2640" s="76"/>
      <c r="AJ2640" s="76"/>
      <c r="AK2640" s="76"/>
      <c r="AL2640" s="76"/>
      <c r="AM2640" s="76"/>
      <c r="AN2640" s="76"/>
      <c r="AO2640" s="76"/>
      <c r="AP2640" s="76"/>
      <c r="AQ2640" s="76"/>
      <c r="AR2640" s="76"/>
      <c r="AS2640" s="76"/>
      <c r="AT2640" s="76"/>
      <c r="AU2640" s="76"/>
      <c r="AV2640" s="76"/>
      <c r="AW2640" s="76"/>
      <c r="AX2640" s="76"/>
      <c r="AY2640" s="76"/>
      <c r="AZ2640" s="76"/>
      <c r="BA2640" s="76"/>
      <c r="BB2640" s="76"/>
    </row>
    <row r="2641" spans="5:54" x14ac:dyDescent="0.35">
      <c r="E2641" s="83"/>
      <c r="F2641" s="83"/>
      <c r="G2641" s="76"/>
      <c r="H2641" s="76"/>
      <c r="I2641" s="76"/>
      <c r="J2641" s="76"/>
      <c r="K2641" s="76"/>
      <c r="L2641" s="76"/>
      <c r="M2641" s="76"/>
      <c r="N2641" s="76"/>
      <c r="O2641" s="76"/>
      <c r="P2641" s="76"/>
      <c r="Q2641" s="76"/>
      <c r="R2641" s="76"/>
      <c r="S2641" s="76"/>
      <c r="T2641" s="76"/>
      <c r="U2641" s="76"/>
      <c r="V2641" s="76"/>
      <c r="W2641" s="76"/>
      <c r="X2641" s="76"/>
      <c r="Y2641" s="76"/>
      <c r="Z2641" s="76"/>
      <c r="AA2641" s="76"/>
      <c r="AB2641" s="76"/>
      <c r="AC2641" s="76"/>
      <c r="AD2641" s="76"/>
      <c r="AE2641" s="76"/>
      <c r="AF2641" s="76"/>
      <c r="AG2641" s="76"/>
      <c r="AH2641" s="76"/>
      <c r="AI2641" s="76"/>
      <c r="AJ2641" s="76"/>
      <c r="AK2641" s="76"/>
      <c r="AL2641" s="76"/>
      <c r="AM2641" s="76"/>
      <c r="AN2641" s="76"/>
      <c r="AO2641" s="76"/>
      <c r="AP2641" s="76"/>
      <c r="AQ2641" s="76"/>
      <c r="AR2641" s="76"/>
      <c r="AS2641" s="76"/>
      <c r="AT2641" s="76"/>
      <c r="AU2641" s="76"/>
      <c r="AV2641" s="76"/>
      <c r="AW2641" s="76"/>
      <c r="AX2641" s="76"/>
      <c r="AY2641" s="76"/>
      <c r="AZ2641" s="76"/>
      <c r="BA2641" s="76"/>
      <c r="BB2641" s="76"/>
    </row>
    <row r="2642" spans="5:54" x14ac:dyDescent="0.35">
      <c r="E2642" s="83"/>
      <c r="F2642" s="83"/>
      <c r="G2642" s="76"/>
      <c r="H2642" s="76"/>
      <c r="I2642" s="76"/>
      <c r="J2642" s="76"/>
      <c r="K2642" s="76"/>
      <c r="L2642" s="76"/>
      <c r="M2642" s="76"/>
      <c r="N2642" s="76"/>
      <c r="O2642" s="76"/>
      <c r="P2642" s="76"/>
      <c r="Q2642" s="76"/>
      <c r="R2642" s="76"/>
      <c r="S2642" s="76"/>
      <c r="T2642" s="76"/>
      <c r="U2642" s="76"/>
      <c r="V2642" s="76"/>
      <c r="W2642" s="76"/>
      <c r="X2642" s="76"/>
      <c r="Y2642" s="76"/>
      <c r="Z2642" s="76"/>
      <c r="AA2642" s="76"/>
      <c r="AB2642" s="76"/>
      <c r="AC2642" s="76"/>
      <c r="AD2642" s="76"/>
      <c r="AE2642" s="76"/>
      <c r="AF2642" s="76"/>
      <c r="AG2642" s="76"/>
      <c r="AH2642" s="76"/>
      <c r="AI2642" s="76"/>
      <c r="AJ2642" s="76"/>
      <c r="AK2642" s="76"/>
      <c r="AL2642" s="76"/>
      <c r="AM2642" s="76"/>
      <c r="AN2642" s="76"/>
      <c r="AO2642" s="76"/>
      <c r="AP2642" s="76"/>
      <c r="AQ2642" s="76"/>
      <c r="AR2642" s="76"/>
      <c r="AS2642" s="76"/>
      <c r="AT2642" s="76"/>
      <c r="AU2642" s="76"/>
      <c r="AV2642" s="76"/>
      <c r="AW2642" s="76"/>
      <c r="AX2642" s="76"/>
      <c r="AY2642" s="76"/>
      <c r="AZ2642" s="76"/>
      <c r="BA2642" s="76"/>
      <c r="BB2642" s="76"/>
    </row>
    <row r="2643" spans="5:54" x14ac:dyDescent="0.35">
      <c r="E2643" s="83"/>
      <c r="F2643" s="83"/>
      <c r="G2643" s="76"/>
      <c r="H2643" s="76"/>
      <c r="I2643" s="76"/>
      <c r="J2643" s="76"/>
      <c r="K2643" s="76"/>
      <c r="L2643" s="76"/>
      <c r="M2643" s="76"/>
      <c r="N2643" s="76"/>
      <c r="O2643" s="76"/>
      <c r="P2643" s="76"/>
      <c r="Q2643" s="76"/>
      <c r="R2643" s="76"/>
      <c r="S2643" s="76"/>
      <c r="T2643" s="76"/>
      <c r="U2643" s="76"/>
      <c r="V2643" s="76"/>
      <c r="W2643" s="76"/>
      <c r="X2643" s="76"/>
      <c r="Y2643" s="76"/>
      <c r="Z2643" s="76"/>
      <c r="AA2643" s="76"/>
      <c r="AB2643" s="76"/>
      <c r="AC2643" s="76"/>
      <c r="AD2643" s="76"/>
      <c r="AE2643" s="76"/>
      <c r="AF2643" s="76"/>
      <c r="AG2643" s="76"/>
      <c r="AH2643" s="76"/>
      <c r="AI2643" s="76"/>
      <c r="AJ2643" s="76"/>
      <c r="AK2643" s="76"/>
      <c r="AL2643" s="76"/>
      <c r="AM2643" s="76"/>
      <c r="AN2643" s="76"/>
      <c r="AO2643" s="76"/>
      <c r="AP2643" s="76"/>
      <c r="AQ2643" s="76"/>
      <c r="AR2643" s="76"/>
      <c r="AS2643" s="76"/>
      <c r="AT2643" s="76"/>
      <c r="AU2643" s="76"/>
      <c r="AV2643" s="76"/>
      <c r="AW2643" s="76"/>
      <c r="AX2643" s="76"/>
      <c r="AY2643" s="76"/>
      <c r="AZ2643" s="76"/>
      <c r="BA2643" s="76"/>
      <c r="BB2643" s="76"/>
    </row>
    <row r="2644" spans="5:54" x14ac:dyDescent="0.35">
      <c r="E2644" s="83"/>
      <c r="F2644" s="83"/>
      <c r="G2644" s="76"/>
      <c r="H2644" s="76"/>
      <c r="I2644" s="76"/>
      <c r="J2644" s="76"/>
      <c r="K2644" s="76"/>
      <c r="L2644" s="76"/>
      <c r="M2644" s="76"/>
      <c r="N2644" s="76"/>
      <c r="O2644" s="76"/>
      <c r="P2644" s="76"/>
      <c r="Q2644" s="76"/>
      <c r="R2644" s="76"/>
      <c r="S2644" s="76"/>
      <c r="T2644" s="76"/>
      <c r="U2644" s="76"/>
      <c r="V2644" s="76"/>
      <c r="W2644" s="76"/>
      <c r="X2644" s="76"/>
      <c r="Y2644" s="76"/>
      <c r="Z2644" s="76"/>
      <c r="AA2644" s="76"/>
      <c r="AB2644" s="76"/>
      <c r="AC2644" s="76"/>
      <c r="AD2644" s="76"/>
      <c r="AE2644" s="76"/>
      <c r="AF2644" s="76"/>
      <c r="AG2644" s="76"/>
      <c r="AH2644" s="76"/>
      <c r="AI2644" s="76"/>
      <c r="AJ2644" s="76"/>
      <c r="AK2644" s="76"/>
      <c r="AL2644" s="76"/>
      <c r="AM2644" s="76"/>
      <c r="AN2644" s="76"/>
      <c r="AO2644" s="76"/>
      <c r="AP2644" s="76"/>
      <c r="AQ2644" s="76"/>
      <c r="AR2644" s="76"/>
      <c r="AS2644" s="76"/>
      <c r="AT2644" s="76"/>
      <c r="AU2644" s="76"/>
      <c r="AV2644" s="76"/>
      <c r="AW2644" s="76"/>
      <c r="AX2644" s="76"/>
      <c r="AY2644" s="76"/>
      <c r="AZ2644" s="76"/>
      <c r="BA2644" s="76"/>
      <c r="BB2644" s="76"/>
    </row>
    <row r="2645" spans="5:54" x14ac:dyDescent="0.35">
      <c r="E2645" s="83"/>
      <c r="F2645" s="83"/>
      <c r="G2645" s="76"/>
      <c r="H2645" s="76"/>
      <c r="I2645" s="76"/>
      <c r="J2645" s="76"/>
      <c r="K2645" s="76"/>
      <c r="L2645" s="76"/>
      <c r="M2645" s="76"/>
      <c r="N2645" s="76"/>
      <c r="O2645" s="76"/>
      <c r="P2645" s="76"/>
      <c r="Q2645" s="76"/>
      <c r="R2645" s="76"/>
      <c r="S2645" s="76"/>
      <c r="T2645" s="76"/>
      <c r="U2645" s="76"/>
      <c r="V2645" s="76"/>
      <c r="W2645" s="76"/>
      <c r="X2645" s="76"/>
      <c r="Y2645" s="76"/>
      <c r="Z2645" s="76"/>
      <c r="AA2645" s="76"/>
      <c r="AB2645" s="76"/>
      <c r="AC2645" s="76"/>
      <c r="AD2645" s="76"/>
      <c r="AE2645" s="76"/>
      <c r="AF2645" s="76"/>
      <c r="AG2645" s="76"/>
      <c r="AH2645" s="76"/>
      <c r="AI2645" s="76"/>
      <c r="AJ2645" s="76"/>
      <c r="AK2645" s="76"/>
      <c r="AL2645" s="76"/>
      <c r="AM2645" s="76"/>
      <c r="AN2645" s="76"/>
      <c r="AO2645" s="76"/>
      <c r="AP2645" s="76"/>
      <c r="AQ2645" s="76"/>
      <c r="AR2645" s="76"/>
      <c r="AS2645" s="76"/>
      <c r="AT2645" s="76"/>
      <c r="AU2645" s="76"/>
      <c r="AV2645" s="76"/>
      <c r="AW2645" s="76"/>
      <c r="AX2645" s="76"/>
      <c r="AY2645" s="76"/>
      <c r="AZ2645" s="76"/>
      <c r="BA2645" s="76"/>
      <c r="BB2645" s="76"/>
    </row>
    <row r="2646" spans="5:54" x14ac:dyDescent="0.35">
      <c r="E2646" s="83"/>
      <c r="F2646" s="83"/>
      <c r="G2646" s="76"/>
      <c r="H2646" s="76"/>
      <c r="I2646" s="76"/>
      <c r="J2646" s="76"/>
      <c r="K2646" s="76"/>
      <c r="L2646" s="76"/>
      <c r="M2646" s="76"/>
      <c r="N2646" s="76"/>
      <c r="O2646" s="76"/>
      <c r="P2646" s="76"/>
      <c r="Q2646" s="76"/>
      <c r="R2646" s="76"/>
      <c r="S2646" s="76"/>
      <c r="T2646" s="76"/>
      <c r="U2646" s="76"/>
      <c r="V2646" s="76"/>
      <c r="W2646" s="76"/>
      <c r="X2646" s="76"/>
      <c r="Y2646" s="76"/>
      <c r="Z2646" s="76"/>
      <c r="AA2646" s="76"/>
      <c r="AB2646" s="76"/>
      <c r="AC2646" s="76"/>
      <c r="AD2646" s="76"/>
      <c r="AE2646" s="76"/>
      <c r="AF2646" s="76"/>
      <c r="AG2646" s="76"/>
      <c r="AH2646" s="76"/>
      <c r="AI2646" s="76"/>
      <c r="AJ2646" s="76"/>
      <c r="AK2646" s="76"/>
      <c r="AL2646" s="76"/>
      <c r="AM2646" s="76"/>
      <c r="AN2646" s="76"/>
      <c r="AO2646" s="76"/>
      <c r="AP2646" s="76"/>
      <c r="AQ2646" s="76"/>
      <c r="AR2646" s="76"/>
      <c r="AS2646" s="76"/>
      <c r="AT2646" s="76"/>
      <c r="AU2646" s="76"/>
      <c r="AV2646" s="76"/>
      <c r="AW2646" s="76"/>
      <c r="AX2646" s="76"/>
      <c r="AY2646" s="76"/>
      <c r="AZ2646" s="76"/>
      <c r="BA2646" s="76"/>
      <c r="BB2646" s="76"/>
    </row>
    <row r="2647" spans="5:54" x14ac:dyDescent="0.35">
      <c r="E2647" s="83"/>
      <c r="F2647" s="83"/>
      <c r="G2647" s="76"/>
      <c r="H2647" s="76"/>
      <c r="I2647" s="76"/>
      <c r="J2647" s="76"/>
      <c r="K2647" s="76"/>
      <c r="L2647" s="76"/>
      <c r="M2647" s="76"/>
      <c r="N2647" s="76"/>
      <c r="O2647" s="76"/>
      <c r="P2647" s="76"/>
      <c r="Q2647" s="76"/>
      <c r="R2647" s="76"/>
      <c r="S2647" s="76"/>
      <c r="T2647" s="76"/>
      <c r="U2647" s="76"/>
      <c r="V2647" s="76"/>
      <c r="W2647" s="76"/>
      <c r="X2647" s="76"/>
      <c r="Y2647" s="76"/>
      <c r="Z2647" s="76"/>
      <c r="AA2647" s="76"/>
      <c r="AB2647" s="76"/>
      <c r="AC2647" s="76"/>
      <c r="AD2647" s="76"/>
      <c r="AE2647" s="76"/>
      <c r="AF2647" s="76"/>
      <c r="AG2647" s="76"/>
      <c r="AH2647" s="76"/>
      <c r="AI2647" s="76"/>
      <c r="AJ2647" s="76"/>
      <c r="AK2647" s="76"/>
      <c r="AL2647" s="76"/>
      <c r="AM2647" s="76"/>
      <c r="AN2647" s="76"/>
      <c r="AO2647" s="76"/>
      <c r="AP2647" s="76"/>
      <c r="AQ2647" s="76"/>
      <c r="AR2647" s="76"/>
      <c r="AS2647" s="76"/>
      <c r="AT2647" s="76"/>
      <c r="AU2647" s="76"/>
      <c r="AV2647" s="76"/>
      <c r="AW2647" s="76"/>
      <c r="AX2647" s="76"/>
      <c r="AY2647" s="76"/>
      <c r="AZ2647" s="76"/>
      <c r="BA2647" s="76"/>
      <c r="BB2647" s="76"/>
    </row>
    <row r="2648" spans="5:54" x14ac:dyDescent="0.35">
      <c r="E2648" s="83"/>
      <c r="F2648" s="83"/>
      <c r="G2648" s="76"/>
      <c r="H2648" s="76"/>
      <c r="I2648" s="76"/>
      <c r="J2648" s="76"/>
      <c r="K2648" s="76"/>
      <c r="L2648" s="76"/>
      <c r="M2648" s="76"/>
      <c r="N2648" s="76"/>
      <c r="O2648" s="76"/>
      <c r="P2648" s="76"/>
      <c r="Q2648" s="76"/>
      <c r="R2648" s="76"/>
      <c r="S2648" s="76"/>
      <c r="T2648" s="76"/>
      <c r="U2648" s="76"/>
      <c r="V2648" s="76"/>
      <c r="W2648" s="76"/>
      <c r="X2648" s="76"/>
      <c r="Y2648" s="76"/>
      <c r="Z2648" s="76"/>
      <c r="AA2648" s="76"/>
      <c r="AB2648" s="76"/>
      <c r="AC2648" s="76"/>
      <c r="AD2648" s="76"/>
      <c r="AE2648" s="76"/>
      <c r="AF2648" s="76"/>
      <c r="AG2648" s="76"/>
      <c r="AH2648" s="76"/>
      <c r="AI2648" s="76"/>
      <c r="AJ2648" s="76"/>
      <c r="AK2648" s="76"/>
      <c r="AL2648" s="76"/>
      <c r="AM2648" s="76"/>
      <c r="AN2648" s="76"/>
      <c r="AO2648" s="76"/>
      <c r="AP2648" s="76"/>
      <c r="AQ2648" s="76"/>
      <c r="AR2648" s="76"/>
      <c r="AS2648" s="76"/>
      <c r="AT2648" s="76"/>
      <c r="AU2648" s="76"/>
      <c r="AV2648" s="76"/>
      <c r="AW2648" s="76"/>
      <c r="AX2648" s="76"/>
      <c r="AY2648" s="76"/>
      <c r="AZ2648" s="76"/>
      <c r="BA2648" s="76"/>
      <c r="BB2648" s="76"/>
    </row>
    <row r="2649" spans="5:54" x14ac:dyDescent="0.35">
      <c r="E2649" s="83"/>
      <c r="F2649" s="83"/>
      <c r="G2649" s="76"/>
      <c r="H2649" s="76"/>
      <c r="I2649" s="76"/>
      <c r="J2649" s="76"/>
      <c r="K2649" s="76"/>
      <c r="L2649" s="76"/>
      <c r="M2649" s="76"/>
      <c r="N2649" s="76"/>
      <c r="O2649" s="76"/>
      <c r="P2649" s="76"/>
      <c r="Q2649" s="76"/>
      <c r="R2649" s="76"/>
      <c r="S2649" s="76"/>
      <c r="T2649" s="76"/>
      <c r="U2649" s="76"/>
      <c r="V2649" s="76"/>
      <c r="W2649" s="76"/>
      <c r="X2649" s="76"/>
      <c r="Y2649" s="76"/>
      <c r="Z2649" s="76"/>
      <c r="AA2649" s="76"/>
      <c r="AB2649" s="76"/>
      <c r="AC2649" s="76"/>
      <c r="AD2649" s="76"/>
      <c r="AE2649" s="76"/>
      <c r="AF2649" s="76"/>
      <c r="AG2649" s="76"/>
      <c r="AH2649" s="76"/>
      <c r="AI2649" s="76"/>
      <c r="AJ2649" s="76"/>
      <c r="AK2649" s="76"/>
      <c r="AL2649" s="76"/>
      <c r="AM2649" s="76"/>
      <c r="AN2649" s="76"/>
      <c r="AO2649" s="76"/>
      <c r="AP2649" s="76"/>
      <c r="AQ2649" s="76"/>
      <c r="AR2649" s="76"/>
      <c r="AS2649" s="76"/>
      <c r="AT2649" s="76"/>
      <c r="AU2649" s="76"/>
      <c r="AV2649" s="76"/>
      <c r="AW2649" s="76"/>
      <c r="AX2649" s="76"/>
      <c r="AY2649" s="76"/>
      <c r="AZ2649" s="76"/>
      <c r="BA2649" s="76"/>
      <c r="BB2649" s="76"/>
    </row>
    <row r="2650" spans="5:54" x14ac:dyDescent="0.35">
      <c r="E2650" s="83"/>
      <c r="F2650" s="83"/>
      <c r="G2650" s="76"/>
      <c r="H2650" s="76"/>
      <c r="I2650" s="76"/>
      <c r="J2650" s="76"/>
      <c r="K2650" s="76"/>
      <c r="L2650" s="76"/>
      <c r="M2650" s="76"/>
      <c r="N2650" s="76"/>
      <c r="O2650" s="76"/>
      <c r="P2650" s="76"/>
      <c r="Q2650" s="76"/>
      <c r="R2650" s="76"/>
      <c r="S2650" s="76"/>
      <c r="T2650" s="76"/>
      <c r="U2650" s="76"/>
      <c r="V2650" s="76"/>
      <c r="W2650" s="76"/>
      <c r="X2650" s="76"/>
      <c r="Y2650" s="76"/>
      <c r="Z2650" s="76"/>
      <c r="AA2650" s="76"/>
      <c r="AB2650" s="76"/>
      <c r="AC2650" s="76"/>
      <c r="AD2650" s="76"/>
      <c r="AE2650" s="76"/>
      <c r="AF2650" s="76"/>
      <c r="AG2650" s="76"/>
      <c r="AH2650" s="76"/>
      <c r="AI2650" s="76"/>
      <c r="AJ2650" s="76"/>
      <c r="AK2650" s="76"/>
      <c r="AL2650" s="76"/>
      <c r="AM2650" s="76"/>
      <c r="AN2650" s="76"/>
      <c r="AO2650" s="76"/>
      <c r="AP2650" s="76"/>
      <c r="AQ2650" s="76"/>
      <c r="AR2650" s="76"/>
      <c r="AS2650" s="76"/>
      <c r="AT2650" s="76"/>
      <c r="AU2650" s="76"/>
      <c r="AV2650" s="76"/>
      <c r="AW2650" s="76"/>
      <c r="AX2650" s="76"/>
      <c r="AY2650" s="76"/>
      <c r="AZ2650" s="76"/>
      <c r="BA2650" s="76"/>
      <c r="BB2650" s="76"/>
    </row>
    <row r="2651" spans="5:54" x14ac:dyDescent="0.35">
      <c r="E2651" s="83"/>
      <c r="F2651" s="83"/>
      <c r="G2651" s="76"/>
      <c r="H2651" s="76"/>
      <c r="I2651" s="76"/>
      <c r="J2651" s="76"/>
      <c r="K2651" s="76"/>
      <c r="L2651" s="76"/>
      <c r="M2651" s="76"/>
      <c r="N2651" s="76"/>
      <c r="O2651" s="76"/>
      <c r="P2651" s="76"/>
      <c r="Q2651" s="76"/>
      <c r="R2651" s="76"/>
      <c r="S2651" s="76"/>
      <c r="T2651" s="76"/>
      <c r="U2651" s="76"/>
      <c r="V2651" s="76"/>
      <c r="W2651" s="76"/>
      <c r="X2651" s="76"/>
      <c r="Y2651" s="76"/>
      <c r="Z2651" s="76"/>
      <c r="AA2651" s="76"/>
      <c r="AB2651" s="76"/>
      <c r="AC2651" s="76"/>
      <c r="AD2651" s="76"/>
      <c r="AE2651" s="76"/>
      <c r="AF2651" s="76"/>
      <c r="AG2651" s="76"/>
      <c r="AH2651" s="76"/>
      <c r="AI2651" s="76"/>
      <c r="AJ2651" s="76"/>
      <c r="AK2651" s="76"/>
      <c r="AL2651" s="76"/>
      <c r="AM2651" s="76"/>
      <c r="AN2651" s="76"/>
      <c r="AO2651" s="76"/>
      <c r="AP2651" s="76"/>
      <c r="AQ2651" s="76"/>
      <c r="AR2651" s="76"/>
      <c r="AS2651" s="76"/>
      <c r="AT2651" s="76"/>
      <c r="AU2651" s="76"/>
      <c r="AV2651" s="76"/>
      <c r="AW2651" s="76"/>
      <c r="AX2651" s="76"/>
      <c r="AY2651" s="76"/>
      <c r="AZ2651" s="76"/>
      <c r="BA2651" s="76"/>
      <c r="BB2651" s="76"/>
    </row>
    <row r="2652" spans="5:54" x14ac:dyDescent="0.35">
      <c r="E2652" s="83"/>
      <c r="F2652" s="83"/>
      <c r="G2652" s="76"/>
      <c r="H2652" s="76"/>
      <c r="I2652" s="76"/>
      <c r="J2652" s="76"/>
      <c r="K2652" s="76"/>
      <c r="L2652" s="76"/>
      <c r="M2652" s="76"/>
      <c r="N2652" s="76"/>
      <c r="O2652" s="76"/>
      <c r="P2652" s="76"/>
      <c r="Q2652" s="76"/>
      <c r="R2652" s="76"/>
      <c r="S2652" s="76"/>
      <c r="T2652" s="76"/>
      <c r="U2652" s="76"/>
      <c r="V2652" s="76"/>
      <c r="W2652" s="76"/>
      <c r="X2652" s="76"/>
      <c r="Y2652" s="76"/>
      <c r="Z2652" s="76"/>
      <c r="AA2652" s="76"/>
      <c r="AB2652" s="76"/>
      <c r="AC2652" s="76"/>
      <c r="AD2652" s="76"/>
      <c r="AE2652" s="76"/>
      <c r="AF2652" s="76"/>
      <c r="AG2652" s="76"/>
      <c r="AH2652" s="76"/>
      <c r="AI2652" s="76"/>
      <c r="AJ2652" s="76"/>
      <c r="AK2652" s="76"/>
      <c r="AL2652" s="76"/>
      <c r="AM2652" s="76"/>
      <c r="AN2652" s="76"/>
      <c r="AO2652" s="76"/>
      <c r="AP2652" s="76"/>
      <c r="AQ2652" s="76"/>
      <c r="AR2652" s="76"/>
      <c r="AS2652" s="76"/>
      <c r="AT2652" s="76"/>
      <c r="AU2652" s="76"/>
      <c r="AV2652" s="76"/>
      <c r="AW2652" s="76"/>
      <c r="AX2652" s="76"/>
      <c r="AY2652" s="76"/>
      <c r="AZ2652" s="76"/>
      <c r="BA2652" s="76"/>
      <c r="BB2652" s="76"/>
    </row>
    <row r="2653" spans="5:54" x14ac:dyDescent="0.35">
      <c r="E2653" s="83"/>
      <c r="F2653" s="83"/>
      <c r="G2653" s="76"/>
      <c r="H2653" s="76"/>
      <c r="I2653" s="76"/>
      <c r="J2653" s="76"/>
      <c r="K2653" s="76"/>
      <c r="L2653" s="76"/>
      <c r="M2653" s="76"/>
      <c r="N2653" s="76"/>
      <c r="O2653" s="76"/>
      <c r="P2653" s="76"/>
      <c r="Q2653" s="76"/>
      <c r="R2653" s="76"/>
      <c r="S2653" s="76"/>
      <c r="T2653" s="76"/>
      <c r="U2653" s="76"/>
      <c r="V2653" s="76"/>
      <c r="W2653" s="76"/>
      <c r="X2653" s="76"/>
      <c r="Y2653" s="76"/>
      <c r="Z2653" s="76"/>
      <c r="AA2653" s="76"/>
      <c r="AB2653" s="76"/>
      <c r="AC2653" s="76"/>
      <c r="AD2653" s="76"/>
      <c r="AE2653" s="76"/>
      <c r="AF2653" s="76"/>
      <c r="AG2653" s="76"/>
      <c r="AH2653" s="76"/>
      <c r="AI2653" s="76"/>
      <c r="AJ2653" s="76"/>
      <c r="AK2653" s="76"/>
      <c r="AL2653" s="76"/>
      <c r="AM2653" s="76"/>
      <c r="AN2653" s="76"/>
      <c r="AO2653" s="76"/>
      <c r="AP2653" s="76"/>
      <c r="AQ2653" s="76"/>
      <c r="AR2653" s="76"/>
      <c r="AS2653" s="76"/>
      <c r="AT2653" s="76"/>
      <c r="AU2653" s="76"/>
      <c r="AV2653" s="76"/>
      <c r="AW2653" s="76"/>
      <c r="AX2653" s="76"/>
      <c r="AY2653" s="76"/>
      <c r="AZ2653" s="76"/>
      <c r="BA2653" s="76"/>
      <c r="BB2653" s="76"/>
    </row>
    <row r="2654" spans="5:54" x14ac:dyDescent="0.35">
      <c r="E2654" s="83"/>
      <c r="F2654" s="83"/>
      <c r="G2654" s="76"/>
      <c r="H2654" s="76"/>
      <c r="I2654" s="76"/>
      <c r="J2654" s="76"/>
      <c r="K2654" s="76"/>
      <c r="L2654" s="76"/>
      <c r="M2654" s="76"/>
      <c r="N2654" s="76"/>
      <c r="O2654" s="76"/>
      <c r="P2654" s="76"/>
      <c r="Q2654" s="76"/>
      <c r="R2654" s="76"/>
      <c r="S2654" s="76"/>
      <c r="T2654" s="76"/>
      <c r="U2654" s="76"/>
      <c r="V2654" s="76"/>
      <c r="W2654" s="76"/>
      <c r="X2654" s="76"/>
      <c r="Y2654" s="76"/>
      <c r="Z2654" s="76"/>
      <c r="AA2654" s="76"/>
      <c r="AB2654" s="76"/>
      <c r="AC2654" s="76"/>
      <c r="AD2654" s="76"/>
      <c r="AE2654" s="76"/>
      <c r="AF2654" s="76"/>
      <c r="AG2654" s="76"/>
      <c r="AH2654" s="76"/>
      <c r="AI2654" s="76"/>
      <c r="AJ2654" s="76"/>
      <c r="AK2654" s="76"/>
      <c r="AL2654" s="76"/>
      <c r="AM2654" s="76"/>
      <c r="AN2654" s="76"/>
      <c r="AO2654" s="76"/>
      <c r="AP2654" s="76"/>
      <c r="AQ2654" s="76"/>
      <c r="AR2654" s="76"/>
      <c r="AS2654" s="76"/>
      <c r="AT2654" s="76"/>
      <c r="AU2654" s="76"/>
      <c r="AV2654" s="76"/>
      <c r="AW2654" s="76"/>
      <c r="AX2654" s="76"/>
      <c r="AY2654" s="76"/>
      <c r="AZ2654" s="76"/>
      <c r="BA2654" s="76"/>
      <c r="BB2654" s="76"/>
    </row>
    <row r="2655" spans="5:54" x14ac:dyDescent="0.35">
      <c r="E2655" s="83"/>
      <c r="F2655" s="83"/>
      <c r="G2655" s="76"/>
      <c r="H2655" s="76"/>
      <c r="I2655" s="76"/>
      <c r="J2655" s="76"/>
      <c r="K2655" s="76"/>
      <c r="L2655" s="76"/>
      <c r="M2655" s="76"/>
      <c r="N2655" s="76"/>
      <c r="O2655" s="76"/>
      <c r="P2655" s="76"/>
      <c r="Q2655" s="76"/>
      <c r="R2655" s="76"/>
      <c r="S2655" s="76"/>
      <c r="T2655" s="76"/>
      <c r="U2655" s="76"/>
      <c r="V2655" s="76"/>
      <c r="W2655" s="76"/>
      <c r="X2655" s="76"/>
      <c r="Y2655" s="76"/>
      <c r="Z2655" s="76"/>
      <c r="AA2655" s="76"/>
      <c r="AB2655" s="76"/>
      <c r="AC2655" s="76"/>
      <c r="AD2655" s="76"/>
      <c r="AE2655" s="76"/>
      <c r="AF2655" s="76"/>
      <c r="AG2655" s="76"/>
      <c r="AH2655" s="76"/>
      <c r="AI2655" s="76"/>
      <c r="AJ2655" s="76"/>
      <c r="AK2655" s="76"/>
      <c r="AL2655" s="76"/>
      <c r="AM2655" s="76"/>
      <c r="AN2655" s="76"/>
      <c r="AO2655" s="76"/>
      <c r="AP2655" s="76"/>
      <c r="AQ2655" s="76"/>
      <c r="AR2655" s="76"/>
      <c r="AS2655" s="76"/>
      <c r="AT2655" s="76"/>
      <c r="AU2655" s="76"/>
      <c r="AV2655" s="76"/>
      <c r="AW2655" s="76"/>
      <c r="AX2655" s="76"/>
      <c r="AY2655" s="76"/>
      <c r="AZ2655" s="76"/>
      <c r="BA2655" s="76"/>
      <c r="BB2655" s="76"/>
    </row>
    <row r="2656" spans="5:54" x14ac:dyDescent="0.35">
      <c r="E2656" s="83"/>
      <c r="F2656" s="83"/>
      <c r="G2656" s="76"/>
      <c r="H2656" s="76"/>
      <c r="I2656" s="76"/>
      <c r="J2656" s="76"/>
      <c r="K2656" s="76"/>
      <c r="L2656" s="76"/>
      <c r="M2656" s="76"/>
      <c r="N2656" s="76"/>
      <c r="O2656" s="76"/>
      <c r="P2656" s="76"/>
      <c r="Q2656" s="76"/>
      <c r="R2656" s="76"/>
      <c r="S2656" s="76"/>
      <c r="T2656" s="76"/>
      <c r="U2656" s="76"/>
      <c r="V2656" s="76"/>
      <c r="W2656" s="76"/>
      <c r="X2656" s="76"/>
      <c r="Y2656" s="76"/>
      <c r="Z2656" s="76"/>
      <c r="AA2656" s="76"/>
      <c r="AB2656" s="76"/>
      <c r="AC2656" s="76"/>
      <c r="AD2656" s="76"/>
      <c r="AE2656" s="76"/>
      <c r="AF2656" s="76"/>
      <c r="AG2656" s="76"/>
      <c r="AH2656" s="76"/>
      <c r="AI2656" s="76"/>
      <c r="AJ2656" s="76"/>
      <c r="AK2656" s="76"/>
      <c r="AL2656" s="76"/>
      <c r="AM2656" s="76"/>
      <c r="AN2656" s="76"/>
      <c r="AO2656" s="76"/>
      <c r="AP2656" s="76"/>
      <c r="AQ2656" s="76"/>
      <c r="AR2656" s="76"/>
      <c r="AS2656" s="76"/>
      <c r="AT2656" s="76"/>
      <c r="AU2656" s="76"/>
      <c r="AV2656" s="76"/>
      <c r="AW2656" s="76"/>
      <c r="AX2656" s="76"/>
      <c r="AY2656" s="76"/>
      <c r="AZ2656" s="76"/>
      <c r="BA2656" s="76"/>
      <c r="BB2656" s="76"/>
    </row>
    <row r="2657" spans="5:54" x14ac:dyDescent="0.35">
      <c r="E2657" s="83"/>
      <c r="F2657" s="83"/>
      <c r="G2657" s="76"/>
      <c r="H2657" s="76"/>
      <c r="I2657" s="76"/>
      <c r="J2657" s="76"/>
      <c r="K2657" s="76"/>
      <c r="L2657" s="76"/>
      <c r="M2657" s="76"/>
      <c r="N2657" s="76"/>
      <c r="O2657" s="76"/>
      <c r="P2657" s="76"/>
      <c r="Q2657" s="76"/>
      <c r="R2657" s="76"/>
      <c r="S2657" s="76"/>
      <c r="T2657" s="76"/>
      <c r="U2657" s="76"/>
      <c r="V2657" s="76"/>
      <c r="W2657" s="76"/>
      <c r="X2657" s="76"/>
      <c r="Y2657" s="76"/>
      <c r="Z2657" s="76"/>
      <c r="AA2657" s="76"/>
      <c r="AB2657" s="76"/>
      <c r="AC2657" s="76"/>
      <c r="AD2657" s="76"/>
      <c r="AE2657" s="76"/>
      <c r="AF2657" s="76"/>
      <c r="AG2657" s="76"/>
      <c r="AH2657" s="76"/>
      <c r="AI2657" s="76"/>
      <c r="AJ2657" s="76"/>
      <c r="AK2657" s="76"/>
      <c r="AL2657" s="76"/>
      <c r="AM2657" s="76"/>
      <c r="AN2657" s="76"/>
      <c r="AO2657" s="76"/>
      <c r="AP2657" s="76"/>
      <c r="AQ2657" s="76"/>
      <c r="AR2657" s="76"/>
      <c r="AS2657" s="76"/>
      <c r="AT2657" s="76"/>
      <c r="AU2657" s="76"/>
      <c r="AV2657" s="76"/>
      <c r="AW2657" s="76"/>
      <c r="AX2657" s="76"/>
      <c r="AY2657" s="76"/>
      <c r="AZ2657" s="76"/>
      <c r="BA2657" s="76"/>
      <c r="BB2657" s="76"/>
    </row>
    <row r="2658" spans="5:54" x14ac:dyDescent="0.35">
      <c r="E2658" s="83"/>
      <c r="F2658" s="83"/>
      <c r="G2658" s="76"/>
      <c r="H2658" s="76"/>
      <c r="I2658" s="76"/>
      <c r="J2658" s="76"/>
      <c r="K2658" s="76"/>
      <c r="L2658" s="76"/>
      <c r="M2658" s="76"/>
      <c r="N2658" s="76"/>
      <c r="O2658" s="76"/>
      <c r="P2658" s="76"/>
      <c r="Q2658" s="76"/>
      <c r="R2658" s="76"/>
      <c r="S2658" s="76"/>
      <c r="T2658" s="76"/>
      <c r="U2658" s="76"/>
      <c r="V2658" s="76"/>
      <c r="W2658" s="76"/>
      <c r="X2658" s="76"/>
      <c r="Y2658" s="76"/>
      <c r="Z2658" s="76"/>
      <c r="AA2658" s="76"/>
      <c r="AB2658" s="76"/>
      <c r="AC2658" s="76"/>
      <c r="AD2658" s="76"/>
      <c r="AE2658" s="76"/>
      <c r="AF2658" s="76"/>
      <c r="AG2658" s="76"/>
      <c r="AH2658" s="76"/>
      <c r="AI2658" s="76"/>
      <c r="AJ2658" s="76"/>
      <c r="AK2658" s="76"/>
      <c r="AL2658" s="76"/>
      <c r="AM2658" s="76"/>
      <c r="AN2658" s="76"/>
      <c r="AO2658" s="76"/>
      <c r="AP2658" s="76"/>
      <c r="AQ2658" s="76"/>
      <c r="AR2658" s="76"/>
      <c r="AS2658" s="76"/>
      <c r="AT2658" s="76"/>
      <c r="AU2658" s="76"/>
      <c r="AV2658" s="76"/>
      <c r="AW2658" s="76"/>
      <c r="AX2658" s="76"/>
      <c r="AY2658" s="76"/>
      <c r="AZ2658" s="76"/>
      <c r="BA2658" s="76"/>
      <c r="BB2658" s="76"/>
    </row>
    <row r="2659" spans="5:54" x14ac:dyDescent="0.35">
      <c r="E2659" s="83"/>
      <c r="F2659" s="83"/>
      <c r="G2659" s="76"/>
      <c r="H2659" s="76"/>
      <c r="I2659" s="76"/>
      <c r="J2659" s="76"/>
      <c r="K2659" s="76"/>
      <c r="L2659" s="76"/>
      <c r="M2659" s="76"/>
      <c r="N2659" s="76"/>
      <c r="O2659" s="76"/>
      <c r="P2659" s="76"/>
      <c r="Q2659" s="76"/>
      <c r="R2659" s="76"/>
      <c r="S2659" s="76"/>
      <c r="T2659" s="76"/>
      <c r="U2659" s="76"/>
      <c r="V2659" s="76"/>
      <c r="W2659" s="76"/>
      <c r="X2659" s="76"/>
      <c r="Y2659" s="76"/>
      <c r="Z2659" s="76"/>
      <c r="AA2659" s="76"/>
      <c r="AB2659" s="76"/>
      <c r="AC2659" s="76"/>
      <c r="AD2659" s="76"/>
      <c r="AE2659" s="76"/>
      <c r="AF2659" s="76"/>
      <c r="AG2659" s="76"/>
      <c r="AH2659" s="76"/>
      <c r="AI2659" s="76"/>
      <c r="AJ2659" s="76"/>
      <c r="AK2659" s="76"/>
      <c r="AL2659" s="76"/>
      <c r="AM2659" s="76"/>
      <c r="AN2659" s="76"/>
      <c r="AO2659" s="76"/>
      <c r="AP2659" s="76"/>
      <c r="AQ2659" s="76"/>
      <c r="AR2659" s="76"/>
      <c r="AS2659" s="76"/>
      <c r="AT2659" s="76"/>
      <c r="AU2659" s="76"/>
      <c r="AV2659" s="76"/>
      <c r="AW2659" s="76"/>
      <c r="AX2659" s="76"/>
      <c r="AY2659" s="76"/>
      <c r="AZ2659" s="76"/>
      <c r="BA2659" s="76"/>
      <c r="BB2659" s="76"/>
    </row>
    <row r="2660" spans="5:54" x14ac:dyDescent="0.35">
      <c r="E2660" s="83"/>
      <c r="F2660" s="83"/>
      <c r="G2660" s="76"/>
      <c r="H2660" s="76"/>
      <c r="I2660" s="76"/>
      <c r="J2660" s="76"/>
      <c r="K2660" s="76"/>
      <c r="L2660" s="76"/>
      <c r="M2660" s="76"/>
      <c r="N2660" s="76"/>
      <c r="O2660" s="76"/>
      <c r="P2660" s="76"/>
      <c r="Q2660" s="76"/>
      <c r="R2660" s="76"/>
      <c r="S2660" s="76"/>
      <c r="T2660" s="76"/>
      <c r="U2660" s="76"/>
      <c r="V2660" s="76"/>
      <c r="W2660" s="76"/>
      <c r="X2660" s="76"/>
      <c r="Y2660" s="76"/>
      <c r="Z2660" s="76"/>
      <c r="AA2660" s="76"/>
      <c r="AB2660" s="76"/>
      <c r="AC2660" s="76"/>
      <c r="AD2660" s="76"/>
      <c r="AE2660" s="76"/>
      <c r="AF2660" s="76"/>
      <c r="AG2660" s="76"/>
      <c r="AH2660" s="76"/>
      <c r="AI2660" s="76"/>
      <c r="AJ2660" s="76"/>
      <c r="AK2660" s="76"/>
      <c r="AL2660" s="76"/>
      <c r="AM2660" s="76"/>
      <c r="AN2660" s="76"/>
      <c r="AO2660" s="76"/>
      <c r="AP2660" s="76"/>
      <c r="AQ2660" s="76"/>
      <c r="AR2660" s="76"/>
      <c r="AS2660" s="76"/>
      <c r="AT2660" s="76"/>
      <c r="AU2660" s="76"/>
      <c r="AV2660" s="76"/>
      <c r="AW2660" s="76"/>
      <c r="AX2660" s="76"/>
      <c r="AY2660" s="76"/>
      <c r="AZ2660" s="76"/>
      <c r="BA2660" s="76"/>
      <c r="BB2660" s="76"/>
    </row>
    <row r="2661" spans="5:54" x14ac:dyDescent="0.35">
      <c r="E2661" s="83"/>
      <c r="F2661" s="83"/>
      <c r="G2661" s="76"/>
      <c r="H2661" s="76"/>
      <c r="I2661" s="76"/>
      <c r="J2661" s="76"/>
      <c r="K2661" s="76"/>
      <c r="L2661" s="76"/>
      <c r="M2661" s="76"/>
      <c r="N2661" s="76"/>
      <c r="O2661" s="76"/>
      <c r="P2661" s="76"/>
      <c r="Q2661" s="76"/>
      <c r="R2661" s="76"/>
      <c r="S2661" s="76"/>
      <c r="T2661" s="76"/>
      <c r="U2661" s="76"/>
      <c r="V2661" s="76"/>
      <c r="W2661" s="76"/>
      <c r="X2661" s="76"/>
      <c r="Y2661" s="76"/>
      <c r="Z2661" s="76"/>
      <c r="AA2661" s="76"/>
      <c r="AB2661" s="76"/>
      <c r="AC2661" s="76"/>
      <c r="AD2661" s="76"/>
      <c r="AE2661" s="76"/>
      <c r="AF2661" s="76"/>
      <c r="AG2661" s="76"/>
      <c r="AH2661" s="76"/>
      <c r="AI2661" s="76"/>
      <c r="AJ2661" s="76"/>
      <c r="AK2661" s="76"/>
      <c r="AL2661" s="76"/>
      <c r="AM2661" s="76"/>
      <c r="AN2661" s="76"/>
      <c r="AO2661" s="76"/>
      <c r="AP2661" s="76"/>
      <c r="AQ2661" s="76"/>
      <c r="AR2661" s="76"/>
      <c r="AS2661" s="76"/>
      <c r="AT2661" s="76"/>
      <c r="AU2661" s="76"/>
      <c r="AV2661" s="76"/>
      <c r="AW2661" s="76"/>
      <c r="AX2661" s="76"/>
      <c r="AY2661" s="76"/>
      <c r="AZ2661" s="76"/>
      <c r="BA2661" s="76"/>
      <c r="BB2661" s="76"/>
    </row>
    <row r="2662" spans="5:54" x14ac:dyDescent="0.35">
      <c r="E2662" s="83"/>
      <c r="F2662" s="83"/>
      <c r="G2662" s="76"/>
      <c r="H2662" s="76"/>
      <c r="I2662" s="76"/>
      <c r="J2662" s="76"/>
      <c r="K2662" s="76"/>
      <c r="L2662" s="76"/>
      <c r="M2662" s="76"/>
      <c r="N2662" s="76"/>
      <c r="O2662" s="76"/>
      <c r="P2662" s="76"/>
      <c r="Q2662" s="76"/>
      <c r="R2662" s="76"/>
      <c r="S2662" s="76"/>
      <c r="T2662" s="76"/>
      <c r="U2662" s="76"/>
      <c r="V2662" s="76"/>
      <c r="W2662" s="76"/>
      <c r="X2662" s="76"/>
      <c r="Y2662" s="76"/>
      <c r="Z2662" s="76"/>
      <c r="AA2662" s="76"/>
      <c r="AB2662" s="76"/>
      <c r="AC2662" s="76"/>
      <c r="AD2662" s="76"/>
      <c r="AE2662" s="76"/>
      <c r="AF2662" s="76"/>
      <c r="AG2662" s="76"/>
      <c r="AH2662" s="76"/>
      <c r="AI2662" s="76"/>
      <c r="AJ2662" s="76"/>
      <c r="AK2662" s="76"/>
      <c r="AL2662" s="76"/>
      <c r="AM2662" s="76"/>
      <c r="AN2662" s="76"/>
      <c r="AO2662" s="76"/>
      <c r="AP2662" s="76"/>
      <c r="AQ2662" s="76"/>
      <c r="AR2662" s="76"/>
      <c r="AS2662" s="76"/>
      <c r="AT2662" s="76"/>
      <c r="AU2662" s="76"/>
      <c r="AV2662" s="76"/>
      <c r="AW2662" s="76"/>
      <c r="AX2662" s="76"/>
      <c r="AY2662" s="76"/>
      <c r="AZ2662" s="76"/>
      <c r="BA2662" s="76"/>
      <c r="BB2662" s="76"/>
    </row>
    <row r="2663" spans="5:54" x14ac:dyDescent="0.35">
      <c r="E2663" s="83"/>
      <c r="F2663" s="83"/>
      <c r="G2663" s="76"/>
      <c r="H2663" s="76"/>
      <c r="I2663" s="76"/>
      <c r="J2663" s="76"/>
      <c r="K2663" s="76"/>
      <c r="L2663" s="76"/>
      <c r="M2663" s="76"/>
      <c r="N2663" s="76"/>
      <c r="O2663" s="76"/>
      <c r="P2663" s="76"/>
      <c r="Q2663" s="76"/>
      <c r="R2663" s="76"/>
      <c r="S2663" s="76"/>
      <c r="T2663" s="76"/>
      <c r="U2663" s="76"/>
      <c r="V2663" s="76"/>
      <c r="W2663" s="76"/>
      <c r="X2663" s="76"/>
      <c r="Y2663" s="76"/>
      <c r="Z2663" s="76"/>
      <c r="AA2663" s="76"/>
      <c r="AB2663" s="76"/>
      <c r="AC2663" s="76"/>
      <c r="AD2663" s="76"/>
      <c r="AE2663" s="76"/>
      <c r="AF2663" s="76"/>
      <c r="AG2663" s="76"/>
      <c r="AH2663" s="76"/>
      <c r="AI2663" s="76"/>
      <c r="AJ2663" s="76"/>
      <c r="AK2663" s="76"/>
      <c r="AL2663" s="76"/>
      <c r="AM2663" s="76"/>
      <c r="AN2663" s="76"/>
      <c r="AO2663" s="76"/>
      <c r="AP2663" s="76"/>
      <c r="AQ2663" s="76"/>
      <c r="AR2663" s="76"/>
      <c r="AS2663" s="76"/>
      <c r="AT2663" s="76"/>
      <c r="AU2663" s="76"/>
      <c r="AV2663" s="76"/>
      <c r="AW2663" s="76"/>
      <c r="AX2663" s="76"/>
      <c r="AY2663" s="76"/>
      <c r="AZ2663" s="76"/>
      <c r="BA2663" s="76"/>
      <c r="BB2663" s="76"/>
    </row>
    <row r="2664" spans="5:54" x14ac:dyDescent="0.35">
      <c r="E2664" s="83"/>
      <c r="F2664" s="83"/>
      <c r="G2664" s="76"/>
      <c r="H2664" s="76"/>
      <c r="I2664" s="76"/>
      <c r="J2664" s="76"/>
      <c r="K2664" s="76"/>
      <c r="L2664" s="76"/>
      <c r="M2664" s="76"/>
      <c r="N2664" s="76"/>
      <c r="O2664" s="76"/>
      <c r="P2664" s="76"/>
      <c r="Q2664" s="76"/>
      <c r="R2664" s="76"/>
      <c r="S2664" s="76"/>
      <c r="T2664" s="76"/>
      <c r="U2664" s="76"/>
      <c r="V2664" s="76"/>
      <c r="W2664" s="76"/>
      <c r="X2664" s="76"/>
      <c r="Y2664" s="76"/>
      <c r="Z2664" s="76"/>
      <c r="AA2664" s="76"/>
      <c r="AB2664" s="76"/>
      <c r="AC2664" s="76"/>
      <c r="AD2664" s="76"/>
      <c r="AE2664" s="76"/>
      <c r="AF2664" s="76"/>
      <c r="AG2664" s="76"/>
      <c r="AH2664" s="76"/>
      <c r="AI2664" s="76"/>
      <c r="AJ2664" s="76"/>
      <c r="AK2664" s="76"/>
      <c r="AL2664" s="76"/>
      <c r="AM2664" s="76"/>
      <c r="AN2664" s="76"/>
      <c r="AO2664" s="76"/>
      <c r="AP2664" s="76"/>
      <c r="AQ2664" s="76"/>
      <c r="AR2664" s="76"/>
      <c r="AS2664" s="76"/>
      <c r="AT2664" s="76"/>
      <c r="AU2664" s="76"/>
      <c r="AV2664" s="76"/>
      <c r="AW2664" s="76"/>
      <c r="AX2664" s="76"/>
      <c r="AY2664" s="76"/>
      <c r="AZ2664" s="76"/>
      <c r="BA2664" s="76"/>
      <c r="BB2664" s="76"/>
    </row>
    <row r="2665" spans="5:54" x14ac:dyDescent="0.35">
      <c r="E2665" s="83"/>
      <c r="F2665" s="83"/>
      <c r="G2665" s="76"/>
      <c r="H2665" s="76"/>
      <c r="I2665" s="76"/>
      <c r="J2665" s="76"/>
      <c r="K2665" s="76"/>
      <c r="L2665" s="76"/>
      <c r="M2665" s="76"/>
      <c r="N2665" s="76"/>
      <c r="O2665" s="76"/>
      <c r="P2665" s="76"/>
      <c r="Q2665" s="76"/>
      <c r="R2665" s="76"/>
      <c r="S2665" s="76"/>
      <c r="T2665" s="76"/>
      <c r="U2665" s="76"/>
      <c r="V2665" s="76"/>
      <c r="W2665" s="76"/>
      <c r="X2665" s="76"/>
      <c r="Y2665" s="76"/>
      <c r="Z2665" s="76"/>
      <c r="AA2665" s="76"/>
      <c r="AB2665" s="76"/>
      <c r="AC2665" s="76"/>
      <c r="AD2665" s="76"/>
      <c r="AE2665" s="76"/>
      <c r="AF2665" s="76"/>
      <c r="AG2665" s="76"/>
      <c r="AH2665" s="76"/>
      <c r="AI2665" s="76"/>
      <c r="AJ2665" s="76"/>
      <c r="AK2665" s="76"/>
      <c r="AL2665" s="76"/>
      <c r="AM2665" s="76"/>
      <c r="AN2665" s="76"/>
      <c r="AO2665" s="76"/>
      <c r="AP2665" s="76"/>
      <c r="AQ2665" s="76"/>
      <c r="AR2665" s="76"/>
      <c r="AS2665" s="76"/>
      <c r="AT2665" s="76"/>
      <c r="AU2665" s="76"/>
      <c r="AV2665" s="76"/>
      <c r="AW2665" s="76"/>
      <c r="AX2665" s="76"/>
      <c r="AY2665" s="76"/>
      <c r="AZ2665" s="76"/>
      <c r="BA2665" s="76"/>
      <c r="BB2665" s="76"/>
    </row>
    <row r="2666" spans="5:54" x14ac:dyDescent="0.35">
      <c r="E2666" s="83"/>
      <c r="F2666" s="83"/>
      <c r="G2666" s="76"/>
      <c r="H2666" s="76"/>
      <c r="I2666" s="76"/>
      <c r="J2666" s="76"/>
      <c r="K2666" s="76"/>
      <c r="L2666" s="76"/>
      <c r="M2666" s="76"/>
      <c r="N2666" s="76"/>
      <c r="O2666" s="76"/>
      <c r="P2666" s="76"/>
      <c r="Q2666" s="76"/>
      <c r="R2666" s="76"/>
      <c r="S2666" s="76"/>
      <c r="T2666" s="76"/>
      <c r="U2666" s="76"/>
      <c r="V2666" s="76"/>
      <c r="W2666" s="76"/>
      <c r="X2666" s="76"/>
      <c r="Y2666" s="76"/>
      <c r="Z2666" s="76"/>
      <c r="AA2666" s="76"/>
      <c r="AB2666" s="76"/>
      <c r="AC2666" s="76"/>
      <c r="AD2666" s="76"/>
      <c r="AE2666" s="76"/>
      <c r="AF2666" s="76"/>
      <c r="AG2666" s="76"/>
      <c r="AH2666" s="76"/>
      <c r="AI2666" s="76"/>
      <c r="AJ2666" s="76"/>
      <c r="AK2666" s="76"/>
      <c r="AL2666" s="76"/>
      <c r="AM2666" s="76"/>
      <c r="AN2666" s="76"/>
      <c r="AO2666" s="76"/>
      <c r="AP2666" s="76"/>
      <c r="AQ2666" s="76"/>
      <c r="AR2666" s="76"/>
      <c r="AS2666" s="76"/>
      <c r="AT2666" s="76"/>
      <c r="AU2666" s="76"/>
      <c r="AV2666" s="76"/>
      <c r="AW2666" s="76"/>
      <c r="AX2666" s="76"/>
      <c r="AY2666" s="76"/>
      <c r="AZ2666" s="76"/>
      <c r="BA2666" s="76"/>
      <c r="BB2666" s="76"/>
    </row>
    <row r="2667" spans="5:54" x14ac:dyDescent="0.35">
      <c r="E2667" s="83"/>
      <c r="F2667" s="83"/>
      <c r="G2667" s="76"/>
      <c r="H2667" s="76"/>
      <c r="I2667" s="76"/>
      <c r="J2667" s="76"/>
      <c r="K2667" s="76"/>
      <c r="L2667" s="76"/>
      <c r="M2667" s="76"/>
      <c r="N2667" s="76"/>
      <c r="O2667" s="76"/>
      <c r="P2667" s="76"/>
      <c r="Q2667" s="76"/>
      <c r="R2667" s="76"/>
      <c r="S2667" s="76"/>
      <c r="T2667" s="76"/>
      <c r="U2667" s="76"/>
      <c r="V2667" s="76"/>
      <c r="W2667" s="76"/>
      <c r="X2667" s="76"/>
      <c r="Y2667" s="76"/>
      <c r="Z2667" s="76"/>
      <c r="AA2667" s="76"/>
      <c r="AB2667" s="76"/>
      <c r="AC2667" s="76"/>
      <c r="AD2667" s="76"/>
      <c r="AE2667" s="76"/>
      <c r="AF2667" s="76"/>
      <c r="AG2667" s="76"/>
      <c r="AH2667" s="76"/>
      <c r="AI2667" s="76"/>
      <c r="AJ2667" s="76"/>
      <c r="AK2667" s="76"/>
      <c r="AL2667" s="76"/>
      <c r="AM2667" s="76"/>
      <c r="AN2667" s="76"/>
      <c r="AO2667" s="76"/>
      <c r="AP2667" s="76"/>
      <c r="AQ2667" s="76"/>
      <c r="AR2667" s="76"/>
      <c r="AS2667" s="76"/>
      <c r="AT2667" s="76"/>
      <c r="AU2667" s="76"/>
      <c r="AV2667" s="76"/>
      <c r="AW2667" s="76"/>
      <c r="AX2667" s="76"/>
      <c r="AY2667" s="76"/>
      <c r="AZ2667" s="76"/>
      <c r="BA2667" s="76"/>
      <c r="BB2667" s="76"/>
    </row>
    <row r="2668" spans="5:54" x14ac:dyDescent="0.35">
      <c r="E2668" s="83"/>
      <c r="F2668" s="83"/>
      <c r="G2668" s="76"/>
      <c r="H2668" s="76"/>
      <c r="I2668" s="76"/>
      <c r="J2668" s="76"/>
      <c r="K2668" s="76"/>
      <c r="L2668" s="76"/>
      <c r="M2668" s="76"/>
      <c r="N2668" s="76"/>
      <c r="O2668" s="76"/>
      <c r="P2668" s="76"/>
      <c r="Q2668" s="76"/>
      <c r="R2668" s="76"/>
      <c r="S2668" s="76"/>
      <c r="T2668" s="76"/>
      <c r="U2668" s="76"/>
      <c r="V2668" s="76"/>
      <c r="W2668" s="76"/>
      <c r="X2668" s="76"/>
      <c r="Y2668" s="76"/>
      <c r="Z2668" s="76"/>
      <c r="AA2668" s="76"/>
      <c r="AB2668" s="76"/>
      <c r="AC2668" s="76"/>
      <c r="AD2668" s="76"/>
      <c r="AE2668" s="76"/>
      <c r="AF2668" s="76"/>
      <c r="AG2668" s="76"/>
      <c r="AH2668" s="76"/>
      <c r="AI2668" s="76"/>
      <c r="AJ2668" s="76"/>
      <c r="AK2668" s="76"/>
      <c r="AL2668" s="76"/>
      <c r="AM2668" s="76"/>
      <c r="AN2668" s="76"/>
      <c r="AO2668" s="76"/>
      <c r="AP2668" s="76"/>
      <c r="AQ2668" s="76"/>
      <c r="AR2668" s="76"/>
      <c r="AS2668" s="76"/>
      <c r="AT2668" s="76"/>
      <c r="AU2668" s="76"/>
      <c r="AV2668" s="76"/>
      <c r="AW2668" s="76"/>
      <c r="AX2668" s="76"/>
      <c r="AY2668" s="76"/>
      <c r="AZ2668" s="76"/>
      <c r="BA2668" s="76"/>
      <c r="BB2668" s="76"/>
    </row>
    <row r="2669" spans="5:54" x14ac:dyDescent="0.35">
      <c r="E2669" s="83"/>
      <c r="F2669" s="83"/>
      <c r="G2669" s="76"/>
      <c r="H2669" s="76"/>
      <c r="I2669" s="76"/>
      <c r="J2669" s="76"/>
      <c r="K2669" s="76"/>
      <c r="L2669" s="76"/>
      <c r="M2669" s="76"/>
      <c r="N2669" s="76"/>
      <c r="O2669" s="76"/>
      <c r="P2669" s="76"/>
      <c r="Q2669" s="76"/>
      <c r="R2669" s="76"/>
      <c r="S2669" s="76"/>
      <c r="T2669" s="76"/>
      <c r="U2669" s="76"/>
      <c r="V2669" s="76"/>
      <c r="W2669" s="76"/>
      <c r="X2669" s="76"/>
      <c r="Y2669" s="76"/>
      <c r="Z2669" s="76"/>
      <c r="AA2669" s="76"/>
      <c r="AB2669" s="76"/>
      <c r="AC2669" s="76"/>
      <c r="AD2669" s="76"/>
      <c r="AE2669" s="76"/>
      <c r="AF2669" s="76"/>
      <c r="AG2669" s="76"/>
      <c r="AH2669" s="76"/>
      <c r="AI2669" s="76"/>
      <c r="AJ2669" s="76"/>
      <c r="AK2669" s="76"/>
      <c r="AL2669" s="76"/>
      <c r="AM2669" s="76"/>
      <c r="AN2669" s="76"/>
      <c r="AO2669" s="76"/>
      <c r="AP2669" s="76"/>
      <c r="AQ2669" s="76"/>
      <c r="AR2669" s="76"/>
      <c r="AS2669" s="76"/>
      <c r="AT2669" s="76"/>
      <c r="AU2669" s="76"/>
      <c r="AV2669" s="76"/>
      <c r="AW2669" s="76"/>
      <c r="AX2669" s="76"/>
      <c r="AY2669" s="76"/>
      <c r="AZ2669" s="76"/>
      <c r="BA2669" s="76"/>
      <c r="BB2669" s="76"/>
    </row>
    <row r="2670" spans="5:54" x14ac:dyDescent="0.35">
      <c r="E2670" s="83"/>
      <c r="F2670" s="83"/>
      <c r="G2670" s="76"/>
      <c r="H2670" s="76"/>
      <c r="I2670" s="76"/>
      <c r="J2670" s="76"/>
      <c r="K2670" s="76"/>
      <c r="L2670" s="76"/>
      <c r="M2670" s="76"/>
      <c r="N2670" s="76"/>
      <c r="O2670" s="76"/>
      <c r="P2670" s="76"/>
      <c r="Q2670" s="76"/>
      <c r="R2670" s="76"/>
      <c r="S2670" s="76"/>
      <c r="T2670" s="76"/>
      <c r="U2670" s="76"/>
      <c r="V2670" s="76"/>
      <c r="W2670" s="76"/>
      <c r="X2670" s="76"/>
      <c r="Y2670" s="76"/>
      <c r="Z2670" s="76"/>
      <c r="AA2670" s="76"/>
      <c r="AB2670" s="76"/>
      <c r="AC2670" s="76"/>
      <c r="AD2670" s="76"/>
      <c r="AE2670" s="76"/>
      <c r="AF2670" s="76"/>
      <c r="AG2670" s="76"/>
      <c r="AH2670" s="76"/>
      <c r="AI2670" s="76"/>
      <c r="AJ2670" s="76"/>
      <c r="AK2670" s="76"/>
      <c r="AL2670" s="76"/>
      <c r="AM2670" s="76"/>
      <c r="AN2670" s="76"/>
      <c r="AO2670" s="76"/>
      <c r="AP2670" s="76"/>
      <c r="AQ2670" s="76"/>
      <c r="AR2670" s="76"/>
      <c r="AS2670" s="76"/>
      <c r="AT2670" s="76"/>
      <c r="AU2670" s="76"/>
      <c r="AV2670" s="76"/>
      <c r="AW2670" s="76"/>
      <c r="AX2670" s="76"/>
      <c r="AY2670" s="76"/>
      <c r="AZ2670" s="76"/>
      <c r="BA2670" s="76"/>
      <c r="BB2670" s="76"/>
    </row>
    <row r="2671" spans="5:54" x14ac:dyDescent="0.35">
      <c r="E2671" s="83"/>
      <c r="F2671" s="83"/>
      <c r="G2671" s="76"/>
      <c r="H2671" s="76"/>
      <c r="I2671" s="76"/>
      <c r="J2671" s="76"/>
      <c r="K2671" s="76"/>
      <c r="L2671" s="76"/>
      <c r="M2671" s="76"/>
      <c r="N2671" s="76"/>
      <c r="O2671" s="76"/>
      <c r="P2671" s="76"/>
      <c r="Q2671" s="76"/>
      <c r="R2671" s="76"/>
      <c r="S2671" s="76"/>
      <c r="T2671" s="76"/>
      <c r="U2671" s="76"/>
      <c r="V2671" s="76"/>
      <c r="W2671" s="76"/>
      <c r="X2671" s="76"/>
      <c r="Y2671" s="76"/>
      <c r="Z2671" s="76"/>
      <c r="AA2671" s="76"/>
      <c r="AB2671" s="76"/>
      <c r="AC2671" s="76"/>
      <c r="AD2671" s="76"/>
      <c r="AE2671" s="76"/>
      <c r="AF2671" s="76"/>
      <c r="AG2671" s="76"/>
      <c r="AH2671" s="76"/>
      <c r="AI2671" s="76"/>
      <c r="AJ2671" s="76"/>
      <c r="AK2671" s="76"/>
      <c r="AL2671" s="76"/>
      <c r="AM2671" s="76"/>
      <c r="AN2671" s="76"/>
      <c r="AO2671" s="76"/>
      <c r="AP2671" s="76"/>
      <c r="AQ2671" s="76"/>
      <c r="AR2671" s="76"/>
      <c r="AS2671" s="76"/>
      <c r="AT2671" s="76"/>
      <c r="AU2671" s="76"/>
      <c r="AV2671" s="76"/>
      <c r="AW2671" s="76"/>
      <c r="AX2671" s="76"/>
      <c r="AY2671" s="76"/>
      <c r="AZ2671" s="76"/>
      <c r="BA2671" s="76"/>
      <c r="BB2671" s="76"/>
    </row>
    <row r="2672" spans="5:54" x14ac:dyDescent="0.35">
      <c r="E2672" s="83"/>
      <c r="F2672" s="83"/>
      <c r="G2672" s="76"/>
      <c r="H2672" s="76"/>
      <c r="I2672" s="76"/>
      <c r="J2672" s="76"/>
      <c r="K2672" s="76"/>
      <c r="L2672" s="76"/>
      <c r="M2672" s="76"/>
      <c r="N2672" s="76"/>
      <c r="O2672" s="76"/>
      <c r="P2672" s="76"/>
      <c r="Q2672" s="76"/>
      <c r="R2672" s="76"/>
      <c r="S2672" s="76"/>
      <c r="T2672" s="76"/>
      <c r="U2672" s="76"/>
      <c r="V2672" s="76"/>
      <c r="W2672" s="76"/>
      <c r="X2672" s="76"/>
      <c r="Y2672" s="76"/>
      <c r="Z2672" s="76"/>
      <c r="AA2672" s="76"/>
      <c r="AB2672" s="76"/>
      <c r="AC2672" s="76"/>
      <c r="AD2672" s="76"/>
      <c r="AE2672" s="76"/>
      <c r="AF2672" s="76"/>
      <c r="AG2672" s="76"/>
      <c r="AH2672" s="76"/>
      <c r="AI2672" s="76"/>
      <c r="AJ2672" s="76"/>
      <c r="AK2672" s="76"/>
      <c r="AL2672" s="76"/>
      <c r="AM2672" s="76"/>
      <c r="AN2672" s="76"/>
      <c r="AO2672" s="76"/>
      <c r="AP2672" s="76"/>
      <c r="AQ2672" s="76"/>
      <c r="AR2672" s="76"/>
      <c r="AS2672" s="76"/>
      <c r="AT2672" s="76"/>
      <c r="AU2672" s="76"/>
      <c r="AV2672" s="76"/>
      <c r="AW2672" s="76"/>
      <c r="AX2672" s="76"/>
      <c r="AY2672" s="76"/>
      <c r="AZ2672" s="76"/>
      <c r="BA2672" s="76"/>
      <c r="BB2672" s="76"/>
    </row>
    <row r="2673" spans="5:54" x14ac:dyDescent="0.35">
      <c r="E2673" s="83"/>
      <c r="F2673" s="83"/>
      <c r="G2673" s="76"/>
      <c r="H2673" s="76"/>
      <c r="I2673" s="76"/>
      <c r="J2673" s="76"/>
      <c r="K2673" s="76"/>
      <c r="L2673" s="76"/>
      <c r="M2673" s="76"/>
      <c r="N2673" s="76"/>
      <c r="O2673" s="76"/>
      <c r="P2673" s="76"/>
      <c r="Q2673" s="76"/>
      <c r="R2673" s="76"/>
      <c r="S2673" s="76"/>
      <c r="T2673" s="76"/>
      <c r="U2673" s="76"/>
      <c r="V2673" s="76"/>
      <c r="W2673" s="76"/>
      <c r="X2673" s="76"/>
      <c r="Y2673" s="76"/>
      <c r="Z2673" s="76"/>
      <c r="AA2673" s="76"/>
      <c r="AB2673" s="76"/>
      <c r="AC2673" s="76"/>
      <c r="AD2673" s="76"/>
      <c r="AE2673" s="76"/>
      <c r="AF2673" s="76"/>
      <c r="AG2673" s="76"/>
      <c r="AH2673" s="76"/>
      <c r="AI2673" s="76"/>
      <c r="AJ2673" s="76"/>
      <c r="AK2673" s="76"/>
      <c r="AL2673" s="76"/>
      <c r="AM2673" s="76"/>
      <c r="AN2673" s="76"/>
      <c r="AO2673" s="76"/>
      <c r="AP2673" s="76"/>
      <c r="AQ2673" s="76"/>
      <c r="AR2673" s="76"/>
      <c r="AS2673" s="76"/>
      <c r="AT2673" s="76"/>
      <c r="AU2673" s="76"/>
      <c r="AV2673" s="76"/>
      <c r="AW2673" s="76"/>
      <c r="AX2673" s="76"/>
      <c r="AY2673" s="76"/>
      <c r="AZ2673" s="76"/>
      <c r="BA2673" s="76"/>
      <c r="BB2673" s="76"/>
    </row>
    <row r="2674" spans="5:54" x14ac:dyDescent="0.35">
      <c r="E2674" s="83"/>
      <c r="F2674" s="83"/>
      <c r="G2674" s="76"/>
      <c r="H2674" s="76"/>
      <c r="I2674" s="76"/>
      <c r="J2674" s="76"/>
      <c r="K2674" s="76"/>
      <c r="L2674" s="76"/>
      <c r="M2674" s="76"/>
      <c r="N2674" s="76"/>
      <c r="O2674" s="76"/>
      <c r="P2674" s="76"/>
      <c r="Q2674" s="76"/>
      <c r="R2674" s="76"/>
      <c r="S2674" s="76"/>
      <c r="T2674" s="76"/>
      <c r="U2674" s="76"/>
      <c r="V2674" s="76"/>
      <c r="W2674" s="76"/>
      <c r="X2674" s="76"/>
      <c r="Y2674" s="76"/>
      <c r="Z2674" s="76"/>
      <c r="AA2674" s="76"/>
      <c r="AB2674" s="76"/>
      <c r="AC2674" s="76"/>
      <c r="AD2674" s="76"/>
      <c r="AE2674" s="76"/>
      <c r="AF2674" s="76"/>
      <c r="AG2674" s="76"/>
      <c r="AH2674" s="76"/>
      <c r="AI2674" s="76"/>
      <c r="AJ2674" s="76"/>
      <c r="AK2674" s="76"/>
      <c r="AL2674" s="76"/>
      <c r="AM2674" s="76"/>
      <c r="AN2674" s="76"/>
      <c r="AO2674" s="76"/>
      <c r="AP2674" s="76"/>
      <c r="AQ2674" s="76"/>
      <c r="AR2674" s="76"/>
      <c r="AS2674" s="76"/>
      <c r="AT2674" s="76"/>
      <c r="AU2674" s="76"/>
      <c r="AV2674" s="76"/>
      <c r="AW2674" s="76"/>
      <c r="AX2674" s="76"/>
      <c r="AY2674" s="76"/>
      <c r="AZ2674" s="76"/>
      <c r="BA2674" s="76"/>
      <c r="BB2674" s="76"/>
    </row>
    <row r="2675" spans="5:54" x14ac:dyDescent="0.35">
      <c r="E2675" s="83"/>
      <c r="F2675" s="83"/>
      <c r="G2675" s="76"/>
      <c r="H2675" s="76"/>
      <c r="I2675" s="76"/>
      <c r="J2675" s="76"/>
      <c r="K2675" s="76"/>
      <c r="L2675" s="76"/>
      <c r="M2675" s="76"/>
      <c r="N2675" s="76"/>
      <c r="O2675" s="76"/>
      <c r="P2675" s="76"/>
      <c r="Q2675" s="76"/>
      <c r="R2675" s="76"/>
      <c r="S2675" s="76"/>
      <c r="T2675" s="76"/>
      <c r="U2675" s="76"/>
      <c r="V2675" s="76"/>
      <c r="W2675" s="76"/>
      <c r="X2675" s="76"/>
      <c r="Y2675" s="76"/>
      <c r="Z2675" s="76"/>
      <c r="AA2675" s="76"/>
      <c r="AB2675" s="76"/>
      <c r="AC2675" s="76"/>
      <c r="AD2675" s="76"/>
      <c r="AE2675" s="76"/>
      <c r="AF2675" s="76"/>
      <c r="AG2675" s="76"/>
      <c r="AH2675" s="76"/>
      <c r="AI2675" s="76"/>
      <c r="AJ2675" s="76"/>
      <c r="AK2675" s="76"/>
      <c r="AL2675" s="76"/>
      <c r="AM2675" s="76"/>
      <c r="AN2675" s="76"/>
      <c r="AO2675" s="76"/>
      <c r="AP2675" s="76"/>
      <c r="AQ2675" s="76"/>
      <c r="AR2675" s="76"/>
      <c r="AS2675" s="76"/>
      <c r="AT2675" s="76"/>
      <c r="AU2675" s="76"/>
      <c r="AV2675" s="76"/>
      <c r="AW2675" s="76"/>
      <c r="AX2675" s="76"/>
      <c r="AY2675" s="76"/>
      <c r="AZ2675" s="76"/>
      <c r="BA2675" s="76"/>
      <c r="BB2675" s="76"/>
    </row>
    <row r="2676" spans="5:54" x14ac:dyDescent="0.35">
      <c r="E2676" s="83"/>
      <c r="F2676" s="83"/>
      <c r="G2676" s="76"/>
      <c r="H2676" s="76"/>
      <c r="I2676" s="76"/>
      <c r="J2676" s="76"/>
      <c r="K2676" s="76"/>
      <c r="L2676" s="76"/>
      <c r="M2676" s="76"/>
      <c r="N2676" s="76"/>
      <c r="O2676" s="76"/>
      <c r="P2676" s="76"/>
      <c r="Q2676" s="76"/>
      <c r="R2676" s="76"/>
      <c r="S2676" s="76"/>
      <c r="T2676" s="76"/>
      <c r="U2676" s="76"/>
      <c r="V2676" s="76"/>
      <c r="W2676" s="76"/>
      <c r="X2676" s="76"/>
      <c r="Y2676" s="76"/>
      <c r="Z2676" s="76"/>
      <c r="AA2676" s="76"/>
      <c r="AB2676" s="76"/>
      <c r="AC2676" s="76"/>
      <c r="AD2676" s="76"/>
      <c r="AE2676" s="76"/>
      <c r="AF2676" s="76"/>
      <c r="AG2676" s="76"/>
      <c r="AH2676" s="76"/>
      <c r="AI2676" s="76"/>
      <c r="AJ2676" s="76"/>
      <c r="AK2676" s="76"/>
      <c r="AL2676" s="76"/>
      <c r="AM2676" s="76"/>
      <c r="AN2676" s="76"/>
      <c r="AO2676" s="76"/>
      <c r="AP2676" s="76"/>
      <c r="AQ2676" s="76"/>
      <c r="AR2676" s="76"/>
      <c r="AS2676" s="76"/>
      <c r="AT2676" s="76"/>
      <c r="AU2676" s="76"/>
      <c r="AV2676" s="76"/>
      <c r="AW2676" s="76"/>
      <c r="AX2676" s="76"/>
      <c r="AY2676" s="76"/>
      <c r="AZ2676" s="76"/>
      <c r="BA2676" s="76"/>
      <c r="BB2676" s="76"/>
    </row>
    <row r="2677" spans="5:54" x14ac:dyDescent="0.35">
      <c r="E2677" s="83"/>
      <c r="F2677" s="83"/>
      <c r="G2677" s="76"/>
      <c r="H2677" s="76"/>
      <c r="I2677" s="76"/>
      <c r="J2677" s="76"/>
      <c r="K2677" s="76"/>
      <c r="L2677" s="76"/>
      <c r="M2677" s="76"/>
      <c r="N2677" s="76"/>
      <c r="O2677" s="76"/>
      <c r="P2677" s="76"/>
      <c r="Q2677" s="76"/>
      <c r="R2677" s="76"/>
      <c r="S2677" s="76"/>
      <c r="T2677" s="76"/>
      <c r="U2677" s="76"/>
      <c r="V2677" s="76"/>
      <c r="W2677" s="76"/>
      <c r="X2677" s="76"/>
      <c r="Y2677" s="76"/>
      <c r="Z2677" s="76"/>
      <c r="AA2677" s="76"/>
      <c r="AB2677" s="76"/>
      <c r="AC2677" s="76"/>
      <c r="AD2677" s="76"/>
      <c r="AE2677" s="76"/>
      <c r="AF2677" s="76"/>
      <c r="AG2677" s="76"/>
      <c r="AH2677" s="76"/>
      <c r="AI2677" s="76"/>
      <c r="AJ2677" s="76"/>
      <c r="AK2677" s="76"/>
      <c r="AL2677" s="76"/>
      <c r="AM2677" s="76"/>
      <c r="AN2677" s="76"/>
      <c r="AO2677" s="76"/>
      <c r="AP2677" s="76"/>
      <c r="AQ2677" s="76"/>
      <c r="AR2677" s="76"/>
      <c r="AS2677" s="76"/>
      <c r="AT2677" s="76"/>
      <c r="AU2677" s="76"/>
      <c r="AV2677" s="76"/>
      <c r="AW2677" s="76"/>
      <c r="AX2677" s="76"/>
      <c r="AY2677" s="76"/>
      <c r="AZ2677" s="76"/>
      <c r="BA2677" s="76"/>
      <c r="BB2677" s="76"/>
    </row>
    <row r="2678" spans="5:54" x14ac:dyDescent="0.35">
      <c r="E2678" s="83"/>
      <c r="F2678" s="83"/>
      <c r="G2678" s="76"/>
      <c r="H2678" s="76"/>
      <c r="I2678" s="76"/>
      <c r="J2678" s="76"/>
      <c r="K2678" s="76"/>
      <c r="L2678" s="76"/>
      <c r="M2678" s="76"/>
      <c r="N2678" s="76"/>
      <c r="O2678" s="76"/>
      <c r="P2678" s="76"/>
      <c r="Q2678" s="76"/>
      <c r="R2678" s="76"/>
      <c r="S2678" s="76"/>
      <c r="T2678" s="76"/>
      <c r="U2678" s="76"/>
      <c r="V2678" s="76"/>
      <c r="W2678" s="76"/>
      <c r="X2678" s="76"/>
      <c r="Y2678" s="76"/>
      <c r="Z2678" s="76"/>
      <c r="AA2678" s="76"/>
      <c r="AB2678" s="76"/>
      <c r="AC2678" s="76"/>
      <c r="AD2678" s="76"/>
      <c r="AE2678" s="76"/>
      <c r="AF2678" s="76"/>
      <c r="AG2678" s="76"/>
      <c r="AH2678" s="76"/>
      <c r="AI2678" s="76"/>
      <c r="AJ2678" s="76"/>
      <c r="AK2678" s="76"/>
      <c r="AL2678" s="76"/>
      <c r="AM2678" s="76"/>
      <c r="AN2678" s="76"/>
      <c r="AO2678" s="76"/>
      <c r="AP2678" s="76"/>
      <c r="AQ2678" s="76"/>
      <c r="AR2678" s="76"/>
      <c r="AS2678" s="76"/>
      <c r="AT2678" s="76"/>
      <c r="AU2678" s="76"/>
      <c r="AV2678" s="76"/>
      <c r="AW2678" s="76"/>
      <c r="AX2678" s="76"/>
      <c r="AY2678" s="76"/>
      <c r="AZ2678" s="76"/>
      <c r="BA2678" s="76"/>
      <c r="BB2678" s="76"/>
    </row>
    <row r="2679" spans="5:54" x14ac:dyDescent="0.35">
      <c r="E2679" s="83"/>
      <c r="F2679" s="83"/>
      <c r="G2679" s="76"/>
      <c r="H2679" s="76"/>
      <c r="I2679" s="76"/>
      <c r="J2679" s="76"/>
      <c r="K2679" s="76"/>
      <c r="L2679" s="76"/>
      <c r="M2679" s="76"/>
      <c r="N2679" s="76"/>
      <c r="O2679" s="76"/>
      <c r="P2679" s="76"/>
      <c r="Q2679" s="76"/>
      <c r="R2679" s="76"/>
      <c r="S2679" s="76"/>
      <c r="T2679" s="76"/>
      <c r="U2679" s="76"/>
      <c r="V2679" s="76"/>
      <c r="W2679" s="76"/>
      <c r="X2679" s="76"/>
      <c r="Y2679" s="76"/>
      <c r="Z2679" s="76"/>
      <c r="AA2679" s="76"/>
      <c r="AB2679" s="76"/>
      <c r="AC2679" s="76"/>
      <c r="AD2679" s="76"/>
      <c r="AE2679" s="76"/>
      <c r="AF2679" s="76"/>
      <c r="AG2679" s="76"/>
      <c r="AH2679" s="76"/>
      <c r="AI2679" s="76"/>
      <c r="AJ2679" s="76"/>
      <c r="AK2679" s="76"/>
      <c r="AL2679" s="76"/>
      <c r="AM2679" s="76"/>
      <c r="AN2679" s="76"/>
      <c r="AO2679" s="76"/>
      <c r="AP2679" s="76"/>
      <c r="AQ2679" s="76"/>
      <c r="AR2679" s="76"/>
      <c r="AS2679" s="76"/>
      <c r="AT2679" s="76"/>
      <c r="AU2679" s="76"/>
      <c r="AV2679" s="76"/>
      <c r="AW2679" s="76"/>
      <c r="AX2679" s="76"/>
      <c r="AY2679" s="76"/>
      <c r="AZ2679" s="76"/>
      <c r="BA2679" s="76"/>
      <c r="BB2679" s="76"/>
    </row>
    <row r="2680" spans="5:54" x14ac:dyDescent="0.35">
      <c r="E2680" s="83"/>
      <c r="F2680" s="83"/>
      <c r="G2680" s="76"/>
      <c r="H2680" s="76"/>
      <c r="I2680" s="76"/>
      <c r="J2680" s="76"/>
      <c r="K2680" s="76"/>
      <c r="L2680" s="76"/>
      <c r="M2680" s="76"/>
      <c r="N2680" s="76"/>
      <c r="O2680" s="76"/>
      <c r="P2680" s="76"/>
      <c r="Q2680" s="76"/>
      <c r="R2680" s="76"/>
      <c r="S2680" s="76"/>
      <c r="T2680" s="76"/>
      <c r="U2680" s="76"/>
      <c r="V2680" s="76"/>
      <c r="W2680" s="76"/>
      <c r="X2680" s="76"/>
      <c r="Y2680" s="76"/>
      <c r="Z2680" s="76"/>
      <c r="AA2680" s="76"/>
      <c r="AB2680" s="76"/>
      <c r="AC2680" s="76"/>
      <c r="AD2680" s="76"/>
      <c r="AE2680" s="76"/>
      <c r="AF2680" s="76"/>
      <c r="AG2680" s="76"/>
      <c r="AH2680" s="76"/>
      <c r="AI2680" s="76"/>
      <c r="AJ2680" s="76"/>
      <c r="AK2680" s="76"/>
      <c r="AL2680" s="76"/>
      <c r="AM2680" s="76"/>
      <c r="AN2680" s="76"/>
      <c r="AO2680" s="76"/>
      <c r="AP2680" s="76"/>
      <c r="AQ2680" s="76"/>
      <c r="AR2680" s="76"/>
      <c r="AS2680" s="76"/>
      <c r="AT2680" s="76"/>
      <c r="AU2680" s="76"/>
      <c r="AV2680" s="76"/>
      <c r="AW2680" s="76"/>
      <c r="AX2680" s="76"/>
      <c r="AY2680" s="76"/>
      <c r="AZ2680" s="76"/>
      <c r="BA2680" s="76"/>
      <c r="BB2680" s="76"/>
    </row>
    <row r="2681" spans="5:54" x14ac:dyDescent="0.35">
      <c r="E2681" s="83"/>
      <c r="F2681" s="83"/>
      <c r="G2681" s="76"/>
      <c r="H2681" s="76"/>
      <c r="I2681" s="76"/>
      <c r="J2681" s="76"/>
      <c r="K2681" s="76"/>
      <c r="L2681" s="76"/>
      <c r="M2681" s="76"/>
      <c r="N2681" s="76"/>
      <c r="O2681" s="76"/>
      <c r="P2681" s="76"/>
      <c r="Q2681" s="76"/>
      <c r="R2681" s="76"/>
      <c r="S2681" s="76"/>
      <c r="T2681" s="76"/>
      <c r="U2681" s="76"/>
      <c r="V2681" s="76"/>
      <c r="W2681" s="76"/>
      <c r="X2681" s="76"/>
      <c r="Y2681" s="76"/>
      <c r="Z2681" s="76"/>
      <c r="AA2681" s="76"/>
      <c r="AB2681" s="76"/>
      <c r="AC2681" s="76"/>
      <c r="AD2681" s="76"/>
      <c r="AE2681" s="76"/>
      <c r="AF2681" s="76"/>
      <c r="AG2681" s="76"/>
      <c r="AH2681" s="76"/>
      <c r="AI2681" s="76"/>
      <c r="AJ2681" s="76"/>
      <c r="AK2681" s="76"/>
      <c r="AL2681" s="76"/>
      <c r="AM2681" s="76"/>
      <c r="AN2681" s="76"/>
      <c r="AO2681" s="76"/>
      <c r="AP2681" s="76"/>
      <c r="AQ2681" s="76"/>
      <c r="AR2681" s="76"/>
      <c r="AS2681" s="76"/>
      <c r="AT2681" s="76"/>
      <c r="AU2681" s="76"/>
      <c r="AV2681" s="76"/>
      <c r="AW2681" s="76"/>
      <c r="AX2681" s="76"/>
      <c r="AY2681" s="76"/>
      <c r="AZ2681" s="76"/>
      <c r="BA2681" s="76"/>
      <c r="BB2681" s="76"/>
    </row>
    <row r="2682" spans="5:54" x14ac:dyDescent="0.35">
      <c r="E2682" s="83"/>
      <c r="F2682" s="83"/>
      <c r="G2682" s="76"/>
      <c r="H2682" s="76"/>
      <c r="I2682" s="76"/>
      <c r="J2682" s="76"/>
      <c r="K2682" s="76"/>
      <c r="L2682" s="76"/>
      <c r="M2682" s="76"/>
      <c r="N2682" s="76"/>
      <c r="O2682" s="76"/>
      <c r="P2682" s="76"/>
      <c r="Q2682" s="76"/>
      <c r="R2682" s="76"/>
      <c r="S2682" s="76"/>
      <c r="T2682" s="76"/>
      <c r="U2682" s="76"/>
      <c r="V2682" s="76"/>
      <c r="W2682" s="76"/>
      <c r="X2682" s="76"/>
      <c r="Y2682" s="76"/>
      <c r="Z2682" s="76"/>
      <c r="AA2682" s="76"/>
      <c r="AB2682" s="76"/>
      <c r="AC2682" s="76"/>
      <c r="AD2682" s="76"/>
      <c r="AE2682" s="76"/>
      <c r="AF2682" s="76"/>
      <c r="AG2682" s="76"/>
      <c r="AH2682" s="76"/>
      <c r="AI2682" s="76"/>
      <c r="AJ2682" s="76"/>
      <c r="AK2682" s="76"/>
      <c r="AL2682" s="76"/>
      <c r="AM2682" s="76"/>
      <c r="AN2682" s="76"/>
      <c r="AO2682" s="76"/>
      <c r="AP2682" s="76"/>
      <c r="AQ2682" s="76"/>
      <c r="AR2682" s="76"/>
      <c r="AS2682" s="76"/>
      <c r="AT2682" s="76"/>
      <c r="AU2682" s="76"/>
      <c r="AV2682" s="76"/>
      <c r="AW2682" s="76"/>
      <c r="AX2682" s="76"/>
      <c r="AY2682" s="76"/>
      <c r="AZ2682" s="76"/>
      <c r="BA2682" s="76"/>
      <c r="BB2682" s="76"/>
    </row>
    <row r="2683" spans="5:54" x14ac:dyDescent="0.35">
      <c r="E2683" s="83"/>
      <c r="F2683" s="83"/>
      <c r="G2683" s="76"/>
      <c r="H2683" s="76"/>
      <c r="I2683" s="76"/>
      <c r="J2683" s="76"/>
      <c r="K2683" s="76"/>
      <c r="L2683" s="76"/>
      <c r="M2683" s="76"/>
      <c r="N2683" s="76"/>
      <c r="O2683" s="76"/>
      <c r="P2683" s="76"/>
      <c r="Q2683" s="76"/>
      <c r="R2683" s="76"/>
      <c r="S2683" s="76"/>
      <c r="T2683" s="76"/>
      <c r="U2683" s="76"/>
      <c r="V2683" s="76"/>
      <c r="W2683" s="76"/>
      <c r="X2683" s="76"/>
      <c r="Y2683" s="76"/>
      <c r="Z2683" s="76"/>
      <c r="AA2683" s="76"/>
      <c r="AB2683" s="76"/>
      <c r="AC2683" s="76"/>
      <c r="AD2683" s="76"/>
      <c r="AE2683" s="76"/>
      <c r="AF2683" s="76"/>
      <c r="AG2683" s="76"/>
      <c r="AH2683" s="76"/>
      <c r="AI2683" s="76"/>
      <c r="AJ2683" s="76"/>
      <c r="AK2683" s="76"/>
      <c r="AL2683" s="76"/>
      <c r="AM2683" s="76"/>
      <c r="AN2683" s="76"/>
      <c r="AO2683" s="76"/>
      <c r="AP2683" s="76"/>
      <c r="AQ2683" s="76"/>
      <c r="AR2683" s="76"/>
      <c r="AS2683" s="76"/>
      <c r="AT2683" s="76"/>
      <c r="AU2683" s="76"/>
      <c r="AV2683" s="76"/>
      <c r="AW2683" s="76"/>
      <c r="AX2683" s="76"/>
      <c r="AY2683" s="76"/>
      <c r="AZ2683" s="76"/>
      <c r="BA2683" s="76"/>
      <c r="BB2683" s="76"/>
    </row>
    <row r="2684" spans="5:54" x14ac:dyDescent="0.35">
      <c r="E2684" s="83"/>
      <c r="F2684" s="83"/>
      <c r="G2684" s="76"/>
      <c r="H2684" s="76"/>
      <c r="I2684" s="76"/>
      <c r="J2684" s="76"/>
      <c r="K2684" s="76"/>
      <c r="L2684" s="76"/>
      <c r="M2684" s="76"/>
      <c r="N2684" s="76"/>
      <c r="O2684" s="76"/>
      <c r="P2684" s="76"/>
      <c r="Q2684" s="76"/>
      <c r="R2684" s="76"/>
      <c r="S2684" s="76"/>
      <c r="T2684" s="76"/>
      <c r="U2684" s="76"/>
      <c r="V2684" s="76"/>
      <c r="W2684" s="76"/>
      <c r="X2684" s="76"/>
      <c r="Y2684" s="76"/>
      <c r="Z2684" s="76"/>
      <c r="AA2684" s="76"/>
      <c r="AB2684" s="76"/>
      <c r="AC2684" s="76"/>
      <c r="AD2684" s="76"/>
      <c r="AE2684" s="76"/>
      <c r="AF2684" s="76"/>
      <c r="AG2684" s="76"/>
      <c r="AH2684" s="76"/>
      <c r="AI2684" s="76"/>
      <c r="AJ2684" s="76"/>
      <c r="AK2684" s="76"/>
      <c r="AL2684" s="76"/>
      <c r="AM2684" s="76"/>
      <c r="AN2684" s="76"/>
      <c r="AO2684" s="76"/>
      <c r="AP2684" s="76"/>
      <c r="AQ2684" s="76"/>
      <c r="AR2684" s="76"/>
      <c r="AS2684" s="76"/>
      <c r="AT2684" s="76"/>
      <c r="AU2684" s="76"/>
      <c r="AV2684" s="76"/>
      <c r="AW2684" s="76"/>
      <c r="AX2684" s="76"/>
      <c r="AY2684" s="76"/>
      <c r="AZ2684" s="76"/>
      <c r="BA2684" s="76"/>
      <c r="BB2684" s="76"/>
    </row>
    <row r="2685" spans="5:54" x14ac:dyDescent="0.35">
      <c r="E2685" s="83"/>
      <c r="F2685" s="83"/>
      <c r="G2685" s="76"/>
      <c r="H2685" s="76"/>
      <c r="I2685" s="76"/>
      <c r="J2685" s="76"/>
      <c r="K2685" s="76"/>
      <c r="L2685" s="76"/>
      <c r="M2685" s="76"/>
      <c r="N2685" s="76"/>
      <c r="O2685" s="76"/>
      <c r="P2685" s="76"/>
      <c r="Q2685" s="76"/>
      <c r="R2685" s="76"/>
      <c r="S2685" s="76"/>
      <c r="T2685" s="76"/>
      <c r="U2685" s="76"/>
      <c r="V2685" s="76"/>
      <c r="W2685" s="76"/>
      <c r="X2685" s="76"/>
      <c r="Y2685" s="76"/>
      <c r="Z2685" s="76"/>
      <c r="AA2685" s="76"/>
      <c r="AB2685" s="76"/>
      <c r="AC2685" s="76"/>
      <c r="AD2685" s="76"/>
      <c r="AE2685" s="76"/>
      <c r="AF2685" s="76"/>
      <c r="AG2685" s="76"/>
      <c r="AH2685" s="76"/>
      <c r="AI2685" s="76"/>
      <c r="AJ2685" s="76"/>
      <c r="AK2685" s="76"/>
      <c r="AL2685" s="76"/>
      <c r="AM2685" s="76"/>
      <c r="AN2685" s="76"/>
      <c r="AO2685" s="76"/>
      <c r="AP2685" s="76"/>
      <c r="AQ2685" s="76"/>
      <c r="AR2685" s="76"/>
      <c r="AS2685" s="76"/>
      <c r="AT2685" s="76"/>
      <c r="AU2685" s="76"/>
      <c r="AV2685" s="76"/>
      <c r="AW2685" s="76"/>
      <c r="AX2685" s="76"/>
      <c r="AY2685" s="76"/>
      <c r="AZ2685" s="76"/>
      <c r="BA2685" s="76"/>
      <c r="BB2685" s="76"/>
    </row>
    <row r="2686" spans="5:54" x14ac:dyDescent="0.35">
      <c r="E2686" s="83"/>
      <c r="F2686" s="83"/>
      <c r="G2686" s="76"/>
      <c r="H2686" s="76"/>
      <c r="I2686" s="76"/>
      <c r="J2686" s="76"/>
      <c r="K2686" s="76"/>
      <c r="L2686" s="76"/>
      <c r="M2686" s="76"/>
      <c r="N2686" s="76"/>
      <c r="O2686" s="76"/>
      <c r="P2686" s="76"/>
      <c r="Q2686" s="76"/>
      <c r="R2686" s="76"/>
      <c r="S2686" s="76"/>
      <c r="T2686" s="76"/>
      <c r="U2686" s="76"/>
      <c r="V2686" s="76"/>
      <c r="W2686" s="76"/>
      <c r="X2686" s="76"/>
      <c r="Y2686" s="76"/>
      <c r="Z2686" s="76"/>
      <c r="AA2686" s="76"/>
      <c r="AB2686" s="76"/>
      <c r="AC2686" s="76"/>
      <c r="AD2686" s="76"/>
      <c r="AE2686" s="76"/>
      <c r="AF2686" s="76"/>
      <c r="AG2686" s="76"/>
      <c r="AH2686" s="76"/>
      <c r="AI2686" s="76"/>
      <c r="AJ2686" s="76"/>
      <c r="AK2686" s="76"/>
      <c r="AL2686" s="76"/>
      <c r="AM2686" s="76"/>
      <c r="AN2686" s="76"/>
      <c r="AO2686" s="76"/>
      <c r="AP2686" s="76"/>
      <c r="AQ2686" s="76"/>
      <c r="AR2686" s="76"/>
      <c r="AS2686" s="76"/>
      <c r="AT2686" s="76"/>
      <c r="AU2686" s="76"/>
      <c r="AV2686" s="76"/>
      <c r="AW2686" s="76"/>
      <c r="AX2686" s="76"/>
      <c r="AY2686" s="76"/>
      <c r="AZ2686" s="76"/>
      <c r="BA2686" s="76"/>
      <c r="BB2686" s="76"/>
    </row>
    <row r="2687" spans="5:54" x14ac:dyDescent="0.35">
      <c r="E2687" s="83"/>
      <c r="F2687" s="83"/>
      <c r="G2687" s="76"/>
      <c r="H2687" s="76"/>
      <c r="I2687" s="76"/>
      <c r="J2687" s="76"/>
      <c r="K2687" s="76"/>
      <c r="L2687" s="76"/>
      <c r="M2687" s="76"/>
      <c r="N2687" s="76"/>
      <c r="O2687" s="76"/>
      <c r="P2687" s="76"/>
      <c r="Q2687" s="76"/>
      <c r="R2687" s="76"/>
      <c r="S2687" s="76"/>
      <c r="T2687" s="76"/>
      <c r="U2687" s="76"/>
      <c r="V2687" s="76"/>
      <c r="W2687" s="76"/>
      <c r="X2687" s="76"/>
      <c r="Y2687" s="76"/>
      <c r="Z2687" s="76"/>
      <c r="AA2687" s="76"/>
      <c r="AB2687" s="76"/>
      <c r="AC2687" s="76"/>
      <c r="AD2687" s="76"/>
      <c r="AE2687" s="76"/>
      <c r="AF2687" s="76"/>
      <c r="AG2687" s="76"/>
      <c r="AH2687" s="76"/>
      <c r="AI2687" s="76"/>
      <c r="AJ2687" s="76"/>
      <c r="AK2687" s="76"/>
      <c r="AL2687" s="76"/>
      <c r="AM2687" s="76"/>
      <c r="AN2687" s="76"/>
      <c r="AO2687" s="76"/>
      <c r="AP2687" s="76"/>
      <c r="AQ2687" s="76"/>
      <c r="AR2687" s="76"/>
      <c r="AS2687" s="76"/>
      <c r="AT2687" s="76"/>
      <c r="AU2687" s="76"/>
      <c r="AV2687" s="76"/>
      <c r="AW2687" s="76"/>
      <c r="AX2687" s="76"/>
      <c r="AY2687" s="76"/>
      <c r="AZ2687" s="76"/>
      <c r="BA2687" s="76"/>
      <c r="BB2687" s="76"/>
    </row>
    <row r="2688" spans="5:54" x14ac:dyDescent="0.35">
      <c r="E2688" s="83"/>
      <c r="F2688" s="83"/>
      <c r="G2688" s="76"/>
      <c r="H2688" s="76"/>
      <c r="I2688" s="76"/>
      <c r="J2688" s="76"/>
      <c r="K2688" s="76"/>
      <c r="L2688" s="76"/>
      <c r="M2688" s="76"/>
      <c r="N2688" s="76"/>
      <c r="O2688" s="76"/>
      <c r="P2688" s="76"/>
      <c r="Q2688" s="76"/>
      <c r="R2688" s="76"/>
      <c r="S2688" s="76"/>
      <c r="T2688" s="76"/>
      <c r="U2688" s="76"/>
      <c r="V2688" s="76"/>
      <c r="W2688" s="76"/>
      <c r="X2688" s="76"/>
      <c r="Y2688" s="76"/>
      <c r="Z2688" s="76"/>
      <c r="AA2688" s="76"/>
      <c r="AB2688" s="76"/>
      <c r="AC2688" s="76"/>
      <c r="AD2688" s="76"/>
      <c r="AE2688" s="76"/>
      <c r="AF2688" s="76"/>
      <c r="AG2688" s="76"/>
      <c r="AH2688" s="76"/>
      <c r="AI2688" s="76"/>
      <c r="AJ2688" s="76"/>
      <c r="AK2688" s="76"/>
      <c r="AL2688" s="76"/>
      <c r="AM2688" s="76"/>
      <c r="AN2688" s="76"/>
      <c r="AO2688" s="76"/>
      <c r="AP2688" s="76"/>
      <c r="AQ2688" s="76"/>
      <c r="AR2688" s="76"/>
      <c r="AS2688" s="76"/>
      <c r="AT2688" s="76"/>
      <c r="AU2688" s="76"/>
      <c r="AV2688" s="76"/>
      <c r="AW2688" s="76"/>
      <c r="AX2688" s="76"/>
      <c r="AY2688" s="76"/>
      <c r="AZ2688" s="76"/>
      <c r="BA2688" s="76"/>
      <c r="BB2688" s="76"/>
    </row>
    <row r="2689" spans="5:54" x14ac:dyDescent="0.35">
      <c r="E2689" s="83"/>
      <c r="F2689" s="83"/>
      <c r="G2689" s="76"/>
      <c r="H2689" s="76"/>
      <c r="I2689" s="76"/>
      <c r="J2689" s="76"/>
      <c r="K2689" s="76"/>
      <c r="L2689" s="76"/>
      <c r="M2689" s="76"/>
      <c r="N2689" s="76"/>
      <c r="O2689" s="76"/>
      <c r="P2689" s="76"/>
      <c r="Q2689" s="76"/>
      <c r="R2689" s="76"/>
      <c r="S2689" s="76"/>
      <c r="T2689" s="76"/>
      <c r="U2689" s="76"/>
      <c r="V2689" s="76"/>
      <c r="W2689" s="76"/>
      <c r="X2689" s="76"/>
      <c r="Y2689" s="76"/>
      <c r="Z2689" s="76"/>
      <c r="AA2689" s="76"/>
      <c r="AB2689" s="76"/>
      <c r="AC2689" s="76"/>
      <c r="AD2689" s="76"/>
      <c r="AE2689" s="76"/>
      <c r="AF2689" s="76"/>
      <c r="AG2689" s="76"/>
      <c r="AH2689" s="76"/>
      <c r="AI2689" s="76"/>
      <c r="AJ2689" s="76"/>
      <c r="AK2689" s="76"/>
      <c r="AL2689" s="76"/>
      <c r="AM2689" s="76"/>
      <c r="AN2689" s="76"/>
      <c r="AO2689" s="76"/>
      <c r="AP2689" s="76"/>
      <c r="AQ2689" s="76"/>
      <c r="AR2689" s="76"/>
      <c r="AS2689" s="76"/>
      <c r="AT2689" s="76"/>
      <c r="AU2689" s="76"/>
      <c r="AV2689" s="76"/>
      <c r="AW2689" s="76"/>
      <c r="AX2689" s="76"/>
      <c r="AY2689" s="76"/>
      <c r="AZ2689" s="76"/>
      <c r="BA2689" s="76"/>
      <c r="BB2689" s="76"/>
    </row>
    <row r="2690" spans="5:54" x14ac:dyDescent="0.35">
      <c r="E2690" s="83"/>
      <c r="F2690" s="83"/>
      <c r="G2690" s="76"/>
      <c r="H2690" s="76"/>
      <c r="I2690" s="76"/>
      <c r="J2690" s="76"/>
      <c r="K2690" s="76"/>
      <c r="L2690" s="76"/>
      <c r="M2690" s="76"/>
      <c r="N2690" s="76"/>
      <c r="O2690" s="76"/>
      <c r="P2690" s="76"/>
      <c r="Q2690" s="76"/>
      <c r="R2690" s="76"/>
      <c r="S2690" s="76"/>
      <c r="T2690" s="76"/>
      <c r="U2690" s="76"/>
      <c r="V2690" s="76"/>
      <c r="W2690" s="76"/>
      <c r="X2690" s="76"/>
      <c r="Y2690" s="76"/>
      <c r="Z2690" s="76"/>
      <c r="AA2690" s="76"/>
      <c r="AB2690" s="76"/>
      <c r="AC2690" s="76"/>
      <c r="AD2690" s="76"/>
      <c r="AE2690" s="76"/>
      <c r="AF2690" s="76"/>
      <c r="AG2690" s="76"/>
      <c r="AH2690" s="76"/>
      <c r="AI2690" s="76"/>
      <c r="AJ2690" s="76"/>
      <c r="AK2690" s="76"/>
      <c r="AL2690" s="76"/>
      <c r="AM2690" s="76"/>
      <c r="AN2690" s="76"/>
      <c r="AO2690" s="76"/>
      <c r="AP2690" s="76"/>
      <c r="AQ2690" s="76"/>
      <c r="AR2690" s="76"/>
      <c r="AS2690" s="76"/>
      <c r="AT2690" s="76"/>
      <c r="AU2690" s="76"/>
      <c r="AV2690" s="76"/>
      <c r="AW2690" s="76"/>
      <c r="AX2690" s="76"/>
      <c r="AY2690" s="76"/>
      <c r="AZ2690" s="76"/>
      <c r="BA2690" s="76"/>
      <c r="BB2690" s="76"/>
    </row>
    <row r="2691" spans="5:54" x14ac:dyDescent="0.35">
      <c r="E2691" s="83"/>
      <c r="F2691" s="83"/>
      <c r="G2691" s="76"/>
      <c r="H2691" s="76"/>
      <c r="I2691" s="76"/>
      <c r="J2691" s="76"/>
      <c r="K2691" s="76"/>
      <c r="L2691" s="76"/>
      <c r="M2691" s="76"/>
      <c r="N2691" s="76"/>
      <c r="O2691" s="76"/>
      <c r="P2691" s="76"/>
      <c r="Q2691" s="76"/>
      <c r="R2691" s="76"/>
      <c r="S2691" s="76"/>
      <c r="T2691" s="76"/>
      <c r="U2691" s="76"/>
      <c r="V2691" s="76"/>
      <c r="W2691" s="76"/>
      <c r="X2691" s="76"/>
      <c r="Y2691" s="76"/>
      <c r="Z2691" s="76"/>
      <c r="AA2691" s="76"/>
      <c r="AB2691" s="76"/>
      <c r="AC2691" s="76"/>
      <c r="AD2691" s="76"/>
      <c r="AE2691" s="76"/>
      <c r="AF2691" s="76"/>
      <c r="AG2691" s="76"/>
      <c r="AH2691" s="76"/>
      <c r="AI2691" s="76"/>
      <c r="AJ2691" s="76"/>
      <c r="AK2691" s="76"/>
      <c r="AL2691" s="76"/>
      <c r="AM2691" s="76"/>
      <c r="AN2691" s="76"/>
      <c r="AO2691" s="76"/>
      <c r="AP2691" s="76"/>
      <c r="AQ2691" s="76"/>
      <c r="AR2691" s="76"/>
      <c r="AS2691" s="76"/>
      <c r="AT2691" s="76"/>
      <c r="AU2691" s="76"/>
      <c r="AV2691" s="76"/>
      <c r="AW2691" s="76"/>
      <c r="AX2691" s="76"/>
      <c r="AY2691" s="76"/>
      <c r="AZ2691" s="76"/>
      <c r="BA2691" s="76"/>
      <c r="BB2691" s="76"/>
    </row>
    <row r="2692" spans="5:54" x14ac:dyDescent="0.35">
      <c r="E2692" s="83"/>
      <c r="F2692" s="83"/>
      <c r="G2692" s="76"/>
      <c r="H2692" s="76"/>
      <c r="I2692" s="76"/>
      <c r="J2692" s="76"/>
      <c r="K2692" s="76"/>
      <c r="L2692" s="76"/>
      <c r="M2692" s="76"/>
      <c r="N2692" s="76"/>
      <c r="O2692" s="76"/>
      <c r="P2692" s="76"/>
      <c r="Q2692" s="76"/>
      <c r="R2692" s="76"/>
      <c r="S2692" s="76"/>
      <c r="T2692" s="76"/>
      <c r="U2692" s="76"/>
      <c r="V2692" s="76"/>
      <c r="W2692" s="76"/>
      <c r="X2692" s="76"/>
      <c r="Y2692" s="76"/>
      <c r="Z2692" s="76"/>
      <c r="AA2692" s="76"/>
      <c r="AB2692" s="76"/>
      <c r="AC2692" s="76"/>
      <c r="AD2692" s="76"/>
      <c r="AE2692" s="76"/>
      <c r="AF2692" s="76"/>
      <c r="AG2692" s="76"/>
      <c r="AH2692" s="76"/>
      <c r="AI2692" s="76"/>
      <c r="AJ2692" s="76"/>
      <c r="AK2692" s="76"/>
      <c r="AL2692" s="76"/>
      <c r="AM2692" s="76"/>
      <c r="AN2692" s="76"/>
      <c r="AO2692" s="76"/>
      <c r="AP2692" s="76"/>
      <c r="AQ2692" s="76"/>
      <c r="AR2692" s="76"/>
      <c r="AS2692" s="76"/>
      <c r="AT2692" s="76"/>
      <c r="AU2692" s="76"/>
      <c r="AV2692" s="76"/>
      <c r="AW2692" s="76"/>
      <c r="AX2692" s="76"/>
      <c r="AY2692" s="76"/>
      <c r="AZ2692" s="76"/>
      <c r="BA2692" s="76"/>
      <c r="BB2692" s="76"/>
    </row>
    <row r="2693" spans="5:54" x14ac:dyDescent="0.35">
      <c r="E2693" s="83"/>
      <c r="F2693" s="83"/>
      <c r="G2693" s="76"/>
      <c r="H2693" s="76"/>
      <c r="I2693" s="76"/>
      <c r="J2693" s="76"/>
      <c r="K2693" s="76"/>
      <c r="L2693" s="76"/>
      <c r="M2693" s="76"/>
      <c r="N2693" s="76"/>
      <c r="O2693" s="76"/>
      <c r="P2693" s="76"/>
      <c r="Q2693" s="76"/>
      <c r="R2693" s="76"/>
      <c r="S2693" s="76"/>
      <c r="T2693" s="76"/>
      <c r="U2693" s="76"/>
      <c r="V2693" s="76"/>
      <c r="W2693" s="76"/>
      <c r="X2693" s="76"/>
      <c r="Y2693" s="76"/>
      <c r="Z2693" s="76"/>
      <c r="AA2693" s="76"/>
      <c r="AB2693" s="76"/>
      <c r="AC2693" s="76"/>
      <c r="AD2693" s="76"/>
      <c r="AE2693" s="76"/>
      <c r="AF2693" s="76"/>
      <c r="AG2693" s="76"/>
      <c r="AH2693" s="76"/>
      <c r="AI2693" s="76"/>
      <c r="AJ2693" s="76"/>
      <c r="AK2693" s="76"/>
      <c r="AL2693" s="76"/>
      <c r="AM2693" s="76"/>
      <c r="AN2693" s="76"/>
      <c r="AO2693" s="76"/>
      <c r="AP2693" s="76"/>
      <c r="AQ2693" s="76"/>
      <c r="AR2693" s="76"/>
      <c r="AS2693" s="76"/>
      <c r="AT2693" s="76"/>
      <c r="AU2693" s="76"/>
      <c r="AV2693" s="76"/>
      <c r="AW2693" s="76"/>
      <c r="AX2693" s="76"/>
      <c r="AY2693" s="76"/>
      <c r="AZ2693" s="76"/>
      <c r="BA2693" s="76"/>
      <c r="BB2693" s="76"/>
    </row>
    <row r="2694" spans="5:54" x14ac:dyDescent="0.35">
      <c r="E2694" s="83"/>
      <c r="F2694" s="83"/>
      <c r="G2694" s="76"/>
      <c r="H2694" s="76"/>
      <c r="I2694" s="76"/>
      <c r="J2694" s="76"/>
      <c r="K2694" s="76"/>
      <c r="L2694" s="76"/>
      <c r="M2694" s="76"/>
      <c r="N2694" s="76"/>
      <c r="O2694" s="76"/>
      <c r="P2694" s="76"/>
      <c r="Q2694" s="76"/>
      <c r="R2694" s="76"/>
      <c r="S2694" s="76"/>
      <c r="T2694" s="76"/>
      <c r="U2694" s="76"/>
      <c r="V2694" s="76"/>
      <c r="W2694" s="76"/>
      <c r="X2694" s="76"/>
      <c r="Y2694" s="76"/>
      <c r="Z2694" s="76"/>
      <c r="AA2694" s="76"/>
      <c r="AB2694" s="76"/>
      <c r="AC2694" s="76"/>
      <c r="AD2694" s="76"/>
      <c r="AE2694" s="76"/>
      <c r="AF2694" s="76"/>
      <c r="AG2694" s="76"/>
      <c r="AH2694" s="76"/>
      <c r="AI2694" s="76"/>
      <c r="AJ2694" s="76"/>
      <c r="AK2694" s="76"/>
      <c r="AL2694" s="76"/>
      <c r="AM2694" s="76"/>
      <c r="AN2694" s="76"/>
      <c r="AO2694" s="76"/>
      <c r="AP2694" s="76"/>
      <c r="AQ2694" s="76"/>
      <c r="AR2694" s="76"/>
      <c r="AS2694" s="76"/>
      <c r="AT2694" s="76"/>
      <c r="AU2694" s="76"/>
      <c r="AV2694" s="76"/>
      <c r="AW2694" s="76"/>
      <c r="AX2694" s="76"/>
      <c r="AY2694" s="76"/>
      <c r="AZ2694" s="76"/>
      <c r="BA2694" s="76"/>
      <c r="BB2694" s="76"/>
    </row>
    <row r="2695" spans="5:54" x14ac:dyDescent="0.35">
      <c r="E2695" s="83"/>
      <c r="F2695" s="83"/>
      <c r="G2695" s="76"/>
      <c r="H2695" s="76"/>
      <c r="I2695" s="76"/>
      <c r="J2695" s="76"/>
      <c r="K2695" s="76"/>
      <c r="L2695" s="76"/>
      <c r="M2695" s="76"/>
      <c r="N2695" s="76"/>
      <c r="O2695" s="76"/>
      <c r="P2695" s="76"/>
      <c r="Q2695" s="76"/>
      <c r="R2695" s="76"/>
      <c r="S2695" s="76"/>
      <c r="T2695" s="76"/>
      <c r="U2695" s="76"/>
      <c r="V2695" s="76"/>
      <c r="W2695" s="76"/>
      <c r="X2695" s="76"/>
      <c r="Y2695" s="76"/>
      <c r="Z2695" s="76"/>
      <c r="AA2695" s="76"/>
      <c r="AB2695" s="76"/>
      <c r="AC2695" s="76"/>
      <c r="AD2695" s="76"/>
      <c r="AE2695" s="76"/>
      <c r="AF2695" s="76"/>
      <c r="AG2695" s="76"/>
      <c r="AH2695" s="76"/>
      <c r="AI2695" s="76"/>
      <c r="AJ2695" s="76"/>
      <c r="AK2695" s="76"/>
      <c r="AL2695" s="76"/>
      <c r="AM2695" s="76"/>
      <c r="AN2695" s="76"/>
      <c r="AO2695" s="76"/>
      <c r="AP2695" s="76"/>
      <c r="AQ2695" s="76"/>
      <c r="AR2695" s="76"/>
      <c r="AS2695" s="76"/>
      <c r="AT2695" s="76"/>
      <c r="AU2695" s="76"/>
      <c r="AV2695" s="76"/>
      <c r="AW2695" s="76"/>
      <c r="AX2695" s="76"/>
      <c r="AY2695" s="76"/>
      <c r="AZ2695" s="76"/>
      <c r="BA2695" s="76"/>
      <c r="BB2695" s="76"/>
    </row>
    <row r="2696" spans="5:54" x14ac:dyDescent="0.35">
      <c r="E2696" s="83"/>
      <c r="F2696" s="83"/>
      <c r="G2696" s="76"/>
      <c r="H2696" s="76"/>
      <c r="I2696" s="76"/>
      <c r="J2696" s="76"/>
      <c r="K2696" s="76"/>
      <c r="L2696" s="76"/>
      <c r="M2696" s="76"/>
      <c r="N2696" s="76"/>
      <c r="O2696" s="76"/>
      <c r="P2696" s="76"/>
      <c r="Q2696" s="76"/>
      <c r="R2696" s="76"/>
      <c r="S2696" s="76"/>
      <c r="T2696" s="76"/>
      <c r="U2696" s="76"/>
      <c r="V2696" s="76"/>
      <c r="W2696" s="76"/>
      <c r="X2696" s="76"/>
      <c r="Y2696" s="76"/>
      <c r="Z2696" s="76"/>
      <c r="AA2696" s="76"/>
      <c r="AB2696" s="76"/>
      <c r="AC2696" s="76"/>
      <c r="AD2696" s="76"/>
      <c r="AE2696" s="76"/>
      <c r="AF2696" s="76"/>
      <c r="AG2696" s="76"/>
      <c r="AH2696" s="76"/>
      <c r="AI2696" s="76"/>
      <c r="AJ2696" s="76"/>
      <c r="AK2696" s="76"/>
      <c r="AL2696" s="76"/>
      <c r="AM2696" s="76"/>
      <c r="AN2696" s="76"/>
      <c r="AO2696" s="76"/>
      <c r="AP2696" s="76"/>
      <c r="AQ2696" s="76"/>
      <c r="AR2696" s="76"/>
      <c r="AS2696" s="76"/>
      <c r="AT2696" s="76"/>
      <c r="AU2696" s="76"/>
      <c r="AV2696" s="76"/>
      <c r="AW2696" s="76"/>
      <c r="AX2696" s="76"/>
      <c r="AY2696" s="76"/>
      <c r="AZ2696" s="76"/>
      <c r="BA2696" s="76"/>
      <c r="BB2696" s="76"/>
    </row>
    <row r="2697" spans="5:54" x14ac:dyDescent="0.35">
      <c r="E2697" s="83"/>
      <c r="F2697" s="83"/>
      <c r="G2697" s="76"/>
      <c r="H2697" s="76"/>
      <c r="I2697" s="76"/>
      <c r="J2697" s="76"/>
      <c r="K2697" s="76"/>
      <c r="L2697" s="76"/>
      <c r="M2697" s="76"/>
      <c r="N2697" s="76"/>
      <c r="O2697" s="76"/>
      <c r="P2697" s="76"/>
      <c r="Q2697" s="76"/>
      <c r="R2697" s="76"/>
      <c r="S2697" s="76"/>
      <c r="T2697" s="76"/>
      <c r="U2697" s="76"/>
      <c r="V2697" s="76"/>
      <c r="W2697" s="76"/>
      <c r="X2697" s="76"/>
      <c r="Y2697" s="76"/>
      <c r="Z2697" s="76"/>
      <c r="AA2697" s="76"/>
      <c r="AB2697" s="76"/>
      <c r="AC2697" s="76"/>
      <c r="AD2697" s="76"/>
      <c r="AE2697" s="76"/>
      <c r="AF2697" s="76"/>
      <c r="AG2697" s="76"/>
      <c r="AH2697" s="76"/>
      <c r="AI2697" s="76"/>
      <c r="AJ2697" s="76"/>
      <c r="AK2697" s="76"/>
      <c r="AL2697" s="76"/>
      <c r="AM2697" s="76"/>
      <c r="AN2697" s="76"/>
      <c r="AO2697" s="76"/>
      <c r="AP2697" s="76"/>
      <c r="AQ2697" s="76"/>
      <c r="AR2697" s="76"/>
      <c r="AS2697" s="76"/>
      <c r="AT2697" s="76"/>
      <c r="AU2697" s="76"/>
      <c r="AV2697" s="76"/>
      <c r="AW2697" s="76"/>
      <c r="AX2697" s="76"/>
      <c r="AY2697" s="76"/>
      <c r="AZ2697" s="76"/>
      <c r="BA2697" s="76"/>
      <c r="BB2697" s="76"/>
    </row>
    <row r="2698" spans="5:54" x14ac:dyDescent="0.35">
      <c r="E2698" s="83"/>
      <c r="F2698" s="83"/>
      <c r="G2698" s="76"/>
      <c r="H2698" s="76"/>
      <c r="I2698" s="76"/>
      <c r="J2698" s="76"/>
      <c r="K2698" s="76"/>
      <c r="L2698" s="76"/>
      <c r="M2698" s="76"/>
      <c r="N2698" s="76"/>
      <c r="O2698" s="76"/>
      <c r="P2698" s="76"/>
      <c r="Q2698" s="76"/>
      <c r="R2698" s="76"/>
      <c r="S2698" s="76"/>
      <c r="T2698" s="76"/>
      <c r="U2698" s="76"/>
      <c r="V2698" s="76"/>
      <c r="W2698" s="76"/>
      <c r="X2698" s="76"/>
      <c r="Y2698" s="76"/>
      <c r="Z2698" s="76"/>
      <c r="AA2698" s="76"/>
      <c r="AB2698" s="76"/>
      <c r="AC2698" s="76"/>
      <c r="AD2698" s="76"/>
      <c r="AE2698" s="76"/>
      <c r="AF2698" s="76"/>
      <c r="AG2698" s="76"/>
      <c r="AH2698" s="76"/>
      <c r="AI2698" s="76"/>
      <c r="AJ2698" s="76"/>
      <c r="AK2698" s="76"/>
      <c r="AL2698" s="76"/>
      <c r="AM2698" s="76"/>
      <c r="AN2698" s="76"/>
      <c r="AO2698" s="76"/>
      <c r="AP2698" s="76"/>
      <c r="AQ2698" s="76"/>
      <c r="AR2698" s="76"/>
      <c r="AS2698" s="76"/>
      <c r="AT2698" s="76"/>
      <c r="AU2698" s="76"/>
      <c r="AV2698" s="76"/>
      <c r="AW2698" s="76"/>
      <c r="AX2698" s="76"/>
      <c r="AY2698" s="76"/>
      <c r="AZ2698" s="76"/>
      <c r="BA2698" s="76"/>
      <c r="BB2698" s="76"/>
    </row>
    <row r="2699" spans="5:54" x14ac:dyDescent="0.35">
      <c r="E2699" s="83"/>
      <c r="F2699" s="83"/>
      <c r="G2699" s="76"/>
      <c r="H2699" s="76"/>
      <c r="I2699" s="76"/>
      <c r="J2699" s="76"/>
      <c r="K2699" s="76"/>
      <c r="L2699" s="76"/>
      <c r="M2699" s="76"/>
      <c r="N2699" s="76"/>
      <c r="O2699" s="76"/>
      <c r="P2699" s="76"/>
      <c r="Q2699" s="76"/>
      <c r="R2699" s="76"/>
      <c r="S2699" s="76"/>
      <c r="T2699" s="76"/>
      <c r="U2699" s="76"/>
      <c r="V2699" s="76"/>
      <c r="W2699" s="76"/>
      <c r="X2699" s="76"/>
      <c r="Y2699" s="76"/>
      <c r="Z2699" s="76"/>
      <c r="AA2699" s="76"/>
      <c r="AB2699" s="76"/>
      <c r="AC2699" s="76"/>
      <c r="AD2699" s="76"/>
      <c r="AE2699" s="76"/>
      <c r="AF2699" s="76"/>
      <c r="AG2699" s="76"/>
      <c r="AH2699" s="76"/>
      <c r="AI2699" s="76"/>
      <c r="AJ2699" s="76"/>
      <c r="AK2699" s="76"/>
      <c r="AL2699" s="76"/>
      <c r="AM2699" s="76"/>
      <c r="AN2699" s="76"/>
      <c r="AO2699" s="76"/>
      <c r="AP2699" s="76"/>
      <c r="AQ2699" s="76"/>
      <c r="AR2699" s="76"/>
      <c r="AS2699" s="76"/>
      <c r="AT2699" s="76"/>
      <c r="AU2699" s="76"/>
      <c r="AV2699" s="76"/>
      <c r="AW2699" s="76"/>
      <c r="AX2699" s="76"/>
      <c r="AY2699" s="76"/>
      <c r="AZ2699" s="76"/>
      <c r="BA2699" s="76"/>
      <c r="BB2699" s="76"/>
    </row>
    <row r="2700" spans="5:54" x14ac:dyDescent="0.35">
      <c r="E2700" s="83"/>
      <c r="F2700" s="83"/>
      <c r="G2700" s="76"/>
      <c r="H2700" s="76"/>
      <c r="I2700" s="76"/>
      <c r="J2700" s="76"/>
      <c r="K2700" s="76"/>
      <c r="L2700" s="76"/>
      <c r="M2700" s="76"/>
      <c r="N2700" s="76"/>
      <c r="O2700" s="76"/>
      <c r="P2700" s="76"/>
      <c r="Q2700" s="76"/>
      <c r="R2700" s="76"/>
      <c r="S2700" s="76"/>
      <c r="T2700" s="76"/>
      <c r="U2700" s="76"/>
      <c r="V2700" s="76"/>
      <c r="W2700" s="76"/>
      <c r="X2700" s="76"/>
      <c r="Y2700" s="76"/>
      <c r="Z2700" s="76"/>
      <c r="AA2700" s="76"/>
      <c r="AB2700" s="76"/>
      <c r="AC2700" s="76"/>
      <c r="AD2700" s="76"/>
      <c r="AE2700" s="76"/>
      <c r="AF2700" s="76"/>
      <c r="AG2700" s="76"/>
      <c r="AH2700" s="76"/>
      <c r="AI2700" s="76"/>
      <c r="AJ2700" s="76"/>
      <c r="AK2700" s="76"/>
      <c r="AL2700" s="76"/>
      <c r="AM2700" s="76"/>
      <c r="AN2700" s="76"/>
      <c r="AO2700" s="76"/>
      <c r="AP2700" s="76"/>
      <c r="AQ2700" s="76"/>
      <c r="AR2700" s="76"/>
      <c r="AS2700" s="76"/>
      <c r="AT2700" s="76"/>
      <c r="AU2700" s="76"/>
      <c r="AV2700" s="76"/>
      <c r="AW2700" s="76"/>
      <c r="AX2700" s="76"/>
      <c r="AY2700" s="76"/>
      <c r="AZ2700" s="76"/>
      <c r="BA2700" s="76"/>
      <c r="BB2700" s="76"/>
    </row>
    <row r="2701" spans="5:54" x14ac:dyDescent="0.35">
      <c r="E2701" s="83"/>
      <c r="F2701" s="83"/>
      <c r="G2701" s="76"/>
      <c r="H2701" s="76"/>
      <c r="I2701" s="76"/>
      <c r="J2701" s="76"/>
      <c r="K2701" s="76"/>
      <c r="L2701" s="76"/>
      <c r="M2701" s="76"/>
      <c r="N2701" s="76"/>
      <c r="O2701" s="76"/>
      <c r="P2701" s="76"/>
      <c r="Q2701" s="76"/>
      <c r="R2701" s="76"/>
      <c r="S2701" s="76"/>
      <c r="T2701" s="76"/>
      <c r="U2701" s="76"/>
      <c r="V2701" s="76"/>
      <c r="W2701" s="76"/>
      <c r="X2701" s="76"/>
      <c r="Y2701" s="76"/>
      <c r="Z2701" s="76"/>
      <c r="AA2701" s="76"/>
      <c r="AB2701" s="76"/>
      <c r="AC2701" s="76"/>
      <c r="AD2701" s="76"/>
      <c r="AE2701" s="76"/>
      <c r="AF2701" s="76"/>
      <c r="AG2701" s="76"/>
      <c r="AH2701" s="76"/>
      <c r="AI2701" s="76"/>
      <c r="AJ2701" s="76"/>
      <c r="AK2701" s="76"/>
      <c r="AL2701" s="76"/>
      <c r="AM2701" s="76"/>
      <c r="AN2701" s="76"/>
      <c r="AO2701" s="76"/>
      <c r="AP2701" s="76"/>
      <c r="AQ2701" s="76"/>
      <c r="AR2701" s="76"/>
      <c r="AS2701" s="76"/>
      <c r="AT2701" s="76"/>
      <c r="AU2701" s="76"/>
      <c r="AV2701" s="76"/>
      <c r="AW2701" s="76"/>
      <c r="AX2701" s="76"/>
      <c r="AY2701" s="76"/>
      <c r="AZ2701" s="76"/>
      <c r="BA2701" s="76"/>
      <c r="BB2701" s="76"/>
    </row>
    <row r="2702" spans="5:54" x14ac:dyDescent="0.35">
      <c r="E2702" s="83"/>
      <c r="F2702" s="83"/>
      <c r="G2702" s="76"/>
      <c r="H2702" s="76"/>
      <c r="I2702" s="76"/>
      <c r="J2702" s="76"/>
      <c r="K2702" s="76"/>
      <c r="L2702" s="76"/>
      <c r="M2702" s="76"/>
      <c r="N2702" s="76"/>
      <c r="O2702" s="76"/>
      <c r="P2702" s="76"/>
      <c r="Q2702" s="76"/>
      <c r="R2702" s="76"/>
      <c r="S2702" s="76"/>
      <c r="T2702" s="76"/>
      <c r="U2702" s="76"/>
      <c r="V2702" s="76"/>
      <c r="W2702" s="76"/>
      <c r="X2702" s="76"/>
      <c r="Y2702" s="76"/>
      <c r="Z2702" s="76"/>
      <c r="AA2702" s="76"/>
      <c r="AB2702" s="76"/>
      <c r="AC2702" s="76"/>
      <c r="AD2702" s="76"/>
      <c r="AE2702" s="76"/>
      <c r="AF2702" s="76"/>
      <c r="AG2702" s="76"/>
      <c r="AH2702" s="76"/>
      <c r="AI2702" s="76"/>
      <c r="AJ2702" s="76"/>
      <c r="AK2702" s="76"/>
      <c r="AL2702" s="76"/>
      <c r="AM2702" s="76"/>
      <c r="AN2702" s="76"/>
      <c r="AO2702" s="76"/>
      <c r="AP2702" s="76"/>
      <c r="AQ2702" s="76"/>
      <c r="AR2702" s="76"/>
      <c r="AS2702" s="76"/>
      <c r="AT2702" s="76"/>
      <c r="AU2702" s="76"/>
      <c r="AV2702" s="76"/>
      <c r="AW2702" s="76"/>
      <c r="AX2702" s="76"/>
      <c r="AY2702" s="76"/>
      <c r="AZ2702" s="76"/>
      <c r="BA2702" s="76"/>
      <c r="BB2702" s="76"/>
    </row>
    <row r="2703" spans="5:54" x14ac:dyDescent="0.35">
      <c r="E2703" s="83"/>
      <c r="F2703" s="83"/>
      <c r="G2703" s="76"/>
      <c r="H2703" s="76"/>
      <c r="I2703" s="76"/>
      <c r="J2703" s="76"/>
      <c r="K2703" s="76"/>
      <c r="L2703" s="76"/>
      <c r="M2703" s="76"/>
      <c r="N2703" s="76"/>
      <c r="O2703" s="76"/>
      <c r="P2703" s="76"/>
      <c r="Q2703" s="76"/>
      <c r="R2703" s="76"/>
      <c r="S2703" s="76"/>
      <c r="T2703" s="76"/>
      <c r="U2703" s="76"/>
      <c r="V2703" s="76"/>
      <c r="W2703" s="76"/>
      <c r="X2703" s="76"/>
      <c r="Y2703" s="76"/>
      <c r="Z2703" s="76"/>
      <c r="AA2703" s="76"/>
      <c r="AB2703" s="76"/>
      <c r="AC2703" s="76"/>
      <c r="AD2703" s="76"/>
      <c r="AE2703" s="76"/>
      <c r="AF2703" s="76"/>
      <c r="AG2703" s="76"/>
      <c r="AH2703" s="76"/>
      <c r="AI2703" s="76"/>
      <c r="AJ2703" s="76"/>
      <c r="AK2703" s="76"/>
      <c r="AL2703" s="76"/>
      <c r="AM2703" s="76"/>
      <c r="AN2703" s="76"/>
      <c r="AO2703" s="76"/>
      <c r="AP2703" s="76"/>
      <c r="AQ2703" s="76"/>
      <c r="AR2703" s="76"/>
      <c r="AS2703" s="76"/>
      <c r="AT2703" s="76"/>
      <c r="AU2703" s="76"/>
      <c r="AV2703" s="76"/>
      <c r="AW2703" s="76"/>
      <c r="AX2703" s="76"/>
      <c r="AY2703" s="76"/>
      <c r="AZ2703" s="76"/>
      <c r="BA2703" s="76"/>
      <c r="BB2703" s="76"/>
    </row>
    <row r="2704" spans="5:54" x14ac:dyDescent="0.35">
      <c r="E2704" s="83"/>
      <c r="F2704" s="83"/>
      <c r="G2704" s="76"/>
      <c r="H2704" s="76"/>
      <c r="I2704" s="76"/>
      <c r="J2704" s="76"/>
      <c r="K2704" s="76"/>
      <c r="L2704" s="76"/>
      <c r="M2704" s="76"/>
      <c r="N2704" s="76"/>
      <c r="O2704" s="76"/>
      <c r="P2704" s="76"/>
      <c r="Q2704" s="76"/>
      <c r="R2704" s="76"/>
      <c r="S2704" s="76"/>
      <c r="T2704" s="76"/>
      <c r="U2704" s="76"/>
      <c r="V2704" s="76"/>
      <c r="W2704" s="76"/>
      <c r="X2704" s="76"/>
      <c r="Y2704" s="76"/>
      <c r="Z2704" s="76"/>
      <c r="AA2704" s="76"/>
      <c r="AB2704" s="76"/>
      <c r="AC2704" s="76"/>
      <c r="AD2704" s="76"/>
      <c r="AE2704" s="76"/>
      <c r="AF2704" s="76"/>
      <c r="AG2704" s="76"/>
      <c r="AH2704" s="76"/>
      <c r="AI2704" s="76"/>
      <c r="AJ2704" s="76"/>
      <c r="AK2704" s="76"/>
      <c r="AL2704" s="76"/>
      <c r="AM2704" s="76"/>
      <c r="AN2704" s="76"/>
      <c r="AO2704" s="76"/>
      <c r="AP2704" s="76"/>
      <c r="AQ2704" s="76"/>
      <c r="AR2704" s="76"/>
      <c r="AS2704" s="76"/>
      <c r="AT2704" s="76"/>
      <c r="AU2704" s="76"/>
      <c r="AV2704" s="76"/>
      <c r="AW2704" s="76"/>
      <c r="AX2704" s="76"/>
      <c r="AY2704" s="76"/>
      <c r="AZ2704" s="76"/>
      <c r="BA2704" s="76"/>
      <c r="BB2704" s="76"/>
    </row>
    <row r="2705" spans="5:54" x14ac:dyDescent="0.35">
      <c r="E2705" s="83"/>
      <c r="F2705" s="83"/>
      <c r="G2705" s="76"/>
      <c r="H2705" s="76"/>
      <c r="I2705" s="76"/>
      <c r="J2705" s="76"/>
      <c r="K2705" s="76"/>
      <c r="L2705" s="76"/>
      <c r="M2705" s="76"/>
      <c r="N2705" s="76"/>
      <c r="O2705" s="76"/>
      <c r="P2705" s="76"/>
      <c r="Q2705" s="76"/>
      <c r="R2705" s="76"/>
      <c r="S2705" s="76"/>
      <c r="T2705" s="76"/>
      <c r="U2705" s="76"/>
      <c r="V2705" s="76"/>
      <c r="W2705" s="76"/>
      <c r="X2705" s="76"/>
      <c r="Y2705" s="76"/>
      <c r="Z2705" s="76"/>
      <c r="AA2705" s="76"/>
      <c r="AB2705" s="76"/>
      <c r="AC2705" s="76"/>
      <c r="AD2705" s="76"/>
      <c r="AE2705" s="76"/>
      <c r="AF2705" s="76"/>
      <c r="AG2705" s="76"/>
      <c r="AH2705" s="76"/>
      <c r="AI2705" s="76"/>
      <c r="AJ2705" s="76"/>
      <c r="AK2705" s="76"/>
      <c r="AL2705" s="76"/>
      <c r="AM2705" s="76"/>
      <c r="AN2705" s="76"/>
      <c r="AO2705" s="76"/>
      <c r="AP2705" s="76"/>
      <c r="AQ2705" s="76"/>
      <c r="AR2705" s="76"/>
      <c r="AS2705" s="76"/>
      <c r="AT2705" s="76"/>
      <c r="AU2705" s="76"/>
      <c r="AV2705" s="76"/>
      <c r="AW2705" s="76"/>
      <c r="AX2705" s="76"/>
      <c r="AY2705" s="76"/>
      <c r="AZ2705" s="76"/>
      <c r="BA2705" s="76"/>
      <c r="BB2705" s="76"/>
    </row>
    <row r="2706" spans="5:54" x14ac:dyDescent="0.35">
      <c r="E2706" s="83"/>
      <c r="F2706" s="83"/>
      <c r="G2706" s="76"/>
      <c r="H2706" s="76"/>
      <c r="I2706" s="76"/>
      <c r="J2706" s="76"/>
      <c r="K2706" s="76"/>
      <c r="L2706" s="76"/>
      <c r="M2706" s="76"/>
      <c r="N2706" s="76"/>
      <c r="O2706" s="76"/>
      <c r="P2706" s="76"/>
      <c r="Q2706" s="76"/>
      <c r="R2706" s="76"/>
      <c r="S2706" s="76"/>
      <c r="T2706" s="76"/>
      <c r="U2706" s="76"/>
      <c r="V2706" s="76"/>
      <c r="W2706" s="76"/>
      <c r="X2706" s="76"/>
      <c r="Y2706" s="76"/>
      <c r="Z2706" s="76"/>
      <c r="AA2706" s="76"/>
      <c r="AB2706" s="76"/>
      <c r="AC2706" s="76"/>
      <c r="AD2706" s="76"/>
      <c r="AE2706" s="76"/>
      <c r="AF2706" s="76"/>
      <c r="AG2706" s="76"/>
      <c r="AH2706" s="76"/>
      <c r="AI2706" s="76"/>
      <c r="AJ2706" s="76"/>
      <c r="AK2706" s="76"/>
      <c r="AL2706" s="76"/>
      <c r="AM2706" s="76"/>
      <c r="AN2706" s="76"/>
      <c r="AO2706" s="76"/>
      <c r="AP2706" s="76"/>
      <c r="AQ2706" s="76"/>
      <c r="AR2706" s="76"/>
      <c r="AS2706" s="76"/>
      <c r="AT2706" s="76"/>
      <c r="AU2706" s="76"/>
      <c r="AV2706" s="76"/>
      <c r="AW2706" s="76"/>
      <c r="AX2706" s="76"/>
      <c r="AY2706" s="76"/>
      <c r="AZ2706" s="76"/>
      <c r="BA2706" s="76"/>
      <c r="BB2706" s="76"/>
    </row>
    <row r="2707" spans="5:54" x14ac:dyDescent="0.35">
      <c r="E2707" s="83"/>
      <c r="F2707" s="83"/>
      <c r="G2707" s="76"/>
      <c r="H2707" s="76"/>
      <c r="I2707" s="76"/>
      <c r="J2707" s="76"/>
      <c r="K2707" s="76"/>
      <c r="L2707" s="76"/>
      <c r="M2707" s="76"/>
      <c r="N2707" s="76"/>
      <c r="O2707" s="76"/>
      <c r="P2707" s="76"/>
      <c r="Q2707" s="76"/>
      <c r="R2707" s="76"/>
      <c r="S2707" s="76"/>
      <c r="T2707" s="76"/>
      <c r="U2707" s="76"/>
      <c r="V2707" s="76"/>
      <c r="W2707" s="76"/>
      <c r="X2707" s="76"/>
      <c r="Y2707" s="76"/>
      <c r="Z2707" s="76"/>
      <c r="AA2707" s="76"/>
      <c r="AB2707" s="76"/>
      <c r="AC2707" s="76"/>
      <c r="AD2707" s="76"/>
      <c r="AE2707" s="76"/>
      <c r="AF2707" s="76"/>
      <c r="AG2707" s="76"/>
      <c r="AH2707" s="76"/>
      <c r="AI2707" s="76"/>
      <c r="AJ2707" s="76"/>
      <c r="AK2707" s="76"/>
      <c r="AL2707" s="76"/>
      <c r="AM2707" s="76"/>
      <c r="AN2707" s="76"/>
      <c r="AO2707" s="76"/>
      <c r="AP2707" s="76"/>
      <c r="AQ2707" s="76"/>
      <c r="AR2707" s="76"/>
      <c r="AS2707" s="76"/>
      <c r="AT2707" s="76"/>
      <c r="AU2707" s="76"/>
      <c r="AV2707" s="76"/>
      <c r="AW2707" s="76"/>
      <c r="AX2707" s="76"/>
      <c r="AY2707" s="76"/>
      <c r="AZ2707" s="76"/>
      <c r="BA2707" s="76"/>
      <c r="BB2707" s="76"/>
    </row>
    <row r="2708" spans="5:54" x14ac:dyDescent="0.35">
      <c r="E2708" s="83"/>
      <c r="F2708" s="83"/>
      <c r="G2708" s="76"/>
      <c r="H2708" s="76"/>
      <c r="I2708" s="76"/>
      <c r="J2708" s="76"/>
      <c r="K2708" s="76"/>
      <c r="L2708" s="76"/>
      <c r="M2708" s="76"/>
      <c r="N2708" s="76"/>
      <c r="O2708" s="76"/>
      <c r="P2708" s="76"/>
      <c r="Q2708" s="76"/>
      <c r="R2708" s="76"/>
      <c r="S2708" s="76"/>
      <c r="T2708" s="76"/>
      <c r="U2708" s="76"/>
      <c r="V2708" s="76"/>
      <c r="W2708" s="76"/>
      <c r="X2708" s="76"/>
      <c r="Y2708" s="76"/>
      <c r="Z2708" s="76"/>
      <c r="AA2708" s="76"/>
      <c r="AB2708" s="76"/>
      <c r="AC2708" s="76"/>
      <c r="AD2708" s="76"/>
      <c r="AE2708" s="76"/>
      <c r="AF2708" s="76"/>
      <c r="AG2708" s="76"/>
      <c r="AH2708" s="76"/>
      <c r="AI2708" s="76"/>
      <c r="AJ2708" s="76"/>
      <c r="AK2708" s="76"/>
      <c r="AL2708" s="76"/>
      <c r="AM2708" s="76"/>
      <c r="AN2708" s="76"/>
      <c r="AO2708" s="76"/>
      <c r="AP2708" s="76"/>
      <c r="AQ2708" s="76"/>
      <c r="AR2708" s="76"/>
      <c r="AS2708" s="76"/>
      <c r="AT2708" s="76"/>
      <c r="AU2708" s="76"/>
      <c r="AV2708" s="76"/>
      <c r="AW2708" s="76"/>
      <c r="AX2708" s="76"/>
      <c r="AY2708" s="76"/>
      <c r="AZ2708" s="76"/>
      <c r="BA2708" s="76"/>
      <c r="BB2708" s="76"/>
    </row>
    <row r="2709" spans="5:54" x14ac:dyDescent="0.35">
      <c r="E2709" s="83"/>
      <c r="F2709" s="83"/>
      <c r="G2709" s="76"/>
      <c r="H2709" s="76"/>
      <c r="I2709" s="76"/>
      <c r="J2709" s="76"/>
      <c r="K2709" s="76"/>
      <c r="L2709" s="76"/>
      <c r="M2709" s="76"/>
      <c r="N2709" s="76"/>
      <c r="O2709" s="76"/>
      <c r="P2709" s="76"/>
      <c r="Q2709" s="76"/>
      <c r="R2709" s="76"/>
      <c r="S2709" s="76"/>
      <c r="T2709" s="76"/>
      <c r="U2709" s="76"/>
      <c r="V2709" s="76"/>
      <c r="W2709" s="76"/>
      <c r="X2709" s="76"/>
      <c r="Y2709" s="76"/>
      <c r="Z2709" s="76"/>
      <c r="AA2709" s="76"/>
      <c r="AB2709" s="76"/>
      <c r="AC2709" s="76"/>
      <c r="AD2709" s="76"/>
      <c r="AE2709" s="76"/>
      <c r="AF2709" s="76"/>
      <c r="AG2709" s="76"/>
      <c r="AH2709" s="76"/>
      <c r="AI2709" s="76"/>
      <c r="AJ2709" s="76"/>
      <c r="AK2709" s="76"/>
      <c r="AL2709" s="76"/>
      <c r="AM2709" s="76"/>
      <c r="AN2709" s="76"/>
      <c r="AO2709" s="76"/>
      <c r="AP2709" s="76"/>
      <c r="AQ2709" s="76"/>
      <c r="AR2709" s="76"/>
      <c r="AS2709" s="76"/>
      <c r="AT2709" s="76"/>
      <c r="AU2709" s="76"/>
      <c r="AV2709" s="76"/>
      <c r="AW2709" s="76"/>
      <c r="AX2709" s="76"/>
      <c r="AY2709" s="76"/>
      <c r="AZ2709" s="76"/>
      <c r="BA2709" s="76"/>
      <c r="BB2709" s="76"/>
    </row>
    <row r="2710" spans="5:54" x14ac:dyDescent="0.35">
      <c r="E2710" s="83"/>
      <c r="F2710" s="83"/>
      <c r="G2710" s="76"/>
      <c r="H2710" s="76"/>
      <c r="I2710" s="76"/>
      <c r="J2710" s="76"/>
      <c r="K2710" s="76"/>
      <c r="L2710" s="76"/>
      <c r="M2710" s="76"/>
      <c r="N2710" s="76"/>
      <c r="O2710" s="76"/>
      <c r="P2710" s="76"/>
      <c r="Q2710" s="76"/>
      <c r="R2710" s="76"/>
      <c r="S2710" s="76"/>
      <c r="T2710" s="76"/>
      <c r="U2710" s="76"/>
      <c r="V2710" s="76"/>
      <c r="W2710" s="76"/>
      <c r="X2710" s="76"/>
      <c r="Y2710" s="76"/>
      <c r="Z2710" s="76"/>
      <c r="AA2710" s="76"/>
      <c r="AB2710" s="76"/>
      <c r="AC2710" s="76"/>
      <c r="AD2710" s="76"/>
      <c r="AE2710" s="76"/>
      <c r="AF2710" s="76"/>
      <c r="AG2710" s="76"/>
      <c r="AH2710" s="76"/>
      <c r="AI2710" s="76"/>
      <c r="AJ2710" s="76"/>
      <c r="AK2710" s="76"/>
      <c r="AL2710" s="76"/>
      <c r="AM2710" s="76"/>
      <c r="AN2710" s="76"/>
      <c r="AO2710" s="76"/>
      <c r="AP2710" s="76"/>
      <c r="AQ2710" s="76"/>
      <c r="AR2710" s="76"/>
      <c r="AS2710" s="76"/>
      <c r="AT2710" s="76"/>
      <c r="AU2710" s="76"/>
      <c r="AV2710" s="76"/>
      <c r="AW2710" s="76"/>
      <c r="AX2710" s="76"/>
      <c r="AY2710" s="76"/>
      <c r="AZ2710" s="76"/>
      <c r="BA2710" s="76"/>
      <c r="BB2710" s="76"/>
    </row>
    <row r="2711" spans="5:54" x14ac:dyDescent="0.35">
      <c r="E2711" s="83"/>
      <c r="F2711" s="83"/>
      <c r="G2711" s="76"/>
      <c r="H2711" s="76"/>
      <c r="I2711" s="76"/>
      <c r="J2711" s="76"/>
      <c r="K2711" s="76"/>
      <c r="L2711" s="76"/>
      <c r="M2711" s="76"/>
      <c r="N2711" s="76"/>
      <c r="O2711" s="76"/>
      <c r="P2711" s="76"/>
      <c r="Q2711" s="76"/>
      <c r="R2711" s="76"/>
      <c r="S2711" s="76"/>
      <c r="T2711" s="76"/>
      <c r="U2711" s="76"/>
      <c r="V2711" s="76"/>
      <c r="W2711" s="76"/>
      <c r="X2711" s="76"/>
      <c r="Y2711" s="76"/>
      <c r="Z2711" s="76"/>
      <c r="AA2711" s="76"/>
      <c r="AB2711" s="76"/>
      <c r="AC2711" s="76"/>
      <c r="AD2711" s="76"/>
      <c r="AE2711" s="76"/>
      <c r="AF2711" s="76"/>
      <c r="AG2711" s="76"/>
      <c r="AH2711" s="76"/>
      <c r="AI2711" s="76"/>
      <c r="AJ2711" s="76"/>
      <c r="AK2711" s="76"/>
      <c r="AL2711" s="76"/>
      <c r="AM2711" s="76"/>
      <c r="AN2711" s="76"/>
      <c r="AO2711" s="76"/>
      <c r="AP2711" s="76"/>
      <c r="AQ2711" s="76"/>
      <c r="AR2711" s="76"/>
      <c r="AS2711" s="76"/>
      <c r="AT2711" s="76"/>
      <c r="AU2711" s="76"/>
      <c r="AV2711" s="76"/>
      <c r="AW2711" s="76"/>
      <c r="AX2711" s="76"/>
      <c r="AY2711" s="76"/>
      <c r="AZ2711" s="76"/>
      <c r="BA2711" s="76"/>
      <c r="BB2711" s="76"/>
    </row>
    <row r="2712" spans="5:54" x14ac:dyDescent="0.35">
      <c r="E2712" s="83"/>
      <c r="F2712" s="83"/>
      <c r="G2712" s="76"/>
      <c r="H2712" s="76"/>
      <c r="I2712" s="76"/>
      <c r="J2712" s="76"/>
      <c r="K2712" s="76"/>
      <c r="L2712" s="76"/>
      <c r="M2712" s="76"/>
      <c r="N2712" s="76"/>
      <c r="O2712" s="76"/>
      <c r="P2712" s="76"/>
      <c r="Q2712" s="76"/>
      <c r="R2712" s="76"/>
      <c r="S2712" s="76"/>
      <c r="T2712" s="76"/>
      <c r="U2712" s="76"/>
      <c r="V2712" s="76"/>
      <c r="W2712" s="76"/>
      <c r="X2712" s="76"/>
      <c r="Y2712" s="76"/>
      <c r="Z2712" s="76"/>
      <c r="AA2712" s="76"/>
      <c r="AB2712" s="76"/>
      <c r="AC2712" s="76"/>
      <c r="AD2712" s="76"/>
      <c r="AE2712" s="76"/>
      <c r="AF2712" s="76"/>
      <c r="AG2712" s="76"/>
      <c r="AH2712" s="76"/>
      <c r="AI2712" s="76"/>
      <c r="AJ2712" s="76"/>
      <c r="AK2712" s="76"/>
      <c r="AL2712" s="76"/>
      <c r="AM2712" s="76"/>
      <c r="AN2712" s="76"/>
      <c r="AO2712" s="76"/>
      <c r="AP2712" s="76"/>
      <c r="AQ2712" s="76"/>
      <c r="AR2712" s="76"/>
      <c r="AS2712" s="76"/>
      <c r="AT2712" s="76"/>
      <c r="AU2712" s="76"/>
      <c r="AV2712" s="76"/>
      <c r="AW2712" s="76"/>
      <c r="AX2712" s="76"/>
      <c r="AY2712" s="76"/>
      <c r="AZ2712" s="76"/>
      <c r="BA2712" s="76"/>
      <c r="BB2712" s="76"/>
    </row>
    <row r="2713" spans="5:54" x14ac:dyDescent="0.35">
      <c r="E2713" s="83"/>
      <c r="F2713" s="83"/>
      <c r="G2713" s="76"/>
      <c r="H2713" s="76"/>
      <c r="I2713" s="76"/>
      <c r="J2713" s="76"/>
      <c r="K2713" s="76"/>
      <c r="L2713" s="76"/>
      <c r="M2713" s="76"/>
      <c r="N2713" s="76"/>
      <c r="O2713" s="76"/>
      <c r="P2713" s="76"/>
      <c r="Q2713" s="76"/>
      <c r="R2713" s="76"/>
      <c r="S2713" s="76"/>
      <c r="T2713" s="76"/>
      <c r="U2713" s="76"/>
      <c r="V2713" s="76"/>
      <c r="W2713" s="76"/>
      <c r="X2713" s="76"/>
      <c r="Y2713" s="76"/>
      <c r="Z2713" s="76"/>
      <c r="AA2713" s="76"/>
      <c r="AB2713" s="76"/>
      <c r="AC2713" s="76"/>
      <c r="AD2713" s="76"/>
      <c r="AE2713" s="76"/>
      <c r="AF2713" s="76"/>
      <c r="AG2713" s="76"/>
      <c r="AH2713" s="76"/>
      <c r="AI2713" s="76"/>
      <c r="AJ2713" s="76"/>
      <c r="AK2713" s="76"/>
      <c r="AL2713" s="76"/>
      <c r="AM2713" s="76"/>
      <c r="AN2713" s="76"/>
      <c r="AO2713" s="76"/>
      <c r="AP2713" s="76"/>
      <c r="AQ2713" s="76"/>
      <c r="AR2713" s="76"/>
      <c r="AS2713" s="76"/>
      <c r="AT2713" s="76"/>
      <c r="AU2713" s="76"/>
      <c r="AV2713" s="76"/>
      <c r="AW2713" s="76"/>
      <c r="AX2713" s="76"/>
      <c r="AY2713" s="76"/>
      <c r="AZ2713" s="76"/>
      <c r="BA2713" s="76"/>
      <c r="BB2713" s="76"/>
    </row>
    <row r="2714" spans="5:54" x14ac:dyDescent="0.35">
      <c r="E2714" s="83"/>
      <c r="F2714" s="83"/>
      <c r="G2714" s="76"/>
      <c r="H2714" s="76"/>
      <c r="I2714" s="76"/>
      <c r="J2714" s="76"/>
      <c r="K2714" s="76"/>
      <c r="L2714" s="76"/>
      <c r="M2714" s="76"/>
      <c r="N2714" s="76"/>
      <c r="O2714" s="76"/>
      <c r="P2714" s="76"/>
      <c r="Q2714" s="76"/>
      <c r="R2714" s="76"/>
      <c r="S2714" s="76"/>
      <c r="T2714" s="76"/>
      <c r="U2714" s="76"/>
      <c r="V2714" s="76"/>
      <c r="W2714" s="76"/>
      <c r="X2714" s="76"/>
      <c r="Y2714" s="76"/>
      <c r="Z2714" s="76"/>
      <c r="AA2714" s="76"/>
      <c r="AB2714" s="76"/>
      <c r="AC2714" s="76"/>
      <c r="AD2714" s="76"/>
      <c r="AE2714" s="76"/>
      <c r="AF2714" s="76"/>
      <c r="AG2714" s="76"/>
      <c r="AH2714" s="76"/>
      <c r="AI2714" s="76"/>
      <c r="AJ2714" s="76"/>
      <c r="AK2714" s="76"/>
      <c r="AL2714" s="76"/>
      <c r="AM2714" s="76"/>
      <c r="AN2714" s="76"/>
      <c r="AO2714" s="76"/>
      <c r="AP2714" s="76"/>
      <c r="AQ2714" s="76"/>
      <c r="AR2714" s="76"/>
      <c r="AS2714" s="76"/>
      <c r="AT2714" s="76"/>
      <c r="AU2714" s="76"/>
      <c r="AV2714" s="76"/>
      <c r="AW2714" s="76"/>
      <c r="AX2714" s="76"/>
      <c r="AY2714" s="76"/>
      <c r="AZ2714" s="76"/>
      <c r="BA2714" s="76"/>
      <c r="BB2714" s="76"/>
    </row>
    <row r="2715" spans="5:54" x14ac:dyDescent="0.35">
      <c r="E2715" s="83"/>
      <c r="F2715" s="83"/>
      <c r="G2715" s="76"/>
      <c r="H2715" s="76"/>
      <c r="I2715" s="76"/>
      <c r="J2715" s="76"/>
      <c r="K2715" s="76"/>
      <c r="L2715" s="76"/>
      <c r="M2715" s="76"/>
      <c r="N2715" s="76"/>
      <c r="O2715" s="76"/>
      <c r="P2715" s="76"/>
      <c r="Q2715" s="76"/>
      <c r="R2715" s="76"/>
      <c r="S2715" s="76"/>
      <c r="T2715" s="76"/>
      <c r="U2715" s="76"/>
      <c r="V2715" s="76"/>
      <c r="W2715" s="76"/>
      <c r="X2715" s="76"/>
      <c r="Y2715" s="76"/>
      <c r="Z2715" s="76"/>
      <c r="AA2715" s="76"/>
      <c r="AB2715" s="76"/>
      <c r="AC2715" s="76"/>
      <c r="AD2715" s="76"/>
      <c r="AE2715" s="76"/>
      <c r="AF2715" s="76"/>
      <c r="AG2715" s="76"/>
      <c r="AH2715" s="76"/>
      <c r="AI2715" s="76"/>
      <c r="AJ2715" s="76"/>
      <c r="AK2715" s="76"/>
      <c r="AL2715" s="76"/>
      <c r="AM2715" s="76"/>
      <c r="AN2715" s="76"/>
      <c r="AO2715" s="76"/>
      <c r="AP2715" s="76"/>
      <c r="AQ2715" s="76"/>
      <c r="AR2715" s="76"/>
      <c r="AS2715" s="76"/>
      <c r="AT2715" s="76"/>
      <c r="AU2715" s="76"/>
      <c r="AV2715" s="76"/>
      <c r="AW2715" s="76"/>
      <c r="AX2715" s="76"/>
      <c r="AY2715" s="76"/>
      <c r="AZ2715" s="76"/>
      <c r="BA2715" s="76"/>
      <c r="BB2715" s="76"/>
    </row>
    <row r="2716" spans="5:54" x14ac:dyDescent="0.35">
      <c r="E2716" s="83"/>
      <c r="F2716" s="83"/>
      <c r="G2716" s="76"/>
      <c r="H2716" s="76"/>
      <c r="I2716" s="76"/>
      <c r="J2716" s="76"/>
      <c r="K2716" s="76"/>
      <c r="L2716" s="76"/>
      <c r="M2716" s="76"/>
      <c r="N2716" s="76"/>
      <c r="O2716" s="76"/>
      <c r="P2716" s="76"/>
      <c r="Q2716" s="76"/>
      <c r="R2716" s="76"/>
      <c r="S2716" s="76"/>
      <c r="T2716" s="76"/>
      <c r="U2716" s="76"/>
      <c r="V2716" s="76"/>
      <c r="W2716" s="76"/>
      <c r="X2716" s="76"/>
      <c r="Y2716" s="76"/>
      <c r="Z2716" s="76"/>
      <c r="AA2716" s="76"/>
      <c r="AB2716" s="76"/>
      <c r="AC2716" s="76"/>
      <c r="AD2716" s="76"/>
      <c r="AE2716" s="76"/>
      <c r="AF2716" s="76"/>
      <c r="AG2716" s="76"/>
      <c r="AH2716" s="76"/>
      <c r="AI2716" s="76"/>
      <c r="AJ2716" s="76"/>
      <c r="AK2716" s="76"/>
      <c r="AL2716" s="76"/>
      <c r="AM2716" s="76"/>
      <c r="AN2716" s="76"/>
      <c r="AO2716" s="76"/>
      <c r="AP2716" s="76"/>
      <c r="AQ2716" s="76"/>
      <c r="AR2716" s="76"/>
      <c r="AS2716" s="76"/>
      <c r="AT2716" s="76"/>
      <c r="AU2716" s="76"/>
      <c r="AV2716" s="76"/>
      <c r="AW2716" s="76"/>
      <c r="AX2716" s="76"/>
      <c r="AY2716" s="76"/>
      <c r="AZ2716" s="76"/>
      <c r="BA2716" s="76"/>
      <c r="BB2716" s="76"/>
    </row>
    <row r="2717" spans="5:54" x14ac:dyDescent="0.35">
      <c r="E2717" s="83"/>
      <c r="F2717" s="83"/>
      <c r="G2717" s="76"/>
      <c r="H2717" s="76"/>
      <c r="I2717" s="76"/>
      <c r="J2717" s="76"/>
      <c r="K2717" s="76"/>
      <c r="L2717" s="76"/>
      <c r="M2717" s="76"/>
      <c r="N2717" s="76"/>
      <c r="O2717" s="76"/>
      <c r="P2717" s="76"/>
      <c r="Q2717" s="76"/>
      <c r="R2717" s="76"/>
      <c r="S2717" s="76"/>
      <c r="T2717" s="76"/>
      <c r="U2717" s="76"/>
      <c r="V2717" s="76"/>
      <c r="W2717" s="76"/>
      <c r="X2717" s="76"/>
      <c r="Y2717" s="76"/>
      <c r="Z2717" s="76"/>
      <c r="AA2717" s="76"/>
      <c r="AB2717" s="76"/>
      <c r="AC2717" s="76"/>
      <c r="AD2717" s="76"/>
      <c r="AE2717" s="76"/>
      <c r="AF2717" s="76"/>
      <c r="AG2717" s="76"/>
      <c r="AH2717" s="76"/>
      <c r="AI2717" s="76"/>
      <c r="AJ2717" s="76"/>
      <c r="AK2717" s="76"/>
      <c r="AL2717" s="76"/>
      <c r="AM2717" s="76"/>
      <c r="AN2717" s="76"/>
      <c r="AO2717" s="76"/>
      <c r="AP2717" s="76"/>
      <c r="AQ2717" s="76"/>
      <c r="AR2717" s="76"/>
      <c r="AS2717" s="76"/>
      <c r="AT2717" s="76"/>
      <c r="AU2717" s="76"/>
      <c r="AV2717" s="76"/>
      <c r="AW2717" s="76"/>
      <c r="AX2717" s="76"/>
      <c r="AY2717" s="76"/>
      <c r="AZ2717" s="76"/>
      <c r="BA2717" s="76"/>
      <c r="BB2717" s="76"/>
    </row>
    <row r="2718" spans="5:54" x14ac:dyDescent="0.35">
      <c r="E2718" s="83"/>
      <c r="F2718" s="83"/>
      <c r="G2718" s="76"/>
      <c r="H2718" s="76"/>
      <c r="I2718" s="76"/>
      <c r="J2718" s="76"/>
      <c r="K2718" s="76"/>
      <c r="L2718" s="76"/>
      <c r="M2718" s="76"/>
      <c r="N2718" s="76"/>
      <c r="O2718" s="76"/>
      <c r="P2718" s="76"/>
      <c r="Q2718" s="76"/>
      <c r="R2718" s="76"/>
      <c r="S2718" s="76"/>
      <c r="T2718" s="76"/>
      <c r="U2718" s="76"/>
      <c r="V2718" s="76"/>
      <c r="W2718" s="76"/>
      <c r="X2718" s="76"/>
      <c r="Y2718" s="76"/>
      <c r="Z2718" s="76"/>
      <c r="AA2718" s="76"/>
      <c r="AB2718" s="76"/>
      <c r="AC2718" s="76"/>
      <c r="AD2718" s="76"/>
      <c r="AE2718" s="76"/>
      <c r="AF2718" s="76"/>
      <c r="AG2718" s="76"/>
      <c r="AH2718" s="76"/>
      <c r="AI2718" s="76"/>
      <c r="AJ2718" s="76"/>
      <c r="AK2718" s="76"/>
      <c r="AL2718" s="76"/>
      <c r="AM2718" s="76"/>
      <c r="AN2718" s="76"/>
      <c r="AO2718" s="76"/>
      <c r="AP2718" s="76"/>
      <c r="AQ2718" s="76"/>
      <c r="AR2718" s="76"/>
      <c r="AS2718" s="76"/>
      <c r="AT2718" s="76"/>
      <c r="AU2718" s="76"/>
      <c r="AV2718" s="76"/>
      <c r="AW2718" s="76"/>
      <c r="AX2718" s="76"/>
      <c r="AY2718" s="76"/>
      <c r="AZ2718" s="76"/>
      <c r="BA2718" s="76"/>
      <c r="BB2718" s="76"/>
    </row>
    <row r="2719" spans="5:54" x14ac:dyDescent="0.35">
      <c r="E2719" s="83"/>
      <c r="F2719" s="83"/>
      <c r="G2719" s="76"/>
      <c r="H2719" s="76"/>
      <c r="I2719" s="76"/>
      <c r="J2719" s="76"/>
      <c r="K2719" s="76"/>
      <c r="L2719" s="76"/>
      <c r="M2719" s="76"/>
      <c r="N2719" s="76"/>
      <c r="O2719" s="76"/>
      <c r="P2719" s="76"/>
      <c r="Q2719" s="76"/>
      <c r="R2719" s="76"/>
      <c r="S2719" s="76"/>
      <c r="T2719" s="76"/>
      <c r="U2719" s="76"/>
      <c r="V2719" s="76"/>
      <c r="W2719" s="76"/>
      <c r="X2719" s="76"/>
      <c r="Y2719" s="76"/>
      <c r="Z2719" s="76"/>
      <c r="AA2719" s="76"/>
      <c r="AB2719" s="76"/>
      <c r="AC2719" s="76"/>
      <c r="AD2719" s="76"/>
      <c r="AE2719" s="76"/>
      <c r="AF2719" s="76"/>
      <c r="AG2719" s="76"/>
      <c r="AH2719" s="76"/>
      <c r="AI2719" s="76"/>
      <c r="AJ2719" s="76"/>
      <c r="AK2719" s="76"/>
      <c r="AL2719" s="76"/>
      <c r="AM2719" s="76"/>
      <c r="AN2719" s="76"/>
      <c r="AO2719" s="76"/>
      <c r="AP2719" s="76"/>
      <c r="AQ2719" s="76"/>
      <c r="AR2719" s="76"/>
      <c r="AS2719" s="76"/>
      <c r="AT2719" s="76"/>
      <c r="AU2719" s="76"/>
      <c r="AV2719" s="76"/>
      <c r="AW2719" s="76"/>
      <c r="AX2719" s="76"/>
      <c r="AY2719" s="76"/>
      <c r="AZ2719" s="76"/>
      <c r="BA2719" s="76"/>
      <c r="BB2719" s="76"/>
    </row>
    <row r="2720" spans="5:54" x14ac:dyDescent="0.35">
      <c r="E2720" s="83"/>
      <c r="F2720" s="83"/>
      <c r="G2720" s="76"/>
      <c r="H2720" s="76"/>
      <c r="I2720" s="76"/>
      <c r="J2720" s="76"/>
      <c r="K2720" s="76"/>
      <c r="L2720" s="76"/>
      <c r="M2720" s="76"/>
      <c r="N2720" s="76"/>
      <c r="O2720" s="76"/>
      <c r="P2720" s="76"/>
      <c r="Q2720" s="76"/>
      <c r="R2720" s="76"/>
      <c r="S2720" s="76"/>
      <c r="T2720" s="76"/>
      <c r="U2720" s="76"/>
      <c r="V2720" s="76"/>
      <c r="W2720" s="76"/>
      <c r="X2720" s="76"/>
      <c r="Y2720" s="76"/>
      <c r="Z2720" s="76"/>
      <c r="AA2720" s="76"/>
      <c r="AB2720" s="76"/>
      <c r="AC2720" s="76"/>
      <c r="AD2720" s="76"/>
      <c r="AE2720" s="76"/>
      <c r="AF2720" s="76"/>
      <c r="AG2720" s="76"/>
      <c r="AH2720" s="76"/>
      <c r="AI2720" s="76"/>
      <c r="AJ2720" s="76"/>
      <c r="AK2720" s="76"/>
      <c r="AL2720" s="76"/>
      <c r="AM2720" s="76"/>
      <c r="AN2720" s="76"/>
      <c r="AO2720" s="76"/>
      <c r="AP2720" s="76"/>
      <c r="AQ2720" s="76"/>
      <c r="AR2720" s="76"/>
      <c r="AS2720" s="76"/>
      <c r="AT2720" s="76"/>
      <c r="AU2720" s="76"/>
      <c r="AV2720" s="76"/>
      <c r="AW2720" s="76"/>
      <c r="AX2720" s="76"/>
      <c r="AY2720" s="76"/>
      <c r="AZ2720" s="76"/>
      <c r="BA2720" s="76"/>
      <c r="BB2720" s="76"/>
    </row>
    <row r="2721" spans="5:54" x14ac:dyDescent="0.35">
      <c r="E2721" s="83"/>
      <c r="F2721" s="83"/>
      <c r="G2721" s="76"/>
      <c r="H2721" s="76"/>
      <c r="I2721" s="76"/>
      <c r="J2721" s="76"/>
      <c r="K2721" s="76"/>
      <c r="L2721" s="76"/>
      <c r="M2721" s="76"/>
      <c r="N2721" s="76"/>
      <c r="O2721" s="76"/>
      <c r="P2721" s="76"/>
      <c r="Q2721" s="76"/>
      <c r="R2721" s="76"/>
      <c r="S2721" s="76"/>
      <c r="T2721" s="76"/>
      <c r="U2721" s="76"/>
      <c r="V2721" s="76"/>
      <c r="W2721" s="76"/>
      <c r="X2721" s="76"/>
      <c r="Y2721" s="76"/>
      <c r="Z2721" s="76"/>
      <c r="AA2721" s="76"/>
      <c r="AB2721" s="76"/>
      <c r="AC2721" s="76"/>
      <c r="AD2721" s="76"/>
      <c r="AE2721" s="76"/>
      <c r="AF2721" s="76"/>
      <c r="AG2721" s="76"/>
      <c r="AH2721" s="76"/>
      <c r="AI2721" s="76"/>
      <c r="AJ2721" s="76"/>
      <c r="AK2721" s="76"/>
      <c r="AL2721" s="76"/>
      <c r="AM2721" s="76"/>
      <c r="AN2721" s="76"/>
      <c r="AO2721" s="76"/>
      <c r="AP2721" s="76"/>
      <c r="AQ2721" s="76"/>
      <c r="AR2721" s="76"/>
      <c r="AS2721" s="76"/>
      <c r="AT2721" s="76"/>
      <c r="AU2721" s="76"/>
      <c r="AV2721" s="76"/>
      <c r="AW2721" s="76"/>
      <c r="AX2721" s="76"/>
      <c r="AY2721" s="76"/>
      <c r="AZ2721" s="76"/>
      <c r="BA2721" s="76"/>
      <c r="BB2721" s="76"/>
    </row>
    <row r="2722" spans="5:54" x14ac:dyDescent="0.35">
      <c r="E2722" s="83"/>
      <c r="F2722" s="83"/>
      <c r="G2722" s="76"/>
      <c r="H2722" s="76"/>
      <c r="I2722" s="76"/>
      <c r="J2722" s="76"/>
      <c r="K2722" s="76"/>
      <c r="L2722" s="76"/>
      <c r="M2722" s="76"/>
      <c r="N2722" s="76"/>
      <c r="O2722" s="76"/>
      <c r="P2722" s="76"/>
      <c r="Q2722" s="76"/>
      <c r="R2722" s="76"/>
      <c r="S2722" s="76"/>
      <c r="T2722" s="76"/>
      <c r="U2722" s="76"/>
      <c r="V2722" s="76"/>
      <c r="W2722" s="76"/>
      <c r="X2722" s="76"/>
      <c r="Y2722" s="76"/>
      <c r="Z2722" s="76"/>
      <c r="AA2722" s="76"/>
      <c r="AB2722" s="76"/>
      <c r="AC2722" s="76"/>
      <c r="AD2722" s="76"/>
      <c r="AE2722" s="76"/>
      <c r="AF2722" s="76"/>
      <c r="AG2722" s="76"/>
      <c r="AH2722" s="76"/>
      <c r="AI2722" s="76"/>
      <c r="AJ2722" s="76"/>
      <c r="AK2722" s="76"/>
      <c r="AL2722" s="76"/>
      <c r="AM2722" s="76"/>
      <c r="AN2722" s="76"/>
      <c r="AO2722" s="76"/>
      <c r="AP2722" s="76"/>
      <c r="AQ2722" s="76"/>
      <c r="AR2722" s="76"/>
      <c r="AS2722" s="76"/>
      <c r="AT2722" s="76"/>
      <c r="AU2722" s="76"/>
      <c r="AV2722" s="76"/>
      <c r="AW2722" s="76"/>
      <c r="AX2722" s="76"/>
      <c r="AY2722" s="76"/>
      <c r="AZ2722" s="76"/>
      <c r="BA2722" s="76"/>
      <c r="BB2722" s="76"/>
    </row>
    <row r="2723" spans="5:54" x14ac:dyDescent="0.35">
      <c r="E2723" s="83"/>
      <c r="F2723" s="83"/>
      <c r="G2723" s="76"/>
      <c r="H2723" s="76"/>
      <c r="I2723" s="76"/>
      <c r="J2723" s="76"/>
      <c r="K2723" s="76"/>
      <c r="L2723" s="76"/>
      <c r="M2723" s="76"/>
      <c r="N2723" s="76"/>
      <c r="O2723" s="76"/>
      <c r="P2723" s="76"/>
      <c r="Q2723" s="76"/>
      <c r="R2723" s="76"/>
      <c r="S2723" s="76"/>
      <c r="T2723" s="76"/>
      <c r="U2723" s="76"/>
      <c r="V2723" s="76"/>
      <c r="W2723" s="76"/>
      <c r="X2723" s="76"/>
      <c r="Y2723" s="76"/>
      <c r="Z2723" s="76"/>
      <c r="AA2723" s="76"/>
      <c r="AB2723" s="76"/>
      <c r="AC2723" s="76"/>
      <c r="AD2723" s="76"/>
      <c r="AE2723" s="76"/>
      <c r="AF2723" s="76"/>
      <c r="AG2723" s="76"/>
      <c r="AH2723" s="76"/>
      <c r="AI2723" s="76"/>
      <c r="AJ2723" s="76"/>
      <c r="AK2723" s="76"/>
      <c r="AL2723" s="76"/>
      <c r="AM2723" s="76"/>
      <c r="AN2723" s="76"/>
      <c r="AO2723" s="76"/>
      <c r="AP2723" s="76"/>
      <c r="AQ2723" s="76"/>
      <c r="AR2723" s="76"/>
      <c r="AS2723" s="76"/>
      <c r="AT2723" s="76"/>
      <c r="AU2723" s="76"/>
      <c r="AV2723" s="76"/>
      <c r="AW2723" s="76"/>
      <c r="AX2723" s="76"/>
      <c r="AY2723" s="76"/>
      <c r="AZ2723" s="76"/>
      <c r="BA2723" s="76"/>
      <c r="BB2723" s="76"/>
    </row>
    <row r="2724" spans="5:54" x14ac:dyDescent="0.35">
      <c r="E2724" s="83"/>
      <c r="F2724" s="83"/>
      <c r="G2724" s="76"/>
      <c r="H2724" s="76"/>
      <c r="I2724" s="76"/>
      <c r="J2724" s="76"/>
      <c r="K2724" s="76"/>
      <c r="L2724" s="76"/>
      <c r="M2724" s="76"/>
      <c r="N2724" s="76"/>
      <c r="O2724" s="76"/>
      <c r="P2724" s="76"/>
      <c r="Q2724" s="76"/>
      <c r="R2724" s="76"/>
      <c r="S2724" s="76"/>
      <c r="T2724" s="76"/>
      <c r="U2724" s="76"/>
      <c r="V2724" s="76"/>
      <c r="W2724" s="76"/>
      <c r="X2724" s="76"/>
      <c r="Y2724" s="76"/>
      <c r="Z2724" s="76"/>
      <c r="AA2724" s="76"/>
      <c r="AB2724" s="76"/>
      <c r="AC2724" s="76"/>
      <c r="AD2724" s="76"/>
      <c r="AE2724" s="76"/>
      <c r="AF2724" s="76"/>
      <c r="AG2724" s="76"/>
      <c r="AH2724" s="76"/>
      <c r="AI2724" s="76"/>
      <c r="AJ2724" s="76"/>
      <c r="AK2724" s="76"/>
      <c r="AL2724" s="76"/>
      <c r="AM2724" s="76"/>
      <c r="AN2724" s="76"/>
      <c r="AO2724" s="76"/>
      <c r="AP2724" s="76"/>
      <c r="AQ2724" s="76"/>
      <c r="AR2724" s="76"/>
      <c r="AS2724" s="76"/>
      <c r="AT2724" s="76"/>
      <c r="AU2724" s="76"/>
      <c r="AV2724" s="76"/>
      <c r="AW2724" s="76"/>
      <c r="AX2724" s="76"/>
      <c r="AY2724" s="76"/>
      <c r="AZ2724" s="76"/>
      <c r="BA2724" s="76"/>
      <c r="BB2724" s="76"/>
    </row>
    <row r="2725" spans="5:54" x14ac:dyDescent="0.35">
      <c r="E2725" s="83"/>
      <c r="F2725" s="83"/>
      <c r="G2725" s="76"/>
      <c r="H2725" s="76"/>
      <c r="I2725" s="76"/>
      <c r="J2725" s="76"/>
      <c r="K2725" s="76"/>
      <c r="L2725" s="76"/>
      <c r="M2725" s="76"/>
      <c r="N2725" s="76"/>
      <c r="O2725" s="76"/>
      <c r="P2725" s="76"/>
      <c r="Q2725" s="76"/>
      <c r="R2725" s="76"/>
      <c r="S2725" s="76"/>
      <c r="T2725" s="76"/>
      <c r="U2725" s="76"/>
      <c r="V2725" s="76"/>
      <c r="W2725" s="76"/>
      <c r="X2725" s="76"/>
      <c r="Y2725" s="76"/>
      <c r="Z2725" s="76"/>
      <c r="AA2725" s="76"/>
      <c r="AB2725" s="76"/>
      <c r="AC2725" s="76"/>
      <c r="AD2725" s="76"/>
      <c r="AE2725" s="76"/>
      <c r="AF2725" s="76"/>
      <c r="AG2725" s="76"/>
      <c r="AH2725" s="76"/>
      <c r="AI2725" s="76"/>
      <c r="AJ2725" s="76"/>
      <c r="AK2725" s="76"/>
      <c r="AL2725" s="76"/>
      <c r="AM2725" s="76"/>
      <c r="AN2725" s="76"/>
      <c r="AO2725" s="76"/>
      <c r="AP2725" s="76"/>
      <c r="AQ2725" s="76"/>
      <c r="AR2725" s="76"/>
      <c r="AS2725" s="76"/>
      <c r="AT2725" s="76"/>
      <c r="AU2725" s="76"/>
      <c r="AV2725" s="76"/>
      <c r="AW2725" s="76"/>
      <c r="AX2725" s="76"/>
      <c r="AY2725" s="76"/>
      <c r="AZ2725" s="76"/>
      <c r="BA2725" s="76"/>
      <c r="BB2725" s="76"/>
    </row>
    <row r="2726" spans="5:54" x14ac:dyDescent="0.35">
      <c r="E2726" s="83"/>
      <c r="F2726" s="83"/>
      <c r="G2726" s="76"/>
      <c r="H2726" s="76"/>
      <c r="I2726" s="76"/>
      <c r="J2726" s="76"/>
      <c r="K2726" s="76"/>
      <c r="L2726" s="76"/>
      <c r="M2726" s="76"/>
      <c r="N2726" s="76"/>
      <c r="O2726" s="76"/>
      <c r="P2726" s="76"/>
      <c r="Q2726" s="76"/>
      <c r="R2726" s="76"/>
      <c r="S2726" s="76"/>
      <c r="T2726" s="76"/>
      <c r="U2726" s="76"/>
      <c r="V2726" s="76"/>
      <c r="W2726" s="76"/>
      <c r="X2726" s="76"/>
      <c r="Y2726" s="76"/>
      <c r="Z2726" s="76"/>
      <c r="AA2726" s="76"/>
      <c r="AB2726" s="76"/>
      <c r="AC2726" s="76"/>
      <c r="AD2726" s="76"/>
      <c r="AE2726" s="76"/>
      <c r="AF2726" s="76"/>
      <c r="AG2726" s="76"/>
      <c r="AH2726" s="76"/>
      <c r="AI2726" s="76"/>
      <c r="AJ2726" s="76"/>
      <c r="AK2726" s="76"/>
      <c r="AL2726" s="76"/>
      <c r="AM2726" s="76"/>
      <c r="AN2726" s="76"/>
      <c r="AO2726" s="76"/>
      <c r="AP2726" s="76"/>
      <c r="AQ2726" s="76"/>
      <c r="AR2726" s="76"/>
      <c r="AS2726" s="76"/>
      <c r="AT2726" s="76"/>
      <c r="AU2726" s="76"/>
      <c r="AV2726" s="76"/>
      <c r="AW2726" s="76"/>
      <c r="AX2726" s="76"/>
      <c r="AY2726" s="76"/>
      <c r="AZ2726" s="76"/>
      <c r="BA2726" s="76"/>
      <c r="BB2726" s="76"/>
    </row>
    <row r="2727" spans="5:54" x14ac:dyDescent="0.35">
      <c r="E2727" s="83"/>
      <c r="F2727" s="83"/>
      <c r="G2727" s="76"/>
      <c r="H2727" s="76"/>
      <c r="I2727" s="76"/>
      <c r="J2727" s="76"/>
      <c r="K2727" s="76"/>
      <c r="L2727" s="76"/>
      <c r="M2727" s="76"/>
      <c r="N2727" s="76"/>
      <c r="O2727" s="76"/>
      <c r="P2727" s="76"/>
      <c r="Q2727" s="76"/>
      <c r="R2727" s="76"/>
      <c r="S2727" s="76"/>
      <c r="T2727" s="76"/>
      <c r="U2727" s="76"/>
      <c r="V2727" s="76"/>
      <c r="W2727" s="76"/>
      <c r="X2727" s="76"/>
      <c r="Y2727" s="76"/>
      <c r="Z2727" s="76"/>
      <c r="AA2727" s="76"/>
      <c r="AB2727" s="76"/>
      <c r="AC2727" s="76"/>
      <c r="AD2727" s="76"/>
      <c r="AE2727" s="76"/>
      <c r="AF2727" s="76"/>
      <c r="AG2727" s="76"/>
      <c r="AH2727" s="76"/>
      <c r="AI2727" s="76"/>
      <c r="AJ2727" s="76"/>
      <c r="AK2727" s="76"/>
      <c r="AL2727" s="76"/>
      <c r="AM2727" s="76"/>
      <c r="AN2727" s="76"/>
      <c r="AO2727" s="76"/>
      <c r="AP2727" s="76"/>
      <c r="AQ2727" s="76"/>
      <c r="AR2727" s="76"/>
      <c r="AS2727" s="76"/>
      <c r="AT2727" s="76"/>
      <c r="AU2727" s="76"/>
      <c r="AV2727" s="76"/>
      <c r="AW2727" s="76"/>
      <c r="AX2727" s="76"/>
      <c r="AY2727" s="76"/>
      <c r="AZ2727" s="76"/>
      <c r="BA2727" s="76"/>
      <c r="BB2727" s="76"/>
    </row>
    <row r="2728" spans="5:54" x14ac:dyDescent="0.35">
      <c r="E2728" s="83"/>
      <c r="F2728" s="83"/>
      <c r="G2728" s="76"/>
      <c r="H2728" s="76"/>
      <c r="I2728" s="76"/>
      <c r="J2728" s="76"/>
      <c r="K2728" s="76"/>
      <c r="L2728" s="76"/>
      <c r="M2728" s="76"/>
      <c r="N2728" s="76"/>
      <c r="O2728" s="76"/>
      <c r="P2728" s="76"/>
      <c r="Q2728" s="76"/>
      <c r="R2728" s="76"/>
      <c r="S2728" s="76"/>
      <c r="T2728" s="76"/>
      <c r="U2728" s="76"/>
      <c r="V2728" s="76"/>
      <c r="W2728" s="76"/>
      <c r="X2728" s="76"/>
      <c r="Y2728" s="76"/>
      <c r="Z2728" s="76"/>
      <c r="AA2728" s="76"/>
      <c r="AB2728" s="76"/>
      <c r="AC2728" s="76"/>
      <c r="AD2728" s="76"/>
      <c r="AE2728" s="76"/>
      <c r="AF2728" s="76"/>
      <c r="AG2728" s="76"/>
      <c r="AH2728" s="76"/>
      <c r="AI2728" s="76"/>
      <c r="AJ2728" s="76"/>
      <c r="AK2728" s="76"/>
      <c r="AL2728" s="76"/>
      <c r="AM2728" s="76"/>
      <c r="AN2728" s="76"/>
      <c r="AO2728" s="76"/>
      <c r="AP2728" s="76"/>
      <c r="AQ2728" s="76"/>
      <c r="AR2728" s="76"/>
      <c r="AS2728" s="76"/>
      <c r="AT2728" s="76"/>
      <c r="AU2728" s="76"/>
      <c r="AV2728" s="76"/>
      <c r="AW2728" s="76"/>
      <c r="AX2728" s="76"/>
      <c r="AY2728" s="76"/>
      <c r="AZ2728" s="76"/>
      <c r="BA2728" s="76"/>
      <c r="BB2728" s="76"/>
    </row>
    <row r="2729" spans="5:54" x14ac:dyDescent="0.35">
      <c r="E2729" s="83"/>
      <c r="F2729" s="83"/>
      <c r="G2729" s="76"/>
      <c r="H2729" s="76"/>
      <c r="I2729" s="76"/>
      <c r="J2729" s="76"/>
      <c r="K2729" s="76"/>
      <c r="L2729" s="76"/>
      <c r="M2729" s="76"/>
      <c r="N2729" s="76"/>
      <c r="O2729" s="76"/>
      <c r="P2729" s="76"/>
      <c r="Q2729" s="76"/>
      <c r="R2729" s="76"/>
      <c r="S2729" s="76"/>
      <c r="T2729" s="76"/>
      <c r="U2729" s="76"/>
      <c r="V2729" s="76"/>
      <c r="W2729" s="76"/>
      <c r="X2729" s="76"/>
      <c r="Y2729" s="76"/>
      <c r="Z2729" s="76"/>
      <c r="AA2729" s="76"/>
      <c r="AB2729" s="76"/>
      <c r="AC2729" s="76"/>
      <c r="AD2729" s="76"/>
      <c r="AE2729" s="76"/>
      <c r="AF2729" s="76"/>
      <c r="AG2729" s="76"/>
      <c r="AH2729" s="76"/>
      <c r="AI2729" s="76"/>
      <c r="AJ2729" s="76"/>
      <c r="AK2729" s="76"/>
      <c r="AL2729" s="76"/>
      <c r="AM2729" s="76"/>
      <c r="AN2729" s="76"/>
      <c r="AO2729" s="76"/>
      <c r="AP2729" s="76"/>
      <c r="AQ2729" s="76"/>
      <c r="AR2729" s="76"/>
      <c r="AS2729" s="76"/>
      <c r="AT2729" s="76"/>
      <c r="AU2729" s="76"/>
      <c r="AV2729" s="76"/>
      <c r="AW2729" s="76"/>
      <c r="AX2729" s="76"/>
      <c r="AY2729" s="76"/>
      <c r="AZ2729" s="76"/>
      <c r="BA2729" s="76"/>
      <c r="BB2729" s="76"/>
    </row>
    <row r="2730" spans="5:54" x14ac:dyDescent="0.35">
      <c r="E2730" s="83"/>
      <c r="F2730" s="83"/>
      <c r="G2730" s="76"/>
      <c r="H2730" s="76"/>
      <c r="I2730" s="76"/>
      <c r="J2730" s="76"/>
      <c r="K2730" s="76"/>
      <c r="L2730" s="76"/>
      <c r="M2730" s="76"/>
      <c r="N2730" s="76"/>
      <c r="O2730" s="76"/>
      <c r="P2730" s="76"/>
      <c r="Q2730" s="76"/>
      <c r="R2730" s="76"/>
      <c r="S2730" s="76"/>
      <c r="T2730" s="76"/>
      <c r="U2730" s="76"/>
      <c r="V2730" s="76"/>
      <c r="W2730" s="76"/>
      <c r="X2730" s="76"/>
      <c r="Y2730" s="76"/>
      <c r="Z2730" s="76"/>
      <c r="AA2730" s="76"/>
      <c r="AB2730" s="76"/>
      <c r="AC2730" s="76"/>
      <c r="AD2730" s="76"/>
      <c r="AE2730" s="76"/>
      <c r="AF2730" s="76"/>
      <c r="AG2730" s="76"/>
      <c r="AH2730" s="76"/>
      <c r="AI2730" s="76"/>
      <c r="AJ2730" s="76"/>
      <c r="AK2730" s="76"/>
      <c r="AL2730" s="76"/>
      <c r="AM2730" s="76"/>
      <c r="AN2730" s="76"/>
      <c r="AO2730" s="76"/>
      <c r="AP2730" s="76"/>
      <c r="AQ2730" s="76"/>
      <c r="AR2730" s="76"/>
      <c r="AS2730" s="76"/>
      <c r="AT2730" s="76"/>
      <c r="AU2730" s="76"/>
      <c r="AV2730" s="76"/>
      <c r="AW2730" s="76"/>
      <c r="AX2730" s="76"/>
      <c r="AY2730" s="76"/>
      <c r="AZ2730" s="76"/>
      <c r="BA2730" s="76"/>
      <c r="BB2730" s="76"/>
    </row>
    <row r="2731" spans="5:54" x14ac:dyDescent="0.35">
      <c r="E2731" s="83"/>
      <c r="F2731" s="83"/>
      <c r="G2731" s="76"/>
      <c r="H2731" s="76"/>
      <c r="I2731" s="76"/>
      <c r="J2731" s="76"/>
      <c r="K2731" s="76"/>
      <c r="L2731" s="76"/>
      <c r="M2731" s="76"/>
      <c r="N2731" s="76"/>
      <c r="O2731" s="76"/>
      <c r="P2731" s="76"/>
      <c r="Q2731" s="76"/>
      <c r="R2731" s="76"/>
      <c r="S2731" s="76"/>
      <c r="T2731" s="76"/>
      <c r="U2731" s="76"/>
      <c r="V2731" s="76"/>
      <c r="W2731" s="76"/>
      <c r="X2731" s="76"/>
      <c r="Y2731" s="76"/>
      <c r="Z2731" s="76"/>
      <c r="AA2731" s="76"/>
      <c r="AB2731" s="76"/>
      <c r="AC2731" s="76"/>
      <c r="AD2731" s="76"/>
      <c r="AE2731" s="76"/>
      <c r="AF2731" s="76"/>
      <c r="AG2731" s="76"/>
      <c r="AH2731" s="76"/>
      <c r="AI2731" s="76"/>
      <c r="AJ2731" s="76"/>
      <c r="AK2731" s="76"/>
      <c r="AL2731" s="76"/>
      <c r="AM2731" s="76"/>
      <c r="AN2731" s="76"/>
      <c r="AO2731" s="76"/>
      <c r="AP2731" s="76"/>
      <c r="AQ2731" s="76"/>
      <c r="AR2731" s="76"/>
      <c r="AS2731" s="76"/>
      <c r="AT2731" s="76"/>
      <c r="AU2731" s="76"/>
      <c r="AV2731" s="76"/>
      <c r="AW2731" s="76"/>
      <c r="AX2731" s="76"/>
      <c r="AY2731" s="76"/>
      <c r="AZ2731" s="76"/>
      <c r="BA2731" s="76"/>
      <c r="BB2731" s="76"/>
    </row>
    <row r="2732" spans="5:54" x14ac:dyDescent="0.35">
      <c r="E2732" s="83"/>
      <c r="F2732" s="83"/>
      <c r="G2732" s="76"/>
      <c r="H2732" s="76"/>
      <c r="I2732" s="76"/>
      <c r="J2732" s="76"/>
      <c r="K2732" s="76"/>
      <c r="L2732" s="76"/>
      <c r="M2732" s="76"/>
      <c r="N2732" s="76"/>
      <c r="O2732" s="76"/>
      <c r="P2732" s="76"/>
      <c r="Q2732" s="76"/>
      <c r="R2732" s="76"/>
      <c r="S2732" s="76"/>
      <c r="T2732" s="76"/>
      <c r="U2732" s="76"/>
      <c r="V2732" s="76"/>
      <c r="W2732" s="76"/>
      <c r="X2732" s="76"/>
      <c r="Y2732" s="76"/>
      <c r="Z2732" s="76"/>
      <c r="AA2732" s="76"/>
      <c r="AB2732" s="76"/>
      <c r="AC2732" s="76"/>
      <c r="AD2732" s="76"/>
      <c r="AE2732" s="76"/>
      <c r="AF2732" s="76"/>
      <c r="AG2732" s="76"/>
      <c r="AH2732" s="76"/>
      <c r="AI2732" s="76"/>
      <c r="AJ2732" s="76"/>
      <c r="AK2732" s="76"/>
      <c r="AL2732" s="76"/>
      <c r="AM2732" s="76"/>
      <c r="AN2732" s="76"/>
      <c r="AO2732" s="76"/>
      <c r="AP2732" s="76"/>
      <c r="AQ2732" s="76"/>
      <c r="AR2732" s="76"/>
      <c r="AS2732" s="76"/>
      <c r="AT2732" s="76"/>
      <c r="AU2732" s="76"/>
      <c r="AV2732" s="76"/>
      <c r="AW2732" s="76"/>
      <c r="AX2732" s="76"/>
      <c r="AY2732" s="76"/>
      <c r="AZ2732" s="76"/>
      <c r="BA2732" s="76"/>
      <c r="BB2732" s="76"/>
    </row>
    <row r="2733" spans="5:54" x14ac:dyDescent="0.35">
      <c r="E2733" s="83"/>
      <c r="F2733" s="83"/>
      <c r="G2733" s="76"/>
      <c r="H2733" s="76"/>
      <c r="I2733" s="76"/>
      <c r="J2733" s="76"/>
      <c r="K2733" s="76"/>
      <c r="L2733" s="76"/>
      <c r="M2733" s="76"/>
      <c r="N2733" s="76"/>
      <c r="O2733" s="76"/>
      <c r="P2733" s="76"/>
      <c r="Q2733" s="76"/>
      <c r="R2733" s="76"/>
      <c r="S2733" s="76"/>
      <c r="T2733" s="76"/>
      <c r="U2733" s="76"/>
      <c r="V2733" s="76"/>
      <c r="W2733" s="76"/>
      <c r="X2733" s="76"/>
      <c r="Y2733" s="76"/>
      <c r="Z2733" s="76"/>
      <c r="AA2733" s="76"/>
      <c r="AB2733" s="76"/>
      <c r="AC2733" s="76"/>
      <c r="AD2733" s="76"/>
      <c r="AE2733" s="76"/>
      <c r="AF2733" s="76"/>
      <c r="AG2733" s="76"/>
      <c r="AH2733" s="76"/>
      <c r="AI2733" s="76"/>
      <c r="AJ2733" s="76"/>
      <c r="AK2733" s="76"/>
      <c r="AL2733" s="76"/>
      <c r="AM2733" s="76"/>
      <c r="AN2733" s="76"/>
      <c r="AO2733" s="76"/>
      <c r="AP2733" s="76"/>
      <c r="AQ2733" s="76"/>
      <c r="AR2733" s="76"/>
      <c r="AS2733" s="76"/>
      <c r="AT2733" s="76"/>
      <c r="AU2733" s="76"/>
      <c r="AV2733" s="76"/>
      <c r="AW2733" s="76"/>
      <c r="AX2733" s="76"/>
      <c r="AY2733" s="76"/>
      <c r="AZ2733" s="76"/>
      <c r="BA2733" s="76"/>
      <c r="BB2733" s="76"/>
    </row>
    <row r="2734" spans="5:54" x14ac:dyDescent="0.35">
      <c r="E2734" s="83"/>
      <c r="F2734" s="83"/>
      <c r="G2734" s="76"/>
      <c r="H2734" s="76"/>
      <c r="I2734" s="76"/>
      <c r="J2734" s="76"/>
      <c r="K2734" s="76"/>
      <c r="L2734" s="76"/>
      <c r="M2734" s="76"/>
      <c r="N2734" s="76"/>
      <c r="O2734" s="76"/>
      <c r="P2734" s="76"/>
      <c r="Q2734" s="76"/>
      <c r="R2734" s="76"/>
      <c r="S2734" s="76"/>
      <c r="T2734" s="76"/>
      <c r="U2734" s="76"/>
      <c r="V2734" s="76"/>
      <c r="W2734" s="76"/>
      <c r="X2734" s="76"/>
      <c r="Y2734" s="76"/>
      <c r="Z2734" s="76"/>
      <c r="AA2734" s="76"/>
      <c r="AB2734" s="76"/>
      <c r="AC2734" s="76"/>
      <c r="AD2734" s="76"/>
      <c r="AE2734" s="76"/>
      <c r="AF2734" s="76"/>
      <c r="AG2734" s="76"/>
      <c r="AH2734" s="76"/>
      <c r="AI2734" s="76"/>
      <c r="AJ2734" s="76"/>
      <c r="AK2734" s="76"/>
      <c r="AL2734" s="76"/>
      <c r="AM2734" s="76"/>
      <c r="AN2734" s="76"/>
      <c r="AO2734" s="76"/>
      <c r="AP2734" s="76"/>
      <c r="AQ2734" s="76"/>
      <c r="AR2734" s="76"/>
      <c r="AS2734" s="76"/>
      <c r="AT2734" s="76"/>
      <c r="AU2734" s="76"/>
      <c r="AV2734" s="76"/>
      <c r="AW2734" s="76"/>
      <c r="AX2734" s="76"/>
      <c r="AY2734" s="76"/>
      <c r="AZ2734" s="76"/>
      <c r="BA2734" s="76"/>
      <c r="BB2734" s="76"/>
    </row>
    <row r="2735" spans="5:54" x14ac:dyDescent="0.35">
      <c r="E2735" s="83"/>
      <c r="F2735" s="83"/>
      <c r="G2735" s="76"/>
      <c r="H2735" s="76"/>
      <c r="I2735" s="76"/>
      <c r="J2735" s="76"/>
      <c r="K2735" s="76"/>
      <c r="L2735" s="76"/>
      <c r="M2735" s="76"/>
      <c r="N2735" s="76"/>
      <c r="O2735" s="76"/>
      <c r="P2735" s="76"/>
      <c r="Q2735" s="76"/>
      <c r="R2735" s="76"/>
      <c r="S2735" s="76"/>
      <c r="T2735" s="76"/>
      <c r="U2735" s="76"/>
      <c r="V2735" s="76"/>
      <c r="W2735" s="76"/>
      <c r="X2735" s="76"/>
      <c r="Y2735" s="76"/>
      <c r="Z2735" s="76"/>
      <c r="AA2735" s="76"/>
      <c r="AB2735" s="76"/>
      <c r="AC2735" s="76"/>
      <c r="AD2735" s="76"/>
      <c r="AE2735" s="76"/>
      <c r="AF2735" s="76"/>
      <c r="AG2735" s="76"/>
      <c r="AH2735" s="76"/>
      <c r="AI2735" s="76"/>
      <c r="AJ2735" s="76"/>
      <c r="AK2735" s="76"/>
      <c r="AL2735" s="76"/>
      <c r="AM2735" s="76"/>
      <c r="AN2735" s="76"/>
      <c r="AO2735" s="76"/>
      <c r="AP2735" s="76"/>
      <c r="AQ2735" s="76"/>
      <c r="AR2735" s="76"/>
      <c r="AS2735" s="76"/>
      <c r="AT2735" s="76"/>
      <c r="AU2735" s="76"/>
      <c r="AV2735" s="76"/>
      <c r="AW2735" s="76"/>
      <c r="AX2735" s="76"/>
      <c r="AY2735" s="76"/>
      <c r="AZ2735" s="76"/>
      <c r="BA2735" s="76"/>
      <c r="BB2735" s="76"/>
    </row>
    <row r="2736" spans="5:54" x14ac:dyDescent="0.35">
      <c r="E2736" s="83"/>
      <c r="F2736" s="83"/>
      <c r="G2736" s="76"/>
      <c r="H2736" s="76"/>
      <c r="I2736" s="76"/>
      <c r="J2736" s="76"/>
      <c r="K2736" s="76"/>
      <c r="L2736" s="76"/>
      <c r="M2736" s="76"/>
      <c r="N2736" s="76"/>
      <c r="O2736" s="76"/>
      <c r="P2736" s="76"/>
      <c r="Q2736" s="76"/>
      <c r="R2736" s="76"/>
      <c r="S2736" s="76"/>
      <c r="T2736" s="76"/>
      <c r="U2736" s="76"/>
      <c r="V2736" s="76"/>
      <c r="W2736" s="76"/>
      <c r="X2736" s="76"/>
      <c r="Y2736" s="76"/>
      <c r="Z2736" s="76"/>
      <c r="AA2736" s="76"/>
      <c r="AB2736" s="76"/>
      <c r="AC2736" s="76"/>
      <c r="AD2736" s="76"/>
      <c r="AE2736" s="76"/>
      <c r="AF2736" s="76"/>
      <c r="AG2736" s="76"/>
      <c r="AH2736" s="76"/>
      <c r="AI2736" s="76"/>
      <c r="AJ2736" s="76"/>
      <c r="AK2736" s="76"/>
      <c r="AL2736" s="76"/>
      <c r="AM2736" s="76"/>
      <c r="AN2736" s="76"/>
      <c r="AO2736" s="76"/>
      <c r="AP2736" s="76"/>
      <c r="AQ2736" s="76"/>
      <c r="AR2736" s="76"/>
      <c r="AS2736" s="76"/>
      <c r="AT2736" s="76"/>
      <c r="AU2736" s="76"/>
      <c r="AV2736" s="76"/>
      <c r="AW2736" s="76"/>
      <c r="AX2736" s="76"/>
      <c r="AY2736" s="76"/>
      <c r="AZ2736" s="76"/>
      <c r="BA2736" s="76"/>
      <c r="BB2736" s="76"/>
    </row>
    <row r="2737" spans="5:54" x14ac:dyDescent="0.35">
      <c r="E2737" s="83"/>
      <c r="F2737" s="83"/>
      <c r="G2737" s="76"/>
      <c r="H2737" s="76"/>
      <c r="I2737" s="76"/>
      <c r="J2737" s="76"/>
      <c r="K2737" s="76"/>
      <c r="L2737" s="76"/>
      <c r="M2737" s="76"/>
      <c r="N2737" s="76"/>
      <c r="O2737" s="76"/>
      <c r="P2737" s="76"/>
      <c r="Q2737" s="76"/>
      <c r="R2737" s="76"/>
      <c r="S2737" s="76"/>
      <c r="T2737" s="76"/>
      <c r="U2737" s="76"/>
      <c r="V2737" s="76"/>
      <c r="W2737" s="76"/>
      <c r="X2737" s="76"/>
      <c r="Y2737" s="76"/>
      <c r="Z2737" s="76"/>
      <c r="AA2737" s="76"/>
      <c r="AB2737" s="76"/>
      <c r="AC2737" s="76"/>
      <c r="AD2737" s="76"/>
      <c r="AE2737" s="76"/>
      <c r="AF2737" s="76"/>
      <c r="AG2737" s="76"/>
      <c r="AH2737" s="76"/>
      <c r="AI2737" s="76"/>
      <c r="AJ2737" s="76"/>
      <c r="AK2737" s="76"/>
      <c r="AL2737" s="76"/>
      <c r="AM2737" s="76"/>
      <c r="AN2737" s="76"/>
      <c r="AO2737" s="76"/>
      <c r="AP2737" s="76"/>
      <c r="AQ2737" s="76"/>
      <c r="AR2737" s="76"/>
      <c r="AS2737" s="76"/>
      <c r="AT2737" s="76"/>
      <c r="AU2737" s="76"/>
      <c r="AV2737" s="76"/>
      <c r="AW2737" s="76"/>
      <c r="AX2737" s="76"/>
      <c r="AY2737" s="76"/>
      <c r="AZ2737" s="76"/>
      <c r="BA2737" s="76"/>
      <c r="BB2737" s="76"/>
    </row>
    <row r="2738" spans="5:54" x14ac:dyDescent="0.35">
      <c r="E2738" s="83"/>
      <c r="F2738" s="83"/>
      <c r="G2738" s="76"/>
      <c r="H2738" s="76"/>
      <c r="I2738" s="76"/>
      <c r="J2738" s="76"/>
      <c r="K2738" s="76"/>
      <c r="L2738" s="76"/>
      <c r="M2738" s="76"/>
      <c r="N2738" s="76"/>
      <c r="O2738" s="76"/>
      <c r="P2738" s="76"/>
      <c r="Q2738" s="76"/>
      <c r="R2738" s="76"/>
      <c r="S2738" s="76"/>
      <c r="T2738" s="76"/>
      <c r="U2738" s="76"/>
      <c r="V2738" s="76"/>
      <c r="W2738" s="76"/>
      <c r="X2738" s="76"/>
      <c r="Y2738" s="76"/>
      <c r="Z2738" s="76"/>
      <c r="AA2738" s="76"/>
      <c r="AB2738" s="76"/>
      <c r="AC2738" s="76"/>
      <c r="AD2738" s="76"/>
      <c r="AE2738" s="76"/>
      <c r="AF2738" s="76"/>
      <c r="AG2738" s="76"/>
      <c r="AH2738" s="76"/>
      <c r="AI2738" s="76"/>
      <c r="AJ2738" s="76"/>
      <c r="AK2738" s="76"/>
      <c r="AL2738" s="76"/>
      <c r="AM2738" s="76"/>
      <c r="AN2738" s="76"/>
      <c r="AO2738" s="76"/>
      <c r="AP2738" s="76"/>
      <c r="AQ2738" s="76"/>
      <c r="AR2738" s="76"/>
      <c r="AS2738" s="76"/>
      <c r="AT2738" s="76"/>
      <c r="AU2738" s="76"/>
      <c r="AV2738" s="76"/>
      <c r="AW2738" s="76"/>
      <c r="AX2738" s="76"/>
      <c r="AY2738" s="76"/>
      <c r="AZ2738" s="76"/>
      <c r="BA2738" s="76"/>
      <c r="BB2738" s="76"/>
    </row>
    <row r="2739" spans="5:54" x14ac:dyDescent="0.35">
      <c r="E2739" s="83"/>
      <c r="F2739" s="83"/>
      <c r="G2739" s="76"/>
      <c r="H2739" s="76"/>
      <c r="I2739" s="76"/>
      <c r="J2739" s="76"/>
      <c r="K2739" s="76"/>
      <c r="L2739" s="76"/>
      <c r="M2739" s="76"/>
      <c r="N2739" s="76"/>
      <c r="O2739" s="76"/>
      <c r="P2739" s="76"/>
      <c r="Q2739" s="76"/>
      <c r="R2739" s="76"/>
      <c r="S2739" s="76"/>
      <c r="T2739" s="76"/>
      <c r="U2739" s="76"/>
      <c r="V2739" s="76"/>
      <c r="W2739" s="76"/>
      <c r="X2739" s="76"/>
      <c r="Y2739" s="76"/>
      <c r="Z2739" s="76"/>
      <c r="AA2739" s="76"/>
      <c r="AB2739" s="76"/>
      <c r="AC2739" s="76"/>
      <c r="AD2739" s="76"/>
      <c r="AE2739" s="76"/>
      <c r="AF2739" s="76"/>
      <c r="AG2739" s="76"/>
      <c r="AH2739" s="76"/>
      <c r="AI2739" s="76"/>
      <c r="AJ2739" s="76"/>
      <c r="AK2739" s="76"/>
      <c r="AL2739" s="76"/>
      <c r="AM2739" s="76"/>
      <c r="AN2739" s="76"/>
      <c r="AO2739" s="76"/>
      <c r="AP2739" s="76"/>
      <c r="AQ2739" s="76"/>
      <c r="AR2739" s="76"/>
      <c r="AS2739" s="76"/>
      <c r="AT2739" s="76"/>
      <c r="AU2739" s="76"/>
      <c r="AV2739" s="76"/>
      <c r="AW2739" s="76"/>
      <c r="AX2739" s="76"/>
      <c r="AY2739" s="76"/>
      <c r="AZ2739" s="76"/>
      <c r="BA2739" s="76"/>
      <c r="BB2739" s="76"/>
    </row>
    <row r="2740" spans="5:54" x14ac:dyDescent="0.35">
      <c r="E2740" s="83"/>
      <c r="F2740" s="83"/>
      <c r="G2740" s="76"/>
      <c r="H2740" s="76"/>
      <c r="I2740" s="76"/>
      <c r="J2740" s="76"/>
      <c r="K2740" s="76"/>
      <c r="L2740" s="76"/>
      <c r="M2740" s="76"/>
      <c r="N2740" s="76"/>
      <c r="O2740" s="76"/>
      <c r="P2740" s="76"/>
      <c r="Q2740" s="76"/>
      <c r="R2740" s="76"/>
      <c r="S2740" s="76"/>
      <c r="T2740" s="76"/>
      <c r="U2740" s="76"/>
      <c r="V2740" s="76"/>
      <c r="W2740" s="76"/>
      <c r="X2740" s="76"/>
      <c r="Y2740" s="76"/>
      <c r="Z2740" s="76"/>
      <c r="AA2740" s="76"/>
      <c r="AB2740" s="76"/>
      <c r="AC2740" s="76"/>
      <c r="AD2740" s="76"/>
      <c r="AE2740" s="76"/>
      <c r="AF2740" s="76"/>
      <c r="AG2740" s="76"/>
      <c r="AH2740" s="76"/>
      <c r="AI2740" s="76"/>
      <c r="AJ2740" s="76"/>
      <c r="AK2740" s="76"/>
      <c r="AL2740" s="76"/>
      <c r="AM2740" s="76"/>
      <c r="AN2740" s="76"/>
      <c r="AO2740" s="76"/>
      <c r="AP2740" s="76"/>
      <c r="AQ2740" s="76"/>
      <c r="AR2740" s="76"/>
      <c r="AS2740" s="76"/>
      <c r="AT2740" s="76"/>
      <c r="AU2740" s="76"/>
      <c r="AV2740" s="76"/>
      <c r="AW2740" s="76"/>
      <c r="AX2740" s="76"/>
      <c r="AY2740" s="76"/>
      <c r="AZ2740" s="76"/>
      <c r="BA2740" s="76"/>
      <c r="BB2740" s="76"/>
    </row>
    <row r="2741" spans="5:54" x14ac:dyDescent="0.35">
      <c r="E2741" s="83"/>
      <c r="F2741" s="83"/>
      <c r="G2741" s="76"/>
      <c r="H2741" s="76"/>
      <c r="I2741" s="76"/>
      <c r="J2741" s="76"/>
      <c r="K2741" s="76"/>
      <c r="L2741" s="76"/>
      <c r="M2741" s="76"/>
      <c r="N2741" s="76"/>
      <c r="O2741" s="76"/>
      <c r="P2741" s="76"/>
      <c r="Q2741" s="76"/>
      <c r="R2741" s="76"/>
      <c r="S2741" s="76"/>
      <c r="T2741" s="76"/>
      <c r="U2741" s="76"/>
      <c r="V2741" s="76"/>
      <c r="W2741" s="76"/>
      <c r="X2741" s="76"/>
      <c r="Y2741" s="76"/>
      <c r="Z2741" s="76"/>
      <c r="AA2741" s="76"/>
      <c r="AB2741" s="76"/>
      <c r="AC2741" s="76"/>
      <c r="AD2741" s="76"/>
      <c r="AE2741" s="76"/>
      <c r="AF2741" s="76"/>
      <c r="AG2741" s="76"/>
      <c r="AH2741" s="76"/>
      <c r="AI2741" s="76"/>
      <c r="AJ2741" s="76"/>
      <c r="AK2741" s="76"/>
      <c r="AL2741" s="76"/>
      <c r="AM2741" s="76"/>
      <c r="AN2741" s="76"/>
      <c r="AO2741" s="76"/>
      <c r="AP2741" s="76"/>
      <c r="AQ2741" s="76"/>
      <c r="AR2741" s="76"/>
      <c r="AS2741" s="76"/>
      <c r="AT2741" s="76"/>
      <c r="AU2741" s="76"/>
      <c r="AV2741" s="76"/>
      <c r="AW2741" s="76"/>
      <c r="AX2741" s="76"/>
      <c r="AY2741" s="76"/>
      <c r="AZ2741" s="76"/>
      <c r="BA2741" s="76"/>
      <c r="BB2741" s="76"/>
    </row>
    <row r="2742" spans="5:54" x14ac:dyDescent="0.35">
      <c r="E2742" s="83"/>
      <c r="F2742" s="83"/>
      <c r="G2742" s="76"/>
      <c r="H2742" s="76"/>
      <c r="I2742" s="76"/>
      <c r="J2742" s="76"/>
      <c r="K2742" s="76"/>
      <c r="L2742" s="76"/>
      <c r="M2742" s="76"/>
      <c r="N2742" s="76"/>
      <c r="O2742" s="76"/>
      <c r="P2742" s="76"/>
      <c r="Q2742" s="76"/>
      <c r="R2742" s="76"/>
      <c r="S2742" s="76"/>
      <c r="T2742" s="76"/>
      <c r="U2742" s="76"/>
      <c r="V2742" s="76"/>
      <c r="W2742" s="76"/>
      <c r="X2742" s="76"/>
      <c r="Y2742" s="76"/>
      <c r="Z2742" s="76"/>
      <c r="AA2742" s="76"/>
      <c r="AB2742" s="76"/>
      <c r="AC2742" s="76"/>
      <c r="AD2742" s="76"/>
      <c r="AE2742" s="76"/>
      <c r="AF2742" s="76"/>
      <c r="AG2742" s="76"/>
      <c r="AH2742" s="76"/>
      <c r="AI2742" s="76"/>
      <c r="AJ2742" s="76"/>
      <c r="AK2742" s="76"/>
      <c r="AL2742" s="76"/>
      <c r="AM2742" s="76"/>
      <c r="AN2742" s="76"/>
      <c r="AO2742" s="76"/>
      <c r="AP2742" s="76"/>
      <c r="AQ2742" s="76"/>
      <c r="AR2742" s="76"/>
      <c r="AS2742" s="76"/>
      <c r="AT2742" s="76"/>
      <c r="AU2742" s="76"/>
      <c r="AV2742" s="76"/>
      <c r="AW2742" s="76"/>
      <c r="AX2742" s="76"/>
      <c r="AY2742" s="76"/>
      <c r="AZ2742" s="76"/>
      <c r="BA2742" s="76"/>
      <c r="BB2742" s="76"/>
    </row>
    <row r="2743" spans="5:54" x14ac:dyDescent="0.35">
      <c r="E2743" s="83"/>
      <c r="F2743" s="83"/>
      <c r="G2743" s="76"/>
      <c r="H2743" s="76"/>
      <c r="I2743" s="76"/>
      <c r="J2743" s="76"/>
      <c r="K2743" s="76"/>
      <c r="L2743" s="76"/>
      <c r="M2743" s="76"/>
      <c r="N2743" s="76"/>
      <c r="O2743" s="76"/>
      <c r="P2743" s="76"/>
      <c r="Q2743" s="76"/>
      <c r="R2743" s="76"/>
      <c r="S2743" s="76"/>
      <c r="T2743" s="76"/>
      <c r="U2743" s="76"/>
      <c r="V2743" s="76"/>
      <c r="W2743" s="76"/>
      <c r="X2743" s="76"/>
      <c r="Y2743" s="76"/>
      <c r="Z2743" s="76"/>
      <c r="AA2743" s="76"/>
      <c r="AB2743" s="76"/>
      <c r="AC2743" s="76"/>
      <c r="AD2743" s="76"/>
      <c r="AE2743" s="76"/>
      <c r="AF2743" s="76"/>
      <c r="AG2743" s="76"/>
      <c r="AH2743" s="76"/>
      <c r="AI2743" s="76"/>
      <c r="AJ2743" s="76"/>
      <c r="AK2743" s="76"/>
      <c r="AL2743" s="76"/>
      <c r="AM2743" s="76"/>
      <c r="AN2743" s="76"/>
      <c r="AO2743" s="76"/>
      <c r="AP2743" s="76"/>
      <c r="AQ2743" s="76"/>
      <c r="AR2743" s="76"/>
      <c r="AS2743" s="76"/>
      <c r="AT2743" s="76"/>
      <c r="AU2743" s="76"/>
      <c r="AV2743" s="76"/>
      <c r="AW2743" s="76"/>
      <c r="AX2743" s="76"/>
      <c r="AY2743" s="76"/>
      <c r="AZ2743" s="76"/>
      <c r="BA2743" s="76"/>
      <c r="BB2743" s="76"/>
    </row>
    <row r="2744" spans="5:54" x14ac:dyDescent="0.35">
      <c r="E2744" s="83"/>
      <c r="F2744" s="83"/>
      <c r="G2744" s="76"/>
      <c r="H2744" s="76"/>
      <c r="I2744" s="76"/>
      <c r="J2744" s="76"/>
      <c r="K2744" s="76"/>
      <c r="L2744" s="76"/>
      <c r="M2744" s="76"/>
      <c r="N2744" s="76"/>
      <c r="O2744" s="76"/>
      <c r="P2744" s="76"/>
      <c r="Q2744" s="76"/>
      <c r="R2744" s="76"/>
      <c r="S2744" s="76"/>
      <c r="T2744" s="76"/>
      <c r="U2744" s="76"/>
      <c r="V2744" s="76"/>
      <c r="W2744" s="76"/>
      <c r="X2744" s="76"/>
      <c r="Y2744" s="76"/>
      <c r="Z2744" s="76"/>
      <c r="AA2744" s="76"/>
      <c r="AB2744" s="76"/>
      <c r="AC2744" s="76"/>
      <c r="AD2744" s="76"/>
      <c r="AE2744" s="76"/>
      <c r="AF2744" s="76"/>
      <c r="AG2744" s="76"/>
      <c r="AH2744" s="76"/>
      <c r="AI2744" s="76"/>
      <c r="AJ2744" s="76"/>
      <c r="AK2744" s="76"/>
      <c r="AL2744" s="76"/>
      <c r="AM2744" s="76"/>
      <c r="AN2744" s="76"/>
      <c r="AO2744" s="76"/>
      <c r="AP2744" s="76"/>
      <c r="AQ2744" s="76"/>
      <c r="AR2744" s="76"/>
      <c r="AS2744" s="76"/>
      <c r="AT2744" s="76"/>
      <c r="AU2744" s="76"/>
      <c r="AV2744" s="76"/>
      <c r="AW2744" s="76"/>
      <c r="AX2744" s="76"/>
      <c r="AY2744" s="76"/>
      <c r="AZ2744" s="76"/>
      <c r="BA2744" s="76"/>
      <c r="BB2744" s="76"/>
    </row>
    <row r="2745" spans="5:54" x14ac:dyDescent="0.35">
      <c r="E2745" s="83"/>
      <c r="F2745" s="83"/>
      <c r="G2745" s="76"/>
      <c r="H2745" s="76"/>
      <c r="I2745" s="76"/>
      <c r="J2745" s="76"/>
      <c r="K2745" s="76"/>
      <c r="L2745" s="76"/>
      <c r="M2745" s="76"/>
      <c r="N2745" s="76"/>
      <c r="O2745" s="76"/>
      <c r="P2745" s="76"/>
      <c r="Q2745" s="76"/>
      <c r="R2745" s="76"/>
      <c r="S2745" s="76"/>
      <c r="T2745" s="76"/>
      <c r="U2745" s="76"/>
      <c r="V2745" s="76"/>
      <c r="W2745" s="76"/>
      <c r="X2745" s="76"/>
      <c r="Y2745" s="76"/>
      <c r="Z2745" s="76"/>
      <c r="AA2745" s="76"/>
      <c r="AB2745" s="76"/>
      <c r="AC2745" s="76"/>
      <c r="AD2745" s="76"/>
      <c r="AE2745" s="76"/>
      <c r="AF2745" s="76"/>
      <c r="AG2745" s="76"/>
      <c r="AH2745" s="76"/>
      <c r="AI2745" s="76"/>
      <c r="AJ2745" s="76"/>
      <c r="AK2745" s="76"/>
      <c r="AL2745" s="76"/>
      <c r="AM2745" s="76"/>
      <c r="AN2745" s="76"/>
      <c r="AO2745" s="76"/>
      <c r="AP2745" s="76"/>
      <c r="AQ2745" s="76"/>
      <c r="AR2745" s="76"/>
      <c r="AS2745" s="76"/>
      <c r="AT2745" s="76"/>
      <c r="AU2745" s="76"/>
      <c r="AV2745" s="76"/>
      <c r="AW2745" s="76"/>
      <c r="AX2745" s="76"/>
      <c r="AY2745" s="76"/>
      <c r="AZ2745" s="76"/>
      <c r="BA2745" s="76"/>
      <c r="BB2745" s="76"/>
    </row>
    <row r="2746" spans="5:54" x14ac:dyDescent="0.35">
      <c r="E2746" s="83"/>
      <c r="F2746" s="83"/>
      <c r="G2746" s="76"/>
      <c r="H2746" s="76"/>
      <c r="I2746" s="76"/>
      <c r="J2746" s="76"/>
      <c r="K2746" s="76"/>
      <c r="L2746" s="76"/>
      <c r="M2746" s="76"/>
      <c r="N2746" s="76"/>
      <c r="O2746" s="76"/>
      <c r="P2746" s="76"/>
      <c r="Q2746" s="76"/>
      <c r="R2746" s="76"/>
      <c r="S2746" s="76"/>
      <c r="T2746" s="76"/>
      <c r="U2746" s="76"/>
      <c r="V2746" s="76"/>
      <c r="W2746" s="76"/>
      <c r="X2746" s="76"/>
      <c r="Y2746" s="76"/>
      <c r="Z2746" s="76"/>
      <c r="AA2746" s="76"/>
      <c r="AB2746" s="76"/>
      <c r="AC2746" s="76"/>
      <c r="AD2746" s="76"/>
      <c r="AE2746" s="76"/>
      <c r="AF2746" s="76"/>
      <c r="AG2746" s="76"/>
      <c r="AH2746" s="76"/>
      <c r="AI2746" s="76"/>
      <c r="AJ2746" s="76"/>
      <c r="AK2746" s="76"/>
      <c r="AL2746" s="76"/>
      <c r="AM2746" s="76"/>
      <c r="AN2746" s="76"/>
      <c r="AO2746" s="76"/>
      <c r="AP2746" s="76"/>
      <c r="AQ2746" s="76"/>
      <c r="AR2746" s="76"/>
      <c r="AS2746" s="76"/>
      <c r="AT2746" s="76"/>
      <c r="AU2746" s="76"/>
      <c r="AV2746" s="76"/>
      <c r="AW2746" s="76"/>
      <c r="AX2746" s="76"/>
      <c r="AY2746" s="76"/>
      <c r="AZ2746" s="76"/>
      <c r="BA2746" s="76"/>
      <c r="BB2746" s="76"/>
    </row>
    <row r="2747" spans="5:54" x14ac:dyDescent="0.35">
      <c r="E2747" s="83"/>
      <c r="F2747" s="83"/>
      <c r="G2747" s="76"/>
      <c r="H2747" s="76"/>
      <c r="I2747" s="76"/>
      <c r="J2747" s="76"/>
      <c r="K2747" s="76"/>
      <c r="L2747" s="76"/>
      <c r="M2747" s="76"/>
      <c r="N2747" s="76"/>
      <c r="O2747" s="76"/>
      <c r="P2747" s="76"/>
      <c r="Q2747" s="76"/>
      <c r="R2747" s="76"/>
      <c r="S2747" s="76"/>
      <c r="T2747" s="76"/>
      <c r="U2747" s="76"/>
      <c r="V2747" s="76"/>
      <c r="W2747" s="76"/>
      <c r="X2747" s="76"/>
      <c r="Y2747" s="76"/>
      <c r="Z2747" s="76"/>
      <c r="AA2747" s="76"/>
      <c r="AB2747" s="76"/>
      <c r="AC2747" s="76"/>
      <c r="AD2747" s="76"/>
      <c r="AE2747" s="76"/>
      <c r="AF2747" s="76"/>
      <c r="AG2747" s="76"/>
      <c r="AH2747" s="76"/>
      <c r="AI2747" s="76"/>
      <c r="AJ2747" s="76"/>
      <c r="AK2747" s="76"/>
      <c r="AL2747" s="76"/>
      <c r="AM2747" s="76"/>
      <c r="AN2747" s="76"/>
      <c r="AO2747" s="76"/>
      <c r="AP2747" s="76"/>
      <c r="AQ2747" s="76"/>
      <c r="AR2747" s="76"/>
      <c r="AS2747" s="76"/>
      <c r="AT2747" s="76"/>
      <c r="AU2747" s="76"/>
      <c r="AV2747" s="76"/>
      <c r="AW2747" s="76"/>
      <c r="AX2747" s="76"/>
      <c r="AY2747" s="76"/>
      <c r="AZ2747" s="76"/>
      <c r="BA2747" s="76"/>
      <c r="BB2747" s="76"/>
    </row>
    <row r="2748" spans="5:54" x14ac:dyDescent="0.35">
      <c r="E2748" s="83"/>
      <c r="F2748" s="83"/>
      <c r="G2748" s="76"/>
      <c r="H2748" s="76"/>
      <c r="I2748" s="76"/>
      <c r="J2748" s="76"/>
      <c r="K2748" s="76"/>
      <c r="L2748" s="76"/>
      <c r="M2748" s="76"/>
      <c r="N2748" s="76"/>
      <c r="O2748" s="76"/>
      <c r="P2748" s="76"/>
      <c r="Q2748" s="76"/>
      <c r="R2748" s="76"/>
      <c r="S2748" s="76"/>
      <c r="T2748" s="76"/>
      <c r="U2748" s="76"/>
      <c r="V2748" s="76"/>
      <c r="W2748" s="76"/>
      <c r="X2748" s="76"/>
      <c r="Y2748" s="76"/>
      <c r="Z2748" s="76"/>
      <c r="AA2748" s="76"/>
      <c r="AB2748" s="76"/>
      <c r="AC2748" s="76"/>
      <c r="AD2748" s="76"/>
      <c r="AE2748" s="76"/>
      <c r="AF2748" s="76"/>
      <c r="AG2748" s="76"/>
      <c r="AH2748" s="76"/>
      <c r="AI2748" s="76"/>
      <c r="AJ2748" s="76"/>
      <c r="AK2748" s="76"/>
      <c r="AL2748" s="76"/>
      <c r="AM2748" s="76"/>
      <c r="AN2748" s="76"/>
      <c r="AO2748" s="76"/>
      <c r="AP2748" s="76"/>
      <c r="AQ2748" s="76"/>
      <c r="AR2748" s="76"/>
      <c r="AS2748" s="76"/>
      <c r="AT2748" s="76"/>
      <c r="AU2748" s="76"/>
      <c r="AV2748" s="76"/>
      <c r="AW2748" s="76"/>
      <c r="AX2748" s="76"/>
      <c r="AY2748" s="76"/>
      <c r="AZ2748" s="76"/>
      <c r="BA2748" s="76"/>
      <c r="BB2748" s="76"/>
    </row>
    <row r="2749" spans="5:54" x14ac:dyDescent="0.35">
      <c r="E2749" s="83"/>
      <c r="F2749" s="83"/>
      <c r="G2749" s="76"/>
      <c r="H2749" s="76"/>
      <c r="I2749" s="76"/>
      <c r="J2749" s="76"/>
      <c r="K2749" s="76"/>
      <c r="L2749" s="76"/>
      <c r="M2749" s="76"/>
      <c r="N2749" s="76"/>
      <c r="O2749" s="76"/>
      <c r="P2749" s="76"/>
      <c r="Q2749" s="76"/>
      <c r="R2749" s="76"/>
      <c r="S2749" s="76"/>
      <c r="T2749" s="76"/>
      <c r="U2749" s="76"/>
      <c r="V2749" s="76"/>
      <c r="W2749" s="76"/>
      <c r="X2749" s="76"/>
      <c r="Y2749" s="76"/>
      <c r="Z2749" s="76"/>
      <c r="AA2749" s="76"/>
      <c r="AB2749" s="76"/>
      <c r="AC2749" s="76"/>
      <c r="AD2749" s="76"/>
      <c r="AE2749" s="76"/>
      <c r="AF2749" s="76"/>
      <c r="AG2749" s="76"/>
      <c r="AH2749" s="76"/>
      <c r="AI2749" s="76"/>
      <c r="AJ2749" s="76"/>
      <c r="AK2749" s="76"/>
      <c r="AL2749" s="76"/>
      <c r="AM2749" s="76"/>
      <c r="AN2749" s="76"/>
      <c r="AO2749" s="76"/>
      <c r="AP2749" s="76"/>
      <c r="AQ2749" s="76"/>
      <c r="AR2749" s="76"/>
      <c r="AS2749" s="76"/>
      <c r="AT2749" s="76"/>
      <c r="AU2749" s="76"/>
      <c r="AV2749" s="76"/>
      <c r="AW2749" s="76"/>
      <c r="AX2749" s="76"/>
      <c r="AY2749" s="76"/>
      <c r="AZ2749" s="76"/>
      <c r="BA2749" s="76"/>
      <c r="BB2749" s="76"/>
    </row>
    <row r="2750" spans="5:54" x14ac:dyDescent="0.35">
      <c r="E2750" s="83"/>
      <c r="F2750" s="83"/>
      <c r="G2750" s="76"/>
      <c r="H2750" s="76"/>
      <c r="I2750" s="76"/>
      <c r="J2750" s="76"/>
      <c r="K2750" s="76"/>
      <c r="L2750" s="76"/>
      <c r="M2750" s="76"/>
      <c r="N2750" s="76"/>
      <c r="O2750" s="76"/>
      <c r="P2750" s="76"/>
      <c r="Q2750" s="76"/>
      <c r="R2750" s="76"/>
      <c r="S2750" s="76"/>
      <c r="T2750" s="76"/>
      <c r="U2750" s="76"/>
      <c r="V2750" s="76"/>
      <c r="W2750" s="76"/>
      <c r="X2750" s="76"/>
      <c r="Y2750" s="76"/>
      <c r="Z2750" s="76"/>
      <c r="AA2750" s="76"/>
      <c r="AB2750" s="76"/>
      <c r="AC2750" s="76"/>
      <c r="AD2750" s="76"/>
      <c r="AE2750" s="76"/>
      <c r="AF2750" s="76"/>
      <c r="AG2750" s="76"/>
      <c r="AH2750" s="76"/>
      <c r="AI2750" s="76"/>
      <c r="AJ2750" s="76"/>
      <c r="AK2750" s="76"/>
      <c r="AL2750" s="76"/>
      <c r="AM2750" s="76"/>
      <c r="AN2750" s="76"/>
      <c r="AO2750" s="76"/>
      <c r="AP2750" s="76"/>
      <c r="AQ2750" s="76"/>
      <c r="AR2750" s="76"/>
      <c r="AS2750" s="76"/>
      <c r="AT2750" s="76"/>
      <c r="AU2750" s="76"/>
      <c r="AV2750" s="76"/>
      <c r="AW2750" s="76"/>
      <c r="AX2750" s="76"/>
      <c r="AY2750" s="76"/>
      <c r="AZ2750" s="76"/>
      <c r="BA2750" s="76"/>
      <c r="BB2750" s="76"/>
    </row>
    <row r="2751" spans="5:54" x14ac:dyDescent="0.35">
      <c r="E2751" s="83"/>
      <c r="F2751" s="83"/>
      <c r="G2751" s="76"/>
      <c r="H2751" s="76"/>
      <c r="I2751" s="76"/>
      <c r="J2751" s="76"/>
      <c r="K2751" s="76"/>
      <c r="L2751" s="76"/>
      <c r="M2751" s="76"/>
      <c r="N2751" s="76"/>
      <c r="O2751" s="76"/>
      <c r="P2751" s="76"/>
      <c r="Q2751" s="76"/>
      <c r="R2751" s="76"/>
      <c r="S2751" s="76"/>
      <c r="T2751" s="76"/>
      <c r="U2751" s="76"/>
      <c r="V2751" s="76"/>
      <c r="W2751" s="76"/>
      <c r="X2751" s="76"/>
      <c r="Y2751" s="76"/>
      <c r="Z2751" s="76"/>
      <c r="AA2751" s="76"/>
      <c r="AB2751" s="76"/>
      <c r="AC2751" s="76"/>
      <c r="AD2751" s="76"/>
      <c r="AE2751" s="76"/>
      <c r="AF2751" s="76"/>
      <c r="AG2751" s="76"/>
      <c r="AH2751" s="76"/>
      <c r="AI2751" s="76"/>
      <c r="AJ2751" s="76"/>
      <c r="AK2751" s="76"/>
      <c r="AL2751" s="76"/>
      <c r="AM2751" s="76"/>
      <c r="AN2751" s="76"/>
      <c r="AO2751" s="76"/>
      <c r="AP2751" s="76"/>
      <c r="AQ2751" s="76"/>
      <c r="AR2751" s="76"/>
      <c r="AS2751" s="76"/>
      <c r="AT2751" s="76"/>
      <c r="AU2751" s="76"/>
      <c r="AV2751" s="76"/>
      <c r="AW2751" s="76"/>
      <c r="AX2751" s="76"/>
      <c r="AY2751" s="76"/>
      <c r="AZ2751" s="76"/>
      <c r="BA2751" s="76"/>
      <c r="BB2751" s="76"/>
    </row>
    <row r="2752" spans="5:54" x14ac:dyDescent="0.35">
      <c r="E2752" s="83"/>
      <c r="F2752" s="83"/>
      <c r="G2752" s="76"/>
      <c r="H2752" s="76"/>
      <c r="I2752" s="76"/>
      <c r="J2752" s="76"/>
      <c r="K2752" s="76"/>
      <c r="L2752" s="76"/>
      <c r="M2752" s="76"/>
      <c r="N2752" s="76"/>
      <c r="O2752" s="76"/>
      <c r="P2752" s="76"/>
      <c r="Q2752" s="76"/>
      <c r="R2752" s="76"/>
      <c r="S2752" s="76"/>
      <c r="T2752" s="76"/>
      <c r="U2752" s="76"/>
      <c r="V2752" s="76"/>
      <c r="W2752" s="76"/>
      <c r="X2752" s="76"/>
      <c r="Y2752" s="76"/>
      <c r="Z2752" s="76"/>
      <c r="AA2752" s="76"/>
      <c r="AB2752" s="76"/>
      <c r="AC2752" s="76"/>
      <c r="AD2752" s="76"/>
      <c r="AE2752" s="76"/>
      <c r="AF2752" s="76"/>
      <c r="AG2752" s="76"/>
      <c r="AH2752" s="76"/>
      <c r="AI2752" s="76"/>
      <c r="AJ2752" s="76"/>
      <c r="AK2752" s="76"/>
      <c r="AL2752" s="76"/>
      <c r="AM2752" s="76"/>
      <c r="AN2752" s="76"/>
      <c r="AO2752" s="76"/>
      <c r="AP2752" s="76"/>
      <c r="AQ2752" s="76"/>
      <c r="AR2752" s="76"/>
      <c r="AS2752" s="76"/>
      <c r="AT2752" s="76"/>
      <c r="AU2752" s="76"/>
      <c r="AV2752" s="76"/>
      <c r="AW2752" s="76"/>
      <c r="AX2752" s="76"/>
      <c r="AY2752" s="76"/>
      <c r="AZ2752" s="76"/>
      <c r="BA2752" s="76"/>
      <c r="BB2752" s="76"/>
    </row>
    <row r="2753" spans="5:54" x14ac:dyDescent="0.35">
      <c r="E2753" s="83"/>
      <c r="F2753" s="83"/>
      <c r="G2753" s="76"/>
      <c r="H2753" s="76"/>
      <c r="I2753" s="76"/>
      <c r="J2753" s="76"/>
      <c r="K2753" s="76"/>
      <c r="L2753" s="76"/>
      <c r="M2753" s="76"/>
      <c r="N2753" s="76"/>
      <c r="O2753" s="76"/>
      <c r="P2753" s="76"/>
      <c r="Q2753" s="76"/>
      <c r="R2753" s="76"/>
      <c r="S2753" s="76"/>
      <c r="T2753" s="76"/>
      <c r="U2753" s="76"/>
      <c r="V2753" s="76"/>
      <c r="W2753" s="76"/>
      <c r="X2753" s="76"/>
      <c r="Y2753" s="76"/>
      <c r="Z2753" s="76"/>
      <c r="AA2753" s="76"/>
      <c r="AB2753" s="76"/>
      <c r="AC2753" s="76"/>
      <c r="AD2753" s="76"/>
      <c r="AE2753" s="76"/>
      <c r="AF2753" s="76"/>
      <c r="AG2753" s="76"/>
      <c r="AH2753" s="76"/>
      <c r="AI2753" s="76"/>
      <c r="AJ2753" s="76"/>
      <c r="AK2753" s="76"/>
      <c r="AL2753" s="76"/>
      <c r="AM2753" s="76"/>
      <c r="AN2753" s="76"/>
      <c r="AO2753" s="76"/>
      <c r="AP2753" s="76"/>
      <c r="AQ2753" s="76"/>
      <c r="AR2753" s="76"/>
      <c r="AS2753" s="76"/>
      <c r="AT2753" s="76"/>
      <c r="AU2753" s="76"/>
      <c r="AV2753" s="76"/>
      <c r="AW2753" s="76"/>
      <c r="AX2753" s="76"/>
      <c r="AY2753" s="76"/>
      <c r="AZ2753" s="76"/>
      <c r="BA2753" s="76"/>
      <c r="BB2753" s="76"/>
    </row>
    <row r="2754" spans="5:54" x14ac:dyDescent="0.35">
      <c r="E2754" s="83"/>
      <c r="F2754" s="83"/>
      <c r="G2754" s="76"/>
      <c r="H2754" s="76"/>
      <c r="I2754" s="76"/>
      <c r="J2754" s="76"/>
      <c r="K2754" s="76"/>
      <c r="L2754" s="76"/>
      <c r="M2754" s="76"/>
      <c r="N2754" s="76"/>
      <c r="O2754" s="76"/>
      <c r="P2754" s="76"/>
      <c r="Q2754" s="76"/>
      <c r="R2754" s="76"/>
      <c r="S2754" s="76"/>
      <c r="T2754" s="76"/>
      <c r="U2754" s="76"/>
      <c r="V2754" s="76"/>
      <c r="W2754" s="76"/>
      <c r="X2754" s="76"/>
      <c r="Y2754" s="76"/>
      <c r="Z2754" s="76"/>
      <c r="AA2754" s="76"/>
      <c r="AB2754" s="76"/>
      <c r="AC2754" s="76"/>
      <c r="AD2754" s="76"/>
      <c r="AE2754" s="76"/>
      <c r="AF2754" s="76"/>
      <c r="AG2754" s="76"/>
      <c r="AH2754" s="76"/>
      <c r="AI2754" s="76"/>
      <c r="AJ2754" s="76"/>
      <c r="AK2754" s="76"/>
      <c r="AL2754" s="76"/>
      <c r="AM2754" s="76"/>
      <c r="AN2754" s="76"/>
      <c r="AO2754" s="76"/>
      <c r="AP2754" s="76"/>
      <c r="AQ2754" s="76"/>
      <c r="AR2754" s="76"/>
      <c r="AS2754" s="76"/>
      <c r="AT2754" s="76"/>
      <c r="AU2754" s="76"/>
      <c r="AV2754" s="76"/>
      <c r="AW2754" s="76"/>
      <c r="AX2754" s="76"/>
      <c r="AY2754" s="76"/>
      <c r="AZ2754" s="76"/>
      <c r="BA2754" s="76"/>
      <c r="BB2754" s="76"/>
    </row>
    <row r="2755" spans="5:54" x14ac:dyDescent="0.35">
      <c r="E2755" s="83"/>
      <c r="F2755" s="83"/>
      <c r="G2755" s="76"/>
      <c r="H2755" s="76"/>
      <c r="I2755" s="76"/>
      <c r="J2755" s="76"/>
      <c r="K2755" s="76"/>
      <c r="L2755" s="76"/>
      <c r="M2755" s="76"/>
      <c r="N2755" s="76"/>
      <c r="O2755" s="76"/>
      <c r="P2755" s="76"/>
      <c r="Q2755" s="76"/>
      <c r="R2755" s="76"/>
      <c r="S2755" s="76"/>
      <c r="T2755" s="76"/>
      <c r="U2755" s="76"/>
      <c r="V2755" s="76"/>
      <c r="W2755" s="76"/>
      <c r="X2755" s="76"/>
      <c r="Y2755" s="76"/>
      <c r="Z2755" s="76"/>
      <c r="AA2755" s="76"/>
      <c r="AB2755" s="76"/>
      <c r="AC2755" s="76"/>
      <c r="AD2755" s="76"/>
      <c r="AE2755" s="76"/>
      <c r="AF2755" s="76"/>
      <c r="AG2755" s="76"/>
      <c r="AH2755" s="76"/>
      <c r="AI2755" s="76"/>
      <c r="AJ2755" s="76"/>
      <c r="AK2755" s="76"/>
      <c r="AL2755" s="76"/>
      <c r="AM2755" s="76"/>
      <c r="AN2755" s="76"/>
      <c r="AO2755" s="76"/>
      <c r="AP2755" s="76"/>
      <c r="AQ2755" s="76"/>
      <c r="AR2755" s="76"/>
      <c r="AS2755" s="76"/>
      <c r="AT2755" s="76"/>
      <c r="AU2755" s="76"/>
      <c r="AV2755" s="76"/>
      <c r="AW2755" s="76"/>
      <c r="AX2755" s="76"/>
      <c r="AY2755" s="76"/>
      <c r="AZ2755" s="76"/>
      <c r="BA2755" s="76"/>
      <c r="BB2755" s="76"/>
    </row>
    <row r="2756" spans="5:54" x14ac:dyDescent="0.35">
      <c r="E2756" s="83"/>
      <c r="F2756" s="83"/>
      <c r="G2756" s="76"/>
      <c r="H2756" s="76"/>
      <c r="I2756" s="76"/>
      <c r="J2756" s="76"/>
      <c r="K2756" s="76"/>
      <c r="L2756" s="76"/>
      <c r="M2756" s="76"/>
      <c r="N2756" s="76"/>
      <c r="O2756" s="76"/>
      <c r="P2756" s="76"/>
      <c r="Q2756" s="76"/>
      <c r="R2756" s="76"/>
      <c r="S2756" s="76"/>
      <c r="T2756" s="76"/>
      <c r="U2756" s="76"/>
      <c r="V2756" s="76"/>
      <c r="W2756" s="76"/>
      <c r="X2756" s="76"/>
      <c r="Y2756" s="76"/>
      <c r="Z2756" s="76"/>
      <c r="AA2756" s="76"/>
      <c r="AB2756" s="76"/>
      <c r="AC2756" s="76"/>
      <c r="AD2756" s="76"/>
      <c r="AE2756" s="76"/>
      <c r="AF2756" s="76"/>
      <c r="AG2756" s="76"/>
      <c r="AH2756" s="76"/>
      <c r="AI2756" s="76"/>
      <c r="AJ2756" s="76"/>
      <c r="AK2756" s="76"/>
      <c r="AL2756" s="76"/>
      <c r="AM2756" s="76"/>
      <c r="AN2756" s="76"/>
      <c r="AO2756" s="76"/>
      <c r="AP2756" s="76"/>
      <c r="AQ2756" s="76"/>
      <c r="AR2756" s="76"/>
      <c r="AS2756" s="76"/>
      <c r="AT2756" s="76"/>
      <c r="AU2756" s="76"/>
      <c r="AV2756" s="76"/>
      <c r="AW2756" s="76"/>
      <c r="AX2756" s="76"/>
      <c r="AY2756" s="76"/>
      <c r="AZ2756" s="76"/>
      <c r="BA2756" s="76"/>
      <c r="BB2756" s="76"/>
    </row>
    <row r="2757" spans="5:54" x14ac:dyDescent="0.35">
      <c r="E2757" s="83"/>
      <c r="F2757" s="83"/>
      <c r="G2757" s="76"/>
      <c r="H2757" s="76"/>
      <c r="I2757" s="76"/>
      <c r="J2757" s="76"/>
      <c r="K2757" s="76"/>
      <c r="L2757" s="76"/>
      <c r="M2757" s="76"/>
      <c r="N2757" s="76"/>
      <c r="O2757" s="76"/>
      <c r="P2757" s="76"/>
      <c r="Q2757" s="76"/>
      <c r="R2757" s="76"/>
      <c r="S2757" s="76"/>
      <c r="T2757" s="76"/>
      <c r="U2757" s="76"/>
      <c r="V2757" s="76"/>
      <c r="W2757" s="76"/>
      <c r="X2757" s="76"/>
      <c r="Y2757" s="76"/>
      <c r="Z2757" s="76"/>
      <c r="AA2757" s="76"/>
      <c r="AB2757" s="76"/>
      <c r="AC2757" s="76"/>
      <c r="AD2757" s="76"/>
      <c r="AE2757" s="76"/>
      <c r="AF2757" s="76"/>
      <c r="AG2757" s="76"/>
      <c r="AH2757" s="76"/>
      <c r="AI2757" s="76"/>
      <c r="AJ2757" s="76"/>
      <c r="AK2757" s="76"/>
      <c r="AL2757" s="76"/>
      <c r="AM2757" s="76"/>
      <c r="AN2757" s="76"/>
      <c r="AO2757" s="76"/>
      <c r="AP2757" s="76"/>
      <c r="AQ2757" s="76"/>
      <c r="AR2757" s="76"/>
      <c r="AS2757" s="76"/>
      <c r="AT2757" s="76"/>
      <c r="AU2757" s="76"/>
      <c r="AV2757" s="76"/>
      <c r="AW2757" s="76"/>
      <c r="AX2757" s="76"/>
      <c r="AY2757" s="76"/>
      <c r="AZ2757" s="76"/>
      <c r="BA2757" s="76"/>
      <c r="BB2757" s="76"/>
    </row>
    <row r="2758" spans="5:54" x14ac:dyDescent="0.35">
      <c r="E2758" s="83"/>
      <c r="F2758" s="83"/>
      <c r="G2758" s="76"/>
      <c r="H2758" s="76"/>
      <c r="I2758" s="76"/>
      <c r="J2758" s="76"/>
      <c r="K2758" s="76"/>
      <c r="L2758" s="76"/>
      <c r="M2758" s="76"/>
      <c r="N2758" s="76"/>
      <c r="O2758" s="76"/>
      <c r="P2758" s="76"/>
      <c r="Q2758" s="76"/>
      <c r="R2758" s="76"/>
      <c r="S2758" s="76"/>
      <c r="T2758" s="76"/>
      <c r="U2758" s="76"/>
      <c r="V2758" s="76"/>
      <c r="W2758" s="76"/>
      <c r="X2758" s="76"/>
      <c r="Y2758" s="76"/>
      <c r="Z2758" s="76"/>
      <c r="AA2758" s="76"/>
      <c r="AB2758" s="76"/>
      <c r="AC2758" s="76"/>
      <c r="AD2758" s="76"/>
      <c r="AE2758" s="76"/>
      <c r="AF2758" s="76"/>
      <c r="AG2758" s="76"/>
      <c r="AH2758" s="76"/>
      <c r="AI2758" s="76"/>
      <c r="AJ2758" s="76"/>
      <c r="AK2758" s="76"/>
      <c r="AL2758" s="76"/>
      <c r="AM2758" s="76"/>
      <c r="AN2758" s="76"/>
      <c r="AO2758" s="76"/>
      <c r="AP2758" s="76"/>
      <c r="AQ2758" s="76"/>
      <c r="AR2758" s="76"/>
      <c r="AS2758" s="76"/>
      <c r="AT2758" s="76"/>
      <c r="AU2758" s="76"/>
      <c r="AV2758" s="76"/>
      <c r="AW2758" s="76"/>
      <c r="AX2758" s="76"/>
      <c r="AY2758" s="76"/>
      <c r="AZ2758" s="76"/>
      <c r="BA2758" s="76"/>
      <c r="BB2758" s="76"/>
    </row>
    <row r="2759" spans="5:54" x14ac:dyDescent="0.35">
      <c r="E2759" s="83"/>
      <c r="F2759" s="83"/>
      <c r="G2759" s="76"/>
      <c r="H2759" s="76"/>
      <c r="I2759" s="76"/>
      <c r="J2759" s="76"/>
      <c r="K2759" s="76"/>
      <c r="L2759" s="76"/>
      <c r="M2759" s="76"/>
      <c r="N2759" s="76"/>
      <c r="O2759" s="76"/>
      <c r="P2759" s="76"/>
      <c r="Q2759" s="76"/>
      <c r="R2759" s="76"/>
      <c r="S2759" s="76"/>
      <c r="T2759" s="76"/>
      <c r="U2759" s="76"/>
      <c r="V2759" s="76"/>
      <c r="W2759" s="76"/>
      <c r="X2759" s="76"/>
      <c r="Y2759" s="76"/>
      <c r="Z2759" s="76"/>
      <c r="AA2759" s="76"/>
      <c r="AB2759" s="76"/>
      <c r="AC2759" s="76"/>
      <c r="AD2759" s="76"/>
      <c r="AE2759" s="76"/>
      <c r="AF2759" s="76"/>
      <c r="AG2759" s="76"/>
      <c r="AH2759" s="76"/>
      <c r="AI2759" s="76"/>
      <c r="AJ2759" s="76"/>
      <c r="AK2759" s="76"/>
      <c r="AL2759" s="76"/>
      <c r="AM2759" s="76"/>
      <c r="AN2759" s="76"/>
      <c r="AO2759" s="76"/>
      <c r="AP2759" s="76"/>
      <c r="AQ2759" s="76"/>
      <c r="AR2759" s="76"/>
      <c r="AS2759" s="76"/>
      <c r="AT2759" s="76"/>
      <c r="AU2759" s="76"/>
      <c r="AV2759" s="76"/>
      <c r="AW2759" s="76"/>
      <c r="AX2759" s="76"/>
      <c r="AY2759" s="76"/>
      <c r="AZ2759" s="76"/>
      <c r="BA2759" s="76"/>
      <c r="BB2759" s="76"/>
    </row>
    <row r="2760" spans="5:54" x14ac:dyDescent="0.35">
      <c r="E2760" s="83"/>
      <c r="F2760" s="83"/>
      <c r="G2760" s="76"/>
      <c r="H2760" s="76"/>
      <c r="I2760" s="76"/>
      <c r="J2760" s="76"/>
      <c r="K2760" s="76"/>
      <c r="L2760" s="76"/>
      <c r="M2760" s="76"/>
      <c r="N2760" s="76"/>
      <c r="O2760" s="76"/>
      <c r="P2760" s="76"/>
      <c r="Q2760" s="76"/>
      <c r="R2760" s="76"/>
      <c r="S2760" s="76"/>
      <c r="T2760" s="76"/>
      <c r="U2760" s="76"/>
      <c r="V2760" s="76"/>
      <c r="W2760" s="76"/>
      <c r="X2760" s="76"/>
      <c r="Y2760" s="76"/>
      <c r="Z2760" s="76"/>
      <c r="AA2760" s="76"/>
      <c r="AB2760" s="76"/>
      <c r="AC2760" s="76"/>
      <c r="AD2760" s="76"/>
      <c r="AE2760" s="76"/>
      <c r="AF2760" s="76"/>
      <c r="AG2760" s="76"/>
      <c r="AH2760" s="76"/>
      <c r="AI2760" s="76"/>
      <c r="AJ2760" s="76"/>
      <c r="AK2760" s="76"/>
      <c r="AL2760" s="76"/>
      <c r="AM2760" s="76"/>
      <c r="AN2760" s="76"/>
      <c r="AO2760" s="76"/>
      <c r="AP2760" s="76"/>
      <c r="AQ2760" s="76"/>
      <c r="AR2760" s="76"/>
      <c r="AS2760" s="76"/>
      <c r="AT2760" s="76"/>
      <c r="AU2760" s="76"/>
      <c r="AV2760" s="76"/>
      <c r="AW2760" s="76"/>
      <c r="AX2760" s="76"/>
      <c r="AY2760" s="76"/>
      <c r="AZ2760" s="76"/>
      <c r="BA2760" s="76"/>
      <c r="BB2760" s="76"/>
    </row>
    <row r="2761" spans="5:54" x14ac:dyDescent="0.35">
      <c r="E2761" s="83"/>
      <c r="F2761" s="83"/>
      <c r="G2761" s="76"/>
      <c r="H2761" s="76"/>
      <c r="I2761" s="76"/>
      <c r="J2761" s="76"/>
      <c r="K2761" s="76"/>
      <c r="L2761" s="76"/>
      <c r="M2761" s="76"/>
      <c r="N2761" s="76"/>
      <c r="O2761" s="76"/>
      <c r="P2761" s="76"/>
      <c r="Q2761" s="76"/>
      <c r="R2761" s="76"/>
      <c r="S2761" s="76"/>
      <c r="T2761" s="76"/>
      <c r="U2761" s="76"/>
      <c r="V2761" s="76"/>
      <c r="W2761" s="76"/>
      <c r="X2761" s="76"/>
      <c r="Y2761" s="76"/>
      <c r="Z2761" s="76"/>
      <c r="AA2761" s="76"/>
      <c r="AB2761" s="76"/>
      <c r="AC2761" s="76"/>
      <c r="AD2761" s="76"/>
      <c r="AE2761" s="76"/>
      <c r="AF2761" s="76"/>
      <c r="AG2761" s="76"/>
      <c r="AH2761" s="76"/>
      <c r="AI2761" s="76"/>
      <c r="AJ2761" s="76"/>
      <c r="AK2761" s="76"/>
      <c r="AL2761" s="76"/>
      <c r="AM2761" s="76"/>
      <c r="AN2761" s="76"/>
      <c r="AO2761" s="76"/>
      <c r="AP2761" s="76"/>
      <c r="AQ2761" s="76"/>
      <c r="AR2761" s="76"/>
      <c r="AS2761" s="76"/>
      <c r="AT2761" s="76"/>
      <c r="AU2761" s="76"/>
      <c r="AV2761" s="76"/>
      <c r="AW2761" s="76"/>
      <c r="AX2761" s="76"/>
      <c r="AY2761" s="76"/>
      <c r="AZ2761" s="76"/>
      <c r="BA2761" s="76"/>
      <c r="BB2761" s="76"/>
    </row>
    <row r="2762" spans="5:54" x14ac:dyDescent="0.35">
      <c r="E2762" s="83"/>
      <c r="F2762" s="83"/>
      <c r="G2762" s="76"/>
      <c r="H2762" s="76"/>
      <c r="I2762" s="76"/>
      <c r="J2762" s="76"/>
      <c r="K2762" s="76"/>
      <c r="L2762" s="76"/>
      <c r="M2762" s="76"/>
      <c r="N2762" s="76"/>
      <c r="O2762" s="76"/>
      <c r="P2762" s="76"/>
      <c r="Q2762" s="76"/>
      <c r="R2762" s="76"/>
      <c r="S2762" s="76"/>
      <c r="T2762" s="76"/>
      <c r="U2762" s="76"/>
      <c r="V2762" s="76"/>
      <c r="W2762" s="76"/>
      <c r="X2762" s="76"/>
      <c r="Y2762" s="76"/>
      <c r="Z2762" s="76"/>
      <c r="AA2762" s="76"/>
      <c r="AB2762" s="76"/>
      <c r="AC2762" s="76"/>
      <c r="AD2762" s="76"/>
      <c r="AE2762" s="76"/>
      <c r="AF2762" s="76"/>
      <c r="AG2762" s="76"/>
      <c r="AH2762" s="76"/>
      <c r="AI2762" s="76"/>
      <c r="AJ2762" s="76"/>
      <c r="AK2762" s="76"/>
      <c r="AL2762" s="76"/>
      <c r="AM2762" s="76"/>
      <c r="AN2762" s="76"/>
      <c r="AO2762" s="76"/>
      <c r="AP2762" s="76"/>
      <c r="AQ2762" s="76"/>
      <c r="AR2762" s="76"/>
      <c r="AS2762" s="76"/>
      <c r="AT2762" s="76"/>
      <c r="AU2762" s="76"/>
      <c r="AV2762" s="76"/>
      <c r="AW2762" s="76"/>
      <c r="AX2762" s="76"/>
      <c r="AY2762" s="76"/>
      <c r="AZ2762" s="76"/>
      <c r="BA2762" s="76"/>
      <c r="BB2762" s="76"/>
    </row>
    <row r="2763" spans="5:54" x14ac:dyDescent="0.35">
      <c r="E2763" s="83"/>
      <c r="F2763" s="83"/>
      <c r="G2763" s="76"/>
      <c r="H2763" s="76"/>
      <c r="I2763" s="76"/>
      <c r="J2763" s="76"/>
      <c r="K2763" s="76"/>
      <c r="L2763" s="76"/>
      <c r="M2763" s="76"/>
      <c r="N2763" s="76"/>
      <c r="O2763" s="76"/>
      <c r="P2763" s="76"/>
      <c r="Q2763" s="76"/>
      <c r="R2763" s="76"/>
      <c r="S2763" s="76"/>
      <c r="T2763" s="76"/>
      <c r="U2763" s="76"/>
      <c r="V2763" s="76"/>
      <c r="W2763" s="76"/>
      <c r="X2763" s="76"/>
      <c r="Y2763" s="76"/>
      <c r="Z2763" s="76"/>
      <c r="AA2763" s="76"/>
      <c r="AB2763" s="76"/>
      <c r="AC2763" s="76"/>
      <c r="AD2763" s="76"/>
      <c r="AE2763" s="76"/>
      <c r="AF2763" s="76"/>
      <c r="AG2763" s="76"/>
      <c r="AH2763" s="76"/>
      <c r="AI2763" s="76"/>
      <c r="AJ2763" s="76"/>
      <c r="AK2763" s="76"/>
      <c r="AL2763" s="76"/>
      <c r="AM2763" s="76"/>
      <c r="AN2763" s="76"/>
      <c r="AO2763" s="76"/>
      <c r="AP2763" s="76"/>
      <c r="AQ2763" s="76"/>
      <c r="AR2763" s="76"/>
      <c r="AS2763" s="76"/>
      <c r="AT2763" s="76"/>
      <c r="AU2763" s="76"/>
      <c r="AV2763" s="76"/>
      <c r="AW2763" s="76"/>
      <c r="AX2763" s="76"/>
      <c r="AY2763" s="76"/>
      <c r="AZ2763" s="76"/>
      <c r="BA2763" s="76"/>
      <c r="BB2763" s="76"/>
    </row>
    <row r="2764" spans="5:54" x14ac:dyDescent="0.35">
      <c r="E2764" s="83"/>
      <c r="F2764" s="83"/>
      <c r="G2764" s="76"/>
      <c r="H2764" s="76"/>
      <c r="I2764" s="76"/>
      <c r="J2764" s="76"/>
      <c r="K2764" s="76"/>
      <c r="L2764" s="76"/>
      <c r="M2764" s="76"/>
      <c r="N2764" s="76"/>
      <c r="O2764" s="76"/>
      <c r="P2764" s="76"/>
      <c r="Q2764" s="76"/>
      <c r="R2764" s="76"/>
      <c r="S2764" s="76"/>
      <c r="T2764" s="76"/>
      <c r="U2764" s="76"/>
      <c r="V2764" s="76"/>
      <c r="W2764" s="76"/>
      <c r="X2764" s="76"/>
      <c r="Y2764" s="76"/>
      <c r="Z2764" s="76"/>
      <c r="AA2764" s="76"/>
      <c r="AB2764" s="76"/>
      <c r="AC2764" s="76"/>
      <c r="AD2764" s="76"/>
      <c r="AE2764" s="76"/>
      <c r="AF2764" s="76"/>
      <c r="AG2764" s="76"/>
      <c r="AH2764" s="76"/>
      <c r="AI2764" s="76"/>
      <c r="AJ2764" s="76"/>
      <c r="AK2764" s="76"/>
      <c r="AL2764" s="76"/>
      <c r="AM2764" s="76"/>
      <c r="AN2764" s="76"/>
      <c r="AO2764" s="76"/>
      <c r="AP2764" s="76"/>
      <c r="AQ2764" s="76"/>
      <c r="AR2764" s="76"/>
      <c r="AS2764" s="76"/>
      <c r="AT2764" s="76"/>
      <c r="AU2764" s="76"/>
      <c r="AV2764" s="76"/>
      <c r="AW2764" s="76"/>
      <c r="AX2764" s="76"/>
      <c r="AY2764" s="76"/>
      <c r="AZ2764" s="76"/>
      <c r="BA2764" s="76"/>
      <c r="BB2764" s="76"/>
    </row>
    <row r="2765" spans="5:54" x14ac:dyDescent="0.35">
      <c r="E2765" s="83"/>
      <c r="F2765" s="83"/>
      <c r="G2765" s="76"/>
      <c r="H2765" s="76"/>
      <c r="I2765" s="76"/>
      <c r="J2765" s="76"/>
      <c r="K2765" s="76"/>
      <c r="L2765" s="76"/>
      <c r="M2765" s="76"/>
      <c r="N2765" s="76"/>
      <c r="O2765" s="76"/>
      <c r="P2765" s="76"/>
      <c r="Q2765" s="76"/>
      <c r="R2765" s="76"/>
      <c r="S2765" s="76"/>
      <c r="T2765" s="76"/>
      <c r="U2765" s="76"/>
      <c r="V2765" s="76"/>
      <c r="W2765" s="76"/>
      <c r="X2765" s="76"/>
      <c r="Y2765" s="76"/>
      <c r="Z2765" s="76"/>
      <c r="AA2765" s="76"/>
      <c r="AB2765" s="76"/>
      <c r="AC2765" s="76"/>
      <c r="AD2765" s="76"/>
      <c r="AE2765" s="76"/>
      <c r="AF2765" s="76"/>
      <c r="AG2765" s="76"/>
      <c r="AH2765" s="76"/>
      <c r="AI2765" s="76"/>
      <c r="AJ2765" s="76"/>
      <c r="AK2765" s="76"/>
      <c r="AL2765" s="76"/>
      <c r="AM2765" s="76"/>
      <c r="AN2765" s="76"/>
      <c r="AO2765" s="76"/>
      <c r="AP2765" s="76"/>
      <c r="AQ2765" s="76"/>
      <c r="AR2765" s="76"/>
      <c r="AS2765" s="76"/>
      <c r="AT2765" s="76"/>
      <c r="AU2765" s="76"/>
      <c r="AV2765" s="76"/>
      <c r="AW2765" s="76"/>
      <c r="AX2765" s="76"/>
      <c r="AY2765" s="76"/>
      <c r="AZ2765" s="76"/>
      <c r="BA2765" s="76"/>
      <c r="BB2765" s="76"/>
    </row>
    <row r="2766" spans="5:54" x14ac:dyDescent="0.35">
      <c r="E2766" s="83"/>
      <c r="F2766" s="83"/>
      <c r="G2766" s="76"/>
      <c r="H2766" s="76"/>
      <c r="I2766" s="76"/>
      <c r="J2766" s="76"/>
      <c r="K2766" s="76"/>
      <c r="L2766" s="76"/>
      <c r="M2766" s="76"/>
      <c r="N2766" s="76"/>
      <c r="O2766" s="76"/>
      <c r="P2766" s="76"/>
      <c r="Q2766" s="76"/>
      <c r="R2766" s="76"/>
      <c r="S2766" s="76"/>
      <c r="T2766" s="76"/>
      <c r="U2766" s="76"/>
      <c r="V2766" s="76"/>
      <c r="W2766" s="76"/>
      <c r="X2766" s="76"/>
      <c r="Y2766" s="76"/>
      <c r="Z2766" s="76"/>
      <c r="AA2766" s="76"/>
      <c r="AB2766" s="76"/>
      <c r="AC2766" s="76"/>
      <c r="AD2766" s="76"/>
      <c r="AE2766" s="76"/>
      <c r="AF2766" s="76"/>
      <c r="AG2766" s="76"/>
      <c r="AH2766" s="76"/>
      <c r="AI2766" s="76"/>
      <c r="AJ2766" s="76"/>
      <c r="AK2766" s="76"/>
      <c r="AL2766" s="76"/>
      <c r="AM2766" s="76"/>
      <c r="AN2766" s="76"/>
      <c r="AO2766" s="76"/>
      <c r="AP2766" s="76"/>
      <c r="AQ2766" s="76"/>
      <c r="AR2766" s="76"/>
      <c r="AS2766" s="76"/>
      <c r="AT2766" s="76"/>
      <c r="AU2766" s="76"/>
      <c r="AV2766" s="76"/>
      <c r="AW2766" s="76"/>
      <c r="AX2766" s="76"/>
      <c r="AY2766" s="76"/>
      <c r="AZ2766" s="76"/>
      <c r="BA2766" s="76"/>
      <c r="BB2766" s="76"/>
    </row>
    <row r="2767" spans="5:54" x14ac:dyDescent="0.35">
      <c r="E2767" s="83"/>
      <c r="F2767" s="83"/>
      <c r="G2767" s="76"/>
      <c r="H2767" s="76"/>
      <c r="I2767" s="76"/>
      <c r="J2767" s="76"/>
      <c r="K2767" s="76"/>
      <c r="L2767" s="76"/>
      <c r="M2767" s="76"/>
      <c r="N2767" s="76"/>
      <c r="O2767" s="76"/>
      <c r="P2767" s="76"/>
      <c r="Q2767" s="76"/>
      <c r="R2767" s="76"/>
      <c r="S2767" s="76"/>
      <c r="T2767" s="76"/>
      <c r="U2767" s="76"/>
      <c r="V2767" s="76"/>
      <c r="W2767" s="76"/>
      <c r="X2767" s="76"/>
      <c r="Y2767" s="76"/>
      <c r="Z2767" s="76"/>
      <c r="AA2767" s="76"/>
      <c r="AB2767" s="76"/>
      <c r="AC2767" s="76"/>
      <c r="AD2767" s="76"/>
      <c r="AE2767" s="76"/>
      <c r="AF2767" s="76"/>
      <c r="AG2767" s="76"/>
      <c r="AH2767" s="76"/>
      <c r="AI2767" s="76"/>
      <c r="AJ2767" s="76"/>
      <c r="AK2767" s="76"/>
      <c r="AL2767" s="76"/>
      <c r="AM2767" s="76"/>
      <c r="AN2767" s="76"/>
      <c r="AO2767" s="76"/>
      <c r="AP2767" s="76"/>
      <c r="AQ2767" s="76"/>
      <c r="AR2767" s="76"/>
      <c r="AS2767" s="76"/>
      <c r="AT2767" s="76"/>
      <c r="AU2767" s="76"/>
      <c r="AV2767" s="76"/>
      <c r="AW2767" s="76"/>
      <c r="AX2767" s="76"/>
      <c r="AY2767" s="76"/>
      <c r="AZ2767" s="76"/>
      <c r="BA2767" s="76"/>
      <c r="BB2767" s="76"/>
    </row>
    <row r="2768" spans="5:54" x14ac:dyDescent="0.35">
      <c r="E2768" s="83"/>
      <c r="F2768" s="83"/>
      <c r="G2768" s="76"/>
      <c r="H2768" s="76"/>
      <c r="I2768" s="76"/>
      <c r="J2768" s="76"/>
      <c r="K2768" s="76"/>
      <c r="L2768" s="76"/>
      <c r="M2768" s="76"/>
      <c r="N2768" s="76"/>
      <c r="O2768" s="76"/>
      <c r="P2768" s="76"/>
      <c r="Q2768" s="76"/>
      <c r="R2768" s="76"/>
      <c r="S2768" s="76"/>
      <c r="T2768" s="76"/>
      <c r="U2768" s="76"/>
      <c r="V2768" s="76"/>
      <c r="W2768" s="76"/>
      <c r="X2768" s="76"/>
      <c r="Y2768" s="76"/>
      <c r="Z2768" s="76"/>
      <c r="AA2768" s="76"/>
      <c r="AB2768" s="76"/>
      <c r="AC2768" s="76"/>
      <c r="AD2768" s="76"/>
      <c r="AE2768" s="76"/>
      <c r="AF2768" s="76"/>
      <c r="AG2768" s="76"/>
      <c r="AH2768" s="76"/>
      <c r="AI2768" s="76"/>
      <c r="AJ2768" s="76"/>
      <c r="AK2768" s="76"/>
      <c r="AL2768" s="76"/>
      <c r="AM2768" s="76"/>
      <c r="AN2768" s="76"/>
      <c r="AO2768" s="76"/>
      <c r="AP2768" s="76"/>
      <c r="AQ2768" s="76"/>
      <c r="AR2768" s="76"/>
      <c r="AS2768" s="76"/>
      <c r="AT2768" s="76"/>
      <c r="AU2768" s="76"/>
      <c r="AV2768" s="76"/>
      <c r="AW2768" s="76"/>
      <c r="AX2768" s="76"/>
      <c r="AY2768" s="76"/>
      <c r="AZ2768" s="76"/>
      <c r="BA2768" s="76"/>
      <c r="BB2768" s="76"/>
    </row>
    <row r="2769" spans="5:54" x14ac:dyDescent="0.35">
      <c r="E2769" s="83"/>
      <c r="F2769" s="83"/>
      <c r="G2769" s="76"/>
      <c r="H2769" s="76"/>
      <c r="I2769" s="76"/>
      <c r="J2769" s="76"/>
      <c r="K2769" s="76"/>
      <c r="L2769" s="76"/>
      <c r="M2769" s="76"/>
      <c r="N2769" s="76"/>
      <c r="O2769" s="76"/>
      <c r="P2769" s="76"/>
      <c r="Q2769" s="76"/>
      <c r="R2769" s="76"/>
      <c r="S2769" s="76"/>
      <c r="T2769" s="76"/>
      <c r="U2769" s="76"/>
      <c r="V2769" s="76"/>
      <c r="W2769" s="76"/>
      <c r="X2769" s="76"/>
      <c r="Y2769" s="76"/>
      <c r="Z2769" s="76"/>
      <c r="AA2769" s="76"/>
      <c r="AB2769" s="76"/>
      <c r="AC2769" s="76"/>
      <c r="AD2769" s="76"/>
      <c r="AE2769" s="76"/>
      <c r="AF2769" s="76"/>
      <c r="AG2769" s="76"/>
      <c r="AH2769" s="76"/>
      <c r="AI2769" s="76"/>
      <c r="AJ2769" s="76"/>
      <c r="AK2769" s="76"/>
      <c r="AL2769" s="76"/>
      <c r="AM2769" s="76"/>
      <c r="AN2769" s="76"/>
      <c r="AO2769" s="76"/>
      <c r="AP2769" s="76"/>
      <c r="AQ2769" s="76"/>
      <c r="AR2769" s="76"/>
      <c r="AS2769" s="76"/>
      <c r="AT2769" s="76"/>
      <c r="AU2769" s="76"/>
      <c r="AV2769" s="76"/>
      <c r="AW2769" s="76"/>
      <c r="AX2769" s="76"/>
      <c r="AY2769" s="76"/>
      <c r="AZ2769" s="76"/>
      <c r="BA2769" s="76"/>
      <c r="BB2769" s="76"/>
    </row>
    <row r="2770" spans="5:54" x14ac:dyDescent="0.35">
      <c r="E2770" s="83"/>
      <c r="F2770" s="83"/>
      <c r="G2770" s="76"/>
      <c r="H2770" s="76"/>
      <c r="I2770" s="76"/>
      <c r="J2770" s="76"/>
      <c r="K2770" s="76"/>
      <c r="L2770" s="76"/>
      <c r="M2770" s="76"/>
      <c r="N2770" s="76"/>
      <c r="O2770" s="76"/>
      <c r="P2770" s="76"/>
      <c r="Q2770" s="76"/>
      <c r="R2770" s="76"/>
      <c r="S2770" s="76"/>
      <c r="T2770" s="76"/>
      <c r="U2770" s="76"/>
      <c r="V2770" s="76"/>
      <c r="W2770" s="76"/>
      <c r="X2770" s="76"/>
      <c r="Y2770" s="76"/>
      <c r="Z2770" s="76"/>
      <c r="AA2770" s="76"/>
      <c r="AB2770" s="76"/>
      <c r="AC2770" s="76"/>
      <c r="AD2770" s="76"/>
      <c r="AE2770" s="76"/>
      <c r="AF2770" s="76"/>
      <c r="AG2770" s="76"/>
      <c r="AH2770" s="76"/>
      <c r="AI2770" s="76"/>
      <c r="AJ2770" s="76"/>
      <c r="AK2770" s="76"/>
      <c r="AL2770" s="76"/>
      <c r="AM2770" s="76"/>
      <c r="AN2770" s="76"/>
      <c r="AO2770" s="76"/>
      <c r="AP2770" s="76"/>
      <c r="AQ2770" s="76"/>
      <c r="AR2770" s="76"/>
      <c r="AS2770" s="76"/>
      <c r="AT2770" s="76"/>
      <c r="AU2770" s="76"/>
      <c r="AV2770" s="76"/>
      <c r="AW2770" s="76"/>
      <c r="AX2770" s="76"/>
      <c r="AY2770" s="76"/>
      <c r="AZ2770" s="76"/>
      <c r="BA2770" s="76"/>
      <c r="BB2770" s="76"/>
    </row>
    <row r="2771" spans="5:54" x14ac:dyDescent="0.35">
      <c r="E2771" s="83"/>
      <c r="F2771" s="83"/>
      <c r="G2771" s="76"/>
      <c r="H2771" s="76"/>
      <c r="I2771" s="76"/>
      <c r="J2771" s="76"/>
      <c r="K2771" s="76"/>
      <c r="L2771" s="76"/>
      <c r="M2771" s="76"/>
      <c r="N2771" s="76"/>
      <c r="O2771" s="76"/>
      <c r="P2771" s="76"/>
      <c r="Q2771" s="76"/>
      <c r="R2771" s="76"/>
      <c r="S2771" s="76"/>
      <c r="T2771" s="76"/>
      <c r="U2771" s="76"/>
      <c r="V2771" s="76"/>
      <c r="W2771" s="76"/>
      <c r="X2771" s="76"/>
      <c r="Y2771" s="76"/>
      <c r="Z2771" s="76"/>
      <c r="AA2771" s="76"/>
      <c r="AB2771" s="76"/>
      <c r="AC2771" s="76"/>
      <c r="AD2771" s="76"/>
      <c r="AE2771" s="76"/>
      <c r="AF2771" s="76"/>
      <c r="AG2771" s="76"/>
      <c r="AH2771" s="76"/>
      <c r="AI2771" s="76"/>
      <c r="AJ2771" s="76"/>
      <c r="AK2771" s="76"/>
      <c r="AL2771" s="76"/>
      <c r="AM2771" s="76"/>
      <c r="AN2771" s="76"/>
      <c r="AO2771" s="76"/>
      <c r="AP2771" s="76"/>
      <c r="AQ2771" s="76"/>
      <c r="AR2771" s="76"/>
      <c r="AS2771" s="76"/>
      <c r="AT2771" s="76"/>
      <c r="AU2771" s="76"/>
      <c r="AV2771" s="76"/>
      <c r="AW2771" s="76"/>
      <c r="AX2771" s="76"/>
      <c r="AY2771" s="76"/>
      <c r="AZ2771" s="76"/>
      <c r="BA2771" s="76"/>
      <c r="BB2771" s="76"/>
    </row>
    <row r="2772" spans="5:54" x14ac:dyDescent="0.35">
      <c r="E2772" s="83"/>
      <c r="F2772" s="83"/>
      <c r="G2772" s="76"/>
      <c r="H2772" s="76"/>
      <c r="I2772" s="76"/>
      <c r="J2772" s="76"/>
      <c r="K2772" s="76"/>
      <c r="L2772" s="76"/>
      <c r="M2772" s="76"/>
      <c r="N2772" s="76"/>
      <c r="O2772" s="76"/>
      <c r="P2772" s="76"/>
      <c r="Q2772" s="76"/>
      <c r="R2772" s="76"/>
      <c r="S2772" s="76"/>
      <c r="T2772" s="76"/>
      <c r="U2772" s="76"/>
      <c r="V2772" s="76"/>
      <c r="W2772" s="76"/>
      <c r="X2772" s="76"/>
      <c r="Y2772" s="76"/>
      <c r="Z2772" s="76"/>
      <c r="AA2772" s="76"/>
      <c r="AB2772" s="76"/>
      <c r="AC2772" s="76"/>
      <c r="AD2772" s="76"/>
      <c r="AE2772" s="76"/>
      <c r="AF2772" s="76"/>
      <c r="AG2772" s="76"/>
      <c r="AH2772" s="76"/>
      <c r="AI2772" s="76"/>
      <c r="AJ2772" s="76"/>
      <c r="AK2772" s="76"/>
      <c r="AL2772" s="76"/>
      <c r="AM2772" s="76"/>
      <c r="AN2772" s="76"/>
      <c r="AO2772" s="76"/>
      <c r="AP2772" s="76"/>
      <c r="AQ2772" s="76"/>
      <c r="AR2772" s="76"/>
      <c r="AS2772" s="76"/>
      <c r="AT2772" s="76"/>
      <c r="AU2772" s="76"/>
      <c r="AV2772" s="76"/>
      <c r="AW2772" s="76"/>
      <c r="AX2772" s="76"/>
      <c r="AY2772" s="76"/>
      <c r="AZ2772" s="76"/>
      <c r="BA2772" s="76"/>
      <c r="BB2772" s="76"/>
    </row>
    <row r="2773" spans="5:54" x14ac:dyDescent="0.35">
      <c r="E2773" s="83"/>
      <c r="F2773" s="83"/>
      <c r="G2773" s="76"/>
      <c r="H2773" s="76"/>
      <c r="I2773" s="76"/>
      <c r="J2773" s="76"/>
      <c r="K2773" s="76"/>
      <c r="L2773" s="76"/>
      <c r="M2773" s="76"/>
      <c r="N2773" s="76"/>
      <c r="O2773" s="76"/>
      <c r="P2773" s="76"/>
      <c r="Q2773" s="76"/>
      <c r="R2773" s="76"/>
      <c r="S2773" s="76"/>
      <c r="T2773" s="76"/>
      <c r="U2773" s="76"/>
      <c r="V2773" s="76"/>
      <c r="W2773" s="76"/>
      <c r="X2773" s="76"/>
      <c r="Y2773" s="76"/>
      <c r="Z2773" s="76"/>
      <c r="AA2773" s="76"/>
      <c r="AB2773" s="76"/>
      <c r="AC2773" s="76"/>
      <c r="AD2773" s="76"/>
      <c r="AE2773" s="76"/>
      <c r="AF2773" s="76"/>
      <c r="AG2773" s="76"/>
      <c r="AH2773" s="76"/>
      <c r="AI2773" s="76"/>
      <c r="AJ2773" s="76"/>
      <c r="AK2773" s="76"/>
      <c r="AL2773" s="76"/>
      <c r="AM2773" s="76"/>
      <c r="AN2773" s="76"/>
      <c r="AO2773" s="76"/>
      <c r="AP2773" s="76"/>
      <c r="AQ2773" s="76"/>
      <c r="AR2773" s="76"/>
      <c r="AS2773" s="76"/>
      <c r="AT2773" s="76"/>
      <c r="AU2773" s="76"/>
      <c r="AV2773" s="76"/>
      <c r="AW2773" s="76"/>
      <c r="AX2773" s="76"/>
      <c r="AY2773" s="76"/>
      <c r="AZ2773" s="76"/>
      <c r="BA2773" s="76"/>
      <c r="BB2773" s="76"/>
    </row>
    <row r="2774" spans="5:54" x14ac:dyDescent="0.35">
      <c r="E2774" s="83"/>
      <c r="F2774" s="83"/>
      <c r="G2774" s="76"/>
      <c r="H2774" s="76"/>
      <c r="I2774" s="76"/>
      <c r="J2774" s="76"/>
      <c r="K2774" s="76"/>
      <c r="L2774" s="76"/>
      <c r="M2774" s="76"/>
      <c r="N2774" s="76"/>
      <c r="O2774" s="76"/>
      <c r="P2774" s="76"/>
      <c r="Q2774" s="76"/>
      <c r="R2774" s="76"/>
      <c r="S2774" s="76"/>
      <c r="T2774" s="76"/>
      <c r="U2774" s="76"/>
      <c r="V2774" s="76"/>
      <c r="W2774" s="76"/>
      <c r="X2774" s="76"/>
      <c r="Y2774" s="76"/>
      <c r="Z2774" s="76"/>
      <c r="AA2774" s="76"/>
      <c r="AB2774" s="76"/>
      <c r="AC2774" s="76"/>
      <c r="AD2774" s="76"/>
      <c r="AE2774" s="76"/>
      <c r="AF2774" s="76"/>
      <c r="AG2774" s="76"/>
      <c r="AH2774" s="76"/>
      <c r="AI2774" s="76"/>
      <c r="AJ2774" s="76"/>
      <c r="AK2774" s="76"/>
      <c r="AL2774" s="76"/>
      <c r="AM2774" s="76"/>
      <c r="AN2774" s="76"/>
      <c r="AO2774" s="76"/>
      <c r="AP2774" s="76"/>
      <c r="AQ2774" s="76"/>
      <c r="AR2774" s="76"/>
      <c r="AS2774" s="76"/>
      <c r="AT2774" s="76"/>
      <c r="AU2774" s="76"/>
      <c r="AV2774" s="76"/>
      <c r="AW2774" s="76"/>
      <c r="AX2774" s="76"/>
      <c r="AY2774" s="76"/>
      <c r="AZ2774" s="76"/>
      <c r="BA2774" s="76"/>
      <c r="BB2774" s="76"/>
    </row>
    <row r="2775" spans="5:54" x14ac:dyDescent="0.35">
      <c r="E2775" s="83"/>
      <c r="F2775" s="83"/>
      <c r="G2775" s="76"/>
      <c r="H2775" s="76"/>
      <c r="I2775" s="76"/>
      <c r="J2775" s="76"/>
      <c r="K2775" s="76"/>
      <c r="L2775" s="76"/>
      <c r="M2775" s="76"/>
      <c r="N2775" s="76"/>
      <c r="O2775" s="76"/>
      <c r="P2775" s="76"/>
      <c r="Q2775" s="76"/>
      <c r="R2775" s="76"/>
      <c r="S2775" s="76"/>
      <c r="T2775" s="76"/>
      <c r="U2775" s="76"/>
      <c r="V2775" s="76"/>
      <c r="W2775" s="76"/>
      <c r="X2775" s="76"/>
      <c r="Y2775" s="76"/>
      <c r="Z2775" s="76"/>
      <c r="AA2775" s="76"/>
      <c r="AB2775" s="76"/>
      <c r="AC2775" s="76"/>
      <c r="AD2775" s="76"/>
      <c r="AE2775" s="76"/>
      <c r="AF2775" s="76"/>
      <c r="AG2775" s="76"/>
      <c r="AH2775" s="76"/>
      <c r="AI2775" s="76"/>
      <c r="AJ2775" s="76"/>
      <c r="AK2775" s="76"/>
      <c r="AL2775" s="76"/>
      <c r="AM2775" s="76"/>
      <c r="AN2775" s="76"/>
      <c r="AO2775" s="76"/>
      <c r="AP2775" s="76"/>
      <c r="AQ2775" s="76"/>
      <c r="AR2775" s="76"/>
      <c r="AS2775" s="76"/>
      <c r="AT2775" s="76"/>
      <c r="AU2775" s="76"/>
      <c r="AV2775" s="76"/>
      <c r="AW2775" s="76"/>
      <c r="AX2775" s="76"/>
      <c r="AY2775" s="76"/>
      <c r="AZ2775" s="76"/>
      <c r="BA2775" s="76"/>
      <c r="BB2775" s="76"/>
    </row>
    <row r="2776" spans="5:54" x14ac:dyDescent="0.35">
      <c r="E2776" s="83"/>
      <c r="F2776" s="83"/>
      <c r="G2776" s="76"/>
      <c r="H2776" s="76"/>
      <c r="I2776" s="76"/>
      <c r="J2776" s="76"/>
      <c r="K2776" s="76"/>
      <c r="L2776" s="76"/>
      <c r="M2776" s="76"/>
      <c r="N2776" s="76"/>
      <c r="O2776" s="76"/>
      <c r="P2776" s="76"/>
      <c r="Q2776" s="76"/>
      <c r="R2776" s="76"/>
      <c r="S2776" s="76"/>
      <c r="T2776" s="76"/>
      <c r="U2776" s="76"/>
      <c r="V2776" s="76"/>
      <c r="W2776" s="76"/>
      <c r="X2776" s="76"/>
      <c r="Y2776" s="76"/>
      <c r="Z2776" s="76"/>
      <c r="AA2776" s="76"/>
      <c r="AB2776" s="76"/>
      <c r="AC2776" s="76"/>
      <c r="AD2776" s="76"/>
      <c r="AE2776" s="76"/>
      <c r="AF2776" s="76"/>
      <c r="AG2776" s="76"/>
      <c r="AH2776" s="76"/>
      <c r="AI2776" s="76"/>
      <c r="AJ2776" s="76"/>
      <c r="AK2776" s="76"/>
      <c r="AL2776" s="76"/>
      <c r="AM2776" s="76"/>
      <c r="AN2776" s="76"/>
      <c r="AO2776" s="76"/>
      <c r="AP2776" s="76"/>
      <c r="AQ2776" s="76"/>
      <c r="AR2776" s="76"/>
      <c r="AS2776" s="76"/>
      <c r="AT2776" s="76"/>
      <c r="AU2776" s="76"/>
      <c r="AV2776" s="76"/>
      <c r="AW2776" s="76"/>
      <c r="AX2776" s="76"/>
      <c r="AY2776" s="76"/>
      <c r="AZ2776" s="76"/>
      <c r="BA2776" s="76"/>
      <c r="BB2776" s="76"/>
    </row>
    <row r="2777" spans="5:54" x14ac:dyDescent="0.35">
      <c r="E2777" s="83"/>
      <c r="F2777" s="83"/>
      <c r="G2777" s="76"/>
      <c r="H2777" s="76"/>
      <c r="I2777" s="76"/>
      <c r="J2777" s="76"/>
      <c r="K2777" s="76"/>
      <c r="L2777" s="76"/>
      <c r="M2777" s="76"/>
      <c r="N2777" s="76"/>
      <c r="O2777" s="76"/>
      <c r="P2777" s="76"/>
      <c r="Q2777" s="76"/>
      <c r="R2777" s="76"/>
      <c r="S2777" s="76"/>
      <c r="T2777" s="76"/>
      <c r="U2777" s="76"/>
      <c r="V2777" s="76"/>
      <c r="W2777" s="76"/>
      <c r="X2777" s="76"/>
      <c r="Y2777" s="76"/>
      <c r="Z2777" s="76"/>
      <c r="AA2777" s="76"/>
      <c r="AB2777" s="76"/>
      <c r="AC2777" s="76"/>
      <c r="AD2777" s="76"/>
      <c r="AE2777" s="76"/>
      <c r="AF2777" s="76"/>
      <c r="AG2777" s="76"/>
      <c r="AH2777" s="76"/>
      <c r="AI2777" s="76"/>
      <c r="AJ2777" s="76"/>
      <c r="AK2777" s="76"/>
      <c r="AL2777" s="76"/>
      <c r="AM2777" s="76"/>
      <c r="AN2777" s="76"/>
      <c r="AO2777" s="76"/>
      <c r="AP2777" s="76"/>
      <c r="AQ2777" s="76"/>
      <c r="AR2777" s="76"/>
      <c r="AS2777" s="76"/>
      <c r="AT2777" s="76"/>
      <c r="AU2777" s="76"/>
      <c r="AV2777" s="76"/>
      <c r="AW2777" s="76"/>
      <c r="AX2777" s="76"/>
      <c r="AY2777" s="76"/>
      <c r="AZ2777" s="76"/>
      <c r="BA2777" s="76"/>
      <c r="BB2777" s="76"/>
    </row>
    <row r="2778" spans="5:54" x14ac:dyDescent="0.35">
      <c r="E2778" s="83"/>
      <c r="F2778" s="83"/>
      <c r="G2778" s="76"/>
      <c r="H2778" s="76"/>
      <c r="I2778" s="76"/>
      <c r="J2778" s="76"/>
      <c r="K2778" s="76"/>
      <c r="L2778" s="76"/>
      <c r="M2778" s="76"/>
      <c r="N2778" s="76"/>
      <c r="O2778" s="76"/>
      <c r="P2778" s="76"/>
      <c r="Q2778" s="76"/>
      <c r="R2778" s="76"/>
      <c r="S2778" s="76"/>
      <c r="T2778" s="76"/>
      <c r="U2778" s="76"/>
      <c r="V2778" s="76"/>
      <c r="W2778" s="76"/>
      <c r="X2778" s="76"/>
      <c r="Y2778" s="76"/>
      <c r="Z2778" s="76"/>
      <c r="AA2778" s="76"/>
      <c r="AB2778" s="76"/>
      <c r="AC2778" s="76"/>
      <c r="AD2778" s="76"/>
      <c r="AE2778" s="76"/>
      <c r="AF2778" s="76"/>
      <c r="AG2778" s="76"/>
      <c r="AH2778" s="76"/>
      <c r="AI2778" s="76"/>
      <c r="AJ2778" s="76"/>
      <c r="AK2778" s="76"/>
      <c r="AL2778" s="76"/>
      <c r="AM2778" s="76"/>
      <c r="AN2778" s="76"/>
      <c r="AO2778" s="76"/>
      <c r="AP2778" s="76"/>
      <c r="AQ2778" s="76"/>
      <c r="AR2778" s="76"/>
      <c r="AS2778" s="76"/>
      <c r="AT2778" s="76"/>
      <c r="AU2778" s="76"/>
      <c r="AV2778" s="76"/>
      <c r="AW2778" s="76"/>
      <c r="AX2778" s="76"/>
      <c r="AY2778" s="76"/>
      <c r="AZ2778" s="76"/>
      <c r="BA2778" s="76"/>
      <c r="BB2778" s="76"/>
    </row>
    <row r="2779" spans="5:54" x14ac:dyDescent="0.35">
      <c r="E2779" s="83"/>
      <c r="F2779" s="83"/>
      <c r="G2779" s="76"/>
      <c r="H2779" s="76"/>
      <c r="I2779" s="76"/>
      <c r="J2779" s="76"/>
      <c r="K2779" s="76"/>
      <c r="L2779" s="76"/>
      <c r="M2779" s="76"/>
      <c r="N2779" s="76"/>
      <c r="O2779" s="76"/>
      <c r="P2779" s="76"/>
      <c r="Q2779" s="76"/>
      <c r="R2779" s="76"/>
      <c r="S2779" s="76"/>
      <c r="T2779" s="76"/>
      <c r="U2779" s="76"/>
      <c r="V2779" s="76"/>
      <c r="W2779" s="76"/>
      <c r="X2779" s="76"/>
      <c r="Y2779" s="76"/>
      <c r="Z2779" s="76"/>
      <c r="AA2779" s="76"/>
      <c r="AB2779" s="76"/>
      <c r="AC2779" s="76"/>
      <c r="AD2779" s="76"/>
      <c r="AE2779" s="76"/>
      <c r="AF2779" s="76"/>
      <c r="AG2779" s="76"/>
      <c r="AH2779" s="76"/>
      <c r="AI2779" s="76"/>
      <c r="AJ2779" s="76"/>
      <c r="AK2779" s="76"/>
      <c r="AL2779" s="76"/>
      <c r="AM2779" s="76"/>
      <c r="AN2779" s="76"/>
      <c r="AO2779" s="76"/>
      <c r="AP2779" s="76"/>
      <c r="AQ2779" s="76"/>
      <c r="AR2779" s="76"/>
      <c r="AS2779" s="76"/>
      <c r="AT2779" s="76"/>
      <c r="AU2779" s="76"/>
      <c r="AV2779" s="76"/>
      <c r="AW2779" s="76"/>
      <c r="AX2779" s="76"/>
      <c r="AY2779" s="76"/>
      <c r="AZ2779" s="76"/>
      <c r="BA2779" s="76"/>
      <c r="BB2779" s="76"/>
    </row>
    <row r="2780" spans="5:54" x14ac:dyDescent="0.35">
      <c r="E2780" s="83"/>
      <c r="F2780" s="83"/>
      <c r="G2780" s="76"/>
      <c r="H2780" s="76"/>
      <c r="I2780" s="76"/>
      <c r="J2780" s="76"/>
      <c r="K2780" s="76"/>
      <c r="L2780" s="76"/>
      <c r="M2780" s="76"/>
      <c r="N2780" s="76"/>
      <c r="O2780" s="76"/>
      <c r="P2780" s="76"/>
      <c r="Q2780" s="76"/>
      <c r="R2780" s="76"/>
      <c r="S2780" s="76"/>
      <c r="T2780" s="76"/>
      <c r="U2780" s="76"/>
      <c r="V2780" s="76"/>
      <c r="W2780" s="76"/>
      <c r="X2780" s="76"/>
      <c r="Y2780" s="76"/>
      <c r="Z2780" s="76"/>
      <c r="AA2780" s="76"/>
      <c r="AB2780" s="76"/>
      <c r="AC2780" s="76"/>
      <c r="AD2780" s="76"/>
      <c r="AE2780" s="76"/>
      <c r="AF2780" s="76"/>
      <c r="AG2780" s="76"/>
      <c r="AH2780" s="76"/>
      <c r="AI2780" s="76"/>
      <c r="AJ2780" s="76"/>
      <c r="AK2780" s="76"/>
      <c r="AL2780" s="76"/>
      <c r="AM2780" s="76"/>
      <c r="AN2780" s="76"/>
      <c r="AO2780" s="76"/>
      <c r="AP2780" s="76"/>
      <c r="AQ2780" s="76"/>
      <c r="AR2780" s="76"/>
      <c r="AS2780" s="76"/>
      <c r="AT2780" s="76"/>
      <c r="AU2780" s="76"/>
      <c r="AV2780" s="76"/>
      <c r="AW2780" s="76"/>
      <c r="AX2780" s="76"/>
      <c r="AY2780" s="76"/>
      <c r="AZ2780" s="76"/>
      <c r="BA2780" s="76"/>
      <c r="BB2780" s="76"/>
    </row>
    <row r="2781" spans="5:54" x14ac:dyDescent="0.35">
      <c r="E2781" s="83"/>
      <c r="F2781" s="83"/>
      <c r="G2781" s="76"/>
      <c r="H2781" s="76"/>
      <c r="I2781" s="76"/>
      <c r="J2781" s="76"/>
      <c r="K2781" s="76"/>
      <c r="L2781" s="76"/>
      <c r="M2781" s="76"/>
      <c r="N2781" s="76"/>
      <c r="O2781" s="76"/>
      <c r="P2781" s="76"/>
      <c r="Q2781" s="76"/>
      <c r="R2781" s="76"/>
      <c r="S2781" s="76"/>
      <c r="T2781" s="76"/>
      <c r="U2781" s="76"/>
      <c r="V2781" s="76"/>
      <c r="W2781" s="76"/>
      <c r="X2781" s="76"/>
      <c r="Y2781" s="76"/>
      <c r="Z2781" s="76"/>
      <c r="AA2781" s="76"/>
      <c r="AB2781" s="76"/>
      <c r="AC2781" s="76"/>
      <c r="AD2781" s="76"/>
      <c r="AE2781" s="76"/>
      <c r="AF2781" s="76"/>
      <c r="AG2781" s="76"/>
      <c r="AH2781" s="76"/>
      <c r="AI2781" s="76"/>
      <c r="AJ2781" s="76"/>
      <c r="AK2781" s="76"/>
      <c r="AL2781" s="76"/>
      <c r="AM2781" s="76"/>
      <c r="AN2781" s="76"/>
      <c r="AO2781" s="76"/>
      <c r="AP2781" s="76"/>
      <c r="AQ2781" s="76"/>
      <c r="AR2781" s="76"/>
      <c r="AS2781" s="76"/>
      <c r="AT2781" s="76"/>
      <c r="AU2781" s="76"/>
      <c r="AV2781" s="76"/>
      <c r="AW2781" s="76"/>
      <c r="AX2781" s="76"/>
      <c r="AY2781" s="76"/>
      <c r="AZ2781" s="76"/>
      <c r="BA2781" s="76"/>
      <c r="BB2781" s="76"/>
    </row>
    <row r="2782" spans="5:54" x14ac:dyDescent="0.35">
      <c r="E2782" s="83"/>
      <c r="F2782" s="83"/>
      <c r="G2782" s="76"/>
      <c r="H2782" s="76"/>
      <c r="I2782" s="76"/>
      <c r="J2782" s="76"/>
      <c r="K2782" s="76"/>
      <c r="L2782" s="76"/>
      <c r="M2782" s="76"/>
      <c r="N2782" s="76"/>
      <c r="O2782" s="76"/>
      <c r="P2782" s="76"/>
      <c r="Q2782" s="76"/>
      <c r="R2782" s="76"/>
      <c r="S2782" s="76"/>
      <c r="T2782" s="76"/>
      <c r="U2782" s="76"/>
      <c r="V2782" s="76"/>
      <c r="W2782" s="76"/>
      <c r="X2782" s="76"/>
      <c r="Y2782" s="76"/>
      <c r="Z2782" s="76"/>
      <c r="AA2782" s="76"/>
      <c r="AB2782" s="76"/>
      <c r="AC2782" s="76"/>
      <c r="AD2782" s="76"/>
      <c r="AE2782" s="76"/>
      <c r="AF2782" s="76"/>
      <c r="AG2782" s="76"/>
      <c r="AH2782" s="76"/>
      <c r="AI2782" s="76"/>
      <c r="AJ2782" s="76"/>
      <c r="AK2782" s="76"/>
      <c r="AL2782" s="76"/>
      <c r="AM2782" s="76"/>
      <c r="AN2782" s="76"/>
      <c r="AO2782" s="76"/>
      <c r="AP2782" s="76"/>
      <c r="AQ2782" s="76"/>
      <c r="AR2782" s="76"/>
      <c r="AS2782" s="76"/>
      <c r="AT2782" s="76"/>
      <c r="AU2782" s="76"/>
      <c r="AV2782" s="76"/>
      <c r="AW2782" s="76"/>
      <c r="AX2782" s="76"/>
      <c r="AY2782" s="76"/>
      <c r="AZ2782" s="76"/>
      <c r="BA2782" s="76"/>
      <c r="BB2782" s="76"/>
    </row>
    <row r="2783" spans="5:54" x14ac:dyDescent="0.35">
      <c r="E2783" s="83"/>
      <c r="F2783" s="83"/>
      <c r="G2783" s="76"/>
      <c r="H2783" s="76"/>
      <c r="I2783" s="76"/>
      <c r="J2783" s="76"/>
      <c r="K2783" s="76"/>
      <c r="L2783" s="76"/>
      <c r="M2783" s="76"/>
      <c r="N2783" s="76"/>
      <c r="O2783" s="76"/>
      <c r="P2783" s="76"/>
      <c r="Q2783" s="76"/>
      <c r="R2783" s="76"/>
      <c r="S2783" s="76"/>
      <c r="T2783" s="76"/>
      <c r="U2783" s="76"/>
      <c r="V2783" s="76"/>
      <c r="W2783" s="76"/>
      <c r="X2783" s="76"/>
      <c r="Y2783" s="76"/>
      <c r="Z2783" s="76"/>
      <c r="AA2783" s="76"/>
      <c r="AB2783" s="76"/>
      <c r="AC2783" s="76"/>
      <c r="AD2783" s="76"/>
      <c r="AE2783" s="76"/>
      <c r="AF2783" s="76"/>
      <c r="AG2783" s="76"/>
      <c r="AH2783" s="76"/>
      <c r="AI2783" s="76"/>
      <c r="AJ2783" s="76"/>
      <c r="AK2783" s="76"/>
      <c r="AL2783" s="76"/>
      <c r="AM2783" s="76"/>
      <c r="AN2783" s="76"/>
      <c r="AO2783" s="76"/>
      <c r="AP2783" s="76"/>
      <c r="AQ2783" s="76"/>
      <c r="AR2783" s="76"/>
      <c r="AS2783" s="76"/>
      <c r="AT2783" s="76"/>
      <c r="AU2783" s="76"/>
      <c r="AV2783" s="76"/>
      <c r="AW2783" s="76"/>
      <c r="AX2783" s="76"/>
      <c r="AY2783" s="76"/>
      <c r="AZ2783" s="76"/>
      <c r="BA2783" s="76"/>
      <c r="BB2783" s="76"/>
    </row>
    <row r="2784" spans="5:54" x14ac:dyDescent="0.35">
      <c r="E2784" s="83"/>
      <c r="F2784" s="83"/>
      <c r="G2784" s="76"/>
      <c r="H2784" s="76"/>
      <c r="I2784" s="76"/>
      <c r="J2784" s="76"/>
      <c r="K2784" s="76"/>
      <c r="L2784" s="76"/>
      <c r="M2784" s="76"/>
      <c r="N2784" s="76"/>
      <c r="O2784" s="76"/>
      <c r="P2784" s="76"/>
      <c r="Q2784" s="76"/>
      <c r="R2784" s="76"/>
      <c r="S2784" s="76"/>
      <c r="T2784" s="76"/>
      <c r="U2784" s="76"/>
      <c r="V2784" s="76"/>
      <c r="W2784" s="76"/>
      <c r="X2784" s="76"/>
      <c r="Y2784" s="76"/>
      <c r="Z2784" s="76"/>
      <c r="AA2784" s="76"/>
      <c r="AB2784" s="76"/>
      <c r="AC2784" s="76"/>
      <c r="AD2784" s="76"/>
      <c r="AE2784" s="76"/>
      <c r="AF2784" s="76"/>
      <c r="AG2784" s="76"/>
      <c r="AH2784" s="76"/>
      <c r="AI2784" s="76"/>
      <c r="AJ2784" s="76"/>
      <c r="AK2784" s="76"/>
      <c r="AL2784" s="76"/>
      <c r="AM2784" s="76"/>
      <c r="AN2784" s="76"/>
      <c r="AO2784" s="76"/>
      <c r="AP2784" s="76"/>
      <c r="AQ2784" s="76"/>
      <c r="AR2784" s="76"/>
      <c r="AS2784" s="76"/>
      <c r="AT2784" s="76"/>
      <c r="AU2784" s="76"/>
      <c r="AV2784" s="76"/>
      <c r="AW2784" s="76"/>
      <c r="AX2784" s="76"/>
      <c r="AY2784" s="76"/>
      <c r="AZ2784" s="76"/>
      <c r="BA2784" s="76"/>
      <c r="BB2784" s="76"/>
    </row>
    <row r="2785" spans="5:54" x14ac:dyDescent="0.35">
      <c r="E2785" s="83"/>
      <c r="F2785" s="83"/>
      <c r="G2785" s="76"/>
      <c r="H2785" s="76"/>
      <c r="I2785" s="76"/>
      <c r="J2785" s="76"/>
      <c r="K2785" s="76"/>
      <c r="L2785" s="76"/>
      <c r="M2785" s="76"/>
      <c r="N2785" s="76"/>
      <c r="O2785" s="76"/>
      <c r="P2785" s="76"/>
      <c r="Q2785" s="76"/>
      <c r="R2785" s="76"/>
      <c r="S2785" s="76"/>
      <c r="T2785" s="76"/>
      <c r="U2785" s="76"/>
      <c r="V2785" s="76"/>
      <c r="W2785" s="76"/>
      <c r="X2785" s="76"/>
      <c r="Y2785" s="76"/>
      <c r="Z2785" s="76"/>
      <c r="AA2785" s="76"/>
      <c r="AB2785" s="76"/>
      <c r="AC2785" s="76"/>
      <c r="AD2785" s="76"/>
      <c r="AE2785" s="76"/>
      <c r="AF2785" s="76"/>
      <c r="AG2785" s="76"/>
      <c r="AH2785" s="76"/>
      <c r="AI2785" s="76"/>
      <c r="AJ2785" s="76"/>
      <c r="AK2785" s="76"/>
      <c r="AL2785" s="76"/>
      <c r="AM2785" s="76"/>
      <c r="AN2785" s="76"/>
      <c r="AO2785" s="76"/>
      <c r="AP2785" s="76"/>
      <c r="AQ2785" s="76"/>
      <c r="AR2785" s="76"/>
      <c r="AS2785" s="76"/>
      <c r="AT2785" s="76"/>
      <c r="AU2785" s="76"/>
      <c r="AV2785" s="76"/>
      <c r="AW2785" s="76"/>
      <c r="AX2785" s="76"/>
      <c r="AY2785" s="76"/>
      <c r="AZ2785" s="76"/>
      <c r="BA2785" s="76"/>
      <c r="BB2785" s="76"/>
    </row>
    <row r="2786" spans="5:54" x14ac:dyDescent="0.35">
      <c r="E2786" s="83"/>
      <c r="F2786" s="83"/>
      <c r="G2786" s="76"/>
      <c r="H2786" s="76"/>
      <c r="I2786" s="76"/>
      <c r="J2786" s="76"/>
      <c r="K2786" s="76"/>
      <c r="L2786" s="76"/>
      <c r="M2786" s="76"/>
      <c r="N2786" s="76"/>
      <c r="O2786" s="76"/>
      <c r="P2786" s="76"/>
      <c r="Q2786" s="76"/>
      <c r="R2786" s="76"/>
      <c r="S2786" s="76"/>
      <c r="T2786" s="76"/>
      <c r="U2786" s="76"/>
      <c r="V2786" s="76"/>
      <c r="W2786" s="76"/>
      <c r="X2786" s="76"/>
      <c r="Y2786" s="76"/>
      <c r="Z2786" s="76"/>
      <c r="AA2786" s="76"/>
      <c r="AB2786" s="76"/>
      <c r="AC2786" s="76"/>
      <c r="AD2786" s="76"/>
      <c r="AE2786" s="76"/>
      <c r="AF2786" s="76"/>
      <c r="AG2786" s="76"/>
      <c r="AH2786" s="76"/>
      <c r="AI2786" s="76"/>
      <c r="AJ2786" s="76"/>
      <c r="AK2786" s="76"/>
      <c r="AL2786" s="76"/>
      <c r="AM2786" s="76"/>
      <c r="AN2786" s="76"/>
      <c r="AO2786" s="76"/>
      <c r="AP2786" s="76"/>
      <c r="AQ2786" s="76"/>
      <c r="AR2786" s="76"/>
      <c r="AS2786" s="76"/>
      <c r="AT2786" s="76"/>
      <c r="AU2786" s="76"/>
      <c r="AV2786" s="76"/>
      <c r="AW2786" s="76"/>
      <c r="AX2786" s="76"/>
      <c r="AY2786" s="76"/>
      <c r="AZ2786" s="76"/>
      <c r="BA2786" s="76"/>
      <c r="BB2786" s="76"/>
    </row>
    <row r="2787" spans="5:54" x14ac:dyDescent="0.35">
      <c r="E2787" s="83"/>
      <c r="F2787" s="83"/>
      <c r="G2787" s="76"/>
      <c r="H2787" s="76"/>
      <c r="I2787" s="76"/>
      <c r="J2787" s="76"/>
      <c r="K2787" s="76"/>
      <c r="L2787" s="76"/>
      <c r="M2787" s="76"/>
      <c r="N2787" s="76"/>
      <c r="O2787" s="76"/>
      <c r="P2787" s="76"/>
      <c r="Q2787" s="76"/>
      <c r="R2787" s="76"/>
      <c r="S2787" s="76"/>
      <c r="T2787" s="76"/>
      <c r="U2787" s="76"/>
      <c r="V2787" s="76"/>
      <c r="W2787" s="76"/>
      <c r="X2787" s="76"/>
      <c r="Y2787" s="76"/>
      <c r="Z2787" s="76"/>
      <c r="AA2787" s="76"/>
      <c r="AB2787" s="76"/>
      <c r="AC2787" s="76"/>
      <c r="AD2787" s="76"/>
      <c r="AE2787" s="76"/>
      <c r="AF2787" s="76"/>
      <c r="AG2787" s="76"/>
      <c r="AH2787" s="76"/>
      <c r="AI2787" s="76"/>
      <c r="AJ2787" s="76"/>
      <c r="AK2787" s="76"/>
      <c r="AL2787" s="76"/>
      <c r="AM2787" s="76"/>
      <c r="AN2787" s="76"/>
      <c r="AO2787" s="76"/>
      <c r="AP2787" s="76"/>
      <c r="AQ2787" s="76"/>
      <c r="AR2787" s="76"/>
      <c r="AS2787" s="76"/>
      <c r="AT2787" s="76"/>
      <c r="AU2787" s="76"/>
      <c r="AV2787" s="76"/>
      <c r="AW2787" s="76"/>
      <c r="AX2787" s="76"/>
      <c r="AY2787" s="76"/>
      <c r="AZ2787" s="76"/>
      <c r="BA2787" s="76"/>
      <c r="BB2787" s="76"/>
    </row>
    <row r="2788" spans="5:54" x14ac:dyDescent="0.35">
      <c r="E2788" s="83"/>
      <c r="F2788" s="83"/>
      <c r="G2788" s="76"/>
      <c r="H2788" s="76"/>
      <c r="I2788" s="76"/>
      <c r="J2788" s="76"/>
      <c r="K2788" s="76"/>
      <c r="L2788" s="76"/>
      <c r="M2788" s="76"/>
      <c r="N2788" s="76"/>
      <c r="O2788" s="76"/>
      <c r="P2788" s="76"/>
      <c r="Q2788" s="76"/>
      <c r="R2788" s="76"/>
      <c r="S2788" s="76"/>
      <c r="T2788" s="76"/>
      <c r="U2788" s="76"/>
      <c r="V2788" s="76"/>
      <c r="W2788" s="76"/>
      <c r="X2788" s="76"/>
      <c r="Y2788" s="76"/>
      <c r="Z2788" s="76"/>
      <c r="AA2788" s="76"/>
      <c r="AB2788" s="76"/>
      <c r="AC2788" s="76"/>
      <c r="AD2788" s="76"/>
      <c r="AE2788" s="76"/>
      <c r="AF2788" s="76"/>
      <c r="AG2788" s="76"/>
      <c r="AH2788" s="76"/>
      <c r="AI2788" s="76"/>
      <c r="AJ2788" s="76"/>
      <c r="AK2788" s="76"/>
      <c r="AL2788" s="76"/>
      <c r="AM2788" s="76"/>
      <c r="AN2788" s="76"/>
      <c r="AO2788" s="76"/>
      <c r="AP2788" s="76"/>
      <c r="AQ2788" s="76"/>
      <c r="AR2788" s="76"/>
      <c r="AS2788" s="76"/>
      <c r="AT2788" s="76"/>
      <c r="AU2788" s="76"/>
      <c r="AV2788" s="76"/>
      <c r="AW2788" s="76"/>
      <c r="AX2788" s="76"/>
      <c r="AY2788" s="76"/>
      <c r="AZ2788" s="76"/>
      <c r="BA2788" s="76"/>
      <c r="BB2788" s="76"/>
    </row>
    <row r="2789" spans="5:54" x14ac:dyDescent="0.35">
      <c r="E2789" s="83"/>
      <c r="F2789" s="83"/>
      <c r="G2789" s="76"/>
      <c r="H2789" s="76"/>
      <c r="I2789" s="76"/>
      <c r="J2789" s="76"/>
      <c r="K2789" s="76"/>
      <c r="L2789" s="76"/>
      <c r="M2789" s="76"/>
      <c r="N2789" s="76"/>
      <c r="O2789" s="76"/>
      <c r="P2789" s="76"/>
      <c r="Q2789" s="76"/>
      <c r="R2789" s="76"/>
      <c r="S2789" s="76"/>
      <c r="T2789" s="76"/>
      <c r="U2789" s="76"/>
      <c r="V2789" s="76"/>
      <c r="W2789" s="76"/>
      <c r="X2789" s="76"/>
      <c r="Y2789" s="76"/>
      <c r="Z2789" s="76"/>
      <c r="AA2789" s="76"/>
      <c r="AB2789" s="76"/>
      <c r="AC2789" s="76"/>
      <c r="AD2789" s="76"/>
      <c r="AE2789" s="76"/>
      <c r="AF2789" s="76"/>
      <c r="AG2789" s="76"/>
      <c r="AH2789" s="76"/>
      <c r="AI2789" s="76"/>
      <c r="AJ2789" s="76"/>
      <c r="AK2789" s="76"/>
      <c r="AL2789" s="76"/>
      <c r="AM2789" s="76"/>
      <c r="AN2789" s="76"/>
      <c r="AO2789" s="76"/>
      <c r="AP2789" s="76"/>
      <c r="AQ2789" s="76"/>
      <c r="AR2789" s="76"/>
      <c r="AS2789" s="76"/>
      <c r="AT2789" s="76"/>
      <c r="AU2789" s="76"/>
      <c r="AV2789" s="76"/>
      <c r="AW2789" s="76"/>
      <c r="AX2789" s="76"/>
      <c r="AY2789" s="76"/>
      <c r="AZ2789" s="76"/>
      <c r="BA2789" s="76"/>
      <c r="BB2789" s="76"/>
    </row>
    <row r="2790" spans="5:54" x14ac:dyDescent="0.35">
      <c r="E2790" s="83"/>
      <c r="F2790" s="83"/>
      <c r="G2790" s="76"/>
      <c r="H2790" s="76"/>
      <c r="I2790" s="76"/>
      <c r="J2790" s="76"/>
      <c r="K2790" s="76"/>
      <c r="L2790" s="76"/>
      <c r="M2790" s="76"/>
      <c r="N2790" s="76"/>
      <c r="O2790" s="76"/>
      <c r="P2790" s="76"/>
      <c r="Q2790" s="76"/>
      <c r="R2790" s="76"/>
      <c r="S2790" s="76"/>
      <c r="T2790" s="76"/>
      <c r="U2790" s="76"/>
      <c r="V2790" s="76"/>
      <c r="W2790" s="76"/>
      <c r="X2790" s="76"/>
      <c r="Y2790" s="76"/>
      <c r="Z2790" s="76"/>
      <c r="AA2790" s="76"/>
      <c r="AB2790" s="76"/>
      <c r="AC2790" s="76"/>
      <c r="AD2790" s="76"/>
      <c r="AE2790" s="76"/>
      <c r="AF2790" s="76"/>
      <c r="AG2790" s="76"/>
      <c r="AH2790" s="76"/>
      <c r="AI2790" s="76"/>
      <c r="AJ2790" s="76"/>
      <c r="AK2790" s="76"/>
      <c r="AL2790" s="76"/>
      <c r="AM2790" s="76"/>
      <c r="AN2790" s="76"/>
      <c r="AO2790" s="76"/>
      <c r="AP2790" s="76"/>
      <c r="AQ2790" s="76"/>
      <c r="AR2790" s="76"/>
      <c r="AS2790" s="76"/>
      <c r="AT2790" s="76"/>
      <c r="AU2790" s="76"/>
      <c r="AV2790" s="76"/>
      <c r="AW2790" s="76"/>
      <c r="AX2790" s="76"/>
      <c r="AY2790" s="76"/>
      <c r="AZ2790" s="76"/>
      <c r="BA2790" s="76"/>
      <c r="BB2790" s="76"/>
    </row>
    <row r="2791" spans="5:54" x14ac:dyDescent="0.35">
      <c r="E2791" s="83"/>
      <c r="F2791" s="83"/>
      <c r="G2791" s="76"/>
      <c r="H2791" s="76"/>
      <c r="I2791" s="76"/>
      <c r="J2791" s="76"/>
      <c r="K2791" s="76"/>
      <c r="L2791" s="76"/>
      <c r="M2791" s="76"/>
      <c r="N2791" s="76"/>
      <c r="O2791" s="76"/>
      <c r="P2791" s="76"/>
      <c r="Q2791" s="76"/>
      <c r="R2791" s="76"/>
      <c r="S2791" s="76"/>
      <c r="T2791" s="76"/>
      <c r="U2791" s="76"/>
      <c r="V2791" s="76"/>
      <c r="W2791" s="76"/>
      <c r="X2791" s="76"/>
      <c r="Y2791" s="76"/>
      <c r="Z2791" s="76"/>
      <c r="AA2791" s="76"/>
      <c r="AB2791" s="76"/>
      <c r="AC2791" s="76"/>
      <c r="AD2791" s="76"/>
      <c r="AE2791" s="76"/>
      <c r="AF2791" s="76"/>
      <c r="AG2791" s="76"/>
      <c r="AH2791" s="76"/>
      <c r="AI2791" s="76"/>
      <c r="AJ2791" s="76"/>
      <c r="AK2791" s="76"/>
      <c r="AL2791" s="76"/>
      <c r="AM2791" s="76"/>
      <c r="AN2791" s="76"/>
      <c r="AO2791" s="76"/>
      <c r="AP2791" s="76"/>
      <c r="AQ2791" s="76"/>
      <c r="AR2791" s="76"/>
      <c r="AS2791" s="76"/>
      <c r="AT2791" s="76"/>
      <c r="AU2791" s="76"/>
      <c r="AV2791" s="76"/>
      <c r="AW2791" s="76"/>
      <c r="AX2791" s="76"/>
      <c r="AY2791" s="76"/>
      <c r="AZ2791" s="76"/>
      <c r="BA2791" s="76"/>
      <c r="BB2791" s="76"/>
    </row>
    <row r="2792" spans="5:54" x14ac:dyDescent="0.35">
      <c r="E2792" s="83"/>
      <c r="F2792" s="83"/>
      <c r="G2792" s="76"/>
      <c r="H2792" s="76"/>
      <c r="I2792" s="76"/>
      <c r="J2792" s="76"/>
      <c r="K2792" s="76"/>
      <c r="L2792" s="76"/>
      <c r="M2792" s="76"/>
      <c r="N2792" s="76"/>
      <c r="O2792" s="76"/>
      <c r="P2792" s="76"/>
      <c r="Q2792" s="76"/>
      <c r="R2792" s="76"/>
      <c r="S2792" s="76"/>
      <c r="T2792" s="76"/>
      <c r="U2792" s="76"/>
      <c r="V2792" s="76"/>
      <c r="W2792" s="76"/>
      <c r="X2792" s="76"/>
      <c r="Y2792" s="76"/>
      <c r="Z2792" s="76"/>
      <c r="AA2792" s="76"/>
      <c r="AB2792" s="76"/>
      <c r="AC2792" s="76"/>
      <c r="AD2792" s="76"/>
      <c r="AE2792" s="76"/>
      <c r="AF2792" s="76"/>
      <c r="AG2792" s="76"/>
      <c r="AH2792" s="76"/>
      <c r="AI2792" s="76"/>
      <c r="AJ2792" s="76"/>
      <c r="AK2792" s="76"/>
      <c r="AL2792" s="76"/>
      <c r="AM2792" s="76"/>
      <c r="AN2792" s="76"/>
      <c r="AO2792" s="76"/>
      <c r="AP2792" s="76"/>
      <c r="AQ2792" s="76"/>
      <c r="AR2792" s="76"/>
      <c r="AS2792" s="76"/>
      <c r="AT2792" s="76"/>
      <c r="AU2792" s="76"/>
      <c r="AV2792" s="76"/>
      <c r="AW2792" s="76"/>
      <c r="AX2792" s="76"/>
      <c r="AY2792" s="76"/>
      <c r="AZ2792" s="76"/>
      <c r="BA2792" s="76"/>
      <c r="BB2792" s="76"/>
    </row>
    <row r="2793" spans="5:54" x14ac:dyDescent="0.35">
      <c r="E2793" s="83"/>
      <c r="F2793" s="83"/>
      <c r="G2793" s="76"/>
      <c r="H2793" s="76"/>
      <c r="I2793" s="76"/>
      <c r="J2793" s="76"/>
      <c r="K2793" s="76"/>
      <c r="L2793" s="76"/>
      <c r="M2793" s="76"/>
      <c r="N2793" s="76"/>
      <c r="O2793" s="76"/>
      <c r="P2793" s="76"/>
      <c r="Q2793" s="76"/>
      <c r="R2793" s="76"/>
      <c r="S2793" s="76"/>
      <c r="T2793" s="76"/>
      <c r="U2793" s="76"/>
      <c r="V2793" s="76"/>
      <c r="W2793" s="76"/>
      <c r="X2793" s="76"/>
      <c r="Y2793" s="76"/>
      <c r="Z2793" s="76"/>
      <c r="AA2793" s="76"/>
      <c r="AB2793" s="76"/>
      <c r="AC2793" s="76"/>
      <c r="AD2793" s="76"/>
      <c r="AE2793" s="76"/>
      <c r="AF2793" s="76"/>
      <c r="AG2793" s="76"/>
      <c r="AH2793" s="76"/>
      <c r="AI2793" s="76"/>
      <c r="AJ2793" s="76"/>
      <c r="AK2793" s="76"/>
      <c r="AL2793" s="76"/>
      <c r="AM2793" s="76"/>
      <c r="AN2793" s="76"/>
      <c r="AO2793" s="76"/>
      <c r="AP2793" s="76"/>
      <c r="AQ2793" s="76"/>
      <c r="AR2793" s="76"/>
      <c r="AS2793" s="76"/>
      <c r="AT2793" s="76"/>
      <c r="AU2793" s="76"/>
      <c r="AV2793" s="76"/>
      <c r="AW2793" s="76"/>
      <c r="AX2793" s="76"/>
      <c r="AY2793" s="76"/>
      <c r="AZ2793" s="76"/>
      <c r="BA2793" s="76"/>
      <c r="BB2793" s="76"/>
    </row>
    <row r="2794" spans="5:54" x14ac:dyDescent="0.35">
      <c r="E2794" s="83"/>
      <c r="F2794" s="83"/>
      <c r="G2794" s="76"/>
      <c r="H2794" s="76"/>
      <c r="I2794" s="76"/>
      <c r="J2794" s="76"/>
      <c r="K2794" s="76"/>
      <c r="L2794" s="76"/>
      <c r="M2794" s="76"/>
      <c r="N2794" s="76"/>
      <c r="O2794" s="76"/>
      <c r="P2794" s="76"/>
      <c r="Q2794" s="76"/>
      <c r="R2794" s="76"/>
      <c r="S2794" s="76"/>
      <c r="T2794" s="76"/>
      <c r="U2794" s="76"/>
      <c r="V2794" s="76"/>
      <c r="W2794" s="76"/>
      <c r="X2794" s="76"/>
      <c r="Y2794" s="76"/>
      <c r="Z2794" s="76"/>
      <c r="AA2794" s="76"/>
      <c r="AB2794" s="76"/>
      <c r="AC2794" s="76"/>
      <c r="AD2794" s="76"/>
      <c r="AE2794" s="76"/>
      <c r="AF2794" s="76"/>
      <c r="AG2794" s="76"/>
      <c r="AH2794" s="76"/>
      <c r="AI2794" s="76"/>
      <c r="AJ2794" s="76"/>
      <c r="AK2794" s="76"/>
      <c r="AL2794" s="76"/>
      <c r="AM2794" s="76"/>
      <c r="AN2794" s="76"/>
      <c r="AO2794" s="76"/>
      <c r="AP2794" s="76"/>
      <c r="AQ2794" s="76"/>
      <c r="AR2794" s="76"/>
      <c r="AS2794" s="76"/>
      <c r="AT2794" s="76"/>
      <c r="AU2794" s="76"/>
      <c r="AV2794" s="76"/>
      <c r="AW2794" s="76"/>
      <c r="AX2794" s="76"/>
      <c r="AY2794" s="76"/>
      <c r="AZ2794" s="76"/>
      <c r="BA2794" s="76"/>
      <c r="BB2794" s="76"/>
    </row>
    <row r="2795" spans="5:54" x14ac:dyDescent="0.35">
      <c r="E2795" s="83"/>
      <c r="F2795" s="83"/>
      <c r="G2795" s="76"/>
      <c r="H2795" s="76"/>
      <c r="I2795" s="76"/>
      <c r="J2795" s="76"/>
      <c r="K2795" s="76"/>
      <c r="L2795" s="76"/>
      <c r="M2795" s="76"/>
      <c r="N2795" s="76"/>
      <c r="O2795" s="76"/>
      <c r="P2795" s="76"/>
      <c r="Q2795" s="76"/>
      <c r="R2795" s="76"/>
      <c r="S2795" s="76"/>
      <c r="T2795" s="76"/>
      <c r="U2795" s="76"/>
      <c r="V2795" s="76"/>
      <c r="W2795" s="76"/>
      <c r="X2795" s="76"/>
      <c r="Y2795" s="76"/>
      <c r="Z2795" s="76"/>
      <c r="AA2795" s="76"/>
      <c r="AB2795" s="76"/>
      <c r="AC2795" s="76"/>
      <c r="AD2795" s="76"/>
      <c r="AE2795" s="76"/>
      <c r="AF2795" s="76"/>
      <c r="AG2795" s="76"/>
      <c r="AH2795" s="76"/>
      <c r="AI2795" s="76"/>
      <c r="AJ2795" s="76"/>
      <c r="AK2795" s="76"/>
      <c r="AL2795" s="76"/>
      <c r="AM2795" s="76"/>
      <c r="AN2795" s="76"/>
      <c r="AO2795" s="76"/>
      <c r="AP2795" s="76"/>
      <c r="AQ2795" s="76"/>
      <c r="AR2795" s="76"/>
      <c r="AS2795" s="76"/>
      <c r="AT2795" s="76"/>
      <c r="AU2795" s="76"/>
      <c r="AV2795" s="76"/>
      <c r="AW2795" s="76"/>
      <c r="AX2795" s="76"/>
      <c r="AY2795" s="76"/>
      <c r="AZ2795" s="76"/>
      <c r="BA2795" s="76"/>
      <c r="BB2795" s="76"/>
    </row>
    <row r="2796" spans="5:54" x14ac:dyDescent="0.35">
      <c r="E2796" s="83"/>
      <c r="F2796" s="83"/>
      <c r="G2796" s="76"/>
      <c r="H2796" s="76"/>
      <c r="I2796" s="76"/>
      <c r="J2796" s="76"/>
      <c r="K2796" s="76"/>
      <c r="L2796" s="76"/>
      <c r="M2796" s="76"/>
      <c r="N2796" s="76"/>
      <c r="O2796" s="76"/>
      <c r="P2796" s="76"/>
      <c r="Q2796" s="76"/>
      <c r="R2796" s="76"/>
      <c r="S2796" s="76"/>
      <c r="T2796" s="76"/>
      <c r="U2796" s="76"/>
      <c r="V2796" s="76"/>
      <c r="W2796" s="76"/>
      <c r="X2796" s="76"/>
      <c r="Y2796" s="76"/>
      <c r="Z2796" s="76"/>
      <c r="AA2796" s="76"/>
      <c r="AB2796" s="76"/>
      <c r="AC2796" s="76"/>
      <c r="AD2796" s="76"/>
      <c r="AE2796" s="76"/>
      <c r="AF2796" s="76"/>
      <c r="AG2796" s="76"/>
      <c r="AH2796" s="76"/>
      <c r="AI2796" s="76"/>
      <c r="AJ2796" s="76"/>
      <c r="AK2796" s="76"/>
      <c r="AL2796" s="76"/>
      <c r="AM2796" s="76"/>
      <c r="AN2796" s="76"/>
      <c r="AO2796" s="76"/>
      <c r="AP2796" s="76"/>
      <c r="AQ2796" s="76"/>
      <c r="AR2796" s="76"/>
      <c r="AS2796" s="76"/>
      <c r="AT2796" s="76"/>
      <c r="AU2796" s="76"/>
      <c r="AV2796" s="76"/>
      <c r="AW2796" s="76"/>
      <c r="AX2796" s="76"/>
      <c r="AY2796" s="76"/>
      <c r="AZ2796" s="76"/>
      <c r="BA2796" s="76"/>
      <c r="BB2796" s="76"/>
    </row>
    <row r="2797" spans="5:54" x14ac:dyDescent="0.35">
      <c r="E2797" s="83"/>
      <c r="F2797" s="83"/>
      <c r="G2797" s="76"/>
      <c r="H2797" s="76"/>
      <c r="I2797" s="76"/>
      <c r="J2797" s="76"/>
      <c r="K2797" s="76"/>
      <c r="L2797" s="76"/>
      <c r="M2797" s="76"/>
      <c r="N2797" s="76"/>
      <c r="O2797" s="76"/>
      <c r="P2797" s="76"/>
      <c r="Q2797" s="76"/>
      <c r="R2797" s="76"/>
      <c r="S2797" s="76"/>
      <c r="T2797" s="76"/>
      <c r="U2797" s="76"/>
      <c r="V2797" s="76"/>
      <c r="W2797" s="76"/>
      <c r="X2797" s="76"/>
      <c r="Y2797" s="76"/>
      <c r="Z2797" s="76"/>
      <c r="AA2797" s="76"/>
      <c r="AB2797" s="76"/>
      <c r="AC2797" s="76"/>
      <c r="AD2797" s="76"/>
      <c r="AE2797" s="76"/>
      <c r="AF2797" s="76"/>
      <c r="AG2797" s="76"/>
      <c r="AH2797" s="76"/>
      <c r="AI2797" s="76"/>
      <c r="AJ2797" s="76"/>
      <c r="AK2797" s="76"/>
      <c r="AL2797" s="76"/>
      <c r="AM2797" s="76"/>
      <c r="AN2797" s="76"/>
      <c r="AO2797" s="76"/>
      <c r="AP2797" s="76"/>
      <c r="AQ2797" s="76"/>
      <c r="AR2797" s="76"/>
      <c r="AS2797" s="76"/>
      <c r="AT2797" s="76"/>
      <c r="AU2797" s="76"/>
      <c r="AV2797" s="76"/>
      <c r="AW2797" s="76"/>
      <c r="AX2797" s="76"/>
      <c r="AY2797" s="76"/>
      <c r="AZ2797" s="76"/>
      <c r="BA2797" s="76"/>
      <c r="BB2797" s="76"/>
    </row>
    <row r="2798" spans="5:54" x14ac:dyDescent="0.35">
      <c r="E2798" s="83"/>
      <c r="F2798" s="83"/>
      <c r="G2798" s="76"/>
      <c r="H2798" s="76"/>
      <c r="I2798" s="76"/>
      <c r="J2798" s="76"/>
      <c r="K2798" s="76"/>
      <c r="L2798" s="76"/>
      <c r="M2798" s="76"/>
      <c r="N2798" s="76"/>
      <c r="O2798" s="76"/>
      <c r="P2798" s="76"/>
      <c r="Q2798" s="76"/>
      <c r="R2798" s="76"/>
      <c r="S2798" s="76"/>
      <c r="T2798" s="76"/>
      <c r="U2798" s="76"/>
      <c r="V2798" s="76"/>
      <c r="W2798" s="76"/>
      <c r="X2798" s="76"/>
      <c r="Y2798" s="76"/>
      <c r="Z2798" s="76"/>
      <c r="AA2798" s="76"/>
      <c r="AB2798" s="76"/>
      <c r="AC2798" s="76"/>
      <c r="AD2798" s="76"/>
      <c r="AE2798" s="76"/>
      <c r="AF2798" s="76"/>
      <c r="AG2798" s="76"/>
      <c r="AH2798" s="76"/>
      <c r="AI2798" s="76"/>
      <c r="AJ2798" s="76"/>
      <c r="AK2798" s="76"/>
      <c r="AL2798" s="76"/>
      <c r="AM2798" s="76"/>
      <c r="AN2798" s="76"/>
      <c r="AO2798" s="76"/>
      <c r="AP2798" s="76"/>
      <c r="AQ2798" s="76"/>
      <c r="AR2798" s="76"/>
      <c r="AS2798" s="76"/>
      <c r="AT2798" s="76"/>
      <c r="AU2798" s="76"/>
      <c r="AV2798" s="76"/>
      <c r="AW2798" s="76"/>
      <c r="AX2798" s="76"/>
      <c r="AY2798" s="76"/>
      <c r="AZ2798" s="76"/>
      <c r="BA2798" s="76"/>
      <c r="BB2798" s="76"/>
    </row>
    <row r="2799" spans="5:54" x14ac:dyDescent="0.35">
      <c r="E2799" s="83"/>
      <c r="F2799" s="83"/>
      <c r="G2799" s="76"/>
      <c r="H2799" s="76"/>
      <c r="I2799" s="76"/>
      <c r="J2799" s="76"/>
      <c r="K2799" s="76"/>
      <c r="L2799" s="76"/>
      <c r="M2799" s="76"/>
      <c r="N2799" s="76"/>
      <c r="O2799" s="76"/>
      <c r="P2799" s="76"/>
      <c r="Q2799" s="76"/>
      <c r="R2799" s="76"/>
      <c r="S2799" s="76"/>
      <c r="T2799" s="76"/>
      <c r="U2799" s="76"/>
      <c r="V2799" s="76"/>
      <c r="W2799" s="76"/>
      <c r="X2799" s="76"/>
      <c r="Y2799" s="76"/>
      <c r="Z2799" s="76"/>
      <c r="AA2799" s="76"/>
      <c r="AB2799" s="76"/>
      <c r="AC2799" s="76"/>
      <c r="AD2799" s="76"/>
      <c r="AE2799" s="76"/>
      <c r="AF2799" s="76"/>
      <c r="AG2799" s="76"/>
      <c r="AH2799" s="76"/>
      <c r="AI2799" s="76"/>
      <c r="AJ2799" s="76"/>
      <c r="AK2799" s="76"/>
      <c r="AL2799" s="76"/>
      <c r="AM2799" s="76"/>
      <c r="AN2799" s="76"/>
      <c r="AO2799" s="76"/>
      <c r="AP2799" s="76"/>
      <c r="AQ2799" s="76"/>
      <c r="AR2799" s="76"/>
      <c r="AS2799" s="76"/>
      <c r="AT2799" s="76"/>
      <c r="AU2799" s="76"/>
      <c r="AV2799" s="76"/>
      <c r="AW2799" s="76"/>
      <c r="AX2799" s="76"/>
      <c r="AY2799" s="76"/>
      <c r="AZ2799" s="76"/>
      <c r="BA2799" s="76"/>
      <c r="BB2799" s="76"/>
    </row>
    <row r="2800" spans="5:54" x14ac:dyDescent="0.35">
      <c r="E2800" s="83"/>
      <c r="F2800" s="83"/>
      <c r="G2800" s="76"/>
      <c r="H2800" s="76"/>
      <c r="I2800" s="76"/>
      <c r="J2800" s="76"/>
      <c r="K2800" s="76"/>
      <c r="L2800" s="76"/>
      <c r="M2800" s="76"/>
      <c r="N2800" s="76"/>
      <c r="O2800" s="76"/>
      <c r="P2800" s="76"/>
      <c r="Q2800" s="76"/>
      <c r="R2800" s="76"/>
      <c r="S2800" s="76"/>
      <c r="T2800" s="76"/>
      <c r="U2800" s="76"/>
      <c r="V2800" s="76"/>
      <c r="W2800" s="76"/>
      <c r="X2800" s="76"/>
      <c r="Y2800" s="76"/>
      <c r="Z2800" s="76"/>
      <c r="AA2800" s="76"/>
      <c r="AB2800" s="76"/>
      <c r="AC2800" s="76"/>
      <c r="AD2800" s="76"/>
      <c r="AE2800" s="76"/>
      <c r="AF2800" s="76"/>
      <c r="AG2800" s="76"/>
      <c r="AH2800" s="76"/>
      <c r="AI2800" s="76"/>
      <c r="AJ2800" s="76"/>
      <c r="AK2800" s="76"/>
      <c r="AL2800" s="76"/>
      <c r="AM2800" s="76"/>
      <c r="AN2800" s="76"/>
      <c r="AO2800" s="76"/>
      <c r="AP2800" s="76"/>
      <c r="AQ2800" s="76"/>
      <c r="AR2800" s="76"/>
      <c r="AS2800" s="76"/>
      <c r="AT2800" s="76"/>
      <c r="AU2800" s="76"/>
      <c r="AV2800" s="76"/>
      <c r="AW2800" s="76"/>
      <c r="AX2800" s="76"/>
      <c r="AY2800" s="76"/>
      <c r="AZ2800" s="76"/>
      <c r="BA2800" s="76"/>
      <c r="BB2800" s="76"/>
    </row>
    <row r="2801" spans="5:54" x14ac:dyDescent="0.35">
      <c r="E2801" s="83"/>
      <c r="F2801" s="83"/>
      <c r="G2801" s="76"/>
      <c r="H2801" s="76"/>
      <c r="I2801" s="76"/>
      <c r="J2801" s="76"/>
      <c r="K2801" s="76"/>
      <c r="L2801" s="76"/>
      <c r="M2801" s="76"/>
      <c r="N2801" s="76"/>
      <c r="O2801" s="76"/>
      <c r="P2801" s="76"/>
      <c r="Q2801" s="76"/>
      <c r="R2801" s="76"/>
      <c r="S2801" s="76"/>
      <c r="T2801" s="76"/>
      <c r="U2801" s="76"/>
      <c r="V2801" s="76"/>
      <c r="W2801" s="76"/>
      <c r="X2801" s="76"/>
      <c r="Y2801" s="76"/>
      <c r="Z2801" s="76"/>
      <c r="AA2801" s="76"/>
      <c r="AB2801" s="76"/>
      <c r="AC2801" s="76"/>
      <c r="AD2801" s="76"/>
      <c r="AE2801" s="76"/>
      <c r="AF2801" s="76"/>
      <c r="AG2801" s="76"/>
      <c r="AH2801" s="76"/>
      <c r="AI2801" s="76"/>
      <c r="AJ2801" s="76"/>
      <c r="AK2801" s="76"/>
      <c r="AL2801" s="76"/>
      <c r="AM2801" s="76"/>
      <c r="AN2801" s="76"/>
      <c r="AO2801" s="76"/>
      <c r="AP2801" s="76"/>
      <c r="AQ2801" s="76"/>
      <c r="AR2801" s="76"/>
      <c r="AS2801" s="76"/>
      <c r="AT2801" s="76"/>
      <c r="AU2801" s="76"/>
      <c r="AV2801" s="76"/>
      <c r="AW2801" s="76"/>
      <c r="AX2801" s="76"/>
      <c r="AY2801" s="76"/>
      <c r="AZ2801" s="76"/>
      <c r="BA2801" s="76"/>
      <c r="BB2801" s="76"/>
    </row>
    <row r="2802" spans="5:54" x14ac:dyDescent="0.35">
      <c r="E2802" s="83"/>
      <c r="F2802" s="83"/>
      <c r="G2802" s="76"/>
      <c r="H2802" s="76"/>
      <c r="I2802" s="76"/>
      <c r="J2802" s="76"/>
      <c r="K2802" s="76"/>
      <c r="L2802" s="76"/>
      <c r="M2802" s="76"/>
      <c r="N2802" s="76"/>
      <c r="O2802" s="76"/>
      <c r="P2802" s="76"/>
      <c r="Q2802" s="76"/>
      <c r="R2802" s="76"/>
      <c r="S2802" s="76"/>
      <c r="T2802" s="76"/>
      <c r="U2802" s="76"/>
      <c r="V2802" s="76"/>
      <c r="W2802" s="76"/>
      <c r="X2802" s="76"/>
      <c r="Y2802" s="76"/>
      <c r="Z2802" s="76"/>
      <c r="AA2802" s="76"/>
      <c r="AB2802" s="76"/>
      <c r="AC2802" s="76"/>
      <c r="AD2802" s="76"/>
      <c r="AE2802" s="76"/>
      <c r="AF2802" s="76"/>
      <c r="AG2802" s="76"/>
      <c r="AH2802" s="76"/>
      <c r="AI2802" s="76"/>
      <c r="AJ2802" s="76"/>
      <c r="AK2802" s="76"/>
      <c r="AL2802" s="76"/>
      <c r="AM2802" s="76"/>
      <c r="AN2802" s="76"/>
      <c r="AO2802" s="76"/>
      <c r="AP2802" s="76"/>
      <c r="AQ2802" s="76"/>
      <c r="AR2802" s="76"/>
      <c r="AS2802" s="76"/>
      <c r="AT2802" s="76"/>
      <c r="AU2802" s="76"/>
      <c r="AV2802" s="76"/>
      <c r="AW2802" s="76"/>
      <c r="AX2802" s="76"/>
      <c r="AY2802" s="76"/>
      <c r="AZ2802" s="76"/>
      <c r="BA2802" s="76"/>
      <c r="BB2802" s="76"/>
    </row>
    <row r="2803" spans="5:54" x14ac:dyDescent="0.35">
      <c r="E2803" s="83"/>
      <c r="F2803" s="83"/>
      <c r="G2803" s="76"/>
      <c r="H2803" s="76"/>
      <c r="I2803" s="76"/>
      <c r="J2803" s="76"/>
      <c r="K2803" s="76"/>
      <c r="L2803" s="76"/>
      <c r="M2803" s="76"/>
      <c r="N2803" s="76"/>
      <c r="O2803" s="76"/>
      <c r="P2803" s="76"/>
      <c r="Q2803" s="76"/>
      <c r="R2803" s="76"/>
      <c r="S2803" s="76"/>
      <c r="T2803" s="76"/>
      <c r="U2803" s="76"/>
      <c r="V2803" s="76"/>
      <c r="W2803" s="76"/>
      <c r="X2803" s="76"/>
      <c r="Y2803" s="76"/>
      <c r="Z2803" s="76"/>
      <c r="AA2803" s="76"/>
      <c r="AB2803" s="76"/>
      <c r="AC2803" s="76"/>
      <c r="AD2803" s="76"/>
      <c r="AE2803" s="76"/>
      <c r="AF2803" s="76"/>
      <c r="AG2803" s="76"/>
      <c r="AH2803" s="76"/>
      <c r="AI2803" s="76"/>
      <c r="AJ2803" s="76"/>
      <c r="AK2803" s="76"/>
      <c r="AL2803" s="76"/>
      <c r="AM2803" s="76"/>
      <c r="AN2803" s="76"/>
      <c r="AO2803" s="76"/>
      <c r="AP2803" s="76"/>
      <c r="AQ2803" s="76"/>
      <c r="AR2803" s="76"/>
      <c r="AS2803" s="76"/>
      <c r="AT2803" s="76"/>
      <c r="AU2803" s="76"/>
      <c r="AV2803" s="76"/>
      <c r="AW2803" s="76"/>
      <c r="AX2803" s="76"/>
      <c r="AY2803" s="76"/>
      <c r="AZ2803" s="76"/>
      <c r="BA2803" s="76"/>
      <c r="BB2803" s="76"/>
    </row>
    <row r="2804" spans="5:54" x14ac:dyDescent="0.35">
      <c r="E2804" s="83"/>
      <c r="F2804" s="83"/>
      <c r="G2804" s="76"/>
      <c r="H2804" s="76"/>
      <c r="I2804" s="76"/>
      <c r="J2804" s="76"/>
      <c r="K2804" s="76"/>
      <c r="L2804" s="76"/>
      <c r="M2804" s="76"/>
      <c r="N2804" s="76"/>
      <c r="O2804" s="76"/>
      <c r="P2804" s="76"/>
      <c r="Q2804" s="76"/>
      <c r="R2804" s="76"/>
      <c r="S2804" s="76"/>
      <c r="T2804" s="76"/>
      <c r="U2804" s="76"/>
      <c r="V2804" s="76"/>
      <c r="W2804" s="76"/>
      <c r="X2804" s="76"/>
      <c r="Y2804" s="76"/>
      <c r="Z2804" s="76"/>
      <c r="AA2804" s="76"/>
      <c r="AB2804" s="76"/>
      <c r="AC2804" s="76"/>
      <c r="AD2804" s="76"/>
      <c r="AE2804" s="76"/>
      <c r="AF2804" s="76"/>
      <c r="AG2804" s="76"/>
      <c r="AH2804" s="76"/>
      <c r="AI2804" s="76"/>
      <c r="AJ2804" s="76"/>
      <c r="AK2804" s="76"/>
      <c r="AL2804" s="76"/>
      <c r="AM2804" s="76"/>
      <c r="AN2804" s="76"/>
      <c r="AO2804" s="76"/>
      <c r="AP2804" s="76"/>
      <c r="AQ2804" s="76"/>
      <c r="AR2804" s="76"/>
      <c r="AS2804" s="76"/>
      <c r="AT2804" s="76"/>
      <c r="AU2804" s="76"/>
      <c r="AV2804" s="76"/>
      <c r="AW2804" s="76"/>
      <c r="AX2804" s="76"/>
      <c r="AY2804" s="76"/>
      <c r="AZ2804" s="76"/>
      <c r="BA2804" s="76"/>
      <c r="BB2804" s="76"/>
    </row>
    <row r="2805" spans="5:54" x14ac:dyDescent="0.35">
      <c r="E2805" s="83"/>
      <c r="F2805" s="83"/>
      <c r="G2805" s="76"/>
      <c r="H2805" s="76"/>
      <c r="I2805" s="76"/>
      <c r="J2805" s="76"/>
      <c r="K2805" s="76"/>
      <c r="L2805" s="76"/>
      <c r="M2805" s="76"/>
      <c r="N2805" s="76"/>
      <c r="O2805" s="76"/>
      <c r="P2805" s="76"/>
      <c r="Q2805" s="76"/>
      <c r="R2805" s="76"/>
      <c r="S2805" s="76"/>
      <c r="T2805" s="76"/>
      <c r="U2805" s="76"/>
      <c r="V2805" s="76"/>
      <c r="W2805" s="76"/>
      <c r="X2805" s="76"/>
      <c r="Y2805" s="76"/>
      <c r="Z2805" s="76"/>
      <c r="AA2805" s="76"/>
      <c r="AB2805" s="76"/>
      <c r="AC2805" s="76"/>
      <c r="AD2805" s="76"/>
      <c r="AE2805" s="76"/>
      <c r="AF2805" s="76"/>
      <c r="AG2805" s="76"/>
      <c r="AH2805" s="76"/>
      <c r="AI2805" s="76"/>
      <c r="AJ2805" s="76"/>
      <c r="AK2805" s="76"/>
      <c r="AL2805" s="76"/>
      <c r="AM2805" s="76"/>
      <c r="AN2805" s="76"/>
      <c r="AO2805" s="76"/>
      <c r="AP2805" s="76"/>
      <c r="AQ2805" s="76"/>
      <c r="AR2805" s="76"/>
      <c r="AS2805" s="76"/>
      <c r="AT2805" s="76"/>
      <c r="AU2805" s="76"/>
      <c r="AV2805" s="76"/>
      <c r="AW2805" s="76"/>
      <c r="AX2805" s="76"/>
      <c r="AY2805" s="76"/>
      <c r="AZ2805" s="76"/>
      <c r="BA2805" s="76"/>
      <c r="BB2805" s="76"/>
    </row>
    <row r="2806" spans="5:54" x14ac:dyDescent="0.35">
      <c r="E2806" s="83"/>
      <c r="F2806" s="83"/>
      <c r="G2806" s="76"/>
      <c r="H2806" s="76"/>
      <c r="I2806" s="76"/>
      <c r="J2806" s="76"/>
      <c r="K2806" s="76"/>
      <c r="L2806" s="76"/>
      <c r="M2806" s="76"/>
      <c r="N2806" s="76"/>
      <c r="O2806" s="76"/>
      <c r="P2806" s="76"/>
      <c r="Q2806" s="76"/>
      <c r="R2806" s="76"/>
      <c r="S2806" s="76"/>
      <c r="T2806" s="76"/>
      <c r="U2806" s="76"/>
      <c r="V2806" s="76"/>
      <c r="W2806" s="76"/>
      <c r="X2806" s="76"/>
      <c r="Y2806" s="76"/>
      <c r="Z2806" s="76"/>
      <c r="AA2806" s="76"/>
      <c r="AB2806" s="76"/>
      <c r="AC2806" s="76"/>
      <c r="AD2806" s="76"/>
      <c r="AE2806" s="76"/>
      <c r="AF2806" s="76"/>
      <c r="AG2806" s="76"/>
      <c r="AH2806" s="76"/>
      <c r="AI2806" s="76"/>
      <c r="AJ2806" s="76"/>
      <c r="AK2806" s="76"/>
      <c r="AL2806" s="76"/>
      <c r="AM2806" s="76"/>
      <c r="AN2806" s="76"/>
      <c r="AO2806" s="76"/>
      <c r="AP2806" s="76"/>
      <c r="AQ2806" s="76"/>
      <c r="AR2806" s="76"/>
      <c r="AS2806" s="76"/>
      <c r="AT2806" s="76"/>
      <c r="AU2806" s="76"/>
      <c r="AV2806" s="76"/>
      <c r="AW2806" s="76"/>
      <c r="AX2806" s="76"/>
      <c r="AY2806" s="76"/>
      <c r="AZ2806" s="76"/>
      <c r="BA2806" s="76"/>
      <c r="BB2806" s="76"/>
    </row>
    <row r="2807" spans="5:54" x14ac:dyDescent="0.35">
      <c r="E2807" s="83"/>
      <c r="F2807" s="83"/>
      <c r="G2807" s="76"/>
      <c r="H2807" s="76"/>
      <c r="I2807" s="76"/>
      <c r="J2807" s="76"/>
      <c r="K2807" s="76"/>
      <c r="L2807" s="76"/>
      <c r="M2807" s="76"/>
      <c r="N2807" s="76"/>
      <c r="O2807" s="76"/>
      <c r="P2807" s="76"/>
      <c r="Q2807" s="76"/>
      <c r="R2807" s="76"/>
      <c r="S2807" s="76"/>
      <c r="T2807" s="76"/>
      <c r="U2807" s="76"/>
      <c r="V2807" s="76"/>
      <c r="W2807" s="76"/>
      <c r="X2807" s="76"/>
      <c r="Y2807" s="76"/>
      <c r="Z2807" s="76"/>
      <c r="AA2807" s="76"/>
      <c r="AB2807" s="76"/>
      <c r="AC2807" s="76"/>
      <c r="AD2807" s="76"/>
      <c r="AE2807" s="76"/>
      <c r="AF2807" s="76"/>
      <c r="AG2807" s="76"/>
      <c r="AH2807" s="76"/>
      <c r="AI2807" s="76"/>
      <c r="AJ2807" s="76"/>
      <c r="AK2807" s="76"/>
      <c r="AL2807" s="76"/>
      <c r="AM2807" s="76"/>
      <c r="AN2807" s="76"/>
      <c r="AO2807" s="76"/>
      <c r="AP2807" s="76"/>
      <c r="AQ2807" s="76"/>
      <c r="AR2807" s="76"/>
      <c r="AS2807" s="76"/>
      <c r="AT2807" s="76"/>
      <c r="AU2807" s="76"/>
      <c r="AV2807" s="76"/>
      <c r="AW2807" s="76"/>
      <c r="AX2807" s="76"/>
      <c r="AY2807" s="76"/>
      <c r="AZ2807" s="76"/>
      <c r="BA2807" s="76"/>
      <c r="BB2807" s="76"/>
    </row>
    <row r="2808" spans="5:54" x14ac:dyDescent="0.35">
      <c r="E2808" s="83"/>
      <c r="F2808" s="83"/>
      <c r="G2808" s="76"/>
      <c r="H2808" s="76"/>
      <c r="I2808" s="76"/>
      <c r="J2808" s="76"/>
      <c r="K2808" s="76"/>
      <c r="L2808" s="76"/>
      <c r="M2808" s="76"/>
      <c r="N2808" s="76"/>
      <c r="O2808" s="76"/>
      <c r="P2808" s="76"/>
      <c r="Q2808" s="76"/>
      <c r="R2808" s="76"/>
      <c r="S2808" s="76"/>
      <c r="T2808" s="76"/>
      <c r="U2808" s="76"/>
      <c r="V2808" s="76"/>
      <c r="W2808" s="76"/>
      <c r="X2808" s="76"/>
      <c r="Y2808" s="76"/>
      <c r="Z2808" s="76"/>
      <c r="AA2808" s="76"/>
      <c r="AB2808" s="76"/>
      <c r="AC2808" s="76"/>
      <c r="AD2808" s="76"/>
      <c r="AE2808" s="76"/>
      <c r="AF2808" s="76"/>
      <c r="AG2808" s="76"/>
      <c r="AH2808" s="76"/>
      <c r="AI2808" s="76"/>
      <c r="AJ2808" s="76"/>
      <c r="AK2808" s="76"/>
      <c r="AL2808" s="76"/>
      <c r="AM2808" s="76"/>
      <c r="AN2808" s="76"/>
      <c r="AO2808" s="76"/>
      <c r="AP2808" s="76"/>
      <c r="AQ2808" s="76"/>
      <c r="AR2808" s="76"/>
      <c r="AS2808" s="76"/>
      <c r="AT2808" s="76"/>
      <c r="AU2808" s="76"/>
      <c r="AV2808" s="76"/>
      <c r="AW2808" s="76"/>
      <c r="AX2808" s="76"/>
      <c r="AY2808" s="76"/>
      <c r="AZ2808" s="76"/>
      <c r="BA2808" s="76"/>
      <c r="BB2808" s="76"/>
    </row>
    <row r="2809" spans="5:54" x14ac:dyDescent="0.35">
      <c r="E2809" s="83"/>
      <c r="F2809" s="83"/>
      <c r="G2809" s="76"/>
      <c r="H2809" s="76"/>
      <c r="I2809" s="76"/>
      <c r="J2809" s="76"/>
      <c r="K2809" s="76"/>
      <c r="L2809" s="76"/>
      <c r="M2809" s="76"/>
      <c r="N2809" s="76"/>
      <c r="O2809" s="76"/>
      <c r="P2809" s="76"/>
      <c r="Q2809" s="76"/>
      <c r="R2809" s="76"/>
      <c r="S2809" s="76"/>
      <c r="T2809" s="76"/>
      <c r="U2809" s="76"/>
      <c r="V2809" s="76"/>
      <c r="W2809" s="76"/>
      <c r="X2809" s="76"/>
      <c r="Y2809" s="76"/>
      <c r="Z2809" s="76"/>
      <c r="AA2809" s="76"/>
      <c r="AB2809" s="76"/>
      <c r="AC2809" s="76"/>
      <c r="AD2809" s="76"/>
      <c r="AE2809" s="76"/>
      <c r="AF2809" s="76"/>
      <c r="AG2809" s="76"/>
      <c r="AH2809" s="76"/>
      <c r="AI2809" s="76"/>
      <c r="AJ2809" s="76"/>
      <c r="AK2809" s="76"/>
      <c r="AL2809" s="76"/>
      <c r="AM2809" s="76"/>
      <c r="AN2809" s="76"/>
      <c r="AO2809" s="76"/>
      <c r="AP2809" s="76"/>
      <c r="AQ2809" s="76"/>
      <c r="AR2809" s="76"/>
      <c r="AS2809" s="76"/>
      <c r="AT2809" s="76"/>
      <c r="AU2809" s="76"/>
      <c r="AV2809" s="76"/>
      <c r="AW2809" s="76"/>
      <c r="AX2809" s="76"/>
      <c r="AY2809" s="76"/>
      <c r="AZ2809" s="76"/>
      <c r="BA2809" s="76"/>
      <c r="BB2809" s="76"/>
    </row>
    <row r="2810" spans="5:54" x14ac:dyDescent="0.35">
      <c r="E2810" s="83"/>
      <c r="F2810" s="83"/>
      <c r="G2810" s="76"/>
      <c r="H2810" s="76"/>
      <c r="I2810" s="76"/>
      <c r="J2810" s="76"/>
      <c r="K2810" s="76"/>
      <c r="L2810" s="76"/>
      <c r="M2810" s="76"/>
      <c r="N2810" s="76"/>
      <c r="O2810" s="76"/>
      <c r="P2810" s="76"/>
      <c r="Q2810" s="76"/>
      <c r="R2810" s="76"/>
      <c r="S2810" s="76"/>
      <c r="T2810" s="76"/>
      <c r="U2810" s="76"/>
      <c r="V2810" s="76"/>
      <c r="W2810" s="76"/>
      <c r="X2810" s="76"/>
      <c r="Y2810" s="76"/>
      <c r="Z2810" s="76"/>
      <c r="AA2810" s="76"/>
      <c r="AB2810" s="76"/>
      <c r="AC2810" s="76"/>
      <c r="AD2810" s="76"/>
      <c r="AE2810" s="76"/>
      <c r="AF2810" s="76"/>
      <c r="AG2810" s="76"/>
      <c r="AH2810" s="76"/>
      <c r="AI2810" s="76"/>
      <c r="AJ2810" s="76"/>
      <c r="AK2810" s="76"/>
      <c r="AL2810" s="76"/>
      <c r="AM2810" s="76"/>
      <c r="AN2810" s="76"/>
      <c r="AO2810" s="76"/>
      <c r="AP2810" s="76"/>
      <c r="AQ2810" s="76"/>
      <c r="AR2810" s="76"/>
      <c r="AS2810" s="76"/>
      <c r="AT2810" s="76"/>
      <c r="AU2810" s="76"/>
      <c r="AV2810" s="76"/>
      <c r="AW2810" s="76"/>
      <c r="AX2810" s="76"/>
      <c r="AY2810" s="76"/>
      <c r="AZ2810" s="76"/>
      <c r="BA2810" s="76"/>
      <c r="BB2810" s="76"/>
    </row>
    <row r="2811" spans="5:54" x14ac:dyDescent="0.35">
      <c r="E2811" s="83"/>
      <c r="F2811" s="83"/>
      <c r="G2811" s="76"/>
      <c r="H2811" s="76"/>
      <c r="I2811" s="76"/>
      <c r="J2811" s="76"/>
      <c r="K2811" s="76"/>
      <c r="L2811" s="76"/>
      <c r="M2811" s="76"/>
      <c r="N2811" s="76"/>
      <c r="O2811" s="76"/>
      <c r="P2811" s="76"/>
      <c r="Q2811" s="76"/>
      <c r="R2811" s="76"/>
      <c r="S2811" s="76"/>
      <c r="T2811" s="76"/>
      <c r="U2811" s="76"/>
      <c r="V2811" s="76"/>
      <c r="W2811" s="76"/>
      <c r="X2811" s="76"/>
      <c r="Y2811" s="76"/>
      <c r="Z2811" s="76"/>
      <c r="AA2811" s="76"/>
      <c r="AB2811" s="76"/>
      <c r="AC2811" s="76"/>
      <c r="AD2811" s="76"/>
      <c r="AE2811" s="76"/>
      <c r="AF2811" s="76"/>
      <c r="AG2811" s="76"/>
      <c r="AH2811" s="76"/>
      <c r="AI2811" s="76"/>
      <c r="AJ2811" s="76"/>
      <c r="AK2811" s="76"/>
      <c r="AL2811" s="76"/>
      <c r="AM2811" s="76"/>
      <c r="AN2811" s="76"/>
      <c r="AO2811" s="76"/>
      <c r="AP2811" s="76"/>
      <c r="AQ2811" s="76"/>
      <c r="AR2811" s="76"/>
      <c r="AS2811" s="76"/>
      <c r="AT2811" s="76"/>
      <c r="AU2811" s="76"/>
      <c r="AV2811" s="76"/>
      <c r="AW2811" s="76"/>
      <c r="AX2811" s="76"/>
      <c r="AY2811" s="76"/>
      <c r="AZ2811" s="76"/>
      <c r="BA2811" s="76"/>
      <c r="BB2811" s="76"/>
    </row>
    <row r="2812" spans="5:54" x14ac:dyDescent="0.35">
      <c r="E2812" s="83"/>
      <c r="F2812" s="83"/>
      <c r="G2812" s="76"/>
      <c r="H2812" s="76"/>
      <c r="I2812" s="76"/>
      <c r="J2812" s="76"/>
      <c r="K2812" s="76"/>
      <c r="L2812" s="76"/>
      <c r="M2812" s="76"/>
      <c r="N2812" s="76"/>
      <c r="O2812" s="76"/>
      <c r="P2812" s="76"/>
      <c r="Q2812" s="76"/>
      <c r="R2812" s="76"/>
      <c r="S2812" s="76"/>
      <c r="T2812" s="76"/>
      <c r="U2812" s="76"/>
      <c r="V2812" s="76"/>
      <c r="W2812" s="76"/>
      <c r="X2812" s="76"/>
      <c r="Y2812" s="76"/>
      <c r="Z2812" s="76"/>
      <c r="AA2812" s="76"/>
      <c r="AB2812" s="76"/>
      <c r="AC2812" s="76"/>
      <c r="AD2812" s="76"/>
      <c r="AE2812" s="76"/>
      <c r="AF2812" s="76"/>
      <c r="AG2812" s="76"/>
      <c r="AH2812" s="76"/>
      <c r="AI2812" s="76"/>
      <c r="AJ2812" s="76"/>
      <c r="AK2812" s="76"/>
      <c r="AL2812" s="76"/>
      <c r="AM2812" s="76"/>
      <c r="AN2812" s="76"/>
      <c r="AO2812" s="76"/>
      <c r="AP2812" s="76"/>
      <c r="AQ2812" s="76"/>
      <c r="AR2812" s="76"/>
      <c r="AS2812" s="76"/>
      <c r="AT2812" s="76"/>
      <c r="AU2812" s="76"/>
      <c r="AV2812" s="76"/>
      <c r="AW2812" s="76"/>
      <c r="AX2812" s="76"/>
      <c r="AY2812" s="76"/>
      <c r="AZ2812" s="76"/>
      <c r="BA2812" s="76"/>
      <c r="BB2812" s="76"/>
    </row>
    <row r="2813" spans="5:54" x14ac:dyDescent="0.35">
      <c r="E2813" s="83"/>
      <c r="F2813" s="83"/>
      <c r="G2813" s="76"/>
      <c r="H2813" s="76"/>
      <c r="I2813" s="76"/>
      <c r="J2813" s="76"/>
      <c r="K2813" s="76"/>
      <c r="L2813" s="76"/>
      <c r="M2813" s="76"/>
      <c r="N2813" s="76"/>
      <c r="O2813" s="76"/>
      <c r="P2813" s="76"/>
      <c r="Q2813" s="76"/>
      <c r="R2813" s="76"/>
      <c r="S2813" s="76"/>
      <c r="T2813" s="76"/>
      <c r="U2813" s="76"/>
      <c r="V2813" s="76"/>
      <c r="W2813" s="76"/>
      <c r="X2813" s="76"/>
      <c r="Y2813" s="76"/>
      <c r="Z2813" s="76"/>
      <c r="AA2813" s="76"/>
      <c r="AB2813" s="76"/>
      <c r="AC2813" s="76"/>
      <c r="AD2813" s="76"/>
      <c r="AE2813" s="76"/>
      <c r="AF2813" s="76"/>
      <c r="AG2813" s="76"/>
      <c r="AH2813" s="76"/>
      <c r="AI2813" s="76"/>
      <c r="AJ2813" s="76"/>
      <c r="AK2813" s="76"/>
      <c r="AL2813" s="76"/>
      <c r="AM2813" s="76"/>
      <c r="AN2813" s="76"/>
      <c r="AO2813" s="76"/>
      <c r="AP2813" s="76"/>
      <c r="AQ2813" s="76"/>
      <c r="AR2813" s="76"/>
      <c r="AS2813" s="76"/>
      <c r="AT2813" s="76"/>
      <c r="AU2813" s="76"/>
      <c r="AV2813" s="76"/>
      <c r="AW2813" s="76"/>
      <c r="AX2813" s="76"/>
      <c r="AY2813" s="76"/>
      <c r="AZ2813" s="76"/>
      <c r="BA2813" s="76"/>
      <c r="BB2813" s="76"/>
    </row>
    <row r="2814" spans="5:54" x14ac:dyDescent="0.35">
      <c r="E2814" s="83"/>
      <c r="F2814" s="83"/>
      <c r="G2814" s="76"/>
      <c r="H2814" s="76"/>
      <c r="I2814" s="76"/>
      <c r="J2814" s="76"/>
      <c r="K2814" s="76"/>
      <c r="L2814" s="76"/>
      <c r="M2814" s="76"/>
      <c r="N2814" s="76"/>
      <c r="O2814" s="76"/>
      <c r="P2814" s="76"/>
      <c r="Q2814" s="76"/>
      <c r="R2814" s="76"/>
      <c r="S2814" s="76"/>
      <c r="T2814" s="76"/>
      <c r="U2814" s="76"/>
      <c r="V2814" s="76"/>
      <c r="W2814" s="76"/>
      <c r="X2814" s="76"/>
      <c r="Y2814" s="76"/>
      <c r="Z2814" s="76"/>
      <c r="AA2814" s="76"/>
      <c r="AB2814" s="76"/>
      <c r="AC2814" s="76"/>
      <c r="AD2814" s="76"/>
      <c r="AE2814" s="76"/>
      <c r="AF2814" s="76"/>
      <c r="AG2814" s="76"/>
      <c r="AH2814" s="76"/>
      <c r="AI2814" s="76"/>
      <c r="AJ2814" s="76"/>
      <c r="AK2814" s="76"/>
      <c r="AL2814" s="76"/>
      <c r="AM2814" s="76"/>
      <c r="AN2814" s="76"/>
      <c r="AO2814" s="76"/>
      <c r="AP2814" s="76"/>
      <c r="AQ2814" s="76"/>
      <c r="AR2814" s="76"/>
      <c r="AS2814" s="76"/>
      <c r="AT2814" s="76"/>
      <c r="AU2814" s="76"/>
      <c r="AV2814" s="76"/>
      <c r="AW2814" s="76"/>
      <c r="AX2814" s="76"/>
      <c r="AY2814" s="76"/>
      <c r="AZ2814" s="76"/>
      <c r="BA2814" s="76"/>
      <c r="BB2814" s="76"/>
    </row>
    <row r="2815" spans="5:54" x14ac:dyDescent="0.35">
      <c r="E2815" s="83"/>
      <c r="F2815" s="83"/>
      <c r="G2815" s="76"/>
      <c r="H2815" s="76"/>
      <c r="I2815" s="76"/>
      <c r="J2815" s="76"/>
      <c r="K2815" s="76"/>
      <c r="L2815" s="76"/>
      <c r="M2815" s="76"/>
      <c r="N2815" s="76"/>
      <c r="O2815" s="76"/>
      <c r="P2815" s="76"/>
      <c r="Q2815" s="76"/>
      <c r="R2815" s="76"/>
      <c r="S2815" s="76"/>
      <c r="T2815" s="76"/>
      <c r="U2815" s="76"/>
      <c r="V2815" s="76"/>
      <c r="W2815" s="76"/>
      <c r="X2815" s="76"/>
      <c r="Y2815" s="76"/>
      <c r="Z2815" s="76"/>
      <c r="AA2815" s="76"/>
      <c r="AB2815" s="76"/>
      <c r="AC2815" s="76"/>
      <c r="AD2815" s="76"/>
      <c r="AE2815" s="76"/>
      <c r="AF2815" s="76"/>
      <c r="AG2815" s="76"/>
      <c r="AH2815" s="76"/>
      <c r="AI2815" s="76"/>
      <c r="AJ2815" s="76"/>
      <c r="AK2815" s="76"/>
      <c r="AL2815" s="76"/>
      <c r="AM2815" s="76"/>
      <c r="AN2815" s="76"/>
      <c r="AO2815" s="76"/>
      <c r="AP2815" s="76"/>
      <c r="AQ2815" s="76"/>
      <c r="AR2815" s="76"/>
      <c r="AS2815" s="76"/>
      <c r="AT2815" s="76"/>
      <c r="AU2815" s="76"/>
      <c r="AV2815" s="76"/>
      <c r="AW2815" s="76"/>
      <c r="AX2815" s="76"/>
      <c r="AY2815" s="76"/>
      <c r="AZ2815" s="76"/>
      <c r="BA2815" s="76"/>
      <c r="BB2815" s="76"/>
    </row>
    <row r="2816" spans="5:54" x14ac:dyDescent="0.35">
      <c r="E2816" s="83"/>
      <c r="F2816" s="83"/>
      <c r="G2816" s="76"/>
      <c r="H2816" s="76"/>
      <c r="I2816" s="76"/>
      <c r="J2816" s="76"/>
      <c r="K2816" s="76"/>
      <c r="L2816" s="76"/>
      <c r="M2816" s="76"/>
      <c r="N2816" s="76"/>
      <c r="O2816" s="76"/>
      <c r="P2816" s="76"/>
      <c r="Q2816" s="76"/>
      <c r="R2816" s="76"/>
      <c r="S2816" s="76"/>
      <c r="T2816" s="76"/>
      <c r="U2816" s="76"/>
      <c r="V2816" s="76"/>
      <c r="W2816" s="76"/>
      <c r="X2816" s="76"/>
      <c r="Y2816" s="76"/>
      <c r="Z2816" s="76"/>
      <c r="AA2816" s="76"/>
      <c r="AB2816" s="76"/>
      <c r="AC2816" s="76"/>
      <c r="AD2816" s="76"/>
      <c r="AE2816" s="76"/>
      <c r="AF2816" s="76"/>
      <c r="AG2816" s="76"/>
      <c r="AH2816" s="76"/>
      <c r="AI2816" s="76"/>
      <c r="AJ2816" s="76"/>
      <c r="AK2816" s="76"/>
      <c r="AL2816" s="76"/>
      <c r="AM2816" s="76"/>
      <c r="AN2816" s="76"/>
      <c r="AO2816" s="76"/>
      <c r="AP2816" s="76"/>
      <c r="AQ2816" s="76"/>
      <c r="AR2816" s="76"/>
      <c r="AS2816" s="76"/>
      <c r="AT2816" s="76"/>
      <c r="AU2816" s="76"/>
      <c r="AV2816" s="76"/>
      <c r="AW2816" s="76"/>
      <c r="AX2816" s="76"/>
      <c r="AY2816" s="76"/>
      <c r="AZ2816" s="76"/>
      <c r="BA2816" s="76"/>
      <c r="BB2816" s="76"/>
    </row>
    <row r="2817" spans="5:54" x14ac:dyDescent="0.35">
      <c r="E2817" s="83"/>
      <c r="F2817" s="83"/>
      <c r="G2817" s="76"/>
      <c r="H2817" s="76"/>
      <c r="I2817" s="76"/>
      <c r="J2817" s="76"/>
      <c r="K2817" s="76"/>
      <c r="L2817" s="76"/>
      <c r="M2817" s="76"/>
      <c r="N2817" s="76"/>
      <c r="O2817" s="76"/>
      <c r="P2817" s="76"/>
      <c r="Q2817" s="76"/>
      <c r="R2817" s="76"/>
      <c r="S2817" s="76"/>
      <c r="T2817" s="76"/>
      <c r="U2817" s="76"/>
      <c r="V2817" s="76"/>
      <c r="W2817" s="76"/>
      <c r="X2817" s="76"/>
      <c r="Y2817" s="76"/>
      <c r="Z2817" s="76"/>
      <c r="AA2817" s="76"/>
      <c r="AB2817" s="76"/>
      <c r="AC2817" s="76"/>
      <c r="AD2817" s="76"/>
      <c r="AE2817" s="76"/>
      <c r="AF2817" s="76"/>
      <c r="AG2817" s="76"/>
      <c r="AH2817" s="76"/>
      <c r="AI2817" s="76"/>
      <c r="AJ2817" s="76"/>
      <c r="AK2817" s="76"/>
      <c r="AL2817" s="76"/>
      <c r="AM2817" s="76"/>
      <c r="AN2817" s="76"/>
      <c r="AO2817" s="76"/>
      <c r="AP2817" s="76"/>
      <c r="AQ2817" s="76"/>
      <c r="AR2817" s="76"/>
      <c r="AS2817" s="76"/>
      <c r="AT2817" s="76"/>
      <c r="AU2817" s="76"/>
      <c r="AV2817" s="76"/>
      <c r="AW2817" s="76"/>
      <c r="AX2817" s="76"/>
      <c r="AY2817" s="76"/>
      <c r="AZ2817" s="76"/>
      <c r="BA2817" s="76"/>
      <c r="BB2817" s="76"/>
    </row>
    <row r="2818" spans="5:54" x14ac:dyDescent="0.35">
      <c r="E2818" s="83"/>
      <c r="F2818" s="83"/>
      <c r="G2818" s="76"/>
      <c r="H2818" s="76"/>
      <c r="I2818" s="76"/>
      <c r="J2818" s="76"/>
      <c r="K2818" s="76"/>
      <c r="L2818" s="76"/>
      <c r="M2818" s="76"/>
      <c r="N2818" s="76"/>
      <c r="O2818" s="76"/>
      <c r="P2818" s="76"/>
      <c r="Q2818" s="76"/>
      <c r="R2818" s="76"/>
      <c r="S2818" s="76"/>
      <c r="T2818" s="76"/>
      <c r="U2818" s="76"/>
      <c r="V2818" s="76"/>
      <c r="W2818" s="76"/>
      <c r="X2818" s="76"/>
      <c r="Y2818" s="76"/>
      <c r="Z2818" s="76"/>
      <c r="AA2818" s="76"/>
      <c r="AB2818" s="76"/>
      <c r="AC2818" s="76"/>
      <c r="AD2818" s="76"/>
      <c r="AE2818" s="76"/>
      <c r="AF2818" s="76"/>
      <c r="AG2818" s="76"/>
      <c r="AH2818" s="76"/>
      <c r="AI2818" s="76"/>
      <c r="AJ2818" s="76"/>
      <c r="AK2818" s="76"/>
      <c r="AL2818" s="76"/>
      <c r="AM2818" s="76"/>
      <c r="AN2818" s="76"/>
      <c r="AO2818" s="76"/>
      <c r="AP2818" s="76"/>
      <c r="AQ2818" s="76"/>
      <c r="AR2818" s="76"/>
      <c r="AS2818" s="76"/>
      <c r="AT2818" s="76"/>
      <c r="AU2818" s="76"/>
      <c r="AV2818" s="76"/>
      <c r="AW2818" s="76"/>
      <c r="AX2818" s="76"/>
      <c r="AY2818" s="76"/>
      <c r="AZ2818" s="76"/>
      <c r="BA2818" s="76"/>
      <c r="BB2818" s="76"/>
    </row>
    <row r="2819" spans="5:54" x14ac:dyDescent="0.35">
      <c r="E2819" s="83"/>
      <c r="F2819" s="83"/>
      <c r="G2819" s="76"/>
      <c r="H2819" s="76"/>
      <c r="I2819" s="76"/>
      <c r="J2819" s="76"/>
      <c r="K2819" s="76"/>
      <c r="L2819" s="76"/>
      <c r="M2819" s="76"/>
      <c r="N2819" s="76"/>
      <c r="O2819" s="76"/>
      <c r="P2819" s="76"/>
      <c r="Q2819" s="76"/>
      <c r="R2819" s="76"/>
      <c r="S2819" s="76"/>
      <c r="T2819" s="76"/>
      <c r="U2819" s="76"/>
      <c r="V2819" s="76"/>
      <c r="W2819" s="76"/>
      <c r="X2819" s="76"/>
      <c r="Y2819" s="76"/>
      <c r="Z2819" s="76"/>
      <c r="AA2819" s="76"/>
      <c r="AB2819" s="76"/>
      <c r="AC2819" s="76"/>
      <c r="AD2819" s="76"/>
      <c r="AE2819" s="76"/>
      <c r="AF2819" s="76"/>
      <c r="AG2819" s="76"/>
      <c r="AH2819" s="76"/>
      <c r="AI2819" s="76"/>
      <c r="AJ2819" s="76"/>
      <c r="AK2819" s="76"/>
      <c r="AL2819" s="76"/>
      <c r="AM2819" s="76"/>
      <c r="AN2819" s="76"/>
      <c r="AO2819" s="76"/>
      <c r="AP2819" s="76"/>
      <c r="AQ2819" s="76"/>
      <c r="AR2819" s="76"/>
      <c r="AS2819" s="76"/>
      <c r="AT2819" s="76"/>
      <c r="AU2819" s="76"/>
      <c r="AV2819" s="76"/>
      <c r="AW2819" s="76"/>
      <c r="AX2819" s="76"/>
      <c r="AY2819" s="76"/>
      <c r="AZ2819" s="76"/>
      <c r="BA2819" s="76"/>
      <c r="BB2819" s="76"/>
    </row>
    <row r="2820" spans="5:54" x14ac:dyDescent="0.35">
      <c r="E2820" s="83"/>
      <c r="F2820" s="83"/>
      <c r="G2820" s="76"/>
      <c r="H2820" s="76"/>
      <c r="I2820" s="76"/>
      <c r="J2820" s="76"/>
      <c r="K2820" s="76"/>
      <c r="L2820" s="76"/>
      <c r="M2820" s="76"/>
      <c r="N2820" s="76"/>
      <c r="O2820" s="76"/>
      <c r="P2820" s="76"/>
      <c r="Q2820" s="76"/>
      <c r="R2820" s="76"/>
      <c r="S2820" s="76"/>
      <c r="T2820" s="76"/>
      <c r="U2820" s="76"/>
      <c r="V2820" s="76"/>
      <c r="W2820" s="76"/>
      <c r="X2820" s="76"/>
      <c r="Y2820" s="76"/>
      <c r="Z2820" s="76"/>
      <c r="AA2820" s="76"/>
      <c r="AB2820" s="76"/>
      <c r="AC2820" s="76"/>
      <c r="AD2820" s="76"/>
      <c r="AE2820" s="76"/>
      <c r="AF2820" s="76"/>
      <c r="AG2820" s="76"/>
      <c r="AH2820" s="76"/>
      <c r="AI2820" s="76"/>
      <c r="AJ2820" s="76"/>
      <c r="AK2820" s="76"/>
      <c r="AL2820" s="76"/>
      <c r="AM2820" s="76"/>
      <c r="AN2820" s="76"/>
      <c r="AO2820" s="76"/>
      <c r="AP2820" s="76"/>
      <c r="AQ2820" s="76"/>
      <c r="AR2820" s="76"/>
      <c r="AS2820" s="76"/>
      <c r="AT2820" s="76"/>
      <c r="AU2820" s="76"/>
      <c r="AV2820" s="76"/>
      <c r="AW2820" s="76"/>
      <c r="AX2820" s="76"/>
      <c r="AY2820" s="76"/>
      <c r="AZ2820" s="76"/>
      <c r="BA2820" s="76"/>
      <c r="BB2820" s="76"/>
    </row>
    <row r="2821" spans="5:54" x14ac:dyDescent="0.35">
      <c r="E2821" s="83"/>
      <c r="F2821" s="83"/>
      <c r="G2821" s="76"/>
      <c r="H2821" s="76"/>
      <c r="I2821" s="76"/>
      <c r="J2821" s="76"/>
      <c r="K2821" s="76"/>
      <c r="L2821" s="76"/>
      <c r="M2821" s="76"/>
      <c r="N2821" s="76"/>
      <c r="O2821" s="76"/>
      <c r="P2821" s="76"/>
      <c r="Q2821" s="76"/>
      <c r="R2821" s="76"/>
      <c r="S2821" s="76"/>
      <c r="T2821" s="76"/>
      <c r="U2821" s="76"/>
      <c r="V2821" s="76"/>
      <c r="W2821" s="76"/>
      <c r="X2821" s="76"/>
      <c r="Y2821" s="76"/>
      <c r="Z2821" s="76"/>
      <c r="AA2821" s="76"/>
      <c r="AB2821" s="76"/>
      <c r="AC2821" s="76"/>
      <c r="AD2821" s="76"/>
      <c r="AE2821" s="76"/>
      <c r="AF2821" s="76"/>
      <c r="AG2821" s="76"/>
      <c r="AH2821" s="76"/>
      <c r="AI2821" s="76"/>
      <c r="AJ2821" s="76"/>
      <c r="AK2821" s="76"/>
      <c r="AL2821" s="76"/>
      <c r="AM2821" s="76"/>
      <c r="AN2821" s="76"/>
      <c r="AO2821" s="76"/>
      <c r="AP2821" s="76"/>
      <c r="AQ2821" s="76"/>
      <c r="AR2821" s="76"/>
      <c r="AS2821" s="76"/>
      <c r="AT2821" s="76"/>
      <c r="AU2821" s="76"/>
      <c r="AV2821" s="76"/>
      <c r="AW2821" s="76"/>
      <c r="AX2821" s="76"/>
      <c r="AY2821" s="76"/>
      <c r="AZ2821" s="76"/>
      <c r="BA2821" s="76"/>
      <c r="BB2821" s="76"/>
    </row>
    <row r="2822" spans="5:54" x14ac:dyDescent="0.35">
      <c r="E2822" s="83"/>
      <c r="F2822" s="83"/>
      <c r="G2822" s="76"/>
      <c r="H2822" s="76"/>
      <c r="I2822" s="76"/>
      <c r="J2822" s="76"/>
      <c r="K2822" s="76"/>
      <c r="L2822" s="76"/>
      <c r="M2822" s="76"/>
      <c r="N2822" s="76"/>
      <c r="O2822" s="76"/>
      <c r="P2822" s="76"/>
      <c r="Q2822" s="76"/>
      <c r="R2822" s="76"/>
      <c r="S2822" s="76"/>
      <c r="T2822" s="76"/>
      <c r="U2822" s="76"/>
      <c r="V2822" s="76"/>
      <c r="W2822" s="76"/>
      <c r="X2822" s="76"/>
      <c r="Y2822" s="76"/>
      <c r="Z2822" s="76"/>
      <c r="AA2822" s="76"/>
      <c r="AB2822" s="76"/>
      <c r="AC2822" s="76"/>
      <c r="AD2822" s="76"/>
      <c r="AE2822" s="76"/>
      <c r="AF2822" s="76"/>
      <c r="AG2822" s="76"/>
      <c r="AH2822" s="76"/>
      <c r="AI2822" s="76"/>
      <c r="AJ2822" s="76"/>
      <c r="AK2822" s="76"/>
      <c r="AL2822" s="76"/>
      <c r="AM2822" s="76"/>
      <c r="AN2822" s="76"/>
      <c r="AO2822" s="76"/>
      <c r="AP2822" s="76"/>
      <c r="AQ2822" s="76"/>
      <c r="AR2822" s="76"/>
      <c r="AS2822" s="76"/>
      <c r="AT2822" s="76"/>
      <c r="AU2822" s="76"/>
      <c r="AV2822" s="76"/>
      <c r="AW2822" s="76"/>
      <c r="AX2822" s="76"/>
      <c r="AY2822" s="76"/>
      <c r="AZ2822" s="76"/>
      <c r="BA2822" s="76"/>
      <c r="BB2822" s="76"/>
    </row>
    <row r="2823" spans="5:54" x14ac:dyDescent="0.35">
      <c r="E2823" s="83"/>
      <c r="F2823" s="83"/>
      <c r="G2823" s="76"/>
      <c r="H2823" s="76"/>
      <c r="I2823" s="76"/>
      <c r="J2823" s="76"/>
      <c r="K2823" s="76"/>
      <c r="L2823" s="76"/>
      <c r="M2823" s="76"/>
      <c r="N2823" s="76"/>
      <c r="O2823" s="76"/>
      <c r="P2823" s="76"/>
      <c r="Q2823" s="76"/>
      <c r="R2823" s="76"/>
      <c r="S2823" s="76"/>
      <c r="T2823" s="76"/>
      <c r="U2823" s="76"/>
      <c r="V2823" s="76"/>
      <c r="W2823" s="76"/>
      <c r="X2823" s="76"/>
      <c r="Y2823" s="76"/>
      <c r="Z2823" s="76"/>
      <c r="AA2823" s="76"/>
      <c r="AB2823" s="76"/>
      <c r="AC2823" s="76"/>
      <c r="AD2823" s="76"/>
      <c r="AE2823" s="76"/>
      <c r="AF2823" s="76"/>
      <c r="AG2823" s="76"/>
      <c r="AH2823" s="76"/>
      <c r="AI2823" s="76"/>
      <c r="AJ2823" s="76"/>
      <c r="AK2823" s="76"/>
      <c r="AL2823" s="76"/>
      <c r="AM2823" s="76"/>
      <c r="AN2823" s="76"/>
      <c r="AO2823" s="76"/>
      <c r="AP2823" s="76"/>
      <c r="AQ2823" s="76"/>
      <c r="AR2823" s="76"/>
      <c r="AS2823" s="76"/>
      <c r="AT2823" s="76"/>
      <c r="AU2823" s="76"/>
      <c r="AV2823" s="76"/>
      <c r="AW2823" s="76"/>
      <c r="AX2823" s="76"/>
      <c r="AY2823" s="76"/>
      <c r="AZ2823" s="76"/>
      <c r="BA2823" s="76"/>
      <c r="BB2823" s="76"/>
    </row>
    <row r="2824" spans="5:54" x14ac:dyDescent="0.35">
      <c r="E2824" s="83"/>
      <c r="F2824" s="83"/>
      <c r="G2824" s="76"/>
      <c r="H2824" s="76"/>
      <c r="I2824" s="76"/>
      <c r="J2824" s="76"/>
      <c r="K2824" s="76"/>
      <c r="L2824" s="76"/>
      <c r="M2824" s="76"/>
      <c r="N2824" s="76"/>
      <c r="O2824" s="76"/>
      <c r="P2824" s="76"/>
      <c r="Q2824" s="76"/>
      <c r="R2824" s="76"/>
      <c r="S2824" s="76"/>
      <c r="T2824" s="76"/>
      <c r="U2824" s="76"/>
      <c r="V2824" s="76"/>
      <c r="W2824" s="76"/>
      <c r="X2824" s="76"/>
      <c r="Y2824" s="76"/>
      <c r="Z2824" s="76"/>
      <c r="AA2824" s="76"/>
      <c r="AB2824" s="76"/>
      <c r="AC2824" s="76"/>
      <c r="AD2824" s="76"/>
      <c r="AE2824" s="76"/>
      <c r="AF2824" s="76"/>
      <c r="AG2824" s="76"/>
      <c r="AH2824" s="76"/>
      <c r="AI2824" s="76"/>
      <c r="AJ2824" s="76"/>
      <c r="AK2824" s="76"/>
      <c r="AL2824" s="76"/>
      <c r="AM2824" s="76"/>
      <c r="AN2824" s="76"/>
      <c r="AO2824" s="76"/>
      <c r="AP2824" s="76"/>
      <c r="AQ2824" s="76"/>
      <c r="AR2824" s="76"/>
      <c r="AS2824" s="76"/>
      <c r="AT2824" s="76"/>
      <c r="AU2824" s="76"/>
      <c r="AV2824" s="76"/>
      <c r="AW2824" s="76"/>
      <c r="AX2824" s="76"/>
      <c r="AY2824" s="76"/>
      <c r="AZ2824" s="76"/>
      <c r="BA2824" s="76"/>
      <c r="BB2824" s="76"/>
    </row>
    <row r="2825" spans="5:54" x14ac:dyDescent="0.35">
      <c r="E2825" s="83"/>
      <c r="F2825" s="83"/>
      <c r="G2825" s="76"/>
      <c r="H2825" s="76"/>
      <c r="I2825" s="76"/>
      <c r="J2825" s="76"/>
      <c r="K2825" s="76"/>
      <c r="L2825" s="76"/>
      <c r="M2825" s="76"/>
      <c r="N2825" s="76"/>
      <c r="O2825" s="76"/>
      <c r="P2825" s="76"/>
      <c r="Q2825" s="76"/>
      <c r="R2825" s="76"/>
      <c r="S2825" s="76"/>
      <c r="T2825" s="76"/>
      <c r="U2825" s="76"/>
      <c r="V2825" s="76"/>
      <c r="W2825" s="76"/>
      <c r="X2825" s="76"/>
      <c r="Y2825" s="76"/>
      <c r="Z2825" s="76"/>
      <c r="AA2825" s="76"/>
      <c r="AB2825" s="76"/>
      <c r="AC2825" s="76"/>
      <c r="AD2825" s="76"/>
      <c r="AE2825" s="76"/>
      <c r="AF2825" s="76"/>
      <c r="AG2825" s="76"/>
      <c r="AH2825" s="76"/>
      <c r="AI2825" s="76"/>
      <c r="AJ2825" s="76"/>
      <c r="AK2825" s="76"/>
      <c r="AL2825" s="76"/>
      <c r="AM2825" s="76"/>
      <c r="AN2825" s="76"/>
      <c r="AO2825" s="76"/>
      <c r="AP2825" s="76"/>
      <c r="AQ2825" s="76"/>
      <c r="AR2825" s="76"/>
      <c r="AS2825" s="76"/>
      <c r="AT2825" s="76"/>
      <c r="AU2825" s="76"/>
      <c r="AV2825" s="76"/>
      <c r="AW2825" s="76"/>
      <c r="AX2825" s="76"/>
      <c r="AY2825" s="76"/>
      <c r="AZ2825" s="76"/>
      <c r="BA2825" s="76"/>
      <c r="BB2825" s="76"/>
    </row>
    <row r="2826" spans="5:54" x14ac:dyDescent="0.35">
      <c r="E2826" s="83"/>
      <c r="F2826" s="83"/>
      <c r="G2826" s="76"/>
      <c r="H2826" s="76"/>
      <c r="I2826" s="76"/>
      <c r="J2826" s="76"/>
      <c r="K2826" s="76"/>
      <c r="L2826" s="76"/>
      <c r="M2826" s="76"/>
      <c r="N2826" s="76"/>
      <c r="O2826" s="76"/>
      <c r="P2826" s="76"/>
      <c r="Q2826" s="76"/>
      <c r="R2826" s="76"/>
      <c r="S2826" s="76"/>
      <c r="T2826" s="76"/>
      <c r="U2826" s="76"/>
      <c r="V2826" s="76"/>
      <c r="W2826" s="76"/>
      <c r="X2826" s="76"/>
      <c r="Y2826" s="76"/>
      <c r="Z2826" s="76"/>
      <c r="AA2826" s="76"/>
      <c r="AB2826" s="76"/>
      <c r="AC2826" s="76"/>
      <c r="AD2826" s="76"/>
      <c r="AE2826" s="76"/>
      <c r="AF2826" s="76"/>
      <c r="AG2826" s="76"/>
      <c r="AH2826" s="76"/>
      <c r="AI2826" s="76"/>
      <c r="AJ2826" s="76"/>
      <c r="AK2826" s="76"/>
      <c r="AL2826" s="76"/>
      <c r="AM2826" s="76"/>
      <c r="AN2826" s="76"/>
      <c r="AO2826" s="76"/>
      <c r="AP2826" s="76"/>
      <c r="AQ2826" s="76"/>
      <c r="AR2826" s="76"/>
      <c r="AS2826" s="76"/>
      <c r="AT2826" s="76"/>
      <c r="AU2826" s="76"/>
      <c r="AV2826" s="76"/>
      <c r="AW2826" s="76"/>
      <c r="AX2826" s="76"/>
      <c r="AY2826" s="76"/>
      <c r="AZ2826" s="76"/>
      <c r="BA2826" s="76"/>
      <c r="BB2826" s="76"/>
    </row>
    <row r="2827" spans="5:54" x14ac:dyDescent="0.35">
      <c r="E2827" s="83"/>
      <c r="F2827" s="83"/>
      <c r="G2827" s="76"/>
      <c r="H2827" s="76"/>
      <c r="I2827" s="76"/>
      <c r="J2827" s="76"/>
      <c r="K2827" s="76"/>
      <c r="L2827" s="76"/>
      <c r="M2827" s="76"/>
      <c r="N2827" s="76"/>
      <c r="O2827" s="76"/>
      <c r="P2827" s="76"/>
      <c r="Q2827" s="76"/>
      <c r="R2827" s="76"/>
      <c r="S2827" s="76"/>
      <c r="T2827" s="76"/>
      <c r="U2827" s="76"/>
      <c r="V2827" s="76"/>
      <c r="W2827" s="76"/>
      <c r="X2827" s="76"/>
      <c r="Y2827" s="76"/>
      <c r="Z2827" s="76"/>
      <c r="AA2827" s="76"/>
      <c r="AB2827" s="76"/>
      <c r="AC2827" s="76"/>
      <c r="AD2827" s="76"/>
      <c r="AE2827" s="76"/>
      <c r="AF2827" s="76"/>
      <c r="AG2827" s="76"/>
      <c r="AH2827" s="76"/>
      <c r="AI2827" s="76"/>
      <c r="AJ2827" s="76"/>
      <c r="AK2827" s="76"/>
      <c r="AL2827" s="76"/>
      <c r="AM2827" s="76"/>
      <c r="AN2827" s="76"/>
      <c r="AO2827" s="76"/>
      <c r="AP2827" s="76"/>
      <c r="AQ2827" s="76"/>
      <c r="AR2827" s="76"/>
      <c r="AS2827" s="76"/>
      <c r="AT2827" s="76"/>
      <c r="AU2827" s="76"/>
      <c r="AV2827" s="76"/>
      <c r="AW2827" s="76"/>
      <c r="AX2827" s="76"/>
      <c r="AY2827" s="76"/>
      <c r="AZ2827" s="76"/>
      <c r="BA2827" s="76"/>
      <c r="BB2827" s="76"/>
    </row>
    <row r="2828" spans="5:54" x14ac:dyDescent="0.35">
      <c r="E2828" s="83"/>
      <c r="F2828" s="83"/>
      <c r="G2828" s="76"/>
      <c r="H2828" s="76"/>
      <c r="I2828" s="76"/>
      <c r="J2828" s="76"/>
      <c r="K2828" s="76"/>
      <c r="L2828" s="76"/>
      <c r="M2828" s="76"/>
      <c r="N2828" s="76"/>
      <c r="O2828" s="76"/>
      <c r="P2828" s="76"/>
      <c r="Q2828" s="76"/>
      <c r="R2828" s="76"/>
      <c r="S2828" s="76"/>
      <c r="T2828" s="76"/>
      <c r="U2828" s="76"/>
      <c r="V2828" s="76"/>
      <c r="W2828" s="76"/>
      <c r="X2828" s="76"/>
      <c r="Y2828" s="76"/>
      <c r="Z2828" s="76"/>
      <c r="AA2828" s="76"/>
      <c r="AB2828" s="76"/>
      <c r="AC2828" s="76"/>
      <c r="AD2828" s="76"/>
      <c r="AE2828" s="76"/>
      <c r="AF2828" s="76"/>
      <c r="AG2828" s="76"/>
      <c r="AH2828" s="76"/>
      <c r="AI2828" s="76"/>
      <c r="AJ2828" s="76"/>
      <c r="AK2828" s="76"/>
      <c r="AL2828" s="76"/>
      <c r="AM2828" s="76"/>
      <c r="AN2828" s="76"/>
      <c r="AO2828" s="76"/>
      <c r="AP2828" s="76"/>
      <c r="AQ2828" s="76"/>
      <c r="AR2828" s="76"/>
      <c r="AS2828" s="76"/>
      <c r="AT2828" s="76"/>
      <c r="AU2828" s="76"/>
      <c r="AV2828" s="76"/>
      <c r="AW2828" s="76"/>
      <c r="AX2828" s="76"/>
      <c r="AY2828" s="76"/>
      <c r="AZ2828" s="76"/>
      <c r="BA2828" s="76"/>
      <c r="BB2828" s="76"/>
    </row>
    <row r="2829" spans="5:54" x14ac:dyDescent="0.35">
      <c r="E2829" s="83"/>
      <c r="F2829" s="83"/>
      <c r="G2829" s="76"/>
      <c r="H2829" s="76"/>
      <c r="I2829" s="76"/>
      <c r="J2829" s="76"/>
      <c r="K2829" s="76"/>
      <c r="L2829" s="76"/>
      <c r="M2829" s="76"/>
      <c r="N2829" s="76"/>
      <c r="O2829" s="76"/>
      <c r="P2829" s="76"/>
      <c r="Q2829" s="76"/>
      <c r="R2829" s="76"/>
      <c r="S2829" s="76"/>
      <c r="T2829" s="76"/>
      <c r="U2829" s="76"/>
      <c r="V2829" s="76"/>
      <c r="W2829" s="76"/>
      <c r="X2829" s="76"/>
      <c r="Y2829" s="76"/>
      <c r="Z2829" s="76"/>
      <c r="AA2829" s="76"/>
      <c r="AB2829" s="76"/>
      <c r="AC2829" s="76"/>
      <c r="AD2829" s="76"/>
      <c r="AE2829" s="76"/>
      <c r="AF2829" s="76"/>
      <c r="AG2829" s="76"/>
      <c r="AH2829" s="76"/>
      <c r="AI2829" s="76"/>
      <c r="AJ2829" s="76"/>
      <c r="AK2829" s="76"/>
      <c r="AL2829" s="76"/>
      <c r="AM2829" s="76"/>
      <c r="AN2829" s="76"/>
      <c r="AO2829" s="76"/>
      <c r="AP2829" s="76"/>
      <c r="AQ2829" s="76"/>
      <c r="AR2829" s="76"/>
      <c r="AS2829" s="76"/>
      <c r="AT2829" s="76"/>
      <c r="AU2829" s="76"/>
      <c r="AV2829" s="76"/>
      <c r="AW2829" s="76"/>
      <c r="AX2829" s="76"/>
      <c r="AY2829" s="76"/>
      <c r="AZ2829" s="76"/>
      <c r="BA2829" s="76"/>
      <c r="BB2829" s="76"/>
    </row>
    <row r="2830" spans="5:54" x14ac:dyDescent="0.35">
      <c r="E2830" s="83"/>
      <c r="F2830" s="83"/>
      <c r="G2830" s="76"/>
      <c r="H2830" s="76"/>
      <c r="I2830" s="76"/>
      <c r="J2830" s="76"/>
      <c r="K2830" s="76"/>
      <c r="L2830" s="76"/>
      <c r="M2830" s="76"/>
      <c r="N2830" s="76"/>
      <c r="O2830" s="76"/>
      <c r="P2830" s="76"/>
      <c r="Q2830" s="76"/>
      <c r="R2830" s="76"/>
      <c r="S2830" s="76"/>
      <c r="T2830" s="76"/>
      <c r="U2830" s="76"/>
      <c r="V2830" s="76"/>
      <c r="W2830" s="76"/>
      <c r="X2830" s="76"/>
      <c r="Y2830" s="76"/>
      <c r="Z2830" s="76"/>
      <c r="AA2830" s="76"/>
      <c r="AB2830" s="76"/>
      <c r="AC2830" s="76"/>
      <c r="AD2830" s="76"/>
      <c r="AE2830" s="76"/>
      <c r="AF2830" s="76"/>
      <c r="AG2830" s="76"/>
      <c r="AH2830" s="76"/>
      <c r="AI2830" s="76"/>
      <c r="AJ2830" s="76"/>
      <c r="AK2830" s="76"/>
      <c r="AL2830" s="76"/>
      <c r="AM2830" s="76"/>
      <c r="AN2830" s="76"/>
      <c r="AO2830" s="76"/>
      <c r="AP2830" s="76"/>
      <c r="AQ2830" s="76"/>
      <c r="AR2830" s="76"/>
      <c r="AS2830" s="76"/>
      <c r="AT2830" s="76"/>
      <c r="AU2830" s="76"/>
      <c r="AV2830" s="76"/>
      <c r="AW2830" s="76"/>
      <c r="AX2830" s="76"/>
      <c r="AY2830" s="76"/>
      <c r="AZ2830" s="76"/>
      <c r="BA2830" s="76"/>
      <c r="BB2830" s="76"/>
    </row>
    <row r="2831" spans="5:54" x14ac:dyDescent="0.35">
      <c r="E2831" s="83"/>
      <c r="F2831" s="83"/>
      <c r="G2831" s="76"/>
      <c r="H2831" s="76"/>
      <c r="I2831" s="76"/>
      <c r="J2831" s="76"/>
      <c r="K2831" s="76"/>
      <c r="L2831" s="76"/>
      <c r="M2831" s="76"/>
      <c r="N2831" s="76"/>
      <c r="O2831" s="76"/>
      <c r="P2831" s="76"/>
      <c r="Q2831" s="76"/>
      <c r="R2831" s="76"/>
      <c r="S2831" s="76"/>
      <c r="T2831" s="76"/>
      <c r="U2831" s="76"/>
      <c r="V2831" s="76"/>
      <c r="W2831" s="76"/>
      <c r="X2831" s="76"/>
      <c r="Y2831" s="76"/>
      <c r="Z2831" s="76"/>
      <c r="AA2831" s="76"/>
      <c r="AB2831" s="76"/>
      <c r="AC2831" s="76"/>
      <c r="AD2831" s="76"/>
      <c r="AE2831" s="76"/>
      <c r="AF2831" s="76"/>
      <c r="AG2831" s="76"/>
      <c r="AH2831" s="76"/>
      <c r="AI2831" s="76"/>
      <c r="AJ2831" s="76"/>
      <c r="AK2831" s="76"/>
      <c r="AL2831" s="76"/>
      <c r="AM2831" s="76"/>
      <c r="AN2831" s="76"/>
      <c r="AO2831" s="76"/>
      <c r="AP2831" s="76"/>
      <c r="AQ2831" s="76"/>
      <c r="AR2831" s="76"/>
      <c r="AS2831" s="76"/>
      <c r="AT2831" s="76"/>
      <c r="AU2831" s="76"/>
      <c r="AV2831" s="76"/>
      <c r="AW2831" s="76"/>
      <c r="AX2831" s="76"/>
      <c r="AY2831" s="76"/>
      <c r="AZ2831" s="76"/>
      <c r="BA2831" s="76"/>
      <c r="BB2831" s="76"/>
    </row>
    <row r="2832" spans="5:54" x14ac:dyDescent="0.35">
      <c r="E2832" s="83"/>
      <c r="F2832" s="83"/>
      <c r="G2832" s="76"/>
      <c r="H2832" s="76"/>
      <c r="I2832" s="76"/>
      <c r="J2832" s="76"/>
      <c r="K2832" s="76"/>
      <c r="L2832" s="76"/>
      <c r="M2832" s="76"/>
      <c r="N2832" s="76"/>
      <c r="O2832" s="76"/>
      <c r="P2832" s="76"/>
      <c r="Q2832" s="76"/>
      <c r="R2832" s="76"/>
      <c r="S2832" s="76"/>
      <c r="T2832" s="76"/>
      <c r="U2832" s="76"/>
      <c r="V2832" s="76"/>
      <c r="W2832" s="76"/>
      <c r="X2832" s="76"/>
      <c r="Y2832" s="76"/>
      <c r="Z2832" s="76"/>
      <c r="AA2832" s="76"/>
      <c r="AB2832" s="76"/>
      <c r="AC2832" s="76"/>
      <c r="AD2832" s="76"/>
      <c r="AE2832" s="76"/>
      <c r="AF2832" s="76"/>
      <c r="AG2832" s="76"/>
      <c r="AH2832" s="76"/>
      <c r="AI2832" s="76"/>
      <c r="AJ2832" s="76"/>
      <c r="AK2832" s="76"/>
      <c r="AL2832" s="76"/>
      <c r="AM2832" s="76"/>
      <c r="AN2832" s="76"/>
      <c r="AO2832" s="76"/>
      <c r="AP2832" s="76"/>
      <c r="AQ2832" s="76"/>
      <c r="AR2832" s="76"/>
      <c r="AS2832" s="76"/>
      <c r="AT2832" s="76"/>
      <c r="AU2832" s="76"/>
      <c r="AV2832" s="76"/>
      <c r="AW2832" s="76"/>
      <c r="AX2832" s="76"/>
      <c r="AY2832" s="76"/>
      <c r="AZ2832" s="76"/>
      <c r="BA2832" s="76"/>
      <c r="BB2832" s="76"/>
    </row>
    <row r="2833" spans="5:54" x14ac:dyDescent="0.35">
      <c r="E2833" s="83"/>
      <c r="F2833" s="83"/>
      <c r="G2833" s="76"/>
      <c r="H2833" s="76"/>
      <c r="I2833" s="76"/>
      <c r="J2833" s="76"/>
      <c r="K2833" s="76"/>
      <c r="L2833" s="76"/>
      <c r="M2833" s="76"/>
      <c r="N2833" s="76"/>
      <c r="O2833" s="76"/>
      <c r="P2833" s="76"/>
      <c r="Q2833" s="76"/>
      <c r="R2833" s="76"/>
      <c r="S2833" s="76"/>
      <c r="T2833" s="76"/>
      <c r="U2833" s="76"/>
      <c r="V2833" s="76"/>
      <c r="W2833" s="76"/>
      <c r="X2833" s="76"/>
      <c r="Y2833" s="76"/>
      <c r="Z2833" s="76"/>
      <c r="AA2833" s="76"/>
      <c r="AB2833" s="76"/>
      <c r="AC2833" s="76"/>
      <c r="AD2833" s="76"/>
      <c r="AE2833" s="76"/>
      <c r="AF2833" s="76"/>
      <c r="AG2833" s="76"/>
      <c r="AH2833" s="76"/>
      <c r="AI2833" s="76"/>
      <c r="AJ2833" s="76"/>
      <c r="AK2833" s="76"/>
      <c r="AL2833" s="76"/>
      <c r="AM2833" s="76"/>
      <c r="AN2833" s="76"/>
      <c r="AO2833" s="76"/>
      <c r="AP2833" s="76"/>
      <c r="AQ2833" s="76"/>
      <c r="AR2833" s="76"/>
      <c r="AS2833" s="76"/>
      <c r="AT2833" s="76"/>
      <c r="AU2833" s="76"/>
      <c r="AV2833" s="76"/>
      <c r="AW2833" s="76"/>
      <c r="AX2833" s="76"/>
      <c r="AY2833" s="76"/>
      <c r="AZ2833" s="76"/>
      <c r="BA2833" s="76"/>
      <c r="BB2833" s="76"/>
    </row>
    <row r="2834" spans="5:54" x14ac:dyDescent="0.35">
      <c r="E2834" s="83"/>
      <c r="F2834" s="83"/>
      <c r="G2834" s="76"/>
      <c r="H2834" s="76"/>
      <c r="I2834" s="76"/>
      <c r="J2834" s="76"/>
      <c r="K2834" s="76"/>
      <c r="L2834" s="76"/>
      <c r="M2834" s="76"/>
      <c r="N2834" s="76"/>
      <c r="O2834" s="76"/>
      <c r="P2834" s="76"/>
      <c r="Q2834" s="76"/>
      <c r="R2834" s="76"/>
      <c r="S2834" s="76"/>
      <c r="T2834" s="76"/>
      <c r="U2834" s="76"/>
      <c r="V2834" s="76"/>
      <c r="W2834" s="76"/>
      <c r="X2834" s="76"/>
      <c r="Y2834" s="76"/>
      <c r="Z2834" s="76"/>
      <c r="AA2834" s="76"/>
      <c r="AB2834" s="76"/>
      <c r="AC2834" s="76"/>
      <c r="AD2834" s="76"/>
      <c r="AE2834" s="76"/>
      <c r="AF2834" s="76"/>
      <c r="AG2834" s="76"/>
      <c r="AH2834" s="76"/>
      <c r="AI2834" s="76"/>
      <c r="AJ2834" s="76"/>
      <c r="AK2834" s="76"/>
      <c r="AL2834" s="76"/>
      <c r="AM2834" s="76"/>
      <c r="AN2834" s="76"/>
      <c r="AO2834" s="76"/>
      <c r="AP2834" s="76"/>
      <c r="AQ2834" s="76"/>
      <c r="AR2834" s="76"/>
      <c r="AS2834" s="76"/>
      <c r="AT2834" s="76"/>
      <c r="AU2834" s="76"/>
      <c r="AV2834" s="76"/>
      <c r="AW2834" s="76"/>
      <c r="AX2834" s="76"/>
      <c r="AY2834" s="76"/>
      <c r="AZ2834" s="76"/>
      <c r="BA2834" s="76"/>
      <c r="BB2834" s="76"/>
    </row>
    <row r="2835" spans="5:54" x14ac:dyDescent="0.35">
      <c r="E2835" s="83"/>
      <c r="F2835" s="83"/>
      <c r="G2835" s="76"/>
      <c r="H2835" s="76"/>
      <c r="I2835" s="76"/>
      <c r="J2835" s="76"/>
      <c r="K2835" s="76"/>
      <c r="L2835" s="76"/>
      <c r="M2835" s="76"/>
      <c r="N2835" s="76"/>
      <c r="O2835" s="76"/>
      <c r="P2835" s="76"/>
      <c r="Q2835" s="76"/>
      <c r="R2835" s="76"/>
      <c r="S2835" s="76"/>
      <c r="T2835" s="76"/>
      <c r="U2835" s="76"/>
      <c r="V2835" s="76"/>
      <c r="W2835" s="76"/>
      <c r="X2835" s="76"/>
      <c r="Y2835" s="76"/>
      <c r="Z2835" s="76"/>
      <c r="AA2835" s="76"/>
      <c r="AB2835" s="76"/>
      <c r="AC2835" s="76"/>
      <c r="AD2835" s="76"/>
      <c r="AE2835" s="76"/>
      <c r="AF2835" s="76"/>
      <c r="AG2835" s="76"/>
      <c r="AH2835" s="76"/>
      <c r="AI2835" s="76"/>
      <c r="AJ2835" s="76"/>
      <c r="AK2835" s="76"/>
      <c r="AL2835" s="76"/>
      <c r="AM2835" s="76"/>
      <c r="AN2835" s="76"/>
      <c r="AO2835" s="76"/>
      <c r="AP2835" s="76"/>
      <c r="AQ2835" s="76"/>
      <c r="AR2835" s="76"/>
      <c r="AS2835" s="76"/>
      <c r="AT2835" s="76"/>
      <c r="AU2835" s="76"/>
      <c r="AV2835" s="76"/>
      <c r="AW2835" s="76"/>
      <c r="AX2835" s="76"/>
      <c r="AY2835" s="76"/>
      <c r="AZ2835" s="76"/>
      <c r="BA2835" s="76"/>
      <c r="BB2835" s="76"/>
    </row>
    <row r="2836" spans="5:54" x14ac:dyDescent="0.35">
      <c r="E2836" s="83"/>
      <c r="F2836" s="83"/>
      <c r="G2836" s="76"/>
      <c r="H2836" s="76"/>
      <c r="I2836" s="76"/>
      <c r="J2836" s="76"/>
      <c r="K2836" s="76"/>
      <c r="L2836" s="76"/>
      <c r="M2836" s="76"/>
      <c r="N2836" s="76"/>
      <c r="O2836" s="76"/>
      <c r="P2836" s="76"/>
      <c r="Q2836" s="76"/>
      <c r="R2836" s="76"/>
      <c r="S2836" s="76"/>
      <c r="T2836" s="76"/>
      <c r="U2836" s="76"/>
      <c r="V2836" s="76"/>
      <c r="W2836" s="76"/>
      <c r="X2836" s="76"/>
      <c r="Y2836" s="76"/>
      <c r="Z2836" s="76"/>
      <c r="AA2836" s="76"/>
      <c r="AB2836" s="76"/>
      <c r="AC2836" s="76"/>
      <c r="AD2836" s="76"/>
      <c r="AE2836" s="76"/>
      <c r="AF2836" s="76"/>
      <c r="AG2836" s="76"/>
      <c r="AH2836" s="76"/>
      <c r="AI2836" s="76"/>
      <c r="AJ2836" s="76"/>
      <c r="AK2836" s="76"/>
      <c r="AL2836" s="76"/>
      <c r="AM2836" s="76"/>
      <c r="AN2836" s="76"/>
      <c r="AO2836" s="76"/>
      <c r="AP2836" s="76"/>
      <c r="AQ2836" s="76"/>
      <c r="AR2836" s="76"/>
      <c r="AS2836" s="76"/>
      <c r="AT2836" s="76"/>
      <c r="AU2836" s="76"/>
      <c r="AV2836" s="76"/>
      <c r="AW2836" s="76"/>
      <c r="AX2836" s="76"/>
      <c r="AY2836" s="76"/>
      <c r="AZ2836" s="76"/>
      <c r="BA2836" s="76"/>
      <c r="BB2836" s="76"/>
    </row>
    <row r="2837" spans="5:54" x14ac:dyDescent="0.35">
      <c r="E2837" s="83"/>
      <c r="F2837" s="83"/>
      <c r="G2837" s="76"/>
      <c r="H2837" s="76"/>
      <c r="I2837" s="76"/>
      <c r="J2837" s="76"/>
      <c r="K2837" s="76"/>
      <c r="L2837" s="76"/>
      <c r="M2837" s="76"/>
      <c r="N2837" s="76"/>
      <c r="O2837" s="76"/>
      <c r="P2837" s="76"/>
      <c r="Q2837" s="76"/>
      <c r="R2837" s="76"/>
      <c r="S2837" s="76"/>
      <c r="T2837" s="76"/>
      <c r="U2837" s="76"/>
      <c r="V2837" s="76"/>
      <c r="W2837" s="76"/>
      <c r="X2837" s="76"/>
      <c r="Y2837" s="76"/>
      <c r="Z2837" s="76"/>
      <c r="AA2837" s="76"/>
      <c r="AB2837" s="76"/>
      <c r="AC2837" s="76"/>
      <c r="AD2837" s="76"/>
      <c r="AE2837" s="76"/>
      <c r="AF2837" s="76"/>
      <c r="AG2837" s="76"/>
      <c r="AH2837" s="76"/>
      <c r="AI2837" s="76"/>
      <c r="AJ2837" s="76"/>
      <c r="AK2837" s="76"/>
      <c r="AL2837" s="76"/>
      <c r="AM2837" s="76"/>
      <c r="AN2837" s="76"/>
      <c r="AO2837" s="76"/>
      <c r="AP2837" s="76"/>
      <c r="AQ2837" s="76"/>
      <c r="AR2837" s="76"/>
      <c r="AS2837" s="76"/>
      <c r="AT2837" s="76"/>
      <c r="AU2837" s="76"/>
      <c r="AV2837" s="76"/>
      <c r="AW2837" s="76"/>
      <c r="AX2837" s="76"/>
      <c r="AY2837" s="76"/>
      <c r="AZ2837" s="76"/>
      <c r="BA2837" s="76"/>
      <c r="BB2837" s="76"/>
    </row>
    <row r="2838" spans="5:54" x14ac:dyDescent="0.35">
      <c r="E2838" s="83"/>
      <c r="F2838" s="83"/>
      <c r="G2838" s="76"/>
      <c r="H2838" s="76"/>
      <c r="I2838" s="76"/>
      <c r="J2838" s="76"/>
      <c r="K2838" s="76"/>
      <c r="L2838" s="76"/>
      <c r="M2838" s="76"/>
      <c r="N2838" s="76"/>
      <c r="O2838" s="76"/>
      <c r="P2838" s="76"/>
      <c r="Q2838" s="76"/>
      <c r="R2838" s="76"/>
      <c r="S2838" s="76"/>
      <c r="T2838" s="76"/>
      <c r="U2838" s="76"/>
      <c r="V2838" s="76"/>
      <c r="W2838" s="76"/>
      <c r="X2838" s="76"/>
      <c r="Y2838" s="76"/>
      <c r="Z2838" s="76"/>
      <c r="AA2838" s="76"/>
      <c r="AB2838" s="76"/>
      <c r="AC2838" s="76"/>
      <c r="AD2838" s="76"/>
      <c r="AE2838" s="76"/>
      <c r="AF2838" s="76"/>
      <c r="AG2838" s="76"/>
      <c r="AH2838" s="76"/>
      <c r="AI2838" s="76"/>
      <c r="AJ2838" s="76"/>
      <c r="AK2838" s="76"/>
      <c r="AL2838" s="76"/>
      <c r="AM2838" s="76"/>
      <c r="AN2838" s="76"/>
      <c r="AO2838" s="76"/>
      <c r="AP2838" s="76"/>
      <c r="AQ2838" s="76"/>
      <c r="AR2838" s="76"/>
      <c r="AS2838" s="76"/>
      <c r="AT2838" s="76"/>
      <c r="AU2838" s="76"/>
      <c r="AV2838" s="76"/>
      <c r="AW2838" s="76"/>
      <c r="AX2838" s="76"/>
      <c r="AY2838" s="76"/>
      <c r="AZ2838" s="76"/>
      <c r="BA2838" s="76"/>
      <c r="BB2838" s="76"/>
    </row>
    <row r="2839" spans="5:54" x14ac:dyDescent="0.35">
      <c r="E2839" s="83"/>
      <c r="F2839" s="83"/>
      <c r="G2839" s="76"/>
      <c r="H2839" s="76"/>
      <c r="I2839" s="76"/>
      <c r="J2839" s="76"/>
      <c r="K2839" s="76"/>
      <c r="L2839" s="76"/>
      <c r="M2839" s="76"/>
      <c r="N2839" s="76"/>
      <c r="O2839" s="76"/>
      <c r="P2839" s="76"/>
      <c r="Q2839" s="76"/>
      <c r="R2839" s="76"/>
      <c r="S2839" s="76"/>
      <c r="T2839" s="76"/>
      <c r="U2839" s="76"/>
      <c r="V2839" s="76"/>
      <c r="W2839" s="76"/>
      <c r="X2839" s="76"/>
      <c r="Y2839" s="76"/>
      <c r="Z2839" s="76"/>
      <c r="AA2839" s="76"/>
      <c r="AB2839" s="76"/>
      <c r="AC2839" s="76"/>
      <c r="AD2839" s="76"/>
      <c r="AE2839" s="76"/>
      <c r="AF2839" s="76"/>
      <c r="AG2839" s="76"/>
      <c r="AH2839" s="76"/>
      <c r="AI2839" s="76"/>
      <c r="AJ2839" s="76"/>
      <c r="AK2839" s="76"/>
      <c r="AL2839" s="76"/>
      <c r="AM2839" s="76"/>
      <c r="AN2839" s="76"/>
      <c r="AO2839" s="76"/>
      <c r="AP2839" s="76"/>
      <c r="AQ2839" s="76"/>
      <c r="AR2839" s="76"/>
      <c r="AS2839" s="76"/>
      <c r="AT2839" s="76"/>
      <c r="AU2839" s="76"/>
      <c r="AV2839" s="76"/>
      <c r="AW2839" s="76"/>
      <c r="AX2839" s="76"/>
      <c r="AY2839" s="76"/>
      <c r="AZ2839" s="76"/>
      <c r="BA2839" s="76"/>
      <c r="BB2839" s="76"/>
    </row>
    <row r="2840" spans="5:54" x14ac:dyDescent="0.35">
      <c r="E2840" s="83"/>
      <c r="F2840" s="83"/>
      <c r="G2840" s="76"/>
      <c r="H2840" s="76"/>
      <c r="I2840" s="76"/>
      <c r="J2840" s="76"/>
      <c r="K2840" s="76"/>
      <c r="L2840" s="76"/>
      <c r="M2840" s="76"/>
      <c r="N2840" s="76"/>
      <c r="O2840" s="76"/>
      <c r="P2840" s="76"/>
      <c r="Q2840" s="76"/>
      <c r="R2840" s="76"/>
      <c r="S2840" s="76"/>
      <c r="T2840" s="76"/>
      <c r="U2840" s="76"/>
      <c r="V2840" s="76"/>
      <c r="W2840" s="76"/>
      <c r="X2840" s="76"/>
      <c r="Y2840" s="76"/>
      <c r="Z2840" s="76"/>
      <c r="AA2840" s="76"/>
      <c r="AB2840" s="76"/>
      <c r="AC2840" s="76"/>
      <c r="AD2840" s="76"/>
      <c r="AE2840" s="76"/>
      <c r="AF2840" s="76"/>
      <c r="AG2840" s="76"/>
      <c r="AH2840" s="76"/>
      <c r="AI2840" s="76"/>
      <c r="AJ2840" s="76"/>
      <c r="AK2840" s="76"/>
      <c r="AL2840" s="76"/>
      <c r="AM2840" s="76"/>
      <c r="AN2840" s="76"/>
      <c r="AO2840" s="76"/>
      <c r="AP2840" s="76"/>
      <c r="AQ2840" s="76"/>
      <c r="AR2840" s="76"/>
      <c r="AS2840" s="76"/>
      <c r="AT2840" s="76"/>
      <c r="AU2840" s="76"/>
      <c r="AV2840" s="76"/>
      <c r="AW2840" s="76"/>
      <c r="AX2840" s="76"/>
      <c r="AY2840" s="76"/>
      <c r="AZ2840" s="76"/>
      <c r="BA2840" s="76"/>
      <c r="BB2840" s="76"/>
    </row>
    <row r="2841" spans="5:54" x14ac:dyDescent="0.35">
      <c r="E2841" s="83"/>
      <c r="F2841" s="83"/>
      <c r="G2841" s="76"/>
      <c r="H2841" s="76"/>
      <c r="I2841" s="76"/>
      <c r="J2841" s="76"/>
      <c r="K2841" s="76"/>
      <c r="L2841" s="76"/>
      <c r="M2841" s="76"/>
      <c r="N2841" s="76"/>
      <c r="O2841" s="76"/>
      <c r="P2841" s="76"/>
      <c r="Q2841" s="76"/>
      <c r="R2841" s="76"/>
      <c r="S2841" s="76"/>
      <c r="T2841" s="76"/>
      <c r="U2841" s="76"/>
      <c r="V2841" s="76"/>
      <c r="W2841" s="76"/>
      <c r="X2841" s="76"/>
      <c r="Y2841" s="76"/>
      <c r="Z2841" s="76"/>
      <c r="AA2841" s="76"/>
      <c r="AB2841" s="76"/>
      <c r="AC2841" s="76"/>
      <c r="AD2841" s="76"/>
      <c r="AE2841" s="76"/>
      <c r="AF2841" s="76"/>
      <c r="AG2841" s="76"/>
      <c r="AH2841" s="76"/>
      <c r="AI2841" s="76"/>
      <c r="AJ2841" s="76"/>
      <c r="AK2841" s="76"/>
      <c r="AL2841" s="76"/>
      <c r="AM2841" s="76"/>
      <c r="AN2841" s="76"/>
      <c r="AO2841" s="76"/>
      <c r="AP2841" s="76"/>
      <c r="AQ2841" s="76"/>
      <c r="AR2841" s="76"/>
      <c r="AS2841" s="76"/>
      <c r="AT2841" s="76"/>
      <c r="AU2841" s="76"/>
      <c r="AV2841" s="76"/>
      <c r="AW2841" s="76"/>
      <c r="AX2841" s="76"/>
      <c r="AY2841" s="76"/>
      <c r="AZ2841" s="76"/>
      <c r="BA2841" s="76"/>
      <c r="BB2841" s="76"/>
    </row>
    <row r="2842" spans="5:54" x14ac:dyDescent="0.35">
      <c r="E2842" s="83"/>
      <c r="F2842" s="83"/>
      <c r="G2842" s="76"/>
      <c r="H2842" s="76"/>
      <c r="I2842" s="76"/>
      <c r="J2842" s="76"/>
      <c r="K2842" s="76"/>
      <c r="L2842" s="76"/>
      <c r="M2842" s="76"/>
      <c r="N2842" s="76"/>
      <c r="O2842" s="76"/>
      <c r="P2842" s="76"/>
      <c r="Q2842" s="76"/>
      <c r="R2842" s="76"/>
      <c r="S2842" s="76"/>
      <c r="T2842" s="76"/>
      <c r="U2842" s="76"/>
      <c r="V2842" s="76"/>
      <c r="W2842" s="76"/>
      <c r="X2842" s="76"/>
      <c r="Y2842" s="76"/>
      <c r="Z2842" s="76"/>
      <c r="AA2842" s="76"/>
      <c r="AB2842" s="76"/>
      <c r="AC2842" s="76"/>
      <c r="AD2842" s="76"/>
      <c r="AE2842" s="76"/>
      <c r="AF2842" s="76"/>
      <c r="AG2842" s="76"/>
      <c r="AH2842" s="76"/>
      <c r="AI2842" s="76"/>
      <c r="AJ2842" s="76"/>
      <c r="AK2842" s="76"/>
      <c r="AL2842" s="76"/>
      <c r="AM2842" s="76"/>
      <c r="AN2842" s="76"/>
      <c r="AO2842" s="76"/>
      <c r="AP2842" s="76"/>
      <c r="AQ2842" s="76"/>
      <c r="AR2842" s="76"/>
      <c r="AS2842" s="76"/>
      <c r="AT2842" s="76"/>
      <c r="AU2842" s="76"/>
      <c r="AV2842" s="76"/>
      <c r="AW2842" s="76"/>
      <c r="AX2842" s="76"/>
      <c r="AY2842" s="76"/>
      <c r="AZ2842" s="76"/>
      <c r="BA2842" s="76"/>
      <c r="BB2842" s="76"/>
    </row>
    <row r="2843" spans="5:54" x14ac:dyDescent="0.35">
      <c r="E2843" s="83"/>
      <c r="F2843" s="83"/>
      <c r="G2843" s="76"/>
      <c r="H2843" s="76"/>
      <c r="I2843" s="76"/>
      <c r="J2843" s="76"/>
      <c r="K2843" s="76"/>
      <c r="L2843" s="76"/>
      <c r="M2843" s="76"/>
      <c r="N2843" s="76"/>
      <c r="O2843" s="76"/>
      <c r="P2843" s="76"/>
      <c r="Q2843" s="76"/>
      <c r="R2843" s="76"/>
      <c r="S2843" s="76"/>
      <c r="T2843" s="76"/>
      <c r="U2843" s="76"/>
      <c r="V2843" s="76"/>
      <c r="W2843" s="76"/>
      <c r="X2843" s="76"/>
      <c r="Y2843" s="76"/>
      <c r="Z2843" s="76"/>
      <c r="AA2843" s="76"/>
      <c r="AB2843" s="76"/>
      <c r="AC2843" s="76"/>
      <c r="AD2843" s="76"/>
      <c r="AE2843" s="76"/>
      <c r="AF2843" s="76"/>
      <c r="AG2843" s="76"/>
      <c r="AH2843" s="76"/>
      <c r="AI2843" s="76"/>
      <c r="AJ2843" s="76"/>
      <c r="AK2843" s="76"/>
      <c r="AL2843" s="76"/>
      <c r="AM2843" s="76"/>
      <c r="AN2843" s="76"/>
      <c r="AO2843" s="76"/>
      <c r="AP2843" s="76"/>
      <c r="AQ2843" s="76"/>
      <c r="AR2843" s="76"/>
      <c r="AS2843" s="76"/>
      <c r="AT2843" s="76"/>
      <c r="AU2843" s="76"/>
      <c r="AV2843" s="76"/>
      <c r="AW2843" s="76"/>
      <c r="AX2843" s="76"/>
      <c r="AY2843" s="76"/>
      <c r="AZ2843" s="76"/>
      <c r="BA2843" s="76"/>
      <c r="BB2843" s="76"/>
    </row>
    <row r="2844" spans="5:54" x14ac:dyDescent="0.35">
      <c r="E2844" s="83"/>
      <c r="F2844" s="83"/>
      <c r="G2844" s="76"/>
      <c r="H2844" s="76"/>
      <c r="I2844" s="76"/>
      <c r="J2844" s="76"/>
      <c r="K2844" s="76"/>
      <c r="L2844" s="76"/>
      <c r="M2844" s="76"/>
      <c r="N2844" s="76"/>
      <c r="O2844" s="76"/>
      <c r="P2844" s="76"/>
      <c r="Q2844" s="76"/>
      <c r="R2844" s="76"/>
      <c r="S2844" s="76"/>
      <c r="T2844" s="76"/>
      <c r="U2844" s="76"/>
      <c r="V2844" s="76"/>
      <c r="W2844" s="76"/>
      <c r="X2844" s="76"/>
      <c r="Y2844" s="76"/>
      <c r="Z2844" s="76"/>
      <c r="AA2844" s="76"/>
      <c r="AB2844" s="76"/>
      <c r="AC2844" s="76"/>
      <c r="AD2844" s="76"/>
      <c r="AE2844" s="76"/>
      <c r="AF2844" s="76"/>
      <c r="AG2844" s="76"/>
      <c r="AH2844" s="76"/>
      <c r="AI2844" s="76"/>
      <c r="AJ2844" s="76"/>
      <c r="AK2844" s="76"/>
      <c r="AL2844" s="76"/>
      <c r="AM2844" s="76"/>
      <c r="AN2844" s="76"/>
      <c r="AO2844" s="76"/>
      <c r="AP2844" s="76"/>
      <c r="AQ2844" s="76"/>
      <c r="AR2844" s="76"/>
      <c r="AS2844" s="76"/>
      <c r="AT2844" s="76"/>
      <c r="AU2844" s="76"/>
      <c r="AV2844" s="76"/>
      <c r="AW2844" s="76"/>
      <c r="AX2844" s="76"/>
      <c r="AY2844" s="76"/>
      <c r="AZ2844" s="76"/>
      <c r="BA2844" s="76"/>
      <c r="BB2844" s="76"/>
    </row>
    <row r="2845" spans="5:54" x14ac:dyDescent="0.35">
      <c r="E2845" s="83"/>
      <c r="F2845" s="83"/>
      <c r="G2845" s="76"/>
      <c r="H2845" s="76"/>
      <c r="I2845" s="76"/>
      <c r="J2845" s="76"/>
      <c r="K2845" s="76"/>
      <c r="L2845" s="76"/>
      <c r="M2845" s="76"/>
      <c r="N2845" s="76"/>
      <c r="O2845" s="76"/>
      <c r="P2845" s="76"/>
      <c r="Q2845" s="76"/>
      <c r="R2845" s="76"/>
      <c r="S2845" s="76"/>
      <c r="T2845" s="76"/>
      <c r="U2845" s="76"/>
      <c r="V2845" s="76"/>
      <c r="W2845" s="76"/>
      <c r="X2845" s="76"/>
      <c r="Y2845" s="76"/>
      <c r="Z2845" s="76"/>
      <c r="AA2845" s="76"/>
      <c r="AB2845" s="76"/>
      <c r="AC2845" s="76"/>
      <c r="AD2845" s="76"/>
      <c r="AE2845" s="76"/>
      <c r="AF2845" s="76"/>
      <c r="AG2845" s="76"/>
      <c r="AH2845" s="76"/>
      <c r="AI2845" s="76"/>
      <c r="AJ2845" s="76"/>
      <c r="AK2845" s="76"/>
      <c r="AL2845" s="76"/>
      <c r="AM2845" s="76"/>
      <c r="AN2845" s="76"/>
      <c r="AO2845" s="76"/>
      <c r="AP2845" s="76"/>
      <c r="AQ2845" s="76"/>
      <c r="AR2845" s="76"/>
      <c r="AS2845" s="76"/>
      <c r="AT2845" s="76"/>
      <c r="AU2845" s="76"/>
      <c r="AV2845" s="76"/>
      <c r="AW2845" s="76"/>
      <c r="AX2845" s="76"/>
      <c r="AY2845" s="76"/>
      <c r="AZ2845" s="76"/>
      <c r="BA2845" s="76"/>
      <c r="BB2845" s="76"/>
    </row>
    <row r="2846" spans="5:54" x14ac:dyDescent="0.35">
      <c r="E2846" s="83"/>
      <c r="F2846" s="83"/>
      <c r="G2846" s="76"/>
      <c r="H2846" s="76"/>
      <c r="I2846" s="76"/>
      <c r="J2846" s="76"/>
      <c r="K2846" s="76"/>
      <c r="L2846" s="76"/>
      <c r="M2846" s="76"/>
      <c r="N2846" s="76"/>
      <c r="O2846" s="76"/>
      <c r="P2846" s="76"/>
      <c r="Q2846" s="76"/>
      <c r="R2846" s="76"/>
      <c r="S2846" s="76"/>
      <c r="T2846" s="76"/>
      <c r="U2846" s="76"/>
      <c r="V2846" s="76"/>
      <c r="W2846" s="76"/>
      <c r="X2846" s="76"/>
      <c r="Y2846" s="76"/>
      <c r="Z2846" s="76"/>
      <c r="AA2846" s="76"/>
      <c r="AB2846" s="76"/>
      <c r="AC2846" s="76"/>
      <c r="AD2846" s="76"/>
      <c r="AE2846" s="76"/>
      <c r="AF2846" s="76"/>
      <c r="AG2846" s="76"/>
      <c r="AH2846" s="76"/>
      <c r="AI2846" s="76"/>
      <c r="AJ2846" s="76"/>
      <c r="AK2846" s="76"/>
      <c r="AL2846" s="76"/>
      <c r="AM2846" s="76"/>
      <c r="AN2846" s="76"/>
      <c r="AO2846" s="76"/>
      <c r="AP2846" s="76"/>
      <c r="AQ2846" s="76"/>
      <c r="AR2846" s="76"/>
      <c r="AS2846" s="76"/>
      <c r="AT2846" s="76"/>
      <c r="AU2846" s="76"/>
      <c r="AV2846" s="76"/>
      <c r="AW2846" s="76"/>
      <c r="AX2846" s="76"/>
      <c r="AY2846" s="76"/>
      <c r="AZ2846" s="76"/>
      <c r="BA2846" s="76"/>
      <c r="BB2846" s="76"/>
    </row>
    <row r="2847" spans="5:54" x14ac:dyDescent="0.35">
      <c r="E2847" s="83"/>
      <c r="F2847" s="83"/>
      <c r="G2847" s="76"/>
      <c r="H2847" s="76"/>
      <c r="I2847" s="76"/>
      <c r="J2847" s="76"/>
      <c r="K2847" s="76"/>
      <c r="L2847" s="76"/>
      <c r="M2847" s="76"/>
      <c r="N2847" s="76"/>
      <c r="O2847" s="76"/>
      <c r="P2847" s="76"/>
      <c r="Q2847" s="76"/>
      <c r="R2847" s="76"/>
      <c r="S2847" s="76"/>
      <c r="T2847" s="76"/>
      <c r="U2847" s="76"/>
      <c r="V2847" s="76"/>
      <c r="W2847" s="76"/>
      <c r="X2847" s="76"/>
      <c r="Y2847" s="76"/>
      <c r="Z2847" s="76"/>
      <c r="AA2847" s="76"/>
      <c r="AB2847" s="76"/>
      <c r="AC2847" s="76"/>
      <c r="AD2847" s="76"/>
      <c r="AE2847" s="76"/>
      <c r="AF2847" s="76"/>
      <c r="AG2847" s="76"/>
      <c r="AH2847" s="76"/>
      <c r="AI2847" s="76"/>
      <c r="AJ2847" s="76"/>
      <c r="AK2847" s="76"/>
      <c r="AL2847" s="76"/>
      <c r="AM2847" s="76"/>
      <c r="AN2847" s="76"/>
      <c r="AO2847" s="76"/>
      <c r="AP2847" s="76"/>
      <c r="AQ2847" s="76"/>
      <c r="AR2847" s="76"/>
      <c r="AS2847" s="76"/>
      <c r="AT2847" s="76"/>
      <c r="AU2847" s="76"/>
      <c r="AV2847" s="76"/>
      <c r="AW2847" s="76"/>
      <c r="AX2847" s="76"/>
      <c r="AY2847" s="76"/>
      <c r="AZ2847" s="76"/>
      <c r="BA2847" s="76"/>
      <c r="BB2847" s="76"/>
    </row>
    <row r="2848" spans="5:54" x14ac:dyDescent="0.35">
      <c r="E2848" s="83"/>
      <c r="F2848" s="83"/>
      <c r="G2848" s="76"/>
      <c r="H2848" s="76"/>
      <c r="I2848" s="76"/>
      <c r="J2848" s="76"/>
      <c r="K2848" s="76"/>
      <c r="L2848" s="76"/>
      <c r="M2848" s="76"/>
      <c r="N2848" s="76"/>
      <c r="O2848" s="76"/>
      <c r="P2848" s="76"/>
      <c r="Q2848" s="76"/>
      <c r="R2848" s="76"/>
      <c r="S2848" s="76"/>
      <c r="T2848" s="76"/>
      <c r="U2848" s="76"/>
      <c r="V2848" s="76"/>
      <c r="W2848" s="76"/>
      <c r="X2848" s="76"/>
      <c r="Y2848" s="76"/>
      <c r="Z2848" s="76"/>
      <c r="AA2848" s="76"/>
      <c r="AB2848" s="76"/>
      <c r="AC2848" s="76"/>
      <c r="AD2848" s="76"/>
      <c r="AE2848" s="76"/>
      <c r="AF2848" s="76"/>
      <c r="AG2848" s="76"/>
      <c r="AH2848" s="76"/>
      <c r="AI2848" s="76"/>
      <c r="AJ2848" s="76"/>
      <c r="AK2848" s="76"/>
      <c r="AL2848" s="76"/>
      <c r="AM2848" s="76"/>
      <c r="AN2848" s="76"/>
      <c r="AO2848" s="76"/>
      <c r="AP2848" s="76"/>
      <c r="AQ2848" s="76"/>
      <c r="AR2848" s="76"/>
      <c r="AS2848" s="76"/>
      <c r="AT2848" s="76"/>
      <c r="AU2848" s="76"/>
      <c r="AV2848" s="76"/>
      <c r="AW2848" s="76"/>
      <c r="AX2848" s="76"/>
      <c r="AY2848" s="76"/>
      <c r="AZ2848" s="76"/>
      <c r="BA2848" s="76"/>
      <c r="BB2848" s="76"/>
    </row>
    <row r="2849" spans="5:54" x14ac:dyDescent="0.35">
      <c r="E2849" s="83"/>
      <c r="F2849" s="83"/>
      <c r="G2849" s="76"/>
      <c r="H2849" s="76"/>
      <c r="I2849" s="76"/>
      <c r="J2849" s="76"/>
      <c r="K2849" s="76"/>
      <c r="L2849" s="76"/>
      <c r="M2849" s="76"/>
      <c r="N2849" s="76"/>
      <c r="O2849" s="76"/>
      <c r="P2849" s="76"/>
      <c r="Q2849" s="76"/>
      <c r="R2849" s="76"/>
      <c r="S2849" s="76"/>
      <c r="T2849" s="76"/>
      <c r="U2849" s="76"/>
      <c r="V2849" s="76"/>
      <c r="W2849" s="76"/>
      <c r="X2849" s="76"/>
      <c r="Y2849" s="76"/>
      <c r="Z2849" s="76"/>
      <c r="AA2849" s="76"/>
      <c r="AB2849" s="76"/>
      <c r="AC2849" s="76"/>
      <c r="AD2849" s="76"/>
      <c r="AE2849" s="76"/>
      <c r="AF2849" s="76"/>
      <c r="AG2849" s="76"/>
      <c r="AH2849" s="76"/>
      <c r="AI2849" s="76"/>
      <c r="AJ2849" s="76"/>
      <c r="AK2849" s="76"/>
      <c r="AL2849" s="76"/>
      <c r="AM2849" s="76"/>
      <c r="AN2849" s="76"/>
      <c r="AO2849" s="76"/>
      <c r="AP2849" s="76"/>
      <c r="AQ2849" s="76"/>
      <c r="AR2849" s="76"/>
      <c r="AS2849" s="76"/>
      <c r="AT2849" s="76"/>
      <c r="AU2849" s="76"/>
      <c r="AV2849" s="76"/>
      <c r="AW2849" s="76"/>
      <c r="AX2849" s="76"/>
      <c r="AY2849" s="76"/>
      <c r="AZ2849" s="76"/>
      <c r="BA2849" s="76"/>
      <c r="BB2849" s="76"/>
    </row>
    <row r="2850" spans="5:54" x14ac:dyDescent="0.35">
      <c r="E2850" s="83"/>
      <c r="F2850" s="83"/>
      <c r="G2850" s="76"/>
      <c r="H2850" s="76"/>
      <c r="I2850" s="76"/>
      <c r="J2850" s="76"/>
      <c r="K2850" s="76"/>
      <c r="L2850" s="76"/>
      <c r="M2850" s="76"/>
      <c r="N2850" s="76"/>
      <c r="O2850" s="76"/>
      <c r="P2850" s="76"/>
      <c r="Q2850" s="76"/>
      <c r="R2850" s="76"/>
      <c r="S2850" s="76"/>
      <c r="T2850" s="76"/>
      <c r="U2850" s="76"/>
      <c r="V2850" s="76"/>
      <c r="W2850" s="76"/>
      <c r="X2850" s="76"/>
      <c r="Y2850" s="76"/>
      <c r="Z2850" s="76"/>
      <c r="AA2850" s="76"/>
      <c r="AB2850" s="76"/>
      <c r="AC2850" s="76"/>
      <c r="AD2850" s="76"/>
      <c r="AE2850" s="76"/>
      <c r="AF2850" s="76"/>
      <c r="AG2850" s="76"/>
      <c r="AH2850" s="76"/>
      <c r="AI2850" s="76"/>
      <c r="AJ2850" s="76"/>
      <c r="AK2850" s="76"/>
      <c r="AL2850" s="76"/>
      <c r="AM2850" s="76"/>
      <c r="AN2850" s="76"/>
      <c r="AO2850" s="76"/>
      <c r="AP2850" s="76"/>
      <c r="AQ2850" s="76"/>
      <c r="AR2850" s="76"/>
      <c r="AS2850" s="76"/>
      <c r="AT2850" s="76"/>
      <c r="AU2850" s="76"/>
      <c r="AV2850" s="76"/>
      <c r="AW2850" s="76"/>
      <c r="AX2850" s="76"/>
      <c r="AY2850" s="76"/>
      <c r="AZ2850" s="76"/>
      <c r="BA2850" s="76"/>
      <c r="BB2850" s="76"/>
    </row>
    <row r="2851" spans="5:54" x14ac:dyDescent="0.35">
      <c r="E2851" s="83"/>
      <c r="F2851" s="83"/>
      <c r="G2851" s="76"/>
      <c r="H2851" s="76"/>
      <c r="I2851" s="76"/>
      <c r="J2851" s="76"/>
      <c r="K2851" s="76"/>
      <c r="L2851" s="76"/>
      <c r="M2851" s="76"/>
      <c r="N2851" s="76"/>
      <c r="O2851" s="76"/>
      <c r="P2851" s="76"/>
      <c r="Q2851" s="76"/>
      <c r="R2851" s="76"/>
      <c r="S2851" s="76"/>
      <c r="T2851" s="76"/>
      <c r="U2851" s="76"/>
      <c r="V2851" s="76"/>
      <c r="W2851" s="76"/>
      <c r="X2851" s="76"/>
      <c r="Y2851" s="76"/>
      <c r="Z2851" s="76"/>
      <c r="AA2851" s="76"/>
      <c r="AB2851" s="76"/>
      <c r="AC2851" s="76"/>
      <c r="AD2851" s="76"/>
      <c r="AE2851" s="76"/>
      <c r="AF2851" s="76"/>
      <c r="AG2851" s="76"/>
      <c r="AH2851" s="76"/>
      <c r="AI2851" s="76"/>
      <c r="AJ2851" s="76"/>
      <c r="AK2851" s="76"/>
      <c r="AL2851" s="76"/>
      <c r="AM2851" s="76"/>
      <c r="AN2851" s="76"/>
      <c r="AO2851" s="76"/>
      <c r="AP2851" s="76"/>
      <c r="AQ2851" s="76"/>
      <c r="AR2851" s="76"/>
      <c r="AS2851" s="76"/>
      <c r="AT2851" s="76"/>
      <c r="AU2851" s="76"/>
      <c r="AV2851" s="76"/>
      <c r="AW2851" s="76"/>
      <c r="AX2851" s="76"/>
      <c r="AY2851" s="76"/>
      <c r="AZ2851" s="76"/>
      <c r="BA2851" s="76"/>
      <c r="BB2851" s="76"/>
    </row>
    <row r="2852" spans="5:54" x14ac:dyDescent="0.35">
      <c r="E2852" s="83"/>
      <c r="F2852" s="83"/>
      <c r="G2852" s="76"/>
      <c r="H2852" s="76"/>
      <c r="I2852" s="76"/>
      <c r="J2852" s="76"/>
      <c r="K2852" s="76"/>
      <c r="L2852" s="76"/>
      <c r="M2852" s="76"/>
      <c r="N2852" s="76"/>
      <c r="O2852" s="76"/>
      <c r="P2852" s="76"/>
      <c r="Q2852" s="76"/>
      <c r="R2852" s="76"/>
      <c r="S2852" s="76"/>
      <c r="T2852" s="76"/>
      <c r="U2852" s="76"/>
      <c r="V2852" s="76"/>
      <c r="W2852" s="76"/>
      <c r="X2852" s="76"/>
      <c r="Y2852" s="76"/>
      <c r="Z2852" s="76"/>
      <c r="AA2852" s="76"/>
      <c r="AB2852" s="76"/>
      <c r="AC2852" s="76"/>
      <c r="AD2852" s="76"/>
      <c r="AE2852" s="76"/>
      <c r="AF2852" s="76"/>
      <c r="AG2852" s="76"/>
      <c r="AH2852" s="76"/>
      <c r="AI2852" s="76"/>
      <c r="AJ2852" s="76"/>
      <c r="AK2852" s="76"/>
      <c r="AL2852" s="76"/>
      <c r="AM2852" s="76"/>
      <c r="AN2852" s="76"/>
      <c r="AO2852" s="76"/>
      <c r="AP2852" s="76"/>
      <c r="AQ2852" s="76"/>
      <c r="AR2852" s="76"/>
      <c r="AS2852" s="76"/>
      <c r="AT2852" s="76"/>
      <c r="AU2852" s="76"/>
      <c r="AV2852" s="76"/>
      <c r="AW2852" s="76"/>
      <c r="AX2852" s="76"/>
      <c r="AY2852" s="76"/>
      <c r="AZ2852" s="76"/>
      <c r="BA2852" s="76"/>
      <c r="BB2852" s="76"/>
    </row>
    <row r="2853" spans="5:54" x14ac:dyDescent="0.35">
      <c r="E2853" s="83"/>
      <c r="F2853" s="83"/>
      <c r="G2853" s="76"/>
      <c r="H2853" s="76"/>
      <c r="I2853" s="76"/>
      <c r="J2853" s="76"/>
      <c r="K2853" s="76"/>
      <c r="L2853" s="76"/>
      <c r="M2853" s="76"/>
      <c r="N2853" s="76"/>
      <c r="O2853" s="76"/>
      <c r="P2853" s="76"/>
      <c r="Q2853" s="76"/>
      <c r="R2853" s="76"/>
      <c r="S2853" s="76"/>
      <c r="T2853" s="76"/>
      <c r="U2853" s="76"/>
      <c r="V2853" s="76"/>
      <c r="W2853" s="76"/>
      <c r="X2853" s="76"/>
      <c r="Y2853" s="76"/>
      <c r="Z2853" s="76"/>
      <c r="AA2853" s="76"/>
      <c r="AB2853" s="76"/>
      <c r="AC2853" s="76"/>
      <c r="AD2853" s="76"/>
      <c r="AE2853" s="76"/>
      <c r="AF2853" s="76"/>
      <c r="AG2853" s="76"/>
      <c r="AH2853" s="76"/>
      <c r="AI2853" s="76"/>
      <c r="AJ2853" s="76"/>
      <c r="AK2853" s="76"/>
      <c r="AL2853" s="76"/>
      <c r="AM2853" s="76"/>
      <c r="AN2853" s="76"/>
      <c r="AO2853" s="76"/>
      <c r="AP2853" s="76"/>
      <c r="AQ2853" s="76"/>
      <c r="AR2853" s="76"/>
      <c r="AS2853" s="76"/>
      <c r="AT2853" s="76"/>
      <c r="AU2853" s="76"/>
      <c r="AV2853" s="76"/>
      <c r="AW2853" s="76"/>
      <c r="AX2853" s="76"/>
      <c r="AY2853" s="76"/>
      <c r="AZ2853" s="76"/>
      <c r="BA2853" s="76"/>
      <c r="BB2853" s="76"/>
    </row>
    <row r="2854" spans="5:54" x14ac:dyDescent="0.35">
      <c r="E2854" s="83"/>
      <c r="F2854" s="83"/>
      <c r="G2854" s="76"/>
      <c r="H2854" s="76"/>
      <c r="I2854" s="76"/>
      <c r="J2854" s="76"/>
      <c r="K2854" s="76"/>
      <c r="L2854" s="76"/>
      <c r="M2854" s="76"/>
      <c r="N2854" s="76"/>
      <c r="O2854" s="76"/>
      <c r="P2854" s="76"/>
      <c r="Q2854" s="76"/>
      <c r="R2854" s="76"/>
      <c r="S2854" s="76"/>
      <c r="T2854" s="76"/>
      <c r="U2854" s="76"/>
      <c r="V2854" s="76"/>
      <c r="W2854" s="76"/>
      <c r="X2854" s="76"/>
      <c r="Y2854" s="76"/>
      <c r="Z2854" s="76"/>
      <c r="AA2854" s="76"/>
      <c r="AB2854" s="76"/>
      <c r="AC2854" s="76"/>
      <c r="AD2854" s="76"/>
      <c r="AE2854" s="76"/>
      <c r="AF2854" s="76"/>
      <c r="AG2854" s="76"/>
      <c r="AH2854" s="76"/>
      <c r="AI2854" s="76"/>
      <c r="AJ2854" s="76"/>
      <c r="AK2854" s="76"/>
      <c r="AL2854" s="76"/>
      <c r="AM2854" s="76"/>
      <c r="AN2854" s="76"/>
      <c r="AO2854" s="76"/>
      <c r="AP2854" s="76"/>
      <c r="AQ2854" s="76"/>
      <c r="AR2854" s="76"/>
      <c r="AS2854" s="76"/>
      <c r="AT2854" s="76"/>
      <c r="AU2854" s="76"/>
      <c r="AV2854" s="76"/>
      <c r="AW2854" s="76"/>
      <c r="AX2854" s="76"/>
      <c r="AY2854" s="76"/>
      <c r="AZ2854" s="76"/>
      <c r="BA2854" s="76"/>
      <c r="BB2854" s="76"/>
    </row>
    <row r="2855" spans="5:54" x14ac:dyDescent="0.35">
      <c r="E2855" s="83"/>
      <c r="F2855" s="83"/>
      <c r="G2855" s="76"/>
      <c r="H2855" s="76"/>
      <c r="I2855" s="76"/>
      <c r="J2855" s="76"/>
      <c r="K2855" s="76"/>
      <c r="L2855" s="76"/>
      <c r="M2855" s="76"/>
      <c r="N2855" s="76"/>
      <c r="O2855" s="76"/>
      <c r="P2855" s="76"/>
      <c r="Q2855" s="76"/>
      <c r="R2855" s="76"/>
      <c r="S2855" s="76"/>
      <c r="T2855" s="76"/>
      <c r="U2855" s="76"/>
      <c r="V2855" s="76"/>
      <c r="W2855" s="76"/>
      <c r="X2855" s="76"/>
      <c r="Y2855" s="76"/>
      <c r="Z2855" s="76"/>
      <c r="AA2855" s="76"/>
      <c r="AB2855" s="76"/>
      <c r="AC2855" s="76"/>
      <c r="AD2855" s="76"/>
      <c r="AE2855" s="76"/>
      <c r="AF2855" s="76"/>
      <c r="AG2855" s="76"/>
      <c r="AH2855" s="76"/>
      <c r="AI2855" s="76"/>
      <c r="AJ2855" s="76"/>
      <c r="AK2855" s="76"/>
      <c r="AL2855" s="76"/>
      <c r="AM2855" s="76"/>
      <c r="AN2855" s="76"/>
      <c r="AO2855" s="76"/>
      <c r="AP2855" s="76"/>
      <c r="AQ2855" s="76"/>
      <c r="AR2855" s="76"/>
      <c r="AS2855" s="76"/>
      <c r="AT2855" s="76"/>
      <c r="AU2855" s="76"/>
      <c r="AV2855" s="76"/>
      <c r="AW2855" s="76"/>
      <c r="AX2855" s="76"/>
      <c r="AY2855" s="76"/>
      <c r="AZ2855" s="76"/>
      <c r="BA2855" s="76"/>
      <c r="BB2855" s="76"/>
    </row>
    <row r="2856" spans="5:54" x14ac:dyDescent="0.35">
      <c r="E2856" s="83"/>
      <c r="F2856" s="83"/>
      <c r="G2856" s="76"/>
      <c r="H2856" s="76"/>
      <c r="I2856" s="76"/>
      <c r="J2856" s="76"/>
      <c r="K2856" s="76"/>
      <c r="L2856" s="76"/>
      <c r="M2856" s="76"/>
      <c r="N2856" s="76"/>
      <c r="O2856" s="76"/>
      <c r="P2856" s="76"/>
      <c r="Q2856" s="76"/>
      <c r="R2856" s="76"/>
      <c r="S2856" s="76"/>
      <c r="T2856" s="76"/>
      <c r="U2856" s="76"/>
      <c r="V2856" s="76"/>
      <c r="W2856" s="76"/>
      <c r="X2856" s="76"/>
      <c r="Y2856" s="76"/>
      <c r="Z2856" s="76"/>
      <c r="AA2856" s="76"/>
      <c r="AB2856" s="76"/>
      <c r="AC2856" s="76"/>
      <c r="AD2856" s="76"/>
      <c r="AE2856" s="76"/>
      <c r="AF2856" s="76"/>
      <c r="AG2856" s="76"/>
      <c r="AH2856" s="76"/>
      <c r="AI2856" s="76"/>
      <c r="AJ2856" s="76"/>
      <c r="AK2856" s="76"/>
      <c r="AL2856" s="76"/>
      <c r="AM2856" s="76"/>
      <c r="AN2856" s="76"/>
      <c r="AO2856" s="76"/>
      <c r="AP2856" s="76"/>
      <c r="AQ2856" s="76"/>
      <c r="AR2856" s="76"/>
      <c r="AS2856" s="76"/>
      <c r="AT2856" s="76"/>
      <c r="AU2856" s="76"/>
      <c r="AV2856" s="76"/>
      <c r="AW2856" s="76"/>
      <c r="AX2856" s="76"/>
      <c r="AY2856" s="76"/>
      <c r="AZ2856" s="76"/>
      <c r="BA2856" s="76"/>
      <c r="BB2856" s="76"/>
    </row>
    <row r="2857" spans="5:54" x14ac:dyDescent="0.35">
      <c r="E2857" s="83"/>
      <c r="F2857" s="83"/>
      <c r="G2857" s="76"/>
      <c r="H2857" s="76"/>
      <c r="I2857" s="76"/>
      <c r="J2857" s="76"/>
      <c r="K2857" s="76"/>
      <c r="L2857" s="76"/>
      <c r="M2857" s="76"/>
      <c r="N2857" s="76"/>
      <c r="O2857" s="76"/>
      <c r="P2857" s="76"/>
      <c r="Q2857" s="76"/>
      <c r="R2857" s="76"/>
      <c r="S2857" s="76"/>
      <c r="T2857" s="76"/>
      <c r="U2857" s="76"/>
      <c r="V2857" s="76"/>
      <c r="W2857" s="76"/>
      <c r="X2857" s="76"/>
      <c r="Y2857" s="76"/>
      <c r="Z2857" s="76"/>
      <c r="AA2857" s="76"/>
      <c r="AB2857" s="76"/>
      <c r="AC2857" s="76"/>
      <c r="AD2857" s="76"/>
      <c r="AE2857" s="76"/>
      <c r="AF2857" s="76"/>
      <c r="AG2857" s="76"/>
      <c r="AH2857" s="76"/>
      <c r="AI2857" s="76"/>
      <c r="AJ2857" s="76"/>
      <c r="AK2857" s="76"/>
      <c r="AL2857" s="76"/>
      <c r="AM2857" s="76"/>
      <c r="AN2857" s="76"/>
      <c r="AO2857" s="76"/>
      <c r="AP2857" s="76"/>
      <c r="AQ2857" s="76"/>
      <c r="AR2857" s="76"/>
      <c r="AS2857" s="76"/>
      <c r="AT2857" s="76"/>
      <c r="AU2857" s="76"/>
      <c r="AV2857" s="76"/>
      <c r="AW2857" s="76"/>
      <c r="AX2857" s="76"/>
      <c r="AY2857" s="76"/>
      <c r="AZ2857" s="76"/>
      <c r="BA2857" s="76"/>
      <c r="BB2857" s="76"/>
    </row>
    <row r="2858" spans="5:54" x14ac:dyDescent="0.35">
      <c r="E2858" s="83"/>
      <c r="F2858" s="83"/>
      <c r="G2858" s="76"/>
      <c r="H2858" s="76"/>
      <c r="I2858" s="76"/>
      <c r="J2858" s="76"/>
      <c r="K2858" s="76"/>
      <c r="L2858" s="76"/>
      <c r="M2858" s="76"/>
      <c r="N2858" s="76"/>
      <c r="O2858" s="76"/>
      <c r="P2858" s="76"/>
      <c r="Q2858" s="76"/>
      <c r="R2858" s="76"/>
      <c r="S2858" s="76"/>
      <c r="T2858" s="76"/>
      <c r="U2858" s="76"/>
      <c r="V2858" s="76"/>
      <c r="W2858" s="76"/>
      <c r="X2858" s="76"/>
      <c r="Y2858" s="76"/>
      <c r="Z2858" s="76"/>
      <c r="AA2858" s="76"/>
      <c r="AB2858" s="76"/>
      <c r="AC2858" s="76"/>
      <c r="AD2858" s="76"/>
      <c r="AE2858" s="76"/>
      <c r="AF2858" s="76"/>
      <c r="AG2858" s="76"/>
      <c r="AH2858" s="76"/>
      <c r="AI2858" s="76"/>
      <c r="AJ2858" s="76"/>
      <c r="AK2858" s="76"/>
      <c r="AL2858" s="76"/>
      <c r="AM2858" s="76"/>
      <c r="AN2858" s="76"/>
      <c r="AO2858" s="76"/>
      <c r="AP2858" s="76"/>
      <c r="AQ2858" s="76"/>
      <c r="AR2858" s="76"/>
      <c r="AS2858" s="76"/>
      <c r="AT2858" s="76"/>
      <c r="AU2858" s="76"/>
      <c r="AV2858" s="76"/>
      <c r="AW2858" s="76"/>
      <c r="AX2858" s="76"/>
      <c r="AY2858" s="76"/>
      <c r="AZ2858" s="76"/>
      <c r="BA2858" s="76"/>
      <c r="BB2858" s="76"/>
    </row>
    <row r="2859" spans="5:54" x14ac:dyDescent="0.35">
      <c r="E2859" s="83"/>
      <c r="F2859" s="83"/>
      <c r="G2859" s="76"/>
      <c r="H2859" s="76"/>
      <c r="I2859" s="76"/>
      <c r="J2859" s="76"/>
      <c r="K2859" s="76"/>
      <c r="L2859" s="76"/>
      <c r="M2859" s="76"/>
      <c r="N2859" s="76"/>
      <c r="O2859" s="76"/>
      <c r="P2859" s="76"/>
      <c r="Q2859" s="76"/>
      <c r="R2859" s="76"/>
      <c r="S2859" s="76"/>
      <c r="T2859" s="76"/>
      <c r="U2859" s="76"/>
      <c r="V2859" s="76"/>
      <c r="W2859" s="76"/>
      <c r="X2859" s="76"/>
      <c r="Y2859" s="76"/>
      <c r="Z2859" s="76"/>
      <c r="AA2859" s="76"/>
      <c r="AB2859" s="76"/>
      <c r="AC2859" s="76"/>
      <c r="AD2859" s="76"/>
      <c r="AE2859" s="76"/>
      <c r="AF2859" s="76"/>
      <c r="AG2859" s="76"/>
      <c r="AH2859" s="76"/>
      <c r="AI2859" s="76"/>
      <c r="AJ2859" s="76"/>
      <c r="AK2859" s="76"/>
      <c r="AL2859" s="76"/>
      <c r="AM2859" s="76"/>
      <c r="AN2859" s="76"/>
      <c r="AO2859" s="76"/>
      <c r="AP2859" s="76"/>
      <c r="AQ2859" s="76"/>
      <c r="AR2859" s="76"/>
      <c r="AS2859" s="76"/>
      <c r="AT2859" s="76"/>
      <c r="AU2859" s="76"/>
      <c r="AV2859" s="76"/>
      <c r="AW2859" s="76"/>
      <c r="AX2859" s="76"/>
      <c r="AY2859" s="76"/>
      <c r="AZ2859" s="76"/>
      <c r="BA2859" s="76"/>
      <c r="BB2859" s="76"/>
    </row>
    <row r="2860" spans="5:54" x14ac:dyDescent="0.35">
      <c r="E2860" s="83"/>
      <c r="F2860" s="83"/>
      <c r="G2860" s="76"/>
      <c r="H2860" s="76"/>
      <c r="I2860" s="76"/>
      <c r="J2860" s="76"/>
      <c r="K2860" s="76"/>
      <c r="L2860" s="76"/>
      <c r="M2860" s="76"/>
      <c r="N2860" s="76"/>
      <c r="O2860" s="76"/>
      <c r="P2860" s="76"/>
      <c r="Q2860" s="76"/>
      <c r="R2860" s="76"/>
      <c r="S2860" s="76"/>
      <c r="T2860" s="76"/>
      <c r="U2860" s="76"/>
      <c r="V2860" s="76"/>
      <c r="W2860" s="76"/>
      <c r="X2860" s="76"/>
      <c r="Y2860" s="76"/>
      <c r="Z2860" s="76"/>
      <c r="AA2860" s="76"/>
      <c r="AB2860" s="76"/>
      <c r="AC2860" s="76"/>
      <c r="AD2860" s="76"/>
      <c r="AE2860" s="76"/>
      <c r="AF2860" s="76"/>
      <c r="AG2860" s="76"/>
      <c r="AH2860" s="76"/>
      <c r="AI2860" s="76"/>
      <c r="AJ2860" s="76"/>
      <c r="AK2860" s="76"/>
      <c r="AL2860" s="76"/>
      <c r="AM2860" s="76"/>
      <c r="AN2860" s="76"/>
      <c r="AO2860" s="76"/>
      <c r="AP2860" s="76"/>
      <c r="AQ2860" s="76"/>
      <c r="AR2860" s="76"/>
      <c r="AS2860" s="76"/>
      <c r="AT2860" s="76"/>
      <c r="AU2860" s="76"/>
      <c r="AV2860" s="76"/>
      <c r="AW2860" s="76"/>
      <c r="AX2860" s="76"/>
      <c r="AY2860" s="76"/>
      <c r="AZ2860" s="76"/>
      <c r="BA2860" s="76"/>
      <c r="BB2860" s="76"/>
    </row>
    <row r="2861" spans="5:54" x14ac:dyDescent="0.35">
      <c r="E2861" s="83"/>
      <c r="F2861" s="83"/>
      <c r="G2861" s="76"/>
      <c r="H2861" s="76"/>
      <c r="I2861" s="76"/>
      <c r="J2861" s="76"/>
      <c r="K2861" s="76"/>
      <c r="L2861" s="76"/>
      <c r="M2861" s="76"/>
      <c r="N2861" s="76"/>
      <c r="O2861" s="76"/>
      <c r="P2861" s="76"/>
      <c r="Q2861" s="76"/>
      <c r="R2861" s="76"/>
      <c r="S2861" s="76"/>
      <c r="T2861" s="76"/>
      <c r="U2861" s="76"/>
      <c r="V2861" s="76"/>
      <c r="W2861" s="76"/>
      <c r="X2861" s="76"/>
      <c r="Y2861" s="76"/>
      <c r="Z2861" s="76"/>
      <c r="AA2861" s="76"/>
      <c r="AB2861" s="76"/>
      <c r="AC2861" s="76"/>
      <c r="AD2861" s="76"/>
      <c r="AE2861" s="76"/>
      <c r="AF2861" s="76"/>
      <c r="AG2861" s="76"/>
      <c r="AH2861" s="76"/>
      <c r="AI2861" s="76"/>
      <c r="AJ2861" s="76"/>
      <c r="AK2861" s="76"/>
      <c r="AL2861" s="76"/>
      <c r="AM2861" s="76"/>
      <c r="AN2861" s="76"/>
      <c r="AO2861" s="76"/>
      <c r="AP2861" s="76"/>
      <c r="AQ2861" s="76"/>
      <c r="AR2861" s="76"/>
      <c r="AS2861" s="76"/>
      <c r="AT2861" s="76"/>
      <c r="AU2861" s="76"/>
      <c r="AV2861" s="76"/>
      <c r="AW2861" s="76"/>
      <c r="AX2861" s="76"/>
      <c r="AY2861" s="76"/>
      <c r="AZ2861" s="76"/>
      <c r="BA2861" s="76"/>
      <c r="BB2861" s="76"/>
    </row>
    <row r="2862" spans="5:54" x14ac:dyDescent="0.35">
      <c r="E2862" s="83"/>
      <c r="F2862" s="83"/>
      <c r="G2862" s="76"/>
      <c r="H2862" s="76"/>
      <c r="I2862" s="76"/>
      <c r="J2862" s="76"/>
      <c r="K2862" s="76"/>
      <c r="L2862" s="76"/>
      <c r="M2862" s="76"/>
      <c r="N2862" s="76"/>
      <c r="O2862" s="76"/>
      <c r="P2862" s="76"/>
      <c r="Q2862" s="76"/>
      <c r="R2862" s="76"/>
      <c r="S2862" s="76"/>
      <c r="T2862" s="76"/>
      <c r="U2862" s="76"/>
      <c r="V2862" s="76"/>
      <c r="W2862" s="76"/>
      <c r="X2862" s="76"/>
      <c r="Y2862" s="76"/>
      <c r="Z2862" s="76"/>
      <c r="AA2862" s="76"/>
      <c r="AB2862" s="76"/>
      <c r="AC2862" s="76"/>
      <c r="AD2862" s="76"/>
      <c r="AE2862" s="76"/>
      <c r="AF2862" s="76"/>
      <c r="AG2862" s="76"/>
      <c r="AH2862" s="76"/>
      <c r="AI2862" s="76"/>
      <c r="AJ2862" s="76"/>
      <c r="AK2862" s="76"/>
      <c r="AL2862" s="76"/>
      <c r="AM2862" s="76"/>
      <c r="AN2862" s="76"/>
      <c r="AO2862" s="76"/>
      <c r="AP2862" s="76"/>
      <c r="AQ2862" s="76"/>
      <c r="AR2862" s="76"/>
      <c r="AS2862" s="76"/>
      <c r="AT2862" s="76"/>
      <c r="AU2862" s="76"/>
      <c r="AV2862" s="76"/>
      <c r="AW2862" s="76"/>
      <c r="AX2862" s="76"/>
      <c r="AY2862" s="76"/>
      <c r="AZ2862" s="76"/>
      <c r="BA2862" s="76"/>
      <c r="BB2862" s="76"/>
    </row>
    <row r="2863" spans="5:54" x14ac:dyDescent="0.35">
      <c r="E2863" s="83"/>
      <c r="F2863" s="83"/>
      <c r="G2863" s="76"/>
      <c r="H2863" s="76"/>
      <c r="I2863" s="76"/>
      <c r="J2863" s="76"/>
      <c r="K2863" s="76"/>
      <c r="L2863" s="76"/>
      <c r="M2863" s="76"/>
      <c r="N2863" s="76"/>
      <c r="O2863" s="76"/>
      <c r="P2863" s="76"/>
      <c r="Q2863" s="76"/>
      <c r="R2863" s="76"/>
      <c r="S2863" s="76"/>
      <c r="T2863" s="76"/>
      <c r="U2863" s="76"/>
      <c r="V2863" s="76"/>
      <c r="W2863" s="76"/>
      <c r="X2863" s="76"/>
      <c r="Y2863" s="76"/>
      <c r="Z2863" s="76"/>
      <c r="AA2863" s="76"/>
      <c r="AB2863" s="76"/>
      <c r="AC2863" s="76"/>
      <c r="AD2863" s="76"/>
      <c r="AE2863" s="76"/>
      <c r="AF2863" s="76"/>
      <c r="AG2863" s="76"/>
      <c r="AH2863" s="76"/>
      <c r="AI2863" s="76"/>
      <c r="AJ2863" s="76"/>
      <c r="AK2863" s="76"/>
      <c r="AL2863" s="76"/>
      <c r="AM2863" s="76"/>
      <c r="AN2863" s="76"/>
      <c r="AO2863" s="76"/>
      <c r="AP2863" s="76"/>
      <c r="AQ2863" s="76"/>
      <c r="AR2863" s="76"/>
      <c r="AS2863" s="76"/>
      <c r="AT2863" s="76"/>
      <c r="AU2863" s="76"/>
      <c r="AV2863" s="76"/>
      <c r="AW2863" s="76"/>
      <c r="AX2863" s="76"/>
      <c r="AY2863" s="76"/>
      <c r="AZ2863" s="76"/>
      <c r="BA2863" s="76"/>
      <c r="BB2863" s="76"/>
    </row>
    <row r="2864" spans="5:54" x14ac:dyDescent="0.35">
      <c r="E2864" s="83"/>
      <c r="F2864" s="83"/>
      <c r="G2864" s="76"/>
      <c r="H2864" s="76"/>
      <c r="I2864" s="76"/>
      <c r="J2864" s="76"/>
      <c r="K2864" s="76"/>
      <c r="L2864" s="76"/>
      <c r="M2864" s="76"/>
      <c r="N2864" s="76"/>
      <c r="O2864" s="76"/>
      <c r="P2864" s="76"/>
      <c r="Q2864" s="76"/>
      <c r="R2864" s="76"/>
      <c r="S2864" s="76"/>
      <c r="T2864" s="76"/>
      <c r="U2864" s="76"/>
      <c r="V2864" s="76"/>
      <c r="W2864" s="76"/>
      <c r="X2864" s="76"/>
      <c r="Y2864" s="76"/>
      <c r="Z2864" s="76"/>
      <c r="AA2864" s="76"/>
      <c r="AB2864" s="76"/>
      <c r="AC2864" s="76"/>
      <c r="AD2864" s="76"/>
      <c r="AE2864" s="76"/>
      <c r="AF2864" s="76"/>
      <c r="AG2864" s="76"/>
      <c r="AH2864" s="76"/>
      <c r="AI2864" s="76"/>
      <c r="AJ2864" s="76"/>
      <c r="AK2864" s="76"/>
      <c r="AL2864" s="76"/>
      <c r="AM2864" s="76"/>
      <c r="AN2864" s="76"/>
      <c r="AO2864" s="76"/>
      <c r="AP2864" s="76"/>
      <c r="AQ2864" s="76"/>
      <c r="AR2864" s="76"/>
      <c r="AS2864" s="76"/>
      <c r="AT2864" s="76"/>
      <c r="AU2864" s="76"/>
      <c r="AV2864" s="76"/>
      <c r="AW2864" s="76"/>
      <c r="AX2864" s="76"/>
      <c r="AY2864" s="76"/>
      <c r="AZ2864" s="76"/>
      <c r="BA2864" s="76"/>
      <c r="BB2864" s="76"/>
    </row>
    <row r="2865" spans="5:54" x14ac:dyDescent="0.35">
      <c r="E2865" s="83"/>
      <c r="F2865" s="83"/>
      <c r="G2865" s="76"/>
      <c r="H2865" s="76"/>
      <c r="I2865" s="76"/>
      <c r="J2865" s="76"/>
      <c r="K2865" s="76"/>
      <c r="L2865" s="76"/>
      <c r="M2865" s="76"/>
      <c r="N2865" s="76"/>
      <c r="O2865" s="76"/>
      <c r="P2865" s="76"/>
      <c r="Q2865" s="76"/>
      <c r="R2865" s="76"/>
      <c r="S2865" s="76"/>
      <c r="T2865" s="76"/>
      <c r="U2865" s="76"/>
      <c r="V2865" s="76"/>
      <c r="W2865" s="76"/>
      <c r="X2865" s="76"/>
      <c r="Y2865" s="76"/>
      <c r="Z2865" s="76"/>
      <c r="AA2865" s="76"/>
      <c r="AB2865" s="76"/>
      <c r="AC2865" s="76"/>
      <c r="AD2865" s="76"/>
      <c r="AE2865" s="76"/>
      <c r="AF2865" s="76"/>
      <c r="AG2865" s="76"/>
      <c r="AH2865" s="76"/>
      <c r="AI2865" s="76"/>
      <c r="AJ2865" s="76"/>
      <c r="AK2865" s="76"/>
      <c r="AL2865" s="76"/>
      <c r="AM2865" s="76"/>
      <c r="AN2865" s="76"/>
      <c r="AO2865" s="76"/>
      <c r="AP2865" s="76"/>
      <c r="AQ2865" s="76"/>
      <c r="AR2865" s="76"/>
      <c r="AS2865" s="76"/>
      <c r="AT2865" s="76"/>
      <c r="AU2865" s="76"/>
      <c r="AV2865" s="76"/>
      <c r="AW2865" s="76"/>
      <c r="AX2865" s="76"/>
      <c r="AY2865" s="76"/>
      <c r="AZ2865" s="76"/>
      <c r="BA2865" s="76"/>
      <c r="BB2865" s="76"/>
    </row>
    <row r="2866" spans="5:54" x14ac:dyDescent="0.35">
      <c r="E2866" s="83"/>
      <c r="F2866" s="83"/>
      <c r="G2866" s="76"/>
      <c r="H2866" s="76"/>
      <c r="I2866" s="76"/>
      <c r="J2866" s="76"/>
      <c r="K2866" s="76"/>
      <c r="L2866" s="76"/>
      <c r="M2866" s="76"/>
      <c r="N2866" s="76"/>
      <c r="O2866" s="76"/>
      <c r="P2866" s="76"/>
      <c r="Q2866" s="76"/>
      <c r="R2866" s="76"/>
      <c r="S2866" s="76"/>
      <c r="T2866" s="76"/>
      <c r="U2866" s="76"/>
      <c r="V2866" s="76"/>
      <c r="W2866" s="76"/>
      <c r="X2866" s="76"/>
      <c r="Y2866" s="76"/>
      <c r="Z2866" s="76"/>
      <c r="AA2866" s="76"/>
      <c r="AB2866" s="76"/>
      <c r="AC2866" s="76"/>
      <c r="AD2866" s="76"/>
      <c r="AE2866" s="76"/>
      <c r="AF2866" s="76"/>
      <c r="AG2866" s="76"/>
      <c r="AH2866" s="76"/>
      <c r="AI2866" s="76"/>
      <c r="AJ2866" s="76"/>
      <c r="AK2866" s="76"/>
      <c r="AL2866" s="76"/>
      <c r="AM2866" s="76"/>
      <c r="AN2866" s="76"/>
      <c r="AO2866" s="76"/>
      <c r="AP2866" s="76"/>
      <c r="AQ2866" s="76"/>
      <c r="AR2866" s="76"/>
      <c r="AS2866" s="76"/>
      <c r="AT2866" s="76"/>
      <c r="AU2866" s="76"/>
      <c r="AV2866" s="76"/>
      <c r="AW2866" s="76"/>
      <c r="AX2866" s="76"/>
      <c r="AY2866" s="76"/>
      <c r="AZ2866" s="76"/>
      <c r="BA2866" s="76"/>
      <c r="BB2866" s="76"/>
    </row>
    <row r="2867" spans="5:54" x14ac:dyDescent="0.35">
      <c r="E2867" s="83"/>
      <c r="F2867" s="83"/>
      <c r="G2867" s="76"/>
      <c r="H2867" s="76"/>
      <c r="I2867" s="76"/>
      <c r="J2867" s="76"/>
      <c r="K2867" s="76"/>
      <c r="L2867" s="76"/>
      <c r="M2867" s="76"/>
      <c r="N2867" s="76"/>
      <c r="O2867" s="76"/>
      <c r="P2867" s="76"/>
      <c r="Q2867" s="76"/>
      <c r="R2867" s="76"/>
      <c r="S2867" s="76"/>
      <c r="T2867" s="76"/>
      <c r="U2867" s="76"/>
      <c r="V2867" s="76"/>
      <c r="W2867" s="76"/>
      <c r="X2867" s="76"/>
      <c r="Y2867" s="76"/>
      <c r="Z2867" s="76"/>
      <c r="AA2867" s="76"/>
      <c r="AB2867" s="76"/>
      <c r="AC2867" s="76"/>
      <c r="AD2867" s="76"/>
      <c r="AE2867" s="76"/>
      <c r="AF2867" s="76"/>
      <c r="AG2867" s="76"/>
      <c r="AH2867" s="76"/>
      <c r="AI2867" s="76"/>
      <c r="AJ2867" s="76"/>
      <c r="AK2867" s="76"/>
      <c r="AL2867" s="76"/>
      <c r="AM2867" s="76"/>
      <c r="AN2867" s="76"/>
      <c r="AO2867" s="76"/>
      <c r="AP2867" s="76"/>
      <c r="AQ2867" s="76"/>
      <c r="AR2867" s="76"/>
      <c r="AS2867" s="76"/>
      <c r="AT2867" s="76"/>
      <c r="AU2867" s="76"/>
      <c r="AV2867" s="76"/>
      <c r="AW2867" s="76"/>
      <c r="AX2867" s="76"/>
      <c r="AY2867" s="76"/>
      <c r="AZ2867" s="76"/>
      <c r="BA2867" s="76"/>
      <c r="BB2867" s="76"/>
    </row>
    <row r="2868" spans="5:54" x14ac:dyDescent="0.35">
      <c r="E2868" s="83"/>
      <c r="F2868" s="83"/>
      <c r="G2868" s="76"/>
      <c r="H2868" s="76"/>
      <c r="I2868" s="76"/>
      <c r="J2868" s="76"/>
      <c r="K2868" s="76"/>
      <c r="L2868" s="76"/>
      <c r="M2868" s="76"/>
      <c r="N2868" s="76"/>
      <c r="O2868" s="76"/>
      <c r="P2868" s="76"/>
      <c r="Q2868" s="76"/>
      <c r="R2868" s="76"/>
      <c r="S2868" s="76"/>
      <c r="T2868" s="76"/>
      <c r="U2868" s="76"/>
      <c r="V2868" s="76"/>
      <c r="W2868" s="76"/>
      <c r="X2868" s="76"/>
      <c r="Y2868" s="76"/>
      <c r="Z2868" s="76"/>
      <c r="AA2868" s="76"/>
      <c r="AB2868" s="76"/>
      <c r="AC2868" s="76"/>
      <c r="AD2868" s="76"/>
      <c r="AE2868" s="76"/>
      <c r="AF2868" s="76"/>
      <c r="AG2868" s="76"/>
      <c r="AH2868" s="76"/>
      <c r="AI2868" s="76"/>
      <c r="AJ2868" s="76"/>
      <c r="AK2868" s="76"/>
      <c r="AL2868" s="76"/>
      <c r="AM2868" s="76"/>
      <c r="AN2868" s="76"/>
      <c r="AO2868" s="76"/>
      <c r="AP2868" s="76"/>
      <c r="AQ2868" s="76"/>
      <c r="AR2868" s="76"/>
      <c r="AS2868" s="76"/>
      <c r="AT2868" s="76"/>
      <c r="AU2868" s="76"/>
      <c r="AV2868" s="76"/>
      <c r="AW2868" s="76"/>
      <c r="AX2868" s="76"/>
      <c r="AY2868" s="76"/>
      <c r="AZ2868" s="76"/>
      <c r="BA2868" s="76"/>
      <c r="BB2868" s="76"/>
    </row>
    <row r="2869" spans="5:54" x14ac:dyDescent="0.35">
      <c r="E2869" s="83"/>
      <c r="F2869" s="83"/>
      <c r="G2869" s="76"/>
      <c r="H2869" s="76"/>
      <c r="I2869" s="76"/>
      <c r="J2869" s="76"/>
      <c r="K2869" s="76"/>
      <c r="L2869" s="76"/>
      <c r="M2869" s="76"/>
      <c r="N2869" s="76"/>
      <c r="O2869" s="76"/>
      <c r="P2869" s="76"/>
      <c r="Q2869" s="76"/>
      <c r="R2869" s="76"/>
      <c r="S2869" s="76"/>
      <c r="T2869" s="76"/>
      <c r="U2869" s="76"/>
      <c r="V2869" s="76"/>
      <c r="W2869" s="76"/>
      <c r="X2869" s="76"/>
      <c r="Y2869" s="76"/>
      <c r="Z2869" s="76"/>
      <c r="AA2869" s="76"/>
      <c r="AB2869" s="76"/>
      <c r="AC2869" s="76"/>
      <c r="AD2869" s="76"/>
      <c r="AE2869" s="76"/>
      <c r="AF2869" s="76"/>
      <c r="AG2869" s="76"/>
      <c r="AH2869" s="76"/>
      <c r="AI2869" s="76"/>
      <c r="AJ2869" s="76"/>
      <c r="AK2869" s="76"/>
      <c r="AL2869" s="76"/>
      <c r="AM2869" s="76"/>
      <c r="AN2869" s="76"/>
      <c r="AO2869" s="76"/>
      <c r="AP2869" s="76"/>
      <c r="AQ2869" s="76"/>
      <c r="AR2869" s="76"/>
      <c r="AS2869" s="76"/>
      <c r="AT2869" s="76"/>
      <c r="AU2869" s="76"/>
      <c r="AV2869" s="76"/>
      <c r="AW2869" s="76"/>
      <c r="AX2869" s="76"/>
      <c r="AY2869" s="76"/>
      <c r="AZ2869" s="76"/>
      <c r="BA2869" s="76"/>
      <c r="BB2869" s="76"/>
    </row>
    <row r="2870" spans="5:54" x14ac:dyDescent="0.35">
      <c r="E2870" s="83"/>
      <c r="F2870" s="83"/>
      <c r="G2870" s="76"/>
      <c r="H2870" s="76"/>
      <c r="I2870" s="76"/>
      <c r="J2870" s="76"/>
      <c r="K2870" s="76"/>
      <c r="L2870" s="76"/>
      <c r="M2870" s="76"/>
      <c r="N2870" s="76"/>
      <c r="O2870" s="76"/>
      <c r="P2870" s="76"/>
      <c r="Q2870" s="76"/>
      <c r="R2870" s="76"/>
      <c r="S2870" s="76"/>
      <c r="T2870" s="76"/>
      <c r="U2870" s="76"/>
      <c r="V2870" s="76"/>
      <c r="W2870" s="76"/>
      <c r="X2870" s="76"/>
      <c r="Y2870" s="76"/>
      <c r="Z2870" s="76"/>
      <c r="AA2870" s="76"/>
      <c r="AB2870" s="76"/>
      <c r="AC2870" s="76"/>
      <c r="AD2870" s="76"/>
      <c r="AE2870" s="76"/>
      <c r="AF2870" s="76"/>
      <c r="AG2870" s="76"/>
      <c r="AH2870" s="76"/>
      <c r="AI2870" s="76"/>
      <c r="AJ2870" s="76"/>
      <c r="AK2870" s="76"/>
      <c r="AL2870" s="76"/>
      <c r="AM2870" s="76"/>
      <c r="AN2870" s="76"/>
      <c r="AO2870" s="76"/>
      <c r="AP2870" s="76"/>
      <c r="AQ2870" s="76"/>
      <c r="AR2870" s="76"/>
      <c r="AS2870" s="76"/>
      <c r="AT2870" s="76"/>
      <c r="AU2870" s="76"/>
      <c r="AV2870" s="76"/>
      <c r="AW2870" s="76"/>
      <c r="AX2870" s="76"/>
      <c r="AY2870" s="76"/>
      <c r="AZ2870" s="76"/>
      <c r="BA2870" s="76"/>
      <c r="BB2870" s="76"/>
    </row>
    <row r="2871" spans="5:54" x14ac:dyDescent="0.35">
      <c r="E2871" s="83"/>
      <c r="F2871" s="83"/>
      <c r="G2871" s="76"/>
      <c r="H2871" s="76"/>
      <c r="I2871" s="76"/>
      <c r="J2871" s="76"/>
      <c r="K2871" s="76"/>
      <c r="L2871" s="76"/>
      <c r="M2871" s="76"/>
      <c r="N2871" s="76"/>
      <c r="O2871" s="76"/>
      <c r="P2871" s="76"/>
      <c r="Q2871" s="76"/>
      <c r="R2871" s="76"/>
      <c r="S2871" s="76"/>
      <c r="T2871" s="76"/>
      <c r="U2871" s="76"/>
      <c r="V2871" s="76"/>
      <c r="W2871" s="76"/>
      <c r="X2871" s="76"/>
      <c r="Y2871" s="76"/>
      <c r="Z2871" s="76"/>
      <c r="AA2871" s="76"/>
      <c r="AB2871" s="76"/>
      <c r="AC2871" s="76"/>
      <c r="AD2871" s="76"/>
      <c r="AE2871" s="76"/>
      <c r="AF2871" s="76"/>
      <c r="AG2871" s="76"/>
      <c r="AH2871" s="76"/>
      <c r="AI2871" s="76"/>
      <c r="AJ2871" s="76"/>
      <c r="AK2871" s="76"/>
      <c r="AL2871" s="76"/>
      <c r="AM2871" s="76"/>
      <c r="AN2871" s="76"/>
      <c r="AO2871" s="76"/>
      <c r="AP2871" s="76"/>
      <c r="AQ2871" s="76"/>
      <c r="AR2871" s="76"/>
      <c r="AS2871" s="76"/>
      <c r="AT2871" s="76"/>
      <c r="AU2871" s="76"/>
      <c r="AV2871" s="76"/>
      <c r="AW2871" s="76"/>
      <c r="AX2871" s="76"/>
      <c r="AY2871" s="76"/>
      <c r="AZ2871" s="76"/>
      <c r="BA2871" s="76"/>
      <c r="BB2871" s="76"/>
    </row>
    <row r="2872" spans="5:54" x14ac:dyDescent="0.35">
      <c r="E2872" s="83"/>
      <c r="F2872" s="83"/>
      <c r="G2872" s="76"/>
      <c r="H2872" s="76"/>
      <c r="I2872" s="76"/>
      <c r="J2872" s="76"/>
      <c r="K2872" s="76"/>
      <c r="L2872" s="76"/>
      <c r="M2872" s="76"/>
      <c r="N2872" s="76"/>
      <c r="O2872" s="76"/>
      <c r="P2872" s="76"/>
      <c r="Q2872" s="76"/>
      <c r="R2872" s="76"/>
      <c r="S2872" s="76"/>
      <c r="T2872" s="76"/>
      <c r="U2872" s="76"/>
      <c r="V2872" s="76"/>
      <c r="W2872" s="76"/>
      <c r="X2872" s="76"/>
      <c r="Y2872" s="76"/>
      <c r="Z2872" s="76"/>
      <c r="AA2872" s="76"/>
      <c r="AB2872" s="76"/>
      <c r="AC2872" s="76"/>
      <c r="AD2872" s="76"/>
      <c r="AE2872" s="76"/>
      <c r="AF2872" s="76"/>
      <c r="AG2872" s="76"/>
      <c r="AH2872" s="76"/>
      <c r="AI2872" s="76"/>
      <c r="AJ2872" s="76"/>
      <c r="AK2872" s="76"/>
      <c r="AL2872" s="76"/>
      <c r="AM2872" s="76"/>
      <c r="AN2872" s="76"/>
      <c r="AO2872" s="76"/>
      <c r="AP2872" s="76"/>
      <c r="AQ2872" s="76"/>
      <c r="AR2872" s="76"/>
      <c r="AS2872" s="76"/>
      <c r="AT2872" s="76"/>
      <c r="AU2872" s="76"/>
      <c r="AV2872" s="76"/>
      <c r="AW2872" s="76"/>
      <c r="AX2872" s="76"/>
      <c r="AY2872" s="76"/>
      <c r="AZ2872" s="76"/>
      <c r="BA2872" s="76"/>
      <c r="BB2872" s="76"/>
    </row>
    <row r="2873" spans="5:54" x14ac:dyDescent="0.35">
      <c r="E2873" s="83"/>
      <c r="F2873" s="83"/>
      <c r="G2873" s="76"/>
      <c r="H2873" s="76"/>
      <c r="I2873" s="76"/>
      <c r="J2873" s="76"/>
      <c r="K2873" s="76"/>
      <c r="L2873" s="76"/>
      <c r="M2873" s="76"/>
      <c r="N2873" s="76"/>
      <c r="O2873" s="76"/>
      <c r="P2873" s="76"/>
      <c r="Q2873" s="76"/>
      <c r="R2873" s="76"/>
      <c r="S2873" s="76"/>
      <c r="T2873" s="76"/>
      <c r="U2873" s="76"/>
      <c r="V2873" s="76"/>
      <c r="W2873" s="76"/>
      <c r="X2873" s="76"/>
      <c r="Y2873" s="76"/>
      <c r="Z2873" s="76"/>
      <c r="AA2873" s="76"/>
      <c r="AB2873" s="76"/>
      <c r="AC2873" s="76"/>
      <c r="AD2873" s="76"/>
      <c r="AE2873" s="76"/>
      <c r="AF2873" s="76"/>
      <c r="AG2873" s="76"/>
      <c r="AH2873" s="76"/>
      <c r="AI2873" s="76"/>
      <c r="AJ2873" s="76"/>
      <c r="AK2873" s="76"/>
      <c r="AL2873" s="76"/>
      <c r="AM2873" s="76"/>
      <c r="AN2873" s="76"/>
      <c r="AO2873" s="76"/>
      <c r="AP2873" s="76"/>
      <c r="AQ2873" s="76"/>
      <c r="AR2873" s="76"/>
      <c r="AS2873" s="76"/>
      <c r="AT2873" s="76"/>
      <c r="AU2873" s="76"/>
      <c r="AV2873" s="76"/>
      <c r="AW2873" s="76"/>
      <c r="AX2873" s="76"/>
      <c r="AY2873" s="76"/>
      <c r="AZ2873" s="76"/>
      <c r="BA2873" s="76"/>
      <c r="BB2873" s="76"/>
    </row>
    <row r="2874" spans="5:54" x14ac:dyDescent="0.35">
      <c r="E2874" s="83"/>
      <c r="F2874" s="83"/>
      <c r="G2874" s="76"/>
      <c r="H2874" s="76"/>
      <c r="I2874" s="76"/>
      <c r="J2874" s="76"/>
      <c r="K2874" s="76"/>
      <c r="L2874" s="76"/>
      <c r="M2874" s="76"/>
      <c r="N2874" s="76"/>
      <c r="O2874" s="76"/>
      <c r="P2874" s="76"/>
      <c r="Q2874" s="76"/>
      <c r="R2874" s="76"/>
      <c r="S2874" s="76"/>
      <c r="T2874" s="76"/>
      <c r="U2874" s="76"/>
      <c r="V2874" s="76"/>
      <c r="W2874" s="76"/>
      <c r="X2874" s="76"/>
      <c r="Y2874" s="76"/>
      <c r="Z2874" s="76"/>
      <c r="AA2874" s="76"/>
      <c r="AB2874" s="76"/>
      <c r="AC2874" s="76"/>
      <c r="AD2874" s="76"/>
      <c r="AE2874" s="76"/>
      <c r="AF2874" s="76"/>
      <c r="AG2874" s="76"/>
      <c r="AH2874" s="76"/>
      <c r="AI2874" s="76"/>
      <c r="AJ2874" s="76"/>
      <c r="AK2874" s="76"/>
      <c r="AL2874" s="76"/>
      <c r="AM2874" s="76"/>
      <c r="AN2874" s="76"/>
      <c r="AO2874" s="76"/>
      <c r="AP2874" s="76"/>
      <c r="AQ2874" s="76"/>
      <c r="AR2874" s="76"/>
      <c r="AS2874" s="76"/>
      <c r="AT2874" s="76"/>
      <c r="AU2874" s="76"/>
      <c r="AV2874" s="76"/>
      <c r="AW2874" s="76"/>
      <c r="AX2874" s="76"/>
      <c r="AY2874" s="76"/>
      <c r="AZ2874" s="76"/>
      <c r="BA2874" s="76"/>
      <c r="BB2874" s="76"/>
    </row>
    <row r="2875" spans="5:54" x14ac:dyDescent="0.35">
      <c r="E2875" s="83"/>
      <c r="F2875" s="83"/>
      <c r="G2875" s="76"/>
      <c r="H2875" s="76"/>
      <c r="I2875" s="76"/>
      <c r="J2875" s="76"/>
      <c r="K2875" s="76"/>
      <c r="L2875" s="76"/>
      <c r="M2875" s="76"/>
      <c r="N2875" s="76"/>
      <c r="O2875" s="76"/>
      <c r="P2875" s="76"/>
      <c r="Q2875" s="76"/>
      <c r="R2875" s="76"/>
      <c r="S2875" s="76"/>
      <c r="T2875" s="76"/>
      <c r="U2875" s="76"/>
      <c r="V2875" s="76"/>
      <c r="W2875" s="76"/>
      <c r="X2875" s="76"/>
      <c r="Y2875" s="76"/>
      <c r="Z2875" s="76"/>
      <c r="AA2875" s="76"/>
      <c r="AB2875" s="76"/>
      <c r="AC2875" s="76"/>
      <c r="AD2875" s="76"/>
      <c r="AE2875" s="76"/>
      <c r="AF2875" s="76"/>
      <c r="AG2875" s="76"/>
      <c r="AH2875" s="76"/>
      <c r="AI2875" s="76"/>
      <c r="AJ2875" s="76"/>
      <c r="AK2875" s="76"/>
      <c r="AL2875" s="76"/>
      <c r="AM2875" s="76"/>
      <c r="AN2875" s="76"/>
      <c r="AO2875" s="76"/>
      <c r="AP2875" s="76"/>
      <c r="AQ2875" s="76"/>
      <c r="AR2875" s="76"/>
      <c r="AS2875" s="76"/>
      <c r="AT2875" s="76"/>
      <c r="AU2875" s="76"/>
      <c r="AV2875" s="76"/>
      <c r="AW2875" s="76"/>
      <c r="AX2875" s="76"/>
      <c r="AY2875" s="76"/>
      <c r="AZ2875" s="76"/>
      <c r="BA2875" s="76"/>
      <c r="BB2875" s="76"/>
    </row>
    <row r="2876" spans="5:54" x14ac:dyDescent="0.35">
      <c r="E2876" s="83"/>
      <c r="F2876" s="83"/>
      <c r="G2876" s="76"/>
      <c r="H2876" s="76"/>
      <c r="I2876" s="76"/>
      <c r="J2876" s="76"/>
      <c r="K2876" s="76"/>
      <c r="L2876" s="76"/>
      <c r="M2876" s="76"/>
      <c r="N2876" s="76"/>
      <c r="O2876" s="76"/>
      <c r="P2876" s="76"/>
      <c r="Q2876" s="76"/>
      <c r="R2876" s="76"/>
      <c r="S2876" s="76"/>
      <c r="T2876" s="76"/>
      <c r="U2876" s="76"/>
      <c r="V2876" s="76"/>
      <c r="W2876" s="76"/>
      <c r="X2876" s="76"/>
      <c r="Y2876" s="76"/>
      <c r="Z2876" s="76"/>
      <c r="AA2876" s="76"/>
      <c r="AB2876" s="76"/>
      <c r="AC2876" s="76"/>
      <c r="AD2876" s="76"/>
      <c r="AE2876" s="76"/>
      <c r="AF2876" s="76"/>
      <c r="AG2876" s="76"/>
      <c r="AH2876" s="76"/>
      <c r="AI2876" s="76"/>
      <c r="AJ2876" s="76"/>
      <c r="AK2876" s="76"/>
      <c r="AL2876" s="76"/>
      <c r="AM2876" s="76"/>
      <c r="AN2876" s="76"/>
      <c r="AO2876" s="76"/>
      <c r="AP2876" s="76"/>
      <c r="AQ2876" s="76"/>
      <c r="AR2876" s="76"/>
      <c r="AS2876" s="76"/>
      <c r="AT2876" s="76"/>
      <c r="AU2876" s="76"/>
      <c r="AV2876" s="76"/>
      <c r="AW2876" s="76"/>
      <c r="AX2876" s="76"/>
      <c r="AY2876" s="76"/>
      <c r="AZ2876" s="76"/>
      <c r="BA2876" s="76"/>
      <c r="BB2876" s="76"/>
    </row>
    <row r="2877" spans="5:54" x14ac:dyDescent="0.35">
      <c r="E2877" s="83"/>
      <c r="F2877" s="83"/>
      <c r="G2877" s="76"/>
      <c r="H2877" s="76"/>
      <c r="I2877" s="76"/>
      <c r="J2877" s="76"/>
      <c r="K2877" s="76"/>
      <c r="L2877" s="76"/>
      <c r="M2877" s="76"/>
      <c r="N2877" s="76"/>
      <c r="O2877" s="76"/>
      <c r="P2877" s="76"/>
      <c r="Q2877" s="76"/>
      <c r="R2877" s="76"/>
      <c r="S2877" s="76"/>
      <c r="T2877" s="76"/>
      <c r="U2877" s="76"/>
      <c r="V2877" s="76"/>
      <c r="W2877" s="76"/>
      <c r="X2877" s="76"/>
      <c r="Y2877" s="76"/>
      <c r="Z2877" s="76"/>
      <c r="AA2877" s="76"/>
      <c r="AB2877" s="76"/>
      <c r="AC2877" s="76"/>
      <c r="AD2877" s="76"/>
      <c r="AE2877" s="76"/>
      <c r="AF2877" s="76"/>
      <c r="AG2877" s="76"/>
      <c r="AH2877" s="76"/>
      <c r="AI2877" s="76"/>
      <c r="AJ2877" s="76"/>
      <c r="AK2877" s="76"/>
      <c r="AL2877" s="76"/>
      <c r="AM2877" s="76"/>
      <c r="AN2877" s="76"/>
      <c r="AO2877" s="76"/>
      <c r="AP2877" s="76"/>
      <c r="AQ2877" s="76"/>
      <c r="AR2877" s="76"/>
      <c r="AS2877" s="76"/>
      <c r="AT2877" s="76"/>
      <c r="AU2877" s="76"/>
      <c r="AV2877" s="76"/>
      <c r="AW2877" s="76"/>
      <c r="AX2877" s="76"/>
      <c r="AY2877" s="76"/>
      <c r="AZ2877" s="76"/>
      <c r="BA2877" s="76"/>
      <c r="BB2877" s="76"/>
    </row>
    <row r="2878" spans="5:54" x14ac:dyDescent="0.35">
      <c r="E2878" s="83"/>
      <c r="F2878" s="83"/>
      <c r="G2878" s="76"/>
      <c r="H2878" s="76"/>
      <c r="I2878" s="76"/>
      <c r="J2878" s="76"/>
      <c r="K2878" s="76"/>
      <c r="L2878" s="76"/>
      <c r="M2878" s="76"/>
      <c r="N2878" s="76"/>
      <c r="O2878" s="76"/>
      <c r="P2878" s="76"/>
      <c r="Q2878" s="76"/>
      <c r="R2878" s="76"/>
      <c r="S2878" s="76"/>
      <c r="T2878" s="76"/>
      <c r="U2878" s="76"/>
      <c r="V2878" s="76"/>
      <c r="W2878" s="76"/>
      <c r="X2878" s="76"/>
      <c r="Y2878" s="76"/>
      <c r="Z2878" s="76"/>
      <c r="AA2878" s="76"/>
      <c r="AB2878" s="76"/>
      <c r="AC2878" s="76"/>
      <c r="AD2878" s="76"/>
      <c r="AE2878" s="76"/>
      <c r="AF2878" s="76"/>
      <c r="AG2878" s="76"/>
      <c r="AH2878" s="76"/>
      <c r="AI2878" s="76"/>
      <c r="AJ2878" s="76"/>
      <c r="AK2878" s="76"/>
      <c r="AL2878" s="76"/>
      <c r="AM2878" s="76"/>
      <c r="AN2878" s="76"/>
      <c r="AO2878" s="76"/>
      <c r="AP2878" s="76"/>
      <c r="AQ2878" s="76"/>
      <c r="AR2878" s="76"/>
      <c r="AS2878" s="76"/>
      <c r="AT2878" s="76"/>
      <c r="AU2878" s="76"/>
      <c r="AV2878" s="76"/>
      <c r="AW2878" s="76"/>
      <c r="AX2878" s="76"/>
      <c r="AY2878" s="76"/>
      <c r="AZ2878" s="76"/>
      <c r="BA2878" s="76"/>
      <c r="BB2878" s="76"/>
    </row>
    <row r="2879" spans="5:54" x14ac:dyDescent="0.35">
      <c r="E2879" s="83"/>
      <c r="F2879" s="83"/>
      <c r="G2879" s="76"/>
      <c r="H2879" s="76"/>
      <c r="I2879" s="76"/>
      <c r="J2879" s="76"/>
      <c r="K2879" s="76"/>
      <c r="L2879" s="76"/>
      <c r="M2879" s="76"/>
      <c r="N2879" s="76"/>
      <c r="O2879" s="76"/>
      <c r="P2879" s="76"/>
      <c r="Q2879" s="76"/>
      <c r="R2879" s="76"/>
      <c r="S2879" s="76"/>
      <c r="T2879" s="76"/>
      <c r="U2879" s="76"/>
      <c r="V2879" s="76"/>
      <c r="W2879" s="76"/>
      <c r="X2879" s="76"/>
      <c r="Y2879" s="76"/>
      <c r="Z2879" s="76"/>
      <c r="AA2879" s="76"/>
      <c r="AB2879" s="76"/>
      <c r="AC2879" s="76"/>
      <c r="AD2879" s="76"/>
      <c r="AE2879" s="76"/>
      <c r="AF2879" s="76"/>
      <c r="AG2879" s="76"/>
      <c r="AH2879" s="76"/>
      <c r="AI2879" s="76"/>
      <c r="AJ2879" s="76"/>
      <c r="AK2879" s="76"/>
      <c r="AL2879" s="76"/>
      <c r="AM2879" s="76"/>
      <c r="AN2879" s="76"/>
      <c r="AO2879" s="76"/>
      <c r="AP2879" s="76"/>
      <c r="AQ2879" s="76"/>
      <c r="AR2879" s="76"/>
      <c r="AS2879" s="76"/>
      <c r="AT2879" s="76"/>
      <c r="AU2879" s="76"/>
      <c r="AV2879" s="76"/>
      <c r="AW2879" s="76"/>
      <c r="AX2879" s="76"/>
      <c r="AY2879" s="76"/>
      <c r="AZ2879" s="76"/>
      <c r="BA2879" s="76"/>
      <c r="BB2879" s="76"/>
    </row>
    <row r="2880" spans="5:54" x14ac:dyDescent="0.35">
      <c r="E2880" s="83"/>
      <c r="F2880" s="83"/>
      <c r="G2880" s="76"/>
      <c r="H2880" s="76"/>
      <c r="I2880" s="76"/>
      <c r="J2880" s="76"/>
      <c r="K2880" s="76"/>
      <c r="L2880" s="76"/>
      <c r="M2880" s="76"/>
      <c r="N2880" s="76"/>
      <c r="O2880" s="76"/>
      <c r="P2880" s="76"/>
      <c r="Q2880" s="76"/>
      <c r="R2880" s="76"/>
      <c r="S2880" s="76"/>
      <c r="T2880" s="76"/>
      <c r="U2880" s="76"/>
      <c r="V2880" s="76"/>
      <c r="W2880" s="76"/>
      <c r="X2880" s="76"/>
      <c r="Y2880" s="76"/>
      <c r="Z2880" s="76"/>
      <c r="AA2880" s="76"/>
      <c r="AB2880" s="76"/>
      <c r="AC2880" s="76"/>
      <c r="AD2880" s="76"/>
      <c r="AE2880" s="76"/>
      <c r="AF2880" s="76"/>
      <c r="AG2880" s="76"/>
      <c r="AH2880" s="76"/>
      <c r="AI2880" s="76"/>
      <c r="AJ2880" s="76"/>
      <c r="AK2880" s="76"/>
      <c r="AL2880" s="76"/>
      <c r="AM2880" s="76"/>
      <c r="AN2880" s="76"/>
      <c r="AO2880" s="76"/>
      <c r="AP2880" s="76"/>
      <c r="AQ2880" s="76"/>
      <c r="AR2880" s="76"/>
      <c r="AS2880" s="76"/>
      <c r="AT2880" s="76"/>
      <c r="AU2880" s="76"/>
      <c r="AV2880" s="76"/>
      <c r="AW2880" s="76"/>
      <c r="AX2880" s="76"/>
      <c r="AY2880" s="76"/>
      <c r="AZ2880" s="76"/>
      <c r="BA2880" s="76"/>
      <c r="BB2880" s="76"/>
    </row>
    <row r="2881" spans="5:54" x14ac:dyDescent="0.35">
      <c r="E2881" s="83"/>
      <c r="F2881" s="83"/>
      <c r="G2881" s="76"/>
      <c r="H2881" s="76"/>
      <c r="I2881" s="76"/>
      <c r="J2881" s="76"/>
      <c r="K2881" s="76"/>
      <c r="L2881" s="76"/>
      <c r="M2881" s="76"/>
      <c r="N2881" s="76"/>
      <c r="O2881" s="76"/>
      <c r="P2881" s="76"/>
      <c r="Q2881" s="76"/>
      <c r="R2881" s="76"/>
      <c r="S2881" s="76"/>
      <c r="T2881" s="76"/>
      <c r="U2881" s="76"/>
      <c r="V2881" s="76"/>
      <c r="W2881" s="76"/>
      <c r="X2881" s="76"/>
      <c r="Y2881" s="76"/>
      <c r="Z2881" s="76"/>
      <c r="AA2881" s="76"/>
      <c r="AB2881" s="76"/>
      <c r="AC2881" s="76"/>
      <c r="AD2881" s="76"/>
      <c r="AE2881" s="76"/>
      <c r="AF2881" s="76"/>
      <c r="AG2881" s="76"/>
      <c r="AH2881" s="76"/>
      <c r="AI2881" s="76"/>
      <c r="AJ2881" s="76"/>
      <c r="AK2881" s="76"/>
      <c r="AL2881" s="76"/>
      <c r="AM2881" s="76"/>
      <c r="AN2881" s="76"/>
      <c r="AO2881" s="76"/>
      <c r="AP2881" s="76"/>
      <c r="AQ2881" s="76"/>
      <c r="AR2881" s="76"/>
      <c r="AS2881" s="76"/>
      <c r="AT2881" s="76"/>
      <c r="AU2881" s="76"/>
      <c r="AV2881" s="76"/>
      <c r="AW2881" s="76"/>
      <c r="AX2881" s="76"/>
      <c r="AY2881" s="76"/>
      <c r="AZ2881" s="76"/>
      <c r="BA2881" s="76"/>
      <c r="BB2881" s="76"/>
    </row>
    <row r="2882" spans="5:54" x14ac:dyDescent="0.35">
      <c r="E2882" s="83"/>
      <c r="F2882" s="83"/>
      <c r="G2882" s="76"/>
      <c r="H2882" s="76"/>
      <c r="I2882" s="76"/>
      <c r="J2882" s="76"/>
      <c r="K2882" s="76"/>
      <c r="L2882" s="76"/>
      <c r="M2882" s="76"/>
      <c r="N2882" s="76"/>
      <c r="O2882" s="76"/>
      <c r="P2882" s="76"/>
      <c r="Q2882" s="76"/>
      <c r="R2882" s="76"/>
      <c r="S2882" s="76"/>
      <c r="T2882" s="76"/>
      <c r="U2882" s="76"/>
      <c r="V2882" s="76"/>
      <c r="W2882" s="76"/>
      <c r="X2882" s="76"/>
      <c r="Y2882" s="76"/>
      <c r="Z2882" s="76"/>
      <c r="AA2882" s="76"/>
      <c r="AB2882" s="76"/>
      <c r="AC2882" s="76"/>
      <c r="AD2882" s="76"/>
      <c r="AE2882" s="76"/>
      <c r="AF2882" s="76"/>
      <c r="AG2882" s="76"/>
      <c r="AH2882" s="76"/>
      <c r="AI2882" s="76"/>
      <c r="AJ2882" s="76"/>
      <c r="AK2882" s="76"/>
      <c r="AL2882" s="76"/>
      <c r="AM2882" s="76"/>
      <c r="AN2882" s="76"/>
      <c r="AO2882" s="76"/>
      <c r="AP2882" s="76"/>
      <c r="AQ2882" s="76"/>
      <c r="AR2882" s="76"/>
      <c r="AS2882" s="76"/>
      <c r="AT2882" s="76"/>
      <c r="AU2882" s="76"/>
      <c r="AV2882" s="76"/>
      <c r="AW2882" s="76"/>
      <c r="AX2882" s="76"/>
      <c r="AY2882" s="76"/>
      <c r="AZ2882" s="76"/>
      <c r="BA2882" s="76"/>
      <c r="BB2882" s="76"/>
    </row>
    <row r="2883" spans="5:54" x14ac:dyDescent="0.35">
      <c r="E2883" s="83"/>
      <c r="F2883" s="83"/>
      <c r="G2883" s="76"/>
      <c r="H2883" s="76"/>
      <c r="I2883" s="76"/>
      <c r="J2883" s="76"/>
      <c r="K2883" s="76"/>
      <c r="L2883" s="76"/>
      <c r="M2883" s="76"/>
      <c r="N2883" s="76"/>
      <c r="O2883" s="76"/>
      <c r="P2883" s="76"/>
      <c r="Q2883" s="76"/>
      <c r="R2883" s="76"/>
      <c r="S2883" s="76"/>
      <c r="T2883" s="76"/>
      <c r="U2883" s="76"/>
      <c r="V2883" s="76"/>
      <c r="W2883" s="76"/>
      <c r="X2883" s="76"/>
      <c r="Y2883" s="76"/>
      <c r="Z2883" s="76"/>
      <c r="AA2883" s="76"/>
      <c r="AB2883" s="76"/>
      <c r="AC2883" s="76"/>
      <c r="AD2883" s="76"/>
      <c r="AE2883" s="76"/>
      <c r="AF2883" s="76"/>
      <c r="AG2883" s="76"/>
      <c r="AH2883" s="76"/>
      <c r="AI2883" s="76"/>
      <c r="AJ2883" s="76"/>
      <c r="AK2883" s="76"/>
      <c r="AL2883" s="76"/>
      <c r="AM2883" s="76"/>
      <c r="AN2883" s="76"/>
      <c r="AO2883" s="76"/>
      <c r="AP2883" s="76"/>
      <c r="AQ2883" s="76"/>
      <c r="AR2883" s="76"/>
      <c r="AS2883" s="76"/>
      <c r="AT2883" s="76"/>
      <c r="AU2883" s="76"/>
      <c r="AV2883" s="76"/>
      <c r="AW2883" s="76"/>
      <c r="AX2883" s="76"/>
      <c r="AY2883" s="76"/>
      <c r="AZ2883" s="76"/>
      <c r="BA2883" s="76"/>
      <c r="BB2883" s="76"/>
    </row>
    <row r="2884" spans="5:54" x14ac:dyDescent="0.35">
      <c r="E2884" s="83"/>
      <c r="F2884" s="83"/>
      <c r="G2884" s="76"/>
      <c r="H2884" s="76"/>
      <c r="I2884" s="76"/>
      <c r="J2884" s="76"/>
      <c r="K2884" s="76"/>
      <c r="L2884" s="76"/>
      <c r="M2884" s="76"/>
      <c r="N2884" s="76"/>
      <c r="O2884" s="76"/>
      <c r="P2884" s="76"/>
      <c r="Q2884" s="76"/>
      <c r="R2884" s="76"/>
      <c r="S2884" s="76"/>
      <c r="T2884" s="76"/>
      <c r="U2884" s="76"/>
      <c r="V2884" s="76"/>
      <c r="W2884" s="76"/>
      <c r="X2884" s="76"/>
      <c r="Y2884" s="76"/>
      <c r="Z2884" s="76"/>
      <c r="AA2884" s="76"/>
      <c r="AB2884" s="76"/>
      <c r="AC2884" s="76"/>
      <c r="AD2884" s="76"/>
      <c r="AE2884" s="76"/>
      <c r="AF2884" s="76"/>
      <c r="AG2884" s="76"/>
      <c r="AH2884" s="76"/>
      <c r="AI2884" s="76"/>
      <c r="AJ2884" s="76"/>
      <c r="AK2884" s="76"/>
      <c r="AL2884" s="76"/>
      <c r="AM2884" s="76"/>
      <c r="AN2884" s="76"/>
      <c r="AO2884" s="76"/>
      <c r="AP2884" s="76"/>
      <c r="AQ2884" s="76"/>
      <c r="AR2884" s="76"/>
      <c r="AS2884" s="76"/>
      <c r="AT2884" s="76"/>
      <c r="AU2884" s="76"/>
      <c r="AV2884" s="76"/>
      <c r="AW2884" s="76"/>
      <c r="AX2884" s="76"/>
      <c r="AY2884" s="76"/>
      <c r="AZ2884" s="76"/>
      <c r="BA2884" s="76"/>
      <c r="BB2884" s="76"/>
    </row>
    <row r="2885" spans="5:54" x14ac:dyDescent="0.35">
      <c r="E2885" s="83"/>
      <c r="F2885" s="83"/>
      <c r="G2885" s="76"/>
      <c r="H2885" s="76"/>
      <c r="I2885" s="76"/>
      <c r="J2885" s="76"/>
      <c r="K2885" s="76"/>
      <c r="L2885" s="76"/>
      <c r="M2885" s="76"/>
      <c r="N2885" s="76"/>
      <c r="O2885" s="76"/>
      <c r="P2885" s="76"/>
      <c r="Q2885" s="76"/>
      <c r="R2885" s="76"/>
      <c r="S2885" s="76"/>
      <c r="T2885" s="76"/>
      <c r="U2885" s="76"/>
      <c r="V2885" s="76"/>
      <c r="W2885" s="76"/>
      <c r="X2885" s="76"/>
      <c r="Y2885" s="76"/>
      <c r="Z2885" s="76"/>
      <c r="AA2885" s="76"/>
      <c r="AB2885" s="76"/>
      <c r="AC2885" s="76"/>
      <c r="AD2885" s="76"/>
      <c r="AE2885" s="76"/>
      <c r="AF2885" s="76"/>
      <c r="AG2885" s="76"/>
      <c r="AH2885" s="76"/>
      <c r="AI2885" s="76"/>
      <c r="AJ2885" s="76"/>
      <c r="AK2885" s="76"/>
      <c r="AL2885" s="76"/>
      <c r="AM2885" s="76"/>
      <c r="AN2885" s="76"/>
      <c r="AO2885" s="76"/>
      <c r="AP2885" s="76"/>
      <c r="AQ2885" s="76"/>
      <c r="AR2885" s="76"/>
      <c r="AS2885" s="76"/>
      <c r="AT2885" s="76"/>
      <c r="AU2885" s="76"/>
      <c r="AV2885" s="76"/>
      <c r="AW2885" s="76"/>
      <c r="AX2885" s="76"/>
      <c r="AY2885" s="76"/>
      <c r="AZ2885" s="76"/>
      <c r="BA2885" s="76"/>
      <c r="BB2885" s="76"/>
    </row>
    <row r="2886" spans="5:54" x14ac:dyDescent="0.35">
      <c r="E2886" s="83"/>
      <c r="F2886" s="83"/>
      <c r="G2886" s="76"/>
      <c r="H2886" s="76"/>
      <c r="I2886" s="76"/>
      <c r="J2886" s="76"/>
      <c r="K2886" s="76"/>
      <c r="L2886" s="76"/>
      <c r="M2886" s="76"/>
      <c r="N2886" s="76"/>
      <c r="O2886" s="76"/>
      <c r="P2886" s="76"/>
      <c r="Q2886" s="76"/>
      <c r="R2886" s="76"/>
      <c r="S2886" s="76"/>
      <c r="T2886" s="76"/>
      <c r="U2886" s="76"/>
      <c r="V2886" s="76"/>
      <c r="W2886" s="76"/>
      <c r="X2886" s="76"/>
      <c r="Y2886" s="76"/>
      <c r="Z2886" s="76"/>
      <c r="AA2886" s="76"/>
      <c r="AB2886" s="76"/>
      <c r="AC2886" s="76"/>
      <c r="AD2886" s="76"/>
      <c r="AE2886" s="76"/>
      <c r="AF2886" s="76"/>
      <c r="AG2886" s="76"/>
      <c r="AH2886" s="76"/>
      <c r="AI2886" s="76"/>
      <c r="AJ2886" s="76"/>
      <c r="AK2886" s="76"/>
      <c r="AL2886" s="76"/>
      <c r="AM2886" s="76"/>
      <c r="AN2886" s="76"/>
      <c r="AO2886" s="76"/>
      <c r="AP2886" s="76"/>
      <c r="AQ2886" s="76"/>
      <c r="AR2886" s="76"/>
      <c r="AS2886" s="76"/>
      <c r="AT2886" s="76"/>
      <c r="AU2886" s="76"/>
      <c r="AV2886" s="76"/>
      <c r="AW2886" s="76"/>
      <c r="AX2886" s="76"/>
      <c r="AY2886" s="76"/>
      <c r="AZ2886" s="76"/>
      <c r="BA2886" s="76"/>
      <c r="BB2886" s="76"/>
    </row>
    <row r="2887" spans="5:54" x14ac:dyDescent="0.35">
      <c r="E2887" s="83"/>
      <c r="F2887" s="83"/>
      <c r="G2887" s="76"/>
      <c r="H2887" s="76"/>
      <c r="I2887" s="76"/>
      <c r="J2887" s="76"/>
      <c r="K2887" s="76"/>
      <c r="L2887" s="76"/>
      <c r="M2887" s="76"/>
      <c r="N2887" s="76"/>
      <c r="O2887" s="76"/>
      <c r="P2887" s="76"/>
      <c r="Q2887" s="76"/>
      <c r="R2887" s="76"/>
      <c r="S2887" s="76"/>
      <c r="T2887" s="76"/>
      <c r="U2887" s="76"/>
      <c r="V2887" s="76"/>
      <c r="W2887" s="76"/>
      <c r="X2887" s="76"/>
      <c r="Y2887" s="76"/>
      <c r="Z2887" s="76"/>
      <c r="AA2887" s="76"/>
      <c r="AB2887" s="76"/>
      <c r="AC2887" s="76"/>
      <c r="AD2887" s="76"/>
      <c r="AE2887" s="76"/>
      <c r="AF2887" s="76"/>
      <c r="AG2887" s="76"/>
      <c r="AH2887" s="76"/>
      <c r="AI2887" s="76"/>
      <c r="AJ2887" s="76"/>
      <c r="AK2887" s="76"/>
      <c r="AL2887" s="76"/>
      <c r="AM2887" s="76"/>
      <c r="AN2887" s="76"/>
      <c r="AO2887" s="76"/>
      <c r="AP2887" s="76"/>
      <c r="AQ2887" s="76"/>
      <c r="AR2887" s="76"/>
      <c r="AS2887" s="76"/>
      <c r="AT2887" s="76"/>
      <c r="AU2887" s="76"/>
      <c r="AV2887" s="76"/>
      <c r="AW2887" s="76"/>
      <c r="AX2887" s="76"/>
      <c r="AY2887" s="76"/>
      <c r="AZ2887" s="76"/>
      <c r="BA2887" s="76"/>
      <c r="BB2887" s="76"/>
    </row>
    <row r="2888" spans="5:54" x14ac:dyDescent="0.35">
      <c r="E2888" s="83"/>
      <c r="F2888" s="83"/>
      <c r="G2888" s="76"/>
      <c r="H2888" s="76"/>
      <c r="I2888" s="76"/>
      <c r="J2888" s="76"/>
      <c r="K2888" s="76"/>
      <c r="L2888" s="76"/>
      <c r="M2888" s="76"/>
      <c r="N2888" s="76"/>
      <c r="O2888" s="76"/>
      <c r="P2888" s="76"/>
      <c r="Q2888" s="76"/>
      <c r="R2888" s="76"/>
      <c r="S2888" s="76"/>
      <c r="T2888" s="76"/>
      <c r="U2888" s="76"/>
      <c r="V2888" s="76"/>
      <c r="W2888" s="76"/>
      <c r="X2888" s="76"/>
      <c r="Y2888" s="76"/>
      <c r="Z2888" s="76"/>
      <c r="AA2888" s="76"/>
      <c r="AB2888" s="76"/>
      <c r="AC2888" s="76"/>
      <c r="AD2888" s="76"/>
      <c r="AE2888" s="76"/>
      <c r="AF2888" s="76"/>
      <c r="AG2888" s="76"/>
      <c r="AH2888" s="76"/>
      <c r="AI2888" s="76"/>
      <c r="AJ2888" s="76"/>
      <c r="AK2888" s="76"/>
      <c r="AL2888" s="76"/>
      <c r="AM2888" s="76"/>
      <c r="AN2888" s="76"/>
      <c r="AO2888" s="76"/>
      <c r="AP2888" s="76"/>
      <c r="AQ2888" s="76"/>
      <c r="AR2888" s="76"/>
      <c r="AS2888" s="76"/>
      <c r="AT2888" s="76"/>
      <c r="AU2888" s="76"/>
      <c r="AV2888" s="76"/>
      <c r="AW2888" s="76"/>
      <c r="AX2888" s="76"/>
      <c r="AY2888" s="76"/>
      <c r="AZ2888" s="76"/>
      <c r="BA2888" s="76"/>
      <c r="BB2888" s="76"/>
    </row>
    <row r="2889" spans="5:54" x14ac:dyDescent="0.35">
      <c r="E2889" s="83"/>
      <c r="F2889" s="83"/>
      <c r="G2889" s="76"/>
      <c r="H2889" s="76"/>
      <c r="I2889" s="76"/>
      <c r="J2889" s="76"/>
      <c r="K2889" s="76"/>
      <c r="L2889" s="76"/>
      <c r="M2889" s="76"/>
      <c r="N2889" s="76"/>
      <c r="O2889" s="76"/>
      <c r="P2889" s="76"/>
      <c r="Q2889" s="76"/>
      <c r="R2889" s="76"/>
      <c r="S2889" s="76"/>
      <c r="T2889" s="76"/>
      <c r="U2889" s="76"/>
      <c r="V2889" s="76"/>
      <c r="W2889" s="76"/>
      <c r="X2889" s="76"/>
      <c r="Y2889" s="76"/>
      <c r="Z2889" s="76"/>
      <c r="AA2889" s="76"/>
      <c r="AB2889" s="76"/>
      <c r="AC2889" s="76"/>
      <c r="AD2889" s="76"/>
      <c r="AE2889" s="76"/>
      <c r="AF2889" s="76"/>
      <c r="AG2889" s="76"/>
      <c r="AH2889" s="76"/>
      <c r="AI2889" s="76"/>
      <c r="AJ2889" s="76"/>
      <c r="AK2889" s="76"/>
      <c r="AL2889" s="76"/>
      <c r="AM2889" s="76"/>
      <c r="AN2889" s="76"/>
      <c r="AO2889" s="76"/>
      <c r="AP2889" s="76"/>
      <c r="AQ2889" s="76"/>
      <c r="AR2889" s="76"/>
      <c r="AS2889" s="76"/>
      <c r="AT2889" s="76"/>
      <c r="AU2889" s="76"/>
      <c r="AV2889" s="76"/>
      <c r="AW2889" s="76"/>
      <c r="AX2889" s="76"/>
      <c r="AY2889" s="76"/>
      <c r="AZ2889" s="76"/>
      <c r="BA2889" s="76"/>
      <c r="BB2889" s="76"/>
    </row>
    <row r="2890" spans="5:54" x14ac:dyDescent="0.35">
      <c r="E2890" s="83"/>
      <c r="F2890" s="83"/>
      <c r="G2890" s="76"/>
      <c r="H2890" s="76"/>
      <c r="I2890" s="76"/>
      <c r="J2890" s="76"/>
      <c r="K2890" s="76"/>
      <c r="L2890" s="76"/>
      <c r="M2890" s="76"/>
      <c r="N2890" s="76"/>
      <c r="O2890" s="76"/>
      <c r="P2890" s="76"/>
      <c r="Q2890" s="76"/>
      <c r="R2890" s="76"/>
      <c r="S2890" s="76"/>
      <c r="T2890" s="76"/>
      <c r="U2890" s="76"/>
      <c r="V2890" s="76"/>
      <c r="W2890" s="76"/>
      <c r="X2890" s="76"/>
      <c r="Y2890" s="76"/>
      <c r="Z2890" s="76"/>
      <c r="AA2890" s="76"/>
      <c r="AB2890" s="76"/>
      <c r="AC2890" s="76"/>
      <c r="AD2890" s="76"/>
      <c r="AE2890" s="76"/>
      <c r="AF2890" s="76"/>
      <c r="AG2890" s="76"/>
      <c r="AH2890" s="76"/>
      <c r="AI2890" s="76"/>
      <c r="AJ2890" s="76"/>
      <c r="AK2890" s="76"/>
      <c r="AL2890" s="76"/>
      <c r="AM2890" s="76"/>
      <c r="AN2890" s="76"/>
      <c r="AO2890" s="76"/>
      <c r="AP2890" s="76"/>
      <c r="AQ2890" s="76"/>
      <c r="AR2890" s="76"/>
      <c r="AS2890" s="76"/>
      <c r="AT2890" s="76"/>
      <c r="AU2890" s="76"/>
      <c r="AV2890" s="76"/>
      <c r="AW2890" s="76"/>
      <c r="AX2890" s="76"/>
      <c r="AY2890" s="76"/>
      <c r="AZ2890" s="76"/>
      <c r="BA2890" s="76"/>
      <c r="BB2890" s="76"/>
    </row>
    <row r="2891" spans="5:54" x14ac:dyDescent="0.35">
      <c r="E2891" s="83"/>
      <c r="F2891" s="83"/>
      <c r="G2891" s="76"/>
      <c r="H2891" s="76"/>
      <c r="I2891" s="76"/>
      <c r="J2891" s="76"/>
      <c r="K2891" s="76"/>
      <c r="L2891" s="76"/>
      <c r="M2891" s="76"/>
      <c r="N2891" s="76"/>
      <c r="O2891" s="76"/>
      <c r="P2891" s="76"/>
      <c r="Q2891" s="76"/>
      <c r="R2891" s="76"/>
      <c r="S2891" s="76"/>
      <c r="T2891" s="76"/>
      <c r="U2891" s="76"/>
      <c r="V2891" s="76"/>
      <c r="W2891" s="76"/>
      <c r="X2891" s="76"/>
      <c r="Y2891" s="76"/>
      <c r="Z2891" s="76"/>
      <c r="AA2891" s="76"/>
      <c r="AB2891" s="76"/>
      <c r="AC2891" s="76"/>
      <c r="AD2891" s="76"/>
      <c r="AE2891" s="76"/>
      <c r="AF2891" s="76"/>
      <c r="AG2891" s="76"/>
      <c r="AH2891" s="76"/>
      <c r="AI2891" s="76"/>
      <c r="AJ2891" s="76"/>
      <c r="AK2891" s="76"/>
      <c r="AL2891" s="76"/>
      <c r="AM2891" s="76"/>
      <c r="AN2891" s="76"/>
      <c r="AO2891" s="76"/>
      <c r="AP2891" s="76"/>
      <c r="AQ2891" s="76"/>
      <c r="AR2891" s="76"/>
      <c r="AS2891" s="76"/>
      <c r="AT2891" s="76"/>
      <c r="AU2891" s="76"/>
      <c r="AV2891" s="76"/>
      <c r="AW2891" s="76"/>
      <c r="AX2891" s="76"/>
      <c r="AY2891" s="76"/>
      <c r="AZ2891" s="76"/>
      <c r="BA2891" s="76"/>
      <c r="BB2891" s="76"/>
    </row>
    <row r="2892" spans="5:54" x14ac:dyDescent="0.35">
      <c r="E2892" s="83"/>
      <c r="F2892" s="83"/>
      <c r="G2892" s="76"/>
      <c r="H2892" s="76"/>
      <c r="I2892" s="76"/>
      <c r="J2892" s="76"/>
      <c r="K2892" s="76"/>
      <c r="L2892" s="76"/>
      <c r="M2892" s="76"/>
      <c r="N2892" s="76"/>
      <c r="O2892" s="76"/>
      <c r="P2892" s="76"/>
      <c r="Q2892" s="76"/>
      <c r="R2892" s="76"/>
      <c r="S2892" s="76"/>
      <c r="T2892" s="76"/>
      <c r="U2892" s="76"/>
      <c r="V2892" s="76"/>
      <c r="W2892" s="76"/>
      <c r="X2892" s="76"/>
      <c r="Y2892" s="76"/>
      <c r="Z2892" s="76"/>
      <c r="AA2892" s="76"/>
      <c r="AB2892" s="76"/>
      <c r="AC2892" s="76"/>
      <c r="AD2892" s="76"/>
      <c r="AE2892" s="76"/>
      <c r="AF2892" s="76"/>
      <c r="AG2892" s="76"/>
      <c r="AH2892" s="76"/>
      <c r="AI2892" s="76"/>
      <c r="AJ2892" s="76"/>
      <c r="AK2892" s="76"/>
      <c r="AL2892" s="76"/>
      <c r="AM2892" s="76"/>
      <c r="AN2892" s="76"/>
      <c r="AO2892" s="76"/>
      <c r="AP2892" s="76"/>
      <c r="AQ2892" s="76"/>
      <c r="AR2892" s="76"/>
      <c r="AS2892" s="76"/>
      <c r="AT2892" s="76"/>
      <c r="AU2892" s="76"/>
      <c r="AV2892" s="76"/>
      <c r="AW2892" s="76"/>
      <c r="AX2892" s="76"/>
      <c r="AY2892" s="76"/>
      <c r="AZ2892" s="76"/>
      <c r="BA2892" s="76"/>
      <c r="BB2892" s="76"/>
    </row>
    <row r="2893" spans="5:54" x14ac:dyDescent="0.35">
      <c r="E2893" s="83"/>
      <c r="F2893" s="83"/>
      <c r="G2893" s="76"/>
      <c r="H2893" s="76"/>
      <c r="I2893" s="76"/>
      <c r="J2893" s="76"/>
      <c r="K2893" s="76"/>
      <c r="L2893" s="76"/>
      <c r="M2893" s="76"/>
      <c r="N2893" s="76"/>
      <c r="O2893" s="76"/>
      <c r="P2893" s="76"/>
      <c r="Q2893" s="76"/>
      <c r="R2893" s="76"/>
      <c r="S2893" s="76"/>
      <c r="T2893" s="76"/>
      <c r="U2893" s="76"/>
      <c r="V2893" s="76"/>
      <c r="W2893" s="76"/>
      <c r="X2893" s="76"/>
      <c r="Y2893" s="76"/>
      <c r="Z2893" s="76"/>
      <c r="AA2893" s="76"/>
      <c r="AB2893" s="76"/>
      <c r="AC2893" s="76"/>
      <c r="AD2893" s="76"/>
      <c r="AE2893" s="76"/>
      <c r="AF2893" s="76"/>
      <c r="AG2893" s="76"/>
      <c r="AH2893" s="76"/>
      <c r="AI2893" s="76"/>
      <c r="AJ2893" s="76"/>
      <c r="AK2893" s="76"/>
      <c r="AL2893" s="76"/>
      <c r="AM2893" s="76"/>
      <c r="AN2893" s="76"/>
      <c r="AO2893" s="76"/>
      <c r="AP2893" s="76"/>
      <c r="AQ2893" s="76"/>
      <c r="AR2893" s="76"/>
      <c r="AS2893" s="76"/>
      <c r="AT2893" s="76"/>
      <c r="AU2893" s="76"/>
      <c r="AV2893" s="76"/>
      <c r="AW2893" s="76"/>
      <c r="AX2893" s="76"/>
      <c r="AY2893" s="76"/>
      <c r="AZ2893" s="76"/>
      <c r="BA2893" s="76"/>
      <c r="BB2893" s="76"/>
    </row>
    <row r="2894" spans="5:54" x14ac:dyDescent="0.35">
      <c r="E2894" s="83"/>
      <c r="F2894" s="83"/>
      <c r="G2894" s="76"/>
      <c r="H2894" s="76"/>
      <c r="I2894" s="76"/>
      <c r="J2894" s="76"/>
      <c r="K2894" s="76"/>
      <c r="L2894" s="76"/>
      <c r="M2894" s="76"/>
      <c r="N2894" s="76"/>
      <c r="O2894" s="76"/>
      <c r="P2894" s="76"/>
      <c r="Q2894" s="76"/>
      <c r="R2894" s="76"/>
      <c r="S2894" s="76"/>
      <c r="T2894" s="76"/>
      <c r="U2894" s="76"/>
      <c r="V2894" s="76"/>
      <c r="W2894" s="76"/>
      <c r="X2894" s="76"/>
      <c r="Y2894" s="76"/>
      <c r="Z2894" s="76"/>
      <c r="AA2894" s="76"/>
      <c r="AB2894" s="76"/>
      <c r="AC2894" s="76"/>
      <c r="AD2894" s="76"/>
      <c r="AE2894" s="76"/>
      <c r="AF2894" s="76"/>
      <c r="AG2894" s="76"/>
      <c r="AH2894" s="76"/>
      <c r="AI2894" s="76"/>
      <c r="AJ2894" s="76"/>
      <c r="AK2894" s="76"/>
      <c r="AL2894" s="76"/>
      <c r="AM2894" s="76"/>
      <c r="AN2894" s="76"/>
      <c r="AO2894" s="76"/>
      <c r="AP2894" s="76"/>
      <c r="AQ2894" s="76"/>
      <c r="AR2894" s="76"/>
      <c r="AS2894" s="76"/>
      <c r="AT2894" s="76"/>
      <c r="AU2894" s="76"/>
      <c r="AV2894" s="76"/>
      <c r="AW2894" s="76"/>
      <c r="AX2894" s="76"/>
      <c r="AY2894" s="76"/>
      <c r="AZ2894" s="76"/>
      <c r="BA2894" s="76"/>
      <c r="BB2894" s="76"/>
    </row>
    <row r="2895" spans="5:54" x14ac:dyDescent="0.35">
      <c r="E2895" s="83"/>
      <c r="F2895" s="83"/>
      <c r="G2895" s="76"/>
      <c r="H2895" s="76"/>
      <c r="I2895" s="76"/>
      <c r="J2895" s="76"/>
      <c r="K2895" s="76"/>
      <c r="L2895" s="76"/>
      <c r="M2895" s="76"/>
      <c r="N2895" s="76"/>
      <c r="O2895" s="76"/>
      <c r="P2895" s="76"/>
      <c r="Q2895" s="76"/>
      <c r="R2895" s="76"/>
      <c r="S2895" s="76"/>
      <c r="T2895" s="76"/>
      <c r="U2895" s="76"/>
      <c r="V2895" s="76"/>
      <c r="W2895" s="76"/>
      <c r="X2895" s="76"/>
      <c r="Y2895" s="76"/>
      <c r="Z2895" s="76"/>
      <c r="AA2895" s="76"/>
      <c r="AB2895" s="76"/>
      <c r="AC2895" s="76"/>
      <c r="AD2895" s="76"/>
      <c r="AE2895" s="76"/>
      <c r="AF2895" s="76"/>
      <c r="AG2895" s="76"/>
      <c r="AH2895" s="76"/>
      <c r="AI2895" s="76"/>
      <c r="AJ2895" s="76"/>
      <c r="AK2895" s="76"/>
      <c r="AL2895" s="76"/>
      <c r="AM2895" s="76"/>
      <c r="AN2895" s="76"/>
      <c r="AO2895" s="76"/>
      <c r="AP2895" s="76"/>
      <c r="AQ2895" s="76"/>
      <c r="AR2895" s="76"/>
      <c r="AS2895" s="76"/>
      <c r="AT2895" s="76"/>
      <c r="AU2895" s="76"/>
      <c r="AV2895" s="76"/>
      <c r="AW2895" s="76"/>
      <c r="AX2895" s="76"/>
      <c r="AY2895" s="76"/>
      <c r="AZ2895" s="76"/>
      <c r="BA2895" s="76"/>
      <c r="BB2895" s="76"/>
    </row>
    <row r="2896" spans="5:54" x14ac:dyDescent="0.35">
      <c r="E2896" s="83"/>
      <c r="F2896" s="83"/>
      <c r="G2896" s="76"/>
      <c r="H2896" s="76"/>
      <c r="I2896" s="76"/>
      <c r="J2896" s="76"/>
      <c r="K2896" s="76"/>
      <c r="L2896" s="76"/>
      <c r="M2896" s="76"/>
      <c r="N2896" s="76"/>
      <c r="O2896" s="76"/>
      <c r="P2896" s="76"/>
      <c r="Q2896" s="76"/>
      <c r="R2896" s="76"/>
      <c r="S2896" s="76"/>
      <c r="T2896" s="76"/>
      <c r="U2896" s="76"/>
      <c r="V2896" s="76"/>
      <c r="W2896" s="76"/>
      <c r="X2896" s="76"/>
      <c r="Y2896" s="76"/>
      <c r="Z2896" s="76"/>
      <c r="AA2896" s="76"/>
      <c r="AB2896" s="76"/>
      <c r="AC2896" s="76"/>
      <c r="AD2896" s="76"/>
      <c r="AE2896" s="76"/>
      <c r="AF2896" s="76"/>
      <c r="AG2896" s="76"/>
      <c r="AH2896" s="76"/>
      <c r="AI2896" s="76"/>
      <c r="AJ2896" s="76"/>
      <c r="AK2896" s="76"/>
      <c r="AL2896" s="76"/>
      <c r="AM2896" s="76"/>
      <c r="AN2896" s="76"/>
      <c r="AO2896" s="76"/>
      <c r="AP2896" s="76"/>
      <c r="AQ2896" s="76"/>
      <c r="AR2896" s="76"/>
      <c r="AS2896" s="76"/>
      <c r="AT2896" s="76"/>
      <c r="AU2896" s="76"/>
      <c r="AV2896" s="76"/>
      <c r="AW2896" s="76"/>
      <c r="AX2896" s="76"/>
      <c r="AY2896" s="76"/>
      <c r="AZ2896" s="76"/>
      <c r="BA2896" s="76"/>
      <c r="BB2896" s="76"/>
    </row>
    <row r="2897" spans="5:54" x14ac:dyDescent="0.35">
      <c r="E2897" s="83"/>
      <c r="F2897" s="83"/>
      <c r="G2897" s="76"/>
      <c r="H2897" s="76"/>
      <c r="I2897" s="76"/>
      <c r="J2897" s="76"/>
      <c r="K2897" s="76"/>
      <c r="L2897" s="76"/>
      <c r="M2897" s="76"/>
      <c r="N2897" s="76"/>
      <c r="O2897" s="76"/>
      <c r="P2897" s="76"/>
      <c r="Q2897" s="76"/>
      <c r="R2897" s="76"/>
      <c r="S2897" s="76"/>
      <c r="T2897" s="76"/>
      <c r="U2897" s="76"/>
      <c r="V2897" s="76"/>
      <c r="W2897" s="76"/>
      <c r="X2897" s="76"/>
      <c r="Y2897" s="76"/>
      <c r="Z2897" s="76"/>
      <c r="AA2897" s="76"/>
      <c r="AB2897" s="76"/>
      <c r="AC2897" s="76"/>
      <c r="AD2897" s="76"/>
      <c r="AE2897" s="76"/>
      <c r="AF2897" s="76"/>
      <c r="AG2897" s="76"/>
      <c r="AH2897" s="76"/>
      <c r="AI2897" s="76"/>
      <c r="AJ2897" s="76"/>
      <c r="AK2897" s="76"/>
      <c r="AL2897" s="76"/>
      <c r="AM2897" s="76"/>
      <c r="AN2897" s="76"/>
      <c r="AO2897" s="76"/>
      <c r="AP2897" s="76"/>
      <c r="AQ2897" s="76"/>
      <c r="AR2897" s="76"/>
      <c r="AS2897" s="76"/>
      <c r="AT2897" s="76"/>
      <c r="AU2897" s="76"/>
      <c r="AV2897" s="76"/>
      <c r="AW2897" s="76"/>
      <c r="AX2897" s="76"/>
      <c r="AY2897" s="76"/>
      <c r="AZ2897" s="76"/>
      <c r="BA2897" s="76"/>
      <c r="BB2897" s="76"/>
    </row>
    <row r="2898" spans="5:54" x14ac:dyDescent="0.35">
      <c r="E2898" s="83"/>
      <c r="F2898" s="83"/>
      <c r="G2898" s="76"/>
      <c r="H2898" s="76"/>
      <c r="I2898" s="76"/>
      <c r="J2898" s="76"/>
      <c r="K2898" s="76"/>
      <c r="L2898" s="76"/>
      <c r="M2898" s="76"/>
      <c r="N2898" s="76"/>
      <c r="O2898" s="76"/>
      <c r="P2898" s="76"/>
      <c r="Q2898" s="76"/>
      <c r="R2898" s="76"/>
      <c r="S2898" s="76"/>
      <c r="T2898" s="76"/>
      <c r="U2898" s="76"/>
      <c r="V2898" s="76"/>
      <c r="W2898" s="76"/>
      <c r="X2898" s="76"/>
      <c r="Y2898" s="76"/>
      <c r="Z2898" s="76"/>
      <c r="AA2898" s="76"/>
      <c r="AB2898" s="76"/>
      <c r="AC2898" s="76"/>
      <c r="AD2898" s="76"/>
      <c r="AE2898" s="76"/>
      <c r="AF2898" s="76"/>
      <c r="AG2898" s="76"/>
      <c r="AH2898" s="76"/>
      <c r="AI2898" s="76"/>
      <c r="AJ2898" s="76"/>
      <c r="AK2898" s="76"/>
      <c r="AL2898" s="76"/>
      <c r="AM2898" s="76"/>
      <c r="AN2898" s="76"/>
      <c r="AO2898" s="76"/>
      <c r="AP2898" s="76"/>
      <c r="AQ2898" s="76"/>
      <c r="AR2898" s="76"/>
      <c r="AS2898" s="76"/>
      <c r="AT2898" s="76"/>
      <c r="AU2898" s="76"/>
      <c r="AV2898" s="76"/>
      <c r="AW2898" s="76"/>
      <c r="AX2898" s="76"/>
      <c r="AY2898" s="76"/>
      <c r="AZ2898" s="76"/>
      <c r="BA2898" s="76"/>
      <c r="BB2898" s="76"/>
    </row>
    <row r="2899" spans="5:54" x14ac:dyDescent="0.35">
      <c r="E2899" s="83"/>
      <c r="F2899" s="83"/>
      <c r="G2899" s="76"/>
      <c r="H2899" s="76"/>
      <c r="I2899" s="76"/>
      <c r="J2899" s="76"/>
      <c r="K2899" s="76"/>
      <c r="L2899" s="76"/>
      <c r="M2899" s="76"/>
      <c r="N2899" s="76"/>
      <c r="O2899" s="76"/>
      <c r="P2899" s="76"/>
      <c r="Q2899" s="76"/>
      <c r="R2899" s="76"/>
      <c r="S2899" s="76"/>
      <c r="T2899" s="76"/>
      <c r="U2899" s="76"/>
      <c r="V2899" s="76"/>
      <c r="W2899" s="76"/>
      <c r="X2899" s="76"/>
      <c r="Y2899" s="76"/>
      <c r="Z2899" s="76"/>
      <c r="AA2899" s="76"/>
      <c r="AB2899" s="76"/>
      <c r="AC2899" s="76"/>
      <c r="AD2899" s="76"/>
      <c r="AE2899" s="76"/>
      <c r="AF2899" s="76"/>
      <c r="AG2899" s="76"/>
      <c r="AH2899" s="76"/>
      <c r="AI2899" s="76"/>
      <c r="AJ2899" s="76"/>
      <c r="AK2899" s="76"/>
      <c r="AL2899" s="76"/>
      <c r="AM2899" s="76"/>
      <c r="AN2899" s="76"/>
      <c r="AO2899" s="76"/>
      <c r="AP2899" s="76"/>
      <c r="AQ2899" s="76"/>
      <c r="AR2899" s="76"/>
      <c r="AS2899" s="76"/>
      <c r="AT2899" s="76"/>
      <c r="AU2899" s="76"/>
      <c r="AV2899" s="76"/>
      <c r="AW2899" s="76"/>
      <c r="AX2899" s="76"/>
      <c r="AY2899" s="76"/>
      <c r="AZ2899" s="76"/>
      <c r="BA2899" s="76"/>
      <c r="BB2899" s="76"/>
    </row>
    <row r="2900" spans="5:54" x14ac:dyDescent="0.35">
      <c r="E2900" s="83"/>
      <c r="F2900" s="83"/>
      <c r="G2900" s="76"/>
      <c r="H2900" s="76"/>
      <c r="I2900" s="76"/>
      <c r="J2900" s="76"/>
      <c r="K2900" s="76"/>
      <c r="L2900" s="76"/>
      <c r="M2900" s="76"/>
      <c r="N2900" s="76"/>
      <c r="O2900" s="76"/>
      <c r="P2900" s="76"/>
      <c r="Q2900" s="76"/>
      <c r="R2900" s="76"/>
      <c r="S2900" s="76"/>
      <c r="T2900" s="76"/>
      <c r="U2900" s="76"/>
      <c r="V2900" s="76"/>
      <c r="W2900" s="76"/>
      <c r="X2900" s="76"/>
      <c r="Y2900" s="76"/>
      <c r="Z2900" s="76"/>
      <c r="AA2900" s="76"/>
      <c r="AB2900" s="76"/>
      <c r="AC2900" s="76"/>
      <c r="AD2900" s="76"/>
      <c r="AE2900" s="76"/>
      <c r="AF2900" s="76"/>
      <c r="AG2900" s="76"/>
      <c r="AH2900" s="76"/>
      <c r="AI2900" s="76"/>
      <c r="AJ2900" s="76"/>
      <c r="AK2900" s="76"/>
      <c r="AL2900" s="76"/>
      <c r="AM2900" s="76"/>
      <c r="AN2900" s="76"/>
      <c r="AO2900" s="76"/>
      <c r="AP2900" s="76"/>
      <c r="AQ2900" s="76"/>
      <c r="AR2900" s="76"/>
      <c r="AS2900" s="76"/>
      <c r="AT2900" s="76"/>
      <c r="AU2900" s="76"/>
      <c r="AV2900" s="76"/>
      <c r="AW2900" s="76"/>
      <c r="AX2900" s="76"/>
      <c r="AY2900" s="76"/>
      <c r="AZ2900" s="76"/>
      <c r="BA2900" s="76"/>
      <c r="BB2900" s="76"/>
    </row>
    <row r="2901" spans="5:54" x14ac:dyDescent="0.35">
      <c r="E2901" s="83"/>
      <c r="F2901" s="83"/>
      <c r="G2901" s="76"/>
      <c r="H2901" s="76"/>
      <c r="I2901" s="76"/>
      <c r="J2901" s="76"/>
      <c r="K2901" s="76"/>
      <c r="L2901" s="76"/>
      <c r="M2901" s="76"/>
      <c r="N2901" s="76"/>
      <c r="O2901" s="76"/>
      <c r="P2901" s="76"/>
      <c r="Q2901" s="76"/>
      <c r="R2901" s="76"/>
      <c r="S2901" s="76"/>
      <c r="T2901" s="76"/>
      <c r="U2901" s="76"/>
      <c r="V2901" s="76"/>
      <c r="W2901" s="76"/>
      <c r="X2901" s="76"/>
      <c r="Y2901" s="76"/>
      <c r="Z2901" s="76"/>
      <c r="AA2901" s="76"/>
      <c r="AB2901" s="76"/>
      <c r="AC2901" s="76"/>
      <c r="AD2901" s="76"/>
      <c r="AE2901" s="76"/>
      <c r="AF2901" s="76"/>
      <c r="AG2901" s="76"/>
      <c r="AH2901" s="76"/>
      <c r="AI2901" s="76"/>
      <c r="AJ2901" s="76"/>
      <c r="AK2901" s="76"/>
      <c r="AL2901" s="76"/>
      <c r="AM2901" s="76"/>
      <c r="AN2901" s="76"/>
      <c r="AO2901" s="76"/>
      <c r="AP2901" s="76"/>
      <c r="AQ2901" s="76"/>
      <c r="AR2901" s="76"/>
      <c r="AS2901" s="76"/>
      <c r="AT2901" s="76"/>
      <c r="AU2901" s="76"/>
      <c r="AV2901" s="76"/>
      <c r="AW2901" s="76"/>
      <c r="AX2901" s="76"/>
      <c r="AY2901" s="76"/>
      <c r="AZ2901" s="76"/>
      <c r="BA2901" s="76"/>
      <c r="BB2901" s="76"/>
    </row>
    <row r="2902" spans="5:54" x14ac:dyDescent="0.35">
      <c r="E2902" s="83"/>
      <c r="F2902" s="83"/>
      <c r="G2902" s="76"/>
      <c r="H2902" s="76"/>
      <c r="I2902" s="76"/>
      <c r="J2902" s="76"/>
      <c r="K2902" s="76"/>
      <c r="L2902" s="76"/>
      <c r="M2902" s="76"/>
      <c r="N2902" s="76"/>
      <c r="O2902" s="76"/>
      <c r="P2902" s="76"/>
      <c r="Q2902" s="76"/>
      <c r="R2902" s="76"/>
      <c r="S2902" s="76"/>
      <c r="T2902" s="76"/>
      <c r="U2902" s="76"/>
      <c r="V2902" s="76"/>
      <c r="W2902" s="76"/>
      <c r="X2902" s="76"/>
      <c r="Y2902" s="76"/>
      <c r="Z2902" s="76"/>
      <c r="AA2902" s="76"/>
      <c r="AB2902" s="76"/>
      <c r="AC2902" s="76"/>
      <c r="AD2902" s="76"/>
      <c r="AE2902" s="76"/>
      <c r="AF2902" s="76"/>
      <c r="AG2902" s="76"/>
      <c r="AH2902" s="76"/>
      <c r="AI2902" s="76"/>
      <c r="AJ2902" s="76"/>
      <c r="AK2902" s="76"/>
      <c r="AL2902" s="76"/>
      <c r="AM2902" s="76"/>
      <c r="AN2902" s="76"/>
      <c r="AO2902" s="76"/>
      <c r="AP2902" s="76"/>
      <c r="AQ2902" s="76"/>
      <c r="AR2902" s="76"/>
      <c r="AS2902" s="76"/>
      <c r="AT2902" s="76"/>
      <c r="AU2902" s="76"/>
      <c r="AV2902" s="76"/>
      <c r="AW2902" s="76"/>
      <c r="AX2902" s="76"/>
      <c r="AY2902" s="76"/>
      <c r="AZ2902" s="76"/>
      <c r="BA2902" s="76"/>
      <c r="BB2902" s="76"/>
    </row>
    <row r="2903" spans="5:54" x14ac:dyDescent="0.35">
      <c r="E2903" s="83"/>
      <c r="F2903" s="83"/>
      <c r="G2903" s="76"/>
      <c r="H2903" s="76"/>
      <c r="I2903" s="76"/>
      <c r="J2903" s="76"/>
      <c r="K2903" s="76"/>
      <c r="L2903" s="76"/>
      <c r="M2903" s="76"/>
      <c r="N2903" s="76"/>
      <c r="O2903" s="76"/>
      <c r="P2903" s="76"/>
      <c r="Q2903" s="76"/>
      <c r="R2903" s="76"/>
      <c r="S2903" s="76"/>
      <c r="T2903" s="76"/>
      <c r="U2903" s="76"/>
      <c r="V2903" s="76"/>
      <c r="W2903" s="76"/>
      <c r="X2903" s="76"/>
      <c r="Y2903" s="76"/>
      <c r="Z2903" s="76"/>
      <c r="AA2903" s="76"/>
      <c r="AB2903" s="76"/>
      <c r="AC2903" s="76"/>
      <c r="AD2903" s="76"/>
      <c r="AE2903" s="76"/>
      <c r="AF2903" s="76"/>
      <c r="AG2903" s="76"/>
      <c r="AH2903" s="76"/>
      <c r="AI2903" s="76"/>
      <c r="AJ2903" s="76"/>
      <c r="AK2903" s="76"/>
      <c r="AL2903" s="76"/>
      <c r="AM2903" s="76"/>
      <c r="AN2903" s="76"/>
      <c r="AO2903" s="76"/>
      <c r="AP2903" s="76"/>
      <c r="AQ2903" s="76"/>
      <c r="AR2903" s="76"/>
      <c r="AS2903" s="76"/>
      <c r="AT2903" s="76"/>
      <c r="AU2903" s="76"/>
      <c r="AV2903" s="76"/>
      <c r="AW2903" s="76"/>
      <c r="AX2903" s="76"/>
      <c r="AY2903" s="76"/>
      <c r="AZ2903" s="76"/>
      <c r="BA2903" s="76"/>
      <c r="BB2903" s="76"/>
    </row>
    <row r="2904" spans="5:54" x14ac:dyDescent="0.35">
      <c r="E2904" s="83"/>
      <c r="F2904" s="83"/>
      <c r="G2904" s="76"/>
      <c r="H2904" s="76"/>
      <c r="I2904" s="76"/>
      <c r="J2904" s="76"/>
      <c r="K2904" s="76"/>
      <c r="L2904" s="76"/>
      <c r="M2904" s="76"/>
      <c r="N2904" s="76"/>
      <c r="O2904" s="76"/>
      <c r="P2904" s="76"/>
      <c r="Q2904" s="76"/>
      <c r="R2904" s="76"/>
      <c r="S2904" s="76"/>
      <c r="T2904" s="76"/>
      <c r="U2904" s="76"/>
      <c r="V2904" s="76"/>
      <c r="W2904" s="76"/>
      <c r="X2904" s="76"/>
      <c r="Y2904" s="76"/>
      <c r="Z2904" s="76"/>
      <c r="AA2904" s="76"/>
      <c r="AB2904" s="76"/>
      <c r="AC2904" s="76"/>
      <c r="AD2904" s="76"/>
      <c r="AE2904" s="76"/>
      <c r="AF2904" s="76"/>
      <c r="AG2904" s="76"/>
      <c r="AH2904" s="76"/>
      <c r="AI2904" s="76"/>
      <c r="AJ2904" s="76"/>
      <c r="AK2904" s="76"/>
      <c r="AL2904" s="76"/>
      <c r="AM2904" s="76"/>
      <c r="AN2904" s="76"/>
      <c r="AO2904" s="76"/>
      <c r="AP2904" s="76"/>
      <c r="AQ2904" s="76"/>
      <c r="AR2904" s="76"/>
      <c r="AS2904" s="76"/>
      <c r="AT2904" s="76"/>
      <c r="AU2904" s="76"/>
      <c r="AV2904" s="76"/>
      <c r="AW2904" s="76"/>
      <c r="AX2904" s="76"/>
      <c r="AY2904" s="76"/>
      <c r="AZ2904" s="76"/>
      <c r="BA2904" s="76"/>
      <c r="BB2904" s="76"/>
    </row>
    <row r="2905" spans="5:54" x14ac:dyDescent="0.35">
      <c r="E2905" s="83"/>
      <c r="F2905" s="83"/>
      <c r="G2905" s="76"/>
      <c r="H2905" s="76"/>
      <c r="I2905" s="76"/>
      <c r="J2905" s="76"/>
      <c r="K2905" s="76"/>
      <c r="L2905" s="76"/>
      <c r="M2905" s="76"/>
      <c r="N2905" s="76"/>
      <c r="O2905" s="76"/>
      <c r="P2905" s="76"/>
      <c r="Q2905" s="76"/>
      <c r="R2905" s="76"/>
      <c r="S2905" s="76"/>
      <c r="T2905" s="76"/>
      <c r="U2905" s="76"/>
      <c r="V2905" s="76"/>
      <c r="W2905" s="76"/>
      <c r="X2905" s="76"/>
      <c r="Y2905" s="76"/>
      <c r="Z2905" s="76"/>
      <c r="AA2905" s="76"/>
      <c r="AB2905" s="76"/>
      <c r="AC2905" s="76"/>
      <c r="AD2905" s="76"/>
      <c r="AE2905" s="76"/>
      <c r="AF2905" s="76"/>
      <c r="AG2905" s="76"/>
      <c r="AH2905" s="76"/>
      <c r="AI2905" s="76"/>
      <c r="AJ2905" s="76"/>
      <c r="AK2905" s="76"/>
      <c r="AL2905" s="76"/>
      <c r="AM2905" s="76"/>
      <c r="AN2905" s="76"/>
      <c r="AO2905" s="76"/>
      <c r="AP2905" s="76"/>
      <c r="AQ2905" s="76"/>
      <c r="AR2905" s="76"/>
      <c r="AS2905" s="76"/>
      <c r="AT2905" s="76"/>
      <c r="AU2905" s="76"/>
      <c r="AV2905" s="76"/>
      <c r="AW2905" s="76"/>
      <c r="AX2905" s="76"/>
      <c r="AY2905" s="76"/>
      <c r="AZ2905" s="76"/>
      <c r="BA2905" s="76"/>
      <c r="BB2905" s="76"/>
    </row>
    <row r="2906" spans="5:54" x14ac:dyDescent="0.35">
      <c r="E2906" s="83"/>
      <c r="F2906" s="83"/>
      <c r="G2906" s="76"/>
      <c r="H2906" s="76"/>
      <c r="I2906" s="76"/>
      <c r="J2906" s="76"/>
      <c r="K2906" s="76"/>
      <c r="L2906" s="76"/>
      <c r="M2906" s="76"/>
      <c r="N2906" s="76"/>
      <c r="O2906" s="76"/>
      <c r="P2906" s="76"/>
      <c r="Q2906" s="76"/>
      <c r="R2906" s="76"/>
      <c r="S2906" s="76"/>
      <c r="T2906" s="76"/>
      <c r="U2906" s="76"/>
      <c r="V2906" s="76"/>
      <c r="W2906" s="76"/>
      <c r="X2906" s="76"/>
      <c r="Y2906" s="76"/>
      <c r="Z2906" s="76"/>
      <c r="AA2906" s="76"/>
      <c r="AB2906" s="76"/>
      <c r="AC2906" s="76"/>
      <c r="AD2906" s="76"/>
      <c r="AE2906" s="76"/>
      <c r="AF2906" s="76"/>
      <c r="AG2906" s="76"/>
      <c r="AH2906" s="76"/>
      <c r="AI2906" s="76"/>
      <c r="AJ2906" s="76"/>
      <c r="AK2906" s="76"/>
      <c r="AL2906" s="76"/>
      <c r="AM2906" s="76"/>
      <c r="AN2906" s="76"/>
      <c r="AO2906" s="76"/>
      <c r="AP2906" s="76"/>
      <c r="AQ2906" s="76"/>
      <c r="AR2906" s="76"/>
      <c r="AS2906" s="76"/>
      <c r="AT2906" s="76"/>
      <c r="AU2906" s="76"/>
      <c r="AV2906" s="76"/>
      <c r="AW2906" s="76"/>
      <c r="AX2906" s="76"/>
      <c r="AY2906" s="76"/>
      <c r="AZ2906" s="76"/>
      <c r="BA2906" s="76"/>
      <c r="BB2906" s="76"/>
    </row>
    <row r="2907" spans="5:54" x14ac:dyDescent="0.35">
      <c r="E2907" s="83"/>
      <c r="F2907" s="83"/>
      <c r="G2907" s="76"/>
      <c r="H2907" s="76"/>
      <c r="I2907" s="76"/>
      <c r="J2907" s="76"/>
      <c r="K2907" s="76"/>
      <c r="L2907" s="76"/>
      <c r="M2907" s="76"/>
      <c r="N2907" s="76"/>
      <c r="O2907" s="76"/>
      <c r="P2907" s="76"/>
      <c r="Q2907" s="76"/>
      <c r="R2907" s="76"/>
      <c r="S2907" s="76"/>
      <c r="T2907" s="76"/>
      <c r="U2907" s="76"/>
      <c r="V2907" s="76"/>
      <c r="W2907" s="76"/>
      <c r="X2907" s="76"/>
      <c r="Y2907" s="76"/>
      <c r="Z2907" s="76"/>
      <c r="AA2907" s="76"/>
      <c r="AB2907" s="76"/>
      <c r="AC2907" s="76"/>
      <c r="AD2907" s="76"/>
      <c r="AE2907" s="76"/>
      <c r="AF2907" s="76"/>
      <c r="AG2907" s="76"/>
      <c r="AH2907" s="76"/>
      <c r="AI2907" s="76"/>
      <c r="AJ2907" s="76"/>
      <c r="AK2907" s="76"/>
      <c r="AL2907" s="76"/>
      <c r="AM2907" s="76"/>
      <c r="AN2907" s="76"/>
      <c r="AO2907" s="76"/>
      <c r="AP2907" s="76"/>
      <c r="AQ2907" s="76"/>
      <c r="AR2907" s="76"/>
      <c r="AS2907" s="76"/>
      <c r="AT2907" s="76"/>
      <c r="AU2907" s="76"/>
      <c r="AV2907" s="76"/>
      <c r="AW2907" s="76"/>
      <c r="AX2907" s="76"/>
      <c r="AY2907" s="76"/>
      <c r="AZ2907" s="76"/>
      <c r="BA2907" s="76"/>
      <c r="BB2907" s="76"/>
    </row>
    <row r="2908" spans="5:54" x14ac:dyDescent="0.35">
      <c r="E2908" s="83"/>
      <c r="F2908" s="83"/>
      <c r="G2908" s="76"/>
      <c r="H2908" s="76"/>
      <c r="I2908" s="76"/>
      <c r="J2908" s="76"/>
      <c r="K2908" s="76"/>
      <c r="L2908" s="76"/>
      <c r="M2908" s="76"/>
      <c r="N2908" s="76"/>
      <c r="O2908" s="76"/>
      <c r="P2908" s="76"/>
      <c r="Q2908" s="76"/>
      <c r="R2908" s="76"/>
      <c r="S2908" s="76"/>
      <c r="T2908" s="76"/>
      <c r="U2908" s="76"/>
      <c r="V2908" s="76"/>
      <c r="W2908" s="76"/>
      <c r="X2908" s="76"/>
      <c r="Y2908" s="76"/>
      <c r="Z2908" s="76"/>
      <c r="AA2908" s="76"/>
      <c r="AB2908" s="76"/>
      <c r="AC2908" s="76"/>
      <c r="AD2908" s="76"/>
      <c r="AE2908" s="76"/>
      <c r="AF2908" s="76"/>
      <c r="AG2908" s="76"/>
      <c r="AH2908" s="76"/>
      <c r="AI2908" s="76"/>
      <c r="AJ2908" s="76"/>
      <c r="AK2908" s="76"/>
      <c r="AL2908" s="76"/>
      <c r="AM2908" s="76"/>
      <c r="AN2908" s="76"/>
      <c r="AO2908" s="76"/>
      <c r="AP2908" s="76"/>
      <c r="AQ2908" s="76"/>
      <c r="AR2908" s="76"/>
      <c r="AS2908" s="76"/>
      <c r="AT2908" s="76"/>
      <c r="AU2908" s="76"/>
      <c r="AV2908" s="76"/>
      <c r="AW2908" s="76"/>
      <c r="AX2908" s="76"/>
      <c r="AY2908" s="76"/>
      <c r="AZ2908" s="76"/>
      <c r="BA2908" s="76"/>
      <c r="BB2908" s="76"/>
    </row>
    <row r="2909" spans="5:54" x14ac:dyDescent="0.35">
      <c r="E2909" s="83"/>
      <c r="F2909" s="83"/>
      <c r="G2909" s="76"/>
      <c r="H2909" s="76"/>
      <c r="I2909" s="76"/>
      <c r="J2909" s="76"/>
      <c r="K2909" s="76"/>
      <c r="L2909" s="76"/>
      <c r="M2909" s="76"/>
      <c r="N2909" s="76"/>
      <c r="O2909" s="76"/>
      <c r="P2909" s="76"/>
      <c r="Q2909" s="76"/>
      <c r="R2909" s="76"/>
      <c r="S2909" s="76"/>
      <c r="T2909" s="76"/>
      <c r="U2909" s="76"/>
      <c r="V2909" s="76"/>
      <c r="W2909" s="76"/>
      <c r="X2909" s="76"/>
      <c r="Y2909" s="76"/>
      <c r="Z2909" s="76"/>
      <c r="AA2909" s="76"/>
      <c r="AB2909" s="76"/>
      <c r="AC2909" s="76"/>
      <c r="AD2909" s="76"/>
      <c r="AE2909" s="76"/>
      <c r="AF2909" s="76"/>
      <c r="AG2909" s="76"/>
      <c r="AH2909" s="76"/>
      <c r="AI2909" s="76"/>
      <c r="AJ2909" s="76"/>
      <c r="AK2909" s="76"/>
      <c r="AL2909" s="76"/>
      <c r="AM2909" s="76"/>
      <c r="AN2909" s="76"/>
      <c r="AO2909" s="76"/>
      <c r="AP2909" s="76"/>
      <c r="AQ2909" s="76"/>
      <c r="AR2909" s="76"/>
      <c r="AS2909" s="76"/>
      <c r="AT2909" s="76"/>
      <c r="AU2909" s="76"/>
      <c r="AV2909" s="76"/>
      <c r="AW2909" s="76"/>
      <c r="AX2909" s="76"/>
      <c r="AY2909" s="76"/>
      <c r="AZ2909" s="76"/>
      <c r="BA2909" s="76"/>
      <c r="BB2909" s="76"/>
    </row>
    <row r="2910" spans="5:54" x14ac:dyDescent="0.35">
      <c r="E2910" s="83"/>
      <c r="F2910" s="83"/>
      <c r="G2910" s="76"/>
      <c r="H2910" s="76"/>
      <c r="I2910" s="76"/>
      <c r="J2910" s="76"/>
      <c r="K2910" s="76"/>
      <c r="L2910" s="76"/>
      <c r="M2910" s="76"/>
      <c r="N2910" s="76"/>
      <c r="O2910" s="76"/>
      <c r="P2910" s="76"/>
      <c r="Q2910" s="76"/>
      <c r="R2910" s="76"/>
      <c r="S2910" s="76"/>
      <c r="T2910" s="76"/>
      <c r="U2910" s="76"/>
      <c r="V2910" s="76"/>
      <c r="W2910" s="76"/>
      <c r="X2910" s="76"/>
      <c r="Y2910" s="76"/>
      <c r="Z2910" s="76"/>
      <c r="AA2910" s="76"/>
      <c r="AB2910" s="76"/>
      <c r="AC2910" s="76"/>
      <c r="AD2910" s="76"/>
      <c r="AE2910" s="76"/>
      <c r="AF2910" s="76"/>
      <c r="AG2910" s="76"/>
      <c r="AH2910" s="76"/>
      <c r="AI2910" s="76"/>
      <c r="AJ2910" s="76"/>
      <c r="AK2910" s="76"/>
      <c r="AL2910" s="76"/>
      <c r="AM2910" s="76"/>
      <c r="AN2910" s="76"/>
      <c r="AO2910" s="76"/>
      <c r="AP2910" s="76"/>
      <c r="AQ2910" s="76"/>
      <c r="AR2910" s="76"/>
      <c r="AS2910" s="76"/>
      <c r="AT2910" s="76"/>
      <c r="AU2910" s="76"/>
      <c r="AV2910" s="76"/>
      <c r="AW2910" s="76"/>
      <c r="AX2910" s="76"/>
      <c r="AY2910" s="76"/>
      <c r="AZ2910" s="76"/>
      <c r="BA2910" s="76"/>
      <c r="BB2910" s="76"/>
    </row>
    <row r="2911" spans="5:54" x14ac:dyDescent="0.35">
      <c r="E2911" s="83"/>
      <c r="F2911" s="83"/>
      <c r="G2911" s="76"/>
      <c r="H2911" s="76"/>
      <c r="I2911" s="76"/>
      <c r="J2911" s="76"/>
      <c r="K2911" s="76"/>
      <c r="L2911" s="76"/>
      <c r="M2911" s="76"/>
      <c r="N2911" s="76"/>
      <c r="O2911" s="76"/>
      <c r="P2911" s="76"/>
      <c r="Q2911" s="76"/>
      <c r="R2911" s="76"/>
      <c r="S2911" s="76"/>
      <c r="T2911" s="76"/>
      <c r="U2911" s="76"/>
      <c r="V2911" s="76"/>
      <c r="W2911" s="76"/>
      <c r="X2911" s="76"/>
      <c r="Y2911" s="76"/>
      <c r="Z2911" s="76"/>
      <c r="AA2911" s="76"/>
      <c r="AB2911" s="76"/>
      <c r="AC2911" s="76"/>
      <c r="AD2911" s="76"/>
      <c r="AE2911" s="76"/>
      <c r="AF2911" s="76"/>
      <c r="AG2911" s="76"/>
      <c r="AH2911" s="76"/>
      <c r="AI2911" s="76"/>
      <c r="AJ2911" s="76"/>
      <c r="AK2911" s="76"/>
      <c r="AL2911" s="76"/>
      <c r="AM2911" s="76"/>
      <c r="AN2911" s="76"/>
      <c r="AO2911" s="76"/>
      <c r="AP2911" s="76"/>
      <c r="AQ2911" s="76"/>
      <c r="AR2911" s="76"/>
      <c r="AS2911" s="76"/>
      <c r="AT2911" s="76"/>
      <c r="AU2911" s="76"/>
      <c r="AV2911" s="76"/>
      <c r="AW2911" s="76"/>
      <c r="AX2911" s="76"/>
      <c r="AY2911" s="76"/>
      <c r="AZ2911" s="76"/>
      <c r="BA2911" s="76"/>
      <c r="BB2911" s="76"/>
    </row>
    <row r="2912" spans="5:54" x14ac:dyDescent="0.35">
      <c r="E2912" s="83"/>
      <c r="F2912" s="83"/>
      <c r="G2912" s="76"/>
      <c r="H2912" s="76"/>
      <c r="I2912" s="76"/>
      <c r="J2912" s="76"/>
      <c r="K2912" s="76"/>
      <c r="L2912" s="76"/>
      <c r="M2912" s="76"/>
      <c r="N2912" s="76"/>
      <c r="O2912" s="76"/>
      <c r="P2912" s="76"/>
      <c r="Q2912" s="76"/>
      <c r="R2912" s="76"/>
      <c r="S2912" s="76"/>
      <c r="T2912" s="76"/>
      <c r="U2912" s="76"/>
      <c r="V2912" s="76"/>
      <c r="W2912" s="76"/>
      <c r="X2912" s="76"/>
      <c r="Y2912" s="76"/>
      <c r="Z2912" s="76"/>
      <c r="AA2912" s="76"/>
      <c r="AB2912" s="76"/>
      <c r="AC2912" s="76"/>
      <c r="AD2912" s="76"/>
      <c r="AE2912" s="76"/>
      <c r="AF2912" s="76"/>
      <c r="AG2912" s="76"/>
      <c r="AH2912" s="76"/>
      <c r="AI2912" s="76"/>
      <c r="AJ2912" s="76"/>
      <c r="AK2912" s="76"/>
      <c r="AL2912" s="76"/>
      <c r="AM2912" s="76"/>
      <c r="AN2912" s="76"/>
      <c r="AO2912" s="76"/>
      <c r="AP2912" s="76"/>
      <c r="AQ2912" s="76"/>
      <c r="AR2912" s="76"/>
      <c r="AS2912" s="76"/>
      <c r="AT2912" s="76"/>
      <c r="AU2912" s="76"/>
      <c r="AV2912" s="76"/>
      <c r="AW2912" s="76"/>
      <c r="AX2912" s="76"/>
      <c r="AY2912" s="76"/>
      <c r="AZ2912" s="76"/>
      <c r="BA2912" s="76"/>
      <c r="BB2912" s="76"/>
    </row>
    <row r="2913" spans="5:54" x14ac:dyDescent="0.35">
      <c r="E2913" s="83"/>
      <c r="F2913" s="83"/>
      <c r="G2913" s="76"/>
      <c r="H2913" s="76"/>
      <c r="I2913" s="76"/>
      <c r="J2913" s="76"/>
      <c r="K2913" s="76"/>
      <c r="L2913" s="76"/>
      <c r="M2913" s="76"/>
      <c r="N2913" s="76"/>
      <c r="O2913" s="76"/>
      <c r="P2913" s="76"/>
      <c r="Q2913" s="76"/>
      <c r="R2913" s="76"/>
      <c r="S2913" s="76"/>
      <c r="T2913" s="76"/>
      <c r="U2913" s="76"/>
      <c r="V2913" s="76"/>
      <c r="W2913" s="76"/>
      <c r="X2913" s="76"/>
      <c r="Y2913" s="76"/>
      <c r="Z2913" s="76"/>
      <c r="AA2913" s="76"/>
      <c r="AB2913" s="76"/>
      <c r="AC2913" s="76"/>
      <c r="AD2913" s="76"/>
      <c r="AE2913" s="76"/>
      <c r="AF2913" s="76"/>
      <c r="AG2913" s="76"/>
      <c r="AH2913" s="76"/>
      <c r="AI2913" s="76"/>
      <c r="AJ2913" s="76"/>
      <c r="AK2913" s="76"/>
      <c r="AL2913" s="76"/>
      <c r="AM2913" s="76"/>
      <c r="AN2913" s="76"/>
      <c r="AO2913" s="76"/>
      <c r="AP2913" s="76"/>
      <c r="AQ2913" s="76"/>
      <c r="AR2913" s="76"/>
      <c r="AS2913" s="76"/>
      <c r="AT2913" s="76"/>
      <c r="AU2913" s="76"/>
      <c r="AV2913" s="76"/>
      <c r="AW2913" s="76"/>
      <c r="AX2913" s="76"/>
      <c r="AY2913" s="76"/>
      <c r="AZ2913" s="76"/>
      <c r="BA2913" s="76"/>
      <c r="BB2913" s="76"/>
    </row>
    <row r="2914" spans="5:54" x14ac:dyDescent="0.35">
      <c r="E2914" s="83"/>
      <c r="F2914" s="83"/>
      <c r="G2914" s="76"/>
      <c r="H2914" s="76"/>
      <c r="I2914" s="76"/>
      <c r="J2914" s="76"/>
      <c r="K2914" s="76"/>
      <c r="L2914" s="76"/>
      <c r="M2914" s="76"/>
      <c r="N2914" s="76"/>
      <c r="O2914" s="76"/>
      <c r="P2914" s="76"/>
      <c r="Q2914" s="76"/>
      <c r="R2914" s="76"/>
      <c r="S2914" s="76"/>
      <c r="T2914" s="76"/>
      <c r="U2914" s="76"/>
      <c r="V2914" s="76"/>
      <c r="W2914" s="76"/>
      <c r="X2914" s="76"/>
      <c r="Y2914" s="76"/>
      <c r="Z2914" s="76"/>
      <c r="AA2914" s="76"/>
      <c r="AB2914" s="76"/>
      <c r="AC2914" s="76"/>
      <c r="AD2914" s="76"/>
      <c r="AE2914" s="76"/>
      <c r="AF2914" s="76"/>
      <c r="AG2914" s="76"/>
      <c r="AH2914" s="76"/>
      <c r="AI2914" s="76"/>
      <c r="AJ2914" s="76"/>
      <c r="AK2914" s="76"/>
      <c r="AL2914" s="76"/>
      <c r="AM2914" s="76"/>
      <c r="AN2914" s="76"/>
      <c r="AO2914" s="76"/>
      <c r="AP2914" s="76"/>
      <c r="AQ2914" s="76"/>
      <c r="AR2914" s="76"/>
      <c r="AS2914" s="76"/>
      <c r="AT2914" s="76"/>
      <c r="AU2914" s="76"/>
      <c r="AV2914" s="76"/>
      <c r="AW2914" s="76"/>
      <c r="AX2914" s="76"/>
      <c r="AY2914" s="76"/>
      <c r="AZ2914" s="76"/>
      <c r="BA2914" s="76"/>
      <c r="BB2914" s="76"/>
    </row>
    <row r="2915" spans="5:54" x14ac:dyDescent="0.35">
      <c r="E2915" s="83"/>
      <c r="F2915" s="83"/>
      <c r="G2915" s="76"/>
      <c r="H2915" s="76"/>
      <c r="I2915" s="76"/>
      <c r="J2915" s="76"/>
      <c r="K2915" s="76"/>
      <c r="L2915" s="76"/>
      <c r="M2915" s="76"/>
      <c r="N2915" s="76"/>
      <c r="O2915" s="76"/>
      <c r="P2915" s="76"/>
      <c r="Q2915" s="76"/>
      <c r="R2915" s="76"/>
      <c r="S2915" s="76"/>
      <c r="T2915" s="76"/>
      <c r="U2915" s="76"/>
      <c r="V2915" s="76"/>
      <c r="W2915" s="76"/>
      <c r="X2915" s="76"/>
      <c r="Y2915" s="76"/>
      <c r="Z2915" s="76"/>
      <c r="AA2915" s="76"/>
      <c r="AB2915" s="76"/>
      <c r="AC2915" s="76"/>
      <c r="AD2915" s="76"/>
      <c r="AE2915" s="76"/>
      <c r="AF2915" s="76"/>
      <c r="AG2915" s="76"/>
      <c r="AH2915" s="76"/>
      <c r="AI2915" s="76"/>
      <c r="AJ2915" s="76"/>
      <c r="AK2915" s="76"/>
      <c r="AL2915" s="76"/>
      <c r="AM2915" s="76"/>
      <c r="AN2915" s="76"/>
      <c r="AO2915" s="76"/>
      <c r="AP2915" s="76"/>
      <c r="AQ2915" s="76"/>
      <c r="AR2915" s="76"/>
      <c r="AS2915" s="76"/>
      <c r="AT2915" s="76"/>
      <c r="AU2915" s="76"/>
      <c r="AV2915" s="76"/>
      <c r="AW2915" s="76"/>
      <c r="AX2915" s="76"/>
      <c r="AY2915" s="76"/>
      <c r="AZ2915" s="76"/>
      <c r="BA2915" s="76"/>
      <c r="BB2915" s="76"/>
    </row>
    <row r="2916" spans="5:54" x14ac:dyDescent="0.35">
      <c r="E2916" s="83"/>
      <c r="F2916" s="83"/>
      <c r="G2916" s="76"/>
      <c r="H2916" s="76"/>
      <c r="I2916" s="76"/>
      <c r="J2916" s="76"/>
      <c r="K2916" s="76"/>
      <c r="L2916" s="76"/>
      <c r="M2916" s="76"/>
      <c r="N2916" s="76"/>
      <c r="O2916" s="76"/>
      <c r="P2916" s="76"/>
      <c r="Q2916" s="76"/>
      <c r="R2916" s="76"/>
      <c r="S2916" s="76"/>
      <c r="T2916" s="76"/>
      <c r="U2916" s="76"/>
      <c r="V2916" s="76"/>
      <c r="W2916" s="76"/>
      <c r="X2916" s="76"/>
      <c r="Y2916" s="76"/>
      <c r="Z2916" s="76"/>
      <c r="AA2916" s="76"/>
      <c r="AB2916" s="76"/>
      <c r="AC2916" s="76"/>
      <c r="AD2916" s="76"/>
      <c r="AE2916" s="76"/>
      <c r="AF2916" s="76"/>
      <c r="AG2916" s="76"/>
      <c r="AH2916" s="76"/>
      <c r="AI2916" s="76"/>
      <c r="AJ2916" s="76"/>
      <c r="AK2916" s="76"/>
      <c r="AL2916" s="76"/>
      <c r="AM2916" s="76"/>
      <c r="AN2916" s="76"/>
      <c r="AO2916" s="76"/>
      <c r="AP2916" s="76"/>
      <c r="AQ2916" s="76"/>
      <c r="AR2916" s="76"/>
      <c r="AS2916" s="76"/>
      <c r="AT2916" s="76"/>
      <c r="AU2916" s="76"/>
      <c r="AV2916" s="76"/>
      <c r="AW2916" s="76"/>
      <c r="AX2916" s="76"/>
      <c r="AY2916" s="76"/>
      <c r="AZ2916" s="76"/>
      <c r="BA2916" s="76"/>
      <c r="BB2916" s="76"/>
    </row>
    <row r="2917" spans="5:54" x14ac:dyDescent="0.35">
      <c r="E2917" s="83"/>
      <c r="F2917" s="83"/>
      <c r="G2917" s="76"/>
      <c r="H2917" s="76"/>
      <c r="I2917" s="76"/>
      <c r="J2917" s="76"/>
      <c r="K2917" s="76"/>
      <c r="L2917" s="76"/>
      <c r="M2917" s="76"/>
      <c r="N2917" s="76"/>
      <c r="O2917" s="76"/>
      <c r="P2917" s="76"/>
      <c r="Q2917" s="76"/>
      <c r="R2917" s="76"/>
      <c r="S2917" s="76"/>
      <c r="T2917" s="76"/>
      <c r="U2917" s="76"/>
      <c r="V2917" s="76"/>
      <c r="W2917" s="76"/>
      <c r="X2917" s="76"/>
      <c r="Y2917" s="76"/>
      <c r="Z2917" s="76"/>
      <c r="AA2917" s="76"/>
      <c r="AB2917" s="76"/>
      <c r="AC2917" s="76"/>
      <c r="AD2917" s="76"/>
      <c r="AE2917" s="76"/>
      <c r="AF2917" s="76"/>
      <c r="AG2917" s="76"/>
      <c r="AH2917" s="76"/>
      <c r="AI2917" s="76"/>
      <c r="AJ2917" s="76"/>
      <c r="AK2917" s="76"/>
      <c r="AL2917" s="76"/>
      <c r="AM2917" s="76"/>
      <c r="AN2917" s="76"/>
      <c r="AO2917" s="76"/>
      <c r="AP2917" s="76"/>
      <c r="AQ2917" s="76"/>
      <c r="AR2917" s="76"/>
      <c r="AS2917" s="76"/>
      <c r="AT2917" s="76"/>
      <c r="AU2917" s="76"/>
      <c r="AV2917" s="76"/>
      <c r="AW2917" s="76"/>
      <c r="AX2917" s="76"/>
      <c r="AY2917" s="76"/>
      <c r="AZ2917" s="76"/>
      <c r="BA2917" s="76"/>
      <c r="BB2917" s="76"/>
    </row>
    <row r="2918" spans="5:54" x14ac:dyDescent="0.35">
      <c r="E2918" s="83"/>
      <c r="F2918" s="83"/>
      <c r="G2918" s="76"/>
      <c r="H2918" s="76"/>
      <c r="I2918" s="76"/>
      <c r="J2918" s="76"/>
      <c r="K2918" s="76"/>
      <c r="L2918" s="76"/>
      <c r="M2918" s="76"/>
      <c r="N2918" s="76"/>
      <c r="O2918" s="76"/>
      <c r="P2918" s="76"/>
      <c r="Q2918" s="76"/>
      <c r="R2918" s="76"/>
      <c r="S2918" s="76"/>
      <c r="T2918" s="76"/>
      <c r="U2918" s="76"/>
      <c r="V2918" s="76"/>
      <c r="W2918" s="76"/>
      <c r="X2918" s="76"/>
      <c r="Y2918" s="76"/>
      <c r="Z2918" s="76"/>
      <c r="AA2918" s="76"/>
      <c r="AB2918" s="76"/>
      <c r="AC2918" s="76"/>
      <c r="AD2918" s="76"/>
      <c r="AE2918" s="76"/>
      <c r="AF2918" s="76"/>
      <c r="AG2918" s="76"/>
      <c r="AH2918" s="76"/>
      <c r="AI2918" s="76"/>
      <c r="AJ2918" s="76"/>
      <c r="AK2918" s="76"/>
      <c r="AL2918" s="76"/>
      <c r="AM2918" s="76"/>
      <c r="AN2918" s="76"/>
      <c r="AO2918" s="76"/>
      <c r="AP2918" s="76"/>
      <c r="AQ2918" s="76"/>
      <c r="AR2918" s="76"/>
      <c r="AS2918" s="76"/>
      <c r="AT2918" s="76"/>
      <c r="AU2918" s="76"/>
      <c r="AV2918" s="76"/>
      <c r="AW2918" s="76"/>
      <c r="AX2918" s="76"/>
      <c r="AY2918" s="76"/>
      <c r="AZ2918" s="76"/>
      <c r="BA2918" s="76"/>
      <c r="BB2918" s="76"/>
    </row>
    <row r="2919" spans="5:54" x14ac:dyDescent="0.35">
      <c r="E2919" s="83"/>
      <c r="F2919" s="83"/>
      <c r="G2919" s="76"/>
      <c r="H2919" s="76"/>
      <c r="I2919" s="76"/>
      <c r="J2919" s="76"/>
      <c r="K2919" s="76"/>
      <c r="L2919" s="76"/>
      <c r="M2919" s="76"/>
      <c r="N2919" s="76"/>
      <c r="O2919" s="76"/>
      <c r="P2919" s="76"/>
      <c r="Q2919" s="76"/>
      <c r="R2919" s="76"/>
      <c r="S2919" s="76"/>
      <c r="T2919" s="76"/>
      <c r="U2919" s="76"/>
      <c r="V2919" s="76"/>
      <c r="W2919" s="76"/>
      <c r="X2919" s="76"/>
      <c r="Y2919" s="76"/>
      <c r="Z2919" s="76"/>
      <c r="AA2919" s="76"/>
      <c r="AB2919" s="76"/>
      <c r="AC2919" s="76"/>
      <c r="AD2919" s="76"/>
      <c r="AE2919" s="76"/>
      <c r="AF2919" s="76"/>
      <c r="AG2919" s="76"/>
      <c r="AH2919" s="76"/>
      <c r="AI2919" s="76"/>
      <c r="AJ2919" s="76"/>
      <c r="AK2919" s="76"/>
      <c r="AL2919" s="76"/>
      <c r="AM2919" s="76"/>
      <c r="AN2919" s="76"/>
      <c r="AO2919" s="76"/>
      <c r="AP2919" s="76"/>
      <c r="AQ2919" s="76"/>
      <c r="AR2919" s="76"/>
      <c r="AS2919" s="76"/>
      <c r="AT2919" s="76"/>
      <c r="AU2919" s="76"/>
      <c r="AV2919" s="76"/>
      <c r="AW2919" s="76"/>
      <c r="AX2919" s="76"/>
      <c r="AY2919" s="76"/>
      <c r="AZ2919" s="76"/>
      <c r="BA2919" s="76"/>
      <c r="BB2919" s="76"/>
    </row>
    <row r="2920" spans="5:54" x14ac:dyDescent="0.35">
      <c r="E2920" s="83"/>
      <c r="F2920" s="83"/>
      <c r="G2920" s="76"/>
      <c r="H2920" s="76"/>
      <c r="I2920" s="76"/>
      <c r="J2920" s="76"/>
      <c r="K2920" s="76"/>
      <c r="L2920" s="76"/>
      <c r="M2920" s="76"/>
      <c r="N2920" s="76"/>
      <c r="O2920" s="76"/>
      <c r="P2920" s="76"/>
      <c r="Q2920" s="76"/>
      <c r="R2920" s="76"/>
      <c r="S2920" s="76"/>
      <c r="T2920" s="76"/>
      <c r="U2920" s="76"/>
      <c r="V2920" s="76"/>
      <c r="W2920" s="76"/>
      <c r="X2920" s="76"/>
      <c r="Y2920" s="76"/>
      <c r="Z2920" s="76"/>
      <c r="AA2920" s="76"/>
      <c r="AB2920" s="76"/>
      <c r="AC2920" s="76"/>
      <c r="AD2920" s="76"/>
      <c r="AE2920" s="76"/>
      <c r="AF2920" s="76"/>
      <c r="AG2920" s="76"/>
      <c r="AH2920" s="76"/>
      <c r="AI2920" s="76"/>
      <c r="AJ2920" s="76"/>
      <c r="AK2920" s="76"/>
      <c r="AL2920" s="76"/>
      <c r="AM2920" s="76"/>
      <c r="AN2920" s="76"/>
      <c r="AO2920" s="76"/>
      <c r="AP2920" s="76"/>
      <c r="AQ2920" s="76"/>
      <c r="AR2920" s="76"/>
      <c r="AS2920" s="76"/>
      <c r="AT2920" s="76"/>
      <c r="AU2920" s="76"/>
      <c r="AV2920" s="76"/>
      <c r="AW2920" s="76"/>
      <c r="AX2920" s="76"/>
      <c r="AY2920" s="76"/>
      <c r="AZ2920" s="76"/>
      <c r="BA2920" s="76"/>
      <c r="BB2920" s="76"/>
    </row>
    <row r="2921" spans="5:54" x14ac:dyDescent="0.35">
      <c r="E2921" s="83"/>
      <c r="F2921" s="83"/>
      <c r="G2921" s="76"/>
      <c r="H2921" s="76"/>
      <c r="I2921" s="76"/>
      <c r="J2921" s="76"/>
      <c r="K2921" s="76"/>
      <c r="L2921" s="76"/>
      <c r="M2921" s="76"/>
      <c r="N2921" s="76"/>
      <c r="O2921" s="76"/>
      <c r="P2921" s="76"/>
      <c r="Q2921" s="76"/>
      <c r="R2921" s="76"/>
      <c r="S2921" s="76"/>
      <c r="T2921" s="76"/>
      <c r="U2921" s="76"/>
      <c r="V2921" s="76"/>
      <c r="W2921" s="76"/>
      <c r="X2921" s="76"/>
      <c r="Y2921" s="76"/>
      <c r="Z2921" s="76"/>
      <c r="AA2921" s="76"/>
      <c r="AB2921" s="76"/>
      <c r="AC2921" s="76"/>
      <c r="AD2921" s="76"/>
      <c r="AE2921" s="76"/>
      <c r="AF2921" s="76"/>
      <c r="AG2921" s="76"/>
      <c r="AH2921" s="76"/>
      <c r="AI2921" s="76"/>
      <c r="AJ2921" s="76"/>
      <c r="AK2921" s="76"/>
      <c r="AL2921" s="76"/>
      <c r="AM2921" s="76"/>
      <c r="AN2921" s="76"/>
      <c r="AO2921" s="76"/>
      <c r="AP2921" s="76"/>
      <c r="AQ2921" s="76"/>
      <c r="AR2921" s="76"/>
      <c r="AS2921" s="76"/>
      <c r="AT2921" s="76"/>
      <c r="AU2921" s="76"/>
      <c r="AV2921" s="76"/>
      <c r="AW2921" s="76"/>
      <c r="AX2921" s="76"/>
      <c r="AY2921" s="76"/>
      <c r="AZ2921" s="76"/>
      <c r="BA2921" s="76"/>
      <c r="BB2921" s="76"/>
    </row>
    <row r="2922" spans="5:54" x14ac:dyDescent="0.35">
      <c r="E2922" s="83"/>
      <c r="F2922" s="83"/>
      <c r="G2922" s="76"/>
      <c r="H2922" s="76"/>
      <c r="I2922" s="76"/>
      <c r="J2922" s="76"/>
      <c r="K2922" s="76"/>
      <c r="L2922" s="76"/>
      <c r="M2922" s="76"/>
      <c r="N2922" s="76"/>
      <c r="O2922" s="76"/>
      <c r="P2922" s="76"/>
      <c r="Q2922" s="76"/>
      <c r="R2922" s="76"/>
      <c r="S2922" s="76"/>
      <c r="T2922" s="76"/>
      <c r="U2922" s="76"/>
      <c r="V2922" s="76"/>
      <c r="W2922" s="76"/>
      <c r="X2922" s="76"/>
      <c r="Y2922" s="76"/>
      <c r="Z2922" s="76"/>
      <c r="AA2922" s="76"/>
      <c r="AB2922" s="76"/>
      <c r="AC2922" s="76"/>
      <c r="AD2922" s="76"/>
      <c r="AE2922" s="76"/>
      <c r="AF2922" s="76"/>
      <c r="AG2922" s="76"/>
      <c r="AH2922" s="76"/>
      <c r="AI2922" s="76"/>
      <c r="AJ2922" s="76"/>
      <c r="AK2922" s="76"/>
      <c r="AL2922" s="76"/>
      <c r="AM2922" s="76"/>
      <c r="AN2922" s="76"/>
      <c r="AO2922" s="76"/>
      <c r="AP2922" s="76"/>
      <c r="AQ2922" s="76"/>
      <c r="AR2922" s="76"/>
      <c r="AS2922" s="76"/>
      <c r="AT2922" s="76"/>
      <c r="AU2922" s="76"/>
      <c r="AV2922" s="76"/>
      <c r="AW2922" s="76"/>
      <c r="AX2922" s="76"/>
      <c r="AY2922" s="76"/>
      <c r="AZ2922" s="76"/>
      <c r="BA2922" s="76"/>
      <c r="BB2922" s="76"/>
    </row>
    <row r="2923" spans="5:54" x14ac:dyDescent="0.35">
      <c r="E2923" s="83"/>
      <c r="F2923" s="83"/>
      <c r="G2923" s="76"/>
      <c r="H2923" s="76"/>
      <c r="I2923" s="76"/>
      <c r="J2923" s="76"/>
      <c r="K2923" s="76"/>
      <c r="L2923" s="76"/>
      <c r="M2923" s="76"/>
      <c r="N2923" s="76"/>
      <c r="O2923" s="76"/>
      <c r="P2923" s="76"/>
      <c r="Q2923" s="76"/>
      <c r="R2923" s="76"/>
      <c r="S2923" s="76"/>
      <c r="T2923" s="76"/>
      <c r="U2923" s="76"/>
      <c r="V2923" s="76"/>
      <c r="W2923" s="76"/>
      <c r="X2923" s="76"/>
      <c r="Y2923" s="76"/>
      <c r="Z2923" s="76"/>
      <c r="AA2923" s="76"/>
      <c r="AB2923" s="76"/>
      <c r="AC2923" s="76"/>
      <c r="AD2923" s="76"/>
      <c r="AE2923" s="76"/>
      <c r="AF2923" s="76"/>
      <c r="AG2923" s="76"/>
      <c r="AH2923" s="76"/>
      <c r="AI2923" s="76"/>
      <c r="AJ2923" s="76"/>
      <c r="AK2923" s="76"/>
      <c r="AL2923" s="76"/>
      <c r="AM2923" s="76"/>
      <c r="AN2923" s="76"/>
      <c r="AO2923" s="76"/>
      <c r="AP2923" s="76"/>
      <c r="AQ2923" s="76"/>
      <c r="AR2923" s="76"/>
      <c r="AS2923" s="76"/>
      <c r="AT2923" s="76"/>
      <c r="AU2923" s="76"/>
      <c r="AV2923" s="76"/>
      <c r="AW2923" s="76"/>
      <c r="AX2923" s="76"/>
      <c r="AY2923" s="76"/>
      <c r="AZ2923" s="76"/>
      <c r="BA2923" s="76"/>
      <c r="BB2923" s="76"/>
    </row>
    <row r="2924" spans="5:54" x14ac:dyDescent="0.35">
      <c r="E2924" s="83"/>
      <c r="F2924" s="83"/>
      <c r="G2924" s="76"/>
      <c r="H2924" s="76"/>
      <c r="I2924" s="76"/>
      <c r="J2924" s="76"/>
      <c r="K2924" s="76"/>
      <c r="L2924" s="76"/>
      <c r="M2924" s="76"/>
      <c r="N2924" s="76"/>
      <c r="O2924" s="76"/>
      <c r="P2924" s="76"/>
      <c r="Q2924" s="76"/>
      <c r="R2924" s="76"/>
      <c r="S2924" s="76"/>
      <c r="T2924" s="76"/>
      <c r="U2924" s="76"/>
      <c r="V2924" s="76"/>
      <c r="W2924" s="76"/>
      <c r="X2924" s="76"/>
      <c r="Y2924" s="76"/>
      <c r="Z2924" s="76"/>
      <c r="AA2924" s="76"/>
      <c r="AB2924" s="76"/>
      <c r="AC2924" s="76"/>
      <c r="AD2924" s="76"/>
      <c r="AE2924" s="76"/>
      <c r="AF2924" s="76"/>
      <c r="AG2924" s="76"/>
      <c r="AH2924" s="76"/>
      <c r="AI2924" s="76"/>
      <c r="AJ2924" s="76"/>
      <c r="AK2924" s="76"/>
      <c r="AL2924" s="76"/>
      <c r="AM2924" s="76"/>
      <c r="AN2924" s="76"/>
      <c r="AO2924" s="76"/>
      <c r="AP2924" s="76"/>
      <c r="AQ2924" s="76"/>
      <c r="AR2924" s="76"/>
      <c r="AS2924" s="76"/>
      <c r="AT2924" s="76"/>
      <c r="AU2924" s="76"/>
      <c r="AV2924" s="76"/>
      <c r="AW2924" s="76"/>
      <c r="AX2924" s="76"/>
      <c r="AY2924" s="76"/>
      <c r="AZ2924" s="76"/>
      <c r="BA2924" s="76"/>
      <c r="BB2924" s="76"/>
    </row>
    <row r="2925" spans="5:54" x14ac:dyDescent="0.35">
      <c r="E2925" s="83"/>
      <c r="F2925" s="83"/>
      <c r="G2925" s="76"/>
      <c r="H2925" s="76"/>
      <c r="I2925" s="76"/>
      <c r="J2925" s="76"/>
      <c r="K2925" s="76"/>
      <c r="L2925" s="76"/>
      <c r="M2925" s="76"/>
      <c r="N2925" s="76"/>
      <c r="O2925" s="76"/>
      <c r="P2925" s="76"/>
      <c r="Q2925" s="76"/>
      <c r="R2925" s="76"/>
      <c r="S2925" s="76"/>
      <c r="T2925" s="76"/>
      <c r="U2925" s="76"/>
      <c r="V2925" s="76"/>
      <c r="W2925" s="76"/>
      <c r="X2925" s="76"/>
      <c r="Y2925" s="76"/>
      <c r="Z2925" s="76"/>
      <c r="AA2925" s="76"/>
      <c r="AB2925" s="76"/>
      <c r="AC2925" s="76"/>
      <c r="AD2925" s="76"/>
      <c r="AE2925" s="76"/>
      <c r="AF2925" s="76"/>
      <c r="AG2925" s="76"/>
      <c r="AH2925" s="76"/>
      <c r="AI2925" s="76"/>
      <c r="AJ2925" s="76"/>
      <c r="AK2925" s="76"/>
      <c r="AL2925" s="76"/>
      <c r="AM2925" s="76"/>
      <c r="AN2925" s="76"/>
      <c r="AO2925" s="76"/>
      <c r="AP2925" s="76"/>
      <c r="AQ2925" s="76"/>
      <c r="AR2925" s="76"/>
      <c r="AS2925" s="76"/>
      <c r="AT2925" s="76"/>
      <c r="AU2925" s="76"/>
      <c r="AV2925" s="76"/>
      <c r="AW2925" s="76"/>
      <c r="AX2925" s="76"/>
      <c r="AY2925" s="76"/>
      <c r="AZ2925" s="76"/>
      <c r="BA2925" s="76"/>
      <c r="BB2925" s="76"/>
    </row>
    <row r="2926" spans="5:54" x14ac:dyDescent="0.35">
      <c r="E2926" s="83"/>
      <c r="F2926" s="83"/>
      <c r="G2926" s="76"/>
      <c r="H2926" s="76"/>
      <c r="I2926" s="76"/>
      <c r="J2926" s="76"/>
      <c r="K2926" s="76"/>
      <c r="L2926" s="76"/>
      <c r="M2926" s="76"/>
      <c r="N2926" s="76"/>
      <c r="O2926" s="76"/>
      <c r="P2926" s="76"/>
      <c r="Q2926" s="76"/>
      <c r="R2926" s="76"/>
      <c r="S2926" s="76"/>
      <c r="T2926" s="76"/>
      <c r="U2926" s="76"/>
      <c r="V2926" s="76"/>
      <c r="W2926" s="76"/>
      <c r="X2926" s="76"/>
      <c r="Y2926" s="76"/>
      <c r="Z2926" s="76"/>
      <c r="AA2926" s="76"/>
      <c r="AB2926" s="76"/>
      <c r="AC2926" s="76"/>
      <c r="AD2926" s="76"/>
      <c r="AE2926" s="76"/>
      <c r="AF2926" s="76"/>
      <c r="AG2926" s="76"/>
      <c r="AH2926" s="76"/>
      <c r="AI2926" s="76"/>
      <c r="AJ2926" s="76"/>
      <c r="AK2926" s="76"/>
      <c r="AL2926" s="76"/>
      <c r="AM2926" s="76"/>
      <c r="AN2926" s="76"/>
      <c r="AO2926" s="76"/>
      <c r="AP2926" s="76"/>
      <c r="AQ2926" s="76"/>
      <c r="AR2926" s="76"/>
      <c r="AS2926" s="76"/>
      <c r="AT2926" s="76"/>
      <c r="AU2926" s="76"/>
      <c r="AV2926" s="76"/>
      <c r="AW2926" s="76"/>
      <c r="AX2926" s="76"/>
      <c r="AY2926" s="76"/>
      <c r="AZ2926" s="76"/>
      <c r="BA2926" s="76"/>
      <c r="BB2926" s="76"/>
    </row>
    <row r="2927" spans="5:54" x14ac:dyDescent="0.35">
      <c r="E2927" s="83"/>
      <c r="F2927" s="83"/>
      <c r="G2927" s="76"/>
      <c r="H2927" s="76"/>
      <c r="I2927" s="76"/>
      <c r="J2927" s="76"/>
      <c r="K2927" s="76"/>
      <c r="L2927" s="76"/>
      <c r="M2927" s="76"/>
      <c r="N2927" s="76"/>
      <c r="O2927" s="76"/>
      <c r="P2927" s="76"/>
      <c r="Q2927" s="76"/>
      <c r="R2927" s="76"/>
      <c r="S2927" s="76"/>
      <c r="T2927" s="76"/>
      <c r="U2927" s="76"/>
      <c r="V2927" s="76"/>
      <c r="W2927" s="76"/>
      <c r="X2927" s="76"/>
      <c r="Y2927" s="76"/>
      <c r="Z2927" s="76"/>
      <c r="AA2927" s="76"/>
      <c r="AB2927" s="76"/>
      <c r="AC2927" s="76"/>
      <c r="AD2927" s="76"/>
      <c r="AE2927" s="76"/>
      <c r="AF2927" s="76"/>
      <c r="AG2927" s="76"/>
      <c r="AH2927" s="76"/>
      <c r="AI2927" s="76"/>
      <c r="AJ2927" s="76"/>
      <c r="AK2927" s="76"/>
      <c r="AL2927" s="76"/>
      <c r="AM2927" s="76"/>
      <c r="AN2927" s="76"/>
      <c r="AO2927" s="76"/>
      <c r="AP2927" s="76"/>
      <c r="AQ2927" s="76"/>
      <c r="AR2927" s="76"/>
      <c r="AS2927" s="76"/>
      <c r="AT2927" s="76"/>
      <c r="AU2927" s="76"/>
      <c r="AV2927" s="76"/>
      <c r="AW2927" s="76"/>
      <c r="AX2927" s="76"/>
      <c r="AY2927" s="76"/>
      <c r="AZ2927" s="76"/>
      <c r="BA2927" s="76"/>
      <c r="BB2927" s="76"/>
    </row>
    <row r="2928" spans="5:54" x14ac:dyDescent="0.35">
      <c r="E2928" s="83"/>
      <c r="F2928" s="83"/>
      <c r="G2928" s="76"/>
      <c r="H2928" s="76"/>
      <c r="I2928" s="76"/>
      <c r="J2928" s="76"/>
      <c r="K2928" s="76"/>
      <c r="L2928" s="76"/>
      <c r="M2928" s="76"/>
      <c r="N2928" s="76"/>
      <c r="O2928" s="76"/>
      <c r="P2928" s="76"/>
      <c r="Q2928" s="76"/>
      <c r="R2928" s="76"/>
      <c r="S2928" s="76"/>
      <c r="T2928" s="76"/>
      <c r="U2928" s="76"/>
      <c r="V2928" s="76"/>
      <c r="W2928" s="76"/>
      <c r="X2928" s="76"/>
      <c r="Y2928" s="76"/>
      <c r="Z2928" s="76"/>
      <c r="AA2928" s="76"/>
      <c r="AB2928" s="76"/>
      <c r="AC2928" s="76"/>
      <c r="AD2928" s="76"/>
      <c r="AE2928" s="76"/>
      <c r="AF2928" s="76"/>
      <c r="AG2928" s="76"/>
      <c r="AH2928" s="76"/>
      <c r="AI2928" s="76"/>
      <c r="AJ2928" s="76"/>
      <c r="AK2928" s="76"/>
      <c r="AL2928" s="76"/>
      <c r="AM2928" s="76"/>
      <c r="AN2928" s="76"/>
      <c r="AO2928" s="76"/>
      <c r="AP2928" s="76"/>
      <c r="AQ2928" s="76"/>
      <c r="AR2928" s="76"/>
      <c r="AS2928" s="76"/>
      <c r="AT2928" s="76"/>
      <c r="AU2928" s="76"/>
      <c r="AV2928" s="76"/>
      <c r="AW2928" s="76"/>
      <c r="AX2928" s="76"/>
      <c r="AY2928" s="76"/>
      <c r="AZ2928" s="76"/>
      <c r="BA2928" s="76"/>
      <c r="BB2928" s="76"/>
    </row>
    <row r="2929" spans="5:54" x14ac:dyDescent="0.35">
      <c r="E2929" s="83"/>
      <c r="F2929" s="83"/>
      <c r="G2929" s="76"/>
      <c r="H2929" s="76"/>
      <c r="I2929" s="76"/>
      <c r="J2929" s="76"/>
      <c r="K2929" s="76"/>
      <c r="L2929" s="76"/>
      <c r="M2929" s="76"/>
      <c r="N2929" s="76"/>
      <c r="O2929" s="76"/>
      <c r="P2929" s="76"/>
      <c r="Q2929" s="76"/>
      <c r="R2929" s="76"/>
      <c r="S2929" s="76"/>
      <c r="T2929" s="76"/>
      <c r="U2929" s="76"/>
      <c r="V2929" s="76"/>
      <c r="W2929" s="76"/>
      <c r="X2929" s="76"/>
      <c r="Y2929" s="76"/>
      <c r="Z2929" s="76"/>
      <c r="AA2929" s="76"/>
      <c r="AB2929" s="76"/>
      <c r="AC2929" s="76"/>
      <c r="AD2929" s="76"/>
      <c r="AE2929" s="76"/>
      <c r="AF2929" s="76"/>
      <c r="AG2929" s="76"/>
      <c r="AH2929" s="76"/>
      <c r="AI2929" s="76"/>
      <c r="AJ2929" s="76"/>
      <c r="AK2929" s="76"/>
      <c r="AL2929" s="76"/>
      <c r="AM2929" s="76"/>
      <c r="AN2929" s="76"/>
      <c r="AO2929" s="76"/>
      <c r="AP2929" s="76"/>
      <c r="AQ2929" s="76"/>
      <c r="AR2929" s="76"/>
      <c r="AS2929" s="76"/>
      <c r="AT2929" s="76"/>
      <c r="AU2929" s="76"/>
      <c r="AV2929" s="76"/>
      <c r="AW2929" s="76"/>
      <c r="AX2929" s="76"/>
      <c r="AY2929" s="76"/>
      <c r="AZ2929" s="76"/>
      <c r="BA2929" s="76"/>
      <c r="BB2929" s="76"/>
    </row>
    <row r="2930" spans="5:54" x14ac:dyDescent="0.35">
      <c r="E2930" s="83"/>
      <c r="F2930" s="83"/>
      <c r="G2930" s="76"/>
      <c r="H2930" s="76"/>
      <c r="I2930" s="76"/>
      <c r="J2930" s="76"/>
      <c r="K2930" s="76"/>
      <c r="L2930" s="76"/>
      <c r="M2930" s="76"/>
      <c r="N2930" s="76"/>
      <c r="O2930" s="76"/>
      <c r="P2930" s="76"/>
      <c r="Q2930" s="76"/>
      <c r="R2930" s="76"/>
      <c r="S2930" s="76"/>
      <c r="T2930" s="76"/>
      <c r="U2930" s="76"/>
      <c r="V2930" s="76"/>
      <c r="W2930" s="76"/>
      <c r="X2930" s="76"/>
      <c r="Y2930" s="76"/>
      <c r="Z2930" s="76"/>
      <c r="AA2930" s="76"/>
      <c r="AB2930" s="76"/>
      <c r="AC2930" s="76"/>
      <c r="AD2930" s="76"/>
      <c r="AE2930" s="76"/>
      <c r="AF2930" s="76"/>
      <c r="AG2930" s="76"/>
      <c r="AH2930" s="76"/>
      <c r="AI2930" s="76"/>
      <c r="AJ2930" s="76"/>
      <c r="AK2930" s="76"/>
      <c r="AL2930" s="76"/>
      <c r="AM2930" s="76"/>
      <c r="AN2930" s="76"/>
      <c r="AO2930" s="76"/>
      <c r="AP2930" s="76"/>
      <c r="AQ2930" s="76"/>
      <c r="AR2930" s="76"/>
      <c r="AS2930" s="76"/>
      <c r="AT2930" s="76"/>
      <c r="AU2930" s="76"/>
      <c r="AV2930" s="76"/>
      <c r="AW2930" s="76"/>
      <c r="AX2930" s="76"/>
      <c r="AY2930" s="76"/>
      <c r="AZ2930" s="76"/>
      <c r="BA2930" s="76"/>
      <c r="BB2930" s="76"/>
    </row>
    <row r="2931" spans="5:54" x14ac:dyDescent="0.35">
      <c r="E2931" s="83"/>
      <c r="F2931" s="83"/>
      <c r="G2931" s="76"/>
      <c r="H2931" s="76"/>
      <c r="I2931" s="76"/>
      <c r="J2931" s="76"/>
      <c r="K2931" s="76"/>
      <c r="L2931" s="76"/>
      <c r="M2931" s="76"/>
      <c r="N2931" s="76"/>
      <c r="O2931" s="76"/>
      <c r="P2931" s="76"/>
      <c r="Q2931" s="76"/>
      <c r="R2931" s="76"/>
      <c r="S2931" s="76"/>
      <c r="T2931" s="76"/>
      <c r="U2931" s="76"/>
      <c r="V2931" s="76"/>
      <c r="W2931" s="76"/>
      <c r="X2931" s="76"/>
      <c r="Y2931" s="76"/>
      <c r="Z2931" s="76"/>
      <c r="AA2931" s="76"/>
      <c r="AB2931" s="76"/>
      <c r="AC2931" s="76"/>
      <c r="AD2931" s="76"/>
      <c r="AE2931" s="76"/>
      <c r="AF2931" s="76"/>
      <c r="AG2931" s="76"/>
      <c r="AH2931" s="76"/>
      <c r="AI2931" s="76"/>
      <c r="AJ2931" s="76"/>
      <c r="AK2931" s="76"/>
      <c r="AL2931" s="76"/>
      <c r="AM2931" s="76"/>
      <c r="AN2931" s="76"/>
      <c r="AO2931" s="76"/>
      <c r="AP2931" s="76"/>
      <c r="AQ2931" s="76"/>
      <c r="AR2931" s="76"/>
      <c r="AS2931" s="76"/>
      <c r="AT2931" s="76"/>
      <c r="AU2931" s="76"/>
      <c r="AV2931" s="76"/>
      <c r="AW2931" s="76"/>
      <c r="AX2931" s="76"/>
      <c r="AY2931" s="76"/>
      <c r="AZ2931" s="76"/>
      <c r="BA2931" s="76"/>
      <c r="BB2931" s="76"/>
    </row>
    <row r="2932" spans="5:54" x14ac:dyDescent="0.35">
      <c r="E2932" s="83"/>
      <c r="F2932" s="83"/>
      <c r="G2932" s="76"/>
      <c r="H2932" s="76"/>
      <c r="I2932" s="76"/>
      <c r="J2932" s="76"/>
      <c r="K2932" s="76"/>
      <c r="L2932" s="76"/>
      <c r="M2932" s="76"/>
      <c r="N2932" s="76"/>
      <c r="O2932" s="76"/>
      <c r="P2932" s="76"/>
      <c r="Q2932" s="76"/>
      <c r="R2932" s="76"/>
      <c r="S2932" s="76"/>
      <c r="T2932" s="76"/>
      <c r="U2932" s="76"/>
      <c r="V2932" s="76"/>
      <c r="W2932" s="76"/>
      <c r="X2932" s="76"/>
      <c r="Y2932" s="76"/>
      <c r="Z2932" s="76"/>
      <c r="AA2932" s="76"/>
      <c r="AB2932" s="76"/>
      <c r="AC2932" s="76"/>
      <c r="AD2932" s="76"/>
      <c r="AE2932" s="76"/>
      <c r="AF2932" s="76"/>
      <c r="AG2932" s="76"/>
      <c r="AH2932" s="76"/>
      <c r="AI2932" s="76"/>
      <c r="AJ2932" s="76"/>
      <c r="AK2932" s="76"/>
      <c r="AL2932" s="76"/>
      <c r="AM2932" s="76"/>
      <c r="AN2932" s="76"/>
      <c r="AO2932" s="76"/>
      <c r="AP2932" s="76"/>
      <c r="AQ2932" s="76"/>
      <c r="AR2932" s="76"/>
      <c r="AS2932" s="76"/>
      <c r="AT2932" s="76"/>
      <c r="AU2932" s="76"/>
      <c r="AV2932" s="76"/>
      <c r="AW2932" s="76"/>
      <c r="AX2932" s="76"/>
      <c r="AY2932" s="76"/>
      <c r="AZ2932" s="76"/>
      <c r="BA2932" s="76"/>
      <c r="BB2932" s="76"/>
    </row>
    <row r="2933" spans="5:54" x14ac:dyDescent="0.35">
      <c r="E2933" s="83"/>
      <c r="F2933" s="83"/>
      <c r="G2933" s="76"/>
      <c r="H2933" s="76"/>
      <c r="I2933" s="76"/>
      <c r="J2933" s="76"/>
      <c r="K2933" s="76"/>
      <c r="L2933" s="76"/>
      <c r="M2933" s="76"/>
      <c r="N2933" s="76"/>
      <c r="O2933" s="76"/>
      <c r="P2933" s="76"/>
      <c r="Q2933" s="76"/>
      <c r="R2933" s="76"/>
      <c r="S2933" s="76"/>
      <c r="T2933" s="76"/>
      <c r="U2933" s="76"/>
      <c r="V2933" s="76"/>
      <c r="W2933" s="76"/>
      <c r="X2933" s="76"/>
      <c r="Y2933" s="76"/>
      <c r="Z2933" s="76"/>
      <c r="AA2933" s="76"/>
      <c r="AB2933" s="76"/>
      <c r="AC2933" s="76"/>
      <c r="AD2933" s="76"/>
      <c r="AE2933" s="76"/>
      <c r="AF2933" s="76"/>
      <c r="AG2933" s="76"/>
      <c r="AH2933" s="76"/>
      <c r="AI2933" s="76"/>
      <c r="AJ2933" s="76"/>
      <c r="AK2933" s="76"/>
      <c r="AL2933" s="76"/>
      <c r="AM2933" s="76"/>
      <c r="AN2933" s="76"/>
      <c r="AO2933" s="76"/>
      <c r="AP2933" s="76"/>
      <c r="AQ2933" s="76"/>
      <c r="AR2933" s="76"/>
      <c r="AS2933" s="76"/>
      <c r="AT2933" s="76"/>
      <c r="AU2933" s="76"/>
      <c r="AV2933" s="76"/>
      <c r="AW2933" s="76"/>
      <c r="AX2933" s="76"/>
      <c r="AY2933" s="76"/>
      <c r="AZ2933" s="76"/>
      <c r="BA2933" s="76"/>
      <c r="BB2933" s="76"/>
    </row>
    <row r="2934" spans="5:54" x14ac:dyDescent="0.35">
      <c r="E2934" s="83"/>
      <c r="F2934" s="83"/>
      <c r="G2934" s="76"/>
      <c r="H2934" s="76"/>
      <c r="I2934" s="76"/>
      <c r="J2934" s="76"/>
      <c r="K2934" s="76"/>
      <c r="L2934" s="76"/>
      <c r="M2934" s="76"/>
      <c r="N2934" s="76"/>
      <c r="O2934" s="76"/>
      <c r="P2934" s="76"/>
      <c r="Q2934" s="76"/>
      <c r="R2934" s="76"/>
      <c r="S2934" s="76"/>
      <c r="T2934" s="76"/>
      <c r="U2934" s="76"/>
      <c r="V2934" s="76"/>
      <c r="W2934" s="76"/>
      <c r="X2934" s="76"/>
      <c r="Y2934" s="76"/>
      <c r="Z2934" s="76"/>
      <c r="AA2934" s="76"/>
      <c r="AB2934" s="76"/>
      <c r="AC2934" s="76"/>
      <c r="AD2934" s="76"/>
      <c r="AE2934" s="76"/>
      <c r="AF2934" s="76"/>
      <c r="AG2934" s="76"/>
      <c r="AH2934" s="76"/>
      <c r="AI2934" s="76"/>
      <c r="AJ2934" s="76"/>
      <c r="AK2934" s="76"/>
      <c r="AL2934" s="76"/>
      <c r="AM2934" s="76"/>
      <c r="AN2934" s="76"/>
      <c r="AO2934" s="76"/>
      <c r="AP2934" s="76"/>
      <c r="AQ2934" s="76"/>
      <c r="AR2934" s="76"/>
      <c r="AS2934" s="76"/>
      <c r="AT2934" s="76"/>
      <c r="AU2934" s="76"/>
      <c r="AV2934" s="76"/>
      <c r="AW2934" s="76"/>
      <c r="AX2934" s="76"/>
      <c r="AY2934" s="76"/>
      <c r="AZ2934" s="76"/>
      <c r="BA2934" s="76"/>
      <c r="BB2934" s="76"/>
    </row>
    <row r="2935" spans="5:54" x14ac:dyDescent="0.35">
      <c r="E2935" s="83"/>
      <c r="F2935" s="83"/>
      <c r="G2935" s="76"/>
      <c r="H2935" s="76"/>
      <c r="I2935" s="76"/>
      <c r="J2935" s="76"/>
      <c r="K2935" s="76"/>
      <c r="L2935" s="76"/>
      <c r="M2935" s="76"/>
      <c r="N2935" s="76"/>
      <c r="O2935" s="76"/>
      <c r="P2935" s="76"/>
      <c r="Q2935" s="76"/>
      <c r="R2935" s="76"/>
      <c r="S2935" s="76"/>
      <c r="T2935" s="76"/>
      <c r="U2935" s="76"/>
      <c r="V2935" s="76"/>
      <c r="W2935" s="76"/>
      <c r="X2935" s="76"/>
      <c r="Y2935" s="76"/>
      <c r="Z2935" s="76"/>
      <c r="AA2935" s="76"/>
      <c r="AB2935" s="76"/>
      <c r="AC2935" s="76"/>
      <c r="AD2935" s="76"/>
      <c r="AE2935" s="76"/>
      <c r="AF2935" s="76"/>
      <c r="AG2935" s="76"/>
      <c r="AH2935" s="76"/>
      <c r="AI2935" s="76"/>
      <c r="AJ2935" s="76"/>
      <c r="AK2935" s="76"/>
      <c r="AL2935" s="76"/>
      <c r="AM2935" s="76"/>
      <c r="AN2935" s="76"/>
      <c r="AO2935" s="76"/>
      <c r="AP2935" s="76"/>
      <c r="AQ2935" s="76"/>
      <c r="AR2935" s="76"/>
      <c r="AS2935" s="76"/>
      <c r="AT2935" s="76"/>
      <c r="AU2935" s="76"/>
      <c r="AV2935" s="76"/>
      <c r="AW2935" s="76"/>
      <c r="AX2935" s="76"/>
      <c r="AY2935" s="76"/>
      <c r="AZ2935" s="76"/>
      <c r="BA2935" s="76"/>
      <c r="BB2935" s="76"/>
    </row>
    <row r="2936" spans="5:54" x14ac:dyDescent="0.35">
      <c r="E2936" s="83"/>
      <c r="F2936" s="83"/>
      <c r="G2936" s="76"/>
      <c r="H2936" s="76"/>
      <c r="I2936" s="76"/>
      <c r="J2936" s="76"/>
      <c r="K2936" s="76"/>
      <c r="L2936" s="76"/>
      <c r="M2936" s="76"/>
      <c r="N2936" s="76"/>
      <c r="O2936" s="76"/>
      <c r="P2936" s="76"/>
      <c r="Q2936" s="76"/>
      <c r="R2936" s="76"/>
      <c r="S2936" s="76"/>
      <c r="T2936" s="76"/>
      <c r="U2936" s="76"/>
      <c r="V2936" s="76"/>
      <c r="W2936" s="76"/>
      <c r="X2936" s="76"/>
      <c r="Y2936" s="76"/>
      <c r="Z2936" s="76"/>
      <c r="AA2936" s="76"/>
      <c r="AB2936" s="76"/>
      <c r="AC2936" s="76"/>
      <c r="AD2936" s="76"/>
      <c r="AE2936" s="76"/>
      <c r="AF2936" s="76"/>
      <c r="AG2936" s="76"/>
      <c r="AH2936" s="76"/>
      <c r="AI2936" s="76"/>
      <c r="AJ2936" s="76"/>
      <c r="AK2936" s="76"/>
      <c r="AL2936" s="76"/>
      <c r="AM2936" s="76"/>
      <c r="AN2936" s="76"/>
      <c r="AO2936" s="76"/>
      <c r="AP2936" s="76"/>
      <c r="AQ2936" s="76"/>
      <c r="AR2936" s="76"/>
      <c r="AS2936" s="76"/>
      <c r="AT2936" s="76"/>
      <c r="AU2936" s="76"/>
      <c r="AV2936" s="76"/>
      <c r="AW2936" s="76"/>
      <c r="AX2936" s="76"/>
      <c r="AY2936" s="76"/>
      <c r="AZ2936" s="76"/>
      <c r="BA2936" s="76"/>
      <c r="BB2936" s="76"/>
    </row>
    <row r="2937" spans="5:54" x14ac:dyDescent="0.35">
      <c r="E2937" s="83"/>
      <c r="F2937" s="83"/>
      <c r="G2937" s="76"/>
      <c r="H2937" s="76"/>
      <c r="I2937" s="76"/>
      <c r="J2937" s="76"/>
      <c r="K2937" s="76"/>
      <c r="L2937" s="76"/>
      <c r="M2937" s="76"/>
      <c r="N2937" s="76"/>
      <c r="O2937" s="76"/>
      <c r="P2937" s="76"/>
      <c r="Q2937" s="76"/>
      <c r="R2937" s="76"/>
      <c r="S2937" s="76"/>
      <c r="T2937" s="76"/>
      <c r="U2937" s="76"/>
      <c r="V2937" s="76"/>
      <c r="W2937" s="76"/>
      <c r="X2937" s="76"/>
      <c r="Y2937" s="76"/>
      <c r="Z2937" s="76"/>
      <c r="AA2937" s="76"/>
      <c r="AB2937" s="76"/>
      <c r="AC2937" s="76"/>
      <c r="AD2937" s="76"/>
      <c r="AE2937" s="76"/>
      <c r="AF2937" s="76"/>
      <c r="AG2937" s="76"/>
      <c r="AH2937" s="76"/>
      <c r="AI2937" s="76"/>
      <c r="AJ2937" s="76"/>
      <c r="AK2937" s="76"/>
      <c r="AL2937" s="76"/>
      <c r="AM2937" s="76"/>
      <c r="AN2937" s="76"/>
      <c r="AO2937" s="76"/>
      <c r="AP2937" s="76"/>
      <c r="AQ2937" s="76"/>
      <c r="AR2937" s="76"/>
      <c r="AS2937" s="76"/>
      <c r="AT2937" s="76"/>
      <c r="AU2937" s="76"/>
      <c r="AV2937" s="76"/>
      <c r="AW2937" s="76"/>
      <c r="AX2937" s="76"/>
      <c r="AY2937" s="76"/>
      <c r="AZ2937" s="76"/>
      <c r="BA2937" s="76"/>
      <c r="BB2937" s="76"/>
    </row>
    <row r="2938" spans="5:54" x14ac:dyDescent="0.35">
      <c r="E2938" s="83"/>
      <c r="F2938" s="83"/>
      <c r="G2938" s="76"/>
      <c r="H2938" s="76"/>
      <c r="I2938" s="76"/>
      <c r="J2938" s="76"/>
      <c r="K2938" s="76"/>
      <c r="L2938" s="76"/>
      <c r="M2938" s="76"/>
      <c r="N2938" s="76"/>
      <c r="O2938" s="76"/>
      <c r="P2938" s="76"/>
      <c r="Q2938" s="76"/>
      <c r="R2938" s="76"/>
      <c r="S2938" s="76"/>
      <c r="T2938" s="76"/>
      <c r="U2938" s="76"/>
      <c r="V2938" s="76"/>
      <c r="W2938" s="76"/>
      <c r="X2938" s="76"/>
      <c r="Y2938" s="76"/>
      <c r="Z2938" s="76"/>
      <c r="AA2938" s="76"/>
      <c r="AB2938" s="76"/>
      <c r="AC2938" s="76"/>
      <c r="AD2938" s="76"/>
      <c r="AE2938" s="76"/>
      <c r="AF2938" s="76"/>
      <c r="AG2938" s="76"/>
      <c r="AH2938" s="76"/>
      <c r="AI2938" s="76"/>
      <c r="AJ2938" s="76"/>
      <c r="AK2938" s="76"/>
      <c r="AL2938" s="76"/>
      <c r="AM2938" s="76"/>
      <c r="AN2938" s="76"/>
      <c r="AO2938" s="76"/>
      <c r="AP2938" s="76"/>
      <c r="AQ2938" s="76"/>
      <c r="AR2938" s="76"/>
      <c r="AS2938" s="76"/>
      <c r="AT2938" s="76"/>
      <c r="AU2938" s="76"/>
      <c r="AV2938" s="76"/>
      <c r="AW2938" s="76"/>
      <c r="AX2938" s="76"/>
      <c r="AY2938" s="76"/>
      <c r="AZ2938" s="76"/>
      <c r="BA2938" s="76"/>
      <c r="BB2938" s="76"/>
    </row>
    <row r="2939" spans="5:54" x14ac:dyDescent="0.35">
      <c r="E2939" s="83"/>
      <c r="F2939" s="83"/>
      <c r="G2939" s="76"/>
      <c r="H2939" s="76"/>
      <c r="I2939" s="76"/>
      <c r="J2939" s="76"/>
      <c r="K2939" s="76"/>
      <c r="L2939" s="76"/>
      <c r="M2939" s="76"/>
      <c r="N2939" s="76"/>
      <c r="O2939" s="76"/>
      <c r="P2939" s="76"/>
      <c r="Q2939" s="76"/>
      <c r="R2939" s="76"/>
      <c r="S2939" s="76"/>
      <c r="T2939" s="76"/>
      <c r="U2939" s="76"/>
      <c r="V2939" s="76"/>
      <c r="W2939" s="76"/>
      <c r="X2939" s="76"/>
      <c r="Y2939" s="76"/>
      <c r="Z2939" s="76"/>
      <c r="AA2939" s="76"/>
      <c r="AB2939" s="76"/>
      <c r="AC2939" s="76"/>
      <c r="AD2939" s="76"/>
      <c r="AE2939" s="76"/>
      <c r="AF2939" s="76"/>
      <c r="AG2939" s="76"/>
      <c r="AH2939" s="76"/>
      <c r="AI2939" s="76"/>
      <c r="AJ2939" s="76"/>
      <c r="AK2939" s="76"/>
      <c r="AL2939" s="76"/>
      <c r="AM2939" s="76"/>
      <c r="AN2939" s="76"/>
      <c r="AO2939" s="76"/>
      <c r="AP2939" s="76"/>
      <c r="AQ2939" s="76"/>
      <c r="AR2939" s="76"/>
      <c r="AS2939" s="76"/>
      <c r="AT2939" s="76"/>
      <c r="AU2939" s="76"/>
      <c r="AV2939" s="76"/>
      <c r="AW2939" s="76"/>
      <c r="AX2939" s="76"/>
      <c r="AY2939" s="76"/>
      <c r="AZ2939" s="76"/>
      <c r="BA2939" s="76"/>
      <c r="BB2939" s="76"/>
    </row>
    <row r="2940" spans="5:54" x14ac:dyDescent="0.35">
      <c r="E2940" s="83"/>
      <c r="F2940" s="83"/>
      <c r="G2940" s="76"/>
      <c r="H2940" s="76"/>
      <c r="I2940" s="76"/>
      <c r="J2940" s="76"/>
      <c r="K2940" s="76"/>
      <c r="L2940" s="76"/>
      <c r="M2940" s="76"/>
      <c r="N2940" s="76"/>
      <c r="O2940" s="76"/>
      <c r="P2940" s="76"/>
      <c r="Q2940" s="76"/>
      <c r="R2940" s="76"/>
      <c r="S2940" s="76"/>
      <c r="T2940" s="76"/>
      <c r="U2940" s="76"/>
      <c r="V2940" s="76"/>
      <c r="W2940" s="76"/>
      <c r="X2940" s="76"/>
      <c r="Y2940" s="76"/>
      <c r="Z2940" s="76"/>
      <c r="AA2940" s="76"/>
      <c r="AB2940" s="76"/>
      <c r="AC2940" s="76"/>
      <c r="AD2940" s="76"/>
      <c r="AE2940" s="76"/>
      <c r="AF2940" s="76"/>
      <c r="AG2940" s="76"/>
      <c r="AH2940" s="76"/>
      <c r="AI2940" s="76"/>
      <c r="AJ2940" s="76"/>
      <c r="AK2940" s="76"/>
      <c r="AL2940" s="76"/>
      <c r="AM2940" s="76"/>
      <c r="AN2940" s="76"/>
      <c r="AO2940" s="76"/>
      <c r="AP2940" s="76"/>
      <c r="AQ2940" s="76"/>
      <c r="AR2940" s="76"/>
      <c r="AS2940" s="76"/>
      <c r="AT2940" s="76"/>
      <c r="AU2940" s="76"/>
      <c r="AV2940" s="76"/>
      <c r="AW2940" s="76"/>
      <c r="AX2940" s="76"/>
      <c r="AY2940" s="76"/>
      <c r="AZ2940" s="76"/>
      <c r="BA2940" s="76"/>
      <c r="BB2940" s="76"/>
    </row>
    <row r="2941" spans="5:54" x14ac:dyDescent="0.35">
      <c r="E2941" s="83"/>
      <c r="F2941" s="83"/>
      <c r="G2941" s="76"/>
      <c r="H2941" s="76"/>
      <c r="I2941" s="76"/>
      <c r="J2941" s="76"/>
      <c r="K2941" s="76"/>
      <c r="L2941" s="76"/>
      <c r="M2941" s="76"/>
      <c r="N2941" s="76"/>
      <c r="O2941" s="76"/>
      <c r="P2941" s="76"/>
      <c r="Q2941" s="76"/>
      <c r="R2941" s="76"/>
      <c r="S2941" s="76"/>
      <c r="T2941" s="76"/>
      <c r="U2941" s="76"/>
      <c r="V2941" s="76"/>
      <c r="W2941" s="76"/>
      <c r="X2941" s="76"/>
      <c r="Y2941" s="76"/>
      <c r="Z2941" s="76"/>
      <c r="AA2941" s="76"/>
      <c r="AB2941" s="76"/>
      <c r="AC2941" s="76"/>
      <c r="AD2941" s="76"/>
      <c r="AE2941" s="76"/>
      <c r="AF2941" s="76"/>
      <c r="AG2941" s="76"/>
      <c r="AH2941" s="76"/>
      <c r="AI2941" s="76"/>
      <c r="AJ2941" s="76"/>
      <c r="AK2941" s="76"/>
      <c r="AL2941" s="76"/>
      <c r="AM2941" s="76"/>
      <c r="AN2941" s="76"/>
      <c r="AO2941" s="76"/>
      <c r="AP2941" s="76"/>
      <c r="AQ2941" s="76"/>
      <c r="AR2941" s="76"/>
      <c r="AS2941" s="76"/>
      <c r="AT2941" s="76"/>
      <c r="AU2941" s="76"/>
      <c r="AV2941" s="76"/>
      <c r="AW2941" s="76"/>
      <c r="AX2941" s="76"/>
      <c r="AY2941" s="76"/>
      <c r="AZ2941" s="76"/>
      <c r="BA2941" s="76"/>
      <c r="BB2941" s="76"/>
    </row>
    <row r="2942" spans="5:54" x14ac:dyDescent="0.35">
      <c r="E2942" s="83"/>
      <c r="F2942" s="83"/>
      <c r="G2942" s="76"/>
      <c r="H2942" s="76"/>
      <c r="I2942" s="76"/>
      <c r="J2942" s="76"/>
      <c r="K2942" s="76"/>
      <c r="L2942" s="76"/>
      <c r="M2942" s="76"/>
      <c r="N2942" s="76"/>
      <c r="O2942" s="76"/>
      <c r="P2942" s="76"/>
      <c r="Q2942" s="76"/>
      <c r="R2942" s="76"/>
      <c r="S2942" s="76"/>
      <c r="T2942" s="76"/>
      <c r="U2942" s="76"/>
      <c r="V2942" s="76"/>
      <c r="W2942" s="76"/>
      <c r="X2942" s="76"/>
      <c r="Y2942" s="76"/>
      <c r="Z2942" s="76"/>
      <c r="AA2942" s="76"/>
      <c r="AB2942" s="76"/>
      <c r="AC2942" s="76"/>
      <c r="AD2942" s="76"/>
      <c r="AE2942" s="76"/>
      <c r="AF2942" s="76"/>
      <c r="AG2942" s="76"/>
      <c r="AH2942" s="76"/>
      <c r="AI2942" s="76"/>
      <c r="AJ2942" s="76"/>
      <c r="AK2942" s="76"/>
      <c r="AL2942" s="76"/>
      <c r="AM2942" s="76"/>
      <c r="AN2942" s="76"/>
      <c r="AO2942" s="76"/>
      <c r="AP2942" s="76"/>
      <c r="AQ2942" s="76"/>
      <c r="AR2942" s="76"/>
      <c r="AS2942" s="76"/>
      <c r="AT2942" s="76"/>
      <c r="AU2942" s="76"/>
      <c r="AV2942" s="76"/>
      <c r="AW2942" s="76"/>
      <c r="AX2942" s="76"/>
      <c r="AY2942" s="76"/>
      <c r="AZ2942" s="76"/>
      <c r="BA2942" s="76"/>
      <c r="BB2942" s="76"/>
    </row>
    <row r="2943" spans="5:54" x14ac:dyDescent="0.35">
      <c r="E2943" s="83"/>
      <c r="F2943" s="83"/>
      <c r="G2943" s="76"/>
      <c r="H2943" s="76"/>
      <c r="I2943" s="76"/>
      <c r="J2943" s="76"/>
      <c r="K2943" s="76"/>
      <c r="L2943" s="76"/>
      <c r="M2943" s="76"/>
      <c r="N2943" s="76"/>
      <c r="O2943" s="76"/>
      <c r="P2943" s="76"/>
      <c r="Q2943" s="76"/>
      <c r="R2943" s="76"/>
      <c r="S2943" s="76"/>
      <c r="T2943" s="76"/>
      <c r="U2943" s="76"/>
      <c r="V2943" s="76"/>
      <c r="W2943" s="76"/>
      <c r="X2943" s="76"/>
      <c r="Y2943" s="76"/>
      <c r="Z2943" s="76"/>
      <c r="AA2943" s="76"/>
      <c r="AB2943" s="76"/>
      <c r="AC2943" s="76"/>
      <c r="AD2943" s="76"/>
      <c r="AE2943" s="76"/>
      <c r="AF2943" s="76"/>
      <c r="AG2943" s="76"/>
      <c r="AH2943" s="76"/>
      <c r="AI2943" s="76"/>
      <c r="AJ2943" s="76"/>
      <c r="AK2943" s="76"/>
      <c r="AL2943" s="76"/>
      <c r="AM2943" s="76"/>
      <c r="AN2943" s="76"/>
      <c r="AO2943" s="76"/>
      <c r="AP2943" s="76"/>
      <c r="AQ2943" s="76"/>
      <c r="AR2943" s="76"/>
      <c r="AS2943" s="76"/>
      <c r="AT2943" s="76"/>
      <c r="AU2943" s="76"/>
      <c r="AV2943" s="76"/>
      <c r="AW2943" s="76"/>
      <c r="AX2943" s="76"/>
      <c r="AY2943" s="76"/>
      <c r="AZ2943" s="76"/>
      <c r="BA2943" s="76"/>
      <c r="BB2943" s="76"/>
    </row>
    <row r="2944" spans="5:54" x14ac:dyDescent="0.35">
      <c r="E2944" s="83"/>
      <c r="F2944" s="83"/>
      <c r="G2944" s="76"/>
      <c r="H2944" s="76"/>
      <c r="I2944" s="76"/>
      <c r="J2944" s="76"/>
      <c r="K2944" s="76"/>
      <c r="L2944" s="76"/>
      <c r="M2944" s="76"/>
      <c r="N2944" s="76"/>
      <c r="O2944" s="76"/>
      <c r="P2944" s="76"/>
      <c r="Q2944" s="76"/>
      <c r="R2944" s="76"/>
      <c r="S2944" s="76"/>
      <c r="T2944" s="76"/>
      <c r="U2944" s="76"/>
      <c r="V2944" s="76"/>
      <c r="W2944" s="76"/>
      <c r="X2944" s="76"/>
      <c r="Y2944" s="76"/>
      <c r="Z2944" s="76"/>
      <c r="AA2944" s="76"/>
      <c r="AB2944" s="76"/>
      <c r="AC2944" s="76"/>
      <c r="AD2944" s="76"/>
      <c r="AE2944" s="76"/>
      <c r="AF2944" s="76"/>
      <c r="AG2944" s="76"/>
      <c r="AH2944" s="76"/>
      <c r="AI2944" s="76"/>
      <c r="AJ2944" s="76"/>
      <c r="AK2944" s="76"/>
      <c r="AL2944" s="76"/>
      <c r="AM2944" s="76"/>
      <c r="AN2944" s="76"/>
      <c r="AO2944" s="76"/>
      <c r="AP2944" s="76"/>
      <c r="AQ2944" s="76"/>
      <c r="AR2944" s="76"/>
      <c r="AS2944" s="76"/>
      <c r="AT2944" s="76"/>
      <c r="AU2944" s="76"/>
      <c r="AV2944" s="76"/>
      <c r="AW2944" s="76"/>
      <c r="AX2944" s="76"/>
      <c r="AY2944" s="76"/>
      <c r="AZ2944" s="76"/>
      <c r="BA2944" s="76"/>
      <c r="BB2944" s="76"/>
    </row>
    <row r="2945" spans="5:54" x14ac:dyDescent="0.35">
      <c r="E2945" s="83"/>
      <c r="F2945" s="83"/>
      <c r="G2945" s="76"/>
      <c r="H2945" s="76"/>
      <c r="I2945" s="76"/>
      <c r="J2945" s="76"/>
      <c r="K2945" s="76"/>
      <c r="L2945" s="76"/>
      <c r="M2945" s="76"/>
      <c r="N2945" s="76"/>
      <c r="O2945" s="76"/>
      <c r="P2945" s="76"/>
      <c r="Q2945" s="76"/>
      <c r="R2945" s="76"/>
      <c r="S2945" s="76"/>
      <c r="T2945" s="76"/>
      <c r="U2945" s="76"/>
      <c r="V2945" s="76"/>
      <c r="W2945" s="76"/>
      <c r="X2945" s="76"/>
      <c r="Y2945" s="76"/>
      <c r="Z2945" s="76"/>
      <c r="AA2945" s="76"/>
      <c r="AB2945" s="76"/>
      <c r="AC2945" s="76"/>
      <c r="AD2945" s="76"/>
      <c r="AE2945" s="76"/>
      <c r="AF2945" s="76"/>
      <c r="AG2945" s="76"/>
      <c r="AH2945" s="76"/>
      <c r="AI2945" s="76"/>
      <c r="AJ2945" s="76"/>
      <c r="AK2945" s="76"/>
      <c r="AL2945" s="76"/>
      <c r="AM2945" s="76"/>
      <c r="AN2945" s="76"/>
      <c r="AO2945" s="76"/>
      <c r="AP2945" s="76"/>
      <c r="AQ2945" s="76"/>
      <c r="AR2945" s="76"/>
      <c r="AS2945" s="76"/>
      <c r="AT2945" s="76"/>
      <c r="AU2945" s="76"/>
      <c r="AV2945" s="76"/>
      <c r="AW2945" s="76"/>
      <c r="AX2945" s="76"/>
      <c r="AY2945" s="76"/>
      <c r="AZ2945" s="76"/>
      <c r="BA2945" s="76"/>
      <c r="BB2945" s="76"/>
    </row>
    <row r="2946" spans="5:54" x14ac:dyDescent="0.35">
      <c r="E2946" s="83"/>
      <c r="F2946" s="83"/>
      <c r="G2946" s="76"/>
      <c r="H2946" s="76"/>
      <c r="I2946" s="76"/>
      <c r="J2946" s="76"/>
      <c r="K2946" s="76"/>
      <c r="L2946" s="76"/>
      <c r="M2946" s="76"/>
      <c r="N2946" s="76"/>
      <c r="O2946" s="76"/>
      <c r="P2946" s="76"/>
      <c r="Q2946" s="76"/>
      <c r="R2946" s="76"/>
      <c r="S2946" s="76"/>
      <c r="T2946" s="76"/>
      <c r="U2946" s="76"/>
      <c r="V2946" s="76"/>
      <c r="W2946" s="76"/>
      <c r="X2946" s="76"/>
      <c r="Y2946" s="76"/>
      <c r="Z2946" s="76"/>
      <c r="AA2946" s="76"/>
      <c r="AB2946" s="76"/>
      <c r="AC2946" s="76"/>
      <c r="AD2946" s="76"/>
      <c r="AE2946" s="76"/>
      <c r="AF2946" s="76"/>
      <c r="AG2946" s="76"/>
      <c r="AH2946" s="76"/>
      <c r="AI2946" s="76"/>
      <c r="AJ2946" s="76"/>
      <c r="AK2946" s="76"/>
      <c r="AL2946" s="76"/>
      <c r="AM2946" s="76"/>
      <c r="AN2946" s="76"/>
      <c r="AO2946" s="76"/>
      <c r="AP2946" s="76"/>
      <c r="AQ2946" s="76"/>
      <c r="AR2946" s="76"/>
      <c r="AS2946" s="76"/>
      <c r="AT2946" s="76"/>
      <c r="AU2946" s="76"/>
      <c r="AV2946" s="76"/>
      <c r="AW2946" s="76"/>
      <c r="AX2946" s="76"/>
      <c r="AY2946" s="76"/>
      <c r="AZ2946" s="76"/>
      <c r="BA2946" s="76"/>
      <c r="BB2946" s="76"/>
    </row>
    <row r="2947" spans="5:54" x14ac:dyDescent="0.35">
      <c r="E2947" s="83"/>
      <c r="F2947" s="83"/>
      <c r="G2947" s="76"/>
      <c r="H2947" s="76"/>
      <c r="I2947" s="76"/>
      <c r="J2947" s="76"/>
      <c r="K2947" s="76"/>
      <c r="L2947" s="76"/>
      <c r="M2947" s="76"/>
      <c r="N2947" s="76"/>
      <c r="O2947" s="76"/>
      <c r="P2947" s="76"/>
      <c r="Q2947" s="76"/>
      <c r="R2947" s="76"/>
      <c r="S2947" s="76"/>
      <c r="T2947" s="76"/>
      <c r="U2947" s="76"/>
      <c r="V2947" s="76"/>
      <c r="W2947" s="76"/>
      <c r="X2947" s="76"/>
      <c r="Y2947" s="76"/>
      <c r="Z2947" s="76"/>
      <c r="AA2947" s="76"/>
      <c r="AB2947" s="76"/>
      <c r="AC2947" s="76"/>
      <c r="AD2947" s="76"/>
      <c r="AE2947" s="76"/>
      <c r="AF2947" s="76"/>
      <c r="AG2947" s="76"/>
      <c r="AH2947" s="76"/>
      <c r="AI2947" s="76"/>
      <c r="AJ2947" s="76"/>
      <c r="AK2947" s="76"/>
      <c r="AL2947" s="76"/>
      <c r="AM2947" s="76"/>
      <c r="AN2947" s="76"/>
      <c r="AO2947" s="76"/>
      <c r="AP2947" s="76"/>
      <c r="AQ2947" s="76"/>
      <c r="AR2947" s="76"/>
      <c r="AS2947" s="76"/>
      <c r="AT2947" s="76"/>
      <c r="AU2947" s="76"/>
      <c r="AV2947" s="76"/>
      <c r="AW2947" s="76"/>
      <c r="AX2947" s="76"/>
      <c r="AY2947" s="76"/>
      <c r="AZ2947" s="76"/>
      <c r="BA2947" s="76"/>
      <c r="BB2947" s="76"/>
    </row>
    <row r="2948" spans="5:54" x14ac:dyDescent="0.35">
      <c r="E2948" s="83"/>
      <c r="F2948" s="83"/>
      <c r="G2948" s="76"/>
      <c r="H2948" s="76"/>
      <c r="I2948" s="76"/>
      <c r="J2948" s="76"/>
      <c r="K2948" s="76"/>
      <c r="L2948" s="76"/>
      <c r="M2948" s="76"/>
      <c r="N2948" s="76"/>
      <c r="O2948" s="76"/>
      <c r="P2948" s="76"/>
      <c r="Q2948" s="76"/>
      <c r="R2948" s="76"/>
      <c r="S2948" s="76"/>
      <c r="T2948" s="76"/>
      <c r="U2948" s="76"/>
      <c r="V2948" s="76"/>
      <c r="W2948" s="76"/>
      <c r="X2948" s="76"/>
      <c r="Y2948" s="76"/>
      <c r="Z2948" s="76"/>
      <c r="AA2948" s="76"/>
      <c r="AB2948" s="76"/>
      <c r="AC2948" s="76"/>
      <c r="AD2948" s="76"/>
      <c r="AE2948" s="76"/>
      <c r="AF2948" s="76"/>
      <c r="AG2948" s="76"/>
      <c r="AH2948" s="76"/>
      <c r="AI2948" s="76"/>
      <c r="AJ2948" s="76"/>
      <c r="AK2948" s="76"/>
      <c r="AL2948" s="76"/>
      <c r="AM2948" s="76"/>
      <c r="AN2948" s="76"/>
      <c r="AO2948" s="76"/>
      <c r="AP2948" s="76"/>
      <c r="AQ2948" s="76"/>
      <c r="AR2948" s="76"/>
      <c r="AS2948" s="76"/>
      <c r="AT2948" s="76"/>
      <c r="AU2948" s="76"/>
      <c r="AV2948" s="76"/>
      <c r="AW2948" s="76"/>
      <c r="AX2948" s="76"/>
      <c r="AY2948" s="76"/>
      <c r="AZ2948" s="76"/>
      <c r="BA2948" s="76"/>
      <c r="BB2948" s="76"/>
    </row>
    <row r="2949" spans="5:54" x14ac:dyDescent="0.35">
      <c r="E2949" s="83"/>
      <c r="F2949" s="83"/>
      <c r="G2949" s="76"/>
      <c r="H2949" s="76"/>
      <c r="I2949" s="76"/>
      <c r="J2949" s="76"/>
      <c r="K2949" s="76"/>
      <c r="L2949" s="76"/>
      <c r="M2949" s="76"/>
      <c r="N2949" s="76"/>
      <c r="O2949" s="76"/>
      <c r="P2949" s="76"/>
      <c r="Q2949" s="76"/>
      <c r="R2949" s="76"/>
      <c r="S2949" s="76"/>
      <c r="T2949" s="76"/>
      <c r="U2949" s="76"/>
      <c r="V2949" s="76"/>
      <c r="W2949" s="76"/>
      <c r="X2949" s="76"/>
      <c r="Y2949" s="76"/>
      <c r="Z2949" s="76"/>
      <c r="AA2949" s="76"/>
      <c r="AB2949" s="76"/>
      <c r="AC2949" s="76"/>
      <c r="AD2949" s="76"/>
      <c r="AE2949" s="76"/>
      <c r="AF2949" s="76"/>
      <c r="AG2949" s="76"/>
      <c r="AH2949" s="76"/>
      <c r="AI2949" s="76"/>
      <c r="AJ2949" s="76"/>
      <c r="AK2949" s="76"/>
      <c r="AL2949" s="76"/>
      <c r="AM2949" s="76"/>
      <c r="AN2949" s="76"/>
      <c r="AO2949" s="76"/>
      <c r="AP2949" s="76"/>
      <c r="AQ2949" s="76"/>
      <c r="AR2949" s="76"/>
      <c r="AS2949" s="76"/>
      <c r="AT2949" s="76"/>
      <c r="AU2949" s="76"/>
      <c r="AV2949" s="76"/>
      <c r="AW2949" s="76"/>
      <c r="AX2949" s="76"/>
      <c r="AY2949" s="76"/>
      <c r="AZ2949" s="76"/>
      <c r="BA2949" s="76"/>
      <c r="BB2949" s="76"/>
    </row>
    <row r="2950" spans="5:54" x14ac:dyDescent="0.35">
      <c r="E2950" s="83"/>
      <c r="F2950" s="83"/>
      <c r="G2950" s="76"/>
      <c r="H2950" s="76"/>
      <c r="I2950" s="76"/>
      <c r="J2950" s="76"/>
      <c r="K2950" s="76"/>
      <c r="L2950" s="76"/>
      <c r="M2950" s="76"/>
      <c r="N2950" s="76"/>
      <c r="O2950" s="76"/>
      <c r="P2950" s="76"/>
      <c r="Q2950" s="76"/>
      <c r="R2950" s="76"/>
      <c r="S2950" s="76"/>
      <c r="T2950" s="76"/>
      <c r="U2950" s="76"/>
      <c r="V2950" s="76"/>
      <c r="W2950" s="76"/>
      <c r="X2950" s="76"/>
      <c r="Y2950" s="76"/>
      <c r="Z2950" s="76"/>
      <c r="AA2950" s="76"/>
      <c r="AB2950" s="76"/>
      <c r="AC2950" s="76"/>
      <c r="AD2950" s="76"/>
      <c r="AE2950" s="76"/>
      <c r="AF2950" s="76"/>
      <c r="AG2950" s="76"/>
      <c r="AH2950" s="76"/>
      <c r="AI2950" s="76"/>
      <c r="AJ2950" s="76"/>
      <c r="AK2950" s="76"/>
      <c r="AL2950" s="76"/>
      <c r="AM2950" s="76"/>
      <c r="AN2950" s="76"/>
      <c r="AO2950" s="76"/>
      <c r="AP2950" s="76"/>
      <c r="AQ2950" s="76"/>
      <c r="AR2950" s="76"/>
      <c r="AS2950" s="76"/>
      <c r="AT2950" s="76"/>
      <c r="AU2950" s="76"/>
      <c r="AV2950" s="76"/>
      <c r="AW2950" s="76"/>
      <c r="AX2950" s="76"/>
      <c r="AY2950" s="76"/>
      <c r="AZ2950" s="76"/>
      <c r="BA2950" s="76"/>
      <c r="BB2950" s="76"/>
    </row>
    <row r="2951" spans="5:54" x14ac:dyDescent="0.35">
      <c r="E2951" s="83"/>
      <c r="F2951" s="83"/>
      <c r="G2951" s="76"/>
      <c r="H2951" s="76"/>
      <c r="I2951" s="76"/>
      <c r="J2951" s="76"/>
      <c r="K2951" s="76"/>
      <c r="L2951" s="76"/>
      <c r="M2951" s="76"/>
      <c r="N2951" s="76"/>
      <c r="O2951" s="76"/>
      <c r="P2951" s="76"/>
      <c r="Q2951" s="76"/>
      <c r="R2951" s="76"/>
      <c r="S2951" s="76"/>
      <c r="T2951" s="76"/>
      <c r="U2951" s="76"/>
      <c r="V2951" s="76"/>
      <c r="W2951" s="76"/>
      <c r="X2951" s="76"/>
      <c r="Y2951" s="76"/>
      <c r="Z2951" s="76"/>
      <c r="AA2951" s="76"/>
      <c r="AB2951" s="76"/>
      <c r="AC2951" s="76"/>
      <c r="AD2951" s="76"/>
      <c r="AE2951" s="76"/>
      <c r="AF2951" s="76"/>
      <c r="AG2951" s="76"/>
      <c r="AH2951" s="76"/>
      <c r="AI2951" s="76"/>
      <c r="AJ2951" s="76"/>
      <c r="AK2951" s="76"/>
      <c r="AL2951" s="76"/>
      <c r="AM2951" s="76"/>
      <c r="AN2951" s="76"/>
      <c r="AO2951" s="76"/>
      <c r="AP2951" s="76"/>
      <c r="AQ2951" s="76"/>
      <c r="AR2951" s="76"/>
      <c r="AS2951" s="76"/>
      <c r="AT2951" s="76"/>
      <c r="AU2951" s="76"/>
      <c r="AV2951" s="76"/>
      <c r="AW2951" s="76"/>
      <c r="AX2951" s="76"/>
      <c r="AY2951" s="76"/>
      <c r="AZ2951" s="76"/>
      <c r="BA2951" s="76"/>
      <c r="BB2951" s="76"/>
    </row>
    <row r="2952" spans="5:54" x14ac:dyDescent="0.35">
      <c r="E2952" s="83"/>
      <c r="F2952" s="83"/>
      <c r="G2952" s="76"/>
      <c r="H2952" s="76"/>
      <c r="I2952" s="76"/>
      <c r="J2952" s="76"/>
      <c r="K2952" s="76"/>
      <c r="L2952" s="76"/>
      <c r="M2952" s="76"/>
      <c r="N2952" s="76"/>
      <c r="O2952" s="76"/>
      <c r="P2952" s="76"/>
      <c r="Q2952" s="76"/>
      <c r="R2952" s="76"/>
      <c r="S2952" s="76"/>
      <c r="T2952" s="76"/>
      <c r="U2952" s="76"/>
      <c r="V2952" s="76"/>
      <c r="W2952" s="76"/>
      <c r="X2952" s="76"/>
      <c r="Y2952" s="76"/>
      <c r="Z2952" s="76"/>
      <c r="AA2952" s="76"/>
      <c r="AB2952" s="76"/>
      <c r="AC2952" s="76"/>
      <c r="AD2952" s="76"/>
      <c r="AE2952" s="76"/>
      <c r="AF2952" s="76"/>
      <c r="AG2952" s="76"/>
      <c r="AH2952" s="76"/>
      <c r="AI2952" s="76"/>
      <c r="AJ2952" s="76"/>
      <c r="AK2952" s="76"/>
      <c r="AL2952" s="76"/>
      <c r="AM2952" s="76"/>
      <c r="AN2952" s="76"/>
      <c r="AO2952" s="76"/>
      <c r="AP2952" s="76"/>
      <c r="AQ2952" s="76"/>
      <c r="AR2952" s="76"/>
      <c r="AS2952" s="76"/>
      <c r="AT2952" s="76"/>
      <c r="AU2952" s="76"/>
      <c r="AV2952" s="76"/>
      <c r="AW2952" s="76"/>
      <c r="AX2952" s="76"/>
      <c r="AY2952" s="76"/>
      <c r="AZ2952" s="76"/>
      <c r="BA2952" s="76"/>
      <c r="BB2952" s="76"/>
    </row>
    <row r="2953" spans="5:54" x14ac:dyDescent="0.35">
      <c r="E2953" s="83"/>
      <c r="F2953" s="83"/>
      <c r="G2953" s="76"/>
      <c r="H2953" s="76"/>
      <c r="I2953" s="76"/>
      <c r="J2953" s="76"/>
      <c r="K2953" s="76"/>
      <c r="L2953" s="76"/>
      <c r="M2953" s="76"/>
      <c r="N2953" s="76"/>
      <c r="O2953" s="76"/>
      <c r="P2953" s="76"/>
      <c r="Q2953" s="76"/>
      <c r="R2953" s="76"/>
      <c r="S2953" s="76"/>
      <c r="T2953" s="76"/>
      <c r="U2953" s="76"/>
      <c r="V2953" s="76"/>
      <c r="W2953" s="76"/>
      <c r="X2953" s="76"/>
      <c r="Y2953" s="76"/>
      <c r="Z2953" s="76"/>
      <c r="AA2953" s="76"/>
      <c r="AB2953" s="76"/>
      <c r="AC2953" s="76"/>
      <c r="AD2953" s="76"/>
      <c r="AE2953" s="76"/>
      <c r="AF2953" s="76"/>
      <c r="AG2953" s="76"/>
      <c r="AH2953" s="76"/>
      <c r="AI2953" s="76"/>
      <c r="AJ2953" s="76"/>
      <c r="AK2953" s="76"/>
      <c r="AL2953" s="76"/>
      <c r="AM2953" s="76"/>
      <c r="AN2953" s="76"/>
      <c r="AO2953" s="76"/>
      <c r="AP2953" s="76"/>
      <c r="AQ2953" s="76"/>
      <c r="AR2953" s="76"/>
      <c r="AS2953" s="76"/>
      <c r="AT2953" s="76"/>
      <c r="AU2953" s="76"/>
      <c r="AV2953" s="76"/>
      <c r="AW2953" s="76"/>
      <c r="AX2953" s="76"/>
      <c r="AY2953" s="76"/>
      <c r="AZ2953" s="76"/>
      <c r="BA2953" s="76"/>
      <c r="BB2953" s="76"/>
    </row>
    <row r="2954" spans="5:54" x14ac:dyDescent="0.35">
      <c r="E2954" s="83"/>
      <c r="F2954" s="83"/>
      <c r="G2954" s="76"/>
      <c r="H2954" s="76"/>
      <c r="I2954" s="76"/>
      <c r="J2954" s="76"/>
      <c r="K2954" s="76"/>
      <c r="L2954" s="76"/>
      <c r="M2954" s="76"/>
      <c r="N2954" s="76"/>
      <c r="O2954" s="76"/>
      <c r="P2954" s="76"/>
      <c r="Q2954" s="76"/>
      <c r="R2954" s="76"/>
      <c r="S2954" s="76"/>
      <c r="T2954" s="76"/>
      <c r="U2954" s="76"/>
      <c r="V2954" s="76"/>
      <c r="W2954" s="76"/>
      <c r="X2954" s="76"/>
      <c r="Y2954" s="76"/>
      <c r="Z2954" s="76"/>
      <c r="AA2954" s="76"/>
      <c r="AB2954" s="76"/>
      <c r="AC2954" s="76"/>
      <c r="AD2954" s="76"/>
      <c r="AE2954" s="76"/>
      <c r="AF2954" s="76"/>
      <c r="AG2954" s="76"/>
      <c r="AH2954" s="76"/>
      <c r="AI2954" s="76"/>
      <c r="AJ2954" s="76"/>
      <c r="AK2954" s="76"/>
      <c r="AL2954" s="76"/>
      <c r="AM2954" s="76"/>
      <c r="AN2954" s="76"/>
      <c r="AO2954" s="76"/>
      <c r="AP2954" s="76"/>
      <c r="AQ2954" s="76"/>
      <c r="AR2954" s="76"/>
      <c r="AS2954" s="76"/>
      <c r="AT2954" s="76"/>
      <c r="AU2954" s="76"/>
      <c r="AV2954" s="76"/>
      <c r="AW2954" s="76"/>
      <c r="AX2954" s="76"/>
      <c r="AY2954" s="76"/>
      <c r="AZ2954" s="76"/>
      <c r="BA2954" s="76"/>
      <c r="BB2954" s="76"/>
    </row>
    <row r="2955" spans="5:54" x14ac:dyDescent="0.35">
      <c r="E2955" s="83"/>
      <c r="F2955" s="83"/>
      <c r="G2955" s="76"/>
      <c r="H2955" s="76"/>
      <c r="I2955" s="76"/>
      <c r="J2955" s="76"/>
      <c r="K2955" s="76"/>
      <c r="L2955" s="76"/>
      <c r="M2955" s="76"/>
      <c r="N2955" s="76"/>
      <c r="O2955" s="76"/>
      <c r="P2955" s="76"/>
      <c r="Q2955" s="76"/>
      <c r="R2955" s="76"/>
      <c r="S2955" s="76"/>
      <c r="T2955" s="76"/>
      <c r="U2955" s="76"/>
      <c r="V2955" s="76"/>
      <c r="W2955" s="76"/>
      <c r="X2955" s="76"/>
      <c r="Y2955" s="76"/>
      <c r="Z2955" s="76"/>
      <c r="AA2955" s="76"/>
      <c r="AB2955" s="76"/>
      <c r="AC2955" s="76"/>
      <c r="AD2955" s="76"/>
      <c r="AE2955" s="76"/>
      <c r="AF2955" s="76"/>
      <c r="AG2955" s="76"/>
      <c r="AH2955" s="76"/>
      <c r="AI2955" s="76"/>
      <c r="AJ2955" s="76"/>
      <c r="AK2955" s="76"/>
      <c r="AL2955" s="76"/>
      <c r="AM2955" s="76"/>
      <c r="AN2955" s="76"/>
      <c r="AO2955" s="76"/>
      <c r="AP2955" s="76"/>
      <c r="AQ2955" s="76"/>
      <c r="AR2955" s="76"/>
      <c r="AS2955" s="76"/>
      <c r="AT2955" s="76"/>
      <c r="AU2955" s="76"/>
      <c r="AV2955" s="76"/>
      <c r="AW2955" s="76"/>
      <c r="AX2955" s="76"/>
      <c r="AY2955" s="76"/>
      <c r="AZ2955" s="76"/>
      <c r="BA2955" s="76"/>
      <c r="BB2955" s="76"/>
    </row>
    <row r="2956" spans="5:54" x14ac:dyDescent="0.35">
      <c r="E2956" s="83"/>
      <c r="F2956" s="83"/>
      <c r="G2956" s="76"/>
      <c r="H2956" s="76"/>
      <c r="I2956" s="76"/>
      <c r="J2956" s="76"/>
      <c r="K2956" s="76"/>
      <c r="L2956" s="76"/>
      <c r="M2956" s="76"/>
      <c r="N2956" s="76"/>
      <c r="O2956" s="76"/>
      <c r="P2956" s="76"/>
      <c r="Q2956" s="76"/>
      <c r="R2956" s="76"/>
      <c r="S2956" s="76"/>
      <c r="T2956" s="76"/>
      <c r="U2956" s="76"/>
      <c r="V2956" s="76"/>
      <c r="W2956" s="76"/>
      <c r="X2956" s="76"/>
      <c r="Y2956" s="76"/>
      <c r="Z2956" s="76"/>
      <c r="AA2956" s="76"/>
      <c r="AB2956" s="76"/>
      <c r="AC2956" s="76"/>
      <c r="AD2956" s="76"/>
      <c r="AE2956" s="76"/>
      <c r="AF2956" s="76"/>
      <c r="AG2956" s="76"/>
      <c r="AH2956" s="76"/>
      <c r="AI2956" s="76"/>
      <c r="AJ2956" s="76"/>
      <c r="AK2956" s="76"/>
      <c r="AL2956" s="76"/>
      <c r="AM2956" s="76"/>
      <c r="AN2956" s="76"/>
      <c r="AO2956" s="76"/>
      <c r="AP2956" s="76"/>
      <c r="AQ2956" s="76"/>
      <c r="AR2956" s="76"/>
      <c r="AS2956" s="76"/>
      <c r="AT2956" s="76"/>
      <c r="AU2956" s="76"/>
      <c r="AV2956" s="76"/>
      <c r="AW2956" s="76"/>
      <c r="AX2956" s="76"/>
      <c r="AY2956" s="76"/>
      <c r="AZ2956" s="76"/>
      <c r="BA2956" s="76"/>
      <c r="BB2956" s="76"/>
    </row>
    <row r="2957" spans="5:54" x14ac:dyDescent="0.35">
      <c r="E2957" s="83"/>
      <c r="F2957" s="83"/>
      <c r="G2957" s="76"/>
      <c r="H2957" s="76"/>
      <c r="I2957" s="76"/>
      <c r="J2957" s="76"/>
      <c r="K2957" s="76"/>
      <c r="L2957" s="76"/>
      <c r="M2957" s="76"/>
      <c r="N2957" s="76"/>
      <c r="O2957" s="76"/>
      <c r="P2957" s="76"/>
      <c r="Q2957" s="76"/>
      <c r="R2957" s="76"/>
      <c r="S2957" s="76"/>
      <c r="T2957" s="76"/>
      <c r="U2957" s="76"/>
      <c r="V2957" s="76"/>
      <c r="W2957" s="76"/>
      <c r="X2957" s="76"/>
      <c r="Y2957" s="76"/>
      <c r="Z2957" s="76"/>
      <c r="AA2957" s="76"/>
      <c r="AB2957" s="76"/>
      <c r="AC2957" s="76"/>
      <c r="AD2957" s="76"/>
      <c r="AE2957" s="76"/>
      <c r="AF2957" s="76"/>
      <c r="AG2957" s="76"/>
      <c r="AH2957" s="76"/>
      <c r="AI2957" s="76"/>
      <c r="AJ2957" s="76"/>
      <c r="AK2957" s="76"/>
      <c r="AL2957" s="76"/>
      <c r="AM2957" s="76"/>
      <c r="AN2957" s="76"/>
      <c r="AO2957" s="76"/>
      <c r="AP2957" s="76"/>
      <c r="AQ2957" s="76"/>
      <c r="AR2957" s="76"/>
      <c r="AS2957" s="76"/>
      <c r="AT2957" s="76"/>
      <c r="AU2957" s="76"/>
      <c r="AV2957" s="76"/>
      <c r="AW2957" s="76"/>
      <c r="AX2957" s="76"/>
      <c r="AY2957" s="76"/>
      <c r="AZ2957" s="76"/>
      <c r="BA2957" s="76"/>
      <c r="BB2957" s="76"/>
    </row>
    <row r="2958" spans="5:54" x14ac:dyDescent="0.35">
      <c r="E2958" s="83"/>
      <c r="F2958" s="83"/>
      <c r="G2958" s="76"/>
      <c r="H2958" s="76"/>
      <c r="I2958" s="76"/>
      <c r="J2958" s="76"/>
      <c r="K2958" s="76"/>
      <c r="L2958" s="76"/>
      <c r="M2958" s="76"/>
      <c r="N2958" s="76"/>
      <c r="O2958" s="76"/>
      <c r="P2958" s="76"/>
      <c r="Q2958" s="76"/>
      <c r="R2958" s="76"/>
      <c r="S2958" s="76"/>
      <c r="T2958" s="76"/>
      <c r="U2958" s="76"/>
      <c r="V2958" s="76"/>
      <c r="W2958" s="76"/>
      <c r="X2958" s="76"/>
      <c r="Y2958" s="76"/>
      <c r="Z2958" s="76"/>
      <c r="AA2958" s="76"/>
      <c r="AB2958" s="76"/>
      <c r="AC2958" s="76"/>
      <c r="AD2958" s="76"/>
      <c r="AE2958" s="76"/>
      <c r="AF2958" s="76"/>
      <c r="AG2958" s="76"/>
      <c r="AH2958" s="76"/>
      <c r="AI2958" s="76"/>
      <c r="AJ2958" s="76"/>
      <c r="AK2958" s="76"/>
      <c r="AL2958" s="76"/>
      <c r="AM2958" s="76"/>
      <c r="AN2958" s="76"/>
      <c r="AO2958" s="76"/>
      <c r="AP2958" s="76"/>
      <c r="AQ2958" s="76"/>
      <c r="AR2958" s="76"/>
      <c r="AS2958" s="76"/>
      <c r="AT2958" s="76"/>
      <c r="AU2958" s="76"/>
      <c r="AV2958" s="76"/>
      <c r="AW2958" s="76"/>
      <c r="AX2958" s="76"/>
      <c r="AY2958" s="76"/>
      <c r="AZ2958" s="76"/>
      <c r="BA2958" s="76"/>
      <c r="BB2958" s="76"/>
    </row>
    <row r="2959" spans="5:54" x14ac:dyDescent="0.35">
      <c r="E2959" s="83"/>
      <c r="F2959" s="83"/>
      <c r="G2959" s="76"/>
      <c r="H2959" s="76"/>
      <c r="I2959" s="76"/>
      <c r="J2959" s="76"/>
      <c r="K2959" s="76"/>
      <c r="L2959" s="76"/>
      <c r="M2959" s="76"/>
      <c r="N2959" s="76"/>
      <c r="O2959" s="76"/>
      <c r="P2959" s="76"/>
      <c r="Q2959" s="76"/>
      <c r="R2959" s="76"/>
      <c r="S2959" s="76"/>
      <c r="T2959" s="76"/>
      <c r="U2959" s="76"/>
      <c r="V2959" s="76"/>
      <c r="W2959" s="76"/>
      <c r="X2959" s="76"/>
      <c r="Y2959" s="76"/>
      <c r="Z2959" s="76"/>
      <c r="AA2959" s="76"/>
      <c r="AB2959" s="76"/>
      <c r="AC2959" s="76"/>
      <c r="AD2959" s="76"/>
      <c r="AE2959" s="76"/>
      <c r="AF2959" s="76"/>
      <c r="AG2959" s="76"/>
      <c r="AH2959" s="76"/>
      <c r="AI2959" s="76"/>
      <c r="AJ2959" s="76"/>
      <c r="AK2959" s="76"/>
      <c r="AL2959" s="76"/>
      <c r="AM2959" s="76"/>
      <c r="AN2959" s="76"/>
      <c r="AO2959" s="76"/>
      <c r="AP2959" s="76"/>
      <c r="AQ2959" s="76"/>
      <c r="AR2959" s="76"/>
      <c r="AS2959" s="76"/>
      <c r="AT2959" s="76"/>
      <c r="AU2959" s="76"/>
      <c r="AV2959" s="76"/>
      <c r="AW2959" s="76"/>
      <c r="AX2959" s="76"/>
      <c r="AY2959" s="76"/>
      <c r="AZ2959" s="76"/>
      <c r="BA2959" s="76"/>
      <c r="BB2959" s="76"/>
    </row>
    <row r="2960" spans="5:54" x14ac:dyDescent="0.35">
      <c r="E2960" s="83"/>
      <c r="F2960" s="83"/>
      <c r="G2960" s="76"/>
      <c r="H2960" s="76"/>
      <c r="I2960" s="76"/>
      <c r="J2960" s="76"/>
      <c r="K2960" s="76"/>
      <c r="L2960" s="76"/>
      <c r="M2960" s="76"/>
      <c r="N2960" s="76"/>
      <c r="O2960" s="76"/>
      <c r="P2960" s="76"/>
      <c r="Q2960" s="76"/>
      <c r="R2960" s="76"/>
      <c r="S2960" s="76"/>
      <c r="T2960" s="76"/>
      <c r="U2960" s="76"/>
      <c r="V2960" s="76"/>
      <c r="W2960" s="76"/>
      <c r="X2960" s="76"/>
      <c r="Y2960" s="76"/>
      <c r="Z2960" s="76"/>
      <c r="AA2960" s="76"/>
      <c r="AB2960" s="76"/>
      <c r="AC2960" s="76"/>
      <c r="AD2960" s="76"/>
      <c r="AE2960" s="76"/>
      <c r="AF2960" s="76"/>
      <c r="AG2960" s="76"/>
      <c r="AH2960" s="76"/>
      <c r="AI2960" s="76"/>
      <c r="AJ2960" s="76"/>
      <c r="AK2960" s="76"/>
      <c r="AL2960" s="76"/>
      <c r="AM2960" s="76"/>
      <c r="AN2960" s="76"/>
      <c r="AO2960" s="76"/>
      <c r="AP2960" s="76"/>
      <c r="AQ2960" s="76"/>
      <c r="AR2960" s="76"/>
      <c r="AS2960" s="76"/>
      <c r="AT2960" s="76"/>
      <c r="AU2960" s="76"/>
      <c r="AV2960" s="76"/>
      <c r="AW2960" s="76"/>
      <c r="AX2960" s="76"/>
      <c r="AY2960" s="76"/>
      <c r="AZ2960" s="76"/>
      <c r="BA2960" s="76"/>
      <c r="BB2960" s="76"/>
    </row>
    <row r="2961" spans="5:54" x14ac:dyDescent="0.35">
      <c r="E2961" s="83"/>
      <c r="F2961" s="83"/>
      <c r="G2961" s="76"/>
      <c r="H2961" s="76"/>
      <c r="I2961" s="76"/>
      <c r="J2961" s="76"/>
      <c r="K2961" s="76"/>
      <c r="L2961" s="76"/>
      <c r="M2961" s="76"/>
      <c r="N2961" s="76"/>
      <c r="O2961" s="76"/>
      <c r="P2961" s="76"/>
      <c r="Q2961" s="76"/>
      <c r="R2961" s="76"/>
      <c r="S2961" s="76"/>
      <c r="T2961" s="76"/>
      <c r="U2961" s="76"/>
      <c r="V2961" s="76"/>
      <c r="W2961" s="76"/>
      <c r="X2961" s="76"/>
      <c r="Y2961" s="76"/>
      <c r="Z2961" s="76"/>
      <c r="AA2961" s="76"/>
      <c r="AB2961" s="76"/>
      <c r="AC2961" s="76"/>
      <c r="AD2961" s="76"/>
      <c r="AE2961" s="76"/>
      <c r="AF2961" s="76"/>
      <c r="AG2961" s="76"/>
      <c r="AH2961" s="76"/>
      <c r="AI2961" s="76"/>
      <c r="AJ2961" s="76"/>
      <c r="AK2961" s="76"/>
      <c r="AL2961" s="76"/>
      <c r="AM2961" s="76"/>
      <c r="AN2961" s="76"/>
      <c r="AO2961" s="76"/>
      <c r="AP2961" s="76"/>
      <c r="AQ2961" s="76"/>
      <c r="AR2961" s="76"/>
      <c r="AS2961" s="76"/>
      <c r="AT2961" s="76"/>
      <c r="AU2961" s="76"/>
      <c r="AV2961" s="76"/>
      <c r="AW2961" s="76"/>
      <c r="AX2961" s="76"/>
      <c r="AY2961" s="76"/>
      <c r="AZ2961" s="76"/>
      <c r="BA2961" s="76"/>
      <c r="BB2961" s="76"/>
    </row>
    <row r="2962" spans="5:54" x14ac:dyDescent="0.35">
      <c r="E2962" s="83"/>
      <c r="F2962" s="83"/>
      <c r="G2962" s="76"/>
      <c r="H2962" s="76"/>
      <c r="I2962" s="76"/>
      <c r="J2962" s="76"/>
      <c r="K2962" s="76"/>
      <c r="L2962" s="76"/>
      <c r="M2962" s="76"/>
      <c r="N2962" s="76"/>
      <c r="O2962" s="76"/>
      <c r="P2962" s="76"/>
      <c r="Q2962" s="76"/>
      <c r="R2962" s="76"/>
      <c r="S2962" s="76"/>
      <c r="T2962" s="76"/>
      <c r="U2962" s="76"/>
      <c r="V2962" s="76"/>
      <c r="W2962" s="76"/>
      <c r="X2962" s="76"/>
      <c r="Y2962" s="76"/>
      <c r="Z2962" s="76"/>
      <c r="AA2962" s="76"/>
      <c r="AB2962" s="76"/>
      <c r="AC2962" s="76"/>
      <c r="AD2962" s="76"/>
      <c r="AE2962" s="76"/>
      <c r="AF2962" s="76"/>
      <c r="AG2962" s="76"/>
      <c r="AH2962" s="76"/>
      <c r="AI2962" s="76"/>
      <c r="AJ2962" s="76"/>
      <c r="AK2962" s="76"/>
      <c r="AL2962" s="76"/>
      <c r="AM2962" s="76"/>
      <c r="AN2962" s="76"/>
      <c r="AO2962" s="76"/>
      <c r="AP2962" s="76"/>
      <c r="AQ2962" s="76"/>
      <c r="AR2962" s="76"/>
      <c r="AS2962" s="76"/>
      <c r="AT2962" s="76"/>
      <c r="AU2962" s="76"/>
      <c r="AV2962" s="76"/>
      <c r="AW2962" s="76"/>
      <c r="AX2962" s="76"/>
      <c r="AY2962" s="76"/>
      <c r="AZ2962" s="76"/>
      <c r="BA2962" s="76"/>
      <c r="BB2962" s="76"/>
    </row>
    <row r="2963" spans="5:54" x14ac:dyDescent="0.35">
      <c r="E2963" s="83"/>
      <c r="F2963" s="83"/>
      <c r="G2963" s="76"/>
      <c r="H2963" s="76"/>
      <c r="I2963" s="76"/>
      <c r="J2963" s="76"/>
      <c r="K2963" s="76"/>
      <c r="L2963" s="76"/>
      <c r="M2963" s="76"/>
      <c r="N2963" s="76"/>
      <c r="O2963" s="76"/>
      <c r="P2963" s="76"/>
      <c r="Q2963" s="76"/>
      <c r="R2963" s="76"/>
      <c r="S2963" s="76"/>
      <c r="T2963" s="76"/>
      <c r="U2963" s="76"/>
      <c r="V2963" s="76"/>
      <c r="W2963" s="76"/>
      <c r="X2963" s="76"/>
      <c r="Y2963" s="76"/>
      <c r="Z2963" s="76"/>
      <c r="AA2963" s="76"/>
      <c r="AB2963" s="76"/>
      <c r="AC2963" s="76"/>
      <c r="AD2963" s="76"/>
      <c r="AE2963" s="76"/>
      <c r="AF2963" s="76"/>
      <c r="AG2963" s="76"/>
      <c r="AH2963" s="76"/>
      <c r="AI2963" s="76"/>
      <c r="AJ2963" s="76"/>
      <c r="AK2963" s="76"/>
      <c r="AL2963" s="76"/>
      <c r="AM2963" s="76"/>
      <c r="AN2963" s="76"/>
      <c r="AO2963" s="76"/>
      <c r="AP2963" s="76"/>
      <c r="AQ2963" s="76"/>
      <c r="AR2963" s="76"/>
      <c r="AS2963" s="76"/>
      <c r="AT2963" s="76"/>
      <c r="AU2963" s="76"/>
      <c r="AV2963" s="76"/>
      <c r="AW2963" s="76"/>
      <c r="AX2963" s="76"/>
      <c r="AY2963" s="76"/>
      <c r="AZ2963" s="76"/>
      <c r="BA2963" s="76"/>
      <c r="BB2963" s="76"/>
    </row>
    <row r="2964" spans="5:54" x14ac:dyDescent="0.35">
      <c r="E2964" s="83"/>
      <c r="F2964" s="83"/>
      <c r="G2964" s="76"/>
      <c r="H2964" s="76"/>
      <c r="I2964" s="76"/>
      <c r="J2964" s="76"/>
      <c r="K2964" s="76"/>
      <c r="L2964" s="76"/>
      <c r="M2964" s="76"/>
      <c r="N2964" s="76"/>
      <c r="O2964" s="76"/>
      <c r="P2964" s="76"/>
      <c r="Q2964" s="76"/>
      <c r="R2964" s="76"/>
      <c r="S2964" s="76"/>
      <c r="T2964" s="76"/>
      <c r="U2964" s="76"/>
      <c r="V2964" s="76"/>
      <c r="W2964" s="76"/>
      <c r="X2964" s="76"/>
      <c r="Y2964" s="76"/>
      <c r="Z2964" s="76"/>
      <c r="AA2964" s="76"/>
      <c r="AB2964" s="76"/>
      <c r="AC2964" s="76"/>
      <c r="AD2964" s="76"/>
      <c r="AE2964" s="76"/>
      <c r="AF2964" s="76"/>
      <c r="AG2964" s="76"/>
      <c r="AH2964" s="76"/>
      <c r="AI2964" s="76"/>
      <c r="AJ2964" s="76"/>
      <c r="AK2964" s="76"/>
      <c r="AL2964" s="76"/>
      <c r="AM2964" s="76"/>
      <c r="AN2964" s="76"/>
      <c r="AO2964" s="76"/>
      <c r="AP2964" s="76"/>
      <c r="AQ2964" s="76"/>
      <c r="AR2964" s="76"/>
      <c r="AS2964" s="76"/>
      <c r="AT2964" s="76"/>
      <c r="AU2964" s="76"/>
      <c r="AV2964" s="76"/>
      <c r="AW2964" s="76"/>
      <c r="AX2964" s="76"/>
      <c r="AY2964" s="76"/>
      <c r="AZ2964" s="76"/>
      <c r="BA2964" s="76"/>
      <c r="BB2964" s="76"/>
    </row>
    <row r="2965" spans="5:54" x14ac:dyDescent="0.35">
      <c r="E2965" s="83"/>
      <c r="F2965" s="83"/>
      <c r="G2965" s="76"/>
      <c r="H2965" s="76"/>
      <c r="I2965" s="76"/>
      <c r="J2965" s="76"/>
      <c r="K2965" s="76"/>
      <c r="L2965" s="76"/>
      <c r="M2965" s="76"/>
      <c r="N2965" s="76"/>
      <c r="O2965" s="76"/>
      <c r="P2965" s="76"/>
      <c r="Q2965" s="76"/>
      <c r="R2965" s="76"/>
      <c r="S2965" s="76"/>
      <c r="T2965" s="76"/>
      <c r="U2965" s="76"/>
      <c r="V2965" s="76"/>
      <c r="W2965" s="76"/>
      <c r="X2965" s="76"/>
      <c r="Y2965" s="76"/>
      <c r="Z2965" s="76"/>
      <c r="AA2965" s="76"/>
      <c r="AB2965" s="76"/>
      <c r="AC2965" s="76"/>
      <c r="AD2965" s="76"/>
      <c r="AE2965" s="76"/>
      <c r="AF2965" s="76"/>
      <c r="AG2965" s="76"/>
      <c r="AH2965" s="76"/>
      <c r="AI2965" s="76"/>
      <c r="AJ2965" s="76"/>
      <c r="AK2965" s="76"/>
      <c r="AL2965" s="76"/>
      <c r="AM2965" s="76"/>
      <c r="AN2965" s="76"/>
      <c r="AO2965" s="76"/>
      <c r="AP2965" s="76"/>
      <c r="AQ2965" s="76"/>
      <c r="AR2965" s="76"/>
      <c r="AS2965" s="76"/>
      <c r="AT2965" s="76"/>
      <c r="AU2965" s="76"/>
      <c r="AV2965" s="76"/>
      <c r="AW2965" s="76"/>
      <c r="AX2965" s="76"/>
      <c r="AY2965" s="76"/>
      <c r="AZ2965" s="76"/>
      <c r="BA2965" s="76"/>
      <c r="BB2965" s="76"/>
    </row>
    <row r="2966" spans="5:54" x14ac:dyDescent="0.35">
      <c r="E2966" s="83"/>
      <c r="F2966" s="83"/>
      <c r="G2966" s="76"/>
      <c r="H2966" s="76"/>
      <c r="I2966" s="76"/>
      <c r="J2966" s="76"/>
      <c r="K2966" s="76"/>
      <c r="L2966" s="76"/>
      <c r="M2966" s="76"/>
      <c r="N2966" s="76"/>
      <c r="O2966" s="76"/>
      <c r="P2966" s="76"/>
      <c r="Q2966" s="76"/>
      <c r="R2966" s="76"/>
      <c r="S2966" s="76"/>
      <c r="T2966" s="76"/>
      <c r="U2966" s="76"/>
      <c r="V2966" s="76"/>
      <c r="W2966" s="76"/>
      <c r="X2966" s="76"/>
      <c r="Y2966" s="76"/>
      <c r="Z2966" s="76"/>
      <c r="AA2966" s="76"/>
      <c r="AB2966" s="76"/>
      <c r="AC2966" s="76"/>
      <c r="AD2966" s="76"/>
      <c r="AE2966" s="76"/>
      <c r="AF2966" s="76"/>
      <c r="AG2966" s="76"/>
      <c r="AH2966" s="76"/>
      <c r="AI2966" s="76"/>
      <c r="AJ2966" s="76"/>
      <c r="AK2966" s="76"/>
      <c r="AL2966" s="76"/>
      <c r="AM2966" s="76"/>
      <c r="AN2966" s="76"/>
      <c r="AO2966" s="76"/>
      <c r="AP2966" s="76"/>
      <c r="AQ2966" s="76"/>
      <c r="AR2966" s="76"/>
      <c r="AS2966" s="76"/>
      <c r="AT2966" s="76"/>
      <c r="AU2966" s="76"/>
      <c r="AV2966" s="76"/>
      <c r="AW2966" s="76"/>
      <c r="AX2966" s="76"/>
      <c r="AY2966" s="76"/>
      <c r="AZ2966" s="76"/>
      <c r="BA2966" s="76"/>
      <c r="BB2966" s="76"/>
    </row>
    <row r="2967" spans="5:54" x14ac:dyDescent="0.35">
      <c r="E2967" s="83"/>
      <c r="F2967" s="83"/>
      <c r="G2967" s="76"/>
      <c r="H2967" s="76"/>
      <c r="I2967" s="76"/>
      <c r="J2967" s="76"/>
      <c r="K2967" s="76"/>
      <c r="L2967" s="76"/>
      <c r="M2967" s="76"/>
      <c r="N2967" s="76"/>
      <c r="O2967" s="76"/>
      <c r="P2967" s="76"/>
      <c r="Q2967" s="76"/>
      <c r="R2967" s="76"/>
      <c r="S2967" s="76"/>
      <c r="T2967" s="76"/>
      <c r="U2967" s="76"/>
      <c r="V2967" s="76"/>
      <c r="W2967" s="76"/>
      <c r="X2967" s="76"/>
      <c r="Y2967" s="76"/>
      <c r="Z2967" s="76"/>
      <c r="AA2967" s="76"/>
      <c r="AB2967" s="76"/>
      <c r="AC2967" s="76"/>
      <c r="AD2967" s="76"/>
      <c r="AE2967" s="76"/>
      <c r="AF2967" s="76"/>
      <c r="AG2967" s="76"/>
      <c r="AH2967" s="76"/>
      <c r="AI2967" s="76"/>
      <c r="AJ2967" s="76"/>
      <c r="AK2967" s="76"/>
      <c r="AL2967" s="76"/>
      <c r="AM2967" s="76"/>
      <c r="AN2967" s="76"/>
      <c r="AO2967" s="76"/>
      <c r="AP2967" s="76"/>
      <c r="AQ2967" s="76"/>
      <c r="AR2967" s="76"/>
      <c r="AS2967" s="76"/>
      <c r="AT2967" s="76"/>
      <c r="AU2967" s="76"/>
      <c r="AV2967" s="76"/>
      <c r="AW2967" s="76"/>
      <c r="AX2967" s="76"/>
      <c r="AY2967" s="76"/>
      <c r="AZ2967" s="76"/>
      <c r="BA2967" s="76"/>
      <c r="BB2967" s="76"/>
    </row>
    <row r="2968" spans="5:54" x14ac:dyDescent="0.35">
      <c r="E2968" s="83"/>
      <c r="F2968" s="83"/>
      <c r="G2968" s="76"/>
      <c r="H2968" s="76"/>
      <c r="I2968" s="76"/>
      <c r="J2968" s="76"/>
      <c r="K2968" s="76"/>
      <c r="L2968" s="76"/>
      <c r="M2968" s="76"/>
      <c r="N2968" s="76"/>
      <c r="O2968" s="76"/>
      <c r="P2968" s="76"/>
      <c r="Q2968" s="76"/>
      <c r="R2968" s="76"/>
      <c r="S2968" s="76"/>
      <c r="T2968" s="76"/>
      <c r="U2968" s="76"/>
      <c r="V2968" s="76"/>
      <c r="W2968" s="76"/>
      <c r="X2968" s="76"/>
      <c r="Y2968" s="76"/>
      <c r="Z2968" s="76"/>
      <c r="AA2968" s="76"/>
      <c r="AB2968" s="76"/>
      <c r="AC2968" s="76"/>
      <c r="AD2968" s="76"/>
      <c r="AE2968" s="76"/>
      <c r="AF2968" s="76"/>
      <c r="AG2968" s="76"/>
      <c r="AH2968" s="76"/>
      <c r="AI2968" s="76"/>
      <c r="AJ2968" s="76"/>
      <c r="AK2968" s="76"/>
      <c r="AL2968" s="76"/>
      <c r="AM2968" s="76"/>
      <c r="AN2968" s="76"/>
      <c r="AO2968" s="76"/>
      <c r="AP2968" s="76"/>
      <c r="AQ2968" s="76"/>
      <c r="AR2968" s="76"/>
      <c r="AS2968" s="76"/>
      <c r="AT2968" s="76"/>
      <c r="AU2968" s="76"/>
      <c r="AV2968" s="76"/>
      <c r="AW2968" s="76"/>
      <c r="AX2968" s="76"/>
      <c r="AY2968" s="76"/>
      <c r="AZ2968" s="76"/>
      <c r="BA2968" s="76"/>
      <c r="BB2968" s="76"/>
    </row>
    <row r="2969" spans="5:54" x14ac:dyDescent="0.35">
      <c r="E2969" s="83"/>
      <c r="F2969" s="83"/>
      <c r="G2969" s="76"/>
      <c r="H2969" s="76"/>
      <c r="I2969" s="76"/>
      <c r="J2969" s="76"/>
      <c r="K2969" s="76"/>
      <c r="L2969" s="76"/>
      <c r="M2969" s="76"/>
      <c r="N2969" s="76"/>
      <c r="O2969" s="76"/>
      <c r="P2969" s="76"/>
      <c r="Q2969" s="76"/>
      <c r="R2969" s="76"/>
      <c r="S2969" s="76"/>
      <c r="T2969" s="76"/>
      <c r="U2969" s="76"/>
      <c r="V2969" s="76"/>
      <c r="W2969" s="76"/>
      <c r="X2969" s="76"/>
      <c r="Y2969" s="76"/>
      <c r="Z2969" s="76"/>
      <c r="AA2969" s="76"/>
      <c r="AB2969" s="76"/>
      <c r="AC2969" s="76"/>
      <c r="AD2969" s="76"/>
      <c r="AE2969" s="76"/>
      <c r="AF2969" s="76"/>
      <c r="AG2969" s="76"/>
      <c r="AH2969" s="76"/>
      <c r="AI2969" s="76"/>
      <c r="AJ2969" s="76"/>
      <c r="AK2969" s="76"/>
      <c r="AL2969" s="76"/>
      <c r="AM2969" s="76"/>
      <c r="AN2969" s="76"/>
      <c r="AO2969" s="76"/>
      <c r="AP2969" s="76"/>
      <c r="AQ2969" s="76"/>
      <c r="AR2969" s="76"/>
      <c r="AS2969" s="76"/>
      <c r="AT2969" s="76"/>
      <c r="AU2969" s="76"/>
      <c r="AV2969" s="76"/>
      <c r="AW2969" s="76"/>
      <c r="AX2969" s="76"/>
      <c r="AY2969" s="76"/>
      <c r="AZ2969" s="76"/>
      <c r="BA2969" s="76"/>
      <c r="BB2969" s="76"/>
    </row>
    <row r="2970" spans="5:54" x14ac:dyDescent="0.35">
      <c r="E2970" s="83"/>
      <c r="F2970" s="83"/>
      <c r="G2970" s="76"/>
      <c r="H2970" s="76"/>
      <c r="I2970" s="76"/>
      <c r="J2970" s="76"/>
      <c r="K2970" s="76"/>
      <c r="L2970" s="76"/>
      <c r="M2970" s="76"/>
      <c r="N2970" s="76"/>
      <c r="O2970" s="76"/>
      <c r="P2970" s="76"/>
      <c r="Q2970" s="76"/>
      <c r="R2970" s="76"/>
      <c r="S2970" s="76"/>
      <c r="T2970" s="76"/>
      <c r="U2970" s="76"/>
      <c r="V2970" s="76"/>
      <c r="W2970" s="76"/>
      <c r="X2970" s="76"/>
      <c r="Y2970" s="76"/>
      <c r="Z2970" s="76"/>
      <c r="AA2970" s="76"/>
      <c r="AB2970" s="76"/>
      <c r="AC2970" s="76"/>
      <c r="AD2970" s="76"/>
      <c r="AE2970" s="76"/>
      <c r="AF2970" s="76"/>
      <c r="AG2970" s="76"/>
      <c r="AH2970" s="76"/>
      <c r="AI2970" s="76"/>
      <c r="AJ2970" s="76"/>
      <c r="AK2970" s="76"/>
      <c r="AL2970" s="76"/>
      <c r="AM2970" s="76"/>
      <c r="AN2970" s="76"/>
      <c r="AO2970" s="76"/>
      <c r="AP2970" s="76"/>
      <c r="AQ2970" s="76"/>
      <c r="AR2970" s="76"/>
      <c r="AS2970" s="76"/>
      <c r="AT2970" s="76"/>
      <c r="AU2970" s="76"/>
      <c r="AV2970" s="76"/>
      <c r="AW2970" s="76"/>
      <c r="AX2970" s="76"/>
      <c r="AY2970" s="76"/>
      <c r="AZ2970" s="76"/>
      <c r="BA2970" s="76"/>
      <c r="BB2970" s="76"/>
    </row>
    <row r="2971" spans="5:54" x14ac:dyDescent="0.35">
      <c r="E2971" s="83"/>
      <c r="F2971" s="83"/>
      <c r="G2971" s="76"/>
      <c r="H2971" s="76"/>
      <c r="I2971" s="76"/>
      <c r="J2971" s="76"/>
      <c r="K2971" s="76"/>
      <c r="L2971" s="76"/>
      <c r="M2971" s="76"/>
      <c r="N2971" s="76"/>
      <c r="O2971" s="76"/>
      <c r="P2971" s="76"/>
      <c r="Q2971" s="76"/>
      <c r="R2971" s="76"/>
      <c r="S2971" s="76"/>
      <c r="T2971" s="76"/>
      <c r="U2971" s="76"/>
      <c r="V2971" s="76"/>
      <c r="W2971" s="76"/>
      <c r="X2971" s="76"/>
      <c r="Y2971" s="76"/>
      <c r="Z2971" s="76"/>
      <c r="AA2971" s="76"/>
      <c r="AB2971" s="76"/>
      <c r="AC2971" s="76"/>
      <c r="AD2971" s="76"/>
      <c r="AE2971" s="76"/>
      <c r="AF2971" s="76"/>
      <c r="AG2971" s="76"/>
      <c r="AH2971" s="76"/>
      <c r="AI2971" s="76"/>
      <c r="AJ2971" s="76"/>
      <c r="AK2971" s="76"/>
      <c r="AL2971" s="76"/>
      <c r="AM2971" s="76"/>
      <c r="AN2971" s="76"/>
      <c r="AO2971" s="76"/>
      <c r="AP2971" s="76"/>
      <c r="AQ2971" s="76"/>
      <c r="AR2971" s="76"/>
      <c r="AS2971" s="76"/>
      <c r="AT2971" s="76"/>
      <c r="AU2971" s="76"/>
      <c r="AV2971" s="76"/>
      <c r="AW2971" s="76"/>
      <c r="AX2971" s="76"/>
      <c r="AY2971" s="76"/>
      <c r="AZ2971" s="76"/>
      <c r="BA2971" s="76"/>
      <c r="BB2971" s="76"/>
    </row>
    <row r="2972" spans="5:54" x14ac:dyDescent="0.35">
      <c r="E2972" s="83"/>
      <c r="F2972" s="83"/>
      <c r="G2972" s="76"/>
      <c r="H2972" s="76"/>
      <c r="I2972" s="76"/>
      <c r="J2972" s="76"/>
      <c r="K2972" s="76"/>
      <c r="L2972" s="76"/>
      <c r="M2972" s="76"/>
      <c r="N2972" s="76"/>
      <c r="O2972" s="76"/>
      <c r="P2972" s="76"/>
      <c r="Q2972" s="76"/>
      <c r="R2972" s="76"/>
      <c r="S2972" s="76"/>
      <c r="T2972" s="76"/>
      <c r="U2972" s="76"/>
      <c r="V2972" s="76"/>
      <c r="W2972" s="76"/>
      <c r="X2972" s="76"/>
      <c r="Y2972" s="76"/>
      <c r="Z2972" s="76"/>
      <c r="AA2972" s="76"/>
      <c r="AB2972" s="76"/>
      <c r="AC2972" s="76"/>
      <c r="AD2972" s="76"/>
      <c r="AE2972" s="76"/>
      <c r="AF2972" s="76"/>
      <c r="AG2972" s="76"/>
      <c r="AH2972" s="76"/>
      <c r="AI2972" s="76"/>
      <c r="AJ2972" s="76"/>
      <c r="AK2972" s="76"/>
      <c r="AL2972" s="76"/>
      <c r="AM2972" s="76"/>
      <c r="AN2972" s="76"/>
      <c r="AO2972" s="76"/>
      <c r="AP2972" s="76"/>
      <c r="AQ2972" s="76"/>
      <c r="AR2972" s="76"/>
      <c r="AS2972" s="76"/>
      <c r="AT2972" s="76"/>
      <c r="AU2972" s="76"/>
      <c r="AV2972" s="76"/>
      <c r="AW2972" s="76"/>
      <c r="AX2972" s="76"/>
      <c r="AY2972" s="76"/>
      <c r="AZ2972" s="76"/>
      <c r="BA2972" s="76"/>
      <c r="BB2972" s="76"/>
    </row>
    <row r="2973" spans="5:54" x14ac:dyDescent="0.35">
      <c r="E2973" s="83"/>
      <c r="F2973" s="83"/>
      <c r="G2973" s="76"/>
      <c r="H2973" s="76"/>
      <c r="I2973" s="76"/>
      <c r="J2973" s="76"/>
      <c r="K2973" s="76"/>
      <c r="L2973" s="76"/>
      <c r="M2973" s="76"/>
      <c r="N2973" s="76"/>
      <c r="O2973" s="76"/>
      <c r="P2973" s="76"/>
      <c r="Q2973" s="76"/>
      <c r="R2973" s="76"/>
      <c r="S2973" s="76"/>
      <c r="T2973" s="76"/>
      <c r="U2973" s="76"/>
      <c r="V2973" s="76"/>
      <c r="W2973" s="76"/>
      <c r="X2973" s="76"/>
      <c r="Y2973" s="76"/>
      <c r="Z2973" s="76"/>
      <c r="AA2973" s="76"/>
      <c r="AB2973" s="76"/>
      <c r="AC2973" s="76"/>
      <c r="AD2973" s="76"/>
      <c r="AE2973" s="76"/>
      <c r="AF2973" s="76"/>
      <c r="AG2973" s="76"/>
      <c r="AH2973" s="76"/>
      <c r="AI2973" s="76"/>
      <c r="AJ2973" s="76"/>
      <c r="AK2973" s="76"/>
      <c r="AL2973" s="76"/>
      <c r="AM2973" s="76"/>
      <c r="AN2973" s="76"/>
      <c r="AO2973" s="76"/>
      <c r="AP2973" s="76"/>
      <c r="AQ2973" s="76"/>
      <c r="AR2973" s="76"/>
      <c r="AS2973" s="76"/>
      <c r="AT2973" s="76"/>
      <c r="AU2973" s="76"/>
      <c r="AV2973" s="76"/>
      <c r="AW2973" s="76"/>
      <c r="AX2973" s="76"/>
      <c r="AY2973" s="76"/>
      <c r="AZ2973" s="76"/>
      <c r="BA2973" s="76"/>
      <c r="BB2973" s="76"/>
    </row>
    <row r="2974" spans="5:54" x14ac:dyDescent="0.35">
      <c r="E2974" s="83"/>
      <c r="F2974" s="83"/>
      <c r="G2974" s="76"/>
      <c r="H2974" s="76"/>
      <c r="I2974" s="76"/>
      <c r="J2974" s="76"/>
      <c r="K2974" s="76"/>
      <c r="L2974" s="76"/>
      <c r="M2974" s="76"/>
      <c r="N2974" s="76"/>
      <c r="O2974" s="76"/>
      <c r="P2974" s="76"/>
      <c r="Q2974" s="76"/>
      <c r="R2974" s="76"/>
      <c r="S2974" s="76"/>
      <c r="T2974" s="76"/>
      <c r="U2974" s="76"/>
      <c r="V2974" s="76"/>
      <c r="W2974" s="76"/>
      <c r="X2974" s="76"/>
      <c r="Y2974" s="76"/>
      <c r="Z2974" s="76"/>
      <c r="AA2974" s="76"/>
      <c r="AB2974" s="76"/>
      <c r="AC2974" s="76"/>
      <c r="AD2974" s="76"/>
      <c r="AE2974" s="76"/>
      <c r="AF2974" s="76"/>
      <c r="AG2974" s="76"/>
      <c r="AH2974" s="76"/>
      <c r="AI2974" s="76"/>
      <c r="AJ2974" s="76"/>
      <c r="AK2974" s="76"/>
      <c r="AL2974" s="76"/>
      <c r="AM2974" s="76"/>
      <c r="AN2974" s="76"/>
      <c r="AO2974" s="76"/>
      <c r="AP2974" s="76"/>
      <c r="AQ2974" s="76"/>
      <c r="AR2974" s="76"/>
      <c r="AS2974" s="76"/>
      <c r="AT2974" s="76"/>
      <c r="AU2974" s="76"/>
      <c r="AV2974" s="76"/>
      <c r="AW2974" s="76"/>
      <c r="AX2974" s="76"/>
      <c r="AY2974" s="76"/>
      <c r="AZ2974" s="76"/>
      <c r="BA2974" s="76"/>
      <c r="BB2974" s="76"/>
    </row>
    <row r="2975" spans="5:54" x14ac:dyDescent="0.35">
      <c r="E2975" s="83"/>
      <c r="F2975" s="83"/>
      <c r="G2975" s="76"/>
      <c r="H2975" s="76"/>
      <c r="I2975" s="76"/>
      <c r="J2975" s="76"/>
      <c r="K2975" s="76"/>
      <c r="L2975" s="76"/>
      <c r="M2975" s="76"/>
      <c r="N2975" s="76"/>
      <c r="O2975" s="76"/>
      <c r="P2975" s="76"/>
      <c r="Q2975" s="76"/>
      <c r="R2975" s="76"/>
      <c r="S2975" s="76"/>
      <c r="T2975" s="76"/>
      <c r="U2975" s="76"/>
      <c r="V2975" s="76"/>
      <c r="W2975" s="76"/>
      <c r="X2975" s="76"/>
      <c r="Y2975" s="76"/>
      <c r="Z2975" s="76"/>
      <c r="AA2975" s="76"/>
      <c r="AB2975" s="76"/>
      <c r="AC2975" s="76"/>
      <c r="AD2975" s="76"/>
      <c r="AE2975" s="76"/>
      <c r="AF2975" s="76"/>
      <c r="AG2975" s="76"/>
      <c r="AH2975" s="76"/>
      <c r="AI2975" s="76"/>
      <c r="AJ2975" s="76"/>
      <c r="AK2975" s="76"/>
      <c r="AL2975" s="76"/>
      <c r="AM2975" s="76"/>
      <c r="AN2975" s="76"/>
      <c r="AO2975" s="76"/>
      <c r="AP2975" s="76"/>
      <c r="AQ2975" s="76"/>
      <c r="AR2975" s="76"/>
      <c r="AS2975" s="76"/>
      <c r="AT2975" s="76"/>
      <c r="AU2975" s="76"/>
      <c r="AV2975" s="76"/>
      <c r="AW2975" s="76"/>
      <c r="AX2975" s="76"/>
      <c r="AY2975" s="76"/>
      <c r="AZ2975" s="76"/>
      <c r="BA2975" s="76"/>
      <c r="BB2975" s="76"/>
    </row>
    <row r="2976" spans="5:54" x14ac:dyDescent="0.35">
      <c r="E2976" s="83"/>
      <c r="F2976" s="83"/>
      <c r="G2976" s="76"/>
      <c r="H2976" s="76"/>
      <c r="I2976" s="76"/>
      <c r="J2976" s="76"/>
      <c r="K2976" s="76"/>
      <c r="L2976" s="76"/>
      <c r="M2976" s="76"/>
      <c r="N2976" s="76"/>
      <c r="O2976" s="76"/>
      <c r="P2976" s="76"/>
      <c r="Q2976" s="76"/>
      <c r="R2976" s="76"/>
      <c r="S2976" s="76"/>
      <c r="T2976" s="76"/>
      <c r="U2976" s="76"/>
      <c r="V2976" s="76"/>
      <c r="W2976" s="76"/>
      <c r="X2976" s="76"/>
      <c r="Y2976" s="76"/>
      <c r="Z2976" s="76"/>
      <c r="AA2976" s="76"/>
      <c r="AB2976" s="76"/>
      <c r="AC2976" s="76"/>
      <c r="AD2976" s="76"/>
      <c r="AE2976" s="76"/>
      <c r="AF2976" s="76"/>
      <c r="AG2976" s="76"/>
      <c r="AH2976" s="76"/>
      <c r="AI2976" s="76"/>
      <c r="AJ2976" s="76"/>
      <c r="AK2976" s="76"/>
      <c r="AL2976" s="76"/>
      <c r="AM2976" s="76"/>
      <c r="AN2976" s="76"/>
      <c r="AO2976" s="76"/>
      <c r="AP2976" s="76"/>
      <c r="AQ2976" s="76"/>
      <c r="AR2976" s="76"/>
      <c r="AS2976" s="76"/>
      <c r="AT2976" s="76"/>
      <c r="AU2976" s="76"/>
      <c r="AV2976" s="76"/>
      <c r="AW2976" s="76"/>
      <c r="AX2976" s="76"/>
      <c r="AY2976" s="76"/>
      <c r="AZ2976" s="76"/>
      <c r="BA2976" s="76"/>
      <c r="BB2976" s="76"/>
    </row>
    <row r="2977" spans="5:54" x14ac:dyDescent="0.35">
      <c r="E2977" s="83"/>
      <c r="F2977" s="83"/>
      <c r="G2977" s="76"/>
      <c r="H2977" s="76"/>
      <c r="I2977" s="76"/>
      <c r="J2977" s="76"/>
      <c r="K2977" s="76"/>
      <c r="L2977" s="76"/>
      <c r="M2977" s="76"/>
      <c r="N2977" s="76"/>
      <c r="O2977" s="76"/>
      <c r="P2977" s="76"/>
      <c r="Q2977" s="76"/>
      <c r="R2977" s="76"/>
      <c r="S2977" s="76"/>
      <c r="T2977" s="76"/>
      <c r="U2977" s="76"/>
      <c r="V2977" s="76"/>
      <c r="W2977" s="76"/>
      <c r="X2977" s="76"/>
      <c r="Y2977" s="76"/>
      <c r="Z2977" s="76"/>
      <c r="AA2977" s="76"/>
      <c r="AB2977" s="76"/>
      <c r="AC2977" s="76"/>
      <c r="AD2977" s="76"/>
      <c r="AE2977" s="76"/>
      <c r="AF2977" s="76"/>
      <c r="AG2977" s="76"/>
      <c r="AH2977" s="76"/>
      <c r="AI2977" s="76"/>
      <c r="AJ2977" s="76"/>
      <c r="AK2977" s="76"/>
      <c r="AL2977" s="76"/>
      <c r="AM2977" s="76"/>
      <c r="AN2977" s="76"/>
      <c r="AO2977" s="76"/>
      <c r="AP2977" s="76"/>
      <c r="AQ2977" s="76"/>
      <c r="AR2977" s="76"/>
      <c r="AS2977" s="76"/>
      <c r="AT2977" s="76"/>
      <c r="AU2977" s="76"/>
      <c r="AV2977" s="76"/>
      <c r="AW2977" s="76"/>
      <c r="AX2977" s="76"/>
      <c r="AY2977" s="76"/>
      <c r="AZ2977" s="76"/>
      <c r="BA2977" s="76"/>
      <c r="BB2977" s="76"/>
    </row>
    <row r="2978" spans="5:54" x14ac:dyDescent="0.35">
      <c r="E2978" s="83"/>
      <c r="F2978" s="83"/>
      <c r="G2978" s="76"/>
      <c r="H2978" s="76"/>
      <c r="I2978" s="76"/>
      <c r="J2978" s="76"/>
      <c r="K2978" s="76"/>
      <c r="L2978" s="76"/>
      <c r="M2978" s="76"/>
      <c r="N2978" s="76"/>
      <c r="O2978" s="76"/>
      <c r="P2978" s="76"/>
      <c r="Q2978" s="76"/>
      <c r="R2978" s="76"/>
      <c r="S2978" s="76"/>
      <c r="T2978" s="76"/>
      <c r="U2978" s="76"/>
      <c r="V2978" s="76"/>
      <c r="W2978" s="76"/>
      <c r="X2978" s="76"/>
      <c r="Y2978" s="76"/>
      <c r="Z2978" s="76"/>
      <c r="AA2978" s="76"/>
      <c r="AB2978" s="76"/>
      <c r="AC2978" s="76"/>
      <c r="AD2978" s="76"/>
      <c r="AE2978" s="76"/>
      <c r="AF2978" s="76"/>
      <c r="AG2978" s="76"/>
      <c r="AH2978" s="76"/>
      <c r="AI2978" s="76"/>
      <c r="AJ2978" s="76"/>
      <c r="AK2978" s="76"/>
      <c r="AL2978" s="76"/>
      <c r="AM2978" s="76"/>
      <c r="AN2978" s="76"/>
      <c r="AO2978" s="76"/>
      <c r="AP2978" s="76"/>
      <c r="AQ2978" s="76"/>
      <c r="AR2978" s="76"/>
      <c r="AS2978" s="76"/>
      <c r="AT2978" s="76"/>
      <c r="AU2978" s="76"/>
      <c r="AV2978" s="76"/>
      <c r="AW2978" s="76"/>
      <c r="AX2978" s="76"/>
      <c r="AY2978" s="76"/>
      <c r="AZ2978" s="76"/>
      <c r="BA2978" s="76"/>
      <c r="BB2978" s="76"/>
    </row>
    <row r="2979" spans="5:54" x14ac:dyDescent="0.35">
      <c r="E2979" s="83"/>
      <c r="F2979" s="83"/>
      <c r="G2979" s="76"/>
      <c r="H2979" s="76"/>
      <c r="I2979" s="76"/>
      <c r="J2979" s="76"/>
      <c r="K2979" s="76"/>
      <c r="L2979" s="76"/>
      <c r="M2979" s="76"/>
      <c r="N2979" s="76"/>
      <c r="O2979" s="76"/>
      <c r="P2979" s="76"/>
      <c r="Q2979" s="76"/>
      <c r="R2979" s="76"/>
      <c r="S2979" s="76"/>
      <c r="T2979" s="76"/>
      <c r="U2979" s="76"/>
      <c r="V2979" s="76"/>
      <c r="W2979" s="76"/>
      <c r="X2979" s="76"/>
      <c r="Y2979" s="76"/>
      <c r="Z2979" s="76"/>
      <c r="AA2979" s="76"/>
      <c r="AB2979" s="76"/>
      <c r="AC2979" s="76"/>
      <c r="AD2979" s="76"/>
      <c r="AE2979" s="76"/>
      <c r="AF2979" s="76"/>
      <c r="AG2979" s="76"/>
      <c r="AH2979" s="76"/>
      <c r="AI2979" s="76"/>
      <c r="AJ2979" s="76"/>
      <c r="AK2979" s="76"/>
      <c r="AL2979" s="76"/>
      <c r="AM2979" s="76"/>
      <c r="AN2979" s="76"/>
      <c r="AO2979" s="76"/>
      <c r="AP2979" s="76"/>
      <c r="AQ2979" s="76"/>
      <c r="AR2979" s="76"/>
      <c r="AS2979" s="76"/>
      <c r="AT2979" s="76"/>
      <c r="AU2979" s="76"/>
      <c r="AV2979" s="76"/>
      <c r="AW2979" s="76"/>
      <c r="AX2979" s="76"/>
      <c r="AY2979" s="76"/>
      <c r="AZ2979" s="76"/>
      <c r="BA2979" s="76"/>
      <c r="BB2979" s="76"/>
    </row>
    <row r="2980" spans="5:54" x14ac:dyDescent="0.35">
      <c r="E2980" s="83"/>
      <c r="F2980" s="83"/>
      <c r="G2980" s="76"/>
      <c r="H2980" s="76"/>
      <c r="I2980" s="76"/>
      <c r="J2980" s="76"/>
      <c r="K2980" s="76"/>
      <c r="L2980" s="76"/>
      <c r="M2980" s="76"/>
      <c r="N2980" s="76"/>
      <c r="O2980" s="76"/>
      <c r="P2980" s="76"/>
      <c r="Q2980" s="76"/>
      <c r="R2980" s="76"/>
      <c r="S2980" s="76"/>
      <c r="T2980" s="76"/>
      <c r="U2980" s="76"/>
      <c r="V2980" s="76"/>
      <c r="W2980" s="76"/>
      <c r="X2980" s="76"/>
      <c r="Y2980" s="76"/>
      <c r="Z2980" s="76"/>
      <c r="AA2980" s="76"/>
      <c r="AB2980" s="76"/>
      <c r="AC2980" s="76"/>
      <c r="AD2980" s="76"/>
      <c r="AE2980" s="76"/>
      <c r="AF2980" s="76"/>
      <c r="AG2980" s="76"/>
      <c r="AH2980" s="76"/>
      <c r="AI2980" s="76"/>
      <c r="AJ2980" s="76"/>
      <c r="AK2980" s="76"/>
      <c r="AL2980" s="76"/>
      <c r="AM2980" s="76"/>
      <c r="AN2980" s="76"/>
      <c r="AO2980" s="76"/>
      <c r="AP2980" s="76"/>
      <c r="AQ2980" s="76"/>
      <c r="AR2980" s="76"/>
      <c r="AS2980" s="76"/>
      <c r="AT2980" s="76"/>
      <c r="AU2980" s="76"/>
      <c r="AV2980" s="76"/>
      <c r="AW2980" s="76"/>
      <c r="AX2980" s="76"/>
      <c r="AY2980" s="76"/>
      <c r="AZ2980" s="76"/>
      <c r="BA2980" s="76"/>
      <c r="BB2980" s="76"/>
    </row>
    <row r="2981" spans="5:54" x14ac:dyDescent="0.35">
      <c r="E2981" s="83"/>
      <c r="F2981" s="83"/>
      <c r="G2981" s="76"/>
      <c r="H2981" s="76"/>
      <c r="I2981" s="76"/>
      <c r="J2981" s="76"/>
      <c r="K2981" s="76"/>
      <c r="L2981" s="76"/>
      <c r="M2981" s="76"/>
      <c r="N2981" s="76"/>
      <c r="O2981" s="76"/>
      <c r="P2981" s="76"/>
      <c r="Q2981" s="76"/>
      <c r="R2981" s="76"/>
      <c r="S2981" s="76"/>
      <c r="T2981" s="76"/>
      <c r="U2981" s="76"/>
      <c r="V2981" s="76"/>
      <c r="W2981" s="76"/>
      <c r="X2981" s="76"/>
      <c r="Y2981" s="76"/>
      <c r="Z2981" s="76"/>
      <c r="AA2981" s="76"/>
      <c r="AB2981" s="76"/>
      <c r="AC2981" s="76"/>
      <c r="AD2981" s="76"/>
      <c r="AE2981" s="76"/>
      <c r="AF2981" s="76"/>
      <c r="AG2981" s="76"/>
      <c r="AH2981" s="76"/>
      <c r="AI2981" s="76"/>
      <c r="AJ2981" s="76"/>
      <c r="AK2981" s="76"/>
      <c r="AL2981" s="76"/>
      <c r="AM2981" s="76"/>
      <c r="AN2981" s="76"/>
      <c r="AO2981" s="76"/>
      <c r="AP2981" s="76"/>
      <c r="AQ2981" s="76"/>
      <c r="AR2981" s="76"/>
      <c r="AS2981" s="76"/>
      <c r="AT2981" s="76"/>
      <c r="AU2981" s="76"/>
      <c r="AV2981" s="76"/>
      <c r="AW2981" s="76"/>
      <c r="AX2981" s="76"/>
      <c r="AY2981" s="76"/>
      <c r="AZ2981" s="76"/>
      <c r="BA2981" s="76"/>
      <c r="BB2981" s="76"/>
    </row>
    <row r="2982" spans="5:54" x14ac:dyDescent="0.35">
      <c r="E2982" s="83"/>
      <c r="F2982" s="83"/>
      <c r="G2982" s="76"/>
      <c r="H2982" s="76"/>
      <c r="I2982" s="76"/>
      <c r="J2982" s="76"/>
      <c r="K2982" s="76"/>
      <c r="L2982" s="76"/>
      <c r="M2982" s="76"/>
      <c r="N2982" s="76"/>
      <c r="O2982" s="76"/>
      <c r="P2982" s="76"/>
      <c r="Q2982" s="76"/>
      <c r="R2982" s="76"/>
      <c r="S2982" s="76"/>
      <c r="T2982" s="76"/>
      <c r="U2982" s="76"/>
      <c r="V2982" s="76"/>
      <c r="W2982" s="76"/>
      <c r="X2982" s="76"/>
      <c r="Y2982" s="76"/>
      <c r="Z2982" s="76"/>
      <c r="AA2982" s="76"/>
      <c r="AB2982" s="76"/>
      <c r="AC2982" s="76"/>
      <c r="AD2982" s="76"/>
      <c r="AE2982" s="76"/>
      <c r="AF2982" s="76"/>
      <c r="AG2982" s="76"/>
      <c r="AH2982" s="76"/>
      <c r="AI2982" s="76"/>
      <c r="AJ2982" s="76"/>
      <c r="AK2982" s="76"/>
      <c r="AL2982" s="76"/>
      <c r="AM2982" s="76"/>
      <c r="AN2982" s="76"/>
      <c r="AO2982" s="76"/>
      <c r="AP2982" s="76"/>
      <c r="AQ2982" s="76"/>
      <c r="AR2982" s="76"/>
      <c r="AS2982" s="76"/>
      <c r="AT2982" s="76"/>
      <c r="AU2982" s="76"/>
      <c r="AV2982" s="76"/>
      <c r="AW2982" s="76"/>
      <c r="AX2982" s="76"/>
      <c r="AY2982" s="76"/>
      <c r="AZ2982" s="76"/>
      <c r="BA2982" s="76"/>
      <c r="BB2982" s="76"/>
    </row>
    <row r="2983" spans="5:54" x14ac:dyDescent="0.35">
      <c r="E2983" s="83"/>
      <c r="F2983" s="83"/>
      <c r="G2983" s="76"/>
      <c r="H2983" s="76"/>
      <c r="I2983" s="76"/>
      <c r="J2983" s="76"/>
      <c r="K2983" s="76"/>
      <c r="L2983" s="76"/>
      <c r="M2983" s="76"/>
      <c r="N2983" s="76"/>
      <c r="O2983" s="76"/>
      <c r="P2983" s="76"/>
      <c r="Q2983" s="76"/>
      <c r="R2983" s="76"/>
      <c r="S2983" s="76"/>
      <c r="T2983" s="76"/>
      <c r="U2983" s="76"/>
      <c r="V2983" s="76"/>
      <c r="W2983" s="76"/>
      <c r="X2983" s="76"/>
      <c r="Y2983" s="76"/>
      <c r="Z2983" s="76"/>
      <c r="AA2983" s="76"/>
      <c r="AB2983" s="76"/>
      <c r="AC2983" s="76"/>
      <c r="AD2983" s="76"/>
      <c r="AE2983" s="76"/>
      <c r="AF2983" s="76"/>
      <c r="AG2983" s="76"/>
      <c r="AH2983" s="76"/>
      <c r="AI2983" s="76"/>
      <c r="AJ2983" s="76"/>
      <c r="AK2983" s="76"/>
      <c r="AL2983" s="76"/>
      <c r="AM2983" s="76"/>
      <c r="AN2983" s="76"/>
      <c r="AO2983" s="76"/>
      <c r="AP2983" s="76"/>
      <c r="AQ2983" s="76"/>
      <c r="AR2983" s="76"/>
      <c r="AS2983" s="76"/>
      <c r="AT2983" s="76"/>
      <c r="AU2983" s="76"/>
      <c r="AV2983" s="76"/>
      <c r="AW2983" s="76"/>
      <c r="AX2983" s="76"/>
      <c r="AY2983" s="76"/>
      <c r="AZ2983" s="76"/>
      <c r="BA2983" s="76"/>
      <c r="BB2983" s="76"/>
    </row>
    <row r="2984" spans="5:54" x14ac:dyDescent="0.35">
      <c r="E2984" s="83"/>
      <c r="F2984" s="83"/>
      <c r="G2984" s="76"/>
      <c r="H2984" s="76"/>
      <c r="I2984" s="76"/>
      <c r="J2984" s="76"/>
      <c r="K2984" s="76"/>
      <c r="L2984" s="76"/>
      <c r="M2984" s="76"/>
      <c r="N2984" s="76"/>
      <c r="O2984" s="76"/>
      <c r="P2984" s="76"/>
      <c r="Q2984" s="76"/>
      <c r="R2984" s="76"/>
      <c r="S2984" s="76"/>
      <c r="T2984" s="76"/>
      <c r="U2984" s="76"/>
      <c r="V2984" s="76"/>
      <c r="W2984" s="76"/>
      <c r="X2984" s="76"/>
      <c r="Y2984" s="76"/>
      <c r="Z2984" s="76"/>
      <c r="AA2984" s="76"/>
      <c r="AB2984" s="76"/>
      <c r="AC2984" s="76"/>
      <c r="AD2984" s="76"/>
      <c r="AE2984" s="76"/>
      <c r="AF2984" s="76"/>
      <c r="AG2984" s="76"/>
      <c r="AH2984" s="76"/>
      <c r="AI2984" s="76"/>
      <c r="AJ2984" s="76"/>
      <c r="AK2984" s="76"/>
      <c r="AL2984" s="76"/>
      <c r="AM2984" s="76"/>
      <c r="AN2984" s="76"/>
      <c r="AO2984" s="76"/>
      <c r="AP2984" s="76"/>
      <c r="AQ2984" s="76"/>
      <c r="AR2984" s="76"/>
      <c r="AS2984" s="76"/>
      <c r="AT2984" s="76"/>
      <c r="AU2984" s="76"/>
      <c r="AV2984" s="76"/>
      <c r="AW2984" s="76"/>
      <c r="AX2984" s="76"/>
      <c r="AY2984" s="76"/>
      <c r="AZ2984" s="76"/>
      <c r="BA2984" s="76"/>
      <c r="BB2984" s="76"/>
    </row>
    <row r="2985" spans="5:54" x14ac:dyDescent="0.35">
      <c r="E2985" s="83"/>
      <c r="F2985" s="83"/>
      <c r="G2985" s="76"/>
      <c r="H2985" s="76"/>
      <c r="I2985" s="76"/>
      <c r="J2985" s="76"/>
      <c r="K2985" s="76"/>
      <c r="L2985" s="76"/>
      <c r="M2985" s="76"/>
      <c r="N2985" s="76"/>
      <c r="O2985" s="76"/>
      <c r="P2985" s="76"/>
      <c r="Q2985" s="76"/>
      <c r="R2985" s="76"/>
      <c r="S2985" s="76"/>
      <c r="T2985" s="76"/>
      <c r="U2985" s="76"/>
      <c r="V2985" s="76"/>
      <c r="W2985" s="76"/>
      <c r="X2985" s="76"/>
      <c r="Y2985" s="76"/>
      <c r="Z2985" s="76"/>
      <c r="AA2985" s="76"/>
      <c r="AB2985" s="76"/>
      <c r="AC2985" s="76"/>
      <c r="AD2985" s="76"/>
      <c r="AE2985" s="76"/>
      <c r="AF2985" s="76"/>
      <c r="AG2985" s="76"/>
      <c r="AH2985" s="76"/>
      <c r="AI2985" s="76"/>
      <c r="AJ2985" s="76"/>
      <c r="AK2985" s="76"/>
      <c r="AL2985" s="76"/>
      <c r="AM2985" s="76"/>
      <c r="AN2985" s="76"/>
      <c r="AO2985" s="76"/>
      <c r="AP2985" s="76"/>
      <c r="AQ2985" s="76"/>
      <c r="AR2985" s="76"/>
      <c r="AS2985" s="76"/>
      <c r="AT2985" s="76"/>
      <c r="AU2985" s="76"/>
      <c r="AV2985" s="76"/>
      <c r="AW2985" s="76"/>
      <c r="AX2985" s="76"/>
      <c r="AY2985" s="76"/>
      <c r="AZ2985" s="76"/>
      <c r="BA2985" s="76"/>
      <c r="BB2985" s="76"/>
    </row>
    <row r="2986" spans="5:54" x14ac:dyDescent="0.35">
      <c r="E2986" s="83"/>
      <c r="F2986" s="83"/>
      <c r="G2986" s="76"/>
      <c r="H2986" s="76"/>
      <c r="I2986" s="76"/>
      <c r="J2986" s="76"/>
      <c r="K2986" s="76"/>
      <c r="L2986" s="76"/>
      <c r="M2986" s="76"/>
      <c r="N2986" s="76"/>
      <c r="O2986" s="76"/>
      <c r="P2986" s="76"/>
      <c r="Q2986" s="76"/>
      <c r="R2986" s="76"/>
      <c r="S2986" s="76"/>
      <c r="T2986" s="76"/>
      <c r="U2986" s="76"/>
      <c r="V2986" s="76"/>
      <c r="W2986" s="76"/>
      <c r="X2986" s="76"/>
      <c r="Y2986" s="76"/>
      <c r="Z2986" s="76"/>
      <c r="AA2986" s="76"/>
      <c r="AB2986" s="76"/>
      <c r="AC2986" s="76"/>
      <c r="AD2986" s="76"/>
      <c r="AE2986" s="76"/>
      <c r="AF2986" s="76"/>
      <c r="AG2986" s="76"/>
      <c r="AH2986" s="76"/>
      <c r="AI2986" s="76"/>
      <c r="AJ2986" s="76"/>
      <c r="AK2986" s="76"/>
      <c r="AL2986" s="76"/>
      <c r="AM2986" s="76"/>
      <c r="AN2986" s="76"/>
      <c r="AO2986" s="76"/>
      <c r="AP2986" s="76"/>
      <c r="AQ2986" s="76"/>
      <c r="AR2986" s="76"/>
      <c r="AS2986" s="76"/>
      <c r="AT2986" s="76"/>
      <c r="AU2986" s="76"/>
      <c r="AV2986" s="76"/>
      <c r="AW2986" s="76"/>
      <c r="AX2986" s="76"/>
      <c r="AY2986" s="76"/>
      <c r="AZ2986" s="76"/>
      <c r="BA2986" s="76"/>
      <c r="BB2986" s="76"/>
    </row>
    <row r="2987" spans="5:54" x14ac:dyDescent="0.35">
      <c r="E2987" s="83"/>
      <c r="F2987" s="83"/>
      <c r="G2987" s="76"/>
      <c r="H2987" s="76"/>
      <c r="I2987" s="76"/>
      <c r="J2987" s="76"/>
      <c r="K2987" s="76"/>
      <c r="L2987" s="76"/>
      <c r="M2987" s="76"/>
      <c r="N2987" s="76"/>
      <c r="O2987" s="76"/>
      <c r="P2987" s="76"/>
      <c r="Q2987" s="76"/>
      <c r="R2987" s="76"/>
      <c r="S2987" s="76"/>
      <c r="T2987" s="76"/>
      <c r="U2987" s="76"/>
      <c r="V2987" s="76"/>
      <c r="W2987" s="76"/>
      <c r="X2987" s="76"/>
      <c r="Y2987" s="76"/>
      <c r="Z2987" s="76"/>
      <c r="AA2987" s="76"/>
      <c r="AB2987" s="76"/>
      <c r="AC2987" s="76"/>
      <c r="AD2987" s="76"/>
      <c r="AE2987" s="76"/>
      <c r="AF2987" s="76"/>
      <c r="AG2987" s="76"/>
      <c r="AH2987" s="76"/>
      <c r="AI2987" s="76"/>
      <c r="AJ2987" s="76"/>
      <c r="AK2987" s="76"/>
      <c r="AL2987" s="76"/>
      <c r="AM2987" s="76"/>
      <c r="AN2987" s="76"/>
      <c r="AO2987" s="76"/>
      <c r="AP2987" s="76"/>
      <c r="AQ2987" s="76"/>
      <c r="AR2987" s="76"/>
      <c r="AS2987" s="76"/>
      <c r="AT2987" s="76"/>
      <c r="AU2987" s="76"/>
      <c r="AV2987" s="76"/>
      <c r="AW2987" s="76"/>
      <c r="AX2987" s="76"/>
      <c r="AY2987" s="76"/>
      <c r="AZ2987" s="76"/>
      <c r="BA2987" s="76"/>
      <c r="BB2987" s="76"/>
    </row>
    <row r="2988" spans="5:54" x14ac:dyDescent="0.35">
      <c r="E2988" s="83"/>
      <c r="F2988" s="83"/>
      <c r="G2988" s="76"/>
      <c r="H2988" s="76"/>
      <c r="I2988" s="76"/>
      <c r="J2988" s="76"/>
      <c r="K2988" s="76"/>
      <c r="L2988" s="76"/>
      <c r="M2988" s="76"/>
      <c r="N2988" s="76"/>
      <c r="O2988" s="76"/>
      <c r="P2988" s="76"/>
      <c r="Q2988" s="76"/>
      <c r="R2988" s="76"/>
      <c r="S2988" s="76"/>
      <c r="T2988" s="76"/>
      <c r="U2988" s="76"/>
      <c r="V2988" s="76"/>
      <c r="W2988" s="76"/>
      <c r="X2988" s="76"/>
      <c r="Y2988" s="76"/>
      <c r="Z2988" s="76"/>
      <c r="AA2988" s="76"/>
      <c r="AB2988" s="76"/>
      <c r="AC2988" s="76"/>
      <c r="AD2988" s="76"/>
      <c r="AE2988" s="76"/>
      <c r="AF2988" s="76"/>
      <c r="AG2988" s="76"/>
      <c r="AH2988" s="76"/>
      <c r="AI2988" s="76"/>
      <c r="AJ2988" s="76"/>
      <c r="AK2988" s="76"/>
      <c r="AL2988" s="76"/>
      <c r="AM2988" s="76"/>
      <c r="AN2988" s="76"/>
      <c r="AO2988" s="76"/>
      <c r="AP2988" s="76"/>
      <c r="AQ2988" s="76"/>
      <c r="AR2988" s="76"/>
      <c r="AS2988" s="76"/>
      <c r="AT2988" s="76"/>
      <c r="AU2988" s="76"/>
      <c r="AV2988" s="76"/>
      <c r="AW2988" s="76"/>
      <c r="AX2988" s="76"/>
      <c r="AY2988" s="76"/>
      <c r="AZ2988" s="76"/>
      <c r="BA2988" s="76"/>
      <c r="BB2988" s="76"/>
    </row>
    <row r="2989" spans="5:54" x14ac:dyDescent="0.35">
      <c r="E2989" s="83"/>
      <c r="F2989" s="83"/>
      <c r="G2989" s="76"/>
      <c r="H2989" s="76"/>
      <c r="I2989" s="76"/>
      <c r="J2989" s="76"/>
      <c r="K2989" s="76"/>
      <c r="L2989" s="76"/>
      <c r="M2989" s="76"/>
      <c r="N2989" s="76"/>
      <c r="O2989" s="76"/>
      <c r="P2989" s="76"/>
      <c r="Q2989" s="76"/>
      <c r="R2989" s="76"/>
      <c r="S2989" s="76"/>
      <c r="T2989" s="76"/>
      <c r="U2989" s="76"/>
      <c r="V2989" s="76"/>
      <c r="W2989" s="76"/>
      <c r="X2989" s="76"/>
      <c r="Y2989" s="76"/>
      <c r="Z2989" s="76"/>
      <c r="AA2989" s="76"/>
      <c r="AB2989" s="76"/>
      <c r="AC2989" s="76"/>
      <c r="AD2989" s="76"/>
      <c r="AE2989" s="76"/>
      <c r="AF2989" s="76"/>
      <c r="AG2989" s="76"/>
      <c r="AH2989" s="76"/>
      <c r="AI2989" s="76"/>
      <c r="AJ2989" s="76"/>
      <c r="AK2989" s="76"/>
      <c r="AL2989" s="76"/>
      <c r="AM2989" s="76"/>
      <c r="AN2989" s="76"/>
      <c r="AO2989" s="76"/>
      <c r="AP2989" s="76"/>
      <c r="AQ2989" s="76"/>
      <c r="AR2989" s="76"/>
      <c r="AS2989" s="76"/>
      <c r="AT2989" s="76"/>
      <c r="AU2989" s="76"/>
      <c r="AV2989" s="76"/>
      <c r="AW2989" s="76"/>
      <c r="AX2989" s="76"/>
      <c r="AY2989" s="76"/>
      <c r="AZ2989" s="76"/>
      <c r="BA2989" s="76"/>
      <c r="BB2989" s="76"/>
    </row>
    <row r="2990" spans="5:54" x14ac:dyDescent="0.35">
      <c r="E2990" s="83"/>
      <c r="F2990" s="83"/>
      <c r="G2990" s="76"/>
      <c r="H2990" s="76"/>
      <c r="I2990" s="76"/>
      <c r="J2990" s="76"/>
      <c r="K2990" s="76"/>
      <c r="L2990" s="76"/>
      <c r="M2990" s="76"/>
      <c r="N2990" s="76"/>
      <c r="O2990" s="76"/>
      <c r="P2990" s="76"/>
      <c r="Q2990" s="76"/>
      <c r="R2990" s="76"/>
      <c r="S2990" s="76"/>
      <c r="T2990" s="76"/>
      <c r="U2990" s="76"/>
      <c r="V2990" s="76"/>
      <c r="W2990" s="76"/>
      <c r="X2990" s="76"/>
      <c r="Y2990" s="76"/>
      <c r="Z2990" s="76"/>
      <c r="AA2990" s="76"/>
      <c r="AB2990" s="76"/>
      <c r="AC2990" s="76"/>
      <c r="AD2990" s="76"/>
      <c r="AE2990" s="76"/>
      <c r="AF2990" s="76"/>
      <c r="AG2990" s="76"/>
      <c r="AH2990" s="76"/>
      <c r="AI2990" s="76"/>
      <c r="AJ2990" s="76"/>
      <c r="AK2990" s="76"/>
      <c r="AL2990" s="76"/>
      <c r="AM2990" s="76"/>
      <c r="AN2990" s="76"/>
      <c r="AO2990" s="76"/>
      <c r="AP2990" s="76"/>
      <c r="AQ2990" s="76"/>
      <c r="AR2990" s="76"/>
      <c r="AS2990" s="76"/>
      <c r="AT2990" s="76"/>
      <c r="AU2990" s="76"/>
      <c r="AV2990" s="76"/>
      <c r="AW2990" s="76"/>
      <c r="AX2990" s="76"/>
      <c r="AY2990" s="76"/>
      <c r="AZ2990" s="76"/>
      <c r="BA2990" s="76"/>
      <c r="BB2990" s="76"/>
    </row>
    <row r="2991" spans="5:54" x14ac:dyDescent="0.35">
      <c r="E2991" s="83"/>
      <c r="F2991" s="83"/>
      <c r="G2991" s="76"/>
      <c r="H2991" s="76"/>
      <c r="I2991" s="76"/>
      <c r="J2991" s="76"/>
      <c r="K2991" s="76"/>
      <c r="L2991" s="76"/>
      <c r="M2991" s="76"/>
      <c r="N2991" s="76"/>
      <c r="O2991" s="76"/>
      <c r="P2991" s="76"/>
      <c r="Q2991" s="76"/>
      <c r="R2991" s="76"/>
      <c r="S2991" s="76"/>
      <c r="T2991" s="76"/>
      <c r="U2991" s="76"/>
      <c r="V2991" s="76"/>
      <c r="W2991" s="76"/>
      <c r="X2991" s="76"/>
      <c r="Y2991" s="76"/>
      <c r="Z2991" s="76"/>
      <c r="AA2991" s="76"/>
      <c r="AB2991" s="76"/>
      <c r="AC2991" s="76"/>
      <c r="AD2991" s="76"/>
      <c r="AE2991" s="76"/>
      <c r="AF2991" s="76"/>
      <c r="AG2991" s="76"/>
      <c r="AH2991" s="76"/>
      <c r="AI2991" s="76"/>
      <c r="AJ2991" s="76"/>
      <c r="AK2991" s="76"/>
      <c r="AL2991" s="76"/>
      <c r="AM2991" s="76"/>
      <c r="AN2991" s="76"/>
      <c r="AO2991" s="76"/>
      <c r="AP2991" s="76"/>
      <c r="AQ2991" s="76"/>
      <c r="AR2991" s="76"/>
      <c r="AS2991" s="76"/>
      <c r="AT2991" s="76"/>
      <c r="AU2991" s="76"/>
      <c r="AV2991" s="76"/>
      <c r="AW2991" s="76"/>
      <c r="AX2991" s="76"/>
      <c r="AY2991" s="76"/>
      <c r="AZ2991" s="76"/>
      <c r="BA2991" s="76"/>
      <c r="BB2991" s="76"/>
    </row>
    <row r="2992" spans="5:54" x14ac:dyDescent="0.35">
      <c r="E2992" s="83"/>
      <c r="F2992" s="83"/>
      <c r="G2992" s="76"/>
      <c r="H2992" s="76"/>
      <c r="I2992" s="76"/>
      <c r="J2992" s="76"/>
      <c r="K2992" s="76"/>
      <c r="L2992" s="76"/>
      <c r="M2992" s="76"/>
      <c r="N2992" s="76"/>
      <c r="O2992" s="76"/>
      <c r="P2992" s="76"/>
      <c r="Q2992" s="76"/>
      <c r="R2992" s="76"/>
      <c r="S2992" s="76"/>
      <c r="T2992" s="76"/>
      <c r="U2992" s="76"/>
      <c r="V2992" s="76"/>
      <c r="W2992" s="76"/>
      <c r="X2992" s="76"/>
      <c r="Y2992" s="76"/>
      <c r="Z2992" s="76"/>
      <c r="AA2992" s="76"/>
      <c r="AB2992" s="76"/>
      <c r="AC2992" s="76"/>
      <c r="AD2992" s="76"/>
      <c r="AE2992" s="76"/>
      <c r="AF2992" s="76"/>
      <c r="AG2992" s="76"/>
      <c r="AH2992" s="76"/>
      <c r="AI2992" s="76"/>
      <c r="AJ2992" s="76"/>
      <c r="AK2992" s="76"/>
      <c r="AL2992" s="76"/>
      <c r="AM2992" s="76"/>
      <c r="AN2992" s="76"/>
      <c r="AO2992" s="76"/>
      <c r="AP2992" s="76"/>
      <c r="AQ2992" s="76"/>
      <c r="AR2992" s="76"/>
      <c r="AS2992" s="76"/>
      <c r="AT2992" s="76"/>
      <c r="AU2992" s="76"/>
      <c r="AV2992" s="76"/>
      <c r="AW2992" s="76"/>
      <c r="AX2992" s="76"/>
      <c r="AY2992" s="76"/>
      <c r="AZ2992" s="76"/>
      <c r="BA2992" s="76"/>
      <c r="BB2992" s="76"/>
    </row>
    <row r="2993" spans="5:54" x14ac:dyDescent="0.35">
      <c r="E2993" s="83"/>
      <c r="F2993" s="83"/>
      <c r="G2993" s="76"/>
      <c r="H2993" s="76"/>
      <c r="I2993" s="76"/>
      <c r="J2993" s="76"/>
      <c r="K2993" s="76"/>
      <c r="L2993" s="76"/>
      <c r="M2993" s="76"/>
      <c r="N2993" s="76"/>
      <c r="O2993" s="76"/>
      <c r="P2993" s="76"/>
      <c r="Q2993" s="76"/>
      <c r="R2993" s="76"/>
      <c r="S2993" s="76"/>
      <c r="T2993" s="76"/>
      <c r="U2993" s="76"/>
      <c r="V2993" s="76"/>
      <c r="W2993" s="76"/>
      <c r="X2993" s="76"/>
      <c r="Y2993" s="76"/>
      <c r="Z2993" s="76"/>
      <c r="AA2993" s="76"/>
      <c r="AB2993" s="76"/>
      <c r="AC2993" s="76"/>
      <c r="AD2993" s="76"/>
      <c r="AE2993" s="76"/>
      <c r="AF2993" s="76"/>
      <c r="AG2993" s="76"/>
      <c r="AH2993" s="76"/>
      <c r="AI2993" s="76"/>
      <c r="AJ2993" s="76"/>
      <c r="AK2993" s="76"/>
      <c r="AL2993" s="76"/>
      <c r="AM2993" s="76"/>
      <c r="AN2993" s="76"/>
      <c r="AO2993" s="76"/>
      <c r="AP2993" s="76"/>
      <c r="AQ2993" s="76"/>
      <c r="AR2993" s="76"/>
      <c r="AS2993" s="76"/>
      <c r="AT2993" s="76"/>
      <c r="AU2993" s="76"/>
      <c r="AV2993" s="76"/>
      <c r="AW2993" s="76"/>
      <c r="AX2993" s="76"/>
      <c r="AY2993" s="76"/>
      <c r="AZ2993" s="76"/>
      <c r="BA2993" s="76"/>
      <c r="BB2993" s="76"/>
    </row>
    <row r="2994" spans="5:54" x14ac:dyDescent="0.35">
      <c r="E2994" s="83"/>
      <c r="F2994" s="83"/>
      <c r="G2994" s="76"/>
      <c r="H2994" s="76"/>
      <c r="I2994" s="76"/>
      <c r="J2994" s="76"/>
      <c r="K2994" s="76"/>
      <c r="L2994" s="76"/>
      <c r="M2994" s="76"/>
      <c r="N2994" s="76"/>
      <c r="O2994" s="76"/>
      <c r="P2994" s="76"/>
      <c r="Q2994" s="76"/>
      <c r="R2994" s="76"/>
      <c r="S2994" s="76"/>
      <c r="T2994" s="76"/>
      <c r="U2994" s="76"/>
      <c r="V2994" s="76"/>
      <c r="W2994" s="76"/>
      <c r="X2994" s="76"/>
      <c r="Y2994" s="76"/>
      <c r="Z2994" s="76"/>
      <c r="AA2994" s="76"/>
      <c r="AB2994" s="76"/>
      <c r="AC2994" s="76"/>
      <c r="AD2994" s="76"/>
      <c r="AE2994" s="76"/>
      <c r="AF2994" s="76"/>
      <c r="AG2994" s="76"/>
      <c r="AH2994" s="76"/>
      <c r="AI2994" s="76"/>
      <c r="AJ2994" s="76"/>
      <c r="AK2994" s="76"/>
      <c r="AL2994" s="76"/>
      <c r="AM2994" s="76"/>
      <c r="AN2994" s="76"/>
      <c r="AO2994" s="76"/>
      <c r="AP2994" s="76"/>
      <c r="AQ2994" s="76"/>
      <c r="AR2994" s="76"/>
      <c r="AS2994" s="76"/>
      <c r="AT2994" s="76"/>
      <c r="AU2994" s="76"/>
      <c r="AV2994" s="76"/>
      <c r="AW2994" s="76"/>
      <c r="AX2994" s="76"/>
      <c r="AY2994" s="76"/>
      <c r="AZ2994" s="76"/>
      <c r="BA2994" s="76"/>
      <c r="BB2994" s="76"/>
    </row>
    <row r="2995" spans="5:54" x14ac:dyDescent="0.35">
      <c r="E2995" s="83"/>
      <c r="F2995" s="83"/>
      <c r="G2995" s="76"/>
      <c r="H2995" s="76"/>
      <c r="I2995" s="76"/>
      <c r="J2995" s="76"/>
      <c r="K2995" s="76"/>
      <c r="L2995" s="76"/>
      <c r="M2995" s="76"/>
      <c r="N2995" s="76"/>
      <c r="O2995" s="76"/>
      <c r="P2995" s="76"/>
      <c r="Q2995" s="76"/>
      <c r="R2995" s="76"/>
      <c r="S2995" s="76"/>
      <c r="T2995" s="76"/>
      <c r="U2995" s="76"/>
      <c r="V2995" s="76"/>
      <c r="W2995" s="76"/>
      <c r="X2995" s="76"/>
      <c r="Y2995" s="76"/>
      <c r="Z2995" s="76"/>
      <c r="AA2995" s="76"/>
      <c r="AB2995" s="76"/>
      <c r="AC2995" s="76"/>
      <c r="AD2995" s="76"/>
      <c r="AE2995" s="76"/>
      <c r="AF2995" s="76"/>
      <c r="AG2995" s="76"/>
      <c r="AH2995" s="76"/>
      <c r="AI2995" s="76"/>
      <c r="AJ2995" s="76"/>
      <c r="AK2995" s="76"/>
      <c r="AL2995" s="76"/>
      <c r="AM2995" s="76"/>
      <c r="AN2995" s="76"/>
      <c r="AO2995" s="76"/>
      <c r="AP2995" s="76"/>
      <c r="AQ2995" s="76"/>
      <c r="AR2995" s="76"/>
      <c r="AS2995" s="76"/>
      <c r="AT2995" s="76"/>
      <c r="AU2995" s="76"/>
      <c r="AV2995" s="76"/>
      <c r="AW2995" s="76"/>
      <c r="AX2995" s="76"/>
      <c r="AY2995" s="76"/>
      <c r="AZ2995" s="76"/>
      <c r="BA2995" s="76"/>
      <c r="BB2995" s="76"/>
    </row>
    <row r="2996" spans="5:54" x14ac:dyDescent="0.35">
      <c r="E2996" s="83"/>
      <c r="F2996" s="83"/>
      <c r="G2996" s="76"/>
      <c r="H2996" s="76"/>
      <c r="I2996" s="76"/>
      <c r="J2996" s="76"/>
      <c r="K2996" s="76"/>
      <c r="L2996" s="76"/>
      <c r="M2996" s="76"/>
      <c r="N2996" s="76"/>
      <c r="O2996" s="76"/>
      <c r="P2996" s="76"/>
      <c r="Q2996" s="76"/>
      <c r="R2996" s="76"/>
      <c r="S2996" s="76"/>
      <c r="T2996" s="76"/>
      <c r="U2996" s="76"/>
      <c r="V2996" s="76"/>
      <c r="W2996" s="76"/>
      <c r="X2996" s="76"/>
      <c r="Y2996" s="76"/>
      <c r="Z2996" s="76"/>
      <c r="AA2996" s="76"/>
      <c r="AB2996" s="76"/>
      <c r="AC2996" s="76"/>
      <c r="AD2996" s="76"/>
      <c r="AE2996" s="76"/>
      <c r="AF2996" s="76"/>
      <c r="AG2996" s="76"/>
      <c r="AH2996" s="76"/>
      <c r="AI2996" s="76"/>
      <c r="AJ2996" s="76"/>
      <c r="AK2996" s="76"/>
      <c r="AL2996" s="76"/>
      <c r="AM2996" s="76"/>
      <c r="AN2996" s="76"/>
      <c r="AO2996" s="76"/>
      <c r="AP2996" s="76"/>
      <c r="AQ2996" s="76"/>
      <c r="AR2996" s="76"/>
      <c r="AS2996" s="76"/>
      <c r="AT2996" s="76"/>
      <c r="AU2996" s="76"/>
      <c r="AV2996" s="76"/>
      <c r="AW2996" s="76"/>
      <c r="AX2996" s="76"/>
      <c r="AY2996" s="76"/>
      <c r="AZ2996" s="76"/>
      <c r="BA2996" s="76"/>
      <c r="BB2996" s="76"/>
    </row>
    <row r="2997" spans="5:54" x14ac:dyDescent="0.35">
      <c r="E2997" s="83"/>
      <c r="F2997" s="83"/>
      <c r="G2997" s="76"/>
      <c r="H2997" s="76"/>
      <c r="I2997" s="76"/>
      <c r="J2997" s="76"/>
      <c r="K2997" s="76"/>
      <c r="L2997" s="76"/>
      <c r="M2997" s="76"/>
      <c r="N2997" s="76"/>
      <c r="O2997" s="76"/>
      <c r="P2997" s="76"/>
      <c r="Q2997" s="76"/>
      <c r="R2997" s="76"/>
      <c r="S2997" s="76"/>
      <c r="T2997" s="76"/>
      <c r="U2997" s="76"/>
      <c r="V2997" s="76"/>
      <c r="W2997" s="76"/>
      <c r="X2997" s="76"/>
      <c r="Y2997" s="76"/>
      <c r="Z2997" s="76"/>
      <c r="AA2997" s="76"/>
      <c r="AB2997" s="76"/>
      <c r="AC2997" s="76"/>
      <c r="AD2997" s="76"/>
      <c r="AE2997" s="76"/>
      <c r="AF2997" s="76"/>
      <c r="AG2997" s="76"/>
      <c r="AH2997" s="76"/>
      <c r="AI2997" s="76"/>
      <c r="AJ2997" s="76"/>
      <c r="AK2997" s="76"/>
      <c r="AL2997" s="76"/>
      <c r="AM2997" s="76"/>
      <c r="AN2997" s="76"/>
      <c r="AO2997" s="76"/>
      <c r="AP2997" s="76"/>
      <c r="AQ2997" s="76"/>
      <c r="AR2997" s="76"/>
      <c r="AS2997" s="76"/>
      <c r="AT2997" s="76"/>
      <c r="AU2997" s="76"/>
      <c r="AV2997" s="76"/>
      <c r="AW2997" s="76"/>
      <c r="AX2997" s="76"/>
      <c r="AY2997" s="76"/>
      <c r="AZ2997" s="76"/>
      <c r="BA2997" s="76"/>
      <c r="BB2997" s="76"/>
    </row>
    <row r="2998" spans="5:54" x14ac:dyDescent="0.35">
      <c r="E2998" s="83"/>
      <c r="F2998" s="83"/>
      <c r="G2998" s="76"/>
      <c r="H2998" s="76"/>
      <c r="I2998" s="76"/>
      <c r="J2998" s="76"/>
      <c r="K2998" s="76"/>
      <c r="L2998" s="76"/>
      <c r="M2998" s="76"/>
      <c r="N2998" s="76"/>
      <c r="O2998" s="76"/>
      <c r="P2998" s="76"/>
      <c r="Q2998" s="76"/>
      <c r="R2998" s="76"/>
      <c r="S2998" s="76"/>
      <c r="T2998" s="76"/>
      <c r="U2998" s="76"/>
      <c r="V2998" s="76"/>
      <c r="W2998" s="76"/>
      <c r="X2998" s="76"/>
      <c r="Y2998" s="76"/>
      <c r="Z2998" s="76"/>
      <c r="AA2998" s="76"/>
      <c r="AB2998" s="76"/>
      <c r="AC2998" s="76"/>
      <c r="AD2998" s="76"/>
      <c r="AE2998" s="76"/>
      <c r="AF2998" s="76"/>
      <c r="AG2998" s="76"/>
      <c r="AH2998" s="76"/>
      <c r="AI2998" s="76"/>
      <c r="AJ2998" s="76"/>
      <c r="AK2998" s="76"/>
      <c r="AL2998" s="76"/>
      <c r="AM2998" s="76"/>
      <c r="AN2998" s="76"/>
      <c r="AO2998" s="76"/>
      <c r="AP2998" s="76"/>
      <c r="AQ2998" s="76"/>
      <c r="AR2998" s="76"/>
      <c r="AS2998" s="76"/>
      <c r="AT2998" s="76"/>
      <c r="AU2998" s="76"/>
      <c r="AV2998" s="76"/>
      <c r="AW2998" s="76"/>
      <c r="AX2998" s="76"/>
      <c r="AY2998" s="76"/>
      <c r="AZ2998" s="76"/>
      <c r="BA2998" s="76"/>
      <c r="BB2998" s="76"/>
    </row>
    <row r="2999" spans="5:54" x14ac:dyDescent="0.35">
      <c r="E2999" s="83"/>
      <c r="F2999" s="83"/>
      <c r="G2999" s="76"/>
      <c r="H2999" s="76"/>
      <c r="I2999" s="76"/>
      <c r="J2999" s="76"/>
      <c r="K2999" s="76"/>
      <c r="L2999" s="76"/>
      <c r="M2999" s="76"/>
      <c r="N2999" s="76"/>
      <c r="O2999" s="76"/>
      <c r="P2999" s="76"/>
      <c r="Q2999" s="76"/>
      <c r="R2999" s="76"/>
      <c r="S2999" s="76"/>
      <c r="T2999" s="76"/>
      <c r="U2999" s="76"/>
      <c r="V2999" s="76"/>
      <c r="W2999" s="76"/>
      <c r="X2999" s="76"/>
      <c r="Y2999" s="76"/>
      <c r="Z2999" s="76"/>
      <c r="AA2999" s="76"/>
      <c r="AB2999" s="76"/>
      <c r="AC2999" s="76"/>
      <c r="AD2999" s="76"/>
      <c r="AE2999" s="76"/>
      <c r="AF2999" s="76"/>
      <c r="AG2999" s="76"/>
      <c r="AH2999" s="76"/>
      <c r="AI2999" s="76"/>
      <c r="AJ2999" s="76"/>
      <c r="AK2999" s="76"/>
      <c r="AL2999" s="76"/>
      <c r="AM2999" s="76"/>
      <c r="AN2999" s="76"/>
      <c r="AO2999" s="76"/>
      <c r="AP2999" s="76"/>
      <c r="AQ2999" s="76"/>
      <c r="AR2999" s="76"/>
      <c r="AS2999" s="76"/>
      <c r="AT2999" s="76"/>
      <c r="AU2999" s="76"/>
      <c r="AV2999" s="76"/>
      <c r="AW2999" s="76"/>
      <c r="AX2999" s="76"/>
      <c r="AY2999" s="76"/>
      <c r="AZ2999" s="76"/>
      <c r="BA2999" s="76"/>
      <c r="BB2999" s="76"/>
    </row>
    <row r="3000" spans="5:54" x14ac:dyDescent="0.35">
      <c r="E3000" s="83"/>
      <c r="F3000" s="83"/>
      <c r="G3000" s="76"/>
      <c r="H3000" s="76"/>
      <c r="I3000" s="76"/>
      <c r="J3000" s="76"/>
      <c r="K3000" s="76"/>
      <c r="L3000" s="76"/>
      <c r="M3000" s="76"/>
      <c r="N3000" s="76"/>
      <c r="O3000" s="76"/>
      <c r="P3000" s="76"/>
      <c r="Q3000" s="76"/>
      <c r="R3000" s="76"/>
      <c r="S3000" s="76"/>
      <c r="T3000" s="76"/>
      <c r="U3000" s="76"/>
      <c r="V3000" s="76"/>
      <c r="W3000" s="76"/>
      <c r="X3000" s="76"/>
      <c r="Y3000" s="76"/>
      <c r="Z3000" s="76"/>
      <c r="AA3000" s="76"/>
      <c r="AB3000" s="76"/>
      <c r="AC3000" s="76"/>
      <c r="AD3000" s="76"/>
      <c r="AE3000" s="76"/>
      <c r="AF3000" s="76"/>
      <c r="AG3000" s="76"/>
      <c r="AH3000" s="76"/>
      <c r="AI3000" s="76"/>
      <c r="AJ3000" s="76"/>
      <c r="AK3000" s="76"/>
      <c r="AL3000" s="76"/>
      <c r="AM3000" s="76"/>
      <c r="AN3000" s="76"/>
      <c r="AO3000" s="76"/>
      <c r="AP3000" s="76"/>
      <c r="AQ3000" s="76"/>
      <c r="AR3000" s="76"/>
      <c r="AS3000" s="76"/>
      <c r="AT3000" s="76"/>
      <c r="AU3000" s="76"/>
      <c r="AV3000" s="76"/>
      <c r="AW3000" s="76"/>
      <c r="AX3000" s="76"/>
      <c r="AY3000" s="76"/>
      <c r="AZ3000" s="76"/>
      <c r="BA3000" s="76"/>
      <c r="BB3000" s="76"/>
    </row>
  </sheetData>
  <conditionalFormatting sqref="E5:E43">
    <cfRule type="cellIs" dxfId="3" priority="4" operator="notEqual">
      <formula>1</formula>
    </cfRule>
  </conditionalFormatting>
  <conditionalFormatting sqref="F5:F43">
    <cfRule type="cellIs" dxfId="2" priority="3" operator="greaterThan">
      <formula>1</formula>
    </cfRule>
  </conditionalFormatting>
  <conditionalFormatting sqref="E4">
    <cfRule type="cellIs" dxfId="1" priority="2" operator="notEqual">
      <formula>1</formula>
    </cfRule>
  </conditionalFormatting>
  <conditionalFormatting sqref="F4">
    <cfRule type="cellIs" dxfId="0" priority="1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"/>
  <dimension ref="A1:M399"/>
  <sheetViews>
    <sheetView tabSelected="1" workbookViewId="0">
      <selection sqref="A1:XFD1048576"/>
    </sheetView>
  </sheetViews>
  <sheetFormatPr defaultRowHeight="14.5" x14ac:dyDescent="0.35"/>
  <cols>
    <col min="1" max="1" width="2.453125" bestFit="1" customWidth="1"/>
    <col min="2" max="2" width="15" style="28" bestFit="1" customWidth="1"/>
    <col min="3" max="3" width="17" bestFit="1" customWidth="1"/>
    <col min="4" max="4" width="7.54296875" style="91" bestFit="1" customWidth="1"/>
    <col min="5" max="5" width="21.81640625" bestFit="1" customWidth="1"/>
    <col min="6" max="6" width="26.453125" bestFit="1" customWidth="1"/>
    <col min="7" max="7" width="28.36328125" bestFit="1" customWidth="1"/>
    <col min="8" max="8" width="40.453125" bestFit="1" customWidth="1"/>
    <col min="9" max="9" width="48.54296875" bestFit="1" customWidth="1"/>
    <col min="10" max="10" width="8.36328125" style="91" bestFit="1" customWidth="1"/>
    <col min="11" max="11" width="14.08984375" bestFit="1" customWidth="1"/>
    <col min="12" max="12" width="10.08984375" style="91" bestFit="1" customWidth="1"/>
    <col min="13" max="13" width="16.7265625" bestFit="1" customWidth="1"/>
  </cols>
  <sheetData>
    <row r="1" spans="1:13" x14ac:dyDescent="0.35">
      <c r="A1" s="20" t="s">
        <v>239</v>
      </c>
      <c r="B1" s="20" t="s">
        <v>240</v>
      </c>
      <c r="C1" s="20" t="s">
        <v>241</v>
      </c>
      <c r="D1" s="90" t="s">
        <v>17</v>
      </c>
      <c r="E1" s="20" t="s">
        <v>16</v>
      </c>
      <c r="F1" s="20" t="s">
        <v>221</v>
      </c>
      <c r="G1" s="20" t="s">
        <v>30</v>
      </c>
      <c r="H1" s="20" t="s">
        <v>219</v>
      </c>
      <c r="I1" s="20" t="s">
        <v>395</v>
      </c>
      <c r="J1" s="90" t="s">
        <v>398</v>
      </c>
      <c r="K1" s="20" t="s">
        <v>399</v>
      </c>
      <c r="L1" s="90" t="s">
        <v>559</v>
      </c>
      <c r="M1" s="20" t="s">
        <v>560</v>
      </c>
    </row>
    <row r="2" spans="1:13" x14ac:dyDescent="0.35">
      <c r="A2">
        <v>1</v>
      </c>
      <c r="B2" s="28">
        <v>43983</v>
      </c>
      <c r="C2" t="s">
        <v>34</v>
      </c>
      <c r="D2" s="91">
        <v>117.04</v>
      </c>
      <c r="E2" t="s">
        <v>561</v>
      </c>
      <c r="F2" t="s">
        <v>201</v>
      </c>
      <c r="G2" t="s">
        <v>250</v>
      </c>
      <c r="H2" t="s">
        <v>309</v>
      </c>
      <c r="I2" t="s">
        <v>401</v>
      </c>
      <c r="J2" s="91">
        <v>-117.04</v>
      </c>
      <c r="K2" s="89">
        <v>117.04</v>
      </c>
      <c r="L2" s="91">
        <v>-117.04</v>
      </c>
      <c r="M2" t="s">
        <v>396</v>
      </c>
    </row>
    <row r="3" spans="1:13" x14ac:dyDescent="0.35">
      <c r="A3">
        <v>1</v>
      </c>
      <c r="B3" s="28">
        <v>43983</v>
      </c>
      <c r="C3" t="s">
        <v>187</v>
      </c>
      <c r="D3" s="91">
        <v>50</v>
      </c>
      <c r="E3" t="s">
        <v>562</v>
      </c>
      <c r="F3" t="s">
        <v>201</v>
      </c>
      <c r="G3" t="s">
        <v>250</v>
      </c>
      <c r="H3" t="s">
        <v>309</v>
      </c>
      <c r="I3" t="s">
        <v>412</v>
      </c>
      <c r="J3" s="91">
        <v>50</v>
      </c>
      <c r="K3" s="89">
        <v>50</v>
      </c>
      <c r="L3" s="91">
        <v>50</v>
      </c>
      <c r="M3" t="s">
        <v>396</v>
      </c>
    </row>
    <row r="4" spans="1:13" x14ac:dyDescent="0.35">
      <c r="A4">
        <v>1</v>
      </c>
      <c r="B4" s="28">
        <v>43983</v>
      </c>
      <c r="C4" t="s">
        <v>187</v>
      </c>
      <c r="D4" s="91">
        <v>293.45999999999998</v>
      </c>
      <c r="E4" t="s">
        <v>563</v>
      </c>
      <c r="F4" t="s">
        <v>201</v>
      </c>
      <c r="G4" t="s">
        <v>250</v>
      </c>
      <c r="H4" t="s">
        <v>309</v>
      </c>
      <c r="I4" t="s">
        <v>413</v>
      </c>
      <c r="J4" s="91">
        <v>293.45999999999998</v>
      </c>
      <c r="K4" s="89">
        <v>293.45999999999998</v>
      </c>
      <c r="L4" s="91">
        <v>293.45999999999998</v>
      </c>
      <c r="M4" t="s">
        <v>396</v>
      </c>
    </row>
    <row r="5" spans="1:13" x14ac:dyDescent="0.35">
      <c r="A5">
        <v>1</v>
      </c>
      <c r="B5" s="28">
        <v>43983</v>
      </c>
      <c r="C5" t="s">
        <v>187</v>
      </c>
      <c r="D5" s="91">
        <v>893.58</v>
      </c>
      <c r="E5" t="s">
        <v>564</v>
      </c>
      <c r="F5" t="s">
        <v>201</v>
      </c>
      <c r="G5" t="s">
        <v>250</v>
      </c>
      <c r="H5" t="s">
        <v>309</v>
      </c>
      <c r="I5" t="s">
        <v>414</v>
      </c>
      <c r="J5" s="91">
        <v>893.58</v>
      </c>
      <c r="K5" s="89">
        <v>893.58</v>
      </c>
      <c r="L5" s="91">
        <v>893.58</v>
      </c>
      <c r="M5" t="s">
        <v>396</v>
      </c>
    </row>
    <row r="6" spans="1:13" x14ac:dyDescent="0.35">
      <c r="A6">
        <v>1</v>
      </c>
      <c r="B6" s="28">
        <v>43983</v>
      </c>
      <c r="C6" t="s">
        <v>34</v>
      </c>
      <c r="D6" s="91">
        <v>1120</v>
      </c>
      <c r="E6" t="s">
        <v>565</v>
      </c>
      <c r="F6" t="s">
        <v>201</v>
      </c>
      <c r="G6" t="s">
        <v>250</v>
      </c>
      <c r="H6" t="s">
        <v>309</v>
      </c>
      <c r="I6" t="s">
        <v>415</v>
      </c>
      <c r="J6" s="91">
        <v>-1120</v>
      </c>
      <c r="K6" s="89">
        <v>1120</v>
      </c>
      <c r="L6" s="91">
        <v>-1120</v>
      </c>
      <c r="M6" t="s">
        <v>396</v>
      </c>
    </row>
    <row r="7" spans="1:13" x14ac:dyDescent="0.35">
      <c r="A7">
        <v>1</v>
      </c>
      <c r="B7" s="28">
        <v>43983</v>
      </c>
      <c r="C7" t="s">
        <v>187</v>
      </c>
      <c r="D7" s="91">
        <v>293.45999999999998</v>
      </c>
      <c r="E7" t="s">
        <v>564</v>
      </c>
      <c r="F7" t="s">
        <v>201</v>
      </c>
      <c r="G7" t="s">
        <v>250</v>
      </c>
      <c r="H7" t="s">
        <v>309</v>
      </c>
      <c r="I7" t="s">
        <v>416</v>
      </c>
      <c r="J7" s="91">
        <v>293.45999999999998</v>
      </c>
      <c r="K7" s="89">
        <v>293.45999999999998</v>
      </c>
      <c r="L7" s="91">
        <v>293.45999999999998</v>
      </c>
      <c r="M7" t="s">
        <v>396</v>
      </c>
    </row>
    <row r="8" spans="1:13" x14ac:dyDescent="0.35">
      <c r="A8">
        <v>1</v>
      </c>
      <c r="B8" s="28">
        <v>43983</v>
      </c>
      <c r="C8" t="s">
        <v>34</v>
      </c>
      <c r="D8" s="91">
        <v>293.45999999999998</v>
      </c>
      <c r="E8" t="s">
        <v>563</v>
      </c>
      <c r="F8" t="s">
        <v>201</v>
      </c>
      <c r="G8" t="s">
        <v>250</v>
      </c>
      <c r="H8" t="s">
        <v>309</v>
      </c>
      <c r="I8" t="s">
        <v>417</v>
      </c>
      <c r="J8" s="91">
        <v>-293.45999999999998</v>
      </c>
      <c r="K8" s="89">
        <v>293.45999999999998</v>
      </c>
      <c r="L8" s="91">
        <v>-293.45999999999998</v>
      </c>
      <c r="M8" t="s">
        <v>396</v>
      </c>
    </row>
    <row r="9" spans="1:13" x14ac:dyDescent="0.35">
      <c r="A9">
        <v>1</v>
      </c>
      <c r="B9" s="28">
        <v>43983</v>
      </c>
      <c r="C9" t="s">
        <v>34</v>
      </c>
      <c r="D9" s="91">
        <v>126.85</v>
      </c>
      <c r="E9" t="s">
        <v>561</v>
      </c>
      <c r="F9" t="s">
        <v>259</v>
      </c>
      <c r="G9" t="s">
        <v>85</v>
      </c>
      <c r="H9" t="s">
        <v>319</v>
      </c>
      <c r="I9" t="s">
        <v>418</v>
      </c>
      <c r="J9" s="91">
        <v>-126.85</v>
      </c>
      <c r="K9" s="89">
        <v>126.85</v>
      </c>
      <c r="L9" s="91">
        <v>-126.85</v>
      </c>
      <c r="M9" t="s">
        <v>396</v>
      </c>
    </row>
    <row r="10" spans="1:13" x14ac:dyDescent="0.35">
      <c r="A10">
        <v>1</v>
      </c>
      <c r="B10" s="28">
        <v>43983</v>
      </c>
      <c r="C10" t="s">
        <v>187</v>
      </c>
      <c r="D10" s="91">
        <v>158.47</v>
      </c>
      <c r="E10" t="s">
        <v>562</v>
      </c>
      <c r="F10" t="s">
        <v>259</v>
      </c>
      <c r="G10" t="s">
        <v>85</v>
      </c>
      <c r="H10" t="s">
        <v>319</v>
      </c>
      <c r="I10" t="s">
        <v>419</v>
      </c>
      <c r="J10" s="91">
        <v>158.47</v>
      </c>
      <c r="K10" s="89">
        <v>158.47</v>
      </c>
      <c r="L10" s="91">
        <v>158.47</v>
      </c>
      <c r="M10" t="s">
        <v>396</v>
      </c>
    </row>
    <row r="11" spans="1:13" x14ac:dyDescent="0.35">
      <c r="A11">
        <v>1</v>
      </c>
      <c r="B11" s="28">
        <v>43983</v>
      </c>
      <c r="C11" t="s">
        <v>187</v>
      </c>
      <c r="D11" s="91">
        <v>264.94</v>
      </c>
      <c r="E11" t="s">
        <v>563</v>
      </c>
      <c r="F11" t="s">
        <v>259</v>
      </c>
      <c r="G11" t="s">
        <v>85</v>
      </c>
      <c r="H11" t="s">
        <v>319</v>
      </c>
      <c r="I11" t="s">
        <v>420</v>
      </c>
      <c r="J11" s="91">
        <v>264.94</v>
      </c>
      <c r="K11" s="89">
        <v>264.94</v>
      </c>
      <c r="L11" s="91">
        <v>264.94</v>
      </c>
      <c r="M11" t="s">
        <v>396</v>
      </c>
    </row>
    <row r="12" spans="1:13" x14ac:dyDescent="0.35">
      <c r="A12">
        <v>1</v>
      </c>
      <c r="B12" s="28">
        <v>43983</v>
      </c>
      <c r="C12" t="s">
        <v>187</v>
      </c>
      <c r="D12" s="91">
        <v>984.88</v>
      </c>
      <c r="E12" t="s">
        <v>564</v>
      </c>
      <c r="F12" t="s">
        <v>259</v>
      </c>
      <c r="G12" t="s">
        <v>85</v>
      </c>
      <c r="H12" t="s">
        <v>319</v>
      </c>
      <c r="I12" t="s">
        <v>421</v>
      </c>
      <c r="J12" s="91">
        <v>984.88</v>
      </c>
      <c r="K12" s="89">
        <v>984.88</v>
      </c>
      <c r="L12" s="91">
        <v>984.88</v>
      </c>
      <c r="M12" t="s">
        <v>396</v>
      </c>
    </row>
    <row r="13" spans="1:13" x14ac:dyDescent="0.35">
      <c r="A13">
        <v>1</v>
      </c>
      <c r="B13" s="28">
        <v>43983</v>
      </c>
      <c r="C13" t="s">
        <v>34</v>
      </c>
      <c r="D13" s="91">
        <v>1281.44</v>
      </c>
      <c r="E13" t="s">
        <v>565</v>
      </c>
      <c r="F13" t="s">
        <v>259</v>
      </c>
      <c r="G13" t="s">
        <v>85</v>
      </c>
      <c r="H13" t="s">
        <v>319</v>
      </c>
      <c r="I13" t="s">
        <v>422</v>
      </c>
      <c r="J13" s="91">
        <v>-1281.44</v>
      </c>
      <c r="K13" s="89">
        <v>1281.44</v>
      </c>
      <c r="L13" s="91">
        <v>-1281.44</v>
      </c>
      <c r="M13" t="s">
        <v>396</v>
      </c>
    </row>
    <row r="14" spans="1:13" x14ac:dyDescent="0.35">
      <c r="A14">
        <v>1</v>
      </c>
      <c r="B14" s="28">
        <v>43983</v>
      </c>
      <c r="C14" t="s">
        <v>187</v>
      </c>
      <c r="D14" s="91">
        <v>264.94</v>
      </c>
      <c r="E14" t="s">
        <v>564</v>
      </c>
      <c r="F14" t="s">
        <v>259</v>
      </c>
      <c r="G14" t="s">
        <v>85</v>
      </c>
      <c r="H14" t="s">
        <v>319</v>
      </c>
      <c r="I14" t="s">
        <v>423</v>
      </c>
      <c r="J14" s="91">
        <v>264.94</v>
      </c>
      <c r="K14" s="89">
        <v>264.94</v>
      </c>
      <c r="L14" s="91">
        <v>264.94</v>
      </c>
      <c r="M14" t="s">
        <v>396</v>
      </c>
    </row>
    <row r="15" spans="1:13" x14ac:dyDescent="0.35">
      <c r="A15">
        <v>1</v>
      </c>
      <c r="B15" s="28">
        <v>43983</v>
      </c>
      <c r="C15" t="s">
        <v>34</v>
      </c>
      <c r="D15" s="91">
        <v>264.94</v>
      </c>
      <c r="E15" t="s">
        <v>563</v>
      </c>
      <c r="F15" t="s">
        <v>259</v>
      </c>
      <c r="G15" t="s">
        <v>85</v>
      </c>
      <c r="H15" t="s">
        <v>319</v>
      </c>
      <c r="I15" t="s">
        <v>424</v>
      </c>
      <c r="J15" s="91">
        <v>-264.94</v>
      </c>
      <c r="K15" s="89">
        <v>264.94</v>
      </c>
      <c r="L15" s="91">
        <v>-264.94</v>
      </c>
      <c r="M15" t="s">
        <v>396</v>
      </c>
    </row>
    <row r="16" spans="1:13" x14ac:dyDescent="0.35">
      <c r="A16">
        <v>1</v>
      </c>
      <c r="B16" s="28">
        <v>43983</v>
      </c>
      <c r="C16" t="s">
        <v>34</v>
      </c>
      <c r="D16" s="91">
        <v>214.11</v>
      </c>
      <c r="E16" t="s">
        <v>561</v>
      </c>
      <c r="F16" t="s">
        <v>576</v>
      </c>
      <c r="G16" s="101" t="s">
        <v>577</v>
      </c>
      <c r="H16" t="s">
        <v>308</v>
      </c>
      <c r="I16" t="s">
        <v>425</v>
      </c>
      <c r="J16" s="91">
        <v>-214.11</v>
      </c>
      <c r="K16" s="89">
        <v>214.11</v>
      </c>
      <c r="L16" s="91">
        <v>-214.11</v>
      </c>
      <c r="M16" t="s">
        <v>396</v>
      </c>
    </row>
    <row r="17" spans="1:13" x14ac:dyDescent="0.35">
      <c r="A17">
        <v>1</v>
      </c>
      <c r="B17" s="28">
        <v>43983</v>
      </c>
      <c r="C17" t="s">
        <v>187</v>
      </c>
      <c r="D17" s="91">
        <v>101.8</v>
      </c>
      <c r="E17" t="s">
        <v>562</v>
      </c>
      <c r="F17" t="s">
        <v>576</v>
      </c>
      <c r="G17" s="101" t="s">
        <v>577</v>
      </c>
      <c r="H17" t="s">
        <v>308</v>
      </c>
      <c r="I17" t="s">
        <v>426</v>
      </c>
      <c r="J17" s="91">
        <v>101.8</v>
      </c>
      <c r="K17" s="89">
        <v>101.8</v>
      </c>
      <c r="L17" s="91">
        <v>101.8</v>
      </c>
      <c r="M17" t="s">
        <v>396</v>
      </c>
    </row>
    <row r="18" spans="1:13" x14ac:dyDescent="0.35">
      <c r="A18">
        <v>1</v>
      </c>
      <c r="B18" s="28">
        <v>43983</v>
      </c>
      <c r="C18" t="s">
        <v>187</v>
      </c>
      <c r="D18" s="91">
        <v>570.16</v>
      </c>
      <c r="E18" t="s">
        <v>563</v>
      </c>
      <c r="F18" t="s">
        <v>576</v>
      </c>
      <c r="G18" s="101" t="s">
        <v>577</v>
      </c>
      <c r="H18" t="s">
        <v>308</v>
      </c>
      <c r="I18" t="s">
        <v>427</v>
      </c>
      <c r="J18" s="91">
        <v>570.16</v>
      </c>
      <c r="K18" s="89">
        <v>570.16</v>
      </c>
      <c r="L18" s="91">
        <v>570.16</v>
      </c>
      <c r="M18" t="s">
        <v>396</v>
      </c>
    </row>
    <row r="19" spans="1:13" x14ac:dyDescent="0.35">
      <c r="A19">
        <v>1</v>
      </c>
      <c r="B19" s="28">
        <v>43983</v>
      </c>
      <c r="C19" t="s">
        <v>187</v>
      </c>
      <c r="D19" s="91">
        <v>1765.59</v>
      </c>
      <c r="E19" t="s">
        <v>564</v>
      </c>
      <c r="F19" t="s">
        <v>576</v>
      </c>
      <c r="G19" s="101" t="s">
        <v>577</v>
      </c>
      <c r="H19" t="s">
        <v>308</v>
      </c>
      <c r="I19" t="s">
        <v>428</v>
      </c>
      <c r="J19" s="91">
        <v>1765.59</v>
      </c>
      <c r="K19" s="89">
        <v>1765.59</v>
      </c>
      <c r="L19" s="91">
        <v>1765.59</v>
      </c>
      <c r="M19" t="s">
        <v>396</v>
      </c>
    </row>
    <row r="20" spans="1:13" x14ac:dyDescent="0.35">
      <c r="A20">
        <v>1</v>
      </c>
      <c r="B20" s="28">
        <v>43983</v>
      </c>
      <c r="C20" t="s">
        <v>34</v>
      </c>
      <c r="D20" s="91">
        <v>2223.44</v>
      </c>
      <c r="E20" t="s">
        <v>565</v>
      </c>
      <c r="F20" t="s">
        <v>576</v>
      </c>
      <c r="G20" s="101" t="s">
        <v>577</v>
      </c>
      <c r="H20" t="s">
        <v>308</v>
      </c>
      <c r="I20" t="s">
        <v>429</v>
      </c>
      <c r="J20" s="91">
        <v>-2223.44</v>
      </c>
      <c r="K20" s="89">
        <v>2223.44</v>
      </c>
      <c r="L20" s="91">
        <v>-2223.44</v>
      </c>
      <c r="M20" t="s">
        <v>396</v>
      </c>
    </row>
    <row r="21" spans="1:13" x14ac:dyDescent="0.35">
      <c r="A21">
        <v>1</v>
      </c>
      <c r="B21" s="28">
        <v>43983</v>
      </c>
      <c r="C21" t="s">
        <v>187</v>
      </c>
      <c r="D21" s="91">
        <v>570.16</v>
      </c>
      <c r="E21" t="s">
        <v>564</v>
      </c>
      <c r="F21" t="s">
        <v>576</v>
      </c>
      <c r="G21" s="101" t="s">
        <v>577</v>
      </c>
      <c r="H21" t="s">
        <v>308</v>
      </c>
      <c r="I21" t="s">
        <v>430</v>
      </c>
      <c r="J21" s="91">
        <v>570.16</v>
      </c>
      <c r="K21" s="89">
        <v>570.16</v>
      </c>
      <c r="L21" s="91">
        <v>570.16</v>
      </c>
      <c r="M21" t="s">
        <v>396</v>
      </c>
    </row>
    <row r="22" spans="1:13" x14ac:dyDescent="0.35">
      <c r="A22">
        <v>1</v>
      </c>
      <c r="B22" s="28">
        <v>43983</v>
      </c>
      <c r="C22" t="s">
        <v>34</v>
      </c>
      <c r="D22" s="91">
        <v>570.16</v>
      </c>
      <c r="E22" t="s">
        <v>563</v>
      </c>
      <c r="F22" t="s">
        <v>576</v>
      </c>
      <c r="G22" s="101" t="s">
        <v>577</v>
      </c>
      <c r="H22" t="s">
        <v>308</v>
      </c>
      <c r="I22" t="s">
        <v>431</v>
      </c>
      <c r="J22" s="91">
        <v>-570.16</v>
      </c>
      <c r="K22" s="89">
        <v>570.16</v>
      </c>
      <c r="L22" s="91">
        <v>-570.16</v>
      </c>
      <c r="M22" t="s">
        <v>396</v>
      </c>
    </row>
    <row r="23" spans="1:13" x14ac:dyDescent="0.35">
      <c r="A23">
        <v>1</v>
      </c>
      <c r="B23" s="28">
        <v>43983</v>
      </c>
      <c r="C23" t="s">
        <v>34</v>
      </c>
      <c r="D23" s="91">
        <v>135.53</v>
      </c>
      <c r="E23" t="s">
        <v>561</v>
      </c>
      <c r="F23" t="s">
        <v>201</v>
      </c>
      <c r="G23" t="s">
        <v>250</v>
      </c>
      <c r="H23" t="s">
        <v>312</v>
      </c>
      <c r="I23" t="s">
        <v>432</v>
      </c>
      <c r="J23" s="91">
        <v>-135.53</v>
      </c>
      <c r="K23" s="89">
        <v>135.53</v>
      </c>
      <c r="L23" s="91">
        <v>-135.53</v>
      </c>
      <c r="M23" t="s">
        <v>396</v>
      </c>
    </row>
    <row r="24" spans="1:13" x14ac:dyDescent="0.35">
      <c r="A24">
        <v>1</v>
      </c>
      <c r="B24" s="28">
        <v>43983</v>
      </c>
      <c r="C24" t="s">
        <v>187</v>
      </c>
      <c r="D24" s="91">
        <v>95.91</v>
      </c>
      <c r="E24" t="s">
        <v>562</v>
      </c>
      <c r="F24" t="s">
        <v>201</v>
      </c>
      <c r="G24" t="s">
        <v>250</v>
      </c>
      <c r="H24" t="s">
        <v>312</v>
      </c>
      <c r="I24" t="s">
        <v>433</v>
      </c>
      <c r="J24" s="91">
        <v>95.91</v>
      </c>
      <c r="K24" s="89">
        <v>95.91</v>
      </c>
      <c r="L24" s="91">
        <v>95.91</v>
      </c>
      <c r="M24" t="s">
        <v>396</v>
      </c>
    </row>
    <row r="25" spans="1:13" x14ac:dyDescent="0.35">
      <c r="A25">
        <v>1</v>
      </c>
      <c r="B25" s="28">
        <v>43983</v>
      </c>
      <c r="C25" t="s">
        <v>187</v>
      </c>
      <c r="D25" s="91">
        <v>335.3</v>
      </c>
      <c r="E25" t="s">
        <v>563</v>
      </c>
      <c r="F25" t="s">
        <v>201</v>
      </c>
      <c r="G25" t="s">
        <v>250</v>
      </c>
      <c r="H25" t="s">
        <v>312</v>
      </c>
      <c r="I25" t="s">
        <v>434</v>
      </c>
      <c r="J25" s="91">
        <v>335.3</v>
      </c>
      <c r="K25" s="89">
        <v>335.3</v>
      </c>
      <c r="L25" s="91">
        <v>335.3</v>
      </c>
      <c r="M25" t="s">
        <v>396</v>
      </c>
    </row>
    <row r="26" spans="1:13" x14ac:dyDescent="0.35">
      <c r="A26">
        <v>1</v>
      </c>
      <c r="B26" s="28">
        <v>43983</v>
      </c>
      <c r="C26" t="s">
        <v>187</v>
      </c>
      <c r="D26" s="91">
        <v>1071.55</v>
      </c>
      <c r="E26" t="s">
        <v>564</v>
      </c>
      <c r="F26" t="s">
        <v>201</v>
      </c>
      <c r="G26" t="s">
        <v>250</v>
      </c>
      <c r="H26" t="s">
        <v>312</v>
      </c>
      <c r="I26" t="s">
        <v>435</v>
      </c>
      <c r="J26" s="91">
        <v>1071.55</v>
      </c>
      <c r="K26" s="89">
        <v>1071.55</v>
      </c>
      <c r="L26" s="91">
        <v>1071.55</v>
      </c>
      <c r="M26" t="s">
        <v>396</v>
      </c>
    </row>
    <row r="27" spans="1:13" x14ac:dyDescent="0.35">
      <c r="A27">
        <v>1</v>
      </c>
      <c r="B27" s="28">
        <v>43983</v>
      </c>
      <c r="C27" t="s">
        <v>34</v>
      </c>
      <c r="D27" s="91">
        <v>1367.23</v>
      </c>
      <c r="E27" t="s">
        <v>565</v>
      </c>
      <c r="F27" t="s">
        <v>201</v>
      </c>
      <c r="G27" t="s">
        <v>250</v>
      </c>
      <c r="H27" t="s">
        <v>312</v>
      </c>
      <c r="I27" t="s">
        <v>436</v>
      </c>
      <c r="J27" s="91">
        <v>-1367.23</v>
      </c>
      <c r="K27" s="89">
        <v>1367.23</v>
      </c>
      <c r="L27" s="91">
        <v>-1367.23</v>
      </c>
      <c r="M27" t="s">
        <v>396</v>
      </c>
    </row>
    <row r="28" spans="1:13" x14ac:dyDescent="0.35">
      <c r="A28">
        <v>1</v>
      </c>
      <c r="B28" s="28">
        <v>43983</v>
      </c>
      <c r="C28" t="s">
        <v>187</v>
      </c>
      <c r="D28" s="91">
        <v>335.3</v>
      </c>
      <c r="E28" t="s">
        <v>564</v>
      </c>
      <c r="F28" t="s">
        <v>201</v>
      </c>
      <c r="G28" t="s">
        <v>250</v>
      </c>
      <c r="H28" t="s">
        <v>312</v>
      </c>
      <c r="I28" t="s">
        <v>437</v>
      </c>
      <c r="J28" s="91">
        <v>335.3</v>
      </c>
      <c r="K28" s="89">
        <v>335.3</v>
      </c>
      <c r="L28" s="91">
        <v>335.3</v>
      </c>
      <c r="M28" t="s">
        <v>396</v>
      </c>
    </row>
    <row r="29" spans="1:13" x14ac:dyDescent="0.35">
      <c r="A29">
        <v>1</v>
      </c>
      <c r="B29" s="28">
        <v>43983</v>
      </c>
      <c r="C29" t="s">
        <v>34</v>
      </c>
      <c r="D29" s="91">
        <v>335.3</v>
      </c>
      <c r="E29" t="s">
        <v>563</v>
      </c>
      <c r="F29" t="s">
        <v>201</v>
      </c>
      <c r="G29" t="s">
        <v>250</v>
      </c>
      <c r="H29" t="s">
        <v>312</v>
      </c>
      <c r="I29" t="s">
        <v>438</v>
      </c>
      <c r="J29" s="91">
        <v>-335.3</v>
      </c>
      <c r="K29" s="89">
        <v>335.3</v>
      </c>
      <c r="L29" s="91">
        <v>-335.3</v>
      </c>
      <c r="M29" t="s">
        <v>396</v>
      </c>
    </row>
    <row r="30" spans="1:13" x14ac:dyDescent="0.35">
      <c r="A30">
        <v>1</v>
      </c>
      <c r="B30" s="28">
        <v>43983</v>
      </c>
      <c r="C30" t="s">
        <v>34</v>
      </c>
      <c r="D30" s="91">
        <v>61.13</v>
      </c>
      <c r="E30" t="s">
        <v>561</v>
      </c>
      <c r="F30" t="s">
        <v>258</v>
      </c>
      <c r="G30" t="s">
        <v>85</v>
      </c>
      <c r="H30" t="s">
        <v>337</v>
      </c>
      <c r="I30" t="s">
        <v>439</v>
      </c>
      <c r="J30" s="91">
        <v>-61.13</v>
      </c>
      <c r="K30" s="89">
        <v>61.13</v>
      </c>
      <c r="L30" s="91">
        <v>-61.13</v>
      </c>
      <c r="M30" t="s">
        <v>396</v>
      </c>
    </row>
    <row r="31" spans="1:13" x14ac:dyDescent="0.35">
      <c r="A31">
        <v>1</v>
      </c>
      <c r="B31" s="28">
        <v>43983</v>
      </c>
      <c r="C31" t="s">
        <v>187</v>
      </c>
      <c r="D31" s="91">
        <v>163.80000000000001</v>
      </c>
      <c r="E31" t="s">
        <v>563</v>
      </c>
      <c r="F31" t="s">
        <v>258</v>
      </c>
      <c r="G31" t="s">
        <v>85</v>
      </c>
      <c r="H31" t="s">
        <v>337</v>
      </c>
      <c r="I31" t="s">
        <v>440</v>
      </c>
      <c r="J31" s="91">
        <v>163.80000000000001</v>
      </c>
      <c r="K31" s="89">
        <v>163.80000000000001</v>
      </c>
      <c r="L31" s="91">
        <v>163.80000000000001</v>
      </c>
      <c r="M31" t="s">
        <v>396</v>
      </c>
    </row>
    <row r="32" spans="1:13" x14ac:dyDescent="0.35">
      <c r="A32">
        <v>1</v>
      </c>
      <c r="B32" s="28">
        <v>43983</v>
      </c>
      <c r="C32" t="s">
        <v>187</v>
      </c>
      <c r="D32" s="91">
        <v>482.33</v>
      </c>
      <c r="E32" t="s">
        <v>564</v>
      </c>
      <c r="F32" t="s">
        <v>258</v>
      </c>
      <c r="G32" t="s">
        <v>85</v>
      </c>
      <c r="H32" t="s">
        <v>337</v>
      </c>
      <c r="I32" t="s">
        <v>441</v>
      </c>
      <c r="J32" s="91">
        <v>482.33</v>
      </c>
      <c r="K32" s="89">
        <v>482.33</v>
      </c>
      <c r="L32" s="91">
        <v>482.33</v>
      </c>
      <c r="M32" t="s">
        <v>396</v>
      </c>
    </row>
    <row r="33" spans="1:13" x14ac:dyDescent="0.35">
      <c r="A33">
        <v>1</v>
      </c>
      <c r="B33" s="28">
        <v>43983</v>
      </c>
      <c r="C33" t="s">
        <v>34</v>
      </c>
      <c r="D33" s="91">
        <v>585</v>
      </c>
      <c r="E33" t="s">
        <v>565</v>
      </c>
      <c r="F33" t="s">
        <v>258</v>
      </c>
      <c r="G33" t="s">
        <v>85</v>
      </c>
      <c r="H33" t="s">
        <v>337</v>
      </c>
      <c r="I33" t="s">
        <v>442</v>
      </c>
      <c r="J33" s="91">
        <v>-585</v>
      </c>
      <c r="K33" s="89">
        <v>585</v>
      </c>
      <c r="L33" s="91">
        <v>-585</v>
      </c>
      <c r="M33" t="s">
        <v>396</v>
      </c>
    </row>
    <row r="34" spans="1:13" x14ac:dyDescent="0.35">
      <c r="A34">
        <v>1</v>
      </c>
      <c r="B34" s="28">
        <v>43983</v>
      </c>
      <c r="C34" t="s">
        <v>187</v>
      </c>
      <c r="D34" s="91">
        <v>163.80000000000001</v>
      </c>
      <c r="E34" t="s">
        <v>564</v>
      </c>
      <c r="F34" t="s">
        <v>258</v>
      </c>
      <c r="G34" t="s">
        <v>85</v>
      </c>
      <c r="H34" t="s">
        <v>337</v>
      </c>
      <c r="I34" t="s">
        <v>443</v>
      </c>
      <c r="J34" s="91">
        <v>163.80000000000001</v>
      </c>
      <c r="K34" s="89">
        <v>163.80000000000001</v>
      </c>
      <c r="L34" s="91">
        <v>163.80000000000001</v>
      </c>
      <c r="M34" t="s">
        <v>396</v>
      </c>
    </row>
    <row r="35" spans="1:13" x14ac:dyDescent="0.35">
      <c r="A35">
        <v>1</v>
      </c>
      <c r="B35" s="28">
        <v>43983</v>
      </c>
      <c r="C35" t="s">
        <v>34</v>
      </c>
      <c r="D35" s="91">
        <v>163.80000000000001</v>
      </c>
      <c r="E35" t="s">
        <v>563</v>
      </c>
      <c r="F35" t="s">
        <v>258</v>
      </c>
      <c r="G35" t="s">
        <v>85</v>
      </c>
      <c r="H35" t="s">
        <v>337</v>
      </c>
      <c r="I35" t="s">
        <v>444</v>
      </c>
      <c r="J35" s="91">
        <v>-163.80000000000001</v>
      </c>
      <c r="K35" s="89">
        <v>163.80000000000001</v>
      </c>
      <c r="L35" s="91">
        <v>-163.80000000000001</v>
      </c>
      <c r="M35" t="s">
        <v>396</v>
      </c>
    </row>
    <row r="36" spans="1:13" x14ac:dyDescent="0.35">
      <c r="A36">
        <v>1</v>
      </c>
      <c r="B36" s="28">
        <v>43983</v>
      </c>
      <c r="C36" t="s">
        <v>34</v>
      </c>
      <c r="D36" s="91">
        <v>59.43</v>
      </c>
      <c r="E36" t="s">
        <v>561</v>
      </c>
      <c r="F36" t="s">
        <v>201</v>
      </c>
      <c r="G36" t="s">
        <v>250</v>
      </c>
      <c r="H36" t="s">
        <v>334</v>
      </c>
      <c r="I36" t="s">
        <v>445</v>
      </c>
      <c r="J36" s="91">
        <v>-59.43</v>
      </c>
      <c r="K36" s="89">
        <v>59.43</v>
      </c>
      <c r="L36" s="91">
        <v>-59.43</v>
      </c>
      <c r="M36" t="s">
        <v>396</v>
      </c>
    </row>
    <row r="37" spans="1:13" x14ac:dyDescent="0.35">
      <c r="A37">
        <v>1</v>
      </c>
      <c r="B37" s="28">
        <v>43983</v>
      </c>
      <c r="C37" t="s">
        <v>187</v>
      </c>
      <c r="D37" s="91">
        <v>140.83000000000001</v>
      </c>
      <c r="E37" t="s">
        <v>563</v>
      </c>
      <c r="F37" t="s">
        <v>201</v>
      </c>
      <c r="G37" t="s">
        <v>250</v>
      </c>
      <c r="H37" t="s">
        <v>334</v>
      </c>
      <c r="I37" t="s">
        <v>446</v>
      </c>
      <c r="J37" s="91">
        <v>140.83000000000001</v>
      </c>
      <c r="K37" s="89">
        <v>140.83000000000001</v>
      </c>
      <c r="L37" s="91">
        <v>140.83000000000001</v>
      </c>
      <c r="M37" t="s">
        <v>396</v>
      </c>
    </row>
    <row r="38" spans="1:13" x14ac:dyDescent="0.35">
      <c r="A38">
        <v>1</v>
      </c>
      <c r="B38" s="28">
        <v>43983</v>
      </c>
      <c r="C38" t="s">
        <v>187</v>
      </c>
      <c r="D38" s="91">
        <v>487.3</v>
      </c>
      <c r="E38" t="s">
        <v>564</v>
      </c>
      <c r="F38" t="s">
        <v>201</v>
      </c>
      <c r="G38" t="s">
        <v>250</v>
      </c>
      <c r="H38" t="s">
        <v>334</v>
      </c>
      <c r="I38" t="s">
        <v>447</v>
      </c>
      <c r="J38" s="91">
        <v>487.3</v>
      </c>
      <c r="K38" s="89">
        <v>487.3</v>
      </c>
      <c r="L38" s="91">
        <v>487.3</v>
      </c>
      <c r="M38" t="s">
        <v>396</v>
      </c>
    </row>
    <row r="39" spans="1:13" x14ac:dyDescent="0.35">
      <c r="A39">
        <v>1</v>
      </c>
      <c r="B39" s="28">
        <v>43983</v>
      </c>
      <c r="C39" t="s">
        <v>34</v>
      </c>
      <c r="D39" s="91">
        <v>568.70000000000005</v>
      </c>
      <c r="E39" t="s">
        <v>565</v>
      </c>
      <c r="F39" t="s">
        <v>201</v>
      </c>
      <c r="G39" t="s">
        <v>250</v>
      </c>
      <c r="H39" t="s">
        <v>334</v>
      </c>
      <c r="I39" t="s">
        <v>448</v>
      </c>
      <c r="J39" s="91">
        <v>-568.70000000000005</v>
      </c>
      <c r="K39" s="89">
        <v>568.70000000000005</v>
      </c>
      <c r="L39" s="91">
        <v>-568.70000000000005</v>
      </c>
      <c r="M39" t="s">
        <v>396</v>
      </c>
    </row>
    <row r="40" spans="1:13" x14ac:dyDescent="0.35">
      <c r="A40">
        <v>1</v>
      </c>
      <c r="B40" s="28">
        <v>43983</v>
      </c>
      <c r="C40" t="s">
        <v>187</v>
      </c>
      <c r="D40" s="91">
        <v>140.83000000000001</v>
      </c>
      <c r="E40" t="s">
        <v>564</v>
      </c>
      <c r="F40" t="s">
        <v>201</v>
      </c>
      <c r="G40" t="s">
        <v>250</v>
      </c>
      <c r="H40" t="s">
        <v>334</v>
      </c>
      <c r="I40" t="s">
        <v>449</v>
      </c>
      <c r="J40" s="91">
        <v>140.83000000000001</v>
      </c>
      <c r="K40" s="89">
        <v>140.83000000000001</v>
      </c>
      <c r="L40" s="91">
        <v>140.83000000000001</v>
      </c>
      <c r="M40" t="s">
        <v>396</v>
      </c>
    </row>
    <row r="41" spans="1:13" x14ac:dyDescent="0.35">
      <c r="A41">
        <v>1</v>
      </c>
      <c r="B41" s="28">
        <v>43983</v>
      </c>
      <c r="C41" t="s">
        <v>34</v>
      </c>
      <c r="D41" s="91">
        <v>140.83000000000001</v>
      </c>
      <c r="E41" t="s">
        <v>563</v>
      </c>
      <c r="F41" t="s">
        <v>201</v>
      </c>
      <c r="G41" t="s">
        <v>250</v>
      </c>
      <c r="H41" t="s">
        <v>334</v>
      </c>
      <c r="I41" t="s">
        <v>450</v>
      </c>
      <c r="J41" s="91">
        <v>-140.83000000000001</v>
      </c>
      <c r="K41" s="89">
        <v>140.83000000000001</v>
      </c>
      <c r="L41" s="91">
        <v>-140.83000000000001</v>
      </c>
      <c r="M41" t="s">
        <v>396</v>
      </c>
    </row>
    <row r="42" spans="1:13" x14ac:dyDescent="0.35">
      <c r="A42">
        <v>1</v>
      </c>
      <c r="B42" s="28">
        <v>43983</v>
      </c>
      <c r="C42" t="s">
        <v>34</v>
      </c>
      <c r="D42" s="91">
        <v>139.62</v>
      </c>
      <c r="E42" t="s">
        <v>561</v>
      </c>
      <c r="F42" t="s">
        <v>201</v>
      </c>
      <c r="G42" t="s">
        <v>250</v>
      </c>
      <c r="H42" t="s">
        <v>315</v>
      </c>
      <c r="I42" t="s">
        <v>451</v>
      </c>
      <c r="J42" s="91">
        <v>-139.62</v>
      </c>
      <c r="K42" s="89">
        <v>139.62</v>
      </c>
      <c r="L42" s="91">
        <v>-139.62</v>
      </c>
      <c r="M42" t="s">
        <v>396</v>
      </c>
    </row>
    <row r="43" spans="1:13" x14ac:dyDescent="0.35">
      <c r="A43">
        <v>1</v>
      </c>
      <c r="B43" s="28">
        <v>43983</v>
      </c>
      <c r="C43" t="s">
        <v>34</v>
      </c>
      <c r="D43" s="91">
        <v>54.3</v>
      </c>
      <c r="E43" t="s">
        <v>561</v>
      </c>
      <c r="F43" t="s">
        <v>257</v>
      </c>
      <c r="G43" t="s">
        <v>85</v>
      </c>
      <c r="H43" t="s">
        <v>315</v>
      </c>
      <c r="I43" t="s">
        <v>451</v>
      </c>
      <c r="J43" s="91">
        <v>-54.3</v>
      </c>
      <c r="K43" s="89">
        <v>54.3</v>
      </c>
      <c r="L43" s="91">
        <v>-54.3</v>
      </c>
    </row>
    <row r="44" spans="1:13" x14ac:dyDescent="0.35">
      <c r="A44">
        <v>1</v>
      </c>
      <c r="B44" s="28">
        <v>43983</v>
      </c>
      <c r="C44" t="s">
        <v>187</v>
      </c>
      <c r="D44" s="91">
        <v>205.64</v>
      </c>
      <c r="E44" t="s">
        <v>562</v>
      </c>
      <c r="F44" t="s">
        <v>201</v>
      </c>
      <c r="G44" t="s">
        <v>250</v>
      </c>
      <c r="H44" t="s">
        <v>315</v>
      </c>
      <c r="I44" t="s">
        <v>452</v>
      </c>
      <c r="J44" s="91">
        <v>205.64</v>
      </c>
      <c r="K44" s="89">
        <v>205.64</v>
      </c>
      <c r="L44" s="91">
        <v>205.64</v>
      </c>
      <c r="M44" t="s">
        <v>396</v>
      </c>
    </row>
    <row r="45" spans="1:13" x14ac:dyDescent="0.35">
      <c r="A45">
        <v>1</v>
      </c>
      <c r="B45" s="28">
        <v>43983</v>
      </c>
      <c r="C45" t="s">
        <v>187</v>
      </c>
      <c r="D45" s="91">
        <v>79.97</v>
      </c>
      <c r="E45" t="s">
        <v>562</v>
      </c>
      <c r="F45" t="s">
        <v>257</v>
      </c>
      <c r="G45" t="s">
        <v>85</v>
      </c>
      <c r="H45" t="s">
        <v>315</v>
      </c>
      <c r="I45" t="s">
        <v>452</v>
      </c>
      <c r="J45" s="91">
        <v>79.97</v>
      </c>
      <c r="K45" s="89">
        <v>79.97</v>
      </c>
      <c r="L45" s="91">
        <v>79.97</v>
      </c>
    </row>
    <row r="46" spans="1:13" x14ac:dyDescent="0.35">
      <c r="A46">
        <v>1</v>
      </c>
      <c r="B46" s="28">
        <v>43983</v>
      </c>
      <c r="C46" t="s">
        <v>187</v>
      </c>
      <c r="D46" s="91">
        <v>567.04999999999995</v>
      </c>
      <c r="E46" t="s">
        <v>563</v>
      </c>
      <c r="F46" t="s">
        <v>201</v>
      </c>
      <c r="G46" t="s">
        <v>250</v>
      </c>
      <c r="H46" t="s">
        <v>315</v>
      </c>
      <c r="I46" t="s">
        <v>453</v>
      </c>
      <c r="J46" s="91">
        <v>567.04999999999995</v>
      </c>
      <c r="K46" s="89">
        <v>567.04999999999995</v>
      </c>
      <c r="L46" s="91">
        <v>567.04999999999995</v>
      </c>
      <c r="M46" t="s">
        <v>396</v>
      </c>
    </row>
    <row r="47" spans="1:13" x14ac:dyDescent="0.35">
      <c r="A47">
        <v>1</v>
      </c>
      <c r="B47" s="28">
        <v>43983</v>
      </c>
      <c r="C47" t="s">
        <v>187</v>
      </c>
      <c r="D47" s="91">
        <v>220.52</v>
      </c>
      <c r="E47" t="s">
        <v>563</v>
      </c>
      <c r="F47" t="s">
        <v>257</v>
      </c>
      <c r="G47" t="s">
        <v>85</v>
      </c>
      <c r="H47" t="s">
        <v>315</v>
      </c>
      <c r="I47" t="s">
        <v>453</v>
      </c>
      <c r="J47" s="91">
        <v>220.52</v>
      </c>
      <c r="K47" s="89">
        <v>220.52</v>
      </c>
      <c r="L47" s="91">
        <v>220.52</v>
      </c>
    </row>
    <row r="48" spans="1:13" x14ac:dyDescent="0.35">
      <c r="A48">
        <v>1</v>
      </c>
      <c r="B48" s="28">
        <v>43983</v>
      </c>
      <c r="C48" t="s">
        <v>187</v>
      </c>
      <c r="D48" s="91">
        <v>1305.4000000000001</v>
      </c>
      <c r="E48" t="s">
        <v>564</v>
      </c>
      <c r="F48" t="s">
        <v>201</v>
      </c>
      <c r="G48" t="s">
        <v>250</v>
      </c>
      <c r="H48" t="s">
        <v>315</v>
      </c>
      <c r="I48" t="s">
        <v>454</v>
      </c>
      <c r="J48" s="91">
        <v>1305.4000000000001</v>
      </c>
      <c r="K48" s="89">
        <v>1305.4000000000001</v>
      </c>
      <c r="L48" s="91">
        <v>1305.4000000000001</v>
      </c>
      <c r="M48" t="s">
        <v>396</v>
      </c>
    </row>
    <row r="49" spans="1:13" x14ac:dyDescent="0.35">
      <c r="A49">
        <v>1</v>
      </c>
      <c r="B49" s="28">
        <v>43983</v>
      </c>
      <c r="C49" t="s">
        <v>187</v>
      </c>
      <c r="D49" s="91">
        <v>507.65</v>
      </c>
      <c r="E49" t="s">
        <v>564</v>
      </c>
      <c r="F49" t="s">
        <v>257</v>
      </c>
      <c r="G49" t="s">
        <v>85</v>
      </c>
      <c r="H49" t="s">
        <v>315</v>
      </c>
      <c r="I49" t="s">
        <v>454</v>
      </c>
      <c r="J49" s="91">
        <v>507.65</v>
      </c>
      <c r="K49" s="89">
        <v>507.65</v>
      </c>
      <c r="L49" s="91">
        <v>507.65</v>
      </c>
    </row>
    <row r="50" spans="1:13" x14ac:dyDescent="0.35">
      <c r="A50">
        <v>1</v>
      </c>
      <c r="B50" s="28">
        <v>43983</v>
      </c>
      <c r="C50" t="s">
        <v>34</v>
      </c>
      <c r="D50" s="91">
        <v>1938.46</v>
      </c>
      <c r="E50" t="s">
        <v>565</v>
      </c>
      <c r="F50" t="s">
        <v>201</v>
      </c>
      <c r="G50" t="s">
        <v>250</v>
      </c>
      <c r="H50" t="s">
        <v>315</v>
      </c>
      <c r="I50" t="s">
        <v>455</v>
      </c>
      <c r="J50" s="91">
        <v>-1938.46</v>
      </c>
      <c r="K50" s="89">
        <v>1938.46</v>
      </c>
      <c r="L50" s="91">
        <v>-1938.46</v>
      </c>
      <c r="M50" t="s">
        <v>396</v>
      </c>
    </row>
    <row r="51" spans="1:13" x14ac:dyDescent="0.35">
      <c r="A51">
        <v>1</v>
      </c>
      <c r="B51" s="28">
        <v>43983</v>
      </c>
      <c r="C51" t="s">
        <v>34</v>
      </c>
      <c r="D51" s="91">
        <v>753.85</v>
      </c>
      <c r="E51" t="s">
        <v>565</v>
      </c>
      <c r="F51" t="s">
        <v>257</v>
      </c>
      <c r="G51" t="s">
        <v>85</v>
      </c>
      <c r="H51" t="s">
        <v>315</v>
      </c>
      <c r="I51" t="s">
        <v>455</v>
      </c>
      <c r="J51" s="91">
        <v>-753.85</v>
      </c>
      <c r="K51" s="89">
        <v>753.85</v>
      </c>
      <c r="L51" s="91">
        <v>-753.85</v>
      </c>
    </row>
    <row r="52" spans="1:13" x14ac:dyDescent="0.35">
      <c r="A52">
        <v>1</v>
      </c>
      <c r="B52" s="28">
        <v>43983</v>
      </c>
      <c r="C52" t="s">
        <v>187</v>
      </c>
      <c r="D52" s="91">
        <v>567.04999999999995</v>
      </c>
      <c r="E52" t="s">
        <v>564</v>
      </c>
      <c r="F52" t="s">
        <v>201</v>
      </c>
      <c r="G52" t="s">
        <v>250</v>
      </c>
      <c r="H52" t="s">
        <v>315</v>
      </c>
      <c r="I52" t="s">
        <v>456</v>
      </c>
      <c r="J52" s="91">
        <v>567.04999999999995</v>
      </c>
      <c r="K52" s="89">
        <v>567.04999999999995</v>
      </c>
      <c r="L52" s="91">
        <v>567.04999999999995</v>
      </c>
      <c r="M52" t="s">
        <v>396</v>
      </c>
    </row>
    <row r="53" spans="1:13" x14ac:dyDescent="0.35">
      <c r="A53">
        <v>1</v>
      </c>
      <c r="B53" s="28">
        <v>43983</v>
      </c>
      <c r="C53" t="s">
        <v>187</v>
      </c>
      <c r="D53" s="91">
        <v>220.52</v>
      </c>
      <c r="E53" t="s">
        <v>564</v>
      </c>
      <c r="F53" t="s">
        <v>257</v>
      </c>
      <c r="G53" t="s">
        <v>85</v>
      </c>
      <c r="H53" t="s">
        <v>315</v>
      </c>
      <c r="I53" t="s">
        <v>456</v>
      </c>
      <c r="J53" s="91">
        <v>220.52</v>
      </c>
      <c r="K53" s="89">
        <v>220.52</v>
      </c>
      <c r="L53" s="91">
        <v>220.52</v>
      </c>
    </row>
    <row r="54" spans="1:13" x14ac:dyDescent="0.35">
      <c r="A54">
        <v>1</v>
      </c>
      <c r="B54" s="28">
        <v>43983</v>
      </c>
      <c r="C54" t="s">
        <v>34</v>
      </c>
      <c r="D54" s="91">
        <v>567.04999999999995</v>
      </c>
      <c r="E54" t="s">
        <v>563</v>
      </c>
      <c r="F54" t="s">
        <v>201</v>
      </c>
      <c r="G54" t="s">
        <v>250</v>
      </c>
      <c r="H54" t="s">
        <v>315</v>
      </c>
      <c r="I54" t="s">
        <v>457</v>
      </c>
      <c r="J54" s="91">
        <v>-567.04999999999995</v>
      </c>
      <c r="K54" s="89">
        <v>567.04999999999995</v>
      </c>
      <c r="L54" s="91">
        <v>-567.04999999999995</v>
      </c>
      <c r="M54" t="s">
        <v>396</v>
      </c>
    </row>
    <row r="55" spans="1:13" x14ac:dyDescent="0.35">
      <c r="A55">
        <v>1</v>
      </c>
      <c r="B55" s="28">
        <v>43983</v>
      </c>
      <c r="C55" t="s">
        <v>34</v>
      </c>
      <c r="D55" s="91">
        <v>220.52</v>
      </c>
      <c r="E55" t="s">
        <v>563</v>
      </c>
      <c r="F55" t="s">
        <v>257</v>
      </c>
      <c r="G55" t="s">
        <v>85</v>
      </c>
      <c r="H55" t="s">
        <v>315</v>
      </c>
      <c r="I55" t="s">
        <v>457</v>
      </c>
      <c r="J55" s="91">
        <v>-220.52</v>
      </c>
      <c r="K55" s="89">
        <v>220.52</v>
      </c>
      <c r="L55" s="91">
        <v>-220.52</v>
      </c>
    </row>
    <row r="56" spans="1:13" x14ac:dyDescent="0.35">
      <c r="A56">
        <v>1</v>
      </c>
      <c r="B56" s="28">
        <v>43983</v>
      </c>
      <c r="C56" t="s">
        <v>34</v>
      </c>
      <c r="D56" s="91">
        <v>198.53</v>
      </c>
      <c r="E56" t="s">
        <v>561</v>
      </c>
      <c r="F56" t="s">
        <v>201</v>
      </c>
      <c r="G56" t="s">
        <v>250</v>
      </c>
      <c r="H56" t="s">
        <v>332</v>
      </c>
      <c r="I56" t="s">
        <v>458</v>
      </c>
      <c r="J56" s="91">
        <v>-198.53</v>
      </c>
      <c r="K56" s="89">
        <v>198.53</v>
      </c>
      <c r="L56" s="91">
        <v>-198.53</v>
      </c>
      <c r="M56" t="s">
        <v>396</v>
      </c>
    </row>
    <row r="57" spans="1:13" x14ac:dyDescent="0.35">
      <c r="A57">
        <v>1</v>
      </c>
      <c r="B57" s="28">
        <v>43983</v>
      </c>
      <c r="C57" t="s">
        <v>187</v>
      </c>
      <c r="D57" s="91">
        <v>85.26</v>
      </c>
      <c r="E57" t="s">
        <v>562</v>
      </c>
      <c r="F57" t="s">
        <v>201</v>
      </c>
      <c r="G57" t="s">
        <v>250</v>
      </c>
      <c r="H57" t="s">
        <v>332</v>
      </c>
      <c r="I57" t="s">
        <v>459</v>
      </c>
      <c r="J57" s="91">
        <v>85.26</v>
      </c>
      <c r="K57" s="89">
        <v>85.26</v>
      </c>
      <c r="L57" s="91">
        <v>85.26</v>
      </c>
      <c r="M57" t="s">
        <v>396</v>
      </c>
    </row>
    <row r="58" spans="1:13" x14ac:dyDescent="0.35">
      <c r="A58">
        <v>1</v>
      </c>
      <c r="B58" s="28">
        <v>43983</v>
      </c>
      <c r="C58" t="s">
        <v>187</v>
      </c>
      <c r="D58" s="91">
        <v>839.16</v>
      </c>
      <c r="E58" t="s">
        <v>563</v>
      </c>
      <c r="F58" t="s">
        <v>201</v>
      </c>
      <c r="G58" t="s">
        <v>250</v>
      </c>
      <c r="H58" t="s">
        <v>332</v>
      </c>
      <c r="I58" t="s">
        <v>460</v>
      </c>
      <c r="J58" s="91">
        <v>839.16</v>
      </c>
      <c r="K58" s="89">
        <v>839.16</v>
      </c>
      <c r="L58" s="91">
        <v>839.16</v>
      </c>
      <c r="M58" t="s">
        <v>396</v>
      </c>
    </row>
    <row r="59" spans="1:13" x14ac:dyDescent="0.35">
      <c r="A59">
        <v>1</v>
      </c>
      <c r="B59" s="28">
        <v>43983</v>
      </c>
      <c r="C59" t="s">
        <v>187</v>
      </c>
      <c r="D59" s="91">
        <v>1958.16</v>
      </c>
      <c r="E59" t="s">
        <v>564</v>
      </c>
      <c r="F59" t="s">
        <v>201</v>
      </c>
      <c r="G59" t="s">
        <v>250</v>
      </c>
      <c r="H59" t="s">
        <v>332</v>
      </c>
      <c r="I59" t="s">
        <v>461</v>
      </c>
      <c r="J59" s="91">
        <v>1958.16</v>
      </c>
      <c r="K59" s="89">
        <v>1958.16</v>
      </c>
      <c r="L59" s="91">
        <v>1958.16</v>
      </c>
      <c r="M59" t="s">
        <v>396</v>
      </c>
    </row>
    <row r="60" spans="1:13" x14ac:dyDescent="0.35">
      <c r="A60">
        <v>1</v>
      </c>
      <c r="B60" s="28">
        <v>43983</v>
      </c>
      <c r="C60" t="s">
        <v>34</v>
      </c>
      <c r="D60" s="91">
        <v>2684.05</v>
      </c>
      <c r="E60" t="s">
        <v>565</v>
      </c>
      <c r="F60" t="s">
        <v>201</v>
      </c>
      <c r="G60" t="s">
        <v>250</v>
      </c>
      <c r="H60" t="s">
        <v>332</v>
      </c>
      <c r="I60" t="s">
        <v>462</v>
      </c>
      <c r="J60" s="91">
        <v>-2684.05</v>
      </c>
      <c r="K60" s="89">
        <v>2684.05</v>
      </c>
      <c r="L60" s="91">
        <v>-2684.05</v>
      </c>
      <c r="M60" t="s">
        <v>396</v>
      </c>
    </row>
    <row r="61" spans="1:13" x14ac:dyDescent="0.35">
      <c r="A61">
        <v>1</v>
      </c>
      <c r="B61" s="28">
        <v>43983</v>
      </c>
      <c r="C61" t="s">
        <v>187</v>
      </c>
      <c r="D61" s="91">
        <v>839.16</v>
      </c>
      <c r="E61" t="s">
        <v>564</v>
      </c>
      <c r="F61" t="s">
        <v>201</v>
      </c>
      <c r="G61" t="s">
        <v>250</v>
      </c>
      <c r="H61" t="s">
        <v>332</v>
      </c>
      <c r="I61" t="s">
        <v>463</v>
      </c>
      <c r="J61" s="91">
        <v>839.16</v>
      </c>
      <c r="K61" s="89">
        <v>839.16</v>
      </c>
      <c r="L61" s="91">
        <v>839.16</v>
      </c>
      <c r="M61" t="s">
        <v>396</v>
      </c>
    </row>
    <row r="62" spans="1:13" x14ac:dyDescent="0.35">
      <c r="A62">
        <v>1</v>
      </c>
      <c r="B62" s="28">
        <v>43983</v>
      </c>
      <c r="C62" t="s">
        <v>34</v>
      </c>
      <c r="D62" s="91">
        <v>839.16</v>
      </c>
      <c r="E62" t="s">
        <v>563</v>
      </c>
      <c r="F62" t="s">
        <v>201</v>
      </c>
      <c r="G62" t="s">
        <v>250</v>
      </c>
      <c r="H62" t="s">
        <v>332</v>
      </c>
      <c r="I62" t="s">
        <v>464</v>
      </c>
      <c r="J62" s="91">
        <v>-839.16</v>
      </c>
      <c r="K62" s="89">
        <v>839.16</v>
      </c>
      <c r="L62" s="91">
        <v>-839.16</v>
      </c>
      <c r="M62" t="s">
        <v>396</v>
      </c>
    </row>
    <row r="63" spans="1:13" x14ac:dyDescent="0.35">
      <c r="A63">
        <v>1</v>
      </c>
      <c r="B63" s="28">
        <v>43983</v>
      </c>
      <c r="C63" t="s">
        <v>34</v>
      </c>
      <c r="D63" s="91">
        <v>241.87</v>
      </c>
      <c r="E63" t="s">
        <v>561</v>
      </c>
      <c r="F63" t="s">
        <v>260</v>
      </c>
      <c r="G63" t="s">
        <v>566</v>
      </c>
      <c r="H63" t="s">
        <v>323</v>
      </c>
      <c r="I63" t="s">
        <v>465</v>
      </c>
      <c r="J63" s="91">
        <v>-241.87</v>
      </c>
      <c r="K63" s="89">
        <v>241.87</v>
      </c>
      <c r="L63" s="91">
        <v>-241.87</v>
      </c>
      <c r="M63" t="s">
        <v>396</v>
      </c>
    </row>
    <row r="64" spans="1:13" x14ac:dyDescent="0.35">
      <c r="A64">
        <v>1</v>
      </c>
      <c r="B64" s="28">
        <v>43983</v>
      </c>
      <c r="C64" t="s">
        <v>187</v>
      </c>
      <c r="D64" s="91">
        <v>60.3</v>
      </c>
      <c r="E64" t="s">
        <v>562</v>
      </c>
      <c r="F64" t="s">
        <v>260</v>
      </c>
      <c r="G64" t="s">
        <v>566</v>
      </c>
      <c r="H64" t="s">
        <v>323</v>
      </c>
      <c r="I64" t="s">
        <v>466</v>
      </c>
      <c r="J64" s="91">
        <v>60.3</v>
      </c>
      <c r="K64" s="89">
        <v>60.3</v>
      </c>
      <c r="L64" s="91">
        <v>60.3</v>
      </c>
      <c r="M64" t="s">
        <v>396</v>
      </c>
    </row>
    <row r="65" spans="1:13" x14ac:dyDescent="0.35">
      <c r="A65">
        <v>1</v>
      </c>
      <c r="B65" s="28">
        <v>43983</v>
      </c>
      <c r="C65" t="s">
        <v>187</v>
      </c>
      <c r="D65" s="91">
        <v>790.42</v>
      </c>
      <c r="E65" t="s">
        <v>563</v>
      </c>
      <c r="F65" t="s">
        <v>260</v>
      </c>
      <c r="G65" t="s">
        <v>566</v>
      </c>
      <c r="H65" t="s">
        <v>323</v>
      </c>
      <c r="I65" t="s">
        <v>467</v>
      </c>
      <c r="J65" s="91">
        <v>790.42</v>
      </c>
      <c r="K65" s="89">
        <v>790.42</v>
      </c>
      <c r="L65" s="91">
        <v>790.42</v>
      </c>
      <c r="M65" t="s">
        <v>396</v>
      </c>
    </row>
    <row r="66" spans="1:13" x14ac:dyDescent="0.35">
      <c r="A66">
        <v>1</v>
      </c>
      <c r="B66" s="28">
        <v>43983</v>
      </c>
      <c r="C66" t="s">
        <v>187</v>
      </c>
      <c r="D66" s="91">
        <v>1752.31</v>
      </c>
      <c r="E66" t="s">
        <v>564</v>
      </c>
      <c r="F66" t="s">
        <v>260</v>
      </c>
      <c r="G66" t="s">
        <v>566</v>
      </c>
      <c r="H66" t="s">
        <v>323</v>
      </c>
      <c r="I66" t="s">
        <v>468</v>
      </c>
      <c r="J66" s="91">
        <v>1752.31</v>
      </c>
      <c r="K66" s="89">
        <v>1752.31</v>
      </c>
      <c r="L66" s="91">
        <v>1752.31</v>
      </c>
      <c r="M66" t="s">
        <v>396</v>
      </c>
    </row>
    <row r="67" spans="1:13" x14ac:dyDescent="0.35">
      <c r="A67">
        <v>1</v>
      </c>
      <c r="B67" s="28">
        <v>43983</v>
      </c>
      <c r="C67" t="s">
        <v>34</v>
      </c>
      <c r="D67" s="91">
        <v>2361.16</v>
      </c>
      <c r="E67" t="s">
        <v>565</v>
      </c>
      <c r="F67" t="s">
        <v>260</v>
      </c>
      <c r="G67" t="s">
        <v>566</v>
      </c>
      <c r="H67" t="s">
        <v>323</v>
      </c>
      <c r="I67" t="s">
        <v>469</v>
      </c>
      <c r="J67" s="91">
        <v>-2361.16</v>
      </c>
      <c r="K67" s="89">
        <v>2361.16</v>
      </c>
      <c r="L67" s="91">
        <v>-2361.16</v>
      </c>
      <c r="M67" t="s">
        <v>396</v>
      </c>
    </row>
    <row r="68" spans="1:13" x14ac:dyDescent="0.35">
      <c r="A68">
        <v>1</v>
      </c>
      <c r="B68" s="28">
        <v>43983</v>
      </c>
      <c r="C68" t="s">
        <v>187</v>
      </c>
      <c r="D68" s="91">
        <v>790.42</v>
      </c>
      <c r="E68" t="s">
        <v>564</v>
      </c>
      <c r="F68" t="s">
        <v>260</v>
      </c>
      <c r="G68" t="s">
        <v>566</v>
      </c>
      <c r="H68" t="s">
        <v>323</v>
      </c>
      <c r="I68" t="s">
        <v>470</v>
      </c>
      <c r="J68" s="91">
        <v>790.42</v>
      </c>
      <c r="K68" s="89">
        <v>790.42</v>
      </c>
      <c r="L68" s="91">
        <v>790.42</v>
      </c>
      <c r="M68" t="s">
        <v>396</v>
      </c>
    </row>
    <row r="69" spans="1:13" x14ac:dyDescent="0.35">
      <c r="A69">
        <v>1</v>
      </c>
      <c r="B69" s="28">
        <v>43983</v>
      </c>
      <c r="C69" t="s">
        <v>34</v>
      </c>
      <c r="D69" s="91">
        <v>790.42</v>
      </c>
      <c r="E69" t="s">
        <v>563</v>
      </c>
      <c r="F69" t="s">
        <v>260</v>
      </c>
      <c r="G69" t="s">
        <v>566</v>
      </c>
      <c r="H69" t="s">
        <v>323</v>
      </c>
      <c r="I69" t="s">
        <v>471</v>
      </c>
      <c r="J69" s="91">
        <v>-790.42</v>
      </c>
      <c r="K69" s="89">
        <v>790.42</v>
      </c>
      <c r="L69" s="91">
        <v>-790.42</v>
      </c>
      <c r="M69" t="s">
        <v>396</v>
      </c>
    </row>
    <row r="70" spans="1:13" x14ac:dyDescent="0.35">
      <c r="A70">
        <v>1</v>
      </c>
      <c r="B70" s="28">
        <v>43983</v>
      </c>
      <c r="C70" t="s">
        <v>34</v>
      </c>
      <c r="D70" s="91">
        <v>91.74</v>
      </c>
      <c r="E70" t="s">
        <v>561</v>
      </c>
      <c r="F70" t="s">
        <v>201</v>
      </c>
      <c r="G70" t="s">
        <v>250</v>
      </c>
      <c r="H70" t="s">
        <v>326</v>
      </c>
      <c r="I70" t="s">
        <v>472</v>
      </c>
      <c r="J70" s="91">
        <v>-91.74</v>
      </c>
      <c r="K70" s="89">
        <v>91.74</v>
      </c>
      <c r="L70" s="91">
        <v>-91.74</v>
      </c>
      <c r="M70" t="s">
        <v>396</v>
      </c>
    </row>
    <row r="71" spans="1:13" x14ac:dyDescent="0.35">
      <c r="A71">
        <v>1</v>
      </c>
      <c r="B71" s="28">
        <v>43983</v>
      </c>
      <c r="C71" t="s">
        <v>187</v>
      </c>
      <c r="D71" s="91">
        <v>200.97</v>
      </c>
      <c r="E71" t="s">
        <v>563</v>
      </c>
      <c r="F71" t="s">
        <v>201</v>
      </c>
      <c r="G71" t="s">
        <v>250</v>
      </c>
      <c r="H71" t="s">
        <v>326</v>
      </c>
      <c r="I71" t="s">
        <v>473</v>
      </c>
      <c r="J71" s="91">
        <v>200.97</v>
      </c>
      <c r="K71" s="89">
        <v>200.97</v>
      </c>
      <c r="L71" s="91">
        <v>200.97</v>
      </c>
      <c r="M71" t="s">
        <v>396</v>
      </c>
    </row>
    <row r="72" spans="1:13" x14ac:dyDescent="0.35">
      <c r="A72">
        <v>1</v>
      </c>
      <c r="B72" s="28">
        <v>43983</v>
      </c>
      <c r="C72" t="s">
        <v>187</v>
      </c>
      <c r="D72" s="91">
        <v>768.6</v>
      </c>
      <c r="E72" t="s">
        <v>564</v>
      </c>
      <c r="F72" t="s">
        <v>201</v>
      </c>
      <c r="G72" t="s">
        <v>250</v>
      </c>
      <c r="H72" t="s">
        <v>326</v>
      </c>
      <c r="I72" t="s">
        <v>474</v>
      </c>
      <c r="J72" s="91">
        <v>768.6</v>
      </c>
      <c r="K72" s="89">
        <v>768.6</v>
      </c>
      <c r="L72" s="91">
        <v>768.6</v>
      </c>
      <c r="M72" t="s">
        <v>396</v>
      </c>
    </row>
    <row r="73" spans="1:13" x14ac:dyDescent="0.35">
      <c r="A73">
        <v>1</v>
      </c>
      <c r="B73" s="28">
        <v>43983</v>
      </c>
      <c r="C73" t="s">
        <v>34</v>
      </c>
      <c r="D73" s="91">
        <v>877.83</v>
      </c>
      <c r="E73" t="s">
        <v>565</v>
      </c>
      <c r="F73" t="s">
        <v>201</v>
      </c>
      <c r="G73" t="s">
        <v>250</v>
      </c>
      <c r="H73" t="s">
        <v>326</v>
      </c>
      <c r="I73" t="s">
        <v>475</v>
      </c>
      <c r="J73" s="91">
        <v>-877.83</v>
      </c>
      <c r="K73" s="89">
        <v>877.83</v>
      </c>
      <c r="L73" s="91">
        <v>-877.83</v>
      </c>
      <c r="M73" t="s">
        <v>396</v>
      </c>
    </row>
    <row r="74" spans="1:13" x14ac:dyDescent="0.35">
      <c r="A74">
        <v>1</v>
      </c>
      <c r="B74" s="28">
        <v>43983</v>
      </c>
      <c r="C74" t="s">
        <v>187</v>
      </c>
      <c r="D74" s="91">
        <v>200.97</v>
      </c>
      <c r="E74" t="s">
        <v>564</v>
      </c>
      <c r="F74" t="s">
        <v>201</v>
      </c>
      <c r="G74" t="s">
        <v>250</v>
      </c>
      <c r="H74" t="s">
        <v>326</v>
      </c>
      <c r="I74" t="s">
        <v>476</v>
      </c>
      <c r="J74" s="91">
        <v>200.97</v>
      </c>
      <c r="K74" s="89">
        <v>200.97</v>
      </c>
      <c r="L74" s="91">
        <v>200.97</v>
      </c>
      <c r="M74" t="s">
        <v>396</v>
      </c>
    </row>
    <row r="75" spans="1:13" x14ac:dyDescent="0.35">
      <c r="A75">
        <v>1</v>
      </c>
      <c r="B75" s="28">
        <v>43983</v>
      </c>
      <c r="C75" t="s">
        <v>34</v>
      </c>
      <c r="D75" s="91">
        <v>200.97</v>
      </c>
      <c r="E75" t="s">
        <v>563</v>
      </c>
      <c r="F75" t="s">
        <v>201</v>
      </c>
      <c r="G75" t="s">
        <v>250</v>
      </c>
      <c r="H75" t="s">
        <v>326</v>
      </c>
      <c r="I75" t="s">
        <v>477</v>
      </c>
      <c r="J75" s="91">
        <v>-200.97</v>
      </c>
      <c r="K75" s="89">
        <v>200.97</v>
      </c>
      <c r="L75" s="91">
        <v>-200.97</v>
      </c>
      <c r="M75" t="s">
        <v>396</v>
      </c>
    </row>
    <row r="76" spans="1:13" x14ac:dyDescent="0.35">
      <c r="A76">
        <v>1</v>
      </c>
      <c r="B76" s="28">
        <v>43983</v>
      </c>
      <c r="C76" t="s">
        <v>34</v>
      </c>
      <c r="D76" s="91">
        <v>238.17</v>
      </c>
      <c r="E76" t="s">
        <v>561</v>
      </c>
      <c r="F76" t="s">
        <v>201</v>
      </c>
      <c r="G76" t="s">
        <v>250</v>
      </c>
      <c r="H76" t="s">
        <v>321</v>
      </c>
      <c r="I76" t="s">
        <v>478</v>
      </c>
      <c r="J76" s="91">
        <v>-238.17</v>
      </c>
      <c r="K76" s="89">
        <v>238.17</v>
      </c>
      <c r="L76" s="91">
        <v>-238.17</v>
      </c>
      <c r="M76" t="s">
        <v>396</v>
      </c>
    </row>
    <row r="77" spans="1:13" x14ac:dyDescent="0.35">
      <c r="A77">
        <v>1</v>
      </c>
      <c r="B77" s="28">
        <v>43983</v>
      </c>
      <c r="C77" t="s">
        <v>187</v>
      </c>
      <c r="D77" s="91">
        <v>813.65</v>
      </c>
      <c r="E77" t="s">
        <v>563</v>
      </c>
      <c r="F77" t="s">
        <v>201</v>
      </c>
      <c r="G77" t="s">
        <v>250</v>
      </c>
      <c r="H77" t="s">
        <v>321</v>
      </c>
      <c r="I77" t="s">
        <v>338</v>
      </c>
      <c r="J77" s="91">
        <v>813.65</v>
      </c>
      <c r="K77" s="89">
        <v>813.65</v>
      </c>
      <c r="L77" s="91">
        <v>813.65</v>
      </c>
      <c r="M77" t="s">
        <v>396</v>
      </c>
    </row>
    <row r="78" spans="1:13" x14ac:dyDescent="0.35">
      <c r="A78">
        <v>1</v>
      </c>
      <c r="B78" s="28">
        <v>43983</v>
      </c>
      <c r="C78" t="s">
        <v>187</v>
      </c>
      <c r="D78" s="91">
        <v>1703.73</v>
      </c>
      <c r="E78" t="s">
        <v>564</v>
      </c>
      <c r="F78" t="s">
        <v>201</v>
      </c>
      <c r="G78" t="s">
        <v>250</v>
      </c>
      <c r="H78" t="s">
        <v>321</v>
      </c>
      <c r="I78" t="s">
        <v>339</v>
      </c>
      <c r="J78" s="91">
        <v>1703.73</v>
      </c>
      <c r="K78" s="89">
        <v>1703.73</v>
      </c>
      <c r="L78" s="91">
        <v>1703.73</v>
      </c>
      <c r="M78" t="s">
        <v>396</v>
      </c>
    </row>
    <row r="79" spans="1:13" x14ac:dyDescent="0.35">
      <c r="A79">
        <v>1</v>
      </c>
      <c r="B79" s="28">
        <v>43983</v>
      </c>
      <c r="C79" t="s">
        <v>34</v>
      </c>
      <c r="D79" s="91">
        <v>2279.21</v>
      </c>
      <c r="E79" t="s">
        <v>565</v>
      </c>
      <c r="F79" t="s">
        <v>201</v>
      </c>
      <c r="G79" t="s">
        <v>250</v>
      </c>
      <c r="H79" t="s">
        <v>321</v>
      </c>
      <c r="I79" t="s">
        <v>340</v>
      </c>
      <c r="J79" s="91">
        <v>-2279.21</v>
      </c>
      <c r="K79" s="89">
        <v>2279.21</v>
      </c>
      <c r="L79" s="91">
        <v>-2279.21</v>
      </c>
      <c r="M79" t="s">
        <v>396</v>
      </c>
    </row>
    <row r="80" spans="1:13" x14ac:dyDescent="0.35">
      <c r="A80">
        <v>1</v>
      </c>
      <c r="B80" s="28">
        <v>43983</v>
      </c>
      <c r="C80" t="s">
        <v>187</v>
      </c>
      <c r="D80" s="91">
        <v>813.65</v>
      </c>
      <c r="E80" t="s">
        <v>564</v>
      </c>
      <c r="F80" t="s">
        <v>201</v>
      </c>
      <c r="G80" t="s">
        <v>250</v>
      </c>
      <c r="H80" t="s">
        <v>321</v>
      </c>
      <c r="I80" t="s">
        <v>341</v>
      </c>
      <c r="J80" s="91">
        <v>813.65</v>
      </c>
      <c r="K80" s="89">
        <v>813.65</v>
      </c>
      <c r="L80" s="91">
        <v>813.65</v>
      </c>
      <c r="M80" t="s">
        <v>396</v>
      </c>
    </row>
    <row r="81" spans="1:13" x14ac:dyDescent="0.35">
      <c r="A81">
        <v>1</v>
      </c>
      <c r="B81" s="28">
        <v>43983</v>
      </c>
      <c r="C81" t="s">
        <v>34</v>
      </c>
      <c r="D81" s="91">
        <v>813.65</v>
      </c>
      <c r="E81" t="s">
        <v>563</v>
      </c>
      <c r="F81" t="s">
        <v>201</v>
      </c>
      <c r="G81" t="s">
        <v>250</v>
      </c>
      <c r="H81" t="s">
        <v>321</v>
      </c>
      <c r="I81" t="s">
        <v>342</v>
      </c>
      <c r="J81" s="91">
        <v>-813.65</v>
      </c>
      <c r="K81" s="89">
        <v>813.65</v>
      </c>
      <c r="L81" s="91">
        <v>-813.65</v>
      </c>
      <c r="M81" t="s">
        <v>396</v>
      </c>
    </row>
    <row r="82" spans="1:13" x14ac:dyDescent="0.35">
      <c r="A82">
        <v>1</v>
      </c>
      <c r="B82" s="28">
        <v>43983</v>
      </c>
      <c r="C82" t="s">
        <v>34</v>
      </c>
      <c r="D82" s="91">
        <v>154.77000000000001</v>
      </c>
      <c r="E82" t="s">
        <v>561</v>
      </c>
      <c r="F82" t="s">
        <v>201</v>
      </c>
      <c r="G82" t="s">
        <v>250</v>
      </c>
      <c r="H82" t="s">
        <v>333</v>
      </c>
      <c r="I82" t="s">
        <v>343</v>
      </c>
      <c r="J82" s="91">
        <v>-154.77000000000001</v>
      </c>
      <c r="K82" s="89">
        <v>154.77000000000001</v>
      </c>
      <c r="L82" s="91">
        <v>-154.77000000000001</v>
      </c>
      <c r="M82" t="s">
        <v>396</v>
      </c>
    </row>
    <row r="83" spans="1:13" x14ac:dyDescent="0.35">
      <c r="A83">
        <v>1</v>
      </c>
      <c r="B83" s="28">
        <v>43983</v>
      </c>
      <c r="C83" t="s">
        <v>187</v>
      </c>
      <c r="D83" s="91">
        <v>170.24</v>
      </c>
      <c r="E83" t="s">
        <v>562</v>
      </c>
      <c r="F83" t="s">
        <v>201</v>
      </c>
      <c r="G83" t="s">
        <v>250</v>
      </c>
      <c r="H83" t="s">
        <v>333</v>
      </c>
      <c r="I83" t="s">
        <v>344</v>
      </c>
      <c r="J83" s="91">
        <v>170.24</v>
      </c>
      <c r="K83" s="89">
        <v>170.24</v>
      </c>
      <c r="L83" s="91">
        <v>170.24</v>
      </c>
      <c r="M83" t="s">
        <v>396</v>
      </c>
    </row>
    <row r="84" spans="1:13" x14ac:dyDescent="0.35">
      <c r="A84">
        <v>1</v>
      </c>
      <c r="B84" s="28">
        <v>43983</v>
      </c>
      <c r="C84" t="s">
        <v>187</v>
      </c>
      <c r="D84" s="91">
        <v>433.43</v>
      </c>
      <c r="E84" t="s">
        <v>563</v>
      </c>
      <c r="F84" t="s">
        <v>201</v>
      </c>
      <c r="G84" t="s">
        <v>250</v>
      </c>
      <c r="H84" t="s">
        <v>333</v>
      </c>
      <c r="I84" t="s">
        <v>345</v>
      </c>
      <c r="J84" s="91">
        <v>433.43</v>
      </c>
      <c r="K84" s="89">
        <v>433.43</v>
      </c>
      <c r="L84" s="91">
        <v>433.43</v>
      </c>
      <c r="M84" t="s">
        <v>396</v>
      </c>
    </row>
    <row r="85" spans="1:13" x14ac:dyDescent="0.35">
      <c r="A85">
        <v>1</v>
      </c>
      <c r="B85" s="28">
        <v>43983</v>
      </c>
      <c r="C85" t="s">
        <v>187</v>
      </c>
      <c r="D85" s="91">
        <v>1124.02</v>
      </c>
      <c r="E85" t="s">
        <v>564</v>
      </c>
      <c r="F85" t="s">
        <v>201</v>
      </c>
      <c r="G85" t="s">
        <v>250</v>
      </c>
      <c r="H85" t="s">
        <v>333</v>
      </c>
      <c r="I85" t="s">
        <v>346</v>
      </c>
      <c r="J85" s="91">
        <v>1124.02</v>
      </c>
      <c r="K85" s="89">
        <v>1124.02</v>
      </c>
      <c r="L85" s="91">
        <v>1124.02</v>
      </c>
      <c r="M85" t="s">
        <v>396</v>
      </c>
    </row>
    <row r="86" spans="1:13" x14ac:dyDescent="0.35">
      <c r="A86">
        <v>1</v>
      </c>
      <c r="B86" s="28">
        <v>43983</v>
      </c>
      <c r="C86" t="s">
        <v>34</v>
      </c>
      <c r="D86" s="91">
        <v>1572.92</v>
      </c>
      <c r="E86" t="s">
        <v>565</v>
      </c>
      <c r="F86" t="s">
        <v>201</v>
      </c>
      <c r="G86" t="s">
        <v>250</v>
      </c>
      <c r="H86" t="s">
        <v>333</v>
      </c>
      <c r="I86" t="s">
        <v>347</v>
      </c>
      <c r="J86" s="91">
        <v>-1572.92</v>
      </c>
      <c r="K86" s="89">
        <v>1572.92</v>
      </c>
      <c r="L86" s="91">
        <v>-1572.92</v>
      </c>
      <c r="M86" t="s">
        <v>396</v>
      </c>
    </row>
    <row r="87" spans="1:13" x14ac:dyDescent="0.35">
      <c r="A87">
        <v>1</v>
      </c>
      <c r="B87" s="28">
        <v>43983</v>
      </c>
      <c r="C87" t="s">
        <v>187</v>
      </c>
      <c r="D87" s="91">
        <v>433.43</v>
      </c>
      <c r="E87" t="s">
        <v>564</v>
      </c>
      <c r="F87" t="s">
        <v>201</v>
      </c>
      <c r="G87" t="s">
        <v>250</v>
      </c>
      <c r="H87" t="s">
        <v>333</v>
      </c>
      <c r="I87" t="s">
        <v>348</v>
      </c>
      <c r="J87" s="91">
        <v>433.43</v>
      </c>
      <c r="K87" s="89">
        <v>433.43</v>
      </c>
      <c r="L87" s="91">
        <v>433.43</v>
      </c>
      <c r="M87" t="s">
        <v>396</v>
      </c>
    </row>
    <row r="88" spans="1:13" x14ac:dyDescent="0.35">
      <c r="A88">
        <v>1</v>
      </c>
      <c r="B88" s="28">
        <v>43983</v>
      </c>
      <c r="C88" t="s">
        <v>34</v>
      </c>
      <c r="D88" s="91">
        <v>433.43</v>
      </c>
      <c r="E88" t="s">
        <v>563</v>
      </c>
      <c r="F88" t="s">
        <v>201</v>
      </c>
      <c r="G88" t="s">
        <v>250</v>
      </c>
      <c r="H88" t="s">
        <v>333</v>
      </c>
      <c r="I88" t="s">
        <v>349</v>
      </c>
      <c r="J88" s="91">
        <v>-433.43</v>
      </c>
      <c r="K88" s="89">
        <v>433.43</v>
      </c>
      <c r="L88" s="91">
        <v>-433.43</v>
      </c>
      <c r="M88" t="s">
        <v>396</v>
      </c>
    </row>
    <row r="89" spans="1:13" x14ac:dyDescent="0.35">
      <c r="A89">
        <v>1</v>
      </c>
      <c r="B89" s="28">
        <v>43983</v>
      </c>
      <c r="C89" t="s">
        <v>34</v>
      </c>
      <c r="D89" s="91">
        <v>51.73</v>
      </c>
      <c r="E89" t="s">
        <v>561</v>
      </c>
      <c r="F89" t="s">
        <v>258</v>
      </c>
      <c r="G89" t="s">
        <v>85</v>
      </c>
      <c r="H89" t="s">
        <v>311</v>
      </c>
      <c r="I89" t="s">
        <v>350</v>
      </c>
      <c r="J89" s="91">
        <v>-51.73</v>
      </c>
      <c r="K89" s="89">
        <v>51.73</v>
      </c>
      <c r="L89" s="91">
        <v>-51.73</v>
      </c>
      <c r="M89" t="s">
        <v>396</v>
      </c>
    </row>
    <row r="90" spans="1:13" x14ac:dyDescent="0.35">
      <c r="A90">
        <v>1</v>
      </c>
      <c r="B90" s="28">
        <v>43983</v>
      </c>
      <c r="C90" t="s">
        <v>187</v>
      </c>
      <c r="D90" s="91">
        <v>101.79</v>
      </c>
      <c r="E90" t="s">
        <v>563</v>
      </c>
      <c r="F90" t="s">
        <v>258</v>
      </c>
      <c r="G90" t="s">
        <v>85</v>
      </c>
      <c r="H90" t="s">
        <v>311</v>
      </c>
      <c r="I90" t="s">
        <v>351</v>
      </c>
      <c r="J90" s="91">
        <v>101.79</v>
      </c>
      <c r="K90" s="89">
        <v>101.79</v>
      </c>
      <c r="L90" s="91">
        <v>101.79</v>
      </c>
      <c r="M90" t="s">
        <v>396</v>
      </c>
    </row>
    <row r="91" spans="1:13" x14ac:dyDescent="0.35">
      <c r="A91">
        <v>1</v>
      </c>
      <c r="B91" s="28">
        <v>43983</v>
      </c>
      <c r="C91" t="s">
        <v>187</v>
      </c>
      <c r="D91" s="91">
        <v>444.94</v>
      </c>
      <c r="E91" t="s">
        <v>564</v>
      </c>
      <c r="F91" t="s">
        <v>258</v>
      </c>
      <c r="G91" t="s">
        <v>85</v>
      </c>
      <c r="H91" t="s">
        <v>311</v>
      </c>
      <c r="I91" t="s">
        <v>352</v>
      </c>
      <c r="J91" s="91">
        <v>444.94</v>
      </c>
      <c r="K91" s="89">
        <v>444.94</v>
      </c>
      <c r="L91" s="91">
        <v>444.94</v>
      </c>
      <c r="M91" t="s">
        <v>396</v>
      </c>
    </row>
    <row r="92" spans="1:13" x14ac:dyDescent="0.35">
      <c r="A92">
        <v>1</v>
      </c>
      <c r="B92" s="28">
        <v>43983</v>
      </c>
      <c r="C92" t="s">
        <v>34</v>
      </c>
      <c r="D92" s="91">
        <v>495</v>
      </c>
      <c r="E92" t="s">
        <v>565</v>
      </c>
      <c r="F92" t="s">
        <v>258</v>
      </c>
      <c r="G92" t="s">
        <v>85</v>
      </c>
      <c r="H92" t="s">
        <v>311</v>
      </c>
      <c r="I92" t="s">
        <v>353</v>
      </c>
      <c r="J92" s="91">
        <v>-495</v>
      </c>
      <c r="K92" s="89">
        <v>495</v>
      </c>
      <c r="L92" s="91">
        <v>-495</v>
      </c>
      <c r="M92" t="s">
        <v>396</v>
      </c>
    </row>
    <row r="93" spans="1:13" x14ac:dyDescent="0.35">
      <c r="A93">
        <v>1</v>
      </c>
      <c r="B93" s="28">
        <v>43983</v>
      </c>
      <c r="C93" t="s">
        <v>187</v>
      </c>
      <c r="D93" s="91">
        <v>101.79</v>
      </c>
      <c r="E93" t="s">
        <v>564</v>
      </c>
      <c r="F93" t="s">
        <v>258</v>
      </c>
      <c r="G93" t="s">
        <v>85</v>
      </c>
      <c r="H93" t="s">
        <v>311</v>
      </c>
      <c r="I93" t="s">
        <v>354</v>
      </c>
      <c r="J93" s="91">
        <v>101.79</v>
      </c>
      <c r="K93" s="89">
        <v>101.79</v>
      </c>
      <c r="L93" s="91">
        <v>101.79</v>
      </c>
      <c r="M93" t="s">
        <v>396</v>
      </c>
    </row>
    <row r="94" spans="1:13" x14ac:dyDescent="0.35">
      <c r="A94">
        <v>1</v>
      </c>
      <c r="B94" s="28">
        <v>43983</v>
      </c>
      <c r="C94" t="s">
        <v>34</v>
      </c>
      <c r="D94" s="91">
        <v>101.79</v>
      </c>
      <c r="E94" t="s">
        <v>563</v>
      </c>
      <c r="F94" t="s">
        <v>258</v>
      </c>
      <c r="G94" t="s">
        <v>85</v>
      </c>
      <c r="H94" t="s">
        <v>311</v>
      </c>
      <c r="I94" t="s">
        <v>355</v>
      </c>
      <c r="J94" s="91">
        <v>-101.79</v>
      </c>
      <c r="K94" s="89">
        <v>101.79</v>
      </c>
      <c r="L94" s="91">
        <v>-101.79</v>
      </c>
      <c r="M94" t="s">
        <v>396</v>
      </c>
    </row>
    <row r="95" spans="1:13" x14ac:dyDescent="0.35">
      <c r="A95">
        <v>1</v>
      </c>
      <c r="B95" s="28">
        <v>43983</v>
      </c>
      <c r="C95" t="s">
        <v>34</v>
      </c>
      <c r="D95" s="91">
        <v>92.71</v>
      </c>
      <c r="E95" t="s">
        <v>561</v>
      </c>
      <c r="F95" t="s">
        <v>259</v>
      </c>
      <c r="G95" t="s">
        <v>85</v>
      </c>
      <c r="H95" t="s">
        <v>316</v>
      </c>
      <c r="I95" t="s">
        <v>356</v>
      </c>
      <c r="J95" s="91">
        <v>-92.71</v>
      </c>
      <c r="K95" s="89">
        <v>92.71</v>
      </c>
      <c r="L95" s="91">
        <v>-92.71</v>
      </c>
      <c r="M95" t="s">
        <v>396</v>
      </c>
    </row>
    <row r="96" spans="1:13" x14ac:dyDescent="0.35">
      <c r="A96">
        <v>1</v>
      </c>
      <c r="B96" s="28">
        <v>43983</v>
      </c>
      <c r="C96" t="s">
        <v>187</v>
      </c>
      <c r="D96" s="91">
        <v>124.91</v>
      </c>
      <c r="E96" t="s">
        <v>562</v>
      </c>
      <c r="F96" t="s">
        <v>259</v>
      </c>
      <c r="G96" t="s">
        <v>85</v>
      </c>
      <c r="H96" t="s">
        <v>316</v>
      </c>
      <c r="I96" t="s">
        <v>479</v>
      </c>
      <c r="J96" s="91">
        <v>124.91</v>
      </c>
      <c r="K96" s="89">
        <v>124.91</v>
      </c>
      <c r="L96" s="91">
        <v>124.91</v>
      </c>
      <c r="M96" t="s">
        <v>396</v>
      </c>
    </row>
    <row r="97" spans="1:13" x14ac:dyDescent="0.35">
      <c r="A97">
        <v>1</v>
      </c>
      <c r="B97" s="28">
        <v>43983</v>
      </c>
      <c r="C97" t="s">
        <v>187</v>
      </c>
      <c r="D97" s="91">
        <v>179.6</v>
      </c>
      <c r="E97" t="s">
        <v>563</v>
      </c>
      <c r="F97" t="s">
        <v>259</v>
      </c>
      <c r="G97" t="s">
        <v>85</v>
      </c>
      <c r="H97" t="s">
        <v>316</v>
      </c>
      <c r="I97" t="s">
        <v>480</v>
      </c>
      <c r="J97" s="91">
        <v>179.6</v>
      </c>
      <c r="K97" s="89">
        <v>179.6</v>
      </c>
      <c r="L97" s="91">
        <v>179.6</v>
      </c>
      <c r="M97" t="s">
        <v>396</v>
      </c>
    </row>
    <row r="98" spans="1:13" x14ac:dyDescent="0.35">
      <c r="A98">
        <v>1</v>
      </c>
      <c r="B98" s="28">
        <v>43983</v>
      </c>
      <c r="C98" t="s">
        <v>187</v>
      </c>
      <c r="D98" s="91">
        <v>751.08</v>
      </c>
      <c r="E98" t="s">
        <v>564</v>
      </c>
      <c r="F98" t="s">
        <v>259</v>
      </c>
      <c r="G98" t="s">
        <v>85</v>
      </c>
      <c r="H98" t="s">
        <v>316</v>
      </c>
      <c r="I98" t="s">
        <v>481</v>
      </c>
      <c r="J98" s="91">
        <v>751.08</v>
      </c>
      <c r="K98" s="89">
        <v>751.08</v>
      </c>
      <c r="L98" s="91">
        <v>751.08</v>
      </c>
      <c r="M98" t="s">
        <v>396</v>
      </c>
    </row>
    <row r="99" spans="1:13" x14ac:dyDescent="0.35">
      <c r="A99">
        <v>1</v>
      </c>
      <c r="B99" s="28">
        <v>43983</v>
      </c>
      <c r="C99" t="s">
        <v>34</v>
      </c>
      <c r="D99" s="91">
        <v>962.88</v>
      </c>
      <c r="E99" t="s">
        <v>565</v>
      </c>
      <c r="F99" t="s">
        <v>259</v>
      </c>
      <c r="G99" t="s">
        <v>85</v>
      </c>
      <c r="H99" t="s">
        <v>316</v>
      </c>
      <c r="I99" t="s">
        <v>482</v>
      </c>
      <c r="J99" s="91">
        <v>-962.88</v>
      </c>
      <c r="K99" s="89">
        <v>962.88</v>
      </c>
      <c r="L99" s="91">
        <v>-962.88</v>
      </c>
      <c r="M99" t="s">
        <v>396</v>
      </c>
    </row>
    <row r="100" spans="1:13" x14ac:dyDescent="0.35">
      <c r="A100">
        <v>1</v>
      </c>
      <c r="B100" s="28">
        <v>43983</v>
      </c>
      <c r="C100" t="s">
        <v>187</v>
      </c>
      <c r="D100" s="91">
        <v>179.6</v>
      </c>
      <c r="E100" t="s">
        <v>564</v>
      </c>
      <c r="F100" t="s">
        <v>259</v>
      </c>
      <c r="G100" t="s">
        <v>85</v>
      </c>
      <c r="H100" t="s">
        <v>316</v>
      </c>
      <c r="I100" t="s">
        <v>483</v>
      </c>
      <c r="J100" s="91">
        <v>179.6</v>
      </c>
      <c r="K100" s="89">
        <v>179.6</v>
      </c>
      <c r="L100" s="91">
        <v>179.6</v>
      </c>
      <c r="M100" t="s">
        <v>396</v>
      </c>
    </row>
    <row r="101" spans="1:13" x14ac:dyDescent="0.35">
      <c r="A101">
        <v>1</v>
      </c>
      <c r="B101" s="28">
        <v>43983</v>
      </c>
      <c r="C101" t="s">
        <v>34</v>
      </c>
      <c r="D101" s="91">
        <v>179.6</v>
      </c>
      <c r="E101" t="s">
        <v>563</v>
      </c>
      <c r="F101" t="s">
        <v>259</v>
      </c>
      <c r="G101" t="s">
        <v>85</v>
      </c>
      <c r="H101" t="s">
        <v>316</v>
      </c>
      <c r="I101" t="s">
        <v>484</v>
      </c>
      <c r="J101" s="91">
        <v>-179.6</v>
      </c>
      <c r="K101" s="89">
        <v>179.6</v>
      </c>
      <c r="L101" s="91">
        <v>-179.6</v>
      </c>
      <c r="M101" t="s">
        <v>396</v>
      </c>
    </row>
    <row r="102" spans="1:13" x14ac:dyDescent="0.35">
      <c r="A102">
        <v>1</v>
      </c>
      <c r="B102" s="28">
        <v>43983</v>
      </c>
      <c r="C102" t="s">
        <v>34</v>
      </c>
      <c r="D102" s="91">
        <v>0</v>
      </c>
      <c r="E102" t="s">
        <v>561</v>
      </c>
      <c r="F102" t="s">
        <v>260</v>
      </c>
      <c r="G102" t="s">
        <v>566</v>
      </c>
      <c r="H102" t="s">
        <v>335</v>
      </c>
      <c r="I102" t="s">
        <v>485</v>
      </c>
      <c r="J102" s="91">
        <v>0</v>
      </c>
      <c r="K102" s="89">
        <v>0</v>
      </c>
      <c r="L102" s="91">
        <v>0</v>
      </c>
      <c r="M102" t="s">
        <v>396</v>
      </c>
    </row>
    <row r="103" spans="1:13" x14ac:dyDescent="0.35">
      <c r="A103">
        <v>1</v>
      </c>
      <c r="B103" s="28">
        <v>43983</v>
      </c>
      <c r="C103" t="s">
        <v>34</v>
      </c>
      <c r="D103" s="91">
        <v>0.63</v>
      </c>
      <c r="E103" t="s">
        <v>561</v>
      </c>
      <c r="F103" t="s">
        <v>275</v>
      </c>
      <c r="G103" t="s">
        <v>572</v>
      </c>
      <c r="H103" t="s">
        <v>335</v>
      </c>
      <c r="I103" t="s">
        <v>485</v>
      </c>
      <c r="J103" s="91">
        <v>-0.63</v>
      </c>
      <c r="K103" s="89">
        <v>0.63</v>
      </c>
      <c r="L103" s="91">
        <v>-0.63</v>
      </c>
    </row>
    <row r="104" spans="1:13" x14ac:dyDescent="0.35">
      <c r="A104">
        <v>1</v>
      </c>
      <c r="B104" s="28">
        <v>43983</v>
      </c>
      <c r="C104" t="s">
        <v>34</v>
      </c>
      <c r="D104" s="91">
        <v>2.84</v>
      </c>
      <c r="E104" t="s">
        <v>561</v>
      </c>
      <c r="F104" t="s">
        <v>271</v>
      </c>
      <c r="G104" t="s">
        <v>573</v>
      </c>
      <c r="H104" t="s">
        <v>335</v>
      </c>
      <c r="I104" t="s">
        <v>485</v>
      </c>
      <c r="J104" s="91">
        <v>-2.84</v>
      </c>
      <c r="K104" s="89">
        <v>2.84</v>
      </c>
      <c r="L104" s="91">
        <v>-2.84</v>
      </c>
    </row>
    <row r="105" spans="1:13" x14ac:dyDescent="0.35">
      <c r="A105">
        <v>1</v>
      </c>
      <c r="B105" s="28">
        <v>43983</v>
      </c>
      <c r="C105" t="s">
        <v>34</v>
      </c>
      <c r="D105" s="91">
        <v>28.08</v>
      </c>
      <c r="E105" t="s">
        <v>561</v>
      </c>
      <c r="F105" t="s">
        <v>202</v>
      </c>
      <c r="G105" t="s">
        <v>85</v>
      </c>
      <c r="H105" t="s">
        <v>335</v>
      </c>
      <c r="I105" t="s">
        <v>485</v>
      </c>
      <c r="J105" s="91">
        <v>-28.08</v>
      </c>
      <c r="K105" s="89">
        <v>28.08</v>
      </c>
      <c r="L105" s="91">
        <v>-28.08</v>
      </c>
    </row>
    <row r="106" spans="1:13" x14ac:dyDescent="0.35">
      <c r="A106">
        <v>1</v>
      </c>
      <c r="B106" s="28">
        <v>43983</v>
      </c>
      <c r="C106" t="s">
        <v>187</v>
      </c>
      <c r="D106" s="91">
        <v>0</v>
      </c>
      <c r="E106" t="s">
        <v>562</v>
      </c>
      <c r="F106" t="s">
        <v>260</v>
      </c>
      <c r="G106" t="s">
        <v>566</v>
      </c>
      <c r="H106" t="s">
        <v>335</v>
      </c>
      <c r="I106" t="s">
        <v>486</v>
      </c>
      <c r="J106" s="91">
        <v>0</v>
      </c>
      <c r="K106" s="89">
        <v>0</v>
      </c>
      <c r="L106" s="91">
        <v>0</v>
      </c>
      <c r="M106" t="s">
        <v>396</v>
      </c>
    </row>
    <row r="107" spans="1:13" x14ac:dyDescent="0.35">
      <c r="A107">
        <v>1</v>
      </c>
      <c r="B107" s="28">
        <v>43983</v>
      </c>
      <c r="C107" t="s">
        <v>187</v>
      </c>
      <c r="D107" s="91">
        <v>0.63</v>
      </c>
      <c r="E107" t="s">
        <v>562</v>
      </c>
      <c r="F107" t="s">
        <v>275</v>
      </c>
      <c r="G107" t="s">
        <v>572</v>
      </c>
      <c r="H107" t="s">
        <v>335</v>
      </c>
      <c r="I107" t="s">
        <v>486</v>
      </c>
      <c r="J107" s="91">
        <v>0.63</v>
      </c>
      <c r="K107" s="89">
        <v>0.63</v>
      </c>
      <c r="L107" s="91">
        <v>0.63</v>
      </c>
    </row>
    <row r="108" spans="1:13" x14ac:dyDescent="0.35">
      <c r="A108">
        <v>1</v>
      </c>
      <c r="B108" s="28">
        <v>43983</v>
      </c>
      <c r="C108" t="s">
        <v>187</v>
      </c>
      <c r="D108" s="91">
        <v>2.83</v>
      </c>
      <c r="E108" t="s">
        <v>562</v>
      </c>
      <c r="F108" t="s">
        <v>271</v>
      </c>
      <c r="G108" t="s">
        <v>573</v>
      </c>
      <c r="H108" t="s">
        <v>335</v>
      </c>
      <c r="I108" t="s">
        <v>486</v>
      </c>
      <c r="J108" s="91">
        <v>2.83</v>
      </c>
      <c r="K108" s="89">
        <v>2.83</v>
      </c>
      <c r="L108" s="91">
        <v>2.83</v>
      </c>
    </row>
    <row r="109" spans="1:13" x14ac:dyDescent="0.35">
      <c r="A109">
        <v>1</v>
      </c>
      <c r="B109" s="28">
        <v>43983</v>
      </c>
      <c r="C109" t="s">
        <v>187</v>
      </c>
      <c r="D109" s="91">
        <v>28.02</v>
      </c>
      <c r="E109" t="s">
        <v>562</v>
      </c>
      <c r="F109" t="s">
        <v>202</v>
      </c>
      <c r="G109" t="s">
        <v>85</v>
      </c>
      <c r="H109" t="s">
        <v>335</v>
      </c>
      <c r="I109" t="s">
        <v>486</v>
      </c>
      <c r="J109" s="91">
        <v>28.02</v>
      </c>
      <c r="K109" s="89">
        <v>28.02</v>
      </c>
      <c r="L109" s="91">
        <v>28.02</v>
      </c>
    </row>
    <row r="110" spans="1:13" x14ac:dyDescent="0.35">
      <c r="A110">
        <v>1</v>
      </c>
      <c r="B110" s="28">
        <v>43983</v>
      </c>
      <c r="C110" t="s">
        <v>187</v>
      </c>
      <c r="D110" s="91">
        <v>0</v>
      </c>
      <c r="E110" t="s">
        <v>563</v>
      </c>
      <c r="F110" t="s">
        <v>260</v>
      </c>
      <c r="G110" t="s">
        <v>566</v>
      </c>
      <c r="H110" t="s">
        <v>335</v>
      </c>
      <c r="I110" t="s">
        <v>487</v>
      </c>
      <c r="J110" s="91">
        <v>0</v>
      </c>
      <c r="K110" s="89">
        <v>0</v>
      </c>
      <c r="L110" s="91">
        <v>0</v>
      </c>
      <c r="M110" t="s">
        <v>396</v>
      </c>
    </row>
    <row r="111" spans="1:13" x14ac:dyDescent="0.35">
      <c r="A111">
        <v>1</v>
      </c>
      <c r="B111" s="28">
        <v>43983</v>
      </c>
      <c r="C111" t="s">
        <v>187</v>
      </c>
      <c r="D111" s="91">
        <v>2.4</v>
      </c>
      <c r="E111" t="s">
        <v>563</v>
      </c>
      <c r="F111" t="s">
        <v>275</v>
      </c>
      <c r="G111" t="s">
        <v>572</v>
      </c>
      <c r="H111" t="s">
        <v>335</v>
      </c>
      <c r="I111" t="s">
        <v>487</v>
      </c>
      <c r="J111" s="91">
        <v>2.4</v>
      </c>
      <c r="K111" s="89">
        <v>2.4</v>
      </c>
      <c r="L111" s="91">
        <v>2.4</v>
      </c>
    </row>
    <row r="112" spans="1:13" x14ac:dyDescent="0.35">
      <c r="A112">
        <v>1</v>
      </c>
      <c r="B112" s="28">
        <v>43983</v>
      </c>
      <c r="C112" t="s">
        <v>187</v>
      </c>
      <c r="D112" s="91">
        <v>10.81</v>
      </c>
      <c r="E112" t="s">
        <v>563</v>
      </c>
      <c r="F112" t="s">
        <v>271</v>
      </c>
      <c r="G112" t="s">
        <v>573</v>
      </c>
      <c r="H112" t="s">
        <v>335</v>
      </c>
      <c r="I112" t="s">
        <v>487</v>
      </c>
      <c r="J112" s="91">
        <v>10.81</v>
      </c>
      <c r="K112" s="89">
        <v>10.81</v>
      </c>
      <c r="L112" s="91">
        <v>10.81</v>
      </c>
    </row>
    <row r="113" spans="1:13" x14ac:dyDescent="0.35">
      <c r="A113">
        <v>1</v>
      </c>
      <c r="B113" s="28">
        <v>43983</v>
      </c>
      <c r="C113" t="s">
        <v>187</v>
      </c>
      <c r="D113" s="91">
        <v>106.93</v>
      </c>
      <c r="E113" t="s">
        <v>563</v>
      </c>
      <c r="F113" t="s">
        <v>202</v>
      </c>
      <c r="G113" t="s">
        <v>85</v>
      </c>
      <c r="H113" t="s">
        <v>335</v>
      </c>
      <c r="I113" t="s">
        <v>487</v>
      </c>
      <c r="J113" s="91">
        <v>106.93</v>
      </c>
      <c r="K113" s="89">
        <v>106.93</v>
      </c>
      <c r="L113" s="91">
        <v>106.93</v>
      </c>
    </row>
    <row r="114" spans="1:13" x14ac:dyDescent="0.35">
      <c r="A114">
        <v>1</v>
      </c>
      <c r="B114" s="28">
        <v>43983</v>
      </c>
      <c r="C114" t="s">
        <v>187</v>
      </c>
      <c r="D114" s="91">
        <v>0</v>
      </c>
      <c r="E114" t="s">
        <v>564</v>
      </c>
      <c r="F114" t="s">
        <v>260</v>
      </c>
      <c r="G114" t="s">
        <v>566</v>
      </c>
      <c r="H114" t="s">
        <v>335</v>
      </c>
      <c r="I114" t="s">
        <v>488</v>
      </c>
      <c r="J114" s="91">
        <v>0</v>
      </c>
      <c r="K114" s="89">
        <v>0</v>
      </c>
      <c r="L114" s="91">
        <v>0</v>
      </c>
      <c r="M114" t="s">
        <v>396</v>
      </c>
    </row>
    <row r="115" spans="1:13" x14ac:dyDescent="0.35">
      <c r="A115">
        <v>1</v>
      </c>
      <c r="B115" s="28">
        <v>43983</v>
      </c>
      <c r="C115" t="s">
        <v>187</v>
      </c>
      <c r="D115" s="91">
        <v>6.06</v>
      </c>
      <c r="E115" t="s">
        <v>564</v>
      </c>
      <c r="F115" t="s">
        <v>275</v>
      </c>
      <c r="G115" t="s">
        <v>572</v>
      </c>
      <c r="H115" t="s">
        <v>335</v>
      </c>
      <c r="I115" t="s">
        <v>488</v>
      </c>
      <c r="J115" s="91">
        <v>6.06</v>
      </c>
      <c r="K115" s="89">
        <v>6.06</v>
      </c>
      <c r="L115" s="91">
        <v>6.06</v>
      </c>
    </row>
    <row r="116" spans="1:13" x14ac:dyDescent="0.35">
      <c r="A116">
        <v>1</v>
      </c>
      <c r="B116" s="28">
        <v>43983</v>
      </c>
      <c r="C116" t="s">
        <v>187</v>
      </c>
      <c r="D116" s="91">
        <v>27.27</v>
      </c>
      <c r="E116" t="s">
        <v>564</v>
      </c>
      <c r="F116" t="s">
        <v>271</v>
      </c>
      <c r="G116" t="s">
        <v>573</v>
      </c>
      <c r="H116" t="s">
        <v>335</v>
      </c>
      <c r="I116" t="s">
        <v>488</v>
      </c>
      <c r="J116" s="91">
        <v>27.27</v>
      </c>
      <c r="K116" s="89">
        <v>27.27</v>
      </c>
      <c r="L116" s="91">
        <v>27.27</v>
      </c>
    </row>
    <row r="117" spans="1:13" x14ac:dyDescent="0.35">
      <c r="A117">
        <v>1</v>
      </c>
      <c r="B117" s="28">
        <v>43983</v>
      </c>
      <c r="C117" t="s">
        <v>187</v>
      </c>
      <c r="D117" s="91">
        <v>269.67</v>
      </c>
      <c r="E117" t="s">
        <v>564</v>
      </c>
      <c r="F117" t="s">
        <v>202</v>
      </c>
      <c r="G117" t="s">
        <v>85</v>
      </c>
      <c r="H117" t="s">
        <v>335</v>
      </c>
      <c r="I117" t="s">
        <v>488</v>
      </c>
      <c r="J117" s="91">
        <v>269.67</v>
      </c>
      <c r="K117" s="89">
        <v>269.67</v>
      </c>
      <c r="L117" s="91">
        <v>269.67</v>
      </c>
    </row>
    <row r="118" spans="1:13" x14ac:dyDescent="0.35">
      <c r="A118">
        <v>1</v>
      </c>
      <c r="B118" s="28">
        <v>43983</v>
      </c>
      <c r="C118" t="s">
        <v>34</v>
      </c>
      <c r="D118" s="91">
        <v>0</v>
      </c>
      <c r="E118" t="s">
        <v>565</v>
      </c>
      <c r="F118" t="s">
        <v>260</v>
      </c>
      <c r="G118" t="s">
        <v>566</v>
      </c>
      <c r="H118" t="s">
        <v>335</v>
      </c>
      <c r="I118" t="s">
        <v>489</v>
      </c>
      <c r="J118" s="91">
        <v>0</v>
      </c>
      <c r="K118" s="89">
        <v>0</v>
      </c>
      <c r="L118" s="91">
        <v>0</v>
      </c>
      <c r="M118" t="s">
        <v>396</v>
      </c>
    </row>
    <row r="119" spans="1:13" x14ac:dyDescent="0.35">
      <c r="A119">
        <v>1</v>
      </c>
      <c r="B119" s="28">
        <v>43983</v>
      </c>
      <c r="C119" t="s">
        <v>34</v>
      </c>
      <c r="D119" s="91">
        <v>8.4600000000000009</v>
      </c>
      <c r="E119" t="s">
        <v>565</v>
      </c>
      <c r="F119" t="s">
        <v>275</v>
      </c>
      <c r="G119" t="s">
        <v>572</v>
      </c>
      <c r="H119" t="s">
        <v>335</v>
      </c>
      <c r="I119" t="s">
        <v>489</v>
      </c>
      <c r="J119" s="91">
        <v>-8.4600000000000009</v>
      </c>
      <c r="K119" s="89">
        <v>8.4600000000000009</v>
      </c>
      <c r="L119" s="91">
        <v>-8.4600000000000009</v>
      </c>
    </row>
    <row r="120" spans="1:13" x14ac:dyDescent="0.35">
      <c r="A120">
        <v>1</v>
      </c>
      <c r="B120" s="28">
        <v>43983</v>
      </c>
      <c r="C120" t="s">
        <v>34</v>
      </c>
      <c r="D120" s="91">
        <v>38.08</v>
      </c>
      <c r="E120" t="s">
        <v>565</v>
      </c>
      <c r="F120" t="s">
        <v>271</v>
      </c>
      <c r="G120" t="s">
        <v>573</v>
      </c>
      <c r="H120" t="s">
        <v>335</v>
      </c>
      <c r="I120" t="s">
        <v>489</v>
      </c>
      <c r="J120" s="91">
        <v>-38.08</v>
      </c>
      <c r="K120" s="89">
        <v>38.08</v>
      </c>
      <c r="L120" s="91">
        <v>-38.08</v>
      </c>
    </row>
    <row r="121" spans="1:13" x14ac:dyDescent="0.35">
      <c r="A121">
        <v>1</v>
      </c>
      <c r="B121" s="28">
        <v>43983</v>
      </c>
      <c r="C121" t="s">
        <v>34</v>
      </c>
      <c r="D121" s="91">
        <v>376.53</v>
      </c>
      <c r="E121" t="s">
        <v>565</v>
      </c>
      <c r="F121" t="s">
        <v>202</v>
      </c>
      <c r="G121" t="s">
        <v>85</v>
      </c>
      <c r="H121" t="s">
        <v>335</v>
      </c>
      <c r="I121" t="s">
        <v>489</v>
      </c>
      <c r="J121" s="91">
        <v>-376.53</v>
      </c>
      <c r="K121" s="89">
        <v>376.53</v>
      </c>
      <c r="L121" s="91">
        <v>-376.53</v>
      </c>
    </row>
    <row r="122" spans="1:13" x14ac:dyDescent="0.35">
      <c r="A122">
        <v>1</v>
      </c>
      <c r="B122" s="28">
        <v>43983</v>
      </c>
      <c r="C122" t="s">
        <v>187</v>
      </c>
      <c r="D122" s="91">
        <v>0</v>
      </c>
      <c r="E122" t="s">
        <v>564</v>
      </c>
      <c r="F122" t="s">
        <v>260</v>
      </c>
      <c r="G122" t="s">
        <v>566</v>
      </c>
      <c r="H122" t="s">
        <v>335</v>
      </c>
      <c r="I122" t="s">
        <v>490</v>
      </c>
      <c r="J122" s="91">
        <v>0</v>
      </c>
      <c r="K122" s="89">
        <v>0</v>
      </c>
      <c r="L122" s="91">
        <v>0</v>
      </c>
      <c r="M122" t="s">
        <v>396</v>
      </c>
    </row>
    <row r="123" spans="1:13" x14ac:dyDescent="0.35">
      <c r="A123">
        <v>1</v>
      </c>
      <c r="B123" s="28">
        <v>43983</v>
      </c>
      <c r="C123" t="s">
        <v>187</v>
      </c>
      <c r="D123" s="91">
        <v>2.4</v>
      </c>
      <c r="E123" t="s">
        <v>564</v>
      </c>
      <c r="F123" t="s">
        <v>275</v>
      </c>
      <c r="G123" t="s">
        <v>572</v>
      </c>
      <c r="H123" t="s">
        <v>335</v>
      </c>
      <c r="I123" t="s">
        <v>490</v>
      </c>
      <c r="J123" s="91">
        <v>2.4</v>
      </c>
      <c r="K123" s="89">
        <v>2.4</v>
      </c>
      <c r="L123" s="91">
        <v>2.4</v>
      </c>
    </row>
    <row r="124" spans="1:13" x14ac:dyDescent="0.35">
      <c r="A124">
        <v>1</v>
      </c>
      <c r="B124" s="28">
        <v>43983</v>
      </c>
      <c r="C124" t="s">
        <v>187</v>
      </c>
      <c r="D124" s="91">
        <v>10.81</v>
      </c>
      <c r="E124" t="s">
        <v>564</v>
      </c>
      <c r="F124" t="s">
        <v>271</v>
      </c>
      <c r="G124" t="s">
        <v>573</v>
      </c>
      <c r="H124" t="s">
        <v>335</v>
      </c>
      <c r="I124" t="s">
        <v>490</v>
      </c>
      <c r="J124" s="91">
        <v>10.81</v>
      </c>
      <c r="K124" s="89">
        <v>10.81</v>
      </c>
      <c r="L124" s="91">
        <v>10.81</v>
      </c>
    </row>
    <row r="125" spans="1:13" x14ac:dyDescent="0.35">
      <c r="A125">
        <v>1</v>
      </c>
      <c r="B125" s="28">
        <v>43983</v>
      </c>
      <c r="C125" t="s">
        <v>187</v>
      </c>
      <c r="D125" s="91">
        <v>106.93</v>
      </c>
      <c r="E125" t="s">
        <v>564</v>
      </c>
      <c r="F125" t="s">
        <v>202</v>
      </c>
      <c r="G125" t="s">
        <v>85</v>
      </c>
      <c r="H125" t="s">
        <v>335</v>
      </c>
      <c r="I125" t="s">
        <v>490</v>
      </c>
      <c r="J125" s="91">
        <v>106.93</v>
      </c>
      <c r="K125" s="89">
        <v>106.93</v>
      </c>
      <c r="L125" s="91">
        <v>106.93</v>
      </c>
    </row>
    <row r="126" spans="1:13" x14ac:dyDescent="0.35">
      <c r="A126">
        <v>1</v>
      </c>
      <c r="B126" s="28">
        <v>43983</v>
      </c>
      <c r="C126" t="s">
        <v>34</v>
      </c>
      <c r="D126" s="91">
        <v>0</v>
      </c>
      <c r="E126" t="s">
        <v>563</v>
      </c>
      <c r="F126" t="s">
        <v>260</v>
      </c>
      <c r="G126" t="s">
        <v>566</v>
      </c>
      <c r="H126" t="s">
        <v>335</v>
      </c>
      <c r="I126" t="s">
        <v>491</v>
      </c>
      <c r="J126" s="91">
        <v>0</v>
      </c>
      <c r="K126" s="89">
        <v>0</v>
      </c>
      <c r="L126" s="91">
        <v>0</v>
      </c>
      <c r="M126" t="s">
        <v>396</v>
      </c>
    </row>
    <row r="127" spans="1:13" x14ac:dyDescent="0.35">
      <c r="A127">
        <v>1</v>
      </c>
      <c r="B127" s="28">
        <v>43983</v>
      </c>
      <c r="C127" t="s">
        <v>34</v>
      </c>
      <c r="D127" s="91">
        <v>2.4</v>
      </c>
      <c r="E127" t="s">
        <v>563</v>
      </c>
      <c r="F127" t="s">
        <v>275</v>
      </c>
      <c r="G127" t="s">
        <v>572</v>
      </c>
      <c r="H127" t="s">
        <v>335</v>
      </c>
      <c r="I127" t="s">
        <v>491</v>
      </c>
      <c r="J127" s="91">
        <v>-2.4</v>
      </c>
      <c r="K127" s="89">
        <v>2.4</v>
      </c>
      <c r="L127" s="91">
        <v>-2.4</v>
      </c>
    </row>
    <row r="128" spans="1:13" x14ac:dyDescent="0.35">
      <c r="A128">
        <v>1</v>
      </c>
      <c r="B128" s="28">
        <v>43983</v>
      </c>
      <c r="C128" t="s">
        <v>34</v>
      </c>
      <c r="D128" s="91">
        <v>10.81</v>
      </c>
      <c r="E128" t="s">
        <v>563</v>
      </c>
      <c r="F128" t="s">
        <v>271</v>
      </c>
      <c r="G128" t="s">
        <v>573</v>
      </c>
      <c r="H128" t="s">
        <v>335</v>
      </c>
      <c r="I128" t="s">
        <v>491</v>
      </c>
      <c r="J128" s="91">
        <v>-10.81</v>
      </c>
      <c r="K128" s="89">
        <v>10.81</v>
      </c>
      <c r="L128" s="91">
        <v>-10.81</v>
      </c>
    </row>
    <row r="129" spans="1:13" x14ac:dyDescent="0.35">
      <c r="A129">
        <v>1</v>
      </c>
      <c r="B129" s="28">
        <v>43983</v>
      </c>
      <c r="C129" t="s">
        <v>34</v>
      </c>
      <c r="D129" s="91">
        <v>106.93</v>
      </c>
      <c r="E129" t="s">
        <v>563</v>
      </c>
      <c r="F129" t="s">
        <v>202</v>
      </c>
      <c r="G129" t="s">
        <v>85</v>
      </c>
      <c r="H129" t="s">
        <v>335</v>
      </c>
      <c r="I129" t="s">
        <v>491</v>
      </c>
      <c r="J129" s="91">
        <v>-106.93</v>
      </c>
      <c r="K129" s="89">
        <v>106.93</v>
      </c>
      <c r="L129" s="91">
        <v>-106.93</v>
      </c>
    </row>
    <row r="130" spans="1:13" x14ac:dyDescent="0.35">
      <c r="A130">
        <v>1</v>
      </c>
      <c r="B130" s="28">
        <v>43983</v>
      </c>
      <c r="C130" t="s">
        <v>34</v>
      </c>
      <c r="D130" s="91">
        <v>19.63</v>
      </c>
      <c r="E130" t="s">
        <v>561</v>
      </c>
      <c r="F130" t="s">
        <v>275</v>
      </c>
      <c r="G130" t="s">
        <v>572</v>
      </c>
      <c r="H130" t="s">
        <v>331</v>
      </c>
      <c r="I130" t="s">
        <v>492</v>
      </c>
      <c r="J130" s="91">
        <v>-19.63</v>
      </c>
      <c r="K130" s="89">
        <v>19.63</v>
      </c>
      <c r="L130" s="91">
        <v>-19.63</v>
      </c>
      <c r="M130" t="s">
        <v>396</v>
      </c>
    </row>
    <row r="131" spans="1:13" x14ac:dyDescent="0.35">
      <c r="A131">
        <v>1</v>
      </c>
      <c r="B131" s="28">
        <v>43983</v>
      </c>
      <c r="C131" t="s">
        <v>34</v>
      </c>
      <c r="D131" s="91">
        <v>21.09</v>
      </c>
      <c r="E131" t="s">
        <v>561</v>
      </c>
      <c r="F131" t="s">
        <v>271</v>
      </c>
      <c r="G131" t="s">
        <v>573</v>
      </c>
      <c r="H131" t="s">
        <v>331</v>
      </c>
      <c r="I131" t="s">
        <v>492</v>
      </c>
      <c r="J131" s="91">
        <v>-21.09</v>
      </c>
      <c r="K131" s="89">
        <v>21.09</v>
      </c>
      <c r="L131" s="91">
        <v>-21.09</v>
      </c>
    </row>
    <row r="132" spans="1:13" x14ac:dyDescent="0.35">
      <c r="A132">
        <v>1</v>
      </c>
      <c r="B132" s="28">
        <v>43983</v>
      </c>
      <c r="C132" t="s">
        <v>34</v>
      </c>
      <c r="D132" s="91">
        <v>32</v>
      </c>
      <c r="E132" t="s">
        <v>561</v>
      </c>
      <c r="F132" t="s">
        <v>272</v>
      </c>
      <c r="G132" t="s">
        <v>255</v>
      </c>
      <c r="H132" t="s">
        <v>331</v>
      </c>
      <c r="I132" t="s">
        <v>492</v>
      </c>
      <c r="J132" s="91">
        <v>-32</v>
      </c>
      <c r="K132" s="89">
        <v>32</v>
      </c>
      <c r="L132" s="91">
        <v>-32</v>
      </c>
    </row>
    <row r="133" spans="1:13" x14ac:dyDescent="0.35">
      <c r="A133">
        <v>1</v>
      </c>
      <c r="B133" s="28">
        <v>43983</v>
      </c>
      <c r="C133" t="s">
        <v>187</v>
      </c>
      <c r="D133" s="91">
        <v>7.86</v>
      </c>
      <c r="E133" t="s">
        <v>562</v>
      </c>
      <c r="F133" t="s">
        <v>275</v>
      </c>
      <c r="G133" t="s">
        <v>572</v>
      </c>
      <c r="H133" t="s">
        <v>331</v>
      </c>
      <c r="I133" t="s">
        <v>493</v>
      </c>
      <c r="J133" s="91">
        <v>7.86</v>
      </c>
      <c r="K133" s="89">
        <v>7.86</v>
      </c>
      <c r="L133" s="91">
        <v>7.86</v>
      </c>
      <c r="M133" t="s">
        <v>396</v>
      </c>
    </row>
    <row r="134" spans="1:13" x14ac:dyDescent="0.35">
      <c r="A134">
        <v>1</v>
      </c>
      <c r="B134" s="28">
        <v>43983</v>
      </c>
      <c r="C134" t="s">
        <v>187</v>
      </c>
      <c r="D134" s="91">
        <v>8.44</v>
      </c>
      <c r="E134" t="s">
        <v>562</v>
      </c>
      <c r="F134" t="s">
        <v>271</v>
      </c>
      <c r="G134" t="s">
        <v>573</v>
      </c>
      <c r="H134" t="s">
        <v>331</v>
      </c>
      <c r="I134" t="s">
        <v>493</v>
      </c>
      <c r="J134" s="91">
        <v>8.44</v>
      </c>
      <c r="K134" s="89">
        <v>8.44</v>
      </c>
      <c r="L134" s="91">
        <v>8.44</v>
      </c>
    </row>
    <row r="135" spans="1:13" x14ac:dyDescent="0.35">
      <c r="A135">
        <v>1</v>
      </c>
      <c r="B135" s="28">
        <v>43983</v>
      </c>
      <c r="C135" t="s">
        <v>187</v>
      </c>
      <c r="D135" s="91">
        <v>12.8</v>
      </c>
      <c r="E135" t="s">
        <v>562</v>
      </c>
      <c r="F135" t="s">
        <v>272</v>
      </c>
      <c r="G135" t="s">
        <v>255</v>
      </c>
      <c r="H135" t="s">
        <v>331</v>
      </c>
      <c r="I135" t="s">
        <v>493</v>
      </c>
      <c r="J135" s="91">
        <v>12.8</v>
      </c>
      <c r="K135" s="89">
        <v>12.8</v>
      </c>
      <c r="L135" s="91">
        <v>12.8</v>
      </c>
    </row>
    <row r="136" spans="1:13" x14ac:dyDescent="0.35">
      <c r="A136">
        <v>1</v>
      </c>
      <c r="B136" s="28">
        <v>43983</v>
      </c>
      <c r="C136" t="s">
        <v>187</v>
      </c>
      <c r="D136" s="91">
        <v>85.34</v>
      </c>
      <c r="E136" t="s">
        <v>563</v>
      </c>
      <c r="F136" t="s">
        <v>275</v>
      </c>
      <c r="G136" t="s">
        <v>572</v>
      </c>
      <c r="H136" t="s">
        <v>331</v>
      </c>
      <c r="I136" t="s">
        <v>494</v>
      </c>
      <c r="J136" s="91">
        <v>85.34</v>
      </c>
      <c r="K136" s="89">
        <v>85.34</v>
      </c>
      <c r="L136" s="91">
        <v>85.34</v>
      </c>
      <c r="M136" t="s">
        <v>396</v>
      </c>
    </row>
    <row r="137" spans="1:13" x14ac:dyDescent="0.35">
      <c r="A137">
        <v>1</v>
      </c>
      <c r="B137" s="28">
        <v>43983</v>
      </c>
      <c r="C137" t="s">
        <v>187</v>
      </c>
      <c r="D137" s="91">
        <v>91.66</v>
      </c>
      <c r="E137" t="s">
        <v>563</v>
      </c>
      <c r="F137" t="s">
        <v>271</v>
      </c>
      <c r="G137" t="s">
        <v>573</v>
      </c>
      <c r="H137" t="s">
        <v>331</v>
      </c>
      <c r="I137" t="s">
        <v>494</v>
      </c>
      <c r="J137" s="91">
        <v>91.66</v>
      </c>
      <c r="K137" s="89">
        <v>91.66</v>
      </c>
      <c r="L137" s="91">
        <v>91.66</v>
      </c>
    </row>
    <row r="138" spans="1:13" x14ac:dyDescent="0.35">
      <c r="A138">
        <v>1</v>
      </c>
      <c r="B138" s="28">
        <v>43983</v>
      </c>
      <c r="C138" t="s">
        <v>187</v>
      </c>
      <c r="D138" s="91">
        <v>139.07</v>
      </c>
      <c r="E138" t="s">
        <v>563</v>
      </c>
      <c r="F138" t="s">
        <v>272</v>
      </c>
      <c r="G138" t="s">
        <v>255</v>
      </c>
      <c r="H138" t="s">
        <v>331</v>
      </c>
      <c r="I138" t="s">
        <v>494</v>
      </c>
      <c r="J138" s="91">
        <v>139.07</v>
      </c>
      <c r="K138" s="89">
        <v>139.07</v>
      </c>
      <c r="L138" s="91">
        <v>139.07</v>
      </c>
    </row>
    <row r="139" spans="1:13" x14ac:dyDescent="0.35">
      <c r="A139">
        <v>1</v>
      </c>
      <c r="B139" s="28">
        <v>43983</v>
      </c>
      <c r="C139" t="s">
        <v>187</v>
      </c>
      <c r="D139" s="91">
        <v>191.23</v>
      </c>
      <c r="E139" t="s">
        <v>564</v>
      </c>
      <c r="F139" t="s">
        <v>275</v>
      </c>
      <c r="G139" t="s">
        <v>572</v>
      </c>
      <c r="H139" t="s">
        <v>331</v>
      </c>
      <c r="I139" t="s">
        <v>495</v>
      </c>
      <c r="J139" s="91">
        <v>191.23</v>
      </c>
      <c r="K139" s="89">
        <v>191.23</v>
      </c>
      <c r="L139" s="91">
        <v>191.23</v>
      </c>
      <c r="M139" t="s">
        <v>396</v>
      </c>
    </row>
    <row r="140" spans="1:13" x14ac:dyDescent="0.35">
      <c r="A140">
        <v>1</v>
      </c>
      <c r="B140" s="28">
        <v>43983</v>
      </c>
      <c r="C140" t="s">
        <v>187</v>
      </c>
      <c r="D140" s="91">
        <v>205.39</v>
      </c>
      <c r="E140" t="s">
        <v>564</v>
      </c>
      <c r="F140" t="s">
        <v>271</v>
      </c>
      <c r="G140" t="s">
        <v>573</v>
      </c>
      <c r="H140" t="s">
        <v>331</v>
      </c>
      <c r="I140" t="s">
        <v>495</v>
      </c>
      <c r="J140" s="91">
        <v>205.39</v>
      </c>
      <c r="K140" s="89">
        <v>205.39</v>
      </c>
      <c r="L140" s="91">
        <v>205.39</v>
      </c>
    </row>
    <row r="141" spans="1:13" x14ac:dyDescent="0.35">
      <c r="A141">
        <v>1</v>
      </c>
      <c r="B141" s="28">
        <v>43983</v>
      </c>
      <c r="C141" t="s">
        <v>187</v>
      </c>
      <c r="D141" s="91">
        <v>311.63</v>
      </c>
      <c r="E141" t="s">
        <v>564</v>
      </c>
      <c r="F141" t="s">
        <v>272</v>
      </c>
      <c r="G141" t="s">
        <v>255</v>
      </c>
      <c r="H141" t="s">
        <v>331</v>
      </c>
      <c r="I141" t="s">
        <v>495</v>
      </c>
      <c r="J141" s="91">
        <v>311.63</v>
      </c>
      <c r="K141" s="89">
        <v>311.63</v>
      </c>
      <c r="L141" s="91">
        <v>311.63</v>
      </c>
    </row>
    <row r="142" spans="1:13" x14ac:dyDescent="0.35">
      <c r="A142">
        <v>1</v>
      </c>
      <c r="B142" s="28">
        <v>43983</v>
      </c>
      <c r="C142" t="s">
        <v>34</v>
      </c>
      <c r="D142" s="91">
        <v>264.79000000000002</v>
      </c>
      <c r="E142" t="s">
        <v>565</v>
      </c>
      <c r="F142" t="s">
        <v>275</v>
      </c>
      <c r="G142" t="s">
        <v>572</v>
      </c>
      <c r="H142" t="s">
        <v>331</v>
      </c>
      <c r="I142" t="s">
        <v>496</v>
      </c>
      <c r="J142" s="91">
        <v>-264.79000000000002</v>
      </c>
      <c r="K142" s="89">
        <v>264.79000000000002</v>
      </c>
      <c r="L142" s="91">
        <v>-264.79000000000002</v>
      </c>
      <c r="M142" t="s">
        <v>396</v>
      </c>
    </row>
    <row r="143" spans="1:13" x14ac:dyDescent="0.35">
      <c r="A143">
        <v>1</v>
      </c>
      <c r="B143" s="28">
        <v>43983</v>
      </c>
      <c r="C143" t="s">
        <v>34</v>
      </c>
      <c r="D143" s="91">
        <v>284.39999999999998</v>
      </c>
      <c r="E143" t="s">
        <v>565</v>
      </c>
      <c r="F143" t="s">
        <v>271</v>
      </c>
      <c r="G143" t="s">
        <v>573</v>
      </c>
      <c r="H143" t="s">
        <v>331</v>
      </c>
      <c r="I143" t="s">
        <v>496</v>
      </c>
      <c r="J143" s="91">
        <v>-284.39999999999998</v>
      </c>
      <c r="K143" s="89">
        <v>284.39999999999998</v>
      </c>
      <c r="L143" s="91">
        <v>-284.39999999999998</v>
      </c>
    </row>
    <row r="144" spans="1:13" x14ac:dyDescent="0.35">
      <c r="A144">
        <v>1</v>
      </c>
      <c r="B144" s="28">
        <v>43983</v>
      </c>
      <c r="C144" t="s">
        <v>34</v>
      </c>
      <c r="D144" s="91">
        <v>431.51</v>
      </c>
      <c r="E144" t="s">
        <v>565</v>
      </c>
      <c r="F144" t="s">
        <v>272</v>
      </c>
      <c r="G144" t="s">
        <v>255</v>
      </c>
      <c r="H144" t="s">
        <v>331</v>
      </c>
      <c r="I144" t="s">
        <v>496</v>
      </c>
      <c r="J144" s="91">
        <v>-431.51</v>
      </c>
      <c r="K144" s="89">
        <v>431.51</v>
      </c>
      <c r="L144" s="91">
        <v>-431.51</v>
      </c>
    </row>
    <row r="145" spans="1:13" x14ac:dyDescent="0.35">
      <c r="A145">
        <v>1</v>
      </c>
      <c r="B145" s="28">
        <v>43983</v>
      </c>
      <c r="C145" t="s">
        <v>187</v>
      </c>
      <c r="D145" s="91">
        <v>85.34</v>
      </c>
      <c r="E145" t="s">
        <v>564</v>
      </c>
      <c r="F145" t="s">
        <v>275</v>
      </c>
      <c r="G145" t="s">
        <v>572</v>
      </c>
      <c r="H145" t="s">
        <v>331</v>
      </c>
      <c r="I145" t="s">
        <v>497</v>
      </c>
      <c r="J145" s="91">
        <v>85.34</v>
      </c>
      <c r="K145" s="89">
        <v>85.34</v>
      </c>
      <c r="L145" s="91">
        <v>85.34</v>
      </c>
      <c r="M145" t="s">
        <v>396</v>
      </c>
    </row>
    <row r="146" spans="1:13" x14ac:dyDescent="0.35">
      <c r="A146">
        <v>1</v>
      </c>
      <c r="B146" s="28">
        <v>43983</v>
      </c>
      <c r="C146" t="s">
        <v>187</v>
      </c>
      <c r="D146" s="91">
        <v>91.66</v>
      </c>
      <c r="E146" t="s">
        <v>564</v>
      </c>
      <c r="F146" t="s">
        <v>271</v>
      </c>
      <c r="G146" t="s">
        <v>573</v>
      </c>
      <c r="H146" t="s">
        <v>331</v>
      </c>
      <c r="I146" t="s">
        <v>497</v>
      </c>
      <c r="J146" s="91">
        <v>91.66</v>
      </c>
      <c r="K146" s="89">
        <v>91.66</v>
      </c>
      <c r="L146" s="91">
        <v>91.66</v>
      </c>
    </row>
    <row r="147" spans="1:13" x14ac:dyDescent="0.35">
      <c r="A147">
        <v>1</v>
      </c>
      <c r="B147" s="28">
        <v>43983</v>
      </c>
      <c r="C147" t="s">
        <v>187</v>
      </c>
      <c r="D147" s="91">
        <v>139.07</v>
      </c>
      <c r="E147" t="s">
        <v>564</v>
      </c>
      <c r="F147" t="s">
        <v>272</v>
      </c>
      <c r="G147" t="s">
        <v>255</v>
      </c>
      <c r="H147" t="s">
        <v>331</v>
      </c>
      <c r="I147" t="s">
        <v>497</v>
      </c>
      <c r="J147" s="91">
        <v>139.07</v>
      </c>
      <c r="K147" s="89">
        <v>139.07</v>
      </c>
      <c r="L147" s="91">
        <v>139.07</v>
      </c>
    </row>
    <row r="148" spans="1:13" x14ac:dyDescent="0.35">
      <c r="A148">
        <v>1</v>
      </c>
      <c r="B148" s="28">
        <v>43983</v>
      </c>
      <c r="C148" t="s">
        <v>34</v>
      </c>
      <c r="D148" s="91">
        <v>85.34</v>
      </c>
      <c r="E148" t="s">
        <v>563</v>
      </c>
      <c r="F148" t="s">
        <v>275</v>
      </c>
      <c r="G148" t="s">
        <v>572</v>
      </c>
      <c r="H148" t="s">
        <v>331</v>
      </c>
      <c r="I148" t="s">
        <v>498</v>
      </c>
      <c r="J148" s="91">
        <v>-85.34</v>
      </c>
      <c r="K148" s="89">
        <v>85.34</v>
      </c>
      <c r="L148" s="91">
        <v>-85.34</v>
      </c>
      <c r="M148" t="s">
        <v>396</v>
      </c>
    </row>
    <row r="149" spans="1:13" x14ac:dyDescent="0.35">
      <c r="A149">
        <v>1</v>
      </c>
      <c r="B149" s="28">
        <v>43983</v>
      </c>
      <c r="C149" t="s">
        <v>34</v>
      </c>
      <c r="D149" s="91">
        <v>91.66</v>
      </c>
      <c r="E149" t="s">
        <v>563</v>
      </c>
      <c r="F149" t="s">
        <v>271</v>
      </c>
      <c r="G149" t="s">
        <v>573</v>
      </c>
      <c r="H149" t="s">
        <v>331</v>
      </c>
      <c r="I149" t="s">
        <v>498</v>
      </c>
      <c r="J149" s="91">
        <v>-91.66</v>
      </c>
      <c r="K149" s="89">
        <v>91.66</v>
      </c>
      <c r="L149" s="91">
        <v>-91.66</v>
      </c>
    </row>
    <row r="150" spans="1:13" x14ac:dyDescent="0.35">
      <c r="A150">
        <v>1</v>
      </c>
      <c r="B150" s="28">
        <v>43983</v>
      </c>
      <c r="C150" t="s">
        <v>34</v>
      </c>
      <c r="D150" s="91">
        <v>139.07</v>
      </c>
      <c r="E150" t="s">
        <v>563</v>
      </c>
      <c r="F150" t="s">
        <v>272</v>
      </c>
      <c r="G150" t="s">
        <v>255</v>
      </c>
      <c r="H150" t="s">
        <v>331</v>
      </c>
      <c r="I150" t="s">
        <v>498</v>
      </c>
      <c r="J150" s="91">
        <v>-139.07</v>
      </c>
      <c r="K150" s="89">
        <v>139.07</v>
      </c>
      <c r="L150" s="91">
        <v>-139.07</v>
      </c>
    </row>
    <row r="151" spans="1:13" x14ac:dyDescent="0.35">
      <c r="A151">
        <v>1</v>
      </c>
      <c r="B151" s="28">
        <v>43983</v>
      </c>
      <c r="C151" t="s">
        <v>34</v>
      </c>
      <c r="D151" s="91">
        <v>89.57</v>
      </c>
      <c r="E151" t="s">
        <v>561</v>
      </c>
      <c r="F151" t="s">
        <v>270</v>
      </c>
      <c r="G151" t="s">
        <v>567</v>
      </c>
      <c r="H151" t="s">
        <v>314</v>
      </c>
      <c r="I151" t="s">
        <v>499</v>
      </c>
      <c r="J151" s="91">
        <v>-89.57</v>
      </c>
      <c r="K151" s="89">
        <v>89.57</v>
      </c>
      <c r="L151" s="91">
        <v>-89.57</v>
      </c>
      <c r="M151" t="s">
        <v>396</v>
      </c>
    </row>
    <row r="152" spans="1:13" x14ac:dyDescent="0.35">
      <c r="A152">
        <v>1</v>
      </c>
      <c r="B152" s="28">
        <v>43983</v>
      </c>
      <c r="C152" t="s">
        <v>187</v>
      </c>
      <c r="D152" s="91">
        <v>198.41</v>
      </c>
      <c r="E152" t="s">
        <v>563</v>
      </c>
      <c r="F152" t="s">
        <v>270</v>
      </c>
      <c r="G152" t="s">
        <v>567</v>
      </c>
      <c r="H152" t="s">
        <v>314</v>
      </c>
      <c r="I152" t="s">
        <v>500</v>
      </c>
      <c r="J152" s="91">
        <v>198.41</v>
      </c>
      <c r="K152" s="89">
        <v>198.41</v>
      </c>
      <c r="L152" s="91">
        <v>198.41</v>
      </c>
      <c r="M152" t="s">
        <v>396</v>
      </c>
    </row>
    <row r="153" spans="1:13" x14ac:dyDescent="0.35">
      <c r="A153">
        <v>1</v>
      </c>
      <c r="B153" s="28">
        <v>43983</v>
      </c>
      <c r="C153" t="s">
        <v>187</v>
      </c>
      <c r="D153" s="91">
        <v>748.36</v>
      </c>
      <c r="E153" t="s">
        <v>564</v>
      </c>
      <c r="F153" t="s">
        <v>270</v>
      </c>
      <c r="G153" t="s">
        <v>567</v>
      </c>
      <c r="H153" t="s">
        <v>314</v>
      </c>
      <c r="I153" t="s">
        <v>501</v>
      </c>
      <c r="J153" s="91">
        <v>748.36</v>
      </c>
      <c r="K153" s="89">
        <v>748.36</v>
      </c>
      <c r="L153" s="91">
        <v>748.36</v>
      </c>
      <c r="M153" t="s">
        <v>396</v>
      </c>
    </row>
    <row r="154" spans="1:13" x14ac:dyDescent="0.35">
      <c r="A154">
        <v>1</v>
      </c>
      <c r="B154" s="28">
        <v>43983</v>
      </c>
      <c r="C154" t="s">
        <v>34</v>
      </c>
      <c r="D154" s="91">
        <v>857.2</v>
      </c>
      <c r="E154" t="s">
        <v>565</v>
      </c>
      <c r="F154" t="s">
        <v>270</v>
      </c>
      <c r="G154" t="s">
        <v>567</v>
      </c>
      <c r="H154" t="s">
        <v>314</v>
      </c>
      <c r="I154" t="s">
        <v>502</v>
      </c>
      <c r="J154" s="91">
        <v>-857.2</v>
      </c>
      <c r="K154" s="89">
        <v>857.2</v>
      </c>
      <c r="L154" s="91">
        <v>-857.2</v>
      </c>
      <c r="M154" t="s">
        <v>396</v>
      </c>
    </row>
    <row r="155" spans="1:13" x14ac:dyDescent="0.35">
      <c r="A155">
        <v>1</v>
      </c>
      <c r="B155" s="28">
        <v>43983</v>
      </c>
      <c r="C155" t="s">
        <v>187</v>
      </c>
      <c r="D155" s="91">
        <v>198.41</v>
      </c>
      <c r="E155" t="s">
        <v>564</v>
      </c>
      <c r="F155" t="s">
        <v>270</v>
      </c>
      <c r="G155" t="s">
        <v>567</v>
      </c>
      <c r="H155" t="s">
        <v>314</v>
      </c>
      <c r="I155" t="s">
        <v>503</v>
      </c>
      <c r="J155" s="91">
        <v>198.41</v>
      </c>
      <c r="K155" s="89">
        <v>198.41</v>
      </c>
      <c r="L155" s="91">
        <v>198.41</v>
      </c>
      <c r="M155" t="s">
        <v>396</v>
      </c>
    </row>
    <row r="156" spans="1:13" x14ac:dyDescent="0.35">
      <c r="A156">
        <v>1</v>
      </c>
      <c r="B156" s="28">
        <v>43983</v>
      </c>
      <c r="C156" t="s">
        <v>34</v>
      </c>
      <c r="D156" s="91">
        <v>198.41</v>
      </c>
      <c r="E156" t="s">
        <v>563</v>
      </c>
      <c r="F156" t="s">
        <v>270</v>
      </c>
      <c r="G156" t="s">
        <v>567</v>
      </c>
      <c r="H156" t="s">
        <v>314</v>
      </c>
      <c r="I156" t="s">
        <v>504</v>
      </c>
      <c r="J156" s="91">
        <v>-198.41</v>
      </c>
      <c r="K156" s="89">
        <v>198.41</v>
      </c>
      <c r="L156" s="91">
        <v>-198.41</v>
      </c>
      <c r="M156" t="s">
        <v>396</v>
      </c>
    </row>
    <row r="157" spans="1:13" x14ac:dyDescent="0.35">
      <c r="A157">
        <v>1</v>
      </c>
      <c r="B157" s="28">
        <v>43983</v>
      </c>
      <c r="C157" t="s">
        <v>34</v>
      </c>
      <c r="D157" s="91">
        <v>150.71</v>
      </c>
      <c r="E157" t="s">
        <v>561</v>
      </c>
      <c r="F157" t="s">
        <v>272</v>
      </c>
      <c r="G157" t="s">
        <v>255</v>
      </c>
      <c r="H157" t="s">
        <v>328</v>
      </c>
      <c r="I157" t="s">
        <v>505</v>
      </c>
      <c r="J157" s="91">
        <v>-150.71</v>
      </c>
      <c r="K157" s="89">
        <v>150.71</v>
      </c>
      <c r="L157" s="91">
        <v>-150.71</v>
      </c>
      <c r="M157" t="s">
        <v>396</v>
      </c>
    </row>
    <row r="158" spans="1:13" x14ac:dyDescent="0.35">
      <c r="A158">
        <v>1</v>
      </c>
      <c r="B158" s="28">
        <v>43983</v>
      </c>
      <c r="C158" t="s">
        <v>187</v>
      </c>
      <c r="D158" s="91">
        <v>403.91</v>
      </c>
      <c r="E158" t="s">
        <v>563</v>
      </c>
      <c r="F158" t="s">
        <v>272</v>
      </c>
      <c r="G158" t="s">
        <v>255</v>
      </c>
      <c r="H158" t="s">
        <v>328</v>
      </c>
      <c r="I158" t="s">
        <v>506</v>
      </c>
      <c r="J158" s="91">
        <v>403.91</v>
      </c>
      <c r="K158" s="89">
        <v>403.91</v>
      </c>
      <c r="L158" s="91">
        <v>403.91</v>
      </c>
      <c r="M158" t="s">
        <v>396</v>
      </c>
    </row>
    <row r="159" spans="1:13" x14ac:dyDescent="0.35">
      <c r="A159">
        <v>1</v>
      </c>
      <c r="B159" s="28">
        <v>43983</v>
      </c>
      <c r="C159" t="s">
        <v>187</v>
      </c>
      <c r="D159" s="91">
        <v>1189.1099999999999</v>
      </c>
      <c r="E159" t="s">
        <v>564</v>
      </c>
      <c r="F159" t="s">
        <v>272</v>
      </c>
      <c r="G159" t="s">
        <v>255</v>
      </c>
      <c r="H159" t="s">
        <v>328</v>
      </c>
      <c r="I159" t="s">
        <v>507</v>
      </c>
      <c r="J159" s="91">
        <v>1189.1099999999999</v>
      </c>
      <c r="K159" s="89">
        <v>1189.1099999999999</v>
      </c>
      <c r="L159" s="91">
        <v>1189.1099999999999</v>
      </c>
      <c r="M159" t="s">
        <v>396</v>
      </c>
    </row>
    <row r="160" spans="1:13" x14ac:dyDescent="0.35">
      <c r="A160">
        <v>1</v>
      </c>
      <c r="B160" s="28">
        <v>43983</v>
      </c>
      <c r="C160" t="s">
        <v>34</v>
      </c>
      <c r="D160" s="91">
        <v>1442.31</v>
      </c>
      <c r="E160" t="s">
        <v>565</v>
      </c>
      <c r="F160" t="s">
        <v>272</v>
      </c>
      <c r="G160" t="s">
        <v>255</v>
      </c>
      <c r="H160" t="s">
        <v>328</v>
      </c>
      <c r="I160" t="s">
        <v>508</v>
      </c>
      <c r="J160" s="91">
        <v>-1442.31</v>
      </c>
      <c r="K160" s="89">
        <v>1442.31</v>
      </c>
      <c r="L160" s="91">
        <v>-1442.31</v>
      </c>
      <c r="M160" t="s">
        <v>396</v>
      </c>
    </row>
    <row r="161" spans="1:13" x14ac:dyDescent="0.35">
      <c r="A161">
        <v>1</v>
      </c>
      <c r="B161" s="28">
        <v>43983</v>
      </c>
      <c r="C161" t="s">
        <v>187</v>
      </c>
      <c r="D161" s="91">
        <v>403.91</v>
      </c>
      <c r="E161" t="s">
        <v>564</v>
      </c>
      <c r="F161" t="s">
        <v>272</v>
      </c>
      <c r="G161" t="s">
        <v>255</v>
      </c>
      <c r="H161" t="s">
        <v>328</v>
      </c>
      <c r="I161" t="s">
        <v>509</v>
      </c>
      <c r="J161" s="91">
        <v>403.91</v>
      </c>
      <c r="K161" s="89">
        <v>403.91</v>
      </c>
      <c r="L161" s="91">
        <v>403.91</v>
      </c>
      <c r="M161" t="s">
        <v>396</v>
      </c>
    </row>
    <row r="162" spans="1:13" x14ac:dyDescent="0.35">
      <c r="A162">
        <v>1</v>
      </c>
      <c r="B162" s="28">
        <v>43983</v>
      </c>
      <c r="C162" t="s">
        <v>34</v>
      </c>
      <c r="D162" s="91">
        <v>403.91</v>
      </c>
      <c r="E162" t="s">
        <v>563</v>
      </c>
      <c r="F162" t="s">
        <v>272</v>
      </c>
      <c r="G162" t="s">
        <v>255</v>
      </c>
      <c r="H162" t="s">
        <v>328</v>
      </c>
      <c r="I162" t="s">
        <v>510</v>
      </c>
      <c r="J162" s="91">
        <v>-403.91</v>
      </c>
      <c r="K162" s="89">
        <v>403.91</v>
      </c>
      <c r="L162" s="91">
        <v>-403.91</v>
      </c>
      <c r="M162" t="s">
        <v>396</v>
      </c>
    </row>
    <row r="163" spans="1:13" x14ac:dyDescent="0.35">
      <c r="A163">
        <v>1</v>
      </c>
      <c r="B163" s="28">
        <v>43983</v>
      </c>
      <c r="C163" t="s">
        <v>34</v>
      </c>
      <c r="D163" s="91">
        <v>45.81</v>
      </c>
      <c r="E163" t="s">
        <v>561</v>
      </c>
      <c r="F163" t="s">
        <v>275</v>
      </c>
      <c r="G163" t="s">
        <v>572</v>
      </c>
      <c r="H163" t="s">
        <v>331</v>
      </c>
      <c r="I163" t="s">
        <v>511</v>
      </c>
      <c r="J163" s="91">
        <v>-45.81</v>
      </c>
      <c r="K163" s="89">
        <v>45.81</v>
      </c>
      <c r="L163" s="91">
        <v>-45.81</v>
      </c>
      <c r="M163" t="s">
        <v>396</v>
      </c>
    </row>
    <row r="164" spans="1:13" x14ac:dyDescent="0.35">
      <c r="A164">
        <v>1</v>
      </c>
      <c r="B164" s="28">
        <v>43983</v>
      </c>
      <c r="C164" t="s">
        <v>34</v>
      </c>
      <c r="D164" s="91">
        <v>49.2</v>
      </c>
      <c r="E164" t="s">
        <v>561</v>
      </c>
      <c r="F164" t="s">
        <v>271</v>
      </c>
      <c r="G164" t="s">
        <v>573</v>
      </c>
      <c r="H164" t="s">
        <v>331</v>
      </c>
      <c r="I164" t="s">
        <v>511</v>
      </c>
      <c r="J164" s="91">
        <v>-49.2</v>
      </c>
      <c r="K164" s="89">
        <v>49.2</v>
      </c>
      <c r="L164" s="91">
        <v>-49.2</v>
      </c>
    </row>
    <row r="165" spans="1:13" x14ac:dyDescent="0.35">
      <c r="A165">
        <v>1</v>
      </c>
      <c r="B165" s="28">
        <v>43983</v>
      </c>
      <c r="C165" t="s">
        <v>34</v>
      </c>
      <c r="D165" s="91">
        <v>74.66</v>
      </c>
      <c r="E165" t="s">
        <v>561</v>
      </c>
      <c r="F165" t="s">
        <v>272</v>
      </c>
      <c r="G165" t="s">
        <v>255</v>
      </c>
      <c r="H165" t="s">
        <v>331</v>
      </c>
      <c r="I165" t="s">
        <v>511</v>
      </c>
      <c r="J165" s="91">
        <v>-74.66</v>
      </c>
      <c r="K165" s="89">
        <v>74.66</v>
      </c>
      <c r="L165" s="91">
        <v>-74.66</v>
      </c>
    </row>
    <row r="166" spans="1:13" x14ac:dyDescent="0.35">
      <c r="A166">
        <v>1</v>
      </c>
      <c r="B166" s="28">
        <v>43983</v>
      </c>
      <c r="C166" t="s">
        <v>187</v>
      </c>
      <c r="D166" s="91">
        <v>18.34</v>
      </c>
      <c r="E166" t="s">
        <v>562</v>
      </c>
      <c r="F166" t="s">
        <v>275</v>
      </c>
      <c r="G166" t="s">
        <v>572</v>
      </c>
      <c r="H166" t="s">
        <v>331</v>
      </c>
      <c r="I166" t="s">
        <v>512</v>
      </c>
      <c r="J166" s="91">
        <v>18.34</v>
      </c>
      <c r="K166" s="89">
        <v>18.34</v>
      </c>
      <c r="L166" s="91">
        <v>18.34</v>
      </c>
      <c r="M166" t="s">
        <v>396</v>
      </c>
    </row>
    <row r="167" spans="1:13" x14ac:dyDescent="0.35">
      <c r="A167">
        <v>1</v>
      </c>
      <c r="B167" s="28">
        <v>43983</v>
      </c>
      <c r="C167" t="s">
        <v>187</v>
      </c>
      <c r="D167" s="91">
        <v>19.690000000000001</v>
      </c>
      <c r="E167" t="s">
        <v>562</v>
      </c>
      <c r="F167" t="s">
        <v>271</v>
      </c>
      <c r="G167" t="s">
        <v>573</v>
      </c>
      <c r="H167" t="s">
        <v>331</v>
      </c>
      <c r="I167" t="s">
        <v>512</v>
      </c>
      <c r="J167" s="91">
        <v>19.690000000000001</v>
      </c>
      <c r="K167" s="89">
        <v>19.690000000000001</v>
      </c>
      <c r="L167" s="91">
        <v>19.690000000000001</v>
      </c>
    </row>
    <row r="168" spans="1:13" x14ac:dyDescent="0.35">
      <c r="A168">
        <v>1</v>
      </c>
      <c r="B168" s="28">
        <v>43983</v>
      </c>
      <c r="C168" t="s">
        <v>187</v>
      </c>
      <c r="D168" s="91">
        <v>29.88</v>
      </c>
      <c r="E168" t="s">
        <v>562</v>
      </c>
      <c r="F168" t="s">
        <v>272</v>
      </c>
      <c r="G168" t="s">
        <v>255</v>
      </c>
      <c r="H168" t="s">
        <v>331</v>
      </c>
      <c r="I168" t="s">
        <v>512</v>
      </c>
      <c r="J168" s="91">
        <v>29.88</v>
      </c>
      <c r="K168" s="89">
        <v>29.88</v>
      </c>
      <c r="L168" s="91">
        <v>29.88</v>
      </c>
    </row>
    <row r="169" spans="1:13" x14ac:dyDescent="0.35">
      <c r="A169">
        <v>1</v>
      </c>
      <c r="B169" s="28">
        <v>43983</v>
      </c>
      <c r="C169" t="s">
        <v>187</v>
      </c>
      <c r="D169" s="91">
        <v>199.12</v>
      </c>
      <c r="E169" t="s">
        <v>563</v>
      </c>
      <c r="F169" t="s">
        <v>275</v>
      </c>
      <c r="G169" t="s">
        <v>572</v>
      </c>
      <c r="H169" t="s">
        <v>331</v>
      </c>
      <c r="I169" t="s">
        <v>513</v>
      </c>
      <c r="J169" s="91">
        <v>199.12</v>
      </c>
      <c r="K169" s="89">
        <v>199.12</v>
      </c>
      <c r="L169" s="91">
        <v>199.12</v>
      </c>
      <c r="M169" t="s">
        <v>396</v>
      </c>
    </row>
    <row r="170" spans="1:13" x14ac:dyDescent="0.35">
      <c r="A170">
        <v>1</v>
      </c>
      <c r="B170" s="28">
        <v>43983</v>
      </c>
      <c r="C170" t="s">
        <v>187</v>
      </c>
      <c r="D170" s="91">
        <v>213.87</v>
      </c>
      <c r="E170" t="s">
        <v>563</v>
      </c>
      <c r="F170" t="s">
        <v>271</v>
      </c>
      <c r="G170" t="s">
        <v>573</v>
      </c>
      <c r="H170" t="s">
        <v>331</v>
      </c>
      <c r="I170" t="s">
        <v>513</v>
      </c>
      <c r="J170" s="91">
        <v>213.87</v>
      </c>
      <c r="K170" s="89">
        <v>213.87</v>
      </c>
      <c r="L170" s="91">
        <v>213.87</v>
      </c>
    </row>
    <row r="171" spans="1:13" x14ac:dyDescent="0.35">
      <c r="A171">
        <v>1</v>
      </c>
      <c r="B171" s="28">
        <v>43983</v>
      </c>
      <c r="C171" t="s">
        <v>187</v>
      </c>
      <c r="D171" s="91">
        <v>324.48</v>
      </c>
      <c r="E171" t="s">
        <v>563</v>
      </c>
      <c r="F171" t="s">
        <v>272</v>
      </c>
      <c r="G171" t="s">
        <v>255</v>
      </c>
      <c r="H171" t="s">
        <v>331</v>
      </c>
      <c r="I171" t="s">
        <v>513</v>
      </c>
      <c r="J171" s="91">
        <v>324.48</v>
      </c>
      <c r="K171" s="89">
        <v>324.48</v>
      </c>
      <c r="L171" s="91">
        <v>324.48</v>
      </c>
    </row>
    <row r="172" spans="1:13" x14ac:dyDescent="0.35">
      <c r="A172">
        <v>1</v>
      </c>
      <c r="B172" s="28">
        <v>43983</v>
      </c>
      <c r="C172" t="s">
        <v>187</v>
      </c>
      <c r="D172" s="91">
        <v>446.2</v>
      </c>
      <c r="E172" t="s">
        <v>564</v>
      </c>
      <c r="F172" t="s">
        <v>275</v>
      </c>
      <c r="G172" t="s">
        <v>572</v>
      </c>
      <c r="H172" t="s">
        <v>331</v>
      </c>
      <c r="I172" t="s">
        <v>514</v>
      </c>
      <c r="J172" s="91">
        <v>446.2</v>
      </c>
      <c r="K172" s="89">
        <v>446.2</v>
      </c>
      <c r="L172" s="91">
        <v>446.2</v>
      </c>
      <c r="M172" t="s">
        <v>396</v>
      </c>
    </row>
    <row r="173" spans="1:13" x14ac:dyDescent="0.35">
      <c r="A173">
        <v>1</v>
      </c>
      <c r="B173" s="28">
        <v>43983</v>
      </c>
      <c r="C173" t="s">
        <v>187</v>
      </c>
      <c r="D173" s="91">
        <v>479.25</v>
      </c>
      <c r="E173" t="s">
        <v>564</v>
      </c>
      <c r="F173" t="s">
        <v>271</v>
      </c>
      <c r="G173" t="s">
        <v>573</v>
      </c>
      <c r="H173" t="s">
        <v>331</v>
      </c>
      <c r="I173" t="s">
        <v>514</v>
      </c>
      <c r="J173" s="91">
        <v>479.25</v>
      </c>
      <c r="K173" s="89">
        <v>479.25</v>
      </c>
      <c r="L173" s="91">
        <v>479.25</v>
      </c>
    </row>
    <row r="174" spans="1:13" x14ac:dyDescent="0.35">
      <c r="A174">
        <v>1</v>
      </c>
      <c r="B174" s="28">
        <v>43983</v>
      </c>
      <c r="C174" t="s">
        <v>187</v>
      </c>
      <c r="D174" s="91">
        <v>727.14</v>
      </c>
      <c r="E174" t="s">
        <v>564</v>
      </c>
      <c r="F174" t="s">
        <v>272</v>
      </c>
      <c r="G174" t="s">
        <v>255</v>
      </c>
      <c r="H174" t="s">
        <v>331</v>
      </c>
      <c r="I174" t="s">
        <v>514</v>
      </c>
      <c r="J174" s="91">
        <v>727.14</v>
      </c>
      <c r="K174" s="89">
        <v>727.14</v>
      </c>
      <c r="L174" s="91">
        <v>727.14</v>
      </c>
    </row>
    <row r="175" spans="1:13" x14ac:dyDescent="0.35">
      <c r="A175">
        <v>1</v>
      </c>
      <c r="B175" s="28">
        <v>43983</v>
      </c>
      <c r="C175" t="s">
        <v>34</v>
      </c>
      <c r="D175" s="91">
        <v>617.84</v>
      </c>
      <c r="E175" t="s">
        <v>565</v>
      </c>
      <c r="F175" t="s">
        <v>275</v>
      </c>
      <c r="G175" t="s">
        <v>572</v>
      </c>
      <c r="H175" t="s">
        <v>331</v>
      </c>
      <c r="I175" t="s">
        <v>515</v>
      </c>
      <c r="J175" s="91">
        <v>-617.84</v>
      </c>
      <c r="K175" s="89">
        <v>617.84</v>
      </c>
      <c r="L175" s="91">
        <v>-617.84</v>
      </c>
      <c r="M175" t="s">
        <v>396</v>
      </c>
    </row>
    <row r="176" spans="1:13" x14ac:dyDescent="0.35">
      <c r="A176">
        <v>1</v>
      </c>
      <c r="B176" s="28">
        <v>43983</v>
      </c>
      <c r="C176" t="s">
        <v>34</v>
      </c>
      <c r="D176" s="91">
        <v>663.61</v>
      </c>
      <c r="E176" t="s">
        <v>565</v>
      </c>
      <c r="F176" t="s">
        <v>271</v>
      </c>
      <c r="G176" t="s">
        <v>573</v>
      </c>
      <c r="H176" t="s">
        <v>331</v>
      </c>
      <c r="I176" t="s">
        <v>515</v>
      </c>
      <c r="J176" s="91">
        <v>-663.61</v>
      </c>
      <c r="K176" s="89">
        <v>663.61</v>
      </c>
      <c r="L176" s="91">
        <v>-663.61</v>
      </c>
    </row>
    <row r="177" spans="1:13" x14ac:dyDescent="0.35">
      <c r="A177">
        <v>1</v>
      </c>
      <c r="B177" s="28">
        <v>43983</v>
      </c>
      <c r="C177" t="s">
        <v>34</v>
      </c>
      <c r="D177" s="91">
        <v>1006.85</v>
      </c>
      <c r="E177" t="s">
        <v>565</v>
      </c>
      <c r="F177" t="s">
        <v>272</v>
      </c>
      <c r="G177" t="s">
        <v>255</v>
      </c>
      <c r="H177" t="s">
        <v>331</v>
      </c>
      <c r="I177" t="s">
        <v>515</v>
      </c>
      <c r="J177" s="91">
        <v>-1006.85</v>
      </c>
      <c r="K177" s="89">
        <v>1006.85</v>
      </c>
      <c r="L177" s="91">
        <v>-1006.85</v>
      </c>
    </row>
    <row r="178" spans="1:13" x14ac:dyDescent="0.35">
      <c r="A178">
        <v>1</v>
      </c>
      <c r="B178" s="28">
        <v>43983</v>
      </c>
      <c r="C178" t="s">
        <v>187</v>
      </c>
      <c r="D178" s="91">
        <v>199.12</v>
      </c>
      <c r="E178" t="s">
        <v>564</v>
      </c>
      <c r="F178" t="s">
        <v>275</v>
      </c>
      <c r="G178" t="s">
        <v>572</v>
      </c>
      <c r="H178" t="s">
        <v>331</v>
      </c>
      <c r="I178" t="s">
        <v>516</v>
      </c>
      <c r="J178" s="91">
        <v>199.12</v>
      </c>
      <c r="K178" s="89">
        <v>199.12</v>
      </c>
      <c r="L178" s="91">
        <v>199.12</v>
      </c>
      <c r="M178" t="s">
        <v>396</v>
      </c>
    </row>
    <row r="179" spans="1:13" x14ac:dyDescent="0.35">
      <c r="A179">
        <v>1</v>
      </c>
      <c r="B179" s="28">
        <v>43983</v>
      </c>
      <c r="C179" t="s">
        <v>187</v>
      </c>
      <c r="D179" s="91">
        <v>213.87</v>
      </c>
      <c r="E179" t="s">
        <v>564</v>
      </c>
      <c r="F179" t="s">
        <v>271</v>
      </c>
      <c r="G179" t="s">
        <v>573</v>
      </c>
      <c r="H179" t="s">
        <v>331</v>
      </c>
      <c r="I179" t="s">
        <v>516</v>
      </c>
      <c r="J179" s="91">
        <v>213.87</v>
      </c>
      <c r="K179" s="89">
        <v>213.87</v>
      </c>
      <c r="L179" s="91">
        <v>213.87</v>
      </c>
    </row>
    <row r="180" spans="1:13" x14ac:dyDescent="0.35">
      <c r="A180">
        <v>1</v>
      </c>
      <c r="B180" s="28">
        <v>43983</v>
      </c>
      <c r="C180" t="s">
        <v>187</v>
      </c>
      <c r="D180" s="91">
        <v>324.48</v>
      </c>
      <c r="E180" t="s">
        <v>564</v>
      </c>
      <c r="F180" t="s">
        <v>272</v>
      </c>
      <c r="G180" t="s">
        <v>255</v>
      </c>
      <c r="H180" t="s">
        <v>331</v>
      </c>
      <c r="I180" t="s">
        <v>516</v>
      </c>
      <c r="J180" s="91">
        <v>324.48</v>
      </c>
      <c r="K180" s="89">
        <v>324.48</v>
      </c>
      <c r="L180" s="91">
        <v>324.48</v>
      </c>
    </row>
    <row r="181" spans="1:13" x14ac:dyDescent="0.35">
      <c r="A181">
        <v>1</v>
      </c>
      <c r="B181" s="28">
        <v>43983</v>
      </c>
      <c r="C181" t="s">
        <v>34</v>
      </c>
      <c r="D181" s="91">
        <v>199.12</v>
      </c>
      <c r="E181" t="s">
        <v>563</v>
      </c>
      <c r="F181" t="s">
        <v>275</v>
      </c>
      <c r="G181" t="s">
        <v>572</v>
      </c>
      <c r="H181" t="s">
        <v>331</v>
      </c>
      <c r="I181" t="s">
        <v>517</v>
      </c>
      <c r="J181" s="91">
        <v>-199.12</v>
      </c>
      <c r="K181" s="89">
        <v>199.12</v>
      </c>
      <c r="L181" s="91">
        <v>-199.12</v>
      </c>
      <c r="M181" t="s">
        <v>396</v>
      </c>
    </row>
    <row r="182" spans="1:13" x14ac:dyDescent="0.35">
      <c r="A182">
        <v>1</v>
      </c>
      <c r="B182" s="28">
        <v>43983</v>
      </c>
      <c r="C182" t="s">
        <v>34</v>
      </c>
      <c r="D182" s="91">
        <v>213.87</v>
      </c>
      <c r="E182" t="s">
        <v>563</v>
      </c>
      <c r="F182" t="s">
        <v>271</v>
      </c>
      <c r="G182" t="s">
        <v>573</v>
      </c>
      <c r="H182" t="s">
        <v>331</v>
      </c>
      <c r="I182" t="s">
        <v>517</v>
      </c>
      <c r="J182" s="91">
        <v>-213.87</v>
      </c>
      <c r="K182" s="89">
        <v>213.87</v>
      </c>
      <c r="L182" s="91">
        <v>-213.87</v>
      </c>
    </row>
    <row r="183" spans="1:13" x14ac:dyDescent="0.35">
      <c r="A183">
        <v>1</v>
      </c>
      <c r="B183" s="28">
        <v>43983</v>
      </c>
      <c r="C183" t="s">
        <v>34</v>
      </c>
      <c r="D183" s="91">
        <v>324.48</v>
      </c>
      <c r="E183" t="s">
        <v>563</v>
      </c>
      <c r="F183" t="s">
        <v>272</v>
      </c>
      <c r="G183" t="s">
        <v>255</v>
      </c>
      <c r="H183" t="s">
        <v>331</v>
      </c>
      <c r="I183" t="s">
        <v>517</v>
      </c>
      <c r="J183" s="91">
        <v>-324.48</v>
      </c>
      <c r="K183" s="89">
        <v>324.48</v>
      </c>
      <c r="L183" s="91">
        <v>-324.48</v>
      </c>
    </row>
    <row r="184" spans="1:13" x14ac:dyDescent="0.35">
      <c r="A184">
        <v>1</v>
      </c>
      <c r="B184" s="28">
        <v>43983</v>
      </c>
      <c r="C184" t="s">
        <v>34</v>
      </c>
      <c r="D184" s="91">
        <v>112.68</v>
      </c>
      <c r="E184" t="s">
        <v>561</v>
      </c>
      <c r="F184" t="s">
        <v>260</v>
      </c>
      <c r="G184" t="s">
        <v>566</v>
      </c>
      <c r="H184" t="s">
        <v>313</v>
      </c>
      <c r="I184" t="s">
        <v>518</v>
      </c>
      <c r="J184" s="91">
        <v>-112.68</v>
      </c>
      <c r="K184" s="89">
        <v>112.68</v>
      </c>
      <c r="L184" s="91">
        <v>-112.68</v>
      </c>
      <c r="M184" t="s">
        <v>396</v>
      </c>
    </row>
    <row r="185" spans="1:13" x14ac:dyDescent="0.35">
      <c r="A185">
        <v>1</v>
      </c>
      <c r="B185" s="28">
        <v>43983</v>
      </c>
      <c r="C185" t="s">
        <v>187</v>
      </c>
      <c r="D185" s="91">
        <v>103.26</v>
      </c>
      <c r="E185" t="s">
        <v>562</v>
      </c>
      <c r="F185" t="s">
        <v>260</v>
      </c>
      <c r="G185" t="s">
        <v>566</v>
      </c>
      <c r="H185" t="s">
        <v>313</v>
      </c>
      <c r="I185" t="s">
        <v>519</v>
      </c>
      <c r="J185" s="91">
        <v>103.26</v>
      </c>
      <c r="K185" s="89">
        <v>103.26</v>
      </c>
      <c r="L185" s="91">
        <v>103.26</v>
      </c>
      <c r="M185" t="s">
        <v>396</v>
      </c>
    </row>
    <row r="186" spans="1:13" x14ac:dyDescent="0.35">
      <c r="A186">
        <v>1</v>
      </c>
      <c r="B186" s="28">
        <v>43983</v>
      </c>
      <c r="C186" t="s">
        <v>187</v>
      </c>
      <c r="D186" s="91">
        <v>320.99</v>
      </c>
      <c r="E186" t="s">
        <v>563</v>
      </c>
      <c r="F186" t="s">
        <v>260</v>
      </c>
      <c r="G186" t="s">
        <v>566</v>
      </c>
      <c r="H186" t="s">
        <v>313</v>
      </c>
      <c r="I186" t="s">
        <v>520</v>
      </c>
      <c r="J186" s="91">
        <v>320.99</v>
      </c>
      <c r="K186" s="89">
        <v>320.99</v>
      </c>
      <c r="L186" s="91">
        <v>320.99</v>
      </c>
      <c r="M186" t="s">
        <v>396</v>
      </c>
    </row>
    <row r="187" spans="1:13" x14ac:dyDescent="0.35">
      <c r="A187">
        <v>1</v>
      </c>
      <c r="B187" s="28">
        <v>43983</v>
      </c>
      <c r="C187" t="s">
        <v>187</v>
      </c>
      <c r="D187" s="91">
        <v>842.28</v>
      </c>
      <c r="E187" t="s">
        <v>564</v>
      </c>
      <c r="F187" t="s">
        <v>260</v>
      </c>
      <c r="G187" t="s">
        <v>566</v>
      </c>
      <c r="H187" t="s">
        <v>313</v>
      </c>
      <c r="I187" t="s">
        <v>521</v>
      </c>
      <c r="J187" s="91">
        <v>842.28</v>
      </c>
      <c r="K187" s="89">
        <v>842.28</v>
      </c>
      <c r="L187" s="91">
        <v>842.28</v>
      </c>
      <c r="M187" t="s">
        <v>396</v>
      </c>
    </row>
    <row r="188" spans="1:13" x14ac:dyDescent="0.35">
      <c r="A188">
        <v>1</v>
      </c>
      <c r="B188" s="28">
        <v>43983</v>
      </c>
      <c r="C188" t="s">
        <v>34</v>
      </c>
      <c r="D188" s="91">
        <v>1153.8499999999999</v>
      </c>
      <c r="E188" t="s">
        <v>565</v>
      </c>
      <c r="F188" t="s">
        <v>260</v>
      </c>
      <c r="G188" t="s">
        <v>566</v>
      </c>
      <c r="H188" t="s">
        <v>313</v>
      </c>
      <c r="I188" t="s">
        <v>522</v>
      </c>
      <c r="J188" s="91">
        <v>-1153.8499999999999</v>
      </c>
      <c r="K188" s="89">
        <v>1153.8499999999999</v>
      </c>
      <c r="L188" s="91">
        <v>-1153.8499999999999</v>
      </c>
      <c r="M188" t="s">
        <v>396</v>
      </c>
    </row>
    <row r="189" spans="1:13" x14ac:dyDescent="0.35">
      <c r="A189">
        <v>1</v>
      </c>
      <c r="B189" s="28">
        <v>43983</v>
      </c>
      <c r="C189" t="s">
        <v>187</v>
      </c>
      <c r="D189" s="91">
        <v>320.99</v>
      </c>
      <c r="E189" t="s">
        <v>564</v>
      </c>
      <c r="F189" t="s">
        <v>260</v>
      </c>
      <c r="G189" t="s">
        <v>566</v>
      </c>
      <c r="H189" t="s">
        <v>313</v>
      </c>
      <c r="I189" t="s">
        <v>523</v>
      </c>
      <c r="J189" s="91">
        <v>320.99</v>
      </c>
      <c r="K189" s="89">
        <v>320.99</v>
      </c>
      <c r="L189" s="91">
        <v>320.99</v>
      </c>
      <c r="M189" t="s">
        <v>396</v>
      </c>
    </row>
    <row r="190" spans="1:13" x14ac:dyDescent="0.35">
      <c r="A190">
        <v>1</v>
      </c>
      <c r="B190" s="28">
        <v>43983</v>
      </c>
      <c r="C190" t="s">
        <v>34</v>
      </c>
      <c r="D190" s="91">
        <v>320.99</v>
      </c>
      <c r="E190" t="s">
        <v>563</v>
      </c>
      <c r="F190" t="s">
        <v>260</v>
      </c>
      <c r="G190" t="s">
        <v>566</v>
      </c>
      <c r="H190" t="s">
        <v>313</v>
      </c>
      <c r="I190" t="s">
        <v>524</v>
      </c>
      <c r="J190" s="91">
        <v>-320.99</v>
      </c>
      <c r="K190" s="89">
        <v>320.99</v>
      </c>
      <c r="L190" s="91">
        <v>-320.99</v>
      </c>
      <c r="M190" t="s">
        <v>396</v>
      </c>
    </row>
    <row r="191" spans="1:13" x14ac:dyDescent="0.35">
      <c r="A191">
        <v>1</v>
      </c>
      <c r="B191" s="28">
        <v>43983</v>
      </c>
      <c r="C191" t="s">
        <v>34</v>
      </c>
      <c r="D191" s="91">
        <v>183.56</v>
      </c>
      <c r="E191" t="s">
        <v>561</v>
      </c>
      <c r="F191" t="s">
        <v>260</v>
      </c>
      <c r="G191" t="s">
        <v>566</v>
      </c>
      <c r="H191" t="s">
        <v>329</v>
      </c>
      <c r="I191" t="s">
        <v>525</v>
      </c>
      <c r="J191" s="91">
        <v>-183.56</v>
      </c>
      <c r="K191" s="89">
        <v>183.56</v>
      </c>
      <c r="L191" s="91">
        <v>-183.56</v>
      </c>
      <c r="M191" t="s">
        <v>396</v>
      </c>
    </row>
    <row r="192" spans="1:13" x14ac:dyDescent="0.35">
      <c r="A192">
        <v>1</v>
      </c>
      <c r="B192" s="28">
        <v>43983</v>
      </c>
      <c r="C192" t="s">
        <v>187</v>
      </c>
      <c r="D192" s="91">
        <v>97.01</v>
      </c>
      <c r="E192" t="s">
        <v>562</v>
      </c>
      <c r="F192" t="s">
        <v>260</v>
      </c>
      <c r="G192" t="s">
        <v>566</v>
      </c>
      <c r="H192" t="s">
        <v>329</v>
      </c>
      <c r="I192" t="s">
        <v>526</v>
      </c>
      <c r="J192" s="91">
        <v>97.01</v>
      </c>
      <c r="K192" s="89">
        <v>97.01</v>
      </c>
      <c r="L192" s="91">
        <v>97.01</v>
      </c>
      <c r="M192" t="s">
        <v>396</v>
      </c>
    </row>
    <row r="193" spans="1:13" x14ac:dyDescent="0.35">
      <c r="A193">
        <v>1</v>
      </c>
      <c r="B193" s="28">
        <v>43983</v>
      </c>
      <c r="C193" t="s">
        <v>187</v>
      </c>
      <c r="D193" s="91">
        <v>754.91</v>
      </c>
      <c r="E193" t="s">
        <v>563</v>
      </c>
      <c r="F193" t="s">
        <v>260</v>
      </c>
      <c r="G193" t="s">
        <v>566</v>
      </c>
      <c r="H193" t="s">
        <v>329</v>
      </c>
      <c r="I193" t="s">
        <v>527</v>
      </c>
      <c r="J193" s="91">
        <v>754.91</v>
      </c>
      <c r="K193" s="89">
        <v>754.91</v>
      </c>
      <c r="L193" s="91">
        <v>754.91</v>
      </c>
      <c r="M193" t="s">
        <v>396</v>
      </c>
    </row>
    <row r="194" spans="1:13" x14ac:dyDescent="0.35">
      <c r="A194">
        <v>1</v>
      </c>
      <c r="B194" s="28">
        <v>43983</v>
      </c>
      <c r="C194" t="s">
        <v>187</v>
      </c>
      <c r="D194" s="91">
        <v>1831.64</v>
      </c>
      <c r="E194" t="s">
        <v>564</v>
      </c>
      <c r="F194" t="s">
        <v>260</v>
      </c>
      <c r="G194" t="s">
        <v>566</v>
      </c>
      <c r="H194" t="s">
        <v>329</v>
      </c>
      <c r="I194" t="s">
        <v>528</v>
      </c>
      <c r="J194" s="91">
        <v>1831.64</v>
      </c>
      <c r="K194" s="89">
        <v>1831.64</v>
      </c>
      <c r="L194" s="91">
        <v>1831.64</v>
      </c>
      <c r="M194" t="s">
        <v>396</v>
      </c>
    </row>
    <row r="195" spans="1:13" x14ac:dyDescent="0.35">
      <c r="A195">
        <v>1</v>
      </c>
      <c r="B195" s="28">
        <v>43983</v>
      </c>
      <c r="C195" t="s">
        <v>34</v>
      </c>
      <c r="D195" s="91">
        <v>2500</v>
      </c>
      <c r="E195" t="s">
        <v>565</v>
      </c>
      <c r="F195" t="s">
        <v>260</v>
      </c>
      <c r="G195" t="s">
        <v>566</v>
      </c>
      <c r="H195" t="s">
        <v>329</v>
      </c>
      <c r="I195" t="s">
        <v>529</v>
      </c>
      <c r="J195" s="91">
        <v>-2500</v>
      </c>
      <c r="K195" s="89">
        <v>2500</v>
      </c>
      <c r="L195" s="91">
        <v>-2500</v>
      </c>
      <c r="M195" t="s">
        <v>396</v>
      </c>
    </row>
    <row r="196" spans="1:13" x14ac:dyDescent="0.35">
      <c r="A196">
        <v>1</v>
      </c>
      <c r="B196" s="28">
        <v>43983</v>
      </c>
      <c r="C196" t="s">
        <v>187</v>
      </c>
      <c r="D196" s="91">
        <v>754.91</v>
      </c>
      <c r="E196" t="s">
        <v>564</v>
      </c>
      <c r="F196" t="s">
        <v>260</v>
      </c>
      <c r="G196" t="s">
        <v>566</v>
      </c>
      <c r="H196" t="s">
        <v>329</v>
      </c>
      <c r="I196" t="s">
        <v>530</v>
      </c>
      <c r="J196" s="91">
        <v>754.91</v>
      </c>
      <c r="K196" s="89">
        <v>754.91</v>
      </c>
      <c r="L196" s="91">
        <v>754.91</v>
      </c>
      <c r="M196" t="s">
        <v>396</v>
      </c>
    </row>
    <row r="197" spans="1:13" x14ac:dyDescent="0.35">
      <c r="A197">
        <v>1</v>
      </c>
      <c r="B197" s="28">
        <v>43983</v>
      </c>
      <c r="C197" t="s">
        <v>34</v>
      </c>
      <c r="D197" s="91">
        <v>754.91</v>
      </c>
      <c r="E197" t="s">
        <v>563</v>
      </c>
      <c r="F197" t="s">
        <v>260</v>
      </c>
      <c r="G197" t="s">
        <v>566</v>
      </c>
      <c r="H197" t="s">
        <v>329</v>
      </c>
      <c r="I197" t="s">
        <v>531</v>
      </c>
      <c r="J197" s="91">
        <v>-754.91</v>
      </c>
      <c r="K197" s="89">
        <v>754.91</v>
      </c>
      <c r="L197" s="91">
        <v>-754.91</v>
      </c>
      <c r="M197" t="s">
        <v>396</v>
      </c>
    </row>
    <row r="198" spans="1:13" x14ac:dyDescent="0.35">
      <c r="A198">
        <v>1</v>
      </c>
      <c r="B198" s="28">
        <v>43983</v>
      </c>
      <c r="C198" t="s">
        <v>34</v>
      </c>
      <c r="D198" s="91">
        <v>160.76</v>
      </c>
      <c r="E198" t="s">
        <v>561</v>
      </c>
      <c r="F198" t="s">
        <v>260</v>
      </c>
      <c r="G198" t="s">
        <v>566</v>
      </c>
      <c r="H198" t="s">
        <v>324</v>
      </c>
      <c r="I198" t="s">
        <v>532</v>
      </c>
      <c r="J198" s="91">
        <v>-160.76</v>
      </c>
      <c r="K198" s="89">
        <v>160.76</v>
      </c>
      <c r="L198" s="91">
        <v>-160.76</v>
      </c>
      <c r="M198" t="s">
        <v>396</v>
      </c>
    </row>
    <row r="199" spans="1:13" x14ac:dyDescent="0.35">
      <c r="A199">
        <v>1</v>
      </c>
      <c r="B199" s="28">
        <v>43983</v>
      </c>
      <c r="C199" t="s">
        <v>187</v>
      </c>
      <c r="D199" s="91">
        <v>458.15</v>
      </c>
      <c r="E199" t="s">
        <v>563</v>
      </c>
      <c r="F199" t="s">
        <v>260</v>
      </c>
      <c r="G199" t="s">
        <v>566</v>
      </c>
      <c r="H199" t="s">
        <v>324</v>
      </c>
      <c r="I199" t="s">
        <v>533</v>
      </c>
      <c r="J199" s="91">
        <v>458.15</v>
      </c>
      <c r="K199" s="89">
        <v>458.15</v>
      </c>
      <c r="L199" s="91">
        <v>458.15</v>
      </c>
      <c r="M199" t="s">
        <v>396</v>
      </c>
    </row>
    <row r="200" spans="1:13" x14ac:dyDescent="0.35">
      <c r="A200">
        <v>1</v>
      </c>
      <c r="B200" s="28">
        <v>43983</v>
      </c>
      <c r="C200" t="s">
        <v>187</v>
      </c>
      <c r="D200" s="91">
        <v>1241.08</v>
      </c>
      <c r="E200" t="s">
        <v>564</v>
      </c>
      <c r="F200" t="s">
        <v>260</v>
      </c>
      <c r="G200" t="s">
        <v>566</v>
      </c>
      <c r="H200" t="s">
        <v>324</v>
      </c>
      <c r="I200" t="s">
        <v>534</v>
      </c>
      <c r="J200" s="91">
        <v>1241.08</v>
      </c>
      <c r="K200" s="89">
        <v>1241.08</v>
      </c>
      <c r="L200" s="91">
        <v>1241.08</v>
      </c>
      <c r="M200" t="s">
        <v>396</v>
      </c>
    </row>
    <row r="201" spans="1:13" x14ac:dyDescent="0.35">
      <c r="A201">
        <v>1</v>
      </c>
      <c r="B201" s="28">
        <v>43983</v>
      </c>
      <c r="C201" t="s">
        <v>34</v>
      </c>
      <c r="D201" s="91">
        <v>1538.47</v>
      </c>
      <c r="E201" t="s">
        <v>565</v>
      </c>
      <c r="F201" t="s">
        <v>260</v>
      </c>
      <c r="G201" t="s">
        <v>566</v>
      </c>
      <c r="H201" t="s">
        <v>324</v>
      </c>
      <c r="I201" t="s">
        <v>535</v>
      </c>
      <c r="J201" s="91">
        <v>-1538.47</v>
      </c>
      <c r="K201" s="89">
        <v>1538.47</v>
      </c>
      <c r="L201" s="91">
        <v>-1538.47</v>
      </c>
      <c r="M201" t="s">
        <v>396</v>
      </c>
    </row>
    <row r="202" spans="1:13" x14ac:dyDescent="0.35">
      <c r="A202">
        <v>1</v>
      </c>
      <c r="B202" s="28">
        <v>43983</v>
      </c>
      <c r="C202" t="s">
        <v>187</v>
      </c>
      <c r="D202" s="91">
        <v>458.15</v>
      </c>
      <c r="E202" t="s">
        <v>564</v>
      </c>
      <c r="F202" t="s">
        <v>260</v>
      </c>
      <c r="G202" t="s">
        <v>566</v>
      </c>
      <c r="H202" t="s">
        <v>324</v>
      </c>
      <c r="I202" t="s">
        <v>536</v>
      </c>
      <c r="J202" s="91">
        <v>458.15</v>
      </c>
      <c r="K202" s="89">
        <v>458.15</v>
      </c>
      <c r="L202" s="91">
        <v>458.15</v>
      </c>
      <c r="M202" t="s">
        <v>396</v>
      </c>
    </row>
    <row r="203" spans="1:13" x14ac:dyDescent="0.35">
      <c r="A203">
        <v>1</v>
      </c>
      <c r="B203" s="28">
        <v>43983</v>
      </c>
      <c r="C203" t="s">
        <v>34</v>
      </c>
      <c r="D203" s="91">
        <v>458.15</v>
      </c>
      <c r="E203" t="s">
        <v>563</v>
      </c>
      <c r="F203" t="s">
        <v>260</v>
      </c>
      <c r="G203" t="s">
        <v>566</v>
      </c>
      <c r="H203" t="s">
        <v>324</v>
      </c>
      <c r="I203" t="s">
        <v>537</v>
      </c>
      <c r="J203" s="91">
        <v>-458.15</v>
      </c>
      <c r="K203" s="89">
        <v>458.15</v>
      </c>
      <c r="L203" s="91">
        <v>-458.15</v>
      </c>
      <c r="M203" t="s">
        <v>396</v>
      </c>
    </row>
    <row r="204" spans="1:13" x14ac:dyDescent="0.35">
      <c r="A204">
        <v>1</v>
      </c>
      <c r="B204" s="28">
        <v>43983</v>
      </c>
      <c r="C204" t="s">
        <v>34</v>
      </c>
      <c r="D204" s="91">
        <v>79.62</v>
      </c>
      <c r="E204" t="s">
        <v>561</v>
      </c>
      <c r="F204" t="s">
        <v>261</v>
      </c>
      <c r="G204" t="s">
        <v>252</v>
      </c>
      <c r="H204" t="s">
        <v>318</v>
      </c>
      <c r="I204" t="s">
        <v>538</v>
      </c>
      <c r="J204" s="91">
        <v>-79.62</v>
      </c>
      <c r="K204" s="89">
        <v>79.62</v>
      </c>
      <c r="L204" s="91">
        <v>-79.62</v>
      </c>
      <c r="M204" t="s">
        <v>396</v>
      </c>
    </row>
    <row r="205" spans="1:13" x14ac:dyDescent="0.35">
      <c r="A205">
        <v>1</v>
      </c>
      <c r="B205" s="28">
        <v>43983</v>
      </c>
      <c r="C205" t="s">
        <v>34</v>
      </c>
      <c r="D205" s="91">
        <v>161.63999999999999</v>
      </c>
      <c r="E205" t="s">
        <v>561</v>
      </c>
      <c r="F205" t="s">
        <v>262</v>
      </c>
      <c r="G205" t="s">
        <v>567</v>
      </c>
      <c r="H205" t="s">
        <v>318</v>
      </c>
      <c r="I205" t="s">
        <v>538</v>
      </c>
      <c r="J205" s="91">
        <v>-161.63999999999999</v>
      </c>
      <c r="K205" s="89">
        <v>161.63999999999999</v>
      </c>
      <c r="L205" s="91">
        <v>-161.63999999999999</v>
      </c>
    </row>
    <row r="206" spans="1:13" x14ac:dyDescent="0.35">
      <c r="A206">
        <v>1</v>
      </c>
      <c r="B206" s="28">
        <v>43983</v>
      </c>
      <c r="C206" t="s">
        <v>187</v>
      </c>
      <c r="D206" s="91">
        <v>165</v>
      </c>
      <c r="E206" t="s">
        <v>562</v>
      </c>
      <c r="F206" t="s">
        <v>261</v>
      </c>
      <c r="G206" t="s">
        <v>252</v>
      </c>
      <c r="H206" t="s">
        <v>318</v>
      </c>
      <c r="I206" t="s">
        <v>539</v>
      </c>
      <c r="J206" s="91">
        <v>165</v>
      </c>
      <c r="K206" s="89">
        <v>165</v>
      </c>
      <c r="L206" s="91">
        <v>165</v>
      </c>
      <c r="M206" t="s">
        <v>396</v>
      </c>
    </row>
    <row r="207" spans="1:13" x14ac:dyDescent="0.35">
      <c r="A207">
        <v>1</v>
      </c>
      <c r="B207" s="28">
        <v>43983</v>
      </c>
      <c r="C207" t="s">
        <v>187</v>
      </c>
      <c r="D207" s="91">
        <v>335</v>
      </c>
      <c r="E207" t="s">
        <v>562</v>
      </c>
      <c r="F207" t="s">
        <v>262</v>
      </c>
      <c r="G207" t="s">
        <v>567</v>
      </c>
      <c r="H207" t="s">
        <v>318</v>
      </c>
      <c r="I207" t="s">
        <v>539</v>
      </c>
      <c r="J207" s="91">
        <v>335</v>
      </c>
      <c r="K207" s="89">
        <v>335</v>
      </c>
      <c r="L207" s="91">
        <v>335</v>
      </c>
    </row>
    <row r="208" spans="1:13" x14ac:dyDescent="0.35">
      <c r="A208">
        <v>1</v>
      </c>
      <c r="B208" s="28">
        <v>43983</v>
      </c>
      <c r="C208" t="s">
        <v>187</v>
      </c>
      <c r="D208" s="91">
        <v>332.13</v>
      </c>
      <c r="E208" t="s">
        <v>563</v>
      </c>
      <c r="F208" t="s">
        <v>261</v>
      </c>
      <c r="G208" t="s">
        <v>252</v>
      </c>
      <c r="H208" t="s">
        <v>318</v>
      </c>
      <c r="I208" t="s">
        <v>540</v>
      </c>
      <c r="J208" s="91">
        <v>332.13</v>
      </c>
      <c r="K208" s="89">
        <v>332.13</v>
      </c>
      <c r="L208" s="91">
        <v>332.13</v>
      </c>
      <c r="M208" t="s">
        <v>396</v>
      </c>
    </row>
    <row r="209" spans="1:13" x14ac:dyDescent="0.35">
      <c r="A209">
        <v>1</v>
      </c>
      <c r="B209" s="28">
        <v>43983</v>
      </c>
      <c r="C209" t="s">
        <v>187</v>
      </c>
      <c r="D209" s="91">
        <v>674.33</v>
      </c>
      <c r="E209" t="s">
        <v>563</v>
      </c>
      <c r="F209" t="s">
        <v>262</v>
      </c>
      <c r="G209" t="s">
        <v>567</v>
      </c>
      <c r="H209" t="s">
        <v>318</v>
      </c>
      <c r="I209" t="s">
        <v>540</v>
      </c>
      <c r="J209" s="91">
        <v>674.33</v>
      </c>
      <c r="K209" s="89">
        <v>674.33</v>
      </c>
      <c r="L209" s="91">
        <v>674.33</v>
      </c>
    </row>
    <row r="210" spans="1:13" x14ac:dyDescent="0.35">
      <c r="A210">
        <v>1</v>
      </c>
      <c r="B210" s="28">
        <v>43983</v>
      </c>
      <c r="C210" t="s">
        <v>187</v>
      </c>
      <c r="D210" s="91">
        <v>623.25</v>
      </c>
      <c r="E210" t="s">
        <v>564</v>
      </c>
      <c r="F210" t="s">
        <v>261</v>
      </c>
      <c r="G210" t="s">
        <v>252</v>
      </c>
      <c r="H210" t="s">
        <v>318</v>
      </c>
      <c r="I210" t="s">
        <v>541</v>
      </c>
      <c r="J210" s="91">
        <v>623.25</v>
      </c>
      <c r="K210" s="89">
        <v>623.25</v>
      </c>
      <c r="L210" s="91">
        <v>623.25</v>
      </c>
      <c r="M210" t="s">
        <v>396</v>
      </c>
    </row>
    <row r="211" spans="1:13" x14ac:dyDescent="0.35">
      <c r="A211">
        <v>1</v>
      </c>
      <c r="B211" s="28">
        <v>43983</v>
      </c>
      <c r="C211" t="s">
        <v>187</v>
      </c>
      <c r="D211" s="91">
        <v>1265.4000000000001</v>
      </c>
      <c r="E211" t="s">
        <v>564</v>
      </c>
      <c r="F211" t="s">
        <v>262</v>
      </c>
      <c r="G211" t="s">
        <v>567</v>
      </c>
      <c r="H211" t="s">
        <v>318</v>
      </c>
      <c r="I211" t="s">
        <v>541</v>
      </c>
      <c r="J211" s="91">
        <v>1265.4000000000001</v>
      </c>
      <c r="K211" s="89">
        <v>1265.4000000000001</v>
      </c>
      <c r="L211" s="91">
        <v>1265.4000000000001</v>
      </c>
    </row>
    <row r="212" spans="1:13" x14ac:dyDescent="0.35">
      <c r="A212">
        <v>1</v>
      </c>
      <c r="B212" s="28">
        <v>43983</v>
      </c>
      <c r="C212" t="s">
        <v>34</v>
      </c>
      <c r="D212" s="91">
        <v>1040.77</v>
      </c>
      <c r="E212" t="s">
        <v>565</v>
      </c>
      <c r="F212" t="s">
        <v>261</v>
      </c>
      <c r="G212" t="s">
        <v>252</v>
      </c>
      <c r="H212" t="s">
        <v>318</v>
      </c>
      <c r="I212" t="s">
        <v>542</v>
      </c>
      <c r="J212" s="91">
        <v>-1040.77</v>
      </c>
      <c r="K212" s="89">
        <v>1040.77</v>
      </c>
      <c r="L212" s="91">
        <v>-1040.77</v>
      </c>
      <c r="M212" t="s">
        <v>396</v>
      </c>
    </row>
    <row r="213" spans="1:13" x14ac:dyDescent="0.35">
      <c r="A213">
        <v>1</v>
      </c>
      <c r="B213" s="28">
        <v>43983</v>
      </c>
      <c r="C213" t="s">
        <v>34</v>
      </c>
      <c r="D213" s="91">
        <v>2113.08</v>
      </c>
      <c r="E213" t="s">
        <v>565</v>
      </c>
      <c r="F213" t="s">
        <v>262</v>
      </c>
      <c r="G213" t="s">
        <v>567</v>
      </c>
      <c r="H213" t="s">
        <v>318</v>
      </c>
      <c r="I213" t="s">
        <v>542</v>
      </c>
      <c r="J213" s="91">
        <v>-2113.08</v>
      </c>
      <c r="K213" s="89">
        <v>2113.08</v>
      </c>
      <c r="L213" s="91">
        <v>-2113.08</v>
      </c>
    </row>
    <row r="214" spans="1:13" x14ac:dyDescent="0.35">
      <c r="A214">
        <v>1</v>
      </c>
      <c r="B214" s="28">
        <v>43983</v>
      </c>
      <c r="C214" t="s">
        <v>187</v>
      </c>
      <c r="D214" s="91">
        <v>332.13</v>
      </c>
      <c r="E214" t="s">
        <v>564</v>
      </c>
      <c r="F214" t="s">
        <v>261</v>
      </c>
      <c r="G214" t="s">
        <v>252</v>
      </c>
      <c r="H214" t="s">
        <v>318</v>
      </c>
      <c r="I214" t="s">
        <v>543</v>
      </c>
      <c r="J214" s="91">
        <v>332.13</v>
      </c>
      <c r="K214" s="89">
        <v>332.13</v>
      </c>
      <c r="L214" s="91">
        <v>332.13</v>
      </c>
      <c r="M214" t="s">
        <v>396</v>
      </c>
    </row>
    <row r="215" spans="1:13" x14ac:dyDescent="0.35">
      <c r="A215">
        <v>1</v>
      </c>
      <c r="B215" s="28">
        <v>43983</v>
      </c>
      <c r="C215" t="s">
        <v>187</v>
      </c>
      <c r="D215" s="91">
        <v>674.33</v>
      </c>
      <c r="E215" t="s">
        <v>564</v>
      </c>
      <c r="F215" t="s">
        <v>262</v>
      </c>
      <c r="G215" t="s">
        <v>567</v>
      </c>
      <c r="H215" t="s">
        <v>318</v>
      </c>
      <c r="I215" t="s">
        <v>543</v>
      </c>
      <c r="J215" s="91">
        <v>674.33</v>
      </c>
      <c r="K215" s="89">
        <v>674.33</v>
      </c>
      <c r="L215" s="91">
        <v>674.33</v>
      </c>
    </row>
    <row r="216" spans="1:13" x14ac:dyDescent="0.35">
      <c r="A216">
        <v>1</v>
      </c>
      <c r="B216" s="28">
        <v>43983</v>
      </c>
      <c r="C216" t="s">
        <v>34</v>
      </c>
      <c r="D216" s="91">
        <v>332.13</v>
      </c>
      <c r="E216" t="s">
        <v>563</v>
      </c>
      <c r="F216" t="s">
        <v>261</v>
      </c>
      <c r="G216" t="s">
        <v>252</v>
      </c>
      <c r="H216" t="s">
        <v>318</v>
      </c>
      <c r="I216" t="s">
        <v>544</v>
      </c>
      <c r="J216" s="91">
        <v>-332.13</v>
      </c>
      <c r="K216" s="89">
        <v>332.13</v>
      </c>
      <c r="L216" s="91">
        <v>-332.13</v>
      </c>
      <c r="M216" t="s">
        <v>396</v>
      </c>
    </row>
    <row r="217" spans="1:13" x14ac:dyDescent="0.35">
      <c r="A217">
        <v>1</v>
      </c>
      <c r="B217" s="28">
        <v>43983</v>
      </c>
      <c r="C217" t="s">
        <v>34</v>
      </c>
      <c r="D217" s="91">
        <v>674.33</v>
      </c>
      <c r="E217" t="s">
        <v>563</v>
      </c>
      <c r="F217" t="s">
        <v>262</v>
      </c>
      <c r="G217" t="s">
        <v>567</v>
      </c>
      <c r="H217" t="s">
        <v>318</v>
      </c>
      <c r="I217" t="s">
        <v>544</v>
      </c>
      <c r="J217" s="91">
        <v>-674.33</v>
      </c>
      <c r="K217" s="89">
        <v>674.33</v>
      </c>
      <c r="L217" s="91">
        <v>-674.33</v>
      </c>
    </row>
    <row r="218" spans="1:13" x14ac:dyDescent="0.35">
      <c r="A218">
        <v>1</v>
      </c>
      <c r="B218" s="28">
        <v>43983</v>
      </c>
      <c r="C218" t="s">
        <v>34</v>
      </c>
      <c r="D218" s="91">
        <v>136.13999999999999</v>
      </c>
      <c r="E218" t="s">
        <v>561</v>
      </c>
      <c r="F218" t="s">
        <v>263</v>
      </c>
      <c r="G218" t="s">
        <v>253</v>
      </c>
      <c r="H218" t="s">
        <v>336</v>
      </c>
      <c r="I218" t="s">
        <v>545</v>
      </c>
      <c r="J218" s="91">
        <v>-136.13999999999999</v>
      </c>
      <c r="K218" s="89">
        <v>136.13999999999999</v>
      </c>
      <c r="L218" s="91">
        <v>-136.13999999999999</v>
      </c>
      <c r="M218" t="s">
        <v>396</v>
      </c>
    </row>
    <row r="219" spans="1:13" x14ac:dyDescent="0.35">
      <c r="A219">
        <v>1</v>
      </c>
      <c r="B219" s="28">
        <v>43983</v>
      </c>
      <c r="C219" t="s">
        <v>187</v>
      </c>
      <c r="D219" s="91">
        <v>55.85</v>
      </c>
      <c r="E219" t="s">
        <v>562</v>
      </c>
      <c r="F219" t="s">
        <v>263</v>
      </c>
      <c r="G219" t="s">
        <v>253</v>
      </c>
      <c r="H219" t="s">
        <v>336</v>
      </c>
      <c r="I219" t="s">
        <v>546</v>
      </c>
      <c r="J219" s="91">
        <v>55.85</v>
      </c>
      <c r="K219" s="89">
        <v>55.85</v>
      </c>
      <c r="L219" s="91">
        <v>55.85</v>
      </c>
      <c r="M219" t="s">
        <v>396</v>
      </c>
    </row>
    <row r="220" spans="1:13" x14ac:dyDescent="0.35">
      <c r="A220">
        <v>1</v>
      </c>
      <c r="B220" s="28">
        <v>43983</v>
      </c>
      <c r="C220" t="s">
        <v>187</v>
      </c>
      <c r="D220" s="91">
        <v>396.18</v>
      </c>
      <c r="E220" t="s">
        <v>563</v>
      </c>
      <c r="F220" t="s">
        <v>263</v>
      </c>
      <c r="G220" t="s">
        <v>253</v>
      </c>
      <c r="H220" t="s">
        <v>336</v>
      </c>
      <c r="I220" t="s">
        <v>547</v>
      </c>
      <c r="J220" s="91">
        <v>396.18</v>
      </c>
      <c r="K220" s="89">
        <v>396.18</v>
      </c>
      <c r="L220" s="91">
        <v>396.18</v>
      </c>
      <c r="M220" t="s">
        <v>396</v>
      </c>
    </row>
    <row r="221" spans="1:13" x14ac:dyDescent="0.35">
      <c r="A221">
        <v>1</v>
      </c>
      <c r="B221" s="28">
        <v>43983</v>
      </c>
      <c r="C221" t="s">
        <v>187</v>
      </c>
      <c r="D221" s="91">
        <v>1030.27</v>
      </c>
      <c r="E221" t="s">
        <v>564</v>
      </c>
      <c r="F221" t="s">
        <v>263</v>
      </c>
      <c r="G221" t="s">
        <v>253</v>
      </c>
      <c r="H221" t="s">
        <v>336</v>
      </c>
      <c r="I221" t="s">
        <v>548</v>
      </c>
      <c r="J221" s="91">
        <v>1030.27</v>
      </c>
      <c r="K221" s="89">
        <v>1030.27</v>
      </c>
      <c r="L221" s="91">
        <v>1030.27</v>
      </c>
      <c r="M221" t="s">
        <v>396</v>
      </c>
    </row>
    <row r="222" spans="1:13" x14ac:dyDescent="0.35">
      <c r="A222">
        <v>1</v>
      </c>
      <c r="B222" s="28">
        <v>43983</v>
      </c>
      <c r="C222" t="s">
        <v>34</v>
      </c>
      <c r="D222" s="91">
        <v>1346.16</v>
      </c>
      <c r="E222" t="s">
        <v>565</v>
      </c>
      <c r="F222" t="s">
        <v>263</v>
      </c>
      <c r="G222" t="s">
        <v>253</v>
      </c>
      <c r="H222" t="s">
        <v>336</v>
      </c>
      <c r="I222" t="s">
        <v>549</v>
      </c>
      <c r="J222" s="91">
        <v>-1346.16</v>
      </c>
      <c r="K222" s="89">
        <v>1346.16</v>
      </c>
      <c r="L222" s="91">
        <v>-1346.16</v>
      </c>
      <c r="M222" t="s">
        <v>396</v>
      </c>
    </row>
    <row r="223" spans="1:13" x14ac:dyDescent="0.35">
      <c r="A223">
        <v>1</v>
      </c>
      <c r="B223" s="28">
        <v>43983</v>
      </c>
      <c r="C223" t="s">
        <v>187</v>
      </c>
      <c r="D223" s="91">
        <v>396.18</v>
      </c>
      <c r="E223" t="s">
        <v>564</v>
      </c>
      <c r="F223" t="s">
        <v>263</v>
      </c>
      <c r="G223" t="s">
        <v>253</v>
      </c>
      <c r="H223" t="s">
        <v>336</v>
      </c>
      <c r="I223" t="s">
        <v>550</v>
      </c>
      <c r="J223" s="91">
        <v>396.18</v>
      </c>
      <c r="K223" s="89">
        <v>396.18</v>
      </c>
      <c r="L223" s="91">
        <v>396.18</v>
      </c>
      <c r="M223" t="s">
        <v>396</v>
      </c>
    </row>
    <row r="224" spans="1:13" x14ac:dyDescent="0.35">
      <c r="A224">
        <v>1</v>
      </c>
      <c r="B224" s="28">
        <v>43983</v>
      </c>
      <c r="C224" t="s">
        <v>34</v>
      </c>
      <c r="D224" s="91">
        <v>396.18</v>
      </c>
      <c r="E224" t="s">
        <v>563</v>
      </c>
      <c r="F224" t="s">
        <v>263</v>
      </c>
      <c r="G224" t="s">
        <v>253</v>
      </c>
      <c r="H224" t="s">
        <v>336</v>
      </c>
      <c r="I224" t="s">
        <v>551</v>
      </c>
      <c r="J224" s="91">
        <v>-396.18</v>
      </c>
      <c r="K224" s="89">
        <v>396.18</v>
      </c>
      <c r="L224" s="91">
        <v>-396.18</v>
      </c>
      <c r="M224" t="s">
        <v>396</v>
      </c>
    </row>
    <row r="225" spans="1:13" x14ac:dyDescent="0.35">
      <c r="A225">
        <v>1</v>
      </c>
      <c r="B225" s="28">
        <v>43983</v>
      </c>
      <c r="C225" t="s">
        <v>34</v>
      </c>
      <c r="D225" s="91">
        <v>221.05</v>
      </c>
      <c r="E225" t="s">
        <v>561</v>
      </c>
      <c r="F225" t="s">
        <v>261</v>
      </c>
      <c r="G225" t="s">
        <v>252</v>
      </c>
      <c r="H225" t="s">
        <v>322</v>
      </c>
      <c r="I225" t="s">
        <v>552</v>
      </c>
      <c r="J225" s="91">
        <v>-221.05</v>
      </c>
      <c r="K225" s="89">
        <v>221.05</v>
      </c>
      <c r="L225" s="91">
        <v>-221.05</v>
      </c>
      <c r="M225" t="s">
        <v>396</v>
      </c>
    </row>
    <row r="226" spans="1:13" x14ac:dyDescent="0.35">
      <c r="A226">
        <v>1</v>
      </c>
      <c r="B226" s="28">
        <v>43983</v>
      </c>
      <c r="C226" t="s">
        <v>187</v>
      </c>
      <c r="D226" s="91">
        <v>635.55999999999995</v>
      </c>
      <c r="E226" t="s">
        <v>563</v>
      </c>
      <c r="F226" t="s">
        <v>261</v>
      </c>
      <c r="G226" t="s">
        <v>252</v>
      </c>
      <c r="H226" t="s">
        <v>322</v>
      </c>
      <c r="I226" t="s">
        <v>553</v>
      </c>
      <c r="J226" s="91">
        <v>635.55999999999995</v>
      </c>
      <c r="K226" s="89">
        <v>635.55999999999995</v>
      </c>
      <c r="L226" s="91">
        <v>635.55999999999995</v>
      </c>
      <c r="M226" t="s">
        <v>396</v>
      </c>
    </row>
    <row r="227" spans="1:13" x14ac:dyDescent="0.35">
      <c r="A227">
        <v>1</v>
      </c>
      <c r="B227" s="28">
        <v>43983</v>
      </c>
      <c r="C227" t="s">
        <v>187</v>
      </c>
      <c r="D227" s="91">
        <v>1700.88</v>
      </c>
      <c r="E227" t="s">
        <v>564</v>
      </c>
      <c r="F227" t="s">
        <v>261</v>
      </c>
      <c r="G227" t="s">
        <v>252</v>
      </c>
      <c r="H227" t="s">
        <v>322</v>
      </c>
      <c r="I227" t="s">
        <v>554</v>
      </c>
      <c r="J227" s="91">
        <v>1700.88</v>
      </c>
      <c r="K227" s="89">
        <v>1700.88</v>
      </c>
      <c r="L227" s="91">
        <v>1700.88</v>
      </c>
      <c r="M227" t="s">
        <v>396</v>
      </c>
    </row>
    <row r="228" spans="1:13" x14ac:dyDescent="0.35">
      <c r="A228">
        <v>1</v>
      </c>
      <c r="B228" s="28">
        <v>43983</v>
      </c>
      <c r="C228" t="s">
        <v>34</v>
      </c>
      <c r="D228" s="91">
        <v>2115.39</v>
      </c>
      <c r="E228" t="s">
        <v>565</v>
      </c>
      <c r="F228" t="s">
        <v>261</v>
      </c>
      <c r="G228" t="s">
        <v>252</v>
      </c>
      <c r="H228" t="s">
        <v>322</v>
      </c>
      <c r="I228" t="s">
        <v>555</v>
      </c>
      <c r="J228" s="91">
        <v>-2115.39</v>
      </c>
      <c r="K228" s="89">
        <v>2115.39</v>
      </c>
      <c r="L228" s="91">
        <v>-2115.39</v>
      </c>
      <c r="M228" t="s">
        <v>396</v>
      </c>
    </row>
    <row r="229" spans="1:13" x14ac:dyDescent="0.35">
      <c r="A229">
        <v>1</v>
      </c>
      <c r="B229" s="28">
        <v>43983</v>
      </c>
      <c r="C229" t="s">
        <v>187</v>
      </c>
      <c r="D229" s="91">
        <v>635.55999999999995</v>
      </c>
      <c r="E229" t="s">
        <v>564</v>
      </c>
      <c r="F229" t="s">
        <v>261</v>
      </c>
      <c r="G229" t="s">
        <v>252</v>
      </c>
      <c r="H229" t="s">
        <v>322</v>
      </c>
      <c r="I229" t="s">
        <v>556</v>
      </c>
      <c r="J229" s="91">
        <v>635.55999999999995</v>
      </c>
      <c r="K229" s="89">
        <v>635.55999999999995</v>
      </c>
      <c r="L229" s="91">
        <v>635.55999999999995</v>
      </c>
      <c r="M229" t="s">
        <v>396</v>
      </c>
    </row>
    <row r="230" spans="1:13" x14ac:dyDescent="0.35">
      <c r="A230">
        <v>1</v>
      </c>
      <c r="B230" s="28">
        <v>43983</v>
      </c>
      <c r="C230" t="s">
        <v>34</v>
      </c>
      <c r="D230" s="91">
        <v>635.55999999999995</v>
      </c>
      <c r="E230" t="s">
        <v>563</v>
      </c>
      <c r="F230" t="s">
        <v>261</v>
      </c>
      <c r="G230" t="s">
        <v>252</v>
      </c>
      <c r="H230" t="s">
        <v>322</v>
      </c>
      <c r="I230" t="s">
        <v>557</v>
      </c>
      <c r="J230" s="91">
        <v>-635.55999999999995</v>
      </c>
      <c r="K230" s="89">
        <v>635.55999999999995</v>
      </c>
      <c r="L230" s="91">
        <v>-635.55999999999995</v>
      </c>
      <c r="M230" t="s">
        <v>396</v>
      </c>
    </row>
    <row r="231" spans="1:13" x14ac:dyDescent="0.35">
      <c r="A231">
        <v>1</v>
      </c>
      <c r="B231" s="28">
        <v>43983</v>
      </c>
      <c r="C231" t="s">
        <v>34</v>
      </c>
      <c r="D231" s="91">
        <v>119.13</v>
      </c>
      <c r="E231" t="s">
        <v>561</v>
      </c>
      <c r="F231" t="s">
        <v>263</v>
      </c>
      <c r="G231" t="s">
        <v>253</v>
      </c>
      <c r="H231" t="s">
        <v>327</v>
      </c>
      <c r="I231" t="s">
        <v>558</v>
      </c>
      <c r="J231" s="91">
        <v>-119.13</v>
      </c>
      <c r="K231" s="89">
        <v>119.13</v>
      </c>
      <c r="L231" s="91">
        <v>-119.13</v>
      </c>
      <c r="M231" t="s">
        <v>396</v>
      </c>
    </row>
    <row r="232" spans="1:13" x14ac:dyDescent="0.35">
      <c r="A232">
        <v>1</v>
      </c>
      <c r="B232" s="28">
        <v>43983</v>
      </c>
      <c r="C232" t="s">
        <v>187</v>
      </c>
      <c r="D232" s="91">
        <v>250.84</v>
      </c>
      <c r="E232" t="s">
        <v>563</v>
      </c>
      <c r="F232" t="s">
        <v>263</v>
      </c>
      <c r="G232" t="s">
        <v>253</v>
      </c>
      <c r="H232" t="s">
        <v>327</v>
      </c>
      <c r="I232" t="s">
        <v>357</v>
      </c>
      <c r="J232" s="91">
        <v>250.84</v>
      </c>
      <c r="K232" s="89">
        <v>250.84</v>
      </c>
      <c r="L232" s="91">
        <v>250.84</v>
      </c>
      <c r="M232" t="s">
        <v>396</v>
      </c>
    </row>
    <row r="233" spans="1:13" x14ac:dyDescent="0.35">
      <c r="A233">
        <v>1</v>
      </c>
      <c r="B233" s="28">
        <v>43983</v>
      </c>
      <c r="C233" t="s">
        <v>187</v>
      </c>
      <c r="D233" s="91">
        <v>1008.29</v>
      </c>
      <c r="E233" t="s">
        <v>564</v>
      </c>
      <c r="F233" t="s">
        <v>263</v>
      </c>
      <c r="G233" t="s">
        <v>253</v>
      </c>
      <c r="H233" t="s">
        <v>327</v>
      </c>
      <c r="I233" t="s">
        <v>358</v>
      </c>
      <c r="J233" s="91">
        <v>1008.29</v>
      </c>
      <c r="K233" s="89">
        <v>1008.29</v>
      </c>
      <c r="L233" s="91">
        <v>1008.29</v>
      </c>
      <c r="M233" t="s">
        <v>396</v>
      </c>
    </row>
    <row r="234" spans="1:13" x14ac:dyDescent="0.35">
      <c r="A234">
        <v>1</v>
      </c>
      <c r="B234" s="28">
        <v>43983</v>
      </c>
      <c r="C234" t="s">
        <v>34</v>
      </c>
      <c r="D234" s="91">
        <v>1140</v>
      </c>
      <c r="E234" t="s">
        <v>565</v>
      </c>
      <c r="F234" t="s">
        <v>263</v>
      </c>
      <c r="G234" t="s">
        <v>253</v>
      </c>
      <c r="H234" t="s">
        <v>327</v>
      </c>
      <c r="I234" t="s">
        <v>359</v>
      </c>
      <c r="J234" s="91">
        <v>-1140</v>
      </c>
      <c r="K234" s="89">
        <v>1140</v>
      </c>
      <c r="L234" s="91">
        <v>-1140</v>
      </c>
      <c r="M234" t="s">
        <v>396</v>
      </c>
    </row>
    <row r="235" spans="1:13" x14ac:dyDescent="0.35">
      <c r="A235">
        <v>1</v>
      </c>
      <c r="B235" s="28">
        <v>43983</v>
      </c>
      <c r="C235" t="s">
        <v>187</v>
      </c>
      <c r="D235" s="91">
        <v>250.84</v>
      </c>
      <c r="E235" t="s">
        <v>564</v>
      </c>
      <c r="F235" t="s">
        <v>263</v>
      </c>
      <c r="G235" t="s">
        <v>253</v>
      </c>
      <c r="H235" t="s">
        <v>327</v>
      </c>
      <c r="I235" t="s">
        <v>360</v>
      </c>
      <c r="J235" s="91">
        <v>250.84</v>
      </c>
      <c r="K235" s="89">
        <v>250.84</v>
      </c>
      <c r="L235" s="91">
        <v>250.84</v>
      </c>
      <c r="M235" t="s">
        <v>396</v>
      </c>
    </row>
    <row r="236" spans="1:13" x14ac:dyDescent="0.35">
      <c r="A236">
        <v>1</v>
      </c>
      <c r="B236" s="28">
        <v>43983</v>
      </c>
      <c r="C236" t="s">
        <v>34</v>
      </c>
      <c r="D236" s="91">
        <v>250.84</v>
      </c>
      <c r="E236" t="s">
        <v>563</v>
      </c>
      <c r="F236" t="s">
        <v>263</v>
      </c>
      <c r="G236" t="s">
        <v>253</v>
      </c>
      <c r="H236" t="s">
        <v>327</v>
      </c>
      <c r="I236" t="s">
        <v>361</v>
      </c>
      <c r="J236" s="91">
        <v>-250.84</v>
      </c>
      <c r="K236" s="89">
        <v>250.84</v>
      </c>
      <c r="L236" s="91">
        <v>-250.84</v>
      </c>
      <c r="M236" t="s">
        <v>396</v>
      </c>
    </row>
    <row r="237" spans="1:13" x14ac:dyDescent="0.35">
      <c r="A237">
        <v>1</v>
      </c>
      <c r="B237" s="28">
        <v>43983</v>
      </c>
      <c r="C237" t="s">
        <v>34</v>
      </c>
      <c r="D237" s="91">
        <v>63.21</v>
      </c>
      <c r="E237" t="s">
        <v>561</v>
      </c>
      <c r="F237" t="s">
        <v>264</v>
      </c>
      <c r="G237" t="s">
        <v>568</v>
      </c>
      <c r="H237" t="s">
        <v>325</v>
      </c>
      <c r="I237" t="s">
        <v>362</v>
      </c>
      <c r="J237" s="91">
        <v>-63.21</v>
      </c>
      <c r="K237" s="89">
        <v>63.21</v>
      </c>
      <c r="L237" s="91">
        <v>-63.21</v>
      </c>
      <c r="M237" t="s">
        <v>396</v>
      </c>
    </row>
    <row r="238" spans="1:13" x14ac:dyDescent="0.35">
      <c r="A238">
        <v>1</v>
      </c>
      <c r="B238" s="28">
        <v>43983</v>
      </c>
      <c r="C238" t="s">
        <v>34</v>
      </c>
      <c r="D238" s="91">
        <v>45.52</v>
      </c>
      <c r="E238" t="s">
        <v>561</v>
      </c>
      <c r="F238" t="s">
        <v>575</v>
      </c>
      <c r="G238" t="s">
        <v>569</v>
      </c>
      <c r="H238" t="s">
        <v>325</v>
      </c>
      <c r="I238" t="s">
        <v>362</v>
      </c>
      <c r="J238" s="91">
        <v>-45.52</v>
      </c>
      <c r="K238" s="89">
        <v>45.52</v>
      </c>
      <c r="L238" s="91">
        <v>-45.52</v>
      </c>
    </row>
    <row r="239" spans="1:13" x14ac:dyDescent="0.35">
      <c r="A239">
        <v>1</v>
      </c>
      <c r="B239" s="28">
        <v>43983</v>
      </c>
      <c r="C239" t="s">
        <v>34</v>
      </c>
      <c r="D239" s="91">
        <v>17.7</v>
      </c>
      <c r="E239" t="s">
        <v>561</v>
      </c>
      <c r="F239" t="s">
        <v>265</v>
      </c>
      <c r="G239" t="s">
        <v>569</v>
      </c>
      <c r="H239" t="s">
        <v>325</v>
      </c>
      <c r="I239" t="s">
        <v>362</v>
      </c>
      <c r="J239" s="91">
        <v>-17.7</v>
      </c>
      <c r="K239" s="89">
        <v>17.7</v>
      </c>
      <c r="L239" s="91">
        <v>-17.7</v>
      </c>
    </row>
    <row r="240" spans="1:13" x14ac:dyDescent="0.35">
      <c r="A240">
        <v>1</v>
      </c>
      <c r="B240" s="28">
        <v>43983</v>
      </c>
      <c r="C240" t="s">
        <v>34</v>
      </c>
      <c r="D240" s="91">
        <v>63.22</v>
      </c>
      <c r="E240" t="s">
        <v>561</v>
      </c>
      <c r="F240" t="s">
        <v>266</v>
      </c>
      <c r="G240" t="s">
        <v>570</v>
      </c>
      <c r="H240" t="s">
        <v>325</v>
      </c>
      <c r="I240" t="s">
        <v>362</v>
      </c>
      <c r="J240" s="91">
        <v>-63.22</v>
      </c>
      <c r="K240" s="89">
        <v>63.22</v>
      </c>
      <c r="L240" s="91">
        <v>-63.22</v>
      </c>
    </row>
    <row r="241" spans="1:13" x14ac:dyDescent="0.35">
      <c r="A241">
        <v>1</v>
      </c>
      <c r="B241" s="28">
        <v>43983</v>
      </c>
      <c r="C241" t="s">
        <v>34</v>
      </c>
      <c r="D241" s="91">
        <v>63.22</v>
      </c>
      <c r="E241" t="s">
        <v>561</v>
      </c>
      <c r="F241" t="s">
        <v>267</v>
      </c>
      <c r="G241" t="s">
        <v>566</v>
      </c>
      <c r="H241" t="s">
        <v>325</v>
      </c>
      <c r="I241" t="s">
        <v>362</v>
      </c>
      <c r="J241" s="91">
        <v>-63.22</v>
      </c>
      <c r="K241" s="89">
        <v>63.22</v>
      </c>
      <c r="L241" s="91">
        <v>-63.22</v>
      </c>
    </row>
    <row r="242" spans="1:13" x14ac:dyDescent="0.35">
      <c r="A242">
        <v>1</v>
      </c>
      <c r="B242" s="28">
        <v>43983</v>
      </c>
      <c r="C242" t="s">
        <v>187</v>
      </c>
      <c r="D242" s="91">
        <v>26.47</v>
      </c>
      <c r="E242" t="s">
        <v>562</v>
      </c>
      <c r="F242" t="s">
        <v>264</v>
      </c>
      <c r="G242" t="s">
        <v>568</v>
      </c>
      <c r="H242" t="s">
        <v>325</v>
      </c>
      <c r="I242" t="s">
        <v>363</v>
      </c>
      <c r="J242" s="91">
        <v>26.47</v>
      </c>
      <c r="K242" s="89">
        <v>26.47</v>
      </c>
      <c r="L242" s="91">
        <v>26.47</v>
      </c>
      <c r="M242" t="s">
        <v>396</v>
      </c>
    </row>
    <row r="243" spans="1:13" x14ac:dyDescent="0.35">
      <c r="A243">
        <v>1</v>
      </c>
      <c r="B243" s="28">
        <v>43983</v>
      </c>
      <c r="C243" t="s">
        <v>187</v>
      </c>
      <c r="D243" s="91">
        <v>19.059999999999999</v>
      </c>
      <c r="E243" t="s">
        <v>562</v>
      </c>
      <c r="F243" t="s">
        <v>575</v>
      </c>
      <c r="G243" t="s">
        <v>569</v>
      </c>
      <c r="H243" t="s">
        <v>325</v>
      </c>
      <c r="I243" t="s">
        <v>363</v>
      </c>
      <c r="J243" s="91">
        <v>19.059999999999999</v>
      </c>
      <c r="K243" s="89">
        <v>19.059999999999999</v>
      </c>
      <c r="L243" s="91">
        <v>19.059999999999999</v>
      </c>
    </row>
    <row r="244" spans="1:13" x14ac:dyDescent="0.35">
      <c r="A244">
        <v>1</v>
      </c>
      <c r="B244" s="28">
        <v>43983</v>
      </c>
      <c r="C244" t="s">
        <v>187</v>
      </c>
      <c r="D244" s="91">
        <v>7.41</v>
      </c>
      <c r="E244" t="s">
        <v>562</v>
      </c>
      <c r="F244" t="s">
        <v>265</v>
      </c>
      <c r="G244" t="s">
        <v>569</v>
      </c>
      <c r="H244" t="s">
        <v>325</v>
      </c>
      <c r="I244" t="s">
        <v>363</v>
      </c>
      <c r="J244" s="91">
        <v>7.41</v>
      </c>
      <c r="K244" s="89">
        <v>7.41</v>
      </c>
      <c r="L244" s="91">
        <v>7.41</v>
      </c>
    </row>
    <row r="245" spans="1:13" x14ac:dyDescent="0.35">
      <c r="A245">
        <v>1</v>
      </c>
      <c r="B245" s="28">
        <v>43983</v>
      </c>
      <c r="C245" t="s">
        <v>187</v>
      </c>
      <c r="D245" s="91">
        <v>26.48</v>
      </c>
      <c r="E245" t="s">
        <v>562</v>
      </c>
      <c r="F245" t="s">
        <v>266</v>
      </c>
      <c r="G245" t="s">
        <v>570</v>
      </c>
      <c r="H245" t="s">
        <v>325</v>
      </c>
      <c r="I245" t="s">
        <v>363</v>
      </c>
      <c r="J245" s="91">
        <v>26.48</v>
      </c>
      <c r="K245" s="89">
        <v>26.48</v>
      </c>
      <c r="L245" s="91">
        <v>26.48</v>
      </c>
    </row>
    <row r="246" spans="1:13" x14ac:dyDescent="0.35">
      <c r="A246">
        <v>1</v>
      </c>
      <c r="B246" s="28">
        <v>43983</v>
      </c>
      <c r="C246" t="s">
        <v>187</v>
      </c>
      <c r="D246" s="91">
        <v>26.48</v>
      </c>
      <c r="E246" t="s">
        <v>562</v>
      </c>
      <c r="F246" t="s">
        <v>267</v>
      </c>
      <c r="G246" t="s">
        <v>566</v>
      </c>
      <c r="H246" t="s">
        <v>325</v>
      </c>
      <c r="I246" t="s">
        <v>363</v>
      </c>
      <c r="J246" s="91">
        <v>26.48</v>
      </c>
      <c r="K246" s="89">
        <v>26.48</v>
      </c>
      <c r="L246" s="91">
        <v>26.48</v>
      </c>
    </row>
    <row r="247" spans="1:13" x14ac:dyDescent="0.35">
      <c r="A247">
        <v>1</v>
      </c>
      <c r="B247" s="28">
        <v>43983</v>
      </c>
      <c r="C247" t="s">
        <v>187</v>
      </c>
      <c r="D247" s="91">
        <v>196.93</v>
      </c>
      <c r="E247" t="s">
        <v>563</v>
      </c>
      <c r="F247" t="s">
        <v>264</v>
      </c>
      <c r="G247" t="s">
        <v>568</v>
      </c>
      <c r="H247" t="s">
        <v>325</v>
      </c>
      <c r="I247" t="s">
        <v>364</v>
      </c>
      <c r="J247" s="91">
        <v>196.93</v>
      </c>
      <c r="K247" s="89">
        <v>196.93</v>
      </c>
      <c r="L247" s="91">
        <v>196.93</v>
      </c>
      <c r="M247" t="s">
        <v>396</v>
      </c>
    </row>
    <row r="248" spans="1:13" x14ac:dyDescent="0.35">
      <c r="A248">
        <v>1</v>
      </c>
      <c r="B248" s="28">
        <v>43983</v>
      </c>
      <c r="C248" t="s">
        <v>187</v>
      </c>
      <c r="D248" s="91">
        <v>141.78</v>
      </c>
      <c r="E248" t="s">
        <v>563</v>
      </c>
      <c r="F248" t="s">
        <v>575</v>
      </c>
      <c r="G248" t="s">
        <v>569</v>
      </c>
      <c r="H248" t="s">
        <v>325</v>
      </c>
      <c r="I248" t="s">
        <v>364</v>
      </c>
      <c r="J248" s="91">
        <v>141.78</v>
      </c>
      <c r="K248" s="89">
        <v>141.78</v>
      </c>
      <c r="L248" s="91">
        <v>141.78</v>
      </c>
    </row>
    <row r="249" spans="1:13" x14ac:dyDescent="0.35">
      <c r="A249">
        <v>1</v>
      </c>
      <c r="B249" s="28">
        <v>43983</v>
      </c>
      <c r="C249" t="s">
        <v>187</v>
      </c>
      <c r="D249" s="91">
        <v>55.14</v>
      </c>
      <c r="E249" t="s">
        <v>563</v>
      </c>
      <c r="F249" t="s">
        <v>265</v>
      </c>
      <c r="G249" t="s">
        <v>569</v>
      </c>
      <c r="H249" t="s">
        <v>325</v>
      </c>
      <c r="I249" t="s">
        <v>364</v>
      </c>
      <c r="J249" s="91">
        <v>55.14</v>
      </c>
      <c r="K249" s="89">
        <v>55.14</v>
      </c>
      <c r="L249" s="91">
        <v>55.14</v>
      </c>
    </row>
    <row r="250" spans="1:13" x14ac:dyDescent="0.35">
      <c r="A250">
        <v>1</v>
      </c>
      <c r="B250" s="28">
        <v>43983</v>
      </c>
      <c r="C250" t="s">
        <v>187</v>
      </c>
      <c r="D250" s="91">
        <v>196.92</v>
      </c>
      <c r="E250" t="s">
        <v>563</v>
      </c>
      <c r="F250" t="s">
        <v>266</v>
      </c>
      <c r="G250" t="s">
        <v>570</v>
      </c>
      <c r="H250" t="s">
        <v>325</v>
      </c>
      <c r="I250" t="s">
        <v>364</v>
      </c>
      <c r="J250" s="91">
        <v>196.92</v>
      </c>
      <c r="K250" s="89">
        <v>196.92</v>
      </c>
      <c r="L250" s="91">
        <v>196.92</v>
      </c>
    </row>
    <row r="251" spans="1:13" x14ac:dyDescent="0.35">
      <c r="A251">
        <v>1</v>
      </c>
      <c r="B251" s="28">
        <v>43983</v>
      </c>
      <c r="C251" t="s">
        <v>187</v>
      </c>
      <c r="D251" s="91">
        <v>196.92</v>
      </c>
      <c r="E251" t="s">
        <v>563</v>
      </c>
      <c r="F251" t="s">
        <v>267</v>
      </c>
      <c r="G251" t="s">
        <v>566</v>
      </c>
      <c r="H251" t="s">
        <v>325</v>
      </c>
      <c r="I251" t="s">
        <v>364</v>
      </c>
      <c r="J251" s="91">
        <v>196.92</v>
      </c>
      <c r="K251" s="89">
        <v>196.92</v>
      </c>
      <c r="L251" s="91">
        <v>196.92</v>
      </c>
    </row>
    <row r="252" spans="1:13" x14ac:dyDescent="0.35">
      <c r="A252">
        <v>1</v>
      </c>
      <c r="B252" s="28">
        <v>43983</v>
      </c>
      <c r="C252" t="s">
        <v>187</v>
      </c>
      <c r="D252" s="91">
        <v>464.82</v>
      </c>
      <c r="E252" t="s">
        <v>564</v>
      </c>
      <c r="F252" t="s">
        <v>264</v>
      </c>
      <c r="G252" t="s">
        <v>568</v>
      </c>
      <c r="H252" t="s">
        <v>325</v>
      </c>
      <c r="I252" t="s">
        <v>365</v>
      </c>
      <c r="J252" s="91">
        <v>464.82</v>
      </c>
      <c r="K252" s="89">
        <v>464.82</v>
      </c>
      <c r="L252" s="91">
        <v>464.82</v>
      </c>
      <c r="M252" t="s">
        <v>396</v>
      </c>
    </row>
    <row r="253" spans="1:13" x14ac:dyDescent="0.35">
      <c r="A253">
        <v>1</v>
      </c>
      <c r="B253" s="28">
        <v>43983</v>
      </c>
      <c r="C253" t="s">
        <v>187</v>
      </c>
      <c r="D253" s="91">
        <v>334.67</v>
      </c>
      <c r="E253" t="s">
        <v>564</v>
      </c>
      <c r="F253" t="s">
        <v>575</v>
      </c>
      <c r="G253" t="s">
        <v>569</v>
      </c>
      <c r="H253" t="s">
        <v>325</v>
      </c>
      <c r="I253" t="s">
        <v>365</v>
      </c>
      <c r="J253" s="91">
        <v>334.67</v>
      </c>
      <c r="K253" s="89">
        <v>334.67</v>
      </c>
      <c r="L253" s="91">
        <v>334.67</v>
      </c>
    </row>
    <row r="254" spans="1:13" x14ac:dyDescent="0.35">
      <c r="A254">
        <v>1</v>
      </c>
      <c r="B254" s="28">
        <v>43983</v>
      </c>
      <c r="C254" t="s">
        <v>187</v>
      </c>
      <c r="D254" s="91">
        <v>130.15</v>
      </c>
      <c r="E254" t="s">
        <v>564</v>
      </c>
      <c r="F254" t="s">
        <v>265</v>
      </c>
      <c r="G254" t="s">
        <v>569</v>
      </c>
      <c r="H254" t="s">
        <v>325</v>
      </c>
      <c r="I254" t="s">
        <v>365</v>
      </c>
      <c r="J254" s="91">
        <v>130.15</v>
      </c>
      <c r="K254" s="89">
        <v>130.15</v>
      </c>
      <c r="L254" s="91">
        <v>130.15</v>
      </c>
    </row>
    <row r="255" spans="1:13" x14ac:dyDescent="0.35">
      <c r="A255">
        <v>1</v>
      </c>
      <c r="B255" s="28">
        <v>43983</v>
      </c>
      <c r="C255" t="s">
        <v>187</v>
      </c>
      <c r="D255" s="91">
        <v>464.82</v>
      </c>
      <c r="E255" t="s">
        <v>564</v>
      </c>
      <c r="F255" t="s">
        <v>266</v>
      </c>
      <c r="G255" t="s">
        <v>570</v>
      </c>
      <c r="H255" t="s">
        <v>325</v>
      </c>
      <c r="I255" t="s">
        <v>365</v>
      </c>
      <c r="J255" s="91">
        <v>464.82</v>
      </c>
      <c r="K255" s="89">
        <v>464.82</v>
      </c>
      <c r="L255" s="91">
        <v>464.82</v>
      </c>
    </row>
    <row r="256" spans="1:13" x14ac:dyDescent="0.35">
      <c r="A256">
        <v>1</v>
      </c>
      <c r="B256" s="28">
        <v>43983</v>
      </c>
      <c r="C256" t="s">
        <v>187</v>
      </c>
      <c r="D256" s="91">
        <v>464.82</v>
      </c>
      <c r="E256" t="s">
        <v>564</v>
      </c>
      <c r="F256" t="s">
        <v>267</v>
      </c>
      <c r="G256" t="s">
        <v>566</v>
      </c>
      <c r="H256" t="s">
        <v>325</v>
      </c>
      <c r="I256" t="s">
        <v>365</v>
      </c>
      <c r="J256" s="91">
        <v>464.82</v>
      </c>
      <c r="K256" s="89">
        <v>464.82</v>
      </c>
      <c r="L256" s="91">
        <v>464.82</v>
      </c>
    </row>
    <row r="257" spans="1:13" x14ac:dyDescent="0.35">
      <c r="A257">
        <v>1</v>
      </c>
      <c r="B257" s="28">
        <v>43983</v>
      </c>
      <c r="C257" t="s">
        <v>34</v>
      </c>
      <c r="D257" s="91">
        <v>625</v>
      </c>
      <c r="E257" t="s">
        <v>565</v>
      </c>
      <c r="F257" t="s">
        <v>264</v>
      </c>
      <c r="G257" t="s">
        <v>568</v>
      </c>
      <c r="H257" t="s">
        <v>325</v>
      </c>
      <c r="I257" t="s">
        <v>366</v>
      </c>
      <c r="J257" s="91">
        <v>-625</v>
      </c>
      <c r="K257" s="89">
        <v>625</v>
      </c>
      <c r="L257" s="91">
        <v>-625</v>
      </c>
      <c r="M257" t="s">
        <v>396</v>
      </c>
    </row>
    <row r="258" spans="1:13" x14ac:dyDescent="0.35">
      <c r="A258">
        <v>1</v>
      </c>
      <c r="B258" s="28">
        <v>43983</v>
      </c>
      <c r="C258" t="s">
        <v>34</v>
      </c>
      <c r="D258" s="91">
        <v>450</v>
      </c>
      <c r="E258" t="s">
        <v>565</v>
      </c>
      <c r="F258" t="s">
        <v>575</v>
      </c>
      <c r="G258" t="s">
        <v>569</v>
      </c>
      <c r="H258" t="s">
        <v>325</v>
      </c>
      <c r="I258" t="s">
        <v>366</v>
      </c>
      <c r="J258" s="91">
        <v>-450</v>
      </c>
      <c r="K258" s="89">
        <v>450</v>
      </c>
      <c r="L258" s="91">
        <v>-450</v>
      </c>
    </row>
    <row r="259" spans="1:13" x14ac:dyDescent="0.35">
      <c r="A259">
        <v>1</v>
      </c>
      <c r="B259" s="28">
        <v>43983</v>
      </c>
      <c r="C259" t="s">
        <v>34</v>
      </c>
      <c r="D259" s="91">
        <v>175</v>
      </c>
      <c r="E259" t="s">
        <v>565</v>
      </c>
      <c r="F259" t="s">
        <v>265</v>
      </c>
      <c r="G259" t="s">
        <v>569</v>
      </c>
      <c r="H259" t="s">
        <v>325</v>
      </c>
      <c r="I259" t="s">
        <v>366</v>
      </c>
      <c r="J259" s="91">
        <v>-175</v>
      </c>
      <c r="K259" s="89">
        <v>175</v>
      </c>
      <c r="L259" s="91">
        <v>-175</v>
      </c>
    </row>
    <row r="260" spans="1:13" x14ac:dyDescent="0.35">
      <c r="A260">
        <v>1</v>
      </c>
      <c r="B260" s="28">
        <v>43983</v>
      </c>
      <c r="C260" t="s">
        <v>34</v>
      </c>
      <c r="D260" s="91">
        <v>625</v>
      </c>
      <c r="E260" t="s">
        <v>565</v>
      </c>
      <c r="F260" t="s">
        <v>266</v>
      </c>
      <c r="G260" t="s">
        <v>570</v>
      </c>
      <c r="H260" t="s">
        <v>325</v>
      </c>
      <c r="I260" t="s">
        <v>366</v>
      </c>
      <c r="J260" s="91">
        <v>-625</v>
      </c>
      <c r="K260" s="89">
        <v>625</v>
      </c>
      <c r="L260" s="91">
        <v>-625</v>
      </c>
    </row>
    <row r="261" spans="1:13" x14ac:dyDescent="0.35">
      <c r="A261">
        <v>1</v>
      </c>
      <c r="B261" s="28">
        <v>43983</v>
      </c>
      <c r="C261" t="s">
        <v>34</v>
      </c>
      <c r="D261" s="91">
        <v>625</v>
      </c>
      <c r="E261" t="s">
        <v>565</v>
      </c>
      <c r="F261" t="s">
        <v>267</v>
      </c>
      <c r="G261" t="s">
        <v>566</v>
      </c>
      <c r="H261" t="s">
        <v>325</v>
      </c>
      <c r="I261" t="s">
        <v>366</v>
      </c>
      <c r="J261" s="91">
        <v>-625</v>
      </c>
      <c r="K261" s="89">
        <v>625</v>
      </c>
      <c r="L261" s="91">
        <v>-625</v>
      </c>
    </row>
    <row r="262" spans="1:13" x14ac:dyDescent="0.35">
      <c r="A262">
        <v>1</v>
      </c>
      <c r="B262" s="28">
        <v>43983</v>
      </c>
      <c r="C262" t="s">
        <v>187</v>
      </c>
      <c r="D262" s="91">
        <v>196.93</v>
      </c>
      <c r="E262" t="s">
        <v>564</v>
      </c>
      <c r="F262" t="s">
        <v>264</v>
      </c>
      <c r="G262" t="s">
        <v>568</v>
      </c>
      <c r="H262" t="s">
        <v>325</v>
      </c>
      <c r="I262" t="s">
        <v>367</v>
      </c>
      <c r="J262" s="91">
        <v>196.93</v>
      </c>
      <c r="K262" s="89">
        <v>196.93</v>
      </c>
      <c r="L262" s="91">
        <v>196.93</v>
      </c>
      <c r="M262" t="s">
        <v>396</v>
      </c>
    </row>
    <row r="263" spans="1:13" x14ac:dyDescent="0.35">
      <c r="A263">
        <v>1</v>
      </c>
      <c r="B263" s="28">
        <v>43983</v>
      </c>
      <c r="C263" t="s">
        <v>187</v>
      </c>
      <c r="D263" s="91">
        <v>141.78</v>
      </c>
      <c r="E263" t="s">
        <v>564</v>
      </c>
      <c r="F263" t="s">
        <v>575</v>
      </c>
      <c r="G263" t="s">
        <v>569</v>
      </c>
      <c r="H263" t="s">
        <v>325</v>
      </c>
      <c r="I263" t="s">
        <v>367</v>
      </c>
      <c r="J263" s="91">
        <v>141.78</v>
      </c>
      <c r="K263" s="89">
        <v>141.78</v>
      </c>
      <c r="L263" s="91">
        <v>141.78</v>
      </c>
    </row>
    <row r="264" spans="1:13" x14ac:dyDescent="0.35">
      <c r="A264">
        <v>1</v>
      </c>
      <c r="B264" s="28">
        <v>43983</v>
      </c>
      <c r="C264" t="s">
        <v>187</v>
      </c>
      <c r="D264" s="91">
        <v>55.14</v>
      </c>
      <c r="E264" t="s">
        <v>564</v>
      </c>
      <c r="F264" t="s">
        <v>265</v>
      </c>
      <c r="G264" t="s">
        <v>569</v>
      </c>
      <c r="H264" t="s">
        <v>325</v>
      </c>
      <c r="I264" t="s">
        <v>367</v>
      </c>
      <c r="J264" s="91">
        <v>55.14</v>
      </c>
      <c r="K264" s="89">
        <v>55.14</v>
      </c>
      <c r="L264" s="91">
        <v>55.14</v>
      </c>
    </row>
    <row r="265" spans="1:13" x14ac:dyDescent="0.35">
      <c r="A265">
        <v>1</v>
      </c>
      <c r="B265" s="28">
        <v>43983</v>
      </c>
      <c r="C265" t="s">
        <v>187</v>
      </c>
      <c r="D265" s="91">
        <v>196.92</v>
      </c>
      <c r="E265" t="s">
        <v>564</v>
      </c>
      <c r="F265" t="s">
        <v>266</v>
      </c>
      <c r="G265" t="s">
        <v>570</v>
      </c>
      <c r="H265" t="s">
        <v>325</v>
      </c>
      <c r="I265" t="s">
        <v>367</v>
      </c>
      <c r="J265" s="91">
        <v>196.92</v>
      </c>
      <c r="K265" s="89">
        <v>196.92</v>
      </c>
      <c r="L265" s="91">
        <v>196.92</v>
      </c>
    </row>
    <row r="266" spans="1:13" x14ac:dyDescent="0.35">
      <c r="A266">
        <v>1</v>
      </c>
      <c r="B266" s="28">
        <v>43983</v>
      </c>
      <c r="C266" t="s">
        <v>187</v>
      </c>
      <c r="D266" s="91">
        <v>196.92</v>
      </c>
      <c r="E266" t="s">
        <v>564</v>
      </c>
      <c r="F266" t="s">
        <v>267</v>
      </c>
      <c r="G266" t="s">
        <v>566</v>
      </c>
      <c r="H266" t="s">
        <v>325</v>
      </c>
      <c r="I266" t="s">
        <v>367</v>
      </c>
      <c r="J266" s="91">
        <v>196.92</v>
      </c>
      <c r="K266" s="89">
        <v>196.92</v>
      </c>
      <c r="L266" s="91">
        <v>196.92</v>
      </c>
    </row>
    <row r="267" spans="1:13" x14ac:dyDescent="0.35">
      <c r="A267">
        <v>1</v>
      </c>
      <c r="B267" s="28">
        <v>43983</v>
      </c>
      <c r="C267" t="s">
        <v>34</v>
      </c>
      <c r="D267" s="91">
        <v>196.93</v>
      </c>
      <c r="E267" t="s">
        <v>563</v>
      </c>
      <c r="F267" t="s">
        <v>264</v>
      </c>
      <c r="G267" t="s">
        <v>568</v>
      </c>
      <c r="H267" t="s">
        <v>325</v>
      </c>
      <c r="I267" t="s">
        <v>368</v>
      </c>
      <c r="J267" s="91">
        <v>-196.93</v>
      </c>
      <c r="K267" s="89">
        <v>196.93</v>
      </c>
      <c r="L267" s="91">
        <v>-196.93</v>
      </c>
      <c r="M267" t="s">
        <v>396</v>
      </c>
    </row>
    <row r="268" spans="1:13" x14ac:dyDescent="0.35">
      <c r="A268">
        <v>1</v>
      </c>
      <c r="B268" s="28">
        <v>43983</v>
      </c>
      <c r="C268" t="s">
        <v>34</v>
      </c>
      <c r="D268" s="91">
        <v>141.78</v>
      </c>
      <c r="E268" t="s">
        <v>563</v>
      </c>
      <c r="F268" t="s">
        <v>575</v>
      </c>
      <c r="G268" t="s">
        <v>569</v>
      </c>
      <c r="H268" t="s">
        <v>325</v>
      </c>
      <c r="I268" t="s">
        <v>368</v>
      </c>
      <c r="J268" s="91">
        <v>-141.78</v>
      </c>
      <c r="K268" s="89">
        <v>141.78</v>
      </c>
      <c r="L268" s="91">
        <v>-141.78</v>
      </c>
    </row>
    <row r="269" spans="1:13" x14ac:dyDescent="0.35">
      <c r="A269">
        <v>1</v>
      </c>
      <c r="B269" s="28">
        <v>43983</v>
      </c>
      <c r="C269" t="s">
        <v>34</v>
      </c>
      <c r="D269" s="91">
        <v>55.14</v>
      </c>
      <c r="E269" t="s">
        <v>563</v>
      </c>
      <c r="F269" t="s">
        <v>265</v>
      </c>
      <c r="G269" t="s">
        <v>569</v>
      </c>
      <c r="H269" t="s">
        <v>325</v>
      </c>
      <c r="I269" t="s">
        <v>368</v>
      </c>
      <c r="J269" s="91">
        <v>-55.14</v>
      </c>
      <c r="K269" s="89">
        <v>55.14</v>
      </c>
      <c r="L269" s="91">
        <v>-55.14</v>
      </c>
    </row>
    <row r="270" spans="1:13" x14ac:dyDescent="0.35">
      <c r="A270">
        <v>1</v>
      </c>
      <c r="B270" s="28">
        <v>43983</v>
      </c>
      <c r="C270" t="s">
        <v>34</v>
      </c>
      <c r="D270" s="91">
        <v>196.92</v>
      </c>
      <c r="E270" t="s">
        <v>563</v>
      </c>
      <c r="F270" t="s">
        <v>266</v>
      </c>
      <c r="G270" t="s">
        <v>570</v>
      </c>
      <c r="H270" t="s">
        <v>325</v>
      </c>
      <c r="I270" t="s">
        <v>368</v>
      </c>
      <c r="J270" s="91">
        <v>-196.92</v>
      </c>
      <c r="K270" s="89">
        <v>196.92</v>
      </c>
      <c r="L270" s="91">
        <v>-196.92</v>
      </c>
    </row>
    <row r="271" spans="1:13" x14ac:dyDescent="0.35">
      <c r="A271">
        <v>1</v>
      </c>
      <c r="B271" s="28">
        <v>43983</v>
      </c>
      <c r="C271" t="s">
        <v>34</v>
      </c>
      <c r="D271" s="91">
        <v>196.92</v>
      </c>
      <c r="E271" t="s">
        <v>563</v>
      </c>
      <c r="F271" t="s">
        <v>267</v>
      </c>
      <c r="G271" t="s">
        <v>566</v>
      </c>
      <c r="H271" t="s">
        <v>325</v>
      </c>
      <c r="I271" t="s">
        <v>368</v>
      </c>
      <c r="J271" s="91">
        <v>-196.92</v>
      </c>
      <c r="K271" s="89">
        <v>196.92</v>
      </c>
      <c r="L271" s="91">
        <v>-196.92</v>
      </c>
    </row>
    <row r="272" spans="1:13" x14ac:dyDescent="0.35">
      <c r="A272">
        <v>1</v>
      </c>
      <c r="B272" s="28">
        <v>43983</v>
      </c>
      <c r="C272" t="s">
        <v>34</v>
      </c>
      <c r="D272" s="91">
        <v>16.079999999999998</v>
      </c>
      <c r="E272" t="s">
        <v>561</v>
      </c>
      <c r="F272" t="s">
        <v>268</v>
      </c>
      <c r="G272" t="s">
        <v>571</v>
      </c>
      <c r="H272" t="s">
        <v>320</v>
      </c>
      <c r="I272" t="s">
        <v>369</v>
      </c>
      <c r="J272" s="91">
        <v>-16.079999999999998</v>
      </c>
      <c r="K272" s="89">
        <v>16.079999999999998</v>
      </c>
      <c r="L272" s="91">
        <v>-16.079999999999998</v>
      </c>
      <c r="M272" t="s">
        <v>396</v>
      </c>
    </row>
    <row r="273" spans="1:13" x14ac:dyDescent="0.35">
      <c r="A273">
        <v>1</v>
      </c>
      <c r="B273" s="28">
        <v>43983</v>
      </c>
      <c r="C273" t="s">
        <v>34</v>
      </c>
      <c r="D273" s="91">
        <v>72.33</v>
      </c>
      <c r="E273" t="s">
        <v>561</v>
      </c>
      <c r="F273" t="s">
        <v>269</v>
      </c>
      <c r="G273" t="s">
        <v>254</v>
      </c>
      <c r="H273" t="s">
        <v>320</v>
      </c>
      <c r="I273" t="s">
        <v>369</v>
      </c>
      <c r="J273" s="91">
        <v>-72.33</v>
      </c>
      <c r="K273" s="89">
        <v>72.33</v>
      </c>
      <c r="L273" s="91">
        <v>-72.33</v>
      </c>
    </row>
    <row r="274" spans="1:13" x14ac:dyDescent="0.35">
      <c r="A274">
        <v>1</v>
      </c>
      <c r="B274" s="28">
        <v>43983</v>
      </c>
      <c r="C274" t="s">
        <v>34</v>
      </c>
      <c r="D274" s="91">
        <v>28.94</v>
      </c>
      <c r="E274" t="s">
        <v>561</v>
      </c>
      <c r="F274" t="s">
        <v>270</v>
      </c>
      <c r="G274" t="s">
        <v>567</v>
      </c>
      <c r="H274" t="s">
        <v>320</v>
      </c>
      <c r="I274" t="s">
        <v>369</v>
      </c>
      <c r="J274" s="91">
        <v>-28.94</v>
      </c>
      <c r="K274" s="89">
        <v>28.94</v>
      </c>
      <c r="L274" s="91">
        <v>-28.94</v>
      </c>
    </row>
    <row r="275" spans="1:13" x14ac:dyDescent="0.35">
      <c r="A275">
        <v>1</v>
      </c>
      <c r="B275" s="28">
        <v>43983</v>
      </c>
      <c r="C275" t="s">
        <v>34</v>
      </c>
      <c r="D275" s="91">
        <v>43.41</v>
      </c>
      <c r="E275" t="s">
        <v>561</v>
      </c>
      <c r="F275" t="s">
        <v>304</v>
      </c>
      <c r="G275" t="s">
        <v>569</v>
      </c>
      <c r="H275" t="s">
        <v>320</v>
      </c>
      <c r="I275" t="s">
        <v>369</v>
      </c>
      <c r="J275" s="91">
        <v>-43.41</v>
      </c>
      <c r="K275" s="89">
        <v>43.41</v>
      </c>
      <c r="L275" s="91">
        <v>-43.41</v>
      </c>
    </row>
    <row r="276" spans="1:13" x14ac:dyDescent="0.35">
      <c r="A276">
        <v>1</v>
      </c>
      <c r="B276" s="28">
        <v>43983</v>
      </c>
      <c r="C276" t="s">
        <v>187</v>
      </c>
      <c r="D276" s="91">
        <v>30.81</v>
      </c>
      <c r="E276" t="s">
        <v>563</v>
      </c>
      <c r="F276" t="s">
        <v>268</v>
      </c>
      <c r="G276" t="s">
        <v>571</v>
      </c>
      <c r="H276" t="s">
        <v>320</v>
      </c>
      <c r="I276" t="s">
        <v>370</v>
      </c>
      <c r="J276" s="91">
        <v>30.81</v>
      </c>
      <c r="K276" s="89">
        <v>30.81</v>
      </c>
      <c r="L276" s="91">
        <v>30.81</v>
      </c>
      <c r="M276" t="s">
        <v>396</v>
      </c>
    </row>
    <row r="277" spans="1:13" x14ac:dyDescent="0.35">
      <c r="A277">
        <v>1</v>
      </c>
      <c r="B277" s="28">
        <v>43983</v>
      </c>
      <c r="C277" t="s">
        <v>187</v>
      </c>
      <c r="D277" s="91">
        <v>138.62</v>
      </c>
      <c r="E277" t="s">
        <v>563</v>
      </c>
      <c r="F277" t="s">
        <v>269</v>
      </c>
      <c r="G277" t="s">
        <v>254</v>
      </c>
      <c r="H277" t="s">
        <v>320</v>
      </c>
      <c r="I277" t="s">
        <v>370</v>
      </c>
      <c r="J277" s="91">
        <v>138.62</v>
      </c>
      <c r="K277" s="89">
        <v>138.62</v>
      </c>
      <c r="L277" s="91">
        <v>138.62</v>
      </c>
    </row>
    <row r="278" spans="1:13" x14ac:dyDescent="0.35">
      <c r="A278">
        <v>1</v>
      </c>
      <c r="B278" s="28">
        <v>43983</v>
      </c>
      <c r="C278" t="s">
        <v>187</v>
      </c>
      <c r="D278" s="91">
        <v>55.45</v>
      </c>
      <c r="E278" t="s">
        <v>563</v>
      </c>
      <c r="F278" t="s">
        <v>270</v>
      </c>
      <c r="G278" t="s">
        <v>567</v>
      </c>
      <c r="H278" t="s">
        <v>320</v>
      </c>
      <c r="I278" t="s">
        <v>370</v>
      </c>
      <c r="J278" s="91">
        <v>55.45</v>
      </c>
      <c r="K278" s="89">
        <v>55.45</v>
      </c>
      <c r="L278" s="91">
        <v>55.45</v>
      </c>
    </row>
    <row r="279" spans="1:13" x14ac:dyDescent="0.35">
      <c r="A279">
        <v>1</v>
      </c>
      <c r="B279" s="28">
        <v>43983</v>
      </c>
      <c r="C279" t="s">
        <v>187</v>
      </c>
      <c r="D279" s="91">
        <v>83.18</v>
      </c>
      <c r="E279" t="s">
        <v>563</v>
      </c>
      <c r="F279" t="s">
        <v>304</v>
      </c>
      <c r="G279" t="s">
        <v>569</v>
      </c>
      <c r="H279" t="s">
        <v>320</v>
      </c>
      <c r="I279" t="s">
        <v>370</v>
      </c>
      <c r="J279" s="91">
        <v>83.18</v>
      </c>
      <c r="K279" s="89">
        <v>83.18</v>
      </c>
      <c r="L279" s="91">
        <v>83.18</v>
      </c>
    </row>
    <row r="280" spans="1:13" x14ac:dyDescent="0.35">
      <c r="A280">
        <v>1</v>
      </c>
      <c r="B280" s="28">
        <v>43983</v>
      </c>
      <c r="C280" t="s">
        <v>187</v>
      </c>
      <c r="D280" s="91">
        <v>139.12</v>
      </c>
      <c r="E280" t="s">
        <v>564</v>
      </c>
      <c r="F280" t="s">
        <v>268</v>
      </c>
      <c r="G280" t="s">
        <v>571</v>
      </c>
      <c r="H280" t="s">
        <v>320</v>
      </c>
      <c r="I280" t="s">
        <v>371</v>
      </c>
      <c r="J280" s="91">
        <v>139.12</v>
      </c>
      <c r="K280" s="89">
        <v>139.12</v>
      </c>
      <c r="L280" s="91">
        <v>139.12</v>
      </c>
      <c r="M280" t="s">
        <v>396</v>
      </c>
    </row>
    <row r="281" spans="1:13" x14ac:dyDescent="0.35">
      <c r="A281">
        <v>1</v>
      </c>
      <c r="B281" s="28">
        <v>43983</v>
      </c>
      <c r="C281" t="s">
        <v>187</v>
      </c>
      <c r="D281" s="91">
        <v>626.02</v>
      </c>
      <c r="E281" t="s">
        <v>564</v>
      </c>
      <c r="F281" t="s">
        <v>269</v>
      </c>
      <c r="G281" t="s">
        <v>254</v>
      </c>
      <c r="H281" t="s">
        <v>320</v>
      </c>
      <c r="I281" t="s">
        <v>371</v>
      </c>
      <c r="J281" s="91">
        <v>626.02</v>
      </c>
      <c r="K281" s="89">
        <v>626.02</v>
      </c>
      <c r="L281" s="91">
        <v>626.02</v>
      </c>
    </row>
    <row r="282" spans="1:13" x14ac:dyDescent="0.35">
      <c r="A282">
        <v>1</v>
      </c>
      <c r="B282" s="28">
        <v>43983</v>
      </c>
      <c r="C282" t="s">
        <v>187</v>
      </c>
      <c r="D282" s="91">
        <v>250.41</v>
      </c>
      <c r="E282" t="s">
        <v>564</v>
      </c>
      <c r="F282" t="s">
        <v>270</v>
      </c>
      <c r="G282" t="s">
        <v>567</v>
      </c>
      <c r="H282" t="s">
        <v>320</v>
      </c>
      <c r="I282" t="s">
        <v>371</v>
      </c>
      <c r="J282" s="91">
        <v>250.41</v>
      </c>
      <c r="K282" s="89">
        <v>250.41</v>
      </c>
      <c r="L282" s="91">
        <v>250.41</v>
      </c>
    </row>
    <row r="283" spans="1:13" x14ac:dyDescent="0.35">
      <c r="A283">
        <v>1</v>
      </c>
      <c r="B283" s="28">
        <v>43983</v>
      </c>
      <c r="C283" t="s">
        <v>187</v>
      </c>
      <c r="D283" s="91">
        <v>375.61</v>
      </c>
      <c r="E283" t="s">
        <v>564</v>
      </c>
      <c r="F283" t="s">
        <v>304</v>
      </c>
      <c r="G283" t="s">
        <v>569</v>
      </c>
      <c r="H283" t="s">
        <v>320</v>
      </c>
      <c r="I283" t="s">
        <v>371</v>
      </c>
      <c r="J283" s="91">
        <v>375.61</v>
      </c>
      <c r="K283" s="89">
        <v>375.61</v>
      </c>
      <c r="L283" s="91">
        <v>375.61</v>
      </c>
    </row>
    <row r="284" spans="1:13" x14ac:dyDescent="0.35">
      <c r="A284">
        <v>1</v>
      </c>
      <c r="B284" s="28">
        <v>43983</v>
      </c>
      <c r="C284" t="s">
        <v>34</v>
      </c>
      <c r="D284" s="91">
        <v>153.85</v>
      </c>
      <c r="E284" t="s">
        <v>565</v>
      </c>
      <c r="F284" t="s">
        <v>268</v>
      </c>
      <c r="G284" t="s">
        <v>571</v>
      </c>
      <c r="H284" t="s">
        <v>320</v>
      </c>
      <c r="I284" t="s">
        <v>372</v>
      </c>
      <c r="J284" s="91">
        <v>-153.85</v>
      </c>
      <c r="K284" s="89">
        <v>153.85</v>
      </c>
      <c r="L284" s="91">
        <v>-153.85</v>
      </c>
      <c r="M284" t="s">
        <v>396</v>
      </c>
    </row>
    <row r="285" spans="1:13" x14ac:dyDescent="0.35">
      <c r="A285">
        <v>1</v>
      </c>
      <c r="B285" s="28">
        <v>43983</v>
      </c>
      <c r="C285" t="s">
        <v>34</v>
      </c>
      <c r="D285" s="91">
        <v>692.31</v>
      </c>
      <c r="E285" t="s">
        <v>565</v>
      </c>
      <c r="F285" t="s">
        <v>269</v>
      </c>
      <c r="G285" t="s">
        <v>254</v>
      </c>
      <c r="H285" t="s">
        <v>320</v>
      </c>
      <c r="I285" t="s">
        <v>372</v>
      </c>
      <c r="J285" s="91">
        <v>-692.31</v>
      </c>
      <c r="K285" s="89">
        <v>692.31</v>
      </c>
      <c r="L285" s="91">
        <v>-692.31</v>
      </c>
    </row>
    <row r="286" spans="1:13" x14ac:dyDescent="0.35">
      <c r="A286">
        <v>1</v>
      </c>
      <c r="B286" s="28">
        <v>43983</v>
      </c>
      <c r="C286" t="s">
        <v>34</v>
      </c>
      <c r="D286" s="91">
        <v>276.92</v>
      </c>
      <c r="E286" t="s">
        <v>565</v>
      </c>
      <c r="F286" t="s">
        <v>270</v>
      </c>
      <c r="G286" t="s">
        <v>567</v>
      </c>
      <c r="H286" t="s">
        <v>320</v>
      </c>
      <c r="I286" t="s">
        <v>372</v>
      </c>
      <c r="J286" s="91">
        <v>-276.92</v>
      </c>
      <c r="K286" s="89">
        <v>276.92</v>
      </c>
      <c r="L286" s="91">
        <v>-276.92</v>
      </c>
    </row>
    <row r="287" spans="1:13" x14ac:dyDescent="0.35">
      <c r="A287">
        <v>1</v>
      </c>
      <c r="B287" s="28">
        <v>43983</v>
      </c>
      <c r="C287" t="s">
        <v>34</v>
      </c>
      <c r="D287" s="91">
        <v>415.38</v>
      </c>
      <c r="E287" t="s">
        <v>565</v>
      </c>
      <c r="F287" t="s">
        <v>304</v>
      </c>
      <c r="G287" t="s">
        <v>569</v>
      </c>
      <c r="H287" t="s">
        <v>320</v>
      </c>
      <c r="I287" t="s">
        <v>372</v>
      </c>
      <c r="J287" s="91">
        <v>-415.38</v>
      </c>
      <c r="K287" s="89">
        <v>415.38</v>
      </c>
      <c r="L287" s="91">
        <v>-415.38</v>
      </c>
    </row>
    <row r="288" spans="1:13" x14ac:dyDescent="0.35">
      <c r="A288">
        <v>1</v>
      </c>
      <c r="B288" s="28">
        <v>43983</v>
      </c>
      <c r="C288" t="s">
        <v>187</v>
      </c>
      <c r="D288" s="91">
        <v>30.81</v>
      </c>
      <c r="E288" t="s">
        <v>564</v>
      </c>
      <c r="F288" t="s">
        <v>268</v>
      </c>
      <c r="G288" t="s">
        <v>571</v>
      </c>
      <c r="H288" t="s">
        <v>320</v>
      </c>
      <c r="I288" t="s">
        <v>373</v>
      </c>
      <c r="J288" s="91">
        <v>30.81</v>
      </c>
      <c r="K288" s="89">
        <v>30.81</v>
      </c>
      <c r="L288" s="91">
        <v>30.81</v>
      </c>
      <c r="M288" t="s">
        <v>396</v>
      </c>
    </row>
    <row r="289" spans="1:13" x14ac:dyDescent="0.35">
      <c r="A289">
        <v>1</v>
      </c>
      <c r="B289" s="28">
        <v>43983</v>
      </c>
      <c r="C289" t="s">
        <v>187</v>
      </c>
      <c r="D289" s="91">
        <v>138.62</v>
      </c>
      <c r="E289" t="s">
        <v>564</v>
      </c>
      <c r="F289" t="s">
        <v>269</v>
      </c>
      <c r="G289" t="s">
        <v>254</v>
      </c>
      <c r="H289" t="s">
        <v>320</v>
      </c>
      <c r="I289" t="s">
        <v>373</v>
      </c>
      <c r="J289" s="91">
        <v>138.62</v>
      </c>
      <c r="K289" s="89">
        <v>138.62</v>
      </c>
      <c r="L289" s="91">
        <v>138.62</v>
      </c>
    </row>
    <row r="290" spans="1:13" x14ac:dyDescent="0.35">
      <c r="A290">
        <v>1</v>
      </c>
      <c r="B290" s="28">
        <v>43983</v>
      </c>
      <c r="C290" t="s">
        <v>187</v>
      </c>
      <c r="D290" s="91">
        <v>55.45</v>
      </c>
      <c r="E290" t="s">
        <v>564</v>
      </c>
      <c r="F290" t="s">
        <v>270</v>
      </c>
      <c r="G290" t="s">
        <v>567</v>
      </c>
      <c r="H290" t="s">
        <v>320</v>
      </c>
      <c r="I290" t="s">
        <v>373</v>
      </c>
      <c r="J290" s="91">
        <v>55.45</v>
      </c>
      <c r="K290" s="89">
        <v>55.45</v>
      </c>
      <c r="L290" s="91">
        <v>55.45</v>
      </c>
    </row>
    <row r="291" spans="1:13" x14ac:dyDescent="0.35">
      <c r="A291">
        <v>1</v>
      </c>
      <c r="B291" s="28">
        <v>43983</v>
      </c>
      <c r="C291" t="s">
        <v>187</v>
      </c>
      <c r="D291" s="91">
        <v>83.18</v>
      </c>
      <c r="E291" t="s">
        <v>564</v>
      </c>
      <c r="F291" t="s">
        <v>304</v>
      </c>
      <c r="G291" t="s">
        <v>569</v>
      </c>
      <c r="H291" t="s">
        <v>320</v>
      </c>
      <c r="I291" t="s">
        <v>373</v>
      </c>
      <c r="J291" s="91">
        <v>83.18</v>
      </c>
      <c r="K291" s="89">
        <v>83.18</v>
      </c>
      <c r="L291" s="91">
        <v>83.18</v>
      </c>
    </row>
    <row r="292" spans="1:13" x14ac:dyDescent="0.35">
      <c r="A292">
        <v>1</v>
      </c>
      <c r="B292" s="28">
        <v>43983</v>
      </c>
      <c r="C292" t="s">
        <v>34</v>
      </c>
      <c r="D292" s="91">
        <v>30.81</v>
      </c>
      <c r="E292" t="s">
        <v>563</v>
      </c>
      <c r="F292" t="s">
        <v>268</v>
      </c>
      <c r="G292" t="s">
        <v>571</v>
      </c>
      <c r="H292" t="s">
        <v>320</v>
      </c>
      <c r="I292" t="s">
        <v>374</v>
      </c>
      <c r="J292" s="91">
        <v>-30.81</v>
      </c>
      <c r="K292" s="89">
        <v>30.81</v>
      </c>
      <c r="L292" s="91">
        <v>-30.81</v>
      </c>
      <c r="M292" t="s">
        <v>396</v>
      </c>
    </row>
    <row r="293" spans="1:13" x14ac:dyDescent="0.35">
      <c r="A293">
        <v>1</v>
      </c>
      <c r="B293" s="28">
        <v>43983</v>
      </c>
      <c r="C293" t="s">
        <v>34</v>
      </c>
      <c r="D293" s="91">
        <v>138.62</v>
      </c>
      <c r="E293" t="s">
        <v>563</v>
      </c>
      <c r="F293" t="s">
        <v>269</v>
      </c>
      <c r="G293" t="s">
        <v>254</v>
      </c>
      <c r="H293" t="s">
        <v>320</v>
      </c>
      <c r="I293" t="s">
        <v>374</v>
      </c>
      <c r="J293" s="91">
        <v>-138.62</v>
      </c>
      <c r="K293" s="89">
        <v>138.62</v>
      </c>
      <c r="L293" s="91">
        <v>-138.62</v>
      </c>
    </row>
    <row r="294" spans="1:13" x14ac:dyDescent="0.35">
      <c r="A294">
        <v>1</v>
      </c>
      <c r="B294" s="28">
        <v>43983</v>
      </c>
      <c r="C294" t="s">
        <v>34</v>
      </c>
      <c r="D294" s="91">
        <v>55.45</v>
      </c>
      <c r="E294" t="s">
        <v>563</v>
      </c>
      <c r="F294" t="s">
        <v>270</v>
      </c>
      <c r="G294" t="s">
        <v>567</v>
      </c>
      <c r="H294" t="s">
        <v>320</v>
      </c>
      <c r="I294" t="s">
        <v>374</v>
      </c>
      <c r="J294" s="91">
        <v>-55.45</v>
      </c>
      <c r="K294" s="89">
        <v>55.45</v>
      </c>
      <c r="L294" s="91">
        <v>-55.45</v>
      </c>
    </row>
    <row r="295" spans="1:13" x14ac:dyDescent="0.35">
      <c r="A295">
        <v>1</v>
      </c>
      <c r="B295" s="28">
        <v>43983</v>
      </c>
      <c r="C295" t="s">
        <v>34</v>
      </c>
      <c r="D295" s="91">
        <v>83.18</v>
      </c>
      <c r="E295" t="s">
        <v>563</v>
      </c>
      <c r="F295" t="s">
        <v>304</v>
      </c>
      <c r="G295" t="s">
        <v>569</v>
      </c>
      <c r="H295" t="s">
        <v>320</v>
      </c>
      <c r="I295" t="s">
        <v>374</v>
      </c>
      <c r="J295" s="91">
        <v>-83.18</v>
      </c>
      <c r="K295" s="89">
        <v>83.18</v>
      </c>
      <c r="L295" s="91">
        <v>-83.18</v>
      </c>
    </row>
    <row r="296" spans="1:13" x14ac:dyDescent="0.35">
      <c r="A296">
        <v>1</v>
      </c>
      <c r="B296" s="28">
        <v>43983</v>
      </c>
      <c r="C296" t="s">
        <v>34</v>
      </c>
      <c r="D296" s="91">
        <v>405.48</v>
      </c>
      <c r="E296" t="s">
        <v>561</v>
      </c>
      <c r="F296" t="s">
        <v>273</v>
      </c>
      <c r="G296" t="s">
        <v>574</v>
      </c>
      <c r="H296" t="s">
        <v>317</v>
      </c>
      <c r="I296" t="s">
        <v>375</v>
      </c>
      <c r="J296" s="91">
        <v>-405.48</v>
      </c>
      <c r="K296" s="89">
        <v>405.48</v>
      </c>
      <c r="L296" s="91">
        <v>-405.48</v>
      </c>
      <c r="M296" t="s">
        <v>396</v>
      </c>
    </row>
    <row r="297" spans="1:13" x14ac:dyDescent="0.35">
      <c r="A297">
        <v>1</v>
      </c>
      <c r="B297" s="28">
        <v>43983</v>
      </c>
      <c r="C297" t="s">
        <v>34</v>
      </c>
      <c r="D297" s="91">
        <v>45.05</v>
      </c>
      <c r="E297" t="s">
        <v>561</v>
      </c>
      <c r="F297" t="s">
        <v>274</v>
      </c>
      <c r="G297" t="s">
        <v>85</v>
      </c>
      <c r="H297" t="s">
        <v>317</v>
      </c>
      <c r="I297" t="s">
        <v>375</v>
      </c>
      <c r="J297" s="91">
        <v>-45.05</v>
      </c>
      <c r="K297" s="89">
        <v>45.05</v>
      </c>
      <c r="L297" s="91">
        <v>-45.05</v>
      </c>
    </row>
    <row r="298" spans="1:13" x14ac:dyDescent="0.35">
      <c r="A298">
        <v>1</v>
      </c>
      <c r="B298" s="28">
        <v>43983</v>
      </c>
      <c r="C298" t="s">
        <v>187</v>
      </c>
      <c r="D298" s="91">
        <v>380.77</v>
      </c>
      <c r="E298" t="s">
        <v>562</v>
      </c>
      <c r="F298" t="s">
        <v>273</v>
      </c>
      <c r="G298" t="s">
        <v>574</v>
      </c>
      <c r="H298" t="s">
        <v>317</v>
      </c>
      <c r="I298" t="s">
        <v>376</v>
      </c>
      <c r="J298" s="91">
        <v>380.77</v>
      </c>
      <c r="K298" s="89">
        <v>380.77</v>
      </c>
      <c r="L298" s="91">
        <v>380.77</v>
      </c>
      <c r="M298" t="s">
        <v>396</v>
      </c>
    </row>
    <row r="299" spans="1:13" x14ac:dyDescent="0.35">
      <c r="A299">
        <v>1</v>
      </c>
      <c r="B299" s="28">
        <v>43983</v>
      </c>
      <c r="C299" t="s">
        <v>187</v>
      </c>
      <c r="D299" s="91">
        <v>42.31</v>
      </c>
      <c r="E299" t="s">
        <v>562</v>
      </c>
      <c r="F299" t="s">
        <v>274</v>
      </c>
      <c r="G299" t="s">
        <v>85</v>
      </c>
      <c r="H299" t="s">
        <v>317</v>
      </c>
      <c r="I299" t="s">
        <v>376</v>
      </c>
      <c r="J299" s="91">
        <v>42.31</v>
      </c>
      <c r="K299" s="89">
        <v>42.31</v>
      </c>
      <c r="L299" s="91">
        <v>42.31</v>
      </c>
    </row>
    <row r="300" spans="1:13" x14ac:dyDescent="0.35">
      <c r="A300">
        <v>1</v>
      </c>
      <c r="B300" s="28">
        <v>43983</v>
      </c>
      <c r="C300" t="s">
        <v>187</v>
      </c>
      <c r="D300" s="91">
        <v>1727.85</v>
      </c>
      <c r="E300" t="s">
        <v>563</v>
      </c>
      <c r="F300" t="s">
        <v>273</v>
      </c>
      <c r="G300" t="s">
        <v>574</v>
      </c>
      <c r="H300" t="s">
        <v>317</v>
      </c>
      <c r="I300" t="s">
        <v>377</v>
      </c>
      <c r="J300" s="91">
        <v>1727.85</v>
      </c>
      <c r="K300" s="89">
        <v>1727.85</v>
      </c>
      <c r="L300" s="91">
        <v>1727.85</v>
      </c>
      <c r="M300" t="s">
        <v>396</v>
      </c>
    </row>
    <row r="301" spans="1:13" x14ac:dyDescent="0.35">
      <c r="A301">
        <v>1</v>
      </c>
      <c r="B301" s="28">
        <v>43983</v>
      </c>
      <c r="C301" t="s">
        <v>187</v>
      </c>
      <c r="D301" s="91">
        <v>191.98</v>
      </c>
      <c r="E301" t="s">
        <v>563</v>
      </c>
      <c r="F301" t="s">
        <v>274</v>
      </c>
      <c r="G301" t="s">
        <v>85</v>
      </c>
      <c r="H301" t="s">
        <v>317</v>
      </c>
      <c r="I301" t="s">
        <v>377</v>
      </c>
      <c r="J301" s="91">
        <v>191.98</v>
      </c>
      <c r="K301" s="89">
        <v>191.98</v>
      </c>
      <c r="L301" s="91">
        <v>191.98</v>
      </c>
    </row>
    <row r="302" spans="1:13" x14ac:dyDescent="0.35">
      <c r="A302">
        <v>1</v>
      </c>
      <c r="B302" s="28">
        <v>43983</v>
      </c>
      <c r="C302" t="s">
        <v>187</v>
      </c>
      <c r="D302" s="91">
        <v>3662.24</v>
      </c>
      <c r="E302" t="s">
        <v>564</v>
      </c>
      <c r="F302" t="s">
        <v>273</v>
      </c>
      <c r="G302" t="s">
        <v>574</v>
      </c>
      <c r="H302" t="s">
        <v>317</v>
      </c>
      <c r="I302" t="s">
        <v>378</v>
      </c>
      <c r="J302" s="91">
        <v>3662.24</v>
      </c>
      <c r="K302" s="89">
        <v>3662.24</v>
      </c>
      <c r="L302" s="91">
        <v>3662.24</v>
      </c>
      <c r="M302" t="s">
        <v>396</v>
      </c>
    </row>
    <row r="303" spans="1:13" x14ac:dyDescent="0.35">
      <c r="A303">
        <v>1</v>
      </c>
      <c r="B303" s="28">
        <v>43983</v>
      </c>
      <c r="C303" t="s">
        <v>187</v>
      </c>
      <c r="D303" s="91">
        <v>406.92</v>
      </c>
      <c r="E303" t="s">
        <v>564</v>
      </c>
      <c r="F303" t="s">
        <v>274</v>
      </c>
      <c r="G303" t="s">
        <v>85</v>
      </c>
      <c r="H303" t="s">
        <v>317</v>
      </c>
      <c r="I303" t="s">
        <v>378</v>
      </c>
      <c r="J303" s="91">
        <v>406.92</v>
      </c>
      <c r="K303" s="89">
        <v>406.92</v>
      </c>
      <c r="L303" s="91">
        <v>406.92</v>
      </c>
    </row>
    <row r="304" spans="1:13" x14ac:dyDescent="0.35">
      <c r="A304">
        <v>1</v>
      </c>
      <c r="B304" s="28">
        <v>43983</v>
      </c>
      <c r="C304" t="s">
        <v>34</v>
      </c>
      <c r="D304" s="91">
        <v>5365.39</v>
      </c>
      <c r="E304" t="s">
        <v>565</v>
      </c>
      <c r="F304" t="s">
        <v>273</v>
      </c>
      <c r="G304" t="s">
        <v>574</v>
      </c>
      <c r="H304" t="s">
        <v>317</v>
      </c>
      <c r="I304" t="s">
        <v>379</v>
      </c>
      <c r="J304" s="91">
        <v>-5365.39</v>
      </c>
      <c r="K304" s="89">
        <v>5365.39</v>
      </c>
      <c r="L304" s="91">
        <v>-5365.39</v>
      </c>
      <c r="M304" t="s">
        <v>396</v>
      </c>
    </row>
    <row r="305" spans="1:13" x14ac:dyDescent="0.35">
      <c r="A305">
        <v>1</v>
      </c>
      <c r="B305" s="28">
        <v>43983</v>
      </c>
      <c r="C305" t="s">
        <v>34</v>
      </c>
      <c r="D305" s="91">
        <v>596.15</v>
      </c>
      <c r="E305" t="s">
        <v>565</v>
      </c>
      <c r="F305" t="s">
        <v>274</v>
      </c>
      <c r="G305" t="s">
        <v>85</v>
      </c>
      <c r="H305" t="s">
        <v>317</v>
      </c>
      <c r="I305" t="s">
        <v>379</v>
      </c>
      <c r="J305" s="91">
        <v>-596.15</v>
      </c>
      <c r="K305" s="89">
        <v>596.15</v>
      </c>
      <c r="L305" s="91">
        <v>-596.15</v>
      </c>
    </row>
    <row r="306" spans="1:13" x14ac:dyDescent="0.35">
      <c r="A306">
        <v>1</v>
      </c>
      <c r="B306" s="28">
        <v>43983</v>
      </c>
      <c r="C306" t="s">
        <v>187</v>
      </c>
      <c r="D306" s="91">
        <v>1727.85</v>
      </c>
      <c r="E306" t="s">
        <v>564</v>
      </c>
      <c r="F306" t="s">
        <v>273</v>
      </c>
      <c r="G306" t="s">
        <v>574</v>
      </c>
      <c r="H306" t="s">
        <v>317</v>
      </c>
      <c r="I306" t="s">
        <v>380</v>
      </c>
      <c r="J306" s="91">
        <v>1727.85</v>
      </c>
      <c r="K306" s="89">
        <v>1727.85</v>
      </c>
      <c r="L306" s="91">
        <v>1727.85</v>
      </c>
      <c r="M306" t="s">
        <v>396</v>
      </c>
    </row>
    <row r="307" spans="1:13" x14ac:dyDescent="0.35">
      <c r="A307">
        <v>1</v>
      </c>
      <c r="B307" s="28">
        <v>43983</v>
      </c>
      <c r="C307" t="s">
        <v>187</v>
      </c>
      <c r="D307" s="91">
        <v>191.98</v>
      </c>
      <c r="E307" t="s">
        <v>564</v>
      </c>
      <c r="F307" t="s">
        <v>274</v>
      </c>
      <c r="G307" t="s">
        <v>85</v>
      </c>
      <c r="H307" t="s">
        <v>317</v>
      </c>
      <c r="I307" t="s">
        <v>380</v>
      </c>
      <c r="J307" s="91">
        <v>191.98</v>
      </c>
      <c r="K307" s="89">
        <v>191.98</v>
      </c>
      <c r="L307" s="91">
        <v>191.98</v>
      </c>
    </row>
    <row r="308" spans="1:13" x14ac:dyDescent="0.35">
      <c r="A308">
        <v>1</v>
      </c>
      <c r="B308" s="28">
        <v>43983</v>
      </c>
      <c r="C308" t="s">
        <v>34</v>
      </c>
      <c r="D308" s="91">
        <v>1727.85</v>
      </c>
      <c r="E308" t="s">
        <v>563</v>
      </c>
      <c r="F308" t="s">
        <v>273</v>
      </c>
      <c r="G308" t="s">
        <v>574</v>
      </c>
      <c r="H308" t="s">
        <v>317</v>
      </c>
      <c r="I308" t="s">
        <v>381</v>
      </c>
      <c r="J308" s="91">
        <v>-1727.85</v>
      </c>
      <c r="K308" s="89">
        <v>1727.85</v>
      </c>
      <c r="L308" s="91">
        <v>-1727.85</v>
      </c>
      <c r="M308" t="s">
        <v>396</v>
      </c>
    </row>
    <row r="309" spans="1:13" x14ac:dyDescent="0.35">
      <c r="A309">
        <v>1</v>
      </c>
      <c r="B309" s="28">
        <v>43983</v>
      </c>
      <c r="C309" t="s">
        <v>34</v>
      </c>
      <c r="D309" s="91">
        <v>191.98</v>
      </c>
      <c r="E309" t="s">
        <v>563</v>
      </c>
      <c r="F309" t="s">
        <v>274</v>
      </c>
      <c r="G309" t="s">
        <v>85</v>
      </c>
      <c r="H309" t="s">
        <v>317</v>
      </c>
      <c r="I309" t="s">
        <v>381</v>
      </c>
      <c r="J309" s="91">
        <v>-191.98</v>
      </c>
      <c r="K309" s="89">
        <v>191.98</v>
      </c>
      <c r="L309" s="91">
        <v>-191.98</v>
      </c>
    </row>
    <row r="310" spans="1:13" x14ac:dyDescent="0.35">
      <c r="A310">
        <v>1</v>
      </c>
      <c r="B310" s="28">
        <v>43983</v>
      </c>
      <c r="C310" t="s">
        <v>34</v>
      </c>
      <c r="D310" s="91">
        <v>5.68</v>
      </c>
      <c r="E310" t="s">
        <v>561</v>
      </c>
      <c r="F310" t="s">
        <v>275</v>
      </c>
      <c r="G310" t="s">
        <v>572</v>
      </c>
      <c r="H310" t="s">
        <v>335</v>
      </c>
      <c r="I310" t="s">
        <v>402</v>
      </c>
      <c r="J310" s="91">
        <v>-5.68</v>
      </c>
      <c r="K310" s="89">
        <v>5.68</v>
      </c>
      <c r="L310" s="91">
        <v>-5.68</v>
      </c>
      <c r="M310" t="s">
        <v>396</v>
      </c>
    </row>
    <row r="311" spans="1:13" x14ac:dyDescent="0.35">
      <c r="A311">
        <v>1</v>
      </c>
      <c r="B311" s="28">
        <v>43983</v>
      </c>
      <c r="C311" t="s">
        <v>34</v>
      </c>
      <c r="D311" s="91">
        <v>25.55</v>
      </c>
      <c r="E311" t="s">
        <v>561</v>
      </c>
      <c r="F311" t="s">
        <v>271</v>
      </c>
      <c r="G311" t="s">
        <v>573</v>
      </c>
      <c r="H311" t="s">
        <v>335</v>
      </c>
      <c r="I311" t="s">
        <v>402</v>
      </c>
      <c r="J311" s="91">
        <v>-25.55</v>
      </c>
      <c r="K311" s="89">
        <v>25.55</v>
      </c>
      <c r="L311" s="91">
        <v>-25.55</v>
      </c>
    </row>
    <row r="312" spans="1:13" x14ac:dyDescent="0.35">
      <c r="A312">
        <v>1</v>
      </c>
      <c r="B312" s="28">
        <v>43983</v>
      </c>
      <c r="C312" t="s">
        <v>34</v>
      </c>
      <c r="D312" s="91">
        <v>252.7</v>
      </c>
      <c r="E312" t="s">
        <v>561</v>
      </c>
      <c r="F312" t="s">
        <v>202</v>
      </c>
      <c r="G312" t="s">
        <v>85</v>
      </c>
      <c r="H312" t="s">
        <v>335</v>
      </c>
      <c r="I312" t="s">
        <v>402</v>
      </c>
      <c r="J312" s="91">
        <v>-252.7</v>
      </c>
      <c r="K312" s="89">
        <v>252.7</v>
      </c>
      <c r="L312" s="91">
        <v>-252.7</v>
      </c>
    </row>
    <row r="313" spans="1:13" x14ac:dyDescent="0.35">
      <c r="A313">
        <v>1</v>
      </c>
      <c r="B313" s="28">
        <v>43983</v>
      </c>
      <c r="C313" t="s">
        <v>187</v>
      </c>
      <c r="D313" s="91">
        <v>5.67</v>
      </c>
      <c r="E313" t="s">
        <v>562</v>
      </c>
      <c r="F313" t="s">
        <v>275</v>
      </c>
      <c r="G313" t="s">
        <v>572</v>
      </c>
      <c r="H313" t="s">
        <v>335</v>
      </c>
      <c r="I313" t="s">
        <v>403</v>
      </c>
      <c r="J313" s="91">
        <v>5.67</v>
      </c>
      <c r="K313" s="89">
        <v>5.67</v>
      </c>
      <c r="L313" s="91">
        <v>5.67</v>
      </c>
      <c r="M313" t="s">
        <v>396</v>
      </c>
    </row>
    <row r="314" spans="1:13" x14ac:dyDescent="0.35">
      <c r="A314">
        <v>1</v>
      </c>
      <c r="B314" s="28">
        <v>43983</v>
      </c>
      <c r="C314" t="s">
        <v>187</v>
      </c>
      <c r="D314" s="91">
        <v>25.5</v>
      </c>
      <c r="E314" t="s">
        <v>562</v>
      </c>
      <c r="F314" t="s">
        <v>271</v>
      </c>
      <c r="G314" t="s">
        <v>573</v>
      </c>
      <c r="H314" t="s">
        <v>335</v>
      </c>
      <c r="I314" t="s">
        <v>403</v>
      </c>
      <c r="J314" s="91">
        <v>25.5</v>
      </c>
      <c r="K314" s="89">
        <v>25.5</v>
      </c>
      <c r="L314" s="91">
        <v>25.5</v>
      </c>
    </row>
    <row r="315" spans="1:13" x14ac:dyDescent="0.35">
      <c r="A315">
        <v>1</v>
      </c>
      <c r="B315" s="28">
        <v>43983</v>
      </c>
      <c r="C315" t="s">
        <v>187</v>
      </c>
      <c r="D315" s="91">
        <v>252.15</v>
      </c>
      <c r="E315" t="s">
        <v>562</v>
      </c>
      <c r="F315" t="s">
        <v>202</v>
      </c>
      <c r="G315" t="s">
        <v>85</v>
      </c>
      <c r="H315" t="s">
        <v>335</v>
      </c>
      <c r="I315" t="s">
        <v>403</v>
      </c>
      <c r="J315" s="91">
        <v>252.15</v>
      </c>
      <c r="K315" s="89">
        <v>252.15</v>
      </c>
      <c r="L315" s="91">
        <v>252.15</v>
      </c>
    </row>
    <row r="316" spans="1:13" x14ac:dyDescent="0.35">
      <c r="A316">
        <v>1</v>
      </c>
      <c r="B316" s="28">
        <v>43983</v>
      </c>
      <c r="C316" t="s">
        <v>187</v>
      </c>
      <c r="D316" s="91">
        <v>21.62</v>
      </c>
      <c r="E316" t="s">
        <v>563</v>
      </c>
      <c r="F316" t="s">
        <v>275</v>
      </c>
      <c r="G316" t="s">
        <v>572</v>
      </c>
      <c r="H316" t="s">
        <v>335</v>
      </c>
      <c r="I316" t="s">
        <v>404</v>
      </c>
      <c r="J316" s="91">
        <v>21.62</v>
      </c>
      <c r="K316" s="89">
        <v>21.62</v>
      </c>
      <c r="L316" s="91">
        <v>21.62</v>
      </c>
      <c r="M316" t="s">
        <v>396</v>
      </c>
    </row>
    <row r="317" spans="1:13" x14ac:dyDescent="0.35">
      <c r="A317">
        <v>1</v>
      </c>
      <c r="B317" s="28">
        <v>43983</v>
      </c>
      <c r="C317" t="s">
        <v>187</v>
      </c>
      <c r="D317" s="91">
        <v>97.31</v>
      </c>
      <c r="E317" t="s">
        <v>563</v>
      </c>
      <c r="F317" t="s">
        <v>271</v>
      </c>
      <c r="G317" t="s">
        <v>573</v>
      </c>
      <c r="H317" t="s">
        <v>335</v>
      </c>
      <c r="I317" t="s">
        <v>404</v>
      </c>
      <c r="J317" s="91">
        <v>97.31</v>
      </c>
      <c r="K317" s="89">
        <v>97.31</v>
      </c>
      <c r="L317" s="91">
        <v>97.31</v>
      </c>
    </row>
    <row r="318" spans="1:13" x14ac:dyDescent="0.35">
      <c r="A318">
        <v>1</v>
      </c>
      <c r="B318" s="28">
        <v>43983</v>
      </c>
      <c r="C318" t="s">
        <v>187</v>
      </c>
      <c r="D318" s="91">
        <v>962.27</v>
      </c>
      <c r="E318" t="s">
        <v>563</v>
      </c>
      <c r="F318" t="s">
        <v>202</v>
      </c>
      <c r="G318" t="s">
        <v>85</v>
      </c>
      <c r="H318" t="s">
        <v>335</v>
      </c>
      <c r="I318" t="s">
        <v>404</v>
      </c>
      <c r="J318" s="91">
        <v>962.27</v>
      </c>
      <c r="K318" s="89">
        <v>962.27</v>
      </c>
      <c r="L318" s="91">
        <v>962.27</v>
      </c>
    </row>
    <row r="319" spans="1:13" x14ac:dyDescent="0.35">
      <c r="A319">
        <v>1</v>
      </c>
      <c r="B319" s="28">
        <v>43983</v>
      </c>
      <c r="C319" t="s">
        <v>187</v>
      </c>
      <c r="D319" s="91">
        <v>54.54</v>
      </c>
      <c r="E319" t="s">
        <v>564</v>
      </c>
      <c r="F319" t="s">
        <v>275</v>
      </c>
      <c r="G319" t="s">
        <v>572</v>
      </c>
      <c r="H319" t="s">
        <v>335</v>
      </c>
      <c r="I319" t="s">
        <v>405</v>
      </c>
      <c r="J319" s="91">
        <v>54.54</v>
      </c>
      <c r="K319" s="89">
        <v>54.54</v>
      </c>
      <c r="L319" s="91">
        <v>54.54</v>
      </c>
      <c r="M319" t="s">
        <v>396</v>
      </c>
    </row>
    <row r="320" spans="1:13" x14ac:dyDescent="0.35">
      <c r="A320">
        <v>1</v>
      </c>
      <c r="B320" s="28">
        <v>43983</v>
      </c>
      <c r="C320" t="s">
        <v>187</v>
      </c>
      <c r="D320" s="91">
        <v>245.44</v>
      </c>
      <c r="E320" t="s">
        <v>564</v>
      </c>
      <c r="F320" t="s">
        <v>271</v>
      </c>
      <c r="G320" t="s">
        <v>573</v>
      </c>
      <c r="H320" t="s">
        <v>335</v>
      </c>
      <c r="I320" t="s">
        <v>405</v>
      </c>
      <c r="J320" s="91">
        <v>245.44</v>
      </c>
      <c r="K320" s="89">
        <v>245.44</v>
      </c>
      <c r="L320" s="91">
        <v>245.44</v>
      </c>
    </row>
    <row r="321" spans="1:13" x14ac:dyDescent="0.35">
      <c r="A321">
        <v>1</v>
      </c>
      <c r="B321" s="28">
        <v>43983</v>
      </c>
      <c r="C321" t="s">
        <v>187</v>
      </c>
      <c r="D321" s="91">
        <v>2427.13</v>
      </c>
      <c r="E321" t="s">
        <v>564</v>
      </c>
      <c r="F321" t="s">
        <v>202</v>
      </c>
      <c r="G321" t="s">
        <v>85</v>
      </c>
      <c r="H321" t="s">
        <v>335</v>
      </c>
      <c r="I321" t="s">
        <v>405</v>
      </c>
      <c r="J321" s="91">
        <v>2427.13</v>
      </c>
      <c r="K321" s="89">
        <v>2427.13</v>
      </c>
      <c r="L321" s="91">
        <v>2427.13</v>
      </c>
    </row>
    <row r="322" spans="1:13" x14ac:dyDescent="0.35">
      <c r="A322">
        <v>1</v>
      </c>
      <c r="B322" s="28">
        <v>43983</v>
      </c>
      <c r="C322" t="s">
        <v>34</v>
      </c>
      <c r="D322" s="91">
        <v>76.150000000000006</v>
      </c>
      <c r="E322" t="s">
        <v>565</v>
      </c>
      <c r="F322" t="s">
        <v>275</v>
      </c>
      <c r="G322" t="s">
        <v>572</v>
      </c>
      <c r="H322" t="s">
        <v>335</v>
      </c>
      <c r="I322" t="s">
        <v>406</v>
      </c>
      <c r="J322" s="91">
        <v>-76.150000000000006</v>
      </c>
      <c r="K322" s="89">
        <v>76.150000000000006</v>
      </c>
      <c r="L322" s="91">
        <v>-76.150000000000006</v>
      </c>
      <c r="M322" t="s">
        <v>396</v>
      </c>
    </row>
    <row r="323" spans="1:13" x14ac:dyDescent="0.35">
      <c r="A323">
        <v>1</v>
      </c>
      <c r="B323" s="28">
        <v>43983</v>
      </c>
      <c r="C323" t="s">
        <v>34</v>
      </c>
      <c r="D323" s="91">
        <v>342.69</v>
      </c>
      <c r="E323" t="s">
        <v>565</v>
      </c>
      <c r="F323" t="s">
        <v>271</v>
      </c>
      <c r="G323" t="s">
        <v>573</v>
      </c>
      <c r="H323" t="s">
        <v>335</v>
      </c>
      <c r="I323" t="s">
        <v>406</v>
      </c>
      <c r="J323" s="91">
        <v>-342.69</v>
      </c>
      <c r="K323" s="89">
        <v>342.69</v>
      </c>
      <c r="L323" s="91">
        <v>-342.69</v>
      </c>
    </row>
    <row r="324" spans="1:13" x14ac:dyDescent="0.35">
      <c r="A324">
        <v>1</v>
      </c>
      <c r="B324" s="28">
        <v>43983</v>
      </c>
      <c r="C324" t="s">
        <v>34</v>
      </c>
      <c r="D324" s="91">
        <v>3388.86</v>
      </c>
      <c r="E324" t="s">
        <v>565</v>
      </c>
      <c r="F324" t="s">
        <v>202</v>
      </c>
      <c r="G324" t="s">
        <v>85</v>
      </c>
      <c r="H324" t="s">
        <v>335</v>
      </c>
      <c r="I324" t="s">
        <v>406</v>
      </c>
      <c r="J324" s="91">
        <v>-3388.86</v>
      </c>
      <c r="K324" s="89">
        <v>3388.86</v>
      </c>
      <c r="L324" s="91">
        <v>-3388.86</v>
      </c>
    </row>
    <row r="325" spans="1:13" x14ac:dyDescent="0.35">
      <c r="A325">
        <v>1</v>
      </c>
      <c r="B325" s="28">
        <v>43983</v>
      </c>
      <c r="C325" t="s">
        <v>187</v>
      </c>
      <c r="D325" s="91">
        <v>21.62</v>
      </c>
      <c r="E325" t="s">
        <v>564</v>
      </c>
      <c r="F325" t="s">
        <v>275</v>
      </c>
      <c r="G325" t="s">
        <v>572</v>
      </c>
      <c r="H325" t="s">
        <v>335</v>
      </c>
      <c r="I325" t="s">
        <v>407</v>
      </c>
      <c r="J325" s="91">
        <v>21.62</v>
      </c>
      <c r="K325" s="89">
        <v>21.62</v>
      </c>
      <c r="L325" s="91">
        <v>21.62</v>
      </c>
      <c r="M325" t="s">
        <v>396</v>
      </c>
    </row>
    <row r="326" spans="1:13" x14ac:dyDescent="0.35">
      <c r="A326">
        <v>1</v>
      </c>
      <c r="B326" s="28">
        <v>43983</v>
      </c>
      <c r="C326" t="s">
        <v>187</v>
      </c>
      <c r="D326" s="91">
        <v>97.31</v>
      </c>
      <c r="E326" t="s">
        <v>564</v>
      </c>
      <c r="F326" t="s">
        <v>271</v>
      </c>
      <c r="G326" t="s">
        <v>573</v>
      </c>
      <c r="H326" t="s">
        <v>335</v>
      </c>
      <c r="I326" t="s">
        <v>407</v>
      </c>
      <c r="J326" s="91">
        <v>97.31</v>
      </c>
      <c r="K326" s="89">
        <v>97.31</v>
      </c>
      <c r="L326" s="91">
        <v>97.31</v>
      </c>
    </row>
    <row r="327" spans="1:13" x14ac:dyDescent="0.35">
      <c r="A327">
        <v>1</v>
      </c>
      <c r="B327" s="28">
        <v>43983</v>
      </c>
      <c r="C327" t="s">
        <v>187</v>
      </c>
      <c r="D327" s="91">
        <v>962.27</v>
      </c>
      <c r="E327" t="s">
        <v>564</v>
      </c>
      <c r="F327" t="s">
        <v>202</v>
      </c>
      <c r="G327" t="s">
        <v>85</v>
      </c>
      <c r="H327" t="s">
        <v>335</v>
      </c>
      <c r="I327" t="s">
        <v>407</v>
      </c>
      <c r="J327" s="91">
        <v>962.27</v>
      </c>
      <c r="K327" s="89">
        <v>962.27</v>
      </c>
      <c r="L327" s="91">
        <v>962.27</v>
      </c>
    </row>
    <row r="328" spans="1:13" x14ac:dyDescent="0.35">
      <c r="A328">
        <v>1</v>
      </c>
      <c r="B328" s="28">
        <v>43983</v>
      </c>
      <c r="C328" t="s">
        <v>34</v>
      </c>
      <c r="D328" s="91">
        <v>21.62</v>
      </c>
      <c r="E328" t="s">
        <v>563</v>
      </c>
      <c r="F328" t="s">
        <v>275</v>
      </c>
      <c r="G328" t="s">
        <v>572</v>
      </c>
      <c r="H328" t="s">
        <v>335</v>
      </c>
      <c r="I328" t="s">
        <v>408</v>
      </c>
      <c r="J328" s="91">
        <v>-21.62</v>
      </c>
      <c r="K328" s="89">
        <v>21.62</v>
      </c>
      <c r="L328" s="91">
        <v>-21.62</v>
      </c>
      <c r="M328" t="s">
        <v>396</v>
      </c>
    </row>
    <row r="329" spans="1:13" x14ac:dyDescent="0.35">
      <c r="A329">
        <v>1</v>
      </c>
      <c r="B329" s="28">
        <v>43983</v>
      </c>
      <c r="C329" t="s">
        <v>34</v>
      </c>
      <c r="D329" s="91">
        <v>97.31</v>
      </c>
      <c r="E329" t="s">
        <v>563</v>
      </c>
      <c r="F329" t="s">
        <v>271</v>
      </c>
      <c r="G329" t="s">
        <v>573</v>
      </c>
      <c r="H329" t="s">
        <v>335</v>
      </c>
      <c r="I329" t="s">
        <v>408</v>
      </c>
      <c r="J329" s="91">
        <v>-97.31</v>
      </c>
      <c r="K329" s="89">
        <v>97.31</v>
      </c>
      <c r="L329" s="91">
        <v>-97.31</v>
      </c>
    </row>
    <row r="330" spans="1:13" x14ac:dyDescent="0.35">
      <c r="A330">
        <v>1</v>
      </c>
      <c r="B330" s="28">
        <v>43983</v>
      </c>
      <c r="C330" t="s">
        <v>34</v>
      </c>
      <c r="D330" s="91">
        <v>962.27</v>
      </c>
      <c r="E330" t="s">
        <v>563</v>
      </c>
      <c r="F330" t="s">
        <v>202</v>
      </c>
      <c r="G330" t="s">
        <v>85</v>
      </c>
      <c r="H330" t="s">
        <v>335</v>
      </c>
      <c r="I330" t="s">
        <v>408</v>
      </c>
      <c r="J330" s="91">
        <v>-962.27</v>
      </c>
      <c r="K330" s="89">
        <v>962.27</v>
      </c>
      <c r="L330" s="91">
        <v>-962.27</v>
      </c>
    </row>
    <row r="331" spans="1:13" x14ac:dyDescent="0.35">
      <c r="A331">
        <v>1</v>
      </c>
      <c r="B331" s="28">
        <v>43983</v>
      </c>
      <c r="C331" t="s">
        <v>34</v>
      </c>
      <c r="D331" s="91">
        <v>46.62</v>
      </c>
      <c r="E331" t="s">
        <v>561</v>
      </c>
      <c r="F331" t="s">
        <v>260</v>
      </c>
      <c r="G331" t="s">
        <v>566</v>
      </c>
      <c r="H331" t="s">
        <v>330</v>
      </c>
      <c r="I331" t="s">
        <v>382</v>
      </c>
      <c r="J331" s="91">
        <v>-46.62</v>
      </c>
      <c r="K331" s="89">
        <v>46.62</v>
      </c>
      <c r="L331" s="91">
        <v>-46.62</v>
      </c>
      <c r="M331" t="s">
        <v>396</v>
      </c>
    </row>
    <row r="332" spans="1:13" x14ac:dyDescent="0.35">
      <c r="A332">
        <v>1</v>
      </c>
      <c r="B332" s="28">
        <v>43983</v>
      </c>
      <c r="C332" t="s">
        <v>34</v>
      </c>
      <c r="D332" s="91">
        <v>55.95</v>
      </c>
      <c r="E332" t="s">
        <v>561</v>
      </c>
      <c r="F332" t="s">
        <v>262</v>
      </c>
      <c r="G332" t="s">
        <v>567</v>
      </c>
      <c r="H332" t="s">
        <v>330</v>
      </c>
      <c r="I332" t="s">
        <v>382</v>
      </c>
      <c r="J332" s="91">
        <v>-55.95</v>
      </c>
      <c r="K332" s="89">
        <v>55.95</v>
      </c>
      <c r="L332" s="91">
        <v>-55.95</v>
      </c>
    </row>
    <row r="333" spans="1:13" x14ac:dyDescent="0.35">
      <c r="A333">
        <v>1</v>
      </c>
      <c r="B333" s="28">
        <v>43983</v>
      </c>
      <c r="C333" t="s">
        <v>34</v>
      </c>
      <c r="D333" s="91">
        <v>0</v>
      </c>
      <c r="E333" t="s">
        <v>561</v>
      </c>
      <c r="F333" t="s">
        <v>264</v>
      </c>
      <c r="G333" t="s">
        <v>568</v>
      </c>
      <c r="H333" t="s">
        <v>330</v>
      </c>
      <c r="I333" t="s">
        <v>382</v>
      </c>
      <c r="J333" s="91">
        <v>0</v>
      </c>
      <c r="K333" s="89">
        <v>0</v>
      </c>
      <c r="L333" s="91">
        <v>0</v>
      </c>
    </row>
    <row r="334" spans="1:13" x14ac:dyDescent="0.35">
      <c r="A334">
        <v>1</v>
      </c>
      <c r="B334" s="28">
        <v>43983</v>
      </c>
      <c r="C334" t="s">
        <v>34</v>
      </c>
      <c r="D334" s="91">
        <v>11.66</v>
      </c>
      <c r="E334" t="s">
        <v>561</v>
      </c>
      <c r="F334" t="s">
        <v>265</v>
      </c>
      <c r="G334" t="s">
        <v>569</v>
      </c>
      <c r="H334" t="s">
        <v>330</v>
      </c>
      <c r="I334" t="s">
        <v>382</v>
      </c>
      <c r="J334" s="91">
        <v>-11.66</v>
      </c>
      <c r="K334" s="89">
        <v>11.66</v>
      </c>
      <c r="L334" s="91">
        <v>-11.66</v>
      </c>
    </row>
    <row r="335" spans="1:13" x14ac:dyDescent="0.35">
      <c r="A335">
        <v>1</v>
      </c>
      <c r="B335" s="28">
        <v>43983</v>
      </c>
      <c r="C335" t="s">
        <v>34</v>
      </c>
      <c r="D335" s="91">
        <v>9.32</v>
      </c>
      <c r="E335" t="s">
        <v>561</v>
      </c>
      <c r="F335" t="s">
        <v>266</v>
      </c>
      <c r="G335" t="s">
        <v>570</v>
      </c>
      <c r="H335" t="s">
        <v>330</v>
      </c>
      <c r="I335" t="s">
        <v>382</v>
      </c>
      <c r="J335" s="91">
        <v>-9.32</v>
      </c>
      <c r="K335" s="89">
        <v>9.32</v>
      </c>
      <c r="L335" s="91">
        <v>-9.32</v>
      </c>
    </row>
    <row r="336" spans="1:13" x14ac:dyDescent="0.35">
      <c r="A336">
        <v>1</v>
      </c>
      <c r="B336" s="28">
        <v>43983</v>
      </c>
      <c r="C336" t="s">
        <v>34</v>
      </c>
      <c r="D336" s="91">
        <v>4.66</v>
      </c>
      <c r="E336" t="s">
        <v>561</v>
      </c>
      <c r="F336" t="s">
        <v>267</v>
      </c>
      <c r="G336" t="s">
        <v>566</v>
      </c>
      <c r="H336" t="s">
        <v>330</v>
      </c>
      <c r="I336" t="s">
        <v>382</v>
      </c>
      <c r="J336" s="91">
        <v>-4.66</v>
      </c>
      <c r="K336" s="89">
        <v>4.66</v>
      </c>
      <c r="L336" s="91">
        <v>-4.66</v>
      </c>
    </row>
    <row r="337" spans="1:13" x14ac:dyDescent="0.35">
      <c r="A337">
        <v>1</v>
      </c>
      <c r="B337" s="28">
        <v>43983</v>
      </c>
      <c r="C337" t="s">
        <v>34</v>
      </c>
      <c r="D337" s="91">
        <v>13.99</v>
      </c>
      <c r="E337" t="s">
        <v>561</v>
      </c>
      <c r="F337" t="s">
        <v>268</v>
      </c>
      <c r="G337" t="s">
        <v>571</v>
      </c>
      <c r="H337" t="s">
        <v>330</v>
      </c>
      <c r="I337" t="s">
        <v>382</v>
      </c>
      <c r="J337" s="91">
        <v>-13.99</v>
      </c>
      <c r="K337" s="89">
        <v>13.99</v>
      </c>
      <c r="L337" s="91">
        <v>-13.99</v>
      </c>
    </row>
    <row r="338" spans="1:13" x14ac:dyDescent="0.35">
      <c r="A338">
        <v>1</v>
      </c>
      <c r="B338" s="28">
        <v>43983</v>
      </c>
      <c r="C338" t="s">
        <v>34</v>
      </c>
      <c r="D338" s="91">
        <v>90.91</v>
      </c>
      <c r="E338" t="s">
        <v>561</v>
      </c>
      <c r="F338" t="s">
        <v>269</v>
      </c>
      <c r="G338" t="s">
        <v>254</v>
      </c>
      <c r="H338" t="s">
        <v>330</v>
      </c>
      <c r="I338" t="s">
        <v>382</v>
      </c>
      <c r="J338" s="91">
        <v>-90.91</v>
      </c>
      <c r="K338" s="89">
        <v>90.91</v>
      </c>
      <c r="L338" s="91">
        <v>-90.91</v>
      </c>
    </row>
    <row r="339" spans="1:13" x14ac:dyDescent="0.35">
      <c r="A339">
        <v>1</v>
      </c>
      <c r="B339" s="28">
        <v>43983</v>
      </c>
      <c r="C339" t="s">
        <v>34</v>
      </c>
      <c r="D339" s="91">
        <v>0</v>
      </c>
      <c r="E339" t="s">
        <v>561</v>
      </c>
      <c r="F339" t="s">
        <v>270</v>
      </c>
      <c r="G339" t="s">
        <v>567</v>
      </c>
      <c r="H339" t="s">
        <v>330</v>
      </c>
      <c r="I339" t="s">
        <v>382</v>
      </c>
      <c r="J339" s="91">
        <v>0</v>
      </c>
      <c r="K339" s="89">
        <v>0</v>
      </c>
      <c r="L339" s="91">
        <v>0</v>
      </c>
    </row>
    <row r="340" spans="1:13" x14ac:dyDescent="0.35">
      <c r="A340">
        <v>1</v>
      </c>
      <c r="B340" s="28">
        <v>43983</v>
      </c>
      <c r="C340" t="s">
        <v>187</v>
      </c>
      <c r="D340" s="91">
        <v>100.65</v>
      </c>
      <c r="E340" t="s">
        <v>562</v>
      </c>
      <c r="F340" t="s">
        <v>260</v>
      </c>
      <c r="G340" t="s">
        <v>566</v>
      </c>
      <c r="H340" t="s">
        <v>330</v>
      </c>
      <c r="I340" t="s">
        <v>383</v>
      </c>
      <c r="J340" s="91">
        <v>100.65</v>
      </c>
      <c r="K340" s="89">
        <v>100.65</v>
      </c>
      <c r="L340" s="91">
        <v>100.65</v>
      </c>
      <c r="M340" t="s">
        <v>396</v>
      </c>
    </row>
    <row r="341" spans="1:13" x14ac:dyDescent="0.35">
      <c r="A341">
        <v>1</v>
      </c>
      <c r="B341" s="28">
        <v>43983</v>
      </c>
      <c r="C341" t="s">
        <v>187</v>
      </c>
      <c r="D341" s="91">
        <v>120.78</v>
      </c>
      <c r="E341" t="s">
        <v>562</v>
      </c>
      <c r="F341" t="s">
        <v>262</v>
      </c>
      <c r="G341" t="s">
        <v>567</v>
      </c>
      <c r="H341" t="s">
        <v>330</v>
      </c>
      <c r="I341" t="s">
        <v>383</v>
      </c>
      <c r="J341" s="91">
        <v>120.78</v>
      </c>
      <c r="K341" s="89">
        <v>120.78</v>
      </c>
      <c r="L341" s="91">
        <v>120.78</v>
      </c>
    </row>
    <row r="342" spans="1:13" x14ac:dyDescent="0.35">
      <c r="A342">
        <v>1</v>
      </c>
      <c r="B342" s="28">
        <v>43983</v>
      </c>
      <c r="C342" t="s">
        <v>187</v>
      </c>
      <c r="D342" s="91">
        <v>0</v>
      </c>
      <c r="E342" t="s">
        <v>562</v>
      </c>
      <c r="F342" t="s">
        <v>264</v>
      </c>
      <c r="G342" t="s">
        <v>568</v>
      </c>
      <c r="H342" t="s">
        <v>330</v>
      </c>
      <c r="I342" t="s">
        <v>383</v>
      </c>
      <c r="J342" s="91">
        <v>0</v>
      </c>
      <c r="K342" s="89">
        <v>0</v>
      </c>
      <c r="L342" s="91">
        <v>0</v>
      </c>
    </row>
    <row r="343" spans="1:13" x14ac:dyDescent="0.35">
      <c r="A343">
        <v>1</v>
      </c>
      <c r="B343" s="28">
        <v>43983</v>
      </c>
      <c r="C343" t="s">
        <v>187</v>
      </c>
      <c r="D343" s="91">
        <v>25.16</v>
      </c>
      <c r="E343" t="s">
        <v>562</v>
      </c>
      <c r="F343" t="s">
        <v>265</v>
      </c>
      <c r="G343" t="s">
        <v>569</v>
      </c>
      <c r="H343" t="s">
        <v>330</v>
      </c>
      <c r="I343" t="s">
        <v>383</v>
      </c>
      <c r="J343" s="91">
        <v>25.16</v>
      </c>
      <c r="K343" s="89">
        <v>25.16</v>
      </c>
      <c r="L343" s="91">
        <v>25.16</v>
      </c>
    </row>
    <row r="344" spans="1:13" x14ac:dyDescent="0.35">
      <c r="A344">
        <v>1</v>
      </c>
      <c r="B344" s="28">
        <v>43983</v>
      </c>
      <c r="C344" t="s">
        <v>187</v>
      </c>
      <c r="D344" s="91">
        <v>20.13</v>
      </c>
      <c r="E344" t="s">
        <v>562</v>
      </c>
      <c r="F344" t="s">
        <v>266</v>
      </c>
      <c r="G344" t="s">
        <v>570</v>
      </c>
      <c r="H344" t="s">
        <v>330</v>
      </c>
      <c r="I344" t="s">
        <v>383</v>
      </c>
      <c r="J344" s="91">
        <v>20.13</v>
      </c>
      <c r="K344" s="89">
        <v>20.13</v>
      </c>
      <c r="L344" s="91">
        <v>20.13</v>
      </c>
    </row>
    <row r="345" spans="1:13" x14ac:dyDescent="0.35">
      <c r="A345">
        <v>1</v>
      </c>
      <c r="B345" s="28">
        <v>43983</v>
      </c>
      <c r="C345" t="s">
        <v>187</v>
      </c>
      <c r="D345" s="91">
        <v>10.07</v>
      </c>
      <c r="E345" t="s">
        <v>562</v>
      </c>
      <c r="F345" t="s">
        <v>267</v>
      </c>
      <c r="G345" t="s">
        <v>566</v>
      </c>
      <c r="H345" t="s">
        <v>330</v>
      </c>
      <c r="I345" t="s">
        <v>383</v>
      </c>
      <c r="J345" s="91">
        <v>10.07</v>
      </c>
      <c r="K345" s="89">
        <v>10.07</v>
      </c>
      <c r="L345" s="91">
        <v>10.07</v>
      </c>
    </row>
    <row r="346" spans="1:13" x14ac:dyDescent="0.35">
      <c r="A346">
        <v>1</v>
      </c>
      <c r="B346" s="28">
        <v>43983</v>
      </c>
      <c r="C346" t="s">
        <v>187</v>
      </c>
      <c r="D346" s="91">
        <v>30.2</v>
      </c>
      <c r="E346" t="s">
        <v>562</v>
      </c>
      <c r="F346" t="s">
        <v>268</v>
      </c>
      <c r="G346" t="s">
        <v>571</v>
      </c>
      <c r="H346" t="s">
        <v>330</v>
      </c>
      <c r="I346" t="s">
        <v>383</v>
      </c>
      <c r="J346" s="91">
        <v>30.2</v>
      </c>
      <c r="K346" s="89">
        <v>30.2</v>
      </c>
      <c r="L346" s="91">
        <v>30.2</v>
      </c>
    </row>
    <row r="347" spans="1:13" x14ac:dyDescent="0.35">
      <c r="A347">
        <v>1</v>
      </c>
      <c r="B347" s="28">
        <v>43983</v>
      </c>
      <c r="C347" t="s">
        <v>187</v>
      </c>
      <c r="D347" s="91">
        <v>196.27</v>
      </c>
      <c r="E347" t="s">
        <v>562</v>
      </c>
      <c r="F347" t="s">
        <v>269</v>
      </c>
      <c r="G347" t="s">
        <v>254</v>
      </c>
      <c r="H347" t="s">
        <v>330</v>
      </c>
      <c r="I347" t="s">
        <v>383</v>
      </c>
      <c r="J347" s="91">
        <v>196.27</v>
      </c>
      <c r="K347" s="89">
        <v>196.27</v>
      </c>
      <c r="L347" s="91">
        <v>196.27</v>
      </c>
    </row>
    <row r="348" spans="1:13" x14ac:dyDescent="0.35">
      <c r="A348">
        <v>1</v>
      </c>
      <c r="B348" s="28">
        <v>43983</v>
      </c>
      <c r="C348" t="s">
        <v>187</v>
      </c>
      <c r="D348" s="91">
        <v>0</v>
      </c>
      <c r="E348" t="s">
        <v>562</v>
      </c>
      <c r="F348" t="s">
        <v>270</v>
      </c>
      <c r="G348" t="s">
        <v>567</v>
      </c>
      <c r="H348" t="s">
        <v>330</v>
      </c>
      <c r="I348" t="s">
        <v>383</v>
      </c>
      <c r="J348" s="91">
        <v>0</v>
      </c>
      <c r="K348" s="89">
        <v>0</v>
      </c>
      <c r="L348" s="91">
        <v>0</v>
      </c>
    </row>
    <row r="349" spans="1:13" x14ac:dyDescent="0.35">
      <c r="A349">
        <v>1</v>
      </c>
      <c r="B349" s="28">
        <v>43983</v>
      </c>
      <c r="C349" t="s">
        <v>187</v>
      </c>
      <c r="D349" s="91">
        <v>190.09</v>
      </c>
      <c r="E349" t="s">
        <v>563</v>
      </c>
      <c r="F349" t="s">
        <v>260</v>
      </c>
      <c r="G349" t="s">
        <v>566</v>
      </c>
      <c r="H349" t="s">
        <v>330</v>
      </c>
      <c r="I349" t="s">
        <v>384</v>
      </c>
      <c r="J349" s="91">
        <v>190.09</v>
      </c>
      <c r="K349" s="89">
        <v>190.09</v>
      </c>
      <c r="L349" s="91">
        <v>190.09</v>
      </c>
      <c r="M349" t="s">
        <v>396</v>
      </c>
    </row>
    <row r="350" spans="1:13" x14ac:dyDescent="0.35">
      <c r="A350">
        <v>1</v>
      </c>
      <c r="B350" s="28">
        <v>43983</v>
      </c>
      <c r="C350" t="s">
        <v>187</v>
      </c>
      <c r="D350" s="91">
        <v>228.11</v>
      </c>
      <c r="E350" t="s">
        <v>563</v>
      </c>
      <c r="F350" t="s">
        <v>262</v>
      </c>
      <c r="G350" t="s">
        <v>567</v>
      </c>
      <c r="H350" t="s">
        <v>330</v>
      </c>
      <c r="I350" t="s">
        <v>384</v>
      </c>
      <c r="J350" s="91">
        <v>228.11</v>
      </c>
      <c r="K350" s="89">
        <v>228.11</v>
      </c>
      <c r="L350" s="91">
        <v>228.11</v>
      </c>
    </row>
    <row r="351" spans="1:13" x14ac:dyDescent="0.35">
      <c r="A351">
        <v>1</v>
      </c>
      <c r="B351" s="28">
        <v>43983</v>
      </c>
      <c r="C351" t="s">
        <v>187</v>
      </c>
      <c r="D351" s="91">
        <v>0</v>
      </c>
      <c r="E351" t="s">
        <v>563</v>
      </c>
      <c r="F351" t="s">
        <v>264</v>
      </c>
      <c r="G351" t="s">
        <v>568</v>
      </c>
      <c r="H351" t="s">
        <v>330</v>
      </c>
      <c r="I351" t="s">
        <v>384</v>
      </c>
      <c r="J351" s="91">
        <v>0</v>
      </c>
      <c r="K351" s="89">
        <v>0</v>
      </c>
      <c r="L351" s="91">
        <v>0</v>
      </c>
    </row>
    <row r="352" spans="1:13" x14ac:dyDescent="0.35">
      <c r="A352">
        <v>1</v>
      </c>
      <c r="B352" s="28">
        <v>43983</v>
      </c>
      <c r="C352" t="s">
        <v>187</v>
      </c>
      <c r="D352" s="91">
        <v>47.52</v>
      </c>
      <c r="E352" t="s">
        <v>563</v>
      </c>
      <c r="F352" t="s">
        <v>265</v>
      </c>
      <c r="G352" t="s">
        <v>569</v>
      </c>
      <c r="H352" t="s">
        <v>330</v>
      </c>
      <c r="I352" t="s">
        <v>384</v>
      </c>
      <c r="J352" s="91">
        <v>47.52</v>
      </c>
      <c r="K352" s="89">
        <v>47.52</v>
      </c>
      <c r="L352" s="91">
        <v>47.52</v>
      </c>
    </row>
    <row r="353" spans="1:13" x14ac:dyDescent="0.35">
      <c r="A353">
        <v>1</v>
      </c>
      <c r="B353" s="28">
        <v>43983</v>
      </c>
      <c r="C353" t="s">
        <v>187</v>
      </c>
      <c r="D353" s="91">
        <v>38.020000000000003</v>
      </c>
      <c r="E353" t="s">
        <v>563</v>
      </c>
      <c r="F353" t="s">
        <v>266</v>
      </c>
      <c r="G353" t="s">
        <v>570</v>
      </c>
      <c r="H353" t="s">
        <v>330</v>
      </c>
      <c r="I353" t="s">
        <v>384</v>
      </c>
      <c r="J353" s="91">
        <v>38.020000000000003</v>
      </c>
      <c r="K353" s="89">
        <v>38.020000000000003</v>
      </c>
      <c r="L353" s="91">
        <v>38.020000000000003</v>
      </c>
    </row>
    <row r="354" spans="1:13" x14ac:dyDescent="0.35">
      <c r="A354">
        <v>1</v>
      </c>
      <c r="B354" s="28">
        <v>43983</v>
      </c>
      <c r="C354" t="s">
        <v>187</v>
      </c>
      <c r="D354" s="91">
        <v>19.010000000000002</v>
      </c>
      <c r="E354" t="s">
        <v>563</v>
      </c>
      <c r="F354" t="s">
        <v>267</v>
      </c>
      <c r="G354" t="s">
        <v>566</v>
      </c>
      <c r="H354" t="s">
        <v>330</v>
      </c>
      <c r="I354" t="s">
        <v>384</v>
      </c>
      <c r="J354" s="91">
        <v>19.010000000000002</v>
      </c>
      <c r="K354" s="89">
        <v>19.010000000000002</v>
      </c>
      <c r="L354" s="91">
        <v>19.010000000000002</v>
      </c>
    </row>
    <row r="355" spans="1:13" x14ac:dyDescent="0.35">
      <c r="A355">
        <v>1</v>
      </c>
      <c r="B355" s="28">
        <v>43983</v>
      </c>
      <c r="C355" t="s">
        <v>187</v>
      </c>
      <c r="D355" s="91">
        <v>57.03</v>
      </c>
      <c r="E355" t="s">
        <v>563</v>
      </c>
      <c r="F355" t="s">
        <v>268</v>
      </c>
      <c r="G355" t="s">
        <v>571</v>
      </c>
      <c r="H355" t="s">
        <v>330</v>
      </c>
      <c r="I355" t="s">
        <v>384</v>
      </c>
      <c r="J355" s="91">
        <v>57.03</v>
      </c>
      <c r="K355" s="89">
        <v>57.03</v>
      </c>
      <c r="L355" s="91">
        <v>57.03</v>
      </c>
    </row>
    <row r="356" spans="1:13" x14ac:dyDescent="0.35">
      <c r="A356">
        <v>1</v>
      </c>
      <c r="B356" s="28">
        <v>43983</v>
      </c>
      <c r="C356" t="s">
        <v>187</v>
      </c>
      <c r="D356" s="91">
        <v>370.67</v>
      </c>
      <c r="E356" t="s">
        <v>563</v>
      </c>
      <c r="F356" t="s">
        <v>269</v>
      </c>
      <c r="G356" t="s">
        <v>254</v>
      </c>
      <c r="H356" t="s">
        <v>330</v>
      </c>
      <c r="I356" t="s">
        <v>384</v>
      </c>
      <c r="J356" s="91">
        <v>370.67</v>
      </c>
      <c r="K356" s="89">
        <v>370.67</v>
      </c>
      <c r="L356" s="91">
        <v>370.67</v>
      </c>
    </row>
    <row r="357" spans="1:13" x14ac:dyDescent="0.35">
      <c r="A357">
        <v>1</v>
      </c>
      <c r="B357" s="28">
        <v>43983</v>
      </c>
      <c r="C357" t="s">
        <v>187</v>
      </c>
      <c r="D357" s="91">
        <v>0</v>
      </c>
      <c r="E357" t="s">
        <v>563</v>
      </c>
      <c r="F357" t="s">
        <v>270</v>
      </c>
      <c r="G357" t="s">
        <v>567</v>
      </c>
      <c r="H357" t="s">
        <v>330</v>
      </c>
      <c r="I357" t="s">
        <v>384</v>
      </c>
      <c r="J357" s="91">
        <v>0</v>
      </c>
      <c r="K357" s="89">
        <v>0</v>
      </c>
      <c r="L357" s="91">
        <v>0</v>
      </c>
    </row>
    <row r="358" spans="1:13" x14ac:dyDescent="0.35">
      <c r="A358">
        <v>1</v>
      </c>
      <c r="B358" s="28">
        <v>43983</v>
      </c>
      <c r="C358" t="s">
        <v>187</v>
      </c>
      <c r="D358" s="91">
        <v>386.65</v>
      </c>
      <c r="E358" t="s">
        <v>564</v>
      </c>
      <c r="F358" t="s">
        <v>260</v>
      </c>
      <c r="G358" t="s">
        <v>566</v>
      </c>
      <c r="H358" t="s">
        <v>330</v>
      </c>
      <c r="I358" t="s">
        <v>385</v>
      </c>
      <c r="J358" s="91">
        <v>386.65</v>
      </c>
      <c r="K358" s="89">
        <v>386.65</v>
      </c>
      <c r="L358" s="91">
        <v>386.65</v>
      </c>
      <c r="M358" t="s">
        <v>396</v>
      </c>
    </row>
    <row r="359" spans="1:13" x14ac:dyDescent="0.35">
      <c r="A359">
        <v>1</v>
      </c>
      <c r="B359" s="28">
        <v>43983</v>
      </c>
      <c r="C359" t="s">
        <v>187</v>
      </c>
      <c r="D359" s="91">
        <v>463.98</v>
      </c>
      <c r="E359" t="s">
        <v>564</v>
      </c>
      <c r="F359" t="s">
        <v>262</v>
      </c>
      <c r="G359" t="s">
        <v>567</v>
      </c>
      <c r="H359" t="s">
        <v>330</v>
      </c>
      <c r="I359" t="s">
        <v>385</v>
      </c>
      <c r="J359" s="91">
        <v>463.98</v>
      </c>
      <c r="K359" s="89">
        <v>463.98</v>
      </c>
      <c r="L359" s="91">
        <v>463.98</v>
      </c>
    </row>
    <row r="360" spans="1:13" x14ac:dyDescent="0.35">
      <c r="A360">
        <v>1</v>
      </c>
      <c r="B360" s="28">
        <v>43983</v>
      </c>
      <c r="C360" t="s">
        <v>187</v>
      </c>
      <c r="D360" s="91">
        <v>0</v>
      </c>
      <c r="E360" t="s">
        <v>564</v>
      </c>
      <c r="F360" t="s">
        <v>264</v>
      </c>
      <c r="G360" t="s">
        <v>568</v>
      </c>
      <c r="H360" t="s">
        <v>330</v>
      </c>
      <c r="I360" t="s">
        <v>385</v>
      </c>
      <c r="J360" s="91">
        <v>0</v>
      </c>
      <c r="K360" s="89">
        <v>0</v>
      </c>
      <c r="L360" s="91">
        <v>0</v>
      </c>
    </row>
    <row r="361" spans="1:13" x14ac:dyDescent="0.35">
      <c r="A361">
        <v>1</v>
      </c>
      <c r="B361" s="28">
        <v>43983</v>
      </c>
      <c r="C361" t="s">
        <v>187</v>
      </c>
      <c r="D361" s="91">
        <v>96.66</v>
      </c>
      <c r="E361" t="s">
        <v>564</v>
      </c>
      <c r="F361" t="s">
        <v>265</v>
      </c>
      <c r="G361" t="s">
        <v>569</v>
      </c>
      <c r="H361" t="s">
        <v>330</v>
      </c>
      <c r="I361" t="s">
        <v>385</v>
      </c>
      <c r="J361" s="91">
        <v>96.66</v>
      </c>
      <c r="K361" s="89">
        <v>96.66</v>
      </c>
      <c r="L361" s="91">
        <v>96.66</v>
      </c>
    </row>
    <row r="362" spans="1:13" x14ac:dyDescent="0.35">
      <c r="A362">
        <v>1</v>
      </c>
      <c r="B362" s="28">
        <v>43983</v>
      </c>
      <c r="C362" t="s">
        <v>187</v>
      </c>
      <c r="D362" s="91">
        <v>77.33</v>
      </c>
      <c r="E362" t="s">
        <v>564</v>
      </c>
      <c r="F362" t="s">
        <v>266</v>
      </c>
      <c r="G362" t="s">
        <v>570</v>
      </c>
      <c r="H362" t="s">
        <v>330</v>
      </c>
      <c r="I362" t="s">
        <v>385</v>
      </c>
      <c r="J362" s="91">
        <v>77.33</v>
      </c>
      <c r="K362" s="89">
        <v>77.33</v>
      </c>
      <c r="L362" s="91">
        <v>77.33</v>
      </c>
    </row>
    <row r="363" spans="1:13" x14ac:dyDescent="0.35">
      <c r="A363">
        <v>1</v>
      </c>
      <c r="B363" s="28">
        <v>43983</v>
      </c>
      <c r="C363" t="s">
        <v>187</v>
      </c>
      <c r="D363" s="91">
        <v>38.659999999999997</v>
      </c>
      <c r="E363" t="s">
        <v>564</v>
      </c>
      <c r="F363" t="s">
        <v>267</v>
      </c>
      <c r="G363" t="s">
        <v>566</v>
      </c>
      <c r="H363" t="s">
        <v>330</v>
      </c>
      <c r="I363" t="s">
        <v>385</v>
      </c>
      <c r="J363" s="91">
        <v>38.659999999999997</v>
      </c>
      <c r="K363" s="89">
        <v>38.659999999999997</v>
      </c>
      <c r="L363" s="91">
        <v>38.659999999999997</v>
      </c>
    </row>
    <row r="364" spans="1:13" x14ac:dyDescent="0.35">
      <c r="A364">
        <v>1</v>
      </c>
      <c r="B364" s="28">
        <v>43983</v>
      </c>
      <c r="C364" t="s">
        <v>187</v>
      </c>
      <c r="D364" s="91">
        <v>115.99</v>
      </c>
      <c r="E364" t="s">
        <v>564</v>
      </c>
      <c r="F364" t="s">
        <v>268</v>
      </c>
      <c r="G364" t="s">
        <v>571</v>
      </c>
      <c r="H364" t="s">
        <v>330</v>
      </c>
      <c r="I364" t="s">
        <v>385</v>
      </c>
      <c r="J364" s="91">
        <v>115.99</v>
      </c>
      <c r="K364" s="89">
        <v>115.99</v>
      </c>
      <c r="L364" s="91">
        <v>115.99</v>
      </c>
    </row>
    <row r="365" spans="1:13" x14ac:dyDescent="0.35">
      <c r="A365">
        <v>1</v>
      </c>
      <c r="B365" s="28">
        <v>43983</v>
      </c>
      <c r="C365" t="s">
        <v>187</v>
      </c>
      <c r="D365" s="91">
        <v>753.98</v>
      </c>
      <c r="E365" t="s">
        <v>564</v>
      </c>
      <c r="F365" t="s">
        <v>269</v>
      </c>
      <c r="G365" t="s">
        <v>254</v>
      </c>
      <c r="H365" t="s">
        <v>330</v>
      </c>
      <c r="I365" t="s">
        <v>385</v>
      </c>
      <c r="J365" s="91">
        <v>753.98</v>
      </c>
      <c r="K365" s="89">
        <v>753.98</v>
      </c>
      <c r="L365" s="91">
        <v>753.98</v>
      </c>
    </row>
    <row r="366" spans="1:13" x14ac:dyDescent="0.35">
      <c r="A366">
        <v>1</v>
      </c>
      <c r="B366" s="28">
        <v>43983</v>
      </c>
      <c r="C366" t="s">
        <v>187</v>
      </c>
      <c r="D366" s="91">
        <v>0</v>
      </c>
      <c r="E366" t="s">
        <v>564</v>
      </c>
      <c r="F366" t="s">
        <v>270</v>
      </c>
      <c r="G366" t="s">
        <v>567</v>
      </c>
      <c r="H366" t="s">
        <v>330</v>
      </c>
      <c r="I366" t="s">
        <v>385</v>
      </c>
      <c r="J366" s="91">
        <v>0</v>
      </c>
      <c r="K366" s="89">
        <v>0</v>
      </c>
      <c r="L366" s="91">
        <v>0</v>
      </c>
    </row>
    <row r="367" spans="1:13" x14ac:dyDescent="0.35">
      <c r="A367">
        <v>1</v>
      </c>
      <c r="B367" s="28">
        <v>43983</v>
      </c>
      <c r="C367" t="s">
        <v>34</v>
      </c>
      <c r="D367" s="91">
        <v>630.77</v>
      </c>
      <c r="E367" t="s">
        <v>565</v>
      </c>
      <c r="F367" t="s">
        <v>260</v>
      </c>
      <c r="G367" t="s">
        <v>566</v>
      </c>
      <c r="H367" t="s">
        <v>330</v>
      </c>
      <c r="I367" t="s">
        <v>386</v>
      </c>
      <c r="J367" s="91">
        <v>-630.77</v>
      </c>
      <c r="K367" s="89">
        <v>630.77</v>
      </c>
      <c r="L367" s="91">
        <v>-630.77</v>
      </c>
      <c r="M367" t="s">
        <v>396</v>
      </c>
    </row>
    <row r="368" spans="1:13" x14ac:dyDescent="0.35">
      <c r="A368">
        <v>1</v>
      </c>
      <c r="B368" s="28">
        <v>43983</v>
      </c>
      <c r="C368" t="s">
        <v>34</v>
      </c>
      <c r="D368" s="91">
        <v>756.92</v>
      </c>
      <c r="E368" t="s">
        <v>565</v>
      </c>
      <c r="F368" t="s">
        <v>262</v>
      </c>
      <c r="G368" t="s">
        <v>567</v>
      </c>
      <c r="H368" t="s">
        <v>330</v>
      </c>
      <c r="I368" t="s">
        <v>386</v>
      </c>
      <c r="J368" s="91">
        <v>-756.92</v>
      </c>
      <c r="K368" s="89">
        <v>756.92</v>
      </c>
      <c r="L368" s="91">
        <v>-756.92</v>
      </c>
    </row>
    <row r="369" spans="1:13" x14ac:dyDescent="0.35">
      <c r="A369">
        <v>1</v>
      </c>
      <c r="B369" s="28">
        <v>43983</v>
      </c>
      <c r="C369" t="s">
        <v>34</v>
      </c>
      <c r="D369" s="91">
        <v>0</v>
      </c>
      <c r="E369" t="s">
        <v>565</v>
      </c>
      <c r="F369" t="s">
        <v>264</v>
      </c>
      <c r="G369" t="s">
        <v>568</v>
      </c>
      <c r="H369" t="s">
        <v>330</v>
      </c>
      <c r="I369" t="s">
        <v>386</v>
      </c>
      <c r="J369" s="91">
        <v>0</v>
      </c>
      <c r="K369" s="89">
        <v>0</v>
      </c>
      <c r="L369" s="91">
        <v>0</v>
      </c>
    </row>
    <row r="370" spans="1:13" x14ac:dyDescent="0.35">
      <c r="A370">
        <v>1</v>
      </c>
      <c r="B370" s="28">
        <v>43983</v>
      </c>
      <c r="C370" t="s">
        <v>34</v>
      </c>
      <c r="D370" s="91">
        <v>157.69</v>
      </c>
      <c r="E370" t="s">
        <v>565</v>
      </c>
      <c r="F370" t="s">
        <v>265</v>
      </c>
      <c r="G370" t="s">
        <v>569</v>
      </c>
      <c r="H370" t="s">
        <v>330</v>
      </c>
      <c r="I370" t="s">
        <v>386</v>
      </c>
      <c r="J370" s="91">
        <v>-157.69</v>
      </c>
      <c r="K370" s="89">
        <v>157.69</v>
      </c>
      <c r="L370" s="91">
        <v>-157.69</v>
      </c>
    </row>
    <row r="371" spans="1:13" x14ac:dyDescent="0.35">
      <c r="A371">
        <v>1</v>
      </c>
      <c r="B371" s="28">
        <v>43983</v>
      </c>
      <c r="C371" t="s">
        <v>34</v>
      </c>
      <c r="D371" s="91">
        <v>126.15</v>
      </c>
      <c r="E371" t="s">
        <v>565</v>
      </c>
      <c r="F371" t="s">
        <v>266</v>
      </c>
      <c r="G371" t="s">
        <v>570</v>
      </c>
      <c r="H371" t="s">
        <v>330</v>
      </c>
      <c r="I371" t="s">
        <v>386</v>
      </c>
      <c r="J371" s="91">
        <v>-126.15</v>
      </c>
      <c r="K371" s="89">
        <v>126.15</v>
      </c>
      <c r="L371" s="91">
        <v>-126.15</v>
      </c>
    </row>
    <row r="372" spans="1:13" x14ac:dyDescent="0.35">
      <c r="A372">
        <v>1</v>
      </c>
      <c r="B372" s="28">
        <v>43983</v>
      </c>
      <c r="C372" t="s">
        <v>34</v>
      </c>
      <c r="D372" s="91">
        <v>63.08</v>
      </c>
      <c r="E372" t="s">
        <v>565</v>
      </c>
      <c r="F372" t="s">
        <v>267</v>
      </c>
      <c r="G372" t="s">
        <v>566</v>
      </c>
      <c r="H372" t="s">
        <v>330</v>
      </c>
      <c r="I372" t="s">
        <v>386</v>
      </c>
      <c r="J372" s="91">
        <v>-63.08</v>
      </c>
      <c r="K372" s="89">
        <v>63.08</v>
      </c>
      <c r="L372" s="91">
        <v>-63.08</v>
      </c>
    </row>
    <row r="373" spans="1:13" x14ac:dyDescent="0.35">
      <c r="A373">
        <v>1</v>
      </c>
      <c r="B373" s="28">
        <v>43983</v>
      </c>
      <c r="C373" t="s">
        <v>34</v>
      </c>
      <c r="D373" s="91">
        <v>189.23</v>
      </c>
      <c r="E373" t="s">
        <v>565</v>
      </c>
      <c r="F373" t="s">
        <v>268</v>
      </c>
      <c r="G373" t="s">
        <v>571</v>
      </c>
      <c r="H373" t="s">
        <v>330</v>
      </c>
      <c r="I373" t="s">
        <v>386</v>
      </c>
      <c r="J373" s="91">
        <v>-189.23</v>
      </c>
      <c r="K373" s="89">
        <v>189.23</v>
      </c>
      <c r="L373" s="91">
        <v>-189.23</v>
      </c>
    </row>
    <row r="374" spans="1:13" x14ac:dyDescent="0.35">
      <c r="A374">
        <v>1</v>
      </c>
      <c r="B374" s="28">
        <v>43983</v>
      </c>
      <c r="C374" t="s">
        <v>34</v>
      </c>
      <c r="D374" s="91">
        <v>1230.01</v>
      </c>
      <c r="E374" t="s">
        <v>565</v>
      </c>
      <c r="F374" t="s">
        <v>269</v>
      </c>
      <c r="G374" t="s">
        <v>254</v>
      </c>
      <c r="H374" t="s">
        <v>330</v>
      </c>
      <c r="I374" t="s">
        <v>386</v>
      </c>
      <c r="J374" s="91">
        <v>-1230.01</v>
      </c>
      <c r="K374" s="89">
        <v>1230.01</v>
      </c>
      <c r="L374" s="91">
        <v>-1230.01</v>
      </c>
    </row>
    <row r="375" spans="1:13" x14ac:dyDescent="0.35">
      <c r="A375">
        <v>1</v>
      </c>
      <c r="B375" s="28">
        <v>43983</v>
      </c>
      <c r="C375" t="s">
        <v>34</v>
      </c>
      <c r="D375" s="91">
        <v>0</v>
      </c>
      <c r="E375" t="s">
        <v>565</v>
      </c>
      <c r="F375" t="s">
        <v>270</v>
      </c>
      <c r="G375" t="s">
        <v>567</v>
      </c>
      <c r="H375" t="s">
        <v>330</v>
      </c>
      <c r="I375" t="s">
        <v>386</v>
      </c>
      <c r="J375" s="91">
        <v>0</v>
      </c>
      <c r="K375" s="89">
        <v>0</v>
      </c>
      <c r="L375" s="91">
        <v>0</v>
      </c>
    </row>
    <row r="376" spans="1:13" x14ac:dyDescent="0.35">
      <c r="A376">
        <v>1</v>
      </c>
      <c r="B376" s="28">
        <v>43983</v>
      </c>
      <c r="C376" t="s">
        <v>187</v>
      </c>
      <c r="D376" s="91">
        <v>190.09</v>
      </c>
      <c r="E376" t="s">
        <v>564</v>
      </c>
      <c r="F376" t="s">
        <v>260</v>
      </c>
      <c r="G376" t="s">
        <v>566</v>
      </c>
      <c r="H376" t="s">
        <v>330</v>
      </c>
      <c r="I376" t="s">
        <v>387</v>
      </c>
      <c r="J376" s="91">
        <v>190.09</v>
      </c>
      <c r="K376" s="89">
        <v>190.09</v>
      </c>
      <c r="L376" s="91">
        <v>190.09</v>
      </c>
      <c r="M376" t="s">
        <v>396</v>
      </c>
    </row>
    <row r="377" spans="1:13" x14ac:dyDescent="0.35">
      <c r="A377">
        <v>1</v>
      </c>
      <c r="B377" s="28">
        <v>43983</v>
      </c>
      <c r="C377" t="s">
        <v>187</v>
      </c>
      <c r="D377" s="91">
        <v>228.11</v>
      </c>
      <c r="E377" t="s">
        <v>564</v>
      </c>
      <c r="F377" t="s">
        <v>262</v>
      </c>
      <c r="G377" t="s">
        <v>567</v>
      </c>
      <c r="H377" t="s">
        <v>330</v>
      </c>
      <c r="I377" t="s">
        <v>387</v>
      </c>
      <c r="J377" s="91">
        <v>228.11</v>
      </c>
      <c r="K377" s="89">
        <v>228.11</v>
      </c>
      <c r="L377" s="91">
        <v>228.11</v>
      </c>
    </row>
    <row r="378" spans="1:13" x14ac:dyDescent="0.35">
      <c r="A378">
        <v>1</v>
      </c>
      <c r="B378" s="28">
        <v>43983</v>
      </c>
      <c r="C378" t="s">
        <v>187</v>
      </c>
      <c r="D378" s="91">
        <v>0</v>
      </c>
      <c r="E378" t="s">
        <v>564</v>
      </c>
      <c r="F378" t="s">
        <v>264</v>
      </c>
      <c r="G378" t="s">
        <v>568</v>
      </c>
      <c r="H378" t="s">
        <v>330</v>
      </c>
      <c r="I378" t="s">
        <v>387</v>
      </c>
      <c r="J378" s="91">
        <v>0</v>
      </c>
      <c r="K378" s="89">
        <v>0</v>
      </c>
      <c r="L378" s="91">
        <v>0</v>
      </c>
    </row>
    <row r="379" spans="1:13" x14ac:dyDescent="0.35">
      <c r="A379">
        <v>1</v>
      </c>
      <c r="B379" s="28">
        <v>43983</v>
      </c>
      <c r="C379" t="s">
        <v>187</v>
      </c>
      <c r="D379" s="91">
        <v>47.52</v>
      </c>
      <c r="E379" t="s">
        <v>564</v>
      </c>
      <c r="F379" t="s">
        <v>265</v>
      </c>
      <c r="G379" t="s">
        <v>569</v>
      </c>
      <c r="H379" t="s">
        <v>330</v>
      </c>
      <c r="I379" t="s">
        <v>387</v>
      </c>
      <c r="J379" s="91">
        <v>47.52</v>
      </c>
      <c r="K379" s="89">
        <v>47.52</v>
      </c>
      <c r="L379" s="91">
        <v>47.52</v>
      </c>
    </row>
    <row r="380" spans="1:13" x14ac:dyDescent="0.35">
      <c r="A380">
        <v>1</v>
      </c>
      <c r="B380" s="28">
        <v>43983</v>
      </c>
      <c r="C380" t="s">
        <v>187</v>
      </c>
      <c r="D380" s="91">
        <v>38.020000000000003</v>
      </c>
      <c r="E380" t="s">
        <v>564</v>
      </c>
      <c r="F380" t="s">
        <v>266</v>
      </c>
      <c r="G380" t="s">
        <v>570</v>
      </c>
      <c r="H380" t="s">
        <v>330</v>
      </c>
      <c r="I380" t="s">
        <v>387</v>
      </c>
      <c r="J380" s="91">
        <v>38.020000000000003</v>
      </c>
      <c r="K380" s="89">
        <v>38.020000000000003</v>
      </c>
      <c r="L380" s="91">
        <v>38.020000000000003</v>
      </c>
    </row>
    <row r="381" spans="1:13" x14ac:dyDescent="0.35">
      <c r="A381">
        <v>1</v>
      </c>
      <c r="B381" s="28">
        <v>43983</v>
      </c>
      <c r="C381" t="s">
        <v>187</v>
      </c>
      <c r="D381" s="91">
        <v>19.010000000000002</v>
      </c>
      <c r="E381" t="s">
        <v>564</v>
      </c>
      <c r="F381" t="s">
        <v>267</v>
      </c>
      <c r="G381" t="s">
        <v>566</v>
      </c>
      <c r="H381" t="s">
        <v>330</v>
      </c>
      <c r="I381" t="s">
        <v>387</v>
      </c>
      <c r="J381" s="91">
        <v>19.010000000000002</v>
      </c>
      <c r="K381" s="89">
        <v>19.010000000000002</v>
      </c>
      <c r="L381" s="91">
        <v>19.010000000000002</v>
      </c>
    </row>
    <row r="382" spans="1:13" x14ac:dyDescent="0.35">
      <c r="A382">
        <v>1</v>
      </c>
      <c r="B382" s="28">
        <v>43983</v>
      </c>
      <c r="C382" t="s">
        <v>187</v>
      </c>
      <c r="D382" s="91">
        <v>57.03</v>
      </c>
      <c r="E382" t="s">
        <v>564</v>
      </c>
      <c r="F382" t="s">
        <v>268</v>
      </c>
      <c r="G382" t="s">
        <v>571</v>
      </c>
      <c r="H382" t="s">
        <v>330</v>
      </c>
      <c r="I382" t="s">
        <v>387</v>
      </c>
      <c r="J382" s="91">
        <v>57.03</v>
      </c>
      <c r="K382" s="89">
        <v>57.03</v>
      </c>
      <c r="L382" s="91">
        <v>57.03</v>
      </c>
    </row>
    <row r="383" spans="1:13" x14ac:dyDescent="0.35">
      <c r="A383">
        <v>1</v>
      </c>
      <c r="B383" s="28">
        <v>43983</v>
      </c>
      <c r="C383" t="s">
        <v>187</v>
      </c>
      <c r="D383" s="91">
        <v>370.67</v>
      </c>
      <c r="E383" t="s">
        <v>564</v>
      </c>
      <c r="F383" t="s">
        <v>269</v>
      </c>
      <c r="G383" t="s">
        <v>254</v>
      </c>
      <c r="H383" t="s">
        <v>330</v>
      </c>
      <c r="I383" t="s">
        <v>387</v>
      </c>
      <c r="J383" s="91">
        <v>370.67</v>
      </c>
      <c r="K383" s="89">
        <v>370.67</v>
      </c>
      <c r="L383" s="91">
        <v>370.67</v>
      </c>
    </row>
    <row r="384" spans="1:13" x14ac:dyDescent="0.35">
      <c r="A384">
        <v>1</v>
      </c>
      <c r="B384" s="28">
        <v>43983</v>
      </c>
      <c r="C384" t="s">
        <v>187</v>
      </c>
      <c r="D384" s="91">
        <v>0</v>
      </c>
      <c r="E384" t="s">
        <v>564</v>
      </c>
      <c r="F384" t="s">
        <v>270</v>
      </c>
      <c r="G384" t="s">
        <v>567</v>
      </c>
      <c r="H384" t="s">
        <v>330</v>
      </c>
      <c r="I384" t="s">
        <v>387</v>
      </c>
      <c r="J384" s="91">
        <v>0</v>
      </c>
      <c r="K384" s="89">
        <v>0</v>
      </c>
      <c r="L384" s="91">
        <v>0</v>
      </c>
    </row>
    <row r="385" spans="1:13" x14ac:dyDescent="0.35">
      <c r="A385">
        <v>1</v>
      </c>
      <c r="B385" s="28">
        <v>43983</v>
      </c>
      <c r="C385" t="s">
        <v>34</v>
      </c>
      <c r="D385" s="91">
        <v>190.09</v>
      </c>
      <c r="E385" t="s">
        <v>563</v>
      </c>
      <c r="F385" t="s">
        <v>260</v>
      </c>
      <c r="G385" t="s">
        <v>566</v>
      </c>
      <c r="H385" t="s">
        <v>330</v>
      </c>
      <c r="I385" t="s">
        <v>388</v>
      </c>
      <c r="J385" s="91">
        <v>-190.09</v>
      </c>
      <c r="K385" s="89">
        <v>190.09</v>
      </c>
      <c r="L385" s="91">
        <v>-190.09</v>
      </c>
      <c r="M385" t="s">
        <v>396</v>
      </c>
    </row>
    <row r="386" spans="1:13" x14ac:dyDescent="0.35">
      <c r="A386">
        <v>1</v>
      </c>
      <c r="B386" s="28">
        <v>43983</v>
      </c>
      <c r="C386" t="s">
        <v>34</v>
      </c>
      <c r="D386" s="91">
        <v>228.11</v>
      </c>
      <c r="E386" t="s">
        <v>563</v>
      </c>
      <c r="F386" t="s">
        <v>262</v>
      </c>
      <c r="G386" t="s">
        <v>567</v>
      </c>
      <c r="H386" t="s">
        <v>330</v>
      </c>
      <c r="I386" t="s">
        <v>388</v>
      </c>
      <c r="J386" s="91">
        <v>-228.11</v>
      </c>
      <c r="K386" s="89">
        <v>228.11</v>
      </c>
      <c r="L386" s="91">
        <v>-228.11</v>
      </c>
    </row>
    <row r="387" spans="1:13" x14ac:dyDescent="0.35">
      <c r="A387">
        <v>1</v>
      </c>
      <c r="B387" s="28">
        <v>43983</v>
      </c>
      <c r="C387" t="s">
        <v>34</v>
      </c>
      <c r="D387" s="91">
        <v>0</v>
      </c>
      <c r="E387" t="s">
        <v>563</v>
      </c>
      <c r="F387" t="s">
        <v>264</v>
      </c>
      <c r="G387" t="s">
        <v>568</v>
      </c>
      <c r="H387" t="s">
        <v>330</v>
      </c>
      <c r="I387" t="s">
        <v>388</v>
      </c>
      <c r="J387" s="91">
        <v>0</v>
      </c>
      <c r="K387" s="89">
        <v>0</v>
      </c>
      <c r="L387" s="91">
        <v>0</v>
      </c>
    </row>
    <row r="388" spans="1:13" x14ac:dyDescent="0.35">
      <c r="A388">
        <v>1</v>
      </c>
      <c r="B388" s="28">
        <v>43983</v>
      </c>
      <c r="C388" t="s">
        <v>34</v>
      </c>
      <c r="D388" s="91">
        <v>47.52</v>
      </c>
      <c r="E388" t="s">
        <v>563</v>
      </c>
      <c r="F388" t="s">
        <v>265</v>
      </c>
      <c r="G388" t="s">
        <v>569</v>
      </c>
      <c r="H388" t="s">
        <v>330</v>
      </c>
      <c r="I388" t="s">
        <v>388</v>
      </c>
      <c r="J388" s="91">
        <v>-47.52</v>
      </c>
      <c r="K388" s="89">
        <v>47.52</v>
      </c>
      <c r="L388" s="91">
        <v>-47.52</v>
      </c>
    </row>
    <row r="389" spans="1:13" x14ac:dyDescent="0.35">
      <c r="A389">
        <v>1</v>
      </c>
      <c r="B389" s="28">
        <v>43983</v>
      </c>
      <c r="C389" t="s">
        <v>34</v>
      </c>
      <c r="D389" s="91">
        <v>38.020000000000003</v>
      </c>
      <c r="E389" t="s">
        <v>563</v>
      </c>
      <c r="F389" t="s">
        <v>266</v>
      </c>
      <c r="G389" t="s">
        <v>570</v>
      </c>
      <c r="H389" t="s">
        <v>330</v>
      </c>
      <c r="I389" t="s">
        <v>388</v>
      </c>
      <c r="J389" s="91">
        <v>-38.020000000000003</v>
      </c>
      <c r="K389" s="89">
        <v>38.020000000000003</v>
      </c>
      <c r="L389" s="91">
        <v>-38.020000000000003</v>
      </c>
    </row>
    <row r="390" spans="1:13" x14ac:dyDescent="0.35">
      <c r="A390">
        <v>1</v>
      </c>
      <c r="B390" s="28">
        <v>43983</v>
      </c>
      <c r="C390" t="s">
        <v>34</v>
      </c>
      <c r="D390" s="91">
        <v>19.010000000000002</v>
      </c>
      <c r="E390" t="s">
        <v>563</v>
      </c>
      <c r="F390" t="s">
        <v>267</v>
      </c>
      <c r="G390" t="s">
        <v>566</v>
      </c>
      <c r="H390" t="s">
        <v>330</v>
      </c>
      <c r="I390" t="s">
        <v>388</v>
      </c>
      <c r="J390" s="91">
        <v>-19.010000000000002</v>
      </c>
      <c r="K390" s="89">
        <v>19.010000000000002</v>
      </c>
      <c r="L390" s="91">
        <v>-19.010000000000002</v>
      </c>
    </row>
    <row r="391" spans="1:13" x14ac:dyDescent="0.35">
      <c r="A391">
        <v>1</v>
      </c>
      <c r="B391" s="28">
        <v>43983</v>
      </c>
      <c r="C391" t="s">
        <v>34</v>
      </c>
      <c r="D391" s="91">
        <v>57.03</v>
      </c>
      <c r="E391" t="s">
        <v>563</v>
      </c>
      <c r="F391" t="s">
        <v>268</v>
      </c>
      <c r="G391" t="s">
        <v>571</v>
      </c>
      <c r="H391" t="s">
        <v>330</v>
      </c>
      <c r="I391" t="s">
        <v>388</v>
      </c>
      <c r="J391" s="91">
        <v>-57.03</v>
      </c>
      <c r="K391" s="89">
        <v>57.03</v>
      </c>
      <c r="L391" s="91">
        <v>-57.03</v>
      </c>
    </row>
    <row r="392" spans="1:13" x14ac:dyDescent="0.35">
      <c r="A392">
        <v>1</v>
      </c>
      <c r="B392" s="28">
        <v>43983</v>
      </c>
      <c r="C392" t="s">
        <v>34</v>
      </c>
      <c r="D392" s="91">
        <v>370.67</v>
      </c>
      <c r="E392" t="s">
        <v>563</v>
      </c>
      <c r="F392" t="s">
        <v>269</v>
      </c>
      <c r="G392" t="s">
        <v>254</v>
      </c>
      <c r="H392" t="s">
        <v>330</v>
      </c>
      <c r="I392" t="s">
        <v>388</v>
      </c>
      <c r="J392" s="91">
        <v>-370.67</v>
      </c>
      <c r="K392" s="89">
        <v>370.67</v>
      </c>
      <c r="L392" s="91">
        <v>-370.67</v>
      </c>
    </row>
    <row r="393" spans="1:13" x14ac:dyDescent="0.35">
      <c r="A393">
        <v>1</v>
      </c>
      <c r="B393" s="28">
        <v>43983</v>
      </c>
      <c r="C393" t="s">
        <v>34</v>
      </c>
      <c r="D393" s="91">
        <v>0</v>
      </c>
      <c r="E393" t="s">
        <v>563</v>
      </c>
      <c r="F393" t="s">
        <v>270</v>
      </c>
      <c r="G393" t="s">
        <v>567</v>
      </c>
      <c r="H393" t="s">
        <v>330</v>
      </c>
      <c r="I393" t="s">
        <v>388</v>
      </c>
      <c r="J393" s="91">
        <v>0</v>
      </c>
      <c r="K393" s="89">
        <v>0</v>
      </c>
      <c r="L393" s="91">
        <v>0</v>
      </c>
    </row>
    <row r="394" spans="1:13" x14ac:dyDescent="0.35">
      <c r="A394">
        <v>1</v>
      </c>
      <c r="B394" s="28">
        <v>43983</v>
      </c>
      <c r="C394" t="s">
        <v>34</v>
      </c>
      <c r="D394" s="91">
        <v>67.930000000000007</v>
      </c>
      <c r="E394" t="s">
        <v>561</v>
      </c>
      <c r="F394" t="s">
        <v>201</v>
      </c>
      <c r="G394" t="s">
        <v>250</v>
      </c>
      <c r="H394" t="s">
        <v>310</v>
      </c>
      <c r="I394" t="s">
        <v>389</v>
      </c>
      <c r="J394" s="91">
        <v>-67.930000000000007</v>
      </c>
      <c r="K394" s="89">
        <v>67.930000000000007</v>
      </c>
      <c r="L394" s="91">
        <v>-67.930000000000007</v>
      </c>
      <c r="M394" t="s">
        <v>396</v>
      </c>
    </row>
    <row r="395" spans="1:13" x14ac:dyDescent="0.35">
      <c r="A395">
        <v>1</v>
      </c>
      <c r="B395" s="28">
        <v>43983</v>
      </c>
      <c r="C395" t="s">
        <v>187</v>
      </c>
      <c r="D395" s="91">
        <v>165.45</v>
      </c>
      <c r="E395" t="s">
        <v>563</v>
      </c>
      <c r="F395" t="s">
        <v>201</v>
      </c>
      <c r="G395" t="s">
        <v>250</v>
      </c>
      <c r="H395" t="s">
        <v>310</v>
      </c>
      <c r="I395" t="s">
        <v>390</v>
      </c>
      <c r="J395" s="91">
        <v>165.45</v>
      </c>
      <c r="K395" s="89">
        <v>165.45</v>
      </c>
      <c r="L395" s="91">
        <v>165.45</v>
      </c>
      <c r="M395" t="s">
        <v>396</v>
      </c>
    </row>
    <row r="396" spans="1:13" x14ac:dyDescent="0.35">
      <c r="A396">
        <v>1</v>
      </c>
      <c r="B396" s="28">
        <v>43983</v>
      </c>
      <c r="C396" t="s">
        <v>187</v>
      </c>
      <c r="D396" s="91">
        <v>552.48</v>
      </c>
      <c r="E396" t="s">
        <v>564</v>
      </c>
      <c r="F396" t="s">
        <v>201</v>
      </c>
      <c r="G396" t="s">
        <v>250</v>
      </c>
      <c r="H396" t="s">
        <v>310</v>
      </c>
      <c r="I396" t="s">
        <v>391</v>
      </c>
      <c r="J396" s="91">
        <v>552.48</v>
      </c>
      <c r="K396" s="89">
        <v>552.48</v>
      </c>
      <c r="L396" s="91">
        <v>552.48</v>
      </c>
      <c r="M396" t="s">
        <v>396</v>
      </c>
    </row>
    <row r="397" spans="1:13" x14ac:dyDescent="0.35">
      <c r="A397">
        <v>1</v>
      </c>
      <c r="B397" s="28">
        <v>43983</v>
      </c>
      <c r="C397" t="s">
        <v>34</v>
      </c>
      <c r="D397" s="91">
        <v>650</v>
      </c>
      <c r="E397" t="s">
        <v>565</v>
      </c>
      <c r="F397" t="s">
        <v>201</v>
      </c>
      <c r="G397" t="s">
        <v>250</v>
      </c>
      <c r="H397" t="s">
        <v>310</v>
      </c>
      <c r="I397" t="s">
        <v>392</v>
      </c>
      <c r="J397" s="91">
        <v>-650</v>
      </c>
      <c r="K397" s="89">
        <v>650</v>
      </c>
      <c r="L397" s="91">
        <v>-650</v>
      </c>
      <c r="M397" t="s">
        <v>396</v>
      </c>
    </row>
    <row r="398" spans="1:13" x14ac:dyDescent="0.35">
      <c r="A398">
        <v>1</v>
      </c>
      <c r="B398" s="28">
        <v>43983</v>
      </c>
      <c r="C398" t="s">
        <v>187</v>
      </c>
      <c r="D398" s="91">
        <v>165.45</v>
      </c>
      <c r="E398" t="s">
        <v>564</v>
      </c>
      <c r="F398" t="s">
        <v>201</v>
      </c>
      <c r="G398" t="s">
        <v>250</v>
      </c>
      <c r="H398" t="s">
        <v>310</v>
      </c>
      <c r="I398" t="s">
        <v>393</v>
      </c>
      <c r="J398" s="91">
        <v>165.45</v>
      </c>
      <c r="K398" s="89">
        <v>165.45</v>
      </c>
      <c r="L398" s="91">
        <v>165.45</v>
      </c>
      <c r="M398" t="s">
        <v>396</v>
      </c>
    </row>
    <row r="399" spans="1:13" x14ac:dyDescent="0.35">
      <c r="A399">
        <v>1</v>
      </c>
      <c r="B399" s="28">
        <v>43983</v>
      </c>
      <c r="C399" t="s">
        <v>34</v>
      </c>
      <c r="D399" s="91">
        <v>165.45</v>
      </c>
      <c r="E399" t="s">
        <v>563</v>
      </c>
      <c r="F399" t="s">
        <v>201</v>
      </c>
      <c r="G399" t="s">
        <v>250</v>
      </c>
      <c r="H399" t="s">
        <v>310</v>
      </c>
      <c r="I399" t="s">
        <v>394</v>
      </c>
      <c r="J399" s="91">
        <v>-165.45</v>
      </c>
      <c r="K399" s="89">
        <v>165.45</v>
      </c>
      <c r="L399" s="91">
        <v>-165.45</v>
      </c>
      <c r="M399" t="s">
        <v>396</v>
      </c>
    </row>
  </sheetData>
  <sortState ref="A2:I399">
    <sortCondition ref="H2:H399"/>
    <sortCondition ref="G2:G399"/>
    <sortCondition ref="F2:F399"/>
    <sortCondition ref="C2:C399"/>
    <sortCondition ref="E2:E39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G"/>
  <dimension ref="A1:J402"/>
  <sheetViews>
    <sheetView workbookViewId="0">
      <selection activeCell="A3" sqref="A3:XFD3"/>
    </sheetView>
  </sheetViews>
  <sheetFormatPr defaultColWidth="8.453125" defaultRowHeight="14.5" x14ac:dyDescent="0.35"/>
  <sheetData>
    <row r="1" spans="1:10" x14ac:dyDescent="0.35">
      <c r="A1" t="s">
        <v>286</v>
      </c>
      <c r="B1" t="s">
        <v>287</v>
      </c>
      <c r="C1" t="s">
        <v>288</v>
      </c>
      <c r="D1" t="s">
        <v>289</v>
      </c>
      <c r="E1" t="s">
        <v>290</v>
      </c>
      <c r="F1" t="s">
        <v>291</v>
      </c>
      <c r="G1" t="s">
        <v>292</v>
      </c>
      <c r="H1" t="s">
        <v>293</v>
      </c>
      <c r="I1" t="s">
        <v>294</v>
      </c>
      <c r="J1" t="s">
        <v>295</v>
      </c>
    </row>
    <row r="2" spans="1:10" x14ac:dyDescent="0.35">
      <c r="A2" t="s">
        <v>296</v>
      </c>
      <c r="B2" t="s">
        <v>297</v>
      </c>
      <c r="C2" t="s">
        <v>288</v>
      </c>
      <c r="D2" t="s">
        <v>289</v>
      </c>
      <c r="E2" t="s">
        <v>290</v>
      </c>
      <c r="F2" t="s">
        <v>291</v>
      </c>
      <c r="G2" t="s">
        <v>292</v>
      </c>
      <c r="H2" t="s">
        <v>293</v>
      </c>
      <c r="I2" t="s">
        <v>294</v>
      </c>
      <c r="J2" t="s">
        <v>295</v>
      </c>
    </row>
    <row r="3" spans="1:10" x14ac:dyDescent="0.35">
      <c r="A3" t="s">
        <v>298</v>
      </c>
    </row>
    <row r="4" spans="1:10" x14ac:dyDescent="0.35">
      <c r="A4" t="s">
        <v>299</v>
      </c>
      <c r="C4" t="s">
        <v>300</v>
      </c>
      <c r="D4">
        <v>43983</v>
      </c>
      <c r="F4" t="s">
        <v>561</v>
      </c>
      <c r="G4" t="s">
        <v>309</v>
      </c>
      <c r="H4">
        <v>117.04</v>
      </c>
      <c r="I4" t="s">
        <v>201</v>
      </c>
    </row>
    <row r="5" spans="1:10" x14ac:dyDescent="0.35">
      <c r="A5" t="s">
        <v>302</v>
      </c>
      <c r="C5" t="s">
        <v>300</v>
      </c>
      <c r="D5">
        <v>43983</v>
      </c>
      <c r="F5" t="s">
        <v>562</v>
      </c>
      <c r="G5" t="s">
        <v>309</v>
      </c>
      <c r="H5">
        <v>50</v>
      </c>
      <c r="I5" t="s">
        <v>201</v>
      </c>
    </row>
    <row r="6" spans="1:10" x14ac:dyDescent="0.35">
      <c r="A6" t="s">
        <v>302</v>
      </c>
      <c r="C6" t="s">
        <v>300</v>
      </c>
      <c r="D6">
        <v>43983</v>
      </c>
      <c r="F6" t="s">
        <v>563</v>
      </c>
      <c r="G6" t="s">
        <v>309</v>
      </c>
      <c r="H6">
        <v>293.45999999999998</v>
      </c>
      <c r="I6" t="s">
        <v>201</v>
      </c>
    </row>
    <row r="7" spans="1:10" x14ac:dyDescent="0.35">
      <c r="A7" t="s">
        <v>302</v>
      </c>
      <c r="C7" t="s">
        <v>300</v>
      </c>
      <c r="D7">
        <v>43983</v>
      </c>
      <c r="F7" t="s">
        <v>564</v>
      </c>
      <c r="G7" t="s">
        <v>309</v>
      </c>
      <c r="H7">
        <v>893.58</v>
      </c>
      <c r="I7" t="s">
        <v>201</v>
      </c>
    </row>
    <row r="8" spans="1:10" x14ac:dyDescent="0.35">
      <c r="A8" t="s">
        <v>302</v>
      </c>
      <c r="C8" t="s">
        <v>300</v>
      </c>
      <c r="D8">
        <v>43983</v>
      </c>
      <c r="F8" t="s">
        <v>565</v>
      </c>
      <c r="G8" t="s">
        <v>309</v>
      </c>
      <c r="H8">
        <v>1120</v>
      </c>
      <c r="I8" t="s">
        <v>201</v>
      </c>
    </row>
    <row r="9" spans="1:10" x14ac:dyDescent="0.35">
      <c r="A9" t="s">
        <v>302</v>
      </c>
      <c r="C9" t="s">
        <v>300</v>
      </c>
      <c r="D9">
        <v>43983</v>
      </c>
      <c r="F9" t="s">
        <v>564</v>
      </c>
      <c r="G9" t="s">
        <v>309</v>
      </c>
      <c r="H9">
        <v>293.45999999999998</v>
      </c>
      <c r="I9" t="s">
        <v>201</v>
      </c>
    </row>
    <row r="10" spans="1:10" x14ac:dyDescent="0.35">
      <c r="A10" t="s">
        <v>302</v>
      </c>
      <c r="C10" t="s">
        <v>300</v>
      </c>
      <c r="D10">
        <v>43983</v>
      </c>
      <c r="F10" t="s">
        <v>563</v>
      </c>
      <c r="G10" t="s">
        <v>309</v>
      </c>
      <c r="H10">
        <v>293.45999999999998</v>
      </c>
      <c r="I10" t="s">
        <v>201</v>
      </c>
    </row>
    <row r="11" spans="1:10" x14ac:dyDescent="0.35">
      <c r="A11" t="s">
        <v>302</v>
      </c>
      <c r="C11" t="s">
        <v>300</v>
      </c>
      <c r="D11">
        <v>43983</v>
      </c>
      <c r="F11" t="s">
        <v>561</v>
      </c>
      <c r="G11" t="s">
        <v>319</v>
      </c>
      <c r="H11">
        <v>126.85</v>
      </c>
      <c r="I11" t="s">
        <v>259</v>
      </c>
    </row>
    <row r="12" spans="1:10" x14ac:dyDescent="0.35">
      <c r="A12" t="s">
        <v>302</v>
      </c>
      <c r="C12" t="s">
        <v>300</v>
      </c>
      <c r="D12">
        <v>43983</v>
      </c>
      <c r="F12" t="s">
        <v>562</v>
      </c>
      <c r="G12" t="s">
        <v>319</v>
      </c>
      <c r="H12">
        <v>158.47</v>
      </c>
      <c r="I12" t="s">
        <v>259</v>
      </c>
    </row>
    <row r="13" spans="1:10" x14ac:dyDescent="0.35">
      <c r="A13" t="s">
        <v>302</v>
      </c>
      <c r="C13" t="s">
        <v>300</v>
      </c>
      <c r="D13">
        <v>43983</v>
      </c>
      <c r="F13" t="s">
        <v>563</v>
      </c>
      <c r="G13" t="s">
        <v>319</v>
      </c>
      <c r="H13">
        <v>264.94</v>
      </c>
      <c r="I13" t="s">
        <v>259</v>
      </c>
    </row>
    <row r="14" spans="1:10" x14ac:dyDescent="0.35">
      <c r="A14" t="s">
        <v>302</v>
      </c>
      <c r="C14" t="s">
        <v>300</v>
      </c>
      <c r="D14">
        <v>43983</v>
      </c>
      <c r="F14" t="s">
        <v>564</v>
      </c>
      <c r="G14" t="s">
        <v>319</v>
      </c>
      <c r="H14">
        <v>984.88</v>
      </c>
      <c r="I14" t="s">
        <v>259</v>
      </c>
    </row>
    <row r="15" spans="1:10" x14ac:dyDescent="0.35">
      <c r="A15" t="s">
        <v>302</v>
      </c>
      <c r="C15" t="s">
        <v>300</v>
      </c>
      <c r="D15">
        <v>43983</v>
      </c>
      <c r="F15" t="s">
        <v>565</v>
      </c>
      <c r="G15" t="s">
        <v>319</v>
      </c>
      <c r="H15">
        <v>1281.44</v>
      </c>
      <c r="I15" t="s">
        <v>259</v>
      </c>
    </row>
    <row r="16" spans="1:10" x14ac:dyDescent="0.35">
      <c r="A16" t="s">
        <v>302</v>
      </c>
      <c r="C16" t="s">
        <v>300</v>
      </c>
      <c r="D16">
        <v>43983</v>
      </c>
      <c r="F16" t="s">
        <v>564</v>
      </c>
      <c r="G16" t="s">
        <v>319</v>
      </c>
      <c r="H16">
        <v>264.94</v>
      </c>
      <c r="I16" t="s">
        <v>259</v>
      </c>
    </row>
    <row r="17" spans="1:9" x14ac:dyDescent="0.35">
      <c r="A17" t="s">
        <v>302</v>
      </c>
      <c r="C17" t="s">
        <v>300</v>
      </c>
      <c r="D17">
        <v>43983</v>
      </c>
      <c r="F17" t="s">
        <v>563</v>
      </c>
      <c r="G17" t="s">
        <v>319</v>
      </c>
      <c r="H17">
        <v>264.94</v>
      </c>
      <c r="I17" t="s">
        <v>259</v>
      </c>
    </row>
    <row r="18" spans="1:9" x14ac:dyDescent="0.35">
      <c r="A18" t="s">
        <v>302</v>
      </c>
      <c r="C18" t="s">
        <v>300</v>
      </c>
      <c r="D18">
        <v>43983</v>
      </c>
      <c r="F18" t="s">
        <v>561</v>
      </c>
      <c r="G18" t="s">
        <v>308</v>
      </c>
      <c r="H18">
        <v>214.11</v>
      </c>
      <c r="I18" t="s">
        <v>576</v>
      </c>
    </row>
    <row r="19" spans="1:9" x14ac:dyDescent="0.35">
      <c r="A19" t="s">
        <v>302</v>
      </c>
      <c r="C19" t="s">
        <v>300</v>
      </c>
      <c r="D19">
        <v>43983</v>
      </c>
      <c r="F19" t="s">
        <v>562</v>
      </c>
      <c r="G19" t="s">
        <v>308</v>
      </c>
      <c r="H19">
        <v>101.8</v>
      </c>
      <c r="I19" t="s">
        <v>576</v>
      </c>
    </row>
    <row r="20" spans="1:9" x14ac:dyDescent="0.35">
      <c r="A20" t="s">
        <v>302</v>
      </c>
      <c r="C20" t="s">
        <v>300</v>
      </c>
      <c r="D20">
        <v>43983</v>
      </c>
      <c r="F20" t="s">
        <v>563</v>
      </c>
      <c r="G20" t="s">
        <v>308</v>
      </c>
      <c r="H20">
        <v>570.16</v>
      </c>
      <c r="I20" t="s">
        <v>576</v>
      </c>
    </row>
    <row r="21" spans="1:9" x14ac:dyDescent="0.35">
      <c r="A21" t="s">
        <v>302</v>
      </c>
      <c r="C21" t="s">
        <v>300</v>
      </c>
      <c r="D21">
        <v>43983</v>
      </c>
      <c r="F21" t="s">
        <v>564</v>
      </c>
      <c r="G21" t="s">
        <v>308</v>
      </c>
      <c r="H21">
        <v>1765.59</v>
      </c>
      <c r="I21" t="s">
        <v>576</v>
      </c>
    </row>
    <row r="22" spans="1:9" x14ac:dyDescent="0.35">
      <c r="A22" t="s">
        <v>302</v>
      </c>
      <c r="C22" t="s">
        <v>300</v>
      </c>
      <c r="D22">
        <v>43983</v>
      </c>
      <c r="F22" t="s">
        <v>565</v>
      </c>
      <c r="G22" t="s">
        <v>308</v>
      </c>
      <c r="H22">
        <v>2223.44</v>
      </c>
      <c r="I22" t="s">
        <v>576</v>
      </c>
    </row>
    <row r="23" spans="1:9" x14ac:dyDescent="0.35">
      <c r="A23" t="s">
        <v>302</v>
      </c>
      <c r="C23" t="s">
        <v>300</v>
      </c>
      <c r="D23">
        <v>43983</v>
      </c>
      <c r="F23" t="s">
        <v>564</v>
      </c>
      <c r="G23" t="s">
        <v>308</v>
      </c>
      <c r="H23">
        <v>570.16</v>
      </c>
      <c r="I23" t="s">
        <v>576</v>
      </c>
    </row>
    <row r="24" spans="1:9" x14ac:dyDescent="0.35">
      <c r="A24" t="s">
        <v>302</v>
      </c>
      <c r="C24" t="s">
        <v>300</v>
      </c>
      <c r="D24">
        <v>43983</v>
      </c>
      <c r="F24" t="s">
        <v>563</v>
      </c>
      <c r="G24" t="s">
        <v>308</v>
      </c>
      <c r="H24">
        <v>570.16</v>
      </c>
      <c r="I24" t="s">
        <v>576</v>
      </c>
    </row>
    <row r="25" spans="1:9" x14ac:dyDescent="0.35">
      <c r="A25" t="s">
        <v>302</v>
      </c>
      <c r="C25" t="s">
        <v>300</v>
      </c>
      <c r="D25">
        <v>43983</v>
      </c>
      <c r="F25" t="s">
        <v>561</v>
      </c>
      <c r="G25" t="s">
        <v>312</v>
      </c>
      <c r="H25">
        <v>135.53</v>
      </c>
      <c r="I25" t="s">
        <v>201</v>
      </c>
    </row>
    <row r="26" spans="1:9" x14ac:dyDescent="0.35">
      <c r="A26" t="s">
        <v>302</v>
      </c>
      <c r="C26" t="s">
        <v>300</v>
      </c>
      <c r="D26">
        <v>43983</v>
      </c>
      <c r="F26" t="s">
        <v>562</v>
      </c>
      <c r="G26" t="s">
        <v>312</v>
      </c>
      <c r="H26">
        <v>95.91</v>
      </c>
      <c r="I26" t="s">
        <v>201</v>
      </c>
    </row>
    <row r="27" spans="1:9" x14ac:dyDescent="0.35">
      <c r="A27" t="s">
        <v>302</v>
      </c>
      <c r="C27" t="s">
        <v>300</v>
      </c>
      <c r="D27">
        <v>43983</v>
      </c>
      <c r="F27" t="s">
        <v>563</v>
      </c>
      <c r="G27" t="s">
        <v>312</v>
      </c>
      <c r="H27">
        <v>335.3</v>
      </c>
      <c r="I27" t="s">
        <v>201</v>
      </c>
    </row>
    <row r="28" spans="1:9" x14ac:dyDescent="0.35">
      <c r="A28" t="s">
        <v>302</v>
      </c>
      <c r="C28" t="s">
        <v>300</v>
      </c>
      <c r="D28">
        <v>43983</v>
      </c>
      <c r="F28" t="s">
        <v>564</v>
      </c>
      <c r="G28" t="s">
        <v>312</v>
      </c>
      <c r="H28">
        <v>1071.55</v>
      </c>
      <c r="I28" t="s">
        <v>201</v>
      </c>
    </row>
    <row r="29" spans="1:9" x14ac:dyDescent="0.35">
      <c r="A29" t="s">
        <v>302</v>
      </c>
      <c r="C29" t="s">
        <v>300</v>
      </c>
      <c r="D29">
        <v>43983</v>
      </c>
      <c r="F29" t="s">
        <v>565</v>
      </c>
      <c r="G29" t="s">
        <v>312</v>
      </c>
      <c r="H29">
        <v>1367.23</v>
      </c>
      <c r="I29" t="s">
        <v>201</v>
      </c>
    </row>
    <row r="30" spans="1:9" x14ac:dyDescent="0.35">
      <c r="A30" t="s">
        <v>302</v>
      </c>
      <c r="C30" t="s">
        <v>300</v>
      </c>
      <c r="D30">
        <v>43983</v>
      </c>
      <c r="F30" t="s">
        <v>564</v>
      </c>
      <c r="G30" t="s">
        <v>312</v>
      </c>
      <c r="H30">
        <v>335.3</v>
      </c>
      <c r="I30" t="s">
        <v>201</v>
      </c>
    </row>
    <row r="31" spans="1:9" x14ac:dyDescent="0.35">
      <c r="A31" t="s">
        <v>302</v>
      </c>
      <c r="C31" t="s">
        <v>300</v>
      </c>
      <c r="D31">
        <v>43983</v>
      </c>
      <c r="F31" t="s">
        <v>563</v>
      </c>
      <c r="G31" t="s">
        <v>312</v>
      </c>
      <c r="H31">
        <v>335.3</v>
      </c>
      <c r="I31" t="s">
        <v>201</v>
      </c>
    </row>
    <row r="32" spans="1:9" x14ac:dyDescent="0.35">
      <c r="A32" t="s">
        <v>302</v>
      </c>
      <c r="C32" t="s">
        <v>300</v>
      </c>
      <c r="D32">
        <v>43983</v>
      </c>
      <c r="F32" t="s">
        <v>561</v>
      </c>
      <c r="G32" t="s">
        <v>337</v>
      </c>
      <c r="H32">
        <v>61.13</v>
      </c>
      <c r="I32" t="s">
        <v>258</v>
      </c>
    </row>
    <row r="33" spans="1:9" x14ac:dyDescent="0.35">
      <c r="A33" t="s">
        <v>302</v>
      </c>
      <c r="C33" t="s">
        <v>300</v>
      </c>
      <c r="D33">
        <v>43983</v>
      </c>
      <c r="F33" t="s">
        <v>563</v>
      </c>
      <c r="G33" t="s">
        <v>337</v>
      </c>
      <c r="H33">
        <v>163.80000000000001</v>
      </c>
      <c r="I33" t="s">
        <v>258</v>
      </c>
    </row>
    <row r="34" spans="1:9" x14ac:dyDescent="0.35">
      <c r="A34" t="s">
        <v>302</v>
      </c>
      <c r="C34" t="s">
        <v>300</v>
      </c>
      <c r="D34">
        <v>43983</v>
      </c>
      <c r="F34" t="s">
        <v>564</v>
      </c>
      <c r="G34" t="s">
        <v>337</v>
      </c>
      <c r="H34">
        <v>482.33</v>
      </c>
      <c r="I34" t="s">
        <v>258</v>
      </c>
    </row>
    <row r="35" spans="1:9" x14ac:dyDescent="0.35">
      <c r="A35" t="s">
        <v>302</v>
      </c>
      <c r="C35" t="s">
        <v>300</v>
      </c>
      <c r="D35">
        <v>43983</v>
      </c>
      <c r="F35" t="s">
        <v>565</v>
      </c>
      <c r="G35" t="s">
        <v>337</v>
      </c>
      <c r="H35">
        <v>585</v>
      </c>
      <c r="I35" t="s">
        <v>258</v>
      </c>
    </row>
    <row r="36" spans="1:9" x14ac:dyDescent="0.35">
      <c r="A36" t="s">
        <v>302</v>
      </c>
      <c r="C36" t="s">
        <v>300</v>
      </c>
      <c r="D36">
        <v>43983</v>
      </c>
      <c r="F36" t="s">
        <v>564</v>
      </c>
      <c r="G36" t="s">
        <v>337</v>
      </c>
      <c r="H36">
        <v>163.80000000000001</v>
      </c>
      <c r="I36" t="s">
        <v>258</v>
      </c>
    </row>
    <row r="37" spans="1:9" x14ac:dyDescent="0.35">
      <c r="A37" t="s">
        <v>302</v>
      </c>
      <c r="C37" t="s">
        <v>300</v>
      </c>
      <c r="D37">
        <v>43983</v>
      </c>
      <c r="F37" t="s">
        <v>563</v>
      </c>
      <c r="G37" t="s">
        <v>337</v>
      </c>
      <c r="H37">
        <v>163.80000000000001</v>
      </c>
      <c r="I37" t="s">
        <v>258</v>
      </c>
    </row>
    <row r="38" spans="1:9" x14ac:dyDescent="0.35">
      <c r="A38" t="s">
        <v>302</v>
      </c>
      <c r="C38" t="s">
        <v>300</v>
      </c>
      <c r="D38">
        <v>43983</v>
      </c>
      <c r="F38" t="s">
        <v>561</v>
      </c>
      <c r="G38" t="s">
        <v>334</v>
      </c>
      <c r="H38">
        <v>59.43</v>
      </c>
      <c r="I38" t="s">
        <v>201</v>
      </c>
    </row>
    <row r="39" spans="1:9" x14ac:dyDescent="0.35">
      <c r="A39" t="s">
        <v>302</v>
      </c>
      <c r="C39" t="s">
        <v>300</v>
      </c>
      <c r="D39">
        <v>43983</v>
      </c>
      <c r="F39" t="s">
        <v>563</v>
      </c>
      <c r="G39" t="s">
        <v>334</v>
      </c>
      <c r="H39">
        <v>140.83000000000001</v>
      </c>
      <c r="I39" t="s">
        <v>201</v>
      </c>
    </row>
    <row r="40" spans="1:9" x14ac:dyDescent="0.35">
      <c r="A40" t="s">
        <v>302</v>
      </c>
      <c r="C40" t="s">
        <v>300</v>
      </c>
      <c r="D40">
        <v>43983</v>
      </c>
      <c r="F40" t="s">
        <v>564</v>
      </c>
      <c r="G40" t="s">
        <v>334</v>
      </c>
      <c r="H40">
        <v>487.3</v>
      </c>
      <c r="I40" t="s">
        <v>201</v>
      </c>
    </row>
    <row r="41" spans="1:9" x14ac:dyDescent="0.35">
      <c r="A41" t="s">
        <v>302</v>
      </c>
      <c r="C41" t="s">
        <v>300</v>
      </c>
      <c r="D41">
        <v>43983</v>
      </c>
      <c r="F41" t="s">
        <v>565</v>
      </c>
      <c r="G41" t="s">
        <v>334</v>
      </c>
      <c r="H41">
        <v>568.70000000000005</v>
      </c>
      <c r="I41" t="s">
        <v>201</v>
      </c>
    </row>
    <row r="42" spans="1:9" x14ac:dyDescent="0.35">
      <c r="A42" t="s">
        <v>302</v>
      </c>
      <c r="C42" t="s">
        <v>300</v>
      </c>
      <c r="D42">
        <v>43983</v>
      </c>
      <c r="F42" t="s">
        <v>564</v>
      </c>
      <c r="G42" t="s">
        <v>334</v>
      </c>
      <c r="H42">
        <v>140.83000000000001</v>
      </c>
      <c r="I42" t="s">
        <v>201</v>
      </c>
    </row>
    <row r="43" spans="1:9" x14ac:dyDescent="0.35">
      <c r="A43" t="s">
        <v>302</v>
      </c>
      <c r="C43" t="s">
        <v>300</v>
      </c>
      <c r="D43">
        <v>43983</v>
      </c>
      <c r="F43" t="s">
        <v>563</v>
      </c>
      <c r="G43" t="s">
        <v>334</v>
      </c>
      <c r="H43">
        <v>140.83000000000001</v>
      </c>
      <c r="I43" t="s">
        <v>201</v>
      </c>
    </row>
    <row r="44" spans="1:9" x14ac:dyDescent="0.35">
      <c r="A44" t="s">
        <v>302</v>
      </c>
      <c r="C44" t="s">
        <v>300</v>
      </c>
      <c r="D44">
        <v>43983</v>
      </c>
      <c r="F44" t="s">
        <v>561</v>
      </c>
      <c r="G44" t="s">
        <v>315</v>
      </c>
      <c r="H44">
        <v>139.6224</v>
      </c>
      <c r="I44" t="s">
        <v>201</v>
      </c>
    </row>
    <row r="45" spans="1:9" x14ac:dyDescent="0.35">
      <c r="A45" t="s">
        <v>302</v>
      </c>
      <c r="C45" t="s">
        <v>300</v>
      </c>
      <c r="D45">
        <v>43983</v>
      </c>
      <c r="F45" t="s">
        <v>561</v>
      </c>
      <c r="G45" t="s">
        <v>315</v>
      </c>
      <c r="H45">
        <v>54.297600000000003</v>
      </c>
      <c r="I45" t="s">
        <v>257</v>
      </c>
    </row>
    <row r="46" spans="1:9" x14ac:dyDescent="0.35">
      <c r="A46" t="s">
        <v>302</v>
      </c>
      <c r="C46" t="s">
        <v>300</v>
      </c>
      <c r="D46">
        <v>43983</v>
      </c>
      <c r="F46" t="s">
        <v>562</v>
      </c>
      <c r="G46" t="s">
        <v>315</v>
      </c>
      <c r="H46">
        <v>205.63919999999999</v>
      </c>
      <c r="I46" t="s">
        <v>201</v>
      </c>
    </row>
    <row r="47" spans="1:9" x14ac:dyDescent="0.35">
      <c r="A47" t="s">
        <v>302</v>
      </c>
      <c r="C47" t="s">
        <v>300</v>
      </c>
      <c r="D47">
        <v>43983</v>
      </c>
      <c r="F47" t="s">
        <v>562</v>
      </c>
      <c r="G47" t="s">
        <v>315</v>
      </c>
      <c r="H47">
        <v>79.970800000000011</v>
      </c>
      <c r="I47" t="s">
        <v>257</v>
      </c>
    </row>
    <row r="48" spans="1:9" x14ac:dyDescent="0.35">
      <c r="A48" t="s">
        <v>302</v>
      </c>
      <c r="C48" t="s">
        <v>300</v>
      </c>
      <c r="D48">
        <v>43983</v>
      </c>
      <c r="F48" t="s">
        <v>563</v>
      </c>
      <c r="G48" t="s">
        <v>315</v>
      </c>
      <c r="H48">
        <v>567.05039999999997</v>
      </c>
      <c r="I48" t="s">
        <v>201</v>
      </c>
    </row>
    <row r="49" spans="1:9" x14ac:dyDescent="0.35">
      <c r="A49" t="s">
        <v>302</v>
      </c>
      <c r="C49" t="s">
        <v>300</v>
      </c>
      <c r="D49">
        <v>43983</v>
      </c>
      <c r="F49" t="s">
        <v>563</v>
      </c>
      <c r="G49" t="s">
        <v>315</v>
      </c>
      <c r="H49">
        <v>220.51960000000003</v>
      </c>
      <c r="I49" t="s">
        <v>257</v>
      </c>
    </row>
    <row r="50" spans="1:9" x14ac:dyDescent="0.35">
      <c r="A50" t="s">
        <v>302</v>
      </c>
      <c r="C50" t="s">
        <v>300</v>
      </c>
      <c r="D50">
        <v>43983</v>
      </c>
      <c r="F50" t="s">
        <v>564</v>
      </c>
      <c r="G50" t="s">
        <v>315</v>
      </c>
      <c r="H50">
        <v>1305.396</v>
      </c>
      <c r="I50" t="s">
        <v>201</v>
      </c>
    </row>
    <row r="51" spans="1:9" x14ac:dyDescent="0.35">
      <c r="A51" t="s">
        <v>302</v>
      </c>
      <c r="C51" t="s">
        <v>300</v>
      </c>
      <c r="D51">
        <v>43983</v>
      </c>
      <c r="F51" t="s">
        <v>564</v>
      </c>
      <c r="G51" t="s">
        <v>315</v>
      </c>
      <c r="H51">
        <v>507.65400000000005</v>
      </c>
      <c r="I51" t="s">
        <v>257</v>
      </c>
    </row>
    <row r="52" spans="1:9" x14ac:dyDescent="0.35">
      <c r="A52" t="s">
        <v>302</v>
      </c>
      <c r="C52" t="s">
        <v>300</v>
      </c>
      <c r="D52">
        <v>43983</v>
      </c>
      <c r="F52" t="s">
        <v>565</v>
      </c>
      <c r="G52" t="s">
        <v>315</v>
      </c>
      <c r="H52">
        <v>1938.4631999999999</v>
      </c>
      <c r="I52" t="s">
        <v>201</v>
      </c>
    </row>
    <row r="53" spans="1:9" x14ac:dyDescent="0.35">
      <c r="A53" t="s">
        <v>302</v>
      </c>
      <c r="C53" t="s">
        <v>300</v>
      </c>
      <c r="D53">
        <v>43983</v>
      </c>
      <c r="F53" t="s">
        <v>565</v>
      </c>
      <c r="G53" t="s">
        <v>315</v>
      </c>
      <c r="H53">
        <v>753.84680000000003</v>
      </c>
      <c r="I53" t="s">
        <v>257</v>
      </c>
    </row>
    <row r="54" spans="1:9" x14ac:dyDescent="0.35">
      <c r="A54" t="s">
        <v>302</v>
      </c>
      <c r="C54" t="s">
        <v>300</v>
      </c>
      <c r="D54">
        <v>43983</v>
      </c>
      <c r="F54" t="s">
        <v>564</v>
      </c>
      <c r="G54" t="s">
        <v>315</v>
      </c>
      <c r="H54">
        <v>567.05039999999997</v>
      </c>
      <c r="I54" t="s">
        <v>201</v>
      </c>
    </row>
    <row r="55" spans="1:9" x14ac:dyDescent="0.35">
      <c r="A55" t="s">
        <v>302</v>
      </c>
      <c r="C55" t="s">
        <v>300</v>
      </c>
      <c r="D55">
        <v>43983</v>
      </c>
      <c r="F55" t="s">
        <v>564</v>
      </c>
      <c r="G55" t="s">
        <v>315</v>
      </c>
      <c r="H55">
        <v>220.51960000000003</v>
      </c>
      <c r="I55" t="s">
        <v>257</v>
      </c>
    </row>
    <row r="56" spans="1:9" x14ac:dyDescent="0.35">
      <c r="A56" t="s">
        <v>302</v>
      </c>
      <c r="C56" t="s">
        <v>300</v>
      </c>
      <c r="D56">
        <v>43983</v>
      </c>
      <c r="F56" t="s">
        <v>563</v>
      </c>
      <c r="G56" t="s">
        <v>315</v>
      </c>
      <c r="H56">
        <v>567.05039999999997</v>
      </c>
      <c r="I56" t="s">
        <v>201</v>
      </c>
    </row>
    <row r="57" spans="1:9" x14ac:dyDescent="0.35">
      <c r="A57" t="s">
        <v>302</v>
      </c>
      <c r="C57" t="s">
        <v>300</v>
      </c>
      <c r="D57">
        <v>43983</v>
      </c>
      <c r="F57" t="s">
        <v>563</v>
      </c>
      <c r="G57" t="s">
        <v>315</v>
      </c>
      <c r="H57">
        <v>220.51960000000003</v>
      </c>
      <c r="I57" t="s">
        <v>257</v>
      </c>
    </row>
    <row r="58" spans="1:9" x14ac:dyDescent="0.35">
      <c r="A58" t="s">
        <v>302</v>
      </c>
      <c r="C58" t="s">
        <v>300</v>
      </c>
      <c r="D58">
        <v>43983</v>
      </c>
      <c r="F58" t="s">
        <v>561</v>
      </c>
      <c r="G58" t="s">
        <v>332</v>
      </c>
      <c r="H58">
        <v>198.53</v>
      </c>
      <c r="I58" t="s">
        <v>201</v>
      </c>
    </row>
    <row r="59" spans="1:9" x14ac:dyDescent="0.35">
      <c r="A59" t="s">
        <v>302</v>
      </c>
      <c r="C59" t="s">
        <v>300</v>
      </c>
      <c r="D59">
        <v>43983</v>
      </c>
      <c r="F59" t="s">
        <v>562</v>
      </c>
      <c r="G59" t="s">
        <v>332</v>
      </c>
      <c r="H59">
        <v>85.26</v>
      </c>
      <c r="I59" t="s">
        <v>201</v>
      </c>
    </row>
    <row r="60" spans="1:9" x14ac:dyDescent="0.35">
      <c r="A60" t="s">
        <v>302</v>
      </c>
      <c r="C60" t="s">
        <v>300</v>
      </c>
      <c r="D60">
        <v>43983</v>
      </c>
      <c r="F60" t="s">
        <v>563</v>
      </c>
      <c r="G60" t="s">
        <v>332</v>
      </c>
      <c r="H60">
        <v>839.16</v>
      </c>
      <c r="I60" t="s">
        <v>201</v>
      </c>
    </row>
    <row r="61" spans="1:9" x14ac:dyDescent="0.35">
      <c r="A61" t="s">
        <v>302</v>
      </c>
      <c r="C61" t="s">
        <v>300</v>
      </c>
      <c r="D61">
        <v>43983</v>
      </c>
      <c r="F61" t="s">
        <v>564</v>
      </c>
      <c r="G61" t="s">
        <v>332</v>
      </c>
      <c r="H61">
        <v>1958.16</v>
      </c>
      <c r="I61" t="s">
        <v>201</v>
      </c>
    </row>
    <row r="62" spans="1:9" x14ac:dyDescent="0.35">
      <c r="A62" t="s">
        <v>302</v>
      </c>
      <c r="C62" t="s">
        <v>300</v>
      </c>
      <c r="D62">
        <v>43983</v>
      </c>
      <c r="F62" t="s">
        <v>565</v>
      </c>
      <c r="G62" t="s">
        <v>332</v>
      </c>
      <c r="H62">
        <v>2684.05</v>
      </c>
      <c r="I62" t="s">
        <v>201</v>
      </c>
    </row>
    <row r="63" spans="1:9" x14ac:dyDescent="0.35">
      <c r="A63" t="s">
        <v>302</v>
      </c>
      <c r="C63" t="s">
        <v>300</v>
      </c>
      <c r="D63">
        <v>43983</v>
      </c>
      <c r="F63" t="s">
        <v>564</v>
      </c>
      <c r="G63" t="s">
        <v>332</v>
      </c>
      <c r="H63">
        <v>839.16</v>
      </c>
      <c r="I63" t="s">
        <v>201</v>
      </c>
    </row>
    <row r="64" spans="1:9" x14ac:dyDescent="0.35">
      <c r="A64" t="s">
        <v>302</v>
      </c>
      <c r="C64" t="s">
        <v>300</v>
      </c>
      <c r="D64">
        <v>43983</v>
      </c>
      <c r="F64" t="s">
        <v>563</v>
      </c>
      <c r="G64" t="s">
        <v>332</v>
      </c>
      <c r="H64">
        <v>839.16</v>
      </c>
      <c r="I64" t="s">
        <v>201</v>
      </c>
    </row>
    <row r="65" spans="1:9" x14ac:dyDescent="0.35">
      <c r="A65" t="s">
        <v>302</v>
      </c>
      <c r="C65" t="s">
        <v>300</v>
      </c>
      <c r="D65">
        <v>43983</v>
      </c>
      <c r="F65" t="s">
        <v>561</v>
      </c>
      <c r="G65" t="s">
        <v>323</v>
      </c>
      <c r="H65">
        <v>241.87</v>
      </c>
      <c r="I65" t="s">
        <v>260</v>
      </c>
    </row>
    <row r="66" spans="1:9" x14ac:dyDescent="0.35">
      <c r="A66" t="s">
        <v>302</v>
      </c>
      <c r="C66" t="s">
        <v>300</v>
      </c>
      <c r="D66">
        <v>43983</v>
      </c>
      <c r="F66" t="s">
        <v>562</v>
      </c>
      <c r="G66" t="s">
        <v>323</v>
      </c>
      <c r="H66">
        <v>60.3</v>
      </c>
      <c r="I66" t="s">
        <v>260</v>
      </c>
    </row>
    <row r="67" spans="1:9" x14ac:dyDescent="0.35">
      <c r="A67" t="s">
        <v>302</v>
      </c>
      <c r="C67" t="s">
        <v>300</v>
      </c>
      <c r="D67">
        <v>43983</v>
      </c>
      <c r="F67" t="s">
        <v>563</v>
      </c>
      <c r="G67" t="s">
        <v>323</v>
      </c>
      <c r="H67">
        <v>790.42</v>
      </c>
      <c r="I67" t="s">
        <v>260</v>
      </c>
    </row>
    <row r="68" spans="1:9" x14ac:dyDescent="0.35">
      <c r="A68" t="s">
        <v>302</v>
      </c>
      <c r="C68" t="s">
        <v>300</v>
      </c>
      <c r="D68">
        <v>43983</v>
      </c>
      <c r="F68" t="s">
        <v>564</v>
      </c>
      <c r="G68" t="s">
        <v>323</v>
      </c>
      <c r="H68">
        <v>1752.31</v>
      </c>
      <c r="I68" t="s">
        <v>260</v>
      </c>
    </row>
    <row r="69" spans="1:9" x14ac:dyDescent="0.35">
      <c r="A69" t="s">
        <v>302</v>
      </c>
      <c r="C69" t="s">
        <v>300</v>
      </c>
      <c r="D69">
        <v>43983</v>
      </c>
      <c r="F69" t="s">
        <v>565</v>
      </c>
      <c r="G69" t="s">
        <v>323</v>
      </c>
      <c r="H69">
        <v>2361.16</v>
      </c>
      <c r="I69" t="s">
        <v>260</v>
      </c>
    </row>
    <row r="70" spans="1:9" x14ac:dyDescent="0.35">
      <c r="A70" t="s">
        <v>302</v>
      </c>
      <c r="C70" t="s">
        <v>300</v>
      </c>
      <c r="D70">
        <v>43983</v>
      </c>
      <c r="F70" t="s">
        <v>564</v>
      </c>
      <c r="G70" t="s">
        <v>323</v>
      </c>
      <c r="H70">
        <v>790.42</v>
      </c>
      <c r="I70" t="s">
        <v>260</v>
      </c>
    </row>
    <row r="71" spans="1:9" x14ac:dyDescent="0.35">
      <c r="A71" t="s">
        <v>302</v>
      </c>
      <c r="C71" t="s">
        <v>300</v>
      </c>
      <c r="D71">
        <v>43983</v>
      </c>
      <c r="F71" t="s">
        <v>563</v>
      </c>
      <c r="G71" t="s">
        <v>323</v>
      </c>
      <c r="H71">
        <v>790.42</v>
      </c>
      <c r="I71" t="s">
        <v>260</v>
      </c>
    </row>
    <row r="72" spans="1:9" x14ac:dyDescent="0.35">
      <c r="A72" t="s">
        <v>302</v>
      </c>
      <c r="C72" t="s">
        <v>300</v>
      </c>
      <c r="D72">
        <v>43983</v>
      </c>
      <c r="F72" t="s">
        <v>561</v>
      </c>
      <c r="G72" t="s">
        <v>326</v>
      </c>
      <c r="H72">
        <v>91.74</v>
      </c>
      <c r="I72" t="s">
        <v>201</v>
      </c>
    </row>
    <row r="73" spans="1:9" x14ac:dyDescent="0.35">
      <c r="A73" t="s">
        <v>302</v>
      </c>
      <c r="C73" t="s">
        <v>300</v>
      </c>
      <c r="D73">
        <v>43983</v>
      </c>
      <c r="F73" t="s">
        <v>563</v>
      </c>
      <c r="G73" t="s">
        <v>326</v>
      </c>
      <c r="H73">
        <v>200.97</v>
      </c>
      <c r="I73" t="s">
        <v>201</v>
      </c>
    </row>
    <row r="74" spans="1:9" x14ac:dyDescent="0.35">
      <c r="A74" t="s">
        <v>302</v>
      </c>
      <c r="C74" t="s">
        <v>300</v>
      </c>
      <c r="D74">
        <v>43983</v>
      </c>
      <c r="F74" t="s">
        <v>564</v>
      </c>
      <c r="G74" t="s">
        <v>326</v>
      </c>
      <c r="H74">
        <v>768.6</v>
      </c>
      <c r="I74" t="s">
        <v>201</v>
      </c>
    </row>
    <row r="75" spans="1:9" x14ac:dyDescent="0.35">
      <c r="A75" t="s">
        <v>302</v>
      </c>
      <c r="C75" t="s">
        <v>300</v>
      </c>
      <c r="D75">
        <v>43983</v>
      </c>
      <c r="F75" t="s">
        <v>565</v>
      </c>
      <c r="G75" t="s">
        <v>326</v>
      </c>
      <c r="H75">
        <v>877.83</v>
      </c>
      <c r="I75" t="s">
        <v>201</v>
      </c>
    </row>
    <row r="76" spans="1:9" x14ac:dyDescent="0.35">
      <c r="A76" t="s">
        <v>302</v>
      </c>
      <c r="C76" t="s">
        <v>300</v>
      </c>
      <c r="D76">
        <v>43983</v>
      </c>
      <c r="F76" t="s">
        <v>564</v>
      </c>
      <c r="G76" t="s">
        <v>326</v>
      </c>
      <c r="H76">
        <v>200.97</v>
      </c>
      <c r="I76" t="s">
        <v>201</v>
      </c>
    </row>
    <row r="77" spans="1:9" x14ac:dyDescent="0.35">
      <c r="A77" t="s">
        <v>302</v>
      </c>
      <c r="C77" t="s">
        <v>300</v>
      </c>
      <c r="D77">
        <v>43983</v>
      </c>
      <c r="F77" t="s">
        <v>563</v>
      </c>
      <c r="G77" t="s">
        <v>326</v>
      </c>
      <c r="H77">
        <v>200.97</v>
      </c>
      <c r="I77" t="s">
        <v>201</v>
      </c>
    </row>
    <row r="78" spans="1:9" x14ac:dyDescent="0.35">
      <c r="A78" t="s">
        <v>302</v>
      </c>
      <c r="C78" t="s">
        <v>300</v>
      </c>
      <c r="D78">
        <v>43983</v>
      </c>
      <c r="F78" t="s">
        <v>561</v>
      </c>
      <c r="G78" t="s">
        <v>321</v>
      </c>
      <c r="H78">
        <v>238.17</v>
      </c>
      <c r="I78" t="s">
        <v>201</v>
      </c>
    </row>
    <row r="79" spans="1:9" x14ac:dyDescent="0.35">
      <c r="A79" t="s">
        <v>302</v>
      </c>
      <c r="C79" t="s">
        <v>300</v>
      </c>
      <c r="D79">
        <v>43983</v>
      </c>
      <c r="F79" t="s">
        <v>563</v>
      </c>
      <c r="G79" t="s">
        <v>321</v>
      </c>
      <c r="H79">
        <v>813.65</v>
      </c>
      <c r="I79" t="s">
        <v>201</v>
      </c>
    </row>
    <row r="80" spans="1:9" x14ac:dyDescent="0.35">
      <c r="A80" t="s">
        <v>302</v>
      </c>
      <c r="C80" t="s">
        <v>300</v>
      </c>
      <c r="D80">
        <v>43983</v>
      </c>
      <c r="F80" t="s">
        <v>564</v>
      </c>
      <c r="G80" t="s">
        <v>321</v>
      </c>
      <c r="H80">
        <v>1703.73</v>
      </c>
      <c r="I80" t="s">
        <v>201</v>
      </c>
    </row>
    <row r="81" spans="1:9" x14ac:dyDescent="0.35">
      <c r="A81" t="s">
        <v>302</v>
      </c>
      <c r="C81" t="s">
        <v>300</v>
      </c>
      <c r="D81">
        <v>43983</v>
      </c>
      <c r="F81" t="s">
        <v>565</v>
      </c>
      <c r="G81" t="s">
        <v>321</v>
      </c>
      <c r="H81">
        <v>2279.21</v>
      </c>
      <c r="I81" t="s">
        <v>201</v>
      </c>
    </row>
    <row r="82" spans="1:9" x14ac:dyDescent="0.35">
      <c r="A82" t="s">
        <v>302</v>
      </c>
      <c r="C82" t="s">
        <v>300</v>
      </c>
      <c r="D82">
        <v>43983</v>
      </c>
      <c r="F82" t="s">
        <v>564</v>
      </c>
      <c r="G82" t="s">
        <v>321</v>
      </c>
      <c r="H82">
        <v>813.65</v>
      </c>
      <c r="I82" t="s">
        <v>201</v>
      </c>
    </row>
    <row r="83" spans="1:9" x14ac:dyDescent="0.35">
      <c r="A83" t="s">
        <v>302</v>
      </c>
      <c r="C83" t="s">
        <v>300</v>
      </c>
      <c r="D83">
        <v>43983</v>
      </c>
      <c r="F83" t="s">
        <v>563</v>
      </c>
      <c r="G83" t="s">
        <v>321</v>
      </c>
      <c r="H83">
        <v>813.65</v>
      </c>
      <c r="I83" t="s">
        <v>201</v>
      </c>
    </row>
    <row r="84" spans="1:9" x14ac:dyDescent="0.35">
      <c r="A84" t="s">
        <v>302</v>
      </c>
      <c r="C84" t="s">
        <v>300</v>
      </c>
      <c r="D84">
        <v>43983</v>
      </c>
      <c r="F84" t="s">
        <v>561</v>
      </c>
      <c r="G84" t="s">
        <v>333</v>
      </c>
      <c r="H84">
        <v>154.77000000000001</v>
      </c>
      <c r="I84" t="s">
        <v>201</v>
      </c>
    </row>
    <row r="85" spans="1:9" x14ac:dyDescent="0.35">
      <c r="A85" t="s">
        <v>302</v>
      </c>
      <c r="C85" t="s">
        <v>300</v>
      </c>
      <c r="D85">
        <v>43983</v>
      </c>
      <c r="F85" t="s">
        <v>562</v>
      </c>
      <c r="G85" t="s">
        <v>333</v>
      </c>
      <c r="H85">
        <v>170.24</v>
      </c>
      <c r="I85" t="s">
        <v>201</v>
      </c>
    </row>
    <row r="86" spans="1:9" x14ac:dyDescent="0.35">
      <c r="A86" t="s">
        <v>302</v>
      </c>
      <c r="C86" t="s">
        <v>300</v>
      </c>
      <c r="D86">
        <v>43983</v>
      </c>
      <c r="F86" t="s">
        <v>563</v>
      </c>
      <c r="G86" t="s">
        <v>333</v>
      </c>
      <c r="H86">
        <v>433.43</v>
      </c>
      <c r="I86" t="s">
        <v>201</v>
      </c>
    </row>
    <row r="87" spans="1:9" x14ac:dyDescent="0.35">
      <c r="A87" t="s">
        <v>302</v>
      </c>
      <c r="C87" t="s">
        <v>300</v>
      </c>
      <c r="D87">
        <v>43983</v>
      </c>
      <c r="F87" t="s">
        <v>564</v>
      </c>
      <c r="G87" t="s">
        <v>333</v>
      </c>
      <c r="H87">
        <v>1124.02</v>
      </c>
      <c r="I87" t="s">
        <v>201</v>
      </c>
    </row>
    <row r="88" spans="1:9" x14ac:dyDescent="0.35">
      <c r="A88" t="s">
        <v>302</v>
      </c>
      <c r="C88" t="s">
        <v>300</v>
      </c>
      <c r="D88">
        <v>43983</v>
      </c>
      <c r="F88" t="s">
        <v>565</v>
      </c>
      <c r="G88" t="s">
        <v>333</v>
      </c>
      <c r="H88">
        <v>1572.92</v>
      </c>
      <c r="I88" t="s">
        <v>201</v>
      </c>
    </row>
    <row r="89" spans="1:9" x14ac:dyDescent="0.35">
      <c r="A89" t="s">
        <v>302</v>
      </c>
      <c r="C89" t="s">
        <v>300</v>
      </c>
      <c r="D89">
        <v>43983</v>
      </c>
      <c r="F89" t="s">
        <v>564</v>
      </c>
      <c r="G89" t="s">
        <v>333</v>
      </c>
      <c r="H89">
        <v>433.43</v>
      </c>
      <c r="I89" t="s">
        <v>201</v>
      </c>
    </row>
    <row r="90" spans="1:9" x14ac:dyDescent="0.35">
      <c r="A90" t="s">
        <v>302</v>
      </c>
      <c r="C90" t="s">
        <v>300</v>
      </c>
      <c r="D90">
        <v>43983</v>
      </c>
      <c r="F90" t="s">
        <v>563</v>
      </c>
      <c r="G90" t="s">
        <v>333</v>
      </c>
      <c r="H90">
        <v>433.43</v>
      </c>
      <c r="I90" t="s">
        <v>201</v>
      </c>
    </row>
    <row r="91" spans="1:9" x14ac:dyDescent="0.35">
      <c r="A91" t="s">
        <v>302</v>
      </c>
      <c r="C91" t="s">
        <v>300</v>
      </c>
      <c r="D91">
        <v>43983</v>
      </c>
      <c r="F91" t="s">
        <v>561</v>
      </c>
      <c r="G91" t="s">
        <v>311</v>
      </c>
      <c r="H91">
        <v>51.73</v>
      </c>
      <c r="I91" t="s">
        <v>258</v>
      </c>
    </row>
    <row r="92" spans="1:9" x14ac:dyDescent="0.35">
      <c r="A92" t="s">
        <v>302</v>
      </c>
      <c r="C92" t="s">
        <v>300</v>
      </c>
      <c r="D92">
        <v>43983</v>
      </c>
      <c r="F92" t="s">
        <v>563</v>
      </c>
      <c r="G92" t="s">
        <v>311</v>
      </c>
      <c r="H92">
        <v>101.79</v>
      </c>
      <c r="I92" t="s">
        <v>258</v>
      </c>
    </row>
    <row r="93" spans="1:9" x14ac:dyDescent="0.35">
      <c r="A93" t="s">
        <v>302</v>
      </c>
      <c r="C93" t="s">
        <v>300</v>
      </c>
      <c r="D93">
        <v>43983</v>
      </c>
      <c r="F93" t="s">
        <v>564</v>
      </c>
      <c r="G93" t="s">
        <v>311</v>
      </c>
      <c r="H93">
        <v>444.94</v>
      </c>
      <c r="I93" t="s">
        <v>258</v>
      </c>
    </row>
    <row r="94" spans="1:9" x14ac:dyDescent="0.35">
      <c r="A94" t="s">
        <v>302</v>
      </c>
      <c r="C94" t="s">
        <v>300</v>
      </c>
      <c r="D94">
        <v>43983</v>
      </c>
      <c r="F94" t="s">
        <v>565</v>
      </c>
      <c r="G94" t="s">
        <v>311</v>
      </c>
      <c r="H94">
        <v>495</v>
      </c>
      <c r="I94" t="s">
        <v>258</v>
      </c>
    </row>
    <row r="95" spans="1:9" x14ac:dyDescent="0.35">
      <c r="A95" t="s">
        <v>302</v>
      </c>
      <c r="C95" t="s">
        <v>300</v>
      </c>
      <c r="D95">
        <v>43983</v>
      </c>
      <c r="F95" t="s">
        <v>564</v>
      </c>
      <c r="G95" t="s">
        <v>311</v>
      </c>
      <c r="H95">
        <v>101.79</v>
      </c>
      <c r="I95" t="s">
        <v>258</v>
      </c>
    </row>
    <row r="96" spans="1:9" x14ac:dyDescent="0.35">
      <c r="A96" t="s">
        <v>302</v>
      </c>
      <c r="C96" t="s">
        <v>300</v>
      </c>
      <c r="D96">
        <v>43983</v>
      </c>
      <c r="F96" t="s">
        <v>563</v>
      </c>
      <c r="G96" t="s">
        <v>311</v>
      </c>
      <c r="H96">
        <v>101.79</v>
      </c>
      <c r="I96" t="s">
        <v>258</v>
      </c>
    </row>
    <row r="97" spans="1:9" x14ac:dyDescent="0.35">
      <c r="A97" t="s">
        <v>302</v>
      </c>
      <c r="C97" t="s">
        <v>300</v>
      </c>
      <c r="D97">
        <v>43983</v>
      </c>
      <c r="F97" t="s">
        <v>561</v>
      </c>
      <c r="G97" t="s">
        <v>316</v>
      </c>
      <c r="H97">
        <v>92.71</v>
      </c>
      <c r="I97" t="s">
        <v>259</v>
      </c>
    </row>
    <row r="98" spans="1:9" x14ac:dyDescent="0.35">
      <c r="A98" t="s">
        <v>302</v>
      </c>
      <c r="C98" t="s">
        <v>300</v>
      </c>
      <c r="D98">
        <v>43983</v>
      </c>
      <c r="F98" t="s">
        <v>562</v>
      </c>
      <c r="G98" t="s">
        <v>316</v>
      </c>
      <c r="H98">
        <v>124.91</v>
      </c>
      <c r="I98" t="s">
        <v>259</v>
      </c>
    </row>
    <row r="99" spans="1:9" x14ac:dyDescent="0.35">
      <c r="A99" t="s">
        <v>302</v>
      </c>
      <c r="C99" t="s">
        <v>300</v>
      </c>
      <c r="D99">
        <v>43983</v>
      </c>
      <c r="F99" t="s">
        <v>563</v>
      </c>
      <c r="G99" t="s">
        <v>316</v>
      </c>
      <c r="H99">
        <v>179.6</v>
      </c>
      <c r="I99" t="s">
        <v>259</v>
      </c>
    </row>
    <row r="100" spans="1:9" x14ac:dyDescent="0.35">
      <c r="A100" t="s">
        <v>302</v>
      </c>
      <c r="C100" t="s">
        <v>300</v>
      </c>
      <c r="D100">
        <v>43983</v>
      </c>
      <c r="F100" t="s">
        <v>564</v>
      </c>
      <c r="G100" t="s">
        <v>316</v>
      </c>
      <c r="H100">
        <v>751.08</v>
      </c>
      <c r="I100" t="s">
        <v>259</v>
      </c>
    </row>
    <row r="101" spans="1:9" x14ac:dyDescent="0.35">
      <c r="A101" t="s">
        <v>302</v>
      </c>
      <c r="C101" t="s">
        <v>300</v>
      </c>
      <c r="D101">
        <v>43983</v>
      </c>
      <c r="F101" t="s">
        <v>565</v>
      </c>
      <c r="G101" t="s">
        <v>316</v>
      </c>
      <c r="H101">
        <v>962.88</v>
      </c>
      <c r="I101" t="s">
        <v>259</v>
      </c>
    </row>
    <row r="102" spans="1:9" x14ac:dyDescent="0.35">
      <c r="A102" t="s">
        <v>302</v>
      </c>
      <c r="C102" t="s">
        <v>300</v>
      </c>
      <c r="D102">
        <v>43983</v>
      </c>
      <c r="F102" t="s">
        <v>564</v>
      </c>
      <c r="G102" t="s">
        <v>316</v>
      </c>
      <c r="H102">
        <v>179.6</v>
      </c>
      <c r="I102" t="s">
        <v>259</v>
      </c>
    </row>
    <row r="103" spans="1:9" x14ac:dyDescent="0.35">
      <c r="A103" t="s">
        <v>302</v>
      </c>
      <c r="C103" t="s">
        <v>300</v>
      </c>
      <c r="D103">
        <v>43983</v>
      </c>
      <c r="F103" t="s">
        <v>563</v>
      </c>
      <c r="G103" t="s">
        <v>316</v>
      </c>
      <c r="H103">
        <v>179.6</v>
      </c>
      <c r="I103" t="s">
        <v>259</v>
      </c>
    </row>
    <row r="104" spans="1:9" x14ac:dyDescent="0.35">
      <c r="A104" t="s">
        <v>302</v>
      </c>
      <c r="C104" t="s">
        <v>300</v>
      </c>
      <c r="D104">
        <v>43983</v>
      </c>
      <c r="F104" t="s">
        <v>561</v>
      </c>
      <c r="G104" t="s">
        <v>335</v>
      </c>
      <c r="H104">
        <v>0</v>
      </c>
      <c r="I104" t="s">
        <v>260</v>
      </c>
    </row>
    <row r="105" spans="1:9" x14ac:dyDescent="0.35">
      <c r="A105" t="s">
        <v>302</v>
      </c>
      <c r="C105" t="s">
        <v>300</v>
      </c>
      <c r="D105">
        <v>43983</v>
      </c>
      <c r="F105" t="s">
        <v>561</v>
      </c>
      <c r="G105" t="s">
        <v>335</v>
      </c>
      <c r="H105">
        <v>0.63100000000000001</v>
      </c>
      <c r="I105" t="s">
        <v>275</v>
      </c>
    </row>
    <row r="106" spans="1:9" x14ac:dyDescent="0.35">
      <c r="A106" t="s">
        <v>302</v>
      </c>
      <c r="C106" t="s">
        <v>300</v>
      </c>
      <c r="D106">
        <v>43983</v>
      </c>
      <c r="F106" t="s">
        <v>561</v>
      </c>
      <c r="G106" t="s">
        <v>335</v>
      </c>
      <c r="H106">
        <v>2.8395000000000001</v>
      </c>
      <c r="I106" t="s">
        <v>271</v>
      </c>
    </row>
    <row r="107" spans="1:9" x14ac:dyDescent="0.35">
      <c r="A107" t="s">
        <v>302</v>
      </c>
      <c r="C107" t="s">
        <v>300</v>
      </c>
      <c r="D107">
        <v>43983</v>
      </c>
      <c r="F107" t="s">
        <v>561</v>
      </c>
      <c r="G107" t="s">
        <v>335</v>
      </c>
      <c r="H107">
        <v>28.079499999999999</v>
      </c>
      <c r="I107" t="s">
        <v>202</v>
      </c>
    </row>
    <row r="108" spans="1:9" x14ac:dyDescent="0.35">
      <c r="A108" t="s">
        <v>302</v>
      </c>
      <c r="C108" t="s">
        <v>300</v>
      </c>
      <c r="D108">
        <v>43983</v>
      </c>
      <c r="F108" t="s">
        <v>562</v>
      </c>
      <c r="G108" t="s">
        <v>335</v>
      </c>
      <c r="H108">
        <v>0</v>
      </c>
      <c r="I108" t="s">
        <v>260</v>
      </c>
    </row>
    <row r="109" spans="1:9" x14ac:dyDescent="0.35">
      <c r="A109" t="s">
        <v>302</v>
      </c>
      <c r="C109" t="s">
        <v>300</v>
      </c>
      <c r="D109">
        <v>43983</v>
      </c>
      <c r="F109" t="s">
        <v>562</v>
      </c>
      <c r="G109" t="s">
        <v>335</v>
      </c>
      <c r="H109">
        <v>0.62960000000000005</v>
      </c>
      <c r="I109" t="s">
        <v>275</v>
      </c>
    </row>
    <row r="110" spans="1:9" x14ac:dyDescent="0.35">
      <c r="A110" t="s">
        <v>302</v>
      </c>
      <c r="C110" t="s">
        <v>300</v>
      </c>
      <c r="D110">
        <v>43983</v>
      </c>
      <c r="F110" t="s">
        <v>562</v>
      </c>
      <c r="G110" t="s">
        <v>335</v>
      </c>
      <c r="H110">
        <v>2.8331999999999997</v>
      </c>
      <c r="I110" t="s">
        <v>271</v>
      </c>
    </row>
    <row r="111" spans="1:9" x14ac:dyDescent="0.35">
      <c r="A111" t="s">
        <v>302</v>
      </c>
      <c r="C111" t="s">
        <v>300</v>
      </c>
      <c r="D111">
        <v>43983</v>
      </c>
      <c r="F111" t="s">
        <v>562</v>
      </c>
      <c r="G111" t="s">
        <v>335</v>
      </c>
      <c r="H111">
        <v>28.017200000000003</v>
      </c>
      <c r="I111" t="s">
        <v>202</v>
      </c>
    </row>
    <row r="112" spans="1:9" x14ac:dyDescent="0.35">
      <c r="A112" t="s">
        <v>302</v>
      </c>
      <c r="C112" t="s">
        <v>300</v>
      </c>
      <c r="D112">
        <v>43983</v>
      </c>
      <c r="F112" t="s">
        <v>563</v>
      </c>
      <c r="G112" t="s">
        <v>335</v>
      </c>
      <c r="H112">
        <v>0</v>
      </c>
      <c r="I112" t="s">
        <v>260</v>
      </c>
    </row>
    <row r="113" spans="1:9" x14ac:dyDescent="0.35">
      <c r="A113" t="s">
        <v>302</v>
      </c>
      <c r="C113" t="s">
        <v>300</v>
      </c>
      <c r="D113">
        <v>43983</v>
      </c>
      <c r="F113" t="s">
        <v>563</v>
      </c>
      <c r="G113" t="s">
        <v>335</v>
      </c>
      <c r="H113">
        <v>2.4028</v>
      </c>
      <c r="I113" t="s">
        <v>275</v>
      </c>
    </row>
    <row r="114" spans="1:9" x14ac:dyDescent="0.35">
      <c r="A114" t="s">
        <v>302</v>
      </c>
      <c r="C114" t="s">
        <v>300</v>
      </c>
      <c r="D114">
        <v>43983</v>
      </c>
      <c r="F114" t="s">
        <v>563</v>
      </c>
      <c r="G114" t="s">
        <v>335</v>
      </c>
      <c r="H114">
        <v>10.8126</v>
      </c>
      <c r="I114" t="s">
        <v>271</v>
      </c>
    </row>
    <row r="115" spans="1:9" x14ac:dyDescent="0.35">
      <c r="A115" t="s">
        <v>302</v>
      </c>
      <c r="C115" t="s">
        <v>300</v>
      </c>
      <c r="D115">
        <v>43983</v>
      </c>
      <c r="F115" t="s">
        <v>563</v>
      </c>
      <c r="G115" t="s">
        <v>335</v>
      </c>
      <c r="H115">
        <v>106.9246</v>
      </c>
      <c r="I115" t="s">
        <v>202</v>
      </c>
    </row>
    <row r="116" spans="1:9" x14ac:dyDescent="0.35">
      <c r="A116" t="s">
        <v>302</v>
      </c>
      <c r="C116" t="s">
        <v>300</v>
      </c>
      <c r="D116">
        <v>43983</v>
      </c>
      <c r="F116" t="s">
        <v>564</v>
      </c>
      <c r="G116" t="s">
        <v>335</v>
      </c>
      <c r="H116">
        <v>0</v>
      </c>
      <c r="I116" t="s">
        <v>260</v>
      </c>
    </row>
    <row r="117" spans="1:9" x14ac:dyDescent="0.35">
      <c r="A117" t="s">
        <v>302</v>
      </c>
      <c r="C117" t="s">
        <v>300</v>
      </c>
      <c r="D117">
        <v>43983</v>
      </c>
      <c r="F117" t="s">
        <v>564</v>
      </c>
      <c r="G117" t="s">
        <v>335</v>
      </c>
      <c r="H117">
        <v>6.0600000000000005</v>
      </c>
      <c r="I117" t="s">
        <v>275</v>
      </c>
    </row>
    <row r="118" spans="1:9" x14ac:dyDescent="0.35">
      <c r="A118" t="s">
        <v>302</v>
      </c>
      <c r="C118" t="s">
        <v>300</v>
      </c>
      <c r="D118">
        <v>43983</v>
      </c>
      <c r="F118" t="s">
        <v>564</v>
      </c>
      <c r="G118" t="s">
        <v>335</v>
      </c>
      <c r="H118">
        <v>27.27</v>
      </c>
      <c r="I118" t="s">
        <v>271</v>
      </c>
    </row>
    <row r="119" spans="1:9" x14ac:dyDescent="0.35">
      <c r="A119" t="s">
        <v>302</v>
      </c>
      <c r="C119" t="s">
        <v>300</v>
      </c>
      <c r="D119">
        <v>43983</v>
      </c>
      <c r="F119" t="s">
        <v>564</v>
      </c>
      <c r="G119" t="s">
        <v>335</v>
      </c>
      <c r="H119">
        <v>269.67</v>
      </c>
      <c r="I119" t="s">
        <v>202</v>
      </c>
    </row>
    <row r="120" spans="1:9" x14ac:dyDescent="0.35">
      <c r="A120" t="s">
        <v>302</v>
      </c>
      <c r="C120" t="s">
        <v>300</v>
      </c>
      <c r="D120">
        <v>43983</v>
      </c>
      <c r="F120" t="s">
        <v>565</v>
      </c>
      <c r="G120" t="s">
        <v>335</v>
      </c>
      <c r="H120">
        <v>0</v>
      </c>
      <c r="I120" t="s">
        <v>260</v>
      </c>
    </row>
    <row r="121" spans="1:9" x14ac:dyDescent="0.35">
      <c r="A121" t="s">
        <v>302</v>
      </c>
      <c r="C121" t="s">
        <v>300</v>
      </c>
      <c r="D121">
        <v>43983</v>
      </c>
      <c r="F121" t="s">
        <v>565</v>
      </c>
      <c r="G121" t="s">
        <v>335</v>
      </c>
      <c r="H121">
        <v>8.4613999999999994</v>
      </c>
      <c r="I121" t="s">
        <v>275</v>
      </c>
    </row>
    <row r="122" spans="1:9" x14ac:dyDescent="0.35">
      <c r="A122" t="s">
        <v>302</v>
      </c>
      <c r="C122" t="s">
        <v>300</v>
      </c>
      <c r="D122">
        <v>43983</v>
      </c>
      <c r="F122" t="s">
        <v>565</v>
      </c>
      <c r="G122" t="s">
        <v>335</v>
      </c>
      <c r="H122">
        <v>38.076299999999996</v>
      </c>
      <c r="I122" t="s">
        <v>271</v>
      </c>
    </row>
    <row r="123" spans="1:9" x14ac:dyDescent="0.35">
      <c r="A123" t="s">
        <v>302</v>
      </c>
      <c r="C123" t="s">
        <v>300</v>
      </c>
      <c r="D123">
        <v>43983</v>
      </c>
      <c r="F123" t="s">
        <v>565</v>
      </c>
      <c r="G123" t="s">
        <v>335</v>
      </c>
      <c r="H123">
        <v>376.53230000000002</v>
      </c>
      <c r="I123" t="s">
        <v>202</v>
      </c>
    </row>
    <row r="124" spans="1:9" x14ac:dyDescent="0.35">
      <c r="A124" t="s">
        <v>302</v>
      </c>
      <c r="C124" t="s">
        <v>300</v>
      </c>
      <c r="D124">
        <v>43983</v>
      </c>
      <c r="F124" t="s">
        <v>564</v>
      </c>
      <c r="G124" t="s">
        <v>335</v>
      </c>
      <c r="H124">
        <v>0</v>
      </c>
      <c r="I124" t="s">
        <v>260</v>
      </c>
    </row>
    <row r="125" spans="1:9" x14ac:dyDescent="0.35">
      <c r="A125" t="s">
        <v>302</v>
      </c>
      <c r="C125" t="s">
        <v>300</v>
      </c>
      <c r="D125">
        <v>43983</v>
      </c>
      <c r="F125" t="s">
        <v>564</v>
      </c>
      <c r="G125" t="s">
        <v>335</v>
      </c>
      <c r="H125">
        <v>2.4028</v>
      </c>
      <c r="I125" t="s">
        <v>275</v>
      </c>
    </row>
    <row r="126" spans="1:9" x14ac:dyDescent="0.35">
      <c r="A126" t="s">
        <v>302</v>
      </c>
      <c r="C126" t="s">
        <v>300</v>
      </c>
      <c r="D126">
        <v>43983</v>
      </c>
      <c r="F126" t="s">
        <v>564</v>
      </c>
      <c r="G126" t="s">
        <v>335</v>
      </c>
      <c r="H126">
        <v>10.8126</v>
      </c>
      <c r="I126" t="s">
        <v>271</v>
      </c>
    </row>
    <row r="127" spans="1:9" x14ac:dyDescent="0.35">
      <c r="A127" t="s">
        <v>302</v>
      </c>
      <c r="C127" t="s">
        <v>300</v>
      </c>
      <c r="D127">
        <v>43983</v>
      </c>
      <c r="F127" t="s">
        <v>564</v>
      </c>
      <c r="G127" t="s">
        <v>335</v>
      </c>
      <c r="H127">
        <v>106.9246</v>
      </c>
      <c r="I127" t="s">
        <v>202</v>
      </c>
    </row>
    <row r="128" spans="1:9" x14ac:dyDescent="0.35">
      <c r="A128" t="s">
        <v>302</v>
      </c>
      <c r="C128" t="s">
        <v>300</v>
      </c>
      <c r="D128">
        <v>43983</v>
      </c>
      <c r="F128" t="s">
        <v>563</v>
      </c>
      <c r="G128" t="s">
        <v>335</v>
      </c>
      <c r="H128">
        <v>0</v>
      </c>
      <c r="I128" t="s">
        <v>260</v>
      </c>
    </row>
    <row r="129" spans="1:9" x14ac:dyDescent="0.35">
      <c r="A129" t="s">
        <v>302</v>
      </c>
      <c r="C129" t="s">
        <v>300</v>
      </c>
      <c r="D129">
        <v>43983</v>
      </c>
      <c r="F129" t="s">
        <v>563</v>
      </c>
      <c r="G129" t="s">
        <v>335</v>
      </c>
      <c r="H129">
        <v>2.4028</v>
      </c>
      <c r="I129" t="s">
        <v>275</v>
      </c>
    </row>
    <row r="130" spans="1:9" x14ac:dyDescent="0.35">
      <c r="A130" t="s">
        <v>302</v>
      </c>
      <c r="C130" t="s">
        <v>300</v>
      </c>
      <c r="D130">
        <v>43983</v>
      </c>
      <c r="F130" t="s">
        <v>563</v>
      </c>
      <c r="G130" t="s">
        <v>335</v>
      </c>
      <c r="H130">
        <v>10.8126</v>
      </c>
      <c r="I130" t="s">
        <v>271</v>
      </c>
    </row>
    <row r="131" spans="1:9" x14ac:dyDescent="0.35">
      <c r="A131" t="s">
        <v>302</v>
      </c>
      <c r="C131" t="s">
        <v>300</v>
      </c>
      <c r="D131">
        <v>43983</v>
      </c>
      <c r="F131" t="s">
        <v>563</v>
      </c>
      <c r="G131" t="s">
        <v>335</v>
      </c>
      <c r="H131">
        <v>106.9246</v>
      </c>
      <c r="I131" t="s">
        <v>202</v>
      </c>
    </row>
    <row r="132" spans="1:9" x14ac:dyDescent="0.35">
      <c r="A132" t="s">
        <v>302</v>
      </c>
      <c r="C132" t="s">
        <v>300</v>
      </c>
      <c r="D132">
        <v>43983</v>
      </c>
      <c r="F132" t="s">
        <v>561</v>
      </c>
      <c r="G132" t="s">
        <v>331</v>
      </c>
      <c r="H132">
        <v>19.634399999999999</v>
      </c>
      <c r="I132" t="s">
        <v>275</v>
      </c>
    </row>
    <row r="133" spans="1:9" x14ac:dyDescent="0.35">
      <c r="A133" t="s">
        <v>302</v>
      </c>
      <c r="C133" t="s">
        <v>300</v>
      </c>
      <c r="D133">
        <v>43983</v>
      </c>
      <c r="F133" t="s">
        <v>561</v>
      </c>
      <c r="G133" t="s">
        <v>331</v>
      </c>
      <c r="H133">
        <v>21.088799999999999</v>
      </c>
      <c r="I133" t="s">
        <v>271</v>
      </c>
    </row>
    <row r="134" spans="1:9" x14ac:dyDescent="0.35">
      <c r="A134" t="s">
        <v>302</v>
      </c>
      <c r="C134" t="s">
        <v>300</v>
      </c>
      <c r="D134">
        <v>43983</v>
      </c>
      <c r="F134" t="s">
        <v>561</v>
      </c>
      <c r="G134" t="s">
        <v>331</v>
      </c>
      <c r="H134">
        <v>31.9968</v>
      </c>
      <c r="I134" t="s">
        <v>272</v>
      </c>
    </row>
    <row r="135" spans="1:9" x14ac:dyDescent="0.35">
      <c r="A135" t="s">
        <v>302</v>
      </c>
      <c r="C135" t="s">
        <v>300</v>
      </c>
      <c r="D135">
        <v>43983</v>
      </c>
      <c r="F135" t="s">
        <v>562</v>
      </c>
      <c r="G135" t="s">
        <v>331</v>
      </c>
      <c r="H135">
        <v>7.8570000000000011</v>
      </c>
      <c r="I135" t="s">
        <v>275</v>
      </c>
    </row>
    <row r="136" spans="1:9" x14ac:dyDescent="0.35">
      <c r="A136" t="s">
        <v>302</v>
      </c>
      <c r="C136" t="s">
        <v>300</v>
      </c>
      <c r="D136">
        <v>43983</v>
      </c>
      <c r="F136" t="s">
        <v>562</v>
      </c>
      <c r="G136" t="s">
        <v>331</v>
      </c>
      <c r="H136">
        <v>8.4390000000000001</v>
      </c>
      <c r="I136" t="s">
        <v>271</v>
      </c>
    </row>
    <row r="137" spans="1:9" x14ac:dyDescent="0.35">
      <c r="A137" t="s">
        <v>302</v>
      </c>
      <c r="C137" t="s">
        <v>300</v>
      </c>
      <c r="D137">
        <v>43983</v>
      </c>
      <c r="F137" t="s">
        <v>562</v>
      </c>
      <c r="G137" t="s">
        <v>331</v>
      </c>
      <c r="H137">
        <v>12.804</v>
      </c>
      <c r="I137" t="s">
        <v>272</v>
      </c>
    </row>
    <row r="138" spans="1:9" x14ac:dyDescent="0.35">
      <c r="A138" t="s">
        <v>302</v>
      </c>
      <c r="C138" t="s">
        <v>300</v>
      </c>
      <c r="D138">
        <v>43983</v>
      </c>
      <c r="F138" t="s">
        <v>563</v>
      </c>
      <c r="G138" t="s">
        <v>331</v>
      </c>
      <c r="H138">
        <v>85.33890000000001</v>
      </c>
      <c r="I138" t="s">
        <v>275</v>
      </c>
    </row>
    <row r="139" spans="1:9" x14ac:dyDescent="0.35">
      <c r="A139" t="s">
        <v>302</v>
      </c>
      <c r="C139" t="s">
        <v>300</v>
      </c>
      <c r="D139">
        <v>43983</v>
      </c>
      <c r="F139" t="s">
        <v>563</v>
      </c>
      <c r="G139" t="s">
        <v>331</v>
      </c>
      <c r="H139">
        <v>91.660299999999992</v>
      </c>
      <c r="I139" t="s">
        <v>271</v>
      </c>
    </row>
    <row r="140" spans="1:9" x14ac:dyDescent="0.35">
      <c r="A140" t="s">
        <v>302</v>
      </c>
      <c r="C140" t="s">
        <v>300</v>
      </c>
      <c r="D140">
        <v>43983</v>
      </c>
      <c r="F140" t="s">
        <v>563</v>
      </c>
      <c r="G140" t="s">
        <v>331</v>
      </c>
      <c r="H140">
        <v>139.07079999999999</v>
      </c>
      <c r="I140" t="s">
        <v>272</v>
      </c>
    </row>
    <row r="141" spans="1:9" x14ac:dyDescent="0.35">
      <c r="A141" t="s">
        <v>302</v>
      </c>
      <c r="C141" t="s">
        <v>300</v>
      </c>
      <c r="D141">
        <v>43983</v>
      </c>
      <c r="F141" t="s">
        <v>564</v>
      </c>
      <c r="G141" t="s">
        <v>331</v>
      </c>
      <c r="H141">
        <v>191.22750000000002</v>
      </c>
      <c r="I141" t="s">
        <v>275</v>
      </c>
    </row>
    <row r="142" spans="1:9" x14ac:dyDescent="0.35">
      <c r="A142" t="s">
        <v>302</v>
      </c>
      <c r="C142" t="s">
        <v>300</v>
      </c>
      <c r="D142">
        <v>43983</v>
      </c>
      <c r="F142" t="s">
        <v>564</v>
      </c>
      <c r="G142" t="s">
        <v>331</v>
      </c>
      <c r="H142">
        <v>205.39249999999998</v>
      </c>
      <c r="I142" t="s">
        <v>271</v>
      </c>
    </row>
    <row r="143" spans="1:9" x14ac:dyDescent="0.35">
      <c r="A143" t="s">
        <v>302</v>
      </c>
      <c r="C143" t="s">
        <v>300</v>
      </c>
      <c r="D143">
        <v>43983</v>
      </c>
      <c r="F143" t="s">
        <v>564</v>
      </c>
      <c r="G143" t="s">
        <v>331</v>
      </c>
      <c r="H143">
        <v>311.63</v>
      </c>
      <c r="I143" t="s">
        <v>272</v>
      </c>
    </row>
    <row r="144" spans="1:9" x14ac:dyDescent="0.35">
      <c r="A144" t="s">
        <v>302</v>
      </c>
      <c r="C144" t="s">
        <v>300</v>
      </c>
      <c r="D144">
        <v>43983</v>
      </c>
      <c r="F144" t="s">
        <v>565</v>
      </c>
      <c r="G144" t="s">
        <v>331</v>
      </c>
      <c r="H144">
        <v>264.78900000000004</v>
      </c>
      <c r="I144" t="s">
        <v>275</v>
      </c>
    </row>
    <row r="145" spans="1:9" x14ac:dyDescent="0.35">
      <c r="A145" t="s">
        <v>302</v>
      </c>
      <c r="C145" t="s">
        <v>300</v>
      </c>
      <c r="D145">
        <v>43983</v>
      </c>
      <c r="F145" t="s">
        <v>565</v>
      </c>
      <c r="G145" t="s">
        <v>331</v>
      </c>
      <c r="H145">
        <v>284.40300000000002</v>
      </c>
      <c r="I145" t="s">
        <v>271</v>
      </c>
    </row>
    <row r="146" spans="1:9" x14ac:dyDescent="0.35">
      <c r="A146" t="s">
        <v>302</v>
      </c>
      <c r="C146" t="s">
        <v>300</v>
      </c>
      <c r="D146">
        <v>43983</v>
      </c>
      <c r="F146" t="s">
        <v>565</v>
      </c>
      <c r="G146" t="s">
        <v>331</v>
      </c>
      <c r="H146">
        <v>431.50800000000004</v>
      </c>
      <c r="I146" t="s">
        <v>272</v>
      </c>
    </row>
    <row r="147" spans="1:9" x14ac:dyDescent="0.35">
      <c r="A147" t="s">
        <v>302</v>
      </c>
      <c r="C147" t="s">
        <v>300</v>
      </c>
      <c r="D147">
        <v>43983</v>
      </c>
      <c r="F147" t="s">
        <v>564</v>
      </c>
      <c r="G147" t="s">
        <v>331</v>
      </c>
      <c r="H147">
        <v>85.33890000000001</v>
      </c>
      <c r="I147" t="s">
        <v>275</v>
      </c>
    </row>
    <row r="148" spans="1:9" x14ac:dyDescent="0.35">
      <c r="A148" t="s">
        <v>302</v>
      </c>
      <c r="C148" t="s">
        <v>300</v>
      </c>
      <c r="D148">
        <v>43983</v>
      </c>
      <c r="F148" t="s">
        <v>564</v>
      </c>
      <c r="G148" t="s">
        <v>331</v>
      </c>
      <c r="H148">
        <v>91.660299999999992</v>
      </c>
      <c r="I148" t="s">
        <v>271</v>
      </c>
    </row>
    <row r="149" spans="1:9" x14ac:dyDescent="0.35">
      <c r="A149" t="s">
        <v>302</v>
      </c>
      <c r="C149" t="s">
        <v>300</v>
      </c>
      <c r="D149">
        <v>43983</v>
      </c>
      <c r="F149" t="s">
        <v>564</v>
      </c>
      <c r="G149" t="s">
        <v>331</v>
      </c>
      <c r="H149">
        <v>139.07079999999999</v>
      </c>
      <c r="I149" t="s">
        <v>272</v>
      </c>
    </row>
    <row r="150" spans="1:9" x14ac:dyDescent="0.35">
      <c r="A150" t="s">
        <v>302</v>
      </c>
      <c r="C150" t="s">
        <v>300</v>
      </c>
      <c r="D150">
        <v>43983</v>
      </c>
      <c r="F150" t="s">
        <v>563</v>
      </c>
      <c r="G150" t="s">
        <v>331</v>
      </c>
      <c r="H150">
        <v>85.33890000000001</v>
      </c>
      <c r="I150" t="s">
        <v>275</v>
      </c>
    </row>
    <row r="151" spans="1:9" x14ac:dyDescent="0.35">
      <c r="A151" t="s">
        <v>302</v>
      </c>
      <c r="C151" t="s">
        <v>300</v>
      </c>
      <c r="D151">
        <v>43983</v>
      </c>
      <c r="F151" t="s">
        <v>563</v>
      </c>
      <c r="G151" t="s">
        <v>331</v>
      </c>
      <c r="H151">
        <v>91.660299999999992</v>
      </c>
      <c r="I151" t="s">
        <v>271</v>
      </c>
    </row>
    <row r="152" spans="1:9" x14ac:dyDescent="0.35">
      <c r="A152" t="s">
        <v>302</v>
      </c>
      <c r="C152" t="s">
        <v>300</v>
      </c>
      <c r="D152">
        <v>43983</v>
      </c>
      <c r="F152" t="s">
        <v>563</v>
      </c>
      <c r="G152" t="s">
        <v>331</v>
      </c>
      <c r="H152">
        <v>139.07079999999999</v>
      </c>
      <c r="I152" t="s">
        <v>272</v>
      </c>
    </row>
    <row r="153" spans="1:9" x14ac:dyDescent="0.35">
      <c r="A153" t="s">
        <v>302</v>
      </c>
      <c r="C153" t="s">
        <v>300</v>
      </c>
      <c r="D153">
        <v>43983</v>
      </c>
      <c r="F153" t="s">
        <v>561</v>
      </c>
      <c r="G153" t="s">
        <v>314</v>
      </c>
      <c r="H153">
        <v>89.57</v>
      </c>
      <c r="I153" t="s">
        <v>270</v>
      </c>
    </row>
    <row r="154" spans="1:9" x14ac:dyDescent="0.35">
      <c r="A154" t="s">
        <v>302</v>
      </c>
      <c r="C154" t="s">
        <v>300</v>
      </c>
      <c r="D154">
        <v>43983</v>
      </c>
      <c r="F154" t="s">
        <v>563</v>
      </c>
      <c r="G154" t="s">
        <v>314</v>
      </c>
      <c r="H154">
        <v>198.41</v>
      </c>
      <c r="I154" t="s">
        <v>270</v>
      </c>
    </row>
    <row r="155" spans="1:9" x14ac:dyDescent="0.35">
      <c r="A155" t="s">
        <v>302</v>
      </c>
      <c r="C155" t="s">
        <v>300</v>
      </c>
      <c r="D155">
        <v>43983</v>
      </c>
      <c r="F155" t="s">
        <v>564</v>
      </c>
      <c r="G155" t="s">
        <v>314</v>
      </c>
      <c r="H155">
        <v>748.36</v>
      </c>
      <c r="I155" t="s">
        <v>270</v>
      </c>
    </row>
    <row r="156" spans="1:9" x14ac:dyDescent="0.35">
      <c r="A156" t="s">
        <v>302</v>
      </c>
      <c r="C156" t="s">
        <v>300</v>
      </c>
      <c r="D156">
        <v>43983</v>
      </c>
      <c r="F156" t="s">
        <v>565</v>
      </c>
      <c r="G156" t="s">
        <v>314</v>
      </c>
      <c r="H156">
        <v>857.2</v>
      </c>
      <c r="I156" t="s">
        <v>270</v>
      </c>
    </row>
    <row r="157" spans="1:9" x14ac:dyDescent="0.35">
      <c r="A157" t="s">
        <v>302</v>
      </c>
      <c r="C157" t="s">
        <v>300</v>
      </c>
      <c r="D157">
        <v>43983</v>
      </c>
      <c r="F157" t="s">
        <v>564</v>
      </c>
      <c r="G157" t="s">
        <v>314</v>
      </c>
      <c r="H157">
        <v>198.41</v>
      </c>
      <c r="I157" t="s">
        <v>270</v>
      </c>
    </row>
    <row r="158" spans="1:9" x14ac:dyDescent="0.35">
      <c r="A158" t="s">
        <v>302</v>
      </c>
      <c r="C158" t="s">
        <v>300</v>
      </c>
      <c r="D158">
        <v>43983</v>
      </c>
      <c r="F158" t="s">
        <v>563</v>
      </c>
      <c r="G158" t="s">
        <v>314</v>
      </c>
      <c r="H158">
        <v>198.41</v>
      </c>
      <c r="I158" t="s">
        <v>270</v>
      </c>
    </row>
    <row r="159" spans="1:9" x14ac:dyDescent="0.35">
      <c r="A159" t="s">
        <v>302</v>
      </c>
      <c r="C159" t="s">
        <v>300</v>
      </c>
      <c r="D159">
        <v>43983</v>
      </c>
      <c r="F159" t="s">
        <v>561</v>
      </c>
      <c r="G159" t="s">
        <v>328</v>
      </c>
      <c r="H159">
        <v>150.71</v>
      </c>
      <c r="I159" t="s">
        <v>272</v>
      </c>
    </row>
    <row r="160" spans="1:9" x14ac:dyDescent="0.35">
      <c r="A160" t="s">
        <v>302</v>
      </c>
      <c r="C160" t="s">
        <v>300</v>
      </c>
      <c r="D160">
        <v>43983</v>
      </c>
      <c r="F160" t="s">
        <v>563</v>
      </c>
      <c r="G160" t="s">
        <v>328</v>
      </c>
      <c r="H160">
        <v>403.91</v>
      </c>
      <c r="I160" t="s">
        <v>272</v>
      </c>
    </row>
    <row r="161" spans="1:9" x14ac:dyDescent="0.35">
      <c r="A161" t="s">
        <v>302</v>
      </c>
      <c r="C161" t="s">
        <v>300</v>
      </c>
      <c r="D161">
        <v>43983</v>
      </c>
      <c r="F161" t="s">
        <v>564</v>
      </c>
      <c r="G161" t="s">
        <v>328</v>
      </c>
      <c r="H161">
        <v>1189.1099999999999</v>
      </c>
      <c r="I161" t="s">
        <v>272</v>
      </c>
    </row>
    <row r="162" spans="1:9" x14ac:dyDescent="0.35">
      <c r="A162" t="s">
        <v>302</v>
      </c>
      <c r="C162" t="s">
        <v>300</v>
      </c>
      <c r="D162">
        <v>43983</v>
      </c>
      <c r="F162" t="s">
        <v>565</v>
      </c>
      <c r="G162" t="s">
        <v>328</v>
      </c>
      <c r="H162">
        <v>1442.31</v>
      </c>
      <c r="I162" t="s">
        <v>272</v>
      </c>
    </row>
    <row r="163" spans="1:9" x14ac:dyDescent="0.35">
      <c r="A163" t="s">
        <v>302</v>
      </c>
      <c r="C163" t="s">
        <v>300</v>
      </c>
      <c r="D163">
        <v>43983</v>
      </c>
      <c r="F163" t="s">
        <v>564</v>
      </c>
      <c r="G163" t="s">
        <v>328</v>
      </c>
      <c r="H163">
        <v>403.91</v>
      </c>
      <c r="I163" t="s">
        <v>272</v>
      </c>
    </row>
    <row r="164" spans="1:9" x14ac:dyDescent="0.35">
      <c r="A164" t="s">
        <v>302</v>
      </c>
      <c r="C164" t="s">
        <v>300</v>
      </c>
      <c r="D164">
        <v>43983</v>
      </c>
      <c r="F164" t="s">
        <v>563</v>
      </c>
      <c r="G164" t="s">
        <v>328</v>
      </c>
      <c r="H164">
        <v>403.91</v>
      </c>
      <c r="I164" t="s">
        <v>272</v>
      </c>
    </row>
    <row r="165" spans="1:9" x14ac:dyDescent="0.35">
      <c r="A165" t="s">
        <v>302</v>
      </c>
      <c r="C165" t="s">
        <v>300</v>
      </c>
      <c r="D165">
        <v>43983</v>
      </c>
      <c r="F165" t="s">
        <v>561</v>
      </c>
      <c r="G165" t="s">
        <v>331</v>
      </c>
      <c r="H165">
        <v>45.810899999999997</v>
      </c>
      <c r="I165" t="s">
        <v>275</v>
      </c>
    </row>
    <row r="166" spans="1:9" x14ac:dyDescent="0.35">
      <c r="A166" t="s">
        <v>302</v>
      </c>
      <c r="C166" t="s">
        <v>300</v>
      </c>
      <c r="D166">
        <v>43983</v>
      </c>
      <c r="F166" t="s">
        <v>561</v>
      </c>
      <c r="G166" t="s">
        <v>331</v>
      </c>
      <c r="H166">
        <v>49.204299999999996</v>
      </c>
      <c r="I166" t="s">
        <v>271</v>
      </c>
    </row>
    <row r="167" spans="1:9" x14ac:dyDescent="0.35">
      <c r="A167" t="s">
        <v>302</v>
      </c>
      <c r="C167" t="s">
        <v>300</v>
      </c>
      <c r="D167">
        <v>43983</v>
      </c>
      <c r="F167" t="s">
        <v>561</v>
      </c>
      <c r="G167" t="s">
        <v>331</v>
      </c>
      <c r="H167">
        <v>74.654799999999994</v>
      </c>
      <c r="I167" t="s">
        <v>272</v>
      </c>
    </row>
    <row r="168" spans="1:9" x14ac:dyDescent="0.35">
      <c r="A168" t="s">
        <v>302</v>
      </c>
      <c r="C168" t="s">
        <v>300</v>
      </c>
      <c r="D168">
        <v>43983</v>
      </c>
      <c r="F168" t="s">
        <v>562</v>
      </c>
      <c r="G168" t="s">
        <v>331</v>
      </c>
      <c r="H168">
        <v>18.335699999999999</v>
      </c>
      <c r="I168" t="s">
        <v>275</v>
      </c>
    </row>
    <row r="169" spans="1:9" x14ac:dyDescent="0.35">
      <c r="A169" t="s">
        <v>302</v>
      </c>
      <c r="C169" t="s">
        <v>300</v>
      </c>
      <c r="D169">
        <v>43983</v>
      </c>
      <c r="F169" t="s">
        <v>562</v>
      </c>
      <c r="G169" t="s">
        <v>331</v>
      </c>
      <c r="H169">
        <v>19.693899999999999</v>
      </c>
      <c r="I169" t="s">
        <v>271</v>
      </c>
    </row>
    <row r="170" spans="1:9" x14ac:dyDescent="0.35">
      <c r="A170" t="s">
        <v>302</v>
      </c>
      <c r="C170" t="s">
        <v>300</v>
      </c>
      <c r="D170">
        <v>43983</v>
      </c>
      <c r="F170" t="s">
        <v>562</v>
      </c>
      <c r="G170" t="s">
        <v>331</v>
      </c>
      <c r="H170">
        <v>29.880399999999998</v>
      </c>
      <c r="I170" t="s">
        <v>272</v>
      </c>
    </row>
    <row r="171" spans="1:9" x14ac:dyDescent="0.35">
      <c r="A171" t="s">
        <v>302</v>
      </c>
      <c r="C171" t="s">
        <v>300</v>
      </c>
      <c r="D171">
        <v>43983</v>
      </c>
      <c r="F171" t="s">
        <v>563</v>
      </c>
      <c r="G171" t="s">
        <v>331</v>
      </c>
      <c r="H171">
        <v>199.11690000000002</v>
      </c>
      <c r="I171" t="s">
        <v>275</v>
      </c>
    </row>
    <row r="172" spans="1:9" x14ac:dyDescent="0.35">
      <c r="A172" t="s">
        <v>302</v>
      </c>
      <c r="C172" t="s">
        <v>300</v>
      </c>
      <c r="D172">
        <v>43983</v>
      </c>
      <c r="F172" t="s">
        <v>563</v>
      </c>
      <c r="G172" t="s">
        <v>331</v>
      </c>
      <c r="H172">
        <v>213.8663</v>
      </c>
      <c r="I172" t="s">
        <v>271</v>
      </c>
    </row>
    <row r="173" spans="1:9" x14ac:dyDescent="0.35">
      <c r="A173" t="s">
        <v>302</v>
      </c>
      <c r="C173" t="s">
        <v>300</v>
      </c>
      <c r="D173">
        <v>43983</v>
      </c>
      <c r="F173" t="s">
        <v>563</v>
      </c>
      <c r="G173" t="s">
        <v>331</v>
      </c>
      <c r="H173">
        <v>324.48680000000002</v>
      </c>
      <c r="I173" t="s">
        <v>272</v>
      </c>
    </row>
    <row r="174" spans="1:9" x14ac:dyDescent="0.35">
      <c r="A174" t="s">
        <v>302</v>
      </c>
      <c r="C174" t="s">
        <v>300</v>
      </c>
      <c r="D174">
        <v>43983</v>
      </c>
      <c r="F174" t="s">
        <v>564</v>
      </c>
      <c r="G174" t="s">
        <v>331</v>
      </c>
      <c r="H174">
        <v>446.19929999999999</v>
      </c>
      <c r="I174" t="s">
        <v>275</v>
      </c>
    </row>
    <row r="175" spans="1:9" x14ac:dyDescent="0.35">
      <c r="A175" t="s">
        <v>302</v>
      </c>
      <c r="C175" t="s">
        <v>300</v>
      </c>
      <c r="D175">
        <v>43983</v>
      </c>
      <c r="F175" t="s">
        <v>564</v>
      </c>
      <c r="G175" t="s">
        <v>331</v>
      </c>
      <c r="H175">
        <v>479.25109999999995</v>
      </c>
      <c r="I175" t="s">
        <v>271</v>
      </c>
    </row>
    <row r="176" spans="1:9" x14ac:dyDescent="0.35">
      <c r="A176" t="s">
        <v>302</v>
      </c>
      <c r="C176" t="s">
        <v>300</v>
      </c>
      <c r="D176">
        <v>43983</v>
      </c>
      <c r="F176" t="s">
        <v>564</v>
      </c>
      <c r="G176" t="s">
        <v>331</v>
      </c>
      <c r="H176">
        <v>727.13959999999997</v>
      </c>
      <c r="I176" t="s">
        <v>272</v>
      </c>
    </row>
    <row r="177" spans="1:9" x14ac:dyDescent="0.35">
      <c r="A177" t="s">
        <v>302</v>
      </c>
      <c r="C177" t="s">
        <v>300</v>
      </c>
      <c r="D177">
        <v>43983</v>
      </c>
      <c r="F177" t="s">
        <v>565</v>
      </c>
      <c r="G177" t="s">
        <v>331</v>
      </c>
      <c r="H177">
        <v>617.84100000000012</v>
      </c>
      <c r="I177" t="s">
        <v>275</v>
      </c>
    </row>
    <row r="178" spans="1:9" x14ac:dyDescent="0.35">
      <c r="A178" t="s">
        <v>302</v>
      </c>
      <c r="C178" t="s">
        <v>300</v>
      </c>
      <c r="D178">
        <v>43983</v>
      </c>
      <c r="F178" t="s">
        <v>565</v>
      </c>
      <c r="G178" t="s">
        <v>331</v>
      </c>
      <c r="H178">
        <v>663.60699999999997</v>
      </c>
      <c r="I178" t="s">
        <v>271</v>
      </c>
    </row>
    <row r="179" spans="1:9" x14ac:dyDescent="0.35">
      <c r="A179" t="s">
        <v>302</v>
      </c>
      <c r="C179" t="s">
        <v>300</v>
      </c>
      <c r="D179">
        <v>43983</v>
      </c>
      <c r="F179" t="s">
        <v>565</v>
      </c>
      <c r="G179" t="s">
        <v>331</v>
      </c>
      <c r="H179">
        <v>1006.8520000000001</v>
      </c>
      <c r="I179" t="s">
        <v>272</v>
      </c>
    </row>
    <row r="180" spans="1:9" x14ac:dyDescent="0.35">
      <c r="A180" t="s">
        <v>302</v>
      </c>
      <c r="C180" t="s">
        <v>300</v>
      </c>
      <c r="D180">
        <v>43983</v>
      </c>
      <c r="F180" t="s">
        <v>564</v>
      </c>
      <c r="G180" t="s">
        <v>331</v>
      </c>
      <c r="H180">
        <v>199.11690000000002</v>
      </c>
      <c r="I180" t="s">
        <v>275</v>
      </c>
    </row>
    <row r="181" spans="1:9" x14ac:dyDescent="0.35">
      <c r="A181" t="s">
        <v>302</v>
      </c>
      <c r="C181" t="s">
        <v>300</v>
      </c>
      <c r="D181">
        <v>43983</v>
      </c>
      <c r="F181" t="s">
        <v>564</v>
      </c>
      <c r="G181" t="s">
        <v>331</v>
      </c>
      <c r="H181">
        <v>213.8663</v>
      </c>
      <c r="I181" t="s">
        <v>271</v>
      </c>
    </row>
    <row r="182" spans="1:9" x14ac:dyDescent="0.35">
      <c r="A182" t="s">
        <v>302</v>
      </c>
      <c r="C182" t="s">
        <v>300</v>
      </c>
      <c r="D182">
        <v>43983</v>
      </c>
      <c r="F182" t="s">
        <v>564</v>
      </c>
      <c r="G182" t="s">
        <v>331</v>
      </c>
      <c r="H182">
        <v>324.48680000000002</v>
      </c>
      <c r="I182" t="s">
        <v>272</v>
      </c>
    </row>
    <row r="183" spans="1:9" x14ac:dyDescent="0.35">
      <c r="A183" t="s">
        <v>302</v>
      </c>
      <c r="C183" t="s">
        <v>300</v>
      </c>
      <c r="D183">
        <v>43983</v>
      </c>
      <c r="F183" t="s">
        <v>563</v>
      </c>
      <c r="G183" t="s">
        <v>331</v>
      </c>
      <c r="H183">
        <v>199.11690000000002</v>
      </c>
      <c r="I183" t="s">
        <v>275</v>
      </c>
    </row>
    <row r="184" spans="1:9" x14ac:dyDescent="0.35">
      <c r="A184" t="s">
        <v>302</v>
      </c>
      <c r="C184" t="s">
        <v>300</v>
      </c>
      <c r="D184">
        <v>43983</v>
      </c>
      <c r="F184" t="s">
        <v>563</v>
      </c>
      <c r="G184" t="s">
        <v>331</v>
      </c>
      <c r="H184">
        <v>213.8663</v>
      </c>
      <c r="I184" t="s">
        <v>271</v>
      </c>
    </row>
    <row r="185" spans="1:9" x14ac:dyDescent="0.35">
      <c r="A185" t="s">
        <v>302</v>
      </c>
      <c r="C185" t="s">
        <v>300</v>
      </c>
      <c r="D185">
        <v>43983</v>
      </c>
      <c r="F185" t="s">
        <v>563</v>
      </c>
      <c r="G185" t="s">
        <v>331</v>
      </c>
      <c r="H185">
        <v>324.48680000000002</v>
      </c>
      <c r="I185" t="s">
        <v>272</v>
      </c>
    </row>
    <row r="186" spans="1:9" x14ac:dyDescent="0.35">
      <c r="A186" t="s">
        <v>302</v>
      </c>
      <c r="C186" t="s">
        <v>300</v>
      </c>
      <c r="D186">
        <v>43983</v>
      </c>
      <c r="F186" t="s">
        <v>561</v>
      </c>
      <c r="G186" t="s">
        <v>313</v>
      </c>
      <c r="H186">
        <v>112.68</v>
      </c>
      <c r="I186" t="s">
        <v>260</v>
      </c>
    </row>
    <row r="187" spans="1:9" x14ac:dyDescent="0.35">
      <c r="A187" t="s">
        <v>302</v>
      </c>
      <c r="C187" t="s">
        <v>300</v>
      </c>
      <c r="D187">
        <v>43983</v>
      </c>
      <c r="F187" t="s">
        <v>562</v>
      </c>
      <c r="G187" t="s">
        <v>313</v>
      </c>
      <c r="H187">
        <v>103.26</v>
      </c>
      <c r="I187" t="s">
        <v>260</v>
      </c>
    </row>
    <row r="188" spans="1:9" x14ac:dyDescent="0.35">
      <c r="A188" t="s">
        <v>302</v>
      </c>
      <c r="C188" t="s">
        <v>300</v>
      </c>
      <c r="D188">
        <v>43983</v>
      </c>
      <c r="F188" t="s">
        <v>563</v>
      </c>
      <c r="G188" t="s">
        <v>313</v>
      </c>
      <c r="H188">
        <v>320.99</v>
      </c>
      <c r="I188" t="s">
        <v>260</v>
      </c>
    </row>
    <row r="189" spans="1:9" x14ac:dyDescent="0.35">
      <c r="A189" t="s">
        <v>302</v>
      </c>
      <c r="C189" t="s">
        <v>300</v>
      </c>
      <c r="D189">
        <v>43983</v>
      </c>
      <c r="F189" t="s">
        <v>564</v>
      </c>
      <c r="G189" t="s">
        <v>313</v>
      </c>
      <c r="H189">
        <v>842.28</v>
      </c>
      <c r="I189" t="s">
        <v>260</v>
      </c>
    </row>
    <row r="190" spans="1:9" x14ac:dyDescent="0.35">
      <c r="A190" t="s">
        <v>302</v>
      </c>
      <c r="C190" t="s">
        <v>300</v>
      </c>
      <c r="D190">
        <v>43983</v>
      </c>
      <c r="F190" t="s">
        <v>565</v>
      </c>
      <c r="G190" t="s">
        <v>313</v>
      </c>
      <c r="H190">
        <v>1153.8499999999999</v>
      </c>
      <c r="I190" t="s">
        <v>260</v>
      </c>
    </row>
    <row r="191" spans="1:9" x14ac:dyDescent="0.35">
      <c r="A191" t="s">
        <v>302</v>
      </c>
      <c r="C191" t="s">
        <v>300</v>
      </c>
      <c r="D191">
        <v>43983</v>
      </c>
      <c r="F191" t="s">
        <v>564</v>
      </c>
      <c r="G191" t="s">
        <v>313</v>
      </c>
      <c r="H191">
        <v>320.99</v>
      </c>
      <c r="I191" t="s">
        <v>260</v>
      </c>
    </row>
    <row r="192" spans="1:9" x14ac:dyDescent="0.35">
      <c r="A192" t="s">
        <v>302</v>
      </c>
      <c r="C192" t="s">
        <v>300</v>
      </c>
      <c r="D192">
        <v>43983</v>
      </c>
      <c r="F192" t="s">
        <v>563</v>
      </c>
      <c r="G192" t="s">
        <v>313</v>
      </c>
      <c r="H192">
        <v>320.99</v>
      </c>
      <c r="I192" t="s">
        <v>260</v>
      </c>
    </row>
    <row r="193" spans="1:9" x14ac:dyDescent="0.35">
      <c r="A193" t="s">
        <v>302</v>
      </c>
      <c r="C193" t="s">
        <v>300</v>
      </c>
      <c r="D193">
        <v>43983</v>
      </c>
      <c r="F193" t="s">
        <v>561</v>
      </c>
      <c r="G193" t="s">
        <v>329</v>
      </c>
      <c r="H193">
        <v>183.56</v>
      </c>
      <c r="I193" t="s">
        <v>260</v>
      </c>
    </row>
    <row r="194" spans="1:9" x14ac:dyDescent="0.35">
      <c r="A194" t="s">
        <v>302</v>
      </c>
      <c r="C194" t="s">
        <v>300</v>
      </c>
      <c r="D194">
        <v>43983</v>
      </c>
      <c r="F194" t="s">
        <v>562</v>
      </c>
      <c r="G194" t="s">
        <v>329</v>
      </c>
      <c r="H194">
        <v>97.01</v>
      </c>
      <c r="I194" t="s">
        <v>260</v>
      </c>
    </row>
    <row r="195" spans="1:9" x14ac:dyDescent="0.35">
      <c r="A195" t="s">
        <v>302</v>
      </c>
      <c r="C195" t="s">
        <v>300</v>
      </c>
      <c r="D195">
        <v>43983</v>
      </c>
      <c r="F195" t="s">
        <v>563</v>
      </c>
      <c r="G195" t="s">
        <v>329</v>
      </c>
      <c r="H195">
        <v>754.91</v>
      </c>
      <c r="I195" t="s">
        <v>260</v>
      </c>
    </row>
    <row r="196" spans="1:9" x14ac:dyDescent="0.35">
      <c r="A196" t="s">
        <v>302</v>
      </c>
      <c r="C196" t="s">
        <v>300</v>
      </c>
      <c r="D196">
        <v>43983</v>
      </c>
      <c r="F196" t="s">
        <v>564</v>
      </c>
      <c r="G196" t="s">
        <v>329</v>
      </c>
      <c r="H196">
        <v>1831.64</v>
      </c>
      <c r="I196" t="s">
        <v>260</v>
      </c>
    </row>
    <row r="197" spans="1:9" x14ac:dyDescent="0.35">
      <c r="A197" t="s">
        <v>302</v>
      </c>
      <c r="C197" t="s">
        <v>300</v>
      </c>
      <c r="D197">
        <v>43983</v>
      </c>
      <c r="F197" t="s">
        <v>565</v>
      </c>
      <c r="G197" t="s">
        <v>329</v>
      </c>
      <c r="H197">
        <v>2500</v>
      </c>
      <c r="I197" t="s">
        <v>260</v>
      </c>
    </row>
    <row r="198" spans="1:9" x14ac:dyDescent="0.35">
      <c r="A198" t="s">
        <v>302</v>
      </c>
      <c r="C198" t="s">
        <v>300</v>
      </c>
      <c r="D198">
        <v>43983</v>
      </c>
      <c r="F198" t="s">
        <v>564</v>
      </c>
      <c r="G198" t="s">
        <v>329</v>
      </c>
      <c r="H198">
        <v>754.91</v>
      </c>
      <c r="I198" t="s">
        <v>260</v>
      </c>
    </row>
    <row r="199" spans="1:9" x14ac:dyDescent="0.35">
      <c r="A199" t="s">
        <v>302</v>
      </c>
      <c r="C199" t="s">
        <v>300</v>
      </c>
      <c r="D199">
        <v>43983</v>
      </c>
      <c r="F199" t="s">
        <v>563</v>
      </c>
      <c r="G199" t="s">
        <v>329</v>
      </c>
      <c r="H199">
        <v>754.91</v>
      </c>
      <c r="I199" t="s">
        <v>260</v>
      </c>
    </row>
    <row r="200" spans="1:9" x14ac:dyDescent="0.35">
      <c r="A200" t="s">
        <v>302</v>
      </c>
      <c r="C200" t="s">
        <v>300</v>
      </c>
      <c r="D200">
        <v>43983</v>
      </c>
      <c r="F200" t="s">
        <v>561</v>
      </c>
      <c r="G200" t="s">
        <v>324</v>
      </c>
      <c r="H200">
        <v>160.76</v>
      </c>
      <c r="I200" t="s">
        <v>260</v>
      </c>
    </row>
    <row r="201" spans="1:9" x14ac:dyDescent="0.35">
      <c r="A201" t="s">
        <v>302</v>
      </c>
      <c r="C201" t="s">
        <v>300</v>
      </c>
      <c r="D201">
        <v>43983</v>
      </c>
      <c r="F201" t="s">
        <v>563</v>
      </c>
      <c r="G201" t="s">
        <v>324</v>
      </c>
      <c r="H201">
        <v>458.15</v>
      </c>
      <c r="I201" t="s">
        <v>260</v>
      </c>
    </row>
    <row r="202" spans="1:9" x14ac:dyDescent="0.35">
      <c r="A202" t="s">
        <v>302</v>
      </c>
      <c r="C202" t="s">
        <v>300</v>
      </c>
      <c r="D202">
        <v>43983</v>
      </c>
      <c r="F202" t="s">
        <v>564</v>
      </c>
      <c r="G202" t="s">
        <v>324</v>
      </c>
      <c r="H202">
        <v>1241.08</v>
      </c>
      <c r="I202" t="s">
        <v>260</v>
      </c>
    </row>
    <row r="203" spans="1:9" x14ac:dyDescent="0.35">
      <c r="A203" t="s">
        <v>302</v>
      </c>
      <c r="C203" t="s">
        <v>300</v>
      </c>
      <c r="D203">
        <v>43983</v>
      </c>
      <c r="F203" t="s">
        <v>565</v>
      </c>
      <c r="G203" t="s">
        <v>324</v>
      </c>
      <c r="H203">
        <v>1538.47</v>
      </c>
      <c r="I203" t="s">
        <v>260</v>
      </c>
    </row>
    <row r="204" spans="1:9" x14ac:dyDescent="0.35">
      <c r="A204" t="s">
        <v>302</v>
      </c>
      <c r="C204" t="s">
        <v>300</v>
      </c>
      <c r="D204">
        <v>43983</v>
      </c>
      <c r="F204" t="s">
        <v>564</v>
      </c>
      <c r="G204" t="s">
        <v>324</v>
      </c>
      <c r="H204">
        <v>458.15</v>
      </c>
      <c r="I204" t="s">
        <v>260</v>
      </c>
    </row>
    <row r="205" spans="1:9" x14ac:dyDescent="0.35">
      <c r="A205" t="s">
        <v>302</v>
      </c>
      <c r="C205" t="s">
        <v>300</v>
      </c>
      <c r="D205">
        <v>43983</v>
      </c>
      <c r="F205" t="s">
        <v>563</v>
      </c>
      <c r="G205" t="s">
        <v>324</v>
      </c>
      <c r="H205">
        <v>458.15</v>
      </c>
      <c r="I205" t="s">
        <v>260</v>
      </c>
    </row>
    <row r="206" spans="1:9" x14ac:dyDescent="0.35">
      <c r="A206" t="s">
        <v>302</v>
      </c>
      <c r="C206" t="s">
        <v>300</v>
      </c>
      <c r="D206">
        <v>43983</v>
      </c>
      <c r="F206" t="s">
        <v>561</v>
      </c>
      <c r="G206" t="s">
        <v>318</v>
      </c>
      <c r="H206">
        <v>79.615800000000007</v>
      </c>
      <c r="I206" t="s">
        <v>261</v>
      </c>
    </row>
    <row r="207" spans="1:9" x14ac:dyDescent="0.35">
      <c r="A207" t="s">
        <v>302</v>
      </c>
      <c r="C207" t="s">
        <v>300</v>
      </c>
      <c r="D207">
        <v>43983</v>
      </c>
      <c r="F207" t="s">
        <v>561</v>
      </c>
      <c r="G207" t="s">
        <v>318</v>
      </c>
      <c r="H207">
        <v>161.64420000000001</v>
      </c>
      <c r="I207" t="s">
        <v>262</v>
      </c>
    </row>
    <row r="208" spans="1:9" x14ac:dyDescent="0.35">
      <c r="A208" t="s">
        <v>302</v>
      </c>
      <c r="C208" t="s">
        <v>300</v>
      </c>
      <c r="D208">
        <v>43983</v>
      </c>
      <c r="F208" t="s">
        <v>562</v>
      </c>
      <c r="G208" t="s">
        <v>318</v>
      </c>
      <c r="H208">
        <v>165</v>
      </c>
      <c r="I208" t="s">
        <v>261</v>
      </c>
    </row>
    <row r="209" spans="1:9" x14ac:dyDescent="0.35">
      <c r="A209" t="s">
        <v>302</v>
      </c>
      <c r="C209" t="s">
        <v>300</v>
      </c>
      <c r="D209">
        <v>43983</v>
      </c>
      <c r="F209" t="s">
        <v>562</v>
      </c>
      <c r="G209" t="s">
        <v>318</v>
      </c>
      <c r="H209">
        <v>335</v>
      </c>
      <c r="I209" t="s">
        <v>262</v>
      </c>
    </row>
    <row r="210" spans="1:9" x14ac:dyDescent="0.35">
      <c r="A210" t="s">
        <v>302</v>
      </c>
      <c r="C210" t="s">
        <v>300</v>
      </c>
      <c r="D210">
        <v>43983</v>
      </c>
      <c r="F210" t="s">
        <v>563</v>
      </c>
      <c r="G210" t="s">
        <v>318</v>
      </c>
      <c r="H210">
        <v>332.13180000000006</v>
      </c>
      <c r="I210" t="s">
        <v>261</v>
      </c>
    </row>
    <row r="211" spans="1:9" x14ac:dyDescent="0.35">
      <c r="A211" t="s">
        <v>302</v>
      </c>
      <c r="C211" t="s">
        <v>300</v>
      </c>
      <c r="D211">
        <v>43983</v>
      </c>
      <c r="F211" t="s">
        <v>563</v>
      </c>
      <c r="G211" t="s">
        <v>318</v>
      </c>
      <c r="H211">
        <v>674.32820000000004</v>
      </c>
      <c r="I211" t="s">
        <v>262</v>
      </c>
    </row>
    <row r="212" spans="1:9" x14ac:dyDescent="0.35">
      <c r="A212" t="s">
        <v>302</v>
      </c>
      <c r="C212" t="s">
        <v>300</v>
      </c>
      <c r="D212">
        <v>43983</v>
      </c>
      <c r="F212" t="s">
        <v>564</v>
      </c>
      <c r="G212" t="s">
        <v>318</v>
      </c>
      <c r="H212">
        <v>623.25450000000001</v>
      </c>
      <c r="I212" t="s">
        <v>261</v>
      </c>
    </row>
    <row r="213" spans="1:9" x14ac:dyDescent="0.35">
      <c r="A213" t="s">
        <v>302</v>
      </c>
      <c r="C213" t="s">
        <v>300</v>
      </c>
      <c r="D213">
        <v>43983</v>
      </c>
      <c r="F213" t="s">
        <v>564</v>
      </c>
      <c r="G213" t="s">
        <v>318</v>
      </c>
      <c r="H213">
        <v>1265.3955000000001</v>
      </c>
      <c r="I213" t="s">
        <v>262</v>
      </c>
    </row>
    <row r="214" spans="1:9" x14ac:dyDescent="0.35">
      <c r="A214" t="s">
        <v>302</v>
      </c>
      <c r="C214" t="s">
        <v>300</v>
      </c>
      <c r="D214">
        <v>43983</v>
      </c>
      <c r="F214" t="s">
        <v>565</v>
      </c>
      <c r="G214" t="s">
        <v>318</v>
      </c>
      <c r="H214">
        <v>1040.7705000000001</v>
      </c>
      <c r="I214" t="s">
        <v>261</v>
      </c>
    </row>
    <row r="215" spans="1:9" x14ac:dyDescent="0.35">
      <c r="A215" t="s">
        <v>302</v>
      </c>
      <c r="C215" t="s">
        <v>300</v>
      </c>
      <c r="D215">
        <v>43983</v>
      </c>
      <c r="F215" t="s">
        <v>565</v>
      </c>
      <c r="G215" t="s">
        <v>318</v>
      </c>
      <c r="H215">
        <v>2113.0795000000003</v>
      </c>
      <c r="I215" t="s">
        <v>262</v>
      </c>
    </row>
    <row r="216" spans="1:9" x14ac:dyDescent="0.35">
      <c r="A216" t="s">
        <v>302</v>
      </c>
      <c r="C216" t="s">
        <v>300</v>
      </c>
      <c r="D216">
        <v>43983</v>
      </c>
      <c r="F216" t="s">
        <v>564</v>
      </c>
      <c r="G216" t="s">
        <v>318</v>
      </c>
      <c r="H216">
        <v>332.13180000000006</v>
      </c>
      <c r="I216" t="s">
        <v>261</v>
      </c>
    </row>
    <row r="217" spans="1:9" x14ac:dyDescent="0.35">
      <c r="A217" t="s">
        <v>302</v>
      </c>
      <c r="C217" t="s">
        <v>300</v>
      </c>
      <c r="D217">
        <v>43983</v>
      </c>
      <c r="F217" t="s">
        <v>564</v>
      </c>
      <c r="G217" t="s">
        <v>318</v>
      </c>
      <c r="H217">
        <v>674.32820000000004</v>
      </c>
      <c r="I217" t="s">
        <v>262</v>
      </c>
    </row>
    <row r="218" spans="1:9" x14ac:dyDescent="0.35">
      <c r="A218" t="s">
        <v>302</v>
      </c>
      <c r="C218" t="s">
        <v>300</v>
      </c>
      <c r="D218">
        <v>43983</v>
      </c>
      <c r="F218" t="s">
        <v>563</v>
      </c>
      <c r="G218" t="s">
        <v>318</v>
      </c>
      <c r="H218">
        <v>332.13180000000006</v>
      </c>
      <c r="I218" t="s">
        <v>261</v>
      </c>
    </row>
    <row r="219" spans="1:9" x14ac:dyDescent="0.35">
      <c r="A219" t="s">
        <v>302</v>
      </c>
      <c r="C219" t="s">
        <v>300</v>
      </c>
      <c r="D219">
        <v>43983</v>
      </c>
      <c r="F219" t="s">
        <v>563</v>
      </c>
      <c r="G219" t="s">
        <v>318</v>
      </c>
      <c r="H219">
        <v>674.32820000000004</v>
      </c>
      <c r="I219" t="s">
        <v>262</v>
      </c>
    </row>
    <row r="220" spans="1:9" x14ac:dyDescent="0.35">
      <c r="A220" t="s">
        <v>302</v>
      </c>
      <c r="C220" t="s">
        <v>300</v>
      </c>
      <c r="D220">
        <v>43983</v>
      </c>
      <c r="F220" t="s">
        <v>561</v>
      </c>
      <c r="G220" t="s">
        <v>336</v>
      </c>
      <c r="H220">
        <v>136.13999999999999</v>
      </c>
      <c r="I220" t="s">
        <v>263</v>
      </c>
    </row>
    <row r="221" spans="1:9" x14ac:dyDescent="0.35">
      <c r="A221" t="s">
        <v>302</v>
      </c>
      <c r="C221" t="s">
        <v>300</v>
      </c>
      <c r="D221">
        <v>43983</v>
      </c>
      <c r="F221" t="s">
        <v>562</v>
      </c>
      <c r="G221" t="s">
        <v>336</v>
      </c>
      <c r="H221">
        <v>55.85</v>
      </c>
      <c r="I221" t="s">
        <v>263</v>
      </c>
    </row>
    <row r="222" spans="1:9" x14ac:dyDescent="0.35">
      <c r="A222" t="s">
        <v>302</v>
      </c>
      <c r="C222" t="s">
        <v>300</v>
      </c>
      <c r="D222">
        <v>43983</v>
      </c>
      <c r="F222" t="s">
        <v>563</v>
      </c>
      <c r="G222" t="s">
        <v>336</v>
      </c>
      <c r="H222">
        <v>396.18</v>
      </c>
      <c r="I222" t="s">
        <v>263</v>
      </c>
    </row>
    <row r="223" spans="1:9" x14ac:dyDescent="0.35">
      <c r="A223" t="s">
        <v>302</v>
      </c>
      <c r="C223" t="s">
        <v>300</v>
      </c>
      <c r="D223">
        <v>43983</v>
      </c>
      <c r="F223" t="s">
        <v>564</v>
      </c>
      <c r="G223" t="s">
        <v>336</v>
      </c>
      <c r="H223">
        <v>1030.27</v>
      </c>
      <c r="I223" t="s">
        <v>263</v>
      </c>
    </row>
    <row r="224" spans="1:9" x14ac:dyDescent="0.35">
      <c r="A224" t="s">
        <v>302</v>
      </c>
      <c r="C224" t="s">
        <v>300</v>
      </c>
      <c r="D224">
        <v>43983</v>
      </c>
      <c r="F224" t="s">
        <v>565</v>
      </c>
      <c r="G224" t="s">
        <v>336</v>
      </c>
      <c r="H224">
        <v>1346.16</v>
      </c>
      <c r="I224" t="s">
        <v>263</v>
      </c>
    </row>
    <row r="225" spans="1:9" x14ac:dyDescent="0.35">
      <c r="A225" t="s">
        <v>302</v>
      </c>
      <c r="C225" t="s">
        <v>300</v>
      </c>
      <c r="D225">
        <v>43983</v>
      </c>
      <c r="F225" t="s">
        <v>564</v>
      </c>
      <c r="G225" t="s">
        <v>336</v>
      </c>
      <c r="H225">
        <v>396.18</v>
      </c>
      <c r="I225" t="s">
        <v>263</v>
      </c>
    </row>
    <row r="226" spans="1:9" x14ac:dyDescent="0.35">
      <c r="A226" t="s">
        <v>302</v>
      </c>
      <c r="C226" t="s">
        <v>300</v>
      </c>
      <c r="D226">
        <v>43983</v>
      </c>
      <c r="F226" t="s">
        <v>563</v>
      </c>
      <c r="G226" t="s">
        <v>336</v>
      </c>
      <c r="H226">
        <v>396.18</v>
      </c>
      <c r="I226" t="s">
        <v>263</v>
      </c>
    </row>
    <row r="227" spans="1:9" x14ac:dyDescent="0.35">
      <c r="A227" t="s">
        <v>302</v>
      </c>
      <c r="C227" t="s">
        <v>300</v>
      </c>
      <c r="D227">
        <v>43983</v>
      </c>
      <c r="F227" t="s">
        <v>561</v>
      </c>
      <c r="G227" t="s">
        <v>322</v>
      </c>
      <c r="H227">
        <v>221.05</v>
      </c>
      <c r="I227" t="s">
        <v>261</v>
      </c>
    </row>
    <row r="228" spans="1:9" x14ac:dyDescent="0.35">
      <c r="A228" t="s">
        <v>302</v>
      </c>
      <c r="C228" t="s">
        <v>300</v>
      </c>
      <c r="D228">
        <v>43983</v>
      </c>
      <c r="F228" t="s">
        <v>563</v>
      </c>
      <c r="G228" t="s">
        <v>322</v>
      </c>
      <c r="H228">
        <v>635.55999999999995</v>
      </c>
      <c r="I228" t="s">
        <v>261</v>
      </c>
    </row>
    <row r="229" spans="1:9" x14ac:dyDescent="0.35">
      <c r="A229" t="s">
        <v>302</v>
      </c>
      <c r="C229" t="s">
        <v>300</v>
      </c>
      <c r="D229">
        <v>43983</v>
      </c>
      <c r="F229" t="s">
        <v>564</v>
      </c>
      <c r="G229" t="s">
        <v>322</v>
      </c>
      <c r="H229">
        <v>1700.88</v>
      </c>
      <c r="I229" t="s">
        <v>261</v>
      </c>
    </row>
    <row r="230" spans="1:9" x14ac:dyDescent="0.35">
      <c r="A230" t="s">
        <v>302</v>
      </c>
      <c r="C230" t="s">
        <v>300</v>
      </c>
      <c r="D230">
        <v>43983</v>
      </c>
      <c r="F230" t="s">
        <v>565</v>
      </c>
      <c r="G230" t="s">
        <v>322</v>
      </c>
      <c r="H230">
        <v>2115.39</v>
      </c>
      <c r="I230" t="s">
        <v>261</v>
      </c>
    </row>
    <row r="231" spans="1:9" x14ac:dyDescent="0.35">
      <c r="A231" t="s">
        <v>302</v>
      </c>
      <c r="C231" t="s">
        <v>300</v>
      </c>
      <c r="D231">
        <v>43983</v>
      </c>
      <c r="F231" t="s">
        <v>564</v>
      </c>
      <c r="G231" t="s">
        <v>322</v>
      </c>
      <c r="H231">
        <v>635.55999999999995</v>
      </c>
      <c r="I231" t="s">
        <v>261</v>
      </c>
    </row>
    <row r="232" spans="1:9" x14ac:dyDescent="0.35">
      <c r="A232" t="s">
        <v>302</v>
      </c>
      <c r="C232" t="s">
        <v>300</v>
      </c>
      <c r="D232">
        <v>43983</v>
      </c>
      <c r="F232" t="s">
        <v>563</v>
      </c>
      <c r="G232" t="s">
        <v>322</v>
      </c>
      <c r="H232">
        <v>635.55999999999995</v>
      </c>
      <c r="I232" t="s">
        <v>261</v>
      </c>
    </row>
    <row r="233" spans="1:9" x14ac:dyDescent="0.35">
      <c r="A233" t="s">
        <v>302</v>
      </c>
      <c r="C233" t="s">
        <v>300</v>
      </c>
      <c r="D233">
        <v>43983</v>
      </c>
      <c r="F233" t="s">
        <v>561</v>
      </c>
      <c r="G233" t="s">
        <v>327</v>
      </c>
      <c r="H233">
        <v>119.13</v>
      </c>
      <c r="I233" t="s">
        <v>263</v>
      </c>
    </row>
    <row r="234" spans="1:9" x14ac:dyDescent="0.35">
      <c r="A234" t="s">
        <v>302</v>
      </c>
      <c r="C234" t="s">
        <v>300</v>
      </c>
      <c r="D234">
        <v>43983</v>
      </c>
      <c r="F234" t="s">
        <v>563</v>
      </c>
      <c r="G234" t="s">
        <v>327</v>
      </c>
      <c r="H234">
        <v>250.84</v>
      </c>
      <c r="I234" t="s">
        <v>263</v>
      </c>
    </row>
    <row r="235" spans="1:9" x14ac:dyDescent="0.35">
      <c r="A235" t="s">
        <v>302</v>
      </c>
      <c r="C235" t="s">
        <v>300</v>
      </c>
      <c r="D235">
        <v>43983</v>
      </c>
      <c r="F235" t="s">
        <v>564</v>
      </c>
      <c r="G235" t="s">
        <v>327</v>
      </c>
      <c r="H235">
        <v>1008.29</v>
      </c>
      <c r="I235" t="s">
        <v>263</v>
      </c>
    </row>
    <row r="236" spans="1:9" x14ac:dyDescent="0.35">
      <c r="A236" t="s">
        <v>302</v>
      </c>
      <c r="C236" t="s">
        <v>300</v>
      </c>
      <c r="D236">
        <v>43983</v>
      </c>
      <c r="F236" t="s">
        <v>565</v>
      </c>
      <c r="G236" t="s">
        <v>327</v>
      </c>
      <c r="H236">
        <v>1140</v>
      </c>
      <c r="I236" t="s">
        <v>263</v>
      </c>
    </row>
    <row r="237" spans="1:9" x14ac:dyDescent="0.35">
      <c r="A237" t="s">
        <v>302</v>
      </c>
      <c r="C237" t="s">
        <v>300</v>
      </c>
      <c r="D237">
        <v>43983</v>
      </c>
      <c r="F237" t="s">
        <v>564</v>
      </c>
      <c r="G237" t="s">
        <v>327</v>
      </c>
      <c r="H237">
        <v>250.84</v>
      </c>
      <c r="I237" t="s">
        <v>263</v>
      </c>
    </row>
    <row r="238" spans="1:9" x14ac:dyDescent="0.35">
      <c r="A238" t="s">
        <v>302</v>
      </c>
      <c r="C238" t="s">
        <v>300</v>
      </c>
      <c r="D238">
        <v>43983</v>
      </c>
      <c r="F238" t="s">
        <v>563</v>
      </c>
      <c r="G238" t="s">
        <v>327</v>
      </c>
      <c r="H238">
        <v>250.84</v>
      </c>
      <c r="I238" t="s">
        <v>263</v>
      </c>
    </row>
    <row r="239" spans="1:9" x14ac:dyDescent="0.35">
      <c r="A239" t="s">
        <v>302</v>
      </c>
      <c r="C239" t="s">
        <v>300</v>
      </c>
      <c r="D239">
        <v>43983</v>
      </c>
      <c r="F239" t="s">
        <v>561</v>
      </c>
      <c r="G239" t="s">
        <v>325</v>
      </c>
      <c r="H239">
        <v>63.217500000000001</v>
      </c>
      <c r="I239" t="s">
        <v>264</v>
      </c>
    </row>
    <row r="240" spans="1:9" x14ac:dyDescent="0.35">
      <c r="A240" t="s">
        <v>302</v>
      </c>
      <c r="C240" t="s">
        <v>300</v>
      </c>
      <c r="D240">
        <v>43983</v>
      </c>
      <c r="F240" t="s">
        <v>561</v>
      </c>
      <c r="G240" t="s">
        <v>325</v>
      </c>
      <c r="H240">
        <v>45.516599999999997</v>
      </c>
      <c r="I240" t="s">
        <v>575</v>
      </c>
    </row>
    <row r="241" spans="1:9" x14ac:dyDescent="0.35">
      <c r="A241" t="s">
        <v>302</v>
      </c>
      <c r="C241" t="s">
        <v>300</v>
      </c>
      <c r="D241">
        <v>43983</v>
      </c>
      <c r="F241" t="s">
        <v>561</v>
      </c>
      <c r="G241" t="s">
        <v>325</v>
      </c>
      <c r="H241">
        <v>17.700900000000001</v>
      </c>
      <c r="I241" t="s">
        <v>265</v>
      </c>
    </row>
    <row r="242" spans="1:9" x14ac:dyDescent="0.35">
      <c r="A242" t="s">
        <v>302</v>
      </c>
      <c r="C242" t="s">
        <v>300</v>
      </c>
      <c r="D242">
        <v>43983</v>
      </c>
      <c r="F242" t="s">
        <v>561</v>
      </c>
      <c r="G242" t="s">
        <v>325</v>
      </c>
      <c r="H242">
        <v>63.217500000000001</v>
      </c>
      <c r="I242" t="s">
        <v>266</v>
      </c>
    </row>
    <row r="243" spans="1:9" x14ac:dyDescent="0.35">
      <c r="A243" t="s">
        <v>302</v>
      </c>
      <c r="C243" t="s">
        <v>300</v>
      </c>
      <c r="D243">
        <v>43983</v>
      </c>
      <c r="F243" t="s">
        <v>561</v>
      </c>
      <c r="G243" t="s">
        <v>325</v>
      </c>
      <c r="H243">
        <v>63.217500000000001</v>
      </c>
      <c r="I243" t="s">
        <v>267</v>
      </c>
    </row>
    <row r="244" spans="1:9" x14ac:dyDescent="0.35">
      <c r="A244" t="s">
        <v>302</v>
      </c>
      <c r="C244" t="s">
        <v>300</v>
      </c>
      <c r="D244">
        <v>43983</v>
      </c>
      <c r="F244" t="s">
        <v>562</v>
      </c>
      <c r="G244" t="s">
        <v>325</v>
      </c>
      <c r="H244">
        <v>26.475000000000001</v>
      </c>
      <c r="I244" t="s">
        <v>264</v>
      </c>
    </row>
    <row r="245" spans="1:9" x14ac:dyDescent="0.35">
      <c r="A245" t="s">
        <v>302</v>
      </c>
      <c r="C245" t="s">
        <v>300</v>
      </c>
      <c r="D245">
        <v>43983</v>
      </c>
      <c r="F245" t="s">
        <v>562</v>
      </c>
      <c r="G245" t="s">
        <v>325</v>
      </c>
      <c r="H245">
        <v>19.062000000000001</v>
      </c>
      <c r="I245" t="s">
        <v>575</v>
      </c>
    </row>
    <row r="246" spans="1:9" x14ac:dyDescent="0.35">
      <c r="A246" t="s">
        <v>302</v>
      </c>
      <c r="C246" t="s">
        <v>300</v>
      </c>
      <c r="D246">
        <v>43983</v>
      </c>
      <c r="F246" t="s">
        <v>562</v>
      </c>
      <c r="G246" t="s">
        <v>325</v>
      </c>
      <c r="H246">
        <v>7.4130000000000011</v>
      </c>
      <c r="I246" t="s">
        <v>265</v>
      </c>
    </row>
    <row r="247" spans="1:9" x14ac:dyDescent="0.35">
      <c r="A247" t="s">
        <v>302</v>
      </c>
      <c r="C247" t="s">
        <v>300</v>
      </c>
      <c r="D247">
        <v>43983</v>
      </c>
      <c r="F247" t="s">
        <v>562</v>
      </c>
      <c r="G247" t="s">
        <v>325</v>
      </c>
      <c r="H247">
        <v>26.475000000000001</v>
      </c>
      <c r="I247" t="s">
        <v>266</v>
      </c>
    </row>
    <row r="248" spans="1:9" x14ac:dyDescent="0.35">
      <c r="A248" t="s">
        <v>302</v>
      </c>
      <c r="C248" t="s">
        <v>300</v>
      </c>
      <c r="D248">
        <v>43983</v>
      </c>
      <c r="F248" t="s">
        <v>562</v>
      </c>
      <c r="G248" t="s">
        <v>325</v>
      </c>
      <c r="H248">
        <v>26.475000000000001</v>
      </c>
      <c r="I248" t="s">
        <v>267</v>
      </c>
    </row>
    <row r="249" spans="1:9" x14ac:dyDescent="0.35">
      <c r="A249" t="s">
        <v>302</v>
      </c>
      <c r="C249" t="s">
        <v>300</v>
      </c>
      <c r="D249">
        <v>43983</v>
      </c>
      <c r="F249" t="s">
        <v>563</v>
      </c>
      <c r="G249" t="s">
        <v>325</v>
      </c>
      <c r="H249">
        <v>196.92250000000001</v>
      </c>
      <c r="I249" t="s">
        <v>264</v>
      </c>
    </row>
    <row r="250" spans="1:9" x14ac:dyDescent="0.35">
      <c r="A250" t="s">
        <v>302</v>
      </c>
      <c r="C250" t="s">
        <v>300</v>
      </c>
      <c r="D250">
        <v>43983</v>
      </c>
      <c r="F250" t="s">
        <v>563</v>
      </c>
      <c r="G250" t="s">
        <v>325</v>
      </c>
      <c r="H250">
        <v>141.7842</v>
      </c>
      <c r="I250" t="s">
        <v>575</v>
      </c>
    </row>
    <row r="251" spans="1:9" x14ac:dyDescent="0.35">
      <c r="A251" t="s">
        <v>302</v>
      </c>
      <c r="C251" t="s">
        <v>300</v>
      </c>
      <c r="D251">
        <v>43983</v>
      </c>
      <c r="F251" t="s">
        <v>563</v>
      </c>
      <c r="G251" t="s">
        <v>325</v>
      </c>
      <c r="H251">
        <v>55.138300000000008</v>
      </c>
      <c r="I251" t="s">
        <v>265</v>
      </c>
    </row>
    <row r="252" spans="1:9" x14ac:dyDescent="0.35">
      <c r="A252" t="s">
        <v>302</v>
      </c>
      <c r="C252" t="s">
        <v>300</v>
      </c>
      <c r="D252">
        <v>43983</v>
      </c>
      <c r="F252" t="s">
        <v>563</v>
      </c>
      <c r="G252" t="s">
        <v>325</v>
      </c>
      <c r="H252">
        <v>196.92250000000001</v>
      </c>
      <c r="I252" t="s">
        <v>266</v>
      </c>
    </row>
    <row r="253" spans="1:9" x14ac:dyDescent="0.35">
      <c r="A253" t="s">
        <v>302</v>
      </c>
      <c r="C253" t="s">
        <v>300</v>
      </c>
      <c r="D253">
        <v>43983</v>
      </c>
      <c r="F253" t="s">
        <v>563</v>
      </c>
      <c r="G253" t="s">
        <v>325</v>
      </c>
      <c r="H253">
        <v>196.92250000000001</v>
      </c>
      <c r="I253" t="s">
        <v>267</v>
      </c>
    </row>
    <row r="254" spans="1:9" x14ac:dyDescent="0.35">
      <c r="A254" t="s">
        <v>302</v>
      </c>
      <c r="C254" t="s">
        <v>300</v>
      </c>
      <c r="D254">
        <v>43983</v>
      </c>
      <c r="F254" t="s">
        <v>564</v>
      </c>
      <c r="G254" t="s">
        <v>325</v>
      </c>
      <c r="H254">
        <v>464.82</v>
      </c>
      <c r="I254" t="s">
        <v>264</v>
      </c>
    </row>
    <row r="255" spans="1:9" x14ac:dyDescent="0.35">
      <c r="A255" t="s">
        <v>302</v>
      </c>
      <c r="C255" t="s">
        <v>300</v>
      </c>
      <c r="D255">
        <v>43983</v>
      </c>
      <c r="F255" t="s">
        <v>564</v>
      </c>
      <c r="G255" t="s">
        <v>325</v>
      </c>
      <c r="H255">
        <v>334.67039999999997</v>
      </c>
      <c r="I255" t="s">
        <v>575</v>
      </c>
    </row>
    <row r="256" spans="1:9" x14ac:dyDescent="0.35">
      <c r="A256" t="s">
        <v>302</v>
      </c>
      <c r="C256" t="s">
        <v>300</v>
      </c>
      <c r="D256">
        <v>43983</v>
      </c>
      <c r="F256" t="s">
        <v>564</v>
      </c>
      <c r="G256" t="s">
        <v>325</v>
      </c>
      <c r="H256">
        <v>130.14960000000002</v>
      </c>
      <c r="I256" t="s">
        <v>265</v>
      </c>
    </row>
    <row r="257" spans="1:9" x14ac:dyDescent="0.35">
      <c r="A257" t="s">
        <v>302</v>
      </c>
      <c r="C257" t="s">
        <v>300</v>
      </c>
      <c r="D257">
        <v>43983</v>
      </c>
      <c r="F257" t="s">
        <v>564</v>
      </c>
      <c r="G257" t="s">
        <v>325</v>
      </c>
      <c r="H257">
        <v>464.82</v>
      </c>
      <c r="I257" t="s">
        <v>266</v>
      </c>
    </row>
    <row r="258" spans="1:9" x14ac:dyDescent="0.35">
      <c r="A258" t="s">
        <v>302</v>
      </c>
      <c r="C258" t="s">
        <v>300</v>
      </c>
      <c r="D258">
        <v>43983</v>
      </c>
      <c r="F258" t="s">
        <v>564</v>
      </c>
      <c r="G258" t="s">
        <v>325</v>
      </c>
      <c r="H258">
        <v>464.82</v>
      </c>
      <c r="I258" t="s">
        <v>267</v>
      </c>
    </row>
    <row r="259" spans="1:9" x14ac:dyDescent="0.35">
      <c r="A259" t="s">
        <v>302</v>
      </c>
      <c r="C259" t="s">
        <v>300</v>
      </c>
      <c r="D259">
        <v>43983</v>
      </c>
      <c r="F259" t="s">
        <v>565</v>
      </c>
      <c r="G259" t="s">
        <v>325</v>
      </c>
      <c r="H259">
        <v>625</v>
      </c>
      <c r="I259" t="s">
        <v>264</v>
      </c>
    </row>
    <row r="260" spans="1:9" x14ac:dyDescent="0.35">
      <c r="A260" t="s">
        <v>302</v>
      </c>
      <c r="C260" t="s">
        <v>300</v>
      </c>
      <c r="D260">
        <v>43983</v>
      </c>
      <c r="F260" t="s">
        <v>565</v>
      </c>
      <c r="G260" t="s">
        <v>325</v>
      </c>
      <c r="H260">
        <v>450</v>
      </c>
      <c r="I260" t="s">
        <v>575</v>
      </c>
    </row>
    <row r="261" spans="1:9" x14ac:dyDescent="0.35">
      <c r="A261" t="s">
        <v>302</v>
      </c>
      <c r="C261" t="s">
        <v>300</v>
      </c>
      <c r="D261">
        <v>43983</v>
      </c>
      <c r="F261" t="s">
        <v>565</v>
      </c>
      <c r="G261" t="s">
        <v>325</v>
      </c>
      <c r="H261">
        <v>175.00000000000003</v>
      </c>
      <c r="I261" t="s">
        <v>265</v>
      </c>
    </row>
    <row r="262" spans="1:9" x14ac:dyDescent="0.35">
      <c r="A262" t="s">
        <v>302</v>
      </c>
      <c r="C262" t="s">
        <v>300</v>
      </c>
      <c r="D262">
        <v>43983</v>
      </c>
      <c r="F262" t="s">
        <v>565</v>
      </c>
      <c r="G262" t="s">
        <v>325</v>
      </c>
      <c r="H262">
        <v>625</v>
      </c>
      <c r="I262" t="s">
        <v>266</v>
      </c>
    </row>
    <row r="263" spans="1:9" x14ac:dyDescent="0.35">
      <c r="A263" t="s">
        <v>302</v>
      </c>
      <c r="C263" t="s">
        <v>300</v>
      </c>
      <c r="D263">
        <v>43983</v>
      </c>
      <c r="F263" t="s">
        <v>565</v>
      </c>
      <c r="G263" t="s">
        <v>325</v>
      </c>
      <c r="H263">
        <v>625</v>
      </c>
      <c r="I263" t="s">
        <v>267</v>
      </c>
    </row>
    <row r="264" spans="1:9" x14ac:dyDescent="0.35">
      <c r="A264" t="s">
        <v>302</v>
      </c>
      <c r="C264" t="s">
        <v>300</v>
      </c>
      <c r="D264">
        <v>43983</v>
      </c>
      <c r="F264" t="s">
        <v>564</v>
      </c>
      <c r="G264" t="s">
        <v>325</v>
      </c>
      <c r="H264">
        <v>196.92250000000001</v>
      </c>
      <c r="I264" t="s">
        <v>264</v>
      </c>
    </row>
    <row r="265" spans="1:9" x14ac:dyDescent="0.35">
      <c r="A265" t="s">
        <v>302</v>
      </c>
      <c r="C265" t="s">
        <v>300</v>
      </c>
      <c r="D265">
        <v>43983</v>
      </c>
      <c r="F265" t="s">
        <v>564</v>
      </c>
      <c r="G265" t="s">
        <v>325</v>
      </c>
      <c r="H265">
        <v>141.7842</v>
      </c>
      <c r="I265" t="s">
        <v>575</v>
      </c>
    </row>
    <row r="266" spans="1:9" x14ac:dyDescent="0.35">
      <c r="A266" t="s">
        <v>302</v>
      </c>
      <c r="C266" t="s">
        <v>300</v>
      </c>
      <c r="D266">
        <v>43983</v>
      </c>
      <c r="F266" t="s">
        <v>564</v>
      </c>
      <c r="G266" t="s">
        <v>325</v>
      </c>
      <c r="H266">
        <v>55.138300000000008</v>
      </c>
      <c r="I266" t="s">
        <v>265</v>
      </c>
    </row>
    <row r="267" spans="1:9" x14ac:dyDescent="0.35">
      <c r="A267" t="s">
        <v>302</v>
      </c>
      <c r="C267" t="s">
        <v>300</v>
      </c>
      <c r="D267">
        <v>43983</v>
      </c>
      <c r="F267" t="s">
        <v>564</v>
      </c>
      <c r="G267" t="s">
        <v>325</v>
      </c>
      <c r="H267">
        <v>196.92250000000001</v>
      </c>
      <c r="I267" t="s">
        <v>266</v>
      </c>
    </row>
    <row r="268" spans="1:9" x14ac:dyDescent="0.35">
      <c r="A268" t="s">
        <v>302</v>
      </c>
      <c r="C268" t="s">
        <v>300</v>
      </c>
      <c r="D268">
        <v>43983</v>
      </c>
      <c r="F268" t="s">
        <v>564</v>
      </c>
      <c r="G268" t="s">
        <v>325</v>
      </c>
      <c r="H268">
        <v>196.92250000000001</v>
      </c>
      <c r="I268" t="s">
        <v>267</v>
      </c>
    </row>
    <row r="269" spans="1:9" x14ac:dyDescent="0.35">
      <c r="A269" t="s">
        <v>302</v>
      </c>
      <c r="C269" t="s">
        <v>300</v>
      </c>
      <c r="D269">
        <v>43983</v>
      </c>
      <c r="F269" t="s">
        <v>563</v>
      </c>
      <c r="G269" t="s">
        <v>325</v>
      </c>
      <c r="H269">
        <v>196.92250000000001</v>
      </c>
      <c r="I269" t="s">
        <v>264</v>
      </c>
    </row>
    <row r="270" spans="1:9" x14ac:dyDescent="0.35">
      <c r="A270" t="s">
        <v>302</v>
      </c>
      <c r="C270" t="s">
        <v>300</v>
      </c>
      <c r="D270">
        <v>43983</v>
      </c>
      <c r="F270" t="s">
        <v>563</v>
      </c>
      <c r="G270" t="s">
        <v>325</v>
      </c>
      <c r="H270">
        <v>141.7842</v>
      </c>
      <c r="I270" t="s">
        <v>575</v>
      </c>
    </row>
    <row r="271" spans="1:9" x14ac:dyDescent="0.35">
      <c r="A271" t="s">
        <v>302</v>
      </c>
      <c r="C271" t="s">
        <v>300</v>
      </c>
      <c r="D271">
        <v>43983</v>
      </c>
      <c r="F271" t="s">
        <v>563</v>
      </c>
      <c r="G271" t="s">
        <v>325</v>
      </c>
      <c r="H271">
        <v>55.138300000000008</v>
      </c>
      <c r="I271" t="s">
        <v>265</v>
      </c>
    </row>
    <row r="272" spans="1:9" x14ac:dyDescent="0.35">
      <c r="A272" t="s">
        <v>302</v>
      </c>
      <c r="C272" t="s">
        <v>300</v>
      </c>
      <c r="D272">
        <v>43983</v>
      </c>
      <c r="F272" t="s">
        <v>563</v>
      </c>
      <c r="G272" t="s">
        <v>325</v>
      </c>
      <c r="H272">
        <v>196.92250000000001</v>
      </c>
      <c r="I272" t="s">
        <v>266</v>
      </c>
    </row>
    <row r="273" spans="1:9" x14ac:dyDescent="0.35">
      <c r="A273" t="s">
        <v>302</v>
      </c>
      <c r="C273" t="s">
        <v>300</v>
      </c>
      <c r="D273">
        <v>43983</v>
      </c>
      <c r="F273" t="s">
        <v>563</v>
      </c>
      <c r="G273" t="s">
        <v>325</v>
      </c>
      <c r="H273">
        <v>196.92250000000001</v>
      </c>
      <c r="I273" t="s">
        <v>267</v>
      </c>
    </row>
    <row r="274" spans="1:9" x14ac:dyDescent="0.35">
      <c r="A274" t="s">
        <v>302</v>
      </c>
      <c r="C274" t="s">
        <v>300</v>
      </c>
      <c r="D274">
        <v>43983</v>
      </c>
      <c r="F274" t="s">
        <v>561</v>
      </c>
      <c r="G274" t="s">
        <v>320</v>
      </c>
      <c r="H274">
        <v>16.076000000000001</v>
      </c>
      <c r="I274" t="s">
        <v>268</v>
      </c>
    </row>
    <row r="275" spans="1:9" x14ac:dyDescent="0.35">
      <c r="A275" t="s">
        <v>302</v>
      </c>
      <c r="C275" t="s">
        <v>300</v>
      </c>
      <c r="D275">
        <v>43983</v>
      </c>
      <c r="F275" t="s">
        <v>561</v>
      </c>
      <c r="G275" t="s">
        <v>320</v>
      </c>
      <c r="H275">
        <v>72.341999999999999</v>
      </c>
      <c r="I275" t="s">
        <v>269</v>
      </c>
    </row>
    <row r="276" spans="1:9" x14ac:dyDescent="0.35">
      <c r="A276" t="s">
        <v>302</v>
      </c>
      <c r="C276" t="s">
        <v>300</v>
      </c>
      <c r="D276">
        <v>43983</v>
      </c>
      <c r="F276" t="s">
        <v>561</v>
      </c>
      <c r="G276" t="s">
        <v>320</v>
      </c>
      <c r="H276">
        <v>28.936799999999998</v>
      </c>
      <c r="I276" t="s">
        <v>270</v>
      </c>
    </row>
    <row r="277" spans="1:9" x14ac:dyDescent="0.35">
      <c r="A277" t="s">
        <v>302</v>
      </c>
      <c r="C277" t="s">
        <v>300</v>
      </c>
      <c r="D277">
        <v>43983</v>
      </c>
      <c r="F277" t="s">
        <v>561</v>
      </c>
      <c r="G277" t="s">
        <v>320</v>
      </c>
      <c r="H277">
        <v>43.405200000000001</v>
      </c>
      <c r="I277" t="s">
        <v>304</v>
      </c>
    </row>
    <row r="278" spans="1:9" x14ac:dyDescent="0.35">
      <c r="A278" t="s">
        <v>302</v>
      </c>
      <c r="C278" t="s">
        <v>300</v>
      </c>
      <c r="D278">
        <v>43983</v>
      </c>
      <c r="F278" t="s">
        <v>563</v>
      </c>
      <c r="G278" t="s">
        <v>320</v>
      </c>
      <c r="H278">
        <v>30.806000000000001</v>
      </c>
      <c r="I278" t="s">
        <v>268</v>
      </c>
    </row>
    <row r="279" spans="1:9" x14ac:dyDescent="0.35">
      <c r="A279" t="s">
        <v>302</v>
      </c>
      <c r="C279" t="s">
        <v>300</v>
      </c>
      <c r="D279">
        <v>43983</v>
      </c>
      <c r="F279" t="s">
        <v>563</v>
      </c>
      <c r="G279" t="s">
        <v>320</v>
      </c>
      <c r="H279">
        <v>138.62700000000001</v>
      </c>
      <c r="I279" t="s">
        <v>269</v>
      </c>
    </row>
    <row r="280" spans="1:9" x14ac:dyDescent="0.35">
      <c r="A280" t="s">
        <v>302</v>
      </c>
      <c r="C280" t="s">
        <v>300</v>
      </c>
      <c r="D280">
        <v>43983</v>
      </c>
      <c r="F280" t="s">
        <v>563</v>
      </c>
      <c r="G280" t="s">
        <v>320</v>
      </c>
      <c r="H280">
        <v>55.450800000000001</v>
      </c>
      <c r="I280" t="s">
        <v>270</v>
      </c>
    </row>
    <row r="281" spans="1:9" x14ac:dyDescent="0.35">
      <c r="A281" t="s">
        <v>302</v>
      </c>
      <c r="C281" t="s">
        <v>300</v>
      </c>
      <c r="D281">
        <v>43983</v>
      </c>
      <c r="F281" t="s">
        <v>563</v>
      </c>
      <c r="G281" t="s">
        <v>320</v>
      </c>
      <c r="H281">
        <v>83.176200000000009</v>
      </c>
      <c r="I281" t="s">
        <v>304</v>
      </c>
    </row>
    <row r="282" spans="1:9" x14ac:dyDescent="0.35">
      <c r="A282" t="s">
        <v>302</v>
      </c>
      <c r="C282" t="s">
        <v>300</v>
      </c>
      <c r="D282">
        <v>43983</v>
      </c>
      <c r="F282" t="s">
        <v>564</v>
      </c>
      <c r="G282" t="s">
        <v>320</v>
      </c>
      <c r="H282">
        <v>139.11600000000001</v>
      </c>
      <c r="I282" t="s">
        <v>268</v>
      </c>
    </row>
    <row r="283" spans="1:9" x14ac:dyDescent="0.35">
      <c r="A283" t="s">
        <v>302</v>
      </c>
      <c r="C283" t="s">
        <v>300</v>
      </c>
      <c r="D283">
        <v>43983</v>
      </c>
      <c r="F283" t="s">
        <v>564</v>
      </c>
      <c r="G283" t="s">
        <v>320</v>
      </c>
      <c r="H283">
        <v>626.02200000000005</v>
      </c>
      <c r="I283" t="s">
        <v>269</v>
      </c>
    </row>
    <row r="284" spans="1:9" x14ac:dyDescent="0.35">
      <c r="A284" t="s">
        <v>302</v>
      </c>
      <c r="C284" t="s">
        <v>300</v>
      </c>
      <c r="D284">
        <v>43983</v>
      </c>
      <c r="F284" t="s">
        <v>564</v>
      </c>
      <c r="G284" t="s">
        <v>320</v>
      </c>
      <c r="H284">
        <v>250.40880000000001</v>
      </c>
      <c r="I284" t="s">
        <v>270</v>
      </c>
    </row>
    <row r="285" spans="1:9" x14ac:dyDescent="0.35">
      <c r="A285" t="s">
        <v>302</v>
      </c>
      <c r="C285" t="s">
        <v>300</v>
      </c>
      <c r="D285">
        <v>43983</v>
      </c>
      <c r="F285" t="s">
        <v>564</v>
      </c>
      <c r="G285" t="s">
        <v>320</v>
      </c>
      <c r="H285">
        <v>375.61320000000006</v>
      </c>
      <c r="I285" t="s">
        <v>304</v>
      </c>
    </row>
    <row r="286" spans="1:9" x14ac:dyDescent="0.35">
      <c r="A286" t="s">
        <v>302</v>
      </c>
      <c r="C286" t="s">
        <v>300</v>
      </c>
      <c r="D286">
        <v>43983</v>
      </c>
      <c r="F286" t="s">
        <v>565</v>
      </c>
      <c r="G286" t="s">
        <v>320</v>
      </c>
      <c r="H286">
        <v>153.846</v>
      </c>
      <c r="I286" t="s">
        <v>268</v>
      </c>
    </row>
    <row r="287" spans="1:9" x14ac:dyDescent="0.35">
      <c r="A287" t="s">
        <v>302</v>
      </c>
      <c r="C287" t="s">
        <v>300</v>
      </c>
      <c r="D287">
        <v>43983</v>
      </c>
      <c r="F287" t="s">
        <v>565</v>
      </c>
      <c r="G287" t="s">
        <v>320</v>
      </c>
      <c r="H287">
        <v>692.30700000000002</v>
      </c>
      <c r="I287" t="s">
        <v>269</v>
      </c>
    </row>
    <row r="288" spans="1:9" x14ac:dyDescent="0.35">
      <c r="A288" t="s">
        <v>302</v>
      </c>
      <c r="C288" t="s">
        <v>300</v>
      </c>
      <c r="D288">
        <v>43983</v>
      </c>
      <c r="F288" t="s">
        <v>565</v>
      </c>
      <c r="G288" t="s">
        <v>320</v>
      </c>
      <c r="H288">
        <v>276.9228</v>
      </c>
      <c r="I288" t="s">
        <v>270</v>
      </c>
    </row>
    <row r="289" spans="1:9" x14ac:dyDescent="0.35">
      <c r="A289" t="s">
        <v>302</v>
      </c>
      <c r="C289" t="s">
        <v>300</v>
      </c>
      <c r="D289">
        <v>43983</v>
      </c>
      <c r="F289" t="s">
        <v>565</v>
      </c>
      <c r="G289" t="s">
        <v>320</v>
      </c>
      <c r="H289">
        <v>415.38420000000002</v>
      </c>
      <c r="I289" t="s">
        <v>304</v>
      </c>
    </row>
    <row r="290" spans="1:9" x14ac:dyDescent="0.35">
      <c r="A290" t="s">
        <v>302</v>
      </c>
      <c r="C290" t="s">
        <v>300</v>
      </c>
      <c r="D290">
        <v>43983</v>
      </c>
      <c r="F290" t="s">
        <v>564</v>
      </c>
      <c r="G290" t="s">
        <v>320</v>
      </c>
      <c r="H290">
        <v>30.806000000000001</v>
      </c>
      <c r="I290" t="s">
        <v>268</v>
      </c>
    </row>
    <row r="291" spans="1:9" x14ac:dyDescent="0.35">
      <c r="A291" t="s">
        <v>302</v>
      </c>
      <c r="C291" t="s">
        <v>300</v>
      </c>
      <c r="D291">
        <v>43983</v>
      </c>
      <c r="F291" t="s">
        <v>564</v>
      </c>
      <c r="G291" t="s">
        <v>320</v>
      </c>
      <c r="H291">
        <v>138.62700000000001</v>
      </c>
      <c r="I291" t="s">
        <v>269</v>
      </c>
    </row>
    <row r="292" spans="1:9" x14ac:dyDescent="0.35">
      <c r="A292" t="s">
        <v>302</v>
      </c>
      <c r="C292" t="s">
        <v>300</v>
      </c>
      <c r="D292">
        <v>43983</v>
      </c>
      <c r="F292" t="s">
        <v>564</v>
      </c>
      <c r="G292" t="s">
        <v>320</v>
      </c>
      <c r="H292">
        <v>55.450800000000001</v>
      </c>
      <c r="I292" t="s">
        <v>270</v>
      </c>
    </row>
    <row r="293" spans="1:9" x14ac:dyDescent="0.35">
      <c r="A293" t="s">
        <v>302</v>
      </c>
      <c r="C293" t="s">
        <v>300</v>
      </c>
      <c r="D293">
        <v>43983</v>
      </c>
      <c r="F293" t="s">
        <v>564</v>
      </c>
      <c r="G293" t="s">
        <v>320</v>
      </c>
      <c r="H293">
        <v>83.176200000000009</v>
      </c>
      <c r="I293" t="s">
        <v>304</v>
      </c>
    </row>
    <row r="294" spans="1:9" x14ac:dyDescent="0.35">
      <c r="A294" t="s">
        <v>302</v>
      </c>
      <c r="C294" t="s">
        <v>300</v>
      </c>
      <c r="D294">
        <v>43983</v>
      </c>
      <c r="F294" t="s">
        <v>563</v>
      </c>
      <c r="G294" t="s">
        <v>320</v>
      </c>
      <c r="H294">
        <v>30.806000000000001</v>
      </c>
      <c r="I294" t="s">
        <v>268</v>
      </c>
    </row>
    <row r="295" spans="1:9" x14ac:dyDescent="0.35">
      <c r="A295" t="s">
        <v>302</v>
      </c>
      <c r="C295" t="s">
        <v>300</v>
      </c>
      <c r="D295">
        <v>43983</v>
      </c>
      <c r="F295" t="s">
        <v>563</v>
      </c>
      <c r="G295" t="s">
        <v>320</v>
      </c>
      <c r="H295">
        <v>138.62700000000001</v>
      </c>
      <c r="I295" t="s">
        <v>269</v>
      </c>
    </row>
    <row r="296" spans="1:9" x14ac:dyDescent="0.35">
      <c r="A296" t="s">
        <v>302</v>
      </c>
      <c r="C296" t="s">
        <v>300</v>
      </c>
      <c r="D296">
        <v>43983</v>
      </c>
      <c r="F296" t="s">
        <v>563</v>
      </c>
      <c r="G296" t="s">
        <v>320</v>
      </c>
      <c r="H296">
        <v>55.450800000000001</v>
      </c>
      <c r="I296" t="s">
        <v>270</v>
      </c>
    </row>
    <row r="297" spans="1:9" x14ac:dyDescent="0.35">
      <c r="A297" t="s">
        <v>302</v>
      </c>
      <c r="C297" t="s">
        <v>300</v>
      </c>
      <c r="D297">
        <v>43983</v>
      </c>
      <c r="F297" t="s">
        <v>563</v>
      </c>
      <c r="G297" t="s">
        <v>320</v>
      </c>
      <c r="H297">
        <v>83.176200000000009</v>
      </c>
      <c r="I297" t="s">
        <v>304</v>
      </c>
    </row>
    <row r="298" spans="1:9" x14ac:dyDescent="0.35">
      <c r="A298" t="s">
        <v>302</v>
      </c>
      <c r="C298" t="s">
        <v>300</v>
      </c>
      <c r="D298">
        <v>43983</v>
      </c>
      <c r="F298" t="s">
        <v>561</v>
      </c>
      <c r="G298" t="s">
        <v>317</v>
      </c>
      <c r="H298">
        <v>405.47699999999998</v>
      </c>
      <c r="I298" t="s">
        <v>273</v>
      </c>
    </row>
    <row r="299" spans="1:9" x14ac:dyDescent="0.35">
      <c r="A299" t="s">
        <v>302</v>
      </c>
      <c r="C299" t="s">
        <v>300</v>
      </c>
      <c r="D299">
        <v>43983</v>
      </c>
      <c r="F299" t="s">
        <v>561</v>
      </c>
      <c r="G299" t="s">
        <v>317</v>
      </c>
      <c r="H299">
        <v>45.052999999999997</v>
      </c>
      <c r="I299" t="s">
        <v>274</v>
      </c>
    </row>
    <row r="300" spans="1:9" x14ac:dyDescent="0.35">
      <c r="A300" t="s">
        <v>302</v>
      </c>
      <c r="C300" t="s">
        <v>300</v>
      </c>
      <c r="D300">
        <v>43983</v>
      </c>
      <c r="F300" t="s">
        <v>562</v>
      </c>
      <c r="G300" t="s">
        <v>317</v>
      </c>
      <c r="H300">
        <v>380.77199999999999</v>
      </c>
      <c r="I300" t="s">
        <v>273</v>
      </c>
    </row>
    <row r="301" spans="1:9" x14ac:dyDescent="0.35">
      <c r="A301" t="s">
        <v>302</v>
      </c>
      <c r="C301" t="s">
        <v>300</v>
      </c>
      <c r="D301">
        <v>43983</v>
      </c>
      <c r="F301" t="s">
        <v>562</v>
      </c>
      <c r="G301" t="s">
        <v>317</v>
      </c>
      <c r="H301">
        <v>42.308</v>
      </c>
      <c r="I301" t="s">
        <v>274</v>
      </c>
    </row>
    <row r="302" spans="1:9" x14ac:dyDescent="0.35">
      <c r="A302" t="s">
        <v>302</v>
      </c>
      <c r="C302" t="s">
        <v>300</v>
      </c>
      <c r="D302">
        <v>43983</v>
      </c>
      <c r="F302" t="s">
        <v>563</v>
      </c>
      <c r="G302" t="s">
        <v>317</v>
      </c>
      <c r="H302">
        <v>1727.847</v>
      </c>
      <c r="I302" t="s">
        <v>273</v>
      </c>
    </row>
    <row r="303" spans="1:9" x14ac:dyDescent="0.35">
      <c r="A303" t="s">
        <v>302</v>
      </c>
      <c r="C303" t="s">
        <v>300</v>
      </c>
      <c r="D303">
        <v>43983</v>
      </c>
      <c r="F303" t="s">
        <v>563</v>
      </c>
      <c r="G303" t="s">
        <v>317</v>
      </c>
      <c r="H303">
        <v>191.983</v>
      </c>
      <c r="I303" t="s">
        <v>274</v>
      </c>
    </row>
    <row r="304" spans="1:9" x14ac:dyDescent="0.35">
      <c r="A304" t="s">
        <v>302</v>
      </c>
      <c r="C304" t="s">
        <v>300</v>
      </c>
      <c r="D304">
        <v>43983</v>
      </c>
      <c r="F304" t="s">
        <v>564</v>
      </c>
      <c r="G304" t="s">
        <v>317</v>
      </c>
      <c r="H304">
        <v>3662.2440000000001</v>
      </c>
      <c r="I304" t="s">
        <v>273</v>
      </c>
    </row>
    <row r="305" spans="1:9" x14ac:dyDescent="0.35">
      <c r="A305" t="s">
        <v>302</v>
      </c>
      <c r="C305" t="s">
        <v>300</v>
      </c>
      <c r="D305">
        <v>43983</v>
      </c>
      <c r="F305" t="s">
        <v>564</v>
      </c>
      <c r="G305" t="s">
        <v>317</v>
      </c>
      <c r="H305">
        <v>406.916</v>
      </c>
      <c r="I305" t="s">
        <v>274</v>
      </c>
    </row>
    <row r="306" spans="1:9" x14ac:dyDescent="0.35">
      <c r="A306" t="s">
        <v>302</v>
      </c>
      <c r="C306" t="s">
        <v>300</v>
      </c>
      <c r="D306">
        <v>43983</v>
      </c>
      <c r="F306" t="s">
        <v>565</v>
      </c>
      <c r="G306" t="s">
        <v>317</v>
      </c>
      <c r="H306">
        <v>5365.3860000000004</v>
      </c>
      <c r="I306" t="s">
        <v>273</v>
      </c>
    </row>
    <row r="307" spans="1:9" x14ac:dyDescent="0.35">
      <c r="A307" t="s">
        <v>302</v>
      </c>
      <c r="C307" t="s">
        <v>300</v>
      </c>
      <c r="D307">
        <v>43983</v>
      </c>
      <c r="F307" t="s">
        <v>565</v>
      </c>
      <c r="G307" t="s">
        <v>317</v>
      </c>
      <c r="H307">
        <v>596.154</v>
      </c>
      <c r="I307" t="s">
        <v>274</v>
      </c>
    </row>
    <row r="308" spans="1:9" x14ac:dyDescent="0.35">
      <c r="A308" t="s">
        <v>302</v>
      </c>
      <c r="C308" t="s">
        <v>300</v>
      </c>
      <c r="D308">
        <v>43983</v>
      </c>
      <c r="F308" t="s">
        <v>564</v>
      </c>
      <c r="G308" t="s">
        <v>317</v>
      </c>
      <c r="H308">
        <v>1727.847</v>
      </c>
      <c r="I308" t="s">
        <v>273</v>
      </c>
    </row>
    <row r="309" spans="1:9" x14ac:dyDescent="0.35">
      <c r="A309" t="s">
        <v>302</v>
      </c>
      <c r="C309" t="s">
        <v>300</v>
      </c>
      <c r="D309">
        <v>43983</v>
      </c>
      <c r="F309" t="s">
        <v>564</v>
      </c>
      <c r="G309" t="s">
        <v>317</v>
      </c>
      <c r="H309">
        <v>191.983</v>
      </c>
      <c r="I309" t="s">
        <v>274</v>
      </c>
    </row>
    <row r="310" spans="1:9" x14ac:dyDescent="0.35">
      <c r="A310" t="s">
        <v>302</v>
      </c>
      <c r="C310" t="s">
        <v>300</v>
      </c>
      <c r="D310">
        <v>43983</v>
      </c>
      <c r="F310" t="s">
        <v>563</v>
      </c>
      <c r="G310" t="s">
        <v>317</v>
      </c>
      <c r="H310">
        <v>1727.847</v>
      </c>
      <c r="I310" t="s">
        <v>273</v>
      </c>
    </row>
    <row r="311" spans="1:9" x14ac:dyDescent="0.35">
      <c r="A311" t="s">
        <v>302</v>
      </c>
      <c r="C311" t="s">
        <v>300</v>
      </c>
      <c r="D311">
        <v>43983</v>
      </c>
      <c r="F311" t="s">
        <v>563</v>
      </c>
      <c r="G311" t="s">
        <v>317</v>
      </c>
      <c r="H311">
        <v>191.983</v>
      </c>
      <c r="I311" t="s">
        <v>274</v>
      </c>
    </row>
    <row r="312" spans="1:9" x14ac:dyDescent="0.35">
      <c r="A312" t="s">
        <v>302</v>
      </c>
      <c r="C312" t="s">
        <v>300</v>
      </c>
      <c r="D312">
        <v>43983</v>
      </c>
      <c r="F312" t="s">
        <v>561</v>
      </c>
      <c r="G312" t="s">
        <v>335</v>
      </c>
      <c r="H312">
        <v>5.6786000000000003</v>
      </c>
      <c r="I312" t="s">
        <v>275</v>
      </c>
    </row>
    <row r="313" spans="1:9" x14ac:dyDescent="0.35">
      <c r="A313" t="s">
        <v>302</v>
      </c>
      <c r="C313" t="s">
        <v>300</v>
      </c>
      <c r="D313">
        <v>43983</v>
      </c>
      <c r="F313" t="s">
        <v>561</v>
      </c>
      <c r="G313" t="s">
        <v>335</v>
      </c>
      <c r="H313">
        <v>25.553699999999999</v>
      </c>
      <c r="I313" t="s">
        <v>271</v>
      </c>
    </row>
    <row r="314" spans="1:9" x14ac:dyDescent="0.35">
      <c r="A314" t="s">
        <v>302</v>
      </c>
      <c r="C314" t="s">
        <v>300</v>
      </c>
      <c r="D314">
        <v>43983</v>
      </c>
      <c r="F314" t="s">
        <v>561</v>
      </c>
      <c r="G314" t="s">
        <v>335</v>
      </c>
      <c r="H314">
        <v>252.6977</v>
      </c>
      <c r="I314" t="s">
        <v>202</v>
      </c>
    </row>
    <row r="315" spans="1:9" x14ac:dyDescent="0.35">
      <c r="A315" t="s">
        <v>302</v>
      </c>
      <c r="C315" t="s">
        <v>300</v>
      </c>
      <c r="D315">
        <v>43983</v>
      </c>
      <c r="F315" t="s">
        <v>562</v>
      </c>
      <c r="G315" t="s">
        <v>335</v>
      </c>
      <c r="H315">
        <v>5.6664000000000003</v>
      </c>
      <c r="I315" t="s">
        <v>275</v>
      </c>
    </row>
    <row r="316" spans="1:9" x14ac:dyDescent="0.35">
      <c r="A316" t="s">
        <v>302</v>
      </c>
      <c r="C316" t="s">
        <v>300</v>
      </c>
      <c r="D316">
        <v>43983</v>
      </c>
      <c r="F316" t="s">
        <v>562</v>
      </c>
      <c r="G316" t="s">
        <v>335</v>
      </c>
      <c r="H316">
        <v>25.498799999999999</v>
      </c>
      <c r="I316" t="s">
        <v>271</v>
      </c>
    </row>
    <row r="317" spans="1:9" x14ac:dyDescent="0.35">
      <c r="A317" t="s">
        <v>302</v>
      </c>
      <c r="C317" t="s">
        <v>300</v>
      </c>
      <c r="D317">
        <v>43983</v>
      </c>
      <c r="F317" t="s">
        <v>562</v>
      </c>
      <c r="G317" t="s">
        <v>335</v>
      </c>
      <c r="H317">
        <v>252.15479999999999</v>
      </c>
      <c r="I317" t="s">
        <v>202</v>
      </c>
    </row>
    <row r="318" spans="1:9" x14ac:dyDescent="0.35">
      <c r="A318" t="s">
        <v>302</v>
      </c>
      <c r="C318" t="s">
        <v>300</v>
      </c>
      <c r="D318">
        <v>43983</v>
      </c>
      <c r="F318" t="s">
        <v>563</v>
      </c>
      <c r="G318" t="s">
        <v>335</v>
      </c>
      <c r="H318">
        <v>21.624000000000002</v>
      </c>
      <c r="I318" t="s">
        <v>275</v>
      </c>
    </row>
    <row r="319" spans="1:9" x14ac:dyDescent="0.35">
      <c r="A319" t="s">
        <v>302</v>
      </c>
      <c r="C319" t="s">
        <v>300</v>
      </c>
      <c r="D319">
        <v>43983</v>
      </c>
      <c r="F319" t="s">
        <v>563</v>
      </c>
      <c r="G319" t="s">
        <v>335</v>
      </c>
      <c r="H319">
        <v>97.308000000000007</v>
      </c>
      <c r="I319" t="s">
        <v>271</v>
      </c>
    </row>
    <row r="320" spans="1:9" x14ac:dyDescent="0.35">
      <c r="A320" t="s">
        <v>302</v>
      </c>
      <c r="C320" t="s">
        <v>300</v>
      </c>
      <c r="D320">
        <v>43983</v>
      </c>
      <c r="F320" t="s">
        <v>563</v>
      </c>
      <c r="G320" t="s">
        <v>335</v>
      </c>
      <c r="H320">
        <v>962.26800000000003</v>
      </c>
      <c r="I320" t="s">
        <v>202</v>
      </c>
    </row>
    <row r="321" spans="1:9" x14ac:dyDescent="0.35">
      <c r="A321" t="s">
        <v>302</v>
      </c>
      <c r="C321" t="s">
        <v>300</v>
      </c>
      <c r="D321">
        <v>43983</v>
      </c>
      <c r="F321" t="s">
        <v>564</v>
      </c>
      <c r="G321" t="s">
        <v>335</v>
      </c>
      <c r="H321">
        <v>54.542200000000001</v>
      </c>
      <c r="I321" t="s">
        <v>275</v>
      </c>
    </row>
    <row r="322" spans="1:9" x14ac:dyDescent="0.35">
      <c r="A322" t="s">
        <v>302</v>
      </c>
      <c r="C322" t="s">
        <v>300</v>
      </c>
      <c r="D322">
        <v>43983</v>
      </c>
      <c r="F322" t="s">
        <v>564</v>
      </c>
      <c r="G322" t="s">
        <v>335</v>
      </c>
      <c r="H322">
        <v>245.43989999999999</v>
      </c>
      <c r="I322" t="s">
        <v>271</v>
      </c>
    </row>
    <row r="323" spans="1:9" x14ac:dyDescent="0.35">
      <c r="A323" t="s">
        <v>302</v>
      </c>
      <c r="C323" t="s">
        <v>300</v>
      </c>
      <c r="D323">
        <v>43983</v>
      </c>
      <c r="F323" t="s">
        <v>564</v>
      </c>
      <c r="G323" t="s">
        <v>335</v>
      </c>
      <c r="H323">
        <v>2427.1279</v>
      </c>
      <c r="I323" t="s">
        <v>202</v>
      </c>
    </row>
    <row r="324" spans="1:9" x14ac:dyDescent="0.35">
      <c r="A324" t="s">
        <v>302</v>
      </c>
      <c r="C324" t="s">
        <v>300</v>
      </c>
      <c r="D324">
        <v>43983</v>
      </c>
      <c r="F324" t="s">
        <v>565</v>
      </c>
      <c r="G324" t="s">
        <v>335</v>
      </c>
      <c r="H324">
        <v>76.153999999999996</v>
      </c>
      <c r="I324" t="s">
        <v>275</v>
      </c>
    </row>
    <row r="325" spans="1:9" x14ac:dyDescent="0.35">
      <c r="A325" t="s">
        <v>302</v>
      </c>
      <c r="C325" t="s">
        <v>300</v>
      </c>
      <c r="D325">
        <v>43983</v>
      </c>
      <c r="F325" t="s">
        <v>565</v>
      </c>
      <c r="G325" t="s">
        <v>335</v>
      </c>
      <c r="H325">
        <v>342.69299999999998</v>
      </c>
      <c r="I325" t="s">
        <v>271</v>
      </c>
    </row>
    <row r="326" spans="1:9" x14ac:dyDescent="0.35">
      <c r="A326" t="s">
        <v>302</v>
      </c>
      <c r="C326" t="s">
        <v>300</v>
      </c>
      <c r="D326">
        <v>43983</v>
      </c>
      <c r="F326" t="s">
        <v>565</v>
      </c>
      <c r="G326" t="s">
        <v>335</v>
      </c>
      <c r="H326">
        <v>3388.8530000000001</v>
      </c>
      <c r="I326" t="s">
        <v>202</v>
      </c>
    </row>
    <row r="327" spans="1:9" x14ac:dyDescent="0.35">
      <c r="A327" t="s">
        <v>302</v>
      </c>
      <c r="C327" t="s">
        <v>300</v>
      </c>
      <c r="D327">
        <v>43983</v>
      </c>
      <c r="F327" t="s">
        <v>564</v>
      </c>
      <c r="G327" t="s">
        <v>335</v>
      </c>
      <c r="H327">
        <v>21.624000000000002</v>
      </c>
      <c r="I327" t="s">
        <v>275</v>
      </c>
    </row>
    <row r="328" spans="1:9" x14ac:dyDescent="0.35">
      <c r="A328" t="s">
        <v>302</v>
      </c>
      <c r="C328" t="s">
        <v>300</v>
      </c>
      <c r="D328">
        <v>43983</v>
      </c>
      <c r="F328" t="s">
        <v>564</v>
      </c>
      <c r="G328" t="s">
        <v>335</v>
      </c>
      <c r="H328">
        <v>97.308000000000007</v>
      </c>
      <c r="I328" t="s">
        <v>271</v>
      </c>
    </row>
    <row r="329" spans="1:9" x14ac:dyDescent="0.35">
      <c r="A329" t="s">
        <v>302</v>
      </c>
      <c r="C329" t="s">
        <v>300</v>
      </c>
      <c r="D329">
        <v>43983</v>
      </c>
      <c r="F329" t="s">
        <v>564</v>
      </c>
      <c r="G329" t="s">
        <v>335</v>
      </c>
      <c r="H329">
        <v>962.26800000000003</v>
      </c>
      <c r="I329" t="s">
        <v>202</v>
      </c>
    </row>
    <row r="330" spans="1:9" x14ac:dyDescent="0.35">
      <c r="A330" t="s">
        <v>302</v>
      </c>
      <c r="C330" t="s">
        <v>300</v>
      </c>
      <c r="D330">
        <v>43983</v>
      </c>
      <c r="F330" t="s">
        <v>563</v>
      </c>
      <c r="G330" t="s">
        <v>335</v>
      </c>
      <c r="H330">
        <v>21.624000000000002</v>
      </c>
      <c r="I330" t="s">
        <v>275</v>
      </c>
    </row>
    <row r="331" spans="1:9" x14ac:dyDescent="0.35">
      <c r="A331" t="s">
        <v>302</v>
      </c>
      <c r="C331" t="s">
        <v>300</v>
      </c>
      <c r="D331">
        <v>43983</v>
      </c>
      <c r="F331" t="s">
        <v>563</v>
      </c>
      <c r="G331" t="s">
        <v>335</v>
      </c>
      <c r="H331">
        <v>97.308000000000007</v>
      </c>
      <c r="I331" t="s">
        <v>271</v>
      </c>
    </row>
    <row r="332" spans="1:9" x14ac:dyDescent="0.35">
      <c r="A332" t="s">
        <v>302</v>
      </c>
      <c r="C332" t="s">
        <v>300</v>
      </c>
      <c r="D332">
        <v>43983</v>
      </c>
      <c r="F332" t="s">
        <v>563</v>
      </c>
      <c r="G332" t="s">
        <v>335</v>
      </c>
      <c r="H332">
        <v>962.26800000000003</v>
      </c>
      <c r="I332" t="s">
        <v>202</v>
      </c>
    </row>
    <row r="333" spans="1:9" x14ac:dyDescent="0.35">
      <c r="A333" t="s">
        <v>302</v>
      </c>
      <c r="C333" t="s">
        <v>300</v>
      </c>
      <c r="D333">
        <v>43983</v>
      </c>
      <c r="F333" t="s">
        <v>561</v>
      </c>
      <c r="G333" t="s">
        <v>330</v>
      </c>
      <c r="H333">
        <v>46.622000000000007</v>
      </c>
      <c r="I333" t="s">
        <v>260</v>
      </c>
    </row>
    <row r="334" spans="1:9" x14ac:dyDescent="0.35">
      <c r="A334" t="s">
        <v>302</v>
      </c>
      <c r="C334" t="s">
        <v>300</v>
      </c>
      <c r="D334">
        <v>43983</v>
      </c>
      <c r="F334" t="s">
        <v>561</v>
      </c>
      <c r="G334" t="s">
        <v>330</v>
      </c>
      <c r="H334">
        <v>55.946400000000004</v>
      </c>
      <c r="I334" t="s">
        <v>262</v>
      </c>
    </row>
    <row r="335" spans="1:9" x14ac:dyDescent="0.35">
      <c r="A335" t="s">
        <v>302</v>
      </c>
      <c r="C335" t="s">
        <v>300</v>
      </c>
      <c r="D335">
        <v>43983</v>
      </c>
      <c r="F335" t="s">
        <v>561</v>
      </c>
      <c r="G335" t="s">
        <v>330</v>
      </c>
      <c r="H335">
        <v>0</v>
      </c>
      <c r="I335" t="s">
        <v>264</v>
      </c>
    </row>
    <row r="336" spans="1:9" x14ac:dyDescent="0.35">
      <c r="A336" t="s">
        <v>302</v>
      </c>
      <c r="C336" t="s">
        <v>300</v>
      </c>
      <c r="D336">
        <v>43983</v>
      </c>
      <c r="F336" t="s">
        <v>561</v>
      </c>
      <c r="G336" t="s">
        <v>330</v>
      </c>
      <c r="H336">
        <v>11.655500000000002</v>
      </c>
      <c r="I336" t="s">
        <v>265</v>
      </c>
    </row>
    <row r="337" spans="1:9" x14ac:dyDescent="0.35">
      <c r="A337" t="s">
        <v>302</v>
      </c>
      <c r="C337" t="s">
        <v>300</v>
      </c>
      <c r="D337">
        <v>43983</v>
      </c>
      <c r="F337" t="s">
        <v>561</v>
      </c>
      <c r="G337" t="s">
        <v>330</v>
      </c>
      <c r="H337">
        <v>9.3244000000000007</v>
      </c>
      <c r="I337" t="s">
        <v>266</v>
      </c>
    </row>
    <row r="338" spans="1:9" x14ac:dyDescent="0.35">
      <c r="A338" t="s">
        <v>302</v>
      </c>
      <c r="C338" t="s">
        <v>300</v>
      </c>
      <c r="D338">
        <v>43983</v>
      </c>
      <c r="F338" t="s">
        <v>561</v>
      </c>
      <c r="G338" t="s">
        <v>330</v>
      </c>
      <c r="H338">
        <v>4.6622000000000003</v>
      </c>
      <c r="I338" t="s">
        <v>267</v>
      </c>
    </row>
    <row r="339" spans="1:9" x14ac:dyDescent="0.35">
      <c r="A339" t="s">
        <v>302</v>
      </c>
      <c r="C339" t="s">
        <v>300</v>
      </c>
      <c r="D339">
        <v>43983</v>
      </c>
      <c r="F339" t="s">
        <v>561</v>
      </c>
      <c r="G339" t="s">
        <v>330</v>
      </c>
      <c r="H339">
        <v>13.986600000000001</v>
      </c>
      <c r="I339" t="s">
        <v>268</v>
      </c>
    </row>
    <row r="340" spans="1:9" x14ac:dyDescent="0.35">
      <c r="A340" t="s">
        <v>302</v>
      </c>
      <c r="C340" t="s">
        <v>300</v>
      </c>
      <c r="D340">
        <v>43983</v>
      </c>
      <c r="F340" t="s">
        <v>561</v>
      </c>
      <c r="G340" t="s">
        <v>330</v>
      </c>
      <c r="H340">
        <v>90.912900000000008</v>
      </c>
      <c r="I340" t="s">
        <v>269</v>
      </c>
    </row>
    <row r="341" spans="1:9" x14ac:dyDescent="0.35">
      <c r="A341" t="s">
        <v>302</v>
      </c>
      <c r="C341" t="s">
        <v>300</v>
      </c>
      <c r="D341">
        <v>43983</v>
      </c>
      <c r="F341" t="s">
        <v>561</v>
      </c>
      <c r="G341" t="s">
        <v>330</v>
      </c>
      <c r="H341">
        <v>0</v>
      </c>
      <c r="I341" t="s">
        <v>270</v>
      </c>
    </row>
    <row r="342" spans="1:9" x14ac:dyDescent="0.35">
      <c r="A342" t="s">
        <v>302</v>
      </c>
      <c r="C342" t="s">
        <v>300</v>
      </c>
      <c r="D342">
        <v>43983</v>
      </c>
      <c r="F342" t="s">
        <v>562</v>
      </c>
      <c r="G342" t="s">
        <v>330</v>
      </c>
      <c r="H342">
        <v>100.652</v>
      </c>
      <c r="I342" t="s">
        <v>260</v>
      </c>
    </row>
    <row r="343" spans="1:9" x14ac:dyDescent="0.35">
      <c r="A343" t="s">
        <v>302</v>
      </c>
      <c r="C343" t="s">
        <v>300</v>
      </c>
      <c r="D343">
        <v>43983</v>
      </c>
      <c r="F343" t="s">
        <v>562</v>
      </c>
      <c r="G343" t="s">
        <v>330</v>
      </c>
      <c r="H343">
        <v>120.7824</v>
      </c>
      <c r="I343" t="s">
        <v>262</v>
      </c>
    </row>
    <row r="344" spans="1:9" x14ac:dyDescent="0.35">
      <c r="A344" t="s">
        <v>302</v>
      </c>
      <c r="C344" t="s">
        <v>300</v>
      </c>
      <c r="D344">
        <v>43983</v>
      </c>
      <c r="F344" t="s">
        <v>562</v>
      </c>
      <c r="G344" t="s">
        <v>330</v>
      </c>
      <c r="H344">
        <v>0</v>
      </c>
      <c r="I344" t="s">
        <v>264</v>
      </c>
    </row>
    <row r="345" spans="1:9" x14ac:dyDescent="0.35">
      <c r="A345" t="s">
        <v>302</v>
      </c>
      <c r="C345" t="s">
        <v>300</v>
      </c>
      <c r="D345">
        <v>43983</v>
      </c>
      <c r="F345" t="s">
        <v>562</v>
      </c>
      <c r="G345" t="s">
        <v>330</v>
      </c>
      <c r="H345">
        <v>25.163</v>
      </c>
      <c r="I345" t="s">
        <v>265</v>
      </c>
    </row>
    <row r="346" spans="1:9" x14ac:dyDescent="0.35">
      <c r="A346" t="s">
        <v>302</v>
      </c>
      <c r="C346" t="s">
        <v>300</v>
      </c>
      <c r="D346">
        <v>43983</v>
      </c>
      <c r="F346" t="s">
        <v>562</v>
      </c>
      <c r="G346" t="s">
        <v>330</v>
      </c>
      <c r="H346">
        <v>20.130400000000002</v>
      </c>
      <c r="I346" t="s">
        <v>266</v>
      </c>
    </row>
    <row r="347" spans="1:9" x14ac:dyDescent="0.35">
      <c r="A347" t="s">
        <v>302</v>
      </c>
      <c r="C347" t="s">
        <v>300</v>
      </c>
      <c r="D347">
        <v>43983</v>
      </c>
      <c r="F347" t="s">
        <v>562</v>
      </c>
      <c r="G347" t="s">
        <v>330</v>
      </c>
      <c r="H347">
        <v>10.065200000000001</v>
      </c>
      <c r="I347" t="s">
        <v>267</v>
      </c>
    </row>
    <row r="348" spans="1:9" x14ac:dyDescent="0.35">
      <c r="A348" t="s">
        <v>302</v>
      </c>
      <c r="C348" t="s">
        <v>300</v>
      </c>
      <c r="D348">
        <v>43983</v>
      </c>
      <c r="F348" t="s">
        <v>562</v>
      </c>
      <c r="G348" t="s">
        <v>330</v>
      </c>
      <c r="H348">
        <v>30.195599999999999</v>
      </c>
      <c r="I348" t="s">
        <v>268</v>
      </c>
    </row>
    <row r="349" spans="1:9" x14ac:dyDescent="0.35">
      <c r="A349" t="s">
        <v>302</v>
      </c>
      <c r="C349" t="s">
        <v>300</v>
      </c>
      <c r="D349">
        <v>43983</v>
      </c>
      <c r="F349" t="s">
        <v>562</v>
      </c>
      <c r="G349" t="s">
        <v>330</v>
      </c>
      <c r="H349">
        <v>196.2714</v>
      </c>
      <c r="I349" t="s">
        <v>269</v>
      </c>
    </row>
    <row r="350" spans="1:9" x14ac:dyDescent="0.35">
      <c r="A350" t="s">
        <v>302</v>
      </c>
      <c r="C350" t="s">
        <v>300</v>
      </c>
      <c r="D350">
        <v>43983</v>
      </c>
      <c r="F350" t="s">
        <v>562</v>
      </c>
      <c r="G350" t="s">
        <v>330</v>
      </c>
      <c r="H350">
        <v>0</v>
      </c>
      <c r="I350" t="s">
        <v>270</v>
      </c>
    </row>
    <row r="351" spans="1:9" x14ac:dyDescent="0.35">
      <c r="A351" t="s">
        <v>302</v>
      </c>
      <c r="C351" t="s">
        <v>300</v>
      </c>
      <c r="D351">
        <v>43983</v>
      </c>
      <c r="F351" t="s">
        <v>563</v>
      </c>
      <c r="G351" t="s">
        <v>330</v>
      </c>
      <c r="H351">
        <v>190.09000000000003</v>
      </c>
      <c r="I351" t="s">
        <v>260</v>
      </c>
    </row>
    <row r="352" spans="1:9" x14ac:dyDescent="0.35">
      <c r="A352" t="s">
        <v>302</v>
      </c>
      <c r="C352" t="s">
        <v>300</v>
      </c>
      <c r="D352">
        <v>43983</v>
      </c>
      <c r="F352" t="s">
        <v>563</v>
      </c>
      <c r="G352" t="s">
        <v>330</v>
      </c>
      <c r="H352">
        <v>228.108</v>
      </c>
      <c r="I352" t="s">
        <v>262</v>
      </c>
    </row>
    <row r="353" spans="1:9" x14ac:dyDescent="0.35">
      <c r="A353" t="s">
        <v>302</v>
      </c>
      <c r="C353" t="s">
        <v>300</v>
      </c>
      <c r="D353">
        <v>43983</v>
      </c>
      <c r="F353" t="s">
        <v>563</v>
      </c>
      <c r="G353" t="s">
        <v>330</v>
      </c>
      <c r="H353">
        <v>0</v>
      </c>
      <c r="I353" t="s">
        <v>264</v>
      </c>
    </row>
    <row r="354" spans="1:9" x14ac:dyDescent="0.35">
      <c r="A354" t="s">
        <v>302</v>
      </c>
      <c r="C354" t="s">
        <v>300</v>
      </c>
      <c r="D354">
        <v>43983</v>
      </c>
      <c r="F354" t="s">
        <v>563</v>
      </c>
      <c r="G354" t="s">
        <v>330</v>
      </c>
      <c r="H354">
        <v>47.522500000000008</v>
      </c>
      <c r="I354" t="s">
        <v>265</v>
      </c>
    </row>
    <row r="355" spans="1:9" x14ac:dyDescent="0.35">
      <c r="A355" t="s">
        <v>302</v>
      </c>
      <c r="C355" t="s">
        <v>300</v>
      </c>
      <c r="D355">
        <v>43983</v>
      </c>
      <c r="F355" t="s">
        <v>563</v>
      </c>
      <c r="G355" t="s">
        <v>330</v>
      </c>
      <c r="H355">
        <v>38.018000000000001</v>
      </c>
      <c r="I355" t="s">
        <v>266</v>
      </c>
    </row>
    <row r="356" spans="1:9" x14ac:dyDescent="0.35">
      <c r="A356" t="s">
        <v>302</v>
      </c>
      <c r="C356" t="s">
        <v>300</v>
      </c>
      <c r="D356">
        <v>43983</v>
      </c>
      <c r="F356" t="s">
        <v>563</v>
      </c>
      <c r="G356" t="s">
        <v>330</v>
      </c>
      <c r="H356">
        <v>19.009</v>
      </c>
      <c r="I356" t="s">
        <v>267</v>
      </c>
    </row>
    <row r="357" spans="1:9" x14ac:dyDescent="0.35">
      <c r="A357" t="s">
        <v>302</v>
      </c>
      <c r="C357" t="s">
        <v>300</v>
      </c>
      <c r="D357">
        <v>43983</v>
      </c>
      <c r="F357" t="s">
        <v>563</v>
      </c>
      <c r="G357" t="s">
        <v>330</v>
      </c>
      <c r="H357">
        <v>57.027000000000001</v>
      </c>
      <c r="I357" t="s">
        <v>268</v>
      </c>
    </row>
    <row r="358" spans="1:9" x14ac:dyDescent="0.35">
      <c r="A358" t="s">
        <v>302</v>
      </c>
      <c r="C358" t="s">
        <v>300</v>
      </c>
      <c r="D358">
        <v>43983</v>
      </c>
      <c r="F358" t="s">
        <v>563</v>
      </c>
      <c r="G358" t="s">
        <v>330</v>
      </c>
      <c r="H358">
        <v>370.67550000000006</v>
      </c>
      <c r="I358" t="s">
        <v>269</v>
      </c>
    </row>
    <row r="359" spans="1:9" x14ac:dyDescent="0.35">
      <c r="A359" t="s">
        <v>302</v>
      </c>
      <c r="C359" t="s">
        <v>300</v>
      </c>
      <c r="D359">
        <v>43983</v>
      </c>
      <c r="F359" t="s">
        <v>563</v>
      </c>
      <c r="G359" t="s">
        <v>330</v>
      </c>
      <c r="H359">
        <v>0</v>
      </c>
      <c r="I359" t="s">
        <v>270</v>
      </c>
    </row>
    <row r="360" spans="1:9" x14ac:dyDescent="0.35">
      <c r="A360" t="s">
        <v>302</v>
      </c>
      <c r="C360" t="s">
        <v>300</v>
      </c>
      <c r="D360">
        <v>43983</v>
      </c>
      <c r="F360" t="s">
        <v>564</v>
      </c>
      <c r="G360" t="s">
        <v>330</v>
      </c>
      <c r="H360">
        <v>386.65000000000003</v>
      </c>
      <c r="I360" t="s">
        <v>260</v>
      </c>
    </row>
    <row r="361" spans="1:9" x14ac:dyDescent="0.35">
      <c r="A361" t="s">
        <v>302</v>
      </c>
      <c r="C361" t="s">
        <v>300</v>
      </c>
      <c r="D361">
        <v>43983</v>
      </c>
      <c r="F361" t="s">
        <v>564</v>
      </c>
      <c r="G361" t="s">
        <v>330</v>
      </c>
      <c r="H361">
        <v>463.97999999999996</v>
      </c>
      <c r="I361" t="s">
        <v>262</v>
      </c>
    </row>
    <row r="362" spans="1:9" x14ac:dyDescent="0.35">
      <c r="A362" t="s">
        <v>302</v>
      </c>
      <c r="C362" t="s">
        <v>300</v>
      </c>
      <c r="D362">
        <v>43983</v>
      </c>
      <c r="F362" t="s">
        <v>564</v>
      </c>
      <c r="G362" t="s">
        <v>330</v>
      </c>
      <c r="H362">
        <v>0</v>
      </c>
      <c r="I362" t="s">
        <v>264</v>
      </c>
    </row>
    <row r="363" spans="1:9" x14ac:dyDescent="0.35">
      <c r="A363" t="s">
        <v>302</v>
      </c>
      <c r="C363" t="s">
        <v>300</v>
      </c>
      <c r="D363">
        <v>43983</v>
      </c>
      <c r="F363" t="s">
        <v>564</v>
      </c>
      <c r="G363" t="s">
        <v>330</v>
      </c>
      <c r="H363">
        <v>96.662500000000009</v>
      </c>
      <c r="I363" t="s">
        <v>265</v>
      </c>
    </row>
    <row r="364" spans="1:9" x14ac:dyDescent="0.35">
      <c r="A364" t="s">
        <v>302</v>
      </c>
      <c r="C364" t="s">
        <v>300</v>
      </c>
      <c r="D364">
        <v>43983</v>
      </c>
      <c r="F364" t="s">
        <v>564</v>
      </c>
      <c r="G364" t="s">
        <v>330</v>
      </c>
      <c r="H364">
        <v>77.33</v>
      </c>
      <c r="I364" t="s">
        <v>266</v>
      </c>
    </row>
    <row r="365" spans="1:9" x14ac:dyDescent="0.35">
      <c r="A365" t="s">
        <v>302</v>
      </c>
      <c r="C365" t="s">
        <v>300</v>
      </c>
      <c r="D365">
        <v>43983</v>
      </c>
      <c r="F365" t="s">
        <v>564</v>
      </c>
      <c r="G365" t="s">
        <v>330</v>
      </c>
      <c r="H365">
        <v>38.664999999999999</v>
      </c>
      <c r="I365" t="s">
        <v>267</v>
      </c>
    </row>
    <row r="366" spans="1:9" x14ac:dyDescent="0.35">
      <c r="A366" t="s">
        <v>302</v>
      </c>
      <c r="C366" t="s">
        <v>300</v>
      </c>
      <c r="D366">
        <v>43983</v>
      </c>
      <c r="F366" t="s">
        <v>564</v>
      </c>
      <c r="G366" t="s">
        <v>330</v>
      </c>
      <c r="H366">
        <v>115.99499999999999</v>
      </c>
      <c r="I366" t="s">
        <v>268</v>
      </c>
    </row>
    <row r="367" spans="1:9" x14ac:dyDescent="0.35">
      <c r="A367" t="s">
        <v>302</v>
      </c>
      <c r="C367" t="s">
        <v>300</v>
      </c>
      <c r="D367">
        <v>43983</v>
      </c>
      <c r="F367" t="s">
        <v>564</v>
      </c>
      <c r="G367" t="s">
        <v>330</v>
      </c>
      <c r="H367">
        <v>753.96749999999997</v>
      </c>
      <c r="I367" t="s">
        <v>269</v>
      </c>
    </row>
    <row r="368" spans="1:9" x14ac:dyDescent="0.35">
      <c r="A368" t="s">
        <v>302</v>
      </c>
      <c r="C368" t="s">
        <v>300</v>
      </c>
      <c r="D368">
        <v>43983</v>
      </c>
      <c r="F368" t="s">
        <v>564</v>
      </c>
      <c r="G368" t="s">
        <v>330</v>
      </c>
      <c r="H368">
        <v>0</v>
      </c>
      <c r="I368" t="s">
        <v>270</v>
      </c>
    </row>
    <row r="369" spans="1:9" x14ac:dyDescent="0.35">
      <c r="A369" t="s">
        <v>302</v>
      </c>
      <c r="C369" t="s">
        <v>300</v>
      </c>
      <c r="D369">
        <v>43983</v>
      </c>
      <c r="F369" t="s">
        <v>565</v>
      </c>
      <c r="G369" t="s">
        <v>330</v>
      </c>
      <c r="H369">
        <v>630.77</v>
      </c>
      <c r="I369" t="s">
        <v>260</v>
      </c>
    </row>
    <row r="370" spans="1:9" x14ac:dyDescent="0.35">
      <c r="A370" t="s">
        <v>302</v>
      </c>
      <c r="C370" t="s">
        <v>300</v>
      </c>
      <c r="D370">
        <v>43983</v>
      </c>
      <c r="F370" t="s">
        <v>565</v>
      </c>
      <c r="G370" t="s">
        <v>330</v>
      </c>
      <c r="H370">
        <v>756.92399999999998</v>
      </c>
      <c r="I370" t="s">
        <v>262</v>
      </c>
    </row>
    <row r="371" spans="1:9" x14ac:dyDescent="0.35">
      <c r="A371" t="s">
        <v>302</v>
      </c>
      <c r="C371" t="s">
        <v>300</v>
      </c>
      <c r="D371">
        <v>43983</v>
      </c>
      <c r="F371" t="s">
        <v>565</v>
      </c>
      <c r="G371" t="s">
        <v>330</v>
      </c>
      <c r="H371">
        <v>0</v>
      </c>
      <c r="I371" t="s">
        <v>264</v>
      </c>
    </row>
    <row r="372" spans="1:9" x14ac:dyDescent="0.35">
      <c r="A372" t="s">
        <v>302</v>
      </c>
      <c r="C372" t="s">
        <v>300</v>
      </c>
      <c r="D372">
        <v>43983</v>
      </c>
      <c r="F372" t="s">
        <v>565</v>
      </c>
      <c r="G372" t="s">
        <v>330</v>
      </c>
      <c r="H372">
        <v>157.6925</v>
      </c>
      <c r="I372" t="s">
        <v>265</v>
      </c>
    </row>
    <row r="373" spans="1:9" x14ac:dyDescent="0.35">
      <c r="A373" t="s">
        <v>302</v>
      </c>
      <c r="C373" t="s">
        <v>300</v>
      </c>
      <c r="D373">
        <v>43983</v>
      </c>
      <c r="F373" t="s">
        <v>565</v>
      </c>
      <c r="G373" t="s">
        <v>330</v>
      </c>
      <c r="H373">
        <v>126.154</v>
      </c>
      <c r="I373" t="s">
        <v>266</v>
      </c>
    </row>
    <row r="374" spans="1:9" x14ac:dyDescent="0.35">
      <c r="A374" t="s">
        <v>302</v>
      </c>
      <c r="C374" t="s">
        <v>300</v>
      </c>
      <c r="D374">
        <v>43983</v>
      </c>
      <c r="F374" t="s">
        <v>565</v>
      </c>
      <c r="G374" t="s">
        <v>330</v>
      </c>
      <c r="H374">
        <v>63.076999999999998</v>
      </c>
      <c r="I374" t="s">
        <v>267</v>
      </c>
    </row>
    <row r="375" spans="1:9" x14ac:dyDescent="0.35">
      <c r="A375" t="s">
        <v>302</v>
      </c>
      <c r="C375" t="s">
        <v>300</v>
      </c>
      <c r="D375">
        <v>43983</v>
      </c>
      <c r="F375" t="s">
        <v>565</v>
      </c>
      <c r="G375" t="s">
        <v>330</v>
      </c>
      <c r="H375">
        <v>189.23099999999999</v>
      </c>
      <c r="I375" t="s">
        <v>268</v>
      </c>
    </row>
    <row r="376" spans="1:9" x14ac:dyDescent="0.35">
      <c r="A376" t="s">
        <v>302</v>
      </c>
      <c r="C376" t="s">
        <v>300</v>
      </c>
      <c r="D376">
        <v>43983</v>
      </c>
      <c r="F376" t="s">
        <v>565</v>
      </c>
      <c r="G376" t="s">
        <v>330</v>
      </c>
      <c r="H376">
        <v>1230.0015000000001</v>
      </c>
      <c r="I376" t="s">
        <v>269</v>
      </c>
    </row>
    <row r="377" spans="1:9" x14ac:dyDescent="0.35">
      <c r="A377" t="s">
        <v>302</v>
      </c>
      <c r="C377" t="s">
        <v>300</v>
      </c>
      <c r="D377">
        <v>43983</v>
      </c>
      <c r="F377" t="s">
        <v>565</v>
      </c>
      <c r="G377" t="s">
        <v>330</v>
      </c>
      <c r="H377">
        <v>0</v>
      </c>
      <c r="I377" t="s">
        <v>270</v>
      </c>
    </row>
    <row r="378" spans="1:9" x14ac:dyDescent="0.35">
      <c r="A378" t="s">
        <v>302</v>
      </c>
      <c r="C378" t="s">
        <v>300</v>
      </c>
      <c r="D378">
        <v>43983</v>
      </c>
      <c r="F378" t="s">
        <v>564</v>
      </c>
      <c r="G378" t="s">
        <v>330</v>
      </c>
      <c r="H378">
        <v>190.09000000000003</v>
      </c>
      <c r="I378" t="s">
        <v>260</v>
      </c>
    </row>
    <row r="379" spans="1:9" x14ac:dyDescent="0.35">
      <c r="A379" t="s">
        <v>302</v>
      </c>
      <c r="C379" t="s">
        <v>300</v>
      </c>
      <c r="D379">
        <v>43983</v>
      </c>
      <c r="F379" t="s">
        <v>564</v>
      </c>
      <c r="G379" t="s">
        <v>330</v>
      </c>
      <c r="H379">
        <v>228.108</v>
      </c>
      <c r="I379" t="s">
        <v>262</v>
      </c>
    </row>
    <row r="380" spans="1:9" x14ac:dyDescent="0.35">
      <c r="A380" t="s">
        <v>302</v>
      </c>
      <c r="C380" t="s">
        <v>300</v>
      </c>
      <c r="D380">
        <v>43983</v>
      </c>
      <c r="F380" t="s">
        <v>564</v>
      </c>
      <c r="G380" t="s">
        <v>330</v>
      </c>
      <c r="H380">
        <v>0</v>
      </c>
      <c r="I380" t="s">
        <v>264</v>
      </c>
    </row>
    <row r="381" spans="1:9" x14ac:dyDescent="0.35">
      <c r="A381" t="s">
        <v>302</v>
      </c>
      <c r="C381" t="s">
        <v>300</v>
      </c>
      <c r="D381">
        <v>43983</v>
      </c>
      <c r="F381" t="s">
        <v>564</v>
      </c>
      <c r="G381" t="s">
        <v>330</v>
      </c>
      <c r="H381">
        <v>47.522500000000008</v>
      </c>
      <c r="I381" t="s">
        <v>265</v>
      </c>
    </row>
    <row r="382" spans="1:9" x14ac:dyDescent="0.35">
      <c r="A382" t="s">
        <v>302</v>
      </c>
      <c r="C382" t="s">
        <v>300</v>
      </c>
      <c r="D382">
        <v>43983</v>
      </c>
      <c r="F382" t="s">
        <v>564</v>
      </c>
      <c r="G382" t="s">
        <v>330</v>
      </c>
      <c r="H382">
        <v>38.018000000000001</v>
      </c>
      <c r="I382" t="s">
        <v>266</v>
      </c>
    </row>
    <row r="383" spans="1:9" x14ac:dyDescent="0.35">
      <c r="A383" t="s">
        <v>302</v>
      </c>
      <c r="C383" t="s">
        <v>300</v>
      </c>
      <c r="D383">
        <v>43983</v>
      </c>
      <c r="F383" t="s">
        <v>564</v>
      </c>
      <c r="G383" t="s">
        <v>330</v>
      </c>
      <c r="H383">
        <v>19.009</v>
      </c>
      <c r="I383" t="s">
        <v>267</v>
      </c>
    </row>
    <row r="384" spans="1:9" x14ac:dyDescent="0.35">
      <c r="A384" t="s">
        <v>302</v>
      </c>
      <c r="C384" t="s">
        <v>300</v>
      </c>
      <c r="D384">
        <v>43983</v>
      </c>
      <c r="F384" t="s">
        <v>564</v>
      </c>
      <c r="G384" t="s">
        <v>330</v>
      </c>
      <c r="H384">
        <v>57.027000000000001</v>
      </c>
      <c r="I384" t="s">
        <v>268</v>
      </c>
    </row>
    <row r="385" spans="1:9" x14ac:dyDescent="0.35">
      <c r="A385" t="s">
        <v>302</v>
      </c>
      <c r="C385" t="s">
        <v>300</v>
      </c>
      <c r="D385">
        <v>43983</v>
      </c>
      <c r="F385" t="s">
        <v>564</v>
      </c>
      <c r="G385" t="s">
        <v>330</v>
      </c>
      <c r="H385">
        <v>370.67550000000006</v>
      </c>
      <c r="I385" t="s">
        <v>269</v>
      </c>
    </row>
    <row r="386" spans="1:9" x14ac:dyDescent="0.35">
      <c r="A386" t="s">
        <v>302</v>
      </c>
      <c r="C386" t="s">
        <v>300</v>
      </c>
      <c r="D386">
        <v>43983</v>
      </c>
      <c r="F386" t="s">
        <v>564</v>
      </c>
      <c r="G386" t="s">
        <v>330</v>
      </c>
      <c r="H386">
        <v>0</v>
      </c>
      <c r="I386" t="s">
        <v>270</v>
      </c>
    </row>
    <row r="387" spans="1:9" x14ac:dyDescent="0.35">
      <c r="A387" t="s">
        <v>302</v>
      </c>
      <c r="C387" t="s">
        <v>300</v>
      </c>
      <c r="D387">
        <v>43983</v>
      </c>
      <c r="F387" t="s">
        <v>563</v>
      </c>
      <c r="G387" t="s">
        <v>330</v>
      </c>
      <c r="H387">
        <v>190.09000000000003</v>
      </c>
      <c r="I387" t="s">
        <v>260</v>
      </c>
    </row>
    <row r="388" spans="1:9" x14ac:dyDescent="0.35">
      <c r="A388" t="s">
        <v>302</v>
      </c>
      <c r="C388" t="s">
        <v>300</v>
      </c>
      <c r="D388">
        <v>43983</v>
      </c>
      <c r="F388" t="s">
        <v>563</v>
      </c>
      <c r="G388" t="s">
        <v>330</v>
      </c>
      <c r="H388">
        <v>228.108</v>
      </c>
      <c r="I388" t="s">
        <v>262</v>
      </c>
    </row>
    <row r="389" spans="1:9" x14ac:dyDescent="0.35">
      <c r="A389" t="s">
        <v>302</v>
      </c>
      <c r="C389" t="s">
        <v>300</v>
      </c>
      <c r="D389">
        <v>43983</v>
      </c>
      <c r="F389" t="s">
        <v>563</v>
      </c>
      <c r="G389" t="s">
        <v>330</v>
      </c>
      <c r="H389">
        <v>0</v>
      </c>
      <c r="I389" t="s">
        <v>264</v>
      </c>
    </row>
    <row r="390" spans="1:9" x14ac:dyDescent="0.35">
      <c r="A390" t="s">
        <v>302</v>
      </c>
      <c r="C390" t="s">
        <v>300</v>
      </c>
      <c r="D390">
        <v>43983</v>
      </c>
      <c r="F390" t="s">
        <v>563</v>
      </c>
      <c r="G390" t="s">
        <v>330</v>
      </c>
      <c r="H390">
        <v>47.522500000000008</v>
      </c>
      <c r="I390" t="s">
        <v>265</v>
      </c>
    </row>
    <row r="391" spans="1:9" x14ac:dyDescent="0.35">
      <c r="A391" t="s">
        <v>302</v>
      </c>
      <c r="C391" t="s">
        <v>300</v>
      </c>
      <c r="D391">
        <v>43983</v>
      </c>
      <c r="F391" t="s">
        <v>563</v>
      </c>
      <c r="G391" t="s">
        <v>330</v>
      </c>
      <c r="H391">
        <v>38.018000000000001</v>
      </c>
      <c r="I391" t="s">
        <v>266</v>
      </c>
    </row>
    <row r="392" spans="1:9" x14ac:dyDescent="0.35">
      <c r="A392" t="s">
        <v>302</v>
      </c>
      <c r="C392" t="s">
        <v>300</v>
      </c>
      <c r="D392">
        <v>43983</v>
      </c>
      <c r="F392" t="s">
        <v>563</v>
      </c>
      <c r="G392" t="s">
        <v>330</v>
      </c>
      <c r="H392">
        <v>19.009</v>
      </c>
      <c r="I392" t="s">
        <v>267</v>
      </c>
    </row>
    <row r="393" spans="1:9" x14ac:dyDescent="0.35">
      <c r="A393" t="s">
        <v>302</v>
      </c>
      <c r="C393" t="s">
        <v>300</v>
      </c>
      <c r="D393">
        <v>43983</v>
      </c>
      <c r="F393" t="s">
        <v>563</v>
      </c>
      <c r="G393" t="s">
        <v>330</v>
      </c>
      <c r="H393">
        <v>57.027000000000001</v>
      </c>
      <c r="I393" t="s">
        <v>268</v>
      </c>
    </row>
    <row r="394" spans="1:9" x14ac:dyDescent="0.35">
      <c r="A394" t="s">
        <v>302</v>
      </c>
      <c r="C394" t="s">
        <v>300</v>
      </c>
      <c r="D394">
        <v>43983</v>
      </c>
      <c r="F394" t="s">
        <v>563</v>
      </c>
      <c r="G394" t="s">
        <v>330</v>
      </c>
      <c r="H394">
        <v>370.67550000000006</v>
      </c>
      <c r="I394" t="s">
        <v>269</v>
      </c>
    </row>
    <row r="395" spans="1:9" x14ac:dyDescent="0.35">
      <c r="A395" t="s">
        <v>302</v>
      </c>
      <c r="C395" t="s">
        <v>300</v>
      </c>
      <c r="D395">
        <v>43983</v>
      </c>
      <c r="F395" t="s">
        <v>563</v>
      </c>
      <c r="G395" t="s">
        <v>330</v>
      </c>
      <c r="H395">
        <v>0</v>
      </c>
      <c r="I395" t="s">
        <v>270</v>
      </c>
    </row>
    <row r="396" spans="1:9" x14ac:dyDescent="0.35">
      <c r="A396" t="s">
        <v>302</v>
      </c>
      <c r="C396" t="s">
        <v>300</v>
      </c>
      <c r="D396">
        <v>43983</v>
      </c>
      <c r="F396" t="s">
        <v>561</v>
      </c>
      <c r="G396" t="s">
        <v>310</v>
      </c>
      <c r="H396">
        <v>67.930000000000007</v>
      </c>
      <c r="I396" t="s">
        <v>201</v>
      </c>
    </row>
    <row r="397" spans="1:9" x14ac:dyDescent="0.35">
      <c r="A397" t="s">
        <v>302</v>
      </c>
      <c r="C397" t="s">
        <v>300</v>
      </c>
      <c r="D397">
        <v>43983</v>
      </c>
      <c r="F397" t="s">
        <v>563</v>
      </c>
      <c r="G397" t="s">
        <v>310</v>
      </c>
      <c r="H397">
        <v>165.45</v>
      </c>
      <c r="I397" t="s">
        <v>201</v>
      </c>
    </row>
    <row r="398" spans="1:9" x14ac:dyDescent="0.35">
      <c r="A398" t="s">
        <v>302</v>
      </c>
      <c r="C398" t="s">
        <v>300</v>
      </c>
      <c r="D398">
        <v>43983</v>
      </c>
      <c r="F398" t="s">
        <v>564</v>
      </c>
      <c r="G398" t="s">
        <v>310</v>
      </c>
      <c r="H398">
        <v>552.48</v>
      </c>
      <c r="I398" t="s">
        <v>201</v>
      </c>
    </row>
    <row r="399" spans="1:9" x14ac:dyDescent="0.35">
      <c r="A399" t="s">
        <v>302</v>
      </c>
      <c r="C399" t="s">
        <v>300</v>
      </c>
      <c r="D399">
        <v>43983</v>
      </c>
      <c r="F399" t="s">
        <v>565</v>
      </c>
      <c r="G399" t="s">
        <v>310</v>
      </c>
      <c r="H399">
        <v>650</v>
      </c>
      <c r="I399" t="s">
        <v>201</v>
      </c>
    </row>
    <row r="400" spans="1:9" x14ac:dyDescent="0.35">
      <c r="A400" t="s">
        <v>302</v>
      </c>
      <c r="C400" t="s">
        <v>300</v>
      </c>
      <c r="D400">
        <v>43983</v>
      </c>
      <c r="F400" t="s">
        <v>564</v>
      </c>
      <c r="G400" t="s">
        <v>310</v>
      </c>
      <c r="H400">
        <v>165.45</v>
      </c>
      <c r="I400" t="s">
        <v>201</v>
      </c>
    </row>
    <row r="401" spans="1:9" x14ac:dyDescent="0.35">
      <c r="A401" t="s">
        <v>302</v>
      </c>
      <c r="C401" t="s">
        <v>300</v>
      </c>
      <c r="D401">
        <v>43983</v>
      </c>
      <c r="F401" t="s">
        <v>563</v>
      </c>
      <c r="G401" t="s">
        <v>310</v>
      </c>
      <c r="H401">
        <v>165.45</v>
      </c>
      <c r="I401" t="s">
        <v>201</v>
      </c>
    </row>
    <row r="402" spans="1:9" x14ac:dyDescent="0.35">
      <c r="A402" t="s">
        <v>303</v>
      </c>
    </row>
  </sheetData>
  <sortState ref="A2:J402">
    <sortCondition ref="G2:G40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est"/>
  <dimension ref="A1:C6"/>
  <sheetViews>
    <sheetView workbookViewId="0">
      <selection activeCell="C3" sqref="A3:C6"/>
    </sheetView>
  </sheetViews>
  <sheetFormatPr defaultRowHeight="14.5" x14ac:dyDescent="0.35"/>
  <sheetData>
    <row r="1" spans="1:3" x14ac:dyDescent="0.35">
      <c r="A1" t="s">
        <v>397</v>
      </c>
      <c r="B1">
        <v>500</v>
      </c>
    </row>
    <row r="3" spans="1:3" x14ac:dyDescent="0.35">
      <c r="A3">
        <v>0</v>
      </c>
      <c r="B3">
        <v>166.66666666666666</v>
      </c>
      <c r="C3">
        <v>166.66</v>
      </c>
    </row>
    <row r="4" spans="1:3" x14ac:dyDescent="0.35">
      <c r="A4">
        <v>1</v>
      </c>
      <c r="B4">
        <v>166.66666666666666</v>
      </c>
      <c r="C4">
        <v>166.67</v>
      </c>
    </row>
    <row r="5" spans="1:3" x14ac:dyDescent="0.35">
      <c r="A5">
        <v>2</v>
      </c>
      <c r="B5">
        <v>166.66666666666666</v>
      </c>
      <c r="C5">
        <v>166.67</v>
      </c>
    </row>
    <row r="6" spans="1:3" x14ac:dyDescent="0.35">
      <c r="A6">
        <v>3</v>
      </c>
      <c r="B6">
        <v>0</v>
      </c>
      <c r="C6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ig"/>
  <dimension ref="A1:M19"/>
  <sheetViews>
    <sheetView workbookViewId="0">
      <selection activeCell="A19" sqref="A19:XFD19"/>
    </sheetView>
  </sheetViews>
  <sheetFormatPr defaultRowHeight="14.5" x14ac:dyDescent="0.35"/>
  <cols>
    <col min="1" max="1" width="8.26953125" bestFit="1" customWidth="1"/>
    <col min="2" max="2" width="15" bestFit="1" customWidth="1"/>
    <col min="3" max="3" width="17" bestFit="1" customWidth="1"/>
    <col min="4" max="5" width="7.54296875" bestFit="1" customWidth="1"/>
    <col min="6" max="6" width="10.26953125" bestFit="1" customWidth="1"/>
    <col min="7" max="7" width="7.54296875" bestFit="1" customWidth="1"/>
    <col min="8" max="8" width="10.26953125" bestFit="1" customWidth="1"/>
    <col min="9" max="9" width="6.08984375" bestFit="1" customWidth="1"/>
    <col min="10" max="10" width="5" bestFit="1" customWidth="1"/>
  </cols>
  <sheetData>
    <row r="1" spans="1:13" x14ac:dyDescent="0.35">
      <c r="A1" s="19" t="s">
        <v>225</v>
      </c>
      <c r="B1" s="19" t="s">
        <v>226</v>
      </c>
      <c r="C1" s="20" t="s">
        <v>217</v>
      </c>
      <c r="D1" s="20" t="s">
        <v>218</v>
      </c>
      <c r="E1" s="20" t="s">
        <v>222</v>
      </c>
      <c r="F1" s="20" t="s">
        <v>219</v>
      </c>
      <c r="G1" s="20" t="s">
        <v>17</v>
      </c>
      <c r="H1" s="20" t="s">
        <v>220</v>
      </c>
      <c r="I1" s="20" t="s">
        <v>30</v>
      </c>
      <c r="J1" s="20" t="s">
        <v>221</v>
      </c>
    </row>
    <row r="3" spans="1:13" x14ac:dyDescent="0.35">
      <c r="A3" s="20" t="s">
        <v>239</v>
      </c>
      <c r="B3" s="20" t="s">
        <v>240</v>
      </c>
      <c r="C3" s="20" t="s">
        <v>241</v>
      </c>
      <c r="D3" s="20" t="s">
        <v>17</v>
      </c>
      <c r="E3" s="20" t="s">
        <v>16</v>
      </c>
      <c r="F3" s="20" t="s">
        <v>221</v>
      </c>
      <c r="G3" s="20" t="s">
        <v>30</v>
      </c>
      <c r="H3" s="20" t="s">
        <v>219</v>
      </c>
      <c r="I3" s="20" t="s">
        <v>395</v>
      </c>
      <c r="J3" s="20" t="s">
        <v>398</v>
      </c>
      <c r="K3" s="20" t="s">
        <v>399</v>
      </c>
      <c r="L3" s="20" t="s">
        <v>559</v>
      </c>
      <c r="M3" s="20" t="s">
        <v>560</v>
      </c>
    </row>
    <row r="5" spans="1:13" x14ac:dyDescent="0.35">
      <c r="A5" t="s">
        <v>286</v>
      </c>
      <c r="B5" t="s">
        <v>287</v>
      </c>
      <c r="C5" t="s">
        <v>288</v>
      </c>
      <c r="D5" t="s">
        <v>289</v>
      </c>
      <c r="E5" t="s">
        <v>290</v>
      </c>
      <c r="F5" t="s">
        <v>291</v>
      </c>
      <c r="G5" t="s">
        <v>292</v>
      </c>
      <c r="H5" t="s">
        <v>293</v>
      </c>
      <c r="I5" t="s">
        <v>294</v>
      </c>
      <c r="J5" t="s">
        <v>295</v>
      </c>
    </row>
    <row r="6" spans="1:13" x14ac:dyDescent="0.35">
      <c r="A6" t="s">
        <v>296</v>
      </c>
      <c r="B6" t="s">
        <v>297</v>
      </c>
      <c r="C6" t="s">
        <v>288</v>
      </c>
      <c r="D6" t="s">
        <v>289</v>
      </c>
      <c r="E6" t="s">
        <v>290</v>
      </c>
      <c r="F6" t="s">
        <v>291</v>
      </c>
      <c r="G6" t="s">
        <v>292</v>
      </c>
      <c r="H6" t="s">
        <v>293</v>
      </c>
      <c r="I6" t="s">
        <v>294</v>
      </c>
      <c r="J6" t="s">
        <v>295</v>
      </c>
    </row>
    <row r="7" spans="1:13" x14ac:dyDescent="0.35">
      <c r="A7" t="s">
        <v>298</v>
      </c>
    </row>
    <row r="8" spans="1:13" x14ac:dyDescent="0.35">
      <c r="A8" t="s">
        <v>299</v>
      </c>
      <c r="C8" t="s">
        <v>300</v>
      </c>
      <c r="D8" s="28">
        <v>43905</v>
      </c>
      <c r="F8">
        <v>7251</v>
      </c>
      <c r="G8" t="s">
        <v>301</v>
      </c>
      <c r="H8">
        <v>117.04</v>
      </c>
      <c r="I8" t="s">
        <v>201</v>
      </c>
    </row>
    <row r="9" spans="1:13" x14ac:dyDescent="0.35">
      <c r="A9" t="s">
        <v>302</v>
      </c>
      <c r="C9" t="s">
        <v>300</v>
      </c>
      <c r="D9" s="28">
        <v>43905</v>
      </c>
      <c r="F9">
        <v>2260</v>
      </c>
      <c r="G9" t="s">
        <v>301</v>
      </c>
      <c r="H9">
        <v>-50</v>
      </c>
      <c r="I9" t="s">
        <v>201</v>
      </c>
    </row>
    <row r="10" spans="1:13" x14ac:dyDescent="0.35">
      <c r="A10" t="s">
        <v>302</v>
      </c>
      <c r="C10" t="s">
        <v>300</v>
      </c>
      <c r="D10" s="28">
        <v>43905</v>
      </c>
      <c r="F10">
        <v>2241</v>
      </c>
      <c r="G10" t="s">
        <v>301</v>
      </c>
      <c r="H10">
        <v>-293.45999999999998</v>
      </c>
      <c r="I10" t="s">
        <v>201</v>
      </c>
    </row>
    <row r="11" spans="1:13" x14ac:dyDescent="0.35">
      <c r="A11" t="s">
        <v>302</v>
      </c>
      <c r="C11" t="s">
        <v>300</v>
      </c>
      <c r="D11" s="28">
        <v>43905</v>
      </c>
      <c r="F11">
        <v>1010</v>
      </c>
      <c r="G11" t="s">
        <v>301</v>
      </c>
      <c r="H11">
        <v>-893.58</v>
      </c>
      <c r="I11" t="s">
        <v>201</v>
      </c>
    </row>
    <row r="12" spans="1:13" x14ac:dyDescent="0.35">
      <c r="A12" t="s">
        <v>302</v>
      </c>
      <c r="C12" t="s">
        <v>300</v>
      </c>
      <c r="D12" s="28">
        <v>43905</v>
      </c>
      <c r="F12">
        <v>7220</v>
      </c>
      <c r="G12" t="s">
        <v>301</v>
      </c>
      <c r="H12">
        <v>1120</v>
      </c>
      <c r="I12" t="s">
        <v>201</v>
      </c>
    </row>
    <row r="13" spans="1:13" x14ac:dyDescent="0.35">
      <c r="A13" t="s">
        <v>302</v>
      </c>
      <c r="C13" t="s">
        <v>300</v>
      </c>
      <c r="D13" s="28">
        <v>43905</v>
      </c>
      <c r="F13">
        <v>2241</v>
      </c>
      <c r="G13" t="s">
        <v>301</v>
      </c>
      <c r="H13">
        <v>293.45999999999998</v>
      </c>
      <c r="I13" t="s">
        <v>201</v>
      </c>
    </row>
    <row r="14" spans="1:13" x14ac:dyDescent="0.35">
      <c r="A14" t="s">
        <v>302</v>
      </c>
      <c r="C14" t="s">
        <v>300</v>
      </c>
      <c r="D14" s="28">
        <v>43905</v>
      </c>
      <c r="F14">
        <v>1010</v>
      </c>
      <c r="G14" t="s">
        <v>301</v>
      </c>
      <c r="H14">
        <v>-293.45999999999998</v>
      </c>
      <c r="I14" t="s">
        <v>201</v>
      </c>
    </row>
    <row r="15" spans="1:13" x14ac:dyDescent="0.35">
      <c r="A15" t="s">
        <v>303</v>
      </c>
    </row>
    <row r="18" spans="1:10" x14ac:dyDescent="0.35">
      <c r="A18" s="93"/>
      <c r="B18" s="93"/>
      <c r="C18" s="95" t="s">
        <v>409</v>
      </c>
      <c r="D18" s="93" t="s">
        <v>31</v>
      </c>
      <c r="E18" s="93" t="s">
        <v>185</v>
      </c>
      <c r="F18" s="93" t="s">
        <v>185</v>
      </c>
      <c r="G18" s="93" t="s">
        <v>191</v>
      </c>
      <c r="H18" s="93" t="s">
        <v>193</v>
      </c>
      <c r="I18" s="93" t="s">
        <v>195</v>
      </c>
      <c r="J18" s="93" t="s">
        <v>195</v>
      </c>
    </row>
    <row r="19" spans="1:10" x14ac:dyDescent="0.35">
      <c r="A19" s="93" t="s">
        <v>400</v>
      </c>
      <c r="B19" s="92" t="s">
        <v>23</v>
      </c>
      <c r="C19" s="94" t="s">
        <v>410</v>
      </c>
      <c r="D19" s="93" t="s">
        <v>6</v>
      </c>
      <c r="E19" s="93" t="s">
        <v>7</v>
      </c>
      <c r="F19" s="93" t="s">
        <v>8</v>
      </c>
      <c r="G19" s="93" t="s">
        <v>9</v>
      </c>
      <c r="H19" s="93" t="s">
        <v>10</v>
      </c>
      <c r="I19" s="93" t="s">
        <v>9</v>
      </c>
      <c r="J19" s="93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Payroll</vt:lpstr>
      <vt:lpstr>PR by Empl</vt:lpstr>
      <vt:lpstr>Allocation</vt:lpstr>
      <vt:lpstr>Allocated Payroll</vt:lpstr>
      <vt:lpstr>Upload Data</vt:lpstr>
      <vt:lpstr>UploadGuru</vt:lpstr>
      <vt:lpstr>Test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2020-01-26T13:53:43Z</dcterms:created>
  <dcterms:modified xsi:type="dcterms:W3CDTF">2020-02-27T22:05:56Z</dcterms:modified>
</cp:coreProperties>
</file>