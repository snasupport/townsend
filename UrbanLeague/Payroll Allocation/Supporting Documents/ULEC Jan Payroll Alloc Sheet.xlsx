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League\Payroll Allocation\Supporting Documents\"/>
    </mc:Choice>
  </mc:AlternateContent>
  <bookViews>
    <workbookView xWindow="0" yWindow="0" windowWidth="19200" windowHeight="7450" activeTab="1"/>
  </bookViews>
  <sheets>
    <sheet name="Salary Alloc" sheetId="1" r:id="rId1"/>
    <sheet name="Allocation %" sheetId="2" r:id="rId2"/>
    <sheet name="Salary" sheetId="3" r:id="rId3"/>
    <sheet name="Health" sheetId="4" r:id="rId4"/>
    <sheet name="Life and Dental" sheetId="5" r:id="rId5"/>
    <sheet name="Emp'ee Health" sheetId="6" r:id="rId6"/>
    <sheet name="Emp'ee Dental " sheetId="9" r:id="rId7"/>
    <sheet name="EmpEE 403B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4" i="3" l="1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L42" i="2"/>
  <c r="L43" i="2" s="1"/>
  <c r="L45" i="2"/>
  <c r="S45" i="3"/>
  <c r="S42" i="3" l="1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3" i="5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Z2" i="3"/>
  <c r="Z45" i="3" s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Y42" i="4" l="1"/>
  <c r="Y2" i="4"/>
  <c r="Y45" i="4" s="1"/>
  <c r="Y42" i="9"/>
  <c r="Y42" i="6"/>
  <c r="Y42" i="7"/>
  <c r="Y2" i="5"/>
  <c r="Z42" i="3"/>
  <c r="AC6" i="7"/>
  <c r="AD6" i="7"/>
  <c r="AE6" i="7"/>
  <c r="AF6" i="7"/>
  <c r="AC10" i="7"/>
  <c r="AD10" i="7"/>
  <c r="AE10" i="7"/>
  <c r="AF10" i="7"/>
  <c r="AC4" i="9"/>
  <c r="AD4" i="9"/>
  <c r="AE4" i="9"/>
  <c r="AF4" i="9"/>
  <c r="AC5" i="9"/>
  <c r="AD5" i="9"/>
  <c r="AE5" i="9"/>
  <c r="AF5" i="9"/>
  <c r="AC6" i="9"/>
  <c r="AD6" i="9"/>
  <c r="AE6" i="9"/>
  <c r="AF6" i="9"/>
  <c r="AC7" i="9"/>
  <c r="AD7" i="9"/>
  <c r="AE7" i="9"/>
  <c r="AF7" i="9"/>
  <c r="AC8" i="9"/>
  <c r="AD8" i="9"/>
  <c r="AE8" i="9"/>
  <c r="AF8" i="9"/>
  <c r="AC9" i="9"/>
  <c r="AD9" i="9"/>
  <c r="AE9" i="9"/>
  <c r="AF9" i="9"/>
  <c r="AC10" i="9"/>
  <c r="AD10" i="9"/>
  <c r="AE10" i="9"/>
  <c r="AF10" i="9"/>
  <c r="AC11" i="9"/>
  <c r="AD11" i="9"/>
  <c r="AE11" i="9"/>
  <c r="AF11" i="9"/>
  <c r="AC12" i="9"/>
  <c r="AD12" i="9"/>
  <c r="AE12" i="9"/>
  <c r="AF12" i="9"/>
  <c r="AC13" i="9"/>
  <c r="AD13" i="9"/>
  <c r="AE13" i="9"/>
  <c r="AF13" i="9"/>
  <c r="AC14" i="9"/>
  <c r="AD14" i="9"/>
  <c r="AE14" i="9"/>
  <c r="AF14" i="9"/>
  <c r="AC15" i="9"/>
  <c r="AD15" i="9"/>
  <c r="AE15" i="9"/>
  <c r="AF15" i="9"/>
  <c r="AC16" i="9"/>
  <c r="AD16" i="9"/>
  <c r="AE16" i="9"/>
  <c r="AF16" i="9"/>
  <c r="AC17" i="9"/>
  <c r="AD17" i="9"/>
  <c r="AE17" i="9"/>
  <c r="AF17" i="9"/>
  <c r="AC18" i="9"/>
  <c r="AD18" i="9"/>
  <c r="AE18" i="9"/>
  <c r="AF18" i="9"/>
  <c r="AC19" i="9"/>
  <c r="AD19" i="9"/>
  <c r="AE19" i="9"/>
  <c r="AF19" i="9"/>
  <c r="AC20" i="9"/>
  <c r="AD20" i="9"/>
  <c r="AE20" i="9"/>
  <c r="AF20" i="9"/>
  <c r="AC21" i="9"/>
  <c r="AD21" i="9"/>
  <c r="AE21" i="9"/>
  <c r="AF21" i="9"/>
  <c r="AC22" i="9"/>
  <c r="AD22" i="9"/>
  <c r="AE22" i="9"/>
  <c r="AF22" i="9"/>
  <c r="AC23" i="9"/>
  <c r="AD23" i="9"/>
  <c r="AE23" i="9"/>
  <c r="AF23" i="9"/>
  <c r="AC24" i="9"/>
  <c r="AD24" i="9"/>
  <c r="AE24" i="9"/>
  <c r="AF24" i="9"/>
  <c r="AC25" i="9"/>
  <c r="AD25" i="9"/>
  <c r="AE25" i="9"/>
  <c r="AF25" i="9"/>
  <c r="AC26" i="9"/>
  <c r="AD26" i="9"/>
  <c r="AE26" i="9"/>
  <c r="AF26" i="9"/>
  <c r="AC27" i="9"/>
  <c r="AD27" i="9"/>
  <c r="AE27" i="9"/>
  <c r="AF27" i="9"/>
  <c r="AC28" i="9"/>
  <c r="AD28" i="9"/>
  <c r="AE28" i="9"/>
  <c r="AF28" i="9"/>
  <c r="AC29" i="9"/>
  <c r="AD29" i="9"/>
  <c r="AE29" i="9"/>
  <c r="AF29" i="9"/>
  <c r="AC30" i="9"/>
  <c r="AD30" i="9"/>
  <c r="AE30" i="9"/>
  <c r="AF30" i="9"/>
  <c r="AC31" i="9"/>
  <c r="AD31" i="9"/>
  <c r="AE31" i="9"/>
  <c r="AF31" i="9"/>
  <c r="AC32" i="9"/>
  <c r="AD32" i="9"/>
  <c r="AE32" i="9"/>
  <c r="AF32" i="9"/>
  <c r="AC33" i="9"/>
  <c r="AD33" i="9"/>
  <c r="AE33" i="9"/>
  <c r="AF33" i="9"/>
  <c r="AC34" i="9"/>
  <c r="AD34" i="9"/>
  <c r="AE34" i="9"/>
  <c r="AF34" i="9"/>
  <c r="AC35" i="9"/>
  <c r="AD35" i="9"/>
  <c r="AE35" i="9"/>
  <c r="AF35" i="9"/>
  <c r="AC36" i="9"/>
  <c r="AD36" i="9"/>
  <c r="AE36" i="9"/>
  <c r="AF36" i="9"/>
  <c r="AC37" i="9"/>
  <c r="AD37" i="9"/>
  <c r="AE37" i="9"/>
  <c r="AF37" i="9"/>
  <c r="AC38" i="9"/>
  <c r="AD38" i="9"/>
  <c r="AE38" i="9"/>
  <c r="AF38" i="9"/>
  <c r="AC39" i="9"/>
  <c r="AD39" i="9"/>
  <c r="AE39" i="9"/>
  <c r="AF39" i="9"/>
  <c r="AC40" i="9"/>
  <c r="AD40" i="9"/>
  <c r="AE40" i="9"/>
  <c r="AF40" i="9"/>
  <c r="AC4" i="6"/>
  <c r="AD4" i="6"/>
  <c r="AE4" i="6"/>
  <c r="AF4" i="6"/>
  <c r="AC5" i="6"/>
  <c r="AD5" i="6"/>
  <c r="AE5" i="6"/>
  <c r="AF5" i="6"/>
  <c r="AC6" i="6"/>
  <c r="AD6" i="6"/>
  <c r="AE6" i="6"/>
  <c r="AF6" i="6"/>
  <c r="AC7" i="6"/>
  <c r="AD7" i="6"/>
  <c r="AE7" i="6"/>
  <c r="AF7" i="6"/>
  <c r="AC8" i="6"/>
  <c r="AD8" i="6"/>
  <c r="AE8" i="6"/>
  <c r="AF8" i="6"/>
  <c r="AC9" i="6"/>
  <c r="AD9" i="6"/>
  <c r="AE9" i="6"/>
  <c r="AF9" i="6"/>
  <c r="AC10" i="6"/>
  <c r="AD10" i="6"/>
  <c r="AE10" i="6"/>
  <c r="AF10" i="6"/>
  <c r="AC11" i="6"/>
  <c r="AD11" i="6"/>
  <c r="AE11" i="6"/>
  <c r="AF11" i="6"/>
  <c r="AC12" i="6"/>
  <c r="AD12" i="6"/>
  <c r="AE12" i="6"/>
  <c r="AF12" i="6"/>
  <c r="AC13" i="6"/>
  <c r="AD13" i="6"/>
  <c r="AE13" i="6"/>
  <c r="AF13" i="6"/>
  <c r="AC14" i="6"/>
  <c r="AD14" i="6"/>
  <c r="AE14" i="6"/>
  <c r="AF14" i="6"/>
  <c r="AC15" i="6"/>
  <c r="AD15" i="6"/>
  <c r="AE15" i="6"/>
  <c r="AF15" i="6"/>
  <c r="AC16" i="6"/>
  <c r="AD16" i="6"/>
  <c r="AE16" i="6"/>
  <c r="AF16" i="6"/>
  <c r="AC17" i="6"/>
  <c r="AD17" i="6"/>
  <c r="AE17" i="6"/>
  <c r="AF17" i="6"/>
  <c r="AC18" i="6"/>
  <c r="AD18" i="6"/>
  <c r="AE18" i="6"/>
  <c r="AF18" i="6"/>
  <c r="AC19" i="6"/>
  <c r="AD19" i="6"/>
  <c r="AE19" i="6"/>
  <c r="AF19" i="6"/>
  <c r="AC20" i="6"/>
  <c r="AD20" i="6"/>
  <c r="AE20" i="6"/>
  <c r="AF20" i="6"/>
  <c r="AC21" i="6"/>
  <c r="AD21" i="6"/>
  <c r="AE21" i="6"/>
  <c r="AF21" i="6"/>
  <c r="AC22" i="6"/>
  <c r="AD22" i="6"/>
  <c r="AE22" i="6"/>
  <c r="AF22" i="6"/>
  <c r="AC23" i="6"/>
  <c r="AD23" i="6"/>
  <c r="AE23" i="6"/>
  <c r="AF23" i="6"/>
  <c r="AC24" i="6"/>
  <c r="AD24" i="6"/>
  <c r="AE24" i="6"/>
  <c r="AF24" i="6"/>
  <c r="AC25" i="6"/>
  <c r="AD25" i="6"/>
  <c r="AE25" i="6"/>
  <c r="AF25" i="6"/>
  <c r="AC26" i="6"/>
  <c r="AD26" i="6"/>
  <c r="AE26" i="6"/>
  <c r="AF26" i="6"/>
  <c r="AC27" i="6"/>
  <c r="AD27" i="6"/>
  <c r="AE27" i="6"/>
  <c r="AF27" i="6"/>
  <c r="AC28" i="6"/>
  <c r="AD28" i="6"/>
  <c r="AE28" i="6"/>
  <c r="AF28" i="6"/>
  <c r="AC29" i="6"/>
  <c r="AD29" i="6"/>
  <c r="AE29" i="6"/>
  <c r="AF29" i="6"/>
  <c r="AC30" i="6"/>
  <c r="AD30" i="6"/>
  <c r="AE30" i="6"/>
  <c r="AF30" i="6"/>
  <c r="AC31" i="6"/>
  <c r="AD31" i="6"/>
  <c r="AE31" i="6"/>
  <c r="AF31" i="6"/>
  <c r="AC32" i="6"/>
  <c r="AD32" i="6"/>
  <c r="AE32" i="6"/>
  <c r="AF32" i="6"/>
  <c r="AC33" i="6"/>
  <c r="AD33" i="6"/>
  <c r="AE33" i="6"/>
  <c r="AF33" i="6"/>
  <c r="AC34" i="6"/>
  <c r="AD34" i="6"/>
  <c r="AE34" i="6"/>
  <c r="AF34" i="6"/>
  <c r="AC35" i="6"/>
  <c r="AD35" i="6"/>
  <c r="AE35" i="6"/>
  <c r="AF35" i="6"/>
  <c r="AC36" i="6"/>
  <c r="AD36" i="6"/>
  <c r="AE36" i="6"/>
  <c r="AF36" i="6"/>
  <c r="AC37" i="6"/>
  <c r="AD37" i="6"/>
  <c r="AE37" i="6"/>
  <c r="AF37" i="6"/>
  <c r="AC38" i="6"/>
  <c r="AD38" i="6"/>
  <c r="AE38" i="6"/>
  <c r="AF38" i="6"/>
  <c r="AC39" i="6"/>
  <c r="AD39" i="6"/>
  <c r="AE39" i="6"/>
  <c r="AF39" i="6"/>
  <c r="AC40" i="6"/>
  <c r="AD40" i="6"/>
  <c r="AE40" i="6"/>
  <c r="AF40" i="6"/>
  <c r="AC4" i="5"/>
  <c r="AD4" i="5"/>
  <c r="AE4" i="5"/>
  <c r="AF4" i="5"/>
  <c r="AC5" i="5"/>
  <c r="AD5" i="5"/>
  <c r="AE5" i="5"/>
  <c r="AF5" i="5"/>
  <c r="AC6" i="5"/>
  <c r="AD6" i="5"/>
  <c r="AE6" i="5"/>
  <c r="AF6" i="5"/>
  <c r="AC7" i="5"/>
  <c r="AD7" i="5"/>
  <c r="AE7" i="5"/>
  <c r="AF7" i="5"/>
  <c r="AC8" i="5"/>
  <c r="AD8" i="5"/>
  <c r="AE8" i="5"/>
  <c r="AF8" i="5"/>
  <c r="AC9" i="5"/>
  <c r="AD9" i="5"/>
  <c r="AE9" i="5"/>
  <c r="AF9" i="5"/>
  <c r="AC10" i="5"/>
  <c r="AD10" i="5"/>
  <c r="AE10" i="5"/>
  <c r="AF10" i="5"/>
  <c r="AC11" i="5"/>
  <c r="AD11" i="5"/>
  <c r="AE11" i="5"/>
  <c r="AF11" i="5"/>
  <c r="AC12" i="5"/>
  <c r="AD12" i="5"/>
  <c r="AE12" i="5"/>
  <c r="AF12" i="5"/>
  <c r="AC13" i="5"/>
  <c r="AD13" i="5"/>
  <c r="AE13" i="5"/>
  <c r="AF13" i="5"/>
  <c r="AC14" i="5"/>
  <c r="AD14" i="5"/>
  <c r="AE14" i="5"/>
  <c r="AF14" i="5"/>
  <c r="AC15" i="5"/>
  <c r="AD15" i="5"/>
  <c r="AE15" i="5"/>
  <c r="AF15" i="5"/>
  <c r="AC16" i="5"/>
  <c r="AD16" i="5"/>
  <c r="AE16" i="5"/>
  <c r="AF16" i="5"/>
  <c r="AC17" i="5"/>
  <c r="AD17" i="5"/>
  <c r="AE17" i="5"/>
  <c r="AF17" i="5"/>
  <c r="AC18" i="5"/>
  <c r="AD18" i="5"/>
  <c r="AE18" i="5"/>
  <c r="AF18" i="5"/>
  <c r="AC19" i="5"/>
  <c r="AD19" i="5"/>
  <c r="AE19" i="5"/>
  <c r="AF19" i="5"/>
  <c r="AC20" i="5"/>
  <c r="AD20" i="5"/>
  <c r="AE20" i="5"/>
  <c r="AF20" i="5"/>
  <c r="AC21" i="5"/>
  <c r="AD21" i="5"/>
  <c r="AE21" i="5"/>
  <c r="AF21" i="5"/>
  <c r="AC22" i="5"/>
  <c r="AD22" i="5"/>
  <c r="AE22" i="5"/>
  <c r="AF22" i="5"/>
  <c r="AC23" i="5"/>
  <c r="AD23" i="5"/>
  <c r="AE23" i="5"/>
  <c r="AF23" i="5"/>
  <c r="AC24" i="5"/>
  <c r="AD24" i="5"/>
  <c r="AE24" i="5"/>
  <c r="AF24" i="5"/>
  <c r="AC25" i="5"/>
  <c r="AD25" i="5"/>
  <c r="AE25" i="5"/>
  <c r="AF25" i="5"/>
  <c r="AC26" i="5"/>
  <c r="AD26" i="5"/>
  <c r="AE26" i="5"/>
  <c r="AF26" i="5"/>
  <c r="AC27" i="5"/>
  <c r="AD27" i="5"/>
  <c r="AE27" i="5"/>
  <c r="AF27" i="5"/>
  <c r="AC28" i="5"/>
  <c r="AD28" i="5"/>
  <c r="AE28" i="5"/>
  <c r="AF28" i="5"/>
  <c r="AC29" i="5"/>
  <c r="AD29" i="5"/>
  <c r="AE29" i="5"/>
  <c r="AF29" i="5"/>
  <c r="AC30" i="5"/>
  <c r="AD30" i="5"/>
  <c r="AE30" i="5"/>
  <c r="AF30" i="5"/>
  <c r="AC31" i="5"/>
  <c r="AD31" i="5"/>
  <c r="AE31" i="5"/>
  <c r="AF31" i="5"/>
  <c r="AC32" i="5"/>
  <c r="AD32" i="5"/>
  <c r="AE32" i="5"/>
  <c r="AF32" i="5"/>
  <c r="AC33" i="5"/>
  <c r="AD33" i="5"/>
  <c r="AE33" i="5"/>
  <c r="AF33" i="5"/>
  <c r="AC34" i="5"/>
  <c r="AD34" i="5"/>
  <c r="AE34" i="5"/>
  <c r="AF34" i="5"/>
  <c r="AC35" i="5"/>
  <c r="AD35" i="5"/>
  <c r="AE35" i="5"/>
  <c r="AF35" i="5"/>
  <c r="AC36" i="5"/>
  <c r="AD36" i="5"/>
  <c r="AE36" i="5"/>
  <c r="AF36" i="5"/>
  <c r="AC37" i="5"/>
  <c r="AD37" i="5"/>
  <c r="AE37" i="5"/>
  <c r="AF37" i="5"/>
  <c r="AC38" i="5"/>
  <c r="AD38" i="5"/>
  <c r="AE38" i="5"/>
  <c r="AF38" i="5"/>
  <c r="AC39" i="5"/>
  <c r="AD39" i="5"/>
  <c r="AE39" i="5"/>
  <c r="AF39" i="5"/>
  <c r="AC40" i="5"/>
  <c r="AD40" i="5"/>
  <c r="AE40" i="5"/>
  <c r="AF40" i="5"/>
  <c r="AC4" i="4"/>
  <c r="AD4" i="4"/>
  <c r="AE4" i="4"/>
  <c r="AF4" i="4"/>
  <c r="AC5" i="4"/>
  <c r="AD5" i="4"/>
  <c r="AE5" i="4"/>
  <c r="AF5" i="4"/>
  <c r="AC6" i="4"/>
  <c r="AD6" i="4"/>
  <c r="AE6" i="4"/>
  <c r="AF6" i="4"/>
  <c r="AC7" i="4"/>
  <c r="AD7" i="4"/>
  <c r="AE7" i="4"/>
  <c r="AF7" i="4"/>
  <c r="AC8" i="4"/>
  <c r="AD8" i="4"/>
  <c r="AE8" i="4"/>
  <c r="AF8" i="4"/>
  <c r="AC9" i="4"/>
  <c r="AD9" i="4"/>
  <c r="AE9" i="4"/>
  <c r="AF9" i="4"/>
  <c r="AC10" i="4"/>
  <c r="AD10" i="4"/>
  <c r="AE10" i="4"/>
  <c r="AF10" i="4"/>
  <c r="AC11" i="4"/>
  <c r="AD11" i="4"/>
  <c r="AE11" i="4"/>
  <c r="AF11" i="4"/>
  <c r="AC12" i="4"/>
  <c r="AD12" i="4"/>
  <c r="AE12" i="4"/>
  <c r="AF12" i="4"/>
  <c r="AC13" i="4"/>
  <c r="AD13" i="4"/>
  <c r="AE13" i="4"/>
  <c r="AF13" i="4"/>
  <c r="AC14" i="4"/>
  <c r="AD14" i="4"/>
  <c r="AE14" i="4"/>
  <c r="AF14" i="4"/>
  <c r="AC15" i="4"/>
  <c r="AD15" i="4"/>
  <c r="AE15" i="4"/>
  <c r="AF15" i="4"/>
  <c r="AC16" i="4"/>
  <c r="AD16" i="4"/>
  <c r="AE16" i="4"/>
  <c r="AF16" i="4"/>
  <c r="AC17" i="4"/>
  <c r="AD17" i="4"/>
  <c r="AE17" i="4"/>
  <c r="AF17" i="4"/>
  <c r="AC18" i="4"/>
  <c r="AD18" i="4"/>
  <c r="AE18" i="4"/>
  <c r="AF18" i="4"/>
  <c r="AC19" i="4"/>
  <c r="AD19" i="4"/>
  <c r="AE19" i="4"/>
  <c r="AF19" i="4"/>
  <c r="AC20" i="4"/>
  <c r="AD20" i="4"/>
  <c r="AE20" i="4"/>
  <c r="AF20" i="4"/>
  <c r="AC21" i="4"/>
  <c r="AD21" i="4"/>
  <c r="AE21" i="4"/>
  <c r="AF21" i="4"/>
  <c r="AC22" i="4"/>
  <c r="AD22" i="4"/>
  <c r="AE22" i="4"/>
  <c r="AF22" i="4"/>
  <c r="AC23" i="4"/>
  <c r="AD23" i="4"/>
  <c r="AE23" i="4"/>
  <c r="AF23" i="4"/>
  <c r="AC24" i="4"/>
  <c r="AD24" i="4"/>
  <c r="AE24" i="4"/>
  <c r="AF24" i="4"/>
  <c r="AC25" i="4"/>
  <c r="AD25" i="4"/>
  <c r="AE25" i="4"/>
  <c r="AF25" i="4"/>
  <c r="AC26" i="4"/>
  <c r="AD26" i="4"/>
  <c r="AE26" i="4"/>
  <c r="AF26" i="4"/>
  <c r="AC27" i="4"/>
  <c r="AD27" i="4"/>
  <c r="AE27" i="4"/>
  <c r="AF27" i="4"/>
  <c r="AC28" i="4"/>
  <c r="AD28" i="4"/>
  <c r="AE28" i="4"/>
  <c r="AF28" i="4"/>
  <c r="AC29" i="4"/>
  <c r="AD29" i="4"/>
  <c r="AE29" i="4"/>
  <c r="AF29" i="4"/>
  <c r="AC30" i="4"/>
  <c r="AD30" i="4"/>
  <c r="AE30" i="4"/>
  <c r="AF30" i="4"/>
  <c r="AC31" i="4"/>
  <c r="AD31" i="4"/>
  <c r="AE31" i="4"/>
  <c r="AF31" i="4"/>
  <c r="AC32" i="4"/>
  <c r="AD32" i="4"/>
  <c r="AE32" i="4"/>
  <c r="AF32" i="4"/>
  <c r="AC33" i="4"/>
  <c r="AD33" i="4"/>
  <c r="AE33" i="4"/>
  <c r="AF33" i="4"/>
  <c r="AC34" i="4"/>
  <c r="AD34" i="4"/>
  <c r="AE34" i="4"/>
  <c r="AF34" i="4"/>
  <c r="AC35" i="4"/>
  <c r="AD35" i="4"/>
  <c r="AE35" i="4"/>
  <c r="AF35" i="4"/>
  <c r="AC36" i="4"/>
  <c r="AD36" i="4"/>
  <c r="AE36" i="4"/>
  <c r="AF36" i="4"/>
  <c r="AC37" i="4"/>
  <c r="AD37" i="4"/>
  <c r="AE37" i="4"/>
  <c r="AF37" i="4"/>
  <c r="AC38" i="4"/>
  <c r="AD38" i="4"/>
  <c r="AE38" i="4"/>
  <c r="AF38" i="4"/>
  <c r="AC39" i="4"/>
  <c r="AD39" i="4"/>
  <c r="AE39" i="4"/>
  <c r="AF39" i="4"/>
  <c r="AC40" i="4"/>
  <c r="AD40" i="4"/>
  <c r="AE40" i="4"/>
  <c r="AF40" i="4"/>
  <c r="AC42" i="4"/>
  <c r="AG2" i="3"/>
  <c r="AG45" i="3" s="1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D2" i="3"/>
  <c r="AD45" i="3" s="1"/>
  <c r="AE2" i="3"/>
  <c r="AE45" i="3" s="1"/>
  <c r="AD4" i="3"/>
  <c r="AE4" i="3"/>
  <c r="AD5" i="3"/>
  <c r="AE5" i="3"/>
  <c r="AD6" i="3"/>
  <c r="AE6" i="3"/>
  <c r="AD7" i="3"/>
  <c r="AE7" i="3"/>
  <c r="AD8" i="3"/>
  <c r="AE8" i="3"/>
  <c r="AD9" i="3"/>
  <c r="AE9" i="3"/>
  <c r="AD10" i="3"/>
  <c r="AE10" i="3"/>
  <c r="AD11" i="3"/>
  <c r="AE11" i="3"/>
  <c r="AD12" i="3"/>
  <c r="AE12" i="3"/>
  <c r="AD13" i="3"/>
  <c r="AE13" i="3"/>
  <c r="AD14" i="3"/>
  <c r="AE14" i="3"/>
  <c r="AD15" i="3"/>
  <c r="AE15" i="3"/>
  <c r="AD16" i="3"/>
  <c r="AE16" i="3"/>
  <c r="AD17" i="3"/>
  <c r="AE17" i="3"/>
  <c r="AD18" i="3"/>
  <c r="AE18" i="3"/>
  <c r="AD19" i="3"/>
  <c r="AE19" i="3"/>
  <c r="AD20" i="3"/>
  <c r="AE20" i="3"/>
  <c r="AD21" i="3"/>
  <c r="AE21" i="3"/>
  <c r="AD22" i="3"/>
  <c r="AE22" i="3"/>
  <c r="AD23" i="3"/>
  <c r="AE23" i="3"/>
  <c r="AD24" i="3"/>
  <c r="AE24" i="3"/>
  <c r="AD25" i="3"/>
  <c r="AE25" i="3"/>
  <c r="AD26" i="3"/>
  <c r="AE26" i="3"/>
  <c r="AD27" i="3"/>
  <c r="AE27" i="3"/>
  <c r="AD28" i="3"/>
  <c r="AE28" i="3"/>
  <c r="AD29" i="3"/>
  <c r="AE29" i="3"/>
  <c r="AD30" i="3"/>
  <c r="AE30" i="3"/>
  <c r="AD31" i="3"/>
  <c r="AE31" i="3"/>
  <c r="AD32" i="3"/>
  <c r="AE32" i="3"/>
  <c r="AD33" i="3"/>
  <c r="AE33" i="3"/>
  <c r="AD34" i="3"/>
  <c r="AE34" i="3"/>
  <c r="AD35" i="3"/>
  <c r="AE35" i="3"/>
  <c r="AD36" i="3"/>
  <c r="AE36" i="3"/>
  <c r="AD37" i="3"/>
  <c r="AE37" i="3"/>
  <c r="AD38" i="3"/>
  <c r="AE38" i="3"/>
  <c r="AD39" i="3"/>
  <c r="AE39" i="3"/>
  <c r="AD40" i="3"/>
  <c r="AE40" i="3"/>
  <c r="Z6" i="7"/>
  <c r="AA6" i="7"/>
  <c r="AB6" i="7"/>
  <c r="Z10" i="7"/>
  <c r="AA10" i="7"/>
  <c r="AB10" i="7"/>
  <c r="Z4" i="9"/>
  <c r="AA4" i="9"/>
  <c r="AB4" i="9"/>
  <c r="Z5" i="9"/>
  <c r="AA5" i="9"/>
  <c r="AB5" i="9"/>
  <c r="Z6" i="9"/>
  <c r="AA6" i="9"/>
  <c r="AB6" i="9"/>
  <c r="Z7" i="9"/>
  <c r="AA7" i="9"/>
  <c r="AB7" i="9"/>
  <c r="Z8" i="9"/>
  <c r="AA8" i="9"/>
  <c r="AB8" i="9"/>
  <c r="Z9" i="9"/>
  <c r="AA9" i="9"/>
  <c r="AB9" i="9"/>
  <c r="Z10" i="9"/>
  <c r="AA10" i="9"/>
  <c r="AB10" i="9"/>
  <c r="Z11" i="9"/>
  <c r="AA11" i="9"/>
  <c r="AB11" i="9"/>
  <c r="Z12" i="9"/>
  <c r="AA12" i="9"/>
  <c r="AB12" i="9"/>
  <c r="Z13" i="9"/>
  <c r="AA13" i="9"/>
  <c r="AB13" i="9"/>
  <c r="Z14" i="9"/>
  <c r="AA14" i="9"/>
  <c r="AB14" i="9"/>
  <c r="Z15" i="9"/>
  <c r="AA15" i="9"/>
  <c r="AB15" i="9"/>
  <c r="Z16" i="9"/>
  <c r="AA16" i="9"/>
  <c r="AB16" i="9"/>
  <c r="Z17" i="9"/>
  <c r="AA17" i="9"/>
  <c r="AB17" i="9"/>
  <c r="Z18" i="9"/>
  <c r="AA18" i="9"/>
  <c r="AB18" i="9"/>
  <c r="Z19" i="9"/>
  <c r="AA19" i="9"/>
  <c r="AB19" i="9"/>
  <c r="Z20" i="9"/>
  <c r="AA20" i="9"/>
  <c r="AB20" i="9"/>
  <c r="Z21" i="9"/>
  <c r="AA21" i="9"/>
  <c r="AB21" i="9"/>
  <c r="Z22" i="9"/>
  <c r="AA22" i="9"/>
  <c r="AB22" i="9"/>
  <c r="Z23" i="9"/>
  <c r="AA23" i="9"/>
  <c r="AB23" i="9"/>
  <c r="Z24" i="9"/>
  <c r="AA24" i="9"/>
  <c r="AB24" i="9"/>
  <c r="Z25" i="9"/>
  <c r="AA25" i="9"/>
  <c r="AB25" i="9"/>
  <c r="Z26" i="9"/>
  <c r="AA26" i="9"/>
  <c r="AB26" i="9"/>
  <c r="Z27" i="9"/>
  <c r="AA27" i="9"/>
  <c r="AB27" i="9"/>
  <c r="Z28" i="9"/>
  <c r="AA28" i="9"/>
  <c r="AB28" i="9"/>
  <c r="Z29" i="9"/>
  <c r="AA29" i="9"/>
  <c r="AB29" i="9"/>
  <c r="Z30" i="9"/>
  <c r="AA30" i="9"/>
  <c r="AB30" i="9"/>
  <c r="Z31" i="9"/>
  <c r="AA31" i="9"/>
  <c r="AB31" i="9"/>
  <c r="Z32" i="9"/>
  <c r="AA32" i="9"/>
  <c r="AB32" i="9"/>
  <c r="Z33" i="9"/>
  <c r="AA33" i="9"/>
  <c r="AB33" i="9"/>
  <c r="Z34" i="9"/>
  <c r="AA34" i="9"/>
  <c r="AB34" i="9"/>
  <c r="Z35" i="9"/>
  <c r="AA35" i="9"/>
  <c r="AB35" i="9"/>
  <c r="Z36" i="9"/>
  <c r="AA36" i="9"/>
  <c r="AB36" i="9"/>
  <c r="Z37" i="9"/>
  <c r="AA37" i="9"/>
  <c r="AB37" i="9"/>
  <c r="Z38" i="9"/>
  <c r="AA38" i="9"/>
  <c r="AB38" i="9"/>
  <c r="Z39" i="9"/>
  <c r="AA39" i="9"/>
  <c r="AB39" i="9"/>
  <c r="Z40" i="9"/>
  <c r="AA40" i="9"/>
  <c r="AB40" i="9"/>
  <c r="Z4" i="6"/>
  <c r="AA4" i="6"/>
  <c r="AB4" i="6"/>
  <c r="Z5" i="6"/>
  <c r="AA5" i="6"/>
  <c r="AB5" i="6"/>
  <c r="Z6" i="6"/>
  <c r="AA6" i="6"/>
  <c r="AB6" i="6"/>
  <c r="Z7" i="6"/>
  <c r="AA7" i="6"/>
  <c r="AB7" i="6"/>
  <c r="Z8" i="6"/>
  <c r="AA8" i="6"/>
  <c r="AB8" i="6"/>
  <c r="Z9" i="6"/>
  <c r="AA9" i="6"/>
  <c r="AB9" i="6"/>
  <c r="Z10" i="6"/>
  <c r="AA10" i="6"/>
  <c r="AB10" i="6"/>
  <c r="Z11" i="6"/>
  <c r="AA11" i="6"/>
  <c r="AB11" i="6"/>
  <c r="Z12" i="6"/>
  <c r="AA12" i="6"/>
  <c r="AB12" i="6"/>
  <c r="Z13" i="6"/>
  <c r="AA13" i="6"/>
  <c r="AB13" i="6"/>
  <c r="Z14" i="6"/>
  <c r="AA14" i="6"/>
  <c r="AB14" i="6"/>
  <c r="Z15" i="6"/>
  <c r="AA15" i="6"/>
  <c r="AB15" i="6"/>
  <c r="Z16" i="6"/>
  <c r="AA16" i="6"/>
  <c r="AB16" i="6"/>
  <c r="Z17" i="6"/>
  <c r="AA17" i="6"/>
  <c r="AB17" i="6"/>
  <c r="Z18" i="6"/>
  <c r="AA18" i="6"/>
  <c r="AB18" i="6"/>
  <c r="Z19" i="6"/>
  <c r="AA19" i="6"/>
  <c r="AB19" i="6"/>
  <c r="Z20" i="6"/>
  <c r="AA20" i="6"/>
  <c r="AB20" i="6"/>
  <c r="Z21" i="6"/>
  <c r="AA21" i="6"/>
  <c r="AB21" i="6"/>
  <c r="Z22" i="6"/>
  <c r="AA22" i="6"/>
  <c r="AB22" i="6"/>
  <c r="Z23" i="6"/>
  <c r="AA23" i="6"/>
  <c r="AB23" i="6"/>
  <c r="Z24" i="6"/>
  <c r="AA24" i="6"/>
  <c r="AB24" i="6"/>
  <c r="Z25" i="6"/>
  <c r="AA25" i="6"/>
  <c r="AB25" i="6"/>
  <c r="Z26" i="6"/>
  <c r="AA26" i="6"/>
  <c r="AB26" i="6"/>
  <c r="Z27" i="6"/>
  <c r="AA27" i="6"/>
  <c r="AB27" i="6"/>
  <c r="Z28" i="6"/>
  <c r="AA28" i="6"/>
  <c r="AB28" i="6"/>
  <c r="Z29" i="6"/>
  <c r="AA29" i="6"/>
  <c r="AB29" i="6"/>
  <c r="Z30" i="6"/>
  <c r="AA30" i="6"/>
  <c r="AB30" i="6"/>
  <c r="Z31" i="6"/>
  <c r="AA31" i="6"/>
  <c r="AB31" i="6"/>
  <c r="Z32" i="6"/>
  <c r="AA32" i="6"/>
  <c r="AB32" i="6"/>
  <c r="Z33" i="6"/>
  <c r="AA33" i="6"/>
  <c r="AB33" i="6"/>
  <c r="Z34" i="6"/>
  <c r="AA34" i="6"/>
  <c r="AB34" i="6"/>
  <c r="Z35" i="6"/>
  <c r="AA35" i="6"/>
  <c r="AB35" i="6"/>
  <c r="Z36" i="6"/>
  <c r="AA36" i="6"/>
  <c r="AB36" i="6"/>
  <c r="Z37" i="6"/>
  <c r="AA37" i="6"/>
  <c r="AB37" i="6"/>
  <c r="Z38" i="6"/>
  <c r="AA38" i="6"/>
  <c r="AB38" i="6"/>
  <c r="Z39" i="6"/>
  <c r="AA39" i="6"/>
  <c r="AB39" i="6"/>
  <c r="Z40" i="6"/>
  <c r="AA40" i="6"/>
  <c r="AB40" i="6"/>
  <c r="Z4" i="5"/>
  <c r="AA4" i="5"/>
  <c r="AB4" i="5"/>
  <c r="Z5" i="5"/>
  <c r="AA5" i="5"/>
  <c r="AB5" i="5"/>
  <c r="Z6" i="5"/>
  <c r="AA6" i="5"/>
  <c r="AB6" i="5"/>
  <c r="Z7" i="5"/>
  <c r="AA7" i="5"/>
  <c r="AB7" i="5"/>
  <c r="Z8" i="5"/>
  <c r="AA8" i="5"/>
  <c r="AB8" i="5"/>
  <c r="Z9" i="5"/>
  <c r="AA9" i="5"/>
  <c r="AB9" i="5"/>
  <c r="Z10" i="5"/>
  <c r="AA10" i="5"/>
  <c r="AB10" i="5"/>
  <c r="Z11" i="5"/>
  <c r="AA11" i="5"/>
  <c r="AB11" i="5"/>
  <c r="Z12" i="5"/>
  <c r="AA12" i="5"/>
  <c r="AB12" i="5"/>
  <c r="Z13" i="5"/>
  <c r="AA13" i="5"/>
  <c r="AB13" i="5"/>
  <c r="Z14" i="5"/>
  <c r="AA14" i="5"/>
  <c r="AB14" i="5"/>
  <c r="Z15" i="5"/>
  <c r="AA15" i="5"/>
  <c r="AB15" i="5"/>
  <c r="Z16" i="5"/>
  <c r="AA16" i="5"/>
  <c r="AB16" i="5"/>
  <c r="Z17" i="5"/>
  <c r="AA17" i="5"/>
  <c r="AB17" i="5"/>
  <c r="Z18" i="5"/>
  <c r="AA18" i="5"/>
  <c r="AB18" i="5"/>
  <c r="Z19" i="5"/>
  <c r="AA19" i="5"/>
  <c r="AB19" i="5"/>
  <c r="Z20" i="5"/>
  <c r="AA20" i="5"/>
  <c r="AB20" i="5"/>
  <c r="Z21" i="5"/>
  <c r="AA21" i="5"/>
  <c r="AB21" i="5"/>
  <c r="Z22" i="5"/>
  <c r="AA22" i="5"/>
  <c r="AB22" i="5"/>
  <c r="Z23" i="5"/>
  <c r="AA23" i="5"/>
  <c r="AB23" i="5"/>
  <c r="Z24" i="5"/>
  <c r="AA24" i="5"/>
  <c r="AB24" i="5"/>
  <c r="Z25" i="5"/>
  <c r="AA25" i="5"/>
  <c r="AB25" i="5"/>
  <c r="Z26" i="5"/>
  <c r="AA26" i="5"/>
  <c r="AB26" i="5"/>
  <c r="Z27" i="5"/>
  <c r="AA27" i="5"/>
  <c r="AB27" i="5"/>
  <c r="Z28" i="5"/>
  <c r="AA28" i="5"/>
  <c r="AB28" i="5"/>
  <c r="Z29" i="5"/>
  <c r="AA29" i="5"/>
  <c r="AB29" i="5"/>
  <c r="Z30" i="5"/>
  <c r="AA30" i="5"/>
  <c r="AB30" i="5"/>
  <c r="Z31" i="5"/>
  <c r="AA31" i="5"/>
  <c r="AB31" i="5"/>
  <c r="Z32" i="5"/>
  <c r="AA32" i="5"/>
  <c r="AB32" i="5"/>
  <c r="Z33" i="5"/>
  <c r="AA33" i="5"/>
  <c r="AB33" i="5"/>
  <c r="Z34" i="5"/>
  <c r="AA34" i="5"/>
  <c r="AB34" i="5"/>
  <c r="Z35" i="5"/>
  <c r="AA35" i="5"/>
  <c r="AB35" i="5"/>
  <c r="Z36" i="5"/>
  <c r="AA36" i="5"/>
  <c r="AB36" i="5"/>
  <c r="Z37" i="5"/>
  <c r="AA37" i="5"/>
  <c r="AB37" i="5"/>
  <c r="Z38" i="5"/>
  <c r="AA38" i="5"/>
  <c r="AB38" i="5"/>
  <c r="Z39" i="5"/>
  <c r="AA39" i="5"/>
  <c r="AB39" i="5"/>
  <c r="Z40" i="5"/>
  <c r="AA40" i="5"/>
  <c r="AB40" i="5"/>
  <c r="Z4" i="4"/>
  <c r="AA4" i="4"/>
  <c r="AB4" i="4"/>
  <c r="Z5" i="4"/>
  <c r="AA5" i="4"/>
  <c r="AB5" i="4"/>
  <c r="Z6" i="4"/>
  <c r="AA6" i="4"/>
  <c r="AB6" i="4"/>
  <c r="Z7" i="4"/>
  <c r="AA7" i="4"/>
  <c r="AB7" i="4"/>
  <c r="Z8" i="4"/>
  <c r="AA8" i="4"/>
  <c r="AB8" i="4"/>
  <c r="Z9" i="4"/>
  <c r="AA9" i="4"/>
  <c r="AB9" i="4"/>
  <c r="Z10" i="4"/>
  <c r="AA10" i="4"/>
  <c r="AB10" i="4"/>
  <c r="Z11" i="4"/>
  <c r="AA11" i="4"/>
  <c r="AB11" i="4"/>
  <c r="Z12" i="4"/>
  <c r="AA12" i="4"/>
  <c r="AB12" i="4"/>
  <c r="Z13" i="4"/>
  <c r="AA13" i="4"/>
  <c r="AB13" i="4"/>
  <c r="Z14" i="4"/>
  <c r="AA14" i="4"/>
  <c r="AB14" i="4"/>
  <c r="Z15" i="4"/>
  <c r="AA15" i="4"/>
  <c r="AB15" i="4"/>
  <c r="Z16" i="4"/>
  <c r="AA16" i="4"/>
  <c r="AB16" i="4"/>
  <c r="Z17" i="4"/>
  <c r="AA17" i="4"/>
  <c r="AB17" i="4"/>
  <c r="Z18" i="4"/>
  <c r="AA18" i="4"/>
  <c r="AB18" i="4"/>
  <c r="Z19" i="4"/>
  <c r="AA19" i="4"/>
  <c r="AB19" i="4"/>
  <c r="Z20" i="4"/>
  <c r="AA20" i="4"/>
  <c r="AB20" i="4"/>
  <c r="Z21" i="4"/>
  <c r="AA21" i="4"/>
  <c r="AB21" i="4"/>
  <c r="Z22" i="4"/>
  <c r="AA22" i="4"/>
  <c r="AB22" i="4"/>
  <c r="Z23" i="4"/>
  <c r="AA23" i="4"/>
  <c r="AB23" i="4"/>
  <c r="Z24" i="4"/>
  <c r="AA24" i="4"/>
  <c r="AB24" i="4"/>
  <c r="Z25" i="4"/>
  <c r="AA25" i="4"/>
  <c r="AB25" i="4"/>
  <c r="Z26" i="4"/>
  <c r="AA26" i="4"/>
  <c r="AB26" i="4"/>
  <c r="Z27" i="4"/>
  <c r="AA27" i="4"/>
  <c r="AB27" i="4"/>
  <c r="Z28" i="4"/>
  <c r="AA28" i="4"/>
  <c r="AB28" i="4"/>
  <c r="Z29" i="4"/>
  <c r="AA29" i="4"/>
  <c r="AB29" i="4"/>
  <c r="Z30" i="4"/>
  <c r="AA30" i="4"/>
  <c r="AB30" i="4"/>
  <c r="Z31" i="4"/>
  <c r="AA31" i="4"/>
  <c r="AB31" i="4"/>
  <c r="Z32" i="4"/>
  <c r="AA32" i="4"/>
  <c r="AB32" i="4"/>
  <c r="Z33" i="4"/>
  <c r="AA33" i="4"/>
  <c r="AB33" i="4"/>
  <c r="Z34" i="4"/>
  <c r="AA34" i="4"/>
  <c r="AB34" i="4"/>
  <c r="Z35" i="4"/>
  <c r="AA35" i="4"/>
  <c r="AB35" i="4"/>
  <c r="Z36" i="4"/>
  <c r="AA36" i="4"/>
  <c r="AB36" i="4"/>
  <c r="Z37" i="4"/>
  <c r="AA37" i="4"/>
  <c r="AB37" i="4"/>
  <c r="Z38" i="4"/>
  <c r="AA38" i="4"/>
  <c r="AB38" i="4"/>
  <c r="Z39" i="4"/>
  <c r="AA39" i="4"/>
  <c r="AB39" i="4"/>
  <c r="Z40" i="4"/>
  <c r="AA40" i="4"/>
  <c r="AB40" i="4"/>
  <c r="AA2" i="3"/>
  <c r="AA45" i="3" s="1"/>
  <c r="AB2" i="3"/>
  <c r="AB45" i="3" s="1"/>
  <c r="AC2" i="3"/>
  <c r="AB2" i="4" s="1"/>
  <c r="AA4" i="3"/>
  <c r="AB4" i="3"/>
  <c r="AC4" i="3"/>
  <c r="AA5" i="3"/>
  <c r="AB5" i="3"/>
  <c r="AC5" i="3"/>
  <c r="AA6" i="3"/>
  <c r="AB6" i="3"/>
  <c r="AC6" i="3"/>
  <c r="AA7" i="3"/>
  <c r="AB7" i="3"/>
  <c r="AC7" i="3"/>
  <c r="AA8" i="3"/>
  <c r="AB8" i="3"/>
  <c r="AC8" i="3"/>
  <c r="AA9" i="3"/>
  <c r="AB9" i="3"/>
  <c r="AC9" i="3"/>
  <c r="AA10" i="3"/>
  <c r="AB10" i="3"/>
  <c r="AC10" i="3"/>
  <c r="AA11" i="3"/>
  <c r="AB11" i="3"/>
  <c r="AC11" i="3"/>
  <c r="AA12" i="3"/>
  <c r="AB12" i="3"/>
  <c r="AC12" i="3"/>
  <c r="AA13" i="3"/>
  <c r="AB13" i="3"/>
  <c r="AC13" i="3"/>
  <c r="AA14" i="3"/>
  <c r="AB14" i="3"/>
  <c r="AC14" i="3"/>
  <c r="AA15" i="3"/>
  <c r="AB15" i="3"/>
  <c r="AC15" i="3"/>
  <c r="AA16" i="3"/>
  <c r="AB16" i="3"/>
  <c r="AC16" i="3"/>
  <c r="AA17" i="3"/>
  <c r="AB17" i="3"/>
  <c r="AC17" i="3"/>
  <c r="AA18" i="3"/>
  <c r="AB18" i="3"/>
  <c r="AC18" i="3"/>
  <c r="AA19" i="3"/>
  <c r="AB19" i="3"/>
  <c r="AC19" i="3"/>
  <c r="AA20" i="3"/>
  <c r="AB20" i="3"/>
  <c r="AC20" i="3"/>
  <c r="AA21" i="3"/>
  <c r="AB21" i="3"/>
  <c r="AC21" i="3"/>
  <c r="AA22" i="3"/>
  <c r="AB22" i="3"/>
  <c r="AC22" i="3"/>
  <c r="AA23" i="3"/>
  <c r="AB23" i="3"/>
  <c r="AC23" i="3"/>
  <c r="AA24" i="3"/>
  <c r="AB24" i="3"/>
  <c r="AC24" i="3"/>
  <c r="AA25" i="3"/>
  <c r="AB25" i="3"/>
  <c r="AC25" i="3"/>
  <c r="AA26" i="3"/>
  <c r="AB26" i="3"/>
  <c r="AC26" i="3"/>
  <c r="AA27" i="3"/>
  <c r="AB27" i="3"/>
  <c r="AC27" i="3"/>
  <c r="AA28" i="3"/>
  <c r="AB28" i="3"/>
  <c r="AC28" i="3"/>
  <c r="AA29" i="3"/>
  <c r="AB29" i="3"/>
  <c r="AC29" i="3"/>
  <c r="AA30" i="3"/>
  <c r="AB30" i="3"/>
  <c r="AC30" i="3"/>
  <c r="AA31" i="3"/>
  <c r="AB31" i="3"/>
  <c r="AC31" i="3"/>
  <c r="AA32" i="3"/>
  <c r="AB32" i="3"/>
  <c r="AC32" i="3"/>
  <c r="AA33" i="3"/>
  <c r="AB33" i="3"/>
  <c r="AC33" i="3"/>
  <c r="AA34" i="3"/>
  <c r="AB34" i="3"/>
  <c r="AC34" i="3"/>
  <c r="AA35" i="3"/>
  <c r="AB35" i="3"/>
  <c r="AC35" i="3"/>
  <c r="AA36" i="3"/>
  <c r="AB36" i="3"/>
  <c r="AC36" i="3"/>
  <c r="AA37" i="3"/>
  <c r="AB37" i="3"/>
  <c r="AC37" i="3"/>
  <c r="AA38" i="3"/>
  <c r="AB38" i="3"/>
  <c r="AC38" i="3"/>
  <c r="AA39" i="3"/>
  <c r="AB39" i="3"/>
  <c r="AC39" i="3"/>
  <c r="AA40" i="3"/>
  <c r="AB40" i="3"/>
  <c r="AC40" i="3"/>
  <c r="AC45" i="3"/>
  <c r="AD2" i="4" l="1"/>
  <c r="AD2" i="5" s="1"/>
  <c r="AD2" i="6" s="1"/>
  <c r="Y46" i="5"/>
  <c r="Y2" i="6"/>
  <c r="AC43" i="5"/>
  <c r="AF42" i="4"/>
  <c r="AE42" i="4"/>
  <c r="AC2" i="4"/>
  <c r="AC2" i="5" s="1"/>
  <c r="AC46" i="5" s="1"/>
  <c r="AD42" i="6"/>
  <c r="AE42" i="6"/>
  <c r="AF42" i="6"/>
  <c r="AE42" i="9"/>
  <c r="AG42" i="3"/>
  <c r="AD42" i="9"/>
  <c r="AF43" i="5"/>
  <c r="AC42" i="6"/>
  <c r="AC42" i="9"/>
  <c r="AD42" i="4"/>
  <c r="AE43" i="5"/>
  <c r="AF42" i="9"/>
  <c r="AD43" i="5"/>
  <c r="AF2" i="4"/>
  <c r="Z42" i="9"/>
  <c r="AB42" i="9"/>
  <c r="AA42" i="9"/>
  <c r="AB42" i="6"/>
  <c r="Z42" i="6"/>
  <c r="AA42" i="6"/>
  <c r="AA43" i="5"/>
  <c r="Z43" i="5"/>
  <c r="AB43" i="5"/>
  <c r="Z42" i="4"/>
  <c r="AA42" i="4"/>
  <c r="AB42" i="4"/>
  <c r="AE42" i="3"/>
  <c r="AD42" i="3"/>
  <c r="AB45" i="4"/>
  <c r="AB2" i="5"/>
  <c r="AC42" i="3"/>
  <c r="AA42" i="3"/>
  <c r="AB42" i="3"/>
  <c r="AA2" i="4"/>
  <c r="Z2" i="4"/>
  <c r="AD45" i="4" l="1"/>
  <c r="AD46" i="5"/>
  <c r="AC45" i="4"/>
  <c r="Y45" i="6"/>
  <c r="Y2" i="9"/>
  <c r="AC2" i="6"/>
  <c r="AC2" i="9" s="1"/>
  <c r="AF2" i="5"/>
  <c r="AF45" i="4"/>
  <c r="AD2" i="9"/>
  <c r="AD45" i="6"/>
  <c r="Z2" i="5"/>
  <c r="Z45" i="4"/>
  <c r="AA2" i="5"/>
  <c r="AA45" i="4"/>
  <c r="AB46" i="5"/>
  <c r="AB2" i="6"/>
  <c r="Y2" i="7" l="1"/>
  <c r="Y45" i="7" s="1"/>
  <c r="Y45" i="9"/>
  <c r="AC45" i="6"/>
  <c r="AC2" i="7"/>
  <c r="AC45" i="7" s="1"/>
  <c r="AC45" i="9"/>
  <c r="AF2" i="6"/>
  <c r="AF46" i="5"/>
  <c r="AD45" i="9"/>
  <c r="AD2" i="7"/>
  <c r="AD45" i="7" s="1"/>
  <c r="AB2" i="9"/>
  <c r="AB45" i="6"/>
  <c r="AA2" i="6"/>
  <c r="AA46" i="5"/>
  <c r="Z46" i="5"/>
  <c r="Z2" i="6"/>
  <c r="AF45" i="6" l="1"/>
  <c r="AF2" i="9"/>
  <c r="Z2" i="9"/>
  <c r="Z45" i="6"/>
  <c r="AA2" i="9"/>
  <c r="AA45" i="6"/>
  <c r="AB45" i="9"/>
  <c r="AB2" i="7"/>
  <c r="AB45" i="7" s="1"/>
  <c r="AF45" i="9" l="1"/>
  <c r="AF2" i="7"/>
  <c r="AF45" i="7" s="1"/>
  <c r="AA45" i="9"/>
  <c r="AA2" i="7"/>
  <c r="AA45" i="7" s="1"/>
  <c r="Z2" i="7"/>
  <c r="Z45" i="7" s="1"/>
  <c r="Z45" i="9"/>
  <c r="P42" i="2" l="1"/>
  <c r="P45" i="2"/>
  <c r="V6" i="7"/>
  <c r="V10" i="7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W2" i="3"/>
  <c r="W45" i="3" s="1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V42" i="6" l="1"/>
  <c r="V43" i="5"/>
  <c r="V42" i="9"/>
  <c r="V42" i="4"/>
  <c r="W42" i="3"/>
  <c r="V2" i="4"/>
  <c r="V45" i="4" l="1"/>
  <c r="V2" i="5"/>
  <c r="V46" i="5" l="1"/>
  <c r="V2" i="6"/>
  <c r="V2" i="9" l="1"/>
  <c r="V45" i="6"/>
  <c r="V45" i="9" l="1"/>
  <c r="V2" i="7"/>
  <c r="V45" i="7" s="1"/>
  <c r="AI6" i="2" l="1"/>
  <c r="AI7" i="2"/>
  <c r="AI8" i="2"/>
  <c r="AI9" i="2"/>
  <c r="AI10" i="2"/>
  <c r="AI11" i="2"/>
  <c r="AI12" i="2"/>
  <c r="AI13" i="2"/>
  <c r="AI14" i="2"/>
  <c r="U12" i="1"/>
  <c r="V12" i="1"/>
  <c r="U13" i="1"/>
  <c r="V13" i="1" s="1"/>
  <c r="U14" i="1"/>
  <c r="V14" i="1"/>
  <c r="U15" i="1"/>
  <c r="V15" i="1"/>
  <c r="U16" i="1"/>
  <c r="V16" i="1"/>
  <c r="U17" i="1"/>
  <c r="V17" i="1" s="1"/>
  <c r="U18" i="1"/>
  <c r="V18" i="1"/>
  <c r="U19" i="1"/>
  <c r="V19" i="1"/>
  <c r="U20" i="1"/>
  <c r="V20" i="1"/>
  <c r="AO41" i="7"/>
  <c r="AP41" i="7" s="1"/>
  <c r="AN10" i="7"/>
  <c r="AM10" i="7"/>
  <c r="AL10" i="7"/>
  <c r="AK10" i="7"/>
  <c r="AJ10" i="7"/>
  <c r="AI10" i="7"/>
  <c r="AH10" i="7"/>
  <c r="AG10" i="7"/>
  <c r="X10" i="7"/>
  <c r="W10" i="7"/>
  <c r="U10" i="7"/>
  <c r="T10" i="7"/>
  <c r="S10" i="7"/>
  <c r="R10" i="7"/>
  <c r="Q10" i="7"/>
  <c r="AN6" i="7"/>
  <c r="AM6" i="7"/>
  <c r="AL6" i="7"/>
  <c r="AK6" i="7"/>
  <c r="AJ6" i="7"/>
  <c r="AI6" i="7"/>
  <c r="AH6" i="7"/>
  <c r="AG6" i="7"/>
  <c r="X6" i="7"/>
  <c r="W6" i="7"/>
  <c r="U6" i="7"/>
  <c r="T6" i="7"/>
  <c r="S6" i="7"/>
  <c r="R6" i="7"/>
  <c r="Q6" i="7"/>
  <c r="AO41" i="9"/>
  <c r="AP41" i="9" s="1"/>
  <c r="AN40" i="9"/>
  <c r="AM40" i="9"/>
  <c r="AL40" i="9"/>
  <c r="AK40" i="9"/>
  <c r="AJ40" i="9"/>
  <c r="AI40" i="9"/>
  <c r="AH40" i="9"/>
  <c r="AG40" i="9"/>
  <c r="X40" i="9"/>
  <c r="W40" i="9"/>
  <c r="U40" i="9"/>
  <c r="T40" i="9"/>
  <c r="S40" i="9"/>
  <c r="R40" i="9"/>
  <c r="Q40" i="9"/>
  <c r="AN39" i="9"/>
  <c r="AM39" i="9"/>
  <c r="AL39" i="9"/>
  <c r="AK39" i="9"/>
  <c r="AJ39" i="9"/>
  <c r="AI39" i="9"/>
  <c r="AH39" i="9"/>
  <c r="AG39" i="9"/>
  <c r="X39" i="9"/>
  <c r="W39" i="9"/>
  <c r="U39" i="9"/>
  <c r="T39" i="9"/>
  <c r="S39" i="9"/>
  <c r="R39" i="9"/>
  <c r="Q39" i="9"/>
  <c r="AN38" i="9"/>
  <c r="AM38" i="9"/>
  <c r="AL38" i="9"/>
  <c r="AK38" i="9"/>
  <c r="AJ38" i="9"/>
  <c r="AI38" i="9"/>
  <c r="AH38" i="9"/>
  <c r="AG38" i="9"/>
  <c r="X38" i="9"/>
  <c r="W38" i="9"/>
  <c r="U38" i="9"/>
  <c r="T38" i="9"/>
  <c r="S38" i="9"/>
  <c r="R38" i="9"/>
  <c r="Q38" i="9"/>
  <c r="AN37" i="9"/>
  <c r="AM37" i="9"/>
  <c r="AL37" i="9"/>
  <c r="AK37" i="9"/>
  <c r="AJ37" i="9"/>
  <c r="AI37" i="9"/>
  <c r="AH37" i="9"/>
  <c r="AG37" i="9"/>
  <c r="X37" i="9"/>
  <c r="W37" i="9"/>
  <c r="U37" i="9"/>
  <c r="T37" i="9"/>
  <c r="S37" i="9"/>
  <c r="R37" i="9"/>
  <c r="Q37" i="9"/>
  <c r="AN36" i="9"/>
  <c r="AM36" i="9"/>
  <c r="AL36" i="9"/>
  <c r="AK36" i="9"/>
  <c r="AJ36" i="9"/>
  <c r="AI36" i="9"/>
  <c r="AH36" i="9"/>
  <c r="AG36" i="9"/>
  <c r="X36" i="9"/>
  <c r="W36" i="9"/>
  <c r="U36" i="9"/>
  <c r="T36" i="9"/>
  <c r="S36" i="9"/>
  <c r="R36" i="9"/>
  <c r="Q36" i="9"/>
  <c r="AN35" i="9"/>
  <c r="AM35" i="9"/>
  <c r="AL35" i="9"/>
  <c r="AK35" i="9"/>
  <c r="AJ35" i="9"/>
  <c r="AI35" i="9"/>
  <c r="AH35" i="9"/>
  <c r="AG35" i="9"/>
  <c r="X35" i="9"/>
  <c r="W35" i="9"/>
  <c r="U35" i="9"/>
  <c r="T35" i="9"/>
  <c r="S35" i="9"/>
  <c r="R35" i="9"/>
  <c r="Q35" i="9"/>
  <c r="AN34" i="9"/>
  <c r="AM34" i="9"/>
  <c r="AL34" i="9"/>
  <c r="AK34" i="9"/>
  <c r="AJ34" i="9"/>
  <c r="AI34" i="9"/>
  <c r="AH34" i="9"/>
  <c r="AG34" i="9"/>
  <c r="X34" i="9"/>
  <c r="W34" i="9"/>
  <c r="U34" i="9"/>
  <c r="T34" i="9"/>
  <c r="S34" i="9"/>
  <c r="R34" i="9"/>
  <c r="Q34" i="9"/>
  <c r="AN33" i="9"/>
  <c r="AM33" i="9"/>
  <c r="AL33" i="9"/>
  <c r="AK33" i="9"/>
  <c r="AJ33" i="9"/>
  <c r="AI33" i="9"/>
  <c r="AH33" i="9"/>
  <c r="AG33" i="9"/>
  <c r="X33" i="9"/>
  <c r="W33" i="9"/>
  <c r="U33" i="9"/>
  <c r="T33" i="9"/>
  <c r="S33" i="9"/>
  <c r="R33" i="9"/>
  <c r="Q33" i="9"/>
  <c r="AN32" i="9"/>
  <c r="AM32" i="9"/>
  <c r="AL32" i="9"/>
  <c r="AK32" i="9"/>
  <c r="AJ32" i="9"/>
  <c r="AI32" i="9"/>
  <c r="AH32" i="9"/>
  <c r="AG32" i="9"/>
  <c r="X32" i="9"/>
  <c r="W32" i="9"/>
  <c r="U32" i="9"/>
  <c r="T32" i="9"/>
  <c r="S32" i="9"/>
  <c r="R32" i="9"/>
  <c r="Q32" i="9"/>
  <c r="AN31" i="9"/>
  <c r="AM31" i="9"/>
  <c r="AL31" i="9"/>
  <c r="AK31" i="9"/>
  <c r="AJ31" i="9"/>
  <c r="AI31" i="9"/>
  <c r="AH31" i="9"/>
  <c r="AG31" i="9"/>
  <c r="X31" i="9"/>
  <c r="W31" i="9"/>
  <c r="U31" i="9"/>
  <c r="T31" i="9"/>
  <c r="S31" i="9"/>
  <c r="R31" i="9"/>
  <c r="Q31" i="9"/>
  <c r="AN30" i="9"/>
  <c r="AM30" i="9"/>
  <c r="AL30" i="9"/>
  <c r="AK30" i="9"/>
  <c r="AJ30" i="9"/>
  <c r="AI30" i="9"/>
  <c r="AH30" i="9"/>
  <c r="AG30" i="9"/>
  <c r="X30" i="9"/>
  <c r="W30" i="9"/>
  <c r="U30" i="9"/>
  <c r="T30" i="9"/>
  <c r="S30" i="9"/>
  <c r="R30" i="9"/>
  <c r="Q30" i="9"/>
  <c r="AN29" i="9"/>
  <c r="AM29" i="9"/>
  <c r="AL29" i="9"/>
  <c r="AK29" i="9"/>
  <c r="AJ29" i="9"/>
  <c r="AI29" i="9"/>
  <c r="AH29" i="9"/>
  <c r="AG29" i="9"/>
  <c r="X29" i="9"/>
  <c r="W29" i="9"/>
  <c r="U29" i="9"/>
  <c r="T29" i="9"/>
  <c r="S29" i="9"/>
  <c r="R29" i="9"/>
  <c r="Q29" i="9"/>
  <c r="AN28" i="9"/>
  <c r="AM28" i="9"/>
  <c r="AL28" i="9"/>
  <c r="AK28" i="9"/>
  <c r="AJ28" i="9"/>
  <c r="AI28" i="9"/>
  <c r="AH28" i="9"/>
  <c r="AG28" i="9"/>
  <c r="X28" i="9"/>
  <c r="W28" i="9"/>
  <c r="U28" i="9"/>
  <c r="T28" i="9"/>
  <c r="S28" i="9"/>
  <c r="R28" i="9"/>
  <c r="Q28" i="9"/>
  <c r="AN27" i="9"/>
  <c r="AM27" i="9"/>
  <c r="AL27" i="9"/>
  <c r="AK27" i="9"/>
  <c r="AJ27" i="9"/>
  <c r="AI27" i="9"/>
  <c r="AH27" i="9"/>
  <c r="AG27" i="9"/>
  <c r="X27" i="9"/>
  <c r="W27" i="9"/>
  <c r="U27" i="9"/>
  <c r="T27" i="9"/>
  <c r="S27" i="9"/>
  <c r="R27" i="9"/>
  <c r="Q27" i="9"/>
  <c r="AN26" i="9"/>
  <c r="AM26" i="9"/>
  <c r="AL26" i="9"/>
  <c r="AK26" i="9"/>
  <c r="AJ26" i="9"/>
  <c r="AI26" i="9"/>
  <c r="AH26" i="9"/>
  <c r="AG26" i="9"/>
  <c r="X26" i="9"/>
  <c r="W26" i="9"/>
  <c r="U26" i="9"/>
  <c r="T26" i="9"/>
  <c r="S26" i="9"/>
  <c r="R26" i="9"/>
  <c r="Q26" i="9"/>
  <c r="AN25" i="9"/>
  <c r="AM25" i="9"/>
  <c r="AL25" i="9"/>
  <c r="AK25" i="9"/>
  <c r="AJ25" i="9"/>
  <c r="AI25" i="9"/>
  <c r="AH25" i="9"/>
  <c r="AG25" i="9"/>
  <c r="X25" i="9"/>
  <c r="W25" i="9"/>
  <c r="U25" i="9"/>
  <c r="T25" i="9"/>
  <c r="S25" i="9"/>
  <c r="R25" i="9"/>
  <c r="Q25" i="9"/>
  <c r="AN24" i="9"/>
  <c r="AM24" i="9"/>
  <c r="AL24" i="9"/>
  <c r="AK24" i="9"/>
  <c r="AJ24" i="9"/>
  <c r="AI24" i="9"/>
  <c r="AH24" i="9"/>
  <c r="AG24" i="9"/>
  <c r="X24" i="9"/>
  <c r="W24" i="9"/>
  <c r="U24" i="9"/>
  <c r="T24" i="9"/>
  <c r="S24" i="9"/>
  <c r="R24" i="9"/>
  <c r="Q24" i="9"/>
  <c r="AN23" i="9"/>
  <c r="AM23" i="9"/>
  <c r="AL23" i="9"/>
  <c r="AK23" i="9"/>
  <c r="AJ23" i="9"/>
  <c r="AI23" i="9"/>
  <c r="AH23" i="9"/>
  <c r="AG23" i="9"/>
  <c r="X23" i="9"/>
  <c r="W23" i="9"/>
  <c r="U23" i="9"/>
  <c r="T23" i="9"/>
  <c r="S23" i="9"/>
  <c r="R23" i="9"/>
  <c r="Q23" i="9"/>
  <c r="AN22" i="9"/>
  <c r="AM22" i="9"/>
  <c r="AL22" i="9"/>
  <c r="AK22" i="9"/>
  <c r="AJ22" i="9"/>
  <c r="AI22" i="9"/>
  <c r="AH22" i="9"/>
  <c r="AG22" i="9"/>
  <c r="X22" i="9"/>
  <c r="W22" i="9"/>
  <c r="U22" i="9"/>
  <c r="T22" i="9"/>
  <c r="S22" i="9"/>
  <c r="R22" i="9"/>
  <c r="Q22" i="9"/>
  <c r="AN21" i="9"/>
  <c r="AM21" i="9"/>
  <c r="AL21" i="9"/>
  <c r="AK21" i="9"/>
  <c r="AJ21" i="9"/>
  <c r="AI21" i="9"/>
  <c r="AH21" i="9"/>
  <c r="AG21" i="9"/>
  <c r="X21" i="9"/>
  <c r="W21" i="9"/>
  <c r="U21" i="9"/>
  <c r="T21" i="9"/>
  <c r="S21" i="9"/>
  <c r="R21" i="9"/>
  <c r="Q21" i="9"/>
  <c r="AN20" i="9"/>
  <c r="AM20" i="9"/>
  <c r="AL20" i="9"/>
  <c r="AK20" i="9"/>
  <c r="AJ20" i="9"/>
  <c r="AI20" i="9"/>
  <c r="AH20" i="9"/>
  <c r="AG20" i="9"/>
  <c r="X20" i="9"/>
  <c r="W20" i="9"/>
  <c r="U20" i="9"/>
  <c r="T20" i="9"/>
  <c r="S20" i="9"/>
  <c r="R20" i="9"/>
  <c r="Q20" i="9"/>
  <c r="AN19" i="9"/>
  <c r="AM19" i="9"/>
  <c r="AL19" i="9"/>
  <c r="AK19" i="9"/>
  <c r="AJ19" i="9"/>
  <c r="AI19" i="9"/>
  <c r="AH19" i="9"/>
  <c r="AG19" i="9"/>
  <c r="X19" i="9"/>
  <c r="W19" i="9"/>
  <c r="U19" i="9"/>
  <c r="T19" i="9"/>
  <c r="S19" i="9"/>
  <c r="R19" i="9"/>
  <c r="Q19" i="9"/>
  <c r="AN18" i="9"/>
  <c r="AM18" i="9"/>
  <c r="AL18" i="9"/>
  <c r="AK18" i="9"/>
  <c r="AJ18" i="9"/>
  <c r="AI18" i="9"/>
  <c r="AH18" i="9"/>
  <c r="AG18" i="9"/>
  <c r="X18" i="9"/>
  <c r="W18" i="9"/>
  <c r="U18" i="9"/>
  <c r="T18" i="9"/>
  <c r="S18" i="9"/>
  <c r="R18" i="9"/>
  <c r="Q18" i="9"/>
  <c r="AN17" i="9"/>
  <c r="AM17" i="9"/>
  <c r="AL17" i="9"/>
  <c r="AK17" i="9"/>
  <c r="AJ17" i="9"/>
  <c r="AI17" i="9"/>
  <c r="AH17" i="9"/>
  <c r="AG17" i="9"/>
  <c r="X17" i="9"/>
  <c r="W17" i="9"/>
  <c r="U17" i="9"/>
  <c r="T17" i="9"/>
  <c r="S17" i="9"/>
  <c r="R17" i="9"/>
  <c r="Q17" i="9"/>
  <c r="AN16" i="9"/>
  <c r="AM16" i="9"/>
  <c r="AL16" i="9"/>
  <c r="AK16" i="9"/>
  <c r="AJ16" i="9"/>
  <c r="AI16" i="9"/>
  <c r="AH16" i="9"/>
  <c r="AG16" i="9"/>
  <c r="X16" i="9"/>
  <c r="W16" i="9"/>
  <c r="U16" i="9"/>
  <c r="T16" i="9"/>
  <c r="S16" i="9"/>
  <c r="R16" i="9"/>
  <c r="Q16" i="9"/>
  <c r="AN15" i="9"/>
  <c r="AM15" i="9"/>
  <c r="AL15" i="9"/>
  <c r="AK15" i="9"/>
  <c r="AJ15" i="9"/>
  <c r="AI15" i="9"/>
  <c r="AH15" i="9"/>
  <c r="AG15" i="9"/>
  <c r="X15" i="9"/>
  <c r="W15" i="9"/>
  <c r="U15" i="9"/>
  <c r="T15" i="9"/>
  <c r="S15" i="9"/>
  <c r="R15" i="9"/>
  <c r="Q15" i="9"/>
  <c r="AN14" i="9"/>
  <c r="AM14" i="9"/>
  <c r="AL14" i="9"/>
  <c r="AK14" i="9"/>
  <c r="AJ14" i="9"/>
  <c r="AI14" i="9"/>
  <c r="AH14" i="9"/>
  <c r="AG14" i="9"/>
  <c r="X14" i="9"/>
  <c r="W14" i="9"/>
  <c r="U14" i="9"/>
  <c r="T14" i="9"/>
  <c r="S14" i="9"/>
  <c r="R14" i="9"/>
  <c r="Q14" i="9"/>
  <c r="AN13" i="9"/>
  <c r="AM13" i="9"/>
  <c r="AL13" i="9"/>
  <c r="AK13" i="9"/>
  <c r="AJ13" i="9"/>
  <c r="AI13" i="9"/>
  <c r="AH13" i="9"/>
  <c r="AG13" i="9"/>
  <c r="X13" i="9"/>
  <c r="W13" i="9"/>
  <c r="U13" i="9"/>
  <c r="T13" i="9"/>
  <c r="S13" i="9"/>
  <c r="R13" i="9"/>
  <c r="Q13" i="9"/>
  <c r="AN12" i="9"/>
  <c r="AM12" i="9"/>
  <c r="AL12" i="9"/>
  <c r="AK12" i="9"/>
  <c r="AJ12" i="9"/>
  <c r="AI12" i="9"/>
  <c r="AH12" i="9"/>
  <c r="AG12" i="9"/>
  <c r="X12" i="9"/>
  <c r="W12" i="9"/>
  <c r="U12" i="9"/>
  <c r="T12" i="9"/>
  <c r="S12" i="9"/>
  <c r="R12" i="9"/>
  <c r="Q12" i="9"/>
  <c r="AN11" i="9"/>
  <c r="AM11" i="9"/>
  <c r="AL11" i="9"/>
  <c r="AK11" i="9"/>
  <c r="AJ11" i="9"/>
  <c r="AI11" i="9"/>
  <c r="AH11" i="9"/>
  <c r="AG11" i="9"/>
  <c r="X11" i="9"/>
  <c r="W11" i="9"/>
  <c r="U11" i="9"/>
  <c r="T11" i="9"/>
  <c r="S11" i="9"/>
  <c r="R11" i="9"/>
  <c r="Q11" i="9"/>
  <c r="AN10" i="9"/>
  <c r="AM10" i="9"/>
  <c r="AL10" i="9"/>
  <c r="AK10" i="9"/>
  <c r="AJ10" i="9"/>
  <c r="AI10" i="9"/>
  <c r="AH10" i="9"/>
  <c r="AG10" i="9"/>
  <c r="X10" i="9"/>
  <c r="W10" i="9"/>
  <c r="U10" i="9"/>
  <c r="T10" i="9"/>
  <c r="S10" i="9"/>
  <c r="R10" i="9"/>
  <c r="Q10" i="9"/>
  <c r="AN9" i="9"/>
  <c r="AM9" i="9"/>
  <c r="AL9" i="9"/>
  <c r="AK9" i="9"/>
  <c r="AJ9" i="9"/>
  <c r="AI9" i="9"/>
  <c r="AH9" i="9"/>
  <c r="AG9" i="9"/>
  <c r="X9" i="9"/>
  <c r="W9" i="9"/>
  <c r="U9" i="9"/>
  <c r="T9" i="9"/>
  <c r="S9" i="9"/>
  <c r="R9" i="9"/>
  <c r="Q9" i="9"/>
  <c r="AN8" i="9"/>
  <c r="AM8" i="9"/>
  <c r="AL8" i="9"/>
  <c r="AK8" i="9"/>
  <c r="AJ8" i="9"/>
  <c r="AI8" i="9"/>
  <c r="AH8" i="9"/>
  <c r="AG8" i="9"/>
  <c r="X8" i="9"/>
  <c r="W8" i="9"/>
  <c r="U8" i="9"/>
  <c r="T8" i="9"/>
  <c r="S8" i="9"/>
  <c r="R8" i="9"/>
  <c r="Q8" i="9"/>
  <c r="AN7" i="9"/>
  <c r="AM7" i="9"/>
  <c r="AL7" i="9"/>
  <c r="AK7" i="9"/>
  <c r="AJ7" i="9"/>
  <c r="AI7" i="9"/>
  <c r="AH7" i="9"/>
  <c r="AG7" i="9"/>
  <c r="X7" i="9"/>
  <c r="W7" i="9"/>
  <c r="U7" i="9"/>
  <c r="T7" i="9"/>
  <c r="S7" i="9"/>
  <c r="R7" i="9"/>
  <c r="Q7" i="9"/>
  <c r="AN6" i="9"/>
  <c r="AM6" i="9"/>
  <c r="AL6" i="9"/>
  <c r="AK6" i="9"/>
  <c r="AJ6" i="9"/>
  <c r="AI6" i="9"/>
  <c r="AH6" i="9"/>
  <c r="AG6" i="9"/>
  <c r="X6" i="9"/>
  <c r="W6" i="9"/>
  <c r="U6" i="9"/>
  <c r="T6" i="9"/>
  <c r="S6" i="9"/>
  <c r="R6" i="9"/>
  <c r="Q6" i="9"/>
  <c r="AN5" i="9"/>
  <c r="AM5" i="9"/>
  <c r="AL5" i="9"/>
  <c r="AK5" i="9"/>
  <c r="AJ5" i="9"/>
  <c r="AI5" i="9"/>
  <c r="AH5" i="9"/>
  <c r="AG5" i="9"/>
  <c r="X5" i="9"/>
  <c r="W5" i="9"/>
  <c r="U5" i="9"/>
  <c r="T5" i="9"/>
  <c r="S5" i="9"/>
  <c r="R5" i="9"/>
  <c r="Q5" i="9"/>
  <c r="AN4" i="9"/>
  <c r="AM4" i="9"/>
  <c r="AL4" i="9"/>
  <c r="AK4" i="9"/>
  <c r="AJ4" i="9"/>
  <c r="AI4" i="9"/>
  <c r="AH4" i="9"/>
  <c r="AG4" i="9"/>
  <c r="X4" i="9"/>
  <c r="W4" i="9"/>
  <c r="U4" i="9"/>
  <c r="T4" i="9"/>
  <c r="S4" i="9"/>
  <c r="R4" i="9"/>
  <c r="Q4" i="9"/>
  <c r="AO41" i="6"/>
  <c r="AP41" i="6" s="1"/>
  <c r="AN40" i="6"/>
  <c r="AM40" i="6"/>
  <c r="AL40" i="6"/>
  <c r="AK40" i="6"/>
  <c r="AJ40" i="6"/>
  <c r="AI40" i="6"/>
  <c r="AH40" i="6"/>
  <c r="AG40" i="6"/>
  <c r="X40" i="6"/>
  <c r="W40" i="6"/>
  <c r="U40" i="6"/>
  <c r="T40" i="6"/>
  <c r="S40" i="6"/>
  <c r="R40" i="6"/>
  <c r="Q40" i="6"/>
  <c r="AN39" i="6"/>
  <c r="AM39" i="6"/>
  <c r="AL39" i="6"/>
  <c r="AK39" i="6"/>
  <c r="AJ39" i="6"/>
  <c r="AI39" i="6"/>
  <c r="AH39" i="6"/>
  <c r="AG39" i="6"/>
  <c r="X39" i="6"/>
  <c r="W39" i="6"/>
  <c r="U39" i="6"/>
  <c r="T39" i="6"/>
  <c r="S39" i="6"/>
  <c r="R39" i="6"/>
  <c r="Q39" i="6"/>
  <c r="AN38" i="6"/>
  <c r="AM38" i="6"/>
  <c r="AL38" i="6"/>
  <c r="AK38" i="6"/>
  <c r="AJ38" i="6"/>
  <c r="AI38" i="6"/>
  <c r="AH38" i="6"/>
  <c r="AG38" i="6"/>
  <c r="X38" i="6"/>
  <c r="W38" i="6"/>
  <c r="U38" i="6"/>
  <c r="T38" i="6"/>
  <c r="S38" i="6"/>
  <c r="R38" i="6"/>
  <c r="Q38" i="6"/>
  <c r="AN37" i="6"/>
  <c r="AM37" i="6"/>
  <c r="AL37" i="6"/>
  <c r="AK37" i="6"/>
  <c r="AJ37" i="6"/>
  <c r="AI37" i="6"/>
  <c r="AH37" i="6"/>
  <c r="AG37" i="6"/>
  <c r="X37" i="6"/>
  <c r="W37" i="6"/>
  <c r="U37" i="6"/>
  <c r="T37" i="6"/>
  <c r="S37" i="6"/>
  <c r="R37" i="6"/>
  <c r="Q37" i="6"/>
  <c r="AN36" i="6"/>
  <c r="AM36" i="6"/>
  <c r="AL36" i="6"/>
  <c r="AK36" i="6"/>
  <c r="AJ36" i="6"/>
  <c r="AI36" i="6"/>
  <c r="AH36" i="6"/>
  <c r="AG36" i="6"/>
  <c r="X36" i="6"/>
  <c r="W36" i="6"/>
  <c r="U36" i="6"/>
  <c r="T36" i="6"/>
  <c r="S36" i="6"/>
  <c r="R36" i="6"/>
  <c r="Q36" i="6"/>
  <c r="AN35" i="6"/>
  <c r="AM35" i="6"/>
  <c r="AL35" i="6"/>
  <c r="AK35" i="6"/>
  <c r="AJ35" i="6"/>
  <c r="AI35" i="6"/>
  <c r="AH35" i="6"/>
  <c r="AG35" i="6"/>
  <c r="X35" i="6"/>
  <c r="W35" i="6"/>
  <c r="U35" i="6"/>
  <c r="T35" i="6"/>
  <c r="S35" i="6"/>
  <c r="R35" i="6"/>
  <c r="Q35" i="6"/>
  <c r="AN34" i="6"/>
  <c r="AM34" i="6"/>
  <c r="AL34" i="6"/>
  <c r="AK34" i="6"/>
  <c r="AJ34" i="6"/>
  <c r="AI34" i="6"/>
  <c r="AH34" i="6"/>
  <c r="AG34" i="6"/>
  <c r="X34" i="6"/>
  <c r="W34" i="6"/>
  <c r="U34" i="6"/>
  <c r="T34" i="6"/>
  <c r="S34" i="6"/>
  <c r="R34" i="6"/>
  <c r="Q34" i="6"/>
  <c r="AN33" i="6"/>
  <c r="AM33" i="6"/>
  <c r="AL33" i="6"/>
  <c r="AK33" i="6"/>
  <c r="AJ33" i="6"/>
  <c r="AI33" i="6"/>
  <c r="AH33" i="6"/>
  <c r="AG33" i="6"/>
  <c r="X33" i="6"/>
  <c r="W33" i="6"/>
  <c r="U33" i="6"/>
  <c r="T33" i="6"/>
  <c r="S33" i="6"/>
  <c r="R33" i="6"/>
  <c r="Q33" i="6"/>
  <c r="AN32" i="6"/>
  <c r="AM32" i="6"/>
  <c r="AL32" i="6"/>
  <c r="AK32" i="6"/>
  <c r="AJ32" i="6"/>
  <c r="AI32" i="6"/>
  <c r="AH32" i="6"/>
  <c r="AG32" i="6"/>
  <c r="X32" i="6"/>
  <c r="W32" i="6"/>
  <c r="U32" i="6"/>
  <c r="T32" i="6"/>
  <c r="S32" i="6"/>
  <c r="R32" i="6"/>
  <c r="Q32" i="6"/>
  <c r="AN31" i="6"/>
  <c r="AM31" i="6"/>
  <c r="AL31" i="6"/>
  <c r="AK31" i="6"/>
  <c r="AJ31" i="6"/>
  <c r="AI31" i="6"/>
  <c r="AH31" i="6"/>
  <c r="AG31" i="6"/>
  <c r="X31" i="6"/>
  <c r="W31" i="6"/>
  <c r="U31" i="6"/>
  <c r="T31" i="6"/>
  <c r="S31" i="6"/>
  <c r="R31" i="6"/>
  <c r="Q31" i="6"/>
  <c r="AN30" i="6"/>
  <c r="AM30" i="6"/>
  <c r="AL30" i="6"/>
  <c r="AK30" i="6"/>
  <c r="AJ30" i="6"/>
  <c r="AI30" i="6"/>
  <c r="AH30" i="6"/>
  <c r="AG30" i="6"/>
  <c r="X30" i="6"/>
  <c r="W30" i="6"/>
  <c r="U30" i="6"/>
  <c r="T30" i="6"/>
  <c r="S30" i="6"/>
  <c r="R30" i="6"/>
  <c r="Q30" i="6"/>
  <c r="AN29" i="6"/>
  <c r="AM29" i="6"/>
  <c r="AL29" i="6"/>
  <c r="AK29" i="6"/>
  <c r="AJ29" i="6"/>
  <c r="AI29" i="6"/>
  <c r="AH29" i="6"/>
  <c r="AG29" i="6"/>
  <c r="X29" i="6"/>
  <c r="W29" i="6"/>
  <c r="U29" i="6"/>
  <c r="T29" i="6"/>
  <c r="S29" i="6"/>
  <c r="R29" i="6"/>
  <c r="Q29" i="6"/>
  <c r="AN28" i="6"/>
  <c r="AM28" i="6"/>
  <c r="AL28" i="6"/>
  <c r="AK28" i="6"/>
  <c r="AJ28" i="6"/>
  <c r="AI28" i="6"/>
  <c r="AH28" i="6"/>
  <c r="AG28" i="6"/>
  <c r="X28" i="6"/>
  <c r="W28" i="6"/>
  <c r="U28" i="6"/>
  <c r="T28" i="6"/>
  <c r="S28" i="6"/>
  <c r="R28" i="6"/>
  <c r="Q28" i="6"/>
  <c r="AN27" i="6"/>
  <c r="AM27" i="6"/>
  <c r="AL27" i="6"/>
  <c r="AK27" i="6"/>
  <c r="AJ27" i="6"/>
  <c r="AI27" i="6"/>
  <c r="AH27" i="6"/>
  <c r="AG27" i="6"/>
  <c r="X27" i="6"/>
  <c r="W27" i="6"/>
  <c r="U27" i="6"/>
  <c r="T27" i="6"/>
  <c r="S27" i="6"/>
  <c r="R27" i="6"/>
  <c r="Q27" i="6"/>
  <c r="AN26" i="6"/>
  <c r="AM26" i="6"/>
  <c r="AL26" i="6"/>
  <c r="AK26" i="6"/>
  <c r="AJ26" i="6"/>
  <c r="AI26" i="6"/>
  <c r="AH26" i="6"/>
  <c r="AG26" i="6"/>
  <c r="X26" i="6"/>
  <c r="W26" i="6"/>
  <c r="U26" i="6"/>
  <c r="T26" i="6"/>
  <c r="S26" i="6"/>
  <c r="R26" i="6"/>
  <c r="Q26" i="6"/>
  <c r="AN25" i="6"/>
  <c r="AM25" i="6"/>
  <c r="AL25" i="6"/>
  <c r="AK25" i="6"/>
  <c r="AJ25" i="6"/>
  <c r="AI25" i="6"/>
  <c r="AH25" i="6"/>
  <c r="AG25" i="6"/>
  <c r="X25" i="6"/>
  <c r="W25" i="6"/>
  <c r="U25" i="6"/>
  <c r="T25" i="6"/>
  <c r="S25" i="6"/>
  <c r="R25" i="6"/>
  <c r="Q25" i="6"/>
  <c r="AN24" i="6"/>
  <c r="AM24" i="6"/>
  <c r="AL24" i="6"/>
  <c r="AK24" i="6"/>
  <c r="AJ24" i="6"/>
  <c r="AI24" i="6"/>
  <c r="AH24" i="6"/>
  <c r="AG24" i="6"/>
  <c r="X24" i="6"/>
  <c r="W24" i="6"/>
  <c r="U24" i="6"/>
  <c r="T24" i="6"/>
  <c r="S24" i="6"/>
  <c r="R24" i="6"/>
  <c r="Q24" i="6"/>
  <c r="AN23" i="6"/>
  <c r="AM23" i="6"/>
  <c r="AL23" i="6"/>
  <c r="AK23" i="6"/>
  <c r="AJ23" i="6"/>
  <c r="AI23" i="6"/>
  <c r="AH23" i="6"/>
  <c r="AG23" i="6"/>
  <c r="X23" i="6"/>
  <c r="W23" i="6"/>
  <c r="U23" i="6"/>
  <c r="T23" i="6"/>
  <c r="S23" i="6"/>
  <c r="R23" i="6"/>
  <c r="Q23" i="6"/>
  <c r="AN22" i="6"/>
  <c r="AM22" i="6"/>
  <c r="AL22" i="6"/>
  <c r="AK22" i="6"/>
  <c r="AJ22" i="6"/>
  <c r="AI22" i="6"/>
  <c r="AH22" i="6"/>
  <c r="AG22" i="6"/>
  <c r="X22" i="6"/>
  <c r="W22" i="6"/>
  <c r="U22" i="6"/>
  <c r="T22" i="6"/>
  <c r="S22" i="6"/>
  <c r="R22" i="6"/>
  <c r="Q22" i="6"/>
  <c r="AN21" i="6"/>
  <c r="AM21" i="6"/>
  <c r="AL21" i="6"/>
  <c r="AK21" i="6"/>
  <c r="AJ21" i="6"/>
  <c r="AI21" i="6"/>
  <c r="AH21" i="6"/>
  <c r="AG21" i="6"/>
  <c r="X21" i="6"/>
  <c r="W21" i="6"/>
  <c r="U21" i="6"/>
  <c r="T21" i="6"/>
  <c r="S21" i="6"/>
  <c r="R21" i="6"/>
  <c r="Q21" i="6"/>
  <c r="AN20" i="6"/>
  <c r="AM20" i="6"/>
  <c r="AL20" i="6"/>
  <c r="AK20" i="6"/>
  <c r="AJ20" i="6"/>
  <c r="AI20" i="6"/>
  <c r="AH20" i="6"/>
  <c r="AG20" i="6"/>
  <c r="X20" i="6"/>
  <c r="W20" i="6"/>
  <c r="U20" i="6"/>
  <c r="T20" i="6"/>
  <c r="S20" i="6"/>
  <c r="R20" i="6"/>
  <c r="Q20" i="6"/>
  <c r="AN19" i="6"/>
  <c r="AM19" i="6"/>
  <c r="AL19" i="6"/>
  <c r="AK19" i="6"/>
  <c r="AJ19" i="6"/>
  <c r="AI19" i="6"/>
  <c r="AH19" i="6"/>
  <c r="AG19" i="6"/>
  <c r="X19" i="6"/>
  <c r="W19" i="6"/>
  <c r="U19" i="6"/>
  <c r="T19" i="6"/>
  <c r="S19" i="6"/>
  <c r="R19" i="6"/>
  <c r="Q19" i="6"/>
  <c r="AN18" i="6"/>
  <c r="AM18" i="6"/>
  <c r="AL18" i="6"/>
  <c r="AK18" i="6"/>
  <c r="AJ18" i="6"/>
  <c r="AI18" i="6"/>
  <c r="AH18" i="6"/>
  <c r="AG18" i="6"/>
  <c r="X18" i="6"/>
  <c r="W18" i="6"/>
  <c r="U18" i="6"/>
  <c r="T18" i="6"/>
  <c r="S18" i="6"/>
  <c r="R18" i="6"/>
  <c r="Q18" i="6"/>
  <c r="AN17" i="6"/>
  <c r="AM17" i="6"/>
  <c r="AL17" i="6"/>
  <c r="AK17" i="6"/>
  <c r="AJ17" i="6"/>
  <c r="AI17" i="6"/>
  <c r="AH17" i="6"/>
  <c r="AG17" i="6"/>
  <c r="X17" i="6"/>
  <c r="W17" i="6"/>
  <c r="U17" i="6"/>
  <c r="T17" i="6"/>
  <c r="S17" i="6"/>
  <c r="R17" i="6"/>
  <c r="Q17" i="6"/>
  <c r="AN16" i="6"/>
  <c r="AM16" i="6"/>
  <c r="AL16" i="6"/>
  <c r="AK16" i="6"/>
  <c r="AJ16" i="6"/>
  <c r="AI16" i="6"/>
  <c r="AH16" i="6"/>
  <c r="AG16" i="6"/>
  <c r="X16" i="6"/>
  <c r="W16" i="6"/>
  <c r="U16" i="6"/>
  <c r="T16" i="6"/>
  <c r="S16" i="6"/>
  <c r="R16" i="6"/>
  <c r="Q16" i="6"/>
  <c r="AN15" i="6"/>
  <c r="AM15" i="6"/>
  <c r="AL15" i="6"/>
  <c r="AK15" i="6"/>
  <c r="AJ15" i="6"/>
  <c r="AI15" i="6"/>
  <c r="AH15" i="6"/>
  <c r="AG15" i="6"/>
  <c r="X15" i="6"/>
  <c r="W15" i="6"/>
  <c r="U15" i="6"/>
  <c r="T15" i="6"/>
  <c r="S15" i="6"/>
  <c r="R15" i="6"/>
  <c r="Q15" i="6"/>
  <c r="AN14" i="6"/>
  <c r="AM14" i="6"/>
  <c r="AL14" i="6"/>
  <c r="AK14" i="6"/>
  <c r="AJ14" i="6"/>
  <c r="AI14" i="6"/>
  <c r="AH14" i="6"/>
  <c r="AG14" i="6"/>
  <c r="X14" i="6"/>
  <c r="W14" i="6"/>
  <c r="U14" i="6"/>
  <c r="T14" i="6"/>
  <c r="S14" i="6"/>
  <c r="R14" i="6"/>
  <c r="Q14" i="6"/>
  <c r="AN13" i="6"/>
  <c r="AM13" i="6"/>
  <c r="AL13" i="6"/>
  <c r="AK13" i="6"/>
  <c r="AJ13" i="6"/>
  <c r="AI13" i="6"/>
  <c r="AH13" i="6"/>
  <c r="AG13" i="6"/>
  <c r="X13" i="6"/>
  <c r="W13" i="6"/>
  <c r="U13" i="6"/>
  <c r="T13" i="6"/>
  <c r="S13" i="6"/>
  <c r="R13" i="6"/>
  <c r="Q13" i="6"/>
  <c r="AN12" i="6"/>
  <c r="AM12" i="6"/>
  <c r="AL12" i="6"/>
  <c r="AK12" i="6"/>
  <c r="AJ12" i="6"/>
  <c r="AI12" i="6"/>
  <c r="AH12" i="6"/>
  <c r="AG12" i="6"/>
  <c r="X12" i="6"/>
  <c r="W12" i="6"/>
  <c r="U12" i="6"/>
  <c r="T12" i="6"/>
  <c r="S12" i="6"/>
  <c r="R12" i="6"/>
  <c r="Q12" i="6"/>
  <c r="AN11" i="6"/>
  <c r="AM11" i="6"/>
  <c r="AL11" i="6"/>
  <c r="AK11" i="6"/>
  <c r="AJ11" i="6"/>
  <c r="AI11" i="6"/>
  <c r="AH11" i="6"/>
  <c r="AG11" i="6"/>
  <c r="X11" i="6"/>
  <c r="W11" i="6"/>
  <c r="U11" i="6"/>
  <c r="T11" i="6"/>
  <c r="S11" i="6"/>
  <c r="R11" i="6"/>
  <c r="Q11" i="6"/>
  <c r="AN10" i="6"/>
  <c r="AM10" i="6"/>
  <c r="AL10" i="6"/>
  <c r="AK10" i="6"/>
  <c r="AJ10" i="6"/>
  <c r="AI10" i="6"/>
  <c r="AH10" i="6"/>
  <c r="AG10" i="6"/>
  <c r="X10" i="6"/>
  <c r="W10" i="6"/>
  <c r="U10" i="6"/>
  <c r="T10" i="6"/>
  <c r="S10" i="6"/>
  <c r="R10" i="6"/>
  <c r="Q10" i="6"/>
  <c r="AN9" i="6"/>
  <c r="AM9" i="6"/>
  <c r="AL9" i="6"/>
  <c r="AK9" i="6"/>
  <c r="AJ9" i="6"/>
  <c r="AI9" i="6"/>
  <c r="AH9" i="6"/>
  <c r="AG9" i="6"/>
  <c r="X9" i="6"/>
  <c r="W9" i="6"/>
  <c r="U9" i="6"/>
  <c r="T9" i="6"/>
  <c r="S9" i="6"/>
  <c r="R9" i="6"/>
  <c r="Q9" i="6"/>
  <c r="AN8" i="6"/>
  <c r="AM8" i="6"/>
  <c r="AL8" i="6"/>
  <c r="AK8" i="6"/>
  <c r="AJ8" i="6"/>
  <c r="AI8" i="6"/>
  <c r="AH8" i="6"/>
  <c r="AG8" i="6"/>
  <c r="X8" i="6"/>
  <c r="W8" i="6"/>
  <c r="U8" i="6"/>
  <c r="T8" i="6"/>
  <c r="S8" i="6"/>
  <c r="R8" i="6"/>
  <c r="Q8" i="6"/>
  <c r="AN7" i="6"/>
  <c r="AM7" i="6"/>
  <c r="AL7" i="6"/>
  <c r="AK7" i="6"/>
  <c r="AJ7" i="6"/>
  <c r="AI7" i="6"/>
  <c r="AH7" i="6"/>
  <c r="AG7" i="6"/>
  <c r="X7" i="6"/>
  <c r="W7" i="6"/>
  <c r="U7" i="6"/>
  <c r="T7" i="6"/>
  <c r="S7" i="6"/>
  <c r="R7" i="6"/>
  <c r="Q7" i="6"/>
  <c r="AN6" i="6"/>
  <c r="AM6" i="6"/>
  <c r="AL6" i="6"/>
  <c r="AK6" i="6"/>
  <c r="AJ6" i="6"/>
  <c r="AI6" i="6"/>
  <c r="AH6" i="6"/>
  <c r="AG6" i="6"/>
  <c r="X6" i="6"/>
  <c r="W6" i="6"/>
  <c r="U6" i="6"/>
  <c r="T6" i="6"/>
  <c r="S6" i="6"/>
  <c r="R6" i="6"/>
  <c r="Q6" i="6"/>
  <c r="AN5" i="6"/>
  <c r="AM5" i="6"/>
  <c r="AL5" i="6"/>
  <c r="AK5" i="6"/>
  <c r="AJ5" i="6"/>
  <c r="AI5" i="6"/>
  <c r="AH5" i="6"/>
  <c r="AG5" i="6"/>
  <c r="X5" i="6"/>
  <c r="W5" i="6"/>
  <c r="U5" i="6"/>
  <c r="T5" i="6"/>
  <c r="S5" i="6"/>
  <c r="R5" i="6"/>
  <c r="Q5" i="6"/>
  <c r="AN4" i="6"/>
  <c r="AM4" i="6"/>
  <c r="AL4" i="6"/>
  <c r="AK4" i="6"/>
  <c r="AJ4" i="6"/>
  <c r="AI4" i="6"/>
  <c r="AH4" i="6"/>
  <c r="AG4" i="6"/>
  <c r="X4" i="6"/>
  <c r="W4" i="6"/>
  <c r="U4" i="6"/>
  <c r="T4" i="6"/>
  <c r="S4" i="6"/>
  <c r="R4" i="6"/>
  <c r="Q4" i="6"/>
  <c r="AO41" i="5"/>
  <c r="AP41" i="5" s="1"/>
  <c r="AN40" i="5"/>
  <c r="AM40" i="5"/>
  <c r="AL40" i="5"/>
  <c r="AK40" i="5"/>
  <c r="AJ40" i="5"/>
  <c r="AI40" i="5"/>
  <c r="AH40" i="5"/>
  <c r="AG40" i="5"/>
  <c r="X40" i="5"/>
  <c r="W40" i="5"/>
  <c r="U40" i="5"/>
  <c r="T40" i="5"/>
  <c r="S40" i="5"/>
  <c r="R40" i="5"/>
  <c r="Q40" i="5"/>
  <c r="AN39" i="5"/>
  <c r="AM39" i="5"/>
  <c r="AL39" i="5"/>
  <c r="AK39" i="5"/>
  <c r="AJ39" i="5"/>
  <c r="AI39" i="5"/>
  <c r="AH39" i="5"/>
  <c r="AG39" i="5"/>
  <c r="X39" i="5"/>
  <c r="W39" i="5"/>
  <c r="U39" i="5"/>
  <c r="T39" i="5"/>
  <c r="S39" i="5"/>
  <c r="R39" i="5"/>
  <c r="Q39" i="5"/>
  <c r="AN38" i="5"/>
  <c r="AM38" i="5"/>
  <c r="AL38" i="5"/>
  <c r="AK38" i="5"/>
  <c r="AJ38" i="5"/>
  <c r="AI38" i="5"/>
  <c r="AH38" i="5"/>
  <c r="AG38" i="5"/>
  <c r="X38" i="5"/>
  <c r="W38" i="5"/>
  <c r="U38" i="5"/>
  <c r="T38" i="5"/>
  <c r="S38" i="5"/>
  <c r="R38" i="5"/>
  <c r="Q38" i="5"/>
  <c r="AN37" i="5"/>
  <c r="AM37" i="5"/>
  <c r="AL37" i="5"/>
  <c r="AK37" i="5"/>
  <c r="AJ37" i="5"/>
  <c r="AI37" i="5"/>
  <c r="AH37" i="5"/>
  <c r="AG37" i="5"/>
  <c r="X37" i="5"/>
  <c r="W37" i="5"/>
  <c r="U37" i="5"/>
  <c r="T37" i="5"/>
  <c r="S37" i="5"/>
  <c r="R37" i="5"/>
  <c r="Q37" i="5"/>
  <c r="AN36" i="5"/>
  <c r="AM36" i="5"/>
  <c r="AL36" i="5"/>
  <c r="AK36" i="5"/>
  <c r="AJ36" i="5"/>
  <c r="AI36" i="5"/>
  <c r="AH36" i="5"/>
  <c r="AG36" i="5"/>
  <c r="X36" i="5"/>
  <c r="W36" i="5"/>
  <c r="U36" i="5"/>
  <c r="T36" i="5"/>
  <c r="S36" i="5"/>
  <c r="R36" i="5"/>
  <c r="Q36" i="5"/>
  <c r="AN35" i="5"/>
  <c r="AM35" i="5"/>
  <c r="AL35" i="5"/>
  <c r="AK35" i="5"/>
  <c r="AJ35" i="5"/>
  <c r="AI35" i="5"/>
  <c r="AH35" i="5"/>
  <c r="AG35" i="5"/>
  <c r="X35" i="5"/>
  <c r="W35" i="5"/>
  <c r="U35" i="5"/>
  <c r="T35" i="5"/>
  <c r="S35" i="5"/>
  <c r="R35" i="5"/>
  <c r="Q35" i="5"/>
  <c r="AN34" i="5"/>
  <c r="AM34" i="5"/>
  <c r="AL34" i="5"/>
  <c r="AK34" i="5"/>
  <c r="AJ34" i="5"/>
  <c r="AI34" i="5"/>
  <c r="AH34" i="5"/>
  <c r="AG34" i="5"/>
  <c r="X34" i="5"/>
  <c r="W34" i="5"/>
  <c r="U34" i="5"/>
  <c r="T34" i="5"/>
  <c r="S34" i="5"/>
  <c r="R34" i="5"/>
  <c r="Q34" i="5"/>
  <c r="AN33" i="5"/>
  <c r="AM33" i="5"/>
  <c r="AL33" i="5"/>
  <c r="AK33" i="5"/>
  <c r="AJ33" i="5"/>
  <c r="AI33" i="5"/>
  <c r="AH33" i="5"/>
  <c r="AG33" i="5"/>
  <c r="X33" i="5"/>
  <c r="W33" i="5"/>
  <c r="U33" i="5"/>
  <c r="T33" i="5"/>
  <c r="S33" i="5"/>
  <c r="R33" i="5"/>
  <c r="Q33" i="5"/>
  <c r="AN32" i="5"/>
  <c r="AM32" i="5"/>
  <c r="AL32" i="5"/>
  <c r="AK32" i="5"/>
  <c r="AJ32" i="5"/>
  <c r="AI32" i="5"/>
  <c r="AH32" i="5"/>
  <c r="AG32" i="5"/>
  <c r="X32" i="5"/>
  <c r="W32" i="5"/>
  <c r="U32" i="5"/>
  <c r="T32" i="5"/>
  <c r="S32" i="5"/>
  <c r="R32" i="5"/>
  <c r="Q32" i="5"/>
  <c r="AN31" i="5"/>
  <c r="AM31" i="5"/>
  <c r="AL31" i="5"/>
  <c r="AK31" i="5"/>
  <c r="AJ31" i="5"/>
  <c r="AI31" i="5"/>
  <c r="AH31" i="5"/>
  <c r="AG31" i="5"/>
  <c r="X31" i="5"/>
  <c r="W31" i="5"/>
  <c r="U31" i="5"/>
  <c r="T31" i="5"/>
  <c r="S31" i="5"/>
  <c r="R31" i="5"/>
  <c r="Q31" i="5"/>
  <c r="AN30" i="5"/>
  <c r="AM30" i="5"/>
  <c r="AL30" i="5"/>
  <c r="AK30" i="5"/>
  <c r="AJ30" i="5"/>
  <c r="AI30" i="5"/>
  <c r="AH30" i="5"/>
  <c r="AG30" i="5"/>
  <c r="X30" i="5"/>
  <c r="W30" i="5"/>
  <c r="U30" i="5"/>
  <c r="T30" i="5"/>
  <c r="S30" i="5"/>
  <c r="R30" i="5"/>
  <c r="Q30" i="5"/>
  <c r="AN29" i="5"/>
  <c r="AM29" i="5"/>
  <c r="AL29" i="5"/>
  <c r="AK29" i="5"/>
  <c r="AJ29" i="5"/>
  <c r="AI29" i="5"/>
  <c r="AH29" i="5"/>
  <c r="AG29" i="5"/>
  <c r="X29" i="5"/>
  <c r="W29" i="5"/>
  <c r="U29" i="5"/>
  <c r="T29" i="5"/>
  <c r="S29" i="5"/>
  <c r="R29" i="5"/>
  <c r="Q29" i="5"/>
  <c r="AN28" i="5"/>
  <c r="AM28" i="5"/>
  <c r="AL28" i="5"/>
  <c r="AK28" i="5"/>
  <c r="AJ28" i="5"/>
  <c r="AI28" i="5"/>
  <c r="AH28" i="5"/>
  <c r="AG28" i="5"/>
  <c r="X28" i="5"/>
  <c r="W28" i="5"/>
  <c r="U28" i="5"/>
  <c r="T28" i="5"/>
  <c r="S28" i="5"/>
  <c r="R28" i="5"/>
  <c r="Q28" i="5"/>
  <c r="AN27" i="5"/>
  <c r="AM27" i="5"/>
  <c r="AL27" i="5"/>
  <c r="AK27" i="5"/>
  <c r="AJ27" i="5"/>
  <c r="AI27" i="5"/>
  <c r="AH27" i="5"/>
  <c r="AG27" i="5"/>
  <c r="X27" i="5"/>
  <c r="W27" i="5"/>
  <c r="U27" i="5"/>
  <c r="T27" i="5"/>
  <c r="S27" i="5"/>
  <c r="R27" i="5"/>
  <c r="Q27" i="5"/>
  <c r="AN26" i="5"/>
  <c r="AM26" i="5"/>
  <c r="AL26" i="5"/>
  <c r="AK26" i="5"/>
  <c r="AJ26" i="5"/>
  <c r="AI26" i="5"/>
  <c r="AH26" i="5"/>
  <c r="AG26" i="5"/>
  <c r="X26" i="5"/>
  <c r="W26" i="5"/>
  <c r="U26" i="5"/>
  <c r="T26" i="5"/>
  <c r="S26" i="5"/>
  <c r="R26" i="5"/>
  <c r="Q26" i="5"/>
  <c r="AN25" i="5"/>
  <c r="AM25" i="5"/>
  <c r="AL25" i="5"/>
  <c r="AK25" i="5"/>
  <c r="AJ25" i="5"/>
  <c r="AI25" i="5"/>
  <c r="AH25" i="5"/>
  <c r="AG25" i="5"/>
  <c r="X25" i="5"/>
  <c r="W25" i="5"/>
  <c r="U25" i="5"/>
  <c r="T25" i="5"/>
  <c r="S25" i="5"/>
  <c r="R25" i="5"/>
  <c r="Q25" i="5"/>
  <c r="AN24" i="5"/>
  <c r="AM24" i="5"/>
  <c r="AL24" i="5"/>
  <c r="AK24" i="5"/>
  <c r="AJ24" i="5"/>
  <c r="AI24" i="5"/>
  <c r="AH24" i="5"/>
  <c r="AG24" i="5"/>
  <c r="X24" i="5"/>
  <c r="W24" i="5"/>
  <c r="U24" i="5"/>
  <c r="T24" i="5"/>
  <c r="S24" i="5"/>
  <c r="R24" i="5"/>
  <c r="Q24" i="5"/>
  <c r="AN23" i="5"/>
  <c r="AM23" i="5"/>
  <c r="AL23" i="5"/>
  <c r="AK23" i="5"/>
  <c r="AJ23" i="5"/>
  <c r="AI23" i="5"/>
  <c r="AH23" i="5"/>
  <c r="AG23" i="5"/>
  <c r="X23" i="5"/>
  <c r="W23" i="5"/>
  <c r="U23" i="5"/>
  <c r="T23" i="5"/>
  <c r="S23" i="5"/>
  <c r="R23" i="5"/>
  <c r="Q23" i="5"/>
  <c r="AN22" i="5"/>
  <c r="AM22" i="5"/>
  <c r="AL22" i="5"/>
  <c r="AK22" i="5"/>
  <c r="AJ22" i="5"/>
  <c r="AI22" i="5"/>
  <c r="AH22" i="5"/>
  <c r="AG22" i="5"/>
  <c r="X22" i="5"/>
  <c r="W22" i="5"/>
  <c r="U22" i="5"/>
  <c r="T22" i="5"/>
  <c r="S22" i="5"/>
  <c r="R22" i="5"/>
  <c r="Q22" i="5"/>
  <c r="AN21" i="5"/>
  <c r="AM21" i="5"/>
  <c r="AL21" i="5"/>
  <c r="AK21" i="5"/>
  <c r="AJ21" i="5"/>
  <c r="AI21" i="5"/>
  <c r="AH21" i="5"/>
  <c r="AG21" i="5"/>
  <c r="X21" i="5"/>
  <c r="W21" i="5"/>
  <c r="U21" i="5"/>
  <c r="T21" i="5"/>
  <c r="S21" i="5"/>
  <c r="R21" i="5"/>
  <c r="Q21" i="5"/>
  <c r="AN20" i="5"/>
  <c r="AM20" i="5"/>
  <c r="AL20" i="5"/>
  <c r="AK20" i="5"/>
  <c r="AJ20" i="5"/>
  <c r="AI20" i="5"/>
  <c r="AH20" i="5"/>
  <c r="AG20" i="5"/>
  <c r="X20" i="5"/>
  <c r="W20" i="5"/>
  <c r="U20" i="5"/>
  <c r="T20" i="5"/>
  <c r="S20" i="5"/>
  <c r="R20" i="5"/>
  <c r="Q20" i="5"/>
  <c r="AN19" i="5"/>
  <c r="AM19" i="5"/>
  <c r="AL19" i="5"/>
  <c r="AK19" i="5"/>
  <c r="AJ19" i="5"/>
  <c r="AI19" i="5"/>
  <c r="AH19" i="5"/>
  <c r="AG19" i="5"/>
  <c r="X19" i="5"/>
  <c r="W19" i="5"/>
  <c r="U19" i="5"/>
  <c r="T19" i="5"/>
  <c r="S19" i="5"/>
  <c r="R19" i="5"/>
  <c r="Q19" i="5"/>
  <c r="AN18" i="5"/>
  <c r="AM18" i="5"/>
  <c r="AL18" i="5"/>
  <c r="AK18" i="5"/>
  <c r="AJ18" i="5"/>
  <c r="AI18" i="5"/>
  <c r="AH18" i="5"/>
  <c r="AG18" i="5"/>
  <c r="X18" i="5"/>
  <c r="W18" i="5"/>
  <c r="U18" i="5"/>
  <c r="T18" i="5"/>
  <c r="S18" i="5"/>
  <c r="R18" i="5"/>
  <c r="Q18" i="5"/>
  <c r="AN17" i="5"/>
  <c r="AM17" i="5"/>
  <c r="AL17" i="5"/>
  <c r="AK17" i="5"/>
  <c r="AJ17" i="5"/>
  <c r="AI17" i="5"/>
  <c r="AH17" i="5"/>
  <c r="AG17" i="5"/>
  <c r="X17" i="5"/>
  <c r="W17" i="5"/>
  <c r="U17" i="5"/>
  <c r="T17" i="5"/>
  <c r="S17" i="5"/>
  <c r="R17" i="5"/>
  <c r="Q17" i="5"/>
  <c r="AN16" i="5"/>
  <c r="AM16" i="5"/>
  <c r="AL16" i="5"/>
  <c r="AK16" i="5"/>
  <c r="AJ16" i="5"/>
  <c r="AI16" i="5"/>
  <c r="AH16" i="5"/>
  <c r="AG16" i="5"/>
  <c r="X16" i="5"/>
  <c r="W16" i="5"/>
  <c r="U16" i="5"/>
  <c r="T16" i="5"/>
  <c r="S16" i="5"/>
  <c r="R16" i="5"/>
  <c r="Q16" i="5"/>
  <c r="AN15" i="5"/>
  <c r="AM15" i="5"/>
  <c r="AL15" i="5"/>
  <c r="AK15" i="5"/>
  <c r="AJ15" i="5"/>
  <c r="AI15" i="5"/>
  <c r="AH15" i="5"/>
  <c r="AG15" i="5"/>
  <c r="X15" i="5"/>
  <c r="W15" i="5"/>
  <c r="U15" i="5"/>
  <c r="T15" i="5"/>
  <c r="S15" i="5"/>
  <c r="R15" i="5"/>
  <c r="Q15" i="5"/>
  <c r="AN14" i="5"/>
  <c r="AM14" i="5"/>
  <c r="AL14" i="5"/>
  <c r="AK14" i="5"/>
  <c r="AJ14" i="5"/>
  <c r="AI14" i="5"/>
  <c r="AH14" i="5"/>
  <c r="AG14" i="5"/>
  <c r="X14" i="5"/>
  <c r="W14" i="5"/>
  <c r="U14" i="5"/>
  <c r="T14" i="5"/>
  <c r="S14" i="5"/>
  <c r="R14" i="5"/>
  <c r="Q14" i="5"/>
  <c r="AN13" i="5"/>
  <c r="AM13" i="5"/>
  <c r="AL13" i="5"/>
  <c r="AK13" i="5"/>
  <c r="AJ13" i="5"/>
  <c r="AI13" i="5"/>
  <c r="AH13" i="5"/>
  <c r="AG13" i="5"/>
  <c r="X13" i="5"/>
  <c r="W13" i="5"/>
  <c r="U13" i="5"/>
  <c r="T13" i="5"/>
  <c r="S13" i="5"/>
  <c r="R13" i="5"/>
  <c r="Q13" i="5"/>
  <c r="AN12" i="5"/>
  <c r="AM12" i="5"/>
  <c r="AL12" i="5"/>
  <c r="AK12" i="5"/>
  <c r="AJ12" i="5"/>
  <c r="AI12" i="5"/>
  <c r="AH12" i="5"/>
  <c r="AG12" i="5"/>
  <c r="X12" i="5"/>
  <c r="W12" i="5"/>
  <c r="U12" i="5"/>
  <c r="T12" i="5"/>
  <c r="S12" i="5"/>
  <c r="R12" i="5"/>
  <c r="Q12" i="5"/>
  <c r="AN11" i="5"/>
  <c r="AM11" i="5"/>
  <c r="AL11" i="5"/>
  <c r="AK11" i="5"/>
  <c r="AJ11" i="5"/>
  <c r="AI11" i="5"/>
  <c r="AH11" i="5"/>
  <c r="AG11" i="5"/>
  <c r="X11" i="5"/>
  <c r="W11" i="5"/>
  <c r="U11" i="5"/>
  <c r="T11" i="5"/>
  <c r="S11" i="5"/>
  <c r="R11" i="5"/>
  <c r="Q11" i="5"/>
  <c r="AN10" i="5"/>
  <c r="AM10" i="5"/>
  <c r="AL10" i="5"/>
  <c r="AK10" i="5"/>
  <c r="AJ10" i="5"/>
  <c r="AI10" i="5"/>
  <c r="AH10" i="5"/>
  <c r="AG10" i="5"/>
  <c r="X10" i="5"/>
  <c r="W10" i="5"/>
  <c r="U10" i="5"/>
  <c r="T10" i="5"/>
  <c r="S10" i="5"/>
  <c r="R10" i="5"/>
  <c r="Q10" i="5"/>
  <c r="AN9" i="5"/>
  <c r="AM9" i="5"/>
  <c r="AL9" i="5"/>
  <c r="AK9" i="5"/>
  <c r="AJ9" i="5"/>
  <c r="AI9" i="5"/>
  <c r="AH9" i="5"/>
  <c r="AG9" i="5"/>
  <c r="X9" i="5"/>
  <c r="W9" i="5"/>
  <c r="U9" i="5"/>
  <c r="T9" i="5"/>
  <c r="S9" i="5"/>
  <c r="R9" i="5"/>
  <c r="Q9" i="5"/>
  <c r="AN8" i="5"/>
  <c r="AM8" i="5"/>
  <c r="AL8" i="5"/>
  <c r="AK8" i="5"/>
  <c r="AJ8" i="5"/>
  <c r="AI8" i="5"/>
  <c r="AH8" i="5"/>
  <c r="AG8" i="5"/>
  <c r="X8" i="5"/>
  <c r="W8" i="5"/>
  <c r="U8" i="5"/>
  <c r="T8" i="5"/>
  <c r="S8" i="5"/>
  <c r="R8" i="5"/>
  <c r="Q8" i="5"/>
  <c r="AN7" i="5"/>
  <c r="AM7" i="5"/>
  <c r="AL7" i="5"/>
  <c r="AK7" i="5"/>
  <c r="AJ7" i="5"/>
  <c r="AI7" i="5"/>
  <c r="AH7" i="5"/>
  <c r="AG7" i="5"/>
  <c r="X7" i="5"/>
  <c r="W7" i="5"/>
  <c r="U7" i="5"/>
  <c r="T7" i="5"/>
  <c r="S7" i="5"/>
  <c r="R7" i="5"/>
  <c r="Q7" i="5"/>
  <c r="AN6" i="5"/>
  <c r="AM6" i="5"/>
  <c r="AL6" i="5"/>
  <c r="AK6" i="5"/>
  <c r="AJ6" i="5"/>
  <c r="AI6" i="5"/>
  <c r="AH6" i="5"/>
  <c r="AG6" i="5"/>
  <c r="X6" i="5"/>
  <c r="W6" i="5"/>
  <c r="U6" i="5"/>
  <c r="T6" i="5"/>
  <c r="S6" i="5"/>
  <c r="R6" i="5"/>
  <c r="Q6" i="5"/>
  <c r="AN5" i="5"/>
  <c r="AM5" i="5"/>
  <c r="AL5" i="5"/>
  <c r="AK5" i="5"/>
  <c r="AJ5" i="5"/>
  <c r="AI5" i="5"/>
  <c r="AH5" i="5"/>
  <c r="AG5" i="5"/>
  <c r="X5" i="5"/>
  <c r="W5" i="5"/>
  <c r="U5" i="5"/>
  <c r="T5" i="5"/>
  <c r="S5" i="5"/>
  <c r="R5" i="5"/>
  <c r="Q5" i="5"/>
  <c r="AN4" i="5"/>
  <c r="AM4" i="5"/>
  <c r="AL4" i="5"/>
  <c r="AK4" i="5"/>
  <c r="AJ4" i="5"/>
  <c r="AI4" i="5"/>
  <c r="AH4" i="5"/>
  <c r="AG4" i="5"/>
  <c r="X4" i="5"/>
  <c r="W4" i="5"/>
  <c r="U4" i="5"/>
  <c r="T4" i="5"/>
  <c r="S4" i="5"/>
  <c r="R4" i="5"/>
  <c r="Q4" i="5"/>
  <c r="AO41" i="4"/>
  <c r="AP41" i="4" s="1"/>
  <c r="AN40" i="4"/>
  <c r="AM40" i="4"/>
  <c r="AL40" i="4"/>
  <c r="AK40" i="4"/>
  <c r="AJ40" i="4"/>
  <c r="AI40" i="4"/>
  <c r="AH40" i="4"/>
  <c r="AG40" i="4"/>
  <c r="X40" i="4"/>
  <c r="W40" i="4"/>
  <c r="U40" i="4"/>
  <c r="T40" i="4"/>
  <c r="S40" i="4"/>
  <c r="R40" i="4"/>
  <c r="Q40" i="4"/>
  <c r="AN39" i="4"/>
  <c r="AM39" i="4"/>
  <c r="AL39" i="4"/>
  <c r="AK39" i="4"/>
  <c r="AJ39" i="4"/>
  <c r="AI39" i="4"/>
  <c r="AH39" i="4"/>
  <c r="AG39" i="4"/>
  <c r="X39" i="4"/>
  <c r="W39" i="4"/>
  <c r="U39" i="4"/>
  <c r="T39" i="4"/>
  <c r="S39" i="4"/>
  <c r="R39" i="4"/>
  <c r="Q39" i="4"/>
  <c r="AN38" i="4"/>
  <c r="AM38" i="4"/>
  <c r="AL38" i="4"/>
  <c r="AK38" i="4"/>
  <c r="AJ38" i="4"/>
  <c r="AI38" i="4"/>
  <c r="AH38" i="4"/>
  <c r="AG38" i="4"/>
  <c r="X38" i="4"/>
  <c r="W38" i="4"/>
  <c r="U38" i="4"/>
  <c r="T38" i="4"/>
  <c r="S38" i="4"/>
  <c r="R38" i="4"/>
  <c r="Q38" i="4"/>
  <c r="AN37" i="4"/>
  <c r="AM37" i="4"/>
  <c r="AL37" i="4"/>
  <c r="AK37" i="4"/>
  <c r="AJ37" i="4"/>
  <c r="AI37" i="4"/>
  <c r="AH37" i="4"/>
  <c r="AG37" i="4"/>
  <c r="X37" i="4"/>
  <c r="W37" i="4"/>
  <c r="U37" i="4"/>
  <c r="T37" i="4"/>
  <c r="S37" i="4"/>
  <c r="R37" i="4"/>
  <c r="Q37" i="4"/>
  <c r="AN36" i="4"/>
  <c r="AM36" i="4"/>
  <c r="AL36" i="4"/>
  <c r="AK36" i="4"/>
  <c r="AJ36" i="4"/>
  <c r="AI36" i="4"/>
  <c r="AH36" i="4"/>
  <c r="AG36" i="4"/>
  <c r="X36" i="4"/>
  <c r="W36" i="4"/>
  <c r="U36" i="4"/>
  <c r="T36" i="4"/>
  <c r="S36" i="4"/>
  <c r="R36" i="4"/>
  <c r="Q36" i="4"/>
  <c r="AN35" i="4"/>
  <c r="AM35" i="4"/>
  <c r="AL35" i="4"/>
  <c r="AK35" i="4"/>
  <c r="AJ35" i="4"/>
  <c r="AI35" i="4"/>
  <c r="AH35" i="4"/>
  <c r="AG35" i="4"/>
  <c r="X35" i="4"/>
  <c r="W35" i="4"/>
  <c r="U35" i="4"/>
  <c r="T35" i="4"/>
  <c r="S35" i="4"/>
  <c r="R35" i="4"/>
  <c r="Q35" i="4"/>
  <c r="AN34" i="4"/>
  <c r="AM34" i="4"/>
  <c r="AL34" i="4"/>
  <c r="AK34" i="4"/>
  <c r="AJ34" i="4"/>
  <c r="AI34" i="4"/>
  <c r="AH34" i="4"/>
  <c r="AG34" i="4"/>
  <c r="X34" i="4"/>
  <c r="W34" i="4"/>
  <c r="U34" i="4"/>
  <c r="T34" i="4"/>
  <c r="S34" i="4"/>
  <c r="R34" i="4"/>
  <c r="Q34" i="4"/>
  <c r="AN33" i="4"/>
  <c r="AM33" i="4"/>
  <c r="AL33" i="4"/>
  <c r="AK33" i="4"/>
  <c r="AJ33" i="4"/>
  <c r="AI33" i="4"/>
  <c r="AH33" i="4"/>
  <c r="AG33" i="4"/>
  <c r="X33" i="4"/>
  <c r="W33" i="4"/>
  <c r="U33" i="4"/>
  <c r="T33" i="4"/>
  <c r="S33" i="4"/>
  <c r="R33" i="4"/>
  <c r="Q33" i="4"/>
  <c r="AN32" i="4"/>
  <c r="AM32" i="4"/>
  <c r="AL32" i="4"/>
  <c r="AK32" i="4"/>
  <c r="AJ32" i="4"/>
  <c r="AI32" i="4"/>
  <c r="AH32" i="4"/>
  <c r="AG32" i="4"/>
  <c r="X32" i="4"/>
  <c r="W32" i="4"/>
  <c r="U32" i="4"/>
  <c r="T32" i="4"/>
  <c r="S32" i="4"/>
  <c r="R32" i="4"/>
  <c r="Q32" i="4"/>
  <c r="AN31" i="4"/>
  <c r="AM31" i="4"/>
  <c r="AL31" i="4"/>
  <c r="AK31" i="4"/>
  <c r="AJ31" i="4"/>
  <c r="AI31" i="4"/>
  <c r="AH31" i="4"/>
  <c r="AG31" i="4"/>
  <c r="X31" i="4"/>
  <c r="W31" i="4"/>
  <c r="U31" i="4"/>
  <c r="T31" i="4"/>
  <c r="S31" i="4"/>
  <c r="R31" i="4"/>
  <c r="Q31" i="4"/>
  <c r="AN30" i="4"/>
  <c r="AM30" i="4"/>
  <c r="AL30" i="4"/>
  <c r="AK30" i="4"/>
  <c r="AJ30" i="4"/>
  <c r="AI30" i="4"/>
  <c r="AH30" i="4"/>
  <c r="AG30" i="4"/>
  <c r="X30" i="4"/>
  <c r="W30" i="4"/>
  <c r="U30" i="4"/>
  <c r="T30" i="4"/>
  <c r="S30" i="4"/>
  <c r="R30" i="4"/>
  <c r="Q30" i="4"/>
  <c r="AN29" i="4"/>
  <c r="AM29" i="4"/>
  <c r="AL29" i="4"/>
  <c r="AK29" i="4"/>
  <c r="AJ29" i="4"/>
  <c r="AI29" i="4"/>
  <c r="AH29" i="4"/>
  <c r="AG29" i="4"/>
  <c r="X29" i="4"/>
  <c r="W29" i="4"/>
  <c r="U29" i="4"/>
  <c r="T29" i="4"/>
  <c r="S29" i="4"/>
  <c r="R29" i="4"/>
  <c r="Q29" i="4"/>
  <c r="AN28" i="4"/>
  <c r="AM28" i="4"/>
  <c r="AL28" i="4"/>
  <c r="AK28" i="4"/>
  <c r="AJ28" i="4"/>
  <c r="AI28" i="4"/>
  <c r="AH28" i="4"/>
  <c r="AG28" i="4"/>
  <c r="X28" i="4"/>
  <c r="W28" i="4"/>
  <c r="U28" i="4"/>
  <c r="T28" i="4"/>
  <c r="S28" i="4"/>
  <c r="R28" i="4"/>
  <c r="Q28" i="4"/>
  <c r="AN27" i="4"/>
  <c r="AM27" i="4"/>
  <c r="AL27" i="4"/>
  <c r="AK27" i="4"/>
  <c r="AJ27" i="4"/>
  <c r="AI27" i="4"/>
  <c r="AH27" i="4"/>
  <c r="AG27" i="4"/>
  <c r="X27" i="4"/>
  <c r="W27" i="4"/>
  <c r="U27" i="4"/>
  <c r="T27" i="4"/>
  <c r="S27" i="4"/>
  <c r="R27" i="4"/>
  <c r="Q27" i="4"/>
  <c r="AN26" i="4"/>
  <c r="AM26" i="4"/>
  <c r="AL26" i="4"/>
  <c r="AK26" i="4"/>
  <c r="AJ26" i="4"/>
  <c r="AI26" i="4"/>
  <c r="AH26" i="4"/>
  <c r="AG26" i="4"/>
  <c r="X26" i="4"/>
  <c r="W26" i="4"/>
  <c r="U26" i="4"/>
  <c r="T26" i="4"/>
  <c r="S26" i="4"/>
  <c r="R26" i="4"/>
  <c r="Q26" i="4"/>
  <c r="AN25" i="4"/>
  <c r="AM25" i="4"/>
  <c r="AL25" i="4"/>
  <c r="AK25" i="4"/>
  <c r="AJ25" i="4"/>
  <c r="AI25" i="4"/>
  <c r="AH25" i="4"/>
  <c r="AG25" i="4"/>
  <c r="X25" i="4"/>
  <c r="W25" i="4"/>
  <c r="U25" i="4"/>
  <c r="T25" i="4"/>
  <c r="S25" i="4"/>
  <c r="R25" i="4"/>
  <c r="Q25" i="4"/>
  <c r="AN24" i="4"/>
  <c r="AM24" i="4"/>
  <c r="AL24" i="4"/>
  <c r="AK24" i="4"/>
  <c r="AJ24" i="4"/>
  <c r="AI24" i="4"/>
  <c r="AH24" i="4"/>
  <c r="AG24" i="4"/>
  <c r="X24" i="4"/>
  <c r="W24" i="4"/>
  <c r="U24" i="4"/>
  <c r="T24" i="4"/>
  <c r="S24" i="4"/>
  <c r="R24" i="4"/>
  <c r="Q24" i="4"/>
  <c r="AN23" i="4"/>
  <c r="AM23" i="4"/>
  <c r="AL23" i="4"/>
  <c r="AK23" i="4"/>
  <c r="AJ23" i="4"/>
  <c r="AI23" i="4"/>
  <c r="AH23" i="4"/>
  <c r="AG23" i="4"/>
  <c r="X23" i="4"/>
  <c r="W23" i="4"/>
  <c r="U23" i="4"/>
  <c r="T23" i="4"/>
  <c r="S23" i="4"/>
  <c r="R23" i="4"/>
  <c r="Q23" i="4"/>
  <c r="AN22" i="4"/>
  <c r="AM22" i="4"/>
  <c r="AL22" i="4"/>
  <c r="AK22" i="4"/>
  <c r="AJ22" i="4"/>
  <c r="AI22" i="4"/>
  <c r="AH22" i="4"/>
  <c r="AG22" i="4"/>
  <c r="X22" i="4"/>
  <c r="W22" i="4"/>
  <c r="U22" i="4"/>
  <c r="T22" i="4"/>
  <c r="S22" i="4"/>
  <c r="R22" i="4"/>
  <c r="Q22" i="4"/>
  <c r="AN21" i="4"/>
  <c r="AM21" i="4"/>
  <c r="AL21" i="4"/>
  <c r="AK21" i="4"/>
  <c r="AJ21" i="4"/>
  <c r="AI21" i="4"/>
  <c r="AH21" i="4"/>
  <c r="AG21" i="4"/>
  <c r="X21" i="4"/>
  <c r="W21" i="4"/>
  <c r="U21" i="4"/>
  <c r="T21" i="4"/>
  <c r="S21" i="4"/>
  <c r="R21" i="4"/>
  <c r="Q21" i="4"/>
  <c r="AN20" i="4"/>
  <c r="AM20" i="4"/>
  <c r="AL20" i="4"/>
  <c r="AK20" i="4"/>
  <c r="AJ20" i="4"/>
  <c r="AI20" i="4"/>
  <c r="AH20" i="4"/>
  <c r="AG20" i="4"/>
  <c r="X20" i="4"/>
  <c r="W20" i="4"/>
  <c r="U20" i="4"/>
  <c r="T20" i="4"/>
  <c r="S20" i="4"/>
  <c r="R20" i="4"/>
  <c r="Q20" i="4"/>
  <c r="AN19" i="4"/>
  <c r="AM19" i="4"/>
  <c r="AL19" i="4"/>
  <c r="AK19" i="4"/>
  <c r="AJ19" i="4"/>
  <c r="AI19" i="4"/>
  <c r="AH19" i="4"/>
  <c r="AG19" i="4"/>
  <c r="X19" i="4"/>
  <c r="W19" i="4"/>
  <c r="U19" i="4"/>
  <c r="T19" i="4"/>
  <c r="S19" i="4"/>
  <c r="R19" i="4"/>
  <c r="Q19" i="4"/>
  <c r="AN18" i="4"/>
  <c r="AM18" i="4"/>
  <c r="AL18" i="4"/>
  <c r="AK18" i="4"/>
  <c r="AJ18" i="4"/>
  <c r="AI18" i="4"/>
  <c r="AH18" i="4"/>
  <c r="AG18" i="4"/>
  <c r="X18" i="4"/>
  <c r="W18" i="4"/>
  <c r="U18" i="4"/>
  <c r="T18" i="4"/>
  <c r="S18" i="4"/>
  <c r="R18" i="4"/>
  <c r="Q18" i="4"/>
  <c r="AN17" i="4"/>
  <c r="AM17" i="4"/>
  <c r="AL17" i="4"/>
  <c r="AK17" i="4"/>
  <c r="AJ17" i="4"/>
  <c r="AI17" i="4"/>
  <c r="AH17" i="4"/>
  <c r="AG17" i="4"/>
  <c r="X17" i="4"/>
  <c r="W17" i="4"/>
  <c r="U17" i="4"/>
  <c r="T17" i="4"/>
  <c r="S17" i="4"/>
  <c r="R17" i="4"/>
  <c r="Q17" i="4"/>
  <c r="AN16" i="4"/>
  <c r="AM16" i="4"/>
  <c r="AL16" i="4"/>
  <c r="AK16" i="4"/>
  <c r="AJ16" i="4"/>
  <c r="AI16" i="4"/>
  <c r="AH16" i="4"/>
  <c r="AG16" i="4"/>
  <c r="X16" i="4"/>
  <c r="W16" i="4"/>
  <c r="U16" i="4"/>
  <c r="T16" i="4"/>
  <c r="S16" i="4"/>
  <c r="R16" i="4"/>
  <c r="Q16" i="4"/>
  <c r="AN15" i="4"/>
  <c r="AM15" i="4"/>
  <c r="AL15" i="4"/>
  <c r="AK15" i="4"/>
  <c r="AJ15" i="4"/>
  <c r="AI15" i="4"/>
  <c r="AH15" i="4"/>
  <c r="AG15" i="4"/>
  <c r="X15" i="4"/>
  <c r="W15" i="4"/>
  <c r="U15" i="4"/>
  <c r="T15" i="4"/>
  <c r="S15" i="4"/>
  <c r="R15" i="4"/>
  <c r="Q15" i="4"/>
  <c r="AN14" i="4"/>
  <c r="AM14" i="4"/>
  <c r="AL14" i="4"/>
  <c r="AK14" i="4"/>
  <c r="AJ14" i="4"/>
  <c r="AI14" i="4"/>
  <c r="AH14" i="4"/>
  <c r="AG14" i="4"/>
  <c r="X14" i="4"/>
  <c r="W14" i="4"/>
  <c r="U14" i="4"/>
  <c r="T14" i="4"/>
  <c r="S14" i="4"/>
  <c r="R14" i="4"/>
  <c r="Q14" i="4"/>
  <c r="AN13" i="4"/>
  <c r="AM13" i="4"/>
  <c r="AL13" i="4"/>
  <c r="AK13" i="4"/>
  <c r="AJ13" i="4"/>
  <c r="AI13" i="4"/>
  <c r="AH13" i="4"/>
  <c r="AG13" i="4"/>
  <c r="X13" i="4"/>
  <c r="W13" i="4"/>
  <c r="U13" i="4"/>
  <c r="T13" i="4"/>
  <c r="S13" i="4"/>
  <c r="R13" i="4"/>
  <c r="Q13" i="4"/>
  <c r="AN12" i="4"/>
  <c r="AM12" i="4"/>
  <c r="AL12" i="4"/>
  <c r="AK12" i="4"/>
  <c r="AJ12" i="4"/>
  <c r="AI12" i="4"/>
  <c r="AH12" i="4"/>
  <c r="AG12" i="4"/>
  <c r="X12" i="4"/>
  <c r="W12" i="4"/>
  <c r="U12" i="4"/>
  <c r="T12" i="4"/>
  <c r="S12" i="4"/>
  <c r="R12" i="4"/>
  <c r="Q12" i="4"/>
  <c r="AN11" i="4"/>
  <c r="AM11" i="4"/>
  <c r="AL11" i="4"/>
  <c r="AK11" i="4"/>
  <c r="AJ11" i="4"/>
  <c r="AI11" i="4"/>
  <c r="AH11" i="4"/>
  <c r="AG11" i="4"/>
  <c r="X11" i="4"/>
  <c r="W11" i="4"/>
  <c r="U11" i="4"/>
  <c r="T11" i="4"/>
  <c r="S11" i="4"/>
  <c r="R11" i="4"/>
  <c r="Q11" i="4"/>
  <c r="AN10" i="4"/>
  <c r="AM10" i="4"/>
  <c r="AL10" i="4"/>
  <c r="AK10" i="4"/>
  <c r="AJ10" i="4"/>
  <c r="AI10" i="4"/>
  <c r="AH10" i="4"/>
  <c r="AG10" i="4"/>
  <c r="X10" i="4"/>
  <c r="W10" i="4"/>
  <c r="U10" i="4"/>
  <c r="T10" i="4"/>
  <c r="S10" i="4"/>
  <c r="R10" i="4"/>
  <c r="Q10" i="4"/>
  <c r="AN9" i="4"/>
  <c r="AM9" i="4"/>
  <c r="AL9" i="4"/>
  <c r="AK9" i="4"/>
  <c r="AJ9" i="4"/>
  <c r="AI9" i="4"/>
  <c r="AH9" i="4"/>
  <c r="AG9" i="4"/>
  <c r="X9" i="4"/>
  <c r="W9" i="4"/>
  <c r="U9" i="4"/>
  <c r="T9" i="4"/>
  <c r="S9" i="4"/>
  <c r="R9" i="4"/>
  <c r="Q9" i="4"/>
  <c r="AN8" i="4"/>
  <c r="AM8" i="4"/>
  <c r="AL8" i="4"/>
  <c r="AK8" i="4"/>
  <c r="AJ8" i="4"/>
  <c r="AI8" i="4"/>
  <c r="AH8" i="4"/>
  <c r="AG8" i="4"/>
  <c r="X8" i="4"/>
  <c r="W8" i="4"/>
  <c r="U8" i="4"/>
  <c r="T8" i="4"/>
  <c r="S8" i="4"/>
  <c r="R8" i="4"/>
  <c r="Q8" i="4"/>
  <c r="AN7" i="4"/>
  <c r="AM7" i="4"/>
  <c r="AL7" i="4"/>
  <c r="AK7" i="4"/>
  <c r="AJ7" i="4"/>
  <c r="AI7" i="4"/>
  <c r="AH7" i="4"/>
  <c r="AG7" i="4"/>
  <c r="X7" i="4"/>
  <c r="W7" i="4"/>
  <c r="U7" i="4"/>
  <c r="T7" i="4"/>
  <c r="S7" i="4"/>
  <c r="R7" i="4"/>
  <c r="Q7" i="4"/>
  <c r="AN6" i="4"/>
  <c r="AM6" i="4"/>
  <c r="AL6" i="4"/>
  <c r="AK6" i="4"/>
  <c r="AJ6" i="4"/>
  <c r="AI6" i="4"/>
  <c r="AH6" i="4"/>
  <c r="AG6" i="4"/>
  <c r="X6" i="4"/>
  <c r="W6" i="4"/>
  <c r="U6" i="4"/>
  <c r="T6" i="4"/>
  <c r="S6" i="4"/>
  <c r="R6" i="4"/>
  <c r="Q6" i="4"/>
  <c r="AN5" i="4"/>
  <c r="AM5" i="4"/>
  <c r="AL5" i="4"/>
  <c r="AK5" i="4"/>
  <c r="AJ5" i="4"/>
  <c r="AI5" i="4"/>
  <c r="AH5" i="4"/>
  <c r="AG5" i="4"/>
  <c r="X5" i="4"/>
  <c r="W5" i="4"/>
  <c r="U5" i="4"/>
  <c r="T5" i="4"/>
  <c r="S5" i="4"/>
  <c r="R5" i="4"/>
  <c r="Q5" i="4"/>
  <c r="AN4" i="4"/>
  <c r="AM4" i="4"/>
  <c r="AL4" i="4"/>
  <c r="AK4" i="4"/>
  <c r="AJ4" i="4"/>
  <c r="AI4" i="4"/>
  <c r="AH4" i="4"/>
  <c r="AG4" i="4"/>
  <c r="X4" i="4"/>
  <c r="W4" i="4"/>
  <c r="U4" i="4"/>
  <c r="T4" i="4"/>
  <c r="S4" i="4"/>
  <c r="R4" i="4"/>
  <c r="Q4" i="4"/>
  <c r="AN2" i="6"/>
  <c r="AN2" i="9" s="1"/>
  <c r="AN45" i="9" s="1"/>
  <c r="AN2" i="4"/>
  <c r="AO2" i="4"/>
  <c r="R2" i="3"/>
  <c r="R2" i="4" s="1"/>
  <c r="R2" i="5" s="1"/>
  <c r="R2" i="6" s="1"/>
  <c r="R2" i="9" s="1"/>
  <c r="T2" i="3"/>
  <c r="S2" i="4" s="1"/>
  <c r="S2" i="5" s="1"/>
  <c r="S2" i="6" s="1"/>
  <c r="S2" i="9" s="1"/>
  <c r="U2" i="3"/>
  <c r="T2" i="4" s="1"/>
  <c r="T2" i="5" s="1"/>
  <c r="T2" i="6" s="1"/>
  <c r="T2" i="9" s="1"/>
  <c r="V2" i="3"/>
  <c r="U2" i="4" s="1"/>
  <c r="U2" i="5" s="1"/>
  <c r="U2" i="6" s="1"/>
  <c r="U2" i="9" s="1"/>
  <c r="X2" i="3"/>
  <c r="W2" i="4" s="1"/>
  <c r="Y2" i="3"/>
  <c r="Y45" i="3" s="1"/>
  <c r="AF2" i="3"/>
  <c r="AE2" i="4" s="1"/>
  <c r="AH2" i="3"/>
  <c r="AG2" i="4" s="1"/>
  <c r="AG2" i="5" s="1"/>
  <c r="AG2" i="6" s="1"/>
  <c r="AG2" i="9" s="1"/>
  <c r="AI2" i="3"/>
  <c r="AH2" i="4" s="1"/>
  <c r="AH2" i="5" s="1"/>
  <c r="AH2" i="6" s="1"/>
  <c r="AH2" i="9" s="1"/>
  <c r="AJ2" i="3"/>
  <c r="AI2" i="4" s="1"/>
  <c r="AI2" i="5" s="1"/>
  <c r="AI2" i="6" s="1"/>
  <c r="AI2" i="9" s="1"/>
  <c r="AK2" i="3"/>
  <c r="AJ2" i="4" s="1"/>
  <c r="AJ2" i="5" s="1"/>
  <c r="AJ2" i="6" s="1"/>
  <c r="AJ2" i="9" s="1"/>
  <c r="AL2" i="3"/>
  <c r="AK2" i="4" s="1"/>
  <c r="AK2" i="5" s="1"/>
  <c r="AK2" i="6" s="1"/>
  <c r="AK2" i="9" s="1"/>
  <c r="AM2" i="3"/>
  <c r="AL2" i="4" s="1"/>
  <c r="AL2" i="5" s="1"/>
  <c r="AL2" i="6" s="1"/>
  <c r="AL2" i="9" s="1"/>
  <c r="AN2" i="3"/>
  <c r="AM2" i="4" s="1"/>
  <c r="AM2" i="5" s="1"/>
  <c r="AM2" i="6" s="1"/>
  <c r="AM2" i="9" s="1"/>
  <c r="Q2" i="3"/>
  <c r="Q2" i="4" s="1"/>
  <c r="Q2" i="5" s="1"/>
  <c r="Q2" i="6" s="1"/>
  <c r="Q2" i="9" s="1"/>
  <c r="R4" i="3"/>
  <c r="T4" i="3"/>
  <c r="U4" i="3"/>
  <c r="V4" i="3"/>
  <c r="X4" i="3"/>
  <c r="Y4" i="3"/>
  <c r="AF4" i="3"/>
  <c r="AH4" i="3"/>
  <c r="AI4" i="3"/>
  <c r="AJ4" i="3"/>
  <c r="AK4" i="3"/>
  <c r="AL4" i="3"/>
  <c r="AM4" i="3"/>
  <c r="AN4" i="3"/>
  <c r="AO4" i="3"/>
  <c r="R5" i="3"/>
  <c r="T5" i="3"/>
  <c r="U5" i="3"/>
  <c r="V5" i="3"/>
  <c r="X5" i="3"/>
  <c r="Y5" i="3"/>
  <c r="AF5" i="3"/>
  <c r="AH5" i="3"/>
  <c r="AI5" i="3"/>
  <c r="AJ5" i="3"/>
  <c r="AK5" i="3"/>
  <c r="AL5" i="3"/>
  <c r="AM5" i="3"/>
  <c r="AN5" i="3"/>
  <c r="AO5" i="3"/>
  <c r="R6" i="3"/>
  <c r="T6" i="3"/>
  <c r="U6" i="3"/>
  <c r="V6" i="3"/>
  <c r="X6" i="3"/>
  <c r="Y6" i="3"/>
  <c r="AF6" i="3"/>
  <c r="AH6" i="3"/>
  <c r="AI6" i="3"/>
  <c r="AJ6" i="3"/>
  <c r="AK6" i="3"/>
  <c r="AL6" i="3"/>
  <c r="AM6" i="3"/>
  <c r="AN6" i="3"/>
  <c r="AO6" i="3"/>
  <c r="R7" i="3"/>
  <c r="T7" i="3"/>
  <c r="U7" i="3"/>
  <c r="V7" i="3"/>
  <c r="X7" i="3"/>
  <c r="Y7" i="3"/>
  <c r="AF7" i="3"/>
  <c r="AH7" i="3"/>
  <c r="AI7" i="3"/>
  <c r="AJ7" i="3"/>
  <c r="AK7" i="3"/>
  <c r="AL7" i="3"/>
  <c r="AM7" i="3"/>
  <c r="AN7" i="3"/>
  <c r="AO7" i="3"/>
  <c r="R8" i="3"/>
  <c r="T8" i="3"/>
  <c r="U8" i="3"/>
  <c r="V8" i="3"/>
  <c r="X8" i="3"/>
  <c r="Y8" i="3"/>
  <c r="AF8" i="3"/>
  <c r="AH8" i="3"/>
  <c r="AI8" i="3"/>
  <c r="AJ8" i="3"/>
  <c r="AK8" i="3"/>
  <c r="AL8" i="3"/>
  <c r="AM8" i="3"/>
  <c r="AN8" i="3"/>
  <c r="AO8" i="3"/>
  <c r="R9" i="3"/>
  <c r="T9" i="3"/>
  <c r="U9" i="3"/>
  <c r="V9" i="3"/>
  <c r="X9" i="3"/>
  <c r="Y9" i="3"/>
  <c r="AF9" i="3"/>
  <c r="AH9" i="3"/>
  <c r="AI9" i="3"/>
  <c r="AJ9" i="3"/>
  <c r="AK9" i="3"/>
  <c r="AL9" i="3"/>
  <c r="AM9" i="3"/>
  <c r="AN9" i="3"/>
  <c r="AO9" i="3"/>
  <c r="R10" i="3"/>
  <c r="T10" i="3"/>
  <c r="U10" i="3"/>
  <c r="V10" i="3"/>
  <c r="X10" i="3"/>
  <c r="Y10" i="3"/>
  <c r="AF10" i="3"/>
  <c r="AH10" i="3"/>
  <c r="AI10" i="3"/>
  <c r="AJ10" i="3"/>
  <c r="AK10" i="3"/>
  <c r="AL10" i="3"/>
  <c r="AM10" i="3"/>
  <c r="AN10" i="3"/>
  <c r="AO10" i="3"/>
  <c r="R11" i="3"/>
  <c r="T11" i="3"/>
  <c r="U11" i="3"/>
  <c r="V11" i="3"/>
  <c r="X11" i="3"/>
  <c r="Y11" i="3"/>
  <c r="AF11" i="3"/>
  <c r="AH11" i="3"/>
  <c r="AI11" i="3"/>
  <c r="AJ11" i="3"/>
  <c r="AK11" i="3"/>
  <c r="AL11" i="3"/>
  <c r="AM11" i="3"/>
  <c r="AN11" i="3"/>
  <c r="AO11" i="3"/>
  <c r="R12" i="3"/>
  <c r="T12" i="3"/>
  <c r="U12" i="3"/>
  <c r="V12" i="3"/>
  <c r="X12" i="3"/>
  <c r="Y12" i="3"/>
  <c r="AF12" i="3"/>
  <c r="AH12" i="3"/>
  <c r="AI12" i="3"/>
  <c r="AJ12" i="3"/>
  <c r="AK12" i="3"/>
  <c r="AL12" i="3"/>
  <c r="AM12" i="3"/>
  <c r="AN12" i="3"/>
  <c r="AO12" i="3"/>
  <c r="R13" i="3"/>
  <c r="T13" i="3"/>
  <c r="U13" i="3"/>
  <c r="V13" i="3"/>
  <c r="X13" i="3"/>
  <c r="Y13" i="3"/>
  <c r="AF13" i="3"/>
  <c r="AH13" i="3"/>
  <c r="AI13" i="3"/>
  <c r="AJ13" i="3"/>
  <c r="AK13" i="3"/>
  <c r="AL13" i="3"/>
  <c r="AM13" i="3"/>
  <c r="AN13" i="3"/>
  <c r="AO13" i="3"/>
  <c r="R14" i="3"/>
  <c r="T14" i="3"/>
  <c r="U14" i="3"/>
  <c r="V14" i="3"/>
  <c r="X14" i="3"/>
  <c r="Y14" i="3"/>
  <c r="AF14" i="3"/>
  <c r="AH14" i="3"/>
  <c r="AI14" i="3"/>
  <c r="AJ14" i="3"/>
  <c r="AK14" i="3"/>
  <c r="AL14" i="3"/>
  <c r="AM14" i="3"/>
  <c r="AN14" i="3"/>
  <c r="AO14" i="3"/>
  <c r="R15" i="3"/>
  <c r="T15" i="3"/>
  <c r="U15" i="3"/>
  <c r="V15" i="3"/>
  <c r="X15" i="3"/>
  <c r="Y15" i="3"/>
  <c r="AF15" i="3"/>
  <c r="AH15" i="3"/>
  <c r="AI15" i="3"/>
  <c r="AJ15" i="3"/>
  <c r="AK15" i="3"/>
  <c r="AL15" i="3"/>
  <c r="AM15" i="3"/>
  <c r="AN15" i="3"/>
  <c r="AO15" i="3"/>
  <c r="R16" i="3"/>
  <c r="T16" i="3"/>
  <c r="U16" i="3"/>
  <c r="V16" i="3"/>
  <c r="X16" i="3"/>
  <c r="Y16" i="3"/>
  <c r="AF16" i="3"/>
  <c r="AH16" i="3"/>
  <c r="AI16" i="3"/>
  <c r="AJ16" i="3"/>
  <c r="AK16" i="3"/>
  <c r="AL16" i="3"/>
  <c r="AM16" i="3"/>
  <c r="AN16" i="3"/>
  <c r="AO16" i="3"/>
  <c r="R17" i="3"/>
  <c r="T17" i="3"/>
  <c r="U17" i="3"/>
  <c r="V17" i="3"/>
  <c r="X17" i="3"/>
  <c r="Y17" i="3"/>
  <c r="AF17" i="3"/>
  <c r="AH17" i="3"/>
  <c r="AI17" i="3"/>
  <c r="AJ17" i="3"/>
  <c r="AK17" i="3"/>
  <c r="AL17" i="3"/>
  <c r="AM17" i="3"/>
  <c r="AN17" i="3"/>
  <c r="AO17" i="3"/>
  <c r="R18" i="3"/>
  <c r="T18" i="3"/>
  <c r="U18" i="3"/>
  <c r="V18" i="3"/>
  <c r="X18" i="3"/>
  <c r="Y18" i="3"/>
  <c r="AF18" i="3"/>
  <c r="AH18" i="3"/>
  <c r="AI18" i="3"/>
  <c r="AJ18" i="3"/>
  <c r="AK18" i="3"/>
  <c r="AL18" i="3"/>
  <c r="AM18" i="3"/>
  <c r="AN18" i="3"/>
  <c r="AO18" i="3"/>
  <c r="R19" i="3"/>
  <c r="T19" i="3"/>
  <c r="U19" i="3"/>
  <c r="V19" i="3"/>
  <c r="X19" i="3"/>
  <c r="Y19" i="3"/>
  <c r="AF19" i="3"/>
  <c r="AH19" i="3"/>
  <c r="AI19" i="3"/>
  <c r="AJ19" i="3"/>
  <c r="AK19" i="3"/>
  <c r="AL19" i="3"/>
  <c r="AM19" i="3"/>
  <c r="AN19" i="3"/>
  <c r="AO19" i="3"/>
  <c r="R20" i="3"/>
  <c r="T20" i="3"/>
  <c r="U20" i="3"/>
  <c r="V20" i="3"/>
  <c r="X20" i="3"/>
  <c r="Y20" i="3"/>
  <c r="AF20" i="3"/>
  <c r="AH20" i="3"/>
  <c r="AI20" i="3"/>
  <c r="AJ20" i="3"/>
  <c r="AK20" i="3"/>
  <c r="AL20" i="3"/>
  <c r="AM20" i="3"/>
  <c r="AN20" i="3"/>
  <c r="AO20" i="3"/>
  <c r="R21" i="3"/>
  <c r="T21" i="3"/>
  <c r="U21" i="3"/>
  <c r="V21" i="3"/>
  <c r="X21" i="3"/>
  <c r="Y21" i="3"/>
  <c r="AF21" i="3"/>
  <c r="AH21" i="3"/>
  <c r="AI21" i="3"/>
  <c r="AJ21" i="3"/>
  <c r="AK21" i="3"/>
  <c r="AL21" i="3"/>
  <c r="AM21" i="3"/>
  <c r="AN21" i="3"/>
  <c r="AO21" i="3"/>
  <c r="R22" i="3"/>
  <c r="T22" i="3"/>
  <c r="U22" i="3"/>
  <c r="V22" i="3"/>
  <c r="X22" i="3"/>
  <c r="Y22" i="3"/>
  <c r="AF22" i="3"/>
  <c r="AH22" i="3"/>
  <c r="AI22" i="3"/>
  <c r="AJ22" i="3"/>
  <c r="AK22" i="3"/>
  <c r="AL22" i="3"/>
  <c r="AM22" i="3"/>
  <c r="AN22" i="3"/>
  <c r="AO22" i="3"/>
  <c r="R23" i="3"/>
  <c r="T23" i="3"/>
  <c r="U23" i="3"/>
  <c r="V23" i="3"/>
  <c r="X23" i="3"/>
  <c r="Y23" i="3"/>
  <c r="AF23" i="3"/>
  <c r="AH23" i="3"/>
  <c r="AI23" i="3"/>
  <c r="AJ23" i="3"/>
  <c r="AK23" i="3"/>
  <c r="AL23" i="3"/>
  <c r="AM23" i="3"/>
  <c r="AN23" i="3"/>
  <c r="AO23" i="3"/>
  <c r="R24" i="3"/>
  <c r="T24" i="3"/>
  <c r="U24" i="3"/>
  <c r="V24" i="3"/>
  <c r="X24" i="3"/>
  <c r="Y24" i="3"/>
  <c r="AF24" i="3"/>
  <c r="AH24" i="3"/>
  <c r="AI24" i="3"/>
  <c r="AJ24" i="3"/>
  <c r="AK24" i="3"/>
  <c r="AL24" i="3"/>
  <c r="AM24" i="3"/>
  <c r="AN24" i="3"/>
  <c r="AO24" i="3"/>
  <c r="R25" i="3"/>
  <c r="T25" i="3"/>
  <c r="U25" i="3"/>
  <c r="V25" i="3"/>
  <c r="X25" i="3"/>
  <c r="Y25" i="3"/>
  <c r="AF25" i="3"/>
  <c r="AH25" i="3"/>
  <c r="AI25" i="3"/>
  <c r="AJ25" i="3"/>
  <c r="AK25" i="3"/>
  <c r="AL25" i="3"/>
  <c r="AM25" i="3"/>
  <c r="AN25" i="3"/>
  <c r="AO25" i="3"/>
  <c r="R26" i="3"/>
  <c r="T26" i="3"/>
  <c r="U26" i="3"/>
  <c r="V26" i="3"/>
  <c r="X26" i="3"/>
  <c r="Y26" i="3"/>
  <c r="AF26" i="3"/>
  <c r="AH26" i="3"/>
  <c r="AI26" i="3"/>
  <c r="AJ26" i="3"/>
  <c r="AK26" i="3"/>
  <c r="AL26" i="3"/>
  <c r="AM26" i="3"/>
  <c r="AN26" i="3"/>
  <c r="AO26" i="3"/>
  <c r="R27" i="3"/>
  <c r="T27" i="3"/>
  <c r="U27" i="3"/>
  <c r="V27" i="3"/>
  <c r="X27" i="3"/>
  <c r="Y27" i="3"/>
  <c r="AF27" i="3"/>
  <c r="AH27" i="3"/>
  <c r="AI27" i="3"/>
  <c r="AJ27" i="3"/>
  <c r="AK27" i="3"/>
  <c r="AL27" i="3"/>
  <c r="AM27" i="3"/>
  <c r="AN27" i="3"/>
  <c r="AO27" i="3"/>
  <c r="R28" i="3"/>
  <c r="T28" i="3"/>
  <c r="U28" i="3"/>
  <c r="V28" i="3"/>
  <c r="X28" i="3"/>
  <c r="Y28" i="3"/>
  <c r="AF28" i="3"/>
  <c r="AH28" i="3"/>
  <c r="AI28" i="3"/>
  <c r="AJ28" i="3"/>
  <c r="AK28" i="3"/>
  <c r="AL28" i="3"/>
  <c r="AM28" i="3"/>
  <c r="AN28" i="3"/>
  <c r="AO28" i="3"/>
  <c r="R29" i="3"/>
  <c r="T29" i="3"/>
  <c r="U29" i="3"/>
  <c r="V29" i="3"/>
  <c r="X29" i="3"/>
  <c r="Y29" i="3"/>
  <c r="AF29" i="3"/>
  <c r="AH29" i="3"/>
  <c r="AI29" i="3"/>
  <c r="AJ29" i="3"/>
  <c r="AK29" i="3"/>
  <c r="AL29" i="3"/>
  <c r="AM29" i="3"/>
  <c r="AN29" i="3"/>
  <c r="AO29" i="3"/>
  <c r="R30" i="3"/>
  <c r="T30" i="3"/>
  <c r="U30" i="3"/>
  <c r="V30" i="3"/>
  <c r="X30" i="3"/>
  <c r="Y30" i="3"/>
  <c r="AF30" i="3"/>
  <c r="AH30" i="3"/>
  <c r="AI30" i="3"/>
  <c r="AJ30" i="3"/>
  <c r="AK30" i="3"/>
  <c r="AL30" i="3"/>
  <c r="AM30" i="3"/>
  <c r="AN30" i="3"/>
  <c r="AO30" i="3"/>
  <c r="R31" i="3"/>
  <c r="T31" i="3"/>
  <c r="U31" i="3"/>
  <c r="V31" i="3"/>
  <c r="X31" i="3"/>
  <c r="Y31" i="3"/>
  <c r="AF31" i="3"/>
  <c r="AH31" i="3"/>
  <c r="AI31" i="3"/>
  <c r="AJ31" i="3"/>
  <c r="AK31" i="3"/>
  <c r="AL31" i="3"/>
  <c r="AM31" i="3"/>
  <c r="AN31" i="3"/>
  <c r="AO31" i="3"/>
  <c r="R32" i="3"/>
  <c r="T32" i="3"/>
  <c r="U32" i="3"/>
  <c r="V32" i="3"/>
  <c r="X32" i="3"/>
  <c r="Y32" i="3"/>
  <c r="AF32" i="3"/>
  <c r="AH32" i="3"/>
  <c r="AI32" i="3"/>
  <c r="AJ32" i="3"/>
  <c r="AK32" i="3"/>
  <c r="AL32" i="3"/>
  <c r="AM32" i="3"/>
  <c r="AN32" i="3"/>
  <c r="AO32" i="3"/>
  <c r="R33" i="3"/>
  <c r="T33" i="3"/>
  <c r="U33" i="3"/>
  <c r="V33" i="3"/>
  <c r="X33" i="3"/>
  <c r="Y33" i="3"/>
  <c r="AF33" i="3"/>
  <c r="AH33" i="3"/>
  <c r="AI33" i="3"/>
  <c r="AJ33" i="3"/>
  <c r="AK33" i="3"/>
  <c r="AL33" i="3"/>
  <c r="AM33" i="3"/>
  <c r="AN33" i="3"/>
  <c r="AO33" i="3"/>
  <c r="R34" i="3"/>
  <c r="T34" i="3"/>
  <c r="U34" i="3"/>
  <c r="V34" i="3"/>
  <c r="X34" i="3"/>
  <c r="Y34" i="3"/>
  <c r="AF34" i="3"/>
  <c r="AH34" i="3"/>
  <c r="AI34" i="3"/>
  <c r="AJ34" i="3"/>
  <c r="AK34" i="3"/>
  <c r="AL34" i="3"/>
  <c r="AM34" i="3"/>
  <c r="AN34" i="3"/>
  <c r="AO34" i="3"/>
  <c r="R35" i="3"/>
  <c r="T35" i="3"/>
  <c r="U35" i="3"/>
  <c r="V35" i="3"/>
  <c r="X35" i="3"/>
  <c r="Y35" i="3"/>
  <c r="AF35" i="3"/>
  <c r="AH35" i="3"/>
  <c r="AI35" i="3"/>
  <c r="AJ35" i="3"/>
  <c r="AK35" i="3"/>
  <c r="AL35" i="3"/>
  <c r="AM35" i="3"/>
  <c r="AN35" i="3"/>
  <c r="AO35" i="3"/>
  <c r="R36" i="3"/>
  <c r="T36" i="3"/>
  <c r="U36" i="3"/>
  <c r="V36" i="3"/>
  <c r="X36" i="3"/>
  <c r="Y36" i="3"/>
  <c r="AF36" i="3"/>
  <c r="AH36" i="3"/>
  <c r="AI36" i="3"/>
  <c r="AJ36" i="3"/>
  <c r="AK36" i="3"/>
  <c r="AL36" i="3"/>
  <c r="AM36" i="3"/>
  <c r="AN36" i="3"/>
  <c r="AO36" i="3"/>
  <c r="R37" i="3"/>
  <c r="T37" i="3"/>
  <c r="U37" i="3"/>
  <c r="V37" i="3"/>
  <c r="X37" i="3"/>
  <c r="Y37" i="3"/>
  <c r="AF37" i="3"/>
  <c r="AH37" i="3"/>
  <c r="AI37" i="3"/>
  <c r="AJ37" i="3"/>
  <c r="AK37" i="3"/>
  <c r="AL37" i="3"/>
  <c r="AM37" i="3"/>
  <c r="AN37" i="3"/>
  <c r="AO37" i="3"/>
  <c r="R38" i="3"/>
  <c r="T38" i="3"/>
  <c r="U38" i="3"/>
  <c r="V38" i="3"/>
  <c r="X38" i="3"/>
  <c r="Y38" i="3"/>
  <c r="AF38" i="3"/>
  <c r="AH38" i="3"/>
  <c r="AI38" i="3"/>
  <c r="AJ38" i="3"/>
  <c r="AK38" i="3"/>
  <c r="AL38" i="3"/>
  <c r="AM38" i="3"/>
  <c r="AN38" i="3"/>
  <c r="AO38" i="3"/>
  <c r="R39" i="3"/>
  <c r="T39" i="3"/>
  <c r="U39" i="3"/>
  <c r="V39" i="3"/>
  <c r="X39" i="3"/>
  <c r="Y39" i="3"/>
  <c r="AF39" i="3"/>
  <c r="AH39" i="3"/>
  <c r="AI39" i="3"/>
  <c r="AJ39" i="3"/>
  <c r="AK39" i="3"/>
  <c r="AL39" i="3"/>
  <c r="AM39" i="3"/>
  <c r="AN39" i="3"/>
  <c r="AO39" i="3"/>
  <c r="R40" i="3"/>
  <c r="T40" i="3"/>
  <c r="U40" i="3"/>
  <c r="V40" i="3"/>
  <c r="X40" i="3"/>
  <c r="Y40" i="3"/>
  <c r="AF40" i="3"/>
  <c r="AH40" i="3"/>
  <c r="AI40" i="3"/>
  <c r="AJ40" i="3"/>
  <c r="AK40" i="3"/>
  <c r="AL40" i="3"/>
  <c r="AM40" i="3"/>
  <c r="AN40" i="3"/>
  <c r="AO40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AO46" i="9"/>
  <c r="O42" i="9"/>
  <c r="N42" i="9"/>
  <c r="M42" i="9"/>
  <c r="L42" i="9"/>
  <c r="K42" i="9"/>
  <c r="J42" i="9"/>
  <c r="H42" i="9"/>
  <c r="F42" i="9"/>
  <c r="P40" i="9"/>
  <c r="P39" i="9"/>
  <c r="G39" i="9"/>
  <c r="I39" i="9" s="1"/>
  <c r="E39" i="9"/>
  <c r="D39" i="9"/>
  <c r="B39" i="9"/>
  <c r="A39" i="9"/>
  <c r="P38" i="9"/>
  <c r="I38" i="9"/>
  <c r="G38" i="9"/>
  <c r="E38" i="9"/>
  <c r="D38" i="9"/>
  <c r="B38" i="9"/>
  <c r="A38" i="9"/>
  <c r="P37" i="9"/>
  <c r="G37" i="9"/>
  <c r="I37" i="9" s="1"/>
  <c r="E37" i="9"/>
  <c r="D37" i="9"/>
  <c r="B37" i="9"/>
  <c r="A37" i="9"/>
  <c r="P36" i="9"/>
  <c r="I36" i="9"/>
  <c r="G36" i="9"/>
  <c r="E36" i="9"/>
  <c r="D36" i="9"/>
  <c r="B36" i="9"/>
  <c r="A36" i="9"/>
  <c r="P35" i="9"/>
  <c r="I35" i="9"/>
  <c r="G35" i="9"/>
  <c r="E35" i="9"/>
  <c r="D35" i="9"/>
  <c r="B35" i="9"/>
  <c r="A35" i="9"/>
  <c r="P34" i="9"/>
  <c r="I34" i="9"/>
  <c r="G34" i="9"/>
  <c r="E34" i="9"/>
  <c r="D34" i="9"/>
  <c r="B34" i="9"/>
  <c r="A34" i="9"/>
  <c r="P33" i="9"/>
  <c r="G33" i="9"/>
  <c r="I33" i="9" s="1"/>
  <c r="E33" i="9"/>
  <c r="D33" i="9"/>
  <c r="B33" i="9"/>
  <c r="A33" i="9"/>
  <c r="P32" i="9"/>
  <c r="I32" i="9"/>
  <c r="G32" i="9"/>
  <c r="E32" i="9"/>
  <c r="D32" i="9"/>
  <c r="B32" i="9"/>
  <c r="A32" i="9"/>
  <c r="P31" i="9"/>
  <c r="I31" i="9"/>
  <c r="G31" i="9"/>
  <c r="E31" i="9"/>
  <c r="D31" i="9"/>
  <c r="B31" i="9"/>
  <c r="A31" i="9"/>
  <c r="P30" i="9"/>
  <c r="I30" i="9"/>
  <c r="G30" i="9"/>
  <c r="E30" i="9"/>
  <c r="D30" i="9"/>
  <c r="B30" i="9"/>
  <c r="A30" i="9"/>
  <c r="P29" i="9"/>
  <c r="G29" i="9"/>
  <c r="I29" i="9" s="1"/>
  <c r="E29" i="9"/>
  <c r="D29" i="9"/>
  <c r="B29" i="9"/>
  <c r="A29" i="9"/>
  <c r="P28" i="9"/>
  <c r="I28" i="9"/>
  <c r="G28" i="9"/>
  <c r="E28" i="9"/>
  <c r="D28" i="9"/>
  <c r="B28" i="9"/>
  <c r="A28" i="9"/>
  <c r="P27" i="9"/>
  <c r="I27" i="9"/>
  <c r="G27" i="9"/>
  <c r="E27" i="9"/>
  <c r="D27" i="9"/>
  <c r="B27" i="9"/>
  <c r="A27" i="9"/>
  <c r="P26" i="9"/>
  <c r="I26" i="9"/>
  <c r="G26" i="9"/>
  <c r="E26" i="9"/>
  <c r="D26" i="9"/>
  <c r="B26" i="9"/>
  <c r="A26" i="9"/>
  <c r="P25" i="9"/>
  <c r="G25" i="9"/>
  <c r="I25" i="9" s="1"/>
  <c r="E25" i="9"/>
  <c r="D25" i="9"/>
  <c r="B25" i="9"/>
  <c r="A25" i="9"/>
  <c r="P24" i="9"/>
  <c r="I24" i="9"/>
  <c r="G24" i="9"/>
  <c r="E24" i="9"/>
  <c r="D24" i="9"/>
  <c r="B24" i="9"/>
  <c r="A24" i="9"/>
  <c r="P23" i="9"/>
  <c r="G23" i="9"/>
  <c r="I23" i="9" s="1"/>
  <c r="E23" i="9"/>
  <c r="D23" i="9"/>
  <c r="B23" i="9"/>
  <c r="A23" i="9"/>
  <c r="P22" i="9"/>
  <c r="I22" i="9"/>
  <c r="G22" i="9"/>
  <c r="E22" i="9"/>
  <c r="D22" i="9"/>
  <c r="B22" i="9"/>
  <c r="A22" i="9"/>
  <c r="P21" i="9"/>
  <c r="G21" i="9"/>
  <c r="I21" i="9" s="1"/>
  <c r="E21" i="9"/>
  <c r="D21" i="9"/>
  <c r="B21" i="9"/>
  <c r="A21" i="9"/>
  <c r="P20" i="9"/>
  <c r="G20" i="9"/>
  <c r="I20" i="9" s="1"/>
  <c r="E20" i="9"/>
  <c r="D20" i="9"/>
  <c r="B20" i="9"/>
  <c r="A20" i="9"/>
  <c r="P19" i="9"/>
  <c r="I19" i="9"/>
  <c r="G19" i="9"/>
  <c r="E19" i="9"/>
  <c r="D19" i="9"/>
  <c r="B19" i="9"/>
  <c r="A19" i="9"/>
  <c r="P18" i="9"/>
  <c r="I18" i="9"/>
  <c r="G18" i="9"/>
  <c r="E18" i="9"/>
  <c r="D18" i="9"/>
  <c r="B18" i="9"/>
  <c r="A18" i="9"/>
  <c r="P17" i="9"/>
  <c r="G17" i="9"/>
  <c r="I17" i="9" s="1"/>
  <c r="E17" i="9"/>
  <c r="D17" i="9"/>
  <c r="B17" i="9"/>
  <c r="A17" i="9"/>
  <c r="P16" i="9"/>
  <c r="I16" i="9"/>
  <c r="G16" i="9"/>
  <c r="E16" i="9"/>
  <c r="D16" i="9"/>
  <c r="B16" i="9"/>
  <c r="A16" i="9"/>
  <c r="P15" i="9"/>
  <c r="G15" i="9"/>
  <c r="I15" i="9" s="1"/>
  <c r="E15" i="9"/>
  <c r="D15" i="9"/>
  <c r="B15" i="9"/>
  <c r="A15" i="9"/>
  <c r="P14" i="9"/>
  <c r="I14" i="9"/>
  <c r="G14" i="9"/>
  <c r="E14" i="9"/>
  <c r="D14" i="9"/>
  <c r="B14" i="9"/>
  <c r="A14" i="9"/>
  <c r="P13" i="9"/>
  <c r="G13" i="9"/>
  <c r="I13" i="9" s="1"/>
  <c r="E13" i="9"/>
  <c r="D13" i="9"/>
  <c r="B13" i="9"/>
  <c r="A13" i="9"/>
  <c r="P12" i="9"/>
  <c r="I12" i="9"/>
  <c r="G12" i="9"/>
  <c r="E12" i="9"/>
  <c r="D12" i="9"/>
  <c r="B12" i="9"/>
  <c r="A12" i="9"/>
  <c r="P11" i="9"/>
  <c r="I11" i="9"/>
  <c r="G11" i="9"/>
  <c r="E11" i="9"/>
  <c r="D11" i="9"/>
  <c r="B11" i="9"/>
  <c r="A11" i="9"/>
  <c r="E10" i="9"/>
  <c r="D10" i="9"/>
  <c r="B10" i="9"/>
  <c r="A10" i="9"/>
  <c r="P9" i="9"/>
  <c r="I9" i="9"/>
  <c r="G9" i="9"/>
  <c r="E9" i="9"/>
  <c r="D9" i="9"/>
  <c r="B9" i="9"/>
  <c r="A9" i="9"/>
  <c r="P8" i="9"/>
  <c r="G8" i="9"/>
  <c r="I8" i="9" s="1"/>
  <c r="E8" i="9"/>
  <c r="D8" i="9"/>
  <c r="B8" i="9"/>
  <c r="A8" i="9"/>
  <c r="P7" i="9"/>
  <c r="I7" i="9"/>
  <c r="G7" i="9"/>
  <c r="E7" i="9"/>
  <c r="D7" i="9"/>
  <c r="B7" i="9"/>
  <c r="A7" i="9"/>
  <c r="E6" i="9"/>
  <c r="D6" i="9"/>
  <c r="B6" i="9"/>
  <c r="A6" i="9"/>
  <c r="P5" i="9"/>
  <c r="G5" i="9"/>
  <c r="I5" i="9" s="1"/>
  <c r="E5" i="9"/>
  <c r="D5" i="9"/>
  <c r="B5" i="9"/>
  <c r="A5" i="9"/>
  <c r="P4" i="9"/>
  <c r="P42" i="9" s="1"/>
  <c r="I4" i="9"/>
  <c r="I42" i="9" s="1"/>
  <c r="G4" i="9"/>
  <c r="G42" i="9" s="1"/>
  <c r="E4" i="9"/>
  <c r="D4" i="9"/>
  <c r="B4" i="9"/>
  <c r="A4" i="9"/>
  <c r="A5" i="7"/>
  <c r="B5" i="7"/>
  <c r="D5" i="7"/>
  <c r="E5" i="7"/>
  <c r="A6" i="7"/>
  <c r="B6" i="7"/>
  <c r="D6" i="7"/>
  <c r="E6" i="7"/>
  <c r="A7" i="7"/>
  <c r="B7" i="7"/>
  <c r="D7" i="7"/>
  <c r="E7" i="7"/>
  <c r="A8" i="7"/>
  <c r="B8" i="7"/>
  <c r="D8" i="7"/>
  <c r="E8" i="7"/>
  <c r="A9" i="7"/>
  <c r="B9" i="7"/>
  <c r="D9" i="7"/>
  <c r="E9" i="7"/>
  <c r="A10" i="7"/>
  <c r="B10" i="7"/>
  <c r="D10" i="7"/>
  <c r="E10" i="7"/>
  <c r="A11" i="7"/>
  <c r="B11" i="7"/>
  <c r="D11" i="7"/>
  <c r="E11" i="7"/>
  <c r="A12" i="7"/>
  <c r="B12" i="7"/>
  <c r="D12" i="7"/>
  <c r="E12" i="7"/>
  <c r="A13" i="7"/>
  <c r="B13" i="7"/>
  <c r="D13" i="7"/>
  <c r="E13" i="7"/>
  <c r="A14" i="7"/>
  <c r="B14" i="7"/>
  <c r="D14" i="7"/>
  <c r="E14" i="7"/>
  <c r="A15" i="7"/>
  <c r="B15" i="7"/>
  <c r="D15" i="7"/>
  <c r="E15" i="7"/>
  <c r="A16" i="7"/>
  <c r="B16" i="7"/>
  <c r="D16" i="7"/>
  <c r="E16" i="7"/>
  <c r="A17" i="7"/>
  <c r="B17" i="7"/>
  <c r="D17" i="7"/>
  <c r="E17" i="7"/>
  <c r="A18" i="7"/>
  <c r="B18" i="7"/>
  <c r="D18" i="7"/>
  <c r="E18" i="7"/>
  <c r="A19" i="7"/>
  <c r="B19" i="7"/>
  <c r="D19" i="7"/>
  <c r="E19" i="7"/>
  <c r="A20" i="7"/>
  <c r="B20" i="7"/>
  <c r="D20" i="7"/>
  <c r="E20" i="7"/>
  <c r="A21" i="7"/>
  <c r="B21" i="7"/>
  <c r="D21" i="7"/>
  <c r="E21" i="7"/>
  <c r="A22" i="7"/>
  <c r="B22" i="7"/>
  <c r="D22" i="7"/>
  <c r="E22" i="7"/>
  <c r="A23" i="7"/>
  <c r="B23" i="7"/>
  <c r="D23" i="7"/>
  <c r="E23" i="7"/>
  <c r="A24" i="7"/>
  <c r="B24" i="7"/>
  <c r="D24" i="7"/>
  <c r="E24" i="7"/>
  <c r="A25" i="7"/>
  <c r="B25" i="7"/>
  <c r="D25" i="7"/>
  <c r="E25" i="7"/>
  <c r="A26" i="7"/>
  <c r="B26" i="7"/>
  <c r="D26" i="7"/>
  <c r="E26" i="7"/>
  <c r="A27" i="7"/>
  <c r="B27" i="7"/>
  <c r="D27" i="7"/>
  <c r="E27" i="7"/>
  <c r="A28" i="7"/>
  <c r="B28" i="7"/>
  <c r="D28" i="7"/>
  <c r="E28" i="7"/>
  <c r="A29" i="7"/>
  <c r="B29" i="7"/>
  <c r="D29" i="7"/>
  <c r="E29" i="7"/>
  <c r="A30" i="7"/>
  <c r="B30" i="7"/>
  <c r="D30" i="7"/>
  <c r="E30" i="7"/>
  <c r="A31" i="7"/>
  <c r="B31" i="7"/>
  <c r="D31" i="7"/>
  <c r="E31" i="7"/>
  <c r="A32" i="7"/>
  <c r="B32" i="7"/>
  <c r="D32" i="7"/>
  <c r="E32" i="7"/>
  <c r="A33" i="7"/>
  <c r="B33" i="7"/>
  <c r="D33" i="7"/>
  <c r="E33" i="7"/>
  <c r="A34" i="7"/>
  <c r="B34" i="7"/>
  <c r="D34" i="7"/>
  <c r="E34" i="7"/>
  <c r="A35" i="7"/>
  <c r="B35" i="7"/>
  <c r="D35" i="7"/>
  <c r="E35" i="7"/>
  <c r="A36" i="7"/>
  <c r="B36" i="7"/>
  <c r="D36" i="7"/>
  <c r="E36" i="7"/>
  <c r="A37" i="7"/>
  <c r="B37" i="7"/>
  <c r="D37" i="7"/>
  <c r="E37" i="7"/>
  <c r="A38" i="7"/>
  <c r="B38" i="7"/>
  <c r="D38" i="7"/>
  <c r="E38" i="7"/>
  <c r="A39" i="7"/>
  <c r="B39" i="7"/>
  <c r="D39" i="7"/>
  <c r="E39" i="7"/>
  <c r="E4" i="7"/>
  <c r="D4" i="7"/>
  <c r="B4" i="7"/>
  <c r="A4" i="7"/>
  <c r="A5" i="6"/>
  <c r="B5" i="6"/>
  <c r="D5" i="6"/>
  <c r="E5" i="6"/>
  <c r="A6" i="6"/>
  <c r="B6" i="6"/>
  <c r="D6" i="6"/>
  <c r="E6" i="6"/>
  <c r="A7" i="6"/>
  <c r="B7" i="6"/>
  <c r="D7" i="6"/>
  <c r="E7" i="6"/>
  <c r="A8" i="6"/>
  <c r="B8" i="6"/>
  <c r="D8" i="6"/>
  <c r="E8" i="6"/>
  <c r="A9" i="6"/>
  <c r="B9" i="6"/>
  <c r="D9" i="6"/>
  <c r="E9" i="6"/>
  <c r="A10" i="6"/>
  <c r="B10" i="6"/>
  <c r="D10" i="6"/>
  <c r="E10" i="6"/>
  <c r="A11" i="6"/>
  <c r="B11" i="6"/>
  <c r="D11" i="6"/>
  <c r="E11" i="6"/>
  <c r="A12" i="6"/>
  <c r="B12" i="6"/>
  <c r="D12" i="6"/>
  <c r="E12" i="6"/>
  <c r="A13" i="6"/>
  <c r="B13" i="6"/>
  <c r="D13" i="6"/>
  <c r="E13" i="6"/>
  <c r="A14" i="6"/>
  <c r="B14" i="6"/>
  <c r="D14" i="6"/>
  <c r="E14" i="6"/>
  <c r="A15" i="6"/>
  <c r="B15" i="6"/>
  <c r="D15" i="6"/>
  <c r="E15" i="6"/>
  <c r="A16" i="6"/>
  <c r="B16" i="6"/>
  <c r="D16" i="6"/>
  <c r="E16" i="6"/>
  <c r="A17" i="6"/>
  <c r="B17" i="6"/>
  <c r="D17" i="6"/>
  <c r="E17" i="6"/>
  <c r="A18" i="6"/>
  <c r="B18" i="6"/>
  <c r="D18" i="6"/>
  <c r="E18" i="6"/>
  <c r="A19" i="6"/>
  <c r="B19" i="6"/>
  <c r="D19" i="6"/>
  <c r="E19" i="6"/>
  <c r="A20" i="6"/>
  <c r="B20" i="6"/>
  <c r="D20" i="6"/>
  <c r="E20" i="6"/>
  <c r="A21" i="6"/>
  <c r="B21" i="6"/>
  <c r="D21" i="6"/>
  <c r="E21" i="6"/>
  <c r="A22" i="6"/>
  <c r="B22" i="6"/>
  <c r="D22" i="6"/>
  <c r="E22" i="6"/>
  <c r="A23" i="6"/>
  <c r="B23" i="6"/>
  <c r="D23" i="6"/>
  <c r="E23" i="6"/>
  <c r="A24" i="6"/>
  <c r="B24" i="6"/>
  <c r="D24" i="6"/>
  <c r="E24" i="6"/>
  <c r="A25" i="6"/>
  <c r="B25" i="6"/>
  <c r="D25" i="6"/>
  <c r="E25" i="6"/>
  <c r="A26" i="6"/>
  <c r="B26" i="6"/>
  <c r="D26" i="6"/>
  <c r="E26" i="6"/>
  <c r="A27" i="6"/>
  <c r="B27" i="6"/>
  <c r="D27" i="6"/>
  <c r="E27" i="6"/>
  <c r="A28" i="6"/>
  <c r="B28" i="6"/>
  <c r="D28" i="6"/>
  <c r="E28" i="6"/>
  <c r="A29" i="6"/>
  <c r="B29" i="6"/>
  <c r="D29" i="6"/>
  <c r="E29" i="6"/>
  <c r="A30" i="6"/>
  <c r="B30" i="6"/>
  <c r="D30" i="6"/>
  <c r="E30" i="6"/>
  <c r="A31" i="6"/>
  <c r="B31" i="6"/>
  <c r="D31" i="6"/>
  <c r="E31" i="6"/>
  <c r="A32" i="6"/>
  <c r="B32" i="6"/>
  <c r="D32" i="6"/>
  <c r="E32" i="6"/>
  <c r="A33" i="6"/>
  <c r="B33" i="6"/>
  <c r="D33" i="6"/>
  <c r="E33" i="6"/>
  <c r="A34" i="6"/>
  <c r="B34" i="6"/>
  <c r="D34" i="6"/>
  <c r="E34" i="6"/>
  <c r="A35" i="6"/>
  <c r="B35" i="6"/>
  <c r="D35" i="6"/>
  <c r="E35" i="6"/>
  <c r="A36" i="6"/>
  <c r="B36" i="6"/>
  <c r="D36" i="6"/>
  <c r="E36" i="6"/>
  <c r="A37" i="6"/>
  <c r="B37" i="6"/>
  <c r="D37" i="6"/>
  <c r="E37" i="6"/>
  <c r="A38" i="6"/>
  <c r="B38" i="6"/>
  <c r="D38" i="6"/>
  <c r="E38" i="6"/>
  <c r="A39" i="6"/>
  <c r="B39" i="6"/>
  <c r="D39" i="6"/>
  <c r="E39" i="6"/>
  <c r="E4" i="6"/>
  <c r="D4" i="6"/>
  <c r="B4" i="6"/>
  <c r="A4" i="6"/>
  <c r="A5" i="5"/>
  <c r="B5" i="5"/>
  <c r="D5" i="5"/>
  <c r="E5" i="5"/>
  <c r="A6" i="5"/>
  <c r="B6" i="5"/>
  <c r="D6" i="5"/>
  <c r="E6" i="5"/>
  <c r="A7" i="5"/>
  <c r="B7" i="5"/>
  <c r="D7" i="5"/>
  <c r="E7" i="5"/>
  <c r="A8" i="5"/>
  <c r="B8" i="5"/>
  <c r="D8" i="5"/>
  <c r="E8" i="5"/>
  <c r="A9" i="5"/>
  <c r="B9" i="5"/>
  <c r="D9" i="5"/>
  <c r="E9" i="5"/>
  <c r="A10" i="5"/>
  <c r="B10" i="5"/>
  <c r="D10" i="5"/>
  <c r="E10" i="5"/>
  <c r="A11" i="5"/>
  <c r="B11" i="5"/>
  <c r="D11" i="5"/>
  <c r="E11" i="5"/>
  <c r="A12" i="5"/>
  <c r="B12" i="5"/>
  <c r="D12" i="5"/>
  <c r="E12" i="5"/>
  <c r="A13" i="5"/>
  <c r="B13" i="5"/>
  <c r="D13" i="5"/>
  <c r="E13" i="5"/>
  <c r="A14" i="5"/>
  <c r="B14" i="5"/>
  <c r="D14" i="5"/>
  <c r="E14" i="5"/>
  <c r="A15" i="5"/>
  <c r="B15" i="5"/>
  <c r="D15" i="5"/>
  <c r="E15" i="5"/>
  <c r="A16" i="5"/>
  <c r="B16" i="5"/>
  <c r="D16" i="5"/>
  <c r="E16" i="5"/>
  <c r="A17" i="5"/>
  <c r="B17" i="5"/>
  <c r="D17" i="5"/>
  <c r="E17" i="5"/>
  <c r="A18" i="5"/>
  <c r="B18" i="5"/>
  <c r="D18" i="5"/>
  <c r="E18" i="5"/>
  <c r="A19" i="5"/>
  <c r="B19" i="5"/>
  <c r="D19" i="5"/>
  <c r="E19" i="5"/>
  <c r="A20" i="5"/>
  <c r="B20" i="5"/>
  <c r="D20" i="5"/>
  <c r="E20" i="5"/>
  <c r="A21" i="5"/>
  <c r="B21" i="5"/>
  <c r="D21" i="5"/>
  <c r="E21" i="5"/>
  <c r="A22" i="5"/>
  <c r="B22" i="5"/>
  <c r="D22" i="5"/>
  <c r="E22" i="5"/>
  <c r="A23" i="5"/>
  <c r="B23" i="5"/>
  <c r="D23" i="5"/>
  <c r="E23" i="5"/>
  <c r="A24" i="5"/>
  <c r="B24" i="5"/>
  <c r="D24" i="5"/>
  <c r="E24" i="5"/>
  <c r="A25" i="5"/>
  <c r="B25" i="5"/>
  <c r="D25" i="5"/>
  <c r="E25" i="5"/>
  <c r="A26" i="5"/>
  <c r="B26" i="5"/>
  <c r="D26" i="5"/>
  <c r="E26" i="5"/>
  <c r="A27" i="5"/>
  <c r="B27" i="5"/>
  <c r="D27" i="5"/>
  <c r="E27" i="5"/>
  <c r="A28" i="5"/>
  <c r="B28" i="5"/>
  <c r="D28" i="5"/>
  <c r="E28" i="5"/>
  <c r="A29" i="5"/>
  <c r="B29" i="5"/>
  <c r="D29" i="5"/>
  <c r="E29" i="5"/>
  <c r="A30" i="5"/>
  <c r="B30" i="5"/>
  <c r="D30" i="5"/>
  <c r="E30" i="5"/>
  <c r="A31" i="5"/>
  <c r="B31" i="5"/>
  <c r="D31" i="5"/>
  <c r="E31" i="5"/>
  <c r="A32" i="5"/>
  <c r="B32" i="5"/>
  <c r="D32" i="5"/>
  <c r="E32" i="5"/>
  <c r="A33" i="5"/>
  <c r="B33" i="5"/>
  <c r="D33" i="5"/>
  <c r="E33" i="5"/>
  <c r="A34" i="5"/>
  <c r="B34" i="5"/>
  <c r="D34" i="5"/>
  <c r="E34" i="5"/>
  <c r="A35" i="5"/>
  <c r="B35" i="5"/>
  <c r="D35" i="5"/>
  <c r="E35" i="5"/>
  <c r="A36" i="5"/>
  <c r="B36" i="5"/>
  <c r="D36" i="5"/>
  <c r="E36" i="5"/>
  <c r="A37" i="5"/>
  <c r="B37" i="5"/>
  <c r="D37" i="5"/>
  <c r="E37" i="5"/>
  <c r="A38" i="5"/>
  <c r="B38" i="5"/>
  <c r="D38" i="5"/>
  <c r="E38" i="5"/>
  <c r="A39" i="5"/>
  <c r="B39" i="5"/>
  <c r="D39" i="5"/>
  <c r="E39" i="5"/>
  <c r="E4" i="5"/>
  <c r="D4" i="5"/>
  <c r="B4" i="5"/>
  <c r="A4" i="5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" i="4"/>
  <c r="B5" i="4"/>
  <c r="D5" i="4"/>
  <c r="E5" i="4"/>
  <c r="B6" i="4"/>
  <c r="D6" i="4"/>
  <c r="E6" i="4"/>
  <c r="B7" i="4"/>
  <c r="D7" i="4"/>
  <c r="E7" i="4"/>
  <c r="B8" i="4"/>
  <c r="D8" i="4"/>
  <c r="E8" i="4"/>
  <c r="B9" i="4"/>
  <c r="D9" i="4"/>
  <c r="E9" i="4"/>
  <c r="B10" i="4"/>
  <c r="D10" i="4"/>
  <c r="E10" i="4"/>
  <c r="B11" i="4"/>
  <c r="D11" i="4"/>
  <c r="E11" i="4"/>
  <c r="B12" i="4"/>
  <c r="D12" i="4"/>
  <c r="E12" i="4"/>
  <c r="B13" i="4"/>
  <c r="D13" i="4"/>
  <c r="E13" i="4"/>
  <c r="B14" i="4"/>
  <c r="D14" i="4"/>
  <c r="E14" i="4"/>
  <c r="B15" i="4"/>
  <c r="D15" i="4"/>
  <c r="E15" i="4"/>
  <c r="B16" i="4"/>
  <c r="D16" i="4"/>
  <c r="E16" i="4"/>
  <c r="B17" i="4"/>
  <c r="D17" i="4"/>
  <c r="E17" i="4"/>
  <c r="B18" i="4"/>
  <c r="D18" i="4"/>
  <c r="E18" i="4"/>
  <c r="B19" i="4"/>
  <c r="D19" i="4"/>
  <c r="E19" i="4"/>
  <c r="B20" i="4"/>
  <c r="D20" i="4"/>
  <c r="E20" i="4"/>
  <c r="B21" i="4"/>
  <c r="D21" i="4"/>
  <c r="E21" i="4"/>
  <c r="B22" i="4"/>
  <c r="D22" i="4"/>
  <c r="E22" i="4"/>
  <c r="B23" i="4"/>
  <c r="D23" i="4"/>
  <c r="E23" i="4"/>
  <c r="B24" i="4"/>
  <c r="D24" i="4"/>
  <c r="E24" i="4"/>
  <c r="B25" i="4"/>
  <c r="D25" i="4"/>
  <c r="E25" i="4"/>
  <c r="B26" i="4"/>
  <c r="D26" i="4"/>
  <c r="E26" i="4"/>
  <c r="B27" i="4"/>
  <c r="D27" i="4"/>
  <c r="E27" i="4"/>
  <c r="B28" i="4"/>
  <c r="D28" i="4"/>
  <c r="E28" i="4"/>
  <c r="B29" i="4"/>
  <c r="D29" i="4"/>
  <c r="E29" i="4"/>
  <c r="B30" i="4"/>
  <c r="D30" i="4"/>
  <c r="E30" i="4"/>
  <c r="B31" i="4"/>
  <c r="D31" i="4"/>
  <c r="E31" i="4"/>
  <c r="B32" i="4"/>
  <c r="D32" i="4"/>
  <c r="E32" i="4"/>
  <c r="B33" i="4"/>
  <c r="D33" i="4"/>
  <c r="E33" i="4"/>
  <c r="B34" i="4"/>
  <c r="D34" i="4"/>
  <c r="E34" i="4"/>
  <c r="B35" i="4"/>
  <c r="D35" i="4"/>
  <c r="E35" i="4"/>
  <c r="B36" i="4"/>
  <c r="D36" i="4"/>
  <c r="E36" i="4"/>
  <c r="B37" i="4"/>
  <c r="D37" i="4"/>
  <c r="E37" i="4"/>
  <c r="B38" i="4"/>
  <c r="D38" i="4"/>
  <c r="E38" i="4"/>
  <c r="B39" i="4"/>
  <c r="D39" i="4"/>
  <c r="E39" i="4"/>
  <c r="E4" i="4"/>
  <c r="D4" i="4"/>
  <c r="B4" i="4"/>
  <c r="B5" i="3"/>
  <c r="D5" i="3"/>
  <c r="E5" i="3"/>
  <c r="B6" i="3"/>
  <c r="D6" i="3"/>
  <c r="E6" i="3"/>
  <c r="B7" i="3"/>
  <c r="D7" i="3"/>
  <c r="E7" i="3"/>
  <c r="B8" i="3"/>
  <c r="D8" i="3"/>
  <c r="E8" i="3"/>
  <c r="B9" i="3"/>
  <c r="D9" i="3"/>
  <c r="E9" i="3"/>
  <c r="B10" i="3"/>
  <c r="D10" i="3"/>
  <c r="E10" i="3"/>
  <c r="B11" i="3"/>
  <c r="D11" i="3"/>
  <c r="E11" i="3"/>
  <c r="B12" i="3"/>
  <c r="D12" i="3"/>
  <c r="E12" i="3"/>
  <c r="B13" i="3"/>
  <c r="D13" i="3"/>
  <c r="E13" i="3"/>
  <c r="B14" i="3"/>
  <c r="D14" i="3"/>
  <c r="E14" i="3"/>
  <c r="B15" i="3"/>
  <c r="D15" i="3"/>
  <c r="E15" i="3"/>
  <c r="B16" i="3"/>
  <c r="D16" i="3"/>
  <c r="E16" i="3"/>
  <c r="B17" i="3"/>
  <c r="D17" i="3"/>
  <c r="E17" i="3"/>
  <c r="B18" i="3"/>
  <c r="D18" i="3"/>
  <c r="E18" i="3"/>
  <c r="B19" i="3"/>
  <c r="D19" i="3"/>
  <c r="E19" i="3"/>
  <c r="B20" i="3"/>
  <c r="D20" i="3"/>
  <c r="E20" i="3"/>
  <c r="B21" i="3"/>
  <c r="D21" i="3"/>
  <c r="E21" i="3"/>
  <c r="B22" i="3"/>
  <c r="D22" i="3"/>
  <c r="E22" i="3"/>
  <c r="B23" i="3"/>
  <c r="D23" i="3"/>
  <c r="E23" i="3"/>
  <c r="B24" i="3"/>
  <c r="D24" i="3"/>
  <c r="E24" i="3"/>
  <c r="B25" i="3"/>
  <c r="D25" i="3"/>
  <c r="E25" i="3"/>
  <c r="B26" i="3"/>
  <c r="D26" i="3"/>
  <c r="E26" i="3"/>
  <c r="B27" i="3"/>
  <c r="D27" i="3"/>
  <c r="E27" i="3"/>
  <c r="B28" i="3"/>
  <c r="D28" i="3"/>
  <c r="E28" i="3"/>
  <c r="B29" i="3"/>
  <c r="D29" i="3"/>
  <c r="E29" i="3"/>
  <c r="B30" i="3"/>
  <c r="D30" i="3"/>
  <c r="E30" i="3"/>
  <c r="B31" i="3"/>
  <c r="D31" i="3"/>
  <c r="E31" i="3"/>
  <c r="B32" i="3"/>
  <c r="D32" i="3"/>
  <c r="E32" i="3"/>
  <c r="B33" i="3"/>
  <c r="D33" i="3"/>
  <c r="E33" i="3"/>
  <c r="B34" i="3"/>
  <c r="D34" i="3"/>
  <c r="E34" i="3"/>
  <c r="B35" i="3"/>
  <c r="D35" i="3"/>
  <c r="E35" i="3"/>
  <c r="B36" i="3"/>
  <c r="D36" i="3"/>
  <c r="E36" i="3"/>
  <c r="B37" i="3"/>
  <c r="D37" i="3"/>
  <c r="E37" i="3"/>
  <c r="B38" i="3"/>
  <c r="D38" i="3"/>
  <c r="E38" i="3"/>
  <c r="B39" i="3"/>
  <c r="D39" i="3"/>
  <c r="E39" i="3"/>
  <c r="E4" i="3"/>
  <c r="D4" i="3"/>
  <c r="B4" i="3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10" i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" i="2"/>
  <c r="AF42" i="2"/>
  <c r="K42" i="2"/>
  <c r="Q42" i="2"/>
  <c r="Q45" i="2"/>
  <c r="Q4" i="3"/>
  <c r="P6" i="3"/>
  <c r="P7" i="3"/>
  <c r="P8" i="3"/>
  <c r="P9" i="3"/>
  <c r="P10" i="3"/>
  <c r="W43" i="5" l="1"/>
  <c r="W42" i="4"/>
  <c r="AE2" i="5"/>
  <c r="AE45" i="4"/>
  <c r="W42" i="9"/>
  <c r="X42" i="9"/>
  <c r="AO39" i="9"/>
  <c r="AP39" i="9" s="1"/>
  <c r="W42" i="6"/>
  <c r="AO10" i="6"/>
  <c r="AP10" i="6" s="1"/>
  <c r="AO11" i="6"/>
  <c r="AP11" i="6" s="1"/>
  <c r="AO12" i="6"/>
  <c r="AP12" i="6" s="1"/>
  <c r="AO13" i="6"/>
  <c r="AP13" i="6" s="1"/>
  <c r="AO15" i="6"/>
  <c r="AP15" i="6" s="1"/>
  <c r="AO16" i="6"/>
  <c r="AP16" i="6" s="1"/>
  <c r="AO17" i="6"/>
  <c r="AP17" i="6" s="1"/>
  <c r="AO18" i="6"/>
  <c r="AP18" i="6" s="1"/>
  <c r="AO19" i="6"/>
  <c r="AP19" i="6" s="1"/>
  <c r="AO21" i="6"/>
  <c r="AP21" i="6" s="1"/>
  <c r="AO22" i="6"/>
  <c r="AP22" i="6" s="1"/>
  <c r="AO23" i="6"/>
  <c r="AP23" i="6" s="1"/>
  <c r="AO24" i="6"/>
  <c r="AP24" i="6" s="1"/>
  <c r="AO25" i="6"/>
  <c r="AP25" i="6" s="1"/>
  <c r="AO26" i="6"/>
  <c r="AP26" i="6" s="1"/>
  <c r="AO27" i="6"/>
  <c r="AP27" i="6" s="1"/>
  <c r="AO28" i="6"/>
  <c r="AP28" i="6" s="1"/>
  <c r="AO29" i="6"/>
  <c r="AP29" i="6" s="1"/>
  <c r="AO30" i="6"/>
  <c r="AP30" i="6" s="1"/>
  <c r="AO31" i="6"/>
  <c r="AP31" i="6" s="1"/>
  <c r="AO33" i="6"/>
  <c r="AP33" i="6" s="1"/>
  <c r="AO34" i="6"/>
  <c r="AP34" i="6" s="1"/>
  <c r="AO35" i="6"/>
  <c r="AP35" i="6" s="1"/>
  <c r="AO36" i="6"/>
  <c r="AP36" i="6" s="1"/>
  <c r="AO37" i="6"/>
  <c r="AP37" i="6" s="1"/>
  <c r="AO38" i="6"/>
  <c r="AP38" i="6" s="1"/>
  <c r="AO39" i="6"/>
  <c r="AP39" i="6" s="1"/>
  <c r="AO40" i="6"/>
  <c r="AP40" i="6" s="1"/>
  <c r="AO27" i="4"/>
  <c r="AP27" i="4" s="1"/>
  <c r="X42" i="3"/>
  <c r="X2" i="4"/>
  <c r="X2" i="5" s="1"/>
  <c r="X2" i="6" s="1"/>
  <c r="X2" i="9" s="1"/>
  <c r="X2" i="7" s="1"/>
  <c r="X45" i="7" s="1"/>
  <c r="AO32" i="6"/>
  <c r="AP32" i="6" s="1"/>
  <c r="AO14" i="6"/>
  <c r="AP14" i="6" s="1"/>
  <c r="AG45" i="9"/>
  <c r="AG2" i="7"/>
  <c r="Q2" i="7"/>
  <c r="Q45" i="9"/>
  <c r="R2" i="7"/>
  <c r="R45" i="9"/>
  <c r="AM45" i="9"/>
  <c r="AM2" i="7"/>
  <c r="AH2" i="7"/>
  <c r="AH45" i="9"/>
  <c r="AL45" i="9"/>
  <c r="AL2" i="7"/>
  <c r="W2" i="5"/>
  <c r="W45" i="4"/>
  <c r="AI45" i="9"/>
  <c r="AI2" i="7"/>
  <c r="S45" i="9"/>
  <c r="S2" i="7"/>
  <c r="AK45" i="9"/>
  <c r="AK2" i="7"/>
  <c r="U2" i="7"/>
  <c r="U45" i="9"/>
  <c r="AJ45" i="9"/>
  <c r="AJ2" i="7"/>
  <c r="T2" i="7"/>
  <c r="T45" i="9"/>
  <c r="AO4" i="5"/>
  <c r="AP4" i="5" s="1"/>
  <c r="AO5" i="5"/>
  <c r="AP5" i="5" s="1"/>
  <c r="AO6" i="5"/>
  <c r="AP6" i="5" s="1"/>
  <c r="AO7" i="5"/>
  <c r="AP7" i="5" s="1"/>
  <c r="AO8" i="5"/>
  <c r="AP8" i="5" s="1"/>
  <c r="AO9" i="5"/>
  <c r="AP9" i="5" s="1"/>
  <c r="AO10" i="5"/>
  <c r="AP10" i="5" s="1"/>
  <c r="AO11" i="5"/>
  <c r="AP11" i="5" s="1"/>
  <c r="AO12" i="5"/>
  <c r="AP12" i="5" s="1"/>
  <c r="AO13" i="5"/>
  <c r="AP13" i="5" s="1"/>
  <c r="AO14" i="5"/>
  <c r="AP14" i="5" s="1"/>
  <c r="AO15" i="5"/>
  <c r="AP15" i="5" s="1"/>
  <c r="AO16" i="5"/>
  <c r="AP16" i="5" s="1"/>
  <c r="AO17" i="5"/>
  <c r="AP17" i="5" s="1"/>
  <c r="AO18" i="5"/>
  <c r="AP18" i="5" s="1"/>
  <c r="AO19" i="5"/>
  <c r="AP19" i="5" s="1"/>
  <c r="AO20" i="5"/>
  <c r="AP20" i="5" s="1"/>
  <c r="AO21" i="5"/>
  <c r="AP21" i="5" s="1"/>
  <c r="AO22" i="5"/>
  <c r="AP22" i="5" s="1"/>
  <c r="AO23" i="5"/>
  <c r="AP23" i="5" s="1"/>
  <c r="AO24" i="5"/>
  <c r="AP24" i="5" s="1"/>
  <c r="AO25" i="5"/>
  <c r="AP25" i="5" s="1"/>
  <c r="AO26" i="5"/>
  <c r="AP26" i="5" s="1"/>
  <c r="AO27" i="5"/>
  <c r="AP27" i="5" s="1"/>
  <c r="AO28" i="5"/>
  <c r="AP28" i="5" s="1"/>
  <c r="AO29" i="5"/>
  <c r="AP29" i="5" s="1"/>
  <c r="AO30" i="5"/>
  <c r="AP30" i="5" s="1"/>
  <c r="AO31" i="5"/>
  <c r="AP31" i="5" s="1"/>
  <c r="AO32" i="5"/>
  <c r="AP32" i="5" s="1"/>
  <c r="AO33" i="5"/>
  <c r="AP33" i="5" s="1"/>
  <c r="AO34" i="5"/>
  <c r="AP34" i="5" s="1"/>
  <c r="AO35" i="5"/>
  <c r="AP35" i="5" s="1"/>
  <c r="AO36" i="5"/>
  <c r="AP36" i="5" s="1"/>
  <c r="AO37" i="5"/>
  <c r="AP37" i="5" s="1"/>
  <c r="AO38" i="5"/>
  <c r="AP38" i="5" s="1"/>
  <c r="AO39" i="5"/>
  <c r="AP39" i="5" s="1"/>
  <c r="AO40" i="5"/>
  <c r="AP40" i="5" s="1"/>
  <c r="AO4" i="6"/>
  <c r="AP4" i="6" s="1"/>
  <c r="AO5" i="6"/>
  <c r="AP5" i="6" s="1"/>
  <c r="AO6" i="6"/>
  <c r="AP6" i="6" s="1"/>
  <c r="AO7" i="6"/>
  <c r="AP7" i="6" s="1"/>
  <c r="AO8" i="6"/>
  <c r="AP8" i="6" s="1"/>
  <c r="AO9" i="6"/>
  <c r="AP9" i="6" s="1"/>
  <c r="X45" i="3"/>
  <c r="AO4" i="9"/>
  <c r="AP4" i="9" s="1"/>
  <c r="AO5" i="9"/>
  <c r="AP5" i="9" s="1"/>
  <c r="AO6" i="9"/>
  <c r="AP6" i="9" s="1"/>
  <c r="AO7" i="9"/>
  <c r="AP7" i="9" s="1"/>
  <c r="AO8" i="9"/>
  <c r="AP8" i="9" s="1"/>
  <c r="AO9" i="9"/>
  <c r="AP9" i="9" s="1"/>
  <c r="AO10" i="9"/>
  <c r="AP10" i="9" s="1"/>
  <c r="AO11" i="9"/>
  <c r="AP11" i="9" s="1"/>
  <c r="AO12" i="9"/>
  <c r="AP12" i="9" s="1"/>
  <c r="AO13" i="9"/>
  <c r="AP13" i="9" s="1"/>
  <c r="AO14" i="9"/>
  <c r="AP14" i="9" s="1"/>
  <c r="AO15" i="9"/>
  <c r="AP15" i="9" s="1"/>
  <c r="AO16" i="9"/>
  <c r="AP16" i="9" s="1"/>
  <c r="AO17" i="9"/>
  <c r="AP17" i="9" s="1"/>
  <c r="AO18" i="9"/>
  <c r="AP18" i="9" s="1"/>
  <c r="AO19" i="9"/>
  <c r="AP19" i="9" s="1"/>
  <c r="AO20" i="9"/>
  <c r="AP20" i="9" s="1"/>
  <c r="AO21" i="9"/>
  <c r="AP21" i="9" s="1"/>
  <c r="AO22" i="9"/>
  <c r="AP22" i="9" s="1"/>
  <c r="AO23" i="9"/>
  <c r="AP23" i="9" s="1"/>
  <c r="AO24" i="9"/>
  <c r="AP24" i="9" s="1"/>
  <c r="AO25" i="9"/>
  <c r="AP25" i="9" s="1"/>
  <c r="AO26" i="9"/>
  <c r="AP26" i="9" s="1"/>
  <c r="AO27" i="9"/>
  <c r="AP27" i="9" s="1"/>
  <c r="AO28" i="9"/>
  <c r="AP28" i="9" s="1"/>
  <c r="AO29" i="9"/>
  <c r="AP29" i="9" s="1"/>
  <c r="AO30" i="9"/>
  <c r="AP30" i="9" s="1"/>
  <c r="AO31" i="9"/>
  <c r="AP31" i="9" s="1"/>
  <c r="AO32" i="9"/>
  <c r="AP32" i="9" s="1"/>
  <c r="AO33" i="9"/>
  <c r="AP33" i="9" s="1"/>
  <c r="AO34" i="9"/>
  <c r="AP34" i="9" s="1"/>
  <c r="AO35" i="9"/>
  <c r="AP35" i="9" s="1"/>
  <c r="AO36" i="9"/>
  <c r="AP36" i="9" s="1"/>
  <c r="AO38" i="9"/>
  <c r="AP38" i="9" s="1"/>
  <c r="AO20" i="6"/>
  <c r="AP20" i="6" s="1"/>
  <c r="AO40" i="9"/>
  <c r="AP40" i="9" s="1"/>
  <c r="AO4" i="4"/>
  <c r="AP4" i="4" s="1"/>
  <c r="AO5" i="4"/>
  <c r="AP5" i="4" s="1"/>
  <c r="AO6" i="4"/>
  <c r="AP6" i="4" s="1"/>
  <c r="AO7" i="4"/>
  <c r="AP7" i="4" s="1"/>
  <c r="AO8" i="4"/>
  <c r="AP8" i="4" s="1"/>
  <c r="AO9" i="4"/>
  <c r="AP9" i="4" s="1"/>
  <c r="AO10" i="4"/>
  <c r="AP10" i="4" s="1"/>
  <c r="AO11" i="4"/>
  <c r="AP11" i="4" s="1"/>
  <c r="AO12" i="4"/>
  <c r="AP12" i="4" s="1"/>
  <c r="AO13" i="4"/>
  <c r="AP13" i="4" s="1"/>
  <c r="AO14" i="4"/>
  <c r="AP14" i="4" s="1"/>
  <c r="AO15" i="4"/>
  <c r="AP15" i="4" s="1"/>
  <c r="AO16" i="4"/>
  <c r="AP16" i="4" s="1"/>
  <c r="AO17" i="4"/>
  <c r="AP17" i="4" s="1"/>
  <c r="AO18" i="4"/>
  <c r="AP18" i="4" s="1"/>
  <c r="AO19" i="4"/>
  <c r="AP19" i="4" s="1"/>
  <c r="AO20" i="4"/>
  <c r="AP20" i="4" s="1"/>
  <c r="AO21" i="4"/>
  <c r="AP21" i="4" s="1"/>
  <c r="AO22" i="4"/>
  <c r="AP22" i="4" s="1"/>
  <c r="AO23" i="4"/>
  <c r="AP23" i="4" s="1"/>
  <c r="AO24" i="4"/>
  <c r="AP24" i="4" s="1"/>
  <c r="AO25" i="4"/>
  <c r="AP25" i="4" s="1"/>
  <c r="AO26" i="4"/>
  <c r="AP26" i="4" s="1"/>
  <c r="AO6" i="7"/>
  <c r="AP6" i="7" s="1"/>
  <c r="AO10" i="7"/>
  <c r="AP10" i="7" s="1"/>
  <c r="AO28" i="4"/>
  <c r="AP28" i="4" s="1"/>
  <c r="AO29" i="4"/>
  <c r="AP29" i="4" s="1"/>
  <c r="AO30" i="4"/>
  <c r="AP30" i="4" s="1"/>
  <c r="AO31" i="4"/>
  <c r="AP31" i="4" s="1"/>
  <c r="AO32" i="4"/>
  <c r="AP32" i="4" s="1"/>
  <c r="AO33" i="4"/>
  <c r="AP33" i="4" s="1"/>
  <c r="AO34" i="4"/>
  <c r="AP34" i="4" s="1"/>
  <c r="AO35" i="4"/>
  <c r="AP35" i="4" s="1"/>
  <c r="AO36" i="4"/>
  <c r="AP36" i="4" s="1"/>
  <c r="AO38" i="4"/>
  <c r="AP38" i="4" s="1"/>
  <c r="AO39" i="4"/>
  <c r="AP39" i="4" s="1"/>
  <c r="AO40" i="4"/>
  <c r="AP40" i="4" s="1"/>
  <c r="AO37" i="9"/>
  <c r="AP37" i="9" s="1"/>
  <c r="AO37" i="4"/>
  <c r="AP37" i="4" s="1"/>
  <c r="P18" i="5"/>
  <c r="AE2" i="6" l="1"/>
  <c r="AE46" i="5"/>
  <c r="X45" i="9"/>
  <c r="W46" i="5"/>
  <c r="W2" i="6"/>
  <c r="AM42" i="9"/>
  <c r="R42" i="9"/>
  <c r="U42" i="9"/>
  <c r="AN42" i="9"/>
  <c r="AI42" i="9"/>
  <c r="AK42" i="9"/>
  <c r="AJ42" i="9"/>
  <c r="AL42" i="9"/>
  <c r="T42" i="9"/>
  <c r="Q42" i="9"/>
  <c r="AG42" i="9"/>
  <c r="S42" i="9"/>
  <c r="AH42" i="9"/>
  <c r="AP9" i="3"/>
  <c r="AQ9" i="3" s="1"/>
  <c r="AP7" i="3"/>
  <c r="AQ7" i="3" s="1"/>
  <c r="AP10" i="3"/>
  <c r="AQ10" i="3" s="1"/>
  <c r="AP8" i="3"/>
  <c r="AQ8" i="3" s="1"/>
  <c r="AP6" i="3"/>
  <c r="AQ6" i="3" s="1"/>
  <c r="AO46" i="7"/>
  <c r="AN45" i="7"/>
  <c r="AM45" i="7"/>
  <c r="AL45" i="7"/>
  <c r="AK45" i="7"/>
  <c r="AJ45" i="7"/>
  <c r="AI45" i="7"/>
  <c r="AH45" i="7"/>
  <c r="AG45" i="7"/>
  <c r="U45" i="7"/>
  <c r="T45" i="7"/>
  <c r="S45" i="7"/>
  <c r="R45" i="7"/>
  <c r="Q45" i="7"/>
  <c r="O42" i="7"/>
  <c r="N42" i="7"/>
  <c r="M42" i="7"/>
  <c r="L42" i="7"/>
  <c r="K42" i="7"/>
  <c r="J42" i="7"/>
  <c r="H42" i="7"/>
  <c r="F42" i="7"/>
  <c r="P40" i="7"/>
  <c r="P39" i="7"/>
  <c r="G39" i="7"/>
  <c r="I39" i="7" s="1"/>
  <c r="P38" i="7"/>
  <c r="G38" i="7"/>
  <c r="I38" i="7" s="1"/>
  <c r="P37" i="7"/>
  <c r="G37" i="7"/>
  <c r="I37" i="7" s="1"/>
  <c r="P36" i="7"/>
  <c r="G36" i="7"/>
  <c r="I36" i="7" s="1"/>
  <c r="P35" i="7"/>
  <c r="G35" i="7"/>
  <c r="I35" i="7" s="1"/>
  <c r="P34" i="7"/>
  <c r="G34" i="7"/>
  <c r="I34" i="7" s="1"/>
  <c r="P33" i="7"/>
  <c r="G33" i="7"/>
  <c r="I33" i="7" s="1"/>
  <c r="P32" i="7"/>
  <c r="I32" i="7"/>
  <c r="G32" i="7"/>
  <c r="P31" i="7"/>
  <c r="I31" i="7"/>
  <c r="G31" i="7"/>
  <c r="P30" i="7"/>
  <c r="G30" i="7"/>
  <c r="I30" i="7" s="1"/>
  <c r="P29" i="7"/>
  <c r="G29" i="7"/>
  <c r="I29" i="7" s="1"/>
  <c r="P28" i="7"/>
  <c r="I28" i="7"/>
  <c r="G28" i="7"/>
  <c r="P27" i="7"/>
  <c r="G27" i="7"/>
  <c r="I27" i="7" s="1"/>
  <c r="P26" i="7"/>
  <c r="G26" i="7"/>
  <c r="I26" i="7" s="1"/>
  <c r="P25" i="7"/>
  <c r="G25" i="7"/>
  <c r="I25" i="7" s="1"/>
  <c r="P24" i="7"/>
  <c r="G24" i="7"/>
  <c r="I24" i="7" s="1"/>
  <c r="P23" i="7"/>
  <c r="G23" i="7"/>
  <c r="I23" i="7" s="1"/>
  <c r="P22" i="7"/>
  <c r="G22" i="7"/>
  <c r="I22" i="7" s="1"/>
  <c r="P21" i="7"/>
  <c r="G21" i="7"/>
  <c r="I21" i="7" s="1"/>
  <c r="P20" i="7"/>
  <c r="G20" i="7"/>
  <c r="I20" i="7" s="1"/>
  <c r="P19" i="7"/>
  <c r="G19" i="7"/>
  <c r="I19" i="7" s="1"/>
  <c r="P18" i="7"/>
  <c r="G18" i="7"/>
  <c r="I18" i="7" s="1"/>
  <c r="P17" i="7"/>
  <c r="G17" i="7"/>
  <c r="I17" i="7" s="1"/>
  <c r="P16" i="7"/>
  <c r="G16" i="7"/>
  <c r="I16" i="7" s="1"/>
  <c r="P15" i="7"/>
  <c r="G15" i="7"/>
  <c r="I15" i="7" s="1"/>
  <c r="P14" i="7"/>
  <c r="G14" i="7"/>
  <c r="I14" i="7" s="1"/>
  <c r="P13" i="7"/>
  <c r="G13" i="7"/>
  <c r="I13" i="7" s="1"/>
  <c r="P12" i="7"/>
  <c r="G12" i="7"/>
  <c r="I12" i="7" s="1"/>
  <c r="P11" i="7"/>
  <c r="G11" i="7"/>
  <c r="I11" i="7" s="1"/>
  <c r="P9" i="7"/>
  <c r="G9" i="7"/>
  <c r="I9" i="7" s="1"/>
  <c r="P8" i="7"/>
  <c r="G8" i="7"/>
  <c r="I8" i="7" s="1"/>
  <c r="P7" i="7"/>
  <c r="G7" i="7"/>
  <c r="I7" i="7" s="1"/>
  <c r="P5" i="7"/>
  <c r="G5" i="7"/>
  <c r="I5" i="7" s="1"/>
  <c r="P4" i="7"/>
  <c r="G4" i="7"/>
  <c r="AO46" i="6"/>
  <c r="AN45" i="6"/>
  <c r="AM45" i="6"/>
  <c r="AL45" i="6"/>
  <c r="AK45" i="6"/>
  <c r="AJ45" i="6"/>
  <c r="AI45" i="6"/>
  <c r="AH45" i="6"/>
  <c r="AG45" i="6"/>
  <c r="X45" i="6"/>
  <c r="U45" i="6"/>
  <c r="T45" i="6"/>
  <c r="S45" i="6"/>
  <c r="R45" i="6"/>
  <c r="Q45" i="6"/>
  <c r="O42" i="6"/>
  <c r="N42" i="6"/>
  <c r="M42" i="6"/>
  <c r="L42" i="6"/>
  <c r="K42" i="6"/>
  <c r="J42" i="6"/>
  <c r="H42" i="6"/>
  <c r="F42" i="6"/>
  <c r="P40" i="6"/>
  <c r="P39" i="6"/>
  <c r="G39" i="6"/>
  <c r="I39" i="6" s="1"/>
  <c r="P38" i="6"/>
  <c r="G38" i="6"/>
  <c r="I38" i="6" s="1"/>
  <c r="P37" i="6"/>
  <c r="G37" i="6"/>
  <c r="I37" i="6" s="1"/>
  <c r="P36" i="6"/>
  <c r="G36" i="6"/>
  <c r="I36" i="6" s="1"/>
  <c r="P35" i="6"/>
  <c r="I35" i="6"/>
  <c r="G35" i="6"/>
  <c r="P34" i="6"/>
  <c r="G34" i="6"/>
  <c r="I34" i="6" s="1"/>
  <c r="P33" i="6"/>
  <c r="G33" i="6"/>
  <c r="I33" i="6" s="1"/>
  <c r="P32" i="6"/>
  <c r="I32" i="6"/>
  <c r="G32" i="6"/>
  <c r="P31" i="6"/>
  <c r="I31" i="6"/>
  <c r="G31" i="6"/>
  <c r="P30" i="6"/>
  <c r="G30" i="6"/>
  <c r="I30" i="6" s="1"/>
  <c r="P29" i="6"/>
  <c r="G29" i="6"/>
  <c r="I29" i="6" s="1"/>
  <c r="P28" i="6"/>
  <c r="I28" i="6"/>
  <c r="G28" i="6"/>
  <c r="P27" i="6"/>
  <c r="G27" i="6"/>
  <c r="I27" i="6" s="1"/>
  <c r="P26" i="6"/>
  <c r="I26" i="6"/>
  <c r="G26" i="6"/>
  <c r="P25" i="6"/>
  <c r="G25" i="6"/>
  <c r="I25" i="6" s="1"/>
  <c r="P24" i="6"/>
  <c r="I24" i="6"/>
  <c r="G24" i="6"/>
  <c r="P23" i="6"/>
  <c r="G23" i="6"/>
  <c r="I23" i="6" s="1"/>
  <c r="P22" i="6"/>
  <c r="G22" i="6"/>
  <c r="I22" i="6" s="1"/>
  <c r="P21" i="6"/>
  <c r="G21" i="6"/>
  <c r="I21" i="6" s="1"/>
  <c r="P20" i="6"/>
  <c r="I20" i="6"/>
  <c r="G20" i="6"/>
  <c r="P19" i="6"/>
  <c r="I19" i="6"/>
  <c r="G19" i="6"/>
  <c r="P18" i="6"/>
  <c r="G18" i="6"/>
  <c r="I18" i="6" s="1"/>
  <c r="P17" i="6"/>
  <c r="G17" i="6"/>
  <c r="I17" i="6" s="1"/>
  <c r="P16" i="6"/>
  <c r="G16" i="6"/>
  <c r="I16" i="6" s="1"/>
  <c r="P15" i="6"/>
  <c r="G15" i="6"/>
  <c r="I15" i="6" s="1"/>
  <c r="P14" i="6"/>
  <c r="G14" i="6"/>
  <c r="I14" i="6" s="1"/>
  <c r="P13" i="6"/>
  <c r="G13" i="6"/>
  <c r="I13" i="6" s="1"/>
  <c r="P12" i="6"/>
  <c r="G12" i="6"/>
  <c r="I12" i="6" s="1"/>
  <c r="P11" i="6"/>
  <c r="G11" i="6"/>
  <c r="I11" i="6" s="1"/>
  <c r="P9" i="6"/>
  <c r="G9" i="6"/>
  <c r="I9" i="6" s="1"/>
  <c r="P8" i="6"/>
  <c r="G8" i="6"/>
  <c r="I8" i="6" s="1"/>
  <c r="P7" i="6"/>
  <c r="I7" i="6"/>
  <c r="G7" i="6"/>
  <c r="P5" i="6"/>
  <c r="G5" i="6"/>
  <c r="I5" i="6" s="1"/>
  <c r="P4" i="6"/>
  <c r="G4" i="6"/>
  <c r="G42" i="6" s="1"/>
  <c r="AO47" i="5"/>
  <c r="AN46" i="5"/>
  <c r="AM46" i="5"/>
  <c r="AL46" i="5"/>
  <c r="AK46" i="5"/>
  <c r="AJ46" i="5"/>
  <c r="AI46" i="5"/>
  <c r="AH46" i="5"/>
  <c r="AG46" i="5"/>
  <c r="X46" i="5"/>
  <c r="U46" i="5"/>
  <c r="T46" i="5"/>
  <c r="S46" i="5"/>
  <c r="R46" i="5"/>
  <c r="Q46" i="5"/>
  <c r="O43" i="5"/>
  <c r="N43" i="5"/>
  <c r="M43" i="5"/>
  <c r="L43" i="5"/>
  <c r="K43" i="5"/>
  <c r="J43" i="5"/>
  <c r="H43" i="5"/>
  <c r="F43" i="5"/>
  <c r="AO42" i="5"/>
  <c r="P41" i="5"/>
  <c r="P40" i="5"/>
  <c r="I39" i="5"/>
  <c r="P39" i="5"/>
  <c r="I38" i="5"/>
  <c r="G39" i="5"/>
  <c r="P38" i="5"/>
  <c r="G38" i="5"/>
  <c r="I37" i="5" s="1"/>
  <c r="P37" i="5"/>
  <c r="G37" i="5"/>
  <c r="I36" i="5" s="1"/>
  <c r="P36" i="5"/>
  <c r="G36" i="5"/>
  <c r="I35" i="5" s="1"/>
  <c r="P35" i="5"/>
  <c r="G35" i="5"/>
  <c r="I34" i="5" s="1"/>
  <c r="P34" i="5"/>
  <c r="G34" i="5"/>
  <c r="I33" i="5" s="1"/>
  <c r="P33" i="5"/>
  <c r="I32" i="5"/>
  <c r="G33" i="5"/>
  <c r="P32" i="5"/>
  <c r="I31" i="5"/>
  <c r="G32" i="5"/>
  <c r="P31" i="5"/>
  <c r="G31" i="5"/>
  <c r="I30" i="5" s="1"/>
  <c r="P30" i="5"/>
  <c r="G30" i="5"/>
  <c r="I29" i="5" s="1"/>
  <c r="P29" i="5"/>
  <c r="G29" i="5"/>
  <c r="I28" i="5" s="1"/>
  <c r="P28" i="5"/>
  <c r="G28" i="5"/>
  <c r="I27" i="5" s="1"/>
  <c r="P27" i="5"/>
  <c r="G27" i="5"/>
  <c r="I26" i="5" s="1"/>
  <c r="P26" i="5"/>
  <c r="G26" i="5"/>
  <c r="I25" i="5" s="1"/>
  <c r="P25" i="5"/>
  <c r="G25" i="5"/>
  <c r="I24" i="5" s="1"/>
  <c r="P24" i="5"/>
  <c r="G24" i="5"/>
  <c r="I23" i="5" s="1"/>
  <c r="P23" i="5"/>
  <c r="G23" i="5"/>
  <c r="I22" i="5" s="1"/>
  <c r="P22" i="5"/>
  <c r="G22" i="5"/>
  <c r="I21" i="5" s="1"/>
  <c r="P21" i="5"/>
  <c r="G21" i="5"/>
  <c r="I20" i="5" s="1"/>
  <c r="P20" i="5"/>
  <c r="G20" i="5"/>
  <c r="I19" i="5" s="1"/>
  <c r="P19" i="5"/>
  <c r="G19" i="5"/>
  <c r="I18" i="5" s="1"/>
  <c r="P17" i="5"/>
  <c r="G17" i="5"/>
  <c r="I17" i="5" s="1"/>
  <c r="P16" i="5"/>
  <c r="G16" i="5"/>
  <c r="I16" i="5" s="1"/>
  <c r="P15" i="5"/>
  <c r="G15" i="5"/>
  <c r="I15" i="5" s="1"/>
  <c r="P14" i="5"/>
  <c r="G14" i="5"/>
  <c r="I14" i="5" s="1"/>
  <c r="P13" i="5"/>
  <c r="G13" i="5"/>
  <c r="I13" i="5" s="1"/>
  <c r="P12" i="5"/>
  <c r="G12" i="5"/>
  <c r="I12" i="5" s="1"/>
  <c r="P11" i="5"/>
  <c r="G11" i="5"/>
  <c r="I11" i="5" s="1"/>
  <c r="P9" i="5"/>
  <c r="G9" i="5"/>
  <c r="I9" i="5" s="1"/>
  <c r="P8" i="5"/>
  <c r="G8" i="5"/>
  <c r="I8" i="5" s="1"/>
  <c r="P7" i="5"/>
  <c r="G7" i="5"/>
  <c r="I7" i="5" s="1"/>
  <c r="P5" i="5"/>
  <c r="G5" i="5"/>
  <c r="I5" i="5" s="1"/>
  <c r="P4" i="5"/>
  <c r="G4" i="5"/>
  <c r="I4" i="5" s="1"/>
  <c r="AO46" i="4"/>
  <c r="AN45" i="4"/>
  <c r="AM45" i="4"/>
  <c r="AL45" i="4"/>
  <c r="AK45" i="4"/>
  <c r="AJ45" i="4"/>
  <c r="AI45" i="4"/>
  <c r="AH45" i="4"/>
  <c r="AG45" i="4"/>
  <c r="X45" i="4"/>
  <c r="U45" i="4"/>
  <c r="T45" i="4"/>
  <c r="S45" i="4"/>
  <c r="R45" i="4"/>
  <c r="Q45" i="4"/>
  <c r="O42" i="4"/>
  <c r="N42" i="4"/>
  <c r="M42" i="4"/>
  <c r="L42" i="4"/>
  <c r="K42" i="4"/>
  <c r="J42" i="4"/>
  <c r="H42" i="4"/>
  <c r="F42" i="4"/>
  <c r="P40" i="4"/>
  <c r="P39" i="4"/>
  <c r="G39" i="4"/>
  <c r="I39" i="4" s="1"/>
  <c r="P38" i="4"/>
  <c r="G38" i="4"/>
  <c r="I38" i="4" s="1"/>
  <c r="P37" i="4"/>
  <c r="G37" i="4"/>
  <c r="I37" i="4" s="1"/>
  <c r="P36" i="4"/>
  <c r="I36" i="4"/>
  <c r="G36" i="4"/>
  <c r="P35" i="4"/>
  <c r="I35" i="4"/>
  <c r="G35" i="4"/>
  <c r="P34" i="4"/>
  <c r="G34" i="4"/>
  <c r="I34" i="4" s="1"/>
  <c r="P33" i="4"/>
  <c r="I33" i="4"/>
  <c r="G33" i="4"/>
  <c r="P32" i="4"/>
  <c r="I32" i="4"/>
  <c r="G32" i="4"/>
  <c r="P31" i="4"/>
  <c r="I31" i="4"/>
  <c r="G31" i="4"/>
  <c r="P30" i="4"/>
  <c r="G30" i="4"/>
  <c r="I30" i="4" s="1"/>
  <c r="P29" i="4"/>
  <c r="G29" i="4"/>
  <c r="I29" i="4" s="1"/>
  <c r="P28" i="4"/>
  <c r="G28" i="4"/>
  <c r="I28" i="4" s="1"/>
  <c r="P27" i="4"/>
  <c r="G27" i="4"/>
  <c r="I27" i="4" s="1"/>
  <c r="P26" i="4"/>
  <c r="G26" i="4"/>
  <c r="I26" i="4" s="1"/>
  <c r="P25" i="4"/>
  <c r="G25" i="4"/>
  <c r="I25" i="4" s="1"/>
  <c r="P24" i="4"/>
  <c r="G24" i="4"/>
  <c r="I24" i="4" s="1"/>
  <c r="P23" i="4"/>
  <c r="G23" i="4"/>
  <c r="I23" i="4" s="1"/>
  <c r="P22" i="4"/>
  <c r="G22" i="4"/>
  <c r="I22" i="4" s="1"/>
  <c r="P21" i="4"/>
  <c r="I21" i="4"/>
  <c r="G21" i="4"/>
  <c r="P20" i="4"/>
  <c r="G20" i="4"/>
  <c r="I20" i="4" s="1"/>
  <c r="P19" i="4"/>
  <c r="I19" i="4"/>
  <c r="G19" i="4"/>
  <c r="P18" i="4"/>
  <c r="G18" i="4"/>
  <c r="I18" i="4" s="1"/>
  <c r="P17" i="4"/>
  <c r="I17" i="4"/>
  <c r="G17" i="4"/>
  <c r="P16" i="4"/>
  <c r="G16" i="4"/>
  <c r="I16" i="4" s="1"/>
  <c r="P15" i="4"/>
  <c r="G15" i="4"/>
  <c r="I15" i="4" s="1"/>
  <c r="P14" i="4"/>
  <c r="G14" i="4"/>
  <c r="I14" i="4" s="1"/>
  <c r="P13" i="4"/>
  <c r="G13" i="4"/>
  <c r="I13" i="4" s="1"/>
  <c r="P12" i="4"/>
  <c r="G12" i="4"/>
  <c r="I12" i="4" s="1"/>
  <c r="P11" i="4"/>
  <c r="G11" i="4"/>
  <c r="I11" i="4" s="1"/>
  <c r="P9" i="4"/>
  <c r="G9" i="4"/>
  <c r="I9" i="4" s="1"/>
  <c r="P8" i="4"/>
  <c r="I8" i="4"/>
  <c r="G8" i="4"/>
  <c r="P7" i="4"/>
  <c r="G7" i="4"/>
  <c r="I7" i="4" s="1"/>
  <c r="P5" i="4"/>
  <c r="G5" i="4"/>
  <c r="I5" i="4" s="1"/>
  <c r="P4" i="4"/>
  <c r="G4" i="4"/>
  <c r="M42" i="3"/>
  <c r="N42" i="3"/>
  <c r="O42" i="3"/>
  <c r="P5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" i="3"/>
  <c r="J42" i="3"/>
  <c r="K42" i="3"/>
  <c r="L42" i="3"/>
  <c r="AC24" i="7" l="1"/>
  <c r="AD24" i="7"/>
  <c r="Z24" i="7"/>
  <c r="AE24" i="7"/>
  <c r="AA24" i="7"/>
  <c r="AF24" i="7"/>
  <c r="AB24" i="7"/>
  <c r="V24" i="7"/>
  <c r="AN24" i="7"/>
  <c r="X24" i="7"/>
  <c r="AM24" i="7"/>
  <c r="W24" i="7"/>
  <c r="AL24" i="7"/>
  <c r="U24" i="7"/>
  <c r="AK24" i="7"/>
  <c r="T24" i="7"/>
  <c r="AJ24" i="7"/>
  <c r="S24" i="7"/>
  <c r="AI24" i="7"/>
  <c r="R24" i="7"/>
  <c r="AH24" i="7"/>
  <c r="Q24" i="7"/>
  <c r="AG24" i="7"/>
  <c r="AA9" i="7"/>
  <c r="AC9" i="7"/>
  <c r="Z9" i="7"/>
  <c r="AD9" i="7"/>
  <c r="AE9" i="7"/>
  <c r="AB9" i="7"/>
  <c r="AF9" i="7"/>
  <c r="V9" i="7"/>
  <c r="AG9" i="7"/>
  <c r="AN9" i="7"/>
  <c r="X9" i="7"/>
  <c r="AM9" i="7"/>
  <c r="W9" i="7"/>
  <c r="AL9" i="7"/>
  <c r="U9" i="7"/>
  <c r="AK9" i="7"/>
  <c r="T9" i="7"/>
  <c r="AJ9" i="7"/>
  <c r="S9" i="7"/>
  <c r="AI9" i="7"/>
  <c r="R9" i="7"/>
  <c r="Q9" i="7"/>
  <c r="AH9" i="7"/>
  <c r="AC14" i="7"/>
  <c r="AD14" i="7"/>
  <c r="AE14" i="7"/>
  <c r="AF14" i="7"/>
  <c r="Z14" i="7"/>
  <c r="AB14" i="7"/>
  <c r="AA14" i="7"/>
  <c r="V14" i="7"/>
  <c r="AL14" i="7"/>
  <c r="U14" i="7"/>
  <c r="AK14" i="7"/>
  <c r="T14" i="7"/>
  <c r="AJ14" i="7"/>
  <c r="S14" i="7"/>
  <c r="AI14" i="7"/>
  <c r="R14" i="7"/>
  <c r="AH14" i="7"/>
  <c r="Q14" i="7"/>
  <c r="AG14" i="7"/>
  <c r="AN14" i="7"/>
  <c r="X14" i="7"/>
  <c r="AM14" i="7"/>
  <c r="W14" i="7"/>
  <c r="Z21" i="7"/>
  <c r="AA21" i="7"/>
  <c r="AB21" i="7"/>
  <c r="AC21" i="7"/>
  <c r="AD21" i="7"/>
  <c r="AE21" i="7"/>
  <c r="AF21" i="7"/>
  <c r="V21" i="7"/>
  <c r="AK21" i="7"/>
  <c r="T21" i="7"/>
  <c r="AJ21" i="7"/>
  <c r="S21" i="7"/>
  <c r="AI21" i="7"/>
  <c r="R21" i="7"/>
  <c r="AH21" i="7"/>
  <c r="Q21" i="7"/>
  <c r="AG21" i="7"/>
  <c r="AN21" i="7"/>
  <c r="X21" i="7"/>
  <c r="AM21" i="7"/>
  <c r="W21" i="7"/>
  <c r="U21" i="7"/>
  <c r="AL21" i="7"/>
  <c r="AC28" i="7"/>
  <c r="AD28" i="7"/>
  <c r="AE28" i="7"/>
  <c r="AF28" i="7"/>
  <c r="Z28" i="7"/>
  <c r="AA28" i="7"/>
  <c r="AB28" i="7"/>
  <c r="V28" i="7"/>
  <c r="AJ28" i="7"/>
  <c r="S28" i="7"/>
  <c r="AI28" i="7"/>
  <c r="R28" i="7"/>
  <c r="AH28" i="7"/>
  <c r="Q28" i="7"/>
  <c r="AG28" i="7"/>
  <c r="AN28" i="7"/>
  <c r="X28" i="7"/>
  <c r="AM28" i="7"/>
  <c r="W28" i="7"/>
  <c r="AL28" i="7"/>
  <c r="U28" i="7"/>
  <c r="AK28" i="7"/>
  <c r="T28" i="7"/>
  <c r="Z35" i="7"/>
  <c r="AA35" i="7"/>
  <c r="AC35" i="7"/>
  <c r="AB35" i="7"/>
  <c r="AD35" i="7"/>
  <c r="AE35" i="7"/>
  <c r="AF35" i="7"/>
  <c r="V35" i="7"/>
  <c r="AI35" i="7"/>
  <c r="R35" i="7"/>
  <c r="AH35" i="7"/>
  <c r="Q35" i="7"/>
  <c r="AG35" i="7"/>
  <c r="AN35" i="7"/>
  <c r="X35" i="7"/>
  <c r="AM35" i="7"/>
  <c r="W35" i="7"/>
  <c r="AL35" i="7"/>
  <c r="U35" i="7"/>
  <c r="AK35" i="7"/>
  <c r="T35" i="7"/>
  <c r="AJ35" i="7"/>
  <c r="S35" i="7"/>
  <c r="AB39" i="7"/>
  <c r="AA39" i="7"/>
  <c r="AC39" i="7"/>
  <c r="AD39" i="7"/>
  <c r="AE39" i="7"/>
  <c r="Z39" i="7"/>
  <c r="AF39" i="7"/>
  <c r="V39" i="7"/>
  <c r="AM39" i="7"/>
  <c r="W39" i="7"/>
  <c r="AL39" i="7"/>
  <c r="U39" i="7"/>
  <c r="AK39" i="7"/>
  <c r="T39" i="7"/>
  <c r="AJ39" i="7"/>
  <c r="S39" i="7"/>
  <c r="AI39" i="7"/>
  <c r="R39" i="7"/>
  <c r="AH39" i="7"/>
  <c r="Q39" i="7"/>
  <c r="AG39" i="7"/>
  <c r="AN39" i="7"/>
  <c r="X39" i="7"/>
  <c r="Z5" i="7"/>
  <c r="AA5" i="7"/>
  <c r="AB5" i="7"/>
  <c r="AC5" i="7"/>
  <c r="AD5" i="7"/>
  <c r="AE5" i="7"/>
  <c r="AF5" i="7"/>
  <c r="V5" i="7"/>
  <c r="AK5" i="7"/>
  <c r="T5" i="7"/>
  <c r="AJ5" i="7"/>
  <c r="S5" i="7"/>
  <c r="AI5" i="7"/>
  <c r="R5" i="7"/>
  <c r="AH5" i="7"/>
  <c r="Q5" i="7"/>
  <c r="AG5" i="7"/>
  <c r="AN5" i="7"/>
  <c r="X5" i="7"/>
  <c r="AM5" i="7"/>
  <c r="W5" i="7"/>
  <c r="U5" i="7"/>
  <c r="AL5" i="7"/>
  <c r="AC18" i="7"/>
  <c r="AA18" i="7"/>
  <c r="AD18" i="7"/>
  <c r="AB18" i="7"/>
  <c r="AE18" i="7"/>
  <c r="AF18" i="7"/>
  <c r="Z18" i="7"/>
  <c r="V18" i="7"/>
  <c r="AH18" i="7"/>
  <c r="Q18" i="7"/>
  <c r="AG18" i="7"/>
  <c r="AN18" i="7"/>
  <c r="X18" i="7"/>
  <c r="AM18" i="7"/>
  <c r="W18" i="7"/>
  <c r="AL18" i="7"/>
  <c r="U18" i="7"/>
  <c r="AK18" i="7"/>
  <c r="T18" i="7"/>
  <c r="AJ18" i="7"/>
  <c r="S18" i="7"/>
  <c r="AI18" i="7"/>
  <c r="R18" i="7"/>
  <c r="AC25" i="7"/>
  <c r="Z25" i="7"/>
  <c r="AD25" i="7"/>
  <c r="AA25" i="7"/>
  <c r="AE25" i="7"/>
  <c r="AB25" i="7"/>
  <c r="AF25" i="7"/>
  <c r="V25" i="7"/>
  <c r="AG25" i="7"/>
  <c r="AN25" i="7"/>
  <c r="X25" i="7"/>
  <c r="AM25" i="7"/>
  <c r="W25" i="7"/>
  <c r="AL25" i="7"/>
  <c r="U25" i="7"/>
  <c r="AK25" i="7"/>
  <c r="T25" i="7"/>
  <c r="AJ25" i="7"/>
  <c r="S25" i="7"/>
  <c r="AI25" i="7"/>
  <c r="R25" i="7"/>
  <c r="AH25" i="7"/>
  <c r="Q25" i="7"/>
  <c r="AC40" i="7"/>
  <c r="AD40" i="7"/>
  <c r="Z40" i="7"/>
  <c r="AE40" i="7"/>
  <c r="AA40" i="7"/>
  <c r="AF40" i="7"/>
  <c r="AB40" i="7"/>
  <c r="V40" i="7"/>
  <c r="AN40" i="7"/>
  <c r="X40" i="7"/>
  <c r="AM40" i="7"/>
  <c r="W40" i="7"/>
  <c r="AL40" i="7"/>
  <c r="U40" i="7"/>
  <c r="AK40" i="7"/>
  <c r="T40" i="7"/>
  <c r="AJ40" i="7"/>
  <c r="S40" i="7"/>
  <c r="AI40" i="7"/>
  <c r="R40" i="7"/>
  <c r="AH40" i="7"/>
  <c r="Q40" i="7"/>
  <c r="AG40" i="7"/>
  <c r="Z11" i="7"/>
  <c r="AA11" i="7"/>
  <c r="AC11" i="7"/>
  <c r="AB11" i="7"/>
  <c r="AD11" i="7"/>
  <c r="AE11" i="7"/>
  <c r="AF11" i="7"/>
  <c r="V11" i="7"/>
  <c r="AI11" i="7"/>
  <c r="R11" i="7"/>
  <c r="AH11" i="7"/>
  <c r="Q11" i="7"/>
  <c r="AG11" i="7"/>
  <c r="AN11" i="7"/>
  <c r="X11" i="7"/>
  <c r="AM11" i="7"/>
  <c r="W11" i="7"/>
  <c r="AL11" i="7"/>
  <c r="U11" i="7"/>
  <c r="AK11" i="7"/>
  <c r="T11" i="7"/>
  <c r="AJ11" i="7"/>
  <c r="S11" i="7"/>
  <c r="AB15" i="7"/>
  <c r="AC15" i="7"/>
  <c r="AD15" i="7"/>
  <c r="AE15" i="7"/>
  <c r="Z15" i="7"/>
  <c r="AF15" i="7"/>
  <c r="AA15" i="7"/>
  <c r="V15" i="7"/>
  <c r="AM15" i="7"/>
  <c r="W15" i="7"/>
  <c r="AL15" i="7"/>
  <c r="U15" i="7"/>
  <c r="AK15" i="7"/>
  <c r="T15" i="7"/>
  <c r="AJ15" i="7"/>
  <c r="S15" i="7"/>
  <c r="AI15" i="7"/>
  <c r="R15" i="7"/>
  <c r="AH15" i="7"/>
  <c r="Q15" i="7"/>
  <c r="AG15" i="7"/>
  <c r="AN15" i="7"/>
  <c r="X15" i="7"/>
  <c r="AC22" i="7"/>
  <c r="AD22" i="7"/>
  <c r="AE22" i="7"/>
  <c r="AF22" i="7"/>
  <c r="Z22" i="7"/>
  <c r="AA22" i="7"/>
  <c r="AB22" i="7"/>
  <c r="V22" i="7"/>
  <c r="AL22" i="7"/>
  <c r="U22" i="7"/>
  <c r="AK22" i="7"/>
  <c r="T22" i="7"/>
  <c r="AJ22" i="7"/>
  <c r="S22" i="7"/>
  <c r="AI22" i="7"/>
  <c r="R22" i="7"/>
  <c r="AH22" i="7"/>
  <c r="Q22" i="7"/>
  <c r="AG22" i="7"/>
  <c r="AN22" i="7"/>
  <c r="X22" i="7"/>
  <c r="AM22" i="7"/>
  <c r="W22" i="7"/>
  <c r="Z29" i="7"/>
  <c r="AA29" i="7"/>
  <c r="AB29" i="7"/>
  <c r="AC29" i="7"/>
  <c r="AD29" i="7"/>
  <c r="AE29" i="7"/>
  <c r="AF29" i="7"/>
  <c r="V29" i="7"/>
  <c r="AK29" i="7"/>
  <c r="T29" i="7"/>
  <c r="AJ29" i="7"/>
  <c r="S29" i="7"/>
  <c r="AI29" i="7"/>
  <c r="R29" i="7"/>
  <c r="AH29" i="7"/>
  <c r="Q29" i="7"/>
  <c r="AG29" i="7"/>
  <c r="AN29" i="7"/>
  <c r="X29" i="7"/>
  <c r="AM29" i="7"/>
  <c r="W29" i="7"/>
  <c r="AL29" i="7"/>
  <c r="U29" i="7"/>
  <c r="AC32" i="7"/>
  <c r="AD32" i="7"/>
  <c r="Z32" i="7"/>
  <c r="AE32" i="7"/>
  <c r="AA32" i="7"/>
  <c r="AF32" i="7"/>
  <c r="AB32" i="7"/>
  <c r="V32" i="7"/>
  <c r="AN32" i="7"/>
  <c r="X32" i="7"/>
  <c r="AM32" i="7"/>
  <c r="W32" i="7"/>
  <c r="AL32" i="7"/>
  <c r="U32" i="7"/>
  <c r="AK32" i="7"/>
  <c r="T32" i="7"/>
  <c r="AJ32" i="7"/>
  <c r="S32" i="7"/>
  <c r="AI32" i="7"/>
  <c r="R32" i="7"/>
  <c r="AH32" i="7"/>
  <c r="Q32" i="7"/>
  <c r="AG32" i="7"/>
  <c r="AC36" i="7"/>
  <c r="AD36" i="7"/>
  <c r="AE36" i="7"/>
  <c r="AF36" i="7"/>
  <c r="Z36" i="7"/>
  <c r="AB36" i="7"/>
  <c r="AA36" i="7"/>
  <c r="V36" i="7"/>
  <c r="AJ36" i="7"/>
  <c r="S36" i="7"/>
  <c r="AI36" i="7"/>
  <c r="R36" i="7"/>
  <c r="AH36" i="7"/>
  <c r="Q36" i="7"/>
  <c r="AG36" i="7"/>
  <c r="AN36" i="7"/>
  <c r="X36" i="7"/>
  <c r="AM36" i="7"/>
  <c r="W36" i="7"/>
  <c r="AL36" i="7"/>
  <c r="U36" i="7"/>
  <c r="AK36" i="7"/>
  <c r="T36" i="7"/>
  <c r="Z19" i="7"/>
  <c r="AA19" i="7"/>
  <c r="AC19" i="7"/>
  <c r="AB19" i="7"/>
  <c r="AD19" i="7"/>
  <c r="AE19" i="7"/>
  <c r="AF19" i="7"/>
  <c r="V19" i="7"/>
  <c r="AI19" i="7"/>
  <c r="R19" i="7"/>
  <c r="AH19" i="7"/>
  <c r="Q19" i="7"/>
  <c r="AG19" i="7"/>
  <c r="AN19" i="7"/>
  <c r="X19" i="7"/>
  <c r="AM19" i="7"/>
  <c r="W19" i="7"/>
  <c r="AL19" i="7"/>
  <c r="U19" i="7"/>
  <c r="AK19" i="7"/>
  <c r="T19" i="7"/>
  <c r="S19" i="7"/>
  <c r="AJ19" i="7"/>
  <c r="AC26" i="7"/>
  <c r="AA26" i="7"/>
  <c r="AD26" i="7"/>
  <c r="AB26" i="7"/>
  <c r="AE26" i="7"/>
  <c r="AF26" i="7"/>
  <c r="Z26" i="7"/>
  <c r="V26" i="7"/>
  <c r="AH26" i="7"/>
  <c r="Q26" i="7"/>
  <c r="AG26" i="7"/>
  <c r="AN26" i="7"/>
  <c r="X26" i="7"/>
  <c r="AM26" i="7"/>
  <c r="W26" i="7"/>
  <c r="AL26" i="7"/>
  <c r="U26" i="7"/>
  <c r="AK26" i="7"/>
  <c r="T26" i="7"/>
  <c r="AJ26" i="7"/>
  <c r="S26" i="7"/>
  <c r="R26" i="7"/>
  <c r="AI26" i="7"/>
  <c r="AC17" i="7"/>
  <c r="Z17" i="7"/>
  <c r="AA17" i="7"/>
  <c r="AD17" i="7"/>
  <c r="AE17" i="7"/>
  <c r="AB17" i="7"/>
  <c r="AF17" i="7"/>
  <c r="V17" i="7"/>
  <c r="AG17" i="7"/>
  <c r="AN17" i="7"/>
  <c r="X17" i="7"/>
  <c r="AM17" i="7"/>
  <c r="W17" i="7"/>
  <c r="AL17" i="7"/>
  <c r="U17" i="7"/>
  <c r="AK17" i="7"/>
  <c r="T17" i="7"/>
  <c r="AJ17" i="7"/>
  <c r="S17" i="7"/>
  <c r="AI17" i="7"/>
  <c r="R17" i="7"/>
  <c r="Q17" i="7"/>
  <c r="AH17" i="7"/>
  <c r="AB31" i="7"/>
  <c r="AD31" i="7"/>
  <c r="AC31" i="7"/>
  <c r="AE31" i="7"/>
  <c r="Z31" i="7"/>
  <c r="AF31" i="7"/>
  <c r="AA31" i="7"/>
  <c r="V31" i="7"/>
  <c r="AM31" i="7"/>
  <c r="W31" i="7"/>
  <c r="AL31" i="7"/>
  <c r="U31" i="7"/>
  <c r="AK31" i="7"/>
  <c r="T31" i="7"/>
  <c r="AJ31" i="7"/>
  <c r="S31" i="7"/>
  <c r="AI31" i="7"/>
  <c r="R31" i="7"/>
  <c r="AH31" i="7"/>
  <c r="Q31" i="7"/>
  <c r="AG31" i="7"/>
  <c r="AN31" i="7"/>
  <c r="X31" i="7"/>
  <c r="AB7" i="7"/>
  <c r="AD7" i="7"/>
  <c r="AC7" i="7"/>
  <c r="AE7" i="7"/>
  <c r="Z7" i="7"/>
  <c r="AF7" i="7"/>
  <c r="AA7" i="7"/>
  <c r="V7" i="7"/>
  <c r="AM7" i="7"/>
  <c r="W7" i="7"/>
  <c r="AL7" i="7"/>
  <c r="U7" i="7"/>
  <c r="AK7" i="7"/>
  <c r="T7" i="7"/>
  <c r="AJ7" i="7"/>
  <c r="S7" i="7"/>
  <c r="AI7" i="7"/>
  <c r="R7" i="7"/>
  <c r="AH7" i="7"/>
  <c r="Q7" i="7"/>
  <c r="AG7" i="7"/>
  <c r="X7" i="7"/>
  <c r="AN7" i="7"/>
  <c r="AC12" i="7"/>
  <c r="AD12" i="7"/>
  <c r="AE12" i="7"/>
  <c r="AF12" i="7"/>
  <c r="Z12" i="7"/>
  <c r="AA12" i="7"/>
  <c r="AB12" i="7"/>
  <c r="V12" i="7"/>
  <c r="AJ12" i="7"/>
  <c r="S12" i="7"/>
  <c r="AI12" i="7"/>
  <c r="R12" i="7"/>
  <c r="AH12" i="7"/>
  <c r="Q12" i="7"/>
  <c r="AG12" i="7"/>
  <c r="AN12" i="7"/>
  <c r="X12" i="7"/>
  <c r="AM12" i="7"/>
  <c r="W12" i="7"/>
  <c r="AL12" i="7"/>
  <c r="U12" i="7"/>
  <c r="AK12" i="7"/>
  <c r="T12" i="7"/>
  <c r="AB23" i="7"/>
  <c r="AC23" i="7"/>
  <c r="AD23" i="7"/>
  <c r="AE23" i="7"/>
  <c r="Z23" i="7"/>
  <c r="AF23" i="7"/>
  <c r="AA23" i="7"/>
  <c r="V23" i="7"/>
  <c r="AM23" i="7"/>
  <c r="W23" i="7"/>
  <c r="AL23" i="7"/>
  <c r="U23" i="7"/>
  <c r="AK23" i="7"/>
  <c r="T23" i="7"/>
  <c r="AJ23" i="7"/>
  <c r="S23" i="7"/>
  <c r="AI23" i="7"/>
  <c r="R23" i="7"/>
  <c r="AH23" i="7"/>
  <c r="Q23" i="7"/>
  <c r="AG23" i="7"/>
  <c r="X23" i="7"/>
  <c r="AN23" i="7"/>
  <c r="AC30" i="7"/>
  <c r="AD30" i="7"/>
  <c r="AE30" i="7"/>
  <c r="AF30" i="7"/>
  <c r="Z30" i="7"/>
  <c r="AA30" i="7"/>
  <c r="AB30" i="7"/>
  <c r="V30" i="7"/>
  <c r="AL30" i="7"/>
  <c r="U30" i="7"/>
  <c r="AK30" i="7"/>
  <c r="T30" i="7"/>
  <c r="AJ30" i="7"/>
  <c r="S30" i="7"/>
  <c r="AI30" i="7"/>
  <c r="R30" i="7"/>
  <c r="AH30" i="7"/>
  <c r="Q30" i="7"/>
  <c r="AG30" i="7"/>
  <c r="AN30" i="7"/>
  <c r="X30" i="7"/>
  <c r="AM30" i="7"/>
  <c r="W30" i="7"/>
  <c r="AC33" i="7"/>
  <c r="Z33" i="7"/>
  <c r="AD33" i="7"/>
  <c r="AA33" i="7"/>
  <c r="AE33" i="7"/>
  <c r="AB33" i="7"/>
  <c r="AF33" i="7"/>
  <c r="V33" i="7"/>
  <c r="AG33" i="7"/>
  <c r="AN33" i="7"/>
  <c r="X33" i="7"/>
  <c r="AM33" i="7"/>
  <c r="W33" i="7"/>
  <c r="AL33" i="7"/>
  <c r="U33" i="7"/>
  <c r="AK33" i="7"/>
  <c r="T33" i="7"/>
  <c r="AJ33" i="7"/>
  <c r="S33" i="7"/>
  <c r="AI33" i="7"/>
  <c r="R33" i="7"/>
  <c r="AH33" i="7"/>
  <c r="Q33" i="7"/>
  <c r="Z37" i="7"/>
  <c r="AA37" i="7"/>
  <c r="AB37" i="7"/>
  <c r="AC37" i="7"/>
  <c r="AD37" i="7"/>
  <c r="AE37" i="7"/>
  <c r="AF37" i="7"/>
  <c r="V37" i="7"/>
  <c r="AK37" i="7"/>
  <c r="T37" i="7"/>
  <c r="AJ37" i="7"/>
  <c r="S37" i="7"/>
  <c r="AI37" i="7"/>
  <c r="R37" i="7"/>
  <c r="AH37" i="7"/>
  <c r="Q37" i="7"/>
  <c r="AG37" i="7"/>
  <c r="AN37" i="7"/>
  <c r="X37" i="7"/>
  <c r="AM37" i="7"/>
  <c r="W37" i="7"/>
  <c r="AL37" i="7"/>
  <c r="U37" i="7"/>
  <c r="AC16" i="7"/>
  <c r="AD16" i="7"/>
  <c r="Z16" i="7"/>
  <c r="AE16" i="7"/>
  <c r="AA16" i="7"/>
  <c r="AF16" i="7"/>
  <c r="AB16" i="7"/>
  <c r="V16" i="7"/>
  <c r="AN16" i="7"/>
  <c r="X16" i="7"/>
  <c r="AM16" i="7"/>
  <c r="W16" i="7"/>
  <c r="AL16" i="7"/>
  <c r="U16" i="7"/>
  <c r="AK16" i="7"/>
  <c r="T16" i="7"/>
  <c r="AJ16" i="7"/>
  <c r="S16" i="7"/>
  <c r="AI16" i="7"/>
  <c r="R16" i="7"/>
  <c r="AH16" i="7"/>
  <c r="Q16" i="7"/>
  <c r="AG16" i="7"/>
  <c r="Z27" i="7"/>
  <c r="AA27" i="7"/>
  <c r="AC27" i="7"/>
  <c r="AB27" i="7"/>
  <c r="AD27" i="7"/>
  <c r="AE27" i="7"/>
  <c r="AF27" i="7"/>
  <c r="V27" i="7"/>
  <c r="AI27" i="7"/>
  <c r="R27" i="7"/>
  <c r="AH27" i="7"/>
  <c r="Q27" i="7"/>
  <c r="AG27" i="7"/>
  <c r="AN27" i="7"/>
  <c r="X27" i="7"/>
  <c r="AM27" i="7"/>
  <c r="W27" i="7"/>
  <c r="AL27" i="7"/>
  <c r="U27" i="7"/>
  <c r="AK27" i="7"/>
  <c r="T27" i="7"/>
  <c r="AJ27" i="7"/>
  <c r="S27" i="7"/>
  <c r="AC4" i="7"/>
  <c r="AD4" i="7"/>
  <c r="AE4" i="7"/>
  <c r="AF4" i="7"/>
  <c r="Z4" i="7"/>
  <c r="AA4" i="7"/>
  <c r="AB4" i="7"/>
  <c r="V4" i="7"/>
  <c r="AJ4" i="7"/>
  <c r="S4" i="7"/>
  <c r="AI4" i="7"/>
  <c r="R4" i="7"/>
  <c r="AH4" i="7"/>
  <c r="Q4" i="7"/>
  <c r="AG4" i="7"/>
  <c r="AN4" i="7"/>
  <c r="X4" i="7"/>
  <c r="AM4" i="7"/>
  <c r="W4" i="7"/>
  <c r="AL4" i="7"/>
  <c r="U4" i="7"/>
  <c r="AK4" i="7"/>
  <c r="T4" i="7"/>
  <c r="AC8" i="7"/>
  <c r="AD8" i="7"/>
  <c r="Z8" i="7"/>
  <c r="AE8" i="7"/>
  <c r="AA8" i="7"/>
  <c r="AF8" i="7"/>
  <c r="AB8" i="7"/>
  <c r="V8" i="7"/>
  <c r="AN8" i="7"/>
  <c r="X8" i="7"/>
  <c r="AM8" i="7"/>
  <c r="W8" i="7"/>
  <c r="AL8" i="7"/>
  <c r="U8" i="7"/>
  <c r="AK8" i="7"/>
  <c r="T8" i="7"/>
  <c r="AJ8" i="7"/>
  <c r="S8" i="7"/>
  <c r="AI8" i="7"/>
  <c r="R8" i="7"/>
  <c r="AH8" i="7"/>
  <c r="Q8" i="7"/>
  <c r="AG8" i="7"/>
  <c r="Z13" i="7"/>
  <c r="AA13" i="7"/>
  <c r="AB13" i="7"/>
  <c r="AC13" i="7"/>
  <c r="AD13" i="7"/>
  <c r="AE13" i="7"/>
  <c r="AF13" i="7"/>
  <c r="V13" i="7"/>
  <c r="AK13" i="7"/>
  <c r="T13" i="7"/>
  <c r="AJ13" i="7"/>
  <c r="S13" i="7"/>
  <c r="AI13" i="7"/>
  <c r="R13" i="7"/>
  <c r="AH13" i="7"/>
  <c r="Q13" i="7"/>
  <c r="AG13" i="7"/>
  <c r="AN13" i="7"/>
  <c r="X13" i="7"/>
  <c r="AM13" i="7"/>
  <c r="W13" i="7"/>
  <c r="U13" i="7"/>
  <c r="AL13" i="7"/>
  <c r="AC20" i="7"/>
  <c r="AD20" i="7"/>
  <c r="AE20" i="7"/>
  <c r="AF20" i="7"/>
  <c r="Z20" i="7"/>
  <c r="AA20" i="7"/>
  <c r="AB20" i="7"/>
  <c r="V20" i="7"/>
  <c r="AJ20" i="7"/>
  <c r="S20" i="7"/>
  <c r="AI20" i="7"/>
  <c r="R20" i="7"/>
  <c r="AH20" i="7"/>
  <c r="Q20" i="7"/>
  <c r="AG20" i="7"/>
  <c r="AN20" i="7"/>
  <c r="X20" i="7"/>
  <c r="AM20" i="7"/>
  <c r="W20" i="7"/>
  <c r="AL20" i="7"/>
  <c r="U20" i="7"/>
  <c r="AK20" i="7"/>
  <c r="T20" i="7"/>
  <c r="AC34" i="7"/>
  <c r="AA34" i="7"/>
  <c r="AD34" i="7"/>
  <c r="AB34" i="7"/>
  <c r="AE34" i="7"/>
  <c r="AF34" i="7"/>
  <c r="Z34" i="7"/>
  <c r="V34" i="7"/>
  <c r="AH34" i="7"/>
  <c r="Q34" i="7"/>
  <c r="AG34" i="7"/>
  <c r="AN34" i="7"/>
  <c r="X34" i="7"/>
  <c r="AM34" i="7"/>
  <c r="W34" i="7"/>
  <c r="AL34" i="7"/>
  <c r="U34" i="7"/>
  <c r="AK34" i="7"/>
  <c r="T34" i="7"/>
  <c r="AJ34" i="7"/>
  <c r="S34" i="7"/>
  <c r="AI34" i="7"/>
  <c r="R34" i="7"/>
  <c r="AC38" i="7"/>
  <c r="AD38" i="7"/>
  <c r="AE38" i="7"/>
  <c r="AF38" i="7"/>
  <c r="Z38" i="7"/>
  <c r="AA38" i="7"/>
  <c r="AB38" i="7"/>
  <c r="V38" i="7"/>
  <c r="AL38" i="7"/>
  <c r="U38" i="7"/>
  <c r="AK38" i="7"/>
  <c r="T38" i="7"/>
  <c r="AJ38" i="7"/>
  <c r="S38" i="7"/>
  <c r="AI38" i="7"/>
  <c r="R38" i="7"/>
  <c r="AH38" i="7"/>
  <c r="Q38" i="7"/>
  <c r="AG38" i="7"/>
  <c r="AN38" i="7"/>
  <c r="X38" i="7"/>
  <c r="AM38" i="7"/>
  <c r="W38" i="7"/>
  <c r="AE2" i="9"/>
  <c r="AE45" i="6"/>
  <c r="W45" i="6"/>
  <c r="W2" i="9"/>
  <c r="AO42" i="9"/>
  <c r="Y43" i="9" s="1"/>
  <c r="P42" i="6"/>
  <c r="P42" i="3"/>
  <c r="G42" i="7"/>
  <c r="P42" i="7"/>
  <c r="I4" i="7"/>
  <c r="I42" i="7" s="1"/>
  <c r="I4" i="6"/>
  <c r="I42" i="6" s="1"/>
  <c r="G43" i="5"/>
  <c r="I43" i="5"/>
  <c r="P43" i="5"/>
  <c r="P42" i="4"/>
  <c r="G42" i="4"/>
  <c r="I4" i="4"/>
  <c r="I42" i="4" s="1"/>
  <c r="G10" i="1"/>
  <c r="G11" i="1"/>
  <c r="G13" i="1"/>
  <c r="I13" i="1" s="1"/>
  <c r="J13" i="1" s="1"/>
  <c r="G14" i="1"/>
  <c r="G15" i="1"/>
  <c r="I15" i="1" s="1"/>
  <c r="L15" i="1" s="1"/>
  <c r="G17" i="1"/>
  <c r="I17" i="1" s="1"/>
  <c r="G18" i="1"/>
  <c r="I18" i="1" s="1"/>
  <c r="G19" i="1"/>
  <c r="G20" i="1"/>
  <c r="I20" i="1" s="1"/>
  <c r="G21" i="1"/>
  <c r="G22" i="1"/>
  <c r="I22" i="1" s="1"/>
  <c r="N22" i="1" s="1"/>
  <c r="G23" i="1"/>
  <c r="G24" i="1"/>
  <c r="I24" i="1" s="1"/>
  <c r="G25" i="1"/>
  <c r="G26" i="1"/>
  <c r="G27" i="1"/>
  <c r="G28" i="1"/>
  <c r="I28" i="1" s="1"/>
  <c r="G29" i="1"/>
  <c r="G30" i="1"/>
  <c r="G31" i="1"/>
  <c r="G32" i="1"/>
  <c r="I32" i="1" s="1"/>
  <c r="G33" i="1"/>
  <c r="I33" i="1" s="1"/>
  <c r="G34" i="1"/>
  <c r="G35" i="1"/>
  <c r="G36" i="1"/>
  <c r="I36" i="1" s="1"/>
  <c r="G37" i="1"/>
  <c r="G38" i="1"/>
  <c r="G39" i="1"/>
  <c r="G40" i="1"/>
  <c r="I40" i="1" s="1"/>
  <c r="G41" i="1"/>
  <c r="I41" i="1" s="1"/>
  <c r="J41" i="1" s="1"/>
  <c r="U41" i="1" s="1"/>
  <c r="G42" i="1"/>
  <c r="I42" i="1" s="1"/>
  <c r="J42" i="1" s="1"/>
  <c r="U42" i="1" s="1"/>
  <c r="V42" i="1" s="1"/>
  <c r="G43" i="1"/>
  <c r="G44" i="1"/>
  <c r="G45" i="1"/>
  <c r="I45" i="1" s="1"/>
  <c r="AP46" i="3"/>
  <c r="AO45" i="3"/>
  <c r="AN45" i="3"/>
  <c r="AM45" i="3"/>
  <c r="AL45" i="3"/>
  <c r="AK45" i="3"/>
  <c r="AJ45" i="3"/>
  <c r="AI45" i="3"/>
  <c r="AH45" i="3"/>
  <c r="AF45" i="3"/>
  <c r="V45" i="3"/>
  <c r="U45" i="3"/>
  <c r="T45" i="3"/>
  <c r="R45" i="3"/>
  <c r="Q45" i="3"/>
  <c r="H42" i="3"/>
  <c r="F42" i="3"/>
  <c r="AP41" i="3"/>
  <c r="AQ41" i="3" s="1"/>
  <c r="G39" i="3"/>
  <c r="I39" i="3" s="1"/>
  <c r="G38" i="3"/>
  <c r="I38" i="3" s="1"/>
  <c r="G37" i="3"/>
  <c r="I37" i="3" s="1"/>
  <c r="G36" i="3"/>
  <c r="I36" i="3" s="1"/>
  <c r="G35" i="3"/>
  <c r="I35" i="3" s="1"/>
  <c r="G34" i="3"/>
  <c r="I34" i="3" s="1"/>
  <c r="G33" i="3"/>
  <c r="I33" i="3" s="1"/>
  <c r="I32" i="3"/>
  <c r="G32" i="3"/>
  <c r="I31" i="3"/>
  <c r="G31" i="3"/>
  <c r="G30" i="3"/>
  <c r="I30" i="3" s="1"/>
  <c r="G29" i="3"/>
  <c r="I29" i="3" s="1"/>
  <c r="G28" i="3"/>
  <c r="I28" i="3" s="1"/>
  <c r="G27" i="3"/>
  <c r="I27" i="3" s="1"/>
  <c r="G26" i="3"/>
  <c r="I26" i="3" s="1"/>
  <c r="G25" i="3"/>
  <c r="I25" i="3" s="1"/>
  <c r="G24" i="3"/>
  <c r="I24" i="3" s="1"/>
  <c r="G23" i="3"/>
  <c r="I23" i="3" s="1"/>
  <c r="G22" i="3"/>
  <c r="I22" i="3" s="1"/>
  <c r="G21" i="3"/>
  <c r="I21" i="3" s="1"/>
  <c r="G20" i="3"/>
  <c r="I20" i="3" s="1"/>
  <c r="G19" i="3"/>
  <c r="I19" i="3" s="1"/>
  <c r="G18" i="3"/>
  <c r="I18" i="3" s="1"/>
  <c r="G17" i="3"/>
  <c r="I17" i="3" s="1"/>
  <c r="G16" i="3"/>
  <c r="I16" i="3" s="1"/>
  <c r="G15" i="3"/>
  <c r="I15" i="3" s="1"/>
  <c r="G14" i="3"/>
  <c r="I14" i="3" s="1"/>
  <c r="G13" i="3"/>
  <c r="I13" i="3" s="1"/>
  <c r="G12" i="3"/>
  <c r="I12" i="3" s="1"/>
  <c r="G11" i="3"/>
  <c r="I11" i="3" s="1"/>
  <c r="G9" i="3"/>
  <c r="I9" i="3" s="1"/>
  <c r="G8" i="3"/>
  <c r="I8" i="3" s="1"/>
  <c r="G7" i="3"/>
  <c r="I7" i="3" s="1"/>
  <c r="G5" i="3"/>
  <c r="I5" i="3" s="1"/>
  <c r="G4" i="3"/>
  <c r="I4" i="3" s="1"/>
  <c r="K45" i="2"/>
  <c r="M45" i="2"/>
  <c r="N45" i="2"/>
  <c r="O45" i="2"/>
  <c r="R45" i="2"/>
  <c r="Y45" i="2"/>
  <c r="AA45" i="2"/>
  <c r="AB45" i="2"/>
  <c r="AC45" i="2"/>
  <c r="AD45" i="2"/>
  <c r="AE45" i="2"/>
  <c r="AF45" i="2"/>
  <c r="AG45" i="2"/>
  <c r="AH45" i="2"/>
  <c r="J45" i="2"/>
  <c r="AC42" i="2"/>
  <c r="AE42" i="2"/>
  <c r="AI46" i="2"/>
  <c r="AH42" i="2"/>
  <c r="AB42" i="2"/>
  <c r="H42" i="2"/>
  <c r="F42" i="2"/>
  <c r="AI41" i="2"/>
  <c r="AI40" i="2"/>
  <c r="G39" i="2"/>
  <c r="I39" i="2" s="1"/>
  <c r="AI38" i="2"/>
  <c r="G38" i="2"/>
  <c r="I38" i="2" s="1"/>
  <c r="AI37" i="2"/>
  <c r="G37" i="2"/>
  <c r="I37" i="2" s="1"/>
  <c r="G36" i="2"/>
  <c r="I36" i="2" s="1"/>
  <c r="G35" i="2"/>
  <c r="I35" i="2" s="1"/>
  <c r="G34" i="2"/>
  <c r="I34" i="2" s="1"/>
  <c r="AI34" i="2" s="1"/>
  <c r="AI33" i="2"/>
  <c r="G33" i="2"/>
  <c r="I33" i="2" s="1"/>
  <c r="AI32" i="2"/>
  <c r="I32" i="2"/>
  <c r="G32" i="2"/>
  <c r="I31" i="2"/>
  <c r="G31" i="2"/>
  <c r="G30" i="2"/>
  <c r="I30" i="2" s="1"/>
  <c r="G29" i="2"/>
  <c r="I29" i="2" s="1"/>
  <c r="AI29" i="2" s="1"/>
  <c r="G28" i="2"/>
  <c r="I28" i="2" s="1"/>
  <c r="G27" i="2"/>
  <c r="I27" i="2" s="1"/>
  <c r="AI26" i="2"/>
  <c r="G26" i="2"/>
  <c r="I26" i="2" s="1"/>
  <c r="AI25" i="2"/>
  <c r="G25" i="2"/>
  <c r="I25" i="2" s="1"/>
  <c r="AI24" i="2"/>
  <c r="G24" i="2"/>
  <c r="I24" i="2" s="1"/>
  <c r="G23" i="2"/>
  <c r="I23" i="2" s="1"/>
  <c r="G22" i="2"/>
  <c r="I22" i="2" s="1"/>
  <c r="G21" i="2"/>
  <c r="I21" i="2" s="1"/>
  <c r="G20" i="2"/>
  <c r="I20" i="2" s="1"/>
  <c r="G19" i="2"/>
  <c r="I19" i="2" s="1"/>
  <c r="AI19" i="2" s="1"/>
  <c r="G18" i="2"/>
  <c r="I18" i="2" s="1"/>
  <c r="AI18" i="2" s="1"/>
  <c r="G17" i="2"/>
  <c r="I17" i="2" s="1"/>
  <c r="G16" i="2"/>
  <c r="I16" i="2" s="1"/>
  <c r="G15" i="2"/>
  <c r="I15" i="2" s="1"/>
  <c r="G14" i="2"/>
  <c r="I14" i="2" s="1"/>
  <c r="AD42" i="2"/>
  <c r="G13" i="2"/>
  <c r="I13" i="2" s="1"/>
  <c r="G12" i="2"/>
  <c r="I12" i="2" s="1"/>
  <c r="G11" i="2"/>
  <c r="I11" i="2" s="1"/>
  <c r="G9" i="2"/>
  <c r="I9" i="2" s="1"/>
  <c r="I8" i="2"/>
  <c r="G8" i="2"/>
  <c r="G7" i="2"/>
  <c r="I7" i="2" s="1"/>
  <c r="G5" i="2"/>
  <c r="I5" i="2" s="1"/>
  <c r="I4" i="2"/>
  <c r="G4" i="2"/>
  <c r="U52" i="1"/>
  <c r="T48" i="1"/>
  <c r="Q48" i="1"/>
  <c r="H48" i="1"/>
  <c r="F48" i="1"/>
  <c r="U47" i="1"/>
  <c r="V47" i="1" s="1"/>
  <c r="U46" i="1"/>
  <c r="V46" i="1" s="1"/>
  <c r="U44" i="1"/>
  <c r="I44" i="1"/>
  <c r="V44" i="1" s="1"/>
  <c r="U43" i="1"/>
  <c r="I43" i="1"/>
  <c r="V43" i="1" s="1"/>
  <c r="U39" i="1"/>
  <c r="I39" i="1"/>
  <c r="V39" i="1" s="1"/>
  <c r="U38" i="1"/>
  <c r="V38" i="1" s="1"/>
  <c r="I38" i="1"/>
  <c r="U37" i="1"/>
  <c r="V37" i="1" s="1"/>
  <c r="S37" i="1"/>
  <c r="S48" i="1" s="1"/>
  <c r="I37" i="1"/>
  <c r="I35" i="1"/>
  <c r="I34" i="1"/>
  <c r="J34" i="1" s="1"/>
  <c r="U34" i="1" s="1"/>
  <c r="U32" i="1"/>
  <c r="U31" i="1"/>
  <c r="I31" i="1"/>
  <c r="V31" i="1" s="1"/>
  <c r="U30" i="1"/>
  <c r="I30" i="1"/>
  <c r="V30" i="1" s="1"/>
  <c r="I29" i="1"/>
  <c r="I27" i="1"/>
  <c r="L27" i="1" s="1"/>
  <c r="U27" i="1" s="1"/>
  <c r="V27" i="1" s="1"/>
  <c r="I26" i="1"/>
  <c r="L26" i="1" s="1"/>
  <c r="U26" i="1" s="1"/>
  <c r="I25" i="1"/>
  <c r="I23" i="1"/>
  <c r="I21" i="1"/>
  <c r="K21" i="1" s="1"/>
  <c r="U21" i="1" s="1"/>
  <c r="V21" i="1" s="1"/>
  <c r="I19" i="1"/>
  <c r="I14" i="1"/>
  <c r="I11" i="1"/>
  <c r="J11" i="1" s="1"/>
  <c r="I10" i="1"/>
  <c r="J10" i="1" s="1"/>
  <c r="AO38" i="7" l="1"/>
  <c r="AP38" i="7" s="1"/>
  <c r="Z42" i="7"/>
  <c r="AO27" i="7"/>
  <c r="AP27" i="7" s="1"/>
  <c r="AO12" i="7"/>
  <c r="AP12" i="7" s="1"/>
  <c r="AO31" i="7"/>
  <c r="AP31" i="7" s="1"/>
  <c r="AO26" i="7"/>
  <c r="AP26" i="7" s="1"/>
  <c r="AO15" i="7"/>
  <c r="AP15" i="7" s="1"/>
  <c r="AO8" i="7"/>
  <c r="AP8" i="7" s="1"/>
  <c r="AF42" i="7"/>
  <c r="AO7" i="7"/>
  <c r="AP7" i="7" s="1"/>
  <c r="AO32" i="7"/>
  <c r="AP32" i="7" s="1"/>
  <c r="AO35" i="7"/>
  <c r="AP35" i="7" s="1"/>
  <c r="AO14" i="7"/>
  <c r="AP14" i="7" s="1"/>
  <c r="AO20" i="7"/>
  <c r="AP20" i="7" s="1"/>
  <c r="W42" i="7"/>
  <c r="AE42" i="7"/>
  <c r="AO37" i="7"/>
  <c r="AP37" i="7" s="1"/>
  <c r="AO33" i="7"/>
  <c r="AP33" i="7" s="1"/>
  <c r="AO36" i="7"/>
  <c r="AP36" i="7" s="1"/>
  <c r="AO25" i="7"/>
  <c r="AP25" i="7" s="1"/>
  <c r="AO39" i="7"/>
  <c r="AP39" i="7" s="1"/>
  <c r="AO24" i="7"/>
  <c r="AP24" i="7" s="1"/>
  <c r="AD42" i="7"/>
  <c r="AO23" i="7"/>
  <c r="AP23" i="7" s="1"/>
  <c r="AO22" i="7"/>
  <c r="AP22" i="7" s="1"/>
  <c r="AO21" i="7"/>
  <c r="AP21" i="7" s="1"/>
  <c r="AO9" i="7"/>
  <c r="AP9" i="7" s="1"/>
  <c r="X42" i="7"/>
  <c r="AC42" i="7"/>
  <c r="AO40" i="7"/>
  <c r="AP40" i="7" s="1"/>
  <c r="V42" i="7"/>
  <c r="AO16" i="7"/>
  <c r="AP16" i="7" s="1"/>
  <c r="AO17" i="7"/>
  <c r="AP17" i="7" s="1"/>
  <c r="AO19" i="7"/>
  <c r="AP19" i="7" s="1"/>
  <c r="AB42" i="7"/>
  <c r="AO30" i="7"/>
  <c r="AP30" i="7" s="1"/>
  <c r="AO29" i="7"/>
  <c r="AP29" i="7" s="1"/>
  <c r="AO18" i="7"/>
  <c r="AP18" i="7" s="1"/>
  <c r="AO28" i="7"/>
  <c r="AP28" i="7" s="1"/>
  <c r="AO34" i="7"/>
  <c r="AP34" i="7" s="1"/>
  <c r="AO13" i="7"/>
  <c r="AP13" i="7" s="1"/>
  <c r="AO4" i="7"/>
  <c r="AP4" i="7" s="1"/>
  <c r="AA42" i="7"/>
  <c r="AO11" i="7"/>
  <c r="AP11" i="7" s="1"/>
  <c r="AO5" i="7"/>
  <c r="AP5" i="7" s="1"/>
  <c r="AE45" i="9"/>
  <c r="AE2" i="7"/>
  <c r="AE45" i="7" s="1"/>
  <c r="AC43" i="9"/>
  <c r="AE43" i="9"/>
  <c r="AD43" i="9"/>
  <c r="AF43" i="9"/>
  <c r="AB43" i="9"/>
  <c r="Z43" i="9"/>
  <c r="AA43" i="9"/>
  <c r="S43" i="9"/>
  <c r="V43" i="9"/>
  <c r="W45" i="9"/>
  <c r="W2" i="7"/>
  <c r="W45" i="7" s="1"/>
  <c r="AJ43" i="9"/>
  <c r="X43" i="9"/>
  <c r="W43" i="9"/>
  <c r="T43" i="9"/>
  <c r="R43" i="9"/>
  <c r="AN43" i="9"/>
  <c r="U43" i="9"/>
  <c r="AG43" i="9"/>
  <c r="AM43" i="9"/>
  <c r="AI43" i="9"/>
  <c r="AL43" i="9"/>
  <c r="AH43" i="9"/>
  <c r="AK43" i="9"/>
  <c r="Q43" i="9"/>
  <c r="V32" i="1"/>
  <c r="AP14" i="3"/>
  <c r="AQ14" i="3" s="1"/>
  <c r="AP18" i="3"/>
  <c r="AQ18" i="3" s="1"/>
  <c r="AP19" i="3"/>
  <c r="AQ19" i="3" s="1"/>
  <c r="AP11" i="3"/>
  <c r="AQ11" i="3" s="1"/>
  <c r="AP31" i="3"/>
  <c r="AQ31" i="3" s="1"/>
  <c r="AP32" i="3"/>
  <c r="AQ32" i="3" s="1"/>
  <c r="AP36" i="3"/>
  <c r="AQ36" i="3" s="1"/>
  <c r="AP15" i="3"/>
  <c r="AQ15" i="3" s="1"/>
  <c r="AP39" i="3"/>
  <c r="AQ39" i="3" s="1"/>
  <c r="AP37" i="3"/>
  <c r="AQ37" i="3" s="1"/>
  <c r="AP20" i="3"/>
  <c r="AQ20" i="3" s="1"/>
  <c r="AP28" i="3"/>
  <c r="AQ28" i="3" s="1"/>
  <c r="AP25" i="3"/>
  <c r="AQ25" i="3" s="1"/>
  <c r="AP33" i="3"/>
  <c r="AQ33" i="3" s="1"/>
  <c r="AP38" i="3"/>
  <c r="AQ38" i="3" s="1"/>
  <c r="AP26" i="3"/>
  <c r="AQ26" i="3" s="1"/>
  <c r="AP34" i="3"/>
  <c r="AQ34" i="3" s="1"/>
  <c r="AP12" i="3"/>
  <c r="AQ12" i="3" s="1"/>
  <c r="AP17" i="3"/>
  <c r="AQ17" i="3" s="1"/>
  <c r="AP29" i="3"/>
  <c r="AQ29" i="3" s="1"/>
  <c r="AP23" i="3"/>
  <c r="AQ23" i="3" s="1"/>
  <c r="AP16" i="3"/>
  <c r="AQ16" i="3" s="1"/>
  <c r="AP24" i="3"/>
  <c r="AQ24" i="3" s="1"/>
  <c r="AP35" i="3"/>
  <c r="AQ35" i="3" s="1"/>
  <c r="AP30" i="3"/>
  <c r="AQ30" i="3" s="1"/>
  <c r="AP27" i="3"/>
  <c r="AQ27" i="3" s="1"/>
  <c r="AP13" i="3"/>
  <c r="AQ13" i="3" s="1"/>
  <c r="AP21" i="3"/>
  <c r="AQ21" i="3" s="1"/>
  <c r="AP22" i="3"/>
  <c r="AQ22" i="3" s="1"/>
  <c r="AK43" i="5"/>
  <c r="AG43" i="5"/>
  <c r="AI43" i="5"/>
  <c r="T43" i="5"/>
  <c r="AJ43" i="5"/>
  <c r="AM42" i="4"/>
  <c r="AI42" i="7"/>
  <c r="R42" i="7"/>
  <c r="AH42" i="7"/>
  <c r="AL42" i="7"/>
  <c r="S42" i="7"/>
  <c r="Q42" i="7"/>
  <c r="AJ42" i="7"/>
  <c r="U42" i="7"/>
  <c r="AM42" i="7"/>
  <c r="AK42" i="7"/>
  <c r="AG42" i="7"/>
  <c r="AG42" i="6"/>
  <c r="S42" i="6"/>
  <c r="AM42" i="6"/>
  <c r="AJ42" i="6"/>
  <c r="AH42" i="6"/>
  <c r="X42" i="6"/>
  <c r="AN42" i="6"/>
  <c r="U42" i="3"/>
  <c r="AH42" i="3"/>
  <c r="AP40" i="3"/>
  <c r="AQ40" i="3" s="1"/>
  <c r="Q42" i="3"/>
  <c r="AP5" i="3"/>
  <c r="AQ5" i="3" s="1"/>
  <c r="AI42" i="3"/>
  <c r="AF42" i="3"/>
  <c r="V42" i="3"/>
  <c r="T42" i="3"/>
  <c r="Y42" i="3"/>
  <c r="R42" i="3"/>
  <c r="AN42" i="7"/>
  <c r="T42" i="7"/>
  <c r="AL42" i="6"/>
  <c r="AI42" i="6"/>
  <c r="U42" i="6"/>
  <c r="AK42" i="6"/>
  <c r="R42" i="6"/>
  <c r="T42" i="6"/>
  <c r="Q42" i="6"/>
  <c r="U43" i="5"/>
  <c r="AN43" i="5"/>
  <c r="S43" i="5"/>
  <c r="AL43" i="5"/>
  <c r="R43" i="5"/>
  <c r="Q43" i="5"/>
  <c r="X43" i="5"/>
  <c r="AH43" i="5"/>
  <c r="AM43" i="5"/>
  <c r="AH42" i="4"/>
  <c r="AI42" i="4"/>
  <c r="AG42" i="4"/>
  <c r="R42" i="4"/>
  <c r="AL42" i="4"/>
  <c r="Q42" i="4"/>
  <c r="X42" i="4"/>
  <c r="T42" i="4"/>
  <c r="S42" i="4"/>
  <c r="AK42" i="4"/>
  <c r="AJ42" i="4"/>
  <c r="U42" i="4"/>
  <c r="AN42" i="4"/>
  <c r="AJ42" i="3"/>
  <c r="I42" i="3"/>
  <c r="G42" i="3"/>
  <c r="AI30" i="2"/>
  <c r="AI23" i="2"/>
  <c r="G42" i="2"/>
  <c r="AI35" i="2"/>
  <c r="AI28" i="2"/>
  <c r="AA42" i="2"/>
  <c r="AI22" i="2"/>
  <c r="AI36" i="2"/>
  <c r="AI17" i="2"/>
  <c r="Y42" i="2"/>
  <c r="AI5" i="2"/>
  <c r="AI20" i="2"/>
  <c r="AI21" i="2"/>
  <c r="I42" i="2"/>
  <c r="AI27" i="2"/>
  <c r="AI39" i="2"/>
  <c r="N48" i="1"/>
  <c r="U22" i="1"/>
  <c r="V22" i="1" s="1"/>
  <c r="J29" i="1"/>
  <c r="U29" i="1" s="1"/>
  <c r="V29" i="1" s="1"/>
  <c r="U11" i="1"/>
  <c r="V11" i="1" s="1"/>
  <c r="K18" i="1"/>
  <c r="O23" i="1"/>
  <c r="I48" i="1"/>
  <c r="J36" i="1"/>
  <c r="U36" i="1" s="1"/>
  <c r="V36" i="1" s="1"/>
  <c r="J14" i="1"/>
  <c r="J45" i="1"/>
  <c r="U45" i="1" s="1"/>
  <c r="V45" i="1" s="1"/>
  <c r="M25" i="1"/>
  <c r="U25" i="1" s="1"/>
  <c r="V25" i="1" s="1"/>
  <c r="J33" i="1"/>
  <c r="U33" i="1" s="1"/>
  <c r="V33" i="1" s="1"/>
  <c r="J40" i="1"/>
  <c r="U40" i="1" s="1"/>
  <c r="V40" i="1" s="1"/>
  <c r="R19" i="1"/>
  <c r="P28" i="1"/>
  <c r="J24" i="1"/>
  <c r="U24" i="1" s="1"/>
  <c r="V24" i="1" s="1"/>
  <c r="L35" i="1"/>
  <c r="U35" i="1" s="1"/>
  <c r="V35" i="1" s="1"/>
  <c r="J17" i="1"/>
  <c r="V34" i="1"/>
  <c r="M20" i="1"/>
  <c r="G48" i="1"/>
  <c r="V26" i="1"/>
  <c r="V41" i="1"/>
  <c r="AO43" i="9" l="1"/>
  <c r="AO42" i="7"/>
  <c r="Y43" i="7" s="1"/>
  <c r="AO42" i="6"/>
  <c r="Y43" i="6" s="1"/>
  <c r="AO43" i="5"/>
  <c r="Y44" i="5" s="1"/>
  <c r="AO42" i="4"/>
  <c r="Y43" i="4" s="1"/>
  <c r="AK42" i="3"/>
  <c r="M42" i="2"/>
  <c r="AI15" i="2"/>
  <c r="O42" i="2"/>
  <c r="J42" i="2"/>
  <c r="AI4" i="2"/>
  <c r="AI31" i="2"/>
  <c r="AG42" i="2"/>
  <c r="N42" i="2"/>
  <c r="AI16" i="2"/>
  <c r="R42" i="2"/>
  <c r="R48" i="1"/>
  <c r="J48" i="1"/>
  <c r="U10" i="1"/>
  <c r="P48" i="1"/>
  <c r="U28" i="1"/>
  <c r="V28" i="1" s="1"/>
  <c r="K48" i="1"/>
  <c r="L48" i="1"/>
  <c r="M48" i="1"/>
  <c r="U23" i="1"/>
  <c r="V23" i="1" s="1"/>
  <c r="O48" i="1"/>
  <c r="AE43" i="7" l="1"/>
  <c r="AD43" i="7"/>
  <c r="AF43" i="7"/>
  <c r="AC43" i="7"/>
  <c r="AC43" i="6"/>
  <c r="AE43" i="6"/>
  <c r="AD43" i="6"/>
  <c r="AF43" i="6"/>
  <c r="AF44" i="5"/>
  <c r="AD44" i="5"/>
  <c r="AC44" i="5"/>
  <c r="AE44" i="5"/>
  <c r="AE43" i="4"/>
  <c r="AD43" i="4"/>
  <c r="AC43" i="4"/>
  <c r="AF43" i="4"/>
  <c r="V43" i="7"/>
  <c r="Z43" i="7"/>
  <c r="AB43" i="7"/>
  <c r="AA43" i="7"/>
  <c r="V43" i="6"/>
  <c r="AA43" i="6"/>
  <c r="AB43" i="6"/>
  <c r="Z43" i="6"/>
  <c r="V44" i="5"/>
  <c r="Z44" i="5"/>
  <c r="AA44" i="5"/>
  <c r="AB44" i="5"/>
  <c r="V43" i="4"/>
  <c r="Z43" i="4"/>
  <c r="AA43" i="4"/>
  <c r="AB43" i="4"/>
  <c r="U44" i="5"/>
  <c r="W44" i="5"/>
  <c r="AH43" i="6"/>
  <c r="W43" i="6"/>
  <c r="AM43" i="4"/>
  <c r="W43" i="4"/>
  <c r="AG43" i="7"/>
  <c r="W43" i="7"/>
  <c r="X43" i="7"/>
  <c r="X43" i="6"/>
  <c r="U43" i="6"/>
  <c r="S43" i="6"/>
  <c r="R43" i="7"/>
  <c r="AM43" i="6"/>
  <c r="R43" i="6"/>
  <c r="AL43" i="6"/>
  <c r="AM44" i="5"/>
  <c r="AH43" i="7"/>
  <c r="AN43" i="7"/>
  <c r="AI43" i="7"/>
  <c r="S43" i="7"/>
  <c r="AL43" i="7"/>
  <c r="AK43" i="7"/>
  <c r="Q43" i="7"/>
  <c r="AJ43" i="7"/>
  <c r="T43" i="7"/>
  <c r="AM43" i="7"/>
  <c r="U43" i="7"/>
  <c r="T43" i="6"/>
  <c r="Q43" i="6"/>
  <c r="AG43" i="6"/>
  <c r="AJ43" i="6"/>
  <c r="AI43" i="6"/>
  <c r="AK43" i="6"/>
  <c r="AN43" i="6"/>
  <c r="AG44" i="5"/>
  <c r="AI44" i="5"/>
  <c r="T44" i="5"/>
  <c r="AJ44" i="5"/>
  <c r="AK44" i="5"/>
  <c r="AH44" i="5"/>
  <c r="X44" i="5"/>
  <c r="AN44" i="5"/>
  <c r="AL44" i="5"/>
  <c r="S44" i="5"/>
  <c r="Q44" i="5"/>
  <c r="R44" i="5"/>
  <c r="AH43" i="4"/>
  <c r="T43" i="4"/>
  <c r="AJ43" i="4"/>
  <c r="U43" i="4"/>
  <c r="S43" i="4"/>
  <c r="AI43" i="4"/>
  <c r="AG43" i="4"/>
  <c r="R43" i="4"/>
  <c r="X43" i="4"/>
  <c r="AK43" i="4"/>
  <c r="Q43" i="4"/>
  <c r="AL43" i="4"/>
  <c r="AN43" i="4"/>
  <c r="AL42" i="3"/>
  <c r="AI42" i="2"/>
  <c r="U48" i="1"/>
  <c r="V10" i="1"/>
  <c r="AF43" i="2" l="1"/>
  <c r="P43" i="2"/>
  <c r="AO43" i="6"/>
  <c r="AO43" i="4"/>
  <c r="AC43" i="2"/>
  <c r="K43" i="2"/>
  <c r="Q43" i="2"/>
  <c r="AO43" i="7"/>
  <c r="AO44" i="5"/>
  <c r="AM42" i="3"/>
  <c r="M43" i="2"/>
  <c r="AE43" i="2"/>
  <c r="N43" i="2"/>
  <c r="O43" i="2"/>
  <c r="AG43" i="2"/>
  <c r="R43" i="2"/>
  <c r="J43" i="2"/>
  <c r="AD43" i="2"/>
  <c r="AB43" i="2"/>
  <c r="AA43" i="2"/>
  <c r="Y43" i="2"/>
  <c r="Q49" i="1"/>
  <c r="S49" i="1"/>
  <c r="V48" i="1"/>
  <c r="N49" i="1"/>
  <c r="P49" i="1"/>
  <c r="J49" i="1"/>
  <c r="K49" i="1"/>
  <c r="M49" i="1"/>
  <c r="O49" i="1"/>
  <c r="R49" i="1"/>
  <c r="L49" i="1"/>
  <c r="AN42" i="3" l="1"/>
  <c r="AI43" i="2"/>
  <c r="U49" i="1"/>
  <c r="AO42" i="3" l="1"/>
  <c r="AP4" i="3"/>
  <c r="AP42" i="3" l="1"/>
  <c r="S43" i="3" s="1"/>
  <c r="AQ4" i="3"/>
  <c r="AG43" i="3" l="1"/>
  <c r="Z43" i="3"/>
  <c r="AE43" i="3"/>
  <c r="AD43" i="3"/>
  <c r="W43" i="3"/>
  <c r="AC43" i="3"/>
  <c r="AA43" i="3"/>
  <c r="AB43" i="3"/>
  <c r="AN43" i="3"/>
  <c r="X43" i="3"/>
  <c r="AH43" i="3"/>
  <c r="AF43" i="3"/>
  <c r="U43" i="3"/>
  <c r="T43" i="3"/>
  <c r="AL43" i="3"/>
  <c r="Q43" i="3"/>
  <c r="AJ43" i="3"/>
  <c r="AI43" i="3"/>
  <c r="V43" i="3"/>
  <c r="AM43" i="3"/>
  <c r="AK43" i="3"/>
  <c r="R43" i="3"/>
  <c r="Y43" i="3"/>
  <c r="AO43" i="3"/>
  <c r="AP43" i="3" l="1"/>
</calcChain>
</file>

<file path=xl/sharedStrings.xml><?xml version="1.0" encoding="utf-8"?>
<sst xmlns="http://schemas.openxmlformats.org/spreadsheetml/2006/main" count="373" uniqueCount="133">
  <si>
    <t>SALARIES 2020</t>
  </si>
  <si>
    <t>Class Codes</t>
  </si>
  <si>
    <t>Bi Weekly</t>
  </si>
  <si>
    <t>Annual Budget</t>
  </si>
  <si>
    <t>Salary Adj</t>
  </si>
  <si>
    <t>Salary Revised</t>
  </si>
  <si>
    <t>Security</t>
  </si>
  <si>
    <t>Abbott, Admin</t>
  </si>
  <si>
    <t>Custodian</t>
  </si>
  <si>
    <t>Wrap</t>
  </si>
  <si>
    <t>Wrap Teacher</t>
  </si>
  <si>
    <t>BRYANT, Roni</t>
  </si>
  <si>
    <t>Teacher Asst</t>
  </si>
  <si>
    <t>Director</t>
  </si>
  <si>
    <t>Guerra, Karime</t>
  </si>
  <si>
    <t>Housing</t>
  </si>
  <si>
    <t xml:space="preserve">Teacher   </t>
  </si>
  <si>
    <t>Family Worker</t>
  </si>
  <si>
    <t>Mitchell, Felicia</t>
  </si>
  <si>
    <t>Teacher</t>
  </si>
  <si>
    <t>MORRIS, GWEN</t>
  </si>
  <si>
    <t>Floater</t>
  </si>
  <si>
    <t>Robbins, Leonard</t>
  </si>
  <si>
    <t>Opportunity Corp</t>
  </si>
  <si>
    <t>Cook</t>
  </si>
  <si>
    <t>Abbott</t>
  </si>
  <si>
    <t>EHS</t>
  </si>
  <si>
    <t>USJP</t>
  </si>
  <si>
    <t>Workforce/PACE</t>
  </si>
  <si>
    <t>FOC</t>
  </si>
  <si>
    <t>Real Estate</t>
  </si>
  <si>
    <t>Neigh- Coding</t>
  </si>
  <si>
    <t>Admin</t>
  </si>
  <si>
    <t xml:space="preserve">Opport </t>
  </si>
  <si>
    <t>PACE</t>
  </si>
  <si>
    <t>Totals</t>
  </si>
  <si>
    <t>Headcount</t>
  </si>
  <si>
    <t>Space</t>
  </si>
  <si>
    <t>Donor name by prog year</t>
  </si>
  <si>
    <t>Donor</t>
  </si>
  <si>
    <t>Newark Public Schools</t>
  </si>
  <si>
    <t>NUL</t>
  </si>
  <si>
    <t>Prudential</t>
  </si>
  <si>
    <t>CDBG</t>
  </si>
  <si>
    <t>NRTC</t>
  </si>
  <si>
    <t>Wells Fargo</t>
  </si>
  <si>
    <t>Victoria Found</t>
  </si>
  <si>
    <t>Parent Co pay</t>
  </si>
  <si>
    <t>PFP</t>
  </si>
  <si>
    <t>SSH</t>
  </si>
  <si>
    <t>LISC</t>
  </si>
  <si>
    <t>Fundraising</t>
  </si>
  <si>
    <t>Newark Alliance</t>
  </si>
  <si>
    <t>ESG</t>
  </si>
  <si>
    <t>Capital One</t>
  </si>
  <si>
    <t>DCF</t>
  </si>
  <si>
    <t>United Airlines</t>
  </si>
  <si>
    <t>Verizon</t>
  </si>
  <si>
    <t xml:space="preserve"> </t>
  </si>
  <si>
    <t>Current</t>
  </si>
  <si>
    <t xml:space="preserve">Approved </t>
  </si>
  <si>
    <t>NUL - HUD</t>
  </si>
  <si>
    <t>NUL - Esusu</t>
  </si>
  <si>
    <t>Abbott - Other</t>
  </si>
  <si>
    <t>Toddlers</t>
  </si>
  <si>
    <t>CEO</t>
  </si>
  <si>
    <t>Workforce</t>
  </si>
  <si>
    <t>Coding</t>
  </si>
  <si>
    <t>Opprt Corp</t>
  </si>
  <si>
    <t>EHS/ Toddlers</t>
  </si>
  <si>
    <t>CFO</t>
  </si>
  <si>
    <t>Neigh Revit</t>
  </si>
  <si>
    <t>Real Estate/NRTC</t>
  </si>
  <si>
    <t>Total</t>
  </si>
  <si>
    <t>ANDREWS, Cora</t>
  </si>
  <si>
    <t>Bennett, Patricia A.</t>
  </si>
  <si>
    <t>BROWN,Denise- Wrap</t>
  </si>
  <si>
    <t>CERNA, Irene</t>
  </si>
  <si>
    <t>DANCE-WILSON, Heather</t>
  </si>
  <si>
    <t>FITZPATRICK, Cynthia E.  - Toddlers</t>
  </si>
  <si>
    <t>FRASER, Vivian Cox</t>
  </si>
  <si>
    <t xml:space="preserve">FRAZIER, Alice </t>
  </si>
  <si>
    <t xml:space="preserve">GREEN, Yolanda - </t>
  </si>
  <si>
    <t>HIGGINS, Rosa M. April</t>
  </si>
  <si>
    <t>HOLLINS, QUINTELLA</t>
  </si>
  <si>
    <t>Howard, Theresa</t>
  </si>
  <si>
    <t>Johnson, Amanda</t>
  </si>
  <si>
    <t>Leake, Rahmel</t>
  </si>
  <si>
    <t>Lindsey, Victoria - July</t>
  </si>
  <si>
    <t>LOFTIN, NIQUITA</t>
  </si>
  <si>
    <t>Love, Charles</t>
  </si>
  <si>
    <t>MARTINEZ, Joanna</t>
  </si>
  <si>
    <t>McDaniels, Curtis</t>
  </si>
  <si>
    <t>MCMILLIAN, Daphne L.</t>
  </si>
  <si>
    <t>RAMBARAN, Sharaini J.</t>
  </si>
  <si>
    <t>SERMON, Patricia April</t>
  </si>
  <si>
    <t>SHARIF, Darrin S. - April</t>
  </si>
  <si>
    <t>SIMMONS, Bertrilla R.</t>
  </si>
  <si>
    <t>STEWART, Robin D</t>
  </si>
  <si>
    <t>TYLER, Patricia</t>
  </si>
  <si>
    <t>WARD, Richard G. - April</t>
  </si>
  <si>
    <t>Williams, Kyneisha - Career Coach</t>
  </si>
  <si>
    <t>WOODRIDGE, Rosalind</t>
  </si>
  <si>
    <t>NRTC, Housing, PARS, ESG</t>
  </si>
  <si>
    <t>FOC, Housing, OICA, COO</t>
  </si>
  <si>
    <t>Admin, Coding, WF</t>
  </si>
  <si>
    <t>United Airlines, PACE Dec 1</t>
  </si>
  <si>
    <t>Cooper, Cassandra</t>
  </si>
  <si>
    <t>Bishop-Shakoor, Ayesha</t>
  </si>
  <si>
    <t>Clerical</t>
  </si>
  <si>
    <t>Pru -Workforce</t>
  </si>
  <si>
    <t>Workforce UA</t>
  </si>
  <si>
    <t>United Airlines, PACE June 30</t>
  </si>
  <si>
    <t xml:space="preserve">Williams, Kyneisha - Career Coach </t>
  </si>
  <si>
    <t xml:space="preserve">HIGGINS, Rosa M. </t>
  </si>
  <si>
    <t>Save Up2</t>
  </si>
  <si>
    <t xml:space="preserve">PRU -FOC </t>
  </si>
  <si>
    <t>NRTC 18</t>
  </si>
  <si>
    <t>NRTC 20</t>
  </si>
  <si>
    <t>PARS</t>
  </si>
  <si>
    <t>LISC 2020</t>
  </si>
  <si>
    <t>NRTC18</t>
  </si>
  <si>
    <t>Housing ESG</t>
  </si>
  <si>
    <t>WARD, Richard G. - Off Jan 1</t>
  </si>
  <si>
    <t>NPS</t>
  </si>
  <si>
    <t>Private Pay</t>
  </si>
  <si>
    <t>Private pay</t>
  </si>
  <si>
    <t>Donors</t>
  </si>
  <si>
    <t>United  Airlines</t>
  </si>
  <si>
    <t>State of NJ - Pace</t>
  </si>
  <si>
    <t>City of Newark</t>
  </si>
  <si>
    <t>City of Irvington</t>
  </si>
  <si>
    <t>Victoria 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</si>
</sst>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m/d/yy;@"/>
    <numFmt numFmtId="165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</font>
    <font>
      <b/>
      <sz val="8"/>
      <name val="Calibri"/>
      <family val="2"/>
    </font>
    <font>
      <b/>
      <sz val="8"/>
      <name val="Comic Sans MS"/>
      <family val="4"/>
    </font>
    <font>
      <sz val="8"/>
      <name val="Calibri"/>
      <family val="2"/>
      <scheme val="minor"/>
    </font>
    <font>
      <i/>
      <u/>
      <sz val="9"/>
      <color theme="1"/>
      <name val="Calibri"/>
      <family val="2"/>
      <scheme val="minor"/>
    </font>
    <font>
      <sz val="8"/>
      <name val="Arial"/>
      <family val="2"/>
    </font>
    <font>
      <i/>
      <u/>
      <sz val="8"/>
      <color theme="1"/>
      <name val="Calibri"/>
      <family val="2"/>
      <scheme val="minor"/>
    </font>
    <font>
      <i/>
      <u/>
      <sz val="8"/>
      <name val="Arial"/>
      <family val="2"/>
    </font>
    <font>
      <b/>
      <i/>
      <u/>
      <sz val="8"/>
      <name val="Arial"/>
      <family val="2"/>
    </font>
    <font>
      <i/>
      <u/>
      <sz val="11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6">
    <xf numFmtId="0" fontId="0" fillId="0" borderId="0" xfId="0"/>
    <xf numFmtId="164" fontId="2" fillId="0" borderId="0" xfId="1" applyNumberFormat="1" applyFont="1" applyAlignment="1">
      <alignment wrapText="1"/>
    </xf>
    <xf numFmtId="164" fontId="3" fillId="0" borderId="1" xfId="1" applyNumberFormat="1" applyFont="1" applyFill="1" applyBorder="1" applyAlignment="1">
      <alignment wrapText="1"/>
    </xf>
    <xf numFmtId="164" fontId="3" fillId="0" borderId="2" xfId="1" applyNumberFormat="1" applyFont="1" applyFill="1" applyBorder="1" applyAlignment="1">
      <alignment wrapText="1"/>
    </xf>
    <xf numFmtId="164" fontId="4" fillId="0" borderId="3" xfId="1" applyNumberFormat="1" applyFont="1" applyBorder="1" applyAlignment="1">
      <alignment horizontal="center" wrapText="1"/>
    </xf>
    <xf numFmtId="164" fontId="5" fillId="0" borderId="3" xfId="1" applyNumberFormat="1" applyFont="1" applyBorder="1" applyAlignment="1">
      <alignment horizontal="center" wrapText="1"/>
    </xf>
    <xf numFmtId="43" fontId="0" fillId="0" borderId="4" xfId="1" applyFont="1" applyBorder="1"/>
    <xf numFmtId="43" fontId="0" fillId="0" borderId="5" xfId="1" applyFont="1" applyBorder="1"/>
    <xf numFmtId="0" fontId="6" fillId="0" borderId="5" xfId="0" applyFont="1" applyBorder="1"/>
    <xf numFmtId="43" fontId="0" fillId="0" borderId="6" xfId="1" applyFont="1" applyBorder="1"/>
    <xf numFmtId="43" fontId="0" fillId="0" borderId="0" xfId="1" applyFont="1"/>
    <xf numFmtId="1" fontId="2" fillId="0" borderId="0" xfId="1" applyNumberFormat="1" applyFont="1"/>
    <xf numFmtId="165" fontId="7" fillId="0" borderId="0" xfId="1" applyNumberFormat="1" applyFont="1" applyFill="1" applyAlignment="1">
      <alignment horizontal="center"/>
    </xf>
    <xf numFmtId="165" fontId="8" fillId="0" borderId="0" xfId="1" applyNumberFormat="1" applyFont="1" applyAlignment="1">
      <alignment horizontal="center"/>
    </xf>
    <xf numFmtId="165" fontId="9" fillId="0" borderId="0" xfId="1" applyNumberFormat="1" applyFont="1" applyAlignment="1">
      <alignment horizontal="center"/>
    </xf>
    <xf numFmtId="43" fontId="2" fillId="0" borderId="0" xfId="1" applyFont="1"/>
    <xf numFmtId="0" fontId="2" fillId="0" borderId="0" xfId="0" applyFont="1"/>
    <xf numFmtId="165" fontId="10" fillId="0" borderId="0" xfId="1" applyNumberFormat="1" applyFont="1" applyFill="1" applyAlignment="1">
      <alignment horizontal="left"/>
    </xf>
    <xf numFmtId="43" fontId="10" fillId="0" borderId="0" xfId="1" applyFont="1" applyAlignment="1">
      <alignment horizontal="left"/>
    </xf>
    <xf numFmtId="43" fontId="2" fillId="0" borderId="0" xfId="0" applyNumberFormat="1" applyFont="1"/>
    <xf numFmtId="43" fontId="10" fillId="2" borderId="0" xfId="1" applyFont="1" applyFill="1" applyAlignment="1">
      <alignment horizontal="left"/>
    </xf>
    <xf numFmtId="165" fontId="10" fillId="3" borderId="0" xfId="1" applyNumberFormat="1" applyFont="1" applyFill="1" applyAlignment="1">
      <alignment horizontal="left"/>
    </xf>
    <xf numFmtId="43" fontId="10" fillId="0" borderId="0" xfId="1" applyFont="1" applyFill="1" applyAlignment="1">
      <alignment horizontal="left"/>
    </xf>
    <xf numFmtId="43" fontId="2" fillId="4" borderId="0" xfId="1" applyFont="1" applyFill="1"/>
    <xf numFmtId="43" fontId="2" fillId="5" borderId="0" xfId="1" applyFont="1" applyFill="1"/>
    <xf numFmtId="165" fontId="10" fillId="5" borderId="0" xfId="1" applyNumberFormat="1" applyFont="1" applyFill="1" applyBorder="1" applyAlignment="1">
      <alignment horizontal="left"/>
    </xf>
    <xf numFmtId="165" fontId="10" fillId="0" borderId="0" xfId="1" applyNumberFormat="1" applyFont="1" applyFill="1" applyBorder="1" applyAlignment="1">
      <alignment horizontal="left"/>
    </xf>
    <xf numFmtId="43" fontId="10" fillId="0" borderId="0" xfId="1" applyFont="1" applyBorder="1" applyAlignment="1">
      <alignment horizontal="left"/>
    </xf>
    <xf numFmtId="43" fontId="10" fillId="5" borderId="0" xfId="1" applyFont="1" applyFill="1" applyAlignment="1">
      <alignment horizontal="left"/>
    </xf>
    <xf numFmtId="43" fontId="10" fillId="0" borderId="0" xfId="1" applyFont="1" applyFill="1" applyBorder="1" applyAlignment="1">
      <alignment horizontal="left"/>
    </xf>
    <xf numFmtId="43" fontId="2" fillId="6" borderId="0" xfId="1" applyFont="1" applyFill="1"/>
    <xf numFmtId="43" fontId="2" fillId="3" borderId="0" xfId="1" applyFont="1" applyFill="1"/>
    <xf numFmtId="43" fontId="10" fillId="2" borderId="0" xfId="1" applyFont="1" applyFill="1" applyBorder="1" applyAlignment="1">
      <alignment horizontal="left"/>
    </xf>
    <xf numFmtId="165" fontId="10" fillId="0" borderId="0" xfId="1" applyNumberFormat="1" applyFont="1" applyAlignment="1">
      <alignment horizontal="left"/>
    </xf>
    <xf numFmtId="1" fontId="11" fillId="0" borderId="0" xfId="1" applyNumberFormat="1" applyFont="1"/>
    <xf numFmtId="43" fontId="12" fillId="6" borderId="1" xfId="1" applyFont="1" applyFill="1" applyBorder="1" applyAlignment="1">
      <alignment horizontal="left"/>
    </xf>
    <xf numFmtId="43" fontId="11" fillId="0" borderId="0" xfId="0" applyNumberFormat="1" applyFont="1"/>
    <xf numFmtId="0" fontId="11" fillId="0" borderId="0" xfId="0" applyFont="1"/>
    <xf numFmtId="43" fontId="13" fillId="0" borderId="0" xfId="1" applyFont="1" applyBorder="1" applyAlignment="1">
      <alignment horizontal="left"/>
    </xf>
    <xf numFmtId="43" fontId="6" fillId="0" borderId="0" xfId="1" applyFont="1"/>
    <xf numFmtId="43" fontId="7" fillId="0" borderId="0" xfId="1" applyFont="1" applyFill="1"/>
    <xf numFmtId="165" fontId="2" fillId="0" borderId="0" xfId="1" applyNumberFormat="1" applyFont="1"/>
    <xf numFmtId="165" fontId="2" fillId="0" borderId="0" xfId="1" applyNumberFormat="1" applyFont="1" applyFill="1"/>
    <xf numFmtId="165" fontId="14" fillId="0" borderId="0" xfId="1" applyNumberFormat="1" applyFont="1"/>
    <xf numFmtId="165" fontId="8" fillId="0" borderId="0" xfId="1" applyNumberFormat="1" applyFont="1"/>
    <xf numFmtId="0" fontId="15" fillId="0" borderId="8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6" fillId="0" borderId="0" xfId="0" applyFont="1"/>
    <xf numFmtId="43" fontId="16" fillId="0" borderId="0" xfId="1" applyFont="1" applyFill="1"/>
    <xf numFmtId="165" fontId="16" fillId="0" borderId="0" xfId="1" applyNumberFormat="1" applyFont="1"/>
    <xf numFmtId="165" fontId="16" fillId="0" borderId="0" xfId="1" applyNumberFormat="1" applyFont="1" applyFill="1"/>
    <xf numFmtId="165" fontId="10" fillId="0" borderId="0" xfId="1" applyNumberFormat="1" applyFont="1"/>
    <xf numFmtId="1" fontId="17" fillId="0" borderId="0" xfId="1" applyNumberFormat="1" applyFont="1" applyAlignment="1">
      <alignment horizontal="center"/>
    </xf>
    <xf numFmtId="43" fontId="18" fillId="0" borderId="0" xfId="1" applyFont="1" applyFill="1" applyAlignment="1">
      <alignment horizontal="center"/>
    </xf>
    <xf numFmtId="165" fontId="18" fillId="0" borderId="0" xfId="1" applyNumberFormat="1" applyFont="1" applyAlignment="1">
      <alignment horizontal="center"/>
    </xf>
    <xf numFmtId="165" fontId="19" fillId="0" borderId="0" xfId="1" applyNumberFormat="1" applyFont="1" applyAlignment="1">
      <alignment horizontal="center"/>
    </xf>
    <xf numFmtId="0" fontId="20" fillId="0" borderId="0" xfId="0" applyFont="1" applyAlignment="1">
      <alignment horizontal="center"/>
    </xf>
    <xf numFmtId="43" fontId="10" fillId="3" borderId="10" xfId="1" applyFont="1" applyFill="1" applyBorder="1"/>
    <xf numFmtId="0" fontId="6" fillId="0" borderId="1" xfId="0" applyFont="1" applyBorder="1"/>
    <xf numFmtId="0" fontId="6" fillId="0" borderId="2" xfId="0" applyFont="1" applyBorder="1"/>
    <xf numFmtId="0" fontId="6" fillId="3" borderId="2" xfId="0" applyFont="1" applyFill="1" applyBorder="1"/>
    <xf numFmtId="0" fontId="6" fillId="0" borderId="11" xfId="0" applyFont="1" applyBorder="1"/>
    <xf numFmtId="43" fontId="10" fillId="3" borderId="0" xfId="1" applyFont="1" applyFill="1" applyBorder="1"/>
    <xf numFmtId="0" fontId="6" fillId="3" borderId="0" xfId="0" applyFont="1" applyFill="1"/>
    <xf numFmtId="0" fontId="6" fillId="0" borderId="12" xfId="0" applyFont="1" applyBorder="1"/>
    <xf numFmtId="0" fontId="6" fillId="0" borderId="7" xfId="0" applyFont="1" applyBorder="1"/>
    <xf numFmtId="0" fontId="0" fillId="0" borderId="7" xfId="0" applyBorder="1"/>
    <xf numFmtId="0" fontId="0" fillId="0" borderId="12" xfId="0" applyBorder="1"/>
    <xf numFmtId="43" fontId="8" fillId="0" borderId="13" xfId="1" applyFont="1" applyBorder="1" applyAlignment="1">
      <alignment horizontal="center"/>
    </xf>
    <xf numFmtId="43" fontId="2" fillId="7" borderId="0" xfId="1" applyFont="1" applyFill="1"/>
    <xf numFmtId="43" fontId="15" fillId="0" borderId="8" xfId="0" applyNumberFormat="1" applyFont="1" applyBorder="1" applyAlignment="1">
      <alignment horizontal="center"/>
    </xf>
    <xf numFmtId="164" fontId="4" fillId="0" borderId="0" xfId="1" applyNumberFormat="1" applyFont="1" applyBorder="1" applyAlignment="1">
      <alignment horizontal="center" wrapText="1"/>
    </xf>
    <xf numFmtId="165" fontId="10" fillId="7" borderId="0" xfId="1" applyNumberFormat="1" applyFont="1" applyFill="1" applyAlignment="1">
      <alignment horizontal="left"/>
    </xf>
    <xf numFmtId="43" fontId="10" fillId="7" borderId="0" xfId="1" applyFont="1" applyFill="1" applyAlignment="1">
      <alignment horizontal="left"/>
    </xf>
    <xf numFmtId="43" fontId="12" fillId="8" borderId="1" xfId="1" applyFont="1" applyFill="1" applyBorder="1" applyAlignment="1">
      <alignment horizontal="left"/>
    </xf>
    <xf numFmtId="165" fontId="10" fillId="8" borderId="0" xfId="1" applyNumberFormat="1" applyFont="1" applyFill="1" applyAlignment="1">
      <alignment horizontal="left"/>
    </xf>
    <xf numFmtId="0" fontId="21" fillId="6" borderId="13" xfId="0" applyFont="1" applyFill="1" applyBorder="1" applyAlignment="1">
      <alignment horizontal="center"/>
    </xf>
    <xf numFmtId="43" fontId="8" fillId="6" borderId="13" xfId="1" applyFont="1" applyFill="1" applyBorder="1" applyAlignment="1">
      <alignment horizontal="center"/>
    </xf>
    <xf numFmtId="0" fontId="21" fillId="9" borderId="13" xfId="0" applyFont="1" applyFill="1" applyBorder="1" applyAlignment="1">
      <alignment horizontal="center"/>
    </xf>
    <xf numFmtId="43" fontId="2" fillId="10" borderId="0" xfId="1" applyFont="1" applyFill="1"/>
    <xf numFmtId="43" fontId="15" fillId="6" borderId="8" xfId="0" applyNumberFormat="1" applyFont="1" applyFill="1" applyBorder="1" applyAlignment="1">
      <alignment horizontal="center"/>
    </xf>
    <xf numFmtId="43" fontId="2" fillId="0" borderId="0" xfId="1" applyFont="1" applyFill="1"/>
    <xf numFmtId="43" fontId="8" fillId="11" borderId="13" xfId="1" applyFont="1" applyFill="1" applyBorder="1" applyAlignment="1">
      <alignment horizontal="center"/>
    </xf>
    <xf numFmtId="43" fontId="8" fillId="12" borderId="13" xfId="1" applyFont="1" applyFill="1" applyBorder="1" applyAlignment="1">
      <alignment horizontal="center"/>
    </xf>
    <xf numFmtId="0" fontId="21" fillId="12" borderId="13" xfId="0" applyFont="1" applyFill="1" applyBorder="1" applyAlignment="1">
      <alignment horizontal="center"/>
    </xf>
    <xf numFmtId="43" fontId="8" fillId="13" borderId="13" xfId="1" applyFont="1" applyFill="1" applyBorder="1" applyAlignment="1">
      <alignment horizontal="center"/>
    </xf>
    <xf numFmtId="43" fontId="8" fillId="0" borderId="14" xfId="1" applyFont="1" applyBorder="1" applyAlignment="1">
      <alignment horizontal="center"/>
    </xf>
    <xf numFmtId="43" fontId="0" fillId="0" borderId="15" xfId="1" applyFont="1" applyBorder="1"/>
    <xf numFmtId="43" fontId="2" fillId="0" borderId="16" xfId="1" applyFont="1" applyBorder="1"/>
    <xf numFmtId="43" fontId="12" fillId="8" borderId="10" xfId="1" applyFont="1" applyFill="1" applyBorder="1" applyAlignment="1">
      <alignment horizontal="left"/>
    </xf>
    <xf numFmtId="43" fontId="8" fillId="0" borderId="17" xfId="1" applyFont="1" applyBorder="1" applyAlignment="1">
      <alignment horizontal="center"/>
    </xf>
    <xf numFmtId="43" fontId="0" fillId="13" borderId="15" xfId="1" applyFont="1" applyFill="1" applyBorder="1"/>
    <xf numFmtId="43" fontId="2" fillId="13" borderId="16" xfId="1" applyFont="1" applyFill="1" applyBorder="1"/>
    <xf numFmtId="43" fontId="12" fillId="13" borderId="10" xfId="1" applyFont="1" applyFill="1" applyBorder="1" applyAlignment="1">
      <alignment horizontal="left"/>
    </xf>
    <xf numFmtId="43" fontId="2" fillId="14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4"/>
  <sheetViews>
    <sheetView workbookViewId="0">
      <selection activeCell="J5" sqref="J5"/>
    </sheetView>
  </sheetViews>
  <sheetFormatPr defaultRowHeight="14.5" x14ac:dyDescent="0.35"/>
  <cols>
    <col min="1" max="1" width="6.81640625" style="11" customWidth="1"/>
    <col min="2" max="2" width="35.7265625" style="40" customWidth="1"/>
    <col min="3" max="3" width="4.7265625" style="40" customWidth="1"/>
    <col min="4" max="4" width="27.7265625" style="41" customWidth="1"/>
    <col min="5" max="5" width="27.7265625" style="42" customWidth="1"/>
    <col min="6" max="6" width="19.453125" style="43" customWidth="1"/>
    <col min="7" max="9" width="19.453125" style="44" customWidth="1"/>
    <col min="10" max="10" width="16.1796875" bestFit="1" customWidth="1"/>
    <col min="11" max="11" width="10.7265625" bestFit="1" customWidth="1"/>
    <col min="12" max="12" width="11.54296875" bestFit="1" customWidth="1"/>
    <col min="13" max="13" width="15.81640625" customWidth="1"/>
    <col min="14" max="14" width="13.81640625" customWidth="1"/>
    <col min="15" max="15" width="15.1796875" customWidth="1"/>
    <col min="16" max="16" width="10.7265625" bestFit="1" customWidth="1"/>
    <col min="17" max="17" width="11.54296875" bestFit="1" customWidth="1"/>
    <col min="18" max="18" width="11.7265625" bestFit="1" customWidth="1"/>
    <col min="19" max="19" width="10.7265625" bestFit="1" customWidth="1"/>
    <col min="20" max="20" width="11.54296875" bestFit="1" customWidth="1"/>
    <col min="21" max="21" width="12.1796875" customWidth="1"/>
  </cols>
  <sheetData>
    <row r="1" spans="1:22" ht="15" thickBot="1" x14ac:dyDescent="0.4">
      <c r="B1" s="49"/>
      <c r="C1" s="49"/>
      <c r="D1" s="50"/>
      <c r="E1" s="51"/>
      <c r="F1" s="50"/>
      <c r="G1" s="52"/>
      <c r="H1" s="52"/>
      <c r="I1" s="52"/>
    </row>
    <row r="2" spans="1:22" s="57" customFormat="1" ht="15" thickBot="1" x14ac:dyDescent="0.4">
      <c r="A2" s="53"/>
      <c r="B2" s="54"/>
      <c r="C2" s="54"/>
      <c r="D2" s="55"/>
      <c r="E2" s="55"/>
      <c r="F2" s="55"/>
      <c r="G2" s="56"/>
      <c r="H2" s="56"/>
      <c r="I2" s="56"/>
      <c r="J2" s="45" t="s">
        <v>25</v>
      </c>
      <c r="K2" s="46" t="s">
        <v>26</v>
      </c>
      <c r="L2" s="46" t="s">
        <v>27</v>
      </c>
      <c r="M2" s="46" t="s">
        <v>28</v>
      </c>
      <c r="N2" s="46" t="s">
        <v>15</v>
      </c>
      <c r="O2" s="46" t="s">
        <v>29</v>
      </c>
      <c r="P2" s="46" t="s">
        <v>30</v>
      </c>
      <c r="Q2" s="46" t="s">
        <v>31</v>
      </c>
      <c r="R2" s="46" t="s">
        <v>32</v>
      </c>
      <c r="S2" s="46" t="s">
        <v>33</v>
      </c>
      <c r="T2" s="46"/>
      <c r="U2" s="47" t="s">
        <v>35</v>
      </c>
    </row>
    <row r="3" spans="1:22" ht="15" thickBot="1" x14ac:dyDescent="0.4">
      <c r="B3" s="49"/>
      <c r="C3" s="49"/>
      <c r="D3" s="50"/>
      <c r="E3" s="50" t="s">
        <v>38</v>
      </c>
      <c r="F3" s="50"/>
      <c r="G3" s="52"/>
      <c r="H3" s="58">
        <v>0</v>
      </c>
      <c r="I3" s="44" t="s">
        <v>39</v>
      </c>
      <c r="J3" s="59" t="s">
        <v>40</v>
      </c>
      <c r="K3" s="60"/>
      <c r="L3" s="60" t="s">
        <v>41</v>
      </c>
      <c r="M3" s="61" t="s">
        <v>42</v>
      </c>
      <c r="N3" s="60" t="s">
        <v>43</v>
      </c>
      <c r="O3" s="61" t="s">
        <v>42</v>
      </c>
      <c r="P3" s="60" t="s">
        <v>44</v>
      </c>
      <c r="Q3" s="60" t="s">
        <v>45</v>
      </c>
      <c r="R3" s="60" t="s">
        <v>46</v>
      </c>
      <c r="S3" s="60" t="s">
        <v>30</v>
      </c>
      <c r="T3" s="62"/>
      <c r="U3" s="48"/>
    </row>
    <row r="4" spans="1:22" x14ac:dyDescent="0.35">
      <c r="B4" s="49"/>
      <c r="C4" s="49"/>
      <c r="D4" s="50"/>
      <c r="E4" s="50"/>
      <c r="F4" s="50"/>
      <c r="G4" s="52"/>
      <c r="H4" s="63"/>
      <c r="I4" s="44" t="s">
        <v>39</v>
      </c>
      <c r="J4" s="48" t="s">
        <v>47</v>
      </c>
      <c r="K4" s="48" t="s">
        <v>48</v>
      </c>
      <c r="L4" s="48"/>
      <c r="M4" s="48" t="s">
        <v>44</v>
      </c>
      <c r="N4" s="64" t="s">
        <v>49</v>
      </c>
      <c r="O4" s="48" t="s">
        <v>50</v>
      </c>
      <c r="P4" s="48" t="s">
        <v>45</v>
      </c>
      <c r="Q4" s="48" t="s">
        <v>44</v>
      </c>
      <c r="R4" s="48" t="s">
        <v>51</v>
      </c>
      <c r="S4" s="48" t="s">
        <v>44</v>
      </c>
      <c r="T4" s="65"/>
      <c r="U4" s="48"/>
    </row>
    <row r="5" spans="1:22" x14ac:dyDescent="0.35">
      <c r="B5" s="49"/>
      <c r="C5" s="49"/>
      <c r="D5" s="50"/>
      <c r="E5" s="50"/>
      <c r="F5" s="50"/>
      <c r="G5" s="52"/>
      <c r="H5" s="63"/>
      <c r="I5" s="44" t="s">
        <v>39</v>
      </c>
      <c r="J5" s="66" t="s">
        <v>48</v>
      </c>
      <c r="K5" s="48" t="s">
        <v>47</v>
      </c>
      <c r="L5" s="48"/>
      <c r="M5" s="64" t="s">
        <v>52</v>
      </c>
      <c r="N5" s="48" t="s">
        <v>53</v>
      </c>
      <c r="O5" s="48" t="s">
        <v>54</v>
      </c>
      <c r="P5" s="48"/>
      <c r="Q5" s="48" t="s">
        <v>55</v>
      </c>
      <c r="R5" s="48"/>
      <c r="S5" s="48" t="s">
        <v>54</v>
      </c>
      <c r="T5" s="65"/>
      <c r="U5" s="48"/>
    </row>
    <row r="6" spans="1:22" x14ac:dyDescent="0.35">
      <c r="B6" s="49"/>
      <c r="C6" s="49"/>
      <c r="D6" s="50"/>
      <c r="E6" s="50"/>
      <c r="F6" s="50"/>
      <c r="G6" s="52"/>
      <c r="H6" s="63"/>
      <c r="I6" s="44" t="s">
        <v>39</v>
      </c>
      <c r="J6" s="66"/>
      <c r="K6" s="48"/>
      <c r="L6" s="48"/>
      <c r="M6" s="48" t="s">
        <v>56</v>
      </c>
      <c r="N6" s="48" t="s">
        <v>44</v>
      </c>
      <c r="O6" s="48" t="s">
        <v>44</v>
      </c>
      <c r="P6" s="48"/>
      <c r="Q6" s="48" t="s">
        <v>57</v>
      </c>
      <c r="R6" s="48"/>
      <c r="S6" s="48" t="s">
        <v>45</v>
      </c>
      <c r="T6" s="65"/>
      <c r="U6" s="48"/>
    </row>
    <row r="7" spans="1:22" ht="15" thickBot="1" x14ac:dyDescent="0.4">
      <c r="B7" s="40" t="s">
        <v>58</v>
      </c>
      <c r="E7" s="41"/>
      <c r="F7" s="14" t="s">
        <v>59</v>
      </c>
      <c r="H7" s="13" t="s">
        <v>60</v>
      </c>
      <c r="I7" s="44" t="s">
        <v>39</v>
      </c>
      <c r="J7" s="67"/>
      <c r="M7" s="48"/>
      <c r="N7" s="48" t="s">
        <v>61</v>
      </c>
      <c r="O7" s="48" t="s">
        <v>62</v>
      </c>
      <c r="Q7" s="48"/>
      <c r="T7" s="68"/>
    </row>
    <row r="8" spans="1:22" ht="18.75" customHeight="1" thickBot="1" x14ac:dyDescent="0.4">
      <c r="A8" s="1"/>
      <c r="B8" s="2" t="s">
        <v>0</v>
      </c>
      <c r="C8" s="3"/>
      <c r="D8" s="4" t="s">
        <v>1</v>
      </c>
      <c r="E8" s="4"/>
      <c r="F8" s="5" t="s">
        <v>2</v>
      </c>
      <c r="G8" s="4" t="s">
        <v>3</v>
      </c>
      <c r="H8" s="4" t="s">
        <v>4</v>
      </c>
      <c r="I8" s="4" t="s">
        <v>5</v>
      </c>
      <c r="J8" s="6"/>
      <c r="K8" s="7"/>
      <c r="L8" s="7"/>
      <c r="M8" s="8"/>
      <c r="N8" s="8"/>
      <c r="O8" s="7"/>
      <c r="P8" s="7"/>
      <c r="Q8" s="7"/>
      <c r="R8" s="7"/>
      <c r="S8" s="7"/>
      <c r="T8" s="9"/>
      <c r="U8" s="10"/>
    </row>
    <row r="9" spans="1:22" s="16" customFormat="1" ht="10.5" x14ac:dyDescent="0.25">
      <c r="A9" s="11"/>
      <c r="B9" s="12"/>
      <c r="C9" s="12"/>
      <c r="D9" s="13"/>
      <c r="E9" s="13"/>
      <c r="F9" s="14"/>
      <c r="G9" s="13">
        <v>26</v>
      </c>
      <c r="H9" s="13"/>
      <c r="I9" s="13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spans="1:22" s="16" customFormat="1" ht="10.5" x14ac:dyDescent="0.25">
      <c r="A10" s="11">
        <v>1</v>
      </c>
      <c r="B10" s="17" t="s">
        <v>74</v>
      </c>
      <c r="C10" s="17">
        <f>A10</f>
        <v>1</v>
      </c>
      <c r="D10" s="17" t="s">
        <v>25</v>
      </c>
      <c r="E10" s="17" t="s">
        <v>6</v>
      </c>
      <c r="F10" s="18">
        <v>1120</v>
      </c>
      <c r="G10" s="18">
        <f t="shared" ref="G10:G45" si="0">F10*$G$9</f>
        <v>29120</v>
      </c>
      <c r="H10" s="18"/>
      <c r="I10" s="18">
        <f t="shared" ref="I10:I15" si="1">SUM(G10:H10)</f>
        <v>29120</v>
      </c>
      <c r="J10" s="15">
        <f>I10</f>
        <v>29120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>
        <f>SUM(J10:T10)</f>
        <v>29120</v>
      </c>
      <c r="V10" s="19">
        <f>I10-U10</f>
        <v>0</v>
      </c>
    </row>
    <row r="11" spans="1:22" s="16" customFormat="1" ht="10.5" x14ac:dyDescent="0.25">
      <c r="A11" s="11">
        <v>2</v>
      </c>
      <c r="B11" s="17" t="s">
        <v>75</v>
      </c>
      <c r="C11" s="17">
        <f t="shared" ref="C11:C45" si="2">A11</f>
        <v>2</v>
      </c>
      <c r="D11" s="17" t="s">
        <v>7</v>
      </c>
      <c r="E11" s="17" t="s">
        <v>8</v>
      </c>
      <c r="F11" s="18">
        <v>650</v>
      </c>
      <c r="G11" s="20">
        <f>F11*$G$9</f>
        <v>16900</v>
      </c>
      <c r="H11" s="18"/>
      <c r="I11" s="18">
        <f>SUM(G11:H11)</f>
        <v>16900</v>
      </c>
      <c r="J11" s="15">
        <f>I11</f>
        <v>16900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>
        <f t="shared" ref="U11:U47" si="3">SUM(J11:T11)</f>
        <v>16900</v>
      </c>
      <c r="V11" s="19">
        <f t="shared" ref="V11:V48" si="4">I11-U11</f>
        <v>0</v>
      </c>
    </row>
    <row r="12" spans="1:22" s="16" customFormat="1" ht="10.5" x14ac:dyDescent="0.25">
      <c r="A12" s="11">
        <v>3</v>
      </c>
      <c r="B12" s="17" t="s">
        <v>108</v>
      </c>
      <c r="C12" s="17">
        <f t="shared" si="2"/>
        <v>3</v>
      </c>
      <c r="D12" s="17" t="s">
        <v>7</v>
      </c>
      <c r="E12" s="17"/>
      <c r="F12" s="18"/>
      <c r="G12" s="20"/>
      <c r="H12" s="18"/>
      <c r="I12" s="18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>
        <f t="shared" ref="U12:U20" si="5">SUM(J12:T12)</f>
        <v>0</v>
      </c>
      <c r="V12" s="19">
        <f t="shared" ref="V12:V20" si="6">I12-U12</f>
        <v>0</v>
      </c>
    </row>
    <row r="13" spans="1:22" s="16" customFormat="1" ht="10.5" x14ac:dyDescent="0.25">
      <c r="A13" s="11">
        <v>4</v>
      </c>
      <c r="B13" s="17" t="s">
        <v>76</v>
      </c>
      <c r="C13" s="17">
        <f t="shared" si="2"/>
        <v>4</v>
      </c>
      <c r="D13" s="17" t="s">
        <v>9</v>
      </c>
      <c r="E13" s="17" t="s">
        <v>10</v>
      </c>
      <c r="F13" s="18">
        <v>520</v>
      </c>
      <c r="G13" s="18">
        <f t="shared" si="0"/>
        <v>13520</v>
      </c>
      <c r="H13" s="18"/>
      <c r="I13" s="18">
        <f t="shared" si="1"/>
        <v>13520</v>
      </c>
      <c r="J13" s="15">
        <f t="shared" ref="J13:J14" si="7">I13</f>
        <v>13520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>
        <f t="shared" si="5"/>
        <v>13520</v>
      </c>
      <c r="V13" s="19">
        <f t="shared" si="6"/>
        <v>0</v>
      </c>
    </row>
    <row r="14" spans="1:22" s="16" customFormat="1" ht="10.5" x14ac:dyDescent="0.25">
      <c r="A14" s="11">
        <v>5</v>
      </c>
      <c r="B14" s="17" t="s">
        <v>11</v>
      </c>
      <c r="C14" s="17">
        <f t="shared" si="2"/>
        <v>5</v>
      </c>
      <c r="D14" s="17" t="s">
        <v>25</v>
      </c>
      <c r="E14" s="17" t="s">
        <v>12</v>
      </c>
      <c r="F14" s="18">
        <v>1347.23</v>
      </c>
      <c r="G14" s="18">
        <f>F14*$G$9</f>
        <v>35027.980000000003</v>
      </c>
      <c r="H14" s="18"/>
      <c r="I14" s="18">
        <f t="shared" si="1"/>
        <v>35027.980000000003</v>
      </c>
      <c r="J14" s="15">
        <f t="shared" si="7"/>
        <v>35027.980000000003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>
        <f t="shared" si="5"/>
        <v>35027.980000000003</v>
      </c>
      <c r="V14" s="19">
        <f t="shared" si="6"/>
        <v>0</v>
      </c>
    </row>
    <row r="15" spans="1:22" s="16" customFormat="1" ht="10.5" x14ac:dyDescent="0.25">
      <c r="A15" s="11">
        <v>6</v>
      </c>
      <c r="B15" s="17" t="s">
        <v>77</v>
      </c>
      <c r="C15" s="17">
        <f t="shared" si="2"/>
        <v>6</v>
      </c>
      <c r="D15" s="17" t="s">
        <v>27</v>
      </c>
      <c r="E15" s="17"/>
      <c r="F15" s="18">
        <v>1153.8499999999999</v>
      </c>
      <c r="G15" s="18">
        <f t="shared" si="0"/>
        <v>30000.1</v>
      </c>
      <c r="H15" s="18"/>
      <c r="I15" s="18">
        <f t="shared" si="1"/>
        <v>30000.1</v>
      </c>
      <c r="J15" s="15"/>
      <c r="K15" s="15"/>
      <c r="L15" s="15">
        <f>I15</f>
        <v>30000.1</v>
      </c>
      <c r="M15" s="15"/>
      <c r="N15" s="15"/>
      <c r="O15" s="15"/>
      <c r="P15" s="15"/>
      <c r="Q15" s="15"/>
      <c r="R15" s="15"/>
      <c r="S15" s="15"/>
      <c r="T15" s="15"/>
      <c r="U15" s="15">
        <f t="shared" si="5"/>
        <v>30000.1</v>
      </c>
      <c r="V15" s="19">
        <f t="shared" si="6"/>
        <v>0</v>
      </c>
    </row>
    <row r="16" spans="1:22" s="16" customFormat="1" ht="10.5" x14ac:dyDescent="0.25">
      <c r="A16" s="11">
        <v>7</v>
      </c>
      <c r="B16" s="73" t="s">
        <v>107</v>
      </c>
      <c r="C16" s="17">
        <f t="shared" si="2"/>
        <v>7</v>
      </c>
      <c r="D16" s="17" t="s">
        <v>29</v>
      </c>
      <c r="E16" s="17" t="s">
        <v>109</v>
      </c>
      <c r="F16" s="18"/>
      <c r="G16" s="18"/>
      <c r="H16" s="18"/>
      <c r="I16" s="18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>
        <f t="shared" si="5"/>
        <v>0</v>
      </c>
      <c r="V16" s="19">
        <f t="shared" si="6"/>
        <v>0</v>
      </c>
    </row>
    <row r="17" spans="1:22" s="16" customFormat="1" ht="10.5" x14ac:dyDescent="0.25">
      <c r="A17" s="11">
        <v>8</v>
      </c>
      <c r="B17" s="17" t="s">
        <v>78</v>
      </c>
      <c r="C17" s="17">
        <f t="shared" si="2"/>
        <v>8</v>
      </c>
      <c r="D17" s="17" t="s">
        <v>25</v>
      </c>
      <c r="E17" s="17" t="s">
        <v>13</v>
      </c>
      <c r="F17" s="22">
        <v>2692.31</v>
      </c>
      <c r="G17" s="20">
        <f t="shared" si="0"/>
        <v>70000.06</v>
      </c>
      <c r="H17" s="18"/>
      <c r="I17" s="18">
        <f>SUM(G17:H17)</f>
        <v>70000.06</v>
      </c>
      <c r="J17" s="15">
        <f>I17</f>
        <v>70000.06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>
        <f t="shared" si="5"/>
        <v>70000.06</v>
      </c>
      <c r="V17" s="19">
        <f t="shared" si="6"/>
        <v>0</v>
      </c>
    </row>
    <row r="18" spans="1:22" s="16" customFormat="1" ht="10.5" x14ac:dyDescent="0.25">
      <c r="A18" s="11">
        <v>9</v>
      </c>
      <c r="B18" s="17" t="s">
        <v>79</v>
      </c>
      <c r="C18" s="17">
        <f t="shared" si="2"/>
        <v>9</v>
      </c>
      <c r="D18" s="17" t="s">
        <v>69</v>
      </c>
      <c r="E18" s="17"/>
      <c r="F18" s="18">
        <v>969.96</v>
      </c>
      <c r="G18" s="20">
        <f t="shared" si="0"/>
        <v>25218.959999999999</v>
      </c>
      <c r="H18" s="18"/>
      <c r="I18" s="18">
        <f>SUM(G18:H18)</f>
        <v>25218.959999999999</v>
      </c>
      <c r="J18" s="15"/>
      <c r="K18" s="15">
        <f>I18</f>
        <v>25218.959999999999</v>
      </c>
      <c r="L18" s="15"/>
      <c r="M18" s="15"/>
      <c r="N18" s="15"/>
      <c r="O18" s="15"/>
      <c r="P18" s="15"/>
      <c r="Q18" s="15"/>
      <c r="R18" s="15"/>
      <c r="S18" s="15"/>
      <c r="T18" s="15"/>
      <c r="U18" s="15">
        <f t="shared" si="5"/>
        <v>25218.959999999999</v>
      </c>
      <c r="V18" s="19">
        <f t="shared" si="6"/>
        <v>0</v>
      </c>
    </row>
    <row r="19" spans="1:22" s="16" customFormat="1" ht="10.5" x14ac:dyDescent="0.25">
      <c r="A19" s="11">
        <v>10</v>
      </c>
      <c r="B19" s="17" t="s">
        <v>80</v>
      </c>
      <c r="C19" s="17">
        <f t="shared" si="2"/>
        <v>10</v>
      </c>
      <c r="D19" s="17" t="s">
        <v>32</v>
      </c>
      <c r="E19" s="17"/>
      <c r="F19" s="18">
        <v>5961.54</v>
      </c>
      <c r="G19" s="18">
        <f t="shared" si="0"/>
        <v>155000.04</v>
      </c>
      <c r="H19" s="18"/>
      <c r="I19" s="18">
        <f>SUM(G19:H19)</f>
        <v>155000.04</v>
      </c>
      <c r="J19" s="15"/>
      <c r="K19" s="15"/>
      <c r="L19" s="15"/>
      <c r="M19" s="15"/>
      <c r="N19" s="15"/>
      <c r="O19" s="15"/>
      <c r="P19" s="15"/>
      <c r="Q19" s="15"/>
      <c r="R19" s="15">
        <f>I19</f>
        <v>155000.04</v>
      </c>
      <c r="S19" s="15"/>
      <c r="T19" s="15"/>
      <c r="U19" s="15">
        <f t="shared" si="5"/>
        <v>155000.04</v>
      </c>
      <c r="V19" s="19">
        <f t="shared" si="6"/>
        <v>0</v>
      </c>
    </row>
    <row r="20" spans="1:22" s="16" customFormat="1" ht="10.5" x14ac:dyDescent="0.25">
      <c r="A20" s="11">
        <v>11</v>
      </c>
      <c r="B20" s="17" t="s">
        <v>81</v>
      </c>
      <c r="C20" s="17">
        <f t="shared" si="2"/>
        <v>11</v>
      </c>
      <c r="D20" s="17" t="s">
        <v>66</v>
      </c>
      <c r="E20" s="17"/>
      <c r="F20" s="18">
        <v>3153.85</v>
      </c>
      <c r="G20" s="18">
        <f t="shared" si="0"/>
        <v>82000.099999999991</v>
      </c>
      <c r="H20" s="18"/>
      <c r="I20" s="18">
        <f t="shared" ref="I20:I22" si="8">SUM(G20:H20)</f>
        <v>82000.099999999991</v>
      </c>
      <c r="J20" s="15"/>
      <c r="K20" s="15"/>
      <c r="L20" s="15"/>
      <c r="M20" s="15">
        <f>I20</f>
        <v>82000.099999999991</v>
      </c>
      <c r="N20" s="15"/>
      <c r="O20" s="15"/>
      <c r="P20" s="15"/>
      <c r="Q20" s="15"/>
      <c r="R20" s="15"/>
      <c r="S20" s="15"/>
      <c r="T20" s="15"/>
      <c r="U20" s="15">
        <f t="shared" si="5"/>
        <v>82000.099999999991</v>
      </c>
      <c r="V20" s="19">
        <f t="shared" si="6"/>
        <v>0</v>
      </c>
    </row>
    <row r="21" spans="1:22" s="16" customFormat="1" ht="10.5" x14ac:dyDescent="0.25">
      <c r="A21" s="11">
        <v>12</v>
      </c>
      <c r="B21" s="17" t="s">
        <v>82</v>
      </c>
      <c r="C21" s="17">
        <f t="shared" si="2"/>
        <v>12</v>
      </c>
      <c r="D21" s="17" t="s">
        <v>69</v>
      </c>
      <c r="E21" s="17"/>
      <c r="F21" s="18">
        <v>1278.8800000000001</v>
      </c>
      <c r="G21" s="20">
        <f t="shared" si="0"/>
        <v>33250.880000000005</v>
      </c>
      <c r="H21" s="18"/>
      <c r="I21" s="18">
        <f t="shared" si="8"/>
        <v>33250.880000000005</v>
      </c>
      <c r="J21" s="15"/>
      <c r="K21" s="15">
        <f>I21</f>
        <v>33250.880000000005</v>
      </c>
      <c r="L21" s="15"/>
      <c r="M21" s="15"/>
      <c r="N21" s="15"/>
      <c r="O21" s="15"/>
      <c r="P21" s="15"/>
      <c r="Q21" s="15"/>
      <c r="R21" s="15"/>
      <c r="S21" s="15"/>
      <c r="T21" s="15"/>
      <c r="U21" s="15">
        <f t="shared" si="3"/>
        <v>33250.880000000005</v>
      </c>
      <c r="V21" s="19">
        <f t="shared" si="4"/>
        <v>0</v>
      </c>
    </row>
    <row r="22" spans="1:22" s="16" customFormat="1" ht="10.5" x14ac:dyDescent="0.25">
      <c r="A22" s="11">
        <v>13</v>
      </c>
      <c r="B22" s="17" t="s">
        <v>14</v>
      </c>
      <c r="C22" s="17">
        <f t="shared" si="2"/>
        <v>13</v>
      </c>
      <c r="D22" s="17" t="s">
        <v>15</v>
      </c>
      <c r="E22" s="17"/>
      <c r="F22" s="18">
        <v>1788.47</v>
      </c>
      <c r="G22" s="18">
        <f t="shared" si="0"/>
        <v>46500.22</v>
      </c>
      <c r="H22" s="18"/>
      <c r="I22" s="18">
        <f t="shared" si="8"/>
        <v>46500.22</v>
      </c>
      <c r="J22" s="15"/>
      <c r="K22" s="15"/>
      <c r="L22" s="15"/>
      <c r="M22" s="15"/>
      <c r="N22" s="15">
        <f>I22</f>
        <v>46500.22</v>
      </c>
      <c r="O22" s="15"/>
      <c r="P22" s="15"/>
      <c r="Q22" s="15"/>
      <c r="R22" s="15"/>
      <c r="S22" s="15"/>
      <c r="T22" s="15"/>
      <c r="U22" s="15">
        <f t="shared" si="3"/>
        <v>46500.22</v>
      </c>
      <c r="V22" s="19">
        <f t="shared" si="4"/>
        <v>0</v>
      </c>
    </row>
    <row r="23" spans="1:22" s="16" customFormat="1" ht="10.5" x14ac:dyDescent="0.25">
      <c r="A23" s="11">
        <v>14</v>
      </c>
      <c r="B23" s="17" t="s">
        <v>83</v>
      </c>
      <c r="C23" s="17">
        <f t="shared" si="2"/>
        <v>14</v>
      </c>
      <c r="D23" s="17" t="s">
        <v>29</v>
      </c>
      <c r="E23" s="17"/>
      <c r="F23" s="22">
        <v>1538.46</v>
      </c>
      <c r="G23" s="22">
        <f t="shared" si="0"/>
        <v>39999.96</v>
      </c>
      <c r="H23" s="18"/>
      <c r="I23" s="22">
        <f>SUM(G23:H23)</f>
        <v>39999.96</v>
      </c>
      <c r="J23" s="15"/>
      <c r="K23" s="15"/>
      <c r="L23" s="15"/>
      <c r="M23" s="15"/>
      <c r="N23" s="15"/>
      <c r="O23" s="15">
        <f>I23</f>
        <v>39999.96</v>
      </c>
      <c r="P23" s="15"/>
      <c r="Q23" s="15"/>
      <c r="R23" s="15"/>
      <c r="S23" s="15"/>
      <c r="T23" s="15"/>
      <c r="U23" s="15">
        <f t="shared" si="3"/>
        <v>39999.96</v>
      </c>
      <c r="V23" s="19">
        <f t="shared" si="4"/>
        <v>0</v>
      </c>
    </row>
    <row r="24" spans="1:22" s="16" customFormat="1" ht="10.5" x14ac:dyDescent="0.25">
      <c r="A24" s="11">
        <v>15</v>
      </c>
      <c r="B24" s="17" t="s">
        <v>84</v>
      </c>
      <c r="C24" s="17">
        <f t="shared" si="2"/>
        <v>15</v>
      </c>
      <c r="D24" s="17" t="s">
        <v>25</v>
      </c>
      <c r="E24" s="17" t="s">
        <v>16</v>
      </c>
      <c r="F24" s="18">
        <v>2305.8200000000002</v>
      </c>
      <c r="G24" s="20">
        <f t="shared" si="0"/>
        <v>59951.320000000007</v>
      </c>
      <c r="H24" s="18"/>
      <c r="I24" s="18">
        <f>SUM(G24:H24)</f>
        <v>59951.320000000007</v>
      </c>
      <c r="J24" s="15">
        <f>I24</f>
        <v>59951.320000000007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>
        <f t="shared" si="3"/>
        <v>59951.320000000007</v>
      </c>
      <c r="V24" s="19">
        <f t="shared" si="4"/>
        <v>0</v>
      </c>
    </row>
    <row r="25" spans="1:22" s="16" customFormat="1" ht="10.5" x14ac:dyDescent="0.25">
      <c r="A25" s="11">
        <v>16</v>
      </c>
      <c r="B25" s="17" t="s">
        <v>85</v>
      </c>
      <c r="C25" s="17">
        <f t="shared" si="2"/>
        <v>16</v>
      </c>
      <c r="D25" s="17" t="s">
        <v>56</v>
      </c>
      <c r="E25" s="17"/>
      <c r="F25" s="18">
        <v>2115.39</v>
      </c>
      <c r="G25" s="18">
        <f>F25*$G$9</f>
        <v>55000.14</v>
      </c>
      <c r="H25" s="18"/>
      <c r="I25" s="18">
        <f>SUM(G25:H25)</f>
        <v>55000.14</v>
      </c>
      <c r="J25" s="15"/>
      <c r="K25" s="15"/>
      <c r="L25" s="15"/>
      <c r="M25" s="15">
        <f>I25</f>
        <v>55000.14</v>
      </c>
      <c r="N25" s="15"/>
      <c r="O25" s="15"/>
      <c r="P25" s="15"/>
      <c r="Q25" s="15"/>
      <c r="R25" s="15"/>
      <c r="S25" s="15"/>
      <c r="T25" s="15"/>
      <c r="U25" s="15">
        <f t="shared" si="3"/>
        <v>55000.14</v>
      </c>
      <c r="V25" s="19">
        <f t="shared" si="4"/>
        <v>0</v>
      </c>
    </row>
    <row r="26" spans="1:22" s="16" customFormat="1" ht="10.5" x14ac:dyDescent="0.25">
      <c r="A26" s="11">
        <v>17</v>
      </c>
      <c r="B26" s="17" t="s">
        <v>86</v>
      </c>
      <c r="C26" s="17">
        <f t="shared" si="2"/>
        <v>17</v>
      </c>
      <c r="D26" s="17" t="s">
        <v>27</v>
      </c>
      <c r="E26" s="17"/>
      <c r="F26" s="18">
        <v>721</v>
      </c>
      <c r="G26" s="18">
        <f>F26*$G$9</f>
        <v>18746</v>
      </c>
      <c r="H26" s="18"/>
      <c r="I26" s="18">
        <f>SUM(G26:H26)</f>
        <v>18746</v>
      </c>
      <c r="J26" s="15"/>
      <c r="K26" s="15"/>
      <c r="L26" s="15">
        <f>I26</f>
        <v>18746</v>
      </c>
      <c r="M26" s="15"/>
      <c r="N26" s="15"/>
      <c r="O26" s="15"/>
      <c r="P26" s="15"/>
      <c r="Q26" s="15"/>
      <c r="R26" s="15"/>
      <c r="S26" s="15"/>
      <c r="T26" s="15"/>
      <c r="U26" s="15">
        <f t="shared" si="3"/>
        <v>18746</v>
      </c>
      <c r="V26" s="19">
        <f t="shared" si="4"/>
        <v>0</v>
      </c>
    </row>
    <row r="27" spans="1:22" s="16" customFormat="1" ht="10.5" x14ac:dyDescent="0.25">
      <c r="A27" s="11">
        <v>18</v>
      </c>
      <c r="B27" s="17" t="s">
        <v>87</v>
      </c>
      <c r="C27" s="17">
        <f t="shared" si="2"/>
        <v>18</v>
      </c>
      <c r="D27" s="17" t="s">
        <v>27</v>
      </c>
      <c r="E27" s="17"/>
      <c r="F27" s="18">
        <v>1538.47</v>
      </c>
      <c r="G27" s="18">
        <f>F27*$G$9</f>
        <v>40000.22</v>
      </c>
      <c r="H27" s="18"/>
      <c r="I27" s="18">
        <f>SUM(G27:H27)</f>
        <v>40000.22</v>
      </c>
      <c r="J27" s="15"/>
      <c r="K27" s="15"/>
      <c r="L27" s="15">
        <f>I27</f>
        <v>40000.22</v>
      </c>
      <c r="M27" s="15"/>
      <c r="N27" s="15"/>
      <c r="O27" s="15"/>
      <c r="P27" s="15"/>
      <c r="Q27" s="15"/>
      <c r="R27" s="15"/>
      <c r="S27" s="15"/>
      <c r="T27" s="15"/>
      <c r="U27" s="15">
        <f t="shared" si="3"/>
        <v>40000.22</v>
      </c>
      <c r="V27" s="19">
        <f t="shared" si="4"/>
        <v>0</v>
      </c>
    </row>
    <row r="28" spans="1:22" s="16" customFormat="1" ht="10.5" x14ac:dyDescent="0.25">
      <c r="A28" s="11">
        <v>19</v>
      </c>
      <c r="B28" s="17" t="s">
        <v>88</v>
      </c>
      <c r="C28" s="17">
        <f t="shared" si="2"/>
        <v>19</v>
      </c>
      <c r="D28" s="17" t="s">
        <v>103</v>
      </c>
      <c r="E28" s="17"/>
      <c r="F28" s="18">
        <v>2500</v>
      </c>
      <c r="G28" s="18">
        <f t="shared" ref="G28:G29" si="9">F28*$G$9</f>
        <v>65000</v>
      </c>
      <c r="H28" s="18"/>
      <c r="I28" s="18">
        <f t="shared" ref="I28:I36" si="10">SUM(G28:H28)</f>
        <v>65000</v>
      </c>
      <c r="J28" s="15"/>
      <c r="K28" s="15"/>
      <c r="L28" s="15"/>
      <c r="M28" s="15"/>
      <c r="N28" s="15"/>
      <c r="O28" s="15"/>
      <c r="P28" s="15">
        <f>I28</f>
        <v>65000</v>
      </c>
      <c r="Q28" s="15"/>
      <c r="R28" s="15"/>
      <c r="S28" s="15"/>
      <c r="T28" s="15"/>
      <c r="U28" s="15">
        <f t="shared" si="3"/>
        <v>65000</v>
      </c>
      <c r="V28" s="19">
        <f t="shared" si="4"/>
        <v>0</v>
      </c>
    </row>
    <row r="29" spans="1:22" s="16" customFormat="1" ht="10.5" x14ac:dyDescent="0.25">
      <c r="A29" s="11">
        <v>20</v>
      </c>
      <c r="B29" s="17" t="s">
        <v>89</v>
      </c>
      <c r="C29" s="17">
        <f t="shared" si="2"/>
        <v>20</v>
      </c>
      <c r="D29" s="17" t="s">
        <v>25</v>
      </c>
      <c r="E29" s="17" t="s">
        <v>12</v>
      </c>
      <c r="F29" s="18">
        <v>1176</v>
      </c>
      <c r="G29" s="18">
        <f t="shared" si="9"/>
        <v>30576</v>
      </c>
      <c r="H29" s="18"/>
      <c r="I29" s="18">
        <f t="shared" si="10"/>
        <v>30576</v>
      </c>
      <c r="J29" s="15">
        <f>I29</f>
        <v>30576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>
        <f t="shared" si="3"/>
        <v>30576</v>
      </c>
      <c r="V29" s="19">
        <f t="shared" si="4"/>
        <v>0</v>
      </c>
    </row>
    <row r="30" spans="1:22" s="16" customFormat="1" ht="10.5" x14ac:dyDescent="0.25">
      <c r="A30" s="11">
        <v>21</v>
      </c>
      <c r="B30" s="17" t="s">
        <v>90</v>
      </c>
      <c r="C30" s="17">
        <f t="shared" si="2"/>
        <v>21</v>
      </c>
      <c r="D30" s="17" t="s">
        <v>34</v>
      </c>
      <c r="E30" s="17"/>
      <c r="F30" s="18">
        <v>1200</v>
      </c>
      <c r="G30" s="18">
        <f>F30*$G$9</f>
        <v>31200</v>
      </c>
      <c r="H30" s="18"/>
      <c r="I30" s="18">
        <f t="shared" si="10"/>
        <v>31200</v>
      </c>
      <c r="J30" s="15"/>
      <c r="K30" s="15"/>
      <c r="L30" s="15"/>
      <c r="M30" s="15">
        <v>31200</v>
      </c>
      <c r="N30" s="15"/>
      <c r="O30" s="15"/>
      <c r="P30" s="15"/>
      <c r="Q30" s="15"/>
      <c r="R30" s="15"/>
      <c r="S30" s="15"/>
      <c r="T30" s="15"/>
      <c r="U30" s="15">
        <f t="shared" si="3"/>
        <v>31200</v>
      </c>
      <c r="V30" s="19">
        <f t="shared" si="4"/>
        <v>0</v>
      </c>
    </row>
    <row r="31" spans="1:22" s="16" customFormat="1" ht="10.5" x14ac:dyDescent="0.25">
      <c r="A31" s="11">
        <v>22</v>
      </c>
      <c r="B31" s="17" t="s">
        <v>91</v>
      </c>
      <c r="C31" s="17">
        <f t="shared" si="2"/>
        <v>22</v>
      </c>
      <c r="D31" s="17" t="s">
        <v>27</v>
      </c>
      <c r="E31" s="17"/>
      <c r="F31" s="18">
        <v>1538.47</v>
      </c>
      <c r="G31" s="18">
        <f t="shared" si="0"/>
        <v>40000.22</v>
      </c>
      <c r="H31" s="18"/>
      <c r="I31" s="18">
        <f t="shared" si="10"/>
        <v>40000.22</v>
      </c>
      <c r="J31" s="15"/>
      <c r="K31" s="15"/>
      <c r="L31" s="23">
        <v>35000.22</v>
      </c>
      <c r="M31" s="23"/>
      <c r="N31" s="23"/>
      <c r="O31" s="23"/>
      <c r="P31" s="23"/>
      <c r="Q31" s="23"/>
      <c r="R31" s="23">
        <v>5000</v>
      </c>
      <c r="S31" s="15"/>
      <c r="T31" s="15"/>
      <c r="U31" s="15">
        <f t="shared" si="3"/>
        <v>40000.22</v>
      </c>
      <c r="V31" s="19">
        <f t="shared" si="4"/>
        <v>0</v>
      </c>
    </row>
    <row r="32" spans="1:22" s="16" customFormat="1" ht="10.5" x14ac:dyDescent="0.25">
      <c r="A32" s="11">
        <v>23</v>
      </c>
      <c r="B32" s="17" t="s">
        <v>92</v>
      </c>
      <c r="C32" s="17">
        <f t="shared" si="2"/>
        <v>23</v>
      </c>
      <c r="D32" s="17" t="s">
        <v>71</v>
      </c>
      <c r="E32" s="17"/>
      <c r="F32" s="18">
        <v>1442.31</v>
      </c>
      <c r="G32" s="18">
        <f>F32*$G$9</f>
        <v>37500.06</v>
      </c>
      <c r="H32" s="18"/>
      <c r="I32" s="18">
        <f t="shared" si="10"/>
        <v>37500.06</v>
      </c>
      <c r="J32" s="15"/>
      <c r="K32" s="15"/>
      <c r="L32" s="15"/>
      <c r="M32" s="15"/>
      <c r="N32" s="15"/>
      <c r="O32" s="15"/>
      <c r="P32" s="15"/>
      <c r="Q32" s="24">
        <v>37500.06</v>
      </c>
      <c r="R32" s="24"/>
      <c r="S32" s="24"/>
      <c r="T32" s="15"/>
      <c r="U32" s="15">
        <f t="shared" si="3"/>
        <v>37500.06</v>
      </c>
      <c r="V32" s="19">
        <f t="shared" si="4"/>
        <v>0</v>
      </c>
    </row>
    <row r="33" spans="1:22" s="16" customFormat="1" ht="10.5" x14ac:dyDescent="0.25">
      <c r="A33" s="11">
        <v>24</v>
      </c>
      <c r="B33" s="17" t="s">
        <v>93</v>
      </c>
      <c r="C33" s="17">
        <f t="shared" si="2"/>
        <v>24</v>
      </c>
      <c r="D33" s="17" t="s">
        <v>25</v>
      </c>
      <c r="E33" s="17" t="s">
        <v>17</v>
      </c>
      <c r="F33" s="18">
        <v>1216.3599999999999</v>
      </c>
      <c r="G33" s="18">
        <f t="shared" si="0"/>
        <v>31625.359999999997</v>
      </c>
      <c r="H33" s="18"/>
      <c r="I33" s="18">
        <f t="shared" si="10"/>
        <v>31625.359999999997</v>
      </c>
      <c r="J33" s="15">
        <f t="shared" ref="J33:J34" si="11">I33</f>
        <v>31625.359999999997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>
        <f t="shared" si="3"/>
        <v>31625.359999999997</v>
      </c>
      <c r="V33" s="19">
        <f t="shared" si="4"/>
        <v>0</v>
      </c>
    </row>
    <row r="34" spans="1:22" s="16" customFormat="1" ht="10.5" x14ac:dyDescent="0.25">
      <c r="A34" s="11">
        <v>25</v>
      </c>
      <c r="B34" s="17" t="s">
        <v>18</v>
      </c>
      <c r="C34" s="17">
        <f t="shared" si="2"/>
        <v>25</v>
      </c>
      <c r="D34" s="17" t="s">
        <v>25</v>
      </c>
      <c r="E34" s="17" t="s">
        <v>19</v>
      </c>
      <c r="F34" s="18">
        <v>1114.7</v>
      </c>
      <c r="G34" s="20">
        <f>F34*$G$9</f>
        <v>28982.2</v>
      </c>
      <c r="H34" s="18"/>
      <c r="I34" s="18">
        <f t="shared" si="10"/>
        <v>28982.2</v>
      </c>
      <c r="J34" s="15">
        <f t="shared" si="11"/>
        <v>28982.2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>
        <f t="shared" si="3"/>
        <v>28982.2</v>
      </c>
      <c r="V34" s="19">
        <f t="shared" si="4"/>
        <v>0</v>
      </c>
    </row>
    <row r="35" spans="1:22" s="16" customFormat="1" ht="10.5" x14ac:dyDescent="0.25">
      <c r="A35" s="11">
        <v>26</v>
      </c>
      <c r="B35" s="17" t="s">
        <v>20</v>
      </c>
      <c r="C35" s="17">
        <f t="shared" si="2"/>
        <v>26</v>
      </c>
      <c r="D35" s="17" t="s">
        <v>27</v>
      </c>
      <c r="E35" s="17"/>
      <c r="F35" s="18">
        <v>2500</v>
      </c>
      <c r="G35" s="18">
        <f t="shared" si="0"/>
        <v>65000</v>
      </c>
      <c r="H35" s="18"/>
      <c r="I35" s="18">
        <f t="shared" si="10"/>
        <v>65000</v>
      </c>
      <c r="J35" s="15"/>
      <c r="K35" s="15"/>
      <c r="L35" s="15">
        <f>I35</f>
        <v>65000</v>
      </c>
      <c r="M35" s="15"/>
      <c r="N35" s="15"/>
      <c r="O35" s="15"/>
      <c r="P35" s="15"/>
      <c r="Q35" s="15"/>
      <c r="R35" s="15"/>
      <c r="S35" s="15"/>
      <c r="T35" s="15"/>
      <c r="U35" s="15">
        <f t="shared" si="3"/>
        <v>65000</v>
      </c>
      <c r="V35" s="19">
        <f t="shared" si="4"/>
        <v>0</v>
      </c>
    </row>
    <row r="36" spans="1:22" s="16" customFormat="1" ht="10.5" x14ac:dyDescent="0.25">
      <c r="A36" s="11">
        <v>27</v>
      </c>
      <c r="B36" s="17" t="s">
        <v>94</v>
      </c>
      <c r="C36" s="17">
        <f t="shared" si="2"/>
        <v>27</v>
      </c>
      <c r="D36" s="17" t="s">
        <v>25</v>
      </c>
      <c r="E36" s="17" t="s">
        <v>21</v>
      </c>
      <c r="F36" s="18">
        <v>996.3</v>
      </c>
      <c r="G36" s="18">
        <f t="shared" si="0"/>
        <v>25903.8</v>
      </c>
      <c r="H36" s="18"/>
      <c r="I36" s="18">
        <f t="shared" si="10"/>
        <v>25903.8</v>
      </c>
      <c r="J36" s="15">
        <f>I36</f>
        <v>25903.8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>
        <f t="shared" si="3"/>
        <v>25903.8</v>
      </c>
      <c r="V36" s="19">
        <f t="shared" si="4"/>
        <v>0</v>
      </c>
    </row>
    <row r="37" spans="1:22" s="16" customFormat="1" ht="10.5" x14ac:dyDescent="0.25">
      <c r="A37" s="11">
        <v>28</v>
      </c>
      <c r="B37" s="25" t="s">
        <v>22</v>
      </c>
      <c r="C37" s="17">
        <f t="shared" si="2"/>
        <v>28</v>
      </c>
      <c r="D37" s="26" t="s">
        <v>23</v>
      </c>
      <c r="E37" s="26"/>
      <c r="F37" s="27">
        <v>2769.23</v>
      </c>
      <c r="G37" s="27">
        <f t="shared" si="0"/>
        <v>71999.98</v>
      </c>
      <c r="H37" s="18">
        <v>3076.93</v>
      </c>
      <c r="I37" s="28">
        <f>H37*$G$9</f>
        <v>80000.179999999993</v>
      </c>
      <c r="J37" s="15"/>
      <c r="K37" s="15"/>
      <c r="L37" s="15"/>
      <c r="M37" s="15"/>
      <c r="N37" s="15"/>
      <c r="O37" s="15"/>
      <c r="P37" s="15"/>
      <c r="Q37" s="15"/>
      <c r="R37" s="15"/>
      <c r="S37" s="15">
        <f>I37</f>
        <v>80000.179999999993</v>
      </c>
      <c r="T37" s="15"/>
      <c r="U37" s="15">
        <f t="shared" si="3"/>
        <v>80000.179999999993</v>
      </c>
      <c r="V37" s="19">
        <f t="shared" si="4"/>
        <v>0</v>
      </c>
    </row>
    <row r="38" spans="1:22" s="16" customFormat="1" ht="10.5" x14ac:dyDescent="0.25">
      <c r="A38" s="11">
        <v>29</v>
      </c>
      <c r="B38" s="25" t="s">
        <v>95</v>
      </c>
      <c r="C38" s="17">
        <f t="shared" si="2"/>
        <v>29</v>
      </c>
      <c r="D38" s="26" t="s">
        <v>104</v>
      </c>
      <c r="E38" s="26"/>
      <c r="F38" s="29">
        <v>3153.85</v>
      </c>
      <c r="G38" s="29">
        <f t="shared" si="0"/>
        <v>82000.099999999991</v>
      </c>
      <c r="H38" s="18">
        <v>3461.54</v>
      </c>
      <c r="I38" s="28">
        <f>H38*$G$9</f>
        <v>90000.04</v>
      </c>
      <c r="J38" s="15"/>
      <c r="K38" s="15"/>
      <c r="L38" s="30">
        <v>16000.04</v>
      </c>
      <c r="M38" s="30">
        <v>16700</v>
      </c>
      <c r="N38" s="30">
        <v>25300</v>
      </c>
      <c r="O38" s="30">
        <v>32000</v>
      </c>
      <c r="P38" s="15"/>
      <c r="Q38" s="15"/>
      <c r="R38" s="15"/>
      <c r="S38" s="15"/>
      <c r="T38" s="15"/>
      <c r="U38" s="15">
        <f t="shared" si="3"/>
        <v>90000.040000000008</v>
      </c>
      <c r="V38" s="19">
        <f t="shared" si="4"/>
        <v>0</v>
      </c>
    </row>
    <row r="39" spans="1:22" s="16" customFormat="1" ht="10.5" x14ac:dyDescent="0.25">
      <c r="A39" s="11">
        <v>30</v>
      </c>
      <c r="B39" s="26" t="s">
        <v>96</v>
      </c>
      <c r="C39" s="17">
        <f t="shared" si="2"/>
        <v>30</v>
      </c>
      <c r="D39" s="26" t="s">
        <v>105</v>
      </c>
      <c r="E39" s="26"/>
      <c r="F39" s="27">
        <v>3269</v>
      </c>
      <c r="G39" s="27">
        <f t="shared" si="0"/>
        <v>84994</v>
      </c>
      <c r="H39" s="18"/>
      <c r="I39" s="18">
        <f t="shared" ref="I39:I45" si="12">SUM(G39:H39)</f>
        <v>84994</v>
      </c>
      <c r="J39" s="15"/>
      <c r="K39" s="15"/>
      <c r="L39" s="15"/>
      <c r="M39" s="15"/>
      <c r="N39" s="15"/>
      <c r="O39" s="15"/>
      <c r="P39" s="31">
        <v>23400</v>
      </c>
      <c r="Q39" s="31">
        <v>61594</v>
      </c>
      <c r="R39" s="15"/>
      <c r="S39" s="15"/>
      <c r="T39" s="15"/>
      <c r="U39" s="15">
        <f t="shared" si="3"/>
        <v>84994</v>
      </c>
      <c r="V39" s="19">
        <f t="shared" si="4"/>
        <v>0</v>
      </c>
    </row>
    <row r="40" spans="1:22" s="16" customFormat="1" ht="10.5" x14ac:dyDescent="0.25">
      <c r="A40" s="11">
        <v>31</v>
      </c>
      <c r="B40" s="26" t="s">
        <v>97</v>
      </c>
      <c r="C40" s="17">
        <f t="shared" si="2"/>
        <v>31</v>
      </c>
      <c r="D40" s="26" t="s">
        <v>25</v>
      </c>
      <c r="E40" s="26" t="s">
        <v>19</v>
      </c>
      <c r="F40" s="27">
        <v>2684.05</v>
      </c>
      <c r="G40" s="32">
        <f t="shared" si="0"/>
        <v>69785.3</v>
      </c>
      <c r="H40" s="18"/>
      <c r="I40" s="18">
        <f t="shared" si="12"/>
        <v>69785.3</v>
      </c>
      <c r="J40" s="15">
        <f t="shared" ref="J40:J42" si="13">I40</f>
        <v>69785.3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>
        <f t="shared" si="3"/>
        <v>69785.3</v>
      </c>
      <c r="V40" s="19">
        <f t="shared" si="4"/>
        <v>0</v>
      </c>
    </row>
    <row r="41" spans="1:22" s="16" customFormat="1" ht="10.5" x14ac:dyDescent="0.25">
      <c r="A41" s="11">
        <v>32</v>
      </c>
      <c r="B41" s="26" t="s">
        <v>98</v>
      </c>
      <c r="C41" s="17">
        <f t="shared" si="2"/>
        <v>32</v>
      </c>
      <c r="D41" s="26" t="s">
        <v>25</v>
      </c>
      <c r="E41" s="26" t="s">
        <v>12</v>
      </c>
      <c r="F41" s="27">
        <v>1611.08</v>
      </c>
      <c r="G41" s="27">
        <f>F41*$G$9</f>
        <v>41888.080000000002</v>
      </c>
      <c r="H41" s="18"/>
      <c r="I41" s="18">
        <f t="shared" si="12"/>
        <v>41888.080000000002</v>
      </c>
      <c r="J41" s="15">
        <f t="shared" si="13"/>
        <v>41888.080000000002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>
        <f t="shared" si="3"/>
        <v>41888.080000000002</v>
      </c>
      <c r="V41" s="19">
        <f t="shared" si="4"/>
        <v>0</v>
      </c>
    </row>
    <row r="42" spans="1:22" s="16" customFormat="1" ht="10.5" x14ac:dyDescent="0.25">
      <c r="A42" s="11">
        <v>33</v>
      </c>
      <c r="B42" s="26" t="s">
        <v>99</v>
      </c>
      <c r="C42" s="17">
        <f t="shared" si="2"/>
        <v>33</v>
      </c>
      <c r="D42" s="26" t="s">
        <v>25</v>
      </c>
      <c r="E42" s="26" t="s">
        <v>24</v>
      </c>
      <c r="F42" s="27">
        <v>454.96</v>
      </c>
      <c r="G42" s="27">
        <f t="shared" si="0"/>
        <v>11828.96</v>
      </c>
      <c r="H42" s="18"/>
      <c r="I42" s="18">
        <f t="shared" si="12"/>
        <v>11828.96</v>
      </c>
      <c r="J42" s="15">
        <f t="shared" si="13"/>
        <v>11828.96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>
        <f t="shared" si="3"/>
        <v>11828.96</v>
      </c>
      <c r="V42" s="19">
        <f t="shared" si="4"/>
        <v>0</v>
      </c>
    </row>
    <row r="43" spans="1:22" s="16" customFormat="1" ht="10.5" x14ac:dyDescent="0.25">
      <c r="A43" s="11">
        <v>34</v>
      </c>
      <c r="B43" s="26" t="s">
        <v>100</v>
      </c>
      <c r="C43" s="17">
        <f t="shared" si="2"/>
        <v>34</v>
      </c>
      <c r="D43" s="26" t="s">
        <v>32</v>
      </c>
      <c r="E43" s="26"/>
      <c r="F43" s="29">
        <v>4230.7700000000004</v>
      </c>
      <c r="G43" s="29">
        <f t="shared" si="0"/>
        <v>110000.02000000002</v>
      </c>
      <c r="H43" s="18"/>
      <c r="I43" s="22">
        <f t="shared" si="12"/>
        <v>110000.02000000002</v>
      </c>
      <c r="J43" s="15"/>
      <c r="K43" s="15"/>
      <c r="L43" s="23">
        <v>4000</v>
      </c>
      <c r="M43" s="23"/>
      <c r="N43" s="23"/>
      <c r="O43" s="23"/>
      <c r="P43" s="23">
        <v>6000</v>
      </c>
      <c r="Q43" s="23">
        <v>10000</v>
      </c>
      <c r="R43" s="23">
        <v>90000.02</v>
      </c>
      <c r="S43" s="15"/>
      <c r="T43" s="15"/>
      <c r="U43" s="15">
        <f t="shared" si="3"/>
        <v>110000.02</v>
      </c>
      <c r="V43" s="19">
        <f t="shared" si="4"/>
        <v>0</v>
      </c>
    </row>
    <row r="44" spans="1:22" s="16" customFormat="1" ht="10.5" x14ac:dyDescent="0.25">
      <c r="A44" s="11">
        <v>35</v>
      </c>
      <c r="B44" s="26" t="s">
        <v>101</v>
      </c>
      <c r="C44" s="17">
        <f t="shared" si="2"/>
        <v>35</v>
      </c>
      <c r="D44" s="26" t="s">
        <v>106</v>
      </c>
      <c r="E44" s="26"/>
      <c r="F44" s="27">
        <v>1538.47</v>
      </c>
      <c r="G44" s="27">
        <f>F44*$G$9</f>
        <v>40000.22</v>
      </c>
      <c r="H44" s="18"/>
      <c r="I44" s="18">
        <f>SUM(G44:H44)</f>
        <v>40000.22</v>
      </c>
      <c r="J44" s="15"/>
      <c r="K44" s="15"/>
      <c r="L44" s="15"/>
      <c r="M44" s="15">
        <v>40000.22</v>
      </c>
      <c r="N44" s="15"/>
      <c r="O44" s="15"/>
      <c r="P44" s="15"/>
      <c r="Q44" s="15"/>
      <c r="R44" s="15"/>
      <c r="S44" s="15"/>
      <c r="T44" s="15"/>
      <c r="U44" s="15">
        <f t="shared" si="3"/>
        <v>40000.22</v>
      </c>
      <c r="V44" s="19">
        <f t="shared" si="4"/>
        <v>0</v>
      </c>
    </row>
    <row r="45" spans="1:22" s="16" customFormat="1" ht="10.5" x14ac:dyDescent="0.25">
      <c r="A45" s="11">
        <v>36</v>
      </c>
      <c r="B45" s="21" t="s">
        <v>102</v>
      </c>
      <c r="C45" s="17">
        <f t="shared" si="2"/>
        <v>36</v>
      </c>
      <c r="D45" s="17" t="s">
        <v>9</v>
      </c>
      <c r="E45" s="17" t="s">
        <v>10</v>
      </c>
      <c r="F45" s="18">
        <v>510</v>
      </c>
      <c r="G45" s="18">
        <f t="shared" si="0"/>
        <v>13260</v>
      </c>
      <c r="H45" s="18"/>
      <c r="I45" s="18">
        <f t="shared" si="12"/>
        <v>13260</v>
      </c>
      <c r="J45" s="15">
        <f>I45</f>
        <v>13260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>
        <f t="shared" si="3"/>
        <v>13260</v>
      </c>
      <c r="V45" s="19">
        <f t="shared" si="4"/>
        <v>0</v>
      </c>
    </row>
    <row r="46" spans="1:22" s="16" customFormat="1" ht="10.5" x14ac:dyDescent="0.25">
      <c r="A46" s="11"/>
      <c r="B46" s="17"/>
      <c r="C46" s="17"/>
      <c r="D46" s="17"/>
      <c r="E46" s="17"/>
      <c r="F46" s="18"/>
      <c r="G46" s="18"/>
      <c r="H46" s="18"/>
      <c r="I46" s="18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>
        <f t="shared" si="3"/>
        <v>0</v>
      </c>
      <c r="V46" s="19">
        <f t="shared" si="4"/>
        <v>0</v>
      </c>
    </row>
    <row r="47" spans="1:22" s="16" customFormat="1" ht="11" thickBot="1" x14ac:dyDescent="0.3">
      <c r="A47" s="11"/>
      <c r="B47" s="17"/>
      <c r="C47" s="17"/>
      <c r="D47" s="33"/>
      <c r="E47" s="33"/>
      <c r="F47" s="18"/>
      <c r="G47" s="18"/>
      <c r="H47" s="18"/>
      <c r="I47" s="18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>
        <f t="shared" si="3"/>
        <v>0</v>
      </c>
      <c r="V47" s="19">
        <f t="shared" si="4"/>
        <v>0</v>
      </c>
    </row>
    <row r="48" spans="1:22" s="37" customFormat="1" ht="10.5" x14ac:dyDescent="0.25">
      <c r="A48" s="34"/>
      <c r="B48" s="17"/>
      <c r="C48" s="17"/>
      <c r="D48" s="33"/>
      <c r="E48" s="33"/>
      <c r="F48" s="35">
        <f>SUM(F10:F47)</f>
        <v>62760.78</v>
      </c>
      <c r="G48" s="35">
        <f t="shared" ref="G48:U48" si="14">SUM(G10:G47)</f>
        <v>1631780.28</v>
      </c>
      <c r="H48" s="35">
        <f t="shared" si="14"/>
        <v>6538.4699999999993</v>
      </c>
      <c r="I48" s="75">
        <f t="shared" si="14"/>
        <v>1647780.42</v>
      </c>
      <c r="J48" s="35">
        <f t="shared" si="14"/>
        <v>478369.06000000006</v>
      </c>
      <c r="K48" s="35">
        <f t="shared" si="14"/>
        <v>58469.840000000004</v>
      </c>
      <c r="L48" s="35">
        <f t="shared" si="14"/>
        <v>208746.58000000002</v>
      </c>
      <c r="M48" s="35">
        <f t="shared" si="14"/>
        <v>224900.46</v>
      </c>
      <c r="N48" s="35">
        <f t="shared" si="14"/>
        <v>71800.22</v>
      </c>
      <c r="O48" s="35">
        <f t="shared" si="14"/>
        <v>71999.959999999992</v>
      </c>
      <c r="P48" s="35">
        <f t="shared" si="14"/>
        <v>94400</v>
      </c>
      <c r="Q48" s="35">
        <f t="shared" si="14"/>
        <v>109094.06</v>
      </c>
      <c r="R48" s="35">
        <f t="shared" si="14"/>
        <v>250000.06</v>
      </c>
      <c r="S48" s="35">
        <f t="shared" si="14"/>
        <v>80000.179999999993</v>
      </c>
      <c r="T48" s="35">
        <f t="shared" si="14"/>
        <v>0</v>
      </c>
      <c r="U48" s="75">
        <f t="shared" si="14"/>
        <v>1647780.42</v>
      </c>
      <c r="V48" s="36">
        <f t="shared" si="4"/>
        <v>0</v>
      </c>
    </row>
    <row r="49" spans="1:21" s="10" customFormat="1" ht="15" x14ac:dyDescent="0.4">
      <c r="A49" s="15"/>
      <c r="B49" s="29"/>
      <c r="C49" s="29"/>
      <c r="D49" s="38"/>
      <c r="E49" s="38"/>
      <c r="F49" s="38"/>
      <c r="G49" s="38"/>
      <c r="H49" s="38"/>
      <c r="I49" s="38"/>
      <c r="J49" s="39">
        <f t="shared" ref="J49:K49" si="15">J48/$U$48</f>
        <v>0.29031116900879311</v>
      </c>
      <c r="K49" s="39">
        <f t="shared" si="15"/>
        <v>3.5483999743121115E-2</v>
      </c>
      <c r="L49" s="39">
        <f>L48/$U$48</f>
        <v>0.12668349342323174</v>
      </c>
      <c r="M49" s="39">
        <f t="shared" ref="M49:S49" si="16">M48/$U$48</f>
        <v>0.13648691128396828</v>
      </c>
      <c r="N49" s="39">
        <f t="shared" si="16"/>
        <v>4.3573900459382815E-2</v>
      </c>
      <c r="O49" s="39">
        <f t="shared" si="16"/>
        <v>4.3695118066762802E-2</v>
      </c>
      <c r="P49" s="39">
        <f t="shared" si="16"/>
        <v>5.7289186625970469E-2</v>
      </c>
      <c r="Q49" s="39">
        <f t="shared" si="16"/>
        <v>6.6206673338186653E-2</v>
      </c>
      <c r="R49" s="39">
        <f t="shared" si="16"/>
        <v>0.15171928065512516</v>
      </c>
      <c r="S49" s="39">
        <f t="shared" si="16"/>
        <v>4.8550267395457945E-2</v>
      </c>
      <c r="T49" s="39"/>
      <c r="U49" s="39">
        <f>SUM(J49:T49)</f>
        <v>1.0000000000000002</v>
      </c>
    </row>
    <row r="50" spans="1:21" ht="15" thickBot="1" x14ac:dyDescent="0.4"/>
    <row r="51" spans="1:21" ht="15" thickBot="1" x14ac:dyDescent="0.4">
      <c r="J51" s="45" t="s">
        <v>25</v>
      </c>
      <c r="K51" s="46" t="s">
        <v>26</v>
      </c>
      <c r="L51" s="46" t="s">
        <v>27</v>
      </c>
      <c r="M51" s="46" t="s">
        <v>28</v>
      </c>
      <c r="N51" s="46" t="s">
        <v>15</v>
      </c>
      <c r="O51" s="46" t="s">
        <v>29</v>
      </c>
      <c r="P51" s="46" t="s">
        <v>30</v>
      </c>
      <c r="Q51" s="46" t="s">
        <v>31</v>
      </c>
      <c r="R51" s="46" t="s">
        <v>32</v>
      </c>
      <c r="S51" s="46" t="s">
        <v>33</v>
      </c>
      <c r="T51" s="46" t="s">
        <v>34</v>
      </c>
      <c r="U51" s="47" t="s">
        <v>35</v>
      </c>
    </row>
    <row r="52" spans="1:21" x14ac:dyDescent="0.35">
      <c r="I52" s="44" t="s">
        <v>36</v>
      </c>
      <c r="J52" s="48">
        <v>14</v>
      </c>
      <c r="K52" s="48">
        <v>2</v>
      </c>
      <c r="L52" s="48">
        <v>4</v>
      </c>
      <c r="M52" s="48">
        <v>4</v>
      </c>
      <c r="N52" s="48">
        <v>2</v>
      </c>
      <c r="O52" s="48">
        <v>2</v>
      </c>
      <c r="P52" s="48">
        <v>1.5</v>
      </c>
      <c r="Q52" s="48">
        <v>1.5</v>
      </c>
      <c r="R52" s="48">
        <v>2</v>
      </c>
      <c r="S52" s="48">
        <v>1</v>
      </c>
      <c r="T52" s="48"/>
      <c r="U52" s="39">
        <f>SUM(J52:T52)</f>
        <v>34</v>
      </c>
    </row>
    <row r="54" spans="1:21" x14ac:dyDescent="0.35">
      <c r="I54" s="4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8"/>
  <sheetViews>
    <sheetView tabSelected="1" workbookViewId="0">
      <selection sqref="A1:XFD1048576"/>
    </sheetView>
  </sheetViews>
  <sheetFormatPr defaultRowHeight="14.5" x14ac:dyDescent="0.35"/>
  <cols>
    <col min="1" max="1" width="6.81640625" style="11" customWidth="1"/>
    <col min="2" max="2" width="35.7265625" style="40" customWidth="1"/>
    <col min="3" max="3" width="4.7265625" style="40" customWidth="1"/>
    <col min="4" max="4" width="24.54296875" style="41" customWidth="1"/>
    <col min="5" max="5" width="20.81640625" style="42" customWidth="1"/>
    <col min="6" max="6" width="19.453125" style="43" customWidth="1"/>
    <col min="7" max="8" width="19.453125" style="44" customWidth="1"/>
    <col min="9" max="9" width="14" style="44" customWidth="1"/>
    <col min="10" max="10" width="16.1796875" customWidth="1"/>
    <col min="11" max="11" width="12.81640625" customWidth="1"/>
    <col min="12" max="12" width="11.81640625" customWidth="1"/>
    <col min="13" max="13" width="10.7265625" customWidth="1"/>
    <col min="14" max="14" width="11.54296875" bestFit="1" customWidth="1"/>
    <col min="15" max="17" width="15.81640625" customWidth="1"/>
    <col min="18" max="24" width="13.81640625" customWidth="1"/>
    <col min="25" max="26" width="15.1796875" customWidth="1"/>
    <col min="27" max="27" width="12.54296875" customWidth="1"/>
    <col min="28" max="29" width="11.54296875" bestFit="1" customWidth="1"/>
    <col min="30" max="31" width="11.7265625" bestFit="1" customWidth="1"/>
    <col min="32" max="32" width="11.7265625" customWidth="1"/>
    <col min="33" max="33" width="10.7265625" bestFit="1" customWidth="1"/>
    <col min="34" max="34" width="11.54296875" bestFit="1" customWidth="1"/>
    <col min="35" max="35" width="12.1796875" customWidth="1"/>
    <col min="36" max="36" width="11.81640625" customWidth="1"/>
  </cols>
  <sheetData>
    <row r="1" spans="1:38" ht="15" thickBot="1" x14ac:dyDescent="0.4">
      <c r="B1" s="40" t="s">
        <v>58</v>
      </c>
      <c r="E1" s="41"/>
      <c r="F1" s="41"/>
      <c r="G1" s="41"/>
      <c r="H1" s="41"/>
      <c r="I1" s="41" t="s">
        <v>127</v>
      </c>
      <c r="J1" s="41" t="s">
        <v>124</v>
      </c>
      <c r="K1" s="41" t="s">
        <v>125</v>
      </c>
      <c r="L1" s="41" t="s">
        <v>126</v>
      </c>
      <c r="M1" s="41" t="s">
        <v>126</v>
      </c>
      <c r="N1" s="41" t="s">
        <v>41</v>
      </c>
      <c r="O1" s="41" t="s">
        <v>128</v>
      </c>
      <c r="P1" s="41" t="s">
        <v>42</v>
      </c>
      <c r="Q1" s="41" t="s">
        <v>129</v>
      </c>
      <c r="R1" s="41" t="s">
        <v>130</v>
      </c>
      <c r="S1" s="41" t="s">
        <v>121</v>
      </c>
      <c r="T1" s="41" t="s">
        <v>118</v>
      </c>
      <c r="U1" s="41" t="s">
        <v>131</v>
      </c>
      <c r="V1" s="41" t="s">
        <v>41</v>
      </c>
      <c r="W1" s="41" t="s">
        <v>54</v>
      </c>
      <c r="X1" s="41" t="s">
        <v>50</v>
      </c>
      <c r="Y1" s="41" t="s">
        <v>42</v>
      </c>
      <c r="Z1" s="41" t="s">
        <v>117</v>
      </c>
      <c r="AA1" s="41" t="s">
        <v>44</v>
      </c>
      <c r="AB1" s="41" t="s">
        <v>55</v>
      </c>
      <c r="AC1" s="41" t="s">
        <v>45</v>
      </c>
      <c r="AD1" s="41" t="s">
        <v>132</v>
      </c>
      <c r="AE1" s="41" t="s">
        <v>125</v>
      </c>
      <c r="AF1" s="41" t="s">
        <v>125</v>
      </c>
      <c r="AG1" s="41" t="s">
        <v>125</v>
      </c>
      <c r="AH1" s="41"/>
      <c r="AI1" s="41"/>
      <c r="AJ1" s="41"/>
      <c r="AK1" s="41"/>
      <c r="AL1" s="41"/>
    </row>
    <row r="2" spans="1:38" ht="18.75" customHeight="1" thickBot="1" x14ac:dyDescent="0.4">
      <c r="A2" s="1"/>
      <c r="B2" s="2" t="s">
        <v>0</v>
      </c>
      <c r="C2" s="3"/>
      <c r="D2" s="4" t="s">
        <v>1</v>
      </c>
      <c r="E2" s="4"/>
      <c r="F2" s="5" t="s">
        <v>2</v>
      </c>
      <c r="G2" s="4" t="s">
        <v>3</v>
      </c>
      <c r="H2" s="4" t="s">
        <v>4</v>
      </c>
      <c r="I2" s="4" t="s">
        <v>5</v>
      </c>
      <c r="J2" s="69" t="s">
        <v>25</v>
      </c>
      <c r="K2" s="69" t="s">
        <v>63</v>
      </c>
      <c r="L2" s="69" t="s">
        <v>9</v>
      </c>
      <c r="M2" s="69" t="s">
        <v>64</v>
      </c>
      <c r="N2" s="69" t="s">
        <v>27</v>
      </c>
      <c r="O2" s="77" t="s">
        <v>111</v>
      </c>
      <c r="P2" s="77" t="s">
        <v>110</v>
      </c>
      <c r="Q2" s="77" t="s">
        <v>34</v>
      </c>
      <c r="R2" s="79" t="s">
        <v>122</v>
      </c>
      <c r="S2" s="79" t="s">
        <v>121</v>
      </c>
      <c r="T2" s="79" t="s">
        <v>118</v>
      </c>
      <c r="U2" s="79" t="s">
        <v>43</v>
      </c>
      <c r="V2" s="79" t="s">
        <v>119</v>
      </c>
      <c r="W2" s="85" t="s">
        <v>115</v>
      </c>
      <c r="X2" s="85" t="s">
        <v>120</v>
      </c>
      <c r="Y2" s="84" t="s">
        <v>116</v>
      </c>
      <c r="Z2" s="84" t="s">
        <v>117</v>
      </c>
      <c r="AA2" s="86" t="s">
        <v>72</v>
      </c>
      <c r="AB2" s="86" t="s">
        <v>67</v>
      </c>
      <c r="AC2" s="86" t="s">
        <v>71</v>
      </c>
      <c r="AD2" s="69" t="s">
        <v>65</v>
      </c>
      <c r="AE2" s="69" t="s">
        <v>70</v>
      </c>
      <c r="AF2" s="69" t="s">
        <v>51</v>
      </c>
      <c r="AG2" s="69" t="s">
        <v>68</v>
      </c>
      <c r="AH2" s="87"/>
      <c r="AI2" s="92"/>
    </row>
    <row r="3" spans="1:38" s="16" customFormat="1" ht="10.5" x14ac:dyDescent="0.25">
      <c r="A3" s="11"/>
      <c r="B3" s="12"/>
      <c r="C3" s="12"/>
      <c r="D3" s="13"/>
      <c r="E3" s="13"/>
      <c r="F3" s="14"/>
      <c r="G3" s="13">
        <v>26</v>
      </c>
      <c r="H3" s="13"/>
      <c r="I3" s="13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93"/>
    </row>
    <row r="4" spans="1:38" s="16" customFormat="1" ht="10.5" x14ac:dyDescent="0.25">
      <c r="A4" s="11">
        <v>1</v>
      </c>
      <c r="B4" s="17" t="s">
        <v>74</v>
      </c>
      <c r="C4" s="17">
        <f>A4</f>
        <v>1</v>
      </c>
      <c r="D4" s="17" t="s">
        <v>25</v>
      </c>
      <c r="E4" s="17" t="s">
        <v>6</v>
      </c>
      <c r="F4" s="18">
        <v>1120</v>
      </c>
      <c r="G4" s="18">
        <f t="shared" ref="G4:G39" si="0">F4*$G$3</f>
        <v>29120</v>
      </c>
      <c r="H4" s="18"/>
      <c r="I4" s="18">
        <f t="shared" ref="I4:I9" si="1">SUM(G4:H4)</f>
        <v>29120</v>
      </c>
      <c r="J4" s="15">
        <v>1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93">
        <f t="shared" ref="AI4:AI41" si="2">SUM(J4:AH4)</f>
        <v>1</v>
      </c>
      <c r="AJ4" s="19"/>
    </row>
    <row r="5" spans="1:38" s="16" customFormat="1" ht="10.5" x14ac:dyDescent="0.25">
      <c r="A5" s="11">
        <v>2</v>
      </c>
      <c r="B5" s="17" t="s">
        <v>75</v>
      </c>
      <c r="C5" s="17">
        <f t="shared" ref="C5:C39" si="3">A5</f>
        <v>2</v>
      </c>
      <c r="D5" s="17" t="s">
        <v>7</v>
      </c>
      <c r="E5" s="17" t="s">
        <v>8</v>
      </c>
      <c r="F5" s="18">
        <v>650</v>
      </c>
      <c r="G5" s="20">
        <f>F5*$G$3</f>
        <v>16900</v>
      </c>
      <c r="H5" s="18"/>
      <c r="I5" s="18">
        <f>SUM(G5:H5)</f>
        <v>16900</v>
      </c>
      <c r="J5" s="15">
        <v>1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93">
        <f t="shared" si="2"/>
        <v>1</v>
      </c>
      <c r="AJ5" s="19"/>
    </row>
    <row r="6" spans="1:38" s="16" customFormat="1" ht="10.5" x14ac:dyDescent="0.25">
      <c r="A6" s="11">
        <v>3</v>
      </c>
      <c r="B6" s="17" t="s">
        <v>108</v>
      </c>
      <c r="C6" s="17">
        <f t="shared" si="3"/>
        <v>3</v>
      </c>
      <c r="D6" s="17" t="s">
        <v>7</v>
      </c>
      <c r="E6" s="17"/>
      <c r="F6" s="18"/>
      <c r="G6" s="20"/>
      <c r="H6" s="18"/>
      <c r="I6" s="18"/>
      <c r="J6" s="15">
        <v>1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93">
        <f t="shared" si="2"/>
        <v>1</v>
      </c>
      <c r="AJ6" s="19"/>
    </row>
    <row r="7" spans="1:38" s="16" customFormat="1" ht="10.5" x14ac:dyDescent="0.25">
      <c r="A7" s="11">
        <v>4</v>
      </c>
      <c r="B7" s="17" t="s">
        <v>76</v>
      </c>
      <c r="C7" s="17">
        <f t="shared" si="3"/>
        <v>4</v>
      </c>
      <c r="D7" s="17" t="s">
        <v>9</v>
      </c>
      <c r="E7" s="17" t="s">
        <v>10</v>
      </c>
      <c r="F7" s="18">
        <v>520</v>
      </c>
      <c r="G7" s="18">
        <f t="shared" si="0"/>
        <v>13520</v>
      </c>
      <c r="H7" s="18"/>
      <c r="I7" s="18">
        <f t="shared" si="1"/>
        <v>13520</v>
      </c>
      <c r="J7" s="15"/>
      <c r="K7" s="15"/>
      <c r="L7" s="15">
        <v>1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93">
        <f t="shared" si="2"/>
        <v>1</v>
      </c>
      <c r="AJ7" s="19"/>
    </row>
    <row r="8" spans="1:38" s="16" customFormat="1" ht="10.5" x14ac:dyDescent="0.25">
      <c r="A8" s="11">
        <v>5</v>
      </c>
      <c r="B8" s="17" t="s">
        <v>11</v>
      </c>
      <c r="C8" s="17">
        <f t="shared" si="3"/>
        <v>5</v>
      </c>
      <c r="D8" s="17" t="s">
        <v>25</v>
      </c>
      <c r="E8" s="17" t="s">
        <v>12</v>
      </c>
      <c r="F8" s="18">
        <v>1347.23</v>
      </c>
      <c r="G8" s="18">
        <f>F8*$G$3</f>
        <v>35027.980000000003</v>
      </c>
      <c r="H8" s="18"/>
      <c r="I8" s="18">
        <f t="shared" si="1"/>
        <v>35027.980000000003</v>
      </c>
      <c r="J8" s="15">
        <v>1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93">
        <f t="shared" si="2"/>
        <v>1</v>
      </c>
      <c r="AJ8" s="19"/>
    </row>
    <row r="9" spans="1:38" s="16" customFormat="1" ht="10.5" x14ac:dyDescent="0.25">
      <c r="A9" s="11">
        <v>6</v>
      </c>
      <c r="B9" s="17" t="s">
        <v>77</v>
      </c>
      <c r="C9" s="17">
        <f t="shared" si="3"/>
        <v>6</v>
      </c>
      <c r="D9" s="17" t="s">
        <v>27</v>
      </c>
      <c r="E9" s="17"/>
      <c r="F9" s="18">
        <v>1153.8499999999999</v>
      </c>
      <c r="G9" s="18">
        <f t="shared" si="0"/>
        <v>30000.1</v>
      </c>
      <c r="H9" s="18"/>
      <c r="I9" s="18">
        <f t="shared" si="1"/>
        <v>30000.1</v>
      </c>
      <c r="J9" s="15"/>
      <c r="K9" s="15"/>
      <c r="L9" s="15"/>
      <c r="M9" s="15"/>
      <c r="N9" s="15">
        <v>1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93">
        <f t="shared" si="2"/>
        <v>1</v>
      </c>
      <c r="AJ9" s="19"/>
    </row>
    <row r="10" spans="1:38" s="16" customFormat="1" ht="10.5" x14ac:dyDescent="0.25">
      <c r="A10" s="11">
        <v>7</v>
      </c>
      <c r="B10" s="73" t="s">
        <v>107</v>
      </c>
      <c r="C10" s="17">
        <f t="shared" si="3"/>
        <v>7</v>
      </c>
      <c r="D10" s="17" t="s">
        <v>29</v>
      </c>
      <c r="E10" s="17" t="s">
        <v>109</v>
      </c>
      <c r="F10" s="18"/>
      <c r="G10" s="18"/>
      <c r="H10" s="18"/>
      <c r="I10" s="18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>
        <v>1</v>
      </c>
      <c r="Z10" s="15"/>
      <c r="AA10" s="15"/>
      <c r="AB10" s="15"/>
      <c r="AC10" s="15"/>
      <c r="AD10" s="15"/>
      <c r="AE10" s="15"/>
      <c r="AF10" s="15"/>
      <c r="AG10" s="15"/>
      <c r="AH10" s="15"/>
      <c r="AI10" s="93">
        <f t="shared" si="2"/>
        <v>1</v>
      </c>
      <c r="AJ10" s="19"/>
    </row>
    <row r="11" spans="1:38" s="16" customFormat="1" ht="10.5" x14ac:dyDescent="0.25">
      <c r="A11" s="11">
        <v>8</v>
      </c>
      <c r="B11" s="17" t="s">
        <v>78</v>
      </c>
      <c r="C11" s="17">
        <f t="shared" si="3"/>
        <v>8</v>
      </c>
      <c r="D11" s="17" t="s">
        <v>25</v>
      </c>
      <c r="E11" s="17" t="s">
        <v>13</v>
      </c>
      <c r="F11" s="22">
        <v>2692.31</v>
      </c>
      <c r="G11" s="20">
        <f t="shared" si="0"/>
        <v>70000.06</v>
      </c>
      <c r="H11" s="18"/>
      <c r="I11" s="18">
        <f>SUM(G11:H11)</f>
        <v>70000.06</v>
      </c>
      <c r="J11" s="15">
        <v>0.72</v>
      </c>
      <c r="K11" s="15">
        <v>0.28000000000000003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93">
        <f t="shared" si="2"/>
        <v>1</v>
      </c>
      <c r="AJ11" s="19"/>
    </row>
    <row r="12" spans="1:38" s="16" customFormat="1" ht="10.5" x14ac:dyDescent="0.25">
      <c r="A12" s="11">
        <v>9</v>
      </c>
      <c r="B12" s="17" t="s">
        <v>79</v>
      </c>
      <c r="C12" s="17">
        <f t="shared" si="3"/>
        <v>9</v>
      </c>
      <c r="D12" s="17" t="s">
        <v>69</v>
      </c>
      <c r="E12" s="17"/>
      <c r="F12" s="18">
        <v>969.96</v>
      </c>
      <c r="G12" s="20">
        <f t="shared" si="0"/>
        <v>25218.959999999999</v>
      </c>
      <c r="H12" s="18"/>
      <c r="I12" s="18">
        <f>SUM(G12:H12)</f>
        <v>25218.959999999999</v>
      </c>
      <c r="J12" s="15"/>
      <c r="K12" s="15"/>
      <c r="L12" s="15"/>
      <c r="M12" s="15">
        <v>1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93">
        <f t="shared" si="2"/>
        <v>1</v>
      </c>
      <c r="AJ12" s="19"/>
    </row>
    <row r="13" spans="1:38" s="16" customFormat="1" ht="10.5" x14ac:dyDescent="0.25">
      <c r="A13" s="11">
        <v>10</v>
      </c>
      <c r="B13" s="17" t="s">
        <v>80</v>
      </c>
      <c r="C13" s="17">
        <f t="shared" si="3"/>
        <v>10</v>
      </c>
      <c r="D13" s="17" t="s">
        <v>32</v>
      </c>
      <c r="E13" s="17"/>
      <c r="F13" s="18">
        <v>5961.54</v>
      </c>
      <c r="G13" s="18">
        <f t="shared" si="0"/>
        <v>155000.04</v>
      </c>
      <c r="H13" s="18"/>
      <c r="I13" s="18">
        <f>SUM(G13:H13)</f>
        <v>155000.04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>
        <v>0.9</v>
      </c>
      <c r="AE13" s="15"/>
      <c r="AF13" s="15">
        <v>0.1</v>
      </c>
      <c r="AG13" s="15"/>
      <c r="AH13" s="15"/>
      <c r="AI13" s="93">
        <f t="shared" si="2"/>
        <v>1</v>
      </c>
      <c r="AJ13" s="19"/>
    </row>
    <row r="14" spans="1:38" s="16" customFormat="1" ht="10.5" x14ac:dyDescent="0.25">
      <c r="A14" s="11">
        <v>11</v>
      </c>
      <c r="B14" s="17" t="s">
        <v>81</v>
      </c>
      <c r="C14" s="17">
        <f t="shared" si="3"/>
        <v>11</v>
      </c>
      <c r="D14" s="17" t="s">
        <v>66</v>
      </c>
      <c r="E14" s="17"/>
      <c r="F14" s="18">
        <v>3153.85</v>
      </c>
      <c r="G14" s="18">
        <f t="shared" si="0"/>
        <v>82000.099999999991</v>
      </c>
      <c r="H14" s="18"/>
      <c r="I14" s="18">
        <f t="shared" ref="I14:I16" si="4">SUM(G14:H14)</f>
        <v>82000.099999999991</v>
      </c>
      <c r="J14" s="15"/>
      <c r="K14" s="15"/>
      <c r="L14" s="15"/>
      <c r="M14" s="15"/>
      <c r="N14" s="15"/>
      <c r="O14" s="15">
        <v>0.33</v>
      </c>
      <c r="P14" s="15">
        <v>0.67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93">
        <f t="shared" si="2"/>
        <v>1</v>
      </c>
      <c r="AJ14" s="19"/>
    </row>
    <row r="15" spans="1:38" s="16" customFormat="1" ht="10.5" x14ac:dyDescent="0.25">
      <c r="A15" s="11">
        <v>12</v>
      </c>
      <c r="B15" s="17" t="s">
        <v>82</v>
      </c>
      <c r="C15" s="17">
        <f t="shared" si="3"/>
        <v>12</v>
      </c>
      <c r="D15" s="17" t="s">
        <v>69</v>
      </c>
      <c r="E15" s="17"/>
      <c r="F15" s="18">
        <v>1278.8800000000001</v>
      </c>
      <c r="G15" s="20">
        <f t="shared" si="0"/>
        <v>33250.880000000005</v>
      </c>
      <c r="H15" s="18"/>
      <c r="I15" s="18">
        <f t="shared" si="4"/>
        <v>33250.880000000005</v>
      </c>
      <c r="J15" s="15"/>
      <c r="K15" s="15"/>
      <c r="L15" s="15"/>
      <c r="M15" s="15">
        <v>1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93">
        <f t="shared" si="2"/>
        <v>1</v>
      </c>
      <c r="AJ15" s="19"/>
    </row>
    <row r="16" spans="1:38" s="16" customFormat="1" ht="10.5" x14ac:dyDescent="0.25">
      <c r="A16" s="11">
        <v>13</v>
      </c>
      <c r="B16" s="17" t="s">
        <v>14</v>
      </c>
      <c r="C16" s="17">
        <f t="shared" si="3"/>
        <v>13</v>
      </c>
      <c r="D16" s="17" t="s">
        <v>15</v>
      </c>
      <c r="E16" s="17"/>
      <c r="F16" s="18">
        <v>1788.47</v>
      </c>
      <c r="G16" s="18">
        <f t="shared" si="0"/>
        <v>46500.22</v>
      </c>
      <c r="H16" s="18"/>
      <c r="I16" s="18">
        <f t="shared" si="4"/>
        <v>46500.22</v>
      </c>
      <c r="J16" s="15"/>
      <c r="K16" s="15"/>
      <c r="L16" s="15"/>
      <c r="M16" s="15"/>
      <c r="N16" s="15"/>
      <c r="O16" s="15"/>
      <c r="P16" s="15"/>
      <c r="Q16" s="15"/>
      <c r="R16" s="95">
        <v>0.15</v>
      </c>
      <c r="S16" s="95"/>
      <c r="T16" s="95">
        <v>0.74</v>
      </c>
      <c r="U16" s="95">
        <v>0.11</v>
      </c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93">
        <f t="shared" si="2"/>
        <v>1</v>
      </c>
      <c r="AJ16" s="19"/>
    </row>
    <row r="17" spans="1:36" s="16" customFormat="1" ht="10.5" x14ac:dyDescent="0.25">
      <c r="A17" s="11">
        <v>14</v>
      </c>
      <c r="B17" s="17" t="s">
        <v>114</v>
      </c>
      <c r="C17" s="17">
        <f t="shared" si="3"/>
        <v>14</v>
      </c>
      <c r="D17" s="17" t="s">
        <v>29</v>
      </c>
      <c r="E17" s="17"/>
      <c r="F17" s="22">
        <v>1538.46</v>
      </c>
      <c r="G17" s="22">
        <f t="shared" si="0"/>
        <v>39999.96</v>
      </c>
      <c r="H17" s="18"/>
      <c r="I17" s="22">
        <f>SUM(G17:H17)</f>
        <v>39999.96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80">
        <v>0.1</v>
      </c>
      <c r="X17" s="80">
        <v>0.45</v>
      </c>
      <c r="Y17" s="80">
        <v>0.18</v>
      </c>
      <c r="Z17" s="80">
        <v>0.27</v>
      </c>
      <c r="AA17" s="15"/>
      <c r="AB17" s="15"/>
      <c r="AC17" s="15"/>
      <c r="AD17" s="15"/>
      <c r="AE17" s="15"/>
      <c r="AF17" s="15"/>
      <c r="AG17" s="15"/>
      <c r="AH17" s="15"/>
      <c r="AI17" s="93">
        <f t="shared" si="2"/>
        <v>1</v>
      </c>
      <c r="AJ17" s="19"/>
    </row>
    <row r="18" spans="1:36" s="16" customFormat="1" ht="10.5" x14ac:dyDescent="0.25">
      <c r="A18" s="11">
        <v>15</v>
      </c>
      <c r="B18" s="17" t="s">
        <v>84</v>
      </c>
      <c r="C18" s="17">
        <f t="shared" si="3"/>
        <v>15</v>
      </c>
      <c r="D18" s="17" t="s">
        <v>25</v>
      </c>
      <c r="E18" s="17" t="s">
        <v>16</v>
      </c>
      <c r="F18" s="18">
        <v>2305.8200000000002</v>
      </c>
      <c r="G18" s="20">
        <f t="shared" si="0"/>
        <v>59951.320000000007</v>
      </c>
      <c r="H18" s="18"/>
      <c r="I18" s="18">
        <f>SUM(G18:H18)</f>
        <v>59951.320000000007</v>
      </c>
      <c r="J18" s="15">
        <v>1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93">
        <f t="shared" si="2"/>
        <v>1</v>
      </c>
      <c r="AJ18" s="19"/>
    </row>
    <row r="19" spans="1:36" s="16" customFormat="1" ht="10.5" x14ac:dyDescent="0.25">
      <c r="A19" s="11">
        <v>16</v>
      </c>
      <c r="B19" s="17" t="s">
        <v>85</v>
      </c>
      <c r="C19" s="17">
        <f t="shared" si="3"/>
        <v>16</v>
      </c>
      <c r="D19" s="17" t="s">
        <v>56</v>
      </c>
      <c r="E19" s="17"/>
      <c r="F19" s="18">
        <v>2115.39</v>
      </c>
      <c r="G19" s="18">
        <f>F19*$G$3</f>
        <v>55000.14</v>
      </c>
      <c r="H19" s="18"/>
      <c r="I19" s="18">
        <f>SUM(G19:H19)</f>
        <v>55000.14</v>
      </c>
      <c r="J19" s="15"/>
      <c r="K19" s="15"/>
      <c r="L19" s="15"/>
      <c r="M19" s="15"/>
      <c r="N19" s="15"/>
      <c r="O19" s="15">
        <v>1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93">
        <f t="shared" si="2"/>
        <v>1</v>
      </c>
      <c r="AJ19" s="19"/>
    </row>
    <row r="20" spans="1:36" s="16" customFormat="1" ht="10.5" x14ac:dyDescent="0.25">
      <c r="A20" s="11">
        <v>17</v>
      </c>
      <c r="B20" s="17" t="s">
        <v>86</v>
      </c>
      <c r="C20" s="17">
        <f t="shared" si="3"/>
        <v>17</v>
      </c>
      <c r="D20" s="17" t="s">
        <v>27</v>
      </c>
      <c r="E20" s="17"/>
      <c r="F20" s="18">
        <v>721</v>
      </c>
      <c r="G20" s="18">
        <f>F20*$G$3</f>
        <v>18746</v>
      </c>
      <c r="H20" s="18"/>
      <c r="I20" s="18">
        <f>SUM(G20:H20)</f>
        <v>18746</v>
      </c>
      <c r="J20" s="15"/>
      <c r="K20" s="15"/>
      <c r="L20" s="15"/>
      <c r="M20" s="15"/>
      <c r="N20" s="15">
        <v>1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93">
        <f t="shared" si="2"/>
        <v>1</v>
      </c>
      <c r="AJ20" s="19"/>
    </row>
    <row r="21" spans="1:36" s="16" customFormat="1" ht="10.5" x14ac:dyDescent="0.25">
      <c r="A21" s="11">
        <v>18</v>
      </c>
      <c r="B21" s="17" t="s">
        <v>87</v>
      </c>
      <c r="C21" s="17">
        <f t="shared" si="3"/>
        <v>18</v>
      </c>
      <c r="D21" s="17" t="s">
        <v>27</v>
      </c>
      <c r="E21" s="17"/>
      <c r="F21" s="18">
        <v>1538.47</v>
      </c>
      <c r="G21" s="18">
        <f>F21*$G$3</f>
        <v>40000.22</v>
      </c>
      <c r="H21" s="18"/>
      <c r="I21" s="18">
        <f>SUM(G21:H21)</f>
        <v>40000.22</v>
      </c>
      <c r="J21" s="15"/>
      <c r="K21" s="15"/>
      <c r="L21" s="15"/>
      <c r="M21" s="15"/>
      <c r="N21" s="15">
        <v>1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93">
        <f t="shared" si="2"/>
        <v>1</v>
      </c>
      <c r="AJ21" s="19"/>
    </row>
    <row r="22" spans="1:36" s="16" customFormat="1" ht="10.5" x14ac:dyDescent="0.25">
      <c r="A22" s="11">
        <v>19</v>
      </c>
      <c r="B22" s="17" t="s">
        <v>88</v>
      </c>
      <c r="C22" s="17">
        <f t="shared" si="3"/>
        <v>19</v>
      </c>
      <c r="D22" s="17" t="s">
        <v>103</v>
      </c>
      <c r="E22" s="17"/>
      <c r="F22" s="18">
        <v>2500</v>
      </c>
      <c r="G22" s="18">
        <f t="shared" ref="G22:G23" si="5">F22*$G$3</f>
        <v>65000</v>
      </c>
      <c r="H22" s="18"/>
      <c r="I22" s="18">
        <f t="shared" ref="I22:I30" si="6">SUM(G22:H22)</f>
        <v>65000</v>
      </c>
      <c r="J22" s="15"/>
      <c r="K22" s="15"/>
      <c r="L22" s="15"/>
      <c r="M22" s="15"/>
      <c r="N22" s="15"/>
      <c r="O22" s="15"/>
      <c r="P22" s="15"/>
      <c r="Q22" s="15"/>
      <c r="R22" s="70">
        <v>0.25</v>
      </c>
      <c r="S22" s="70">
        <v>0.18</v>
      </c>
      <c r="T22" s="70">
        <v>7.0000000000000007E-2</v>
      </c>
      <c r="U22" s="70">
        <v>0.25</v>
      </c>
      <c r="V22" s="70">
        <v>0.25</v>
      </c>
      <c r="W22" s="70"/>
      <c r="X22" s="70"/>
      <c r="Y22" s="70"/>
      <c r="Z22" s="70"/>
      <c r="AA22" s="15"/>
      <c r="AB22" s="15"/>
      <c r="AC22" s="15"/>
      <c r="AD22" s="15"/>
      <c r="AE22" s="15"/>
      <c r="AF22" s="15"/>
      <c r="AG22" s="15"/>
      <c r="AH22" s="15"/>
      <c r="AI22" s="93">
        <f t="shared" si="2"/>
        <v>1</v>
      </c>
      <c r="AJ22" s="19"/>
    </row>
    <row r="23" spans="1:36" s="16" customFormat="1" ht="10.5" x14ac:dyDescent="0.25">
      <c r="A23" s="11">
        <v>20</v>
      </c>
      <c r="B23" s="17" t="s">
        <v>89</v>
      </c>
      <c r="C23" s="17">
        <f t="shared" si="3"/>
        <v>20</v>
      </c>
      <c r="D23" s="17" t="s">
        <v>25</v>
      </c>
      <c r="E23" s="17" t="s">
        <v>12</v>
      </c>
      <c r="F23" s="18">
        <v>1176</v>
      </c>
      <c r="G23" s="18">
        <f t="shared" si="5"/>
        <v>30576</v>
      </c>
      <c r="H23" s="18"/>
      <c r="I23" s="18">
        <f t="shared" si="6"/>
        <v>30576</v>
      </c>
      <c r="J23" s="15">
        <v>1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93">
        <f t="shared" si="2"/>
        <v>1</v>
      </c>
      <c r="AJ23" s="19"/>
    </row>
    <row r="24" spans="1:36" s="16" customFormat="1" ht="10.5" x14ac:dyDescent="0.25">
      <c r="A24" s="11">
        <v>21</v>
      </c>
      <c r="B24" s="17" t="s">
        <v>90</v>
      </c>
      <c r="C24" s="17">
        <f t="shared" si="3"/>
        <v>21</v>
      </c>
      <c r="D24" s="17" t="s">
        <v>34</v>
      </c>
      <c r="E24" s="17"/>
      <c r="F24" s="18">
        <v>1200</v>
      </c>
      <c r="G24" s="18">
        <f>F24*$G$3</f>
        <v>31200</v>
      </c>
      <c r="H24" s="18"/>
      <c r="I24" s="18">
        <f t="shared" si="6"/>
        <v>31200</v>
      </c>
      <c r="J24" s="15"/>
      <c r="K24" s="15"/>
      <c r="L24" s="15"/>
      <c r="M24" s="15"/>
      <c r="N24" s="15"/>
      <c r="O24" s="15"/>
      <c r="P24" s="15"/>
      <c r="Q24" s="15">
        <v>1</v>
      </c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93">
        <f t="shared" si="2"/>
        <v>1</v>
      </c>
      <c r="AJ24" s="19"/>
    </row>
    <row r="25" spans="1:36" s="16" customFormat="1" ht="10.5" x14ac:dyDescent="0.25">
      <c r="A25" s="11">
        <v>22</v>
      </c>
      <c r="B25" s="17" t="s">
        <v>91</v>
      </c>
      <c r="C25" s="17">
        <f t="shared" si="3"/>
        <v>22</v>
      </c>
      <c r="D25" s="17" t="s">
        <v>27</v>
      </c>
      <c r="E25" s="17"/>
      <c r="F25" s="18">
        <v>1538.47</v>
      </c>
      <c r="G25" s="18">
        <f t="shared" si="0"/>
        <v>40000.22</v>
      </c>
      <c r="H25" s="18"/>
      <c r="I25" s="18">
        <f t="shared" si="6"/>
        <v>40000.22</v>
      </c>
      <c r="J25" s="15"/>
      <c r="K25" s="15"/>
      <c r="L25" s="15"/>
      <c r="M25" s="15"/>
      <c r="N25" s="23">
        <v>0.95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>
        <v>0.05</v>
      </c>
      <c r="AF25" s="23"/>
      <c r="AG25" s="15"/>
      <c r="AH25" s="15"/>
      <c r="AI25" s="93">
        <f t="shared" si="2"/>
        <v>1</v>
      </c>
      <c r="AJ25" s="19"/>
    </row>
    <row r="26" spans="1:36" s="16" customFormat="1" ht="10.5" x14ac:dyDescent="0.25">
      <c r="A26" s="11">
        <v>23</v>
      </c>
      <c r="B26" s="17" t="s">
        <v>92</v>
      </c>
      <c r="C26" s="17">
        <f t="shared" si="3"/>
        <v>23</v>
      </c>
      <c r="D26" s="17" t="s">
        <v>71</v>
      </c>
      <c r="E26" s="17"/>
      <c r="F26" s="18">
        <v>1442.31</v>
      </c>
      <c r="G26" s="18">
        <f>F26*$G$3</f>
        <v>37500.06</v>
      </c>
      <c r="H26" s="18"/>
      <c r="I26" s="18">
        <f t="shared" si="6"/>
        <v>37500.06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24"/>
      <c r="AC26" s="24">
        <v>1</v>
      </c>
      <c r="AD26" s="24"/>
      <c r="AE26" s="24"/>
      <c r="AF26" s="24"/>
      <c r="AG26" s="24"/>
      <c r="AH26" s="15"/>
      <c r="AI26" s="93">
        <f t="shared" si="2"/>
        <v>1</v>
      </c>
      <c r="AJ26" s="19"/>
    </row>
    <row r="27" spans="1:36" s="16" customFormat="1" ht="10.5" x14ac:dyDescent="0.25">
      <c r="A27" s="11">
        <v>24</v>
      </c>
      <c r="B27" s="17" t="s">
        <v>93</v>
      </c>
      <c r="C27" s="17">
        <f t="shared" si="3"/>
        <v>24</v>
      </c>
      <c r="D27" s="17" t="s">
        <v>25</v>
      </c>
      <c r="E27" s="17" t="s">
        <v>17</v>
      </c>
      <c r="F27" s="18">
        <v>1216.3599999999999</v>
      </c>
      <c r="G27" s="18">
        <f t="shared" si="0"/>
        <v>31625.359999999997</v>
      </c>
      <c r="H27" s="18"/>
      <c r="I27" s="18">
        <f t="shared" si="6"/>
        <v>31625.359999999997</v>
      </c>
      <c r="J27" s="15">
        <v>1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93">
        <f t="shared" si="2"/>
        <v>1</v>
      </c>
      <c r="AJ27" s="19"/>
    </row>
    <row r="28" spans="1:36" s="16" customFormat="1" ht="10.5" x14ac:dyDescent="0.25">
      <c r="A28" s="11">
        <v>25</v>
      </c>
      <c r="B28" s="17" t="s">
        <v>18</v>
      </c>
      <c r="C28" s="17">
        <f t="shared" si="3"/>
        <v>25</v>
      </c>
      <c r="D28" s="17" t="s">
        <v>25</v>
      </c>
      <c r="E28" s="17" t="s">
        <v>19</v>
      </c>
      <c r="F28" s="18">
        <v>1114.7</v>
      </c>
      <c r="G28" s="20">
        <f>F28*$G$3</f>
        <v>28982.2</v>
      </c>
      <c r="H28" s="18"/>
      <c r="I28" s="18">
        <f t="shared" si="6"/>
        <v>28982.2</v>
      </c>
      <c r="J28" s="15">
        <v>1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93">
        <f t="shared" si="2"/>
        <v>1</v>
      </c>
      <c r="AJ28" s="19"/>
    </row>
    <row r="29" spans="1:36" s="16" customFormat="1" ht="10.5" x14ac:dyDescent="0.25">
      <c r="A29" s="11">
        <v>26</v>
      </c>
      <c r="B29" s="17" t="s">
        <v>20</v>
      </c>
      <c r="C29" s="17">
        <f t="shared" si="3"/>
        <v>26</v>
      </c>
      <c r="D29" s="17" t="s">
        <v>27</v>
      </c>
      <c r="E29" s="17"/>
      <c r="F29" s="18">
        <v>2500</v>
      </c>
      <c r="G29" s="18">
        <f t="shared" si="0"/>
        <v>65000</v>
      </c>
      <c r="H29" s="18"/>
      <c r="I29" s="18">
        <f t="shared" si="6"/>
        <v>65000</v>
      </c>
      <c r="J29" s="15"/>
      <c r="K29" s="15"/>
      <c r="L29" s="15"/>
      <c r="M29" s="15"/>
      <c r="N29" s="15">
        <v>1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93">
        <f t="shared" si="2"/>
        <v>1</v>
      </c>
      <c r="AJ29" s="19"/>
    </row>
    <row r="30" spans="1:36" s="16" customFormat="1" ht="10.5" x14ac:dyDescent="0.25">
      <c r="A30" s="11">
        <v>27</v>
      </c>
      <c r="B30" s="17" t="s">
        <v>94</v>
      </c>
      <c r="C30" s="17">
        <f t="shared" si="3"/>
        <v>27</v>
      </c>
      <c r="D30" s="17" t="s">
        <v>25</v>
      </c>
      <c r="E30" s="17" t="s">
        <v>21</v>
      </c>
      <c r="F30" s="18">
        <v>996.3</v>
      </c>
      <c r="G30" s="18">
        <f t="shared" si="0"/>
        <v>25903.8</v>
      </c>
      <c r="H30" s="18"/>
      <c r="I30" s="18">
        <f t="shared" si="6"/>
        <v>25903.8</v>
      </c>
      <c r="J30" s="15">
        <v>1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93">
        <f t="shared" si="2"/>
        <v>1</v>
      </c>
      <c r="AJ30" s="19"/>
    </row>
    <row r="31" spans="1:36" s="16" customFormat="1" ht="10.5" x14ac:dyDescent="0.25">
      <c r="A31" s="11">
        <v>28</v>
      </c>
      <c r="B31" s="25" t="s">
        <v>22</v>
      </c>
      <c r="C31" s="17">
        <f t="shared" si="3"/>
        <v>28</v>
      </c>
      <c r="D31" s="26" t="s">
        <v>23</v>
      </c>
      <c r="E31" s="26"/>
      <c r="F31" s="27">
        <v>2769.23</v>
      </c>
      <c r="G31" s="27">
        <f t="shared" si="0"/>
        <v>71999.98</v>
      </c>
      <c r="H31" s="18">
        <v>3076.93</v>
      </c>
      <c r="I31" s="28">
        <f>H31*$G$3</f>
        <v>80000.179999999993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>
        <v>1</v>
      </c>
      <c r="AH31" s="15"/>
      <c r="AI31" s="93">
        <f t="shared" si="2"/>
        <v>1</v>
      </c>
      <c r="AJ31" s="19"/>
    </row>
    <row r="32" spans="1:36" s="16" customFormat="1" ht="10.5" x14ac:dyDescent="0.25">
      <c r="A32" s="11">
        <v>29</v>
      </c>
      <c r="B32" s="25" t="s">
        <v>95</v>
      </c>
      <c r="C32" s="17">
        <f t="shared" si="3"/>
        <v>29</v>
      </c>
      <c r="D32" s="26" t="s">
        <v>104</v>
      </c>
      <c r="E32" s="26"/>
      <c r="F32" s="29">
        <v>3153.85</v>
      </c>
      <c r="G32" s="29">
        <f t="shared" si="0"/>
        <v>82000.099999999991</v>
      </c>
      <c r="H32" s="18">
        <v>3461.54</v>
      </c>
      <c r="I32" s="28">
        <f>H32*$G$3</f>
        <v>90000.04</v>
      </c>
      <c r="J32" s="15"/>
      <c r="K32" s="15"/>
      <c r="L32" s="15"/>
      <c r="M32" s="15"/>
      <c r="N32" s="30">
        <v>0.2</v>
      </c>
      <c r="O32" s="30"/>
      <c r="P32" s="30">
        <v>0.24</v>
      </c>
      <c r="Q32" s="30"/>
      <c r="R32" s="30">
        <v>0</v>
      </c>
      <c r="S32" s="30"/>
      <c r="T32" s="30">
        <v>0.05</v>
      </c>
      <c r="U32" s="30">
        <v>0.04</v>
      </c>
      <c r="V32" s="30">
        <v>0.02</v>
      </c>
      <c r="W32" s="30">
        <v>0.06</v>
      </c>
      <c r="X32" s="30">
        <v>0.39</v>
      </c>
      <c r="Y32" s="82">
        <v>0</v>
      </c>
      <c r="Z32" s="82"/>
      <c r="AA32" s="15"/>
      <c r="AB32" s="15"/>
      <c r="AC32" s="15"/>
      <c r="AD32" s="15"/>
      <c r="AE32" s="15"/>
      <c r="AF32" s="15"/>
      <c r="AG32" s="15"/>
      <c r="AH32" s="15"/>
      <c r="AI32" s="93">
        <f t="shared" si="2"/>
        <v>1</v>
      </c>
      <c r="AJ32" s="19"/>
    </row>
    <row r="33" spans="1:36" s="16" customFormat="1" ht="10.5" x14ac:dyDescent="0.25">
      <c r="A33" s="11">
        <v>30</v>
      </c>
      <c r="B33" s="26" t="s">
        <v>96</v>
      </c>
      <c r="C33" s="17">
        <f t="shared" si="3"/>
        <v>30</v>
      </c>
      <c r="D33" s="26" t="s">
        <v>105</v>
      </c>
      <c r="E33" s="26"/>
      <c r="F33" s="27">
        <v>3269</v>
      </c>
      <c r="G33" s="27">
        <f t="shared" si="0"/>
        <v>84994</v>
      </c>
      <c r="H33" s="18"/>
      <c r="I33" s="18">
        <f t="shared" ref="I33:I39" si="7">SUM(G33:H33)</f>
        <v>84994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31">
        <v>0.27</v>
      </c>
      <c r="AB33" s="31">
        <v>0.28999999999999998</v>
      </c>
      <c r="AC33" s="31">
        <v>0.44</v>
      </c>
      <c r="AD33" s="15"/>
      <c r="AE33" s="15"/>
      <c r="AF33" s="15"/>
      <c r="AG33" s="15"/>
      <c r="AH33" s="15"/>
      <c r="AI33" s="93">
        <f t="shared" si="2"/>
        <v>1</v>
      </c>
      <c r="AJ33" s="19"/>
    </row>
    <row r="34" spans="1:36" s="16" customFormat="1" ht="10.5" x14ac:dyDescent="0.25">
      <c r="A34" s="11">
        <v>31</v>
      </c>
      <c r="B34" s="26" t="s">
        <v>97</v>
      </c>
      <c r="C34" s="17">
        <f t="shared" si="3"/>
        <v>31</v>
      </c>
      <c r="D34" s="26" t="s">
        <v>25</v>
      </c>
      <c r="E34" s="26" t="s">
        <v>19</v>
      </c>
      <c r="F34" s="27">
        <v>2684.05</v>
      </c>
      <c r="G34" s="32">
        <f t="shared" si="0"/>
        <v>69785.3</v>
      </c>
      <c r="H34" s="18"/>
      <c r="I34" s="18">
        <f t="shared" si="7"/>
        <v>69785.3</v>
      </c>
      <c r="J34" s="15">
        <v>1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93">
        <f t="shared" si="2"/>
        <v>1</v>
      </c>
      <c r="AJ34" s="19"/>
    </row>
    <row r="35" spans="1:36" s="16" customFormat="1" ht="10.5" x14ac:dyDescent="0.25">
      <c r="A35" s="11">
        <v>32</v>
      </c>
      <c r="B35" s="26" t="s">
        <v>98</v>
      </c>
      <c r="C35" s="17">
        <f t="shared" si="3"/>
        <v>32</v>
      </c>
      <c r="D35" s="26" t="s">
        <v>25</v>
      </c>
      <c r="E35" s="26" t="s">
        <v>12</v>
      </c>
      <c r="F35" s="27">
        <v>1611.08</v>
      </c>
      <c r="G35" s="27">
        <f>F35*$G$3</f>
        <v>41888.080000000002</v>
      </c>
      <c r="H35" s="18"/>
      <c r="I35" s="18">
        <f t="shared" si="7"/>
        <v>41888.080000000002</v>
      </c>
      <c r="J35" s="15">
        <v>1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93">
        <f t="shared" si="2"/>
        <v>1</v>
      </c>
      <c r="AJ35" s="19"/>
    </row>
    <row r="36" spans="1:36" s="16" customFormat="1" ht="10.5" x14ac:dyDescent="0.25">
      <c r="A36" s="11">
        <v>33</v>
      </c>
      <c r="B36" s="26" t="s">
        <v>99</v>
      </c>
      <c r="C36" s="17">
        <f t="shared" si="3"/>
        <v>33</v>
      </c>
      <c r="D36" s="26" t="s">
        <v>25</v>
      </c>
      <c r="E36" s="26" t="s">
        <v>24</v>
      </c>
      <c r="F36" s="27">
        <v>454.96</v>
      </c>
      <c r="G36" s="27">
        <f t="shared" si="0"/>
        <v>11828.96</v>
      </c>
      <c r="H36" s="18"/>
      <c r="I36" s="18">
        <f t="shared" si="7"/>
        <v>11828.96</v>
      </c>
      <c r="J36" s="15">
        <v>1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93">
        <f t="shared" si="2"/>
        <v>1</v>
      </c>
      <c r="AJ36" s="19"/>
    </row>
    <row r="37" spans="1:36" s="16" customFormat="1" ht="10.5" x14ac:dyDescent="0.25">
      <c r="A37" s="11">
        <v>34</v>
      </c>
      <c r="B37" s="26" t="s">
        <v>123</v>
      </c>
      <c r="C37" s="17">
        <f t="shared" si="3"/>
        <v>34</v>
      </c>
      <c r="D37" s="26" t="s">
        <v>32</v>
      </c>
      <c r="E37" s="26"/>
      <c r="F37" s="29">
        <v>4230.7700000000004</v>
      </c>
      <c r="G37" s="29">
        <f t="shared" si="0"/>
        <v>110000.02000000002</v>
      </c>
      <c r="H37" s="18"/>
      <c r="I37" s="22">
        <f t="shared" si="7"/>
        <v>110000.02000000002</v>
      </c>
      <c r="J37" s="15"/>
      <c r="K37" s="15"/>
      <c r="L37" s="15"/>
      <c r="M37" s="15"/>
      <c r="N37" s="23">
        <v>0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>
        <v>0.02</v>
      </c>
      <c r="AB37" s="23">
        <v>0.09</v>
      </c>
      <c r="AC37" s="23"/>
      <c r="AD37" s="23"/>
      <c r="AE37" s="23">
        <v>0.89</v>
      </c>
      <c r="AF37" s="23"/>
      <c r="AG37" s="15"/>
      <c r="AH37" s="15"/>
      <c r="AI37" s="93">
        <f t="shared" si="2"/>
        <v>1</v>
      </c>
      <c r="AJ37" s="19"/>
    </row>
    <row r="38" spans="1:36" s="16" customFormat="1" ht="10.5" x14ac:dyDescent="0.25">
      <c r="A38" s="11">
        <v>35</v>
      </c>
      <c r="B38" s="26" t="s">
        <v>113</v>
      </c>
      <c r="C38" s="17">
        <f t="shared" si="3"/>
        <v>35</v>
      </c>
      <c r="D38" s="26" t="s">
        <v>112</v>
      </c>
      <c r="E38" s="26"/>
      <c r="F38" s="27">
        <v>1538.47</v>
      </c>
      <c r="G38" s="27">
        <f>F38*$G$3</f>
        <v>40000.22</v>
      </c>
      <c r="H38" s="18"/>
      <c r="I38" s="18">
        <f>SUM(G38:H38)</f>
        <v>40000.22</v>
      </c>
      <c r="J38" s="15"/>
      <c r="K38" s="15"/>
      <c r="L38" s="15"/>
      <c r="M38" s="15"/>
      <c r="N38" s="15"/>
      <c r="O38" s="15"/>
      <c r="P38" s="15"/>
      <c r="Q38" s="15">
        <v>1</v>
      </c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93">
        <f t="shared" si="2"/>
        <v>1</v>
      </c>
      <c r="AJ38" s="19"/>
    </row>
    <row r="39" spans="1:36" s="16" customFormat="1" ht="10.5" x14ac:dyDescent="0.25">
      <c r="A39" s="11">
        <v>36</v>
      </c>
      <c r="B39" s="21" t="s">
        <v>102</v>
      </c>
      <c r="C39" s="76">
        <f t="shared" si="3"/>
        <v>36</v>
      </c>
      <c r="D39" s="17" t="s">
        <v>9</v>
      </c>
      <c r="E39" s="17" t="s">
        <v>10</v>
      </c>
      <c r="F39" s="18">
        <v>510</v>
      </c>
      <c r="G39" s="18">
        <f t="shared" si="0"/>
        <v>13260</v>
      </c>
      <c r="H39" s="18"/>
      <c r="I39" s="18">
        <f t="shared" si="7"/>
        <v>13260</v>
      </c>
      <c r="J39" s="15"/>
      <c r="K39" s="15"/>
      <c r="L39" s="15">
        <v>1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93">
        <f t="shared" si="2"/>
        <v>1</v>
      </c>
      <c r="AJ39" s="19"/>
    </row>
    <row r="40" spans="1:36" s="16" customFormat="1" ht="10.5" x14ac:dyDescent="0.25">
      <c r="A40" s="11"/>
      <c r="B40" s="17"/>
      <c r="C40" s="17"/>
      <c r="D40" s="17"/>
      <c r="E40" s="17"/>
      <c r="F40" s="18"/>
      <c r="G40" s="18"/>
      <c r="H40" s="18"/>
      <c r="I40" s="18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93">
        <f t="shared" si="2"/>
        <v>0</v>
      </c>
      <c r="AJ40" s="19"/>
    </row>
    <row r="41" spans="1:36" s="16" customFormat="1" ht="11" thickBot="1" x14ac:dyDescent="0.3">
      <c r="A41" s="11"/>
      <c r="B41" s="17"/>
      <c r="C41" s="17"/>
      <c r="D41" s="33"/>
      <c r="E41" s="33"/>
      <c r="F41" s="18"/>
      <c r="G41" s="18"/>
      <c r="H41" s="18"/>
      <c r="I41" s="18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93">
        <f t="shared" si="2"/>
        <v>0</v>
      </c>
      <c r="AJ41" s="19"/>
    </row>
    <row r="42" spans="1:36" s="37" customFormat="1" ht="11" thickBot="1" x14ac:dyDescent="0.3">
      <c r="A42" s="34"/>
      <c r="B42" s="17"/>
      <c r="C42" s="17"/>
      <c r="D42" s="33"/>
      <c r="E42" s="33"/>
      <c r="F42" s="35">
        <f>SUM(F4:F41)</f>
        <v>62760.78</v>
      </c>
      <c r="G42" s="35">
        <f t="shared" ref="G42:AI42" si="8">SUM(G4:G41)</f>
        <v>1631780.28</v>
      </c>
      <c r="H42" s="35">
        <f t="shared" si="8"/>
        <v>6538.4699999999993</v>
      </c>
      <c r="I42" s="35">
        <f t="shared" si="8"/>
        <v>1647780.42</v>
      </c>
      <c r="J42" s="35">
        <f t="shared" si="8"/>
        <v>12.719999999999999</v>
      </c>
      <c r="K42" s="35">
        <f t="shared" ref="K42:L42" si="9">SUM(K4:K41)</f>
        <v>0.28000000000000003</v>
      </c>
      <c r="L42" s="35">
        <f t="shared" si="9"/>
        <v>2</v>
      </c>
      <c r="M42" s="35">
        <f t="shared" si="8"/>
        <v>2</v>
      </c>
      <c r="N42" s="35">
        <f t="shared" si="8"/>
        <v>5.15</v>
      </c>
      <c r="O42" s="35">
        <f t="shared" si="8"/>
        <v>1.33</v>
      </c>
      <c r="P42" s="35">
        <f t="shared" ref="P42" si="10">SUM(P4:P41)</f>
        <v>0.91</v>
      </c>
      <c r="Q42" s="35">
        <f t="shared" ref="Q42" si="11">SUM(Q4:Q41)</f>
        <v>2</v>
      </c>
      <c r="R42" s="35">
        <f t="shared" si="8"/>
        <v>0.4</v>
      </c>
      <c r="S42" s="35"/>
      <c r="T42" s="35"/>
      <c r="U42" s="35"/>
      <c r="V42" s="35"/>
      <c r="W42" s="35"/>
      <c r="X42" s="35"/>
      <c r="Y42" s="35">
        <f t="shared" si="8"/>
        <v>1.18</v>
      </c>
      <c r="Z42" s="35"/>
      <c r="AA42" s="35">
        <f t="shared" si="8"/>
        <v>0.29000000000000004</v>
      </c>
      <c r="AB42" s="35">
        <f t="shared" si="8"/>
        <v>0.38</v>
      </c>
      <c r="AC42" s="35">
        <f t="shared" ref="AC42" si="12">SUM(AC4:AC41)</f>
        <v>1.44</v>
      </c>
      <c r="AD42" s="35">
        <f t="shared" si="8"/>
        <v>0.9</v>
      </c>
      <c r="AE42" s="35">
        <f t="shared" ref="AE42:AF42" si="13">SUM(AE4:AE41)</f>
        <v>0.94000000000000006</v>
      </c>
      <c r="AF42" s="35">
        <f t="shared" si="13"/>
        <v>0.1</v>
      </c>
      <c r="AG42" s="35">
        <f t="shared" si="8"/>
        <v>1</v>
      </c>
      <c r="AH42" s="35">
        <f t="shared" si="8"/>
        <v>0</v>
      </c>
      <c r="AI42" s="94">
        <f t="shared" si="8"/>
        <v>36</v>
      </c>
      <c r="AJ42" s="36"/>
    </row>
    <row r="43" spans="1:36" s="10" customFormat="1" ht="15" x14ac:dyDescent="0.4">
      <c r="A43" s="15"/>
      <c r="B43" s="29"/>
      <c r="C43" s="29"/>
      <c r="D43" s="38"/>
      <c r="E43" s="38"/>
      <c r="F43" s="38"/>
      <c r="G43" s="38"/>
      <c r="H43" s="38"/>
      <c r="I43" s="38"/>
      <c r="J43" s="39">
        <f t="shared" ref="J43:R43" si="14">J42/$AI$42</f>
        <v>0.35333333333333328</v>
      </c>
      <c r="K43" s="39">
        <f t="shared" si="14"/>
        <v>7.7777777777777784E-3</v>
      </c>
      <c r="L43" s="39">
        <f t="shared" si="14"/>
        <v>5.5555555555555552E-2</v>
      </c>
      <c r="M43" s="39">
        <f t="shared" si="14"/>
        <v>5.5555555555555552E-2</v>
      </c>
      <c r="N43" s="39">
        <f t="shared" si="14"/>
        <v>0.14305555555555557</v>
      </c>
      <c r="O43" s="39">
        <f t="shared" si="14"/>
        <v>3.6944444444444446E-2</v>
      </c>
      <c r="P43" s="39">
        <f t="shared" si="14"/>
        <v>2.5277777777777777E-2</v>
      </c>
      <c r="Q43" s="39">
        <f t="shared" si="14"/>
        <v>5.5555555555555552E-2</v>
      </c>
      <c r="R43" s="39">
        <f t="shared" si="14"/>
        <v>1.1111111111111112E-2</v>
      </c>
      <c r="S43" s="39"/>
      <c r="T43" s="39"/>
      <c r="U43" s="39"/>
      <c r="V43" s="39"/>
      <c r="W43" s="39"/>
      <c r="X43" s="39"/>
      <c r="Y43" s="39">
        <f>Y42/$AI$42</f>
        <v>3.2777777777777774E-2</v>
      </c>
      <c r="Z43" s="39"/>
      <c r="AA43" s="39">
        <f>AA42/$AI$42</f>
        <v>8.0555555555555571E-3</v>
      </c>
      <c r="AB43" s="39">
        <f>AB42/$AI$42</f>
        <v>1.0555555555555556E-2</v>
      </c>
      <c r="AC43" s="39">
        <f>AC42/$AI$42</f>
        <v>0.04</v>
      </c>
      <c r="AD43" s="39">
        <f>AD42/$AI$42</f>
        <v>2.5000000000000001E-2</v>
      </c>
      <c r="AE43" s="39">
        <f t="shared" ref="AE43:AF43" si="15">AE42/$AI$42</f>
        <v>2.6111111111111113E-2</v>
      </c>
      <c r="AF43" s="39">
        <f t="shared" si="15"/>
        <v>2.7777777777777779E-3</v>
      </c>
      <c r="AG43" s="39">
        <f>AG42/$AI$42</f>
        <v>2.7777777777777776E-2</v>
      </c>
      <c r="AH43" s="39"/>
      <c r="AI43" s="39">
        <f>SUM(J43:AH43)</f>
        <v>0.91722222222222227</v>
      </c>
    </row>
    <row r="44" spans="1:36" ht="15" thickBot="1" x14ac:dyDescent="0.4"/>
    <row r="45" spans="1:36" ht="15" thickBot="1" x14ac:dyDescent="0.4">
      <c r="J45" s="71" t="str">
        <f>J2</f>
        <v>Abbott</v>
      </c>
      <c r="K45" s="71" t="str">
        <f t="shared" ref="K45:AH45" si="16">K2</f>
        <v>Abbott - Other</v>
      </c>
      <c r="L45" s="71" t="str">
        <f t="shared" si="16"/>
        <v>Wrap</v>
      </c>
      <c r="M45" s="71" t="str">
        <f t="shared" si="16"/>
        <v>Toddlers</v>
      </c>
      <c r="N45" s="71" t="str">
        <f t="shared" si="16"/>
        <v>USJP</v>
      </c>
      <c r="O45" s="81" t="str">
        <f t="shared" si="16"/>
        <v>Workforce UA</v>
      </c>
      <c r="P45" s="81" t="str">
        <f t="shared" ref="P45" si="17">P2</f>
        <v>Pru -Workforce</v>
      </c>
      <c r="Q45" s="81" t="str">
        <f t="shared" ref="Q45" si="18">Q2</f>
        <v>PACE</v>
      </c>
      <c r="R45" s="71" t="str">
        <f t="shared" si="16"/>
        <v>Housing ESG</v>
      </c>
      <c r="S45" s="71"/>
      <c r="T45" s="71"/>
      <c r="U45" s="71"/>
      <c r="V45" s="71"/>
      <c r="W45" s="71"/>
      <c r="X45" s="71"/>
      <c r="Y45" s="71" t="str">
        <f t="shared" si="16"/>
        <v xml:space="preserve">PRU -FOC </v>
      </c>
      <c r="Z45" s="71"/>
      <c r="AA45" s="71" t="str">
        <f t="shared" si="16"/>
        <v>Real Estate/NRTC</v>
      </c>
      <c r="AB45" s="71" t="str">
        <f t="shared" si="16"/>
        <v>Coding</v>
      </c>
      <c r="AC45" s="71" t="str">
        <f t="shared" si="16"/>
        <v>Neigh Revit</v>
      </c>
      <c r="AD45" s="71" t="str">
        <f t="shared" si="16"/>
        <v>CEO</v>
      </c>
      <c r="AE45" s="71" t="str">
        <f t="shared" si="16"/>
        <v>CFO</v>
      </c>
      <c r="AF45" s="71" t="str">
        <f t="shared" si="16"/>
        <v>Fundraising</v>
      </c>
      <c r="AG45" s="71" t="str">
        <f t="shared" si="16"/>
        <v>Opprt Corp</v>
      </c>
      <c r="AH45" s="71">
        <f t="shared" si="16"/>
        <v>0</v>
      </c>
      <c r="AI45" s="47" t="s">
        <v>35</v>
      </c>
    </row>
    <row r="46" spans="1:36" x14ac:dyDescent="0.35">
      <c r="I46" s="44" t="s">
        <v>36</v>
      </c>
      <c r="J46" s="48">
        <v>14</v>
      </c>
      <c r="K46" s="48"/>
      <c r="L46" s="48"/>
      <c r="M46" s="48">
        <v>2</v>
      </c>
      <c r="N46" s="48">
        <v>4</v>
      </c>
      <c r="O46" s="48">
        <v>4</v>
      </c>
      <c r="P46" s="48"/>
      <c r="Q46" s="48"/>
      <c r="R46" s="48">
        <v>2</v>
      </c>
      <c r="S46" s="48"/>
      <c r="T46" s="48"/>
      <c r="U46" s="48"/>
      <c r="V46" s="48"/>
      <c r="W46" s="48"/>
      <c r="X46" s="48"/>
      <c r="Y46" s="48">
        <v>2</v>
      </c>
      <c r="Z46" s="48"/>
      <c r="AA46" s="48">
        <v>1.5</v>
      </c>
      <c r="AB46" s="48">
        <v>1.5</v>
      </c>
      <c r="AC46" s="48">
        <v>1.5</v>
      </c>
      <c r="AD46" s="48">
        <v>2</v>
      </c>
      <c r="AE46" s="48">
        <v>2</v>
      </c>
      <c r="AF46" s="48"/>
      <c r="AG46" s="48">
        <v>1</v>
      </c>
      <c r="AH46" s="48"/>
      <c r="AI46" s="39">
        <f>SUM(J46:AH46)</f>
        <v>37.5</v>
      </c>
    </row>
    <row r="48" spans="1:36" x14ac:dyDescent="0.35">
      <c r="I48" s="4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8"/>
  <sheetViews>
    <sheetView workbookViewId="0">
      <selection activeCell="V40" sqref="V40"/>
    </sheetView>
  </sheetViews>
  <sheetFormatPr defaultRowHeight="14.5" x14ac:dyDescent="0.35"/>
  <cols>
    <col min="1" max="1" width="6.81640625" style="11" customWidth="1"/>
    <col min="2" max="2" width="35.7265625" style="40" customWidth="1"/>
    <col min="3" max="3" width="4.7265625" style="40" customWidth="1"/>
    <col min="4" max="4" width="21.81640625" style="41" customWidth="1"/>
    <col min="5" max="5" width="22" style="42" customWidth="1"/>
    <col min="6" max="6" width="19.453125" style="43" hidden="1" customWidth="1"/>
    <col min="7" max="8" width="19.453125" style="44" hidden="1" customWidth="1"/>
    <col min="9" max="11" width="14" style="44" customWidth="1"/>
    <col min="12" max="15" width="14" style="44" hidden="1" customWidth="1"/>
    <col min="16" max="16" width="14" style="44" customWidth="1"/>
    <col min="17" max="17" width="16.1796875" bestFit="1" customWidth="1"/>
    <col min="18" max="18" width="13" customWidth="1"/>
    <col min="19" max="19" width="10.26953125" customWidth="1"/>
    <col min="20" max="20" width="10.7265625" bestFit="1" customWidth="1"/>
    <col min="21" max="21" width="11.54296875" bestFit="1" customWidth="1"/>
    <col min="22" max="24" width="15.81640625" customWidth="1"/>
    <col min="25" max="31" width="13.81640625" customWidth="1"/>
    <col min="32" max="33" width="15.1796875" customWidth="1"/>
    <col min="34" max="34" width="12.54296875" customWidth="1"/>
    <col min="35" max="36" width="11.54296875" bestFit="1" customWidth="1"/>
    <col min="37" max="38" width="11.7265625" bestFit="1" customWidth="1"/>
    <col min="39" max="39" width="11.7265625" customWidth="1"/>
    <col min="40" max="40" width="10.7265625" bestFit="1" customWidth="1"/>
    <col min="41" max="41" width="11.54296875" bestFit="1" customWidth="1"/>
    <col min="42" max="42" width="12.1796875" customWidth="1"/>
    <col min="43" max="43" width="11.81640625" customWidth="1"/>
  </cols>
  <sheetData>
    <row r="1" spans="1:45" ht="15" thickBot="1" x14ac:dyDescent="0.4">
      <c r="B1" s="40" t="s">
        <v>58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</row>
    <row r="2" spans="1:45" ht="18.75" customHeight="1" thickBot="1" x14ac:dyDescent="0.4">
      <c r="A2" s="1"/>
      <c r="B2" s="2" t="s">
        <v>0</v>
      </c>
      <c r="C2" s="3"/>
      <c r="D2" s="4" t="s">
        <v>1</v>
      </c>
      <c r="E2" s="4"/>
      <c r="F2" s="5" t="s">
        <v>2</v>
      </c>
      <c r="G2" s="4" t="s">
        <v>3</v>
      </c>
      <c r="H2" s="4" t="s">
        <v>4</v>
      </c>
      <c r="I2" s="4" t="s">
        <v>5</v>
      </c>
      <c r="J2" s="72">
        <v>43840</v>
      </c>
      <c r="K2" s="72">
        <v>43854</v>
      </c>
      <c r="L2" s="72"/>
      <c r="M2" s="72"/>
      <c r="N2" s="72"/>
      <c r="O2" s="72"/>
      <c r="P2" s="72" t="s">
        <v>73</v>
      </c>
      <c r="Q2" s="69" t="str">
        <f>'Allocation %'!J2</f>
        <v>Abbott</v>
      </c>
      <c r="R2" s="69" t="str">
        <f>'Allocation %'!K2</f>
        <v>Abbott - Other</v>
      </c>
      <c r="S2" s="69" t="s">
        <v>9</v>
      </c>
      <c r="T2" s="69" t="str">
        <f>'Allocation %'!M2</f>
        <v>Toddlers</v>
      </c>
      <c r="U2" s="69" t="str">
        <f>'Allocation %'!N2</f>
        <v>USJP</v>
      </c>
      <c r="V2" s="78" t="str">
        <f>'Allocation %'!O2</f>
        <v>Workforce UA</v>
      </c>
      <c r="W2" s="78" t="str">
        <f>'Allocation %'!P2</f>
        <v>Pru -Workforce</v>
      </c>
      <c r="X2" s="78" t="str">
        <f>'Allocation %'!Q2</f>
        <v>PACE</v>
      </c>
      <c r="Y2" s="83" t="str">
        <f>'Allocation %'!R2</f>
        <v>Housing ESG</v>
      </c>
      <c r="Z2" s="83" t="str">
        <f>'Allocation %'!S2</f>
        <v>NRTC18</v>
      </c>
      <c r="AA2" s="83" t="str">
        <f>'Allocation %'!T2</f>
        <v>NRTC 20</v>
      </c>
      <c r="AB2" s="83" t="str">
        <f>'Allocation %'!U2</f>
        <v>CDBG</v>
      </c>
      <c r="AC2" s="83" t="str">
        <f>'Allocation %'!V2</f>
        <v>PARS</v>
      </c>
      <c r="AD2" s="84" t="str">
        <f>'Allocation %'!W2</f>
        <v>Save Up2</v>
      </c>
      <c r="AE2" s="84" t="str">
        <f>'Allocation %'!X2</f>
        <v>LISC 2020</v>
      </c>
      <c r="AF2" s="84" t="str">
        <f>'Allocation %'!Y2</f>
        <v xml:space="preserve">PRU -FOC </v>
      </c>
      <c r="AG2" s="84" t="str">
        <f>'Allocation %'!Z2</f>
        <v>NRTC 18</v>
      </c>
      <c r="AH2" s="86" t="str">
        <f>'Allocation %'!AA2</f>
        <v>Real Estate/NRTC</v>
      </c>
      <c r="AI2" s="86" t="str">
        <f>'Allocation %'!AB2</f>
        <v>Coding</v>
      </c>
      <c r="AJ2" s="86" t="str">
        <f>'Allocation %'!AC2</f>
        <v>Neigh Revit</v>
      </c>
      <c r="AK2" s="69" t="str">
        <f>'Allocation %'!AD2</f>
        <v>CEO</v>
      </c>
      <c r="AL2" s="69" t="str">
        <f>'Allocation %'!AE2</f>
        <v>CFO</v>
      </c>
      <c r="AM2" s="69" t="str">
        <f>'Allocation %'!AF2</f>
        <v>Fundraising</v>
      </c>
      <c r="AN2" s="69" t="str">
        <f>'Allocation %'!AG2</f>
        <v>Opprt Corp</v>
      </c>
      <c r="AO2" s="87"/>
      <c r="AP2" s="88"/>
    </row>
    <row r="3" spans="1:45" s="16" customFormat="1" ht="10.5" x14ac:dyDescent="0.25">
      <c r="A3" s="11"/>
      <c r="B3" s="12"/>
      <c r="C3" s="12"/>
      <c r="D3" s="13"/>
      <c r="E3" s="13"/>
      <c r="F3" s="14"/>
      <c r="G3" s="13">
        <v>26</v>
      </c>
      <c r="H3" s="13"/>
      <c r="I3" s="13"/>
      <c r="J3" s="13"/>
      <c r="K3" s="13"/>
      <c r="L3" s="13"/>
      <c r="M3" s="13"/>
      <c r="N3" s="13"/>
      <c r="O3" s="13"/>
      <c r="P3" s="13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89"/>
    </row>
    <row r="4" spans="1:45" s="16" customFormat="1" ht="10.5" x14ac:dyDescent="0.25">
      <c r="A4" s="11">
        <v>1</v>
      </c>
      <c r="B4" s="17" t="str">
        <f>'Allocation %'!B4</f>
        <v>ANDREWS, Cora</v>
      </c>
      <c r="C4" s="17">
        <v>1</v>
      </c>
      <c r="D4" s="17" t="str">
        <f>'Allocation %'!D4</f>
        <v>Abbott</v>
      </c>
      <c r="E4" s="17" t="str">
        <f>'Allocation %'!E4</f>
        <v>Security</v>
      </c>
      <c r="F4" s="18">
        <v>1120</v>
      </c>
      <c r="G4" s="18">
        <f t="shared" ref="G4:G39" si="0">F4*$G$3</f>
        <v>29120</v>
      </c>
      <c r="H4" s="18"/>
      <c r="I4" s="18">
        <f t="shared" ref="I4:I9" si="1">SUM(G4:H4)</f>
        <v>29120</v>
      </c>
      <c r="J4" s="18">
        <v>1120</v>
      </c>
      <c r="K4" s="18">
        <v>1120</v>
      </c>
      <c r="L4" s="18"/>
      <c r="M4" s="18"/>
      <c r="N4" s="18"/>
      <c r="O4" s="18"/>
      <c r="P4" s="18">
        <f>SUM(J4:O4)</f>
        <v>2240</v>
      </c>
      <c r="Q4" s="15">
        <f>$P4*'Allocation %'!J4</f>
        <v>2240</v>
      </c>
      <c r="R4" s="15">
        <f>$P4*'Allocation %'!K4</f>
        <v>0</v>
      </c>
      <c r="S4" s="15">
        <f>$P4*'Allocation %'!L4</f>
        <v>0</v>
      </c>
      <c r="T4" s="15">
        <f>$P4*'Allocation %'!M4</f>
        <v>0</v>
      </c>
      <c r="U4" s="15">
        <f>$P4*'Allocation %'!N4</f>
        <v>0</v>
      </c>
      <c r="V4" s="15">
        <f>$P4*'Allocation %'!O4</f>
        <v>0</v>
      </c>
      <c r="W4" s="15">
        <f>$P4*'Allocation %'!P4</f>
        <v>0</v>
      </c>
      <c r="X4" s="15">
        <f>$P4*'Allocation %'!Q4</f>
        <v>0</v>
      </c>
      <c r="Y4" s="15">
        <f>$P4*'Allocation %'!R4</f>
        <v>0</v>
      </c>
      <c r="Z4" s="15">
        <f>$P4*'Allocation %'!S4</f>
        <v>0</v>
      </c>
      <c r="AA4" s="15">
        <f>$P4*'Allocation %'!T4</f>
        <v>0</v>
      </c>
      <c r="AB4" s="15">
        <f>$P4*'Allocation %'!U4</f>
        <v>0</v>
      </c>
      <c r="AC4" s="15">
        <f>$P4*'Allocation %'!V4</f>
        <v>0</v>
      </c>
      <c r="AD4" s="15">
        <f>$P4*'Allocation %'!W4</f>
        <v>0</v>
      </c>
      <c r="AE4" s="15">
        <f>$P4*'Allocation %'!X4</f>
        <v>0</v>
      </c>
      <c r="AF4" s="15">
        <f>$P4*'Allocation %'!Y4</f>
        <v>0</v>
      </c>
      <c r="AG4" s="15">
        <f>$P4*'Allocation %'!Z4</f>
        <v>0</v>
      </c>
      <c r="AH4" s="15">
        <f>$P4*'Allocation %'!AA4</f>
        <v>0</v>
      </c>
      <c r="AI4" s="15">
        <f>$P4*'Allocation %'!AB4</f>
        <v>0</v>
      </c>
      <c r="AJ4" s="15">
        <f>$P4*'Allocation %'!AC4</f>
        <v>0</v>
      </c>
      <c r="AK4" s="15">
        <f>$P4*'Allocation %'!AD4</f>
        <v>0</v>
      </c>
      <c r="AL4" s="15">
        <f>$P4*'Allocation %'!AE4</f>
        <v>0</v>
      </c>
      <c r="AM4" s="15">
        <f>$P4*'Allocation %'!AF4</f>
        <v>0</v>
      </c>
      <c r="AN4" s="15">
        <f>$P4*'Allocation %'!AG4</f>
        <v>0</v>
      </c>
      <c r="AO4" s="15">
        <f>$P4*'Allocation %'!AH4</f>
        <v>0</v>
      </c>
      <c r="AP4" s="89">
        <f t="shared" ref="AP4:AP41" si="2">SUM(Q4:AO4)</f>
        <v>2240</v>
      </c>
      <c r="AQ4" s="19">
        <f>P4-AP4</f>
        <v>0</v>
      </c>
    </row>
    <row r="5" spans="1:45" s="16" customFormat="1" ht="10.5" x14ac:dyDescent="0.25">
      <c r="A5" s="11">
        <v>2</v>
      </c>
      <c r="B5" s="17" t="str">
        <f>'Allocation %'!B5</f>
        <v>Bennett, Patricia A.</v>
      </c>
      <c r="C5" s="17">
        <v>2</v>
      </c>
      <c r="D5" s="17" t="str">
        <f>'Allocation %'!D5</f>
        <v>Abbott, Admin</v>
      </c>
      <c r="E5" s="17" t="str">
        <f>'Allocation %'!E5</f>
        <v>Custodian</v>
      </c>
      <c r="F5" s="18">
        <v>650</v>
      </c>
      <c r="G5" s="20">
        <f>F5*$G$3</f>
        <v>16900</v>
      </c>
      <c r="H5" s="18"/>
      <c r="I5" s="18">
        <f>SUM(G5:H5)</f>
        <v>16900</v>
      </c>
      <c r="J5" s="18">
        <v>728</v>
      </c>
      <c r="K5" s="18">
        <v>650</v>
      </c>
      <c r="L5" s="18"/>
      <c r="M5" s="18"/>
      <c r="N5" s="18"/>
      <c r="O5" s="18"/>
      <c r="P5" s="18">
        <f t="shared" ref="P5:P40" si="3">SUM(J5:O5)</f>
        <v>1378</v>
      </c>
      <c r="Q5" s="15">
        <f>$P5*'Allocation %'!J5</f>
        <v>1378</v>
      </c>
      <c r="R5" s="15">
        <f>$P5*'Allocation %'!K5</f>
        <v>0</v>
      </c>
      <c r="S5" s="15">
        <f>$P5*'Allocation %'!L5</f>
        <v>0</v>
      </c>
      <c r="T5" s="15">
        <f>$P5*'Allocation %'!M5</f>
        <v>0</v>
      </c>
      <c r="U5" s="15">
        <f>$P5*'Allocation %'!N5</f>
        <v>0</v>
      </c>
      <c r="V5" s="15">
        <f>$P5*'Allocation %'!O5</f>
        <v>0</v>
      </c>
      <c r="W5" s="15">
        <f>$P5*'Allocation %'!P5</f>
        <v>0</v>
      </c>
      <c r="X5" s="15">
        <f>$P5*'Allocation %'!Q5</f>
        <v>0</v>
      </c>
      <c r="Y5" s="15">
        <f>$P5*'Allocation %'!R5</f>
        <v>0</v>
      </c>
      <c r="Z5" s="15">
        <f>$P5*'Allocation %'!S5</f>
        <v>0</v>
      </c>
      <c r="AA5" s="15">
        <f>$P5*'Allocation %'!T5</f>
        <v>0</v>
      </c>
      <c r="AB5" s="15">
        <f>$P5*'Allocation %'!U5</f>
        <v>0</v>
      </c>
      <c r="AC5" s="15">
        <f>$P5*'Allocation %'!V5</f>
        <v>0</v>
      </c>
      <c r="AD5" s="15">
        <f>$P5*'Allocation %'!W5</f>
        <v>0</v>
      </c>
      <c r="AE5" s="15">
        <f>$P5*'Allocation %'!X5</f>
        <v>0</v>
      </c>
      <c r="AF5" s="15">
        <f>$P5*'Allocation %'!Y5</f>
        <v>0</v>
      </c>
      <c r="AG5" s="15">
        <f>$P5*'Allocation %'!Z5</f>
        <v>0</v>
      </c>
      <c r="AH5" s="15">
        <f>$P5*'Allocation %'!AA5</f>
        <v>0</v>
      </c>
      <c r="AI5" s="15">
        <f>$P5*'Allocation %'!AB5</f>
        <v>0</v>
      </c>
      <c r="AJ5" s="15">
        <f>$P5*'Allocation %'!AC5</f>
        <v>0</v>
      </c>
      <c r="AK5" s="15">
        <f>$P5*'Allocation %'!AD5</f>
        <v>0</v>
      </c>
      <c r="AL5" s="15">
        <f>$P5*'Allocation %'!AE5</f>
        <v>0</v>
      </c>
      <c r="AM5" s="15">
        <f>$P5*'Allocation %'!AF5</f>
        <v>0</v>
      </c>
      <c r="AN5" s="15">
        <f>$P5*'Allocation %'!AG5</f>
        <v>0</v>
      </c>
      <c r="AO5" s="15">
        <f>$P5*'Allocation %'!AH5</f>
        <v>0</v>
      </c>
      <c r="AP5" s="89">
        <f t="shared" si="2"/>
        <v>1378</v>
      </c>
      <c r="AQ5" s="19">
        <f t="shared" ref="AQ5:AQ41" si="4">P5-AP5</f>
        <v>0</v>
      </c>
    </row>
    <row r="6" spans="1:45" s="16" customFormat="1" ht="10.5" x14ac:dyDescent="0.25">
      <c r="A6" s="11">
        <v>3</v>
      </c>
      <c r="B6" s="17" t="str">
        <f>'Allocation %'!B6</f>
        <v>Bishop-Shakoor, Ayesha</v>
      </c>
      <c r="C6" s="17">
        <v>3</v>
      </c>
      <c r="D6" s="17" t="str">
        <f>'Allocation %'!D6</f>
        <v>Abbott, Admin</v>
      </c>
      <c r="E6" s="17">
        <f>'Allocation %'!E6</f>
        <v>0</v>
      </c>
      <c r="F6" s="18"/>
      <c r="G6" s="20"/>
      <c r="H6" s="18"/>
      <c r="I6" s="18"/>
      <c r="J6" s="18">
        <v>280.02</v>
      </c>
      <c r="K6" s="18">
        <v>1346.25</v>
      </c>
      <c r="L6" s="18"/>
      <c r="M6" s="18"/>
      <c r="N6" s="18"/>
      <c r="O6" s="18"/>
      <c r="P6" s="18">
        <f t="shared" si="3"/>
        <v>1626.27</v>
      </c>
      <c r="Q6" s="15">
        <f>$P6*'Allocation %'!J6</f>
        <v>1626.27</v>
      </c>
      <c r="R6" s="15">
        <f>$P6*'Allocation %'!K6</f>
        <v>0</v>
      </c>
      <c r="S6" s="15">
        <f>$P6*'Allocation %'!L6</f>
        <v>0</v>
      </c>
      <c r="T6" s="15">
        <f>$P6*'Allocation %'!M6</f>
        <v>0</v>
      </c>
      <c r="U6" s="15">
        <f>$P6*'Allocation %'!N6</f>
        <v>0</v>
      </c>
      <c r="V6" s="15">
        <f>$P6*'Allocation %'!O6</f>
        <v>0</v>
      </c>
      <c r="W6" s="15">
        <f>$P6*'Allocation %'!P6</f>
        <v>0</v>
      </c>
      <c r="X6" s="15">
        <f>$P6*'Allocation %'!Q6</f>
        <v>0</v>
      </c>
      <c r="Y6" s="15">
        <f>$P6*'Allocation %'!R6</f>
        <v>0</v>
      </c>
      <c r="Z6" s="15">
        <f>$P6*'Allocation %'!S6</f>
        <v>0</v>
      </c>
      <c r="AA6" s="15">
        <f>$P6*'Allocation %'!T6</f>
        <v>0</v>
      </c>
      <c r="AB6" s="15">
        <f>$P6*'Allocation %'!U6</f>
        <v>0</v>
      </c>
      <c r="AC6" s="15">
        <f>$P6*'Allocation %'!V6</f>
        <v>0</v>
      </c>
      <c r="AD6" s="15">
        <f>$P6*'Allocation %'!W6</f>
        <v>0</v>
      </c>
      <c r="AE6" s="15">
        <f>$P6*'Allocation %'!X6</f>
        <v>0</v>
      </c>
      <c r="AF6" s="15">
        <f>$P6*'Allocation %'!Y6</f>
        <v>0</v>
      </c>
      <c r="AG6" s="15">
        <f>$P6*'Allocation %'!Z6</f>
        <v>0</v>
      </c>
      <c r="AH6" s="15">
        <f>$P6*'Allocation %'!AA6</f>
        <v>0</v>
      </c>
      <c r="AI6" s="15">
        <f>$P6*'Allocation %'!AB6</f>
        <v>0</v>
      </c>
      <c r="AJ6" s="15">
        <f>$P6*'Allocation %'!AC6</f>
        <v>0</v>
      </c>
      <c r="AK6" s="15">
        <f>$P6*'Allocation %'!AD6</f>
        <v>0</v>
      </c>
      <c r="AL6" s="15">
        <f>$P6*'Allocation %'!AE6</f>
        <v>0</v>
      </c>
      <c r="AM6" s="15">
        <f>$P6*'Allocation %'!AF6</f>
        <v>0</v>
      </c>
      <c r="AN6" s="15">
        <f>$P6*'Allocation %'!AG6</f>
        <v>0</v>
      </c>
      <c r="AO6" s="15">
        <f>$P6*'Allocation %'!AH6</f>
        <v>0</v>
      </c>
      <c r="AP6" s="89">
        <f t="shared" si="2"/>
        <v>1626.27</v>
      </c>
      <c r="AQ6" s="19">
        <f t="shared" si="4"/>
        <v>0</v>
      </c>
    </row>
    <row r="7" spans="1:45" s="16" customFormat="1" ht="10.5" x14ac:dyDescent="0.25">
      <c r="A7" s="11">
        <v>4</v>
      </c>
      <c r="B7" s="17" t="str">
        <f>'Allocation %'!B7</f>
        <v>BROWN,Denise- Wrap</v>
      </c>
      <c r="C7" s="17">
        <v>4</v>
      </c>
      <c r="D7" s="17" t="str">
        <f>'Allocation %'!D7</f>
        <v>Wrap</v>
      </c>
      <c r="E7" s="17" t="str">
        <f>'Allocation %'!E7</f>
        <v>Wrap Teacher</v>
      </c>
      <c r="F7" s="18">
        <v>520</v>
      </c>
      <c r="G7" s="18">
        <f t="shared" si="0"/>
        <v>13520</v>
      </c>
      <c r="H7" s="18"/>
      <c r="I7" s="18">
        <f t="shared" si="1"/>
        <v>13520</v>
      </c>
      <c r="J7" s="18">
        <v>110</v>
      </c>
      <c r="K7" s="18">
        <v>497.75</v>
      </c>
      <c r="L7" s="18"/>
      <c r="M7" s="18"/>
      <c r="N7" s="18"/>
      <c r="O7" s="18"/>
      <c r="P7" s="18">
        <f t="shared" si="3"/>
        <v>607.75</v>
      </c>
      <c r="Q7" s="15">
        <f>$P7*'Allocation %'!J7</f>
        <v>0</v>
      </c>
      <c r="R7" s="15">
        <f>$P7*'Allocation %'!K7</f>
        <v>0</v>
      </c>
      <c r="S7" s="15">
        <f>$P7*'Allocation %'!L7</f>
        <v>607.75</v>
      </c>
      <c r="T7" s="15">
        <f>$P7*'Allocation %'!M7</f>
        <v>0</v>
      </c>
      <c r="U7" s="15">
        <f>$P7*'Allocation %'!N7</f>
        <v>0</v>
      </c>
      <c r="V7" s="15">
        <f>$P7*'Allocation %'!O7</f>
        <v>0</v>
      </c>
      <c r="W7" s="15">
        <f>$P7*'Allocation %'!P7</f>
        <v>0</v>
      </c>
      <c r="X7" s="15">
        <f>$P7*'Allocation %'!Q7</f>
        <v>0</v>
      </c>
      <c r="Y7" s="15">
        <f>$P7*'Allocation %'!R7</f>
        <v>0</v>
      </c>
      <c r="Z7" s="15">
        <f>$P7*'Allocation %'!S7</f>
        <v>0</v>
      </c>
      <c r="AA7" s="15">
        <f>$P7*'Allocation %'!T7</f>
        <v>0</v>
      </c>
      <c r="AB7" s="15">
        <f>$P7*'Allocation %'!U7</f>
        <v>0</v>
      </c>
      <c r="AC7" s="15">
        <f>$P7*'Allocation %'!V7</f>
        <v>0</v>
      </c>
      <c r="AD7" s="15">
        <f>$P7*'Allocation %'!W7</f>
        <v>0</v>
      </c>
      <c r="AE7" s="15">
        <f>$P7*'Allocation %'!X7</f>
        <v>0</v>
      </c>
      <c r="AF7" s="15">
        <f>$P7*'Allocation %'!Y7</f>
        <v>0</v>
      </c>
      <c r="AG7" s="15">
        <f>$P7*'Allocation %'!Z7</f>
        <v>0</v>
      </c>
      <c r="AH7" s="15">
        <f>$P7*'Allocation %'!AA7</f>
        <v>0</v>
      </c>
      <c r="AI7" s="15">
        <f>$P7*'Allocation %'!AB7</f>
        <v>0</v>
      </c>
      <c r="AJ7" s="15">
        <f>$P7*'Allocation %'!AC7</f>
        <v>0</v>
      </c>
      <c r="AK7" s="15">
        <f>$P7*'Allocation %'!AD7</f>
        <v>0</v>
      </c>
      <c r="AL7" s="15">
        <f>$P7*'Allocation %'!AE7</f>
        <v>0</v>
      </c>
      <c r="AM7" s="15">
        <f>$P7*'Allocation %'!AF7</f>
        <v>0</v>
      </c>
      <c r="AN7" s="15">
        <f>$P7*'Allocation %'!AG7</f>
        <v>0</v>
      </c>
      <c r="AO7" s="15">
        <f>$P7*'Allocation %'!AH7</f>
        <v>0</v>
      </c>
      <c r="AP7" s="89">
        <f t="shared" si="2"/>
        <v>607.75</v>
      </c>
      <c r="AQ7" s="19">
        <f t="shared" si="4"/>
        <v>0</v>
      </c>
    </row>
    <row r="8" spans="1:45" s="16" customFormat="1" ht="10.5" x14ac:dyDescent="0.25">
      <c r="A8" s="11">
        <v>5</v>
      </c>
      <c r="B8" s="17" t="str">
        <f>'Allocation %'!B8</f>
        <v>BRYANT, Roni</v>
      </c>
      <c r="C8" s="17">
        <v>5</v>
      </c>
      <c r="D8" s="17" t="str">
        <f>'Allocation %'!D8</f>
        <v>Abbott</v>
      </c>
      <c r="E8" s="17" t="str">
        <f>'Allocation %'!E8</f>
        <v>Teacher Asst</v>
      </c>
      <c r="F8" s="18">
        <v>1347.23</v>
      </c>
      <c r="G8" s="18">
        <f>F8*$G$3</f>
        <v>35027.980000000003</v>
      </c>
      <c r="H8" s="18"/>
      <c r="I8" s="18">
        <f t="shared" si="1"/>
        <v>35027.980000000003</v>
      </c>
      <c r="J8" s="18">
        <v>1287.23</v>
      </c>
      <c r="K8" s="18">
        <v>1367.23</v>
      </c>
      <c r="L8" s="18"/>
      <c r="M8" s="18"/>
      <c r="N8" s="18"/>
      <c r="O8" s="18"/>
      <c r="P8" s="18">
        <f t="shared" si="3"/>
        <v>2654.46</v>
      </c>
      <c r="Q8" s="15">
        <f>$P8*'Allocation %'!J8</f>
        <v>2654.46</v>
      </c>
      <c r="R8" s="15">
        <f>$P8*'Allocation %'!K8</f>
        <v>0</v>
      </c>
      <c r="S8" s="15">
        <f>$P8*'Allocation %'!L8</f>
        <v>0</v>
      </c>
      <c r="T8" s="15">
        <f>$P8*'Allocation %'!M8</f>
        <v>0</v>
      </c>
      <c r="U8" s="15">
        <f>$P8*'Allocation %'!N8</f>
        <v>0</v>
      </c>
      <c r="V8" s="15">
        <f>$P8*'Allocation %'!O8</f>
        <v>0</v>
      </c>
      <c r="W8" s="15">
        <f>$P8*'Allocation %'!P8</f>
        <v>0</v>
      </c>
      <c r="X8" s="15">
        <f>$P8*'Allocation %'!Q8</f>
        <v>0</v>
      </c>
      <c r="Y8" s="15">
        <f>$P8*'Allocation %'!R8</f>
        <v>0</v>
      </c>
      <c r="Z8" s="15">
        <f>$P8*'Allocation %'!S8</f>
        <v>0</v>
      </c>
      <c r="AA8" s="15">
        <f>$P8*'Allocation %'!T8</f>
        <v>0</v>
      </c>
      <c r="AB8" s="15">
        <f>$P8*'Allocation %'!U8</f>
        <v>0</v>
      </c>
      <c r="AC8" s="15">
        <f>$P8*'Allocation %'!V8</f>
        <v>0</v>
      </c>
      <c r="AD8" s="15">
        <f>$P8*'Allocation %'!W8</f>
        <v>0</v>
      </c>
      <c r="AE8" s="15">
        <f>$P8*'Allocation %'!X8</f>
        <v>0</v>
      </c>
      <c r="AF8" s="15">
        <f>$P8*'Allocation %'!Y8</f>
        <v>0</v>
      </c>
      <c r="AG8" s="15">
        <f>$P8*'Allocation %'!Z8</f>
        <v>0</v>
      </c>
      <c r="AH8" s="15">
        <f>$P8*'Allocation %'!AA8</f>
        <v>0</v>
      </c>
      <c r="AI8" s="15">
        <f>$P8*'Allocation %'!AB8</f>
        <v>0</v>
      </c>
      <c r="AJ8" s="15">
        <f>$P8*'Allocation %'!AC8</f>
        <v>0</v>
      </c>
      <c r="AK8" s="15">
        <f>$P8*'Allocation %'!AD8</f>
        <v>0</v>
      </c>
      <c r="AL8" s="15">
        <f>$P8*'Allocation %'!AE8</f>
        <v>0</v>
      </c>
      <c r="AM8" s="15">
        <f>$P8*'Allocation %'!AF8</f>
        <v>0</v>
      </c>
      <c r="AN8" s="15">
        <f>$P8*'Allocation %'!AG8</f>
        <v>0</v>
      </c>
      <c r="AO8" s="15">
        <f>$P8*'Allocation %'!AH8</f>
        <v>0</v>
      </c>
      <c r="AP8" s="89">
        <f t="shared" si="2"/>
        <v>2654.46</v>
      </c>
      <c r="AQ8" s="19">
        <f t="shared" si="4"/>
        <v>0</v>
      </c>
    </row>
    <row r="9" spans="1:45" s="16" customFormat="1" ht="10.5" x14ac:dyDescent="0.25">
      <c r="A9" s="11">
        <v>6</v>
      </c>
      <c r="B9" s="17" t="str">
        <f>'Allocation %'!B9</f>
        <v>CERNA, Irene</v>
      </c>
      <c r="C9" s="17">
        <v>6</v>
      </c>
      <c r="D9" s="17" t="str">
        <f>'Allocation %'!D9</f>
        <v>USJP</v>
      </c>
      <c r="E9" s="17">
        <f>'Allocation %'!E9</f>
        <v>0</v>
      </c>
      <c r="F9" s="18">
        <v>1153.8499999999999</v>
      </c>
      <c r="G9" s="18">
        <f t="shared" si="0"/>
        <v>30000.1</v>
      </c>
      <c r="H9" s="18"/>
      <c r="I9" s="18">
        <f t="shared" si="1"/>
        <v>30000.1</v>
      </c>
      <c r="J9" s="18">
        <v>1153.8499999999999</v>
      </c>
      <c r="K9" s="18">
        <v>1153.8499999999999</v>
      </c>
      <c r="L9" s="18"/>
      <c r="M9" s="18"/>
      <c r="N9" s="18"/>
      <c r="O9" s="18"/>
      <c r="P9" s="18">
        <f t="shared" si="3"/>
        <v>2307.6999999999998</v>
      </c>
      <c r="Q9" s="15">
        <f>$P9*'Allocation %'!J9</f>
        <v>0</v>
      </c>
      <c r="R9" s="15">
        <f>$P9*'Allocation %'!K9</f>
        <v>0</v>
      </c>
      <c r="S9" s="15">
        <f>$P9*'Allocation %'!L9</f>
        <v>0</v>
      </c>
      <c r="T9" s="15">
        <f>$P9*'Allocation %'!M9</f>
        <v>0</v>
      </c>
      <c r="U9" s="15">
        <f>$P9*'Allocation %'!N9</f>
        <v>2307.6999999999998</v>
      </c>
      <c r="V9" s="15">
        <f>$P9*'Allocation %'!O9</f>
        <v>0</v>
      </c>
      <c r="W9" s="15">
        <f>$P9*'Allocation %'!P9</f>
        <v>0</v>
      </c>
      <c r="X9" s="15">
        <f>$P9*'Allocation %'!Q9</f>
        <v>0</v>
      </c>
      <c r="Y9" s="15">
        <f>$P9*'Allocation %'!R9</f>
        <v>0</v>
      </c>
      <c r="Z9" s="15">
        <f>$P9*'Allocation %'!S9</f>
        <v>0</v>
      </c>
      <c r="AA9" s="15">
        <f>$P9*'Allocation %'!T9</f>
        <v>0</v>
      </c>
      <c r="AB9" s="15">
        <f>$P9*'Allocation %'!U9</f>
        <v>0</v>
      </c>
      <c r="AC9" s="15">
        <f>$P9*'Allocation %'!V9</f>
        <v>0</v>
      </c>
      <c r="AD9" s="15">
        <f>$P9*'Allocation %'!W9</f>
        <v>0</v>
      </c>
      <c r="AE9" s="15">
        <f>$P9*'Allocation %'!X9</f>
        <v>0</v>
      </c>
      <c r="AF9" s="15">
        <f>$P9*'Allocation %'!Y9</f>
        <v>0</v>
      </c>
      <c r="AG9" s="15">
        <f>$P9*'Allocation %'!Z9</f>
        <v>0</v>
      </c>
      <c r="AH9" s="15">
        <f>$P9*'Allocation %'!AA9</f>
        <v>0</v>
      </c>
      <c r="AI9" s="15">
        <f>$P9*'Allocation %'!AB9</f>
        <v>0</v>
      </c>
      <c r="AJ9" s="15">
        <f>$P9*'Allocation %'!AC9</f>
        <v>0</v>
      </c>
      <c r="AK9" s="15">
        <f>$P9*'Allocation %'!AD9</f>
        <v>0</v>
      </c>
      <c r="AL9" s="15">
        <f>$P9*'Allocation %'!AE9</f>
        <v>0</v>
      </c>
      <c r="AM9" s="15">
        <f>$P9*'Allocation %'!AF9</f>
        <v>0</v>
      </c>
      <c r="AN9" s="15">
        <f>$P9*'Allocation %'!AG9</f>
        <v>0</v>
      </c>
      <c r="AO9" s="15">
        <f>$P9*'Allocation %'!AH9</f>
        <v>0</v>
      </c>
      <c r="AP9" s="89">
        <f t="shared" si="2"/>
        <v>2307.6999999999998</v>
      </c>
      <c r="AQ9" s="19">
        <f t="shared" si="4"/>
        <v>0</v>
      </c>
    </row>
    <row r="10" spans="1:45" s="16" customFormat="1" ht="10.5" x14ac:dyDescent="0.25">
      <c r="A10" s="11">
        <v>7</v>
      </c>
      <c r="B10" s="17" t="str">
        <f>'Allocation %'!B10</f>
        <v>Cooper, Cassandra</v>
      </c>
      <c r="C10" s="17">
        <v>7</v>
      </c>
      <c r="D10" s="17" t="str">
        <f>'Allocation %'!D10</f>
        <v>FOC</v>
      </c>
      <c r="E10" s="17" t="str">
        <f>'Allocation %'!E10</f>
        <v>Clerical</v>
      </c>
      <c r="F10" s="18"/>
      <c r="G10" s="18"/>
      <c r="H10" s="18"/>
      <c r="I10" s="18"/>
      <c r="J10" s="18">
        <v>600.04</v>
      </c>
      <c r="K10" s="18"/>
      <c r="L10" s="18"/>
      <c r="M10" s="18"/>
      <c r="N10" s="18"/>
      <c r="O10" s="18"/>
      <c r="P10" s="18">
        <f t="shared" si="3"/>
        <v>600.04</v>
      </c>
      <c r="Q10" s="15">
        <f>$P10*'Allocation %'!J10</f>
        <v>0</v>
      </c>
      <c r="R10" s="15">
        <f>$P10*'Allocation %'!K10</f>
        <v>0</v>
      </c>
      <c r="S10" s="15">
        <f>$P10*'Allocation %'!L10</f>
        <v>0</v>
      </c>
      <c r="T10" s="15">
        <f>$P10*'Allocation %'!M10</f>
        <v>0</v>
      </c>
      <c r="U10" s="15">
        <f>$P10*'Allocation %'!N10</f>
        <v>0</v>
      </c>
      <c r="V10" s="15">
        <f>$P10*'Allocation %'!O10</f>
        <v>0</v>
      </c>
      <c r="W10" s="15">
        <f>$P10*'Allocation %'!P10</f>
        <v>0</v>
      </c>
      <c r="X10" s="15">
        <f>$P10*'Allocation %'!Q10</f>
        <v>0</v>
      </c>
      <c r="Y10" s="15">
        <f>$P10*'Allocation %'!R10</f>
        <v>0</v>
      </c>
      <c r="Z10" s="15">
        <f>$P10*'Allocation %'!S10</f>
        <v>0</v>
      </c>
      <c r="AA10" s="15">
        <f>$P10*'Allocation %'!T10</f>
        <v>0</v>
      </c>
      <c r="AB10" s="15">
        <f>$P10*'Allocation %'!U10</f>
        <v>0</v>
      </c>
      <c r="AC10" s="15">
        <f>$P10*'Allocation %'!V10</f>
        <v>0</v>
      </c>
      <c r="AD10" s="15">
        <f>$P10*'Allocation %'!W10</f>
        <v>0</v>
      </c>
      <c r="AE10" s="15">
        <f>$P10*'Allocation %'!X10</f>
        <v>0</v>
      </c>
      <c r="AF10" s="15">
        <f>$P10*'Allocation %'!Y10</f>
        <v>600.04</v>
      </c>
      <c r="AG10" s="15">
        <f>$P10*'Allocation %'!Z10</f>
        <v>0</v>
      </c>
      <c r="AH10" s="15">
        <f>$P10*'Allocation %'!AA10</f>
        <v>0</v>
      </c>
      <c r="AI10" s="15">
        <f>$P10*'Allocation %'!AB10</f>
        <v>0</v>
      </c>
      <c r="AJ10" s="15">
        <f>$P10*'Allocation %'!AC10</f>
        <v>0</v>
      </c>
      <c r="AK10" s="15">
        <f>$P10*'Allocation %'!AD10</f>
        <v>0</v>
      </c>
      <c r="AL10" s="15">
        <f>$P10*'Allocation %'!AE10</f>
        <v>0</v>
      </c>
      <c r="AM10" s="15">
        <f>$P10*'Allocation %'!AF10</f>
        <v>0</v>
      </c>
      <c r="AN10" s="15">
        <f>$P10*'Allocation %'!AG10</f>
        <v>0</v>
      </c>
      <c r="AO10" s="15">
        <f>$P10*'Allocation %'!AH10</f>
        <v>0</v>
      </c>
      <c r="AP10" s="89">
        <f t="shared" si="2"/>
        <v>600.04</v>
      </c>
      <c r="AQ10" s="19">
        <f t="shared" si="4"/>
        <v>0</v>
      </c>
    </row>
    <row r="11" spans="1:45" s="16" customFormat="1" ht="10.5" x14ac:dyDescent="0.25">
      <c r="A11" s="11">
        <v>8</v>
      </c>
      <c r="B11" s="17" t="str">
        <f>'Allocation %'!B11</f>
        <v>DANCE-WILSON, Heather</v>
      </c>
      <c r="C11" s="17">
        <v>8</v>
      </c>
      <c r="D11" s="17" t="str">
        <f>'Allocation %'!D11</f>
        <v>Abbott</v>
      </c>
      <c r="E11" s="17" t="str">
        <f>'Allocation %'!E11</f>
        <v>Director</v>
      </c>
      <c r="F11" s="22">
        <v>2692.31</v>
      </c>
      <c r="G11" s="20">
        <f t="shared" si="0"/>
        <v>70000.06</v>
      </c>
      <c r="H11" s="18"/>
      <c r="I11" s="18">
        <f>SUM(G11:H11)</f>
        <v>70000.06</v>
      </c>
      <c r="J11" s="18">
        <v>2692.31</v>
      </c>
      <c r="K11" s="18">
        <v>2692.31</v>
      </c>
      <c r="L11" s="18"/>
      <c r="M11" s="18"/>
      <c r="N11" s="18"/>
      <c r="O11" s="18"/>
      <c r="P11" s="18">
        <f t="shared" si="3"/>
        <v>5384.62</v>
      </c>
      <c r="Q11" s="15">
        <f>$P11*'Allocation %'!J11</f>
        <v>3876.9263999999998</v>
      </c>
      <c r="R11" s="15">
        <f>$P11*'Allocation %'!K11</f>
        <v>1507.6936000000001</v>
      </c>
      <c r="S11" s="15">
        <f>$P11*'Allocation %'!L11</f>
        <v>0</v>
      </c>
      <c r="T11" s="15">
        <f>$P11*'Allocation %'!M11</f>
        <v>0</v>
      </c>
      <c r="U11" s="15">
        <f>$P11*'Allocation %'!N11</f>
        <v>0</v>
      </c>
      <c r="V11" s="15">
        <f>$P11*'Allocation %'!O11</f>
        <v>0</v>
      </c>
      <c r="W11" s="15">
        <f>$P11*'Allocation %'!P11</f>
        <v>0</v>
      </c>
      <c r="X11" s="15">
        <f>$P11*'Allocation %'!Q11</f>
        <v>0</v>
      </c>
      <c r="Y11" s="15">
        <f>$P11*'Allocation %'!R11</f>
        <v>0</v>
      </c>
      <c r="Z11" s="15">
        <f>$P11*'Allocation %'!S11</f>
        <v>0</v>
      </c>
      <c r="AA11" s="15">
        <f>$P11*'Allocation %'!T11</f>
        <v>0</v>
      </c>
      <c r="AB11" s="15">
        <f>$P11*'Allocation %'!U11</f>
        <v>0</v>
      </c>
      <c r="AC11" s="15">
        <f>$P11*'Allocation %'!V11</f>
        <v>0</v>
      </c>
      <c r="AD11" s="15">
        <f>$P11*'Allocation %'!W11</f>
        <v>0</v>
      </c>
      <c r="AE11" s="15">
        <f>$P11*'Allocation %'!X11</f>
        <v>0</v>
      </c>
      <c r="AF11" s="15">
        <f>$P11*'Allocation %'!Y11</f>
        <v>0</v>
      </c>
      <c r="AG11" s="15">
        <f>$P11*'Allocation %'!Z11</f>
        <v>0</v>
      </c>
      <c r="AH11" s="15">
        <f>$P11*'Allocation %'!AA11</f>
        <v>0</v>
      </c>
      <c r="AI11" s="15">
        <f>$P11*'Allocation %'!AB11</f>
        <v>0</v>
      </c>
      <c r="AJ11" s="15">
        <f>$P11*'Allocation %'!AC11</f>
        <v>0</v>
      </c>
      <c r="AK11" s="15">
        <f>$P11*'Allocation %'!AD11</f>
        <v>0</v>
      </c>
      <c r="AL11" s="15">
        <f>$P11*'Allocation %'!AE11</f>
        <v>0</v>
      </c>
      <c r="AM11" s="15">
        <f>$P11*'Allocation %'!AF11</f>
        <v>0</v>
      </c>
      <c r="AN11" s="15">
        <f>$P11*'Allocation %'!AG11</f>
        <v>0</v>
      </c>
      <c r="AO11" s="15">
        <f>$P11*'Allocation %'!AH11</f>
        <v>0</v>
      </c>
      <c r="AP11" s="89">
        <f t="shared" si="2"/>
        <v>5384.62</v>
      </c>
      <c r="AQ11" s="19">
        <f t="shared" si="4"/>
        <v>0</v>
      </c>
    </row>
    <row r="12" spans="1:45" s="16" customFormat="1" ht="10.5" x14ac:dyDescent="0.25">
      <c r="A12" s="11">
        <v>9</v>
      </c>
      <c r="B12" s="17" t="str">
        <f>'Allocation %'!B12</f>
        <v>FITZPATRICK, Cynthia E.  - Toddlers</v>
      </c>
      <c r="C12" s="17">
        <v>9</v>
      </c>
      <c r="D12" s="17" t="str">
        <f>'Allocation %'!D12</f>
        <v>EHS/ Toddlers</v>
      </c>
      <c r="E12" s="17">
        <f>'Allocation %'!E12</f>
        <v>0</v>
      </c>
      <c r="F12" s="18">
        <v>969.96</v>
      </c>
      <c r="G12" s="20">
        <f t="shared" si="0"/>
        <v>25218.959999999999</v>
      </c>
      <c r="H12" s="18"/>
      <c r="I12" s="18">
        <f>SUM(G12:H12)</f>
        <v>25218.959999999999</v>
      </c>
      <c r="J12" s="18">
        <v>960</v>
      </c>
      <c r="K12" s="18">
        <v>964.32</v>
      </c>
      <c r="L12" s="18"/>
      <c r="M12" s="18"/>
      <c r="N12" s="18"/>
      <c r="O12" s="18"/>
      <c r="P12" s="18">
        <f t="shared" si="3"/>
        <v>1924.3200000000002</v>
      </c>
      <c r="Q12" s="15">
        <f>$P12*'Allocation %'!J12</f>
        <v>0</v>
      </c>
      <c r="R12" s="15">
        <f>$P12*'Allocation %'!K12</f>
        <v>0</v>
      </c>
      <c r="S12" s="15">
        <f>$P12*'Allocation %'!L12</f>
        <v>0</v>
      </c>
      <c r="T12" s="15">
        <f>$P12*'Allocation %'!M12</f>
        <v>1924.3200000000002</v>
      </c>
      <c r="U12" s="15">
        <f>$P12*'Allocation %'!N12</f>
        <v>0</v>
      </c>
      <c r="V12" s="15">
        <f>$P12*'Allocation %'!O12</f>
        <v>0</v>
      </c>
      <c r="W12" s="15">
        <f>$P12*'Allocation %'!P12</f>
        <v>0</v>
      </c>
      <c r="X12" s="15">
        <f>$P12*'Allocation %'!Q12</f>
        <v>0</v>
      </c>
      <c r="Y12" s="15">
        <f>$P12*'Allocation %'!R12</f>
        <v>0</v>
      </c>
      <c r="Z12" s="15">
        <f>$P12*'Allocation %'!S12</f>
        <v>0</v>
      </c>
      <c r="AA12" s="15">
        <f>$P12*'Allocation %'!T12</f>
        <v>0</v>
      </c>
      <c r="AB12" s="15">
        <f>$P12*'Allocation %'!U12</f>
        <v>0</v>
      </c>
      <c r="AC12" s="15">
        <f>$P12*'Allocation %'!V12</f>
        <v>0</v>
      </c>
      <c r="AD12" s="15">
        <f>$P12*'Allocation %'!W12</f>
        <v>0</v>
      </c>
      <c r="AE12" s="15">
        <f>$P12*'Allocation %'!X12</f>
        <v>0</v>
      </c>
      <c r="AF12" s="15">
        <f>$P12*'Allocation %'!Y12</f>
        <v>0</v>
      </c>
      <c r="AG12" s="15">
        <f>$P12*'Allocation %'!Z12</f>
        <v>0</v>
      </c>
      <c r="AH12" s="15">
        <f>$P12*'Allocation %'!AA12</f>
        <v>0</v>
      </c>
      <c r="AI12" s="15">
        <f>$P12*'Allocation %'!AB12</f>
        <v>0</v>
      </c>
      <c r="AJ12" s="15">
        <f>$P12*'Allocation %'!AC12</f>
        <v>0</v>
      </c>
      <c r="AK12" s="15">
        <f>$P12*'Allocation %'!AD12</f>
        <v>0</v>
      </c>
      <c r="AL12" s="15">
        <f>$P12*'Allocation %'!AE12</f>
        <v>0</v>
      </c>
      <c r="AM12" s="15">
        <f>$P12*'Allocation %'!AF12</f>
        <v>0</v>
      </c>
      <c r="AN12" s="15">
        <f>$P12*'Allocation %'!AG12</f>
        <v>0</v>
      </c>
      <c r="AO12" s="15">
        <f>$P12*'Allocation %'!AH12</f>
        <v>0</v>
      </c>
      <c r="AP12" s="89">
        <f t="shared" si="2"/>
        <v>1924.3200000000002</v>
      </c>
      <c r="AQ12" s="19">
        <f t="shared" si="4"/>
        <v>0</v>
      </c>
    </row>
    <row r="13" spans="1:45" s="16" customFormat="1" ht="10.5" x14ac:dyDescent="0.25">
      <c r="A13" s="11">
        <v>10</v>
      </c>
      <c r="B13" s="17" t="str">
        <f>'Allocation %'!B13</f>
        <v>FRASER, Vivian Cox</v>
      </c>
      <c r="C13" s="17">
        <v>10</v>
      </c>
      <c r="D13" s="17" t="str">
        <f>'Allocation %'!D13</f>
        <v>Admin</v>
      </c>
      <c r="E13" s="17">
        <f>'Allocation %'!E13</f>
        <v>0</v>
      </c>
      <c r="F13" s="18">
        <v>5961.54</v>
      </c>
      <c r="G13" s="18">
        <f t="shared" si="0"/>
        <v>155000.04</v>
      </c>
      <c r="H13" s="18"/>
      <c r="I13" s="18">
        <f>SUM(G13:H13)</f>
        <v>155000.04</v>
      </c>
      <c r="J13" s="18">
        <v>5961.54</v>
      </c>
      <c r="K13" s="18">
        <v>5961.54</v>
      </c>
      <c r="L13" s="18"/>
      <c r="M13" s="18"/>
      <c r="N13" s="18"/>
      <c r="O13" s="18"/>
      <c r="P13" s="18">
        <f t="shared" si="3"/>
        <v>11923.08</v>
      </c>
      <c r="Q13" s="15">
        <f>$P13*'Allocation %'!J13</f>
        <v>0</v>
      </c>
      <c r="R13" s="15">
        <f>$P13*'Allocation %'!K13</f>
        <v>0</v>
      </c>
      <c r="S13" s="15">
        <f>$P13*'Allocation %'!L13</f>
        <v>0</v>
      </c>
      <c r="T13" s="15">
        <f>$P13*'Allocation %'!M13</f>
        <v>0</v>
      </c>
      <c r="U13" s="15">
        <f>$P13*'Allocation %'!N13</f>
        <v>0</v>
      </c>
      <c r="V13" s="15">
        <f>$P13*'Allocation %'!O13</f>
        <v>0</v>
      </c>
      <c r="W13" s="15">
        <f>$P13*'Allocation %'!P13</f>
        <v>0</v>
      </c>
      <c r="X13" s="15">
        <f>$P13*'Allocation %'!Q13</f>
        <v>0</v>
      </c>
      <c r="Y13" s="15">
        <f>$P13*'Allocation %'!R13</f>
        <v>0</v>
      </c>
      <c r="Z13" s="15">
        <f>$P13*'Allocation %'!S13</f>
        <v>0</v>
      </c>
      <c r="AA13" s="15">
        <f>$P13*'Allocation %'!T13</f>
        <v>0</v>
      </c>
      <c r="AB13" s="15">
        <f>$P13*'Allocation %'!U13</f>
        <v>0</v>
      </c>
      <c r="AC13" s="15">
        <f>$P13*'Allocation %'!V13</f>
        <v>0</v>
      </c>
      <c r="AD13" s="15">
        <f>$P13*'Allocation %'!W13</f>
        <v>0</v>
      </c>
      <c r="AE13" s="15">
        <f>$P13*'Allocation %'!X13</f>
        <v>0</v>
      </c>
      <c r="AF13" s="15">
        <f>$P13*'Allocation %'!Y13</f>
        <v>0</v>
      </c>
      <c r="AG13" s="15">
        <f>$P13*'Allocation %'!Z13</f>
        <v>0</v>
      </c>
      <c r="AH13" s="15">
        <f>$P13*'Allocation %'!AA13</f>
        <v>0</v>
      </c>
      <c r="AI13" s="15">
        <f>$P13*'Allocation %'!AB13</f>
        <v>0</v>
      </c>
      <c r="AJ13" s="15">
        <f>$P13*'Allocation %'!AC13</f>
        <v>0</v>
      </c>
      <c r="AK13" s="15">
        <f>$P13*'Allocation %'!AD13</f>
        <v>10730.772000000001</v>
      </c>
      <c r="AL13" s="15">
        <f>$P13*'Allocation %'!AE13</f>
        <v>0</v>
      </c>
      <c r="AM13" s="15">
        <f>$P13*'Allocation %'!AF13</f>
        <v>1192.308</v>
      </c>
      <c r="AN13" s="15">
        <f>$P13*'Allocation %'!AG13</f>
        <v>0</v>
      </c>
      <c r="AO13" s="15">
        <f>$P13*'Allocation %'!AH13</f>
        <v>0</v>
      </c>
      <c r="AP13" s="89">
        <f t="shared" si="2"/>
        <v>11923.080000000002</v>
      </c>
      <c r="AQ13" s="19">
        <f t="shared" si="4"/>
        <v>0</v>
      </c>
    </row>
    <row r="14" spans="1:45" s="16" customFormat="1" ht="10.5" x14ac:dyDescent="0.25">
      <c r="A14" s="11">
        <v>11</v>
      </c>
      <c r="B14" s="17" t="str">
        <f>'Allocation %'!B14</f>
        <v xml:space="preserve">FRAZIER, Alice </v>
      </c>
      <c r="C14" s="17">
        <v>11</v>
      </c>
      <c r="D14" s="17" t="str">
        <f>'Allocation %'!D14</f>
        <v>Workforce</v>
      </c>
      <c r="E14" s="17">
        <f>'Allocation %'!E14</f>
        <v>0</v>
      </c>
      <c r="F14" s="18">
        <v>3153.85</v>
      </c>
      <c r="G14" s="18">
        <f t="shared" si="0"/>
        <v>82000.099999999991</v>
      </c>
      <c r="H14" s="18"/>
      <c r="I14" s="18">
        <f t="shared" ref="I14:I16" si="5">SUM(G14:H14)</f>
        <v>82000.099999999991</v>
      </c>
      <c r="J14" s="18">
        <v>3153.85</v>
      </c>
      <c r="K14" s="18">
        <v>3153.85</v>
      </c>
      <c r="L14" s="18"/>
      <c r="M14" s="18"/>
      <c r="N14" s="18"/>
      <c r="O14" s="18"/>
      <c r="P14" s="18">
        <f t="shared" si="3"/>
        <v>6307.7</v>
      </c>
      <c r="Q14" s="15">
        <f>$P14*'Allocation %'!J14</f>
        <v>0</v>
      </c>
      <c r="R14" s="15">
        <f>$P14*'Allocation %'!K14</f>
        <v>0</v>
      </c>
      <c r="S14" s="15">
        <f>$P14*'Allocation %'!L14</f>
        <v>0</v>
      </c>
      <c r="T14" s="15">
        <f>$P14*'Allocation %'!M14</f>
        <v>0</v>
      </c>
      <c r="U14" s="15">
        <f>$P14*'Allocation %'!N14</f>
        <v>0</v>
      </c>
      <c r="V14" s="15">
        <f>$P14*'Allocation %'!O14</f>
        <v>2081.5410000000002</v>
      </c>
      <c r="W14" s="15">
        <f>$P14*'Allocation %'!P14</f>
        <v>4226.1590000000006</v>
      </c>
      <c r="X14" s="15">
        <f>$P14*'Allocation %'!Q14</f>
        <v>0</v>
      </c>
      <c r="Y14" s="15">
        <f>$P14*'Allocation %'!R14</f>
        <v>0</v>
      </c>
      <c r="Z14" s="15">
        <f>$P14*'Allocation %'!S14</f>
        <v>0</v>
      </c>
      <c r="AA14" s="15">
        <f>$P14*'Allocation %'!T14</f>
        <v>0</v>
      </c>
      <c r="AB14" s="15">
        <f>$P14*'Allocation %'!U14</f>
        <v>0</v>
      </c>
      <c r="AC14" s="15">
        <f>$P14*'Allocation %'!V14</f>
        <v>0</v>
      </c>
      <c r="AD14" s="15">
        <f>$P14*'Allocation %'!W14</f>
        <v>0</v>
      </c>
      <c r="AE14" s="15">
        <f>$P14*'Allocation %'!X14</f>
        <v>0</v>
      </c>
      <c r="AF14" s="15">
        <f>$P14*'Allocation %'!Y14</f>
        <v>0</v>
      </c>
      <c r="AG14" s="15">
        <f>$P14*'Allocation %'!Z14</f>
        <v>0</v>
      </c>
      <c r="AH14" s="15">
        <f>$P14*'Allocation %'!AA14</f>
        <v>0</v>
      </c>
      <c r="AI14" s="15">
        <f>$P14*'Allocation %'!AB14</f>
        <v>0</v>
      </c>
      <c r="AJ14" s="15">
        <f>$P14*'Allocation %'!AC14</f>
        <v>0</v>
      </c>
      <c r="AK14" s="15">
        <f>$P14*'Allocation %'!AD14</f>
        <v>0</v>
      </c>
      <c r="AL14" s="15">
        <f>$P14*'Allocation %'!AE14</f>
        <v>0</v>
      </c>
      <c r="AM14" s="15">
        <f>$P14*'Allocation %'!AF14</f>
        <v>0</v>
      </c>
      <c r="AN14" s="15">
        <f>$P14*'Allocation %'!AG14</f>
        <v>0</v>
      </c>
      <c r="AO14" s="15">
        <f>$P14*'Allocation %'!AH14</f>
        <v>0</v>
      </c>
      <c r="AP14" s="89">
        <f t="shared" si="2"/>
        <v>6307.7000000000007</v>
      </c>
      <c r="AQ14" s="19">
        <f t="shared" si="4"/>
        <v>0</v>
      </c>
    </row>
    <row r="15" spans="1:45" s="16" customFormat="1" ht="10.5" x14ac:dyDescent="0.25">
      <c r="A15" s="11">
        <v>12</v>
      </c>
      <c r="B15" s="17" t="str">
        <f>'Allocation %'!B15</f>
        <v xml:space="preserve">GREEN, Yolanda - </v>
      </c>
      <c r="C15" s="17">
        <v>12</v>
      </c>
      <c r="D15" s="17" t="str">
        <f>'Allocation %'!D15</f>
        <v>EHS/ Toddlers</v>
      </c>
      <c r="E15" s="17">
        <f>'Allocation %'!E15</f>
        <v>0</v>
      </c>
      <c r="F15" s="18">
        <v>1278.8800000000001</v>
      </c>
      <c r="G15" s="20">
        <f t="shared" si="0"/>
        <v>33250.880000000005</v>
      </c>
      <c r="H15" s="18"/>
      <c r="I15" s="18">
        <f t="shared" si="5"/>
        <v>33250.880000000005</v>
      </c>
      <c r="J15" s="18">
        <v>1274.8900000000001</v>
      </c>
      <c r="K15" s="18">
        <v>1284.73</v>
      </c>
      <c r="L15" s="18"/>
      <c r="M15" s="18"/>
      <c r="N15" s="18"/>
      <c r="O15" s="18"/>
      <c r="P15" s="18">
        <f t="shared" si="3"/>
        <v>2559.62</v>
      </c>
      <c r="Q15" s="15">
        <f>$P15*'Allocation %'!J15</f>
        <v>0</v>
      </c>
      <c r="R15" s="15">
        <f>$P15*'Allocation %'!K15</f>
        <v>0</v>
      </c>
      <c r="S15" s="15">
        <f>$P15*'Allocation %'!L15</f>
        <v>0</v>
      </c>
      <c r="T15" s="15">
        <f>$P15*'Allocation %'!M15</f>
        <v>2559.62</v>
      </c>
      <c r="U15" s="15">
        <f>$P15*'Allocation %'!N15</f>
        <v>0</v>
      </c>
      <c r="V15" s="15">
        <f>$P15*'Allocation %'!O15</f>
        <v>0</v>
      </c>
      <c r="W15" s="15">
        <f>$P15*'Allocation %'!P15</f>
        <v>0</v>
      </c>
      <c r="X15" s="15">
        <f>$P15*'Allocation %'!Q15</f>
        <v>0</v>
      </c>
      <c r="Y15" s="15">
        <f>$P15*'Allocation %'!R15</f>
        <v>0</v>
      </c>
      <c r="Z15" s="15">
        <f>$P15*'Allocation %'!S15</f>
        <v>0</v>
      </c>
      <c r="AA15" s="15">
        <f>$P15*'Allocation %'!T15</f>
        <v>0</v>
      </c>
      <c r="AB15" s="15">
        <f>$P15*'Allocation %'!U15</f>
        <v>0</v>
      </c>
      <c r="AC15" s="15">
        <f>$P15*'Allocation %'!V15</f>
        <v>0</v>
      </c>
      <c r="AD15" s="15">
        <f>$P15*'Allocation %'!W15</f>
        <v>0</v>
      </c>
      <c r="AE15" s="15">
        <f>$P15*'Allocation %'!X15</f>
        <v>0</v>
      </c>
      <c r="AF15" s="15">
        <f>$P15*'Allocation %'!Y15</f>
        <v>0</v>
      </c>
      <c r="AG15" s="15">
        <f>$P15*'Allocation %'!Z15</f>
        <v>0</v>
      </c>
      <c r="AH15" s="15">
        <f>$P15*'Allocation %'!AA15</f>
        <v>0</v>
      </c>
      <c r="AI15" s="15">
        <f>$P15*'Allocation %'!AB15</f>
        <v>0</v>
      </c>
      <c r="AJ15" s="15">
        <f>$P15*'Allocation %'!AC15</f>
        <v>0</v>
      </c>
      <c r="AK15" s="15">
        <f>$P15*'Allocation %'!AD15</f>
        <v>0</v>
      </c>
      <c r="AL15" s="15">
        <f>$P15*'Allocation %'!AE15</f>
        <v>0</v>
      </c>
      <c r="AM15" s="15">
        <f>$P15*'Allocation %'!AF15</f>
        <v>0</v>
      </c>
      <c r="AN15" s="15">
        <f>$P15*'Allocation %'!AG15</f>
        <v>0</v>
      </c>
      <c r="AO15" s="15">
        <f>$P15*'Allocation %'!AH15</f>
        <v>0</v>
      </c>
      <c r="AP15" s="89">
        <f t="shared" si="2"/>
        <v>2559.62</v>
      </c>
      <c r="AQ15" s="19">
        <f t="shared" si="4"/>
        <v>0</v>
      </c>
    </row>
    <row r="16" spans="1:45" s="16" customFormat="1" ht="10.5" x14ac:dyDescent="0.25">
      <c r="A16" s="11">
        <v>13</v>
      </c>
      <c r="B16" s="17" t="str">
        <f>'Allocation %'!B16</f>
        <v>Guerra, Karime</v>
      </c>
      <c r="C16" s="17">
        <v>13</v>
      </c>
      <c r="D16" s="17" t="str">
        <f>'Allocation %'!D16</f>
        <v>Housing</v>
      </c>
      <c r="E16" s="17">
        <f>'Allocation %'!E16</f>
        <v>0</v>
      </c>
      <c r="F16" s="18">
        <v>1788.47</v>
      </c>
      <c r="G16" s="18">
        <f t="shared" si="0"/>
        <v>46500.22</v>
      </c>
      <c r="H16" s="18"/>
      <c r="I16" s="18">
        <f t="shared" si="5"/>
        <v>46500.22</v>
      </c>
      <c r="J16" s="18">
        <v>1788.47</v>
      </c>
      <c r="K16" s="18">
        <v>1788.47</v>
      </c>
      <c r="L16" s="18"/>
      <c r="M16" s="18"/>
      <c r="N16" s="18"/>
      <c r="O16" s="18"/>
      <c r="P16" s="18">
        <f t="shared" si="3"/>
        <v>3576.94</v>
      </c>
      <c r="Q16" s="15">
        <f>$P16*'Allocation %'!J16</f>
        <v>0</v>
      </c>
      <c r="R16" s="15">
        <f>$P16*'Allocation %'!K16</f>
        <v>0</v>
      </c>
      <c r="S16" s="15">
        <f>$P16*'Allocation %'!L16</f>
        <v>0</v>
      </c>
      <c r="T16" s="15">
        <f>$P16*'Allocation %'!M16</f>
        <v>0</v>
      </c>
      <c r="U16" s="15">
        <f>$P16*'Allocation %'!N16</f>
        <v>0</v>
      </c>
      <c r="V16" s="15">
        <f>$P16*'Allocation %'!O16</f>
        <v>0</v>
      </c>
      <c r="W16" s="15">
        <f>$P16*'Allocation %'!P16</f>
        <v>0</v>
      </c>
      <c r="X16" s="15">
        <f>$P16*'Allocation %'!Q16</f>
        <v>0</v>
      </c>
      <c r="Y16" s="15">
        <f>$P16*'Allocation %'!R16</f>
        <v>536.54099999999994</v>
      </c>
      <c r="Z16" s="15">
        <f>$P16*'Allocation %'!S16</f>
        <v>0</v>
      </c>
      <c r="AA16" s="15">
        <f>$P16*'Allocation %'!T16</f>
        <v>2646.9355999999998</v>
      </c>
      <c r="AB16" s="15">
        <f>$P16*'Allocation %'!U16</f>
        <v>393.46340000000004</v>
      </c>
      <c r="AC16" s="15">
        <f>$P16*'Allocation %'!V16</f>
        <v>0</v>
      </c>
      <c r="AD16" s="15">
        <f>$P16*'Allocation %'!W16</f>
        <v>0</v>
      </c>
      <c r="AE16" s="15">
        <f>$P16*'Allocation %'!X16</f>
        <v>0</v>
      </c>
      <c r="AF16" s="15">
        <f>$P16*'Allocation %'!Y16</f>
        <v>0</v>
      </c>
      <c r="AG16" s="15">
        <f>$P16*'Allocation %'!Z16</f>
        <v>0</v>
      </c>
      <c r="AH16" s="15">
        <f>$P16*'Allocation %'!AA16</f>
        <v>0</v>
      </c>
      <c r="AI16" s="15">
        <f>$P16*'Allocation %'!AB16</f>
        <v>0</v>
      </c>
      <c r="AJ16" s="15">
        <f>$P16*'Allocation %'!AC16</f>
        <v>0</v>
      </c>
      <c r="AK16" s="15">
        <f>$P16*'Allocation %'!AD16</f>
        <v>0</v>
      </c>
      <c r="AL16" s="15">
        <f>$P16*'Allocation %'!AE16</f>
        <v>0</v>
      </c>
      <c r="AM16" s="15">
        <f>$P16*'Allocation %'!AF16</f>
        <v>0</v>
      </c>
      <c r="AN16" s="15">
        <f>$P16*'Allocation %'!AG16</f>
        <v>0</v>
      </c>
      <c r="AO16" s="15">
        <f>$P16*'Allocation %'!AH16</f>
        <v>0</v>
      </c>
      <c r="AP16" s="89">
        <f t="shared" si="2"/>
        <v>3576.94</v>
      </c>
      <c r="AQ16" s="19">
        <f t="shared" si="4"/>
        <v>0</v>
      </c>
    </row>
    <row r="17" spans="1:43" s="16" customFormat="1" ht="10.5" x14ac:dyDescent="0.25">
      <c r="A17" s="11">
        <v>14</v>
      </c>
      <c r="B17" s="17" t="str">
        <f>'Allocation %'!B17</f>
        <v xml:space="preserve">HIGGINS, Rosa M. </v>
      </c>
      <c r="C17" s="17">
        <v>14</v>
      </c>
      <c r="D17" s="17" t="str">
        <f>'Allocation %'!D17</f>
        <v>FOC</v>
      </c>
      <c r="E17" s="17">
        <f>'Allocation %'!E17</f>
        <v>0</v>
      </c>
      <c r="F17" s="22">
        <v>1538.46</v>
      </c>
      <c r="G17" s="22">
        <f t="shared" si="0"/>
        <v>39999.96</v>
      </c>
      <c r="H17" s="18"/>
      <c r="I17" s="22">
        <f>SUM(G17:H17)</f>
        <v>39999.96</v>
      </c>
      <c r="J17" s="18">
        <v>1538.46</v>
      </c>
      <c r="K17" s="18">
        <v>1538.46</v>
      </c>
      <c r="L17" s="22"/>
      <c r="M17" s="22"/>
      <c r="N17" s="22"/>
      <c r="O17" s="22"/>
      <c r="P17" s="18">
        <f t="shared" si="3"/>
        <v>3076.92</v>
      </c>
      <c r="Q17" s="15">
        <f>$P17*'Allocation %'!J17</f>
        <v>0</v>
      </c>
      <c r="R17" s="15">
        <f>$P17*'Allocation %'!K17</f>
        <v>0</v>
      </c>
      <c r="S17" s="15">
        <f>$P17*'Allocation %'!L17</f>
        <v>0</v>
      </c>
      <c r="T17" s="15">
        <f>$P17*'Allocation %'!M17</f>
        <v>0</v>
      </c>
      <c r="U17" s="15">
        <f>$P17*'Allocation %'!N17</f>
        <v>0</v>
      </c>
      <c r="V17" s="15">
        <f>$P17*'Allocation %'!O17</f>
        <v>0</v>
      </c>
      <c r="W17" s="15">
        <f>$P17*'Allocation %'!P17</f>
        <v>0</v>
      </c>
      <c r="X17" s="15">
        <f>$P17*'Allocation %'!Q17</f>
        <v>0</v>
      </c>
      <c r="Y17" s="15">
        <f>$P17*'Allocation %'!R17</f>
        <v>0</v>
      </c>
      <c r="Z17" s="15">
        <f>$P17*'Allocation %'!S17</f>
        <v>0</v>
      </c>
      <c r="AA17" s="15">
        <f>$P17*'Allocation %'!T17</f>
        <v>0</v>
      </c>
      <c r="AB17" s="15">
        <f>$P17*'Allocation %'!U17</f>
        <v>0</v>
      </c>
      <c r="AC17" s="15">
        <f>$P17*'Allocation %'!V17</f>
        <v>0</v>
      </c>
      <c r="AD17" s="15">
        <f>$P17*'Allocation %'!W17</f>
        <v>307.69200000000001</v>
      </c>
      <c r="AE17" s="15">
        <f>$P17*'Allocation %'!X17</f>
        <v>1384.614</v>
      </c>
      <c r="AF17" s="15">
        <f>$P17*'Allocation %'!Y17</f>
        <v>553.84559999999999</v>
      </c>
      <c r="AG17" s="15">
        <f>$P17*'Allocation %'!Z17</f>
        <v>830.76840000000004</v>
      </c>
      <c r="AH17" s="15">
        <f>$P17*'Allocation %'!AA17</f>
        <v>0</v>
      </c>
      <c r="AI17" s="15">
        <f>$P17*'Allocation %'!AB17</f>
        <v>0</v>
      </c>
      <c r="AJ17" s="15">
        <f>$P17*'Allocation %'!AC17</f>
        <v>0</v>
      </c>
      <c r="AK17" s="15">
        <f>$P17*'Allocation %'!AD17</f>
        <v>0</v>
      </c>
      <c r="AL17" s="15">
        <f>$P17*'Allocation %'!AE17</f>
        <v>0</v>
      </c>
      <c r="AM17" s="15">
        <f>$P17*'Allocation %'!AF17</f>
        <v>0</v>
      </c>
      <c r="AN17" s="15">
        <f>$P17*'Allocation %'!AG17</f>
        <v>0</v>
      </c>
      <c r="AO17" s="15">
        <f>$P17*'Allocation %'!AH17</f>
        <v>0</v>
      </c>
      <c r="AP17" s="89">
        <f t="shared" si="2"/>
        <v>3076.92</v>
      </c>
      <c r="AQ17" s="19">
        <f t="shared" si="4"/>
        <v>0</v>
      </c>
    </row>
    <row r="18" spans="1:43" s="16" customFormat="1" ht="10.5" x14ac:dyDescent="0.25">
      <c r="A18" s="11">
        <v>15</v>
      </c>
      <c r="B18" s="17" t="str">
        <f>'Allocation %'!B18</f>
        <v>HOLLINS, QUINTELLA</v>
      </c>
      <c r="C18" s="17">
        <v>15</v>
      </c>
      <c r="D18" s="17" t="str">
        <f>'Allocation %'!D18</f>
        <v>Abbott</v>
      </c>
      <c r="E18" s="17" t="str">
        <f>'Allocation %'!E18</f>
        <v xml:space="preserve">Teacher   </v>
      </c>
      <c r="F18" s="18">
        <v>2305.8200000000002</v>
      </c>
      <c r="G18" s="20">
        <f t="shared" si="0"/>
        <v>59951.320000000007</v>
      </c>
      <c r="H18" s="18"/>
      <c r="I18" s="18">
        <f>SUM(G18:H18)</f>
        <v>59951.320000000007</v>
      </c>
      <c r="J18" s="18"/>
      <c r="K18" s="18"/>
      <c r="L18" s="18"/>
      <c r="M18" s="18"/>
      <c r="N18" s="18"/>
      <c r="O18" s="18"/>
      <c r="P18" s="18">
        <f t="shared" si="3"/>
        <v>0</v>
      </c>
      <c r="Q18" s="15">
        <f>$P18*'Allocation %'!J18</f>
        <v>0</v>
      </c>
      <c r="R18" s="15">
        <f>$P18*'Allocation %'!K18</f>
        <v>0</v>
      </c>
      <c r="S18" s="15">
        <f>$P18*'Allocation %'!L18</f>
        <v>0</v>
      </c>
      <c r="T18" s="15">
        <f>$P18*'Allocation %'!M18</f>
        <v>0</v>
      </c>
      <c r="U18" s="15">
        <f>$P18*'Allocation %'!N18</f>
        <v>0</v>
      </c>
      <c r="V18" s="15">
        <f>$P18*'Allocation %'!O18</f>
        <v>0</v>
      </c>
      <c r="W18" s="15">
        <f>$P18*'Allocation %'!P18</f>
        <v>0</v>
      </c>
      <c r="X18" s="15">
        <f>$P18*'Allocation %'!Q18</f>
        <v>0</v>
      </c>
      <c r="Y18" s="15">
        <f>$P18*'Allocation %'!R18</f>
        <v>0</v>
      </c>
      <c r="Z18" s="15">
        <f>$P18*'Allocation %'!S18</f>
        <v>0</v>
      </c>
      <c r="AA18" s="15">
        <f>$P18*'Allocation %'!T18</f>
        <v>0</v>
      </c>
      <c r="AB18" s="15">
        <f>$P18*'Allocation %'!U18</f>
        <v>0</v>
      </c>
      <c r="AC18" s="15">
        <f>$P18*'Allocation %'!V18</f>
        <v>0</v>
      </c>
      <c r="AD18" s="15">
        <f>$P18*'Allocation %'!W18</f>
        <v>0</v>
      </c>
      <c r="AE18" s="15">
        <f>$P18*'Allocation %'!X18</f>
        <v>0</v>
      </c>
      <c r="AF18" s="15">
        <f>$P18*'Allocation %'!Y18</f>
        <v>0</v>
      </c>
      <c r="AG18" s="15">
        <f>$P18*'Allocation %'!Z18</f>
        <v>0</v>
      </c>
      <c r="AH18" s="15">
        <f>$P18*'Allocation %'!AA18</f>
        <v>0</v>
      </c>
      <c r="AI18" s="15">
        <f>$P18*'Allocation %'!AB18</f>
        <v>0</v>
      </c>
      <c r="AJ18" s="15">
        <f>$P18*'Allocation %'!AC18</f>
        <v>0</v>
      </c>
      <c r="AK18" s="15">
        <f>$P18*'Allocation %'!AD18</f>
        <v>0</v>
      </c>
      <c r="AL18" s="15">
        <f>$P18*'Allocation %'!AE18</f>
        <v>0</v>
      </c>
      <c r="AM18" s="15">
        <f>$P18*'Allocation %'!AF18</f>
        <v>0</v>
      </c>
      <c r="AN18" s="15">
        <f>$P18*'Allocation %'!AG18</f>
        <v>0</v>
      </c>
      <c r="AO18" s="15">
        <f>$P18*'Allocation %'!AH18</f>
        <v>0</v>
      </c>
      <c r="AP18" s="89">
        <f t="shared" si="2"/>
        <v>0</v>
      </c>
      <c r="AQ18" s="19">
        <f t="shared" si="4"/>
        <v>0</v>
      </c>
    </row>
    <row r="19" spans="1:43" s="16" customFormat="1" ht="10.5" x14ac:dyDescent="0.25">
      <c r="A19" s="11">
        <v>16</v>
      </c>
      <c r="B19" s="17" t="str">
        <f>'Allocation %'!B19</f>
        <v>Howard, Theresa</v>
      </c>
      <c r="C19" s="17">
        <v>16</v>
      </c>
      <c r="D19" s="17" t="str">
        <f>'Allocation %'!D19</f>
        <v>United Airlines</v>
      </c>
      <c r="E19" s="17">
        <f>'Allocation %'!E19</f>
        <v>0</v>
      </c>
      <c r="F19" s="18">
        <v>2115.39</v>
      </c>
      <c r="G19" s="18">
        <f>F19*$G$3</f>
        <v>55000.14</v>
      </c>
      <c r="H19" s="18"/>
      <c r="I19" s="18">
        <f>SUM(G19:H19)</f>
        <v>55000.14</v>
      </c>
      <c r="J19" s="18">
        <v>2115.39</v>
      </c>
      <c r="K19" s="18">
        <v>2115.39</v>
      </c>
      <c r="L19" s="18"/>
      <c r="M19" s="18"/>
      <c r="N19" s="18"/>
      <c r="O19" s="18"/>
      <c r="P19" s="18">
        <f t="shared" si="3"/>
        <v>4230.78</v>
      </c>
      <c r="Q19" s="15">
        <f>$P19*'Allocation %'!J19</f>
        <v>0</v>
      </c>
      <c r="R19" s="15">
        <f>$P19*'Allocation %'!K19</f>
        <v>0</v>
      </c>
      <c r="S19" s="15">
        <f>$P19*'Allocation %'!L19</f>
        <v>0</v>
      </c>
      <c r="T19" s="15">
        <f>$P19*'Allocation %'!M19</f>
        <v>0</v>
      </c>
      <c r="U19" s="15">
        <f>$P19*'Allocation %'!N19</f>
        <v>0</v>
      </c>
      <c r="V19" s="15">
        <f>$P19*'Allocation %'!O19</f>
        <v>4230.78</v>
      </c>
      <c r="W19" s="15">
        <f>$P19*'Allocation %'!P19</f>
        <v>0</v>
      </c>
      <c r="X19" s="15">
        <f>$P19*'Allocation %'!Q19</f>
        <v>0</v>
      </c>
      <c r="Y19" s="15">
        <f>$P19*'Allocation %'!R19</f>
        <v>0</v>
      </c>
      <c r="Z19" s="15">
        <f>$P19*'Allocation %'!S19</f>
        <v>0</v>
      </c>
      <c r="AA19" s="15">
        <f>$P19*'Allocation %'!T19</f>
        <v>0</v>
      </c>
      <c r="AB19" s="15">
        <f>$P19*'Allocation %'!U19</f>
        <v>0</v>
      </c>
      <c r="AC19" s="15">
        <f>$P19*'Allocation %'!V19</f>
        <v>0</v>
      </c>
      <c r="AD19" s="15">
        <f>$P19*'Allocation %'!W19</f>
        <v>0</v>
      </c>
      <c r="AE19" s="15">
        <f>$P19*'Allocation %'!X19</f>
        <v>0</v>
      </c>
      <c r="AF19" s="15">
        <f>$P19*'Allocation %'!Y19</f>
        <v>0</v>
      </c>
      <c r="AG19" s="15">
        <f>$P19*'Allocation %'!Z19</f>
        <v>0</v>
      </c>
      <c r="AH19" s="15">
        <f>$P19*'Allocation %'!AA19</f>
        <v>0</v>
      </c>
      <c r="AI19" s="15">
        <f>$P19*'Allocation %'!AB19</f>
        <v>0</v>
      </c>
      <c r="AJ19" s="15">
        <f>$P19*'Allocation %'!AC19</f>
        <v>0</v>
      </c>
      <c r="AK19" s="15">
        <f>$P19*'Allocation %'!AD19</f>
        <v>0</v>
      </c>
      <c r="AL19" s="15">
        <f>$P19*'Allocation %'!AE19</f>
        <v>0</v>
      </c>
      <c r="AM19" s="15">
        <f>$P19*'Allocation %'!AF19</f>
        <v>0</v>
      </c>
      <c r="AN19" s="15">
        <f>$P19*'Allocation %'!AG19</f>
        <v>0</v>
      </c>
      <c r="AO19" s="15">
        <f>$P19*'Allocation %'!AH19</f>
        <v>0</v>
      </c>
      <c r="AP19" s="89">
        <f t="shared" si="2"/>
        <v>4230.78</v>
      </c>
      <c r="AQ19" s="19">
        <f t="shared" si="4"/>
        <v>0</v>
      </c>
    </row>
    <row r="20" spans="1:43" s="16" customFormat="1" ht="10.5" x14ac:dyDescent="0.25">
      <c r="A20" s="11">
        <v>17</v>
      </c>
      <c r="B20" s="17" t="str">
        <f>'Allocation %'!B20</f>
        <v>Johnson, Amanda</v>
      </c>
      <c r="C20" s="17">
        <v>17</v>
      </c>
      <c r="D20" s="17" t="str">
        <f>'Allocation %'!D20</f>
        <v>USJP</v>
      </c>
      <c r="E20" s="17">
        <f>'Allocation %'!E20</f>
        <v>0</v>
      </c>
      <c r="F20" s="18">
        <v>721</v>
      </c>
      <c r="G20" s="18">
        <f>F20*$G$3</f>
        <v>18746</v>
      </c>
      <c r="H20" s="18"/>
      <c r="I20" s="18">
        <f>SUM(G20:H20)</f>
        <v>18746</v>
      </c>
      <c r="J20" s="18">
        <v>425.39</v>
      </c>
      <c r="K20" s="18">
        <v>749.84</v>
      </c>
      <c r="L20" s="18"/>
      <c r="M20" s="18"/>
      <c r="N20" s="18"/>
      <c r="O20" s="18"/>
      <c r="P20" s="18">
        <f t="shared" si="3"/>
        <v>1175.23</v>
      </c>
      <c r="Q20" s="15">
        <f>$P20*'Allocation %'!J20</f>
        <v>0</v>
      </c>
      <c r="R20" s="15">
        <f>$P20*'Allocation %'!K20</f>
        <v>0</v>
      </c>
      <c r="S20" s="15">
        <f>$P20*'Allocation %'!L20</f>
        <v>0</v>
      </c>
      <c r="T20" s="15">
        <f>$P20*'Allocation %'!M20</f>
        <v>0</v>
      </c>
      <c r="U20" s="15">
        <f>$P20*'Allocation %'!N20</f>
        <v>1175.23</v>
      </c>
      <c r="V20" s="15">
        <f>$P20*'Allocation %'!O20</f>
        <v>0</v>
      </c>
      <c r="W20" s="15">
        <f>$P20*'Allocation %'!P20</f>
        <v>0</v>
      </c>
      <c r="X20" s="15">
        <f>$P20*'Allocation %'!Q20</f>
        <v>0</v>
      </c>
      <c r="Y20" s="15">
        <f>$P20*'Allocation %'!R20</f>
        <v>0</v>
      </c>
      <c r="Z20" s="15">
        <f>$P20*'Allocation %'!S20</f>
        <v>0</v>
      </c>
      <c r="AA20" s="15">
        <f>$P20*'Allocation %'!T20</f>
        <v>0</v>
      </c>
      <c r="AB20" s="15">
        <f>$P20*'Allocation %'!U20</f>
        <v>0</v>
      </c>
      <c r="AC20" s="15">
        <f>$P20*'Allocation %'!V20</f>
        <v>0</v>
      </c>
      <c r="AD20" s="15">
        <f>$P20*'Allocation %'!W20</f>
        <v>0</v>
      </c>
      <c r="AE20" s="15">
        <f>$P20*'Allocation %'!X20</f>
        <v>0</v>
      </c>
      <c r="AF20" s="15">
        <f>$P20*'Allocation %'!Y20</f>
        <v>0</v>
      </c>
      <c r="AG20" s="15">
        <f>$P20*'Allocation %'!Z20</f>
        <v>0</v>
      </c>
      <c r="AH20" s="15">
        <f>$P20*'Allocation %'!AA20</f>
        <v>0</v>
      </c>
      <c r="AI20" s="15">
        <f>$P20*'Allocation %'!AB20</f>
        <v>0</v>
      </c>
      <c r="AJ20" s="15">
        <f>$P20*'Allocation %'!AC20</f>
        <v>0</v>
      </c>
      <c r="AK20" s="15">
        <f>$P20*'Allocation %'!AD20</f>
        <v>0</v>
      </c>
      <c r="AL20" s="15">
        <f>$P20*'Allocation %'!AE20</f>
        <v>0</v>
      </c>
      <c r="AM20" s="15">
        <f>$P20*'Allocation %'!AF20</f>
        <v>0</v>
      </c>
      <c r="AN20" s="15">
        <f>$P20*'Allocation %'!AG20</f>
        <v>0</v>
      </c>
      <c r="AO20" s="15">
        <f>$P20*'Allocation %'!AH20</f>
        <v>0</v>
      </c>
      <c r="AP20" s="89">
        <f t="shared" si="2"/>
        <v>1175.23</v>
      </c>
      <c r="AQ20" s="19">
        <f t="shared" si="4"/>
        <v>0</v>
      </c>
    </row>
    <row r="21" spans="1:43" s="16" customFormat="1" ht="10.5" x14ac:dyDescent="0.25">
      <c r="A21" s="11">
        <v>18</v>
      </c>
      <c r="B21" s="17" t="str">
        <f>'Allocation %'!B21</f>
        <v>Leake, Rahmel</v>
      </c>
      <c r="C21" s="17">
        <v>18</v>
      </c>
      <c r="D21" s="17" t="str">
        <f>'Allocation %'!D21</f>
        <v>USJP</v>
      </c>
      <c r="E21" s="17">
        <f>'Allocation %'!E21</f>
        <v>0</v>
      </c>
      <c r="F21" s="18">
        <v>1538.47</v>
      </c>
      <c r="G21" s="18">
        <f>F21*$G$3</f>
        <v>40000.22</v>
      </c>
      <c r="H21" s="18"/>
      <c r="I21" s="18">
        <f>SUM(G21:H21)</f>
        <v>40000.22</v>
      </c>
      <c r="J21" s="18">
        <v>1538.47</v>
      </c>
      <c r="K21" s="18">
        <v>1538.47</v>
      </c>
      <c r="L21" s="18"/>
      <c r="M21" s="18"/>
      <c r="N21" s="18"/>
      <c r="O21" s="18"/>
      <c r="P21" s="18">
        <f t="shared" si="3"/>
        <v>3076.94</v>
      </c>
      <c r="Q21" s="15">
        <f>$P21*'Allocation %'!J21</f>
        <v>0</v>
      </c>
      <c r="R21" s="15">
        <f>$P21*'Allocation %'!K21</f>
        <v>0</v>
      </c>
      <c r="S21" s="15">
        <f>$P21*'Allocation %'!L21</f>
        <v>0</v>
      </c>
      <c r="T21" s="15">
        <f>$P21*'Allocation %'!M21</f>
        <v>0</v>
      </c>
      <c r="U21" s="15">
        <f>$P21*'Allocation %'!N21</f>
        <v>3076.94</v>
      </c>
      <c r="V21" s="15">
        <f>$P21*'Allocation %'!O21</f>
        <v>0</v>
      </c>
      <c r="W21" s="15">
        <f>$P21*'Allocation %'!P21</f>
        <v>0</v>
      </c>
      <c r="X21" s="15">
        <f>$P21*'Allocation %'!Q21</f>
        <v>0</v>
      </c>
      <c r="Y21" s="15">
        <f>$P21*'Allocation %'!R21</f>
        <v>0</v>
      </c>
      <c r="Z21" s="15">
        <f>$P21*'Allocation %'!S21</f>
        <v>0</v>
      </c>
      <c r="AA21" s="15">
        <f>$P21*'Allocation %'!T21</f>
        <v>0</v>
      </c>
      <c r="AB21" s="15">
        <f>$P21*'Allocation %'!U21</f>
        <v>0</v>
      </c>
      <c r="AC21" s="15">
        <f>$P21*'Allocation %'!V21</f>
        <v>0</v>
      </c>
      <c r="AD21" s="15">
        <f>$P21*'Allocation %'!W21</f>
        <v>0</v>
      </c>
      <c r="AE21" s="15">
        <f>$P21*'Allocation %'!X21</f>
        <v>0</v>
      </c>
      <c r="AF21" s="15">
        <f>$P21*'Allocation %'!Y21</f>
        <v>0</v>
      </c>
      <c r="AG21" s="15">
        <f>$P21*'Allocation %'!Z21</f>
        <v>0</v>
      </c>
      <c r="AH21" s="15">
        <f>$P21*'Allocation %'!AA21</f>
        <v>0</v>
      </c>
      <c r="AI21" s="15">
        <f>$P21*'Allocation %'!AB21</f>
        <v>0</v>
      </c>
      <c r="AJ21" s="15">
        <f>$P21*'Allocation %'!AC21</f>
        <v>0</v>
      </c>
      <c r="AK21" s="15">
        <f>$P21*'Allocation %'!AD21</f>
        <v>0</v>
      </c>
      <c r="AL21" s="15">
        <f>$P21*'Allocation %'!AE21</f>
        <v>0</v>
      </c>
      <c r="AM21" s="15">
        <f>$P21*'Allocation %'!AF21</f>
        <v>0</v>
      </c>
      <c r="AN21" s="15">
        <f>$P21*'Allocation %'!AG21</f>
        <v>0</v>
      </c>
      <c r="AO21" s="15">
        <f>$P21*'Allocation %'!AH21</f>
        <v>0</v>
      </c>
      <c r="AP21" s="89">
        <f t="shared" si="2"/>
        <v>3076.94</v>
      </c>
      <c r="AQ21" s="19">
        <f t="shared" si="4"/>
        <v>0</v>
      </c>
    </row>
    <row r="22" spans="1:43" s="16" customFormat="1" ht="10.5" x14ac:dyDescent="0.25">
      <c r="A22" s="11">
        <v>19</v>
      </c>
      <c r="B22" s="17" t="str">
        <f>'Allocation %'!B22</f>
        <v>Lindsey, Victoria - July</v>
      </c>
      <c r="C22" s="17">
        <v>19</v>
      </c>
      <c r="D22" s="17" t="str">
        <f>'Allocation %'!D22</f>
        <v>NRTC, Housing, PARS, ESG</v>
      </c>
      <c r="E22" s="17">
        <f>'Allocation %'!E22</f>
        <v>0</v>
      </c>
      <c r="F22" s="18">
        <v>2500</v>
      </c>
      <c r="G22" s="18">
        <f t="shared" ref="G22:G23" si="6">F22*$G$3</f>
        <v>65000</v>
      </c>
      <c r="H22" s="18"/>
      <c r="I22" s="18">
        <f t="shared" ref="I22:I30" si="7">SUM(G22:H22)</f>
        <v>65000</v>
      </c>
      <c r="J22" s="18">
        <v>2500</v>
      </c>
      <c r="K22" s="18">
        <v>2500</v>
      </c>
      <c r="L22" s="18"/>
      <c r="M22" s="18"/>
      <c r="N22" s="18"/>
      <c r="O22" s="18"/>
      <c r="P22" s="18">
        <f t="shared" si="3"/>
        <v>5000</v>
      </c>
      <c r="Q22" s="15">
        <f>$P22*'Allocation %'!J22</f>
        <v>0</v>
      </c>
      <c r="R22" s="15">
        <f>$P22*'Allocation %'!K22</f>
        <v>0</v>
      </c>
      <c r="S22" s="15">
        <f>$P22*'Allocation %'!L22</f>
        <v>0</v>
      </c>
      <c r="T22" s="15">
        <f>$P22*'Allocation %'!M22</f>
        <v>0</v>
      </c>
      <c r="U22" s="15">
        <f>$P22*'Allocation %'!N22</f>
        <v>0</v>
      </c>
      <c r="V22" s="15">
        <f>$P22*'Allocation %'!O22</f>
        <v>0</v>
      </c>
      <c r="W22" s="15">
        <f>$P22*'Allocation %'!P22</f>
        <v>0</v>
      </c>
      <c r="X22" s="15">
        <f>$P22*'Allocation %'!Q22</f>
        <v>0</v>
      </c>
      <c r="Y22" s="15">
        <f>$P22*'Allocation %'!R22</f>
        <v>1250</v>
      </c>
      <c r="Z22" s="15">
        <f>$P22*'Allocation %'!S22</f>
        <v>900</v>
      </c>
      <c r="AA22" s="15">
        <f>$P22*'Allocation %'!T22</f>
        <v>350.00000000000006</v>
      </c>
      <c r="AB22" s="15">
        <f>$P22*'Allocation %'!U22</f>
        <v>1250</v>
      </c>
      <c r="AC22" s="15">
        <f>$P22*'Allocation %'!V22</f>
        <v>1250</v>
      </c>
      <c r="AD22" s="15">
        <f>$P22*'Allocation %'!W22</f>
        <v>0</v>
      </c>
      <c r="AE22" s="15">
        <f>$P22*'Allocation %'!X22</f>
        <v>0</v>
      </c>
      <c r="AF22" s="15">
        <f>$P22*'Allocation %'!Y22</f>
        <v>0</v>
      </c>
      <c r="AG22" s="15">
        <f>$P22*'Allocation %'!Z22</f>
        <v>0</v>
      </c>
      <c r="AH22" s="15">
        <f>$P22*'Allocation %'!AA22</f>
        <v>0</v>
      </c>
      <c r="AI22" s="15">
        <f>$P22*'Allocation %'!AB22</f>
        <v>0</v>
      </c>
      <c r="AJ22" s="15">
        <f>$P22*'Allocation %'!AC22</f>
        <v>0</v>
      </c>
      <c r="AK22" s="15">
        <f>$P22*'Allocation %'!AD22</f>
        <v>0</v>
      </c>
      <c r="AL22" s="15">
        <f>$P22*'Allocation %'!AE22</f>
        <v>0</v>
      </c>
      <c r="AM22" s="15">
        <f>$P22*'Allocation %'!AF22</f>
        <v>0</v>
      </c>
      <c r="AN22" s="15">
        <f>$P22*'Allocation %'!AG22</f>
        <v>0</v>
      </c>
      <c r="AO22" s="15">
        <f>$P22*'Allocation %'!AH22</f>
        <v>0</v>
      </c>
      <c r="AP22" s="89">
        <f t="shared" si="2"/>
        <v>5000</v>
      </c>
      <c r="AQ22" s="19">
        <f t="shared" si="4"/>
        <v>0</v>
      </c>
    </row>
    <row r="23" spans="1:43" s="16" customFormat="1" ht="10.5" x14ac:dyDescent="0.25">
      <c r="A23" s="11">
        <v>20</v>
      </c>
      <c r="B23" s="17" t="str">
        <f>'Allocation %'!B23</f>
        <v>LOFTIN, NIQUITA</v>
      </c>
      <c r="C23" s="17">
        <v>20</v>
      </c>
      <c r="D23" s="17" t="str">
        <f>'Allocation %'!D23</f>
        <v>Abbott</v>
      </c>
      <c r="E23" s="17" t="str">
        <f>'Allocation %'!E23</f>
        <v>Teacher Asst</v>
      </c>
      <c r="F23" s="18">
        <v>1176</v>
      </c>
      <c r="G23" s="18">
        <f t="shared" si="6"/>
        <v>30576</v>
      </c>
      <c r="H23" s="18"/>
      <c r="I23" s="18">
        <f t="shared" si="7"/>
        <v>30576</v>
      </c>
      <c r="J23" s="18">
        <v>1176</v>
      </c>
      <c r="K23" s="18">
        <v>1176</v>
      </c>
      <c r="L23" s="18"/>
      <c r="M23" s="18"/>
      <c r="N23" s="18"/>
      <c r="O23" s="18"/>
      <c r="P23" s="18">
        <f t="shared" si="3"/>
        <v>2352</v>
      </c>
      <c r="Q23" s="15">
        <f>$P23*'Allocation %'!J23</f>
        <v>2352</v>
      </c>
      <c r="R23" s="15">
        <f>$P23*'Allocation %'!K23</f>
        <v>0</v>
      </c>
      <c r="S23" s="15">
        <f>$P23*'Allocation %'!L23</f>
        <v>0</v>
      </c>
      <c r="T23" s="15">
        <f>$P23*'Allocation %'!M23</f>
        <v>0</v>
      </c>
      <c r="U23" s="15">
        <f>$P23*'Allocation %'!N23</f>
        <v>0</v>
      </c>
      <c r="V23" s="15">
        <f>$P23*'Allocation %'!O23</f>
        <v>0</v>
      </c>
      <c r="W23" s="15">
        <f>$P23*'Allocation %'!P23</f>
        <v>0</v>
      </c>
      <c r="X23" s="15">
        <f>$P23*'Allocation %'!Q23</f>
        <v>0</v>
      </c>
      <c r="Y23" s="15">
        <f>$P23*'Allocation %'!R23</f>
        <v>0</v>
      </c>
      <c r="Z23" s="15">
        <f>$P23*'Allocation %'!S23</f>
        <v>0</v>
      </c>
      <c r="AA23" s="15">
        <f>$P23*'Allocation %'!T23</f>
        <v>0</v>
      </c>
      <c r="AB23" s="15">
        <f>$P23*'Allocation %'!U23</f>
        <v>0</v>
      </c>
      <c r="AC23" s="15">
        <f>$P23*'Allocation %'!V23</f>
        <v>0</v>
      </c>
      <c r="AD23" s="15">
        <f>$P23*'Allocation %'!W23</f>
        <v>0</v>
      </c>
      <c r="AE23" s="15">
        <f>$P23*'Allocation %'!X23</f>
        <v>0</v>
      </c>
      <c r="AF23" s="15">
        <f>$P23*'Allocation %'!Y23</f>
        <v>0</v>
      </c>
      <c r="AG23" s="15">
        <f>$P23*'Allocation %'!Z23</f>
        <v>0</v>
      </c>
      <c r="AH23" s="15">
        <f>$P23*'Allocation %'!AA23</f>
        <v>0</v>
      </c>
      <c r="AI23" s="15">
        <f>$P23*'Allocation %'!AB23</f>
        <v>0</v>
      </c>
      <c r="AJ23" s="15">
        <f>$P23*'Allocation %'!AC23</f>
        <v>0</v>
      </c>
      <c r="AK23" s="15">
        <f>$P23*'Allocation %'!AD23</f>
        <v>0</v>
      </c>
      <c r="AL23" s="15">
        <f>$P23*'Allocation %'!AE23</f>
        <v>0</v>
      </c>
      <c r="AM23" s="15">
        <f>$P23*'Allocation %'!AF23</f>
        <v>0</v>
      </c>
      <c r="AN23" s="15">
        <f>$P23*'Allocation %'!AG23</f>
        <v>0</v>
      </c>
      <c r="AO23" s="15">
        <f>$P23*'Allocation %'!AH23</f>
        <v>0</v>
      </c>
      <c r="AP23" s="89">
        <f t="shared" si="2"/>
        <v>2352</v>
      </c>
      <c r="AQ23" s="19">
        <f t="shared" si="4"/>
        <v>0</v>
      </c>
    </row>
    <row r="24" spans="1:43" s="16" customFormat="1" ht="10.5" x14ac:dyDescent="0.25">
      <c r="A24" s="11">
        <v>21</v>
      </c>
      <c r="B24" s="17" t="str">
        <f>'Allocation %'!B24</f>
        <v>Love, Charles</v>
      </c>
      <c r="C24" s="17">
        <v>21</v>
      </c>
      <c r="D24" s="17" t="str">
        <f>'Allocation %'!D24</f>
        <v>PACE</v>
      </c>
      <c r="E24" s="17">
        <f>'Allocation %'!E24</f>
        <v>0</v>
      </c>
      <c r="F24" s="18">
        <v>1200</v>
      </c>
      <c r="G24" s="18">
        <f>F24*$G$3</f>
        <v>31200</v>
      </c>
      <c r="H24" s="18"/>
      <c r="I24" s="18">
        <f t="shared" si="7"/>
        <v>31200</v>
      </c>
      <c r="J24" s="18">
        <v>810</v>
      </c>
      <c r="K24" s="18">
        <v>1080</v>
      </c>
      <c r="L24" s="18"/>
      <c r="M24" s="18"/>
      <c r="N24" s="18"/>
      <c r="O24" s="18"/>
      <c r="P24" s="18">
        <f t="shared" si="3"/>
        <v>1890</v>
      </c>
      <c r="Q24" s="15">
        <f>$P24*'Allocation %'!J24</f>
        <v>0</v>
      </c>
      <c r="R24" s="15">
        <f>$P24*'Allocation %'!K24</f>
        <v>0</v>
      </c>
      <c r="S24" s="15">
        <f>$P24*'Allocation %'!L24</f>
        <v>0</v>
      </c>
      <c r="T24" s="15">
        <f>$P24*'Allocation %'!M24</f>
        <v>0</v>
      </c>
      <c r="U24" s="15">
        <f>$P24*'Allocation %'!N24</f>
        <v>0</v>
      </c>
      <c r="V24" s="15">
        <f>$P24*'Allocation %'!O24</f>
        <v>0</v>
      </c>
      <c r="W24" s="15">
        <f>$P24*'Allocation %'!P24</f>
        <v>0</v>
      </c>
      <c r="X24" s="15">
        <f>$P24*'Allocation %'!Q24</f>
        <v>1890</v>
      </c>
      <c r="Y24" s="15">
        <f>$P24*'Allocation %'!R24</f>
        <v>0</v>
      </c>
      <c r="Z24" s="15">
        <f>$P24*'Allocation %'!S24</f>
        <v>0</v>
      </c>
      <c r="AA24" s="15">
        <f>$P24*'Allocation %'!T24</f>
        <v>0</v>
      </c>
      <c r="AB24" s="15">
        <f>$P24*'Allocation %'!U24</f>
        <v>0</v>
      </c>
      <c r="AC24" s="15">
        <f>$P24*'Allocation %'!V24</f>
        <v>0</v>
      </c>
      <c r="AD24" s="15">
        <f>$P24*'Allocation %'!W24</f>
        <v>0</v>
      </c>
      <c r="AE24" s="15">
        <f>$P24*'Allocation %'!X24</f>
        <v>0</v>
      </c>
      <c r="AF24" s="15">
        <f>$P24*'Allocation %'!Y24</f>
        <v>0</v>
      </c>
      <c r="AG24" s="15">
        <f>$P24*'Allocation %'!Z24</f>
        <v>0</v>
      </c>
      <c r="AH24" s="15">
        <f>$P24*'Allocation %'!AA24</f>
        <v>0</v>
      </c>
      <c r="AI24" s="15">
        <f>$P24*'Allocation %'!AB24</f>
        <v>0</v>
      </c>
      <c r="AJ24" s="15">
        <f>$P24*'Allocation %'!AC24</f>
        <v>0</v>
      </c>
      <c r="AK24" s="15">
        <f>$P24*'Allocation %'!AD24</f>
        <v>0</v>
      </c>
      <c r="AL24" s="15">
        <f>$P24*'Allocation %'!AE24</f>
        <v>0</v>
      </c>
      <c r="AM24" s="15">
        <f>$P24*'Allocation %'!AF24</f>
        <v>0</v>
      </c>
      <c r="AN24" s="15">
        <f>$P24*'Allocation %'!AG24</f>
        <v>0</v>
      </c>
      <c r="AO24" s="15">
        <f>$P24*'Allocation %'!AH24</f>
        <v>0</v>
      </c>
      <c r="AP24" s="89">
        <f t="shared" si="2"/>
        <v>1890</v>
      </c>
      <c r="AQ24" s="19">
        <f t="shared" si="4"/>
        <v>0</v>
      </c>
    </row>
    <row r="25" spans="1:43" s="16" customFormat="1" ht="10.5" x14ac:dyDescent="0.25">
      <c r="A25" s="11">
        <v>22</v>
      </c>
      <c r="B25" s="17" t="str">
        <f>'Allocation %'!B25</f>
        <v>MARTINEZ, Joanna</v>
      </c>
      <c r="C25" s="17">
        <v>22</v>
      </c>
      <c r="D25" s="17" t="str">
        <f>'Allocation %'!D25</f>
        <v>USJP</v>
      </c>
      <c r="E25" s="17">
        <f>'Allocation %'!E25</f>
        <v>0</v>
      </c>
      <c r="F25" s="18">
        <v>1538.47</v>
      </c>
      <c r="G25" s="18">
        <f t="shared" si="0"/>
        <v>40000.22</v>
      </c>
      <c r="H25" s="18"/>
      <c r="I25" s="18">
        <f t="shared" si="7"/>
        <v>40000.22</v>
      </c>
      <c r="J25" s="18">
        <v>1538.47</v>
      </c>
      <c r="K25" s="18">
        <v>1538.47</v>
      </c>
      <c r="L25" s="18"/>
      <c r="M25" s="18"/>
      <c r="N25" s="18"/>
      <c r="O25" s="18"/>
      <c r="P25" s="18">
        <f t="shared" si="3"/>
        <v>3076.94</v>
      </c>
      <c r="Q25" s="15">
        <f>$P25*'Allocation %'!J25</f>
        <v>0</v>
      </c>
      <c r="R25" s="15">
        <f>$P25*'Allocation %'!K25</f>
        <v>0</v>
      </c>
      <c r="S25" s="15">
        <f>$P25*'Allocation %'!L25</f>
        <v>0</v>
      </c>
      <c r="T25" s="15">
        <f>$P25*'Allocation %'!M25</f>
        <v>0</v>
      </c>
      <c r="U25" s="15">
        <f>$P25*'Allocation %'!N25</f>
        <v>2923.0929999999998</v>
      </c>
      <c r="V25" s="15">
        <f>$P25*'Allocation %'!O25</f>
        <v>0</v>
      </c>
      <c r="W25" s="15">
        <f>$P25*'Allocation %'!P25</f>
        <v>0</v>
      </c>
      <c r="X25" s="15">
        <f>$P25*'Allocation %'!Q25</f>
        <v>0</v>
      </c>
      <c r="Y25" s="15">
        <f>$P25*'Allocation %'!R25</f>
        <v>0</v>
      </c>
      <c r="Z25" s="15">
        <f>$P25*'Allocation %'!S25</f>
        <v>0</v>
      </c>
      <c r="AA25" s="15">
        <f>$P25*'Allocation %'!T25</f>
        <v>0</v>
      </c>
      <c r="AB25" s="15">
        <f>$P25*'Allocation %'!U25</f>
        <v>0</v>
      </c>
      <c r="AC25" s="15">
        <f>$P25*'Allocation %'!V25</f>
        <v>0</v>
      </c>
      <c r="AD25" s="15">
        <f>$P25*'Allocation %'!W25</f>
        <v>0</v>
      </c>
      <c r="AE25" s="15">
        <f>$P25*'Allocation %'!X25</f>
        <v>0</v>
      </c>
      <c r="AF25" s="15">
        <f>$P25*'Allocation %'!Y25</f>
        <v>0</v>
      </c>
      <c r="AG25" s="15">
        <f>$P25*'Allocation %'!Z25</f>
        <v>0</v>
      </c>
      <c r="AH25" s="15">
        <f>$P25*'Allocation %'!AA25</f>
        <v>0</v>
      </c>
      <c r="AI25" s="15">
        <f>$P25*'Allocation %'!AB25</f>
        <v>0</v>
      </c>
      <c r="AJ25" s="15">
        <f>$P25*'Allocation %'!AC25</f>
        <v>0</v>
      </c>
      <c r="AK25" s="15">
        <f>$P25*'Allocation %'!AD25</f>
        <v>0</v>
      </c>
      <c r="AL25" s="15">
        <f>$P25*'Allocation %'!AE25</f>
        <v>153.84700000000001</v>
      </c>
      <c r="AM25" s="15">
        <f>$P25*'Allocation %'!AF25</f>
        <v>0</v>
      </c>
      <c r="AN25" s="15">
        <f>$P25*'Allocation %'!AG25</f>
        <v>0</v>
      </c>
      <c r="AO25" s="15">
        <f>$P25*'Allocation %'!AH25</f>
        <v>0</v>
      </c>
      <c r="AP25" s="89">
        <f t="shared" si="2"/>
        <v>3076.94</v>
      </c>
      <c r="AQ25" s="19">
        <f t="shared" si="4"/>
        <v>0</v>
      </c>
    </row>
    <row r="26" spans="1:43" s="16" customFormat="1" ht="10.5" x14ac:dyDescent="0.25">
      <c r="A26" s="11">
        <v>23</v>
      </c>
      <c r="B26" s="17" t="str">
        <f>'Allocation %'!B26</f>
        <v>McDaniels, Curtis</v>
      </c>
      <c r="C26" s="17">
        <v>23</v>
      </c>
      <c r="D26" s="17" t="str">
        <f>'Allocation %'!D26</f>
        <v>Neigh Revit</v>
      </c>
      <c r="E26" s="17">
        <f>'Allocation %'!E26</f>
        <v>0</v>
      </c>
      <c r="F26" s="18">
        <v>1442.31</v>
      </c>
      <c r="G26" s="18">
        <f>F26*$G$3</f>
        <v>37500.06</v>
      </c>
      <c r="H26" s="18"/>
      <c r="I26" s="18">
        <f t="shared" si="7"/>
        <v>37500.06</v>
      </c>
      <c r="J26" s="18">
        <v>1442.31</v>
      </c>
      <c r="K26" s="18">
        <v>1442.31</v>
      </c>
      <c r="L26" s="18"/>
      <c r="M26" s="18"/>
      <c r="N26" s="18"/>
      <c r="O26" s="18"/>
      <c r="P26" s="18">
        <f t="shared" si="3"/>
        <v>2884.62</v>
      </c>
      <c r="Q26" s="15">
        <f>$P26*'Allocation %'!J26</f>
        <v>0</v>
      </c>
      <c r="R26" s="15">
        <f>$P26*'Allocation %'!K26</f>
        <v>0</v>
      </c>
      <c r="S26" s="15">
        <f>$P26*'Allocation %'!L26</f>
        <v>0</v>
      </c>
      <c r="T26" s="15">
        <f>$P26*'Allocation %'!M26</f>
        <v>0</v>
      </c>
      <c r="U26" s="15">
        <f>$P26*'Allocation %'!N26</f>
        <v>0</v>
      </c>
      <c r="V26" s="15">
        <f>$P26*'Allocation %'!O26</f>
        <v>0</v>
      </c>
      <c r="W26" s="15">
        <f>$P26*'Allocation %'!P26</f>
        <v>0</v>
      </c>
      <c r="X26" s="15">
        <f>$P26*'Allocation %'!Q26</f>
        <v>0</v>
      </c>
      <c r="Y26" s="15">
        <f>$P26*'Allocation %'!R26</f>
        <v>0</v>
      </c>
      <c r="Z26" s="15">
        <f>$P26*'Allocation %'!S26</f>
        <v>0</v>
      </c>
      <c r="AA26" s="15">
        <f>$P26*'Allocation %'!T26</f>
        <v>0</v>
      </c>
      <c r="AB26" s="15">
        <f>$P26*'Allocation %'!U26</f>
        <v>0</v>
      </c>
      <c r="AC26" s="15">
        <f>$P26*'Allocation %'!V26</f>
        <v>0</v>
      </c>
      <c r="AD26" s="15">
        <f>$P26*'Allocation %'!W26</f>
        <v>0</v>
      </c>
      <c r="AE26" s="15">
        <f>$P26*'Allocation %'!X26</f>
        <v>0</v>
      </c>
      <c r="AF26" s="15">
        <f>$P26*'Allocation %'!Y26</f>
        <v>0</v>
      </c>
      <c r="AG26" s="15">
        <f>$P26*'Allocation %'!Z26</f>
        <v>0</v>
      </c>
      <c r="AH26" s="15">
        <f>$P26*'Allocation %'!AA26</f>
        <v>0</v>
      </c>
      <c r="AI26" s="15">
        <f>$P26*'Allocation %'!AB26</f>
        <v>0</v>
      </c>
      <c r="AJ26" s="15">
        <f>$P26*'Allocation %'!AC26</f>
        <v>2884.62</v>
      </c>
      <c r="AK26" s="15">
        <f>$P26*'Allocation %'!AD26</f>
        <v>0</v>
      </c>
      <c r="AL26" s="15">
        <f>$P26*'Allocation %'!AE26</f>
        <v>0</v>
      </c>
      <c r="AM26" s="15">
        <f>$P26*'Allocation %'!AF26</f>
        <v>0</v>
      </c>
      <c r="AN26" s="15">
        <f>$P26*'Allocation %'!AG26</f>
        <v>0</v>
      </c>
      <c r="AO26" s="15">
        <f>$P26*'Allocation %'!AH26</f>
        <v>0</v>
      </c>
      <c r="AP26" s="89">
        <f t="shared" si="2"/>
        <v>2884.62</v>
      </c>
      <c r="AQ26" s="19">
        <f t="shared" si="4"/>
        <v>0</v>
      </c>
    </row>
    <row r="27" spans="1:43" s="16" customFormat="1" ht="10.5" x14ac:dyDescent="0.25">
      <c r="A27" s="11">
        <v>24</v>
      </c>
      <c r="B27" s="17" t="str">
        <f>'Allocation %'!B27</f>
        <v>MCMILLIAN, Daphne L.</v>
      </c>
      <c r="C27" s="17">
        <v>24</v>
      </c>
      <c r="D27" s="17" t="str">
        <f>'Allocation %'!D27</f>
        <v>Abbott</v>
      </c>
      <c r="E27" s="17" t="str">
        <f>'Allocation %'!E27</f>
        <v>Family Worker</v>
      </c>
      <c r="F27" s="18">
        <v>1216.3599999999999</v>
      </c>
      <c r="G27" s="18">
        <f t="shared" si="0"/>
        <v>31625.359999999997</v>
      </c>
      <c r="H27" s="18"/>
      <c r="I27" s="18">
        <f t="shared" si="7"/>
        <v>31625.359999999997</v>
      </c>
      <c r="J27" s="18">
        <v>1136.3599999999999</v>
      </c>
      <c r="K27" s="18">
        <v>1196.3599999999999</v>
      </c>
      <c r="L27" s="18"/>
      <c r="M27" s="18"/>
      <c r="N27" s="18"/>
      <c r="O27" s="18"/>
      <c r="P27" s="18">
        <f t="shared" si="3"/>
        <v>2332.7199999999998</v>
      </c>
      <c r="Q27" s="15">
        <f>$P27*'Allocation %'!J27</f>
        <v>2332.7199999999998</v>
      </c>
      <c r="R27" s="15">
        <f>$P27*'Allocation %'!K27</f>
        <v>0</v>
      </c>
      <c r="S27" s="15">
        <f>$P27*'Allocation %'!L27</f>
        <v>0</v>
      </c>
      <c r="T27" s="15">
        <f>$P27*'Allocation %'!M27</f>
        <v>0</v>
      </c>
      <c r="U27" s="15">
        <f>$P27*'Allocation %'!N27</f>
        <v>0</v>
      </c>
      <c r="V27" s="15">
        <f>$P27*'Allocation %'!O27</f>
        <v>0</v>
      </c>
      <c r="W27" s="15">
        <f>$P27*'Allocation %'!P27</f>
        <v>0</v>
      </c>
      <c r="X27" s="15">
        <f>$P27*'Allocation %'!Q27</f>
        <v>0</v>
      </c>
      <c r="Y27" s="15">
        <f>$P27*'Allocation %'!R27</f>
        <v>0</v>
      </c>
      <c r="Z27" s="15">
        <f>$P27*'Allocation %'!S27</f>
        <v>0</v>
      </c>
      <c r="AA27" s="15">
        <f>$P27*'Allocation %'!T27</f>
        <v>0</v>
      </c>
      <c r="AB27" s="15">
        <f>$P27*'Allocation %'!U27</f>
        <v>0</v>
      </c>
      <c r="AC27" s="15">
        <f>$P27*'Allocation %'!V27</f>
        <v>0</v>
      </c>
      <c r="AD27" s="15">
        <f>$P27*'Allocation %'!W27</f>
        <v>0</v>
      </c>
      <c r="AE27" s="15">
        <f>$P27*'Allocation %'!X27</f>
        <v>0</v>
      </c>
      <c r="AF27" s="15">
        <f>$P27*'Allocation %'!Y27</f>
        <v>0</v>
      </c>
      <c r="AG27" s="15">
        <f>$P27*'Allocation %'!Z27</f>
        <v>0</v>
      </c>
      <c r="AH27" s="15">
        <f>$P27*'Allocation %'!AA27</f>
        <v>0</v>
      </c>
      <c r="AI27" s="15">
        <f>$P27*'Allocation %'!AB27</f>
        <v>0</v>
      </c>
      <c r="AJ27" s="15">
        <f>$P27*'Allocation %'!AC27</f>
        <v>0</v>
      </c>
      <c r="AK27" s="15">
        <f>$P27*'Allocation %'!AD27</f>
        <v>0</v>
      </c>
      <c r="AL27" s="15">
        <f>$P27*'Allocation %'!AE27</f>
        <v>0</v>
      </c>
      <c r="AM27" s="15">
        <f>$P27*'Allocation %'!AF27</f>
        <v>0</v>
      </c>
      <c r="AN27" s="15">
        <f>$P27*'Allocation %'!AG27</f>
        <v>0</v>
      </c>
      <c r="AO27" s="15">
        <f>$P27*'Allocation %'!AH27</f>
        <v>0</v>
      </c>
      <c r="AP27" s="89">
        <f t="shared" si="2"/>
        <v>2332.7199999999998</v>
      </c>
      <c r="AQ27" s="19">
        <f t="shared" si="4"/>
        <v>0</v>
      </c>
    </row>
    <row r="28" spans="1:43" s="16" customFormat="1" ht="10.5" x14ac:dyDescent="0.25">
      <c r="A28" s="11">
        <v>25</v>
      </c>
      <c r="B28" s="17" t="str">
        <f>'Allocation %'!B28</f>
        <v>Mitchell, Felicia</v>
      </c>
      <c r="C28" s="17">
        <v>25</v>
      </c>
      <c r="D28" s="17" t="str">
        <f>'Allocation %'!D28</f>
        <v>Abbott</v>
      </c>
      <c r="E28" s="17" t="str">
        <f>'Allocation %'!E28</f>
        <v>Teacher</v>
      </c>
      <c r="F28" s="18">
        <v>1114.7</v>
      </c>
      <c r="G28" s="20">
        <f>F28*$G$3</f>
        <v>28982.2</v>
      </c>
      <c r="H28" s="18"/>
      <c r="I28" s="18">
        <f t="shared" si="7"/>
        <v>28982.2</v>
      </c>
      <c r="J28" s="18">
        <v>2173.91</v>
      </c>
      <c r="K28" s="18">
        <v>2173.91</v>
      </c>
      <c r="L28" s="18"/>
      <c r="M28" s="18"/>
      <c r="N28" s="18"/>
      <c r="O28" s="18"/>
      <c r="P28" s="18">
        <f t="shared" si="3"/>
        <v>4347.82</v>
      </c>
      <c r="Q28" s="15">
        <f>$P28*'Allocation %'!J28</f>
        <v>4347.82</v>
      </c>
      <c r="R28" s="15">
        <f>$P28*'Allocation %'!K28</f>
        <v>0</v>
      </c>
      <c r="S28" s="15">
        <f>$P28*'Allocation %'!L28</f>
        <v>0</v>
      </c>
      <c r="T28" s="15">
        <f>$P28*'Allocation %'!M28</f>
        <v>0</v>
      </c>
      <c r="U28" s="15">
        <f>$P28*'Allocation %'!N28</f>
        <v>0</v>
      </c>
      <c r="V28" s="15">
        <f>$P28*'Allocation %'!O28</f>
        <v>0</v>
      </c>
      <c r="W28" s="15">
        <f>$P28*'Allocation %'!P28</f>
        <v>0</v>
      </c>
      <c r="X28" s="15">
        <f>$P28*'Allocation %'!Q28</f>
        <v>0</v>
      </c>
      <c r="Y28" s="15">
        <f>$P28*'Allocation %'!R28</f>
        <v>0</v>
      </c>
      <c r="Z28" s="15">
        <f>$P28*'Allocation %'!S28</f>
        <v>0</v>
      </c>
      <c r="AA28" s="15">
        <f>$P28*'Allocation %'!T28</f>
        <v>0</v>
      </c>
      <c r="AB28" s="15">
        <f>$P28*'Allocation %'!U28</f>
        <v>0</v>
      </c>
      <c r="AC28" s="15">
        <f>$P28*'Allocation %'!V28</f>
        <v>0</v>
      </c>
      <c r="AD28" s="15">
        <f>$P28*'Allocation %'!W28</f>
        <v>0</v>
      </c>
      <c r="AE28" s="15">
        <f>$P28*'Allocation %'!X28</f>
        <v>0</v>
      </c>
      <c r="AF28" s="15">
        <f>$P28*'Allocation %'!Y28</f>
        <v>0</v>
      </c>
      <c r="AG28" s="15">
        <f>$P28*'Allocation %'!Z28</f>
        <v>0</v>
      </c>
      <c r="AH28" s="15">
        <f>$P28*'Allocation %'!AA28</f>
        <v>0</v>
      </c>
      <c r="AI28" s="15">
        <f>$P28*'Allocation %'!AB28</f>
        <v>0</v>
      </c>
      <c r="AJ28" s="15">
        <f>$P28*'Allocation %'!AC28</f>
        <v>0</v>
      </c>
      <c r="AK28" s="15">
        <f>$P28*'Allocation %'!AD28</f>
        <v>0</v>
      </c>
      <c r="AL28" s="15">
        <f>$P28*'Allocation %'!AE28</f>
        <v>0</v>
      </c>
      <c r="AM28" s="15">
        <f>$P28*'Allocation %'!AF28</f>
        <v>0</v>
      </c>
      <c r="AN28" s="15">
        <f>$P28*'Allocation %'!AG28</f>
        <v>0</v>
      </c>
      <c r="AO28" s="15">
        <f>$P28*'Allocation %'!AH28</f>
        <v>0</v>
      </c>
      <c r="AP28" s="89">
        <f t="shared" si="2"/>
        <v>4347.82</v>
      </c>
      <c r="AQ28" s="19">
        <f t="shared" si="4"/>
        <v>0</v>
      </c>
    </row>
    <row r="29" spans="1:43" s="16" customFormat="1" ht="10.5" x14ac:dyDescent="0.25">
      <c r="A29" s="11">
        <v>26</v>
      </c>
      <c r="B29" s="17" t="str">
        <f>'Allocation %'!B29</f>
        <v>MORRIS, GWEN</v>
      </c>
      <c r="C29" s="17">
        <v>26</v>
      </c>
      <c r="D29" s="17" t="str">
        <f>'Allocation %'!D29</f>
        <v>USJP</v>
      </c>
      <c r="E29" s="17">
        <f>'Allocation %'!E29</f>
        <v>0</v>
      </c>
      <c r="F29" s="18">
        <v>2500</v>
      </c>
      <c r="G29" s="18">
        <f t="shared" si="0"/>
        <v>65000</v>
      </c>
      <c r="H29" s="18"/>
      <c r="I29" s="18">
        <f t="shared" si="7"/>
        <v>65000</v>
      </c>
      <c r="J29" s="18">
        <v>2500</v>
      </c>
      <c r="K29" s="18">
        <v>2500</v>
      </c>
      <c r="L29" s="18"/>
      <c r="M29" s="18"/>
      <c r="N29" s="18"/>
      <c r="O29" s="18"/>
      <c r="P29" s="18">
        <f t="shared" si="3"/>
        <v>5000</v>
      </c>
      <c r="Q29" s="15">
        <f>$P29*'Allocation %'!J29</f>
        <v>0</v>
      </c>
      <c r="R29" s="15">
        <f>$P29*'Allocation %'!K29</f>
        <v>0</v>
      </c>
      <c r="S29" s="15">
        <f>$P29*'Allocation %'!L29</f>
        <v>0</v>
      </c>
      <c r="T29" s="15">
        <f>$P29*'Allocation %'!M29</f>
        <v>0</v>
      </c>
      <c r="U29" s="15">
        <f>$P29*'Allocation %'!N29</f>
        <v>5000</v>
      </c>
      <c r="V29" s="15">
        <f>$P29*'Allocation %'!O29</f>
        <v>0</v>
      </c>
      <c r="W29" s="15">
        <f>$P29*'Allocation %'!P29</f>
        <v>0</v>
      </c>
      <c r="X29" s="15">
        <f>$P29*'Allocation %'!Q29</f>
        <v>0</v>
      </c>
      <c r="Y29" s="15">
        <f>$P29*'Allocation %'!R29</f>
        <v>0</v>
      </c>
      <c r="Z29" s="15">
        <f>$P29*'Allocation %'!S29</f>
        <v>0</v>
      </c>
      <c r="AA29" s="15">
        <f>$P29*'Allocation %'!T29</f>
        <v>0</v>
      </c>
      <c r="AB29" s="15">
        <f>$P29*'Allocation %'!U29</f>
        <v>0</v>
      </c>
      <c r="AC29" s="15">
        <f>$P29*'Allocation %'!V29</f>
        <v>0</v>
      </c>
      <c r="AD29" s="15">
        <f>$P29*'Allocation %'!W29</f>
        <v>0</v>
      </c>
      <c r="AE29" s="15">
        <f>$P29*'Allocation %'!X29</f>
        <v>0</v>
      </c>
      <c r="AF29" s="15">
        <f>$P29*'Allocation %'!Y29</f>
        <v>0</v>
      </c>
      <c r="AG29" s="15">
        <f>$P29*'Allocation %'!Z29</f>
        <v>0</v>
      </c>
      <c r="AH29" s="15">
        <f>$P29*'Allocation %'!AA29</f>
        <v>0</v>
      </c>
      <c r="AI29" s="15">
        <f>$P29*'Allocation %'!AB29</f>
        <v>0</v>
      </c>
      <c r="AJ29" s="15">
        <f>$P29*'Allocation %'!AC29</f>
        <v>0</v>
      </c>
      <c r="AK29" s="15">
        <f>$P29*'Allocation %'!AD29</f>
        <v>0</v>
      </c>
      <c r="AL29" s="15">
        <f>$P29*'Allocation %'!AE29</f>
        <v>0</v>
      </c>
      <c r="AM29" s="15">
        <f>$P29*'Allocation %'!AF29</f>
        <v>0</v>
      </c>
      <c r="AN29" s="15">
        <f>$P29*'Allocation %'!AG29</f>
        <v>0</v>
      </c>
      <c r="AO29" s="15">
        <f>$P29*'Allocation %'!AH29</f>
        <v>0</v>
      </c>
      <c r="AP29" s="89">
        <f t="shared" si="2"/>
        <v>5000</v>
      </c>
      <c r="AQ29" s="19">
        <f t="shared" si="4"/>
        <v>0</v>
      </c>
    </row>
    <row r="30" spans="1:43" s="16" customFormat="1" ht="10.5" x14ac:dyDescent="0.25">
      <c r="A30" s="11">
        <v>27</v>
      </c>
      <c r="B30" s="17" t="str">
        <f>'Allocation %'!B30</f>
        <v>RAMBARAN, Sharaini J.</v>
      </c>
      <c r="C30" s="17">
        <v>27</v>
      </c>
      <c r="D30" s="17" t="str">
        <f>'Allocation %'!D30</f>
        <v>Abbott</v>
      </c>
      <c r="E30" s="17" t="str">
        <f>'Allocation %'!E30</f>
        <v>Floater</v>
      </c>
      <c r="F30" s="18">
        <v>996.3</v>
      </c>
      <c r="G30" s="18">
        <f t="shared" si="0"/>
        <v>25903.8</v>
      </c>
      <c r="H30" s="18"/>
      <c r="I30" s="18">
        <f t="shared" si="7"/>
        <v>25903.8</v>
      </c>
      <c r="J30" s="18">
        <v>207.56</v>
      </c>
      <c r="K30" s="18">
        <v>899.44</v>
      </c>
      <c r="L30" s="18"/>
      <c r="M30" s="18"/>
      <c r="N30" s="18"/>
      <c r="O30" s="18"/>
      <c r="P30" s="18">
        <f t="shared" si="3"/>
        <v>1107</v>
      </c>
      <c r="Q30" s="15">
        <f>$P30*'Allocation %'!J30</f>
        <v>1107</v>
      </c>
      <c r="R30" s="15">
        <f>$P30*'Allocation %'!K30</f>
        <v>0</v>
      </c>
      <c r="S30" s="15">
        <f>$P30*'Allocation %'!L30</f>
        <v>0</v>
      </c>
      <c r="T30" s="15">
        <f>$P30*'Allocation %'!M30</f>
        <v>0</v>
      </c>
      <c r="U30" s="15">
        <f>$P30*'Allocation %'!N30</f>
        <v>0</v>
      </c>
      <c r="V30" s="15">
        <f>$P30*'Allocation %'!O30</f>
        <v>0</v>
      </c>
      <c r="W30" s="15">
        <f>$P30*'Allocation %'!P30</f>
        <v>0</v>
      </c>
      <c r="X30" s="15">
        <f>$P30*'Allocation %'!Q30</f>
        <v>0</v>
      </c>
      <c r="Y30" s="15">
        <f>$P30*'Allocation %'!R30</f>
        <v>0</v>
      </c>
      <c r="Z30" s="15">
        <f>$P30*'Allocation %'!S30</f>
        <v>0</v>
      </c>
      <c r="AA30" s="15">
        <f>$P30*'Allocation %'!T30</f>
        <v>0</v>
      </c>
      <c r="AB30" s="15">
        <f>$P30*'Allocation %'!U30</f>
        <v>0</v>
      </c>
      <c r="AC30" s="15">
        <f>$P30*'Allocation %'!V30</f>
        <v>0</v>
      </c>
      <c r="AD30" s="15">
        <f>$P30*'Allocation %'!W30</f>
        <v>0</v>
      </c>
      <c r="AE30" s="15">
        <f>$P30*'Allocation %'!X30</f>
        <v>0</v>
      </c>
      <c r="AF30" s="15">
        <f>$P30*'Allocation %'!Y30</f>
        <v>0</v>
      </c>
      <c r="AG30" s="15">
        <f>$P30*'Allocation %'!Z30</f>
        <v>0</v>
      </c>
      <c r="AH30" s="15">
        <f>$P30*'Allocation %'!AA30</f>
        <v>0</v>
      </c>
      <c r="AI30" s="15">
        <f>$P30*'Allocation %'!AB30</f>
        <v>0</v>
      </c>
      <c r="AJ30" s="15">
        <f>$P30*'Allocation %'!AC30</f>
        <v>0</v>
      </c>
      <c r="AK30" s="15">
        <f>$P30*'Allocation %'!AD30</f>
        <v>0</v>
      </c>
      <c r="AL30" s="15">
        <f>$P30*'Allocation %'!AE30</f>
        <v>0</v>
      </c>
      <c r="AM30" s="15">
        <f>$P30*'Allocation %'!AF30</f>
        <v>0</v>
      </c>
      <c r="AN30" s="15">
        <f>$P30*'Allocation %'!AG30</f>
        <v>0</v>
      </c>
      <c r="AO30" s="15">
        <f>$P30*'Allocation %'!AH30</f>
        <v>0</v>
      </c>
      <c r="AP30" s="89">
        <f t="shared" si="2"/>
        <v>1107</v>
      </c>
      <c r="AQ30" s="19">
        <f t="shared" si="4"/>
        <v>0</v>
      </c>
    </row>
    <row r="31" spans="1:43" s="16" customFormat="1" ht="10.5" x14ac:dyDescent="0.25">
      <c r="A31" s="11">
        <v>28</v>
      </c>
      <c r="B31" s="17" t="str">
        <f>'Allocation %'!B31</f>
        <v>Robbins, Leonard</v>
      </c>
      <c r="C31" s="17">
        <v>28</v>
      </c>
      <c r="D31" s="17" t="str">
        <f>'Allocation %'!D31</f>
        <v>Opportunity Corp</v>
      </c>
      <c r="E31" s="17">
        <f>'Allocation %'!E31</f>
        <v>0</v>
      </c>
      <c r="F31" s="27">
        <v>2769.23</v>
      </c>
      <c r="G31" s="27">
        <f t="shared" si="0"/>
        <v>71999.98</v>
      </c>
      <c r="H31" s="18">
        <v>3076.93</v>
      </c>
      <c r="I31" s="28">
        <f>H31*$G$3</f>
        <v>80000.179999999993</v>
      </c>
      <c r="J31" s="18"/>
      <c r="K31" s="18"/>
      <c r="L31" s="28"/>
      <c r="M31" s="28"/>
      <c r="N31" s="28"/>
      <c r="O31" s="28"/>
      <c r="P31" s="18">
        <f t="shared" si="3"/>
        <v>0</v>
      </c>
      <c r="Q31" s="15">
        <f>$P31*'Allocation %'!J31</f>
        <v>0</v>
      </c>
      <c r="R31" s="15">
        <f>$P31*'Allocation %'!K31</f>
        <v>0</v>
      </c>
      <c r="S31" s="15">
        <f>$P31*'Allocation %'!L31</f>
        <v>0</v>
      </c>
      <c r="T31" s="15">
        <f>$P31*'Allocation %'!M31</f>
        <v>0</v>
      </c>
      <c r="U31" s="15">
        <f>$P31*'Allocation %'!N31</f>
        <v>0</v>
      </c>
      <c r="V31" s="15">
        <f>$P31*'Allocation %'!O31</f>
        <v>0</v>
      </c>
      <c r="W31" s="15">
        <f>$P31*'Allocation %'!P31</f>
        <v>0</v>
      </c>
      <c r="X31" s="15">
        <f>$P31*'Allocation %'!Q31</f>
        <v>0</v>
      </c>
      <c r="Y31" s="15">
        <f>$P31*'Allocation %'!R31</f>
        <v>0</v>
      </c>
      <c r="Z31" s="15">
        <f>$P31*'Allocation %'!S31</f>
        <v>0</v>
      </c>
      <c r="AA31" s="15">
        <f>$P31*'Allocation %'!T31</f>
        <v>0</v>
      </c>
      <c r="AB31" s="15">
        <f>$P31*'Allocation %'!U31</f>
        <v>0</v>
      </c>
      <c r="AC31" s="15">
        <f>$P31*'Allocation %'!V31</f>
        <v>0</v>
      </c>
      <c r="AD31" s="15">
        <f>$P31*'Allocation %'!W31</f>
        <v>0</v>
      </c>
      <c r="AE31" s="15">
        <f>$P31*'Allocation %'!X31</f>
        <v>0</v>
      </c>
      <c r="AF31" s="15">
        <f>$P31*'Allocation %'!Y31</f>
        <v>0</v>
      </c>
      <c r="AG31" s="15">
        <f>$P31*'Allocation %'!Z31</f>
        <v>0</v>
      </c>
      <c r="AH31" s="15">
        <f>$P31*'Allocation %'!AA31</f>
        <v>0</v>
      </c>
      <c r="AI31" s="15">
        <f>$P31*'Allocation %'!AB31</f>
        <v>0</v>
      </c>
      <c r="AJ31" s="15">
        <f>$P31*'Allocation %'!AC31</f>
        <v>0</v>
      </c>
      <c r="AK31" s="15">
        <f>$P31*'Allocation %'!AD31</f>
        <v>0</v>
      </c>
      <c r="AL31" s="15">
        <f>$P31*'Allocation %'!AE31</f>
        <v>0</v>
      </c>
      <c r="AM31" s="15">
        <f>$P31*'Allocation %'!AF31</f>
        <v>0</v>
      </c>
      <c r="AN31" s="15">
        <f>$P31*'Allocation %'!AG31</f>
        <v>0</v>
      </c>
      <c r="AO31" s="15">
        <f>$P31*'Allocation %'!AH31</f>
        <v>0</v>
      </c>
      <c r="AP31" s="89">
        <f t="shared" si="2"/>
        <v>0</v>
      </c>
      <c r="AQ31" s="19">
        <f t="shared" si="4"/>
        <v>0</v>
      </c>
    </row>
    <row r="32" spans="1:43" s="16" customFormat="1" ht="10.5" x14ac:dyDescent="0.25">
      <c r="A32" s="11">
        <v>29</v>
      </c>
      <c r="B32" s="17" t="str">
        <f>'Allocation %'!B32</f>
        <v>SERMON, Patricia April</v>
      </c>
      <c r="C32" s="17">
        <v>29</v>
      </c>
      <c r="D32" s="17" t="str">
        <f>'Allocation %'!D32</f>
        <v>FOC, Housing, OICA, COO</v>
      </c>
      <c r="E32" s="17">
        <f>'Allocation %'!E32</f>
        <v>0</v>
      </c>
      <c r="F32" s="29">
        <v>3153.85</v>
      </c>
      <c r="G32" s="29">
        <f t="shared" si="0"/>
        <v>82000.099999999991</v>
      </c>
      <c r="H32" s="18">
        <v>3461.54</v>
      </c>
      <c r="I32" s="28">
        <f>H32*$G$3</f>
        <v>90000.04</v>
      </c>
      <c r="J32" s="18">
        <v>13246.39</v>
      </c>
      <c r="K32" s="18">
        <v>3461.54</v>
      </c>
      <c r="L32" s="28"/>
      <c r="M32" s="28"/>
      <c r="N32" s="28"/>
      <c r="O32" s="28"/>
      <c r="P32" s="18">
        <f t="shared" si="3"/>
        <v>16707.93</v>
      </c>
      <c r="Q32" s="15">
        <f>$P32*'Allocation %'!J32</f>
        <v>0</v>
      </c>
      <c r="R32" s="15">
        <f>$P32*'Allocation %'!K32</f>
        <v>0</v>
      </c>
      <c r="S32" s="15">
        <f>$P32*'Allocation %'!L32</f>
        <v>0</v>
      </c>
      <c r="T32" s="15">
        <f>$P32*'Allocation %'!M32</f>
        <v>0</v>
      </c>
      <c r="U32" s="15">
        <f>$P32*'Allocation %'!N32</f>
        <v>3341.5860000000002</v>
      </c>
      <c r="V32" s="15">
        <f>$P32*'Allocation %'!O32</f>
        <v>0</v>
      </c>
      <c r="W32" s="15">
        <f>$P32*'Allocation %'!P32</f>
        <v>4009.9031999999997</v>
      </c>
      <c r="X32" s="15">
        <f>$P32*'Allocation %'!Q32</f>
        <v>0</v>
      </c>
      <c r="Y32" s="15">
        <f>$P32*'Allocation %'!R32</f>
        <v>0</v>
      </c>
      <c r="Z32" s="15">
        <f>$P32*'Allocation %'!S32</f>
        <v>0</v>
      </c>
      <c r="AA32" s="15">
        <f>$P32*'Allocation %'!T32</f>
        <v>835.39650000000006</v>
      </c>
      <c r="AB32" s="15">
        <f>$P32*'Allocation %'!U32</f>
        <v>668.31720000000007</v>
      </c>
      <c r="AC32" s="15">
        <f>$P32*'Allocation %'!V32</f>
        <v>334.15860000000004</v>
      </c>
      <c r="AD32" s="15">
        <f>$P32*'Allocation %'!W32</f>
        <v>1002.4757999999999</v>
      </c>
      <c r="AE32" s="15">
        <f>$P32*'Allocation %'!X32</f>
        <v>6516.0927000000001</v>
      </c>
      <c r="AF32" s="15">
        <f>$P32*'Allocation %'!Y32</f>
        <v>0</v>
      </c>
      <c r="AG32" s="15">
        <f>$P32*'Allocation %'!Z32</f>
        <v>0</v>
      </c>
      <c r="AH32" s="15">
        <f>$P32*'Allocation %'!AA32</f>
        <v>0</v>
      </c>
      <c r="AI32" s="15">
        <f>$P32*'Allocation %'!AB32</f>
        <v>0</v>
      </c>
      <c r="AJ32" s="15">
        <f>$P32*'Allocation %'!AC32</f>
        <v>0</v>
      </c>
      <c r="AK32" s="15">
        <f>$P32*'Allocation %'!AD32</f>
        <v>0</v>
      </c>
      <c r="AL32" s="15">
        <f>$P32*'Allocation %'!AE32</f>
        <v>0</v>
      </c>
      <c r="AM32" s="15">
        <f>$P32*'Allocation %'!AF32</f>
        <v>0</v>
      </c>
      <c r="AN32" s="15">
        <f>$P32*'Allocation %'!AG32</f>
        <v>0</v>
      </c>
      <c r="AO32" s="15">
        <f>$P32*'Allocation %'!AH32</f>
        <v>0</v>
      </c>
      <c r="AP32" s="89">
        <f t="shared" si="2"/>
        <v>16707.93</v>
      </c>
      <c r="AQ32" s="19">
        <f t="shared" si="4"/>
        <v>0</v>
      </c>
    </row>
    <row r="33" spans="1:43" s="16" customFormat="1" ht="10.5" x14ac:dyDescent="0.25">
      <c r="A33" s="11">
        <v>30</v>
      </c>
      <c r="B33" s="17" t="str">
        <f>'Allocation %'!B33</f>
        <v>SHARIF, Darrin S. - April</v>
      </c>
      <c r="C33" s="17">
        <v>30</v>
      </c>
      <c r="D33" s="17" t="str">
        <f>'Allocation %'!D33</f>
        <v>Admin, Coding, WF</v>
      </c>
      <c r="E33" s="17">
        <f>'Allocation %'!E33</f>
        <v>0</v>
      </c>
      <c r="F33" s="27">
        <v>3269</v>
      </c>
      <c r="G33" s="27">
        <f t="shared" si="0"/>
        <v>84994</v>
      </c>
      <c r="H33" s="18"/>
      <c r="I33" s="18">
        <f t="shared" ref="I33:I39" si="8">SUM(G33:H33)</f>
        <v>84994</v>
      </c>
      <c r="J33" s="18">
        <v>8269</v>
      </c>
      <c r="K33" s="18">
        <v>3269</v>
      </c>
      <c r="L33" s="18"/>
      <c r="M33" s="18"/>
      <c r="N33" s="18"/>
      <c r="O33" s="18"/>
      <c r="P33" s="18">
        <f t="shared" si="3"/>
        <v>11538</v>
      </c>
      <c r="Q33" s="15">
        <f>$P33*'Allocation %'!J33</f>
        <v>0</v>
      </c>
      <c r="R33" s="15">
        <f>$P33*'Allocation %'!K33</f>
        <v>0</v>
      </c>
      <c r="S33" s="15">
        <f>$P33*'Allocation %'!L33</f>
        <v>0</v>
      </c>
      <c r="T33" s="15">
        <f>$P33*'Allocation %'!M33</f>
        <v>0</v>
      </c>
      <c r="U33" s="15">
        <f>$P33*'Allocation %'!N33</f>
        <v>0</v>
      </c>
      <c r="V33" s="15">
        <f>$P33*'Allocation %'!O33</f>
        <v>0</v>
      </c>
      <c r="W33" s="15">
        <f>$P33*'Allocation %'!P33</f>
        <v>0</v>
      </c>
      <c r="X33" s="15">
        <f>$P33*'Allocation %'!Q33</f>
        <v>0</v>
      </c>
      <c r="Y33" s="15">
        <f>$P33*'Allocation %'!R33</f>
        <v>0</v>
      </c>
      <c r="Z33" s="15">
        <f>$P33*'Allocation %'!S33</f>
        <v>0</v>
      </c>
      <c r="AA33" s="15">
        <f>$P33*'Allocation %'!T33</f>
        <v>0</v>
      </c>
      <c r="AB33" s="15">
        <f>$P33*'Allocation %'!U33</f>
        <v>0</v>
      </c>
      <c r="AC33" s="15">
        <f>$P33*'Allocation %'!V33</f>
        <v>0</v>
      </c>
      <c r="AD33" s="15">
        <f>$P33*'Allocation %'!W33</f>
        <v>0</v>
      </c>
      <c r="AE33" s="15">
        <f>$P33*'Allocation %'!X33</f>
        <v>0</v>
      </c>
      <c r="AF33" s="15">
        <f>$P33*'Allocation %'!Y33</f>
        <v>0</v>
      </c>
      <c r="AG33" s="15">
        <f>$P33*'Allocation %'!Z33</f>
        <v>0</v>
      </c>
      <c r="AH33" s="15">
        <f>$P33*'Allocation %'!AA33</f>
        <v>3115.26</v>
      </c>
      <c r="AI33" s="15">
        <f>$P33*'Allocation %'!AB33</f>
        <v>3346.02</v>
      </c>
      <c r="AJ33" s="15">
        <f>$P33*'Allocation %'!AC33</f>
        <v>5076.72</v>
      </c>
      <c r="AK33" s="15">
        <f>$P33*'Allocation %'!AD33</f>
        <v>0</v>
      </c>
      <c r="AL33" s="15">
        <f>$P33*'Allocation %'!AE33</f>
        <v>0</v>
      </c>
      <c r="AM33" s="15">
        <f>$P33*'Allocation %'!AF33</f>
        <v>0</v>
      </c>
      <c r="AN33" s="15">
        <f>$P33*'Allocation %'!AG33</f>
        <v>0</v>
      </c>
      <c r="AO33" s="15">
        <f>$P33*'Allocation %'!AH33</f>
        <v>0</v>
      </c>
      <c r="AP33" s="89">
        <f t="shared" si="2"/>
        <v>11538</v>
      </c>
      <c r="AQ33" s="19">
        <f t="shared" si="4"/>
        <v>0</v>
      </c>
    </row>
    <row r="34" spans="1:43" s="16" customFormat="1" ht="10.5" x14ac:dyDescent="0.25">
      <c r="A34" s="11">
        <v>31</v>
      </c>
      <c r="B34" s="17" t="str">
        <f>'Allocation %'!B34</f>
        <v>SIMMONS, Bertrilla R.</v>
      </c>
      <c r="C34" s="17">
        <v>31</v>
      </c>
      <c r="D34" s="17" t="str">
        <f>'Allocation %'!D34</f>
        <v>Abbott</v>
      </c>
      <c r="E34" s="17" t="str">
        <f>'Allocation %'!E34</f>
        <v>Teacher</v>
      </c>
      <c r="F34" s="27">
        <v>2684.05</v>
      </c>
      <c r="G34" s="32">
        <f t="shared" si="0"/>
        <v>69785.3</v>
      </c>
      <c r="H34" s="18"/>
      <c r="I34" s="18">
        <f t="shared" si="8"/>
        <v>69785.3</v>
      </c>
      <c r="J34" s="18">
        <v>2684.05</v>
      </c>
      <c r="K34" s="18">
        <v>2684.05</v>
      </c>
      <c r="L34" s="18"/>
      <c r="M34" s="18"/>
      <c r="N34" s="18"/>
      <c r="O34" s="18"/>
      <c r="P34" s="18">
        <f t="shared" si="3"/>
        <v>5368.1</v>
      </c>
      <c r="Q34" s="15">
        <f>$P34*'Allocation %'!J34</f>
        <v>5368.1</v>
      </c>
      <c r="R34" s="15">
        <f>$P34*'Allocation %'!K34</f>
        <v>0</v>
      </c>
      <c r="S34" s="15">
        <f>$P34*'Allocation %'!L34</f>
        <v>0</v>
      </c>
      <c r="T34" s="15">
        <f>$P34*'Allocation %'!M34</f>
        <v>0</v>
      </c>
      <c r="U34" s="15">
        <f>$P34*'Allocation %'!N34</f>
        <v>0</v>
      </c>
      <c r="V34" s="15">
        <f>$P34*'Allocation %'!O34</f>
        <v>0</v>
      </c>
      <c r="W34" s="15">
        <f>$P34*'Allocation %'!P34</f>
        <v>0</v>
      </c>
      <c r="X34" s="15">
        <f>$P34*'Allocation %'!Q34</f>
        <v>0</v>
      </c>
      <c r="Y34" s="15">
        <f>$P34*'Allocation %'!R34</f>
        <v>0</v>
      </c>
      <c r="Z34" s="15">
        <f>$P34*'Allocation %'!S34</f>
        <v>0</v>
      </c>
      <c r="AA34" s="15">
        <f>$P34*'Allocation %'!T34</f>
        <v>0</v>
      </c>
      <c r="AB34" s="15">
        <f>$P34*'Allocation %'!U34</f>
        <v>0</v>
      </c>
      <c r="AC34" s="15">
        <f>$P34*'Allocation %'!V34</f>
        <v>0</v>
      </c>
      <c r="AD34" s="15">
        <f>$P34*'Allocation %'!W34</f>
        <v>0</v>
      </c>
      <c r="AE34" s="15">
        <f>$P34*'Allocation %'!X34</f>
        <v>0</v>
      </c>
      <c r="AF34" s="15">
        <f>$P34*'Allocation %'!Y34</f>
        <v>0</v>
      </c>
      <c r="AG34" s="15">
        <f>$P34*'Allocation %'!Z34</f>
        <v>0</v>
      </c>
      <c r="AH34" s="15">
        <f>$P34*'Allocation %'!AA34</f>
        <v>0</v>
      </c>
      <c r="AI34" s="15">
        <f>$P34*'Allocation %'!AB34</f>
        <v>0</v>
      </c>
      <c r="AJ34" s="15">
        <f>$P34*'Allocation %'!AC34</f>
        <v>0</v>
      </c>
      <c r="AK34" s="15">
        <f>$P34*'Allocation %'!AD34</f>
        <v>0</v>
      </c>
      <c r="AL34" s="15">
        <f>$P34*'Allocation %'!AE34</f>
        <v>0</v>
      </c>
      <c r="AM34" s="15">
        <f>$P34*'Allocation %'!AF34</f>
        <v>0</v>
      </c>
      <c r="AN34" s="15">
        <f>$P34*'Allocation %'!AG34</f>
        <v>0</v>
      </c>
      <c r="AO34" s="15">
        <f>$P34*'Allocation %'!AH34</f>
        <v>0</v>
      </c>
      <c r="AP34" s="89">
        <f t="shared" si="2"/>
        <v>5368.1</v>
      </c>
      <c r="AQ34" s="19">
        <f t="shared" si="4"/>
        <v>0</v>
      </c>
    </row>
    <row r="35" spans="1:43" s="16" customFormat="1" ht="10.5" x14ac:dyDescent="0.25">
      <c r="A35" s="11">
        <v>32</v>
      </c>
      <c r="B35" s="17" t="str">
        <f>'Allocation %'!B35</f>
        <v>STEWART, Robin D</v>
      </c>
      <c r="C35" s="17">
        <v>32</v>
      </c>
      <c r="D35" s="17" t="str">
        <f>'Allocation %'!D35</f>
        <v>Abbott</v>
      </c>
      <c r="E35" s="17" t="str">
        <f>'Allocation %'!E35</f>
        <v>Teacher Asst</v>
      </c>
      <c r="F35" s="27">
        <v>1611.08</v>
      </c>
      <c r="G35" s="27">
        <f>F35*$G$3</f>
        <v>41888.080000000002</v>
      </c>
      <c r="H35" s="18"/>
      <c r="I35" s="18">
        <f t="shared" si="8"/>
        <v>41888.080000000002</v>
      </c>
      <c r="J35" s="18">
        <v>1629.78</v>
      </c>
      <c r="K35" s="18">
        <v>1579.24</v>
      </c>
      <c r="L35" s="18"/>
      <c r="M35" s="18"/>
      <c r="N35" s="18"/>
      <c r="O35" s="18"/>
      <c r="P35" s="18">
        <f t="shared" si="3"/>
        <v>3209.02</v>
      </c>
      <c r="Q35" s="15">
        <f>$P35*'Allocation %'!J35</f>
        <v>3209.02</v>
      </c>
      <c r="R35" s="15">
        <f>$P35*'Allocation %'!K35</f>
        <v>0</v>
      </c>
      <c r="S35" s="15">
        <f>$P35*'Allocation %'!L35</f>
        <v>0</v>
      </c>
      <c r="T35" s="15">
        <f>$P35*'Allocation %'!M35</f>
        <v>0</v>
      </c>
      <c r="U35" s="15">
        <f>$P35*'Allocation %'!N35</f>
        <v>0</v>
      </c>
      <c r="V35" s="15">
        <f>$P35*'Allocation %'!O35</f>
        <v>0</v>
      </c>
      <c r="W35" s="15">
        <f>$P35*'Allocation %'!P35</f>
        <v>0</v>
      </c>
      <c r="X35" s="15">
        <f>$P35*'Allocation %'!Q35</f>
        <v>0</v>
      </c>
      <c r="Y35" s="15">
        <f>$P35*'Allocation %'!R35</f>
        <v>0</v>
      </c>
      <c r="Z35" s="15">
        <f>$P35*'Allocation %'!S35</f>
        <v>0</v>
      </c>
      <c r="AA35" s="15">
        <f>$P35*'Allocation %'!T35</f>
        <v>0</v>
      </c>
      <c r="AB35" s="15">
        <f>$P35*'Allocation %'!U35</f>
        <v>0</v>
      </c>
      <c r="AC35" s="15">
        <f>$P35*'Allocation %'!V35</f>
        <v>0</v>
      </c>
      <c r="AD35" s="15">
        <f>$P35*'Allocation %'!W35</f>
        <v>0</v>
      </c>
      <c r="AE35" s="15">
        <f>$P35*'Allocation %'!X35</f>
        <v>0</v>
      </c>
      <c r="AF35" s="15">
        <f>$P35*'Allocation %'!Y35</f>
        <v>0</v>
      </c>
      <c r="AG35" s="15">
        <f>$P35*'Allocation %'!Z35</f>
        <v>0</v>
      </c>
      <c r="AH35" s="15">
        <f>$P35*'Allocation %'!AA35</f>
        <v>0</v>
      </c>
      <c r="AI35" s="15">
        <f>$P35*'Allocation %'!AB35</f>
        <v>0</v>
      </c>
      <c r="AJ35" s="15">
        <f>$P35*'Allocation %'!AC35</f>
        <v>0</v>
      </c>
      <c r="AK35" s="15">
        <f>$P35*'Allocation %'!AD35</f>
        <v>0</v>
      </c>
      <c r="AL35" s="15">
        <f>$P35*'Allocation %'!AE35</f>
        <v>0</v>
      </c>
      <c r="AM35" s="15">
        <f>$P35*'Allocation %'!AF35</f>
        <v>0</v>
      </c>
      <c r="AN35" s="15">
        <f>$P35*'Allocation %'!AG35</f>
        <v>0</v>
      </c>
      <c r="AO35" s="15">
        <f>$P35*'Allocation %'!AH35</f>
        <v>0</v>
      </c>
      <c r="AP35" s="89">
        <f t="shared" si="2"/>
        <v>3209.02</v>
      </c>
      <c r="AQ35" s="19">
        <f t="shared" si="4"/>
        <v>0</v>
      </c>
    </row>
    <row r="36" spans="1:43" s="16" customFormat="1" ht="10.5" x14ac:dyDescent="0.25">
      <c r="A36" s="11">
        <v>33</v>
      </c>
      <c r="B36" s="17" t="str">
        <f>'Allocation %'!B36</f>
        <v>TYLER, Patricia</v>
      </c>
      <c r="C36" s="17">
        <v>33</v>
      </c>
      <c r="D36" s="17" t="str">
        <f>'Allocation %'!D36</f>
        <v>Abbott</v>
      </c>
      <c r="E36" s="17" t="str">
        <f>'Allocation %'!E36</f>
        <v>Cook</v>
      </c>
      <c r="F36" s="27">
        <v>454.96</v>
      </c>
      <c r="G36" s="27">
        <f t="shared" si="0"/>
        <v>11828.96</v>
      </c>
      <c r="H36" s="18"/>
      <c r="I36" s="18">
        <f t="shared" si="8"/>
        <v>11828.96</v>
      </c>
      <c r="J36" s="18">
        <v>161.69999999999999</v>
      </c>
      <c r="K36" s="18">
        <v>605</v>
      </c>
      <c r="L36" s="18"/>
      <c r="M36" s="18"/>
      <c r="N36" s="18"/>
      <c r="O36" s="18"/>
      <c r="P36" s="18">
        <f t="shared" si="3"/>
        <v>766.7</v>
      </c>
      <c r="Q36" s="15">
        <f>$P36*'Allocation %'!J36</f>
        <v>766.7</v>
      </c>
      <c r="R36" s="15">
        <f>$P36*'Allocation %'!K36</f>
        <v>0</v>
      </c>
      <c r="S36" s="15">
        <f>$P36*'Allocation %'!L36</f>
        <v>0</v>
      </c>
      <c r="T36" s="15">
        <f>$P36*'Allocation %'!M36</f>
        <v>0</v>
      </c>
      <c r="U36" s="15">
        <f>$P36*'Allocation %'!N36</f>
        <v>0</v>
      </c>
      <c r="V36" s="15">
        <f>$P36*'Allocation %'!O36</f>
        <v>0</v>
      </c>
      <c r="W36" s="15">
        <f>$P36*'Allocation %'!P36</f>
        <v>0</v>
      </c>
      <c r="X36" s="15">
        <f>$P36*'Allocation %'!Q36</f>
        <v>0</v>
      </c>
      <c r="Y36" s="15">
        <f>$P36*'Allocation %'!R36</f>
        <v>0</v>
      </c>
      <c r="Z36" s="15">
        <f>$P36*'Allocation %'!S36</f>
        <v>0</v>
      </c>
      <c r="AA36" s="15">
        <f>$P36*'Allocation %'!T36</f>
        <v>0</v>
      </c>
      <c r="AB36" s="15">
        <f>$P36*'Allocation %'!U36</f>
        <v>0</v>
      </c>
      <c r="AC36" s="15">
        <f>$P36*'Allocation %'!V36</f>
        <v>0</v>
      </c>
      <c r="AD36" s="15">
        <f>$P36*'Allocation %'!W36</f>
        <v>0</v>
      </c>
      <c r="AE36" s="15">
        <f>$P36*'Allocation %'!X36</f>
        <v>0</v>
      </c>
      <c r="AF36" s="15">
        <f>$P36*'Allocation %'!Y36</f>
        <v>0</v>
      </c>
      <c r="AG36" s="15">
        <f>$P36*'Allocation %'!Z36</f>
        <v>0</v>
      </c>
      <c r="AH36" s="15">
        <f>$P36*'Allocation %'!AA36</f>
        <v>0</v>
      </c>
      <c r="AI36" s="15">
        <f>$P36*'Allocation %'!AB36</f>
        <v>0</v>
      </c>
      <c r="AJ36" s="15">
        <f>$P36*'Allocation %'!AC36</f>
        <v>0</v>
      </c>
      <c r="AK36" s="15">
        <f>$P36*'Allocation %'!AD36</f>
        <v>0</v>
      </c>
      <c r="AL36" s="15">
        <f>$P36*'Allocation %'!AE36</f>
        <v>0</v>
      </c>
      <c r="AM36" s="15">
        <f>$P36*'Allocation %'!AF36</f>
        <v>0</v>
      </c>
      <c r="AN36" s="15">
        <f>$P36*'Allocation %'!AG36</f>
        <v>0</v>
      </c>
      <c r="AO36" s="15">
        <f>$P36*'Allocation %'!AH36</f>
        <v>0</v>
      </c>
      <c r="AP36" s="89">
        <f t="shared" si="2"/>
        <v>766.7</v>
      </c>
      <c r="AQ36" s="19">
        <f t="shared" si="4"/>
        <v>0</v>
      </c>
    </row>
    <row r="37" spans="1:43" s="16" customFormat="1" ht="10.5" x14ac:dyDescent="0.25">
      <c r="A37" s="11">
        <v>34</v>
      </c>
      <c r="B37" s="17" t="str">
        <f>'Allocation %'!B37</f>
        <v>WARD, Richard G. - Off Jan 1</v>
      </c>
      <c r="C37" s="17">
        <v>34</v>
      </c>
      <c r="D37" s="17" t="str">
        <f>'Allocation %'!D37</f>
        <v>Admin</v>
      </c>
      <c r="E37" s="17">
        <f>'Allocation %'!E37</f>
        <v>0</v>
      </c>
      <c r="F37" s="29">
        <v>4230.7700000000004</v>
      </c>
      <c r="G37" s="29">
        <f t="shared" si="0"/>
        <v>110000.02000000002</v>
      </c>
      <c r="H37" s="18"/>
      <c r="I37" s="22">
        <f t="shared" si="8"/>
        <v>110000.02000000002</v>
      </c>
      <c r="J37" s="18">
        <v>4230.7700000000004</v>
      </c>
      <c r="K37" s="18">
        <v>4230.7700000000004</v>
      </c>
      <c r="L37" s="22"/>
      <c r="M37" s="22"/>
      <c r="N37" s="22"/>
      <c r="O37" s="22"/>
      <c r="P37" s="18">
        <f t="shared" si="3"/>
        <v>8461.5400000000009</v>
      </c>
      <c r="Q37" s="15">
        <f>$P37*'Allocation %'!J37</f>
        <v>0</v>
      </c>
      <c r="R37" s="15">
        <f>$P37*'Allocation %'!K37</f>
        <v>0</v>
      </c>
      <c r="S37" s="15">
        <f>$P37*'Allocation %'!L37</f>
        <v>0</v>
      </c>
      <c r="T37" s="15">
        <f>$P37*'Allocation %'!M37</f>
        <v>0</v>
      </c>
      <c r="U37" s="15">
        <f>$P37*'Allocation %'!N37</f>
        <v>0</v>
      </c>
      <c r="V37" s="15">
        <f>$P37*'Allocation %'!O37</f>
        <v>0</v>
      </c>
      <c r="W37" s="15">
        <f>$P37*'Allocation %'!P37</f>
        <v>0</v>
      </c>
      <c r="X37" s="15">
        <f>$P37*'Allocation %'!Q37</f>
        <v>0</v>
      </c>
      <c r="Y37" s="15">
        <f>$P37*'Allocation %'!R37</f>
        <v>0</v>
      </c>
      <c r="Z37" s="15">
        <f>$P37*'Allocation %'!S37</f>
        <v>0</v>
      </c>
      <c r="AA37" s="15">
        <f>$P37*'Allocation %'!T37</f>
        <v>0</v>
      </c>
      <c r="AB37" s="15">
        <f>$P37*'Allocation %'!U37</f>
        <v>0</v>
      </c>
      <c r="AC37" s="15">
        <f>$P37*'Allocation %'!V37</f>
        <v>0</v>
      </c>
      <c r="AD37" s="15">
        <f>$P37*'Allocation %'!W37</f>
        <v>0</v>
      </c>
      <c r="AE37" s="15">
        <f>$P37*'Allocation %'!X37</f>
        <v>0</v>
      </c>
      <c r="AF37" s="15">
        <f>$P37*'Allocation %'!Y37</f>
        <v>0</v>
      </c>
      <c r="AG37" s="15">
        <f>$P37*'Allocation %'!Z37</f>
        <v>0</v>
      </c>
      <c r="AH37" s="15">
        <f>$P37*'Allocation %'!AA37</f>
        <v>169.23080000000002</v>
      </c>
      <c r="AI37" s="15">
        <f>$P37*'Allocation %'!AB37</f>
        <v>761.53860000000009</v>
      </c>
      <c r="AJ37" s="15">
        <f>$P37*'Allocation %'!AC37</f>
        <v>0</v>
      </c>
      <c r="AK37" s="15">
        <f>$P37*'Allocation %'!AD37</f>
        <v>0</v>
      </c>
      <c r="AL37" s="15">
        <f>$P37*'Allocation %'!AE37</f>
        <v>7530.7706000000007</v>
      </c>
      <c r="AM37" s="15">
        <f>$P37*'Allocation %'!AF37</f>
        <v>0</v>
      </c>
      <c r="AN37" s="15">
        <f>$P37*'Allocation %'!AG37</f>
        <v>0</v>
      </c>
      <c r="AO37" s="15">
        <f>$P37*'Allocation %'!AH37</f>
        <v>0</v>
      </c>
      <c r="AP37" s="89">
        <f t="shared" si="2"/>
        <v>8461.5400000000009</v>
      </c>
      <c r="AQ37" s="19">
        <f t="shared" si="4"/>
        <v>0</v>
      </c>
    </row>
    <row r="38" spans="1:43" s="16" customFormat="1" ht="10.5" x14ac:dyDescent="0.25">
      <c r="A38" s="11">
        <v>35</v>
      </c>
      <c r="B38" s="17" t="str">
        <f>'Allocation %'!B38</f>
        <v xml:space="preserve">Williams, Kyneisha - Career Coach </v>
      </c>
      <c r="C38" s="17">
        <v>35</v>
      </c>
      <c r="D38" s="17" t="str">
        <f>'Allocation %'!D38</f>
        <v>United Airlines, PACE June 30</v>
      </c>
      <c r="E38" s="17">
        <f>'Allocation %'!E38</f>
        <v>0</v>
      </c>
      <c r="F38" s="27">
        <v>1538.47</v>
      </c>
      <c r="G38" s="27">
        <f>F38*$G$3</f>
        <v>40000.22</v>
      </c>
      <c r="H38" s="18"/>
      <c r="I38" s="18">
        <f>SUM(G38:H38)</f>
        <v>40000.22</v>
      </c>
      <c r="J38" s="18">
        <v>1538.47</v>
      </c>
      <c r="K38" s="18">
        <v>1538.47</v>
      </c>
      <c r="L38" s="18"/>
      <c r="M38" s="18"/>
      <c r="N38" s="18"/>
      <c r="O38" s="18"/>
      <c r="P38" s="18">
        <f t="shared" si="3"/>
        <v>3076.94</v>
      </c>
      <c r="Q38" s="15">
        <f>$P38*'Allocation %'!J38</f>
        <v>0</v>
      </c>
      <c r="R38" s="15">
        <f>$P38*'Allocation %'!K38</f>
        <v>0</v>
      </c>
      <c r="S38" s="15">
        <f>$P38*'Allocation %'!L38</f>
        <v>0</v>
      </c>
      <c r="T38" s="15">
        <f>$P38*'Allocation %'!M38</f>
        <v>0</v>
      </c>
      <c r="U38" s="15">
        <f>$P38*'Allocation %'!N38</f>
        <v>0</v>
      </c>
      <c r="V38" s="15">
        <f>$P38*'Allocation %'!O38</f>
        <v>0</v>
      </c>
      <c r="W38" s="15">
        <f>$P38*'Allocation %'!P38</f>
        <v>0</v>
      </c>
      <c r="X38" s="15">
        <f>$P38*'Allocation %'!Q38</f>
        <v>3076.94</v>
      </c>
      <c r="Y38" s="15">
        <f>$P38*'Allocation %'!R38</f>
        <v>0</v>
      </c>
      <c r="Z38" s="15">
        <f>$P38*'Allocation %'!S38</f>
        <v>0</v>
      </c>
      <c r="AA38" s="15">
        <f>$P38*'Allocation %'!T38</f>
        <v>0</v>
      </c>
      <c r="AB38" s="15">
        <f>$P38*'Allocation %'!U38</f>
        <v>0</v>
      </c>
      <c r="AC38" s="15">
        <f>$P38*'Allocation %'!V38</f>
        <v>0</v>
      </c>
      <c r="AD38" s="15">
        <f>$P38*'Allocation %'!W38</f>
        <v>0</v>
      </c>
      <c r="AE38" s="15">
        <f>$P38*'Allocation %'!X38</f>
        <v>0</v>
      </c>
      <c r="AF38" s="15">
        <f>$P38*'Allocation %'!Y38</f>
        <v>0</v>
      </c>
      <c r="AG38" s="15">
        <f>$P38*'Allocation %'!Z38</f>
        <v>0</v>
      </c>
      <c r="AH38" s="15">
        <f>$P38*'Allocation %'!AA38</f>
        <v>0</v>
      </c>
      <c r="AI38" s="15">
        <f>$P38*'Allocation %'!AB38</f>
        <v>0</v>
      </c>
      <c r="AJ38" s="15">
        <f>$P38*'Allocation %'!AC38</f>
        <v>0</v>
      </c>
      <c r="AK38" s="15">
        <f>$P38*'Allocation %'!AD38</f>
        <v>0</v>
      </c>
      <c r="AL38" s="15">
        <f>$P38*'Allocation %'!AE38</f>
        <v>0</v>
      </c>
      <c r="AM38" s="15">
        <f>$P38*'Allocation %'!AF38</f>
        <v>0</v>
      </c>
      <c r="AN38" s="15">
        <f>$P38*'Allocation %'!AG38</f>
        <v>0</v>
      </c>
      <c r="AO38" s="15">
        <f>$P38*'Allocation %'!AH38</f>
        <v>0</v>
      </c>
      <c r="AP38" s="89">
        <f t="shared" si="2"/>
        <v>3076.94</v>
      </c>
      <c r="AQ38" s="19">
        <f t="shared" si="4"/>
        <v>0</v>
      </c>
    </row>
    <row r="39" spans="1:43" s="16" customFormat="1" ht="10.5" x14ac:dyDescent="0.25">
      <c r="A39" s="11">
        <v>36</v>
      </c>
      <c r="B39" s="17" t="str">
        <f>'Allocation %'!B39</f>
        <v>WOODRIDGE, Rosalind</v>
      </c>
      <c r="C39" s="17">
        <v>36</v>
      </c>
      <c r="D39" s="17" t="str">
        <f>'Allocation %'!D39</f>
        <v>Wrap</v>
      </c>
      <c r="E39" s="17" t="str">
        <f>'Allocation %'!E39</f>
        <v>Wrap Teacher</v>
      </c>
      <c r="F39" s="18">
        <v>510</v>
      </c>
      <c r="G39" s="18">
        <f t="shared" si="0"/>
        <v>13260</v>
      </c>
      <c r="H39" s="18"/>
      <c r="I39" s="18">
        <f t="shared" si="8"/>
        <v>13260</v>
      </c>
      <c r="J39" s="18">
        <v>157.5</v>
      </c>
      <c r="K39" s="18">
        <v>528</v>
      </c>
      <c r="L39" s="18"/>
      <c r="M39" s="18"/>
      <c r="N39" s="18"/>
      <c r="O39" s="18"/>
      <c r="P39" s="18">
        <f t="shared" si="3"/>
        <v>685.5</v>
      </c>
      <c r="Q39" s="15">
        <f>$P39*'Allocation %'!J39</f>
        <v>0</v>
      </c>
      <c r="R39" s="15">
        <f>$P39*'Allocation %'!K39</f>
        <v>0</v>
      </c>
      <c r="S39" s="15">
        <f>$P39*'Allocation %'!L39</f>
        <v>685.5</v>
      </c>
      <c r="T39" s="15">
        <f>$P39*'Allocation %'!M39</f>
        <v>0</v>
      </c>
      <c r="U39" s="15">
        <f>$P39*'Allocation %'!N39</f>
        <v>0</v>
      </c>
      <c r="V39" s="15">
        <f>$P39*'Allocation %'!O39</f>
        <v>0</v>
      </c>
      <c r="W39" s="15">
        <f>$P39*'Allocation %'!P39</f>
        <v>0</v>
      </c>
      <c r="X39" s="15">
        <f>$P39*'Allocation %'!Q39</f>
        <v>0</v>
      </c>
      <c r="Y39" s="15">
        <f>$P39*'Allocation %'!R39</f>
        <v>0</v>
      </c>
      <c r="Z39" s="15">
        <f>$P39*'Allocation %'!S39</f>
        <v>0</v>
      </c>
      <c r="AA39" s="15">
        <f>$P39*'Allocation %'!T39</f>
        <v>0</v>
      </c>
      <c r="AB39" s="15">
        <f>$P39*'Allocation %'!U39</f>
        <v>0</v>
      </c>
      <c r="AC39" s="15">
        <f>$P39*'Allocation %'!V39</f>
        <v>0</v>
      </c>
      <c r="AD39" s="15">
        <f>$P39*'Allocation %'!W39</f>
        <v>0</v>
      </c>
      <c r="AE39" s="15">
        <f>$P39*'Allocation %'!X39</f>
        <v>0</v>
      </c>
      <c r="AF39" s="15">
        <f>$P39*'Allocation %'!Y39</f>
        <v>0</v>
      </c>
      <c r="AG39" s="15">
        <f>$P39*'Allocation %'!Z39</f>
        <v>0</v>
      </c>
      <c r="AH39" s="15">
        <f>$P39*'Allocation %'!AA39</f>
        <v>0</v>
      </c>
      <c r="AI39" s="15">
        <f>$P39*'Allocation %'!AB39</f>
        <v>0</v>
      </c>
      <c r="AJ39" s="15">
        <f>$P39*'Allocation %'!AC39</f>
        <v>0</v>
      </c>
      <c r="AK39" s="15">
        <f>$P39*'Allocation %'!AD39</f>
        <v>0</v>
      </c>
      <c r="AL39" s="15">
        <f>$P39*'Allocation %'!AE39</f>
        <v>0</v>
      </c>
      <c r="AM39" s="15">
        <f>$P39*'Allocation %'!AF39</f>
        <v>0</v>
      </c>
      <c r="AN39" s="15">
        <f>$P39*'Allocation %'!AG39</f>
        <v>0</v>
      </c>
      <c r="AO39" s="15">
        <f>$P39*'Allocation %'!AH39</f>
        <v>0</v>
      </c>
      <c r="AP39" s="89">
        <f t="shared" si="2"/>
        <v>685.5</v>
      </c>
      <c r="AQ39" s="19">
        <f t="shared" si="4"/>
        <v>0</v>
      </c>
    </row>
    <row r="40" spans="1:43" s="16" customFormat="1" ht="10.5" x14ac:dyDescent="0.25">
      <c r="A40" s="11"/>
      <c r="B40" s="17"/>
      <c r="C40" s="17"/>
      <c r="D40" s="17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f t="shared" si="3"/>
        <v>0</v>
      </c>
      <c r="Q40" s="15">
        <f>$P40*'Allocation %'!J40</f>
        <v>0</v>
      </c>
      <c r="R40" s="15">
        <f>$P40*'Allocation %'!K40</f>
        <v>0</v>
      </c>
      <c r="S40" s="15">
        <f>$P40*'Allocation %'!L40</f>
        <v>0</v>
      </c>
      <c r="T40" s="15">
        <f>$P40*'Allocation %'!M40</f>
        <v>0</v>
      </c>
      <c r="U40" s="15">
        <f>$P40*'Allocation %'!N40</f>
        <v>0</v>
      </c>
      <c r="V40" s="15">
        <f>$P40*'Allocation %'!O40</f>
        <v>0</v>
      </c>
      <c r="W40" s="15">
        <f>$P40*'Allocation %'!P40</f>
        <v>0</v>
      </c>
      <c r="X40" s="15">
        <f>$P40*'Allocation %'!Q40</f>
        <v>0</v>
      </c>
      <c r="Y40" s="15">
        <f>$P40*'Allocation %'!R40</f>
        <v>0</v>
      </c>
      <c r="Z40" s="15">
        <f>$P40*'Allocation %'!S40</f>
        <v>0</v>
      </c>
      <c r="AA40" s="15">
        <f>$P40*'Allocation %'!T40</f>
        <v>0</v>
      </c>
      <c r="AB40" s="15">
        <f>$P40*'Allocation %'!U40</f>
        <v>0</v>
      </c>
      <c r="AC40" s="15">
        <f>$P40*'Allocation %'!V40</f>
        <v>0</v>
      </c>
      <c r="AD40" s="15">
        <f>$P40*'Allocation %'!W40</f>
        <v>0</v>
      </c>
      <c r="AE40" s="15">
        <f>$P40*'Allocation %'!X40</f>
        <v>0</v>
      </c>
      <c r="AF40" s="15">
        <f>$P40*'Allocation %'!Y40</f>
        <v>0</v>
      </c>
      <c r="AG40" s="15">
        <f>$P40*'Allocation %'!Z40</f>
        <v>0</v>
      </c>
      <c r="AH40" s="15">
        <f>$P40*'Allocation %'!AA40</f>
        <v>0</v>
      </c>
      <c r="AI40" s="15">
        <f>$P40*'Allocation %'!AB40</f>
        <v>0</v>
      </c>
      <c r="AJ40" s="15">
        <f>$P40*'Allocation %'!AC40</f>
        <v>0</v>
      </c>
      <c r="AK40" s="15">
        <f>$P40*'Allocation %'!AD40</f>
        <v>0</v>
      </c>
      <c r="AL40" s="15">
        <f>$P40*'Allocation %'!AE40</f>
        <v>0</v>
      </c>
      <c r="AM40" s="15">
        <f>$P40*'Allocation %'!AF40</f>
        <v>0</v>
      </c>
      <c r="AN40" s="15">
        <f>$P40*'Allocation %'!AG40</f>
        <v>0</v>
      </c>
      <c r="AO40" s="15">
        <f>$P40*'Allocation %'!AH40</f>
        <v>0</v>
      </c>
      <c r="AP40" s="89">
        <f t="shared" si="2"/>
        <v>0</v>
      </c>
      <c r="AQ40" s="19">
        <f t="shared" si="4"/>
        <v>0</v>
      </c>
    </row>
    <row r="41" spans="1:43" s="16" customFormat="1" ht="11" thickBot="1" x14ac:dyDescent="0.3">
      <c r="A41" s="11"/>
      <c r="B41" s="17"/>
      <c r="C41" s="17"/>
      <c r="D41" s="33"/>
      <c r="E41" s="33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89">
        <f t="shared" si="2"/>
        <v>0</v>
      </c>
      <c r="AQ41" s="19">
        <f t="shared" si="4"/>
        <v>0</v>
      </c>
    </row>
    <row r="42" spans="1:43" s="37" customFormat="1" ht="11" thickBot="1" x14ac:dyDescent="0.3">
      <c r="A42" s="34"/>
      <c r="B42" s="17"/>
      <c r="C42" s="17"/>
      <c r="D42" s="33"/>
      <c r="E42" s="33"/>
      <c r="F42" s="35">
        <f>SUM(F4:F41)</f>
        <v>62760.78</v>
      </c>
      <c r="G42" s="35">
        <f t="shared" ref="G42:AP42" si="9">SUM(G4:G41)</f>
        <v>1631780.28</v>
      </c>
      <c r="H42" s="35">
        <f t="shared" si="9"/>
        <v>6538.4699999999993</v>
      </c>
      <c r="I42" s="35">
        <f t="shared" si="9"/>
        <v>1647780.42</v>
      </c>
      <c r="J42" s="35">
        <f t="shared" si="9"/>
        <v>72130.180000000008</v>
      </c>
      <c r="K42" s="35">
        <f t="shared" si="9"/>
        <v>60325.020000000004</v>
      </c>
      <c r="L42" s="35">
        <f t="shared" si="9"/>
        <v>0</v>
      </c>
      <c r="M42" s="35">
        <f t="shared" si="9"/>
        <v>0</v>
      </c>
      <c r="N42" s="35">
        <f t="shared" si="9"/>
        <v>0</v>
      </c>
      <c r="O42" s="35">
        <f t="shared" si="9"/>
        <v>0</v>
      </c>
      <c r="P42" s="75">
        <f t="shared" si="9"/>
        <v>132455.20000000001</v>
      </c>
      <c r="Q42" s="35">
        <f t="shared" si="9"/>
        <v>31259.0164</v>
      </c>
      <c r="R42" s="35">
        <f t="shared" ref="R42:AO42" si="10">SUM(R4:R41)</f>
        <v>1507.6936000000001</v>
      </c>
      <c r="S42" s="35">
        <f t="shared" ref="S42" si="11">SUM(S4:S41)</f>
        <v>1293.25</v>
      </c>
      <c r="T42" s="35">
        <f t="shared" si="10"/>
        <v>4483.9400000000005</v>
      </c>
      <c r="U42" s="35">
        <f t="shared" si="10"/>
        <v>17824.548999999999</v>
      </c>
      <c r="V42" s="35">
        <f t="shared" si="10"/>
        <v>6312.3209999999999</v>
      </c>
      <c r="W42" s="35">
        <f t="shared" ref="W42" si="12">SUM(W4:W41)</f>
        <v>8236.0622000000003</v>
      </c>
      <c r="X42" s="35">
        <f t="shared" ref="X42" si="13">SUM(X4:X41)</f>
        <v>4966.9400000000005</v>
      </c>
      <c r="Y42" s="35">
        <f t="shared" si="10"/>
        <v>1786.5409999999999</v>
      </c>
      <c r="Z42" s="35">
        <f t="shared" ref="Z42" si="14">SUM(Z4:Z41)</f>
        <v>900</v>
      </c>
      <c r="AA42" s="35">
        <f t="shared" ref="AA42:AC42" si="15">SUM(AA4:AA41)</f>
        <v>3832.3320999999996</v>
      </c>
      <c r="AB42" s="35">
        <f t="shared" si="15"/>
        <v>2311.7806</v>
      </c>
      <c r="AC42" s="35">
        <f t="shared" si="15"/>
        <v>1584.1586</v>
      </c>
      <c r="AD42" s="35">
        <f t="shared" ref="AD42:AE42" si="16">SUM(AD4:AD41)</f>
        <v>1310.1677999999999</v>
      </c>
      <c r="AE42" s="35">
        <f t="shared" si="16"/>
        <v>7900.7067000000006</v>
      </c>
      <c r="AF42" s="35">
        <f t="shared" si="10"/>
        <v>1153.8856000000001</v>
      </c>
      <c r="AG42" s="35">
        <f t="shared" ref="AG42" si="17">SUM(AG4:AG41)</f>
        <v>830.76840000000004</v>
      </c>
      <c r="AH42" s="35">
        <f t="shared" si="10"/>
        <v>3284.4908</v>
      </c>
      <c r="AI42" s="35">
        <f t="shared" si="10"/>
        <v>4107.5586000000003</v>
      </c>
      <c r="AJ42" s="35">
        <f t="shared" si="10"/>
        <v>7961.34</v>
      </c>
      <c r="AK42" s="35">
        <f t="shared" si="10"/>
        <v>10730.772000000001</v>
      </c>
      <c r="AL42" s="35">
        <f t="shared" si="10"/>
        <v>7684.6176000000005</v>
      </c>
      <c r="AM42" s="35">
        <f t="shared" si="10"/>
        <v>1192.308</v>
      </c>
      <c r="AN42" s="35">
        <f t="shared" si="10"/>
        <v>0</v>
      </c>
      <c r="AO42" s="35">
        <f t="shared" si="10"/>
        <v>0</v>
      </c>
      <c r="AP42" s="90">
        <f t="shared" si="9"/>
        <v>132455.20000000001</v>
      </c>
      <c r="AQ42" s="36"/>
    </row>
    <row r="43" spans="1:43" s="10" customFormat="1" ht="15" x14ac:dyDescent="0.4">
      <c r="A43" s="15"/>
      <c r="B43" s="29"/>
      <c r="C43" s="29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9">
        <f t="shared" ref="Q43" si="18">Q42/$AP$42</f>
        <v>0.23599689857400841</v>
      </c>
      <c r="R43" s="39">
        <f t="shared" ref="R43:Z43" si="19">R42/$AP$42</f>
        <v>1.1382668253115015E-2</v>
      </c>
      <c r="S43" s="39">
        <f t="shared" si="19"/>
        <v>9.7636785871751345E-3</v>
      </c>
      <c r="T43" s="39">
        <f t="shared" si="19"/>
        <v>3.385250258200509E-2</v>
      </c>
      <c r="U43" s="39">
        <f t="shared" si="19"/>
        <v>0.13457039814216429</v>
      </c>
      <c r="V43" s="39">
        <f t="shared" si="19"/>
        <v>4.76562717054521E-2</v>
      </c>
      <c r="W43" s="39">
        <f t="shared" si="19"/>
        <v>6.2179983873792796E-2</v>
      </c>
      <c r="X43" s="39">
        <f t="shared" si="19"/>
        <v>3.7499018536078614E-2</v>
      </c>
      <c r="Y43" s="39">
        <f t="shared" si="19"/>
        <v>1.3487888735210092E-2</v>
      </c>
      <c r="Z43" s="39">
        <f t="shared" si="19"/>
        <v>6.794750224981729E-3</v>
      </c>
      <c r="AA43" s="39">
        <f t="shared" ref="AA43:AC43" si="20">AA42/$AP$42</f>
        <v>2.8933043776310778E-2</v>
      </c>
      <c r="AB43" s="39">
        <f t="shared" si="20"/>
        <v>1.7453301946620443E-2</v>
      </c>
      <c r="AC43" s="39">
        <f t="shared" si="20"/>
        <v>1.1959957781951934E-2</v>
      </c>
      <c r="AD43" s="39">
        <f t="shared" ref="AD43" si="21">AD42/$AP$42</f>
        <v>9.891403282015352E-3</v>
      </c>
      <c r="AE43" s="39">
        <f t="shared" ref="AE43" si="22">AE42/$AP$42</f>
        <v>5.9648142919266289E-2</v>
      </c>
      <c r="AF43" s="39">
        <f t="shared" ref="AF43:AO43" si="23">AF42/$AP$42</f>
        <v>8.7115160446701971E-3</v>
      </c>
      <c r="AG43" s="39">
        <f t="shared" si="23"/>
        <v>6.2720708586752345E-3</v>
      </c>
      <c r="AH43" s="39">
        <f t="shared" si="23"/>
        <v>2.4796994002500468E-2</v>
      </c>
      <c r="AI43" s="39">
        <f t="shared" si="23"/>
        <v>3.1010927468306266E-2</v>
      </c>
      <c r="AJ43" s="39">
        <f t="shared" si="23"/>
        <v>6.0105907506840042E-2</v>
      </c>
      <c r="AK43" s="39">
        <f t="shared" si="23"/>
        <v>8.1014350512475158E-2</v>
      </c>
      <c r="AL43" s="39">
        <f t="shared" si="23"/>
        <v>5.8016730184998401E-2</v>
      </c>
      <c r="AM43" s="39">
        <f t="shared" si="23"/>
        <v>9.0015945013861287E-3</v>
      </c>
      <c r="AN43" s="39">
        <f t="shared" si="23"/>
        <v>0</v>
      </c>
      <c r="AO43" s="39">
        <f t="shared" si="23"/>
        <v>0</v>
      </c>
      <c r="AP43" s="39">
        <f>SUM(Q43:AO43)</f>
        <v>1.0000000000000002</v>
      </c>
    </row>
    <row r="44" spans="1:43" ht="15" thickBot="1" x14ac:dyDescent="0.4"/>
    <row r="45" spans="1:43" ht="15" thickBot="1" x14ac:dyDescent="0.4">
      <c r="Q45" s="71" t="str">
        <f>Q2</f>
        <v>Abbott</v>
      </c>
      <c r="R45" s="71" t="str">
        <f t="shared" ref="R45:AO45" si="24">R2</f>
        <v>Abbott - Other</v>
      </c>
      <c r="S45" s="71" t="str">
        <f t="shared" ref="S45" si="25">S2</f>
        <v>Wrap</v>
      </c>
      <c r="T45" s="71" t="str">
        <f t="shared" si="24"/>
        <v>Toddlers</v>
      </c>
      <c r="U45" s="71" t="str">
        <f t="shared" si="24"/>
        <v>USJP</v>
      </c>
      <c r="V45" s="71" t="str">
        <f t="shared" si="24"/>
        <v>Workforce UA</v>
      </c>
      <c r="W45" s="71" t="str">
        <f t="shared" ref="W45" si="26">W2</f>
        <v>Pru -Workforce</v>
      </c>
      <c r="X45" s="71" t="str">
        <f t="shared" si="24"/>
        <v>PACE</v>
      </c>
      <c r="Y45" s="71" t="str">
        <f t="shared" si="24"/>
        <v>Housing ESG</v>
      </c>
      <c r="Z45" s="71" t="str">
        <f t="shared" ref="Z45" si="27">Z2</f>
        <v>NRTC18</v>
      </c>
      <c r="AA45" s="71" t="str">
        <f t="shared" ref="AA45:AC45" si="28">AA2</f>
        <v>NRTC 20</v>
      </c>
      <c r="AB45" s="71" t="str">
        <f t="shared" si="28"/>
        <v>CDBG</v>
      </c>
      <c r="AC45" s="71" t="str">
        <f t="shared" si="28"/>
        <v>PARS</v>
      </c>
      <c r="AD45" s="71" t="str">
        <f t="shared" ref="AD45:AE45" si="29">AD2</f>
        <v>Save Up2</v>
      </c>
      <c r="AE45" s="71" t="str">
        <f t="shared" si="29"/>
        <v>LISC 2020</v>
      </c>
      <c r="AF45" s="71" t="str">
        <f t="shared" si="24"/>
        <v xml:space="preserve">PRU -FOC </v>
      </c>
      <c r="AG45" s="71" t="str">
        <f t="shared" ref="AG45" si="30">AG2</f>
        <v>NRTC 18</v>
      </c>
      <c r="AH45" s="71" t="str">
        <f t="shared" si="24"/>
        <v>Real Estate/NRTC</v>
      </c>
      <c r="AI45" s="71" t="str">
        <f t="shared" si="24"/>
        <v>Coding</v>
      </c>
      <c r="AJ45" s="71" t="str">
        <f t="shared" si="24"/>
        <v>Neigh Revit</v>
      </c>
      <c r="AK45" s="71" t="str">
        <f t="shared" si="24"/>
        <v>CEO</v>
      </c>
      <c r="AL45" s="71" t="str">
        <f t="shared" si="24"/>
        <v>CFO</v>
      </c>
      <c r="AM45" s="71" t="str">
        <f t="shared" si="24"/>
        <v>Fundraising</v>
      </c>
      <c r="AN45" s="71" t="str">
        <f t="shared" si="24"/>
        <v>Opprt Corp</v>
      </c>
      <c r="AO45" s="71">
        <f t="shared" si="24"/>
        <v>0</v>
      </c>
      <c r="AP45" s="47" t="s">
        <v>35</v>
      </c>
    </row>
    <row r="46" spans="1:43" x14ac:dyDescent="0.35">
      <c r="I46" s="44" t="s">
        <v>36</v>
      </c>
      <c r="Q46" s="48">
        <v>14</v>
      </c>
      <c r="R46" s="48"/>
      <c r="S46" s="48"/>
      <c r="T46" s="48">
        <v>2</v>
      </c>
      <c r="U46" s="48">
        <v>4</v>
      </c>
      <c r="V46" s="48">
        <v>4</v>
      </c>
      <c r="W46" s="48"/>
      <c r="X46" s="48"/>
      <c r="Y46" s="48">
        <v>2</v>
      </c>
      <c r="Z46" s="48"/>
      <c r="AA46" s="48"/>
      <c r="AB46" s="48"/>
      <c r="AC46" s="48"/>
      <c r="AD46" s="48"/>
      <c r="AE46" s="48"/>
      <c r="AF46" s="48">
        <v>2</v>
      </c>
      <c r="AG46" s="48"/>
      <c r="AH46" s="48">
        <v>1.5</v>
      </c>
      <c r="AI46" s="48">
        <v>1.5</v>
      </c>
      <c r="AJ46" s="48">
        <v>1.5</v>
      </c>
      <c r="AK46" s="48">
        <v>2</v>
      </c>
      <c r="AL46" s="48">
        <v>2</v>
      </c>
      <c r="AM46" s="48"/>
      <c r="AN46" s="48">
        <v>1</v>
      </c>
      <c r="AO46" s="48"/>
      <c r="AP46" s="39">
        <f>SUM(Q46:AO46)</f>
        <v>37.5</v>
      </c>
    </row>
    <row r="48" spans="1:43" x14ac:dyDescent="0.35">
      <c r="I48" s="44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8"/>
  <sheetViews>
    <sheetView topLeftCell="W5" workbookViewId="0">
      <selection activeCell="X2" sqref="X2:Y45"/>
    </sheetView>
  </sheetViews>
  <sheetFormatPr defaultRowHeight="14.5" x14ac:dyDescent="0.35"/>
  <cols>
    <col min="1" max="1" width="6.81640625" style="11" customWidth="1"/>
    <col min="2" max="2" width="35.7265625" style="40" customWidth="1"/>
    <col min="3" max="3" width="4.7265625" style="40" customWidth="1"/>
    <col min="4" max="4" width="18.81640625" style="41" customWidth="1"/>
    <col min="5" max="5" width="20.81640625" style="42" customWidth="1"/>
    <col min="6" max="6" width="19.453125" style="43" hidden="1" customWidth="1"/>
    <col min="7" max="8" width="19.453125" style="44" hidden="1" customWidth="1"/>
    <col min="9" max="11" width="14" style="44" customWidth="1"/>
    <col min="12" max="15" width="14" style="44" hidden="1" customWidth="1"/>
    <col min="16" max="16" width="14" style="44" customWidth="1"/>
    <col min="17" max="17" width="16.1796875" bestFit="1" customWidth="1"/>
    <col min="18" max="18" width="16.1796875" customWidth="1"/>
    <col min="19" max="19" width="10.7265625" bestFit="1" customWidth="1"/>
    <col min="20" max="20" width="11.54296875" bestFit="1" customWidth="1"/>
    <col min="21" max="23" width="15.81640625" customWidth="1"/>
    <col min="24" max="30" width="13.81640625" customWidth="1"/>
    <col min="31" max="32" width="15.1796875" customWidth="1"/>
    <col min="33" max="33" width="12.54296875" customWidth="1"/>
    <col min="34" max="35" width="11.54296875" bestFit="1" customWidth="1"/>
    <col min="36" max="37" width="11.7265625" bestFit="1" customWidth="1"/>
    <col min="38" max="38" width="11.7265625" customWidth="1"/>
    <col min="39" max="39" width="10.7265625" bestFit="1" customWidth="1"/>
    <col min="40" max="40" width="11.54296875" bestFit="1" customWidth="1"/>
    <col min="41" max="41" width="12.1796875" customWidth="1"/>
    <col min="42" max="42" width="11.81640625" customWidth="1"/>
  </cols>
  <sheetData>
    <row r="1" spans="1:44" ht="15" thickBot="1" x14ac:dyDescent="0.4">
      <c r="B1" s="40" t="s">
        <v>58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</row>
    <row r="2" spans="1:44" ht="18.75" customHeight="1" thickBot="1" x14ac:dyDescent="0.4">
      <c r="A2" s="1"/>
      <c r="B2" s="2" t="s">
        <v>0</v>
      </c>
      <c r="C2" s="3"/>
      <c r="D2" s="4" t="s">
        <v>1</v>
      </c>
      <c r="E2" s="4"/>
      <c r="F2" s="5" t="s">
        <v>2</v>
      </c>
      <c r="G2" s="4" t="s">
        <v>3</v>
      </c>
      <c r="H2" s="4" t="s">
        <v>4</v>
      </c>
      <c r="I2" s="4" t="s">
        <v>5</v>
      </c>
      <c r="J2" s="72">
        <v>43831</v>
      </c>
      <c r="K2" s="72">
        <v>43862</v>
      </c>
      <c r="L2" s="72"/>
      <c r="M2" s="72"/>
      <c r="N2" s="72"/>
      <c r="O2" s="72"/>
      <c r="P2" s="72" t="s">
        <v>73</v>
      </c>
      <c r="Q2" s="69" t="str">
        <f>Salary!Q2</f>
        <v>Abbott</v>
      </c>
      <c r="R2" s="69" t="str">
        <f>Salary!R2</f>
        <v>Abbott - Other</v>
      </c>
      <c r="S2" s="69" t="str">
        <f>Salary!T2</f>
        <v>Toddlers</v>
      </c>
      <c r="T2" s="69" t="str">
        <f>Salary!U2</f>
        <v>USJP</v>
      </c>
      <c r="U2" s="78" t="str">
        <f>Salary!V2</f>
        <v>Workforce UA</v>
      </c>
      <c r="V2" s="78" t="str">
        <f>Salary!W2</f>
        <v>Pru -Workforce</v>
      </c>
      <c r="W2" s="78" t="str">
        <f>Salary!X2</f>
        <v>PACE</v>
      </c>
      <c r="X2" s="83" t="str">
        <f>Salary!Y2</f>
        <v>Housing ESG</v>
      </c>
      <c r="Y2" s="83" t="str">
        <f>Salary!Z2</f>
        <v>NRTC18</v>
      </c>
      <c r="Z2" s="83" t="str">
        <f>Salary!AA2</f>
        <v>NRTC 20</v>
      </c>
      <c r="AA2" s="83" t="str">
        <f>Salary!AB2</f>
        <v>CDBG</v>
      </c>
      <c r="AB2" s="83" t="str">
        <f>Salary!AC2</f>
        <v>PARS</v>
      </c>
      <c r="AC2" s="84" t="str">
        <f>Salary!AD2</f>
        <v>Save Up2</v>
      </c>
      <c r="AD2" s="84" t="str">
        <f>Salary!AE2</f>
        <v>LISC 2020</v>
      </c>
      <c r="AE2" s="84" t="str">
        <f>Salary!AF2</f>
        <v xml:space="preserve">PRU -FOC </v>
      </c>
      <c r="AF2" s="84" t="str">
        <f>Salary!AG2</f>
        <v>NRTC 18</v>
      </c>
      <c r="AG2" s="86" t="str">
        <f>Salary!AH2</f>
        <v>Real Estate/NRTC</v>
      </c>
      <c r="AH2" s="86" t="str">
        <f>Salary!AI2</f>
        <v>Coding</v>
      </c>
      <c r="AI2" s="86" t="str">
        <f>Salary!AJ2</f>
        <v>Neigh Revit</v>
      </c>
      <c r="AJ2" s="69" t="str">
        <f>Salary!AK2</f>
        <v>CEO</v>
      </c>
      <c r="AK2" s="69" t="str">
        <f>Salary!AL2</f>
        <v>CFO</v>
      </c>
      <c r="AL2" s="69" t="str">
        <f>Salary!AM2</f>
        <v>Fundraising</v>
      </c>
      <c r="AM2" s="69" t="str">
        <f>Salary!AN2</f>
        <v>Opprt Corp</v>
      </c>
      <c r="AN2" s="87">
        <f>Salary!AO2</f>
        <v>0</v>
      </c>
      <c r="AO2" s="91">
        <f>Salary!AP2</f>
        <v>0</v>
      </c>
    </row>
    <row r="3" spans="1:44" s="16" customFormat="1" ht="10.5" x14ac:dyDescent="0.25">
      <c r="A3" s="11"/>
      <c r="B3" s="12"/>
      <c r="C3" s="12"/>
      <c r="D3" s="13"/>
      <c r="E3" s="13"/>
      <c r="F3" s="14"/>
      <c r="G3" s="13">
        <v>26</v>
      </c>
      <c r="H3" s="13"/>
      <c r="I3" s="13"/>
      <c r="J3" s="13"/>
      <c r="K3" s="13"/>
      <c r="L3" s="13"/>
      <c r="M3" s="13"/>
      <c r="N3" s="13"/>
      <c r="O3" s="13"/>
      <c r="P3" s="13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89"/>
    </row>
    <row r="4" spans="1:44" s="16" customFormat="1" ht="10.5" x14ac:dyDescent="0.25">
      <c r="A4" s="11">
        <f>Salary!A4</f>
        <v>1</v>
      </c>
      <c r="B4" s="17" t="str">
        <f>'Allocation %'!B4</f>
        <v>ANDREWS, Cora</v>
      </c>
      <c r="C4" s="17">
        <v>1</v>
      </c>
      <c r="D4" s="17" t="str">
        <f>'Allocation %'!D4</f>
        <v>Abbott</v>
      </c>
      <c r="E4" s="17" t="str">
        <f>'Allocation %'!E4</f>
        <v>Security</v>
      </c>
      <c r="F4" s="18">
        <v>1120</v>
      </c>
      <c r="G4" s="18">
        <f t="shared" ref="G4:G39" si="0">F4*$G$3</f>
        <v>29120</v>
      </c>
      <c r="H4" s="18"/>
      <c r="I4" s="18">
        <f t="shared" ref="I4:I9" si="1">SUM(G4:H4)</f>
        <v>29120</v>
      </c>
      <c r="J4" s="18"/>
      <c r="K4" s="18"/>
      <c r="L4" s="18"/>
      <c r="M4" s="18"/>
      <c r="N4" s="18"/>
      <c r="O4" s="18"/>
      <c r="P4" s="18">
        <f>SUM(J4:O4)</f>
        <v>0</v>
      </c>
      <c r="Q4" s="15">
        <f>$P4*'Allocation %'!J4</f>
        <v>0</v>
      </c>
      <c r="R4" s="15">
        <f>$P4*'Allocation %'!K4</f>
        <v>0</v>
      </c>
      <c r="S4" s="15">
        <f>$P4*'Allocation %'!M4</f>
        <v>0</v>
      </c>
      <c r="T4" s="15">
        <f>$P4*'Allocation %'!N4</f>
        <v>0</v>
      </c>
      <c r="U4" s="15">
        <f>$P4*'Allocation %'!O4</f>
        <v>0</v>
      </c>
      <c r="V4" s="15">
        <f>$P4*'Allocation %'!P4</f>
        <v>0</v>
      </c>
      <c r="W4" s="15">
        <f>$P4*'Allocation %'!Q4</f>
        <v>0</v>
      </c>
      <c r="X4" s="15">
        <f>$P4*'Allocation %'!R4</f>
        <v>0</v>
      </c>
      <c r="Y4" s="15">
        <f>$P4*'Allocation %'!S4</f>
        <v>0</v>
      </c>
      <c r="Z4" s="15">
        <f>$P4*'Allocation %'!T4</f>
        <v>0</v>
      </c>
      <c r="AA4" s="15">
        <f>$P4*'Allocation %'!U4</f>
        <v>0</v>
      </c>
      <c r="AB4" s="15">
        <f>$P4*'Allocation %'!V4</f>
        <v>0</v>
      </c>
      <c r="AC4" s="15">
        <f>$P4*'Allocation %'!W4</f>
        <v>0</v>
      </c>
      <c r="AD4" s="15">
        <f>$P4*'Allocation %'!X4</f>
        <v>0</v>
      </c>
      <c r="AE4" s="15">
        <f>$P4*'Allocation %'!Y4</f>
        <v>0</v>
      </c>
      <c r="AF4" s="15">
        <f>$P4*'Allocation %'!Z4</f>
        <v>0</v>
      </c>
      <c r="AG4" s="15">
        <f>$P4*'Allocation %'!AA4</f>
        <v>0</v>
      </c>
      <c r="AH4" s="15">
        <f>$P4*'Allocation %'!AB4</f>
        <v>0</v>
      </c>
      <c r="AI4" s="15">
        <f>$P4*'Allocation %'!AC4</f>
        <v>0</v>
      </c>
      <c r="AJ4" s="15">
        <f>$P4*'Allocation %'!AD4</f>
        <v>0</v>
      </c>
      <c r="AK4" s="15">
        <f>$P4*'Allocation %'!AE4</f>
        <v>0</v>
      </c>
      <c r="AL4" s="15">
        <f>$P4*'Allocation %'!AF4</f>
        <v>0</v>
      </c>
      <c r="AM4" s="15">
        <f>$P4*'Allocation %'!AG4</f>
        <v>0</v>
      </c>
      <c r="AN4" s="15">
        <f>$P4*'Allocation %'!AH4</f>
        <v>0</v>
      </c>
      <c r="AO4" s="89">
        <f t="shared" ref="AO4:AO41" si="2">SUM(Q4:AN4)</f>
        <v>0</v>
      </c>
      <c r="AP4" s="19">
        <f>P4-AO4</f>
        <v>0</v>
      </c>
    </row>
    <row r="5" spans="1:44" s="16" customFormat="1" ht="10.5" x14ac:dyDescent="0.25">
      <c r="A5" s="11">
        <f>Salary!A5</f>
        <v>2</v>
      </c>
      <c r="B5" s="17" t="str">
        <f>'Allocation %'!B5</f>
        <v>Bennett, Patricia A.</v>
      </c>
      <c r="C5" s="17">
        <v>2</v>
      </c>
      <c r="D5" s="17" t="str">
        <f>'Allocation %'!D5</f>
        <v>Abbott, Admin</v>
      </c>
      <c r="E5" s="17" t="str">
        <f>'Allocation %'!E5</f>
        <v>Custodian</v>
      </c>
      <c r="F5" s="18">
        <v>650</v>
      </c>
      <c r="G5" s="20">
        <f>F5*$G$3</f>
        <v>16900</v>
      </c>
      <c r="H5" s="18"/>
      <c r="I5" s="18">
        <f>SUM(G5:H5)</f>
        <v>16900</v>
      </c>
      <c r="J5" s="18"/>
      <c r="K5" s="18"/>
      <c r="L5" s="18"/>
      <c r="M5" s="18"/>
      <c r="N5" s="18"/>
      <c r="O5" s="18"/>
      <c r="P5" s="18">
        <f t="shared" ref="P5:P40" si="3">SUM(J5:O5)</f>
        <v>0</v>
      </c>
      <c r="Q5" s="15">
        <f>$P5*'Allocation %'!J5</f>
        <v>0</v>
      </c>
      <c r="R5" s="15">
        <f>$P5*'Allocation %'!K5</f>
        <v>0</v>
      </c>
      <c r="S5" s="15">
        <f>$P5*'Allocation %'!M5</f>
        <v>0</v>
      </c>
      <c r="T5" s="15">
        <f>$P5*'Allocation %'!N5</f>
        <v>0</v>
      </c>
      <c r="U5" s="15">
        <f>$P5*'Allocation %'!O5</f>
        <v>0</v>
      </c>
      <c r="V5" s="15">
        <f>$P5*'Allocation %'!P5</f>
        <v>0</v>
      </c>
      <c r="W5" s="15">
        <f>$P5*'Allocation %'!Q5</f>
        <v>0</v>
      </c>
      <c r="X5" s="15">
        <f>$P5*'Allocation %'!R5</f>
        <v>0</v>
      </c>
      <c r="Y5" s="15">
        <f>$P5*'Allocation %'!S5</f>
        <v>0</v>
      </c>
      <c r="Z5" s="15">
        <f>$P5*'Allocation %'!T5</f>
        <v>0</v>
      </c>
      <c r="AA5" s="15">
        <f>$P5*'Allocation %'!U5</f>
        <v>0</v>
      </c>
      <c r="AB5" s="15">
        <f>$P5*'Allocation %'!V5</f>
        <v>0</v>
      </c>
      <c r="AC5" s="15">
        <f>$P5*'Allocation %'!W5</f>
        <v>0</v>
      </c>
      <c r="AD5" s="15">
        <f>$P5*'Allocation %'!X5</f>
        <v>0</v>
      </c>
      <c r="AE5" s="15">
        <f>$P5*'Allocation %'!Y5</f>
        <v>0</v>
      </c>
      <c r="AF5" s="15">
        <f>$P5*'Allocation %'!Z5</f>
        <v>0</v>
      </c>
      <c r="AG5" s="15">
        <f>$P5*'Allocation %'!AA5</f>
        <v>0</v>
      </c>
      <c r="AH5" s="15">
        <f>$P5*'Allocation %'!AB5</f>
        <v>0</v>
      </c>
      <c r="AI5" s="15">
        <f>$P5*'Allocation %'!AC5</f>
        <v>0</v>
      </c>
      <c r="AJ5" s="15">
        <f>$P5*'Allocation %'!AD5</f>
        <v>0</v>
      </c>
      <c r="AK5" s="15">
        <f>$P5*'Allocation %'!AE5</f>
        <v>0</v>
      </c>
      <c r="AL5" s="15">
        <f>$P5*'Allocation %'!AF5</f>
        <v>0</v>
      </c>
      <c r="AM5" s="15">
        <f>$P5*'Allocation %'!AG5</f>
        <v>0</v>
      </c>
      <c r="AN5" s="15">
        <f>$P5*'Allocation %'!AH5</f>
        <v>0</v>
      </c>
      <c r="AO5" s="89">
        <f t="shared" si="2"/>
        <v>0</v>
      </c>
      <c r="AP5" s="19">
        <f t="shared" ref="AP5:AP41" si="4">P5-AO5</f>
        <v>0</v>
      </c>
    </row>
    <row r="6" spans="1:44" s="16" customFormat="1" ht="10.5" x14ac:dyDescent="0.25">
      <c r="A6" s="11">
        <f>Salary!A6</f>
        <v>3</v>
      </c>
      <c r="B6" s="17" t="str">
        <f>'Allocation %'!B6</f>
        <v>Bishop-Shakoor, Ayesha</v>
      </c>
      <c r="C6" s="17">
        <v>3</v>
      </c>
      <c r="D6" s="17" t="str">
        <f>'Allocation %'!D6</f>
        <v>Abbott, Admin</v>
      </c>
      <c r="E6" s="17">
        <f>'Allocation %'!E6</f>
        <v>0</v>
      </c>
      <c r="F6" s="18"/>
      <c r="G6" s="20"/>
      <c r="H6" s="18"/>
      <c r="I6" s="18"/>
      <c r="J6" s="18"/>
      <c r="K6" s="18"/>
      <c r="L6" s="18"/>
      <c r="M6" s="18"/>
      <c r="N6" s="18"/>
      <c r="O6" s="18"/>
      <c r="P6" s="18"/>
      <c r="Q6" s="15">
        <f>$P6*'Allocation %'!J6</f>
        <v>0</v>
      </c>
      <c r="R6" s="15">
        <f>$P6*'Allocation %'!K6</f>
        <v>0</v>
      </c>
      <c r="S6" s="15">
        <f>$P6*'Allocation %'!M6</f>
        <v>0</v>
      </c>
      <c r="T6" s="15">
        <f>$P6*'Allocation %'!N6</f>
        <v>0</v>
      </c>
      <c r="U6" s="15">
        <f>$P6*'Allocation %'!O6</f>
        <v>0</v>
      </c>
      <c r="V6" s="15">
        <f>$P6*'Allocation %'!P6</f>
        <v>0</v>
      </c>
      <c r="W6" s="15">
        <f>$P6*'Allocation %'!Q6</f>
        <v>0</v>
      </c>
      <c r="X6" s="15">
        <f>$P6*'Allocation %'!R6</f>
        <v>0</v>
      </c>
      <c r="Y6" s="15">
        <f>$P6*'Allocation %'!S6</f>
        <v>0</v>
      </c>
      <c r="Z6" s="15">
        <f>$P6*'Allocation %'!T6</f>
        <v>0</v>
      </c>
      <c r="AA6" s="15">
        <f>$P6*'Allocation %'!U6</f>
        <v>0</v>
      </c>
      <c r="AB6" s="15">
        <f>$P6*'Allocation %'!V6</f>
        <v>0</v>
      </c>
      <c r="AC6" s="15">
        <f>$P6*'Allocation %'!W6</f>
        <v>0</v>
      </c>
      <c r="AD6" s="15">
        <f>$P6*'Allocation %'!X6</f>
        <v>0</v>
      </c>
      <c r="AE6" s="15">
        <f>$P6*'Allocation %'!Y6</f>
        <v>0</v>
      </c>
      <c r="AF6" s="15">
        <f>$P6*'Allocation %'!Z6</f>
        <v>0</v>
      </c>
      <c r="AG6" s="15">
        <f>$P6*'Allocation %'!AA6</f>
        <v>0</v>
      </c>
      <c r="AH6" s="15">
        <f>$P6*'Allocation %'!AB6</f>
        <v>0</v>
      </c>
      <c r="AI6" s="15">
        <f>$P6*'Allocation %'!AC6</f>
        <v>0</v>
      </c>
      <c r="AJ6" s="15">
        <f>$P6*'Allocation %'!AD6</f>
        <v>0</v>
      </c>
      <c r="AK6" s="15">
        <f>$P6*'Allocation %'!AE6</f>
        <v>0</v>
      </c>
      <c r="AL6" s="15">
        <f>$P6*'Allocation %'!AF6</f>
        <v>0</v>
      </c>
      <c r="AM6" s="15">
        <f>$P6*'Allocation %'!AG6</f>
        <v>0</v>
      </c>
      <c r="AN6" s="15">
        <f>$P6*'Allocation %'!AH6</f>
        <v>0</v>
      </c>
      <c r="AO6" s="89">
        <f t="shared" si="2"/>
        <v>0</v>
      </c>
      <c r="AP6" s="19">
        <f t="shared" si="4"/>
        <v>0</v>
      </c>
    </row>
    <row r="7" spans="1:44" s="16" customFormat="1" ht="10.5" x14ac:dyDescent="0.25">
      <c r="A7" s="11">
        <f>Salary!A7</f>
        <v>4</v>
      </c>
      <c r="B7" s="17" t="str">
        <f>'Allocation %'!B7</f>
        <v>BROWN,Denise- Wrap</v>
      </c>
      <c r="C7" s="17">
        <v>4</v>
      </c>
      <c r="D7" s="17" t="str">
        <f>'Allocation %'!D7</f>
        <v>Wrap</v>
      </c>
      <c r="E7" s="17" t="str">
        <f>'Allocation %'!E7</f>
        <v>Wrap Teacher</v>
      </c>
      <c r="F7" s="18">
        <v>520</v>
      </c>
      <c r="G7" s="18">
        <f t="shared" si="0"/>
        <v>13520</v>
      </c>
      <c r="H7" s="18"/>
      <c r="I7" s="18">
        <f t="shared" si="1"/>
        <v>13520</v>
      </c>
      <c r="J7" s="18"/>
      <c r="K7" s="18"/>
      <c r="L7" s="18"/>
      <c r="M7" s="18"/>
      <c r="N7" s="18"/>
      <c r="O7" s="18"/>
      <c r="P7" s="18">
        <f t="shared" si="3"/>
        <v>0</v>
      </c>
      <c r="Q7" s="15">
        <f>$P7*'Allocation %'!J7</f>
        <v>0</v>
      </c>
      <c r="R7" s="15">
        <f>$P7*'Allocation %'!K7</f>
        <v>0</v>
      </c>
      <c r="S7" s="15">
        <f>$P7*'Allocation %'!M7</f>
        <v>0</v>
      </c>
      <c r="T7" s="15">
        <f>$P7*'Allocation %'!N7</f>
        <v>0</v>
      </c>
      <c r="U7" s="15">
        <f>$P7*'Allocation %'!O7</f>
        <v>0</v>
      </c>
      <c r="V7" s="15">
        <f>$P7*'Allocation %'!P7</f>
        <v>0</v>
      </c>
      <c r="W7" s="15">
        <f>$P7*'Allocation %'!Q7</f>
        <v>0</v>
      </c>
      <c r="X7" s="15">
        <f>$P7*'Allocation %'!R7</f>
        <v>0</v>
      </c>
      <c r="Y7" s="15">
        <f>$P7*'Allocation %'!S7</f>
        <v>0</v>
      </c>
      <c r="Z7" s="15">
        <f>$P7*'Allocation %'!T7</f>
        <v>0</v>
      </c>
      <c r="AA7" s="15">
        <f>$P7*'Allocation %'!U7</f>
        <v>0</v>
      </c>
      <c r="AB7" s="15">
        <f>$P7*'Allocation %'!V7</f>
        <v>0</v>
      </c>
      <c r="AC7" s="15">
        <f>$P7*'Allocation %'!W7</f>
        <v>0</v>
      </c>
      <c r="AD7" s="15">
        <f>$P7*'Allocation %'!X7</f>
        <v>0</v>
      </c>
      <c r="AE7" s="15">
        <f>$P7*'Allocation %'!Y7</f>
        <v>0</v>
      </c>
      <c r="AF7" s="15">
        <f>$P7*'Allocation %'!Z7</f>
        <v>0</v>
      </c>
      <c r="AG7" s="15">
        <f>$P7*'Allocation %'!AA7</f>
        <v>0</v>
      </c>
      <c r="AH7" s="15">
        <f>$P7*'Allocation %'!AB7</f>
        <v>0</v>
      </c>
      <c r="AI7" s="15">
        <f>$P7*'Allocation %'!AC7</f>
        <v>0</v>
      </c>
      <c r="AJ7" s="15">
        <f>$P7*'Allocation %'!AD7</f>
        <v>0</v>
      </c>
      <c r="AK7" s="15">
        <f>$P7*'Allocation %'!AE7</f>
        <v>0</v>
      </c>
      <c r="AL7" s="15">
        <f>$P7*'Allocation %'!AF7</f>
        <v>0</v>
      </c>
      <c r="AM7" s="15">
        <f>$P7*'Allocation %'!AG7</f>
        <v>0</v>
      </c>
      <c r="AN7" s="15">
        <f>$P7*'Allocation %'!AH7</f>
        <v>0</v>
      </c>
      <c r="AO7" s="89">
        <f t="shared" si="2"/>
        <v>0</v>
      </c>
      <c r="AP7" s="19">
        <f t="shared" si="4"/>
        <v>0</v>
      </c>
    </row>
    <row r="8" spans="1:44" s="16" customFormat="1" ht="10.5" x14ac:dyDescent="0.25">
      <c r="A8" s="11">
        <f>Salary!A8</f>
        <v>5</v>
      </c>
      <c r="B8" s="17" t="str">
        <f>'Allocation %'!B8</f>
        <v>BRYANT, Roni</v>
      </c>
      <c r="C8" s="17">
        <v>5</v>
      </c>
      <c r="D8" s="17" t="str">
        <f>'Allocation %'!D8</f>
        <v>Abbott</v>
      </c>
      <c r="E8" s="17" t="str">
        <f>'Allocation %'!E8</f>
        <v>Teacher Asst</v>
      </c>
      <c r="F8" s="18">
        <v>1347.23</v>
      </c>
      <c r="G8" s="18">
        <f>F8*$G$3</f>
        <v>35027.980000000003</v>
      </c>
      <c r="H8" s="18"/>
      <c r="I8" s="18">
        <f t="shared" si="1"/>
        <v>35027.980000000003</v>
      </c>
      <c r="J8" s="18">
        <v>865.47</v>
      </c>
      <c r="K8" s="18">
        <v>865.47</v>
      </c>
      <c r="L8" s="18"/>
      <c r="M8" s="18"/>
      <c r="N8" s="18"/>
      <c r="O8" s="18"/>
      <c r="P8" s="18">
        <f t="shared" si="3"/>
        <v>1730.94</v>
      </c>
      <c r="Q8" s="15">
        <f>$P8*'Allocation %'!J8</f>
        <v>1730.94</v>
      </c>
      <c r="R8" s="15">
        <f>$P8*'Allocation %'!K8</f>
        <v>0</v>
      </c>
      <c r="S8" s="15">
        <f>$P8*'Allocation %'!M8</f>
        <v>0</v>
      </c>
      <c r="T8" s="15">
        <f>$P8*'Allocation %'!N8</f>
        <v>0</v>
      </c>
      <c r="U8" s="15">
        <f>$P8*'Allocation %'!O8</f>
        <v>0</v>
      </c>
      <c r="V8" s="15">
        <f>$P8*'Allocation %'!P8</f>
        <v>0</v>
      </c>
      <c r="W8" s="15">
        <f>$P8*'Allocation %'!Q8</f>
        <v>0</v>
      </c>
      <c r="X8" s="15">
        <f>$P8*'Allocation %'!R8</f>
        <v>0</v>
      </c>
      <c r="Y8" s="15">
        <f>$P8*'Allocation %'!S8</f>
        <v>0</v>
      </c>
      <c r="Z8" s="15">
        <f>$P8*'Allocation %'!T8</f>
        <v>0</v>
      </c>
      <c r="AA8" s="15">
        <f>$P8*'Allocation %'!U8</f>
        <v>0</v>
      </c>
      <c r="AB8" s="15">
        <f>$P8*'Allocation %'!V8</f>
        <v>0</v>
      </c>
      <c r="AC8" s="15">
        <f>$P8*'Allocation %'!W8</f>
        <v>0</v>
      </c>
      <c r="AD8" s="15">
        <f>$P8*'Allocation %'!X8</f>
        <v>0</v>
      </c>
      <c r="AE8" s="15">
        <f>$P8*'Allocation %'!Y8</f>
        <v>0</v>
      </c>
      <c r="AF8" s="15">
        <f>$P8*'Allocation %'!Z8</f>
        <v>0</v>
      </c>
      <c r="AG8" s="15">
        <f>$P8*'Allocation %'!AA8</f>
        <v>0</v>
      </c>
      <c r="AH8" s="15">
        <f>$P8*'Allocation %'!AB8</f>
        <v>0</v>
      </c>
      <c r="AI8" s="15">
        <f>$P8*'Allocation %'!AC8</f>
        <v>0</v>
      </c>
      <c r="AJ8" s="15">
        <f>$P8*'Allocation %'!AD8</f>
        <v>0</v>
      </c>
      <c r="AK8" s="15">
        <f>$P8*'Allocation %'!AE8</f>
        <v>0</v>
      </c>
      <c r="AL8" s="15">
        <f>$P8*'Allocation %'!AF8</f>
        <v>0</v>
      </c>
      <c r="AM8" s="15">
        <f>$P8*'Allocation %'!AG8</f>
        <v>0</v>
      </c>
      <c r="AN8" s="15">
        <f>$P8*'Allocation %'!AH8</f>
        <v>0</v>
      </c>
      <c r="AO8" s="89">
        <f t="shared" si="2"/>
        <v>1730.94</v>
      </c>
      <c r="AP8" s="19">
        <f t="shared" si="4"/>
        <v>0</v>
      </c>
    </row>
    <row r="9" spans="1:44" s="16" customFormat="1" ht="10.5" x14ac:dyDescent="0.25">
      <c r="A9" s="11">
        <f>Salary!A9</f>
        <v>6</v>
      </c>
      <c r="B9" s="17" t="str">
        <f>'Allocation %'!B9</f>
        <v>CERNA, Irene</v>
      </c>
      <c r="C9" s="17">
        <v>6</v>
      </c>
      <c r="D9" s="17" t="str">
        <f>'Allocation %'!D9</f>
        <v>USJP</v>
      </c>
      <c r="E9" s="17">
        <f>'Allocation %'!E9</f>
        <v>0</v>
      </c>
      <c r="F9" s="18">
        <v>1153.8499999999999</v>
      </c>
      <c r="G9" s="18">
        <f t="shared" si="0"/>
        <v>30000.1</v>
      </c>
      <c r="H9" s="18"/>
      <c r="I9" s="18">
        <f t="shared" si="1"/>
        <v>30000.1</v>
      </c>
      <c r="J9" s="18">
        <v>1068.3499999999999</v>
      </c>
      <c r="K9" s="18">
        <v>1068.3499999999999</v>
      </c>
      <c r="L9" s="18"/>
      <c r="M9" s="18"/>
      <c r="N9" s="18"/>
      <c r="O9" s="18"/>
      <c r="P9" s="18">
        <f t="shared" si="3"/>
        <v>2136.6999999999998</v>
      </c>
      <c r="Q9" s="15">
        <f>$P9*'Allocation %'!J9</f>
        <v>0</v>
      </c>
      <c r="R9" s="15">
        <f>$P9*'Allocation %'!K9</f>
        <v>0</v>
      </c>
      <c r="S9" s="15">
        <f>$P9*'Allocation %'!M9</f>
        <v>0</v>
      </c>
      <c r="T9" s="15">
        <f>$P9*'Allocation %'!N9</f>
        <v>2136.6999999999998</v>
      </c>
      <c r="U9" s="15">
        <f>$P9*'Allocation %'!O9</f>
        <v>0</v>
      </c>
      <c r="V9" s="15">
        <f>$P9*'Allocation %'!P9</f>
        <v>0</v>
      </c>
      <c r="W9" s="15">
        <f>$P9*'Allocation %'!Q9</f>
        <v>0</v>
      </c>
      <c r="X9" s="15">
        <f>$P9*'Allocation %'!R9</f>
        <v>0</v>
      </c>
      <c r="Y9" s="15">
        <f>$P9*'Allocation %'!S9</f>
        <v>0</v>
      </c>
      <c r="Z9" s="15">
        <f>$P9*'Allocation %'!T9</f>
        <v>0</v>
      </c>
      <c r="AA9" s="15">
        <f>$P9*'Allocation %'!U9</f>
        <v>0</v>
      </c>
      <c r="AB9" s="15">
        <f>$P9*'Allocation %'!V9</f>
        <v>0</v>
      </c>
      <c r="AC9" s="15">
        <f>$P9*'Allocation %'!W9</f>
        <v>0</v>
      </c>
      <c r="AD9" s="15">
        <f>$P9*'Allocation %'!X9</f>
        <v>0</v>
      </c>
      <c r="AE9" s="15">
        <f>$P9*'Allocation %'!Y9</f>
        <v>0</v>
      </c>
      <c r="AF9" s="15">
        <f>$P9*'Allocation %'!Z9</f>
        <v>0</v>
      </c>
      <c r="AG9" s="15">
        <f>$P9*'Allocation %'!AA9</f>
        <v>0</v>
      </c>
      <c r="AH9" s="15">
        <f>$P9*'Allocation %'!AB9</f>
        <v>0</v>
      </c>
      <c r="AI9" s="15">
        <f>$P9*'Allocation %'!AC9</f>
        <v>0</v>
      </c>
      <c r="AJ9" s="15">
        <f>$P9*'Allocation %'!AD9</f>
        <v>0</v>
      </c>
      <c r="AK9" s="15">
        <f>$P9*'Allocation %'!AE9</f>
        <v>0</v>
      </c>
      <c r="AL9" s="15">
        <f>$P9*'Allocation %'!AF9</f>
        <v>0</v>
      </c>
      <c r="AM9" s="15">
        <f>$P9*'Allocation %'!AG9</f>
        <v>0</v>
      </c>
      <c r="AN9" s="15">
        <f>$P9*'Allocation %'!AH9</f>
        <v>0</v>
      </c>
      <c r="AO9" s="89">
        <f t="shared" si="2"/>
        <v>2136.6999999999998</v>
      </c>
      <c r="AP9" s="19">
        <f t="shared" si="4"/>
        <v>0</v>
      </c>
    </row>
    <row r="10" spans="1:44" s="16" customFormat="1" ht="10.5" x14ac:dyDescent="0.25">
      <c r="A10" s="11">
        <f>Salary!A10</f>
        <v>7</v>
      </c>
      <c r="B10" s="17" t="str">
        <f>'Allocation %'!B10</f>
        <v>Cooper, Cassandra</v>
      </c>
      <c r="C10" s="17">
        <v>7</v>
      </c>
      <c r="D10" s="17" t="str">
        <f>'Allocation %'!D10</f>
        <v>FOC</v>
      </c>
      <c r="E10" s="17" t="str">
        <f>'Allocation %'!E10</f>
        <v>Clerical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5">
        <f>$P10*'Allocation %'!J10</f>
        <v>0</v>
      </c>
      <c r="R10" s="15">
        <f>$P10*'Allocation %'!K10</f>
        <v>0</v>
      </c>
      <c r="S10" s="15">
        <f>$P10*'Allocation %'!M10</f>
        <v>0</v>
      </c>
      <c r="T10" s="15">
        <f>$P10*'Allocation %'!N10</f>
        <v>0</v>
      </c>
      <c r="U10" s="15">
        <f>$P10*'Allocation %'!O10</f>
        <v>0</v>
      </c>
      <c r="V10" s="15">
        <f>$P10*'Allocation %'!P10</f>
        <v>0</v>
      </c>
      <c r="W10" s="15">
        <f>$P10*'Allocation %'!Q10</f>
        <v>0</v>
      </c>
      <c r="X10" s="15">
        <f>$P10*'Allocation %'!R10</f>
        <v>0</v>
      </c>
      <c r="Y10" s="15">
        <f>$P10*'Allocation %'!S10</f>
        <v>0</v>
      </c>
      <c r="Z10" s="15">
        <f>$P10*'Allocation %'!T10</f>
        <v>0</v>
      </c>
      <c r="AA10" s="15">
        <f>$P10*'Allocation %'!U10</f>
        <v>0</v>
      </c>
      <c r="AB10" s="15">
        <f>$P10*'Allocation %'!V10</f>
        <v>0</v>
      </c>
      <c r="AC10" s="15">
        <f>$P10*'Allocation %'!W10</f>
        <v>0</v>
      </c>
      <c r="AD10" s="15">
        <f>$P10*'Allocation %'!X10</f>
        <v>0</v>
      </c>
      <c r="AE10" s="15">
        <f>$P10*'Allocation %'!Y10</f>
        <v>0</v>
      </c>
      <c r="AF10" s="15">
        <f>$P10*'Allocation %'!Z10</f>
        <v>0</v>
      </c>
      <c r="AG10" s="15">
        <f>$P10*'Allocation %'!AA10</f>
        <v>0</v>
      </c>
      <c r="AH10" s="15">
        <f>$P10*'Allocation %'!AB10</f>
        <v>0</v>
      </c>
      <c r="AI10" s="15">
        <f>$P10*'Allocation %'!AC10</f>
        <v>0</v>
      </c>
      <c r="AJ10" s="15">
        <f>$P10*'Allocation %'!AD10</f>
        <v>0</v>
      </c>
      <c r="AK10" s="15">
        <f>$P10*'Allocation %'!AE10</f>
        <v>0</v>
      </c>
      <c r="AL10" s="15">
        <f>$P10*'Allocation %'!AF10</f>
        <v>0</v>
      </c>
      <c r="AM10" s="15">
        <f>$P10*'Allocation %'!AG10</f>
        <v>0</v>
      </c>
      <c r="AN10" s="15">
        <f>$P10*'Allocation %'!AH10</f>
        <v>0</v>
      </c>
      <c r="AO10" s="89">
        <f t="shared" si="2"/>
        <v>0</v>
      </c>
      <c r="AP10" s="19">
        <f t="shared" si="4"/>
        <v>0</v>
      </c>
    </row>
    <row r="11" spans="1:44" s="16" customFormat="1" ht="10.5" x14ac:dyDescent="0.25">
      <c r="A11" s="11">
        <f>Salary!A11</f>
        <v>8</v>
      </c>
      <c r="B11" s="17" t="str">
        <f>'Allocation %'!B11</f>
        <v>DANCE-WILSON, Heather</v>
      </c>
      <c r="C11" s="17">
        <v>8</v>
      </c>
      <c r="D11" s="17" t="str">
        <f>'Allocation %'!D11</f>
        <v>Abbott</v>
      </c>
      <c r="E11" s="17" t="str">
        <f>'Allocation %'!E11</f>
        <v>Director</v>
      </c>
      <c r="F11" s="22">
        <v>2692.31</v>
      </c>
      <c r="G11" s="20">
        <f t="shared" si="0"/>
        <v>70000.06</v>
      </c>
      <c r="H11" s="18"/>
      <c r="I11" s="18">
        <f>SUM(G11:H11)</f>
        <v>70000.06</v>
      </c>
      <c r="J11" s="18">
        <v>1608.63</v>
      </c>
      <c r="K11" s="18">
        <v>1608.63</v>
      </c>
      <c r="L11" s="18"/>
      <c r="M11" s="18"/>
      <c r="N11" s="18"/>
      <c r="O11" s="18"/>
      <c r="P11" s="18">
        <f t="shared" si="3"/>
        <v>3217.26</v>
      </c>
      <c r="Q11" s="15">
        <f>$P11*'Allocation %'!J11</f>
        <v>2316.4272000000001</v>
      </c>
      <c r="R11" s="15">
        <f>$P11*'Allocation %'!K11</f>
        <v>900.83280000000013</v>
      </c>
      <c r="S11" s="15">
        <f>$P11*'Allocation %'!M11</f>
        <v>0</v>
      </c>
      <c r="T11" s="15">
        <f>$P11*'Allocation %'!N11</f>
        <v>0</v>
      </c>
      <c r="U11" s="15">
        <f>$P11*'Allocation %'!O11</f>
        <v>0</v>
      </c>
      <c r="V11" s="15">
        <f>$P11*'Allocation %'!P11</f>
        <v>0</v>
      </c>
      <c r="W11" s="15">
        <f>$P11*'Allocation %'!Q11</f>
        <v>0</v>
      </c>
      <c r="X11" s="15">
        <f>$P11*'Allocation %'!R11</f>
        <v>0</v>
      </c>
      <c r="Y11" s="15">
        <f>$P11*'Allocation %'!S11</f>
        <v>0</v>
      </c>
      <c r="Z11" s="15">
        <f>$P11*'Allocation %'!T11</f>
        <v>0</v>
      </c>
      <c r="AA11" s="15">
        <f>$P11*'Allocation %'!U11</f>
        <v>0</v>
      </c>
      <c r="AB11" s="15">
        <f>$P11*'Allocation %'!V11</f>
        <v>0</v>
      </c>
      <c r="AC11" s="15">
        <f>$P11*'Allocation %'!W11</f>
        <v>0</v>
      </c>
      <c r="AD11" s="15">
        <f>$P11*'Allocation %'!X11</f>
        <v>0</v>
      </c>
      <c r="AE11" s="15">
        <f>$P11*'Allocation %'!Y11</f>
        <v>0</v>
      </c>
      <c r="AF11" s="15">
        <f>$P11*'Allocation %'!Z11</f>
        <v>0</v>
      </c>
      <c r="AG11" s="15">
        <f>$P11*'Allocation %'!AA11</f>
        <v>0</v>
      </c>
      <c r="AH11" s="15">
        <f>$P11*'Allocation %'!AB11</f>
        <v>0</v>
      </c>
      <c r="AI11" s="15">
        <f>$P11*'Allocation %'!AC11</f>
        <v>0</v>
      </c>
      <c r="AJ11" s="15">
        <f>$P11*'Allocation %'!AD11</f>
        <v>0</v>
      </c>
      <c r="AK11" s="15">
        <f>$P11*'Allocation %'!AE11</f>
        <v>0</v>
      </c>
      <c r="AL11" s="15">
        <f>$P11*'Allocation %'!AF11</f>
        <v>0</v>
      </c>
      <c r="AM11" s="15">
        <f>$P11*'Allocation %'!AG11</f>
        <v>0</v>
      </c>
      <c r="AN11" s="15">
        <f>$P11*'Allocation %'!AH11</f>
        <v>0</v>
      </c>
      <c r="AO11" s="89">
        <f t="shared" si="2"/>
        <v>3217.26</v>
      </c>
      <c r="AP11" s="19">
        <f t="shared" si="4"/>
        <v>0</v>
      </c>
    </row>
    <row r="12" spans="1:44" s="16" customFormat="1" ht="10.5" x14ac:dyDescent="0.25">
      <c r="A12" s="11">
        <f>Salary!A12</f>
        <v>9</v>
      </c>
      <c r="B12" s="17" t="str">
        <f>'Allocation %'!B12</f>
        <v>FITZPATRICK, Cynthia E.  - Toddlers</v>
      </c>
      <c r="C12" s="17">
        <v>9</v>
      </c>
      <c r="D12" s="17" t="str">
        <f>'Allocation %'!D12</f>
        <v>EHS/ Toddlers</v>
      </c>
      <c r="E12" s="17">
        <f>'Allocation %'!E12</f>
        <v>0</v>
      </c>
      <c r="F12" s="18">
        <v>969.96</v>
      </c>
      <c r="G12" s="20">
        <f t="shared" si="0"/>
        <v>25218.959999999999</v>
      </c>
      <c r="H12" s="18"/>
      <c r="I12" s="18">
        <f>SUM(G12:H12)</f>
        <v>25218.959999999999</v>
      </c>
      <c r="J12" s="18">
        <v>1068.3499999999999</v>
      </c>
      <c r="K12" s="18">
        <v>1068.3499999999999</v>
      </c>
      <c r="L12" s="18"/>
      <c r="M12" s="18"/>
      <c r="N12" s="18"/>
      <c r="O12" s="18"/>
      <c r="P12" s="18">
        <f t="shared" si="3"/>
        <v>2136.6999999999998</v>
      </c>
      <c r="Q12" s="15">
        <f>$P12*'Allocation %'!J12</f>
        <v>0</v>
      </c>
      <c r="R12" s="15">
        <f>$P12*'Allocation %'!K12</f>
        <v>0</v>
      </c>
      <c r="S12" s="15">
        <f>$P12*'Allocation %'!M12</f>
        <v>2136.6999999999998</v>
      </c>
      <c r="T12" s="15">
        <f>$P12*'Allocation %'!N12</f>
        <v>0</v>
      </c>
      <c r="U12" s="15">
        <f>$P12*'Allocation %'!O12</f>
        <v>0</v>
      </c>
      <c r="V12" s="15">
        <f>$P12*'Allocation %'!P12</f>
        <v>0</v>
      </c>
      <c r="W12" s="15">
        <f>$P12*'Allocation %'!Q12</f>
        <v>0</v>
      </c>
      <c r="X12" s="15">
        <f>$P12*'Allocation %'!R12</f>
        <v>0</v>
      </c>
      <c r="Y12" s="15">
        <f>$P12*'Allocation %'!S12</f>
        <v>0</v>
      </c>
      <c r="Z12" s="15">
        <f>$P12*'Allocation %'!T12</f>
        <v>0</v>
      </c>
      <c r="AA12" s="15">
        <f>$P12*'Allocation %'!U12</f>
        <v>0</v>
      </c>
      <c r="AB12" s="15">
        <f>$P12*'Allocation %'!V12</f>
        <v>0</v>
      </c>
      <c r="AC12" s="15">
        <f>$P12*'Allocation %'!W12</f>
        <v>0</v>
      </c>
      <c r="AD12" s="15">
        <f>$P12*'Allocation %'!X12</f>
        <v>0</v>
      </c>
      <c r="AE12" s="15">
        <f>$P12*'Allocation %'!Y12</f>
        <v>0</v>
      </c>
      <c r="AF12" s="15">
        <f>$P12*'Allocation %'!Z12</f>
        <v>0</v>
      </c>
      <c r="AG12" s="15">
        <f>$P12*'Allocation %'!AA12</f>
        <v>0</v>
      </c>
      <c r="AH12" s="15">
        <f>$P12*'Allocation %'!AB12</f>
        <v>0</v>
      </c>
      <c r="AI12" s="15">
        <f>$P12*'Allocation %'!AC12</f>
        <v>0</v>
      </c>
      <c r="AJ12" s="15">
        <f>$P12*'Allocation %'!AD12</f>
        <v>0</v>
      </c>
      <c r="AK12" s="15">
        <f>$P12*'Allocation %'!AE12</f>
        <v>0</v>
      </c>
      <c r="AL12" s="15">
        <f>$P12*'Allocation %'!AF12</f>
        <v>0</v>
      </c>
      <c r="AM12" s="15">
        <f>$P12*'Allocation %'!AG12</f>
        <v>0</v>
      </c>
      <c r="AN12" s="15">
        <f>$P12*'Allocation %'!AH12</f>
        <v>0</v>
      </c>
      <c r="AO12" s="89">
        <f t="shared" si="2"/>
        <v>2136.6999999999998</v>
      </c>
      <c r="AP12" s="19">
        <f t="shared" si="4"/>
        <v>0</v>
      </c>
    </row>
    <row r="13" spans="1:44" s="16" customFormat="1" ht="10.5" x14ac:dyDescent="0.25">
      <c r="A13" s="11">
        <f>Salary!A13</f>
        <v>10</v>
      </c>
      <c r="B13" s="17" t="str">
        <f>'Allocation %'!B13</f>
        <v>FRASER, Vivian Cox</v>
      </c>
      <c r="C13" s="17">
        <v>10</v>
      </c>
      <c r="D13" s="17" t="str">
        <f>'Allocation %'!D13</f>
        <v>Admin</v>
      </c>
      <c r="E13" s="17">
        <f>'Allocation %'!E13</f>
        <v>0</v>
      </c>
      <c r="F13" s="18">
        <v>5961.54</v>
      </c>
      <c r="G13" s="18">
        <f t="shared" si="0"/>
        <v>155000.04</v>
      </c>
      <c r="H13" s="18"/>
      <c r="I13" s="18">
        <f>SUM(G13:H13)</f>
        <v>155000.04</v>
      </c>
      <c r="J13" s="18"/>
      <c r="K13" s="18"/>
      <c r="L13" s="18"/>
      <c r="M13" s="18"/>
      <c r="N13" s="18"/>
      <c r="O13" s="18"/>
      <c r="P13" s="18">
        <f t="shared" si="3"/>
        <v>0</v>
      </c>
      <c r="Q13" s="15">
        <f>$P13*'Allocation %'!J13</f>
        <v>0</v>
      </c>
      <c r="R13" s="15">
        <f>$P13*'Allocation %'!K13</f>
        <v>0</v>
      </c>
      <c r="S13" s="15">
        <f>$P13*'Allocation %'!M13</f>
        <v>0</v>
      </c>
      <c r="T13" s="15">
        <f>$P13*'Allocation %'!N13</f>
        <v>0</v>
      </c>
      <c r="U13" s="15">
        <f>$P13*'Allocation %'!O13</f>
        <v>0</v>
      </c>
      <c r="V13" s="15">
        <f>$P13*'Allocation %'!P13</f>
        <v>0</v>
      </c>
      <c r="W13" s="15">
        <f>$P13*'Allocation %'!Q13</f>
        <v>0</v>
      </c>
      <c r="X13" s="15">
        <f>$P13*'Allocation %'!R13</f>
        <v>0</v>
      </c>
      <c r="Y13" s="15">
        <f>$P13*'Allocation %'!S13</f>
        <v>0</v>
      </c>
      <c r="Z13" s="15">
        <f>$P13*'Allocation %'!T13</f>
        <v>0</v>
      </c>
      <c r="AA13" s="15">
        <f>$P13*'Allocation %'!U13</f>
        <v>0</v>
      </c>
      <c r="AB13" s="15">
        <f>$P13*'Allocation %'!V13</f>
        <v>0</v>
      </c>
      <c r="AC13" s="15">
        <f>$P13*'Allocation %'!W13</f>
        <v>0</v>
      </c>
      <c r="AD13" s="15">
        <f>$P13*'Allocation %'!X13</f>
        <v>0</v>
      </c>
      <c r="AE13" s="15">
        <f>$P13*'Allocation %'!Y13</f>
        <v>0</v>
      </c>
      <c r="AF13" s="15">
        <f>$P13*'Allocation %'!Z13</f>
        <v>0</v>
      </c>
      <c r="AG13" s="15">
        <f>$P13*'Allocation %'!AA13</f>
        <v>0</v>
      </c>
      <c r="AH13" s="15">
        <f>$P13*'Allocation %'!AB13</f>
        <v>0</v>
      </c>
      <c r="AI13" s="15">
        <f>$P13*'Allocation %'!AC13</f>
        <v>0</v>
      </c>
      <c r="AJ13" s="15">
        <f>$P13*'Allocation %'!AD13</f>
        <v>0</v>
      </c>
      <c r="AK13" s="15">
        <f>$P13*'Allocation %'!AE13</f>
        <v>0</v>
      </c>
      <c r="AL13" s="15">
        <f>$P13*'Allocation %'!AF13</f>
        <v>0</v>
      </c>
      <c r="AM13" s="15">
        <f>$P13*'Allocation %'!AG13</f>
        <v>0</v>
      </c>
      <c r="AN13" s="15">
        <f>$P13*'Allocation %'!AH13</f>
        <v>0</v>
      </c>
      <c r="AO13" s="89">
        <f t="shared" si="2"/>
        <v>0</v>
      </c>
      <c r="AP13" s="19">
        <f t="shared" si="4"/>
        <v>0</v>
      </c>
    </row>
    <row r="14" spans="1:44" s="16" customFormat="1" ht="10.5" x14ac:dyDescent="0.25">
      <c r="A14" s="11">
        <f>Salary!A14</f>
        <v>11</v>
      </c>
      <c r="B14" s="17" t="str">
        <f>'Allocation %'!B14</f>
        <v xml:space="preserve">FRAZIER, Alice </v>
      </c>
      <c r="C14" s="17">
        <v>11</v>
      </c>
      <c r="D14" s="17" t="str">
        <f>'Allocation %'!D14</f>
        <v>Workforce</v>
      </c>
      <c r="E14" s="17">
        <f>'Allocation %'!E14</f>
        <v>0</v>
      </c>
      <c r="F14" s="18">
        <v>3153.85</v>
      </c>
      <c r="G14" s="18">
        <f t="shared" si="0"/>
        <v>82000.099999999991</v>
      </c>
      <c r="H14" s="18"/>
      <c r="I14" s="18">
        <f t="shared" ref="I14:I16" si="5">SUM(G14:H14)</f>
        <v>82000.099999999991</v>
      </c>
      <c r="J14" s="18"/>
      <c r="K14" s="18"/>
      <c r="L14" s="18"/>
      <c r="M14" s="18"/>
      <c r="N14" s="18"/>
      <c r="O14" s="18"/>
      <c r="P14" s="18">
        <f t="shared" si="3"/>
        <v>0</v>
      </c>
      <c r="Q14" s="15">
        <f>$P14*'Allocation %'!J14</f>
        <v>0</v>
      </c>
      <c r="R14" s="15">
        <f>$P14*'Allocation %'!K14</f>
        <v>0</v>
      </c>
      <c r="S14" s="15">
        <f>$P14*'Allocation %'!M14</f>
        <v>0</v>
      </c>
      <c r="T14" s="15">
        <f>$P14*'Allocation %'!N14</f>
        <v>0</v>
      </c>
      <c r="U14" s="15">
        <f>$P14*'Allocation %'!O14</f>
        <v>0</v>
      </c>
      <c r="V14" s="15">
        <f>$P14*'Allocation %'!P14</f>
        <v>0</v>
      </c>
      <c r="W14" s="15">
        <f>$P14*'Allocation %'!Q14</f>
        <v>0</v>
      </c>
      <c r="X14" s="15">
        <f>$P14*'Allocation %'!R14</f>
        <v>0</v>
      </c>
      <c r="Y14" s="15">
        <f>$P14*'Allocation %'!S14</f>
        <v>0</v>
      </c>
      <c r="Z14" s="15">
        <f>$P14*'Allocation %'!T14</f>
        <v>0</v>
      </c>
      <c r="AA14" s="15">
        <f>$P14*'Allocation %'!U14</f>
        <v>0</v>
      </c>
      <c r="AB14" s="15">
        <f>$P14*'Allocation %'!V14</f>
        <v>0</v>
      </c>
      <c r="AC14" s="15">
        <f>$P14*'Allocation %'!W14</f>
        <v>0</v>
      </c>
      <c r="AD14" s="15">
        <f>$P14*'Allocation %'!X14</f>
        <v>0</v>
      </c>
      <c r="AE14" s="15">
        <f>$P14*'Allocation %'!Y14</f>
        <v>0</v>
      </c>
      <c r="AF14" s="15">
        <f>$P14*'Allocation %'!Z14</f>
        <v>0</v>
      </c>
      <c r="AG14" s="15">
        <f>$P14*'Allocation %'!AA14</f>
        <v>0</v>
      </c>
      <c r="AH14" s="15">
        <f>$P14*'Allocation %'!AB14</f>
        <v>0</v>
      </c>
      <c r="AI14" s="15">
        <f>$P14*'Allocation %'!AC14</f>
        <v>0</v>
      </c>
      <c r="AJ14" s="15">
        <f>$P14*'Allocation %'!AD14</f>
        <v>0</v>
      </c>
      <c r="AK14" s="15">
        <f>$P14*'Allocation %'!AE14</f>
        <v>0</v>
      </c>
      <c r="AL14" s="15">
        <f>$P14*'Allocation %'!AF14</f>
        <v>0</v>
      </c>
      <c r="AM14" s="15">
        <f>$P14*'Allocation %'!AG14</f>
        <v>0</v>
      </c>
      <c r="AN14" s="15">
        <f>$P14*'Allocation %'!AH14</f>
        <v>0</v>
      </c>
      <c r="AO14" s="89">
        <f t="shared" si="2"/>
        <v>0</v>
      </c>
      <c r="AP14" s="19">
        <f t="shared" si="4"/>
        <v>0</v>
      </c>
    </row>
    <row r="15" spans="1:44" s="16" customFormat="1" ht="10.5" x14ac:dyDescent="0.25">
      <c r="A15" s="11">
        <f>Salary!A15</f>
        <v>12</v>
      </c>
      <c r="B15" s="17" t="str">
        <f>'Allocation %'!B15</f>
        <v xml:space="preserve">GREEN, Yolanda - </v>
      </c>
      <c r="C15" s="17">
        <v>12</v>
      </c>
      <c r="D15" s="17" t="str">
        <f>'Allocation %'!D15</f>
        <v>EHS/ Toddlers</v>
      </c>
      <c r="E15" s="17">
        <f>'Allocation %'!E15</f>
        <v>0</v>
      </c>
      <c r="F15" s="18">
        <v>1278.8800000000001</v>
      </c>
      <c r="G15" s="20">
        <f t="shared" si="0"/>
        <v>33250.880000000005</v>
      </c>
      <c r="H15" s="18"/>
      <c r="I15" s="18">
        <f t="shared" si="5"/>
        <v>33250.880000000005</v>
      </c>
      <c r="J15" s="18">
        <v>946.06</v>
      </c>
      <c r="K15" s="18">
        <v>946.06</v>
      </c>
      <c r="L15" s="18"/>
      <c r="M15" s="18"/>
      <c r="N15" s="18"/>
      <c r="O15" s="18"/>
      <c r="P15" s="18">
        <f t="shared" si="3"/>
        <v>1892.12</v>
      </c>
      <c r="Q15" s="15">
        <f>$P15*'Allocation %'!J15</f>
        <v>0</v>
      </c>
      <c r="R15" s="15">
        <f>$P15*'Allocation %'!K15</f>
        <v>0</v>
      </c>
      <c r="S15" s="15">
        <f>$P15*'Allocation %'!M15</f>
        <v>1892.12</v>
      </c>
      <c r="T15" s="15">
        <f>$P15*'Allocation %'!N15</f>
        <v>0</v>
      </c>
      <c r="U15" s="15">
        <f>$P15*'Allocation %'!O15</f>
        <v>0</v>
      </c>
      <c r="V15" s="15">
        <f>$P15*'Allocation %'!P15</f>
        <v>0</v>
      </c>
      <c r="W15" s="15">
        <f>$P15*'Allocation %'!Q15</f>
        <v>0</v>
      </c>
      <c r="X15" s="15">
        <f>$P15*'Allocation %'!R15</f>
        <v>0</v>
      </c>
      <c r="Y15" s="15">
        <f>$P15*'Allocation %'!S15</f>
        <v>0</v>
      </c>
      <c r="Z15" s="15">
        <f>$P15*'Allocation %'!T15</f>
        <v>0</v>
      </c>
      <c r="AA15" s="15">
        <f>$P15*'Allocation %'!U15</f>
        <v>0</v>
      </c>
      <c r="AB15" s="15">
        <f>$P15*'Allocation %'!V15</f>
        <v>0</v>
      </c>
      <c r="AC15" s="15">
        <f>$P15*'Allocation %'!W15</f>
        <v>0</v>
      </c>
      <c r="AD15" s="15">
        <f>$P15*'Allocation %'!X15</f>
        <v>0</v>
      </c>
      <c r="AE15" s="15">
        <f>$P15*'Allocation %'!Y15</f>
        <v>0</v>
      </c>
      <c r="AF15" s="15">
        <f>$P15*'Allocation %'!Z15</f>
        <v>0</v>
      </c>
      <c r="AG15" s="15">
        <f>$P15*'Allocation %'!AA15</f>
        <v>0</v>
      </c>
      <c r="AH15" s="15">
        <f>$P15*'Allocation %'!AB15</f>
        <v>0</v>
      </c>
      <c r="AI15" s="15">
        <f>$P15*'Allocation %'!AC15</f>
        <v>0</v>
      </c>
      <c r="AJ15" s="15">
        <f>$P15*'Allocation %'!AD15</f>
        <v>0</v>
      </c>
      <c r="AK15" s="15">
        <f>$P15*'Allocation %'!AE15</f>
        <v>0</v>
      </c>
      <c r="AL15" s="15">
        <f>$P15*'Allocation %'!AF15</f>
        <v>0</v>
      </c>
      <c r="AM15" s="15">
        <f>$P15*'Allocation %'!AG15</f>
        <v>0</v>
      </c>
      <c r="AN15" s="15">
        <f>$P15*'Allocation %'!AH15</f>
        <v>0</v>
      </c>
      <c r="AO15" s="89">
        <f t="shared" si="2"/>
        <v>1892.12</v>
      </c>
      <c r="AP15" s="19">
        <f t="shared" si="4"/>
        <v>0</v>
      </c>
    </row>
    <row r="16" spans="1:44" s="16" customFormat="1" ht="10.5" x14ac:dyDescent="0.25">
      <c r="A16" s="11">
        <f>Salary!A16</f>
        <v>13</v>
      </c>
      <c r="B16" s="17" t="str">
        <f>'Allocation %'!B16</f>
        <v>Guerra, Karime</v>
      </c>
      <c r="C16" s="17">
        <v>13</v>
      </c>
      <c r="D16" s="17" t="str">
        <f>'Allocation %'!D16</f>
        <v>Housing</v>
      </c>
      <c r="E16" s="17">
        <f>'Allocation %'!E16</f>
        <v>0</v>
      </c>
      <c r="F16" s="18">
        <v>1788.47</v>
      </c>
      <c r="G16" s="18">
        <f t="shared" si="0"/>
        <v>46500.22</v>
      </c>
      <c r="H16" s="18"/>
      <c r="I16" s="18">
        <f t="shared" si="5"/>
        <v>46500.22</v>
      </c>
      <c r="J16" s="18"/>
      <c r="K16" s="18">
        <v>290.52</v>
      </c>
      <c r="L16" s="18"/>
      <c r="M16" s="18"/>
      <c r="N16" s="18"/>
      <c r="O16" s="18"/>
      <c r="P16" s="18">
        <f t="shared" si="3"/>
        <v>290.52</v>
      </c>
      <c r="Q16" s="15">
        <f>$P16*'Allocation %'!J16</f>
        <v>0</v>
      </c>
      <c r="R16" s="15">
        <f>$P16*'Allocation %'!K16</f>
        <v>0</v>
      </c>
      <c r="S16" s="15">
        <f>$P16*'Allocation %'!M16</f>
        <v>0</v>
      </c>
      <c r="T16" s="15">
        <f>$P16*'Allocation %'!N16</f>
        <v>0</v>
      </c>
      <c r="U16" s="15">
        <f>$P16*'Allocation %'!O16</f>
        <v>0</v>
      </c>
      <c r="V16" s="15">
        <f>$P16*'Allocation %'!P16</f>
        <v>0</v>
      </c>
      <c r="W16" s="15">
        <f>$P16*'Allocation %'!Q16</f>
        <v>0</v>
      </c>
      <c r="X16" s="15">
        <f>$P16*'Allocation %'!R16</f>
        <v>43.577999999999996</v>
      </c>
      <c r="Y16" s="15">
        <f>$P16*'Allocation %'!S16</f>
        <v>0</v>
      </c>
      <c r="Z16" s="15">
        <f>$P16*'Allocation %'!T16</f>
        <v>214.98479999999998</v>
      </c>
      <c r="AA16" s="15">
        <f>$P16*'Allocation %'!U16</f>
        <v>31.957199999999997</v>
      </c>
      <c r="AB16" s="15">
        <f>$P16*'Allocation %'!V16</f>
        <v>0</v>
      </c>
      <c r="AC16" s="15">
        <f>$P16*'Allocation %'!W16</f>
        <v>0</v>
      </c>
      <c r="AD16" s="15">
        <f>$P16*'Allocation %'!X16</f>
        <v>0</v>
      </c>
      <c r="AE16" s="15">
        <f>$P16*'Allocation %'!Y16</f>
        <v>0</v>
      </c>
      <c r="AF16" s="15">
        <f>$P16*'Allocation %'!Z16</f>
        <v>0</v>
      </c>
      <c r="AG16" s="15">
        <f>$P16*'Allocation %'!AA16</f>
        <v>0</v>
      </c>
      <c r="AH16" s="15">
        <f>$P16*'Allocation %'!AB16</f>
        <v>0</v>
      </c>
      <c r="AI16" s="15">
        <f>$P16*'Allocation %'!AC16</f>
        <v>0</v>
      </c>
      <c r="AJ16" s="15">
        <f>$P16*'Allocation %'!AD16</f>
        <v>0</v>
      </c>
      <c r="AK16" s="15">
        <f>$P16*'Allocation %'!AE16</f>
        <v>0</v>
      </c>
      <c r="AL16" s="15">
        <f>$P16*'Allocation %'!AF16</f>
        <v>0</v>
      </c>
      <c r="AM16" s="15">
        <f>$P16*'Allocation %'!AG16</f>
        <v>0</v>
      </c>
      <c r="AN16" s="15">
        <f>$P16*'Allocation %'!AH16</f>
        <v>0</v>
      </c>
      <c r="AO16" s="89">
        <f t="shared" si="2"/>
        <v>290.52</v>
      </c>
      <c r="AP16" s="19">
        <f t="shared" si="4"/>
        <v>0</v>
      </c>
    </row>
    <row r="17" spans="1:42" s="16" customFormat="1" ht="10.5" x14ac:dyDescent="0.25">
      <c r="A17" s="11">
        <f>Salary!A17</f>
        <v>14</v>
      </c>
      <c r="B17" s="17" t="str">
        <f>'Allocation %'!B17</f>
        <v xml:space="preserve">HIGGINS, Rosa M. </v>
      </c>
      <c r="C17" s="17">
        <v>14</v>
      </c>
      <c r="D17" s="17" t="str">
        <f>'Allocation %'!D17</f>
        <v>FOC</v>
      </c>
      <c r="E17" s="17">
        <f>'Allocation %'!E17</f>
        <v>0</v>
      </c>
      <c r="F17" s="22">
        <v>1538.46</v>
      </c>
      <c r="G17" s="22">
        <f t="shared" si="0"/>
        <v>39999.96</v>
      </c>
      <c r="H17" s="18"/>
      <c r="I17" s="22">
        <f>SUM(G17:H17)</f>
        <v>39999.96</v>
      </c>
      <c r="J17" s="18"/>
      <c r="K17" s="18"/>
      <c r="L17" s="22"/>
      <c r="M17" s="22"/>
      <c r="N17" s="22"/>
      <c r="O17" s="22"/>
      <c r="P17" s="18">
        <f t="shared" si="3"/>
        <v>0</v>
      </c>
      <c r="Q17" s="15">
        <f>$P17*'Allocation %'!J17</f>
        <v>0</v>
      </c>
      <c r="R17" s="15">
        <f>$P17*'Allocation %'!K17</f>
        <v>0</v>
      </c>
      <c r="S17" s="15">
        <f>$P17*'Allocation %'!M17</f>
        <v>0</v>
      </c>
      <c r="T17" s="15">
        <f>$P17*'Allocation %'!N17</f>
        <v>0</v>
      </c>
      <c r="U17" s="15">
        <f>$P17*'Allocation %'!O17</f>
        <v>0</v>
      </c>
      <c r="V17" s="15">
        <f>$P17*'Allocation %'!P17</f>
        <v>0</v>
      </c>
      <c r="W17" s="15">
        <f>$P17*'Allocation %'!Q17</f>
        <v>0</v>
      </c>
      <c r="X17" s="15">
        <f>$P17*'Allocation %'!R17</f>
        <v>0</v>
      </c>
      <c r="Y17" s="15">
        <f>$P17*'Allocation %'!S17</f>
        <v>0</v>
      </c>
      <c r="Z17" s="15">
        <f>$P17*'Allocation %'!T17</f>
        <v>0</v>
      </c>
      <c r="AA17" s="15">
        <f>$P17*'Allocation %'!U17</f>
        <v>0</v>
      </c>
      <c r="AB17" s="15">
        <f>$P17*'Allocation %'!V17</f>
        <v>0</v>
      </c>
      <c r="AC17" s="15">
        <f>$P17*'Allocation %'!W17</f>
        <v>0</v>
      </c>
      <c r="AD17" s="15">
        <f>$P17*'Allocation %'!X17</f>
        <v>0</v>
      </c>
      <c r="AE17" s="15">
        <f>$P17*'Allocation %'!Y17</f>
        <v>0</v>
      </c>
      <c r="AF17" s="15">
        <f>$P17*'Allocation %'!Z17</f>
        <v>0</v>
      </c>
      <c r="AG17" s="15">
        <f>$P17*'Allocation %'!AA17</f>
        <v>0</v>
      </c>
      <c r="AH17" s="15">
        <f>$P17*'Allocation %'!AB17</f>
        <v>0</v>
      </c>
      <c r="AI17" s="15">
        <f>$P17*'Allocation %'!AC17</f>
        <v>0</v>
      </c>
      <c r="AJ17" s="15">
        <f>$P17*'Allocation %'!AD17</f>
        <v>0</v>
      </c>
      <c r="AK17" s="15">
        <f>$P17*'Allocation %'!AE17</f>
        <v>0</v>
      </c>
      <c r="AL17" s="15">
        <f>$P17*'Allocation %'!AF17</f>
        <v>0</v>
      </c>
      <c r="AM17" s="15">
        <f>$P17*'Allocation %'!AG17</f>
        <v>0</v>
      </c>
      <c r="AN17" s="15">
        <f>$P17*'Allocation %'!AH17</f>
        <v>0</v>
      </c>
      <c r="AO17" s="89">
        <f t="shared" si="2"/>
        <v>0</v>
      </c>
      <c r="AP17" s="19">
        <f t="shared" si="4"/>
        <v>0</v>
      </c>
    </row>
    <row r="18" spans="1:42" s="16" customFormat="1" ht="10.5" x14ac:dyDescent="0.25">
      <c r="A18" s="11">
        <f>Salary!A18</f>
        <v>15</v>
      </c>
      <c r="B18" s="17" t="str">
        <f>'Allocation %'!B18</f>
        <v>HOLLINS, QUINTELLA</v>
      </c>
      <c r="C18" s="17">
        <v>15</v>
      </c>
      <c r="D18" s="17" t="str">
        <f>'Allocation %'!D18</f>
        <v>Abbott</v>
      </c>
      <c r="E18" s="17" t="str">
        <f>'Allocation %'!E18</f>
        <v xml:space="preserve">Teacher   </v>
      </c>
      <c r="F18" s="18">
        <v>2305.8200000000002</v>
      </c>
      <c r="G18" s="20">
        <f t="shared" si="0"/>
        <v>59951.320000000007</v>
      </c>
      <c r="H18" s="18"/>
      <c r="I18" s="18">
        <f>SUM(G18:H18)</f>
        <v>59951.320000000007</v>
      </c>
      <c r="J18" s="18">
        <v>1346.7</v>
      </c>
      <c r="K18" s="18">
        <v>1346.7</v>
      </c>
      <c r="L18" s="18"/>
      <c r="M18" s="18"/>
      <c r="N18" s="18"/>
      <c r="O18" s="18"/>
      <c r="P18" s="18">
        <f t="shared" si="3"/>
        <v>2693.4</v>
      </c>
      <c r="Q18" s="15">
        <f>$P18*'Allocation %'!J18</f>
        <v>2693.4</v>
      </c>
      <c r="R18" s="15">
        <f>$P18*'Allocation %'!K18</f>
        <v>0</v>
      </c>
      <c r="S18" s="15">
        <f>$P18*'Allocation %'!M18</f>
        <v>0</v>
      </c>
      <c r="T18" s="15">
        <f>$P18*'Allocation %'!N18</f>
        <v>0</v>
      </c>
      <c r="U18" s="15">
        <f>$P18*'Allocation %'!O18</f>
        <v>0</v>
      </c>
      <c r="V18" s="15">
        <f>$P18*'Allocation %'!P18</f>
        <v>0</v>
      </c>
      <c r="W18" s="15">
        <f>$P18*'Allocation %'!Q18</f>
        <v>0</v>
      </c>
      <c r="X18" s="15">
        <f>$P18*'Allocation %'!R18</f>
        <v>0</v>
      </c>
      <c r="Y18" s="15">
        <f>$P18*'Allocation %'!S18</f>
        <v>0</v>
      </c>
      <c r="Z18" s="15">
        <f>$P18*'Allocation %'!T18</f>
        <v>0</v>
      </c>
      <c r="AA18" s="15">
        <f>$P18*'Allocation %'!U18</f>
        <v>0</v>
      </c>
      <c r="AB18" s="15">
        <f>$P18*'Allocation %'!V18</f>
        <v>0</v>
      </c>
      <c r="AC18" s="15">
        <f>$P18*'Allocation %'!W18</f>
        <v>0</v>
      </c>
      <c r="AD18" s="15">
        <f>$P18*'Allocation %'!X18</f>
        <v>0</v>
      </c>
      <c r="AE18" s="15">
        <f>$P18*'Allocation %'!Y18</f>
        <v>0</v>
      </c>
      <c r="AF18" s="15">
        <f>$P18*'Allocation %'!Z18</f>
        <v>0</v>
      </c>
      <c r="AG18" s="15">
        <f>$P18*'Allocation %'!AA18</f>
        <v>0</v>
      </c>
      <c r="AH18" s="15">
        <f>$P18*'Allocation %'!AB18</f>
        <v>0</v>
      </c>
      <c r="AI18" s="15">
        <f>$P18*'Allocation %'!AC18</f>
        <v>0</v>
      </c>
      <c r="AJ18" s="15">
        <f>$P18*'Allocation %'!AD18</f>
        <v>0</v>
      </c>
      <c r="AK18" s="15">
        <f>$P18*'Allocation %'!AE18</f>
        <v>0</v>
      </c>
      <c r="AL18" s="15">
        <f>$P18*'Allocation %'!AF18</f>
        <v>0</v>
      </c>
      <c r="AM18" s="15">
        <f>$P18*'Allocation %'!AG18</f>
        <v>0</v>
      </c>
      <c r="AN18" s="15">
        <f>$P18*'Allocation %'!AH18</f>
        <v>0</v>
      </c>
      <c r="AO18" s="89">
        <f t="shared" si="2"/>
        <v>2693.4</v>
      </c>
      <c r="AP18" s="19">
        <f t="shared" si="4"/>
        <v>0</v>
      </c>
    </row>
    <row r="19" spans="1:42" s="16" customFormat="1" ht="10.5" x14ac:dyDescent="0.25">
      <c r="A19" s="11">
        <f>Salary!A19</f>
        <v>16</v>
      </c>
      <c r="B19" s="17" t="str">
        <f>'Allocation %'!B19</f>
        <v>Howard, Theresa</v>
      </c>
      <c r="C19" s="17">
        <v>16</v>
      </c>
      <c r="D19" s="17" t="str">
        <f>'Allocation %'!D19</f>
        <v>United Airlines</v>
      </c>
      <c r="E19" s="17">
        <f>'Allocation %'!E19</f>
        <v>0</v>
      </c>
      <c r="F19" s="18">
        <v>2115.39</v>
      </c>
      <c r="G19" s="18">
        <f>F19*$G$3</f>
        <v>55000.14</v>
      </c>
      <c r="H19" s="18"/>
      <c r="I19" s="18">
        <f>SUM(G19:H19)</f>
        <v>55000.14</v>
      </c>
      <c r="J19" s="18">
        <v>746.45</v>
      </c>
      <c r="K19" s="18">
        <v>746.45</v>
      </c>
      <c r="L19" s="18"/>
      <c r="M19" s="18"/>
      <c r="N19" s="18"/>
      <c r="O19" s="18"/>
      <c r="P19" s="18">
        <f t="shared" si="3"/>
        <v>1492.9</v>
      </c>
      <c r="Q19" s="15">
        <f>$P19*'Allocation %'!J19</f>
        <v>0</v>
      </c>
      <c r="R19" s="15">
        <f>$P19*'Allocation %'!K19</f>
        <v>0</v>
      </c>
      <c r="S19" s="15">
        <f>$P19*'Allocation %'!M19</f>
        <v>0</v>
      </c>
      <c r="T19" s="15">
        <f>$P19*'Allocation %'!N19</f>
        <v>0</v>
      </c>
      <c r="U19" s="15">
        <f>$P19*'Allocation %'!O19</f>
        <v>1492.9</v>
      </c>
      <c r="V19" s="15">
        <f>$P19*'Allocation %'!P19</f>
        <v>0</v>
      </c>
      <c r="W19" s="15">
        <f>$P19*'Allocation %'!Q19</f>
        <v>0</v>
      </c>
      <c r="X19" s="15">
        <f>$P19*'Allocation %'!R19</f>
        <v>0</v>
      </c>
      <c r="Y19" s="15">
        <f>$P19*'Allocation %'!S19</f>
        <v>0</v>
      </c>
      <c r="Z19" s="15">
        <f>$P19*'Allocation %'!T19</f>
        <v>0</v>
      </c>
      <c r="AA19" s="15">
        <f>$P19*'Allocation %'!U19</f>
        <v>0</v>
      </c>
      <c r="AB19" s="15">
        <f>$P19*'Allocation %'!V19</f>
        <v>0</v>
      </c>
      <c r="AC19" s="15">
        <f>$P19*'Allocation %'!W19</f>
        <v>0</v>
      </c>
      <c r="AD19" s="15">
        <f>$P19*'Allocation %'!X19</f>
        <v>0</v>
      </c>
      <c r="AE19" s="15">
        <f>$P19*'Allocation %'!Y19</f>
        <v>0</v>
      </c>
      <c r="AF19" s="15">
        <f>$P19*'Allocation %'!Z19</f>
        <v>0</v>
      </c>
      <c r="AG19" s="15">
        <f>$P19*'Allocation %'!AA19</f>
        <v>0</v>
      </c>
      <c r="AH19" s="15">
        <f>$P19*'Allocation %'!AB19</f>
        <v>0</v>
      </c>
      <c r="AI19" s="15">
        <f>$P19*'Allocation %'!AC19</f>
        <v>0</v>
      </c>
      <c r="AJ19" s="15">
        <f>$P19*'Allocation %'!AD19</f>
        <v>0</v>
      </c>
      <c r="AK19" s="15">
        <f>$P19*'Allocation %'!AE19</f>
        <v>0</v>
      </c>
      <c r="AL19" s="15">
        <f>$P19*'Allocation %'!AF19</f>
        <v>0</v>
      </c>
      <c r="AM19" s="15">
        <f>$P19*'Allocation %'!AG19</f>
        <v>0</v>
      </c>
      <c r="AN19" s="15">
        <f>$P19*'Allocation %'!AH19</f>
        <v>0</v>
      </c>
      <c r="AO19" s="89">
        <f t="shared" si="2"/>
        <v>1492.9</v>
      </c>
      <c r="AP19" s="19">
        <f t="shared" si="4"/>
        <v>0</v>
      </c>
    </row>
    <row r="20" spans="1:42" s="16" customFormat="1" ht="10.5" x14ac:dyDescent="0.25">
      <c r="A20" s="11">
        <f>Salary!A20</f>
        <v>17</v>
      </c>
      <c r="B20" s="17" t="str">
        <f>'Allocation %'!B20</f>
        <v>Johnson, Amanda</v>
      </c>
      <c r="C20" s="17">
        <v>17</v>
      </c>
      <c r="D20" s="17" t="str">
        <f>'Allocation %'!D20</f>
        <v>USJP</v>
      </c>
      <c r="E20" s="17">
        <f>'Allocation %'!E20</f>
        <v>0</v>
      </c>
      <c r="F20" s="18">
        <v>721</v>
      </c>
      <c r="G20" s="18">
        <f>F20*$G$3</f>
        <v>18746</v>
      </c>
      <c r="H20" s="18"/>
      <c r="I20" s="18">
        <f>SUM(G20:H20)</f>
        <v>18746</v>
      </c>
      <c r="J20" s="18"/>
      <c r="K20" s="18"/>
      <c r="L20" s="18"/>
      <c r="M20" s="18"/>
      <c r="N20" s="18"/>
      <c r="O20" s="18"/>
      <c r="P20" s="18">
        <f t="shared" si="3"/>
        <v>0</v>
      </c>
      <c r="Q20" s="15">
        <f>$P20*'Allocation %'!J20</f>
        <v>0</v>
      </c>
      <c r="R20" s="15">
        <f>$P20*'Allocation %'!K20</f>
        <v>0</v>
      </c>
      <c r="S20" s="15">
        <f>$P20*'Allocation %'!M20</f>
        <v>0</v>
      </c>
      <c r="T20" s="15">
        <f>$P20*'Allocation %'!N20</f>
        <v>0</v>
      </c>
      <c r="U20" s="15">
        <f>$P20*'Allocation %'!O20</f>
        <v>0</v>
      </c>
      <c r="V20" s="15">
        <f>$P20*'Allocation %'!P20</f>
        <v>0</v>
      </c>
      <c r="W20" s="15">
        <f>$P20*'Allocation %'!Q20</f>
        <v>0</v>
      </c>
      <c r="X20" s="15">
        <f>$P20*'Allocation %'!R20</f>
        <v>0</v>
      </c>
      <c r="Y20" s="15">
        <f>$P20*'Allocation %'!S20</f>
        <v>0</v>
      </c>
      <c r="Z20" s="15">
        <f>$P20*'Allocation %'!T20</f>
        <v>0</v>
      </c>
      <c r="AA20" s="15">
        <f>$P20*'Allocation %'!U20</f>
        <v>0</v>
      </c>
      <c r="AB20" s="15">
        <f>$P20*'Allocation %'!V20</f>
        <v>0</v>
      </c>
      <c r="AC20" s="15">
        <f>$P20*'Allocation %'!W20</f>
        <v>0</v>
      </c>
      <c r="AD20" s="15">
        <f>$P20*'Allocation %'!X20</f>
        <v>0</v>
      </c>
      <c r="AE20" s="15">
        <f>$P20*'Allocation %'!Y20</f>
        <v>0</v>
      </c>
      <c r="AF20" s="15">
        <f>$P20*'Allocation %'!Z20</f>
        <v>0</v>
      </c>
      <c r="AG20" s="15">
        <f>$P20*'Allocation %'!AA20</f>
        <v>0</v>
      </c>
      <c r="AH20" s="15">
        <f>$P20*'Allocation %'!AB20</f>
        <v>0</v>
      </c>
      <c r="AI20" s="15">
        <f>$P20*'Allocation %'!AC20</f>
        <v>0</v>
      </c>
      <c r="AJ20" s="15">
        <f>$P20*'Allocation %'!AD20</f>
        <v>0</v>
      </c>
      <c r="AK20" s="15">
        <f>$P20*'Allocation %'!AE20</f>
        <v>0</v>
      </c>
      <c r="AL20" s="15">
        <f>$P20*'Allocation %'!AF20</f>
        <v>0</v>
      </c>
      <c r="AM20" s="15">
        <f>$P20*'Allocation %'!AG20</f>
        <v>0</v>
      </c>
      <c r="AN20" s="15">
        <f>$P20*'Allocation %'!AH20</f>
        <v>0</v>
      </c>
      <c r="AO20" s="89">
        <f t="shared" si="2"/>
        <v>0</v>
      </c>
      <c r="AP20" s="19">
        <f t="shared" si="4"/>
        <v>0</v>
      </c>
    </row>
    <row r="21" spans="1:42" s="16" customFormat="1" ht="10.5" x14ac:dyDescent="0.25">
      <c r="A21" s="11">
        <f>Salary!A21</f>
        <v>18</v>
      </c>
      <c r="B21" s="17" t="str">
        <f>'Allocation %'!B21</f>
        <v>Leake, Rahmel</v>
      </c>
      <c r="C21" s="17">
        <v>18</v>
      </c>
      <c r="D21" s="17" t="str">
        <f>'Allocation %'!D21</f>
        <v>USJP</v>
      </c>
      <c r="E21" s="17">
        <f>'Allocation %'!E21</f>
        <v>0</v>
      </c>
      <c r="F21" s="18">
        <v>1538.47</v>
      </c>
      <c r="G21" s="18">
        <f>F21*$G$3</f>
        <v>40000.22</v>
      </c>
      <c r="H21" s="18"/>
      <c r="I21" s="18">
        <f>SUM(G21:H21)</f>
        <v>40000.22</v>
      </c>
      <c r="J21" s="18"/>
      <c r="K21" s="18"/>
      <c r="L21" s="18"/>
      <c r="M21" s="18"/>
      <c r="N21" s="18"/>
      <c r="O21" s="18"/>
      <c r="P21" s="18">
        <f t="shared" si="3"/>
        <v>0</v>
      </c>
      <c r="Q21" s="15">
        <f>$P21*'Allocation %'!J21</f>
        <v>0</v>
      </c>
      <c r="R21" s="15">
        <f>$P21*'Allocation %'!K21</f>
        <v>0</v>
      </c>
      <c r="S21" s="15">
        <f>$P21*'Allocation %'!M21</f>
        <v>0</v>
      </c>
      <c r="T21" s="15">
        <f>$P21*'Allocation %'!N21</f>
        <v>0</v>
      </c>
      <c r="U21" s="15">
        <f>$P21*'Allocation %'!O21</f>
        <v>0</v>
      </c>
      <c r="V21" s="15">
        <f>$P21*'Allocation %'!P21</f>
        <v>0</v>
      </c>
      <c r="W21" s="15">
        <f>$P21*'Allocation %'!Q21</f>
        <v>0</v>
      </c>
      <c r="X21" s="15">
        <f>$P21*'Allocation %'!R21</f>
        <v>0</v>
      </c>
      <c r="Y21" s="15">
        <f>$P21*'Allocation %'!S21</f>
        <v>0</v>
      </c>
      <c r="Z21" s="15">
        <f>$P21*'Allocation %'!T21</f>
        <v>0</v>
      </c>
      <c r="AA21" s="15">
        <f>$P21*'Allocation %'!U21</f>
        <v>0</v>
      </c>
      <c r="AB21" s="15">
        <f>$P21*'Allocation %'!V21</f>
        <v>0</v>
      </c>
      <c r="AC21" s="15">
        <f>$P21*'Allocation %'!W21</f>
        <v>0</v>
      </c>
      <c r="AD21" s="15">
        <f>$P21*'Allocation %'!X21</f>
        <v>0</v>
      </c>
      <c r="AE21" s="15">
        <f>$P21*'Allocation %'!Y21</f>
        <v>0</v>
      </c>
      <c r="AF21" s="15">
        <f>$P21*'Allocation %'!Z21</f>
        <v>0</v>
      </c>
      <c r="AG21" s="15">
        <f>$P21*'Allocation %'!AA21</f>
        <v>0</v>
      </c>
      <c r="AH21" s="15">
        <f>$P21*'Allocation %'!AB21</f>
        <v>0</v>
      </c>
      <c r="AI21" s="15">
        <f>$P21*'Allocation %'!AC21</f>
        <v>0</v>
      </c>
      <c r="AJ21" s="15">
        <f>$P21*'Allocation %'!AD21</f>
        <v>0</v>
      </c>
      <c r="AK21" s="15">
        <f>$P21*'Allocation %'!AE21</f>
        <v>0</v>
      </c>
      <c r="AL21" s="15">
        <f>$P21*'Allocation %'!AF21</f>
        <v>0</v>
      </c>
      <c r="AM21" s="15">
        <f>$P21*'Allocation %'!AG21</f>
        <v>0</v>
      </c>
      <c r="AN21" s="15">
        <f>$P21*'Allocation %'!AH21</f>
        <v>0</v>
      </c>
      <c r="AO21" s="89">
        <f t="shared" si="2"/>
        <v>0</v>
      </c>
      <c r="AP21" s="19">
        <f t="shared" si="4"/>
        <v>0</v>
      </c>
    </row>
    <row r="22" spans="1:42" s="16" customFormat="1" ht="10.5" x14ac:dyDescent="0.25">
      <c r="A22" s="11">
        <f>Salary!A22</f>
        <v>19</v>
      </c>
      <c r="B22" s="17" t="str">
        <f>'Allocation %'!B22</f>
        <v>Lindsey, Victoria - July</v>
      </c>
      <c r="C22" s="17">
        <v>19</v>
      </c>
      <c r="D22" s="17" t="str">
        <f>'Allocation %'!D22</f>
        <v>NRTC, Housing, PARS, ESG</v>
      </c>
      <c r="E22" s="17">
        <f>'Allocation %'!E22</f>
        <v>0</v>
      </c>
      <c r="F22" s="18">
        <v>2500</v>
      </c>
      <c r="G22" s="18">
        <f t="shared" ref="G22:G23" si="6">F22*$G$3</f>
        <v>65000</v>
      </c>
      <c r="H22" s="18"/>
      <c r="I22" s="18">
        <f t="shared" ref="I22:I30" si="7">SUM(G22:H22)</f>
        <v>65000</v>
      </c>
      <c r="J22" s="18">
        <v>1068.3499999999999</v>
      </c>
      <c r="K22" s="18">
        <v>1068.3499999999999</v>
      </c>
      <c r="L22" s="18"/>
      <c r="M22" s="18"/>
      <c r="N22" s="18"/>
      <c r="O22" s="18"/>
      <c r="P22" s="18">
        <f t="shared" si="3"/>
        <v>2136.6999999999998</v>
      </c>
      <c r="Q22" s="15">
        <f>$P22*'Allocation %'!J22</f>
        <v>0</v>
      </c>
      <c r="R22" s="15">
        <f>$P22*'Allocation %'!K22</f>
        <v>0</v>
      </c>
      <c r="S22" s="15">
        <f>$P22*'Allocation %'!M22</f>
        <v>0</v>
      </c>
      <c r="T22" s="15">
        <f>$P22*'Allocation %'!N22</f>
        <v>0</v>
      </c>
      <c r="U22" s="15">
        <f>$P22*'Allocation %'!O22</f>
        <v>0</v>
      </c>
      <c r="V22" s="15">
        <f>$P22*'Allocation %'!P22</f>
        <v>0</v>
      </c>
      <c r="W22" s="15">
        <f>$P22*'Allocation %'!Q22</f>
        <v>0</v>
      </c>
      <c r="X22" s="15">
        <f>$P22*'Allocation %'!R22</f>
        <v>534.17499999999995</v>
      </c>
      <c r="Y22" s="15">
        <f>$P22*'Allocation %'!S22</f>
        <v>384.60599999999994</v>
      </c>
      <c r="Z22" s="15">
        <f>$P22*'Allocation %'!T22</f>
        <v>149.56899999999999</v>
      </c>
      <c r="AA22" s="15">
        <f>$P22*'Allocation %'!U22</f>
        <v>534.17499999999995</v>
      </c>
      <c r="AB22" s="15">
        <f>$P22*'Allocation %'!V22</f>
        <v>534.17499999999995</v>
      </c>
      <c r="AC22" s="15">
        <f>$P22*'Allocation %'!W22</f>
        <v>0</v>
      </c>
      <c r="AD22" s="15">
        <f>$P22*'Allocation %'!X22</f>
        <v>0</v>
      </c>
      <c r="AE22" s="15">
        <f>$P22*'Allocation %'!Y22</f>
        <v>0</v>
      </c>
      <c r="AF22" s="15">
        <f>$P22*'Allocation %'!Z22</f>
        <v>0</v>
      </c>
      <c r="AG22" s="15">
        <f>$P22*'Allocation %'!AA22</f>
        <v>0</v>
      </c>
      <c r="AH22" s="15">
        <f>$P22*'Allocation %'!AB22</f>
        <v>0</v>
      </c>
      <c r="AI22" s="15">
        <f>$P22*'Allocation %'!AC22</f>
        <v>0</v>
      </c>
      <c r="AJ22" s="15">
        <f>$P22*'Allocation %'!AD22</f>
        <v>0</v>
      </c>
      <c r="AK22" s="15">
        <f>$P22*'Allocation %'!AE22</f>
        <v>0</v>
      </c>
      <c r="AL22" s="15">
        <f>$P22*'Allocation %'!AF22</f>
        <v>0</v>
      </c>
      <c r="AM22" s="15">
        <f>$P22*'Allocation %'!AG22</f>
        <v>0</v>
      </c>
      <c r="AN22" s="15">
        <f>$P22*'Allocation %'!AH22</f>
        <v>0</v>
      </c>
      <c r="AO22" s="89">
        <f t="shared" si="2"/>
        <v>2136.6999999999998</v>
      </c>
      <c r="AP22" s="19">
        <f t="shared" si="4"/>
        <v>0</v>
      </c>
    </row>
    <row r="23" spans="1:42" s="16" customFormat="1" ht="10.5" x14ac:dyDescent="0.25">
      <c r="A23" s="11">
        <f>Salary!A23</f>
        <v>20</v>
      </c>
      <c r="B23" s="17" t="str">
        <f>'Allocation %'!B23</f>
        <v>LOFTIN, NIQUITA</v>
      </c>
      <c r="C23" s="17">
        <v>20</v>
      </c>
      <c r="D23" s="17" t="str">
        <f>'Allocation %'!D23</f>
        <v>Abbott</v>
      </c>
      <c r="E23" s="17" t="str">
        <f>'Allocation %'!E23</f>
        <v>Teacher Asst</v>
      </c>
      <c r="F23" s="18">
        <v>1176</v>
      </c>
      <c r="G23" s="18">
        <f t="shared" si="6"/>
        <v>30576</v>
      </c>
      <c r="H23" s="18"/>
      <c r="I23" s="18">
        <f t="shared" si="7"/>
        <v>30576</v>
      </c>
      <c r="J23" s="18"/>
      <c r="K23" s="18"/>
      <c r="L23" s="18"/>
      <c r="M23" s="18"/>
      <c r="N23" s="18"/>
      <c r="O23" s="18"/>
      <c r="P23" s="18">
        <f t="shared" si="3"/>
        <v>0</v>
      </c>
      <c r="Q23" s="15">
        <f>$P23*'Allocation %'!J23</f>
        <v>0</v>
      </c>
      <c r="R23" s="15">
        <f>$P23*'Allocation %'!K23</f>
        <v>0</v>
      </c>
      <c r="S23" s="15">
        <f>$P23*'Allocation %'!M23</f>
        <v>0</v>
      </c>
      <c r="T23" s="15">
        <f>$P23*'Allocation %'!N23</f>
        <v>0</v>
      </c>
      <c r="U23" s="15">
        <f>$P23*'Allocation %'!O23</f>
        <v>0</v>
      </c>
      <c r="V23" s="15">
        <f>$P23*'Allocation %'!P23</f>
        <v>0</v>
      </c>
      <c r="W23" s="15">
        <f>$P23*'Allocation %'!Q23</f>
        <v>0</v>
      </c>
      <c r="X23" s="15">
        <f>$P23*'Allocation %'!R23</f>
        <v>0</v>
      </c>
      <c r="Y23" s="15">
        <f>$P23*'Allocation %'!S23</f>
        <v>0</v>
      </c>
      <c r="Z23" s="15">
        <f>$P23*'Allocation %'!T23</f>
        <v>0</v>
      </c>
      <c r="AA23" s="15">
        <f>$P23*'Allocation %'!U23</f>
        <v>0</v>
      </c>
      <c r="AB23" s="15">
        <f>$P23*'Allocation %'!V23</f>
        <v>0</v>
      </c>
      <c r="AC23" s="15">
        <f>$P23*'Allocation %'!W23</f>
        <v>0</v>
      </c>
      <c r="AD23" s="15">
        <f>$P23*'Allocation %'!X23</f>
        <v>0</v>
      </c>
      <c r="AE23" s="15">
        <f>$P23*'Allocation %'!Y23</f>
        <v>0</v>
      </c>
      <c r="AF23" s="15">
        <f>$P23*'Allocation %'!Z23</f>
        <v>0</v>
      </c>
      <c r="AG23" s="15">
        <f>$P23*'Allocation %'!AA23</f>
        <v>0</v>
      </c>
      <c r="AH23" s="15">
        <f>$P23*'Allocation %'!AB23</f>
        <v>0</v>
      </c>
      <c r="AI23" s="15">
        <f>$P23*'Allocation %'!AC23</f>
        <v>0</v>
      </c>
      <c r="AJ23" s="15">
        <f>$P23*'Allocation %'!AD23</f>
        <v>0</v>
      </c>
      <c r="AK23" s="15">
        <f>$P23*'Allocation %'!AE23</f>
        <v>0</v>
      </c>
      <c r="AL23" s="15">
        <f>$P23*'Allocation %'!AF23</f>
        <v>0</v>
      </c>
      <c r="AM23" s="15">
        <f>$P23*'Allocation %'!AG23</f>
        <v>0</v>
      </c>
      <c r="AN23" s="15">
        <f>$P23*'Allocation %'!AH23</f>
        <v>0</v>
      </c>
      <c r="AO23" s="89">
        <f t="shared" si="2"/>
        <v>0</v>
      </c>
      <c r="AP23" s="19">
        <f t="shared" si="4"/>
        <v>0</v>
      </c>
    </row>
    <row r="24" spans="1:42" s="16" customFormat="1" ht="10.5" x14ac:dyDescent="0.25">
      <c r="A24" s="11">
        <f>Salary!A24</f>
        <v>21</v>
      </c>
      <c r="B24" s="17" t="str">
        <f>'Allocation %'!B24</f>
        <v>Love, Charles</v>
      </c>
      <c r="C24" s="17">
        <v>21</v>
      </c>
      <c r="D24" s="17" t="str">
        <f>'Allocation %'!D24</f>
        <v>PACE</v>
      </c>
      <c r="E24" s="17">
        <f>'Allocation %'!E24</f>
        <v>0</v>
      </c>
      <c r="F24" s="18">
        <v>1200</v>
      </c>
      <c r="G24" s="18">
        <f>F24*$G$3</f>
        <v>31200</v>
      </c>
      <c r="H24" s="18"/>
      <c r="I24" s="18">
        <f t="shared" si="7"/>
        <v>31200</v>
      </c>
      <c r="J24" s="18"/>
      <c r="K24" s="18"/>
      <c r="L24" s="18"/>
      <c r="M24" s="18"/>
      <c r="N24" s="18"/>
      <c r="O24" s="18"/>
      <c r="P24" s="18">
        <f t="shared" si="3"/>
        <v>0</v>
      </c>
      <c r="Q24" s="15">
        <f>$P24*'Allocation %'!J24</f>
        <v>0</v>
      </c>
      <c r="R24" s="15">
        <f>$P24*'Allocation %'!K24</f>
        <v>0</v>
      </c>
      <c r="S24" s="15">
        <f>$P24*'Allocation %'!M24</f>
        <v>0</v>
      </c>
      <c r="T24" s="15">
        <f>$P24*'Allocation %'!N24</f>
        <v>0</v>
      </c>
      <c r="U24" s="15">
        <f>$P24*'Allocation %'!O24</f>
        <v>0</v>
      </c>
      <c r="V24" s="15">
        <f>$P24*'Allocation %'!P24</f>
        <v>0</v>
      </c>
      <c r="W24" s="15">
        <f>$P24*'Allocation %'!Q24</f>
        <v>0</v>
      </c>
      <c r="X24" s="15">
        <f>$P24*'Allocation %'!R24</f>
        <v>0</v>
      </c>
      <c r="Y24" s="15">
        <f>$P24*'Allocation %'!S24</f>
        <v>0</v>
      </c>
      <c r="Z24" s="15">
        <f>$P24*'Allocation %'!T24</f>
        <v>0</v>
      </c>
      <c r="AA24" s="15">
        <f>$P24*'Allocation %'!U24</f>
        <v>0</v>
      </c>
      <c r="AB24" s="15">
        <f>$P24*'Allocation %'!V24</f>
        <v>0</v>
      </c>
      <c r="AC24" s="15">
        <f>$P24*'Allocation %'!W24</f>
        <v>0</v>
      </c>
      <c r="AD24" s="15">
        <f>$P24*'Allocation %'!X24</f>
        <v>0</v>
      </c>
      <c r="AE24" s="15">
        <f>$P24*'Allocation %'!Y24</f>
        <v>0</v>
      </c>
      <c r="AF24" s="15">
        <f>$P24*'Allocation %'!Z24</f>
        <v>0</v>
      </c>
      <c r="AG24" s="15">
        <f>$P24*'Allocation %'!AA24</f>
        <v>0</v>
      </c>
      <c r="AH24" s="15">
        <f>$P24*'Allocation %'!AB24</f>
        <v>0</v>
      </c>
      <c r="AI24" s="15">
        <f>$P24*'Allocation %'!AC24</f>
        <v>0</v>
      </c>
      <c r="AJ24" s="15">
        <f>$P24*'Allocation %'!AD24</f>
        <v>0</v>
      </c>
      <c r="AK24" s="15">
        <f>$P24*'Allocation %'!AE24</f>
        <v>0</v>
      </c>
      <c r="AL24" s="15">
        <f>$P24*'Allocation %'!AF24</f>
        <v>0</v>
      </c>
      <c r="AM24" s="15">
        <f>$P24*'Allocation %'!AG24</f>
        <v>0</v>
      </c>
      <c r="AN24" s="15">
        <f>$P24*'Allocation %'!AH24</f>
        <v>0</v>
      </c>
      <c r="AO24" s="89">
        <f t="shared" si="2"/>
        <v>0</v>
      </c>
      <c r="AP24" s="19">
        <f t="shared" si="4"/>
        <v>0</v>
      </c>
    </row>
    <row r="25" spans="1:42" s="16" customFormat="1" ht="10.5" x14ac:dyDescent="0.25">
      <c r="A25" s="11">
        <f>Salary!A25</f>
        <v>22</v>
      </c>
      <c r="B25" s="17" t="str">
        <f>'Allocation %'!B25</f>
        <v>MARTINEZ, Joanna</v>
      </c>
      <c r="C25" s="17">
        <v>22</v>
      </c>
      <c r="D25" s="17" t="str">
        <f>'Allocation %'!D25</f>
        <v>USJP</v>
      </c>
      <c r="E25" s="17">
        <f>'Allocation %'!E25</f>
        <v>0</v>
      </c>
      <c r="F25" s="18">
        <v>1538.47</v>
      </c>
      <c r="G25" s="18">
        <f t="shared" si="0"/>
        <v>40000.22</v>
      </c>
      <c r="H25" s="18"/>
      <c r="I25" s="18">
        <f t="shared" si="7"/>
        <v>40000.22</v>
      </c>
      <c r="J25" s="18">
        <v>1332.17</v>
      </c>
      <c r="K25" s="18">
        <v>1332.17</v>
      </c>
      <c r="L25" s="18"/>
      <c r="M25" s="18"/>
      <c r="N25" s="18"/>
      <c r="O25" s="18"/>
      <c r="P25" s="18">
        <f t="shared" si="3"/>
        <v>2664.34</v>
      </c>
      <c r="Q25" s="15">
        <f>$P25*'Allocation %'!J25</f>
        <v>0</v>
      </c>
      <c r="R25" s="15">
        <f>$P25*'Allocation %'!K25</f>
        <v>0</v>
      </c>
      <c r="S25" s="15">
        <f>$P25*'Allocation %'!M25</f>
        <v>0</v>
      </c>
      <c r="T25" s="15">
        <f>$P25*'Allocation %'!N25</f>
        <v>2531.123</v>
      </c>
      <c r="U25" s="15">
        <f>$P25*'Allocation %'!O25</f>
        <v>0</v>
      </c>
      <c r="V25" s="15">
        <f>$P25*'Allocation %'!P25</f>
        <v>0</v>
      </c>
      <c r="W25" s="15">
        <f>$P25*'Allocation %'!Q25</f>
        <v>0</v>
      </c>
      <c r="X25" s="15">
        <f>$P25*'Allocation %'!R25</f>
        <v>0</v>
      </c>
      <c r="Y25" s="15">
        <f>$P25*'Allocation %'!S25</f>
        <v>0</v>
      </c>
      <c r="Z25" s="15">
        <f>$P25*'Allocation %'!T25</f>
        <v>0</v>
      </c>
      <c r="AA25" s="15">
        <f>$P25*'Allocation %'!U25</f>
        <v>0</v>
      </c>
      <c r="AB25" s="15">
        <f>$P25*'Allocation %'!V25</f>
        <v>0</v>
      </c>
      <c r="AC25" s="15">
        <f>$P25*'Allocation %'!W25</f>
        <v>0</v>
      </c>
      <c r="AD25" s="15">
        <f>$P25*'Allocation %'!X25</f>
        <v>0</v>
      </c>
      <c r="AE25" s="15">
        <f>$P25*'Allocation %'!Y25</f>
        <v>0</v>
      </c>
      <c r="AF25" s="15">
        <f>$P25*'Allocation %'!Z25</f>
        <v>0</v>
      </c>
      <c r="AG25" s="15">
        <f>$P25*'Allocation %'!AA25</f>
        <v>0</v>
      </c>
      <c r="AH25" s="15">
        <f>$P25*'Allocation %'!AB25</f>
        <v>0</v>
      </c>
      <c r="AI25" s="15">
        <f>$P25*'Allocation %'!AC25</f>
        <v>0</v>
      </c>
      <c r="AJ25" s="15">
        <f>$P25*'Allocation %'!AD25</f>
        <v>0</v>
      </c>
      <c r="AK25" s="15">
        <f>$P25*'Allocation %'!AE25</f>
        <v>133.21700000000001</v>
      </c>
      <c r="AL25" s="15">
        <f>$P25*'Allocation %'!AF25</f>
        <v>0</v>
      </c>
      <c r="AM25" s="15">
        <f>$P25*'Allocation %'!AG25</f>
        <v>0</v>
      </c>
      <c r="AN25" s="15">
        <f>$P25*'Allocation %'!AH25</f>
        <v>0</v>
      </c>
      <c r="AO25" s="89">
        <f t="shared" si="2"/>
        <v>2664.34</v>
      </c>
      <c r="AP25" s="19">
        <f t="shared" si="4"/>
        <v>0</v>
      </c>
    </row>
    <row r="26" spans="1:42" s="16" customFormat="1" ht="10.5" x14ac:dyDescent="0.25">
      <c r="A26" s="11">
        <f>Salary!A26</f>
        <v>23</v>
      </c>
      <c r="B26" s="17" t="str">
        <f>'Allocation %'!B26</f>
        <v>McDaniels, Curtis</v>
      </c>
      <c r="C26" s="17">
        <v>23</v>
      </c>
      <c r="D26" s="17" t="str">
        <f>'Allocation %'!D26</f>
        <v>Neigh Revit</v>
      </c>
      <c r="E26" s="17">
        <f>'Allocation %'!E26</f>
        <v>0</v>
      </c>
      <c r="F26" s="18">
        <v>1442.31</v>
      </c>
      <c r="G26" s="18">
        <f>F26*$G$3</f>
        <v>37500.06</v>
      </c>
      <c r="H26" s="18"/>
      <c r="I26" s="18">
        <f t="shared" si="7"/>
        <v>37500.06</v>
      </c>
      <c r="J26" s="18">
        <v>585.73</v>
      </c>
      <c r="K26" s="18">
        <v>585.73</v>
      </c>
      <c r="L26" s="18"/>
      <c r="M26" s="18"/>
      <c r="N26" s="18"/>
      <c r="O26" s="18"/>
      <c r="P26" s="18">
        <f t="shared" si="3"/>
        <v>1171.46</v>
      </c>
      <c r="Q26" s="15">
        <f>$P26*'Allocation %'!J26</f>
        <v>0</v>
      </c>
      <c r="R26" s="15">
        <f>$P26*'Allocation %'!K26</f>
        <v>0</v>
      </c>
      <c r="S26" s="15">
        <f>$P26*'Allocation %'!M26</f>
        <v>0</v>
      </c>
      <c r="T26" s="15">
        <f>$P26*'Allocation %'!N26</f>
        <v>0</v>
      </c>
      <c r="U26" s="15">
        <f>$P26*'Allocation %'!O26</f>
        <v>0</v>
      </c>
      <c r="V26" s="15">
        <f>$P26*'Allocation %'!P26</f>
        <v>0</v>
      </c>
      <c r="W26" s="15">
        <f>$P26*'Allocation %'!Q26</f>
        <v>0</v>
      </c>
      <c r="X26" s="15">
        <f>$P26*'Allocation %'!R26</f>
        <v>0</v>
      </c>
      <c r="Y26" s="15">
        <f>$P26*'Allocation %'!S26</f>
        <v>0</v>
      </c>
      <c r="Z26" s="15">
        <f>$P26*'Allocation %'!T26</f>
        <v>0</v>
      </c>
      <c r="AA26" s="15">
        <f>$P26*'Allocation %'!U26</f>
        <v>0</v>
      </c>
      <c r="AB26" s="15">
        <f>$P26*'Allocation %'!V26</f>
        <v>0</v>
      </c>
      <c r="AC26" s="15">
        <f>$P26*'Allocation %'!W26</f>
        <v>0</v>
      </c>
      <c r="AD26" s="15">
        <f>$P26*'Allocation %'!X26</f>
        <v>0</v>
      </c>
      <c r="AE26" s="15">
        <f>$P26*'Allocation %'!Y26</f>
        <v>0</v>
      </c>
      <c r="AF26" s="15">
        <f>$P26*'Allocation %'!Z26</f>
        <v>0</v>
      </c>
      <c r="AG26" s="15">
        <f>$P26*'Allocation %'!AA26</f>
        <v>0</v>
      </c>
      <c r="AH26" s="15">
        <f>$P26*'Allocation %'!AB26</f>
        <v>0</v>
      </c>
      <c r="AI26" s="15">
        <f>$P26*'Allocation %'!AC26</f>
        <v>1171.46</v>
      </c>
      <c r="AJ26" s="15">
        <f>$P26*'Allocation %'!AD26</f>
        <v>0</v>
      </c>
      <c r="AK26" s="15">
        <f>$P26*'Allocation %'!AE26</f>
        <v>0</v>
      </c>
      <c r="AL26" s="15">
        <f>$P26*'Allocation %'!AF26</f>
        <v>0</v>
      </c>
      <c r="AM26" s="15">
        <f>$P26*'Allocation %'!AG26</f>
        <v>0</v>
      </c>
      <c r="AN26" s="15">
        <f>$P26*'Allocation %'!AH26</f>
        <v>0</v>
      </c>
      <c r="AO26" s="89">
        <f t="shared" si="2"/>
        <v>1171.46</v>
      </c>
      <c r="AP26" s="19">
        <f t="shared" si="4"/>
        <v>0</v>
      </c>
    </row>
    <row r="27" spans="1:42" s="16" customFormat="1" ht="10.5" x14ac:dyDescent="0.25">
      <c r="A27" s="11">
        <f>Salary!A27</f>
        <v>24</v>
      </c>
      <c r="B27" s="17" t="str">
        <f>'Allocation %'!B27</f>
        <v>MCMILLIAN, Daphne L.</v>
      </c>
      <c r="C27" s="17">
        <v>24</v>
      </c>
      <c r="D27" s="17" t="str">
        <f>'Allocation %'!D27</f>
        <v>Abbott</v>
      </c>
      <c r="E27" s="17" t="str">
        <f>'Allocation %'!E27</f>
        <v>Family Worker</v>
      </c>
      <c r="F27" s="18">
        <v>1216.3599999999999</v>
      </c>
      <c r="G27" s="18">
        <f t="shared" si="0"/>
        <v>31625.359999999997</v>
      </c>
      <c r="H27" s="18"/>
      <c r="I27" s="18">
        <f t="shared" si="7"/>
        <v>31625.359999999997</v>
      </c>
      <c r="J27" s="18">
        <v>918.88</v>
      </c>
      <c r="K27" s="18">
        <v>918.88</v>
      </c>
      <c r="L27" s="18"/>
      <c r="M27" s="18"/>
      <c r="N27" s="18"/>
      <c r="O27" s="18"/>
      <c r="P27" s="18">
        <f t="shared" si="3"/>
        <v>1837.76</v>
      </c>
      <c r="Q27" s="15">
        <f>$P27*'Allocation %'!J27</f>
        <v>1837.76</v>
      </c>
      <c r="R27" s="15">
        <f>$P27*'Allocation %'!K27</f>
        <v>0</v>
      </c>
      <c r="S27" s="15">
        <f>$P27*'Allocation %'!M27</f>
        <v>0</v>
      </c>
      <c r="T27" s="15">
        <f>$P27*'Allocation %'!N27</f>
        <v>0</v>
      </c>
      <c r="U27" s="15">
        <f>$P27*'Allocation %'!O27</f>
        <v>0</v>
      </c>
      <c r="V27" s="15">
        <f>$P27*'Allocation %'!P27</f>
        <v>0</v>
      </c>
      <c r="W27" s="15">
        <f>$P27*'Allocation %'!Q27</f>
        <v>0</v>
      </c>
      <c r="X27" s="15">
        <f>$P27*'Allocation %'!R27</f>
        <v>0</v>
      </c>
      <c r="Y27" s="15">
        <f>$P27*'Allocation %'!S27</f>
        <v>0</v>
      </c>
      <c r="Z27" s="15">
        <f>$P27*'Allocation %'!T27</f>
        <v>0</v>
      </c>
      <c r="AA27" s="15">
        <f>$P27*'Allocation %'!U27</f>
        <v>0</v>
      </c>
      <c r="AB27" s="15">
        <f>$P27*'Allocation %'!V27</f>
        <v>0</v>
      </c>
      <c r="AC27" s="15">
        <f>$P27*'Allocation %'!W27</f>
        <v>0</v>
      </c>
      <c r="AD27" s="15">
        <f>$P27*'Allocation %'!X27</f>
        <v>0</v>
      </c>
      <c r="AE27" s="15">
        <f>$P27*'Allocation %'!Y27</f>
        <v>0</v>
      </c>
      <c r="AF27" s="15">
        <f>$P27*'Allocation %'!Z27</f>
        <v>0</v>
      </c>
      <c r="AG27" s="15">
        <f>$P27*'Allocation %'!AA27</f>
        <v>0</v>
      </c>
      <c r="AH27" s="15">
        <f>$P27*'Allocation %'!AB27</f>
        <v>0</v>
      </c>
      <c r="AI27" s="15">
        <f>$P27*'Allocation %'!AC27</f>
        <v>0</v>
      </c>
      <c r="AJ27" s="15">
        <f>$P27*'Allocation %'!AD27</f>
        <v>0</v>
      </c>
      <c r="AK27" s="15">
        <f>$P27*'Allocation %'!AE27</f>
        <v>0</v>
      </c>
      <c r="AL27" s="15">
        <f>$P27*'Allocation %'!AF27</f>
        <v>0</v>
      </c>
      <c r="AM27" s="15">
        <f>$P27*'Allocation %'!AG27</f>
        <v>0</v>
      </c>
      <c r="AN27" s="15">
        <f>$P27*'Allocation %'!AH27</f>
        <v>0</v>
      </c>
      <c r="AO27" s="89">
        <f t="shared" si="2"/>
        <v>1837.76</v>
      </c>
      <c r="AP27" s="19">
        <f t="shared" si="4"/>
        <v>0</v>
      </c>
    </row>
    <row r="28" spans="1:42" s="16" customFormat="1" ht="10.5" x14ac:dyDescent="0.25">
      <c r="A28" s="11">
        <f>Salary!A28</f>
        <v>25</v>
      </c>
      <c r="B28" s="17" t="str">
        <f>'Allocation %'!B28</f>
        <v>Mitchell, Felicia</v>
      </c>
      <c r="C28" s="17">
        <v>25</v>
      </c>
      <c r="D28" s="17" t="str">
        <f>'Allocation %'!D28</f>
        <v>Abbott</v>
      </c>
      <c r="E28" s="17" t="str">
        <f>'Allocation %'!E28</f>
        <v>Teacher</v>
      </c>
      <c r="F28" s="18">
        <v>1114.7</v>
      </c>
      <c r="G28" s="20">
        <f>F28*$G$3</f>
        <v>28982.2</v>
      </c>
      <c r="H28" s="18"/>
      <c r="I28" s="18">
        <f t="shared" si="7"/>
        <v>28982.2</v>
      </c>
      <c r="J28" s="18"/>
      <c r="K28" s="18"/>
      <c r="L28" s="18"/>
      <c r="M28" s="18"/>
      <c r="N28" s="18"/>
      <c r="O28" s="18"/>
      <c r="P28" s="18">
        <f t="shared" si="3"/>
        <v>0</v>
      </c>
      <c r="Q28" s="15">
        <f>$P28*'Allocation %'!J28</f>
        <v>0</v>
      </c>
      <c r="R28" s="15">
        <f>$P28*'Allocation %'!K28</f>
        <v>0</v>
      </c>
      <c r="S28" s="15">
        <f>$P28*'Allocation %'!M28</f>
        <v>0</v>
      </c>
      <c r="T28" s="15">
        <f>$P28*'Allocation %'!N28</f>
        <v>0</v>
      </c>
      <c r="U28" s="15">
        <f>$P28*'Allocation %'!O28</f>
        <v>0</v>
      </c>
      <c r="V28" s="15">
        <f>$P28*'Allocation %'!P28</f>
        <v>0</v>
      </c>
      <c r="W28" s="15">
        <f>$P28*'Allocation %'!Q28</f>
        <v>0</v>
      </c>
      <c r="X28" s="15">
        <f>$P28*'Allocation %'!R28</f>
        <v>0</v>
      </c>
      <c r="Y28" s="15">
        <f>$P28*'Allocation %'!S28</f>
        <v>0</v>
      </c>
      <c r="Z28" s="15">
        <f>$P28*'Allocation %'!T28</f>
        <v>0</v>
      </c>
      <c r="AA28" s="15">
        <f>$P28*'Allocation %'!U28</f>
        <v>0</v>
      </c>
      <c r="AB28" s="15">
        <f>$P28*'Allocation %'!V28</f>
        <v>0</v>
      </c>
      <c r="AC28" s="15">
        <f>$P28*'Allocation %'!W28</f>
        <v>0</v>
      </c>
      <c r="AD28" s="15">
        <f>$P28*'Allocation %'!X28</f>
        <v>0</v>
      </c>
      <c r="AE28" s="15">
        <f>$P28*'Allocation %'!Y28</f>
        <v>0</v>
      </c>
      <c r="AF28" s="15">
        <f>$P28*'Allocation %'!Z28</f>
        <v>0</v>
      </c>
      <c r="AG28" s="15">
        <f>$P28*'Allocation %'!AA28</f>
        <v>0</v>
      </c>
      <c r="AH28" s="15">
        <f>$P28*'Allocation %'!AB28</f>
        <v>0</v>
      </c>
      <c r="AI28" s="15">
        <f>$P28*'Allocation %'!AC28</f>
        <v>0</v>
      </c>
      <c r="AJ28" s="15">
        <f>$P28*'Allocation %'!AD28</f>
        <v>0</v>
      </c>
      <c r="AK28" s="15">
        <f>$P28*'Allocation %'!AE28</f>
        <v>0</v>
      </c>
      <c r="AL28" s="15">
        <f>$P28*'Allocation %'!AF28</f>
        <v>0</v>
      </c>
      <c r="AM28" s="15">
        <f>$P28*'Allocation %'!AG28</f>
        <v>0</v>
      </c>
      <c r="AN28" s="15">
        <f>$P28*'Allocation %'!AH28</f>
        <v>0</v>
      </c>
      <c r="AO28" s="89">
        <f t="shared" si="2"/>
        <v>0</v>
      </c>
      <c r="AP28" s="19">
        <f t="shared" si="4"/>
        <v>0</v>
      </c>
    </row>
    <row r="29" spans="1:42" s="16" customFormat="1" ht="10.5" x14ac:dyDescent="0.25">
      <c r="A29" s="11">
        <f>Salary!A29</f>
        <v>26</v>
      </c>
      <c r="B29" s="17" t="str">
        <f>'Allocation %'!B29</f>
        <v>MORRIS, GWEN</v>
      </c>
      <c r="C29" s="17">
        <v>26</v>
      </c>
      <c r="D29" s="17" t="str">
        <f>'Allocation %'!D29</f>
        <v>USJP</v>
      </c>
      <c r="E29" s="17">
        <f>'Allocation %'!E29</f>
        <v>0</v>
      </c>
      <c r="F29" s="18">
        <v>2500</v>
      </c>
      <c r="G29" s="18">
        <f t="shared" si="0"/>
        <v>65000</v>
      </c>
      <c r="H29" s="18"/>
      <c r="I29" s="18">
        <f t="shared" si="7"/>
        <v>65000</v>
      </c>
      <c r="J29" s="18">
        <v>1033.68</v>
      </c>
      <c r="K29" s="18">
        <v>1033.68</v>
      </c>
      <c r="L29" s="18"/>
      <c r="M29" s="18"/>
      <c r="N29" s="18"/>
      <c r="O29" s="18"/>
      <c r="P29" s="18">
        <f t="shared" si="3"/>
        <v>2067.36</v>
      </c>
      <c r="Q29" s="15">
        <f>$P29*'Allocation %'!J29</f>
        <v>0</v>
      </c>
      <c r="R29" s="15">
        <f>$P29*'Allocation %'!K29</f>
        <v>0</v>
      </c>
      <c r="S29" s="15">
        <f>$P29*'Allocation %'!M29</f>
        <v>0</v>
      </c>
      <c r="T29" s="15">
        <f>$P29*'Allocation %'!N29</f>
        <v>2067.36</v>
      </c>
      <c r="U29" s="15">
        <f>$P29*'Allocation %'!O29</f>
        <v>0</v>
      </c>
      <c r="V29" s="15">
        <f>$P29*'Allocation %'!P29</f>
        <v>0</v>
      </c>
      <c r="W29" s="15">
        <f>$P29*'Allocation %'!Q29</f>
        <v>0</v>
      </c>
      <c r="X29" s="15">
        <f>$P29*'Allocation %'!R29</f>
        <v>0</v>
      </c>
      <c r="Y29" s="15">
        <f>$P29*'Allocation %'!S29</f>
        <v>0</v>
      </c>
      <c r="Z29" s="15">
        <f>$P29*'Allocation %'!T29</f>
        <v>0</v>
      </c>
      <c r="AA29" s="15">
        <f>$P29*'Allocation %'!U29</f>
        <v>0</v>
      </c>
      <c r="AB29" s="15">
        <f>$P29*'Allocation %'!V29</f>
        <v>0</v>
      </c>
      <c r="AC29" s="15">
        <f>$P29*'Allocation %'!W29</f>
        <v>0</v>
      </c>
      <c r="AD29" s="15">
        <f>$P29*'Allocation %'!X29</f>
        <v>0</v>
      </c>
      <c r="AE29" s="15">
        <f>$P29*'Allocation %'!Y29</f>
        <v>0</v>
      </c>
      <c r="AF29" s="15">
        <f>$P29*'Allocation %'!Z29</f>
        <v>0</v>
      </c>
      <c r="AG29" s="15">
        <f>$P29*'Allocation %'!AA29</f>
        <v>0</v>
      </c>
      <c r="AH29" s="15">
        <f>$P29*'Allocation %'!AB29</f>
        <v>0</v>
      </c>
      <c r="AI29" s="15">
        <f>$P29*'Allocation %'!AC29</f>
        <v>0</v>
      </c>
      <c r="AJ29" s="15">
        <f>$P29*'Allocation %'!AD29</f>
        <v>0</v>
      </c>
      <c r="AK29" s="15">
        <f>$P29*'Allocation %'!AE29</f>
        <v>0</v>
      </c>
      <c r="AL29" s="15">
        <f>$P29*'Allocation %'!AF29</f>
        <v>0</v>
      </c>
      <c r="AM29" s="15">
        <f>$P29*'Allocation %'!AG29</f>
        <v>0</v>
      </c>
      <c r="AN29" s="15">
        <f>$P29*'Allocation %'!AH29</f>
        <v>0</v>
      </c>
      <c r="AO29" s="89">
        <f t="shared" si="2"/>
        <v>2067.36</v>
      </c>
      <c r="AP29" s="19">
        <f t="shared" si="4"/>
        <v>0</v>
      </c>
    </row>
    <row r="30" spans="1:42" s="16" customFormat="1" ht="10.5" x14ac:dyDescent="0.25">
      <c r="A30" s="11">
        <f>Salary!A30</f>
        <v>27</v>
      </c>
      <c r="B30" s="17" t="str">
        <f>'Allocation %'!B30</f>
        <v>RAMBARAN, Sharaini J.</v>
      </c>
      <c r="C30" s="17">
        <v>27</v>
      </c>
      <c r="D30" s="17" t="str">
        <f>'Allocation %'!D30</f>
        <v>Abbott</v>
      </c>
      <c r="E30" s="17" t="str">
        <f>'Allocation %'!E30</f>
        <v>Floater</v>
      </c>
      <c r="F30" s="18">
        <v>996.3</v>
      </c>
      <c r="G30" s="18">
        <f t="shared" si="0"/>
        <v>25903.8</v>
      </c>
      <c r="H30" s="18"/>
      <c r="I30" s="18">
        <f t="shared" si="7"/>
        <v>25903.8</v>
      </c>
      <c r="J30" s="18"/>
      <c r="K30" s="18"/>
      <c r="L30" s="18"/>
      <c r="M30" s="18"/>
      <c r="N30" s="18"/>
      <c r="O30" s="18"/>
      <c r="P30" s="18">
        <f t="shared" si="3"/>
        <v>0</v>
      </c>
      <c r="Q30" s="15">
        <f>$P30*'Allocation %'!J30</f>
        <v>0</v>
      </c>
      <c r="R30" s="15">
        <f>$P30*'Allocation %'!K30</f>
        <v>0</v>
      </c>
      <c r="S30" s="15">
        <f>$P30*'Allocation %'!M30</f>
        <v>0</v>
      </c>
      <c r="T30" s="15">
        <f>$P30*'Allocation %'!N30</f>
        <v>0</v>
      </c>
      <c r="U30" s="15">
        <f>$P30*'Allocation %'!O30</f>
        <v>0</v>
      </c>
      <c r="V30" s="15">
        <f>$P30*'Allocation %'!P30</f>
        <v>0</v>
      </c>
      <c r="W30" s="15">
        <f>$P30*'Allocation %'!Q30</f>
        <v>0</v>
      </c>
      <c r="X30" s="15">
        <f>$P30*'Allocation %'!R30</f>
        <v>0</v>
      </c>
      <c r="Y30" s="15">
        <f>$P30*'Allocation %'!S30</f>
        <v>0</v>
      </c>
      <c r="Z30" s="15">
        <f>$P30*'Allocation %'!T30</f>
        <v>0</v>
      </c>
      <c r="AA30" s="15">
        <f>$P30*'Allocation %'!U30</f>
        <v>0</v>
      </c>
      <c r="AB30" s="15">
        <f>$P30*'Allocation %'!V30</f>
        <v>0</v>
      </c>
      <c r="AC30" s="15">
        <f>$P30*'Allocation %'!W30</f>
        <v>0</v>
      </c>
      <c r="AD30" s="15">
        <f>$P30*'Allocation %'!X30</f>
        <v>0</v>
      </c>
      <c r="AE30" s="15">
        <f>$P30*'Allocation %'!Y30</f>
        <v>0</v>
      </c>
      <c r="AF30" s="15">
        <f>$P30*'Allocation %'!Z30</f>
        <v>0</v>
      </c>
      <c r="AG30" s="15">
        <f>$P30*'Allocation %'!AA30</f>
        <v>0</v>
      </c>
      <c r="AH30" s="15">
        <f>$P30*'Allocation %'!AB30</f>
        <v>0</v>
      </c>
      <c r="AI30" s="15">
        <f>$P30*'Allocation %'!AC30</f>
        <v>0</v>
      </c>
      <c r="AJ30" s="15">
        <f>$P30*'Allocation %'!AD30</f>
        <v>0</v>
      </c>
      <c r="AK30" s="15">
        <f>$P30*'Allocation %'!AE30</f>
        <v>0</v>
      </c>
      <c r="AL30" s="15">
        <f>$P30*'Allocation %'!AF30</f>
        <v>0</v>
      </c>
      <c r="AM30" s="15">
        <f>$P30*'Allocation %'!AG30</f>
        <v>0</v>
      </c>
      <c r="AN30" s="15">
        <f>$P30*'Allocation %'!AH30</f>
        <v>0</v>
      </c>
      <c r="AO30" s="89">
        <f t="shared" si="2"/>
        <v>0</v>
      </c>
      <c r="AP30" s="19">
        <f t="shared" si="4"/>
        <v>0</v>
      </c>
    </row>
    <row r="31" spans="1:42" s="16" customFormat="1" ht="10.5" x14ac:dyDescent="0.25">
      <c r="A31" s="11">
        <f>Salary!A31</f>
        <v>28</v>
      </c>
      <c r="B31" s="17" t="str">
        <f>'Allocation %'!B31</f>
        <v>Robbins, Leonard</v>
      </c>
      <c r="C31" s="17">
        <v>28</v>
      </c>
      <c r="D31" s="17" t="str">
        <f>'Allocation %'!D31</f>
        <v>Opportunity Corp</v>
      </c>
      <c r="E31" s="17">
        <f>'Allocation %'!E31</f>
        <v>0</v>
      </c>
      <c r="F31" s="27">
        <v>2769.23</v>
      </c>
      <c r="G31" s="27">
        <f t="shared" si="0"/>
        <v>71999.98</v>
      </c>
      <c r="H31" s="18">
        <v>3076.93</v>
      </c>
      <c r="I31" s="28">
        <f>H31*$G$3</f>
        <v>80000.179999999993</v>
      </c>
      <c r="J31" s="18">
        <v>1068.3499999999999</v>
      </c>
      <c r="K31" s="18">
        <v>1068.3499999999999</v>
      </c>
      <c r="L31" s="28"/>
      <c r="M31" s="28"/>
      <c r="N31" s="28"/>
      <c r="O31" s="28"/>
      <c r="P31" s="18">
        <f t="shared" si="3"/>
        <v>2136.6999999999998</v>
      </c>
      <c r="Q31" s="15">
        <f>$P31*'Allocation %'!J31</f>
        <v>0</v>
      </c>
      <c r="R31" s="15">
        <f>$P31*'Allocation %'!K31</f>
        <v>0</v>
      </c>
      <c r="S31" s="15">
        <f>$P31*'Allocation %'!M31</f>
        <v>0</v>
      </c>
      <c r="T31" s="15">
        <f>$P31*'Allocation %'!N31</f>
        <v>0</v>
      </c>
      <c r="U31" s="15">
        <f>$P31*'Allocation %'!O31</f>
        <v>0</v>
      </c>
      <c r="V31" s="15">
        <f>$P31*'Allocation %'!P31</f>
        <v>0</v>
      </c>
      <c r="W31" s="15">
        <f>$P31*'Allocation %'!Q31</f>
        <v>0</v>
      </c>
      <c r="X31" s="15">
        <f>$P31*'Allocation %'!R31</f>
        <v>0</v>
      </c>
      <c r="Y31" s="15">
        <f>$P31*'Allocation %'!S31</f>
        <v>0</v>
      </c>
      <c r="Z31" s="15">
        <f>$P31*'Allocation %'!T31</f>
        <v>0</v>
      </c>
      <c r="AA31" s="15">
        <f>$P31*'Allocation %'!U31</f>
        <v>0</v>
      </c>
      <c r="AB31" s="15">
        <f>$P31*'Allocation %'!V31</f>
        <v>0</v>
      </c>
      <c r="AC31" s="15">
        <f>$P31*'Allocation %'!W31</f>
        <v>0</v>
      </c>
      <c r="AD31" s="15">
        <f>$P31*'Allocation %'!X31</f>
        <v>0</v>
      </c>
      <c r="AE31" s="15">
        <f>$P31*'Allocation %'!Y31</f>
        <v>0</v>
      </c>
      <c r="AF31" s="15">
        <f>$P31*'Allocation %'!Z31</f>
        <v>0</v>
      </c>
      <c r="AG31" s="15">
        <f>$P31*'Allocation %'!AA31</f>
        <v>0</v>
      </c>
      <c r="AH31" s="15">
        <f>$P31*'Allocation %'!AB31</f>
        <v>0</v>
      </c>
      <c r="AI31" s="15">
        <f>$P31*'Allocation %'!AC31</f>
        <v>0</v>
      </c>
      <c r="AJ31" s="15">
        <f>$P31*'Allocation %'!AD31</f>
        <v>0</v>
      </c>
      <c r="AK31" s="15">
        <f>$P31*'Allocation %'!AE31</f>
        <v>0</v>
      </c>
      <c r="AL31" s="15">
        <f>$P31*'Allocation %'!AF31</f>
        <v>0</v>
      </c>
      <c r="AM31" s="15">
        <f>$P31*'Allocation %'!AG31</f>
        <v>2136.6999999999998</v>
      </c>
      <c r="AN31" s="15">
        <f>$P31*'Allocation %'!AH31</f>
        <v>0</v>
      </c>
      <c r="AO31" s="89">
        <f t="shared" si="2"/>
        <v>2136.6999999999998</v>
      </c>
      <c r="AP31" s="19">
        <f t="shared" si="4"/>
        <v>0</v>
      </c>
    </row>
    <row r="32" spans="1:42" s="16" customFormat="1" ht="10.5" x14ac:dyDescent="0.25">
      <c r="A32" s="11">
        <f>Salary!A32</f>
        <v>29</v>
      </c>
      <c r="B32" s="17" t="str">
        <f>'Allocation %'!B32</f>
        <v>SERMON, Patricia April</v>
      </c>
      <c r="C32" s="17">
        <v>29</v>
      </c>
      <c r="D32" s="17" t="str">
        <f>'Allocation %'!D32</f>
        <v>FOC, Housing, OICA, COO</v>
      </c>
      <c r="E32" s="17">
        <f>'Allocation %'!E32</f>
        <v>0</v>
      </c>
      <c r="F32" s="29">
        <v>3153.85</v>
      </c>
      <c r="G32" s="29">
        <f t="shared" si="0"/>
        <v>82000.099999999991</v>
      </c>
      <c r="H32" s="18">
        <v>3461.54</v>
      </c>
      <c r="I32" s="28">
        <f>H32*$G$3</f>
        <v>90000.04</v>
      </c>
      <c r="J32" s="18">
        <v>1068.3499999999999</v>
      </c>
      <c r="K32" s="18">
        <v>1068.3499999999999</v>
      </c>
      <c r="L32" s="28"/>
      <c r="M32" s="28"/>
      <c r="N32" s="28"/>
      <c r="O32" s="28"/>
      <c r="P32" s="18">
        <f t="shared" si="3"/>
        <v>2136.6999999999998</v>
      </c>
      <c r="Q32" s="15">
        <f>$P32*'Allocation %'!J32</f>
        <v>0</v>
      </c>
      <c r="R32" s="15">
        <f>$P32*'Allocation %'!K32</f>
        <v>0</v>
      </c>
      <c r="S32" s="15">
        <f>$P32*'Allocation %'!M32</f>
        <v>0</v>
      </c>
      <c r="T32" s="15">
        <f>$P32*'Allocation %'!N32</f>
        <v>427.34</v>
      </c>
      <c r="U32" s="15">
        <f>$P32*'Allocation %'!O32</f>
        <v>0</v>
      </c>
      <c r="V32" s="15">
        <f>$P32*'Allocation %'!P32</f>
        <v>512.80799999999999</v>
      </c>
      <c r="W32" s="15">
        <f>$P32*'Allocation %'!Q32</f>
        <v>0</v>
      </c>
      <c r="X32" s="15">
        <f>$P32*'Allocation %'!R32</f>
        <v>0</v>
      </c>
      <c r="Y32" s="15">
        <f>$P32*'Allocation %'!S32</f>
        <v>0</v>
      </c>
      <c r="Z32" s="15">
        <f>$P32*'Allocation %'!T32</f>
        <v>106.83499999999999</v>
      </c>
      <c r="AA32" s="15">
        <f>$P32*'Allocation %'!U32</f>
        <v>85.467999999999989</v>
      </c>
      <c r="AB32" s="15">
        <f>$P32*'Allocation %'!V32</f>
        <v>42.733999999999995</v>
      </c>
      <c r="AC32" s="15">
        <f>$P32*'Allocation %'!W32</f>
        <v>128.202</v>
      </c>
      <c r="AD32" s="15">
        <f>$P32*'Allocation %'!X32</f>
        <v>833.31299999999999</v>
      </c>
      <c r="AE32" s="15">
        <f>$P32*'Allocation %'!Y32</f>
        <v>0</v>
      </c>
      <c r="AF32" s="15">
        <f>$P32*'Allocation %'!Z32</f>
        <v>0</v>
      </c>
      <c r="AG32" s="15">
        <f>$P32*'Allocation %'!AA32</f>
        <v>0</v>
      </c>
      <c r="AH32" s="15">
        <f>$P32*'Allocation %'!AB32</f>
        <v>0</v>
      </c>
      <c r="AI32" s="15">
        <f>$P32*'Allocation %'!AC32</f>
        <v>0</v>
      </c>
      <c r="AJ32" s="15">
        <f>$P32*'Allocation %'!AD32</f>
        <v>0</v>
      </c>
      <c r="AK32" s="15">
        <f>$P32*'Allocation %'!AE32</f>
        <v>0</v>
      </c>
      <c r="AL32" s="15">
        <f>$P32*'Allocation %'!AF32</f>
        <v>0</v>
      </c>
      <c r="AM32" s="15">
        <f>$P32*'Allocation %'!AG32</f>
        <v>0</v>
      </c>
      <c r="AN32" s="15">
        <f>$P32*'Allocation %'!AH32</f>
        <v>0</v>
      </c>
      <c r="AO32" s="89">
        <f t="shared" si="2"/>
        <v>2136.6999999999998</v>
      </c>
      <c r="AP32" s="19">
        <f t="shared" si="4"/>
        <v>0</v>
      </c>
    </row>
    <row r="33" spans="1:42" s="16" customFormat="1" ht="10.5" x14ac:dyDescent="0.25">
      <c r="A33" s="11">
        <f>Salary!A33</f>
        <v>30</v>
      </c>
      <c r="B33" s="17" t="str">
        <f>'Allocation %'!B33</f>
        <v>SHARIF, Darrin S. - April</v>
      </c>
      <c r="C33" s="17">
        <v>30</v>
      </c>
      <c r="D33" s="17" t="str">
        <f>'Allocation %'!D33</f>
        <v>Admin, Coding, WF</v>
      </c>
      <c r="E33" s="17">
        <f>'Allocation %'!E33</f>
        <v>0</v>
      </c>
      <c r="F33" s="27">
        <v>3269</v>
      </c>
      <c r="G33" s="27">
        <f t="shared" si="0"/>
        <v>84994</v>
      </c>
      <c r="H33" s="18"/>
      <c r="I33" s="18">
        <f t="shared" ref="I33:I39" si="8">SUM(G33:H33)</f>
        <v>84994</v>
      </c>
      <c r="J33" s="18">
        <v>1033.68</v>
      </c>
      <c r="K33" s="18">
        <v>1033.68</v>
      </c>
      <c r="L33" s="18"/>
      <c r="M33" s="18"/>
      <c r="N33" s="18"/>
      <c r="O33" s="18"/>
      <c r="P33" s="18">
        <f t="shared" si="3"/>
        <v>2067.36</v>
      </c>
      <c r="Q33" s="15">
        <f>$P33*'Allocation %'!J33</f>
        <v>0</v>
      </c>
      <c r="R33" s="15">
        <f>$P33*'Allocation %'!K33</f>
        <v>0</v>
      </c>
      <c r="S33" s="15">
        <f>$P33*'Allocation %'!M33</f>
        <v>0</v>
      </c>
      <c r="T33" s="15">
        <f>$P33*'Allocation %'!N33</f>
        <v>0</v>
      </c>
      <c r="U33" s="15">
        <f>$P33*'Allocation %'!O33</f>
        <v>0</v>
      </c>
      <c r="V33" s="15">
        <f>$P33*'Allocation %'!P33</f>
        <v>0</v>
      </c>
      <c r="W33" s="15">
        <f>$P33*'Allocation %'!Q33</f>
        <v>0</v>
      </c>
      <c r="X33" s="15">
        <f>$P33*'Allocation %'!R33</f>
        <v>0</v>
      </c>
      <c r="Y33" s="15">
        <f>$P33*'Allocation %'!S33</f>
        <v>0</v>
      </c>
      <c r="Z33" s="15">
        <f>$P33*'Allocation %'!T33</f>
        <v>0</v>
      </c>
      <c r="AA33" s="15">
        <f>$P33*'Allocation %'!U33</f>
        <v>0</v>
      </c>
      <c r="AB33" s="15">
        <f>$P33*'Allocation %'!V33</f>
        <v>0</v>
      </c>
      <c r="AC33" s="15">
        <f>$P33*'Allocation %'!W33</f>
        <v>0</v>
      </c>
      <c r="AD33" s="15">
        <f>$P33*'Allocation %'!X33</f>
        <v>0</v>
      </c>
      <c r="AE33" s="15">
        <f>$P33*'Allocation %'!Y33</f>
        <v>0</v>
      </c>
      <c r="AF33" s="15">
        <f>$P33*'Allocation %'!Z33</f>
        <v>0</v>
      </c>
      <c r="AG33" s="15">
        <f>$P33*'Allocation %'!AA33</f>
        <v>558.18720000000008</v>
      </c>
      <c r="AH33" s="15">
        <f>$P33*'Allocation %'!AB33</f>
        <v>599.53440000000001</v>
      </c>
      <c r="AI33" s="15">
        <f>$P33*'Allocation %'!AC33</f>
        <v>909.63840000000005</v>
      </c>
      <c r="AJ33" s="15">
        <f>$P33*'Allocation %'!AD33</f>
        <v>0</v>
      </c>
      <c r="AK33" s="15">
        <f>$P33*'Allocation %'!AE33</f>
        <v>0</v>
      </c>
      <c r="AL33" s="15">
        <f>$P33*'Allocation %'!AF33</f>
        <v>0</v>
      </c>
      <c r="AM33" s="15">
        <f>$P33*'Allocation %'!AG33</f>
        <v>0</v>
      </c>
      <c r="AN33" s="15">
        <f>$P33*'Allocation %'!AH33</f>
        <v>0</v>
      </c>
      <c r="AO33" s="89">
        <f t="shared" si="2"/>
        <v>2067.36</v>
      </c>
      <c r="AP33" s="19">
        <f t="shared" si="4"/>
        <v>0</v>
      </c>
    </row>
    <row r="34" spans="1:42" s="16" customFormat="1" ht="10.5" x14ac:dyDescent="0.25">
      <c r="A34" s="11">
        <f>Salary!A34</f>
        <v>31</v>
      </c>
      <c r="B34" s="17" t="str">
        <f>'Allocation %'!B34</f>
        <v>SIMMONS, Bertrilla R.</v>
      </c>
      <c r="C34" s="17">
        <v>31</v>
      </c>
      <c r="D34" s="17" t="str">
        <f>'Allocation %'!D34</f>
        <v>Abbott</v>
      </c>
      <c r="E34" s="17" t="str">
        <f>'Allocation %'!E34</f>
        <v>Teacher</v>
      </c>
      <c r="F34" s="27">
        <v>2684.05</v>
      </c>
      <c r="G34" s="32">
        <f t="shared" si="0"/>
        <v>69785.3</v>
      </c>
      <c r="H34" s="18"/>
      <c r="I34" s="18">
        <f t="shared" si="8"/>
        <v>69785.3</v>
      </c>
      <c r="J34" s="18">
        <v>768.94</v>
      </c>
      <c r="K34" s="18">
        <v>768.94</v>
      </c>
      <c r="L34" s="18"/>
      <c r="M34" s="18"/>
      <c r="N34" s="18"/>
      <c r="O34" s="18"/>
      <c r="P34" s="18">
        <f t="shared" si="3"/>
        <v>1537.88</v>
      </c>
      <c r="Q34" s="15">
        <f>$P34*'Allocation %'!J34</f>
        <v>1537.88</v>
      </c>
      <c r="R34" s="15">
        <f>$P34*'Allocation %'!K34</f>
        <v>0</v>
      </c>
      <c r="S34" s="15">
        <f>$P34*'Allocation %'!M34</f>
        <v>0</v>
      </c>
      <c r="T34" s="15">
        <f>$P34*'Allocation %'!N34</f>
        <v>0</v>
      </c>
      <c r="U34" s="15">
        <f>$P34*'Allocation %'!O34</f>
        <v>0</v>
      </c>
      <c r="V34" s="15">
        <f>$P34*'Allocation %'!P34</f>
        <v>0</v>
      </c>
      <c r="W34" s="15">
        <f>$P34*'Allocation %'!Q34</f>
        <v>0</v>
      </c>
      <c r="X34" s="15">
        <f>$P34*'Allocation %'!R34</f>
        <v>0</v>
      </c>
      <c r="Y34" s="15">
        <f>$P34*'Allocation %'!S34</f>
        <v>0</v>
      </c>
      <c r="Z34" s="15">
        <f>$P34*'Allocation %'!T34</f>
        <v>0</v>
      </c>
      <c r="AA34" s="15">
        <f>$P34*'Allocation %'!U34</f>
        <v>0</v>
      </c>
      <c r="AB34" s="15">
        <f>$P34*'Allocation %'!V34</f>
        <v>0</v>
      </c>
      <c r="AC34" s="15">
        <f>$P34*'Allocation %'!W34</f>
        <v>0</v>
      </c>
      <c r="AD34" s="15">
        <f>$P34*'Allocation %'!X34</f>
        <v>0</v>
      </c>
      <c r="AE34" s="15">
        <f>$P34*'Allocation %'!Y34</f>
        <v>0</v>
      </c>
      <c r="AF34" s="15">
        <f>$P34*'Allocation %'!Z34</f>
        <v>0</v>
      </c>
      <c r="AG34" s="15">
        <f>$P34*'Allocation %'!AA34</f>
        <v>0</v>
      </c>
      <c r="AH34" s="15">
        <f>$P34*'Allocation %'!AB34</f>
        <v>0</v>
      </c>
      <c r="AI34" s="15">
        <f>$P34*'Allocation %'!AC34</f>
        <v>0</v>
      </c>
      <c r="AJ34" s="15">
        <f>$P34*'Allocation %'!AD34</f>
        <v>0</v>
      </c>
      <c r="AK34" s="15">
        <f>$P34*'Allocation %'!AE34</f>
        <v>0</v>
      </c>
      <c r="AL34" s="15">
        <f>$P34*'Allocation %'!AF34</f>
        <v>0</v>
      </c>
      <c r="AM34" s="15">
        <f>$P34*'Allocation %'!AG34</f>
        <v>0</v>
      </c>
      <c r="AN34" s="15">
        <f>$P34*'Allocation %'!AH34</f>
        <v>0</v>
      </c>
      <c r="AO34" s="89">
        <f t="shared" si="2"/>
        <v>1537.88</v>
      </c>
      <c r="AP34" s="19">
        <f t="shared" si="4"/>
        <v>0</v>
      </c>
    </row>
    <row r="35" spans="1:42" s="16" customFormat="1" ht="10.5" x14ac:dyDescent="0.25">
      <c r="A35" s="11">
        <f>Salary!A35</f>
        <v>32</v>
      </c>
      <c r="B35" s="17" t="str">
        <f>'Allocation %'!B35</f>
        <v>STEWART, Robin D</v>
      </c>
      <c r="C35" s="17">
        <v>32</v>
      </c>
      <c r="D35" s="17" t="str">
        <f>'Allocation %'!D35</f>
        <v>Abbott</v>
      </c>
      <c r="E35" s="17" t="str">
        <f>'Allocation %'!E35</f>
        <v>Teacher Asst</v>
      </c>
      <c r="F35" s="27">
        <v>1611.08</v>
      </c>
      <c r="G35" s="27">
        <f>F35*$G$3</f>
        <v>41888.080000000002</v>
      </c>
      <c r="H35" s="18"/>
      <c r="I35" s="18">
        <f t="shared" si="8"/>
        <v>41888.080000000002</v>
      </c>
      <c r="J35" s="18">
        <v>1068.3499999999999</v>
      </c>
      <c r="K35" s="18">
        <v>1068.3499999999999</v>
      </c>
      <c r="L35" s="18"/>
      <c r="M35" s="18"/>
      <c r="N35" s="18"/>
      <c r="O35" s="18"/>
      <c r="P35" s="18">
        <f t="shared" si="3"/>
        <v>2136.6999999999998</v>
      </c>
      <c r="Q35" s="15">
        <f>$P35*'Allocation %'!J35</f>
        <v>2136.6999999999998</v>
      </c>
      <c r="R35" s="15">
        <f>$P35*'Allocation %'!K35</f>
        <v>0</v>
      </c>
      <c r="S35" s="15">
        <f>$P35*'Allocation %'!M35</f>
        <v>0</v>
      </c>
      <c r="T35" s="15">
        <f>$P35*'Allocation %'!N35</f>
        <v>0</v>
      </c>
      <c r="U35" s="15">
        <f>$P35*'Allocation %'!O35</f>
        <v>0</v>
      </c>
      <c r="V35" s="15">
        <f>$P35*'Allocation %'!P35</f>
        <v>0</v>
      </c>
      <c r="W35" s="15">
        <f>$P35*'Allocation %'!Q35</f>
        <v>0</v>
      </c>
      <c r="X35" s="15">
        <f>$P35*'Allocation %'!R35</f>
        <v>0</v>
      </c>
      <c r="Y35" s="15">
        <f>$P35*'Allocation %'!S35</f>
        <v>0</v>
      </c>
      <c r="Z35" s="15">
        <f>$P35*'Allocation %'!T35</f>
        <v>0</v>
      </c>
      <c r="AA35" s="15">
        <f>$P35*'Allocation %'!U35</f>
        <v>0</v>
      </c>
      <c r="AB35" s="15">
        <f>$P35*'Allocation %'!V35</f>
        <v>0</v>
      </c>
      <c r="AC35" s="15">
        <f>$P35*'Allocation %'!W35</f>
        <v>0</v>
      </c>
      <c r="AD35" s="15">
        <f>$P35*'Allocation %'!X35</f>
        <v>0</v>
      </c>
      <c r="AE35" s="15">
        <f>$P35*'Allocation %'!Y35</f>
        <v>0</v>
      </c>
      <c r="AF35" s="15">
        <f>$P35*'Allocation %'!Z35</f>
        <v>0</v>
      </c>
      <c r="AG35" s="15">
        <f>$P35*'Allocation %'!AA35</f>
        <v>0</v>
      </c>
      <c r="AH35" s="15">
        <f>$P35*'Allocation %'!AB35</f>
        <v>0</v>
      </c>
      <c r="AI35" s="15">
        <f>$P35*'Allocation %'!AC35</f>
        <v>0</v>
      </c>
      <c r="AJ35" s="15">
        <f>$P35*'Allocation %'!AD35</f>
        <v>0</v>
      </c>
      <c r="AK35" s="15">
        <f>$P35*'Allocation %'!AE35</f>
        <v>0</v>
      </c>
      <c r="AL35" s="15">
        <f>$P35*'Allocation %'!AF35</f>
        <v>0</v>
      </c>
      <c r="AM35" s="15">
        <f>$P35*'Allocation %'!AG35</f>
        <v>0</v>
      </c>
      <c r="AN35" s="15">
        <f>$P35*'Allocation %'!AH35</f>
        <v>0</v>
      </c>
      <c r="AO35" s="89">
        <f t="shared" si="2"/>
        <v>2136.6999999999998</v>
      </c>
      <c r="AP35" s="19">
        <f t="shared" si="4"/>
        <v>0</v>
      </c>
    </row>
    <row r="36" spans="1:42" s="16" customFormat="1" ht="10.5" x14ac:dyDescent="0.25">
      <c r="A36" s="11">
        <f>Salary!A36</f>
        <v>33</v>
      </c>
      <c r="B36" s="17" t="str">
        <f>'Allocation %'!B36</f>
        <v>TYLER, Patricia</v>
      </c>
      <c r="C36" s="17">
        <v>33</v>
      </c>
      <c r="D36" s="17" t="str">
        <f>'Allocation %'!D36</f>
        <v>Abbott</v>
      </c>
      <c r="E36" s="17" t="str">
        <f>'Allocation %'!E36</f>
        <v>Cook</v>
      </c>
      <c r="F36" s="27">
        <v>454.96</v>
      </c>
      <c r="G36" s="27">
        <f t="shared" si="0"/>
        <v>11828.96</v>
      </c>
      <c r="H36" s="18"/>
      <c r="I36" s="18">
        <f t="shared" si="8"/>
        <v>11828.96</v>
      </c>
      <c r="J36" s="18"/>
      <c r="K36" s="18"/>
      <c r="L36" s="18"/>
      <c r="M36" s="18"/>
      <c r="N36" s="18"/>
      <c r="O36" s="18"/>
      <c r="P36" s="18">
        <f t="shared" si="3"/>
        <v>0</v>
      </c>
      <c r="Q36" s="15">
        <f>$P36*'Allocation %'!J36</f>
        <v>0</v>
      </c>
      <c r="R36" s="15">
        <f>$P36*'Allocation %'!K36</f>
        <v>0</v>
      </c>
      <c r="S36" s="15">
        <f>$P36*'Allocation %'!M36</f>
        <v>0</v>
      </c>
      <c r="T36" s="15">
        <f>$P36*'Allocation %'!N36</f>
        <v>0</v>
      </c>
      <c r="U36" s="15">
        <f>$P36*'Allocation %'!O36</f>
        <v>0</v>
      </c>
      <c r="V36" s="15">
        <f>$P36*'Allocation %'!P36</f>
        <v>0</v>
      </c>
      <c r="W36" s="15">
        <f>$P36*'Allocation %'!Q36</f>
        <v>0</v>
      </c>
      <c r="X36" s="15">
        <f>$P36*'Allocation %'!R36</f>
        <v>0</v>
      </c>
      <c r="Y36" s="15">
        <f>$P36*'Allocation %'!S36</f>
        <v>0</v>
      </c>
      <c r="Z36" s="15">
        <f>$P36*'Allocation %'!T36</f>
        <v>0</v>
      </c>
      <c r="AA36" s="15">
        <f>$P36*'Allocation %'!U36</f>
        <v>0</v>
      </c>
      <c r="AB36" s="15">
        <f>$P36*'Allocation %'!V36</f>
        <v>0</v>
      </c>
      <c r="AC36" s="15">
        <f>$P36*'Allocation %'!W36</f>
        <v>0</v>
      </c>
      <c r="AD36" s="15">
        <f>$P36*'Allocation %'!X36</f>
        <v>0</v>
      </c>
      <c r="AE36" s="15">
        <f>$P36*'Allocation %'!Y36</f>
        <v>0</v>
      </c>
      <c r="AF36" s="15">
        <f>$P36*'Allocation %'!Z36</f>
        <v>0</v>
      </c>
      <c r="AG36" s="15">
        <f>$P36*'Allocation %'!AA36</f>
        <v>0</v>
      </c>
      <c r="AH36" s="15">
        <f>$P36*'Allocation %'!AB36</f>
        <v>0</v>
      </c>
      <c r="AI36" s="15">
        <f>$P36*'Allocation %'!AC36</f>
        <v>0</v>
      </c>
      <c r="AJ36" s="15">
        <f>$P36*'Allocation %'!AD36</f>
        <v>0</v>
      </c>
      <c r="AK36" s="15">
        <f>$P36*'Allocation %'!AE36</f>
        <v>0</v>
      </c>
      <c r="AL36" s="15">
        <f>$P36*'Allocation %'!AF36</f>
        <v>0</v>
      </c>
      <c r="AM36" s="15">
        <f>$P36*'Allocation %'!AG36</f>
        <v>0</v>
      </c>
      <c r="AN36" s="15">
        <f>$P36*'Allocation %'!AH36</f>
        <v>0</v>
      </c>
      <c r="AO36" s="89">
        <f t="shared" si="2"/>
        <v>0</v>
      </c>
      <c r="AP36" s="19">
        <f t="shared" si="4"/>
        <v>0</v>
      </c>
    </row>
    <row r="37" spans="1:42" s="16" customFormat="1" ht="10.5" x14ac:dyDescent="0.25">
      <c r="A37" s="11">
        <f>Salary!A37</f>
        <v>34</v>
      </c>
      <c r="B37" s="17" t="str">
        <f>'Allocation %'!B37</f>
        <v>WARD, Richard G. - Off Jan 1</v>
      </c>
      <c r="C37" s="17">
        <v>34</v>
      </c>
      <c r="D37" s="17" t="str">
        <f>'Allocation %'!D37</f>
        <v>Admin</v>
      </c>
      <c r="E37" s="17">
        <f>'Allocation %'!E37</f>
        <v>0</v>
      </c>
      <c r="F37" s="29">
        <v>4230.7700000000004</v>
      </c>
      <c r="G37" s="29">
        <f t="shared" si="0"/>
        <v>110000.02000000002</v>
      </c>
      <c r="H37" s="18"/>
      <c r="I37" s="22">
        <f t="shared" si="8"/>
        <v>110000.02000000002</v>
      </c>
      <c r="J37" s="18">
        <v>1068.3499999999999</v>
      </c>
      <c r="K37" s="18">
        <v>1068.3499999999999</v>
      </c>
      <c r="L37" s="22"/>
      <c r="M37" s="22"/>
      <c r="N37" s="22"/>
      <c r="O37" s="22"/>
      <c r="P37" s="18">
        <f t="shared" si="3"/>
        <v>2136.6999999999998</v>
      </c>
      <c r="Q37" s="15">
        <f>$P37*'Allocation %'!J37</f>
        <v>0</v>
      </c>
      <c r="R37" s="15">
        <f>$P37*'Allocation %'!K37</f>
        <v>0</v>
      </c>
      <c r="S37" s="15">
        <f>$P37*'Allocation %'!M37</f>
        <v>0</v>
      </c>
      <c r="T37" s="15">
        <f>$P37*'Allocation %'!N37</f>
        <v>0</v>
      </c>
      <c r="U37" s="15">
        <f>$P37*'Allocation %'!O37</f>
        <v>0</v>
      </c>
      <c r="V37" s="15">
        <f>$P37*'Allocation %'!P37</f>
        <v>0</v>
      </c>
      <c r="W37" s="15">
        <f>$P37*'Allocation %'!Q37</f>
        <v>0</v>
      </c>
      <c r="X37" s="15">
        <f>$P37*'Allocation %'!R37</f>
        <v>0</v>
      </c>
      <c r="Y37" s="15">
        <f>$P37*'Allocation %'!S37</f>
        <v>0</v>
      </c>
      <c r="Z37" s="15">
        <f>$P37*'Allocation %'!T37</f>
        <v>0</v>
      </c>
      <c r="AA37" s="15">
        <f>$P37*'Allocation %'!U37</f>
        <v>0</v>
      </c>
      <c r="AB37" s="15">
        <f>$P37*'Allocation %'!V37</f>
        <v>0</v>
      </c>
      <c r="AC37" s="15">
        <f>$P37*'Allocation %'!W37</f>
        <v>0</v>
      </c>
      <c r="AD37" s="15">
        <f>$P37*'Allocation %'!X37</f>
        <v>0</v>
      </c>
      <c r="AE37" s="15">
        <f>$P37*'Allocation %'!Y37</f>
        <v>0</v>
      </c>
      <c r="AF37" s="15">
        <f>$P37*'Allocation %'!Z37</f>
        <v>0</v>
      </c>
      <c r="AG37" s="15">
        <f>$P37*'Allocation %'!AA37</f>
        <v>42.733999999999995</v>
      </c>
      <c r="AH37" s="15">
        <f>$P37*'Allocation %'!AB37</f>
        <v>192.30299999999997</v>
      </c>
      <c r="AI37" s="15">
        <f>$P37*'Allocation %'!AC37</f>
        <v>0</v>
      </c>
      <c r="AJ37" s="15">
        <f>$P37*'Allocation %'!AD37</f>
        <v>0</v>
      </c>
      <c r="AK37" s="15">
        <f>$P37*'Allocation %'!AE37</f>
        <v>1901.6629999999998</v>
      </c>
      <c r="AL37" s="15">
        <f>$P37*'Allocation %'!AF37</f>
        <v>0</v>
      </c>
      <c r="AM37" s="15">
        <f>$P37*'Allocation %'!AG37</f>
        <v>0</v>
      </c>
      <c r="AN37" s="15">
        <f>$P37*'Allocation %'!AH37</f>
        <v>0</v>
      </c>
      <c r="AO37" s="89">
        <f t="shared" si="2"/>
        <v>2136.6999999999998</v>
      </c>
      <c r="AP37" s="19">
        <f t="shared" si="4"/>
        <v>0</v>
      </c>
    </row>
    <row r="38" spans="1:42" s="16" customFormat="1" ht="10.5" x14ac:dyDescent="0.25">
      <c r="A38" s="11">
        <f>Salary!A38</f>
        <v>35</v>
      </c>
      <c r="B38" s="17" t="str">
        <f>'Allocation %'!B38</f>
        <v xml:space="preserve">Williams, Kyneisha - Career Coach </v>
      </c>
      <c r="C38" s="17">
        <v>35</v>
      </c>
      <c r="D38" s="17" t="str">
        <f>'Allocation %'!D38</f>
        <v>United Airlines, PACE June 30</v>
      </c>
      <c r="E38" s="17">
        <f>'Allocation %'!E38</f>
        <v>0</v>
      </c>
      <c r="F38" s="27">
        <v>1538.47</v>
      </c>
      <c r="G38" s="27">
        <f>F38*$G$3</f>
        <v>40000.22</v>
      </c>
      <c r="H38" s="18"/>
      <c r="I38" s="18">
        <f>SUM(G38:H38)</f>
        <v>40000.22</v>
      </c>
      <c r="J38" s="18">
        <v>625.08000000000004</v>
      </c>
      <c r="K38" s="18">
        <v>625.08000000000004</v>
      </c>
      <c r="L38" s="18"/>
      <c r="M38" s="18"/>
      <c r="N38" s="18"/>
      <c r="O38" s="18"/>
      <c r="P38" s="18">
        <f t="shared" si="3"/>
        <v>1250.1600000000001</v>
      </c>
      <c r="Q38" s="15">
        <f>$P38*'Allocation %'!J38</f>
        <v>0</v>
      </c>
      <c r="R38" s="15">
        <f>$P38*'Allocation %'!K38</f>
        <v>0</v>
      </c>
      <c r="S38" s="15">
        <f>$P38*'Allocation %'!M38</f>
        <v>0</v>
      </c>
      <c r="T38" s="15">
        <f>$P38*'Allocation %'!N38</f>
        <v>0</v>
      </c>
      <c r="U38" s="15">
        <f>$P38*'Allocation %'!O38</f>
        <v>0</v>
      </c>
      <c r="V38" s="15">
        <f>$P38*'Allocation %'!P38</f>
        <v>0</v>
      </c>
      <c r="W38" s="15">
        <f>$P38*'Allocation %'!Q38</f>
        <v>1250.1600000000001</v>
      </c>
      <c r="X38" s="15">
        <f>$P38*'Allocation %'!R38</f>
        <v>0</v>
      </c>
      <c r="Y38" s="15">
        <f>$P38*'Allocation %'!S38</f>
        <v>0</v>
      </c>
      <c r="Z38" s="15">
        <f>$P38*'Allocation %'!T38</f>
        <v>0</v>
      </c>
      <c r="AA38" s="15">
        <f>$P38*'Allocation %'!U38</f>
        <v>0</v>
      </c>
      <c r="AB38" s="15">
        <f>$P38*'Allocation %'!V38</f>
        <v>0</v>
      </c>
      <c r="AC38" s="15">
        <f>$P38*'Allocation %'!W38</f>
        <v>0</v>
      </c>
      <c r="AD38" s="15">
        <f>$P38*'Allocation %'!X38</f>
        <v>0</v>
      </c>
      <c r="AE38" s="15">
        <f>$P38*'Allocation %'!Y38</f>
        <v>0</v>
      </c>
      <c r="AF38" s="15">
        <f>$P38*'Allocation %'!Z38</f>
        <v>0</v>
      </c>
      <c r="AG38" s="15">
        <f>$P38*'Allocation %'!AA38</f>
        <v>0</v>
      </c>
      <c r="AH38" s="15">
        <f>$P38*'Allocation %'!AB38</f>
        <v>0</v>
      </c>
      <c r="AI38" s="15">
        <f>$P38*'Allocation %'!AC38</f>
        <v>0</v>
      </c>
      <c r="AJ38" s="15">
        <f>$P38*'Allocation %'!AD38</f>
        <v>0</v>
      </c>
      <c r="AK38" s="15">
        <f>$P38*'Allocation %'!AE38</f>
        <v>0</v>
      </c>
      <c r="AL38" s="15">
        <f>$P38*'Allocation %'!AF38</f>
        <v>0</v>
      </c>
      <c r="AM38" s="15">
        <f>$P38*'Allocation %'!AG38</f>
        <v>0</v>
      </c>
      <c r="AN38" s="15">
        <f>$P38*'Allocation %'!AH38</f>
        <v>0</v>
      </c>
      <c r="AO38" s="89">
        <f t="shared" si="2"/>
        <v>1250.1600000000001</v>
      </c>
      <c r="AP38" s="19">
        <f t="shared" si="4"/>
        <v>0</v>
      </c>
    </row>
    <row r="39" spans="1:42" s="16" customFormat="1" ht="10.5" x14ac:dyDescent="0.25">
      <c r="A39" s="11">
        <f>Salary!A39</f>
        <v>36</v>
      </c>
      <c r="B39" s="17" t="str">
        <f>'Allocation %'!B39</f>
        <v>WOODRIDGE, Rosalind</v>
      </c>
      <c r="C39" s="17">
        <v>36</v>
      </c>
      <c r="D39" s="17" t="str">
        <f>'Allocation %'!D39</f>
        <v>Wrap</v>
      </c>
      <c r="E39" s="17" t="str">
        <f>'Allocation %'!E39</f>
        <v>Wrap Teacher</v>
      </c>
      <c r="F39" s="18">
        <v>510</v>
      </c>
      <c r="G39" s="18">
        <f t="shared" si="0"/>
        <v>13260</v>
      </c>
      <c r="H39" s="18"/>
      <c r="I39" s="18">
        <f t="shared" si="8"/>
        <v>13260</v>
      </c>
      <c r="J39" s="18"/>
      <c r="K39" s="18"/>
      <c r="L39" s="18"/>
      <c r="M39" s="18"/>
      <c r="N39" s="18"/>
      <c r="O39" s="18"/>
      <c r="P39" s="18">
        <f t="shared" si="3"/>
        <v>0</v>
      </c>
      <c r="Q39" s="15">
        <f>$P39*'Allocation %'!J39</f>
        <v>0</v>
      </c>
      <c r="R39" s="15">
        <f>$P39*'Allocation %'!K39</f>
        <v>0</v>
      </c>
      <c r="S39" s="15">
        <f>$P39*'Allocation %'!M39</f>
        <v>0</v>
      </c>
      <c r="T39" s="15">
        <f>$P39*'Allocation %'!N39</f>
        <v>0</v>
      </c>
      <c r="U39" s="15">
        <f>$P39*'Allocation %'!O39</f>
        <v>0</v>
      </c>
      <c r="V39" s="15">
        <f>$P39*'Allocation %'!P39</f>
        <v>0</v>
      </c>
      <c r="W39" s="15">
        <f>$P39*'Allocation %'!Q39</f>
        <v>0</v>
      </c>
      <c r="X39" s="15">
        <f>$P39*'Allocation %'!R39</f>
        <v>0</v>
      </c>
      <c r="Y39" s="15">
        <f>$P39*'Allocation %'!S39</f>
        <v>0</v>
      </c>
      <c r="Z39" s="15">
        <f>$P39*'Allocation %'!T39</f>
        <v>0</v>
      </c>
      <c r="AA39" s="15">
        <f>$P39*'Allocation %'!U39</f>
        <v>0</v>
      </c>
      <c r="AB39" s="15">
        <f>$P39*'Allocation %'!V39</f>
        <v>0</v>
      </c>
      <c r="AC39" s="15">
        <f>$P39*'Allocation %'!W39</f>
        <v>0</v>
      </c>
      <c r="AD39" s="15">
        <f>$P39*'Allocation %'!X39</f>
        <v>0</v>
      </c>
      <c r="AE39" s="15">
        <f>$P39*'Allocation %'!Y39</f>
        <v>0</v>
      </c>
      <c r="AF39" s="15">
        <f>$P39*'Allocation %'!Z39</f>
        <v>0</v>
      </c>
      <c r="AG39" s="15">
        <f>$P39*'Allocation %'!AA39</f>
        <v>0</v>
      </c>
      <c r="AH39" s="15">
        <f>$P39*'Allocation %'!AB39</f>
        <v>0</v>
      </c>
      <c r="AI39" s="15">
        <f>$P39*'Allocation %'!AC39</f>
        <v>0</v>
      </c>
      <c r="AJ39" s="15">
        <f>$P39*'Allocation %'!AD39</f>
        <v>0</v>
      </c>
      <c r="AK39" s="15">
        <f>$P39*'Allocation %'!AE39</f>
        <v>0</v>
      </c>
      <c r="AL39" s="15">
        <f>$P39*'Allocation %'!AF39</f>
        <v>0</v>
      </c>
      <c r="AM39" s="15">
        <f>$P39*'Allocation %'!AG39</f>
        <v>0</v>
      </c>
      <c r="AN39" s="15">
        <f>$P39*'Allocation %'!AH39</f>
        <v>0</v>
      </c>
      <c r="AO39" s="89">
        <f t="shared" si="2"/>
        <v>0</v>
      </c>
      <c r="AP39" s="19">
        <f t="shared" si="4"/>
        <v>0</v>
      </c>
    </row>
    <row r="40" spans="1:42" s="16" customFormat="1" ht="10.5" x14ac:dyDescent="0.25">
      <c r="A40" s="11"/>
      <c r="B40" s="17"/>
      <c r="C40" s="17"/>
      <c r="D40" s="17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f t="shared" si="3"/>
        <v>0</v>
      </c>
      <c r="Q40" s="15">
        <f>$P40*'Allocation %'!J40</f>
        <v>0</v>
      </c>
      <c r="R40" s="15">
        <f>$P40*'Allocation %'!K40</f>
        <v>0</v>
      </c>
      <c r="S40" s="15">
        <f>$P40*'Allocation %'!M40</f>
        <v>0</v>
      </c>
      <c r="T40" s="15">
        <f>$P40*'Allocation %'!N40</f>
        <v>0</v>
      </c>
      <c r="U40" s="15">
        <f>$P40*'Allocation %'!O40</f>
        <v>0</v>
      </c>
      <c r="V40" s="15">
        <f>$P40*'Allocation %'!P40</f>
        <v>0</v>
      </c>
      <c r="W40" s="15">
        <f>$P40*'Allocation %'!Q40</f>
        <v>0</v>
      </c>
      <c r="X40" s="15">
        <f>$P40*'Allocation %'!R40</f>
        <v>0</v>
      </c>
      <c r="Y40" s="15">
        <f>$P40*'Allocation %'!S40</f>
        <v>0</v>
      </c>
      <c r="Z40" s="15">
        <f>$P40*'Allocation %'!T40</f>
        <v>0</v>
      </c>
      <c r="AA40" s="15">
        <f>$P40*'Allocation %'!U40</f>
        <v>0</v>
      </c>
      <c r="AB40" s="15">
        <f>$P40*'Allocation %'!V40</f>
        <v>0</v>
      </c>
      <c r="AC40" s="15">
        <f>$P40*'Allocation %'!W40</f>
        <v>0</v>
      </c>
      <c r="AD40" s="15">
        <f>$P40*'Allocation %'!X40</f>
        <v>0</v>
      </c>
      <c r="AE40" s="15">
        <f>$P40*'Allocation %'!Y40</f>
        <v>0</v>
      </c>
      <c r="AF40" s="15">
        <f>$P40*'Allocation %'!Z40</f>
        <v>0</v>
      </c>
      <c r="AG40" s="15">
        <f>$P40*'Allocation %'!AA40</f>
        <v>0</v>
      </c>
      <c r="AH40" s="15">
        <f>$P40*'Allocation %'!AB40</f>
        <v>0</v>
      </c>
      <c r="AI40" s="15">
        <f>$P40*'Allocation %'!AC40</f>
        <v>0</v>
      </c>
      <c r="AJ40" s="15">
        <f>$P40*'Allocation %'!AD40</f>
        <v>0</v>
      </c>
      <c r="AK40" s="15">
        <f>$P40*'Allocation %'!AE40</f>
        <v>0</v>
      </c>
      <c r="AL40" s="15">
        <f>$P40*'Allocation %'!AF40</f>
        <v>0</v>
      </c>
      <c r="AM40" s="15">
        <f>$P40*'Allocation %'!AG40</f>
        <v>0</v>
      </c>
      <c r="AN40" s="15">
        <f>$P40*'Allocation %'!AH40</f>
        <v>0</v>
      </c>
      <c r="AO40" s="89">
        <f t="shared" si="2"/>
        <v>0</v>
      </c>
      <c r="AP40" s="19">
        <f t="shared" si="4"/>
        <v>0</v>
      </c>
    </row>
    <row r="41" spans="1:42" s="16" customFormat="1" ht="11" thickBot="1" x14ac:dyDescent="0.3">
      <c r="A41" s="11"/>
      <c r="B41" s="17"/>
      <c r="C41" s="17"/>
      <c r="D41" s="33"/>
      <c r="E41" s="33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89">
        <f t="shared" si="2"/>
        <v>0</v>
      </c>
      <c r="AP41" s="19">
        <f t="shared" si="4"/>
        <v>0</v>
      </c>
    </row>
    <row r="42" spans="1:42" s="37" customFormat="1" ht="11" thickBot="1" x14ac:dyDescent="0.3">
      <c r="A42" s="34"/>
      <c r="B42" s="17"/>
      <c r="C42" s="17"/>
      <c r="D42" s="33"/>
      <c r="E42" s="33"/>
      <c r="F42" s="35">
        <f>SUM(F4:F41)</f>
        <v>62760.78</v>
      </c>
      <c r="G42" s="35">
        <f t="shared" ref="G42:AO42" si="9">SUM(G4:G41)</f>
        <v>1631780.28</v>
      </c>
      <c r="H42" s="35">
        <f t="shared" si="9"/>
        <v>6538.4699999999993</v>
      </c>
      <c r="I42" s="35">
        <f t="shared" si="9"/>
        <v>1647780.42</v>
      </c>
      <c r="J42" s="35">
        <f t="shared" si="9"/>
        <v>19289.919999999998</v>
      </c>
      <c r="K42" s="35">
        <f t="shared" si="9"/>
        <v>19580.439999999999</v>
      </c>
      <c r="L42" s="35">
        <f t="shared" si="9"/>
        <v>0</v>
      </c>
      <c r="M42" s="35">
        <f t="shared" si="9"/>
        <v>0</v>
      </c>
      <c r="N42" s="35">
        <f t="shared" si="9"/>
        <v>0</v>
      </c>
      <c r="O42" s="35">
        <f t="shared" si="9"/>
        <v>0</v>
      </c>
      <c r="P42" s="75">
        <f t="shared" si="9"/>
        <v>38870.359999999993</v>
      </c>
      <c r="Q42" s="35">
        <f t="shared" si="9"/>
        <v>12253.107200000002</v>
      </c>
      <c r="R42" s="35">
        <f t="shared" si="9"/>
        <v>900.83280000000013</v>
      </c>
      <c r="S42" s="35">
        <f t="shared" si="9"/>
        <v>4028.8199999999997</v>
      </c>
      <c r="T42" s="35">
        <f t="shared" si="9"/>
        <v>7162.523000000001</v>
      </c>
      <c r="U42" s="35">
        <f t="shared" si="9"/>
        <v>1492.9</v>
      </c>
      <c r="V42" s="35">
        <f t="shared" ref="V42" si="10">SUM(V4:V41)</f>
        <v>512.80799999999999</v>
      </c>
      <c r="W42" s="35">
        <f t="shared" ref="W42" si="11">SUM(W4:W41)</f>
        <v>1250.1600000000001</v>
      </c>
      <c r="X42" s="35">
        <f t="shared" si="9"/>
        <v>577.75299999999993</v>
      </c>
      <c r="Y42" s="35">
        <f t="shared" ref="Y42" si="12">SUM(Y4:Y41)</f>
        <v>384.60599999999994</v>
      </c>
      <c r="Z42" s="35">
        <f t="shared" ref="Z42:AB42" si="13">SUM(Z4:Z41)</f>
        <v>471.38879999999995</v>
      </c>
      <c r="AA42" s="35">
        <f t="shared" si="13"/>
        <v>651.60019999999986</v>
      </c>
      <c r="AB42" s="35">
        <f t="shared" si="13"/>
        <v>576.90899999999999</v>
      </c>
      <c r="AC42" s="35">
        <f t="shared" ref="AC42:AF42" si="14">SUM(AC4:AC41)</f>
        <v>128.202</v>
      </c>
      <c r="AD42" s="35">
        <f t="shared" si="14"/>
        <v>833.31299999999999</v>
      </c>
      <c r="AE42" s="35">
        <f t="shared" si="14"/>
        <v>0</v>
      </c>
      <c r="AF42" s="35">
        <f t="shared" si="14"/>
        <v>0</v>
      </c>
      <c r="AG42" s="35">
        <f t="shared" si="9"/>
        <v>600.92120000000011</v>
      </c>
      <c r="AH42" s="35">
        <f t="shared" si="9"/>
        <v>791.8374</v>
      </c>
      <c r="AI42" s="35">
        <f t="shared" si="9"/>
        <v>2081.0983999999999</v>
      </c>
      <c r="AJ42" s="35">
        <f t="shared" si="9"/>
        <v>0</v>
      </c>
      <c r="AK42" s="35">
        <f t="shared" si="9"/>
        <v>2034.8799999999999</v>
      </c>
      <c r="AL42" s="35">
        <f t="shared" si="9"/>
        <v>0</v>
      </c>
      <c r="AM42" s="35">
        <f t="shared" si="9"/>
        <v>2136.6999999999998</v>
      </c>
      <c r="AN42" s="35">
        <f t="shared" si="9"/>
        <v>0</v>
      </c>
      <c r="AO42" s="90">
        <f t="shared" si="9"/>
        <v>38870.359999999993</v>
      </c>
      <c r="AP42" s="36"/>
    </row>
    <row r="43" spans="1:42" s="10" customFormat="1" ht="15" x14ac:dyDescent="0.4">
      <c r="A43" s="15"/>
      <c r="B43" s="29"/>
      <c r="C43" s="29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9">
        <f t="shared" ref="Q43:V43" si="15">Q42/$AO$42</f>
        <v>0.31523009305805255</v>
      </c>
      <c r="R43" s="39">
        <f t="shared" si="15"/>
        <v>2.3175314043914187E-2</v>
      </c>
      <c r="S43" s="39">
        <f t="shared" si="15"/>
        <v>0.10364761221660927</v>
      </c>
      <c r="T43" s="39">
        <f t="shared" si="15"/>
        <v>0.18426695816555344</v>
      </c>
      <c r="U43" s="39">
        <f t="shared" si="15"/>
        <v>3.8407156506911705E-2</v>
      </c>
      <c r="V43" s="39">
        <f t="shared" si="15"/>
        <v>1.3192777221512743E-2</v>
      </c>
      <c r="W43" s="39">
        <f t="shared" ref="W43" si="16">W42/$AO$42</f>
        <v>3.2162295383937792E-2</v>
      </c>
      <c r="X43" s="39">
        <f>X42/$AO$42</f>
        <v>1.4863587576755143E-2</v>
      </c>
      <c r="Y43" s="39">
        <f>Y42/$AO$42</f>
        <v>9.8945829161345561E-3</v>
      </c>
      <c r="Z43" s="39">
        <f t="shared" ref="Z43:AB43" si="17">Z42/$AO$42</f>
        <v>1.2127204378863485E-2</v>
      </c>
      <c r="AA43" s="39">
        <f t="shared" si="17"/>
        <v>1.6763420765848323E-2</v>
      </c>
      <c r="AB43" s="39">
        <f t="shared" si="17"/>
        <v>1.4841874374201836E-2</v>
      </c>
      <c r="AC43" s="39">
        <f t="shared" ref="AC43" si="18">AC42/$AO$42</f>
        <v>3.2981943053781858E-3</v>
      </c>
      <c r="AD43" s="39">
        <f t="shared" ref="AD43" si="19">AD42/$AO$42</f>
        <v>2.1438262984958208E-2</v>
      </c>
      <c r="AE43" s="39">
        <f t="shared" ref="AE43" si="20">AE42/$AO$42</f>
        <v>0</v>
      </c>
      <c r="AF43" s="39">
        <f t="shared" ref="AF43" si="21">AF42/$AO$42</f>
        <v>0</v>
      </c>
      <c r="AG43" s="39">
        <f t="shared" ref="AG43:AN43" si="22">AG42/$AO$42</f>
        <v>1.5459625277460776E-2</v>
      </c>
      <c r="AH43" s="39">
        <f t="shared" si="22"/>
        <v>2.037123916526629E-2</v>
      </c>
      <c r="AI43" s="39">
        <f t="shared" si="22"/>
        <v>5.3539468119153007E-2</v>
      </c>
      <c r="AJ43" s="39">
        <f t="shared" si="22"/>
        <v>0</v>
      </c>
      <c r="AK43" s="39">
        <f t="shared" si="22"/>
        <v>5.2350428449852285E-2</v>
      </c>
      <c r="AL43" s="39">
        <f t="shared" si="22"/>
        <v>0</v>
      </c>
      <c r="AM43" s="39">
        <f t="shared" si="22"/>
        <v>5.496990508963643E-2</v>
      </c>
      <c r="AN43" s="39">
        <f t="shared" si="22"/>
        <v>0</v>
      </c>
      <c r="AO43" s="39">
        <f>SUM(Q43:AN43)</f>
        <v>1.0000000000000002</v>
      </c>
    </row>
    <row r="44" spans="1:42" ht="15" thickBot="1" x14ac:dyDescent="0.4"/>
    <row r="45" spans="1:42" ht="15" thickBot="1" x14ac:dyDescent="0.4">
      <c r="Q45" s="71" t="str">
        <f>Q2</f>
        <v>Abbott</v>
      </c>
      <c r="R45" s="71" t="str">
        <f t="shared" ref="R45:AN45" si="23">R2</f>
        <v>Abbott - Other</v>
      </c>
      <c r="S45" s="71" t="str">
        <f t="shared" si="23"/>
        <v>Toddlers</v>
      </c>
      <c r="T45" s="71" t="str">
        <f t="shared" si="23"/>
        <v>USJP</v>
      </c>
      <c r="U45" s="71" t="str">
        <f t="shared" si="23"/>
        <v>Workforce UA</v>
      </c>
      <c r="V45" s="71" t="str">
        <f t="shared" ref="V45" si="24">V2</f>
        <v>Pru -Workforce</v>
      </c>
      <c r="W45" s="71" t="str">
        <f t="shared" ref="W45" si="25">W2</f>
        <v>PACE</v>
      </c>
      <c r="X45" s="71" t="str">
        <f t="shared" si="23"/>
        <v>Housing ESG</v>
      </c>
      <c r="Y45" s="71" t="str">
        <f t="shared" ref="Y45" si="26">Y2</f>
        <v>NRTC18</v>
      </c>
      <c r="Z45" s="71" t="str">
        <f t="shared" ref="Z45:AB45" si="27">Z2</f>
        <v>NRTC 20</v>
      </c>
      <c r="AA45" s="71" t="str">
        <f t="shared" si="27"/>
        <v>CDBG</v>
      </c>
      <c r="AB45" s="71" t="str">
        <f t="shared" si="27"/>
        <v>PARS</v>
      </c>
      <c r="AC45" s="71" t="str">
        <f t="shared" ref="AC45:AF45" si="28">AC2</f>
        <v>Save Up2</v>
      </c>
      <c r="AD45" s="71" t="str">
        <f t="shared" si="28"/>
        <v>LISC 2020</v>
      </c>
      <c r="AE45" s="71" t="str">
        <f t="shared" si="28"/>
        <v xml:space="preserve">PRU -FOC </v>
      </c>
      <c r="AF45" s="71" t="str">
        <f t="shared" si="28"/>
        <v>NRTC 18</v>
      </c>
      <c r="AG45" s="71" t="str">
        <f t="shared" si="23"/>
        <v>Real Estate/NRTC</v>
      </c>
      <c r="AH45" s="71" t="str">
        <f t="shared" si="23"/>
        <v>Coding</v>
      </c>
      <c r="AI45" s="71" t="str">
        <f t="shared" si="23"/>
        <v>Neigh Revit</v>
      </c>
      <c r="AJ45" s="71" t="str">
        <f t="shared" si="23"/>
        <v>CEO</v>
      </c>
      <c r="AK45" s="71" t="str">
        <f t="shared" si="23"/>
        <v>CFO</v>
      </c>
      <c r="AL45" s="71" t="str">
        <f t="shared" si="23"/>
        <v>Fundraising</v>
      </c>
      <c r="AM45" s="71" t="str">
        <f t="shared" si="23"/>
        <v>Opprt Corp</v>
      </c>
      <c r="AN45" s="71">
        <f t="shared" si="23"/>
        <v>0</v>
      </c>
      <c r="AO45" s="47" t="s">
        <v>35</v>
      </c>
    </row>
    <row r="46" spans="1:42" x14ac:dyDescent="0.35">
      <c r="I46" s="44" t="s">
        <v>36</v>
      </c>
      <c r="Q46" s="48">
        <v>14</v>
      </c>
      <c r="R46" s="48"/>
      <c r="S46" s="48">
        <v>2</v>
      </c>
      <c r="T46" s="48">
        <v>4</v>
      </c>
      <c r="U46" s="48">
        <v>4</v>
      </c>
      <c r="V46" s="48"/>
      <c r="W46" s="48"/>
      <c r="X46" s="48">
        <v>2</v>
      </c>
      <c r="Y46" s="48"/>
      <c r="Z46" s="48"/>
      <c r="AA46" s="48"/>
      <c r="AB46" s="48"/>
      <c r="AC46" s="48"/>
      <c r="AD46" s="48"/>
      <c r="AE46" s="48">
        <v>2</v>
      </c>
      <c r="AF46" s="48"/>
      <c r="AG46" s="48">
        <v>1.5</v>
      </c>
      <c r="AH46" s="48">
        <v>1.5</v>
      </c>
      <c r="AI46" s="48">
        <v>1.5</v>
      </c>
      <c r="AJ46" s="48">
        <v>2</v>
      </c>
      <c r="AK46" s="48">
        <v>2</v>
      </c>
      <c r="AL46" s="48"/>
      <c r="AM46" s="48">
        <v>1</v>
      </c>
      <c r="AN46" s="48"/>
      <c r="AO46" s="39">
        <f>SUM(Q46:AN46)</f>
        <v>37.5</v>
      </c>
    </row>
    <row r="48" spans="1:42" x14ac:dyDescent="0.35">
      <c r="I48" s="44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9"/>
  <sheetViews>
    <sheetView topLeftCell="W7" workbookViewId="0">
      <selection activeCell="X2" sqref="X2:Y46"/>
    </sheetView>
  </sheetViews>
  <sheetFormatPr defaultRowHeight="14.5" x14ac:dyDescent="0.35"/>
  <cols>
    <col min="1" max="1" width="6.81640625" style="11" customWidth="1"/>
    <col min="2" max="2" width="35.7265625" style="40" customWidth="1"/>
    <col min="3" max="3" width="4.7265625" style="40" customWidth="1"/>
    <col min="4" max="4" width="18.81640625" style="41" customWidth="1"/>
    <col min="5" max="5" width="20.81640625" style="42" customWidth="1"/>
    <col min="6" max="6" width="19.453125" style="43" hidden="1" customWidth="1"/>
    <col min="7" max="8" width="19.453125" style="44" hidden="1" customWidth="1"/>
    <col min="9" max="11" width="14" style="44" customWidth="1"/>
    <col min="12" max="15" width="14" style="44" hidden="1" customWidth="1"/>
    <col min="16" max="16" width="14" style="44" customWidth="1"/>
    <col min="17" max="17" width="16.1796875" bestFit="1" customWidth="1"/>
    <col min="18" max="18" width="16.1796875" customWidth="1"/>
    <col min="19" max="19" width="10.7265625" bestFit="1" customWidth="1"/>
    <col min="20" max="20" width="11.54296875" bestFit="1" customWidth="1"/>
    <col min="21" max="23" width="15.81640625" customWidth="1"/>
    <col min="24" max="30" width="13.81640625" customWidth="1"/>
    <col min="31" max="32" width="15.1796875" customWidth="1"/>
    <col min="33" max="33" width="12.54296875" customWidth="1"/>
    <col min="34" max="35" width="11.54296875" bestFit="1" customWidth="1"/>
    <col min="36" max="37" width="11.7265625" bestFit="1" customWidth="1"/>
    <col min="38" max="38" width="11.7265625" customWidth="1"/>
    <col min="39" max="39" width="10.7265625" bestFit="1" customWidth="1"/>
    <col min="40" max="40" width="11.54296875" bestFit="1" customWidth="1"/>
    <col min="41" max="41" width="12.1796875" customWidth="1"/>
    <col min="42" max="42" width="11.81640625" customWidth="1"/>
  </cols>
  <sheetData>
    <row r="1" spans="1:44" ht="15" thickBot="1" x14ac:dyDescent="0.4">
      <c r="B1" s="40" t="s">
        <v>58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</row>
    <row r="2" spans="1:44" ht="18.75" customHeight="1" thickBot="1" x14ac:dyDescent="0.4">
      <c r="A2" s="1"/>
      <c r="B2" s="2" t="s">
        <v>0</v>
      </c>
      <c r="C2" s="3"/>
      <c r="D2" s="4" t="s">
        <v>1</v>
      </c>
      <c r="E2" s="4"/>
      <c r="F2" s="5" t="s">
        <v>2</v>
      </c>
      <c r="G2" s="4" t="s">
        <v>3</v>
      </c>
      <c r="H2" s="4" t="s">
        <v>4</v>
      </c>
      <c r="I2" s="4" t="s">
        <v>5</v>
      </c>
      <c r="J2" s="72">
        <v>43843</v>
      </c>
      <c r="K2" s="72">
        <v>43857</v>
      </c>
      <c r="L2" s="72"/>
      <c r="M2" s="72"/>
      <c r="N2" s="72"/>
      <c r="O2" s="72"/>
      <c r="P2" s="72" t="s">
        <v>73</v>
      </c>
      <c r="Q2" s="69" t="str">
        <f>Health!Q2</f>
        <v>Abbott</v>
      </c>
      <c r="R2" s="69" t="str">
        <f>Health!R2</f>
        <v>Abbott - Other</v>
      </c>
      <c r="S2" s="69" t="str">
        <f>Health!S2</f>
        <v>Toddlers</v>
      </c>
      <c r="T2" s="69" t="str">
        <f>Health!T2</f>
        <v>USJP</v>
      </c>
      <c r="U2" s="78" t="str">
        <f>Health!U2</f>
        <v>Workforce UA</v>
      </c>
      <c r="V2" s="78" t="str">
        <f>Health!V2</f>
        <v>Pru -Workforce</v>
      </c>
      <c r="W2" s="78" t="str">
        <f>Health!W2</f>
        <v>PACE</v>
      </c>
      <c r="X2" s="83" t="str">
        <f>Health!X2</f>
        <v>Housing ESG</v>
      </c>
      <c r="Y2" s="83" t="str">
        <f>Health!Y2</f>
        <v>NRTC18</v>
      </c>
      <c r="Z2" s="83" t="str">
        <f>Health!Z2</f>
        <v>NRTC 20</v>
      </c>
      <c r="AA2" s="83" t="str">
        <f>Health!AA2</f>
        <v>CDBG</v>
      </c>
      <c r="AB2" s="83" t="str">
        <f>Health!AB2</f>
        <v>PARS</v>
      </c>
      <c r="AC2" s="84" t="str">
        <f>Health!AC2</f>
        <v>Save Up2</v>
      </c>
      <c r="AD2" s="84" t="str">
        <f>Health!AD2</f>
        <v>LISC 2020</v>
      </c>
      <c r="AE2" s="84" t="str">
        <f>Health!AE2</f>
        <v xml:space="preserve">PRU -FOC </v>
      </c>
      <c r="AF2" s="84" t="str">
        <f>Health!AF2</f>
        <v>NRTC 18</v>
      </c>
      <c r="AG2" s="86" t="str">
        <f>Health!AG2</f>
        <v>Real Estate/NRTC</v>
      </c>
      <c r="AH2" s="86" t="str">
        <f>Health!AH2</f>
        <v>Coding</v>
      </c>
      <c r="AI2" s="86" t="str">
        <f>Health!AI2</f>
        <v>Neigh Revit</v>
      </c>
      <c r="AJ2" s="69" t="str">
        <f>Health!AJ2</f>
        <v>CEO</v>
      </c>
      <c r="AK2" s="69" t="str">
        <f>Health!AK2</f>
        <v>CFO</v>
      </c>
      <c r="AL2" s="69" t="str">
        <f>Health!AL2</f>
        <v>Fundraising</v>
      </c>
      <c r="AM2" s="69" t="str">
        <f>Health!AM2</f>
        <v>Opprt Corp</v>
      </c>
      <c r="AN2" s="87"/>
      <c r="AO2" s="88"/>
    </row>
    <row r="3" spans="1:44" s="16" customFormat="1" ht="10.5" x14ac:dyDescent="0.25">
      <c r="A3" s="11"/>
      <c r="B3" s="12"/>
      <c r="C3" s="12"/>
      <c r="D3" s="13"/>
      <c r="E3" s="13"/>
      <c r="F3" s="14"/>
      <c r="G3" s="13">
        <v>26</v>
      </c>
      <c r="H3" s="13"/>
      <c r="I3" s="13"/>
      <c r="J3" s="13"/>
      <c r="K3" s="13"/>
      <c r="L3" s="13"/>
      <c r="M3" s="13"/>
      <c r="N3" s="13"/>
      <c r="O3" s="13"/>
      <c r="P3" s="13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89"/>
    </row>
    <row r="4" spans="1:44" s="16" customFormat="1" ht="10.5" x14ac:dyDescent="0.25">
      <c r="A4" s="11">
        <f>Salary!A4</f>
        <v>1</v>
      </c>
      <c r="B4" s="17" t="str">
        <f>'Allocation %'!B4</f>
        <v>ANDREWS, Cora</v>
      </c>
      <c r="C4" s="17">
        <v>1</v>
      </c>
      <c r="D4" s="17" t="str">
        <f>'Allocation %'!D4</f>
        <v>Abbott</v>
      </c>
      <c r="E4" s="17" t="str">
        <f>'Allocation %'!E4</f>
        <v>Security</v>
      </c>
      <c r="F4" s="18">
        <v>1120</v>
      </c>
      <c r="G4" s="18">
        <f t="shared" ref="G4:G38" si="0">F4*$G$3</f>
        <v>29120</v>
      </c>
      <c r="H4" s="18"/>
      <c r="I4" s="18">
        <f t="shared" ref="I4:I9" si="1">SUM(G4:H4)</f>
        <v>29120</v>
      </c>
      <c r="J4" s="18">
        <v>12.2</v>
      </c>
      <c r="K4" s="18">
        <v>12.2</v>
      </c>
      <c r="L4" s="18"/>
      <c r="M4" s="18"/>
      <c r="N4" s="18"/>
      <c r="O4" s="18"/>
      <c r="P4" s="18">
        <f>SUM(J4:O4)</f>
        <v>24.4</v>
      </c>
      <c r="Q4" s="15">
        <f>$P4*'Allocation %'!J4</f>
        <v>24.4</v>
      </c>
      <c r="R4" s="15">
        <f>$P4*'Allocation %'!K4</f>
        <v>0</v>
      </c>
      <c r="S4" s="15">
        <f>$P4*'Allocation %'!M4</f>
        <v>0</v>
      </c>
      <c r="T4" s="15">
        <f>$P4*'Allocation %'!N4</f>
        <v>0</v>
      </c>
      <c r="U4" s="15">
        <f>$P4*'Allocation %'!O4</f>
        <v>0</v>
      </c>
      <c r="V4" s="15">
        <f>$P4*'Allocation %'!P4</f>
        <v>0</v>
      </c>
      <c r="W4" s="15">
        <f>$P4*'Allocation %'!Q4</f>
        <v>0</v>
      </c>
      <c r="X4" s="15">
        <f>$P4*'Allocation %'!R4</f>
        <v>0</v>
      </c>
      <c r="Y4" s="15">
        <f>$P4*'Allocation %'!S4</f>
        <v>0</v>
      </c>
      <c r="Z4" s="15">
        <f>$P4*'Allocation %'!T4</f>
        <v>0</v>
      </c>
      <c r="AA4" s="15">
        <f>$P4*'Allocation %'!U4</f>
        <v>0</v>
      </c>
      <c r="AB4" s="15">
        <f>$P4*'Allocation %'!V4</f>
        <v>0</v>
      </c>
      <c r="AC4" s="15">
        <f>$P4*'Allocation %'!W4</f>
        <v>0</v>
      </c>
      <c r="AD4" s="15">
        <f>$P4*'Allocation %'!X4</f>
        <v>0</v>
      </c>
      <c r="AE4" s="15">
        <f>$P4*'Allocation %'!Y4</f>
        <v>0</v>
      </c>
      <c r="AF4" s="15">
        <f>$P4*'Allocation %'!Z4</f>
        <v>0</v>
      </c>
      <c r="AG4" s="15">
        <f>$P4*'Allocation %'!AA4</f>
        <v>0</v>
      </c>
      <c r="AH4" s="15">
        <f>$P4*'Allocation %'!AB4</f>
        <v>0</v>
      </c>
      <c r="AI4" s="15">
        <f>$P4*'Allocation %'!AC4</f>
        <v>0</v>
      </c>
      <c r="AJ4" s="15">
        <f>$P4*'Allocation %'!AD4</f>
        <v>0</v>
      </c>
      <c r="AK4" s="15">
        <f>$P4*'Allocation %'!AE4</f>
        <v>0</v>
      </c>
      <c r="AL4" s="15">
        <f>$P4*'Allocation %'!AF4</f>
        <v>0</v>
      </c>
      <c r="AM4" s="15">
        <f>$P4*'Allocation %'!AG4</f>
        <v>0</v>
      </c>
      <c r="AN4" s="15">
        <f>$P4*'Allocation %'!AH4</f>
        <v>0</v>
      </c>
      <c r="AO4" s="89">
        <f t="shared" ref="AO4:AO41" si="2">SUM(Q4:AN4)</f>
        <v>24.4</v>
      </c>
      <c r="AP4" s="19">
        <f>P4-AO4</f>
        <v>0</v>
      </c>
    </row>
    <row r="5" spans="1:44" s="16" customFormat="1" ht="10.5" x14ac:dyDescent="0.25">
      <c r="A5" s="11">
        <f>Salary!A5</f>
        <v>2</v>
      </c>
      <c r="B5" s="17" t="str">
        <f>'Allocation %'!B5</f>
        <v>Bennett, Patricia A.</v>
      </c>
      <c r="C5" s="17">
        <v>2</v>
      </c>
      <c r="D5" s="17" t="str">
        <f>'Allocation %'!D5</f>
        <v>Abbott, Admin</v>
      </c>
      <c r="E5" s="17" t="str">
        <f>'Allocation %'!E5</f>
        <v>Custodian</v>
      </c>
      <c r="F5" s="18">
        <v>650</v>
      </c>
      <c r="G5" s="20">
        <f>F5*$G$3</f>
        <v>16900</v>
      </c>
      <c r="H5" s="18"/>
      <c r="I5" s="18">
        <f>SUM(G5:H5)</f>
        <v>16900</v>
      </c>
      <c r="J5" s="18"/>
      <c r="K5" s="18"/>
      <c r="L5" s="18"/>
      <c r="M5" s="18"/>
      <c r="N5" s="18"/>
      <c r="O5" s="18"/>
      <c r="P5" s="18">
        <f t="shared" ref="P5:P41" si="3">SUM(J5:O5)</f>
        <v>0</v>
      </c>
      <c r="Q5" s="15">
        <f>$P5*'Allocation %'!J5</f>
        <v>0</v>
      </c>
      <c r="R5" s="15">
        <f>$P5*'Allocation %'!K5</f>
        <v>0</v>
      </c>
      <c r="S5" s="15">
        <f>$P5*'Allocation %'!M5</f>
        <v>0</v>
      </c>
      <c r="T5" s="15">
        <f>$P5*'Allocation %'!N5</f>
        <v>0</v>
      </c>
      <c r="U5" s="15">
        <f>$P5*'Allocation %'!O5</f>
        <v>0</v>
      </c>
      <c r="V5" s="15">
        <f>$P5*'Allocation %'!P5</f>
        <v>0</v>
      </c>
      <c r="W5" s="15">
        <f>$P5*'Allocation %'!Q5</f>
        <v>0</v>
      </c>
      <c r="X5" s="15">
        <f>$P5*'Allocation %'!R5</f>
        <v>0</v>
      </c>
      <c r="Y5" s="15">
        <f>$P5*'Allocation %'!S5</f>
        <v>0</v>
      </c>
      <c r="Z5" s="15">
        <f>$P5*'Allocation %'!T5</f>
        <v>0</v>
      </c>
      <c r="AA5" s="15">
        <f>$P5*'Allocation %'!U5</f>
        <v>0</v>
      </c>
      <c r="AB5" s="15">
        <f>$P5*'Allocation %'!V5</f>
        <v>0</v>
      </c>
      <c r="AC5" s="15">
        <f>$P5*'Allocation %'!W5</f>
        <v>0</v>
      </c>
      <c r="AD5" s="15">
        <f>$P5*'Allocation %'!X5</f>
        <v>0</v>
      </c>
      <c r="AE5" s="15">
        <f>$P5*'Allocation %'!Y5</f>
        <v>0</v>
      </c>
      <c r="AF5" s="15">
        <f>$P5*'Allocation %'!Z5</f>
        <v>0</v>
      </c>
      <c r="AG5" s="15">
        <f>$P5*'Allocation %'!AA5</f>
        <v>0</v>
      </c>
      <c r="AH5" s="15">
        <f>$P5*'Allocation %'!AB5</f>
        <v>0</v>
      </c>
      <c r="AI5" s="15">
        <f>$P5*'Allocation %'!AC5</f>
        <v>0</v>
      </c>
      <c r="AJ5" s="15">
        <f>$P5*'Allocation %'!AD5</f>
        <v>0</v>
      </c>
      <c r="AK5" s="15">
        <f>$P5*'Allocation %'!AE5</f>
        <v>0</v>
      </c>
      <c r="AL5" s="15">
        <f>$P5*'Allocation %'!AF5</f>
        <v>0</v>
      </c>
      <c r="AM5" s="15">
        <f>$P5*'Allocation %'!AG5</f>
        <v>0</v>
      </c>
      <c r="AN5" s="15">
        <f>$P5*'Allocation %'!AH5</f>
        <v>0</v>
      </c>
      <c r="AO5" s="89">
        <f t="shared" si="2"/>
        <v>0</v>
      </c>
      <c r="AP5" s="19">
        <f t="shared" ref="AP5:AP41" si="4">P5-AO5</f>
        <v>0</v>
      </c>
    </row>
    <row r="6" spans="1:44" s="16" customFormat="1" ht="10.5" x14ac:dyDescent="0.25">
      <c r="A6" s="11">
        <f>Salary!A6</f>
        <v>3</v>
      </c>
      <c r="B6" s="17" t="str">
        <f>'Allocation %'!B6</f>
        <v>Bishop-Shakoor, Ayesha</v>
      </c>
      <c r="C6" s="17">
        <v>3</v>
      </c>
      <c r="D6" s="17" t="str">
        <f>'Allocation %'!D6</f>
        <v>Abbott, Admin</v>
      </c>
      <c r="E6" s="17">
        <f>'Allocation %'!E6</f>
        <v>0</v>
      </c>
      <c r="F6" s="18"/>
      <c r="G6" s="20"/>
      <c r="H6" s="18"/>
      <c r="I6" s="18"/>
      <c r="J6" s="18"/>
      <c r="K6" s="18"/>
      <c r="L6" s="18"/>
      <c r="M6" s="18"/>
      <c r="N6" s="18"/>
      <c r="O6" s="18"/>
      <c r="P6" s="18"/>
      <c r="Q6" s="15">
        <f>$P6*'Allocation %'!J6</f>
        <v>0</v>
      </c>
      <c r="R6" s="15">
        <f>$P6*'Allocation %'!K6</f>
        <v>0</v>
      </c>
      <c r="S6" s="15">
        <f>$P6*'Allocation %'!M6</f>
        <v>0</v>
      </c>
      <c r="T6" s="15">
        <f>$P6*'Allocation %'!N6</f>
        <v>0</v>
      </c>
      <c r="U6" s="15">
        <f>$P6*'Allocation %'!O6</f>
        <v>0</v>
      </c>
      <c r="V6" s="15">
        <f>$P6*'Allocation %'!P6</f>
        <v>0</v>
      </c>
      <c r="W6" s="15">
        <f>$P6*'Allocation %'!Q6</f>
        <v>0</v>
      </c>
      <c r="X6" s="15">
        <f>$P6*'Allocation %'!R6</f>
        <v>0</v>
      </c>
      <c r="Y6" s="15">
        <f>$P6*'Allocation %'!S6</f>
        <v>0</v>
      </c>
      <c r="Z6" s="15">
        <f>$P6*'Allocation %'!T6</f>
        <v>0</v>
      </c>
      <c r="AA6" s="15">
        <f>$P6*'Allocation %'!U6</f>
        <v>0</v>
      </c>
      <c r="AB6" s="15">
        <f>$P6*'Allocation %'!V6</f>
        <v>0</v>
      </c>
      <c r="AC6" s="15">
        <f>$P6*'Allocation %'!W6</f>
        <v>0</v>
      </c>
      <c r="AD6" s="15">
        <f>$P6*'Allocation %'!X6</f>
        <v>0</v>
      </c>
      <c r="AE6" s="15">
        <f>$P6*'Allocation %'!Y6</f>
        <v>0</v>
      </c>
      <c r="AF6" s="15">
        <f>$P6*'Allocation %'!Z6</f>
        <v>0</v>
      </c>
      <c r="AG6" s="15">
        <f>$P6*'Allocation %'!AA6</f>
        <v>0</v>
      </c>
      <c r="AH6" s="15">
        <f>$P6*'Allocation %'!AB6</f>
        <v>0</v>
      </c>
      <c r="AI6" s="15">
        <f>$P6*'Allocation %'!AC6</f>
        <v>0</v>
      </c>
      <c r="AJ6" s="15">
        <f>$P6*'Allocation %'!AD6</f>
        <v>0</v>
      </c>
      <c r="AK6" s="15">
        <f>$P6*'Allocation %'!AE6</f>
        <v>0</v>
      </c>
      <c r="AL6" s="15">
        <f>$P6*'Allocation %'!AF6</f>
        <v>0</v>
      </c>
      <c r="AM6" s="15">
        <f>$P6*'Allocation %'!AG6</f>
        <v>0</v>
      </c>
      <c r="AN6" s="15">
        <f>$P6*'Allocation %'!AH6</f>
        <v>0</v>
      </c>
      <c r="AO6" s="89">
        <f t="shared" si="2"/>
        <v>0</v>
      </c>
      <c r="AP6" s="19">
        <f t="shared" si="4"/>
        <v>0</v>
      </c>
    </row>
    <row r="7" spans="1:44" s="16" customFormat="1" ht="10.5" x14ac:dyDescent="0.25">
      <c r="A7" s="11">
        <f>Salary!A7</f>
        <v>4</v>
      </c>
      <c r="B7" s="17" t="str">
        <f>'Allocation %'!B7</f>
        <v>BROWN,Denise- Wrap</v>
      </c>
      <c r="C7" s="17">
        <v>4</v>
      </c>
      <c r="D7" s="17" t="str">
        <f>'Allocation %'!D7</f>
        <v>Wrap</v>
      </c>
      <c r="E7" s="17" t="str">
        <f>'Allocation %'!E7</f>
        <v>Wrap Teacher</v>
      </c>
      <c r="F7" s="18">
        <v>520</v>
      </c>
      <c r="G7" s="18">
        <f t="shared" si="0"/>
        <v>13520</v>
      </c>
      <c r="H7" s="18"/>
      <c r="I7" s="18">
        <f t="shared" si="1"/>
        <v>13520</v>
      </c>
      <c r="J7" s="18"/>
      <c r="K7" s="18"/>
      <c r="L7" s="18"/>
      <c r="M7" s="18"/>
      <c r="N7" s="18"/>
      <c r="O7" s="18"/>
      <c r="P7" s="18">
        <f t="shared" si="3"/>
        <v>0</v>
      </c>
      <c r="Q7" s="15">
        <f>$P7*'Allocation %'!J7</f>
        <v>0</v>
      </c>
      <c r="R7" s="15">
        <f>$P7*'Allocation %'!K7</f>
        <v>0</v>
      </c>
      <c r="S7" s="15">
        <f>$P7*'Allocation %'!M7</f>
        <v>0</v>
      </c>
      <c r="T7" s="15">
        <f>$P7*'Allocation %'!N7</f>
        <v>0</v>
      </c>
      <c r="U7" s="15">
        <f>$P7*'Allocation %'!O7</f>
        <v>0</v>
      </c>
      <c r="V7" s="15">
        <f>$P7*'Allocation %'!P7</f>
        <v>0</v>
      </c>
      <c r="W7" s="15">
        <f>$P7*'Allocation %'!Q7</f>
        <v>0</v>
      </c>
      <c r="X7" s="15">
        <f>$P7*'Allocation %'!R7</f>
        <v>0</v>
      </c>
      <c r="Y7" s="15">
        <f>$P7*'Allocation %'!S7</f>
        <v>0</v>
      </c>
      <c r="Z7" s="15">
        <f>$P7*'Allocation %'!T7</f>
        <v>0</v>
      </c>
      <c r="AA7" s="15">
        <f>$P7*'Allocation %'!U7</f>
        <v>0</v>
      </c>
      <c r="AB7" s="15">
        <f>$P7*'Allocation %'!V7</f>
        <v>0</v>
      </c>
      <c r="AC7" s="15">
        <f>$P7*'Allocation %'!W7</f>
        <v>0</v>
      </c>
      <c r="AD7" s="15">
        <f>$P7*'Allocation %'!X7</f>
        <v>0</v>
      </c>
      <c r="AE7" s="15">
        <f>$P7*'Allocation %'!Y7</f>
        <v>0</v>
      </c>
      <c r="AF7" s="15">
        <f>$P7*'Allocation %'!Z7</f>
        <v>0</v>
      </c>
      <c r="AG7" s="15">
        <f>$P7*'Allocation %'!AA7</f>
        <v>0</v>
      </c>
      <c r="AH7" s="15">
        <f>$P7*'Allocation %'!AB7</f>
        <v>0</v>
      </c>
      <c r="AI7" s="15">
        <f>$P7*'Allocation %'!AC7</f>
        <v>0</v>
      </c>
      <c r="AJ7" s="15">
        <f>$P7*'Allocation %'!AD7</f>
        <v>0</v>
      </c>
      <c r="AK7" s="15">
        <f>$P7*'Allocation %'!AE7</f>
        <v>0</v>
      </c>
      <c r="AL7" s="15">
        <f>$P7*'Allocation %'!AF7</f>
        <v>0</v>
      </c>
      <c r="AM7" s="15">
        <f>$P7*'Allocation %'!AG7</f>
        <v>0</v>
      </c>
      <c r="AN7" s="15">
        <f>$P7*'Allocation %'!AH7</f>
        <v>0</v>
      </c>
      <c r="AO7" s="89">
        <f t="shared" si="2"/>
        <v>0</v>
      </c>
      <c r="AP7" s="19">
        <f t="shared" si="4"/>
        <v>0</v>
      </c>
    </row>
    <row r="8" spans="1:44" s="16" customFormat="1" ht="10.5" x14ac:dyDescent="0.25">
      <c r="A8" s="11">
        <f>Salary!A8</f>
        <v>5</v>
      </c>
      <c r="B8" s="17" t="str">
        <f>'Allocation %'!B8</f>
        <v>BRYANT, Roni</v>
      </c>
      <c r="C8" s="17">
        <v>5</v>
      </c>
      <c r="D8" s="17" t="str">
        <f>'Allocation %'!D8</f>
        <v>Abbott</v>
      </c>
      <c r="E8" s="17" t="str">
        <f>'Allocation %'!E8</f>
        <v>Teacher Asst</v>
      </c>
      <c r="F8" s="18">
        <v>1347.23</v>
      </c>
      <c r="G8" s="18">
        <f>F8*$G$3</f>
        <v>35027.980000000003</v>
      </c>
      <c r="H8" s="18"/>
      <c r="I8" s="18">
        <f t="shared" si="1"/>
        <v>35027.980000000003</v>
      </c>
      <c r="J8" s="18">
        <v>12.2</v>
      </c>
      <c r="K8" s="18">
        <v>12.2</v>
      </c>
      <c r="L8" s="18"/>
      <c r="M8" s="18"/>
      <c r="N8" s="18"/>
      <c r="O8" s="18"/>
      <c r="P8" s="18">
        <f t="shared" si="3"/>
        <v>24.4</v>
      </c>
      <c r="Q8" s="15">
        <f>$P8*'Allocation %'!J8</f>
        <v>24.4</v>
      </c>
      <c r="R8" s="15">
        <f>$P8*'Allocation %'!K8</f>
        <v>0</v>
      </c>
      <c r="S8" s="15">
        <f>$P8*'Allocation %'!M8</f>
        <v>0</v>
      </c>
      <c r="T8" s="15">
        <f>$P8*'Allocation %'!N8</f>
        <v>0</v>
      </c>
      <c r="U8" s="15">
        <f>$P8*'Allocation %'!O8</f>
        <v>0</v>
      </c>
      <c r="V8" s="15">
        <f>$P8*'Allocation %'!P8</f>
        <v>0</v>
      </c>
      <c r="W8" s="15">
        <f>$P8*'Allocation %'!Q8</f>
        <v>0</v>
      </c>
      <c r="X8" s="15">
        <f>$P8*'Allocation %'!R8</f>
        <v>0</v>
      </c>
      <c r="Y8" s="15">
        <f>$P8*'Allocation %'!S8</f>
        <v>0</v>
      </c>
      <c r="Z8" s="15">
        <f>$P8*'Allocation %'!T8</f>
        <v>0</v>
      </c>
      <c r="AA8" s="15">
        <f>$P8*'Allocation %'!U8</f>
        <v>0</v>
      </c>
      <c r="AB8" s="15">
        <f>$P8*'Allocation %'!V8</f>
        <v>0</v>
      </c>
      <c r="AC8" s="15">
        <f>$P8*'Allocation %'!W8</f>
        <v>0</v>
      </c>
      <c r="AD8" s="15">
        <f>$P8*'Allocation %'!X8</f>
        <v>0</v>
      </c>
      <c r="AE8" s="15">
        <f>$P8*'Allocation %'!Y8</f>
        <v>0</v>
      </c>
      <c r="AF8" s="15">
        <f>$P8*'Allocation %'!Z8</f>
        <v>0</v>
      </c>
      <c r="AG8" s="15">
        <f>$P8*'Allocation %'!AA8</f>
        <v>0</v>
      </c>
      <c r="AH8" s="15">
        <f>$P8*'Allocation %'!AB8</f>
        <v>0</v>
      </c>
      <c r="AI8" s="15">
        <f>$P8*'Allocation %'!AC8</f>
        <v>0</v>
      </c>
      <c r="AJ8" s="15">
        <f>$P8*'Allocation %'!AD8</f>
        <v>0</v>
      </c>
      <c r="AK8" s="15">
        <f>$P8*'Allocation %'!AE8</f>
        <v>0</v>
      </c>
      <c r="AL8" s="15">
        <f>$P8*'Allocation %'!AF8</f>
        <v>0</v>
      </c>
      <c r="AM8" s="15">
        <f>$P8*'Allocation %'!AG8</f>
        <v>0</v>
      </c>
      <c r="AN8" s="15">
        <f>$P8*'Allocation %'!AH8</f>
        <v>0</v>
      </c>
      <c r="AO8" s="89">
        <f t="shared" si="2"/>
        <v>24.4</v>
      </c>
      <c r="AP8" s="19">
        <f t="shared" si="4"/>
        <v>0</v>
      </c>
    </row>
    <row r="9" spans="1:44" s="16" customFormat="1" ht="10.5" x14ac:dyDescent="0.25">
      <c r="A9" s="11">
        <f>Salary!A9</f>
        <v>6</v>
      </c>
      <c r="B9" s="17" t="str">
        <f>'Allocation %'!B9</f>
        <v>CERNA, Irene</v>
      </c>
      <c r="C9" s="17">
        <v>6</v>
      </c>
      <c r="D9" s="17" t="str">
        <f>'Allocation %'!D9</f>
        <v>USJP</v>
      </c>
      <c r="E9" s="17">
        <f>'Allocation %'!E9</f>
        <v>0</v>
      </c>
      <c r="F9" s="18">
        <v>1153.8499999999999</v>
      </c>
      <c r="G9" s="18">
        <f t="shared" si="0"/>
        <v>30000.1</v>
      </c>
      <c r="H9" s="18"/>
      <c r="I9" s="18">
        <f t="shared" si="1"/>
        <v>30000.1</v>
      </c>
      <c r="J9" s="18">
        <v>47.82</v>
      </c>
      <c r="K9" s="18">
        <v>47.82</v>
      </c>
      <c r="L9" s="18"/>
      <c r="M9" s="18"/>
      <c r="N9" s="18"/>
      <c r="O9" s="18"/>
      <c r="P9" s="18">
        <f t="shared" si="3"/>
        <v>95.64</v>
      </c>
      <c r="Q9" s="15">
        <f>$P9*'Allocation %'!J9</f>
        <v>0</v>
      </c>
      <c r="R9" s="15">
        <f>$P9*'Allocation %'!K9</f>
        <v>0</v>
      </c>
      <c r="S9" s="15">
        <f>$P9*'Allocation %'!M9</f>
        <v>0</v>
      </c>
      <c r="T9" s="15">
        <f>$P9*'Allocation %'!N9</f>
        <v>95.64</v>
      </c>
      <c r="U9" s="15">
        <f>$P9*'Allocation %'!O9</f>
        <v>0</v>
      </c>
      <c r="V9" s="15">
        <f>$P9*'Allocation %'!P9</f>
        <v>0</v>
      </c>
      <c r="W9" s="15">
        <f>$P9*'Allocation %'!Q9</f>
        <v>0</v>
      </c>
      <c r="X9" s="15">
        <f>$P9*'Allocation %'!R9</f>
        <v>0</v>
      </c>
      <c r="Y9" s="15">
        <f>$P9*'Allocation %'!S9</f>
        <v>0</v>
      </c>
      <c r="Z9" s="15">
        <f>$P9*'Allocation %'!T9</f>
        <v>0</v>
      </c>
      <c r="AA9" s="15">
        <f>$P9*'Allocation %'!U9</f>
        <v>0</v>
      </c>
      <c r="AB9" s="15">
        <f>$P9*'Allocation %'!V9</f>
        <v>0</v>
      </c>
      <c r="AC9" s="15">
        <f>$P9*'Allocation %'!W9</f>
        <v>0</v>
      </c>
      <c r="AD9" s="15">
        <f>$P9*'Allocation %'!X9</f>
        <v>0</v>
      </c>
      <c r="AE9" s="15">
        <f>$P9*'Allocation %'!Y9</f>
        <v>0</v>
      </c>
      <c r="AF9" s="15">
        <f>$P9*'Allocation %'!Z9</f>
        <v>0</v>
      </c>
      <c r="AG9" s="15">
        <f>$P9*'Allocation %'!AA9</f>
        <v>0</v>
      </c>
      <c r="AH9" s="15">
        <f>$P9*'Allocation %'!AB9</f>
        <v>0</v>
      </c>
      <c r="AI9" s="15">
        <f>$P9*'Allocation %'!AC9</f>
        <v>0</v>
      </c>
      <c r="AJ9" s="15">
        <f>$P9*'Allocation %'!AD9</f>
        <v>0</v>
      </c>
      <c r="AK9" s="15">
        <f>$P9*'Allocation %'!AE9</f>
        <v>0</v>
      </c>
      <c r="AL9" s="15">
        <f>$P9*'Allocation %'!AF9</f>
        <v>0</v>
      </c>
      <c r="AM9" s="15">
        <f>$P9*'Allocation %'!AG9</f>
        <v>0</v>
      </c>
      <c r="AN9" s="15">
        <f>$P9*'Allocation %'!AH9</f>
        <v>0</v>
      </c>
      <c r="AO9" s="89">
        <f t="shared" si="2"/>
        <v>95.64</v>
      </c>
      <c r="AP9" s="19">
        <f t="shared" si="4"/>
        <v>0</v>
      </c>
    </row>
    <row r="10" spans="1:44" s="16" customFormat="1" ht="10.5" x14ac:dyDescent="0.25">
      <c r="A10" s="11">
        <f>Salary!A10</f>
        <v>7</v>
      </c>
      <c r="B10" s="17" t="str">
        <f>'Allocation %'!B10</f>
        <v>Cooper, Cassandra</v>
      </c>
      <c r="C10" s="17">
        <v>7</v>
      </c>
      <c r="D10" s="17" t="str">
        <f>'Allocation %'!D10</f>
        <v>FOC</v>
      </c>
      <c r="E10" s="17" t="str">
        <f>'Allocation %'!E10</f>
        <v>Clerical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5">
        <f>$P10*'Allocation %'!J10</f>
        <v>0</v>
      </c>
      <c r="R10" s="15">
        <f>$P10*'Allocation %'!K10</f>
        <v>0</v>
      </c>
      <c r="S10" s="15">
        <f>$P10*'Allocation %'!M10</f>
        <v>0</v>
      </c>
      <c r="T10" s="15">
        <f>$P10*'Allocation %'!N10</f>
        <v>0</v>
      </c>
      <c r="U10" s="15">
        <f>$P10*'Allocation %'!O10</f>
        <v>0</v>
      </c>
      <c r="V10" s="15">
        <f>$P10*'Allocation %'!P10</f>
        <v>0</v>
      </c>
      <c r="W10" s="15">
        <f>$P10*'Allocation %'!Q10</f>
        <v>0</v>
      </c>
      <c r="X10" s="15">
        <f>$P10*'Allocation %'!R10</f>
        <v>0</v>
      </c>
      <c r="Y10" s="15">
        <f>$P10*'Allocation %'!S10</f>
        <v>0</v>
      </c>
      <c r="Z10" s="15">
        <f>$P10*'Allocation %'!T10</f>
        <v>0</v>
      </c>
      <c r="AA10" s="15">
        <f>$P10*'Allocation %'!U10</f>
        <v>0</v>
      </c>
      <c r="AB10" s="15">
        <f>$P10*'Allocation %'!V10</f>
        <v>0</v>
      </c>
      <c r="AC10" s="15">
        <f>$P10*'Allocation %'!W10</f>
        <v>0</v>
      </c>
      <c r="AD10" s="15">
        <f>$P10*'Allocation %'!X10</f>
        <v>0</v>
      </c>
      <c r="AE10" s="15">
        <f>$P10*'Allocation %'!Y10</f>
        <v>0</v>
      </c>
      <c r="AF10" s="15">
        <f>$P10*'Allocation %'!Z10</f>
        <v>0</v>
      </c>
      <c r="AG10" s="15">
        <f>$P10*'Allocation %'!AA10</f>
        <v>0</v>
      </c>
      <c r="AH10" s="15">
        <f>$P10*'Allocation %'!AB10</f>
        <v>0</v>
      </c>
      <c r="AI10" s="15">
        <f>$P10*'Allocation %'!AC10</f>
        <v>0</v>
      </c>
      <c r="AJ10" s="15">
        <f>$P10*'Allocation %'!AD10</f>
        <v>0</v>
      </c>
      <c r="AK10" s="15">
        <f>$P10*'Allocation %'!AE10</f>
        <v>0</v>
      </c>
      <c r="AL10" s="15">
        <f>$P10*'Allocation %'!AF10</f>
        <v>0</v>
      </c>
      <c r="AM10" s="15">
        <f>$P10*'Allocation %'!AG10</f>
        <v>0</v>
      </c>
      <c r="AN10" s="15">
        <f>$P10*'Allocation %'!AH10</f>
        <v>0</v>
      </c>
      <c r="AO10" s="89">
        <f t="shared" si="2"/>
        <v>0</v>
      </c>
      <c r="AP10" s="19">
        <f t="shared" si="4"/>
        <v>0</v>
      </c>
    </row>
    <row r="11" spans="1:44" s="16" customFormat="1" ht="10.5" x14ac:dyDescent="0.25">
      <c r="A11" s="11">
        <f>Salary!A11</f>
        <v>8</v>
      </c>
      <c r="B11" s="17" t="str">
        <f>'Allocation %'!B11</f>
        <v>DANCE-WILSON, Heather</v>
      </c>
      <c r="C11" s="17">
        <v>8</v>
      </c>
      <c r="D11" s="17" t="str">
        <f>'Allocation %'!D11</f>
        <v>Abbott</v>
      </c>
      <c r="E11" s="17" t="str">
        <f>'Allocation %'!E11</f>
        <v>Director</v>
      </c>
      <c r="F11" s="22">
        <v>2692.31</v>
      </c>
      <c r="G11" s="20">
        <f t="shared" si="0"/>
        <v>70000.06</v>
      </c>
      <c r="H11" s="18"/>
      <c r="I11" s="18">
        <f>SUM(G11:H11)</f>
        <v>70000.06</v>
      </c>
      <c r="J11" s="18">
        <v>111.05</v>
      </c>
      <c r="K11" s="18">
        <v>111.05</v>
      </c>
      <c r="L11" s="18"/>
      <c r="M11" s="18"/>
      <c r="N11" s="18"/>
      <c r="O11" s="18"/>
      <c r="P11" s="18">
        <f t="shared" si="3"/>
        <v>222.1</v>
      </c>
      <c r="Q11" s="15">
        <f>$P11*'Allocation %'!J11</f>
        <v>159.91199999999998</v>
      </c>
      <c r="R11" s="15">
        <f>$P11*'Allocation %'!K11</f>
        <v>62.188000000000002</v>
      </c>
      <c r="S11" s="15">
        <f>$P11*'Allocation %'!M11</f>
        <v>0</v>
      </c>
      <c r="T11" s="15">
        <f>$P11*'Allocation %'!N11</f>
        <v>0</v>
      </c>
      <c r="U11" s="15">
        <f>$P11*'Allocation %'!O11</f>
        <v>0</v>
      </c>
      <c r="V11" s="15">
        <f>$P11*'Allocation %'!P11</f>
        <v>0</v>
      </c>
      <c r="W11" s="15">
        <f>$P11*'Allocation %'!Q11</f>
        <v>0</v>
      </c>
      <c r="X11" s="15">
        <f>$P11*'Allocation %'!R11</f>
        <v>0</v>
      </c>
      <c r="Y11" s="15">
        <f>$P11*'Allocation %'!S11</f>
        <v>0</v>
      </c>
      <c r="Z11" s="15">
        <f>$P11*'Allocation %'!T11</f>
        <v>0</v>
      </c>
      <c r="AA11" s="15">
        <f>$P11*'Allocation %'!U11</f>
        <v>0</v>
      </c>
      <c r="AB11" s="15">
        <f>$P11*'Allocation %'!V11</f>
        <v>0</v>
      </c>
      <c r="AC11" s="15">
        <f>$P11*'Allocation %'!W11</f>
        <v>0</v>
      </c>
      <c r="AD11" s="15">
        <f>$P11*'Allocation %'!X11</f>
        <v>0</v>
      </c>
      <c r="AE11" s="15">
        <f>$P11*'Allocation %'!Y11</f>
        <v>0</v>
      </c>
      <c r="AF11" s="15">
        <f>$P11*'Allocation %'!Z11</f>
        <v>0</v>
      </c>
      <c r="AG11" s="15">
        <f>$P11*'Allocation %'!AA11</f>
        <v>0</v>
      </c>
      <c r="AH11" s="15">
        <f>$P11*'Allocation %'!AB11</f>
        <v>0</v>
      </c>
      <c r="AI11" s="15">
        <f>$P11*'Allocation %'!AC11</f>
        <v>0</v>
      </c>
      <c r="AJ11" s="15">
        <f>$P11*'Allocation %'!AD11</f>
        <v>0</v>
      </c>
      <c r="AK11" s="15">
        <f>$P11*'Allocation %'!AE11</f>
        <v>0</v>
      </c>
      <c r="AL11" s="15">
        <f>$P11*'Allocation %'!AF11</f>
        <v>0</v>
      </c>
      <c r="AM11" s="15">
        <f>$P11*'Allocation %'!AG11</f>
        <v>0</v>
      </c>
      <c r="AN11" s="15">
        <f>$P11*'Allocation %'!AH11</f>
        <v>0</v>
      </c>
      <c r="AO11" s="89">
        <f t="shared" si="2"/>
        <v>222.09999999999997</v>
      </c>
      <c r="AP11" s="19">
        <f t="shared" si="4"/>
        <v>0</v>
      </c>
    </row>
    <row r="12" spans="1:44" s="16" customFormat="1" ht="10.5" x14ac:dyDescent="0.25">
      <c r="A12" s="11">
        <f>Salary!A12</f>
        <v>9</v>
      </c>
      <c r="B12" s="17" t="str">
        <f>'Allocation %'!B12</f>
        <v>FITZPATRICK, Cynthia E.  - Toddlers</v>
      </c>
      <c r="C12" s="17">
        <v>9</v>
      </c>
      <c r="D12" s="17" t="str">
        <f>'Allocation %'!D12</f>
        <v>EHS/ Toddlers</v>
      </c>
      <c r="E12" s="17">
        <f>'Allocation %'!E12</f>
        <v>0</v>
      </c>
      <c r="F12" s="18">
        <v>969.96</v>
      </c>
      <c r="G12" s="20">
        <f t="shared" si="0"/>
        <v>25218.959999999999</v>
      </c>
      <c r="H12" s="18"/>
      <c r="I12" s="18">
        <f>SUM(G12:H12)</f>
        <v>25218.959999999999</v>
      </c>
      <c r="J12" s="18">
        <v>62.19</v>
      </c>
      <c r="K12" s="18">
        <v>62.19</v>
      </c>
      <c r="L12" s="18"/>
      <c r="M12" s="18"/>
      <c r="N12" s="18"/>
      <c r="O12" s="18"/>
      <c r="P12" s="18">
        <f t="shared" si="3"/>
        <v>124.38</v>
      </c>
      <c r="Q12" s="15">
        <f>$P12*'Allocation %'!J12</f>
        <v>0</v>
      </c>
      <c r="R12" s="15">
        <f>$P12*'Allocation %'!K12</f>
        <v>0</v>
      </c>
      <c r="S12" s="15">
        <f>$P12*'Allocation %'!M12</f>
        <v>124.38</v>
      </c>
      <c r="T12" s="15">
        <f>$P12*'Allocation %'!N12</f>
        <v>0</v>
      </c>
      <c r="U12" s="15">
        <f>$P12*'Allocation %'!O12</f>
        <v>0</v>
      </c>
      <c r="V12" s="15">
        <f>$P12*'Allocation %'!P12</f>
        <v>0</v>
      </c>
      <c r="W12" s="15">
        <f>$P12*'Allocation %'!Q12</f>
        <v>0</v>
      </c>
      <c r="X12" s="15">
        <f>$P12*'Allocation %'!R12</f>
        <v>0</v>
      </c>
      <c r="Y12" s="15">
        <f>$P12*'Allocation %'!S12</f>
        <v>0</v>
      </c>
      <c r="Z12" s="15">
        <f>$P12*'Allocation %'!T12</f>
        <v>0</v>
      </c>
      <c r="AA12" s="15">
        <f>$P12*'Allocation %'!U12</f>
        <v>0</v>
      </c>
      <c r="AB12" s="15">
        <f>$P12*'Allocation %'!V12</f>
        <v>0</v>
      </c>
      <c r="AC12" s="15">
        <f>$P12*'Allocation %'!W12</f>
        <v>0</v>
      </c>
      <c r="AD12" s="15">
        <f>$P12*'Allocation %'!X12</f>
        <v>0</v>
      </c>
      <c r="AE12" s="15">
        <f>$P12*'Allocation %'!Y12</f>
        <v>0</v>
      </c>
      <c r="AF12" s="15">
        <f>$P12*'Allocation %'!Z12</f>
        <v>0</v>
      </c>
      <c r="AG12" s="15">
        <f>$P12*'Allocation %'!AA12</f>
        <v>0</v>
      </c>
      <c r="AH12" s="15">
        <f>$P12*'Allocation %'!AB12</f>
        <v>0</v>
      </c>
      <c r="AI12" s="15">
        <f>$P12*'Allocation %'!AC12</f>
        <v>0</v>
      </c>
      <c r="AJ12" s="15">
        <f>$P12*'Allocation %'!AD12</f>
        <v>0</v>
      </c>
      <c r="AK12" s="15">
        <f>$P12*'Allocation %'!AE12</f>
        <v>0</v>
      </c>
      <c r="AL12" s="15">
        <f>$P12*'Allocation %'!AF12</f>
        <v>0</v>
      </c>
      <c r="AM12" s="15">
        <f>$P12*'Allocation %'!AG12</f>
        <v>0</v>
      </c>
      <c r="AN12" s="15">
        <f>$P12*'Allocation %'!AH12</f>
        <v>0</v>
      </c>
      <c r="AO12" s="89">
        <f t="shared" si="2"/>
        <v>124.38</v>
      </c>
      <c r="AP12" s="19">
        <f t="shared" si="4"/>
        <v>0</v>
      </c>
    </row>
    <row r="13" spans="1:44" s="16" customFormat="1" ht="10.5" x14ac:dyDescent="0.25">
      <c r="A13" s="11">
        <f>Salary!A13</f>
        <v>10</v>
      </c>
      <c r="B13" s="17" t="str">
        <f>'Allocation %'!B13</f>
        <v>FRASER, Vivian Cox</v>
      </c>
      <c r="C13" s="17">
        <v>10</v>
      </c>
      <c r="D13" s="17" t="str">
        <f>'Allocation %'!D13</f>
        <v>Admin</v>
      </c>
      <c r="E13" s="17">
        <f>'Allocation %'!E13</f>
        <v>0</v>
      </c>
      <c r="F13" s="18">
        <v>5961.54</v>
      </c>
      <c r="G13" s="18">
        <f t="shared" si="0"/>
        <v>155000.04</v>
      </c>
      <c r="H13" s="18"/>
      <c r="I13" s="18">
        <f>SUM(G13:H13)</f>
        <v>155000.04</v>
      </c>
      <c r="J13" s="18">
        <v>129.27000000000001</v>
      </c>
      <c r="K13" s="18">
        <v>129.27000000000001</v>
      </c>
      <c r="L13" s="18"/>
      <c r="M13" s="18"/>
      <c r="N13" s="18"/>
      <c r="O13" s="18"/>
      <c r="P13" s="18">
        <f t="shared" si="3"/>
        <v>258.54000000000002</v>
      </c>
      <c r="Q13" s="15">
        <f>$P13*'Allocation %'!J13</f>
        <v>0</v>
      </c>
      <c r="R13" s="15">
        <f>$P13*'Allocation %'!K13</f>
        <v>0</v>
      </c>
      <c r="S13" s="15">
        <f>$P13*'Allocation %'!M13</f>
        <v>0</v>
      </c>
      <c r="T13" s="15">
        <f>$P13*'Allocation %'!N13</f>
        <v>0</v>
      </c>
      <c r="U13" s="15">
        <f>$P13*'Allocation %'!O13</f>
        <v>0</v>
      </c>
      <c r="V13" s="15">
        <f>$P13*'Allocation %'!P13</f>
        <v>0</v>
      </c>
      <c r="W13" s="15">
        <f>$P13*'Allocation %'!Q13</f>
        <v>0</v>
      </c>
      <c r="X13" s="15">
        <f>$P13*'Allocation %'!R13</f>
        <v>0</v>
      </c>
      <c r="Y13" s="15">
        <f>$P13*'Allocation %'!S13</f>
        <v>0</v>
      </c>
      <c r="Z13" s="15">
        <f>$P13*'Allocation %'!T13</f>
        <v>0</v>
      </c>
      <c r="AA13" s="15">
        <f>$P13*'Allocation %'!U13</f>
        <v>0</v>
      </c>
      <c r="AB13" s="15">
        <f>$P13*'Allocation %'!V13</f>
        <v>0</v>
      </c>
      <c r="AC13" s="15">
        <f>$P13*'Allocation %'!W13</f>
        <v>0</v>
      </c>
      <c r="AD13" s="15">
        <f>$P13*'Allocation %'!X13</f>
        <v>0</v>
      </c>
      <c r="AE13" s="15">
        <f>$P13*'Allocation %'!Y13</f>
        <v>0</v>
      </c>
      <c r="AF13" s="15">
        <f>$P13*'Allocation %'!Z13</f>
        <v>0</v>
      </c>
      <c r="AG13" s="15">
        <f>$P13*'Allocation %'!AA13</f>
        <v>0</v>
      </c>
      <c r="AH13" s="15">
        <f>$P13*'Allocation %'!AB13</f>
        <v>0</v>
      </c>
      <c r="AI13" s="15">
        <f>$P13*'Allocation %'!AC13</f>
        <v>0</v>
      </c>
      <c r="AJ13" s="15">
        <f>$P13*'Allocation %'!AD13</f>
        <v>232.68600000000004</v>
      </c>
      <c r="AK13" s="15">
        <f>$P13*'Allocation %'!AE13</f>
        <v>0</v>
      </c>
      <c r="AL13" s="15">
        <f>$P13*'Allocation %'!AF13</f>
        <v>25.854000000000003</v>
      </c>
      <c r="AM13" s="15">
        <f>$P13*'Allocation %'!AG13</f>
        <v>0</v>
      </c>
      <c r="AN13" s="15">
        <f>$P13*'Allocation %'!AH13</f>
        <v>0</v>
      </c>
      <c r="AO13" s="89">
        <f t="shared" si="2"/>
        <v>258.54000000000002</v>
      </c>
      <c r="AP13" s="19">
        <f t="shared" si="4"/>
        <v>0</v>
      </c>
    </row>
    <row r="14" spans="1:44" s="16" customFormat="1" ht="10.5" x14ac:dyDescent="0.25">
      <c r="A14" s="11">
        <f>Salary!A14</f>
        <v>11</v>
      </c>
      <c r="B14" s="17" t="str">
        <f>'Allocation %'!B14</f>
        <v xml:space="preserve">FRAZIER, Alice </v>
      </c>
      <c r="C14" s="17">
        <v>11</v>
      </c>
      <c r="D14" s="17" t="str">
        <f>'Allocation %'!D14</f>
        <v>Workforce</v>
      </c>
      <c r="E14" s="17">
        <f>'Allocation %'!E14</f>
        <v>0</v>
      </c>
      <c r="F14" s="18">
        <v>3153.85</v>
      </c>
      <c r="G14" s="18">
        <f t="shared" si="0"/>
        <v>82000.099999999991</v>
      </c>
      <c r="H14" s="18"/>
      <c r="I14" s="18">
        <f t="shared" ref="I14:I16" si="5">SUM(G14:H14)</f>
        <v>82000.099999999991</v>
      </c>
      <c r="J14" s="18">
        <v>12.2</v>
      </c>
      <c r="K14" s="18">
        <v>12.2</v>
      </c>
      <c r="L14" s="18"/>
      <c r="M14" s="18"/>
      <c r="N14" s="18"/>
      <c r="O14" s="18"/>
      <c r="P14" s="18">
        <f t="shared" si="3"/>
        <v>24.4</v>
      </c>
      <c r="Q14" s="15">
        <f>$P14*'Allocation %'!J14</f>
        <v>0</v>
      </c>
      <c r="R14" s="15">
        <f>$P14*'Allocation %'!K14</f>
        <v>0</v>
      </c>
      <c r="S14" s="15">
        <f>$P14*'Allocation %'!M14</f>
        <v>0</v>
      </c>
      <c r="T14" s="15">
        <f>$P14*'Allocation %'!N14</f>
        <v>0</v>
      </c>
      <c r="U14" s="15">
        <f>$P14*'Allocation %'!O14</f>
        <v>8.0519999999999996</v>
      </c>
      <c r="V14" s="15">
        <f>$P14*'Allocation %'!P14</f>
        <v>16.347999999999999</v>
      </c>
      <c r="W14" s="15">
        <f>$P14*'Allocation %'!Q14</f>
        <v>0</v>
      </c>
      <c r="X14" s="15">
        <f>$P14*'Allocation %'!R14</f>
        <v>0</v>
      </c>
      <c r="Y14" s="15">
        <f>$P14*'Allocation %'!S14</f>
        <v>0</v>
      </c>
      <c r="Z14" s="15">
        <f>$P14*'Allocation %'!T14</f>
        <v>0</v>
      </c>
      <c r="AA14" s="15">
        <f>$P14*'Allocation %'!U14</f>
        <v>0</v>
      </c>
      <c r="AB14" s="15">
        <f>$P14*'Allocation %'!V14</f>
        <v>0</v>
      </c>
      <c r="AC14" s="15">
        <f>$P14*'Allocation %'!W14</f>
        <v>0</v>
      </c>
      <c r="AD14" s="15">
        <f>$P14*'Allocation %'!X14</f>
        <v>0</v>
      </c>
      <c r="AE14" s="15">
        <f>$P14*'Allocation %'!Y14</f>
        <v>0</v>
      </c>
      <c r="AF14" s="15">
        <f>$P14*'Allocation %'!Z14</f>
        <v>0</v>
      </c>
      <c r="AG14" s="15">
        <f>$P14*'Allocation %'!AA14</f>
        <v>0</v>
      </c>
      <c r="AH14" s="15">
        <f>$P14*'Allocation %'!AB14</f>
        <v>0</v>
      </c>
      <c r="AI14" s="15">
        <f>$P14*'Allocation %'!AC14</f>
        <v>0</v>
      </c>
      <c r="AJ14" s="15">
        <f>$P14*'Allocation %'!AD14</f>
        <v>0</v>
      </c>
      <c r="AK14" s="15">
        <f>$P14*'Allocation %'!AE14</f>
        <v>0</v>
      </c>
      <c r="AL14" s="15">
        <f>$P14*'Allocation %'!AF14</f>
        <v>0</v>
      </c>
      <c r="AM14" s="15">
        <f>$P14*'Allocation %'!AG14</f>
        <v>0</v>
      </c>
      <c r="AN14" s="15">
        <f>$P14*'Allocation %'!AH14</f>
        <v>0</v>
      </c>
      <c r="AO14" s="89">
        <f t="shared" si="2"/>
        <v>24.4</v>
      </c>
      <c r="AP14" s="19">
        <f t="shared" si="4"/>
        <v>0</v>
      </c>
    </row>
    <row r="15" spans="1:44" s="16" customFormat="1" ht="10.5" x14ac:dyDescent="0.25">
      <c r="A15" s="11">
        <f>Salary!A15</f>
        <v>12</v>
      </c>
      <c r="B15" s="17" t="str">
        <f>'Allocation %'!B15</f>
        <v xml:space="preserve">GREEN, Yolanda - </v>
      </c>
      <c r="C15" s="17">
        <v>12</v>
      </c>
      <c r="D15" s="17" t="str">
        <f>'Allocation %'!D15</f>
        <v>EHS/ Toddlers</v>
      </c>
      <c r="E15" s="17">
        <f>'Allocation %'!E15</f>
        <v>0</v>
      </c>
      <c r="F15" s="18">
        <v>1278.8800000000001</v>
      </c>
      <c r="G15" s="20">
        <f t="shared" si="0"/>
        <v>33250.880000000005</v>
      </c>
      <c r="H15" s="18"/>
      <c r="I15" s="18">
        <f t="shared" si="5"/>
        <v>33250.880000000005</v>
      </c>
      <c r="J15" s="18">
        <v>59.94</v>
      </c>
      <c r="K15" s="18">
        <v>59.94</v>
      </c>
      <c r="L15" s="18"/>
      <c r="M15" s="18"/>
      <c r="N15" s="18"/>
      <c r="O15" s="18"/>
      <c r="P15" s="18">
        <f t="shared" si="3"/>
        <v>119.88</v>
      </c>
      <c r="Q15" s="15">
        <f>$P15*'Allocation %'!J15</f>
        <v>0</v>
      </c>
      <c r="R15" s="15">
        <f>$P15*'Allocation %'!K15</f>
        <v>0</v>
      </c>
      <c r="S15" s="15">
        <f>$P15*'Allocation %'!M15</f>
        <v>119.88</v>
      </c>
      <c r="T15" s="15">
        <f>$P15*'Allocation %'!N15</f>
        <v>0</v>
      </c>
      <c r="U15" s="15">
        <f>$P15*'Allocation %'!O15</f>
        <v>0</v>
      </c>
      <c r="V15" s="15">
        <f>$P15*'Allocation %'!P15</f>
        <v>0</v>
      </c>
      <c r="W15" s="15">
        <f>$P15*'Allocation %'!Q15</f>
        <v>0</v>
      </c>
      <c r="X15" s="15">
        <f>$P15*'Allocation %'!R15</f>
        <v>0</v>
      </c>
      <c r="Y15" s="15">
        <f>$P15*'Allocation %'!S15</f>
        <v>0</v>
      </c>
      <c r="Z15" s="15">
        <f>$P15*'Allocation %'!T15</f>
        <v>0</v>
      </c>
      <c r="AA15" s="15">
        <f>$P15*'Allocation %'!U15</f>
        <v>0</v>
      </c>
      <c r="AB15" s="15">
        <f>$P15*'Allocation %'!V15</f>
        <v>0</v>
      </c>
      <c r="AC15" s="15">
        <f>$P15*'Allocation %'!W15</f>
        <v>0</v>
      </c>
      <c r="AD15" s="15">
        <f>$P15*'Allocation %'!X15</f>
        <v>0</v>
      </c>
      <c r="AE15" s="15">
        <f>$P15*'Allocation %'!Y15</f>
        <v>0</v>
      </c>
      <c r="AF15" s="15">
        <f>$P15*'Allocation %'!Z15</f>
        <v>0</v>
      </c>
      <c r="AG15" s="15">
        <f>$P15*'Allocation %'!AA15</f>
        <v>0</v>
      </c>
      <c r="AH15" s="15">
        <f>$P15*'Allocation %'!AB15</f>
        <v>0</v>
      </c>
      <c r="AI15" s="15">
        <f>$P15*'Allocation %'!AC15</f>
        <v>0</v>
      </c>
      <c r="AJ15" s="15">
        <f>$P15*'Allocation %'!AD15</f>
        <v>0</v>
      </c>
      <c r="AK15" s="15">
        <f>$P15*'Allocation %'!AE15</f>
        <v>0</v>
      </c>
      <c r="AL15" s="15">
        <f>$P15*'Allocation %'!AF15</f>
        <v>0</v>
      </c>
      <c r="AM15" s="15">
        <f>$P15*'Allocation %'!AG15</f>
        <v>0</v>
      </c>
      <c r="AN15" s="15">
        <f>$P15*'Allocation %'!AH15</f>
        <v>0</v>
      </c>
      <c r="AO15" s="89">
        <f t="shared" si="2"/>
        <v>119.88</v>
      </c>
      <c r="AP15" s="19">
        <f t="shared" si="4"/>
        <v>0</v>
      </c>
    </row>
    <row r="16" spans="1:44" s="16" customFormat="1" ht="10.5" x14ac:dyDescent="0.25">
      <c r="A16" s="11">
        <f>Salary!A16</f>
        <v>13</v>
      </c>
      <c r="B16" s="17" t="str">
        <f>'Allocation %'!B16</f>
        <v>Guerra, Karime</v>
      </c>
      <c r="C16" s="17">
        <v>13</v>
      </c>
      <c r="D16" s="17" t="str">
        <f>'Allocation %'!D16</f>
        <v>Housing</v>
      </c>
      <c r="E16" s="17">
        <f>'Allocation %'!E16</f>
        <v>0</v>
      </c>
      <c r="F16" s="18">
        <v>1788.47</v>
      </c>
      <c r="G16" s="18">
        <f t="shared" si="0"/>
        <v>46500.22</v>
      </c>
      <c r="H16" s="18"/>
      <c r="I16" s="18">
        <f t="shared" si="5"/>
        <v>46500.22</v>
      </c>
      <c r="J16" s="18"/>
      <c r="K16" s="18"/>
      <c r="L16" s="18"/>
      <c r="M16" s="18"/>
      <c r="N16" s="18"/>
      <c r="O16" s="18"/>
      <c r="P16" s="18">
        <f t="shared" si="3"/>
        <v>0</v>
      </c>
      <c r="Q16" s="15">
        <f>$P16*'Allocation %'!J16</f>
        <v>0</v>
      </c>
      <c r="R16" s="15">
        <f>$P16*'Allocation %'!K16</f>
        <v>0</v>
      </c>
      <c r="S16" s="15">
        <f>$P16*'Allocation %'!M16</f>
        <v>0</v>
      </c>
      <c r="T16" s="15">
        <f>$P16*'Allocation %'!N16</f>
        <v>0</v>
      </c>
      <c r="U16" s="15">
        <f>$P16*'Allocation %'!O16</f>
        <v>0</v>
      </c>
      <c r="V16" s="15">
        <f>$P16*'Allocation %'!P16</f>
        <v>0</v>
      </c>
      <c r="W16" s="15">
        <f>$P16*'Allocation %'!Q16</f>
        <v>0</v>
      </c>
      <c r="X16" s="15">
        <f>$P16*'Allocation %'!R16</f>
        <v>0</v>
      </c>
      <c r="Y16" s="15">
        <f>$P16*'Allocation %'!S16</f>
        <v>0</v>
      </c>
      <c r="Z16" s="15">
        <f>$P16*'Allocation %'!T16</f>
        <v>0</v>
      </c>
      <c r="AA16" s="15">
        <f>$P16*'Allocation %'!U16</f>
        <v>0</v>
      </c>
      <c r="AB16" s="15">
        <f>$P16*'Allocation %'!V16</f>
        <v>0</v>
      </c>
      <c r="AC16" s="15">
        <f>$P16*'Allocation %'!W16</f>
        <v>0</v>
      </c>
      <c r="AD16" s="15">
        <f>$P16*'Allocation %'!X16</f>
        <v>0</v>
      </c>
      <c r="AE16" s="15">
        <f>$P16*'Allocation %'!Y16</f>
        <v>0</v>
      </c>
      <c r="AF16" s="15">
        <f>$P16*'Allocation %'!Z16</f>
        <v>0</v>
      </c>
      <c r="AG16" s="15">
        <f>$P16*'Allocation %'!AA16</f>
        <v>0</v>
      </c>
      <c r="AH16" s="15">
        <f>$P16*'Allocation %'!AB16</f>
        <v>0</v>
      </c>
      <c r="AI16" s="15">
        <f>$P16*'Allocation %'!AC16</f>
        <v>0</v>
      </c>
      <c r="AJ16" s="15">
        <f>$P16*'Allocation %'!AD16</f>
        <v>0</v>
      </c>
      <c r="AK16" s="15">
        <f>$P16*'Allocation %'!AE16</f>
        <v>0</v>
      </c>
      <c r="AL16" s="15">
        <f>$P16*'Allocation %'!AF16</f>
        <v>0</v>
      </c>
      <c r="AM16" s="15">
        <f>$P16*'Allocation %'!AG16</f>
        <v>0</v>
      </c>
      <c r="AN16" s="15">
        <f>$P16*'Allocation %'!AH16</f>
        <v>0</v>
      </c>
      <c r="AO16" s="89">
        <f t="shared" si="2"/>
        <v>0</v>
      </c>
      <c r="AP16" s="19">
        <f t="shared" si="4"/>
        <v>0</v>
      </c>
    </row>
    <row r="17" spans="1:42" s="16" customFormat="1" ht="10.5" x14ac:dyDescent="0.25">
      <c r="A17" s="11">
        <f>Salary!A17</f>
        <v>14</v>
      </c>
      <c r="B17" s="17" t="str">
        <f>'Allocation %'!B17</f>
        <v xml:space="preserve">HIGGINS, Rosa M. </v>
      </c>
      <c r="C17" s="17">
        <v>14</v>
      </c>
      <c r="D17" s="17" t="str">
        <f>'Allocation %'!D17</f>
        <v>FOC</v>
      </c>
      <c r="E17" s="17">
        <f>'Allocation %'!E17</f>
        <v>0</v>
      </c>
      <c r="F17" s="22">
        <v>1538.46</v>
      </c>
      <c r="G17" s="22">
        <f t="shared" si="0"/>
        <v>39999.96</v>
      </c>
      <c r="H17" s="18"/>
      <c r="I17" s="22">
        <f>SUM(G17:H17)</f>
        <v>39999.96</v>
      </c>
      <c r="J17" s="18">
        <v>7.93</v>
      </c>
      <c r="K17" s="18">
        <v>7.93</v>
      </c>
      <c r="L17" s="22"/>
      <c r="M17" s="22"/>
      <c r="N17" s="22"/>
      <c r="O17" s="22"/>
      <c r="P17" s="18">
        <f t="shared" si="3"/>
        <v>15.86</v>
      </c>
      <c r="Q17" s="15">
        <f>$P17*'Allocation %'!J17</f>
        <v>0</v>
      </c>
      <c r="R17" s="15">
        <f>$P17*'Allocation %'!K17</f>
        <v>0</v>
      </c>
      <c r="S17" s="15">
        <f>$P17*'Allocation %'!M17</f>
        <v>0</v>
      </c>
      <c r="T17" s="15">
        <f>$P17*'Allocation %'!N17</f>
        <v>0</v>
      </c>
      <c r="U17" s="15">
        <f>$P17*'Allocation %'!O17</f>
        <v>0</v>
      </c>
      <c r="V17" s="15">
        <f>$P17*'Allocation %'!P17</f>
        <v>0</v>
      </c>
      <c r="W17" s="15">
        <f>$P17*'Allocation %'!Q17</f>
        <v>0</v>
      </c>
      <c r="X17" s="15">
        <f>$P17*'Allocation %'!R17</f>
        <v>0</v>
      </c>
      <c r="Y17" s="15">
        <f>$P17*'Allocation %'!S17</f>
        <v>0</v>
      </c>
      <c r="Z17" s="15">
        <f>$P17*'Allocation %'!T17</f>
        <v>0</v>
      </c>
      <c r="AA17" s="15">
        <f>$P17*'Allocation %'!U17</f>
        <v>0</v>
      </c>
      <c r="AB17" s="15">
        <f>$P17*'Allocation %'!V17</f>
        <v>0</v>
      </c>
      <c r="AC17" s="15">
        <f>$P17*'Allocation %'!W17</f>
        <v>1.5860000000000001</v>
      </c>
      <c r="AD17" s="15">
        <f>$P17*'Allocation %'!X17</f>
        <v>7.1369999999999996</v>
      </c>
      <c r="AE17" s="15">
        <f>$P17*'Allocation %'!Y17</f>
        <v>2.8548</v>
      </c>
      <c r="AF17" s="15">
        <f>$P17*'Allocation %'!Z17</f>
        <v>4.2822000000000005</v>
      </c>
      <c r="AG17" s="15">
        <f>$P17*'Allocation %'!AA17</f>
        <v>0</v>
      </c>
      <c r="AH17" s="15">
        <f>$P17*'Allocation %'!AB17</f>
        <v>0</v>
      </c>
      <c r="AI17" s="15">
        <f>$P17*'Allocation %'!AC17</f>
        <v>0</v>
      </c>
      <c r="AJ17" s="15">
        <f>$P17*'Allocation %'!AD17</f>
        <v>0</v>
      </c>
      <c r="AK17" s="15">
        <f>$P17*'Allocation %'!AE17</f>
        <v>0</v>
      </c>
      <c r="AL17" s="15">
        <f>$P17*'Allocation %'!AF17</f>
        <v>0</v>
      </c>
      <c r="AM17" s="15">
        <f>$P17*'Allocation %'!AG17</f>
        <v>0</v>
      </c>
      <c r="AN17" s="15">
        <f>$P17*'Allocation %'!AH17</f>
        <v>0</v>
      </c>
      <c r="AO17" s="89">
        <f t="shared" si="2"/>
        <v>15.86</v>
      </c>
      <c r="AP17" s="19">
        <f t="shared" si="4"/>
        <v>0</v>
      </c>
    </row>
    <row r="18" spans="1:42" s="16" customFormat="1" ht="10.5" x14ac:dyDescent="0.25">
      <c r="A18" s="11">
        <f>Salary!A18</f>
        <v>15</v>
      </c>
      <c r="B18" s="17" t="str">
        <f>'Allocation %'!B18</f>
        <v>HOLLINS, QUINTELLA</v>
      </c>
      <c r="C18" s="17">
        <v>15</v>
      </c>
      <c r="D18" s="17" t="str">
        <f>'Allocation %'!D18</f>
        <v>Abbott</v>
      </c>
      <c r="E18" s="17" t="str">
        <f>'Allocation %'!E18</f>
        <v xml:space="preserve">Teacher   </v>
      </c>
      <c r="F18" s="22"/>
      <c r="G18" s="22"/>
      <c r="H18" s="18"/>
      <c r="I18" s="18">
        <f t="shared" ref="I18:I30" si="6">SUM(G19:H19)</f>
        <v>59951.320000000007</v>
      </c>
      <c r="J18" s="74">
        <v>61.57</v>
      </c>
      <c r="K18" s="74">
        <v>61.57</v>
      </c>
      <c r="L18" s="22"/>
      <c r="M18" s="22"/>
      <c r="N18" s="22"/>
      <c r="O18" s="22"/>
      <c r="P18" s="18">
        <f t="shared" si="3"/>
        <v>123.14</v>
      </c>
      <c r="Q18" s="15">
        <f>$P18*'Allocation %'!J18</f>
        <v>123.14</v>
      </c>
      <c r="R18" s="15">
        <f>$P18*'Allocation %'!K18</f>
        <v>0</v>
      </c>
      <c r="S18" s="15">
        <f>$P18*'Allocation %'!M18</f>
        <v>0</v>
      </c>
      <c r="T18" s="15">
        <f>$P18*'Allocation %'!N18</f>
        <v>0</v>
      </c>
      <c r="U18" s="15">
        <f>$P18*'Allocation %'!O18</f>
        <v>0</v>
      </c>
      <c r="V18" s="15">
        <f>$P18*'Allocation %'!P18</f>
        <v>0</v>
      </c>
      <c r="W18" s="15">
        <f>$P18*'Allocation %'!Q18</f>
        <v>0</v>
      </c>
      <c r="X18" s="15">
        <f>$P18*'Allocation %'!R18</f>
        <v>0</v>
      </c>
      <c r="Y18" s="15">
        <f>$P18*'Allocation %'!S18</f>
        <v>0</v>
      </c>
      <c r="Z18" s="15">
        <f>$P18*'Allocation %'!T18</f>
        <v>0</v>
      </c>
      <c r="AA18" s="15">
        <f>$P18*'Allocation %'!U18</f>
        <v>0</v>
      </c>
      <c r="AB18" s="15">
        <f>$P18*'Allocation %'!V18</f>
        <v>0</v>
      </c>
      <c r="AC18" s="15">
        <f>$P18*'Allocation %'!W18</f>
        <v>0</v>
      </c>
      <c r="AD18" s="15">
        <f>$P18*'Allocation %'!X18</f>
        <v>0</v>
      </c>
      <c r="AE18" s="15">
        <f>$P18*'Allocation %'!Y18</f>
        <v>0</v>
      </c>
      <c r="AF18" s="15">
        <f>$P18*'Allocation %'!Z18</f>
        <v>0</v>
      </c>
      <c r="AG18" s="15">
        <f>$P18*'Allocation %'!AA18</f>
        <v>0</v>
      </c>
      <c r="AH18" s="15">
        <f>$P18*'Allocation %'!AB18</f>
        <v>0</v>
      </c>
      <c r="AI18" s="15">
        <f>$P18*'Allocation %'!AC18</f>
        <v>0</v>
      </c>
      <c r="AJ18" s="15">
        <f>$P18*'Allocation %'!AD18</f>
        <v>0</v>
      </c>
      <c r="AK18" s="15">
        <f>$P18*'Allocation %'!AE18</f>
        <v>0</v>
      </c>
      <c r="AL18" s="15">
        <f>$P18*'Allocation %'!AF18</f>
        <v>0</v>
      </c>
      <c r="AM18" s="15">
        <f>$P18*'Allocation %'!AG18</f>
        <v>0</v>
      </c>
      <c r="AN18" s="15">
        <f>$P18*'Allocation %'!AH18</f>
        <v>0</v>
      </c>
      <c r="AO18" s="89">
        <f t="shared" si="2"/>
        <v>123.14</v>
      </c>
      <c r="AP18" s="19">
        <f t="shared" si="4"/>
        <v>0</v>
      </c>
    </row>
    <row r="19" spans="1:42" s="16" customFormat="1" ht="10.5" x14ac:dyDescent="0.25">
      <c r="A19" s="11">
        <f>Salary!A19</f>
        <v>16</v>
      </c>
      <c r="B19" s="17" t="str">
        <f>'Allocation %'!B19</f>
        <v>Howard, Theresa</v>
      </c>
      <c r="C19" s="17">
        <v>16</v>
      </c>
      <c r="D19" s="17" t="str">
        <f>'Allocation %'!D19</f>
        <v>United Airlines</v>
      </c>
      <c r="E19" s="17">
        <f>'Allocation %'!E19</f>
        <v>0</v>
      </c>
      <c r="F19" s="18">
        <v>2305.8200000000002</v>
      </c>
      <c r="G19" s="20">
        <f t="shared" si="0"/>
        <v>59951.320000000007</v>
      </c>
      <c r="H19" s="18"/>
      <c r="I19" s="18">
        <f t="shared" si="6"/>
        <v>55000.14</v>
      </c>
      <c r="J19" s="74">
        <v>76.55</v>
      </c>
      <c r="K19" s="74">
        <v>76.55</v>
      </c>
      <c r="L19" s="18"/>
      <c r="M19" s="18"/>
      <c r="N19" s="18"/>
      <c r="O19" s="18"/>
      <c r="P19" s="18">
        <f t="shared" si="3"/>
        <v>153.1</v>
      </c>
      <c r="Q19" s="15">
        <f>$P19*'Allocation %'!J19</f>
        <v>0</v>
      </c>
      <c r="R19" s="15">
        <f>$P19*'Allocation %'!K19</f>
        <v>0</v>
      </c>
      <c r="S19" s="15">
        <f>$P19*'Allocation %'!M19</f>
        <v>0</v>
      </c>
      <c r="T19" s="15">
        <f>$P19*'Allocation %'!N19</f>
        <v>0</v>
      </c>
      <c r="U19" s="15">
        <f>$P19*'Allocation %'!O19</f>
        <v>153.1</v>
      </c>
      <c r="V19" s="15">
        <f>$P19*'Allocation %'!P19</f>
        <v>0</v>
      </c>
      <c r="W19" s="15">
        <f>$P19*'Allocation %'!Q19</f>
        <v>0</v>
      </c>
      <c r="X19" s="15">
        <f>$P19*'Allocation %'!R19</f>
        <v>0</v>
      </c>
      <c r="Y19" s="15">
        <f>$P19*'Allocation %'!S19</f>
        <v>0</v>
      </c>
      <c r="Z19" s="15">
        <f>$P19*'Allocation %'!T19</f>
        <v>0</v>
      </c>
      <c r="AA19" s="15">
        <f>$P19*'Allocation %'!U19</f>
        <v>0</v>
      </c>
      <c r="AB19" s="15">
        <f>$P19*'Allocation %'!V19</f>
        <v>0</v>
      </c>
      <c r="AC19" s="15">
        <f>$P19*'Allocation %'!W19</f>
        <v>0</v>
      </c>
      <c r="AD19" s="15">
        <f>$P19*'Allocation %'!X19</f>
        <v>0</v>
      </c>
      <c r="AE19" s="15">
        <f>$P19*'Allocation %'!Y19</f>
        <v>0</v>
      </c>
      <c r="AF19" s="15">
        <f>$P19*'Allocation %'!Z19</f>
        <v>0</v>
      </c>
      <c r="AG19" s="15">
        <f>$P19*'Allocation %'!AA19</f>
        <v>0</v>
      </c>
      <c r="AH19" s="15">
        <f>$P19*'Allocation %'!AB19</f>
        <v>0</v>
      </c>
      <c r="AI19" s="15">
        <f>$P19*'Allocation %'!AC19</f>
        <v>0</v>
      </c>
      <c r="AJ19" s="15">
        <f>$P19*'Allocation %'!AD19</f>
        <v>0</v>
      </c>
      <c r="AK19" s="15">
        <f>$P19*'Allocation %'!AE19</f>
        <v>0</v>
      </c>
      <c r="AL19" s="15">
        <f>$P19*'Allocation %'!AF19</f>
        <v>0</v>
      </c>
      <c r="AM19" s="15">
        <f>$P19*'Allocation %'!AG19</f>
        <v>0</v>
      </c>
      <c r="AN19" s="15">
        <f>$P19*'Allocation %'!AH19</f>
        <v>0</v>
      </c>
      <c r="AO19" s="89">
        <f t="shared" si="2"/>
        <v>153.1</v>
      </c>
      <c r="AP19" s="19">
        <f t="shared" si="4"/>
        <v>0</v>
      </c>
    </row>
    <row r="20" spans="1:42" s="16" customFormat="1" ht="10.5" x14ac:dyDescent="0.25">
      <c r="A20" s="11">
        <f>Salary!A20</f>
        <v>17</v>
      </c>
      <c r="B20" s="17" t="str">
        <f>'Allocation %'!B20</f>
        <v>Johnson, Amanda</v>
      </c>
      <c r="C20" s="17">
        <v>17</v>
      </c>
      <c r="D20" s="17" t="str">
        <f>'Allocation %'!D20</f>
        <v>USJP</v>
      </c>
      <c r="E20" s="17">
        <f>'Allocation %'!E20</f>
        <v>0</v>
      </c>
      <c r="F20" s="18">
        <v>2115.39</v>
      </c>
      <c r="G20" s="18">
        <f>F20*$G$3</f>
        <v>55000.14</v>
      </c>
      <c r="H20" s="18"/>
      <c r="I20" s="18">
        <f t="shared" si="6"/>
        <v>18746</v>
      </c>
      <c r="J20" s="18">
        <v>79.44</v>
      </c>
      <c r="K20" s="18">
        <v>79.44</v>
      </c>
      <c r="L20" s="18"/>
      <c r="M20" s="18"/>
      <c r="N20" s="18"/>
      <c r="O20" s="18"/>
      <c r="P20" s="18">
        <f t="shared" si="3"/>
        <v>158.88</v>
      </c>
      <c r="Q20" s="15">
        <f>$P20*'Allocation %'!J20</f>
        <v>0</v>
      </c>
      <c r="R20" s="15">
        <f>$P20*'Allocation %'!K20</f>
        <v>0</v>
      </c>
      <c r="S20" s="15">
        <f>$P20*'Allocation %'!M20</f>
        <v>0</v>
      </c>
      <c r="T20" s="15">
        <f>$P20*'Allocation %'!N20</f>
        <v>158.88</v>
      </c>
      <c r="U20" s="15">
        <f>$P20*'Allocation %'!O20</f>
        <v>0</v>
      </c>
      <c r="V20" s="15">
        <f>$P20*'Allocation %'!P20</f>
        <v>0</v>
      </c>
      <c r="W20" s="15">
        <f>$P20*'Allocation %'!Q20</f>
        <v>0</v>
      </c>
      <c r="X20" s="15">
        <f>$P20*'Allocation %'!R20</f>
        <v>0</v>
      </c>
      <c r="Y20" s="15">
        <f>$P20*'Allocation %'!S20</f>
        <v>0</v>
      </c>
      <c r="Z20" s="15">
        <f>$P20*'Allocation %'!T20</f>
        <v>0</v>
      </c>
      <c r="AA20" s="15">
        <f>$P20*'Allocation %'!U20</f>
        <v>0</v>
      </c>
      <c r="AB20" s="15">
        <f>$P20*'Allocation %'!V20</f>
        <v>0</v>
      </c>
      <c r="AC20" s="15">
        <f>$P20*'Allocation %'!W20</f>
        <v>0</v>
      </c>
      <c r="AD20" s="15">
        <f>$P20*'Allocation %'!X20</f>
        <v>0</v>
      </c>
      <c r="AE20" s="15">
        <f>$P20*'Allocation %'!Y20</f>
        <v>0</v>
      </c>
      <c r="AF20" s="15">
        <f>$P20*'Allocation %'!Z20</f>
        <v>0</v>
      </c>
      <c r="AG20" s="15">
        <f>$P20*'Allocation %'!AA20</f>
        <v>0</v>
      </c>
      <c r="AH20" s="15">
        <f>$P20*'Allocation %'!AB20</f>
        <v>0</v>
      </c>
      <c r="AI20" s="15">
        <f>$P20*'Allocation %'!AC20</f>
        <v>0</v>
      </c>
      <c r="AJ20" s="15">
        <f>$P20*'Allocation %'!AD20</f>
        <v>0</v>
      </c>
      <c r="AK20" s="15">
        <f>$P20*'Allocation %'!AE20</f>
        <v>0</v>
      </c>
      <c r="AL20" s="15">
        <f>$P20*'Allocation %'!AF20</f>
        <v>0</v>
      </c>
      <c r="AM20" s="15">
        <f>$P20*'Allocation %'!AG20</f>
        <v>0</v>
      </c>
      <c r="AN20" s="15">
        <f>$P20*'Allocation %'!AH20</f>
        <v>0</v>
      </c>
      <c r="AO20" s="89">
        <f t="shared" si="2"/>
        <v>158.88</v>
      </c>
      <c r="AP20" s="19">
        <f t="shared" si="4"/>
        <v>0</v>
      </c>
    </row>
    <row r="21" spans="1:42" s="16" customFormat="1" ht="10.5" x14ac:dyDescent="0.25">
      <c r="A21" s="11">
        <f>Salary!A21</f>
        <v>18</v>
      </c>
      <c r="B21" s="17" t="str">
        <f>'Allocation %'!B21</f>
        <v>Leake, Rahmel</v>
      </c>
      <c r="C21" s="17">
        <v>18</v>
      </c>
      <c r="D21" s="17" t="str">
        <f>'Allocation %'!D21</f>
        <v>USJP</v>
      </c>
      <c r="E21" s="17">
        <f>'Allocation %'!E21</f>
        <v>0</v>
      </c>
      <c r="F21" s="18">
        <v>721</v>
      </c>
      <c r="G21" s="18">
        <f>F21*$G$3</f>
        <v>18746</v>
      </c>
      <c r="H21" s="18"/>
      <c r="I21" s="18">
        <f t="shared" si="6"/>
        <v>40000.22</v>
      </c>
      <c r="J21" s="18"/>
      <c r="K21" s="18"/>
      <c r="L21" s="18"/>
      <c r="M21" s="18"/>
      <c r="N21" s="18"/>
      <c r="O21" s="18"/>
      <c r="P21" s="18">
        <f t="shared" si="3"/>
        <v>0</v>
      </c>
      <c r="Q21" s="15">
        <f>$P21*'Allocation %'!J21</f>
        <v>0</v>
      </c>
      <c r="R21" s="15">
        <f>$P21*'Allocation %'!K21</f>
        <v>0</v>
      </c>
      <c r="S21" s="15">
        <f>$P21*'Allocation %'!M21</f>
        <v>0</v>
      </c>
      <c r="T21" s="15">
        <f>$P21*'Allocation %'!N21</f>
        <v>0</v>
      </c>
      <c r="U21" s="15">
        <f>$P21*'Allocation %'!O21</f>
        <v>0</v>
      </c>
      <c r="V21" s="15">
        <f>$P21*'Allocation %'!P21</f>
        <v>0</v>
      </c>
      <c r="W21" s="15">
        <f>$P21*'Allocation %'!Q21</f>
        <v>0</v>
      </c>
      <c r="X21" s="15">
        <f>$P21*'Allocation %'!R21</f>
        <v>0</v>
      </c>
      <c r="Y21" s="15">
        <f>$P21*'Allocation %'!S21</f>
        <v>0</v>
      </c>
      <c r="Z21" s="15">
        <f>$P21*'Allocation %'!T21</f>
        <v>0</v>
      </c>
      <c r="AA21" s="15">
        <f>$P21*'Allocation %'!U21</f>
        <v>0</v>
      </c>
      <c r="AB21" s="15">
        <f>$P21*'Allocation %'!V21</f>
        <v>0</v>
      </c>
      <c r="AC21" s="15">
        <f>$P21*'Allocation %'!W21</f>
        <v>0</v>
      </c>
      <c r="AD21" s="15">
        <f>$P21*'Allocation %'!X21</f>
        <v>0</v>
      </c>
      <c r="AE21" s="15">
        <f>$P21*'Allocation %'!Y21</f>
        <v>0</v>
      </c>
      <c r="AF21" s="15">
        <f>$P21*'Allocation %'!Z21</f>
        <v>0</v>
      </c>
      <c r="AG21" s="15">
        <f>$P21*'Allocation %'!AA21</f>
        <v>0</v>
      </c>
      <c r="AH21" s="15">
        <f>$P21*'Allocation %'!AB21</f>
        <v>0</v>
      </c>
      <c r="AI21" s="15">
        <f>$P21*'Allocation %'!AC21</f>
        <v>0</v>
      </c>
      <c r="AJ21" s="15">
        <f>$P21*'Allocation %'!AD21</f>
        <v>0</v>
      </c>
      <c r="AK21" s="15">
        <f>$P21*'Allocation %'!AE21</f>
        <v>0</v>
      </c>
      <c r="AL21" s="15">
        <f>$P21*'Allocation %'!AF21</f>
        <v>0</v>
      </c>
      <c r="AM21" s="15">
        <f>$P21*'Allocation %'!AG21</f>
        <v>0</v>
      </c>
      <c r="AN21" s="15">
        <f>$P21*'Allocation %'!AH21</f>
        <v>0</v>
      </c>
      <c r="AO21" s="89">
        <f t="shared" si="2"/>
        <v>0</v>
      </c>
      <c r="AP21" s="19">
        <f t="shared" si="4"/>
        <v>0</v>
      </c>
    </row>
    <row r="22" spans="1:42" s="16" customFormat="1" ht="10.5" x14ac:dyDescent="0.25">
      <c r="A22" s="11">
        <f>Salary!A22</f>
        <v>19</v>
      </c>
      <c r="B22" s="17" t="str">
        <f>'Allocation %'!B22</f>
        <v>Lindsey, Victoria - July</v>
      </c>
      <c r="C22" s="17">
        <v>19</v>
      </c>
      <c r="D22" s="17" t="str">
        <f>'Allocation %'!D22</f>
        <v>NRTC, Housing, PARS, ESG</v>
      </c>
      <c r="E22" s="17">
        <f>'Allocation %'!E22</f>
        <v>0</v>
      </c>
      <c r="F22" s="18">
        <v>1538.47</v>
      </c>
      <c r="G22" s="18">
        <f>F22*$G$3</f>
        <v>40000.22</v>
      </c>
      <c r="H22" s="18"/>
      <c r="I22" s="18">
        <f t="shared" si="6"/>
        <v>65000</v>
      </c>
      <c r="J22" s="18"/>
      <c r="K22" s="18"/>
      <c r="L22" s="18"/>
      <c r="M22" s="18"/>
      <c r="N22" s="18"/>
      <c r="O22" s="18"/>
      <c r="P22" s="18">
        <f t="shared" si="3"/>
        <v>0</v>
      </c>
      <c r="Q22" s="15">
        <f>$P22*'Allocation %'!J22</f>
        <v>0</v>
      </c>
      <c r="R22" s="15">
        <f>$P22*'Allocation %'!K22</f>
        <v>0</v>
      </c>
      <c r="S22" s="15">
        <f>$P22*'Allocation %'!M22</f>
        <v>0</v>
      </c>
      <c r="T22" s="15">
        <f>$P22*'Allocation %'!N22</f>
        <v>0</v>
      </c>
      <c r="U22" s="15">
        <f>$P22*'Allocation %'!O22</f>
        <v>0</v>
      </c>
      <c r="V22" s="15">
        <f>$P22*'Allocation %'!P22</f>
        <v>0</v>
      </c>
      <c r="W22" s="15">
        <f>$P22*'Allocation %'!Q22</f>
        <v>0</v>
      </c>
      <c r="X22" s="15">
        <f>$P22*'Allocation %'!R22</f>
        <v>0</v>
      </c>
      <c r="Y22" s="15">
        <f>$P22*'Allocation %'!S22</f>
        <v>0</v>
      </c>
      <c r="Z22" s="15">
        <f>$P22*'Allocation %'!T22</f>
        <v>0</v>
      </c>
      <c r="AA22" s="15">
        <f>$P22*'Allocation %'!U22</f>
        <v>0</v>
      </c>
      <c r="AB22" s="15">
        <f>$P22*'Allocation %'!V22</f>
        <v>0</v>
      </c>
      <c r="AC22" s="15">
        <f>$P22*'Allocation %'!W22</f>
        <v>0</v>
      </c>
      <c r="AD22" s="15">
        <f>$P22*'Allocation %'!X22</f>
        <v>0</v>
      </c>
      <c r="AE22" s="15">
        <f>$P22*'Allocation %'!Y22</f>
        <v>0</v>
      </c>
      <c r="AF22" s="15">
        <f>$P22*'Allocation %'!Z22</f>
        <v>0</v>
      </c>
      <c r="AG22" s="15">
        <f>$P22*'Allocation %'!AA22</f>
        <v>0</v>
      </c>
      <c r="AH22" s="15">
        <f>$P22*'Allocation %'!AB22</f>
        <v>0</v>
      </c>
      <c r="AI22" s="15">
        <f>$P22*'Allocation %'!AC22</f>
        <v>0</v>
      </c>
      <c r="AJ22" s="15">
        <f>$P22*'Allocation %'!AD22</f>
        <v>0</v>
      </c>
      <c r="AK22" s="15">
        <f>$P22*'Allocation %'!AE22</f>
        <v>0</v>
      </c>
      <c r="AL22" s="15">
        <f>$P22*'Allocation %'!AF22</f>
        <v>0</v>
      </c>
      <c r="AM22" s="15">
        <f>$P22*'Allocation %'!AG22</f>
        <v>0</v>
      </c>
      <c r="AN22" s="15">
        <f>$P22*'Allocation %'!AH22</f>
        <v>0</v>
      </c>
      <c r="AO22" s="89">
        <f t="shared" si="2"/>
        <v>0</v>
      </c>
      <c r="AP22" s="19">
        <f t="shared" si="4"/>
        <v>0</v>
      </c>
    </row>
    <row r="23" spans="1:42" s="16" customFormat="1" ht="10.5" x14ac:dyDescent="0.25">
      <c r="A23" s="11">
        <f>Salary!A23</f>
        <v>20</v>
      </c>
      <c r="B23" s="17" t="str">
        <f>'Allocation %'!B23</f>
        <v>LOFTIN, NIQUITA</v>
      </c>
      <c r="C23" s="17">
        <v>20</v>
      </c>
      <c r="D23" s="17" t="str">
        <f>'Allocation %'!D23</f>
        <v>Abbott</v>
      </c>
      <c r="E23" s="17" t="str">
        <f>'Allocation %'!E23</f>
        <v>Teacher Asst</v>
      </c>
      <c r="F23" s="18">
        <v>2500</v>
      </c>
      <c r="G23" s="18">
        <f t="shared" ref="G23:G24" si="7">F23*$G$3</f>
        <v>65000</v>
      </c>
      <c r="H23" s="18"/>
      <c r="I23" s="18">
        <f t="shared" si="6"/>
        <v>30576</v>
      </c>
      <c r="J23" s="18">
        <v>47.82</v>
      </c>
      <c r="K23" s="18">
        <v>47.82</v>
      </c>
      <c r="L23" s="18"/>
      <c r="M23" s="18"/>
      <c r="N23" s="18"/>
      <c r="O23" s="18"/>
      <c r="P23" s="18">
        <f t="shared" si="3"/>
        <v>95.64</v>
      </c>
      <c r="Q23" s="15">
        <f>$P23*'Allocation %'!J23</f>
        <v>95.64</v>
      </c>
      <c r="R23" s="15">
        <f>$P23*'Allocation %'!K23</f>
        <v>0</v>
      </c>
      <c r="S23" s="15">
        <f>$P23*'Allocation %'!M23</f>
        <v>0</v>
      </c>
      <c r="T23" s="15">
        <f>$P23*'Allocation %'!N23</f>
        <v>0</v>
      </c>
      <c r="U23" s="15">
        <f>$P23*'Allocation %'!O23</f>
        <v>0</v>
      </c>
      <c r="V23" s="15">
        <f>$P23*'Allocation %'!P23</f>
        <v>0</v>
      </c>
      <c r="W23" s="15">
        <f>$P23*'Allocation %'!Q23</f>
        <v>0</v>
      </c>
      <c r="X23" s="15">
        <f>$P23*'Allocation %'!R23</f>
        <v>0</v>
      </c>
      <c r="Y23" s="15">
        <f>$P23*'Allocation %'!S23</f>
        <v>0</v>
      </c>
      <c r="Z23" s="15">
        <f>$P23*'Allocation %'!T23</f>
        <v>0</v>
      </c>
      <c r="AA23" s="15">
        <f>$P23*'Allocation %'!U23</f>
        <v>0</v>
      </c>
      <c r="AB23" s="15">
        <f>$P23*'Allocation %'!V23</f>
        <v>0</v>
      </c>
      <c r="AC23" s="15">
        <f>$P23*'Allocation %'!W23</f>
        <v>0</v>
      </c>
      <c r="AD23" s="15">
        <f>$P23*'Allocation %'!X23</f>
        <v>0</v>
      </c>
      <c r="AE23" s="15">
        <f>$P23*'Allocation %'!Y23</f>
        <v>0</v>
      </c>
      <c r="AF23" s="15">
        <f>$P23*'Allocation %'!Z23</f>
        <v>0</v>
      </c>
      <c r="AG23" s="15">
        <f>$P23*'Allocation %'!AA23</f>
        <v>0</v>
      </c>
      <c r="AH23" s="15">
        <f>$P23*'Allocation %'!AB23</f>
        <v>0</v>
      </c>
      <c r="AI23" s="15">
        <f>$P23*'Allocation %'!AC23</f>
        <v>0</v>
      </c>
      <c r="AJ23" s="15">
        <f>$P23*'Allocation %'!AD23</f>
        <v>0</v>
      </c>
      <c r="AK23" s="15">
        <f>$P23*'Allocation %'!AE23</f>
        <v>0</v>
      </c>
      <c r="AL23" s="15">
        <f>$P23*'Allocation %'!AF23</f>
        <v>0</v>
      </c>
      <c r="AM23" s="15">
        <f>$P23*'Allocation %'!AG23</f>
        <v>0</v>
      </c>
      <c r="AN23" s="15">
        <f>$P23*'Allocation %'!AH23</f>
        <v>0</v>
      </c>
      <c r="AO23" s="89">
        <f t="shared" si="2"/>
        <v>95.64</v>
      </c>
      <c r="AP23" s="19">
        <f t="shared" si="4"/>
        <v>0</v>
      </c>
    </row>
    <row r="24" spans="1:42" s="16" customFormat="1" ht="10.5" x14ac:dyDescent="0.25">
      <c r="A24" s="11">
        <f>Salary!A24</f>
        <v>21</v>
      </c>
      <c r="B24" s="17" t="str">
        <f>'Allocation %'!B24</f>
        <v>Love, Charles</v>
      </c>
      <c r="C24" s="17">
        <v>21</v>
      </c>
      <c r="D24" s="17" t="str">
        <f>'Allocation %'!D24</f>
        <v>PACE</v>
      </c>
      <c r="E24" s="17">
        <f>'Allocation %'!E24</f>
        <v>0</v>
      </c>
      <c r="F24" s="18">
        <v>1176</v>
      </c>
      <c r="G24" s="18">
        <f t="shared" si="7"/>
        <v>30576</v>
      </c>
      <c r="H24" s="18"/>
      <c r="I24" s="18">
        <f t="shared" si="6"/>
        <v>31200</v>
      </c>
      <c r="J24" s="18"/>
      <c r="K24" s="18"/>
      <c r="L24" s="18"/>
      <c r="M24" s="18"/>
      <c r="N24" s="18"/>
      <c r="O24" s="18"/>
      <c r="P24" s="18">
        <f t="shared" si="3"/>
        <v>0</v>
      </c>
      <c r="Q24" s="15">
        <f>$P24*'Allocation %'!J24</f>
        <v>0</v>
      </c>
      <c r="R24" s="15">
        <f>$P24*'Allocation %'!K24</f>
        <v>0</v>
      </c>
      <c r="S24" s="15">
        <f>$P24*'Allocation %'!M24</f>
        <v>0</v>
      </c>
      <c r="T24" s="15">
        <f>$P24*'Allocation %'!N24</f>
        <v>0</v>
      </c>
      <c r="U24" s="15">
        <f>$P24*'Allocation %'!O24</f>
        <v>0</v>
      </c>
      <c r="V24" s="15">
        <f>$P24*'Allocation %'!P24</f>
        <v>0</v>
      </c>
      <c r="W24" s="15">
        <f>$P24*'Allocation %'!Q24</f>
        <v>0</v>
      </c>
      <c r="X24" s="15">
        <f>$P24*'Allocation %'!R24</f>
        <v>0</v>
      </c>
      <c r="Y24" s="15">
        <f>$P24*'Allocation %'!S24</f>
        <v>0</v>
      </c>
      <c r="Z24" s="15">
        <f>$P24*'Allocation %'!T24</f>
        <v>0</v>
      </c>
      <c r="AA24" s="15">
        <f>$P24*'Allocation %'!U24</f>
        <v>0</v>
      </c>
      <c r="AB24" s="15">
        <f>$P24*'Allocation %'!V24</f>
        <v>0</v>
      </c>
      <c r="AC24" s="15">
        <f>$P24*'Allocation %'!W24</f>
        <v>0</v>
      </c>
      <c r="AD24" s="15">
        <f>$P24*'Allocation %'!X24</f>
        <v>0</v>
      </c>
      <c r="AE24" s="15">
        <f>$P24*'Allocation %'!Y24</f>
        <v>0</v>
      </c>
      <c r="AF24" s="15">
        <f>$P24*'Allocation %'!Z24</f>
        <v>0</v>
      </c>
      <c r="AG24" s="15">
        <f>$P24*'Allocation %'!AA24</f>
        <v>0</v>
      </c>
      <c r="AH24" s="15">
        <f>$P24*'Allocation %'!AB24</f>
        <v>0</v>
      </c>
      <c r="AI24" s="15">
        <f>$P24*'Allocation %'!AC24</f>
        <v>0</v>
      </c>
      <c r="AJ24" s="15">
        <f>$P24*'Allocation %'!AD24</f>
        <v>0</v>
      </c>
      <c r="AK24" s="15">
        <f>$P24*'Allocation %'!AE24</f>
        <v>0</v>
      </c>
      <c r="AL24" s="15">
        <f>$P24*'Allocation %'!AF24</f>
        <v>0</v>
      </c>
      <c r="AM24" s="15">
        <f>$P24*'Allocation %'!AG24</f>
        <v>0</v>
      </c>
      <c r="AN24" s="15">
        <f>$P24*'Allocation %'!AH24</f>
        <v>0</v>
      </c>
      <c r="AO24" s="89">
        <f t="shared" si="2"/>
        <v>0</v>
      </c>
      <c r="AP24" s="19">
        <f t="shared" si="4"/>
        <v>0</v>
      </c>
    </row>
    <row r="25" spans="1:42" s="16" customFormat="1" ht="10.5" x14ac:dyDescent="0.25">
      <c r="A25" s="11">
        <f>Salary!A25</f>
        <v>22</v>
      </c>
      <c r="B25" s="17" t="str">
        <f>'Allocation %'!B25</f>
        <v>MARTINEZ, Joanna</v>
      </c>
      <c r="C25" s="17">
        <v>22</v>
      </c>
      <c r="D25" s="17" t="str">
        <f>'Allocation %'!D25</f>
        <v>USJP</v>
      </c>
      <c r="E25" s="17">
        <f>'Allocation %'!E25</f>
        <v>0</v>
      </c>
      <c r="F25" s="18">
        <v>1200</v>
      </c>
      <c r="G25" s="18">
        <f>F25*$G$3</f>
        <v>31200</v>
      </c>
      <c r="H25" s="18"/>
      <c r="I25" s="18">
        <f t="shared" si="6"/>
        <v>40000.22</v>
      </c>
      <c r="J25" s="18"/>
      <c r="K25" s="18"/>
      <c r="L25" s="18"/>
      <c r="M25" s="18"/>
      <c r="N25" s="18"/>
      <c r="O25" s="18"/>
      <c r="P25" s="18">
        <f t="shared" si="3"/>
        <v>0</v>
      </c>
      <c r="Q25" s="15">
        <f>$P25*'Allocation %'!J25</f>
        <v>0</v>
      </c>
      <c r="R25" s="15">
        <f>$P25*'Allocation %'!K25</f>
        <v>0</v>
      </c>
      <c r="S25" s="15">
        <f>$P25*'Allocation %'!M25</f>
        <v>0</v>
      </c>
      <c r="T25" s="15">
        <f>$P25*'Allocation %'!N25</f>
        <v>0</v>
      </c>
      <c r="U25" s="15">
        <f>$P25*'Allocation %'!O25</f>
        <v>0</v>
      </c>
      <c r="V25" s="15">
        <f>$P25*'Allocation %'!P25</f>
        <v>0</v>
      </c>
      <c r="W25" s="15">
        <f>$P25*'Allocation %'!Q25</f>
        <v>0</v>
      </c>
      <c r="X25" s="15">
        <f>$P25*'Allocation %'!R25</f>
        <v>0</v>
      </c>
      <c r="Y25" s="15">
        <f>$P25*'Allocation %'!S25</f>
        <v>0</v>
      </c>
      <c r="Z25" s="15">
        <f>$P25*'Allocation %'!T25</f>
        <v>0</v>
      </c>
      <c r="AA25" s="15">
        <f>$P25*'Allocation %'!U25</f>
        <v>0</v>
      </c>
      <c r="AB25" s="15">
        <f>$P25*'Allocation %'!V25</f>
        <v>0</v>
      </c>
      <c r="AC25" s="15">
        <f>$P25*'Allocation %'!W25</f>
        <v>0</v>
      </c>
      <c r="AD25" s="15">
        <f>$P25*'Allocation %'!X25</f>
        <v>0</v>
      </c>
      <c r="AE25" s="15">
        <f>$P25*'Allocation %'!Y25</f>
        <v>0</v>
      </c>
      <c r="AF25" s="15">
        <f>$P25*'Allocation %'!Z25</f>
        <v>0</v>
      </c>
      <c r="AG25" s="15">
        <f>$P25*'Allocation %'!AA25</f>
        <v>0</v>
      </c>
      <c r="AH25" s="15">
        <f>$P25*'Allocation %'!AB25</f>
        <v>0</v>
      </c>
      <c r="AI25" s="15">
        <f>$P25*'Allocation %'!AC25</f>
        <v>0</v>
      </c>
      <c r="AJ25" s="15">
        <f>$P25*'Allocation %'!AD25</f>
        <v>0</v>
      </c>
      <c r="AK25" s="15">
        <f>$P25*'Allocation %'!AE25</f>
        <v>0</v>
      </c>
      <c r="AL25" s="15">
        <f>$P25*'Allocation %'!AF25</f>
        <v>0</v>
      </c>
      <c r="AM25" s="15">
        <f>$P25*'Allocation %'!AG25</f>
        <v>0</v>
      </c>
      <c r="AN25" s="15">
        <f>$P25*'Allocation %'!AH25</f>
        <v>0</v>
      </c>
      <c r="AO25" s="89">
        <f t="shared" si="2"/>
        <v>0</v>
      </c>
      <c r="AP25" s="19">
        <f t="shared" si="4"/>
        <v>0</v>
      </c>
    </row>
    <row r="26" spans="1:42" s="16" customFormat="1" ht="10.5" x14ac:dyDescent="0.25">
      <c r="A26" s="11">
        <f>Salary!A26</f>
        <v>23</v>
      </c>
      <c r="B26" s="17" t="str">
        <f>'Allocation %'!B26</f>
        <v>McDaniels, Curtis</v>
      </c>
      <c r="C26" s="17">
        <v>23</v>
      </c>
      <c r="D26" s="17" t="str">
        <f>'Allocation %'!D26</f>
        <v>Neigh Revit</v>
      </c>
      <c r="E26" s="17">
        <f>'Allocation %'!E26</f>
        <v>0</v>
      </c>
      <c r="F26" s="18">
        <v>1538.47</v>
      </c>
      <c r="G26" s="18">
        <f t="shared" si="0"/>
        <v>40000.22</v>
      </c>
      <c r="H26" s="18"/>
      <c r="I26" s="18">
        <f t="shared" si="6"/>
        <v>37500.06</v>
      </c>
      <c r="J26" s="18">
        <v>94.77</v>
      </c>
      <c r="K26" s="18">
        <v>94.77</v>
      </c>
      <c r="L26" s="18"/>
      <c r="M26" s="18"/>
      <c r="N26" s="18"/>
      <c r="O26" s="18"/>
      <c r="P26" s="18">
        <f t="shared" si="3"/>
        <v>189.54</v>
      </c>
      <c r="Q26" s="15">
        <f>$P26*'Allocation %'!J26</f>
        <v>0</v>
      </c>
      <c r="R26" s="15">
        <f>$P26*'Allocation %'!K26</f>
        <v>0</v>
      </c>
      <c r="S26" s="15">
        <f>$P26*'Allocation %'!M26</f>
        <v>0</v>
      </c>
      <c r="T26" s="15">
        <f>$P26*'Allocation %'!N26</f>
        <v>0</v>
      </c>
      <c r="U26" s="15">
        <f>$P26*'Allocation %'!O26</f>
        <v>0</v>
      </c>
      <c r="V26" s="15">
        <f>$P26*'Allocation %'!P26</f>
        <v>0</v>
      </c>
      <c r="W26" s="15">
        <f>$P26*'Allocation %'!Q26</f>
        <v>0</v>
      </c>
      <c r="X26" s="15">
        <f>$P26*'Allocation %'!R26</f>
        <v>0</v>
      </c>
      <c r="Y26" s="15">
        <f>$P26*'Allocation %'!S26</f>
        <v>0</v>
      </c>
      <c r="Z26" s="15">
        <f>$P26*'Allocation %'!T26</f>
        <v>0</v>
      </c>
      <c r="AA26" s="15">
        <f>$P26*'Allocation %'!U26</f>
        <v>0</v>
      </c>
      <c r="AB26" s="15">
        <f>$P26*'Allocation %'!V26</f>
        <v>0</v>
      </c>
      <c r="AC26" s="15">
        <f>$P26*'Allocation %'!W26</f>
        <v>0</v>
      </c>
      <c r="AD26" s="15">
        <f>$P26*'Allocation %'!X26</f>
        <v>0</v>
      </c>
      <c r="AE26" s="15">
        <f>$P26*'Allocation %'!Y26</f>
        <v>0</v>
      </c>
      <c r="AF26" s="15">
        <f>$P26*'Allocation %'!Z26</f>
        <v>0</v>
      </c>
      <c r="AG26" s="15">
        <f>$P26*'Allocation %'!AA26</f>
        <v>0</v>
      </c>
      <c r="AH26" s="15">
        <f>$P26*'Allocation %'!AB26</f>
        <v>0</v>
      </c>
      <c r="AI26" s="15">
        <f>$P26*'Allocation %'!AC26</f>
        <v>189.54</v>
      </c>
      <c r="AJ26" s="15">
        <f>$P26*'Allocation %'!AD26</f>
        <v>0</v>
      </c>
      <c r="AK26" s="15">
        <f>$P26*'Allocation %'!AE26</f>
        <v>0</v>
      </c>
      <c r="AL26" s="15">
        <f>$P26*'Allocation %'!AF26</f>
        <v>0</v>
      </c>
      <c r="AM26" s="15">
        <f>$P26*'Allocation %'!AG26</f>
        <v>0</v>
      </c>
      <c r="AN26" s="15">
        <f>$P26*'Allocation %'!AH26</f>
        <v>0</v>
      </c>
      <c r="AO26" s="89">
        <f t="shared" si="2"/>
        <v>189.54</v>
      </c>
      <c r="AP26" s="19">
        <f t="shared" si="4"/>
        <v>0</v>
      </c>
    </row>
    <row r="27" spans="1:42" s="16" customFormat="1" ht="10.5" x14ac:dyDescent="0.25">
      <c r="A27" s="11">
        <f>Salary!A27</f>
        <v>24</v>
      </c>
      <c r="B27" s="17" t="str">
        <f>'Allocation %'!B27</f>
        <v>MCMILLIAN, Daphne L.</v>
      </c>
      <c r="C27" s="17">
        <v>24</v>
      </c>
      <c r="D27" s="17" t="str">
        <f>'Allocation %'!D27</f>
        <v>Abbott</v>
      </c>
      <c r="E27" s="17" t="str">
        <f>'Allocation %'!E27</f>
        <v>Family Worker</v>
      </c>
      <c r="F27" s="18">
        <v>1442.31</v>
      </c>
      <c r="G27" s="18">
        <f>F27*$G$3</f>
        <v>37500.06</v>
      </c>
      <c r="H27" s="18"/>
      <c r="I27" s="18">
        <f t="shared" si="6"/>
        <v>31625.359999999997</v>
      </c>
      <c r="J27" s="74">
        <v>47.82</v>
      </c>
      <c r="K27" s="74">
        <v>47.82</v>
      </c>
      <c r="L27" s="18"/>
      <c r="M27" s="18"/>
      <c r="N27" s="18"/>
      <c r="O27" s="18"/>
      <c r="P27" s="18">
        <f>SUM(J27:O27)</f>
        <v>95.64</v>
      </c>
      <c r="Q27" s="15">
        <f>$P27*'Allocation %'!J27</f>
        <v>95.64</v>
      </c>
      <c r="R27" s="15">
        <f>$P27*'Allocation %'!K27</f>
        <v>0</v>
      </c>
      <c r="S27" s="15">
        <f>$P27*'Allocation %'!M27</f>
        <v>0</v>
      </c>
      <c r="T27" s="15">
        <f>$P27*'Allocation %'!N27</f>
        <v>0</v>
      </c>
      <c r="U27" s="15">
        <f>$P27*'Allocation %'!O27</f>
        <v>0</v>
      </c>
      <c r="V27" s="15">
        <f>$P27*'Allocation %'!P27</f>
        <v>0</v>
      </c>
      <c r="W27" s="15">
        <f>$P27*'Allocation %'!Q27</f>
        <v>0</v>
      </c>
      <c r="X27" s="15">
        <f>$P27*'Allocation %'!R27</f>
        <v>0</v>
      </c>
      <c r="Y27" s="15">
        <f>$P27*'Allocation %'!S27</f>
        <v>0</v>
      </c>
      <c r="Z27" s="15">
        <f>$P27*'Allocation %'!T27</f>
        <v>0</v>
      </c>
      <c r="AA27" s="15">
        <f>$P27*'Allocation %'!U27</f>
        <v>0</v>
      </c>
      <c r="AB27" s="15">
        <f>$P27*'Allocation %'!V27</f>
        <v>0</v>
      </c>
      <c r="AC27" s="15">
        <f>$P27*'Allocation %'!W27</f>
        <v>0</v>
      </c>
      <c r="AD27" s="15">
        <f>$P27*'Allocation %'!X27</f>
        <v>0</v>
      </c>
      <c r="AE27" s="15">
        <f>$P27*'Allocation %'!Y27</f>
        <v>0</v>
      </c>
      <c r="AF27" s="15">
        <f>$P27*'Allocation %'!Z27</f>
        <v>0</v>
      </c>
      <c r="AG27" s="15">
        <f>$P27*'Allocation %'!AA27</f>
        <v>0</v>
      </c>
      <c r="AH27" s="15">
        <f>$P27*'Allocation %'!AB27</f>
        <v>0</v>
      </c>
      <c r="AI27" s="15">
        <f>$P27*'Allocation %'!AC27</f>
        <v>0</v>
      </c>
      <c r="AJ27" s="15">
        <f>$P27*'Allocation %'!AD27</f>
        <v>0</v>
      </c>
      <c r="AK27" s="15">
        <f>$P27*'Allocation %'!AE27</f>
        <v>0</v>
      </c>
      <c r="AL27" s="15">
        <f>$P27*'Allocation %'!AF27</f>
        <v>0</v>
      </c>
      <c r="AM27" s="15">
        <f>$P27*'Allocation %'!AG27</f>
        <v>0</v>
      </c>
      <c r="AN27" s="15">
        <f>$P27*'Allocation %'!AH27</f>
        <v>0</v>
      </c>
      <c r="AO27" s="89">
        <f t="shared" si="2"/>
        <v>95.64</v>
      </c>
      <c r="AP27" s="19">
        <f t="shared" si="4"/>
        <v>0</v>
      </c>
    </row>
    <row r="28" spans="1:42" s="16" customFormat="1" ht="10.5" x14ac:dyDescent="0.25">
      <c r="A28" s="11">
        <f>Salary!A28</f>
        <v>25</v>
      </c>
      <c r="B28" s="17" t="str">
        <f>'Allocation %'!B28</f>
        <v>Mitchell, Felicia</v>
      </c>
      <c r="C28" s="17">
        <v>25</v>
      </c>
      <c r="D28" s="17" t="str">
        <f>'Allocation %'!D28</f>
        <v>Abbott</v>
      </c>
      <c r="E28" s="17" t="str">
        <f>'Allocation %'!E28</f>
        <v>Teacher</v>
      </c>
      <c r="F28" s="18">
        <v>1216.3599999999999</v>
      </c>
      <c r="G28" s="18">
        <f t="shared" si="0"/>
        <v>31625.359999999997</v>
      </c>
      <c r="H28" s="18"/>
      <c r="I28" s="18">
        <f t="shared" si="6"/>
        <v>28982.2</v>
      </c>
      <c r="J28" s="18">
        <v>12.2</v>
      </c>
      <c r="K28" s="18">
        <v>12.2</v>
      </c>
      <c r="L28" s="18"/>
      <c r="M28" s="18"/>
      <c r="N28" s="18"/>
      <c r="O28" s="18"/>
      <c r="P28" s="18">
        <f t="shared" si="3"/>
        <v>24.4</v>
      </c>
      <c r="Q28" s="15">
        <f>$P28*'Allocation %'!J28</f>
        <v>24.4</v>
      </c>
      <c r="R28" s="15">
        <f>$P28*'Allocation %'!K28</f>
        <v>0</v>
      </c>
      <c r="S28" s="15">
        <f>$P28*'Allocation %'!M28</f>
        <v>0</v>
      </c>
      <c r="T28" s="15">
        <f>$P28*'Allocation %'!N28</f>
        <v>0</v>
      </c>
      <c r="U28" s="15">
        <f>$P28*'Allocation %'!O28</f>
        <v>0</v>
      </c>
      <c r="V28" s="15">
        <f>$P28*'Allocation %'!P28</f>
        <v>0</v>
      </c>
      <c r="W28" s="15">
        <f>$P28*'Allocation %'!Q28</f>
        <v>0</v>
      </c>
      <c r="X28" s="15">
        <f>$P28*'Allocation %'!R28</f>
        <v>0</v>
      </c>
      <c r="Y28" s="15">
        <f>$P28*'Allocation %'!S28</f>
        <v>0</v>
      </c>
      <c r="Z28" s="15">
        <f>$P28*'Allocation %'!T28</f>
        <v>0</v>
      </c>
      <c r="AA28" s="15">
        <f>$P28*'Allocation %'!U28</f>
        <v>0</v>
      </c>
      <c r="AB28" s="15">
        <f>$P28*'Allocation %'!V28</f>
        <v>0</v>
      </c>
      <c r="AC28" s="15">
        <f>$P28*'Allocation %'!W28</f>
        <v>0</v>
      </c>
      <c r="AD28" s="15">
        <f>$P28*'Allocation %'!X28</f>
        <v>0</v>
      </c>
      <c r="AE28" s="15">
        <f>$P28*'Allocation %'!Y28</f>
        <v>0</v>
      </c>
      <c r="AF28" s="15">
        <f>$P28*'Allocation %'!Z28</f>
        <v>0</v>
      </c>
      <c r="AG28" s="15">
        <f>$P28*'Allocation %'!AA28</f>
        <v>0</v>
      </c>
      <c r="AH28" s="15">
        <f>$P28*'Allocation %'!AB28</f>
        <v>0</v>
      </c>
      <c r="AI28" s="15">
        <f>$P28*'Allocation %'!AC28</f>
        <v>0</v>
      </c>
      <c r="AJ28" s="15">
        <f>$P28*'Allocation %'!AD28</f>
        <v>0</v>
      </c>
      <c r="AK28" s="15">
        <f>$P28*'Allocation %'!AE28</f>
        <v>0</v>
      </c>
      <c r="AL28" s="15">
        <f>$P28*'Allocation %'!AF28</f>
        <v>0</v>
      </c>
      <c r="AM28" s="15">
        <f>$P28*'Allocation %'!AG28</f>
        <v>0</v>
      </c>
      <c r="AN28" s="15">
        <f>$P28*'Allocation %'!AH28</f>
        <v>0</v>
      </c>
      <c r="AO28" s="89">
        <f t="shared" si="2"/>
        <v>24.4</v>
      </c>
      <c r="AP28" s="19">
        <f t="shared" si="4"/>
        <v>0</v>
      </c>
    </row>
    <row r="29" spans="1:42" s="16" customFormat="1" ht="10.5" x14ac:dyDescent="0.25">
      <c r="A29" s="11">
        <f>Salary!A29</f>
        <v>26</v>
      </c>
      <c r="B29" s="17" t="str">
        <f>'Allocation %'!B29</f>
        <v>MORRIS, GWEN</v>
      </c>
      <c r="C29" s="17">
        <v>26</v>
      </c>
      <c r="D29" s="17" t="str">
        <f>'Allocation %'!D29</f>
        <v>USJP</v>
      </c>
      <c r="E29" s="17">
        <f>'Allocation %'!E29</f>
        <v>0</v>
      </c>
      <c r="F29" s="18">
        <v>1114.7</v>
      </c>
      <c r="G29" s="20">
        <f>F29*$G$3</f>
        <v>28982.2</v>
      </c>
      <c r="H29" s="18"/>
      <c r="I29" s="18">
        <f t="shared" si="6"/>
        <v>65000</v>
      </c>
      <c r="J29" s="18"/>
      <c r="K29" s="18"/>
      <c r="L29" s="18"/>
      <c r="M29" s="18"/>
      <c r="N29" s="18"/>
      <c r="O29" s="18"/>
      <c r="P29" s="18">
        <f t="shared" si="3"/>
        <v>0</v>
      </c>
      <c r="Q29" s="15">
        <f>$P29*'Allocation %'!J29</f>
        <v>0</v>
      </c>
      <c r="R29" s="15">
        <f>$P29*'Allocation %'!K29</f>
        <v>0</v>
      </c>
      <c r="S29" s="15">
        <f>$P29*'Allocation %'!M29</f>
        <v>0</v>
      </c>
      <c r="T29" s="15">
        <f>$P29*'Allocation %'!N29</f>
        <v>0</v>
      </c>
      <c r="U29" s="15">
        <f>$P29*'Allocation %'!O29</f>
        <v>0</v>
      </c>
      <c r="V29" s="15">
        <f>$P29*'Allocation %'!P29</f>
        <v>0</v>
      </c>
      <c r="W29" s="15">
        <f>$P29*'Allocation %'!Q29</f>
        <v>0</v>
      </c>
      <c r="X29" s="15">
        <f>$P29*'Allocation %'!R29</f>
        <v>0</v>
      </c>
      <c r="Y29" s="15">
        <f>$P29*'Allocation %'!S29</f>
        <v>0</v>
      </c>
      <c r="Z29" s="15">
        <f>$P29*'Allocation %'!T29</f>
        <v>0</v>
      </c>
      <c r="AA29" s="15">
        <f>$P29*'Allocation %'!U29</f>
        <v>0</v>
      </c>
      <c r="AB29" s="15">
        <f>$P29*'Allocation %'!V29</f>
        <v>0</v>
      </c>
      <c r="AC29" s="15">
        <f>$P29*'Allocation %'!W29</f>
        <v>0</v>
      </c>
      <c r="AD29" s="15">
        <f>$P29*'Allocation %'!X29</f>
        <v>0</v>
      </c>
      <c r="AE29" s="15">
        <f>$P29*'Allocation %'!Y29</f>
        <v>0</v>
      </c>
      <c r="AF29" s="15">
        <f>$P29*'Allocation %'!Z29</f>
        <v>0</v>
      </c>
      <c r="AG29" s="15">
        <f>$P29*'Allocation %'!AA29</f>
        <v>0</v>
      </c>
      <c r="AH29" s="15">
        <f>$P29*'Allocation %'!AB29</f>
        <v>0</v>
      </c>
      <c r="AI29" s="15">
        <f>$P29*'Allocation %'!AC29</f>
        <v>0</v>
      </c>
      <c r="AJ29" s="15">
        <f>$P29*'Allocation %'!AD29</f>
        <v>0</v>
      </c>
      <c r="AK29" s="15">
        <f>$P29*'Allocation %'!AE29</f>
        <v>0</v>
      </c>
      <c r="AL29" s="15">
        <f>$P29*'Allocation %'!AF29</f>
        <v>0</v>
      </c>
      <c r="AM29" s="15">
        <f>$P29*'Allocation %'!AG29</f>
        <v>0</v>
      </c>
      <c r="AN29" s="15">
        <f>$P29*'Allocation %'!AH29</f>
        <v>0</v>
      </c>
      <c r="AO29" s="89">
        <f t="shared" si="2"/>
        <v>0</v>
      </c>
      <c r="AP29" s="19">
        <f t="shared" si="4"/>
        <v>0</v>
      </c>
    </row>
    <row r="30" spans="1:42" s="16" customFormat="1" ht="10.5" x14ac:dyDescent="0.25">
      <c r="A30" s="11">
        <f>Salary!A30</f>
        <v>27</v>
      </c>
      <c r="B30" s="17" t="str">
        <f>'Allocation %'!B30</f>
        <v>RAMBARAN, Sharaini J.</v>
      </c>
      <c r="C30" s="17">
        <v>27</v>
      </c>
      <c r="D30" s="17" t="str">
        <f>'Allocation %'!D30</f>
        <v>Abbott</v>
      </c>
      <c r="E30" s="17" t="str">
        <f>'Allocation %'!E30</f>
        <v>Floater</v>
      </c>
      <c r="F30" s="18">
        <v>2500</v>
      </c>
      <c r="G30" s="18">
        <f t="shared" si="0"/>
        <v>65000</v>
      </c>
      <c r="H30" s="18"/>
      <c r="I30" s="18">
        <f t="shared" si="6"/>
        <v>25903.8</v>
      </c>
      <c r="J30" s="18">
        <v>82.32</v>
      </c>
      <c r="K30" s="18">
        <v>82.32</v>
      </c>
      <c r="L30" s="18"/>
      <c r="M30" s="18"/>
      <c r="N30" s="18"/>
      <c r="O30" s="18"/>
      <c r="P30" s="18">
        <f t="shared" si="3"/>
        <v>164.64</v>
      </c>
      <c r="Q30" s="15">
        <f>$P30*'Allocation %'!J30</f>
        <v>164.64</v>
      </c>
      <c r="R30" s="15">
        <f>$P30*'Allocation %'!K30</f>
        <v>0</v>
      </c>
      <c r="S30" s="15">
        <f>$P30*'Allocation %'!M30</f>
        <v>0</v>
      </c>
      <c r="T30" s="15">
        <f>$P30*'Allocation %'!N30</f>
        <v>0</v>
      </c>
      <c r="U30" s="15">
        <f>$P30*'Allocation %'!O30</f>
        <v>0</v>
      </c>
      <c r="V30" s="15">
        <f>$P30*'Allocation %'!P30</f>
        <v>0</v>
      </c>
      <c r="W30" s="15">
        <f>$P30*'Allocation %'!Q30</f>
        <v>0</v>
      </c>
      <c r="X30" s="15">
        <f>$P30*'Allocation %'!R30</f>
        <v>0</v>
      </c>
      <c r="Y30" s="15">
        <f>$P30*'Allocation %'!S30</f>
        <v>0</v>
      </c>
      <c r="Z30" s="15">
        <f>$P30*'Allocation %'!T30</f>
        <v>0</v>
      </c>
      <c r="AA30" s="15">
        <f>$P30*'Allocation %'!U30</f>
        <v>0</v>
      </c>
      <c r="AB30" s="15">
        <f>$P30*'Allocation %'!V30</f>
        <v>0</v>
      </c>
      <c r="AC30" s="15">
        <f>$P30*'Allocation %'!W30</f>
        <v>0</v>
      </c>
      <c r="AD30" s="15">
        <f>$P30*'Allocation %'!X30</f>
        <v>0</v>
      </c>
      <c r="AE30" s="15">
        <f>$P30*'Allocation %'!Y30</f>
        <v>0</v>
      </c>
      <c r="AF30" s="15">
        <f>$P30*'Allocation %'!Z30</f>
        <v>0</v>
      </c>
      <c r="AG30" s="15">
        <f>$P30*'Allocation %'!AA30</f>
        <v>0</v>
      </c>
      <c r="AH30" s="15">
        <f>$P30*'Allocation %'!AB30</f>
        <v>0</v>
      </c>
      <c r="AI30" s="15">
        <f>$P30*'Allocation %'!AC30</f>
        <v>0</v>
      </c>
      <c r="AJ30" s="15">
        <f>$P30*'Allocation %'!AD30</f>
        <v>0</v>
      </c>
      <c r="AK30" s="15">
        <f>$P30*'Allocation %'!AE30</f>
        <v>0</v>
      </c>
      <c r="AL30" s="15">
        <f>$P30*'Allocation %'!AF30</f>
        <v>0</v>
      </c>
      <c r="AM30" s="15">
        <f>$P30*'Allocation %'!AG30</f>
        <v>0</v>
      </c>
      <c r="AN30" s="15">
        <f>$P30*'Allocation %'!AH30</f>
        <v>0</v>
      </c>
      <c r="AO30" s="89">
        <f t="shared" si="2"/>
        <v>164.64</v>
      </c>
      <c r="AP30" s="19">
        <f t="shared" si="4"/>
        <v>0</v>
      </c>
    </row>
    <row r="31" spans="1:42" s="16" customFormat="1" ht="10.5" x14ac:dyDescent="0.25">
      <c r="A31" s="11">
        <f>Salary!A31</f>
        <v>28</v>
      </c>
      <c r="B31" s="17" t="str">
        <f>'Allocation %'!B31</f>
        <v>Robbins, Leonard</v>
      </c>
      <c r="C31" s="17">
        <v>28</v>
      </c>
      <c r="D31" s="17" t="str">
        <f>'Allocation %'!D31</f>
        <v>Opportunity Corp</v>
      </c>
      <c r="E31" s="17">
        <f>'Allocation %'!E31</f>
        <v>0</v>
      </c>
      <c r="F31" s="18">
        <v>996.3</v>
      </c>
      <c r="G31" s="18">
        <f t="shared" si="0"/>
        <v>25903.8</v>
      </c>
      <c r="H31" s="18"/>
      <c r="I31" s="28">
        <f>H32*$G$3</f>
        <v>80000.179999999993</v>
      </c>
      <c r="J31" s="18"/>
      <c r="K31" s="18"/>
      <c r="L31" s="18"/>
      <c r="M31" s="18"/>
      <c r="N31" s="18"/>
      <c r="O31" s="18"/>
      <c r="P31" s="18">
        <f t="shared" si="3"/>
        <v>0</v>
      </c>
      <c r="Q31" s="15">
        <f>$P31*'Allocation %'!J31</f>
        <v>0</v>
      </c>
      <c r="R31" s="15">
        <f>$P31*'Allocation %'!K31</f>
        <v>0</v>
      </c>
      <c r="S31" s="15">
        <f>$P31*'Allocation %'!M31</f>
        <v>0</v>
      </c>
      <c r="T31" s="15">
        <f>$P31*'Allocation %'!N31</f>
        <v>0</v>
      </c>
      <c r="U31" s="15">
        <f>$P31*'Allocation %'!O31</f>
        <v>0</v>
      </c>
      <c r="V31" s="15">
        <f>$P31*'Allocation %'!P31</f>
        <v>0</v>
      </c>
      <c r="W31" s="15">
        <f>$P31*'Allocation %'!Q31</f>
        <v>0</v>
      </c>
      <c r="X31" s="15">
        <f>$P31*'Allocation %'!R31</f>
        <v>0</v>
      </c>
      <c r="Y31" s="15">
        <f>$P31*'Allocation %'!S31</f>
        <v>0</v>
      </c>
      <c r="Z31" s="15">
        <f>$P31*'Allocation %'!T31</f>
        <v>0</v>
      </c>
      <c r="AA31" s="15">
        <f>$P31*'Allocation %'!U31</f>
        <v>0</v>
      </c>
      <c r="AB31" s="15">
        <f>$P31*'Allocation %'!V31</f>
        <v>0</v>
      </c>
      <c r="AC31" s="15">
        <f>$P31*'Allocation %'!W31</f>
        <v>0</v>
      </c>
      <c r="AD31" s="15">
        <f>$P31*'Allocation %'!X31</f>
        <v>0</v>
      </c>
      <c r="AE31" s="15">
        <f>$P31*'Allocation %'!Y31</f>
        <v>0</v>
      </c>
      <c r="AF31" s="15">
        <f>$P31*'Allocation %'!Z31</f>
        <v>0</v>
      </c>
      <c r="AG31" s="15">
        <f>$P31*'Allocation %'!AA31</f>
        <v>0</v>
      </c>
      <c r="AH31" s="15">
        <f>$P31*'Allocation %'!AB31</f>
        <v>0</v>
      </c>
      <c r="AI31" s="15">
        <f>$P31*'Allocation %'!AC31</f>
        <v>0</v>
      </c>
      <c r="AJ31" s="15">
        <f>$P31*'Allocation %'!AD31</f>
        <v>0</v>
      </c>
      <c r="AK31" s="15">
        <f>$P31*'Allocation %'!AE31</f>
        <v>0</v>
      </c>
      <c r="AL31" s="15">
        <f>$P31*'Allocation %'!AF31</f>
        <v>0</v>
      </c>
      <c r="AM31" s="15">
        <f>$P31*'Allocation %'!AG31</f>
        <v>0</v>
      </c>
      <c r="AN31" s="15">
        <f>$P31*'Allocation %'!AH31</f>
        <v>0</v>
      </c>
      <c r="AO31" s="89">
        <f t="shared" si="2"/>
        <v>0</v>
      </c>
      <c r="AP31" s="19">
        <f t="shared" si="4"/>
        <v>0</v>
      </c>
    </row>
    <row r="32" spans="1:42" s="16" customFormat="1" ht="10.5" x14ac:dyDescent="0.25">
      <c r="A32" s="11">
        <f>Salary!A32</f>
        <v>29</v>
      </c>
      <c r="B32" s="17" t="str">
        <f>'Allocation %'!B32</f>
        <v>SERMON, Patricia April</v>
      </c>
      <c r="C32" s="17">
        <v>29</v>
      </c>
      <c r="D32" s="17" t="str">
        <f>'Allocation %'!D32</f>
        <v>FOC, Housing, OICA, COO</v>
      </c>
      <c r="E32" s="17">
        <f>'Allocation %'!E32</f>
        <v>0</v>
      </c>
      <c r="F32" s="27">
        <v>2769.23</v>
      </c>
      <c r="G32" s="27">
        <f t="shared" si="0"/>
        <v>71999.98</v>
      </c>
      <c r="H32" s="18">
        <v>3076.93</v>
      </c>
      <c r="I32" s="28">
        <f>H33*$G$3</f>
        <v>90000.04</v>
      </c>
      <c r="J32" s="18">
        <v>92.41</v>
      </c>
      <c r="K32" s="18">
        <v>92.41</v>
      </c>
      <c r="L32" s="28"/>
      <c r="M32" s="28"/>
      <c r="N32" s="28"/>
      <c r="O32" s="28"/>
      <c r="P32" s="18">
        <f>SUM(J32:O32)</f>
        <v>184.82</v>
      </c>
      <c r="Q32" s="15">
        <f>$P32*'Allocation %'!J32</f>
        <v>0</v>
      </c>
      <c r="R32" s="15">
        <f>$P32*'Allocation %'!K32</f>
        <v>0</v>
      </c>
      <c r="S32" s="15">
        <f>$P32*'Allocation %'!M32</f>
        <v>0</v>
      </c>
      <c r="T32" s="15">
        <f>$P32*'Allocation %'!N32</f>
        <v>36.963999999999999</v>
      </c>
      <c r="U32" s="15">
        <f>$P32*'Allocation %'!O32</f>
        <v>0</v>
      </c>
      <c r="V32" s="15">
        <f>$P32*'Allocation %'!P32</f>
        <v>44.3568</v>
      </c>
      <c r="W32" s="15">
        <f>$P32*'Allocation %'!Q32</f>
        <v>0</v>
      </c>
      <c r="X32" s="15">
        <f>$P32*'Allocation %'!R32</f>
        <v>0</v>
      </c>
      <c r="Y32" s="15">
        <f>$P32*'Allocation %'!S32</f>
        <v>0</v>
      </c>
      <c r="Z32" s="15">
        <f>$P32*'Allocation %'!T32</f>
        <v>9.2409999999999997</v>
      </c>
      <c r="AA32" s="15">
        <f>$P32*'Allocation %'!U32</f>
        <v>7.3928000000000003</v>
      </c>
      <c r="AB32" s="15">
        <f>$P32*'Allocation %'!V32</f>
        <v>3.6964000000000001</v>
      </c>
      <c r="AC32" s="15">
        <f>$P32*'Allocation %'!W32</f>
        <v>11.0892</v>
      </c>
      <c r="AD32" s="15">
        <f>$P32*'Allocation %'!X32</f>
        <v>72.079800000000006</v>
      </c>
      <c r="AE32" s="15">
        <f>$P32*'Allocation %'!Y32</f>
        <v>0</v>
      </c>
      <c r="AF32" s="15">
        <f>$P32*'Allocation %'!Z32</f>
        <v>0</v>
      </c>
      <c r="AG32" s="15">
        <f>$P32*'Allocation %'!AA32</f>
        <v>0</v>
      </c>
      <c r="AH32" s="15">
        <f>$P32*'Allocation %'!AB32</f>
        <v>0</v>
      </c>
      <c r="AI32" s="15">
        <f>$P32*'Allocation %'!AC32</f>
        <v>0</v>
      </c>
      <c r="AJ32" s="15">
        <f>$P32*'Allocation %'!AD32</f>
        <v>0</v>
      </c>
      <c r="AK32" s="15">
        <f>$P32*'Allocation %'!AE32</f>
        <v>0</v>
      </c>
      <c r="AL32" s="15">
        <f>$P32*'Allocation %'!AF32</f>
        <v>0</v>
      </c>
      <c r="AM32" s="15">
        <f>$P32*'Allocation %'!AG32</f>
        <v>0</v>
      </c>
      <c r="AN32" s="15">
        <f>$P32*'Allocation %'!AH32</f>
        <v>0</v>
      </c>
      <c r="AO32" s="89">
        <f t="shared" si="2"/>
        <v>184.82</v>
      </c>
      <c r="AP32" s="19">
        <f t="shared" si="4"/>
        <v>0</v>
      </c>
    </row>
    <row r="33" spans="1:42" s="16" customFormat="1" ht="10.5" x14ac:dyDescent="0.25">
      <c r="A33" s="11">
        <f>Salary!A33</f>
        <v>30</v>
      </c>
      <c r="B33" s="17" t="str">
        <f>'Allocation %'!B33</f>
        <v>SHARIF, Darrin S. - April</v>
      </c>
      <c r="C33" s="17">
        <v>30</v>
      </c>
      <c r="D33" s="17" t="str">
        <f>'Allocation %'!D33</f>
        <v>Admin, Coding, WF</v>
      </c>
      <c r="E33" s="17">
        <f>'Allocation %'!E33</f>
        <v>0</v>
      </c>
      <c r="F33" s="29">
        <v>3153.85</v>
      </c>
      <c r="G33" s="29">
        <f t="shared" si="0"/>
        <v>82000.099999999991</v>
      </c>
      <c r="H33" s="18">
        <v>3461.54</v>
      </c>
      <c r="I33" s="18">
        <f t="shared" ref="I33:I39" si="8">SUM(G34:H34)</f>
        <v>84994</v>
      </c>
      <c r="J33" s="18">
        <v>75.16</v>
      </c>
      <c r="K33" s="18">
        <v>75.16</v>
      </c>
      <c r="L33" s="28"/>
      <c r="M33" s="28"/>
      <c r="N33" s="28"/>
      <c r="O33" s="28"/>
      <c r="P33" s="18">
        <f t="shared" si="3"/>
        <v>150.32</v>
      </c>
      <c r="Q33" s="15">
        <f>$P33*'Allocation %'!J33</f>
        <v>0</v>
      </c>
      <c r="R33" s="15">
        <f>$P33*'Allocation %'!K33</f>
        <v>0</v>
      </c>
      <c r="S33" s="15">
        <f>$P33*'Allocation %'!M33</f>
        <v>0</v>
      </c>
      <c r="T33" s="15">
        <f>$P33*'Allocation %'!N33</f>
        <v>0</v>
      </c>
      <c r="U33" s="15">
        <f>$P33*'Allocation %'!O33</f>
        <v>0</v>
      </c>
      <c r="V33" s="15">
        <f>$P33*'Allocation %'!P33</f>
        <v>0</v>
      </c>
      <c r="W33" s="15">
        <f>$P33*'Allocation %'!Q33</f>
        <v>0</v>
      </c>
      <c r="X33" s="15">
        <f>$P33*'Allocation %'!R33</f>
        <v>0</v>
      </c>
      <c r="Y33" s="15">
        <f>$P33*'Allocation %'!S33</f>
        <v>0</v>
      </c>
      <c r="Z33" s="15">
        <f>$P33*'Allocation %'!T33</f>
        <v>0</v>
      </c>
      <c r="AA33" s="15">
        <f>$P33*'Allocation %'!U33</f>
        <v>0</v>
      </c>
      <c r="AB33" s="15">
        <f>$P33*'Allocation %'!V33</f>
        <v>0</v>
      </c>
      <c r="AC33" s="15">
        <f>$P33*'Allocation %'!W33</f>
        <v>0</v>
      </c>
      <c r="AD33" s="15">
        <f>$P33*'Allocation %'!X33</f>
        <v>0</v>
      </c>
      <c r="AE33" s="15">
        <f>$P33*'Allocation %'!Y33</f>
        <v>0</v>
      </c>
      <c r="AF33" s="15">
        <f>$P33*'Allocation %'!Z33</f>
        <v>0</v>
      </c>
      <c r="AG33" s="15">
        <f>$P33*'Allocation %'!AA33</f>
        <v>40.586399999999998</v>
      </c>
      <c r="AH33" s="15">
        <f>$P33*'Allocation %'!AB33</f>
        <v>43.592799999999997</v>
      </c>
      <c r="AI33" s="15">
        <f>$P33*'Allocation %'!AC33</f>
        <v>66.140799999999999</v>
      </c>
      <c r="AJ33" s="15">
        <f>$P33*'Allocation %'!AD33</f>
        <v>0</v>
      </c>
      <c r="AK33" s="15">
        <f>$P33*'Allocation %'!AE33</f>
        <v>0</v>
      </c>
      <c r="AL33" s="15">
        <f>$P33*'Allocation %'!AF33</f>
        <v>0</v>
      </c>
      <c r="AM33" s="15">
        <f>$P33*'Allocation %'!AG33</f>
        <v>0</v>
      </c>
      <c r="AN33" s="15">
        <f>$P33*'Allocation %'!AH33</f>
        <v>0</v>
      </c>
      <c r="AO33" s="89">
        <f t="shared" si="2"/>
        <v>150.32</v>
      </c>
      <c r="AP33" s="19">
        <f t="shared" si="4"/>
        <v>0</v>
      </c>
    </row>
    <row r="34" spans="1:42" s="16" customFormat="1" ht="10.5" x14ac:dyDescent="0.25">
      <c r="A34" s="11">
        <f>Salary!A34</f>
        <v>31</v>
      </c>
      <c r="B34" s="17" t="str">
        <f>'Allocation %'!B34</f>
        <v>SIMMONS, Bertrilla R.</v>
      </c>
      <c r="C34" s="17">
        <v>31</v>
      </c>
      <c r="D34" s="17" t="str">
        <f>'Allocation %'!D34</f>
        <v>Abbott</v>
      </c>
      <c r="E34" s="17" t="str">
        <f>'Allocation %'!E34</f>
        <v>Teacher</v>
      </c>
      <c r="F34" s="27">
        <v>3269</v>
      </c>
      <c r="G34" s="27">
        <f t="shared" si="0"/>
        <v>84994</v>
      </c>
      <c r="H34" s="18"/>
      <c r="I34" s="18">
        <f t="shared" si="8"/>
        <v>69785.3</v>
      </c>
      <c r="J34" s="18">
        <v>92.41</v>
      </c>
      <c r="K34" s="18">
        <v>92.41</v>
      </c>
      <c r="L34" s="18"/>
      <c r="M34" s="18"/>
      <c r="N34" s="18"/>
      <c r="O34" s="18"/>
      <c r="P34" s="18">
        <f t="shared" si="3"/>
        <v>184.82</v>
      </c>
      <c r="Q34" s="15">
        <f>$P34*'Allocation %'!J34</f>
        <v>184.82</v>
      </c>
      <c r="R34" s="15">
        <f>$P34*'Allocation %'!K34</f>
        <v>0</v>
      </c>
      <c r="S34" s="15">
        <f>$P34*'Allocation %'!M34</f>
        <v>0</v>
      </c>
      <c r="T34" s="15">
        <f>$P34*'Allocation %'!N34</f>
        <v>0</v>
      </c>
      <c r="U34" s="15">
        <f>$P34*'Allocation %'!O34</f>
        <v>0</v>
      </c>
      <c r="V34" s="15">
        <f>$P34*'Allocation %'!P34</f>
        <v>0</v>
      </c>
      <c r="W34" s="15">
        <f>$P34*'Allocation %'!Q34</f>
        <v>0</v>
      </c>
      <c r="X34" s="15">
        <f>$P34*'Allocation %'!R34</f>
        <v>0</v>
      </c>
      <c r="Y34" s="15">
        <f>$P34*'Allocation %'!S34</f>
        <v>0</v>
      </c>
      <c r="Z34" s="15">
        <f>$P34*'Allocation %'!T34</f>
        <v>0</v>
      </c>
      <c r="AA34" s="15">
        <f>$P34*'Allocation %'!U34</f>
        <v>0</v>
      </c>
      <c r="AB34" s="15">
        <f>$P34*'Allocation %'!V34</f>
        <v>0</v>
      </c>
      <c r="AC34" s="15">
        <f>$P34*'Allocation %'!W34</f>
        <v>0</v>
      </c>
      <c r="AD34" s="15">
        <f>$P34*'Allocation %'!X34</f>
        <v>0</v>
      </c>
      <c r="AE34" s="15">
        <f>$P34*'Allocation %'!Y34</f>
        <v>0</v>
      </c>
      <c r="AF34" s="15">
        <f>$P34*'Allocation %'!Z34</f>
        <v>0</v>
      </c>
      <c r="AG34" s="15">
        <f>$P34*'Allocation %'!AA34</f>
        <v>0</v>
      </c>
      <c r="AH34" s="15">
        <f>$P34*'Allocation %'!AB34</f>
        <v>0</v>
      </c>
      <c r="AI34" s="15">
        <f>$P34*'Allocation %'!AC34</f>
        <v>0</v>
      </c>
      <c r="AJ34" s="15">
        <f>$P34*'Allocation %'!AD34</f>
        <v>0</v>
      </c>
      <c r="AK34" s="15">
        <f>$P34*'Allocation %'!AE34</f>
        <v>0</v>
      </c>
      <c r="AL34" s="15">
        <f>$P34*'Allocation %'!AF34</f>
        <v>0</v>
      </c>
      <c r="AM34" s="15">
        <f>$P34*'Allocation %'!AG34</f>
        <v>0</v>
      </c>
      <c r="AN34" s="15">
        <f>$P34*'Allocation %'!AH34</f>
        <v>0</v>
      </c>
      <c r="AO34" s="89">
        <f t="shared" si="2"/>
        <v>184.82</v>
      </c>
      <c r="AP34" s="19">
        <f t="shared" si="4"/>
        <v>0</v>
      </c>
    </row>
    <row r="35" spans="1:42" s="16" customFormat="1" ht="10.5" x14ac:dyDescent="0.25">
      <c r="A35" s="11">
        <f>Salary!A35</f>
        <v>32</v>
      </c>
      <c r="B35" s="17" t="str">
        <f>'Allocation %'!B35</f>
        <v>STEWART, Robin D</v>
      </c>
      <c r="C35" s="17">
        <v>32</v>
      </c>
      <c r="D35" s="17" t="str">
        <f>'Allocation %'!D35</f>
        <v>Abbott</v>
      </c>
      <c r="E35" s="17" t="str">
        <f>'Allocation %'!E35</f>
        <v>Teacher Asst</v>
      </c>
      <c r="F35" s="27">
        <v>2684.05</v>
      </c>
      <c r="G35" s="32">
        <f t="shared" si="0"/>
        <v>69785.3</v>
      </c>
      <c r="H35" s="18"/>
      <c r="I35" s="18">
        <f t="shared" si="8"/>
        <v>41888.080000000002</v>
      </c>
      <c r="J35" s="18">
        <v>80.22</v>
      </c>
      <c r="K35" s="18">
        <v>80.22</v>
      </c>
      <c r="L35" s="18"/>
      <c r="M35" s="18"/>
      <c r="N35" s="18"/>
      <c r="O35" s="18"/>
      <c r="P35" s="18">
        <f t="shared" si="3"/>
        <v>160.44</v>
      </c>
      <c r="Q35" s="15">
        <f>$P35*'Allocation %'!J35</f>
        <v>160.44</v>
      </c>
      <c r="R35" s="15">
        <f>$P35*'Allocation %'!K35</f>
        <v>0</v>
      </c>
      <c r="S35" s="15">
        <f>$P35*'Allocation %'!M35</f>
        <v>0</v>
      </c>
      <c r="T35" s="15">
        <f>$P35*'Allocation %'!N35</f>
        <v>0</v>
      </c>
      <c r="U35" s="15">
        <f>$P35*'Allocation %'!O35</f>
        <v>0</v>
      </c>
      <c r="V35" s="15">
        <f>$P35*'Allocation %'!P35</f>
        <v>0</v>
      </c>
      <c r="W35" s="15">
        <f>$P35*'Allocation %'!Q35</f>
        <v>0</v>
      </c>
      <c r="X35" s="15">
        <f>$P35*'Allocation %'!R35</f>
        <v>0</v>
      </c>
      <c r="Y35" s="15">
        <f>$P35*'Allocation %'!S35</f>
        <v>0</v>
      </c>
      <c r="Z35" s="15">
        <f>$P35*'Allocation %'!T35</f>
        <v>0</v>
      </c>
      <c r="AA35" s="15">
        <f>$P35*'Allocation %'!U35</f>
        <v>0</v>
      </c>
      <c r="AB35" s="15">
        <f>$P35*'Allocation %'!V35</f>
        <v>0</v>
      </c>
      <c r="AC35" s="15">
        <f>$P35*'Allocation %'!W35</f>
        <v>0</v>
      </c>
      <c r="AD35" s="15">
        <f>$P35*'Allocation %'!X35</f>
        <v>0</v>
      </c>
      <c r="AE35" s="15">
        <f>$P35*'Allocation %'!Y35</f>
        <v>0</v>
      </c>
      <c r="AF35" s="15">
        <f>$P35*'Allocation %'!Z35</f>
        <v>0</v>
      </c>
      <c r="AG35" s="15">
        <f>$P35*'Allocation %'!AA35</f>
        <v>0</v>
      </c>
      <c r="AH35" s="15">
        <f>$P35*'Allocation %'!AB35</f>
        <v>0</v>
      </c>
      <c r="AI35" s="15">
        <f>$P35*'Allocation %'!AC35</f>
        <v>0</v>
      </c>
      <c r="AJ35" s="15">
        <f>$P35*'Allocation %'!AD35</f>
        <v>0</v>
      </c>
      <c r="AK35" s="15">
        <f>$P35*'Allocation %'!AE35</f>
        <v>0</v>
      </c>
      <c r="AL35" s="15">
        <f>$P35*'Allocation %'!AF35</f>
        <v>0</v>
      </c>
      <c r="AM35" s="15">
        <f>$P35*'Allocation %'!AG35</f>
        <v>0</v>
      </c>
      <c r="AN35" s="15">
        <f>$P35*'Allocation %'!AH35</f>
        <v>0</v>
      </c>
      <c r="AO35" s="89">
        <f t="shared" si="2"/>
        <v>160.44</v>
      </c>
      <c r="AP35" s="19">
        <f t="shared" si="4"/>
        <v>0</v>
      </c>
    </row>
    <row r="36" spans="1:42" s="16" customFormat="1" ht="10.5" x14ac:dyDescent="0.25">
      <c r="A36" s="11">
        <f>Salary!A36</f>
        <v>33</v>
      </c>
      <c r="B36" s="17" t="str">
        <f>'Allocation %'!B36</f>
        <v>TYLER, Patricia</v>
      </c>
      <c r="C36" s="17">
        <v>33</v>
      </c>
      <c r="D36" s="17" t="str">
        <f>'Allocation %'!D36</f>
        <v>Abbott</v>
      </c>
      <c r="E36" s="17" t="str">
        <f>'Allocation %'!E36</f>
        <v>Cook</v>
      </c>
      <c r="F36" s="27">
        <v>1611.08</v>
      </c>
      <c r="G36" s="27">
        <f>F36*$G$3</f>
        <v>41888.080000000002</v>
      </c>
      <c r="H36" s="18"/>
      <c r="I36" s="18">
        <f t="shared" si="8"/>
        <v>11828.96</v>
      </c>
      <c r="J36" s="18">
        <v>75.73</v>
      </c>
      <c r="K36" s="18">
        <v>75.73</v>
      </c>
      <c r="L36" s="18"/>
      <c r="M36" s="18"/>
      <c r="N36" s="18"/>
      <c r="O36" s="18"/>
      <c r="P36" s="18">
        <f t="shared" si="3"/>
        <v>151.46</v>
      </c>
      <c r="Q36" s="15">
        <f>$P36*'Allocation %'!J36</f>
        <v>151.46</v>
      </c>
      <c r="R36" s="15">
        <f>$P36*'Allocation %'!K36</f>
        <v>0</v>
      </c>
      <c r="S36" s="15">
        <f>$P36*'Allocation %'!M36</f>
        <v>0</v>
      </c>
      <c r="T36" s="15">
        <f>$P36*'Allocation %'!N36</f>
        <v>0</v>
      </c>
      <c r="U36" s="15">
        <f>$P36*'Allocation %'!O36</f>
        <v>0</v>
      </c>
      <c r="V36" s="15">
        <f>$P36*'Allocation %'!P36</f>
        <v>0</v>
      </c>
      <c r="W36" s="15">
        <f>$P36*'Allocation %'!Q36</f>
        <v>0</v>
      </c>
      <c r="X36" s="15">
        <f>$P36*'Allocation %'!R36</f>
        <v>0</v>
      </c>
      <c r="Y36" s="15">
        <f>$P36*'Allocation %'!S36</f>
        <v>0</v>
      </c>
      <c r="Z36" s="15">
        <f>$P36*'Allocation %'!T36</f>
        <v>0</v>
      </c>
      <c r="AA36" s="15">
        <f>$P36*'Allocation %'!U36</f>
        <v>0</v>
      </c>
      <c r="AB36" s="15">
        <f>$P36*'Allocation %'!V36</f>
        <v>0</v>
      </c>
      <c r="AC36" s="15">
        <f>$P36*'Allocation %'!W36</f>
        <v>0</v>
      </c>
      <c r="AD36" s="15">
        <f>$P36*'Allocation %'!X36</f>
        <v>0</v>
      </c>
      <c r="AE36" s="15">
        <f>$P36*'Allocation %'!Y36</f>
        <v>0</v>
      </c>
      <c r="AF36" s="15">
        <f>$P36*'Allocation %'!Z36</f>
        <v>0</v>
      </c>
      <c r="AG36" s="15">
        <f>$P36*'Allocation %'!AA36</f>
        <v>0</v>
      </c>
      <c r="AH36" s="15">
        <f>$P36*'Allocation %'!AB36</f>
        <v>0</v>
      </c>
      <c r="AI36" s="15">
        <f>$P36*'Allocation %'!AC36</f>
        <v>0</v>
      </c>
      <c r="AJ36" s="15">
        <f>$P36*'Allocation %'!AD36</f>
        <v>0</v>
      </c>
      <c r="AK36" s="15">
        <f>$P36*'Allocation %'!AE36</f>
        <v>0</v>
      </c>
      <c r="AL36" s="15">
        <f>$P36*'Allocation %'!AF36</f>
        <v>0</v>
      </c>
      <c r="AM36" s="15">
        <f>$P36*'Allocation %'!AG36</f>
        <v>0</v>
      </c>
      <c r="AN36" s="15">
        <f>$P36*'Allocation %'!AH36</f>
        <v>0</v>
      </c>
      <c r="AO36" s="89">
        <f t="shared" si="2"/>
        <v>151.46</v>
      </c>
      <c r="AP36" s="19">
        <f t="shared" si="4"/>
        <v>0</v>
      </c>
    </row>
    <row r="37" spans="1:42" s="16" customFormat="1" ht="10.5" x14ac:dyDescent="0.25">
      <c r="A37" s="11">
        <f>Salary!A37</f>
        <v>34</v>
      </c>
      <c r="B37" s="17" t="str">
        <f>'Allocation %'!B37</f>
        <v>WARD, Richard G. - Off Jan 1</v>
      </c>
      <c r="C37" s="17">
        <v>34</v>
      </c>
      <c r="D37" s="17" t="str">
        <f>'Allocation %'!D37</f>
        <v>Admin</v>
      </c>
      <c r="E37" s="17">
        <f>'Allocation %'!E37</f>
        <v>0</v>
      </c>
      <c r="F37" s="27">
        <v>454.96</v>
      </c>
      <c r="G37" s="27">
        <f t="shared" si="0"/>
        <v>11828.96</v>
      </c>
      <c r="H37" s="18"/>
      <c r="I37" s="22">
        <f t="shared" si="8"/>
        <v>110000.02000000002</v>
      </c>
      <c r="J37" s="18"/>
      <c r="K37" s="18"/>
      <c r="L37" s="18"/>
      <c r="M37" s="18"/>
      <c r="N37" s="18"/>
      <c r="O37" s="18"/>
      <c r="P37" s="18">
        <f t="shared" si="3"/>
        <v>0</v>
      </c>
      <c r="Q37" s="15">
        <f>$P37*'Allocation %'!J37</f>
        <v>0</v>
      </c>
      <c r="R37" s="15">
        <f>$P37*'Allocation %'!K37</f>
        <v>0</v>
      </c>
      <c r="S37" s="15">
        <f>$P37*'Allocation %'!M37</f>
        <v>0</v>
      </c>
      <c r="T37" s="15">
        <f>$P37*'Allocation %'!N37</f>
        <v>0</v>
      </c>
      <c r="U37" s="15">
        <f>$P37*'Allocation %'!O37</f>
        <v>0</v>
      </c>
      <c r="V37" s="15">
        <f>$P37*'Allocation %'!P37</f>
        <v>0</v>
      </c>
      <c r="W37" s="15">
        <f>$P37*'Allocation %'!Q37</f>
        <v>0</v>
      </c>
      <c r="X37" s="15">
        <f>$P37*'Allocation %'!R37</f>
        <v>0</v>
      </c>
      <c r="Y37" s="15">
        <f>$P37*'Allocation %'!S37</f>
        <v>0</v>
      </c>
      <c r="Z37" s="15">
        <f>$P37*'Allocation %'!T37</f>
        <v>0</v>
      </c>
      <c r="AA37" s="15">
        <f>$P37*'Allocation %'!U37</f>
        <v>0</v>
      </c>
      <c r="AB37" s="15">
        <f>$P37*'Allocation %'!V37</f>
        <v>0</v>
      </c>
      <c r="AC37" s="15">
        <f>$P37*'Allocation %'!W37</f>
        <v>0</v>
      </c>
      <c r="AD37" s="15">
        <f>$P37*'Allocation %'!X37</f>
        <v>0</v>
      </c>
      <c r="AE37" s="15">
        <f>$P37*'Allocation %'!Y37</f>
        <v>0</v>
      </c>
      <c r="AF37" s="15">
        <f>$P37*'Allocation %'!Z37</f>
        <v>0</v>
      </c>
      <c r="AG37" s="15">
        <f>$P37*'Allocation %'!AA37</f>
        <v>0</v>
      </c>
      <c r="AH37" s="15">
        <f>$P37*'Allocation %'!AB37</f>
        <v>0</v>
      </c>
      <c r="AI37" s="15">
        <f>$P37*'Allocation %'!AC37</f>
        <v>0</v>
      </c>
      <c r="AJ37" s="15">
        <f>$P37*'Allocation %'!AD37</f>
        <v>0</v>
      </c>
      <c r="AK37" s="15">
        <f>$P37*'Allocation %'!AE37</f>
        <v>0</v>
      </c>
      <c r="AL37" s="15">
        <f>$P37*'Allocation %'!AF37</f>
        <v>0</v>
      </c>
      <c r="AM37" s="15">
        <f>$P37*'Allocation %'!AG37</f>
        <v>0</v>
      </c>
      <c r="AN37" s="15">
        <f>$P37*'Allocation %'!AH37</f>
        <v>0</v>
      </c>
      <c r="AO37" s="89">
        <f t="shared" si="2"/>
        <v>0</v>
      </c>
      <c r="AP37" s="19">
        <f t="shared" si="4"/>
        <v>0</v>
      </c>
    </row>
    <row r="38" spans="1:42" s="16" customFormat="1" ht="10.5" x14ac:dyDescent="0.25">
      <c r="A38" s="11">
        <f>Salary!A38</f>
        <v>35</v>
      </c>
      <c r="B38" s="17" t="str">
        <f>'Allocation %'!B38</f>
        <v xml:space="preserve">Williams, Kyneisha - Career Coach </v>
      </c>
      <c r="C38" s="17">
        <v>35</v>
      </c>
      <c r="D38" s="17" t="str">
        <f>'Allocation %'!D38</f>
        <v>United Airlines, PACE June 30</v>
      </c>
      <c r="E38" s="17">
        <f>'Allocation %'!E38</f>
        <v>0</v>
      </c>
      <c r="F38" s="29">
        <v>4230.7700000000004</v>
      </c>
      <c r="G38" s="29">
        <f t="shared" si="0"/>
        <v>110000.02000000002</v>
      </c>
      <c r="H38" s="18"/>
      <c r="I38" s="18">
        <f t="shared" si="8"/>
        <v>40000.22</v>
      </c>
      <c r="J38" s="18">
        <v>59.97</v>
      </c>
      <c r="K38" s="18">
        <v>59.97</v>
      </c>
      <c r="L38" s="22"/>
      <c r="M38" s="22"/>
      <c r="N38" s="22"/>
      <c r="O38" s="22"/>
      <c r="P38" s="18">
        <f t="shared" si="3"/>
        <v>119.94</v>
      </c>
      <c r="Q38" s="15">
        <f>$P38*'Allocation %'!J38</f>
        <v>0</v>
      </c>
      <c r="R38" s="15">
        <f>$P38*'Allocation %'!K38</f>
        <v>0</v>
      </c>
      <c r="S38" s="15">
        <f>$P38*'Allocation %'!M38</f>
        <v>0</v>
      </c>
      <c r="T38" s="15">
        <f>$P38*'Allocation %'!N38</f>
        <v>0</v>
      </c>
      <c r="U38" s="15">
        <f>$P38*'Allocation %'!O38</f>
        <v>0</v>
      </c>
      <c r="V38" s="15">
        <f>$P38*'Allocation %'!P38</f>
        <v>0</v>
      </c>
      <c r="W38" s="15">
        <f>$P38*'Allocation %'!Q38</f>
        <v>119.94</v>
      </c>
      <c r="X38" s="15">
        <f>$P38*'Allocation %'!R38</f>
        <v>0</v>
      </c>
      <c r="Y38" s="15">
        <f>$P38*'Allocation %'!S38</f>
        <v>0</v>
      </c>
      <c r="Z38" s="15">
        <f>$P38*'Allocation %'!T38</f>
        <v>0</v>
      </c>
      <c r="AA38" s="15">
        <f>$P38*'Allocation %'!U38</f>
        <v>0</v>
      </c>
      <c r="AB38" s="15">
        <f>$P38*'Allocation %'!V38</f>
        <v>0</v>
      </c>
      <c r="AC38" s="15">
        <f>$P38*'Allocation %'!W38</f>
        <v>0</v>
      </c>
      <c r="AD38" s="15">
        <f>$P38*'Allocation %'!X38</f>
        <v>0</v>
      </c>
      <c r="AE38" s="15">
        <f>$P38*'Allocation %'!Y38</f>
        <v>0</v>
      </c>
      <c r="AF38" s="15">
        <f>$P38*'Allocation %'!Z38</f>
        <v>0</v>
      </c>
      <c r="AG38" s="15">
        <f>$P38*'Allocation %'!AA38</f>
        <v>0</v>
      </c>
      <c r="AH38" s="15">
        <f>$P38*'Allocation %'!AB38</f>
        <v>0</v>
      </c>
      <c r="AI38" s="15">
        <f>$P38*'Allocation %'!AC38</f>
        <v>0</v>
      </c>
      <c r="AJ38" s="15">
        <f>$P38*'Allocation %'!AD38</f>
        <v>0</v>
      </c>
      <c r="AK38" s="15">
        <f>$P38*'Allocation %'!AE38</f>
        <v>0</v>
      </c>
      <c r="AL38" s="15">
        <f>$P38*'Allocation %'!AF38</f>
        <v>0</v>
      </c>
      <c r="AM38" s="15">
        <f>$P38*'Allocation %'!AG38</f>
        <v>0</v>
      </c>
      <c r="AN38" s="15">
        <f>$P38*'Allocation %'!AH38</f>
        <v>0</v>
      </c>
      <c r="AO38" s="89">
        <f t="shared" si="2"/>
        <v>119.94</v>
      </c>
      <c r="AP38" s="19">
        <f t="shared" si="4"/>
        <v>0</v>
      </c>
    </row>
    <row r="39" spans="1:42" s="16" customFormat="1" ht="10.5" x14ac:dyDescent="0.25">
      <c r="A39" s="11">
        <f>Salary!A39</f>
        <v>36</v>
      </c>
      <c r="B39" s="17" t="str">
        <f>'Allocation %'!B39</f>
        <v>WOODRIDGE, Rosalind</v>
      </c>
      <c r="C39" s="17">
        <v>36</v>
      </c>
      <c r="D39" s="17" t="str">
        <f>'Allocation %'!D39</f>
        <v>Wrap</v>
      </c>
      <c r="E39" s="17" t="str">
        <f>'Allocation %'!E39</f>
        <v>Wrap Teacher</v>
      </c>
      <c r="F39" s="27">
        <v>1538.47</v>
      </c>
      <c r="G39" s="27">
        <f>F39*$G$3</f>
        <v>40000.22</v>
      </c>
      <c r="H39" s="18"/>
      <c r="I39" s="18">
        <f t="shared" si="8"/>
        <v>0</v>
      </c>
      <c r="J39" s="18">
        <v>57.91</v>
      </c>
      <c r="K39" s="18">
        <v>57.91</v>
      </c>
      <c r="L39" s="18"/>
      <c r="M39" s="18"/>
      <c r="N39" s="18"/>
      <c r="O39" s="18"/>
      <c r="P39" s="18">
        <f t="shared" si="3"/>
        <v>115.82</v>
      </c>
      <c r="Q39" s="15">
        <f>$P39*'Allocation %'!J39</f>
        <v>0</v>
      </c>
      <c r="R39" s="15">
        <f>$P39*'Allocation %'!K39</f>
        <v>0</v>
      </c>
      <c r="S39" s="15">
        <f>$P39*'Allocation %'!M39</f>
        <v>0</v>
      </c>
      <c r="T39" s="15">
        <f>$P39*'Allocation %'!N39</f>
        <v>0</v>
      </c>
      <c r="U39" s="15">
        <f>$P39*'Allocation %'!O39</f>
        <v>0</v>
      </c>
      <c r="V39" s="15">
        <f>$P39*'Allocation %'!P39</f>
        <v>0</v>
      </c>
      <c r="W39" s="15">
        <f>$P39*'Allocation %'!Q39</f>
        <v>0</v>
      </c>
      <c r="X39" s="15">
        <f>$P39*'Allocation %'!R39</f>
        <v>0</v>
      </c>
      <c r="Y39" s="15">
        <f>$P39*'Allocation %'!S39</f>
        <v>0</v>
      </c>
      <c r="Z39" s="15">
        <f>$P39*'Allocation %'!T39</f>
        <v>0</v>
      </c>
      <c r="AA39" s="15">
        <f>$P39*'Allocation %'!U39</f>
        <v>0</v>
      </c>
      <c r="AB39" s="15">
        <f>$P39*'Allocation %'!V39</f>
        <v>0</v>
      </c>
      <c r="AC39" s="15">
        <f>$P39*'Allocation %'!W39</f>
        <v>0</v>
      </c>
      <c r="AD39" s="15">
        <f>$P39*'Allocation %'!X39</f>
        <v>0</v>
      </c>
      <c r="AE39" s="15">
        <f>$P39*'Allocation %'!Y39</f>
        <v>0</v>
      </c>
      <c r="AF39" s="15">
        <f>$P39*'Allocation %'!Z39</f>
        <v>0</v>
      </c>
      <c r="AG39" s="15">
        <f>$P39*'Allocation %'!AA39</f>
        <v>0</v>
      </c>
      <c r="AH39" s="15">
        <f>$P39*'Allocation %'!AB39</f>
        <v>0</v>
      </c>
      <c r="AI39" s="15">
        <f>$P39*'Allocation %'!AC39</f>
        <v>0</v>
      </c>
      <c r="AJ39" s="15">
        <f>$P39*'Allocation %'!AD39</f>
        <v>0</v>
      </c>
      <c r="AK39" s="15">
        <f>$P39*'Allocation %'!AE39</f>
        <v>0</v>
      </c>
      <c r="AL39" s="15">
        <f>$P39*'Allocation %'!AF39</f>
        <v>0</v>
      </c>
      <c r="AM39" s="15">
        <f>$P39*'Allocation %'!AG39</f>
        <v>0</v>
      </c>
      <c r="AN39" s="15">
        <f>$P39*'Allocation %'!AH39</f>
        <v>0</v>
      </c>
      <c r="AO39" s="89">
        <f t="shared" si="2"/>
        <v>0</v>
      </c>
      <c r="AP39" s="19">
        <f t="shared" si="4"/>
        <v>115.82</v>
      </c>
    </row>
    <row r="40" spans="1:42" s="16" customFormat="1" ht="10.5" x14ac:dyDescent="0.25">
      <c r="A40" s="11"/>
      <c r="B40" s="17"/>
      <c r="C40" s="17"/>
      <c r="D40" s="17"/>
      <c r="E40" s="17"/>
      <c r="F40" s="18"/>
      <c r="G40" s="18"/>
      <c r="H40" s="18"/>
      <c r="J40" s="18"/>
      <c r="K40" s="18"/>
      <c r="L40" s="18"/>
      <c r="M40" s="18"/>
      <c r="N40" s="18"/>
      <c r="O40" s="18"/>
      <c r="P40" s="18">
        <f t="shared" si="3"/>
        <v>0</v>
      </c>
      <c r="Q40" s="15">
        <f>$P40*'Allocation %'!J40</f>
        <v>0</v>
      </c>
      <c r="R40" s="15">
        <f>$P40*'Allocation %'!K40</f>
        <v>0</v>
      </c>
      <c r="S40" s="15">
        <f>$P40*'Allocation %'!M40</f>
        <v>0</v>
      </c>
      <c r="T40" s="15">
        <f>$P40*'Allocation %'!N40</f>
        <v>0</v>
      </c>
      <c r="U40" s="15">
        <f>$P40*'Allocation %'!O40</f>
        <v>0</v>
      </c>
      <c r="V40" s="15">
        <f>$P40*'Allocation %'!P40</f>
        <v>0</v>
      </c>
      <c r="W40" s="15">
        <f>$P40*'Allocation %'!Q40</f>
        <v>0</v>
      </c>
      <c r="X40" s="15">
        <f>$P40*'Allocation %'!R40</f>
        <v>0</v>
      </c>
      <c r="Y40" s="15">
        <f>$P40*'Allocation %'!S40</f>
        <v>0</v>
      </c>
      <c r="Z40" s="15">
        <f>$P40*'Allocation %'!T40</f>
        <v>0</v>
      </c>
      <c r="AA40" s="15">
        <f>$P40*'Allocation %'!U40</f>
        <v>0</v>
      </c>
      <c r="AB40" s="15">
        <f>$P40*'Allocation %'!V40</f>
        <v>0</v>
      </c>
      <c r="AC40" s="15">
        <f>$P40*'Allocation %'!W40</f>
        <v>0</v>
      </c>
      <c r="AD40" s="15">
        <f>$P40*'Allocation %'!X40</f>
        <v>0</v>
      </c>
      <c r="AE40" s="15">
        <f>$P40*'Allocation %'!Y40</f>
        <v>0</v>
      </c>
      <c r="AF40" s="15">
        <f>$P40*'Allocation %'!Z40</f>
        <v>0</v>
      </c>
      <c r="AG40" s="15">
        <f>$P40*'Allocation %'!AA40</f>
        <v>0</v>
      </c>
      <c r="AH40" s="15">
        <f>$P40*'Allocation %'!AB40</f>
        <v>0</v>
      </c>
      <c r="AI40" s="15">
        <f>$P40*'Allocation %'!AC40</f>
        <v>0</v>
      </c>
      <c r="AJ40" s="15">
        <f>$P40*'Allocation %'!AD40</f>
        <v>0</v>
      </c>
      <c r="AK40" s="15">
        <f>$P40*'Allocation %'!AE40</f>
        <v>0</v>
      </c>
      <c r="AL40" s="15">
        <f>$P40*'Allocation %'!AF40</f>
        <v>0</v>
      </c>
      <c r="AM40" s="15">
        <f>$P40*'Allocation %'!AG40</f>
        <v>0</v>
      </c>
      <c r="AN40" s="15">
        <f>$P40*'Allocation %'!AH40</f>
        <v>0</v>
      </c>
      <c r="AO40" s="89">
        <f t="shared" si="2"/>
        <v>0</v>
      </c>
      <c r="AP40" s="19">
        <f t="shared" si="4"/>
        <v>0</v>
      </c>
    </row>
    <row r="41" spans="1:42" s="16" customFormat="1" ht="10.5" x14ac:dyDescent="0.25">
      <c r="A41" s="11"/>
      <c r="B41" s="17"/>
      <c r="C41" s="17"/>
      <c r="D41" s="17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>
        <f t="shared" si="3"/>
        <v>0</v>
      </c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89">
        <f t="shared" si="2"/>
        <v>0</v>
      </c>
      <c r="AP41" s="19">
        <f t="shared" si="4"/>
        <v>0</v>
      </c>
    </row>
    <row r="42" spans="1:42" s="16" customFormat="1" ht="11" thickBot="1" x14ac:dyDescent="0.3">
      <c r="A42" s="11"/>
      <c r="B42" s="17"/>
      <c r="C42" s="17"/>
      <c r="D42" s="33"/>
      <c r="E42" s="33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89">
        <f t="shared" ref="AO42" si="9">SUM(Q42:AN42)</f>
        <v>0</v>
      </c>
      <c r="AP42" s="19"/>
    </row>
    <row r="43" spans="1:42" s="37" customFormat="1" ht="11" thickBot="1" x14ac:dyDescent="0.3">
      <c r="A43" s="34"/>
      <c r="B43" s="17"/>
      <c r="C43" s="17"/>
      <c r="D43" s="33"/>
      <c r="E43" s="33"/>
      <c r="F43" s="35">
        <f>SUM(F4:F42)</f>
        <v>62250.78</v>
      </c>
      <c r="G43" s="35">
        <f t="shared" ref="G43:AO43" si="10">SUM(G4:G42)</f>
        <v>1618520.28</v>
      </c>
      <c r="H43" s="35">
        <f t="shared" si="10"/>
        <v>6538.4699999999993</v>
      </c>
      <c r="I43" s="35">
        <f t="shared" si="10"/>
        <v>1634520.42</v>
      </c>
      <c r="J43" s="35">
        <f t="shared" si="10"/>
        <v>1491.1000000000004</v>
      </c>
      <c r="K43" s="35">
        <f t="shared" si="10"/>
        <v>1491.1000000000004</v>
      </c>
      <c r="L43" s="35">
        <f t="shared" si="10"/>
        <v>0</v>
      </c>
      <c r="M43" s="35">
        <f t="shared" si="10"/>
        <v>0</v>
      </c>
      <c r="N43" s="35">
        <f t="shared" si="10"/>
        <v>0</v>
      </c>
      <c r="O43" s="35">
        <f t="shared" si="10"/>
        <v>0</v>
      </c>
      <c r="P43" s="75">
        <f t="shared" si="10"/>
        <v>2982.2000000000007</v>
      </c>
      <c r="Q43" s="35">
        <f t="shared" si="10"/>
        <v>1208.8920000000001</v>
      </c>
      <c r="R43" s="35">
        <f t="shared" si="10"/>
        <v>62.188000000000002</v>
      </c>
      <c r="S43" s="35">
        <f t="shared" si="10"/>
        <v>244.26</v>
      </c>
      <c r="T43" s="35">
        <f t="shared" si="10"/>
        <v>291.48399999999998</v>
      </c>
      <c r="U43" s="35">
        <f t="shared" si="10"/>
        <v>161.15199999999999</v>
      </c>
      <c r="V43" s="35">
        <f t="shared" ref="V43" si="11">SUM(V4:V42)</f>
        <v>60.704799999999999</v>
      </c>
      <c r="W43" s="35">
        <f t="shared" ref="W43" si="12">SUM(W4:W42)</f>
        <v>119.94</v>
      </c>
      <c r="X43" s="35">
        <f t="shared" si="10"/>
        <v>0</v>
      </c>
      <c r="Y43" s="35">
        <f t="shared" ref="Y43" si="13">SUM(Y4:Y42)</f>
        <v>0</v>
      </c>
      <c r="Z43" s="35">
        <f t="shared" ref="Z43:AB43" si="14">SUM(Z4:Z42)</f>
        <v>9.2409999999999997</v>
      </c>
      <c r="AA43" s="35">
        <f t="shared" si="14"/>
        <v>7.3928000000000003</v>
      </c>
      <c r="AB43" s="35">
        <f t="shared" si="14"/>
        <v>3.6964000000000001</v>
      </c>
      <c r="AC43" s="35">
        <f t="shared" ref="AC43:AF43" si="15">SUM(AC4:AC42)</f>
        <v>12.6752</v>
      </c>
      <c r="AD43" s="35">
        <f t="shared" si="15"/>
        <v>79.216800000000006</v>
      </c>
      <c r="AE43" s="35">
        <f t="shared" si="15"/>
        <v>2.8548</v>
      </c>
      <c r="AF43" s="35">
        <f t="shared" si="15"/>
        <v>4.2822000000000005</v>
      </c>
      <c r="AG43" s="35">
        <f t="shared" si="10"/>
        <v>40.586399999999998</v>
      </c>
      <c r="AH43" s="35">
        <f t="shared" si="10"/>
        <v>43.592799999999997</v>
      </c>
      <c r="AI43" s="35">
        <f t="shared" si="10"/>
        <v>255.68079999999998</v>
      </c>
      <c r="AJ43" s="35">
        <f t="shared" si="10"/>
        <v>232.68600000000004</v>
      </c>
      <c r="AK43" s="35">
        <f t="shared" si="10"/>
        <v>0</v>
      </c>
      <c r="AL43" s="35">
        <f t="shared" si="10"/>
        <v>25.854000000000003</v>
      </c>
      <c r="AM43" s="35">
        <f t="shared" si="10"/>
        <v>0</v>
      </c>
      <c r="AN43" s="35">
        <f t="shared" si="10"/>
        <v>0</v>
      </c>
      <c r="AO43" s="90">
        <f t="shared" si="10"/>
        <v>2866.3800000000006</v>
      </c>
      <c r="AP43" s="36"/>
    </row>
    <row r="44" spans="1:42" s="10" customFormat="1" ht="15" x14ac:dyDescent="0.4">
      <c r="A44" s="15"/>
      <c r="B44" s="29"/>
      <c r="C44" s="29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9">
        <f t="shared" ref="Q44:V44" si="16">Q43/$AO$43</f>
        <v>0.42174868649655656</v>
      </c>
      <c r="R44" s="39">
        <f t="shared" si="16"/>
        <v>2.169565793788681E-2</v>
      </c>
      <c r="S44" s="39">
        <f t="shared" si="16"/>
        <v>8.5215498294015424E-2</v>
      </c>
      <c r="T44" s="39">
        <f t="shared" si="16"/>
        <v>0.10169063417969701</v>
      </c>
      <c r="U44" s="39">
        <f t="shared" si="16"/>
        <v>5.6221436097098065E-2</v>
      </c>
      <c r="V44" s="39">
        <f t="shared" si="16"/>
        <v>2.1178210844340243E-2</v>
      </c>
      <c r="W44" s="39">
        <f t="shared" ref="W44" si="17">W43/$AO$43</f>
        <v>4.1843719255646485E-2</v>
      </c>
      <c r="X44" s="39">
        <f>X43/$AO$43</f>
        <v>0</v>
      </c>
      <c r="Y44" s="39">
        <f>Y43/$AO$43</f>
        <v>0</v>
      </c>
      <c r="Z44" s="39">
        <f t="shared" ref="Z44:AB44" si="18">Z43/$AO$43</f>
        <v>3.2239270438671765E-3</v>
      </c>
      <c r="AA44" s="39">
        <f t="shared" si="18"/>
        <v>2.5791416350937416E-3</v>
      </c>
      <c r="AB44" s="39">
        <f t="shared" si="18"/>
        <v>1.2895708175468708E-3</v>
      </c>
      <c r="AC44" s="39">
        <f t="shared" ref="AC44" si="19">AC43/$AO$43</f>
        <v>4.4220235977086072E-3</v>
      </c>
      <c r="AD44" s="39">
        <f t="shared" ref="AD44" si="20">AD43/$AO$43</f>
        <v>2.7636531094969958E-2</v>
      </c>
      <c r="AE44" s="39">
        <f t="shared" ref="AE44" si="21">AE43/$AO$43</f>
        <v>9.9596006112239116E-4</v>
      </c>
      <c r="AF44" s="39">
        <f t="shared" ref="AF44" si="22">AF43/$AO$43</f>
        <v>1.4939400916835867E-3</v>
      </c>
      <c r="AG44" s="39">
        <f t="shared" ref="AG44:AN44" si="23">AG43/$AO$43</f>
        <v>1.4159462457873691E-2</v>
      </c>
      <c r="AH44" s="39">
        <f t="shared" si="23"/>
        <v>1.5208311528827297E-2</v>
      </c>
      <c r="AI44" s="39">
        <f t="shared" si="23"/>
        <v>8.9199896733859405E-2</v>
      </c>
      <c r="AJ44" s="39">
        <f t="shared" si="23"/>
        <v>8.1177652648985826E-2</v>
      </c>
      <c r="AK44" s="39">
        <f t="shared" si="23"/>
        <v>0</v>
      </c>
      <c r="AL44" s="39">
        <f t="shared" si="23"/>
        <v>9.0197391832206476E-3</v>
      </c>
      <c r="AM44" s="39">
        <f t="shared" si="23"/>
        <v>0</v>
      </c>
      <c r="AN44" s="39">
        <f t="shared" si="23"/>
        <v>0</v>
      </c>
      <c r="AO44" s="39">
        <f>SUM(Q44:AN44)</f>
        <v>0.99999999999999978</v>
      </c>
    </row>
    <row r="45" spans="1:42" ht="15" thickBot="1" x14ac:dyDescent="0.4"/>
    <row r="46" spans="1:42" ht="15" thickBot="1" x14ac:dyDescent="0.4">
      <c r="Q46" s="71" t="str">
        <f>Q2</f>
        <v>Abbott</v>
      </c>
      <c r="R46" s="71" t="str">
        <f t="shared" ref="R46:AN46" si="24">R2</f>
        <v>Abbott - Other</v>
      </c>
      <c r="S46" s="71" t="str">
        <f t="shared" si="24"/>
        <v>Toddlers</v>
      </c>
      <c r="T46" s="71" t="str">
        <f t="shared" si="24"/>
        <v>USJP</v>
      </c>
      <c r="U46" s="71" t="str">
        <f t="shared" si="24"/>
        <v>Workforce UA</v>
      </c>
      <c r="V46" s="71" t="str">
        <f t="shared" ref="V46" si="25">V2</f>
        <v>Pru -Workforce</v>
      </c>
      <c r="W46" s="71" t="str">
        <f t="shared" ref="W46" si="26">W2</f>
        <v>PACE</v>
      </c>
      <c r="X46" s="71" t="str">
        <f t="shared" si="24"/>
        <v>Housing ESG</v>
      </c>
      <c r="Y46" s="71" t="str">
        <f t="shared" ref="Y46" si="27">Y2</f>
        <v>NRTC18</v>
      </c>
      <c r="Z46" s="71" t="str">
        <f t="shared" ref="Z46:AB46" si="28">Z2</f>
        <v>NRTC 20</v>
      </c>
      <c r="AA46" s="71" t="str">
        <f t="shared" si="28"/>
        <v>CDBG</v>
      </c>
      <c r="AB46" s="71" t="str">
        <f t="shared" si="28"/>
        <v>PARS</v>
      </c>
      <c r="AC46" s="71" t="str">
        <f t="shared" ref="AC46:AF46" si="29">AC2</f>
        <v>Save Up2</v>
      </c>
      <c r="AD46" s="71" t="str">
        <f t="shared" si="29"/>
        <v>LISC 2020</v>
      </c>
      <c r="AE46" s="71" t="str">
        <f t="shared" si="29"/>
        <v xml:space="preserve">PRU -FOC </v>
      </c>
      <c r="AF46" s="71" t="str">
        <f t="shared" si="29"/>
        <v>NRTC 18</v>
      </c>
      <c r="AG46" s="71" t="str">
        <f t="shared" si="24"/>
        <v>Real Estate/NRTC</v>
      </c>
      <c r="AH46" s="71" t="str">
        <f t="shared" si="24"/>
        <v>Coding</v>
      </c>
      <c r="AI46" s="71" t="str">
        <f t="shared" si="24"/>
        <v>Neigh Revit</v>
      </c>
      <c r="AJ46" s="71" t="str">
        <f t="shared" si="24"/>
        <v>CEO</v>
      </c>
      <c r="AK46" s="71" t="str">
        <f t="shared" si="24"/>
        <v>CFO</v>
      </c>
      <c r="AL46" s="71" t="str">
        <f t="shared" si="24"/>
        <v>Fundraising</v>
      </c>
      <c r="AM46" s="71" t="str">
        <f t="shared" si="24"/>
        <v>Opprt Corp</v>
      </c>
      <c r="AN46" s="71">
        <f t="shared" si="24"/>
        <v>0</v>
      </c>
      <c r="AO46" s="47" t="s">
        <v>35</v>
      </c>
    </row>
    <row r="47" spans="1:42" x14ac:dyDescent="0.35">
      <c r="I47" s="44" t="s">
        <v>36</v>
      </c>
      <c r="Q47" s="48">
        <v>14</v>
      </c>
      <c r="R47" s="48"/>
      <c r="S47" s="48">
        <v>2</v>
      </c>
      <c r="T47" s="48">
        <v>4</v>
      </c>
      <c r="U47" s="48">
        <v>4</v>
      </c>
      <c r="V47" s="48"/>
      <c r="W47" s="48">
        <v>5</v>
      </c>
      <c r="X47" s="48">
        <v>2</v>
      </c>
      <c r="Y47" s="48"/>
      <c r="Z47" s="48"/>
      <c r="AA47" s="48"/>
      <c r="AB47" s="48"/>
      <c r="AC47" s="48"/>
      <c r="AD47" s="48"/>
      <c r="AE47" s="48">
        <v>2</v>
      </c>
      <c r="AF47" s="48"/>
      <c r="AG47" s="48">
        <v>1.5</v>
      </c>
      <c r="AH47" s="48">
        <v>1.5</v>
      </c>
      <c r="AI47" s="48">
        <v>1.5</v>
      </c>
      <c r="AJ47" s="48">
        <v>2</v>
      </c>
      <c r="AK47" s="48">
        <v>2</v>
      </c>
      <c r="AL47" s="48"/>
      <c r="AM47" s="48">
        <v>1</v>
      </c>
      <c r="AN47" s="48"/>
      <c r="AO47" s="39">
        <f>SUM(Q47:AN47)</f>
        <v>42.5</v>
      </c>
    </row>
    <row r="49" spans="9:9" x14ac:dyDescent="0.35">
      <c r="I49" s="44" t="s">
        <v>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8"/>
  <sheetViews>
    <sheetView topLeftCell="W5" workbookViewId="0">
      <selection activeCell="X2" sqref="X2:Y45"/>
    </sheetView>
  </sheetViews>
  <sheetFormatPr defaultRowHeight="14.5" x14ac:dyDescent="0.35"/>
  <cols>
    <col min="1" max="1" width="6.81640625" style="11" customWidth="1"/>
    <col min="2" max="2" width="35.7265625" style="40" customWidth="1"/>
    <col min="3" max="3" width="4.7265625" style="40" customWidth="1"/>
    <col min="4" max="4" width="18.81640625" style="41" customWidth="1"/>
    <col min="5" max="5" width="20.81640625" style="42" customWidth="1"/>
    <col min="6" max="6" width="19.453125" style="43" hidden="1" customWidth="1"/>
    <col min="7" max="8" width="19.453125" style="44" hidden="1" customWidth="1"/>
    <col min="9" max="11" width="14" style="44" customWidth="1"/>
    <col min="12" max="15" width="14" style="44" hidden="1" customWidth="1"/>
    <col min="16" max="16" width="14" style="44" customWidth="1"/>
    <col min="17" max="17" width="16.1796875" bestFit="1" customWidth="1"/>
    <col min="18" max="18" width="16.1796875" customWidth="1"/>
    <col min="19" max="19" width="10.7265625" bestFit="1" customWidth="1"/>
    <col min="20" max="20" width="11.54296875" bestFit="1" customWidth="1"/>
    <col min="21" max="23" width="15.81640625" customWidth="1"/>
    <col min="24" max="30" width="13.81640625" customWidth="1"/>
    <col min="31" max="32" width="15.1796875" customWidth="1"/>
    <col min="33" max="33" width="12.54296875" customWidth="1"/>
    <col min="34" max="35" width="11.54296875" bestFit="1" customWidth="1"/>
    <col min="36" max="37" width="11.7265625" bestFit="1" customWidth="1"/>
    <col min="38" max="38" width="11.7265625" customWidth="1"/>
    <col min="39" max="39" width="10.7265625" bestFit="1" customWidth="1"/>
    <col min="40" max="40" width="11.54296875" bestFit="1" customWidth="1"/>
    <col min="41" max="41" width="12.1796875" customWidth="1"/>
    <col min="42" max="42" width="11.81640625" customWidth="1"/>
  </cols>
  <sheetData>
    <row r="1" spans="1:44" ht="15" thickBot="1" x14ac:dyDescent="0.4">
      <c r="B1" s="40" t="s">
        <v>58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</row>
    <row r="2" spans="1:44" ht="18.75" customHeight="1" thickBot="1" x14ac:dyDescent="0.4">
      <c r="A2" s="1"/>
      <c r="B2" s="2" t="s">
        <v>0</v>
      </c>
      <c r="C2" s="3"/>
      <c r="D2" s="4" t="s">
        <v>1</v>
      </c>
      <c r="E2" s="4"/>
      <c r="F2" s="5" t="s">
        <v>2</v>
      </c>
      <c r="G2" s="4" t="s">
        <v>3</v>
      </c>
      <c r="H2" s="4" t="s">
        <v>4</v>
      </c>
      <c r="I2" s="4" t="s">
        <v>5</v>
      </c>
      <c r="J2" s="72">
        <v>43843</v>
      </c>
      <c r="K2" s="72">
        <v>43857</v>
      </c>
      <c r="L2" s="72"/>
      <c r="M2" s="72"/>
      <c r="N2" s="72"/>
      <c r="O2" s="72"/>
      <c r="P2" s="72" t="s">
        <v>73</v>
      </c>
      <c r="Q2" s="69" t="str">
        <f>'Life and Dental'!Q2</f>
        <v>Abbott</v>
      </c>
      <c r="R2" s="69" t="str">
        <f>'Life and Dental'!R2</f>
        <v>Abbott - Other</v>
      </c>
      <c r="S2" s="69" t="str">
        <f>'Life and Dental'!S2</f>
        <v>Toddlers</v>
      </c>
      <c r="T2" s="69" t="str">
        <f>'Life and Dental'!T2</f>
        <v>USJP</v>
      </c>
      <c r="U2" s="78" t="str">
        <f>'Life and Dental'!U2</f>
        <v>Workforce UA</v>
      </c>
      <c r="V2" s="78" t="str">
        <f>'Life and Dental'!V2</f>
        <v>Pru -Workforce</v>
      </c>
      <c r="W2" s="78" t="str">
        <f>'Life and Dental'!W2</f>
        <v>PACE</v>
      </c>
      <c r="X2" s="83" t="str">
        <f>'Life and Dental'!X2</f>
        <v>Housing ESG</v>
      </c>
      <c r="Y2" s="83" t="str">
        <f>'Life and Dental'!Y2</f>
        <v>NRTC18</v>
      </c>
      <c r="Z2" s="83" t="str">
        <f>'Life and Dental'!Z2</f>
        <v>NRTC 20</v>
      </c>
      <c r="AA2" s="83" t="str">
        <f>'Life and Dental'!AA2</f>
        <v>CDBG</v>
      </c>
      <c r="AB2" s="83" t="str">
        <f>'Life and Dental'!AB2</f>
        <v>PARS</v>
      </c>
      <c r="AC2" s="84" t="str">
        <f>'Life and Dental'!AC2</f>
        <v>Save Up2</v>
      </c>
      <c r="AD2" s="84" t="str">
        <f>'Life and Dental'!AD2</f>
        <v>LISC 2020</v>
      </c>
      <c r="AE2" s="84" t="str">
        <f>'Life and Dental'!AE2</f>
        <v xml:space="preserve">PRU -FOC </v>
      </c>
      <c r="AF2" s="84" t="str">
        <f>'Life and Dental'!AF2</f>
        <v>NRTC 18</v>
      </c>
      <c r="AG2" s="86" t="str">
        <f>'Life and Dental'!AG2</f>
        <v>Real Estate/NRTC</v>
      </c>
      <c r="AH2" s="86" t="str">
        <f>'Life and Dental'!AH2</f>
        <v>Coding</v>
      </c>
      <c r="AI2" s="86" t="str">
        <f>'Life and Dental'!AI2</f>
        <v>Neigh Revit</v>
      </c>
      <c r="AJ2" s="69" t="str">
        <f>'Life and Dental'!AJ2</f>
        <v>CEO</v>
      </c>
      <c r="AK2" s="69" t="str">
        <f>'Life and Dental'!AK2</f>
        <v>CFO</v>
      </c>
      <c r="AL2" s="69" t="str">
        <f>'Life and Dental'!AL2</f>
        <v>Fundraising</v>
      </c>
      <c r="AM2" s="69" t="str">
        <f>'Life and Dental'!AM2</f>
        <v>Opprt Corp</v>
      </c>
      <c r="AN2" s="87">
        <f>'Life and Dental'!AN2</f>
        <v>0</v>
      </c>
      <c r="AO2" s="88"/>
    </row>
    <row r="3" spans="1:44" s="16" customFormat="1" ht="10.5" x14ac:dyDescent="0.25">
      <c r="A3" s="11"/>
      <c r="B3" s="12"/>
      <c r="C3" s="12"/>
      <c r="D3" s="13"/>
      <c r="E3" s="13"/>
      <c r="F3" s="14"/>
      <c r="G3" s="13">
        <v>26</v>
      </c>
      <c r="H3" s="13"/>
      <c r="I3" s="13"/>
      <c r="J3" s="13"/>
      <c r="K3" s="13"/>
      <c r="L3" s="13"/>
      <c r="M3" s="13"/>
      <c r="N3" s="13"/>
      <c r="O3" s="13"/>
      <c r="P3" s="13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89"/>
    </row>
    <row r="4" spans="1:44" s="16" customFormat="1" ht="10.5" x14ac:dyDescent="0.25">
      <c r="A4" s="11">
        <f>Salary!A4</f>
        <v>1</v>
      </c>
      <c r="B4" s="17" t="str">
        <f>'Allocation %'!B4</f>
        <v>ANDREWS, Cora</v>
      </c>
      <c r="C4" s="17">
        <v>1</v>
      </c>
      <c r="D4" s="17" t="str">
        <f>'Allocation %'!D4</f>
        <v>Abbott</v>
      </c>
      <c r="E4" s="17" t="str">
        <f>'Allocation %'!E4</f>
        <v>Security</v>
      </c>
      <c r="F4" s="18">
        <v>1120</v>
      </c>
      <c r="G4" s="18">
        <f t="shared" ref="G4:G39" si="0">F4*$G$3</f>
        <v>29120</v>
      </c>
      <c r="H4" s="18"/>
      <c r="I4" s="18">
        <f t="shared" ref="I4:I9" si="1">SUM(G4:H4)</f>
        <v>29120</v>
      </c>
      <c r="J4" s="18"/>
      <c r="K4" s="18"/>
      <c r="L4" s="18"/>
      <c r="M4" s="18"/>
      <c r="N4" s="18"/>
      <c r="O4" s="18"/>
      <c r="P4" s="18">
        <f>SUM(J4:O4)</f>
        <v>0</v>
      </c>
      <c r="Q4" s="15">
        <f>$P4*'Allocation %'!J4</f>
        <v>0</v>
      </c>
      <c r="R4" s="15">
        <f>$P4*'Allocation %'!K4</f>
        <v>0</v>
      </c>
      <c r="S4" s="15">
        <f>$P4*'Allocation %'!M4</f>
        <v>0</v>
      </c>
      <c r="T4" s="15">
        <f>$P4*'Allocation %'!N4</f>
        <v>0</v>
      </c>
      <c r="U4" s="15">
        <f>$P4*'Allocation %'!O4</f>
        <v>0</v>
      </c>
      <c r="V4" s="15">
        <f>$P4*'Allocation %'!P4</f>
        <v>0</v>
      </c>
      <c r="W4" s="15">
        <f>$P4*'Allocation %'!Q4</f>
        <v>0</v>
      </c>
      <c r="X4" s="15">
        <f>$P4*'Allocation %'!R4</f>
        <v>0</v>
      </c>
      <c r="Y4" s="15">
        <f>$P4*'Allocation %'!S4</f>
        <v>0</v>
      </c>
      <c r="Z4" s="15">
        <f>$P4*'Allocation %'!T4</f>
        <v>0</v>
      </c>
      <c r="AA4" s="15">
        <f>$P4*'Allocation %'!U4</f>
        <v>0</v>
      </c>
      <c r="AB4" s="15">
        <f>$P4*'Allocation %'!V4</f>
        <v>0</v>
      </c>
      <c r="AC4" s="15">
        <f>$P4*'Allocation %'!W4</f>
        <v>0</v>
      </c>
      <c r="AD4" s="15">
        <f>$P4*'Allocation %'!X4</f>
        <v>0</v>
      </c>
      <c r="AE4" s="15">
        <f>$P4*'Allocation %'!Y4</f>
        <v>0</v>
      </c>
      <c r="AF4" s="15">
        <f>$P4*'Allocation %'!Z4</f>
        <v>0</v>
      </c>
      <c r="AG4" s="15">
        <f>$P4*'Allocation %'!AA4</f>
        <v>0</v>
      </c>
      <c r="AH4" s="15">
        <f>$P4*'Allocation %'!AB4</f>
        <v>0</v>
      </c>
      <c r="AI4" s="15">
        <f>$P4*'Allocation %'!AC4</f>
        <v>0</v>
      </c>
      <c r="AJ4" s="15">
        <f>$P4*'Allocation %'!AD4</f>
        <v>0</v>
      </c>
      <c r="AK4" s="15">
        <f>$P4*'Allocation %'!AE4</f>
        <v>0</v>
      </c>
      <c r="AL4" s="15">
        <f>$P4*'Allocation %'!AF4</f>
        <v>0</v>
      </c>
      <c r="AM4" s="15">
        <f>$P4*'Allocation %'!AG4</f>
        <v>0</v>
      </c>
      <c r="AN4" s="15">
        <f>$P4*'Allocation %'!AH4</f>
        <v>0</v>
      </c>
      <c r="AO4" s="89">
        <f t="shared" ref="AO4:AO41" si="2">SUM(Q4:AN4)</f>
        <v>0</v>
      </c>
      <c r="AP4" s="19">
        <f>P4-AO4</f>
        <v>0</v>
      </c>
    </row>
    <row r="5" spans="1:44" s="16" customFormat="1" ht="10.5" x14ac:dyDescent="0.25">
      <c r="A5" s="11">
        <f>Salary!A5</f>
        <v>2</v>
      </c>
      <c r="B5" s="17" t="str">
        <f>'Allocation %'!B5</f>
        <v>Bennett, Patricia A.</v>
      </c>
      <c r="C5" s="17">
        <v>2</v>
      </c>
      <c r="D5" s="17" t="str">
        <f>'Allocation %'!D5</f>
        <v>Abbott, Admin</v>
      </c>
      <c r="E5" s="17" t="str">
        <f>'Allocation %'!E5</f>
        <v>Custodian</v>
      </c>
      <c r="F5" s="18">
        <v>650</v>
      </c>
      <c r="G5" s="20">
        <f>F5*$G$3</f>
        <v>16900</v>
      </c>
      <c r="H5" s="18"/>
      <c r="I5" s="18">
        <f>SUM(G5:H5)</f>
        <v>16900</v>
      </c>
      <c r="J5" s="18"/>
      <c r="K5" s="18"/>
      <c r="L5" s="18"/>
      <c r="M5" s="18"/>
      <c r="N5" s="18"/>
      <c r="O5" s="18"/>
      <c r="P5" s="18">
        <f t="shared" ref="P5:P40" si="3">SUM(J5:O5)</f>
        <v>0</v>
      </c>
      <c r="Q5" s="15">
        <f>$P5*'Allocation %'!J5</f>
        <v>0</v>
      </c>
      <c r="R5" s="15">
        <f>$P5*'Allocation %'!K5</f>
        <v>0</v>
      </c>
      <c r="S5" s="15">
        <f>$P5*'Allocation %'!M5</f>
        <v>0</v>
      </c>
      <c r="T5" s="15">
        <f>$P5*'Allocation %'!N5</f>
        <v>0</v>
      </c>
      <c r="U5" s="15">
        <f>$P5*'Allocation %'!O5</f>
        <v>0</v>
      </c>
      <c r="V5" s="15">
        <f>$P5*'Allocation %'!P5</f>
        <v>0</v>
      </c>
      <c r="W5" s="15">
        <f>$P5*'Allocation %'!Q5</f>
        <v>0</v>
      </c>
      <c r="X5" s="15">
        <f>$P5*'Allocation %'!R5</f>
        <v>0</v>
      </c>
      <c r="Y5" s="15">
        <f>$P5*'Allocation %'!S5</f>
        <v>0</v>
      </c>
      <c r="Z5" s="15">
        <f>$P5*'Allocation %'!T5</f>
        <v>0</v>
      </c>
      <c r="AA5" s="15">
        <f>$P5*'Allocation %'!U5</f>
        <v>0</v>
      </c>
      <c r="AB5" s="15">
        <f>$P5*'Allocation %'!V5</f>
        <v>0</v>
      </c>
      <c r="AC5" s="15">
        <f>$P5*'Allocation %'!W5</f>
        <v>0</v>
      </c>
      <c r="AD5" s="15">
        <f>$P5*'Allocation %'!X5</f>
        <v>0</v>
      </c>
      <c r="AE5" s="15">
        <f>$P5*'Allocation %'!Y5</f>
        <v>0</v>
      </c>
      <c r="AF5" s="15">
        <f>$P5*'Allocation %'!Z5</f>
        <v>0</v>
      </c>
      <c r="AG5" s="15">
        <f>$P5*'Allocation %'!AA5</f>
        <v>0</v>
      </c>
      <c r="AH5" s="15">
        <f>$P5*'Allocation %'!AB5</f>
        <v>0</v>
      </c>
      <c r="AI5" s="15">
        <f>$P5*'Allocation %'!AC5</f>
        <v>0</v>
      </c>
      <c r="AJ5" s="15">
        <f>$P5*'Allocation %'!AD5</f>
        <v>0</v>
      </c>
      <c r="AK5" s="15">
        <f>$P5*'Allocation %'!AE5</f>
        <v>0</v>
      </c>
      <c r="AL5" s="15">
        <f>$P5*'Allocation %'!AF5</f>
        <v>0</v>
      </c>
      <c r="AM5" s="15">
        <f>$P5*'Allocation %'!AG5</f>
        <v>0</v>
      </c>
      <c r="AN5" s="15">
        <f>$P5*'Allocation %'!AH5</f>
        <v>0</v>
      </c>
      <c r="AO5" s="89">
        <f t="shared" si="2"/>
        <v>0</v>
      </c>
      <c r="AP5" s="19">
        <f t="shared" ref="AP5:AP41" si="4">P5-AO5</f>
        <v>0</v>
      </c>
    </row>
    <row r="6" spans="1:44" s="16" customFormat="1" ht="10.5" x14ac:dyDescent="0.25">
      <c r="A6" s="11">
        <f>Salary!A6</f>
        <v>3</v>
      </c>
      <c r="B6" s="17" t="str">
        <f>'Allocation %'!B6</f>
        <v>Bishop-Shakoor, Ayesha</v>
      </c>
      <c r="C6" s="17">
        <v>3</v>
      </c>
      <c r="D6" s="17" t="str">
        <f>'Allocation %'!D6</f>
        <v>Abbott, Admin</v>
      </c>
      <c r="E6" s="17">
        <f>'Allocation %'!E6</f>
        <v>0</v>
      </c>
      <c r="F6" s="18"/>
      <c r="G6" s="20"/>
      <c r="H6" s="18"/>
      <c r="I6" s="18"/>
      <c r="J6" s="18"/>
      <c r="K6" s="18"/>
      <c r="L6" s="18"/>
      <c r="M6" s="18"/>
      <c r="N6" s="18"/>
      <c r="O6" s="18"/>
      <c r="P6" s="18"/>
      <c r="Q6" s="15">
        <f>$P6*'Allocation %'!J6</f>
        <v>0</v>
      </c>
      <c r="R6" s="15">
        <f>$P6*'Allocation %'!K6</f>
        <v>0</v>
      </c>
      <c r="S6" s="15">
        <f>$P6*'Allocation %'!M6</f>
        <v>0</v>
      </c>
      <c r="T6" s="15">
        <f>$P6*'Allocation %'!N6</f>
        <v>0</v>
      </c>
      <c r="U6" s="15">
        <f>$P6*'Allocation %'!O6</f>
        <v>0</v>
      </c>
      <c r="V6" s="15">
        <f>$P6*'Allocation %'!P6</f>
        <v>0</v>
      </c>
      <c r="W6" s="15">
        <f>$P6*'Allocation %'!Q6</f>
        <v>0</v>
      </c>
      <c r="X6" s="15">
        <f>$P6*'Allocation %'!R6</f>
        <v>0</v>
      </c>
      <c r="Y6" s="15">
        <f>$P6*'Allocation %'!S6</f>
        <v>0</v>
      </c>
      <c r="Z6" s="15">
        <f>$P6*'Allocation %'!T6</f>
        <v>0</v>
      </c>
      <c r="AA6" s="15">
        <f>$P6*'Allocation %'!U6</f>
        <v>0</v>
      </c>
      <c r="AB6" s="15">
        <f>$P6*'Allocation %'!V6</f>
        <v>0</v>
      </c>
      <c r="AC6" s="15">
        <f>$P6*'Allocation %'!W6</f>
        <v>0</v>
      </c>
      <c r="AD6" s="15">
        <f>$P6*'Allocation %'!X6</f>
        <v>0</v>
      </c>
      <c r="AE6" s="15">
        <f>$P6*'Allocation %'!Y6</f>
        <v>0</v>
      </c>
      <c r="AF6" s="15">
        <f>$P6*'Allocation %'!Z6</f>
        <v>0</v>
      </c>
      <c r="AG6" s="15">
        <f>$P6*'Allocation %'!AA6</f>
        <v>0</v>
      </c>
      <c r="AH6" s="15">
        <f>$P6*'Allocation %'!AB6</f>
        <v>0</v>
      </c>
      <c r="AI6" s="15">
        <f>$P6*'Allocation %'!AC6</f>
        <v>0</v>
      </c>
      <c r="AJ6" s="15">
        <f>$P6*'Allocation %'!AD6</f>
        <v>0</v>
      </c>
      <c r="AK6" s="15">
        <f>$P6*'Allocation %'!AE6</f>
        <v>0</v>
      </c>
      <c r="AL6" s="15">
        <f>$P6*'Allocation %'!AF6</f>
        <v>0</v>
      </c>
      <c r="AM6" s="15">
        <f>$P6*'Allocation %'!AG6</f>
        <v>0</v>
      </c>
      <c r="AN6" s="15">
        <f>$P6*'Allocation %'!AH6</f>
        <v>0</v>
      </c>
      <c r="AO6" s="89">
        <f t="shared" si="2"/>
        <v>0</v>
      </c>
      <c r="AP6" s="19">
        <f t="shared" si="4"/>
        <v>0</v>
      </c>
    </row>
    <row r="7" spans="1:44" s="16" customFormat="1" ht="10.5" x14ac:dyDescent="0.25">
      <c r="A7" s="11">
        <f>Salary!A7</f>
        <v>4</v>
      </c>
      <c r="B7" s="17" t="str">
        <f>'Allocation %'!B7</f>
        <v>BROWN,Denise- Wrap</v>
      </c>
      <c r="C7" s="17">
        <v>4</v>
      </c>
      <c r="D7" s="17" t="str">
        <f>'Allocation %'!D7</f>
        <v>Wrap</v>
      </c>
      <c r="E7" s="17" t="str">
        <f>'Allocation %'!E7</f>
        <v>Wrap Teacher</v>
      </c>
      <c r="F7" s="18">
        <v>520</v>
      </c>
      <c r="G7" s="18">
        <f t="shared" si="0"/>
        <v>13520</v>
      </c>
      <c r="H7" s="18"/>
      <c r="I7" s="18">
        <f t="shared" si="1"/>
        <v>13520</v>
      </c>
      <c r="J7" s="18"/>
      <c r="K7" s="18"/>
      <c r="L7" s="18"/>
      <c r="M7" s="18"/>
      <c r="N7" s="18"/>
      <c r="O7" s="18"/>
      <c r="P7" s="18">
        <f t="shared" si="3"/>
        <v>0</v>
      </c>
      <c r="Q7" s="15">
        <f>$P7*'Allocation %'!J7</f>
        <v>0</v>
      </c>
      <c r="R7" s="15">
        <f>$P7*'Allocation %'!K7</f>
        <v>0</v>
      </c>
      <c r="S7" s="15">
        <f>$P7*'Allocation %'!M7</f>
        <v>0</v>
      </c>
      <c r="T7" s="15">
        <f>$P7*'Allocation %'!N7</f>
        <v>0</v>
      </c>
      <c r="U7" s="15">
        <f>$P7*'Allocation %'!O7</f>
        <v>0</v>
      </c>
      <c r="V7" s="15">
        <f>$P7*'Allocation %'!P7</f>
        <v>0</v>
      </c>
      <c r="W7" s="15">
        <f>$P7*'Allocation %'!Q7</f>
        <v>0</v>
      </c>
      <c r="X7" s="15">
        <f>$P7*'Allocation %'!R7</f>
        <v>0</v>
      </c>
      <c r="Y7" s="15">
        <f>$P7*'Allocation %'!S7</f>
        <v>0</v>
      </c>
      <c r="Z7" s="15">
        <f>$P7*'Allocation %'!T7</f>
        <v>0</v>
      </c>
      <c r="AA7" s="15">
        <f>$P7*'Allocation %'!U7</f>
        <v>0</v>
      </c>
      <c r="AB7" s="15">
        <f>$P7*'Allocation %'!V7</f>
        <v>0</v>
      </c>
      <c r="AC7" s="15">
        <f>$P7*'Allocation %'!W7</f>
        <v>0</v>
      </c>
      <c r="AD7" s="15">
        <f>$P7*'Allocation %'!X7</f>
        <v>0</v>
      </c>
      <c r="AE7" s="15">
        <f>$P7*'Allocation %'!Y7</f>
        <v>0</v>
      </c>
      <c r="AF7" s="15">
        <f>$P7*'Allocation %'!Z7</f>
        <v>0</v>
      </c>
      <c r="AG7" s="15">
        <f>$P7*'Allocation %'!AA7</f>
        <v>0</v>
      </c>
      <c r="AH7" s="15">
        <f>$P7*'Allocation %'!AB7</f>
        <v>0</v>
      </c>
      <c r="AI7" s="15">
        <f>$P7*'Allocation %'!AC7</f>
        <v>0</v>
      </c>
      <c r="AJ7" s="15">
        <f>$P7*'Allocation %'!AD7</f>
        <v>0</v>
      </c>
      <c r="AK7" s="15">
        <f>$P7*'Allocation %'!AE7</f>
        <v>0</v>
      </c>
      <c r="AL7" s="15">
        <f>$P7*'Allocation %'!AF7</f>
        <v>0</v>
      </c>
      <c r="AM7" s="15">
        <f>$P7*'Allocation %'!AG7</f>
        <v>0</v>
      </c>
      <c r="AN7" s="15">
        <f>$P7*'Allocation %'!AH7</f>
        <v>0</v>
      </c>
      <c r="AO7" s="89">
        <f t="shared" si="2"/>
        <v>0</v>
      </c>
      <c r="AP7" s="19">
        <f t="shared" si="4"/>
        <v>0</v>
      </c>
    </row>
    <row r="8" spans="1:44" s="16" customFormat="1" ht="10.5" x14ac:dyDescent="0.25">
      <c r="A8" s="11">
        <f>Salary!A8</f>
        <v>5</v>
      </c>
      <c r="B8" s="17" t="str">
        <f>'Allocation %'!B8</f>
        <v>BRYANT, Roni</v>
      </c>
      <c r="C8" s="17">
        <v>5</v>
      </c>
      <c r="D8" s="17" t="str">
        <f>'Allocation %'!D8</f>
        <v>Abbott</v>
      </c>
      <c r="E8" s="17" t="str">
        <f>'Allocation %'!E8</f>
        <v>Teacher Asst</v>
      </c>
      <c r="F8" s="18">
        <v>1347.23</v>
      </c>
      <c r="G8" s="18">
        <f>F8*$G$3</f>
        <v>35027.980000000003</v>
      </c>
      <c r="H8" s="18"/>
      <c r="I8" s="18">
        <f t="shared" si="1"/>
        <v>35027.980000000003</v>
      </c>
      <c r="J8" s="18">
        <v>109.32</v>
      </c>
      <c r="K8" s="18">
        <v>109.32</v>
      </c>
      <c r="L8" s="18"/>
      <c r="M8" s="18"/>
      <c r="N8" s="18"/>
      <c r="O8" s="18"/>
      <c r="P8" s="18">
        <f t="shared" si="3"/>
        <v>218.64</v>
      </c>
      <c r="Q8" s="15">
        <f>$P8*'Allocation %'!J8</f>
        <v>218.64</v>
      </c>
      <c r="R8" s="15">
        <f>$P8*'Allocation %'!K8</f>
        <v>0</v>
      </c>
      <c r="S8" s="15">
        <f>$P8*'Allocation %'!M8</f>
        <v>0</v>
      </c>
      <c r="T8" s="15">
        <f>$P8*'Allocation %'!N8</f>
        <v>0</v>
      </c>
      <c r="U8" s="15">
        <f>$P8*'Allocation %'!O8</f>
        <v>0</v>
      </c>
      <c r="V8" s="15">
        <f>$P8*'Allocation %'!P8</f>
        <v>0</v>
      </c>
      <c r="W8" s="15">
        <f>$P8*'Allocation %'!Q8</f>
        <v>0</v>
      </c>
      <c r="X8" s="15">
        <f>$P8*'Allocation %'!R8</f>
        <v>0</v>
      </c>
      <c r="Y8" s="15">
        <f>$P8*'Allocation %'!S8</f>
        <v>0</v>
      </c>
      <c r="Z8" s="15">
        <f>$P8*'Allocation %'!T8</f>
        <v>0</v>
      </c>
      <c r="AA8" s="15">
        <f>$P8*'Allocation %'!U8</f>
        <v>0</v>
      </c>
      <c r="AB8" s="15">
        <f>$P8*'Allocation %'!V8</f>
        <v>0</v>
      </c>
      <c r="AC8" s="15">
        <f>$P8*'Allocation %'!W8</f>
        <v>0</v>
      </c>
      <c r="AD8" s="15">
        <f>$P8*'Allocation %'!X8</f>
        <v>0</v>
      </c>
      <c r="AE8" s="15">
        <f>$P8*'Allocation %'!Y8</f>
        <v>0</v>
      </c>
      <c r="AF8" s="15">
        <f>$P8*'Allocation %'!Z8</f>
        <v>0</v>
      </c>
      <c r="AG8" s="15">
        <f>$P8*'Allocation %'!AA8</f>
        <v>0</v>
      </c>
      <c r="AH8" s="15">
        <f>$P8*'Allocation %'!AB8</f>
        <v>0</v>
      </c>
      <c r="AI8" s="15">
        <f>$P8*'Allocation %'!AC8</f>
        <v>0</v>
      </c>
      <c r="AJ8" s="15">
        <f>$P8*'Allocation %'!AD8</f>
        <v>0</v>
      </c>
      <c r="AK8" s="15">
        <f>$P8*'Allocation %'!AE8</f>
        <v>0</v>
      </c>
      <c r="AL8" s="15">
        <f>$P8*'Allocation %'!AF8</f>
        <v>0</v>
      </c>
      <c r="AM8" s="15">
        <f>$P8*'Allocation %'!AG8</f>
        <v>0</v>
      </c>
      <c r="AN8" s="15">
        <f>$P8*'Allocation %'!AH8</f>
        <v>0</v>
      </c>
      <c r="AO8" s="89">
        <f t="shared" si="2"/>
        <v>218.64</v>
      </c>
      <c r="AP8" s="19">
        <f t="shared" si="4"/>
        <v>0</v>
      </c>
    </row>
    <row r="9" spans="1:44" s="16" customFormat="1" ht="10.5" x14ac:dyDescent="0.25">
      <c r="A9" s="11">
        <f>Salary!A9</f>
        <v>6</v>
      </c>
      <c r="B9" s="17" t="str">
        <f>'Allocation %'!B9</f>
        <v>CERNA, Irene</v>
      </c>
      <c r="C9" s="17">
        <v>6</v>
      </c>
      <c r="D9" s="17" t="str">
        <f>'Allocation %'!D9</f>
        <v>USJP</v>
      </c>
      <c r="E9" s="17">
        <f>'Allocation %'!E9</f>
        <v>0</v>
      </c>
      <c r="F9" s="18">
        <v>1153.8499999999999</v>
      </c>
      <c r="G9" s="18">
        <f t="shared" si="0"/>
        <v>30000.1</v>
      </c>
      <c r="H9" s="18"/>
      <c r="I9" s="18">
        <f t="shared" si="1"/>
        <v>30000.1</v>
      </c>
      <c r="J9" s="18">
        <v>98.62</v>
      </c>
      <c r="K9" s="18">
        <v>98.62</v>
      </c>
      <c r="L9" s="18"/>
      <c r="M9" s="18"/>
      <c r="N9" s="18"/>
      <c r="O9" s="18"/>
      <c r="P9" s="18">
        <f t="shared" si="3"/>
        <v>197.24</v>
      </c>
      <c r="Q9" s="15">
        <f>$P9*'Allocation %'!J9</f>
        <v>0</v>
      </c>
      <c r="R9" s="15">
        <f>$P9*'Allocation %'!K9</f>
        <v>0</v>
      </c>
      <c r="S9" s="15">
        <f>$P9*'Allocation %'!M9</f>
        <v>0</v>
      </c>
      <c r="T9" s="15">
        <f>$P9*'Allocation %'!N9</f>
        <v>197.24</v>
      </c>
      <c r="U9" s="15">
        <f>$P9*'Allocation %'!O9</f>
        <v>0</v>
      </c>
      <c r="V9" s="15">
        <f>$P9*'Allocation %'!P9</f>
        <v>0</v>
      </c>
      <c r="W9" s="15">
        <f>$P9*'Allocation %'!Q9</f>
        <v>0</v>
      </c>
      <c r="X9" s="15">
        <f>$P9*'Allocation %'!R9</f>
        <v>0</v>
      </c>
      <c r="Y9" s="15">
        <f>$P9*'Allocation %'!S9</f>
        <v>0</v>
      </c>
      <c r="Z9" s="15">
        <f>$P9*'Allocation %'!T9</f>
        <v>0</v>
      </c>
      <c r="AA9" s="15">
        <f>$P9*'Allocation %'!U9</f>
        <v>0</v>
      </c>
      <c r="AB9" s="15">
        <f>$P9*'Allocation %'!V9</f>
        <v>0</v>
      </c>
      <c r="AC9" s="15">
        <f>$P9*'Allocation %'!W9</f>
        <v>0</v>
      </c>
      <c r="AD9" s="15">
        <f>$P9*'Allocation %'!X9</f>
        <v>0</v>
      </c>
      <c r="AE9" s="15">
        <f>$P9*'Allocation %'!Y9</f>
        <v>0</v>
      </c>
      <c r="AF9" s="15">
        <f>$P9*'Allocation %'!Z9</f>
        <v>0</v>
      </c>
      <c r="AG9" s="15">
        <f>$P9*'Allocation %'!AA9</f>
        <v>0</v>
      </c>
      <c r="AH9" s="15">
        <f>$P9*'Allocation %'!AB9</f>
        <v>0</v>
      </c>
      <c r="AI9" s="15">
        <f>$P9*'Allocation %'!AC9</f>
        <v>0</v>
      </c>
      <c r="AJ9" s="15">
        <f>$P9*'Allocation %'!AD9</f>
        <v>0</v>
      </c>
      <c r="AK9" s="15">
        <f>$P9*'Allocation %'!AE9</f>
        <v>0</v>
      </c>
      <c r="AL9" s="15">
        <f>$P9*'Allocation %'!AF9</f>
        <v>0</v>
      </c>
      <c r="AM9" s="15">
        <f>$P9*'Allocation %'!AG9</f>
        <v>0</v>
      </c>
      <c r="AN9" s="15">
        <f>$P9*'Allocation %'!AH9</f>
        <v>0</v>
      </c>
      <c r="AO9" s="89">
        <f t="shared" si="2"/>
        <v>197.24</v>
      </c>
      <c r="AP9" s="19">
        <f t="shared" si="4"/>
        <v>0</v>
      </c>
    </row>
    <row r="10" spans="1:44" s="16" customFormat="1" ht="10.5" x14ac:dyDescent="0.25">
      <c r="A10" s="11">
        <f>Salary!A10</f>
        <v>7</v>
      </c>
      <c r="B10" s="17" t="str">
        <f>'Allocation %'!B10</f>
        <v>Cooper, Cassandra</v>
      </c>
      <c r="C10" s="17">
        <v>7</v>
      </c>
      <c r="D10" s="17" t="str">
        <f>'Allocation %'!D10</f>
        <v>FOC</v>
      </c>
      <c r="E10" s="17" t="str">
        <f>'Allocation %'!E10</f>
        <v>Clerical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5">
        <f>$P10*'Allocation %'!J10</f>
        <v>0</v>
      </c>
      <c r="R10" s="15">
        <f>$P10*'Allocation %'!K10</f>
        <v>0</v>
      </c>
      <c r="S10" s="15">
        <f>$P10*'Allocation %'!M10</f>
        <v>0</v>
      </c>
      <c r="T10" s="15">
        <f>$P10*'Allocation %'!N10</f>
        <v>0</v>
      </c>
      <c r="U10" s="15">
        <f>$P10*'Allocation %'!O10</f>
        <v>0</v>
      </c>
      <c r="V10" s="15">
        <f>$P10*'Allocation %'!P10</f>
        <v>0</v>
      </c>
      <c r="W10" s="15">
        <f>$P10*'Allocation %'!Q10</f>
        <v>0</v>
      </c>
      <c r="X10" s="15">
        <f>$P10*'Allocation %'!R10</f>
        <v>0</v>
      </c>
      <c r="Y10" s="15">
        <f>$P10*'Allocation %'!S10</f>
        <v>0</v>
      </c>
      <c r="Z10" s="15">
        <f>$P10*'Allocation %'!T10</f>
        <v>0</v>
      </c>
      <c r="AA10" s="15">
        <f>$P10*'Allocation %'!U10</f>
        <v>0</v>
      </c>
      <c r="AB10" s="15">
        <f>$P10*'Allocation %'!V10</f>
        <v>0</v>
      </c>
      <c r="AC10" s="15">
        <f>$P10*'Allocation %'!W10</f>
        <v>0</v>
      </c>
      <c r="AD10" s="15">
        <f>$P10*'Allocation %'!X10</f>
        <v>0</v>
      </c>
      <c r="AE10" s="15">
        <f>$P10*'Allocation %'!Y10</f>
        <v>0</v>
      </c>
      <c r="AF10" s="15">
        <f>$P10*'Allocation %'!Z10</f>
        <v>0</v>
      </c>
      <c r="AG10" s="15">
        <f>$P10*'Allocation %'!AA10</f>
        <v>0</v>
      </c>
      <c r="AH10" s="15">
        <f>$P10*'Allocation %'!AB10</f>
        <v>0</v>
      </c>
      <c r="AI10" s="15">
        <f>$P10*'Allocation %'!AC10</f>
        <v>0</v>
      </c>
      <c r="AJ10" s="15">
        <f>$P10*'Allocation %'!AD10</f>
        <v>0</v>
      </c>
      <c r="AK10" s="15">
        <f>$P10*'Allocation %'!AE10</f>
        <v>0</v>
      </c>
      <c r="AL10" s="15">
        <f>$P10*'Allocation %'!AF10</f>
        <v>0</v>
      </c>
      <c r="AM10" s="15">
        <f>$P10*'Allocation %'!AG10</f>
        <v>0</v>
      </c>
      <c r="AN10" s="15">
        <f>$P10*'Allocation %'!AH10</f>
        <v>0</v>
      </c>
      <c r="AO10" s="89">
        <f t="shared" si="2"/>
        <v>0</v>
      </c>
      <c r="AP10" s="19">
        <f t="shared" si="4"/>
        <v>0</v>
      </c>
    </row>
    <row r="11" spans="1:44" s="16" customFormat="1" ht="10.5" x14ac:dyDescent="0.25">
      <c r="A11" s="11">
        <f>Salary!A11</f>
        <v>8</v>
      </c>
      <c r="B11" s="17" t="str">
        <f>'Allocation %'!B11</f>
        <v>DANCE-WILSON, Heather</v>
      </c>
      <c r="C11" s="17">
        <v>8</v>
      </c>
      <c r="D11" s="17" t="str">
        <f>'Allocation %'!D11</f>
        <v>Abbott</v>
      </c>
      <c r="E11" s="17" t="str">
        <f>'Allocation %'!E11</f>
        <v>Director</v>
      </c>
      <c r="F11" s="22">
        <v>2692.31</v>
      </c>
      <c r="G11" s="20">
        <f t="shared" si="0"/>
        <v>70000.06</v>
      </c>
      <c r="H11" s="18"/>
      <c r="I11" s="18">
        <f>SUM(G11:H11)</f>
        <v>70000.06</v>
      </c>
      <c r="J11" s="18">
        <v>148.49</v>
      </c>
      <c r="K11" s="18">
        <v>148.49</v>
      </c>
      <c r="L11" s="18"/>
      <c r="M11" s="18"/>
      <c r="N11" s="18"/>
      <c r="O11" s="18"/>
      <c r="P11" s="18">
        <f t="shared" si="3"/>
        <v>296.98</v>
      </c>
      <c r="Q11" s="15">
        <f>$P11*'Allocation %'!J11</f>
        <v>213.82560000000001</v>
      </c>
      <c r="R11" s="15">
        <f>$P11*'Allocation %'!K11</f>
        <v>83.15440000000001</v>
      </c>
      <c r="S11" s="15">
        <f>$P11*'Allocation %'!M11</f>
        <v>0</v>
      </c>
      <c r="T11" s="15">
        <f>$P11*'Allocation %'!N11</f>
        <v>0</v>
      </c>
      <c r="U11" s="15">
        <f>$P11*'Allocation %'!O11</f>
        <v>0</v>
      </c>
      <c r="V11" s="15">
        <f>$P11*'Allocation %'!P11</f>
        <v>0</v>
      </c>
      <c r="W11" s="15">
        <f>$P11*'Allocation %'!Q11</f>
        <v>0</v>
      </c>
      <c r="X11" s="15">
        <f>$P11*'Allocation %'!R11</f>
        <v>0</v>
      </c>
      <c r="Y11" s="15">
        <f>$P11*'Allocation %'!S11</f>
        <v>0</v>
      </c>
      <c r="Z11" s="15">
        <f>$P11*'Allocation %'!T11</f>
        <v>0</v>
      </c>
      <c r="AA11" s="15">
        <f>$P11*'Allocation %'!U11</f>
        <v>0</v>
      </c>
      <c r="AB11" s="15">
        <f>$P11*'Allocation %'!V11</f>
        <v>0</v>
      </c>
      <c r="AC11" s="15">
        <f>$P11*'Allocation %'!W11</f>
        <v>0</v>
      </c>
      <c r="AD11" s="15">
        <f>$P11*'Allocation %'!X11</f>
        <v>0</v>
      </c>
      <c r="AE11" s="15">
        <f>$P11*'Allocation %'!Y11</f>
        <v>0</v>
      </c>
      <c r="AF11" s="15">
        <f>$P11*'Allocation %'!Z11</f>
        <v>0</v>
      </c>
      <c r="AG11" s="15">
        <f>$P11*'Allocation %'!AA11</f>
        <v>0</v>
      </c>
      <c r="AH11" s="15">
        <f>$P11*'Allocation %'!AB11</f>
        <v>0</v>
      </c>
      <c r="AI11" s="15">
        <f>$P11*'Allocation %'!AC11</f>
        <v>0</v>
      </c>
      <c r="AJ11" s="15">
        <f>$P11*'Allocation %'!AD11</f>
        <v>0</v>
      </c>
      <c r="AK11" s="15">
        <f>$P11*'Allocation %'!AE11</f>
        <v>0</v>
      </c>
      <c r="AL11" s="15">
        <f>$P11*'Allocation %'!AF11</f>
        <v>0</v>
      </c>
      <c r="AM11" s="15">
        <f>$P11*'Allocation %'!AG11</f>
        <v>0</v>
      </c>
      <c r="AN11" s="15">
        <f>$P11*'Allocation %'!AH11</f>
        <v>0</v>
      </c>
      <c r="AO11" s="89">
        <f t="shared" si="2"/>
        <v>296.98</v>
      </c>
      <c r="AP11" s="19">
        <f t="shared" si="4"/>
        <v>0</v>
      </c>
    </row>
    <row r="12" spans="1:44" s="16" customFormat="1" ht="10.5" x14ac:dyDescent="0.25">
      <c r="A12" s="11">
        <f>Salary!A12</f>
        <v>9</v>
      </c>
      <c r="B12" s="17" t="str">
        <f>'Allocation %'!B12</f>
        <v>FITZPATRICK, Cynthia E.  - Toddlers</v>
      </c>
      <c r="C12" s="17">
        <v>9</v>
      </c>
      <c r="D12" s="17" t="str">
        <f>'Allocation %'!D12</f>
        <v>EHS/ Toddlers</v>
      </c>
      <c r="E12" s="17">
        <f>'Allocation %'!E12</f>
        <v>0</v>
      </c>
      <c r="F12" s="18">
        <v>969.96</v>
      </c>
      <c r="G12" s="20">
        <f t="shared" si="0"/>
        <v>25218.959999999999</v>
      </c>
      <c r="H12" s="18"/>
      <c r="I12" s="18">
        <f>SUM(G12:H12)</f>
        <v>25218.959999999999</v>
      </c>
      <c r="J12" s="18">
        <v>98.62</v>
      </c>
      <c r="K12" s="18">
        <v>98.62</v>
      </c>
      <c r="L12" s="18"/>
      <c r="M12" s="18"/>
      <c r="N12" s="18"/>
      <c r="O12" s="18"/>
      <c r="P12" s="18">
        <f t="shared" si="3"/>
        <v>197.24</v>
      </c>
      <c r="Q12" s="15">
        <f>$P12*'Allocation %'!J12</f>
        <v>0</v>
      </c>
      <c r="R12" s="15">
        <f>$P12*'Allocation %'!K12</f>
        <v>0</v>
      </c>
      <c r="S12" s="15">
        <f>$P12*'Allocation %'!M12</f>
        <v>197.24</v>
      </c>
      <c r="T12" s="15">
        <f>$P12*'Allocation %'!N12</f>
        <v>0</v>
      </c>
      <c r="U12" s="15">
        <f>$P12*'Allocation %'!O12</f>
        <v>0</v>
      </c>
      <c r="V12" s="15">
        <f>$P12*'Allocation %'!P12</f>
        <v>0</v>
      </c>
      <c r="W12" s="15">
        <f>$P12*'Allocation %'!Q12</f>
        <v>0</v>
      </c>
      <c r="X12" s="15">
        <f>$P12*'Allocation %'!R12</f>
        <v>0</v>
      </c>
      <c r="Y12" s="15">
        <f>$P12*'Allocation %'!S12</f>
        <v>0</v>
      </c>
      <c r="Z12" s="15">
        <f>$P12*'Allocation %'!T12</f>
        <v>0</v>
      </c>
      <c r="AA12" s="15">
        <f>$P12*'Allocation %'!U12</f>
        <v>0</v>
      </c>
      <c r="AB12" s="15">
        <f>$P12*'Allocation %'!V12</f>
        <v>0</v>
      </c>
      <c r="AC12" s="15">
        <f>$P12*'Allocation %'!W12</f>
        <v>0</v>
      </c>
      <c r="AD12" s="15">
        <f>$P12*'Allocation %'!X12</f>
        <v>0</v>
      </c>
      <c r="AE12" s="15">
        <f>$P12*'Allocation %'!Y12</f>
        <v>0</v>
      </c>
      <c r="AF12" s="15">
        <f>$P12*'Allocation %'!Z12</f>
        <v>0</v>
      </c>
      <c r="AG12" s="15">
        <f>$P12*'Allocation %'!AA12</f>
        <v>0</v>
      </c>
      <c r="AH12" s="15">
        <f>$P12*'Allocation %'!AB12</f>
        <v>0</v>
      </c>
      <c r="AI12" s="15">
        <f>$P12*'Allocation %'!AC12</f>
        <v>0</v>
      </c>
      <c r="AJ12" s="15">
        <f>$P12*'Allocation %'!AD12</f>
        <v>0</v>
      </c>
      <c r="AK12" s="15">
        <f>$P12*'Allocation %'!AE12</f>
        <v>0</v>
      </c>
      <c r="AL12" s="15">
        <f>$P12*'Allocation %'!AF12</f>
        <v>0</v>
      </c>
      <c r="AM12" s="15">
        <f>$P12*'Allocation %'!AG12</f>
        <v>0</v>
      </c>
      <c r="AN12" s="15">
        <f>$P12*'Allocation %'!AH12</f>
        <v>0</v>
      </c>
      <c r="AO12" s="89">
        <f t="shared" si="2"/>
        <v>197.24</v>
      </c>
      <c r="AP12" s="19">
        <f t="shared" si="4"/>
        <v>0</v>
      </c>
    </row>
    <row r="13" spans="1:44" s="16" customFormat="1" ht="10.5" x14ac:dyDescent="0.25">
      <c r="A13" s="11">
        <f>Salary!A13</f>
        <v>10</v>
      </c>
      <c r="B13" s="17" t="str">
        <f>'Allocation %'!B13</f>
        <v>FRASER, Vivian Cox</v>
      </c>
      <c r="C13" s="17">
        <v>10</v>
      </c>
      <c r="D13" s="17" t="str">
        <f>'Allocation %'!D13</f>
        <v>Admin</v>
      </c>
      <c r="E13" s="17">
        <f>'Allocation %'!E13</f>
        <v>0</v>
      </c>
      <c r="F13" s="18">
        <v>5961.54</v>
      </c>
      <c r="G13" s="18">
        <f t="shared" si="0"/>
        <v>155000.04</v>
      </c>
      <c r="H13" s="18"/>
      <c r="I13" s="18">
        <f>SUM(G13:H13)</f>
        <v>155000.04</v>
      </c>
      <c r="J13" s="18"/>
      <c r="K13" s="18"/>
      <c r="L13" s="18"/>
      <c r="M13" s="18"/>
      <c r="N13" s="18"/>
      <c r="O13" s="18"/>
      <c r="P13" s="18">
        <f t="shared" si="3"/>
        <v>0</v>
      </c>
      <c r="Q13" s="15">
        <f>$P13*'Allocation %'!J13</f>
        <v>0</v>
      </c>
      <c r="R13" s="15">
        <f>$P13*'Allocation %'!K13</f>
        <v>0</v>
      </c>
      <c r="S13" s="15">
        <f>$P13*'Allocation %'!M13</f>
        <v>0</v>
      </c>
      <c r="T13" s="15">
        <f>$P13*'Allocation %'!N13</f>
        <v>0</v>
      </c>
      <c r="U13" s="15">
        <f>$P13*'Allocation %'!O13</f>
        <v>0</v>
      </c>
      <c r="V13" s="15">
        <f>$P13*'Allocation %'!P13</f>
        <v>0</v>
      </c>
      <c r="W13" s="15">
        <f>$P13*'Allocation %'!Q13</f>
        <v>0</v>
      </c>
      <c r="X13" s="15">
        <f>$P13*'Allocation %'!R13</f>
        <v>0</v>
      </c>
      <c r="Y13" s="15">
        <f>$P13*'Allocation %'!S13</f>
        <v>0</v>
      </c>
      <c r="Z13" s="15">
        <f>$P13*'Allocation %'!T13</f>
        <v>0</v>
      </c>
      <c r="AA13" s="15">
        <f>$P13*'Allocation %'!U13</f>
        <v>0</v>
      </c>
      <c r="AB13" s="15">
        <f>$P13*'Allocation %'!V13</f>
        <v>0</v>
      </c>
      <c r="AC13" s="15">
        <f>$P13*'Allocation %'!W13</f>
        <v>0</v>
      </c>
      <c r="AD13" s="15">
        <f>$P13*'Allocation %'!X13</f>
        <v>0</v>
      </c>
      <c r="AE13" s="15">
        <f>$P13*'Allocation %'!Y13</f>
        <v>0</v>
      </c>
      <c r="AF13" s="15">
        <f>$P13*'Allocation %'!Z13</f>
        <v>0</v>
      </c>
      <c r="AG13" s="15">
        <f>$P13*'Allocation %'!AA13</f>
        <v>0</v>
      </c>
      <c r="AH13" s="15">
        <f>$P13*'Allocation %'!AB13</f>
        <v>0</v>
      </c>
      <c r="AI13" s="15">
        <f>$P13*'Allocation %'!AC13</f>
        <v>0</v>
      </c>
      <c r="AJ13" s="15">
        <f>$P13*'Allocation %'!AD13</f>
        <v>0</v>
      </c>
      <c r="AK13" s="15">
        <f>$P13*'Allocation %'!AE13</f>
        <v>0</v>
      </c>
      <c r="AL13" s="15">
        <f>$P13*'Allocation %'!AF13</f>
        <v>0</v>
      </c>
      <c r="AM13" s="15">
        <f>$P13*'Allocation %'!AG13</f>
        <v>0</v>
      </c>
      <c r="AN13" s="15">
        <f>$P13*'Allocation %'!AH13</f>
        <v>0</v>
      </c>
      <c r="AO13" s="89">
        <f t="shared" si="2"/>
        <v>0</v>
      </c>
      <c r="AP13" s="19">
        <f t="shared" si="4"/>
        <v>0</v>
      </c>
    </row>
    <row r="14" spans="1:44" s="16" customFormat="1" ht="10.5" x14ac:dyDescent="0.25">
      <c r="A14" s="11">
        <f>Salary!A14</f>
        <v>11</v>
      </c>
      <c r="B14" s="17" t="str">
        <f>'Allocation %'!B14</f>
        <v xml:space="preserve">FRAZIER, Alice </v>
      </c>
      <c r="C14" s="17">
        <v>11</v>
      </c>
      <c r="D14" s="17" t="str">
        <f>'Allocation %'!D14</f>
        <v>Workforce</v>
      </c>
      <c r="E14" s="17">
        <f>'Allocation %'!E14</f>
        <v>0</v>
      </c>
      <c r="F14" s="18">
        <v>3153.85</v>
      </c>
      <c r="G14" s="18">
        <f t="shared" si="0"/>
        <v>82000.099999999991</v>
      </c>
      <c r="H14" s="18"/>
      <c r="I14" s="18">
        <f t="shared" ref="I14:I16" si="5">SUM(G14:H14)</f>
        <v>82000.099999999991</v>
      </c>
      <c r="J14" s="18"/>
      <c r="K14" s="18"/>
      <c r="L14" s="18"/>
      <c r="M14" s="18"/>
      <c r="N14" s="18"/>
      <c r="O14" s="18"/>
      <c r="P14" s="18">
        <f t="shared" si="3"/>
        <v>0</v>
      </c>
      <c r="Q14" s="15">
        <f>$P14*'Allocation %'!J14</f>
        <v>0</v>
      </c>
      <c r="R14" s="15">
        <f>$P14*'Allocation %'!K14</f>
        <v>0</v>
      </c>
      <c r="S14" s="15">
        <f>$P14*'Allocation %'!M14</f>
        <v>0</v>
      </c>
      <c r="T14" s="15">
        <f>$P14*'Allocation %'!N14</f>
        <v>0</v>
      </c>
      <c r="U14" s="15">
        <f>$P14*'Allocation %'!O14</f>
        <v>0</v>
      </c>
      <c r="V14" s="15">
        <f>$P14*'Allocation %'!P14</f>
        <v>0</v>
      </c>
      <c r="W14" s="15">
        <f>$P14*'Allocation %'!Q14</f>
        <v>0</v>
      </c>
      <c r="X14" s="15">
        <f>$P14*'Allocation %'!R14</f>
        <v>0</v>
      </c>
      <c r="Y14" s="15">
        <f>$P14*'Allocation %'!S14</f>
        <v>0</v>
      </c>
      <c r="Z14" s="15">
        <f>$P14*'Allocation %'!T14</f>
        <v>0</v>
      </c>
      <c r="AA14" s="15">
        <f>$P14*'Allocation %'!U14</f>
        <v>0</v>
      </c>
      <c r="AB14" s="15">
        <f>$P14*'Allocation %'!V14</f>
        <v>0</v>
      </c>
      <c r="AC14" s="15">
        <f>$P14*'Allocation %'!W14</f>
        <v>0</v>
      </c>
      <c r="AD14" s="15">
        <f>$P14*'Allocation %'!X14</f>
        <v>0</v>
      </c>
      <c r="AE14" s="15">
        <f>$P14*'Allocation %'!Y14</f>
        <v>0</v>
      </c>
      <c r="AF14" s="15">
        <f>$P14*'Allocation %'!Z14</f>
        <v>0</v>
      </c>
      <c r="AG14" s="15">
        <f>$P14*'Allocation %'!AA14</f>
        <v>0</v>
      </c>
      <c r="AH14" s="15">
        <f>$P14*'Allocation %'!AB14</f>
        <v>0</v>
      </c>
      <c r="AI14" s="15">
        <f>$P14*'Allocation %'!AC14</f>
        <v>0</v>
      </c>
      <c r="AJ14" s="15">
        <f>$P14*'Allocation %'!AD14</f>
        <v>0</v>
      </c>
      <c r="AK14" s="15">
        <f>$P14*'Allocation %'!AE14</f>
        <v>0</v>
      </c>
      <c r="AL14" s="15">
        <f>$P14*'Allocation %'!AF14</f>
        <v>0</v>
      </c>
      <c r="AM14" s="15">
        <f>$P14*'Allocation %'!AG14</f>
        <v>0</v>
      </c>
      <c r="AN14" s="15">
        <f>$P14*'Allocation %'!AH14</f>
        <v>0</v>
      </c>
      <c r="AO14" s="89">
        <f t="shared" si="2"/>
        <v>0</v>
      </c>
      <c r="AP14" s="19">
        <f t="shared" si="4"/>
        <v>0</v>
      </c>
    </row>
    <row r="15" spans="1:44" s="16" customFormat="1" ht="10.5" x14ac:dyDescent="0.25">
      <c r="A15" s="11">
        <f>Salary!A15</f>
        <v>12</v>
      </c>
      <c r="B15" s="17" t="str">
        <f>'Allocation %'!B15</f>
        <v xml:space="preserve">GREEN, Yolanda - </v>
      </c>
      <c r="C15" s="17">
        <v>12</v>
      </c>
      <c r="D15" s="17" t="str">
        <f>'Allocation %'!D15</f>
        <v>EHS/ Toddlers</v>
      </c>
      <c r="E15" s="17">
        <f>'Allocation %'!E15</f>
        <v>0</v>
      </c>
      <c r="F15" s="18">
        <v>1278.8800000000001</v>
      </c>
      <c r="G15" s="20">
        <f t="shared" si="0"/>
        <v>33250.880000000005</v>
      </c>
      <c r="H15" s="18"/>
      <c r="I15" s="18">
        <f t="shared" si="5"/>
        <v>33250.880000000005</v>
      </c>
      <c r="J15" s="18">
        <v>87.33</v>
      </c>
      <c r="K15" s="18">
        <v>87.33</v>
      </c>
      <c r="L15" s="18"/>
      <c r="M15" s="18"/>
      <c r="N15" s="18"/>
      <c r="O15" s="18"/>
      <c r="P15" s="18">
        <f t="shared" si="3"/>
        <v>174.66</v>
      </c>
      <c r="Q15" s="15">
        <f>$P15*'Allocation %'!J15</f>
        <v>0</v>
      </c>
      <c r="R15" s="15">
        <f>$P15*'Allocation %'!K15</f>
        <v>0</v>
      </c>
      <c r="S15" s="15">
        <f>$P15*'Allocation %'!M15</f>
        <v>174.66</v>
      </c>
      <c r="T15" s="15">
        <f>$P15*'Allocation %'!N15</f>
        <v>0</v>
      </c>
      <c r="U15" s="15">
        <f>$P15*'Allocation %'!O15</f>
        <v>0</v>
      </c>
      <c r="V15" s="15">
        <f>$P15*'Allocation %'!P15</f>
        <v>0</v>
      </c>
      <c r="W15" s="15">
        <f>$P15*'Allocation %'!Q15</f>
        <v>0</v>
      </c>
      <c r="X15" s="15">
        <f>$P15*'Allocation %'!R15</f>
        <v>0</v>
      </c>
      <c r="Y15" s="15">
        <f>$P15*'Allocation %'!S15</f>
        <v>0</v>
      </c>
      <c r="Z15" s="15">
        <f>$P15*'Allocation %'!T15</f>
        <v>0</v>
      </c>
      <c r="AA15" s="15">
        <f>$P15*'Allocation %'!U15</f>
        <v>0</v>
      </c>
      <c r="AB15" s="15">
        <f>$P15*'Allocation %'!V15</f>
        <v>0</v>
      </c>
      <c r="AC15" s="15">
        <f>$P15*'Allocation %'!W15</f>
        <v>0</v>
      </c>
      <c r="AD15" s="15">
        <f>$P15*'Allocation %'!X15</f>
        <v>0</v>
      </c>
      <c r="AE15" s="15">
        <f>$P15*'Allocation %'!Y15</f>
        <v>0</v>
      </c>
      <c r="AF15" s="15">
        <f>$P15*'Allocation %'!Z15</f>
        <v>0</v>
      </c>
      <c r="AG15" s="15">
        <f>$P15*'Allocation %'!AA15</f>
        <v>0</v>
      </c>
      <c r="AH15" s="15">
        <f>$P15*'Allocation %'!AB15</f>
        <v>0</v>
      </c>
      <c r="AI15" s="15">
        <f>$P15*'Allocation %'!AC15</f>
        <v>0</v>
      </c>
      <c r="AJ15" s="15">
        <f>$P15*'Allocation %'!AD15</f>
        <v>0</v>
      </c>
      <c r="AK15" s="15">
        <f>$P15*'Allocation %'!AE15</f>
        <v>0</v>
      </c>
      <c r="AL15" s="15">
        <f>$P15*'Allocation %'!AF15</f>
        <v>0</v>
      </c>
      <c r="AM15" s="15">
        <f>$P15*'Allocation %'!AG15</f>
        <v>0</v>
      </c>
      <c r="AN15" s="15">
        <f>$P15*'Allocation %'!AH15</f>
        <v>0</v>
      </c>
      <c r="AO15" s="89">
        <f t="shared" si="2"/>
        <v>174.66</v>
      </c>
      <c r="AP15" s="19">
        <f t="shared" si="4"/>
        <v>0</v>
      </c>
    </row>
    <row r="16" spans="1:44" s="16" customFormat="1" ht="10.5" x14ac:dyDescent="0.25">
      <c r="A16" s="11">
        <f>Salary!A16</f>
        <v>13</v>
      </c>
      <c r="B16" s="17" t="str">
        <f>'Allocation %'!B16</f>
        <v>Guerra, Karime</v>
      </c>
      <c r="C16" s="17">
        <v>13</v>
      </c>
      <c r="D16" s="17" t="str">
        <f>'Allocation %'!D16</f>
        <v>Housing</v>
      </c>
      <c r="E16" s="17">
        <f>'Allocation %'!E16</f>
        <v>0</v>
      </c>
      <c r="F16" s="18">
        <v>1788.47</v>
      </c>
      <c r="G16" s="18">
        <f t="shared" si="0"/>
        <v>46500.22</v>
      </c>
      <c r="H16" s="18"/>
      <c r="I16" s="18">
        <f t="shared" si="5"/>
        <v>46500.22</v>
      </c>
      <c r="J16" s="18"/>
      <c r="K16" s="18"/>
      <c r="L16" s="18"/>
      <c r="M16" s="18"/>
      <c r="N16" s="18"/>
      <c r="O16" s="18"/>
      <c r="P16" s="18">
        <f t="shared" si="3"/>
        <v>0</v>
      </c>
      <c r="Q16" s="15">
        <f>$P16*'Allocation %'!J16</f>
        <v>0</v>
      </c>
      <c r="R16" s="15">
        <f>$P16*'Allocation %'!K16</f>
        <v>0</v>
      </c>
      <c r="S16" s="15">
        <f>$P16*'Allocation %'!M16</f>
        <v>0</v>
      </c>
      <c r="T16" s="15">
        <f>$P16*'Allocation %'!N16</f>
        <v>0</v>
      </c>
      <c r="U16" s="15">
        <f>$P16*'Allocation %'!O16</f>
        <v>0</v>
      </c>
      <c r="V16" s="15">
        <f>$P16*'Allocation %'!P16</f>
        <v>0</v>
      </c>
      <c r="W16" s="15">
        <f>$P16*'Allocation %'!Q16</f>
        <v>0</v>
      </c>
      <c r="X16" s="15">
        <f>$P16*'Allocation %'!R16</f>
        <v>0</v>
      </c>
      <c r="Y16" s="15">
        <f>$P16*'Allocation %'!S16</f>
        <v>0</v>
      </c>
      <c r="Z16" s="15">
        <f>$P16*'Allocation %'!T16</f>
        <v>0</v>
      </c>
      <c r="AA16" s="15">
        <f>$P16*'Allocation %'!U16</f>
        <v>0</v>
      </c>
      <c r="AB16" s="15">
        <f>$P16*'Allocation %'!V16</f>
        <v>0</v>
      </c>
      <c r="AC16" s="15">
        <f>$P16*'Allocation %'!W16</f>
        <v>0</v>
      </c>
      <c r="AD16" s="15">
        <f>$P16*'Allocation %'!X16</f>
        <v>0</v>
      </c>
      <c r="AE16" s="15">
        <f>$P16*'Allocation %'!Y16</f>
        <v>0</v>
      </c>
      <c r="AF16" s="15">
        <f>$P16*'Allocation %'!Z16</f>
        <v>0</v>
      </c>
      <c r="AG16" s="15">
        <f>$P16*'Allocation %'!AA16</f>
        <v>0</v>
      </c>
      <c r="AH16" s="15">
        <f>$P16*'Allocation %'!AB16</f>
        <v>0</v>
      </c>
      <c r="AI16" s="15">
        <f>$P16*'Allocation %'!AC16</f>
        <v>0</v>
      </c>
      <c r="AJ16" s="15">
        <f>$P16*'Allocation %'!AD16</f>
        <v>0</v>
      </c>
      <c r="AK16" s="15">
        <f>$P16*'Allocation %'!AE16</f>
        <v>0</v>
      </c>
      <c r="AL16" s="15">
        <f>$P16*'Allocation %'!AF16</f>
        <v>0</v>
      </c>
      <c r="AM16" s="15">
        <f>$P16*'Allocation %'!AG16</f>
        <v>0</v>
      </c>
      <c r="AN16" s="15">
        <f>$P16*'Allocation %'!AH16</f>
        <v>0</v>
      </c>
      <c r="AO16" s="89">
        <f t="shared" si="2"/>
        <v>0</v>
      </c>
      <c r="AP16" s="19">
        <f t="shared" si="4"/>
        <v>0</v>
      </c>
    </row>
    <row r="17" spans="1:42" s="16" customFormat="1" ht="10.5" x14ac:dyDescent="0.25">
      <c r="A17" s="11">
        <f>Salary!A17</f>
        <v>14</v>
      </c>
      <c r="B17" s="17" t="str">
        <f>'Allocation %'!B17</f>
        <v xml:space="preserve">HIGGINS, Rosa M. </v>
      </c>
      <c r="C17" s="17">
        <v>14</v>
      </c>
      <c r="D17" s="17" t="str">
        <f>'Allocation %'!D17</f>
        <v>FOC</v>
      </c>
      <c r="E17" s="17">
        <f>'Allocation %'!E17</f>
        <v>0</v>
      </c>
      <c r="F17" s="22">
        <v>1538.46</v>
      </c>
      <c r="G17" s="22">
        <f t="shared" si="0"/>
        <v>39999.96</v>
      </c>
      <c r="H17" s="18"/>
      <c r="I17" s="22">
        <f>SUM(G17:H17)</f>
        <v>39999.96</v>
      </c>
      <c r="J17" s="18"/>
      <c r="K17" s="18"/>
      <c r="L17" s="22"/>
      <c r="M17" s="22"/>
      <c r="N17" s="22"/>
      <c r="O17" s="22"/>
      <c r="P17" s="18">
        <f t="shared" si="3"/>
        <v>0</v>
      </c>
      <c r="Q17" s="15">
        <f>$P17*'Allocation %'!J17</f>
        <v>0</v>
      </c>
      <c r="R17" s="15">
        <f>$P17*'Allocation %'!K17</f>
        <v>0</v>
      </c>
      <c r="S17" s="15">
        <f>$P17*'Allocation %'!M17</f>
        <v>0</v>
      </c>
      <c r="T17" s="15">
        <f>$P17*'Allocation %'!N17</f>
        <v>0</v>
      </c>
      <c r="U17" s="15">
        <f>$P17*'Allocation %'!O17</f>
        <v>0</v>
      </c>
      <c r="V17" s="15">
        <f>$P17*'Allocation %'!P17</f>
        <v>0</v>
      </c>
      <c r="W17" s="15">
        <f>$P17*'Allocation %'!Q17</f>
        <v>0</v>
      </c>
      <c r="X17" s="15">
        <f>$P17*'Allocation %'!R17</f>
        <v>0</v>
      </c>
      <c r="Y17" s="15">
        <f>$P17*'Allocation %'!S17</f>
        <v>0</v>
      </c>
      <c r="Z17" s="15">
        <f>$P17*'Allocation %'!T17</f>
        <v>0</v>
      </c>
      <c r="AA17" s="15">
        <f>$P17*'Allocation %'!U17</f>
        <v>0</v>
      </c>
      <c r="AB17" s="15">
        <f>$P17*'Allocation %'!V17</f>
        <v>0</v>
      </c>
      <c r="AC17" s="15">
        <f>$P17*'Allocation %'!W17</f>
        <v>0</v>
      </c>
      <c r="AD17" s="15">
        <f>$P17*'Allocation %'!X17</f>
        <v>0</v>
      </c>
      <c r="AE17" s="15">
        <f>$P17*'Allocation %'!Y17</f>
        <v>0</v>
      </c>
      <c r="AF17" s="15">
        <f>$P17*'Allocation %'!Z17</f>
        <v>0</v>
      </c>
      <c r="AG17" s="15">
        <f>$P17*'Allocation %'!AA17</f>
        <v>0</v>
      </c>
      <c r="AH17" s="15">
        <f>$P17*'Allocation %'!AB17</f>
        <v>0</v>
      </c>
      <c r="AI17" s="15">
        <f>$P17*'Allocation %'!AC17</f>
        <v>0</v>
      </c>
      <c r="AJ17" s="15">
        <f>$P17*'Allocation %'!AD17</f>
        <v>0</v>
      </c>
      <c r="AK17" s="15">
        <f>$P17*'Allocation %'!AE17</f>
        <v>0</v>
      </c>
      <c r="AL17" s="15">
        <f>$P17*'Allocation %'!AF17</f>
        <v>0</v>
      </c>
      <c r="AM17" s="15">
        <f>$P17*'Allocation %'!AG17</f>
        <v>0</v>
      </c>
      <c r="AN17" s="15">
        <f>$P17*'Allocation %'!AH17</f>
        <v>0</v>
      </c>
      <c r="AO17" s="89">
        <f t="shared" si="2"/>
        <v>0</v>
      </c>
      <c r="AP17" s="19">
        <f t="shared" si="4"/>
        <v>0</v>
      </c>
    </row>
    <row r="18" spans="1:42" s="16" customFormat="1" ht="10.5" x14ac:dyDescent="0.25">
      <c r="A18" s="11">
        <f>Salary!A18</f>
        <v>15</v>
      </c>
      <c r="B18" s="17" t="str">
        <f>'Allocation %'!B18</f>
        <v>HOLLINS, QUINTELLA</v>
      </c>
      <c r="C18" s="17">
        <v>15</v>
      </c>
      <c r="D18" s="17" t="str">
        <f>'Allocation %'!D18</f>
        <v>Abbott</v>
      </c>
      <c r="E18" s="17" t="str">
        <f>'Allocation %'!E18</f>
        <v xml:space="preserve">Teacher   </v>
      </c>
      <c r="F18" s="18">
        <v>2305.8200000000002</v>
      </c>
      <c r="G18" s="20">
        <f t="shared" si="0"/>
        <v>59951.320000000007</v>
      </c>
      <c r="H18" s="18"/>
      <c r="I18" s="18">
        <f>SUM(G18:H18)</f>
        <v>59951.320000000007</v>
      </c>
      <c r="J18" s="18"/>
      <c r="K18" s="18"/>
      <c r="L18" s="18"/>
      <c r="M18" s="18"/>
      <c r="N18" s="18"/>
      <c r="O18" s="18"/>
      <c r="P18" s="18">
        <f t="shared" si="3"/>
        <v>0</v>
      </c>
      <c r="Q18" s="15">
        <f>$P18*'Allocation %'!J18</f>
        <v>0</v>
      </c>
      <c r="R18" s="15">
        <f>$P18*'Allocation %'!K18</f>
        <v>0</v>
      </c>
      <c r="S18" s="15">
        <f>$P18*'Allocation %'!M18</f>
        <v>0</v>
      </c>
      <c r="T18" s="15">
        <f>$P18*'Allocation %'!N18</f>
        <v>0</v>
      </c>
      <c r="U18" s="15">
        <f>$P18*'Allocation %'!O18</f>
        <v>0</v>
      </c>
      <c r="V18" s="15">
        <f>$P18*'Allocation %'!P18</f>
        <v>0</v>
      </c>
      <c r="W18" s="15">
        <f>$P18*'Allocation %'!Q18</f>
        <v>0</v>
      </c>
      <c r="X18" s="15">
        <f>$P18*'Allocation %'!R18</f>
        <v>0</v>
      </c>
      <c r="Y18" s="15">
        <f>$P18*'Allocation %'!S18</f>
        <v>0</v>
      </c>
      <c r="Z18" s="15">
        <f>$P18*'Allocation %'!T18</f>
        <v>0</v>
      </c>
      <c r="AA18" s="15">
        <f>$P18*'Allocation %'!U18</f>
        <v>0</v>
      </c>
      <c r="AB18" s="15">
        <f>$P18*'Allocation %'!V18</f>
        <v>0</v>
      </c>
      <c r="AC18" s="15">
        <f>$P18*'Allocation %'!W18</f>
        <v>0</v>
      </c>
      <c r="AD18" s="15">
        <f>$P18*'Allocation %'!X18</f>
        <v>0</v>
      </c>
      <c r="AE18" s="15">
        <f>$P18*'Allocation %'!Y18</f>
        <v>0</v>
      </c>
      <c r="AF18" s="15">
        <f>$P18*'Allocation %'!Z18</f>
        <v>0</v>
      </c>
      <c r="AG18" s="15">
        <f>$P18*'Allocation %'!AA18</f>
        <v>0</v>
      </c>
      <c r="AH18" s="15">
        <f>$P18*'Allocation %'!AB18</f>
        <v>0</v>
      </c>
      <c r="AI18" s="15">
        <f>$P18*'Allocation %'!AC18</f>
        <v>0</v>
      </c>
      <c r="AJ18" s="15">
        <f>$P18*'Allocation %'!AD18</f>
        <v>0</v>
      </c>
      <c r="AK18" s="15">
        <f>$P18*'Allocation %'!AE18</f>
        <v>0</v>
      </c>
      <c r="AL18" s="15">
        <f>$P18*'Allocation %'!AF18</f>
        <v>0</v>
      </c>
      <c r="AM18" s="15">
        <f>$P18*'Allocation %'!AG18</f>
        <v>0</v>
      </c>
      <c r="AN18" s="15">
        <f>$P18*'Allocation %'!AH18</f>
        <v>0</v>
      </c>
      <c r="AO18" s="89">
        <f t="shared" si="2"/>
        <v>0</v>
      </c>
      <c r="AP18" s="19">
        <f t="shared" si="4"/>
        <v>0</v>
      </c>
    </row>
    <row r="19" spans="1:42" s="16" customFormat="1" ht="10.5" x14ac:dyDescent="0.25">
      <c r="A19" s="11">
        <f>Salary!A19</f>
        <v>16</v>
      </c>
      <c r="B19" s="17" t="str">
        <f>'Allocation %'!B19</f>
        <v>Howard, Theresa</v>
      </c>
      <c r="C19" s="17">
        <v>16</v>
      </c>
      <c r="D19" s="17" t="str">
        <f>'Allocation %'!D19</f>
        <v>United Airlines</v>
      </c>
      <c r="E19" s="17">
        <f>'Allocation %'!E19</f>
        <v>0</v>
      </c>
      <c r="F19" s="18">
        <v>2115.39</v>
      </c>
      <c r="G19" s="18">
        <f>F19*$G$3</f>
        <v>55000.14</v>
      </c>
      <c r="H19" s="18"/>
      <c r="I19" s="18">
        <f>SUM(G19:H19)</f>
        <v>55000.14</v>
      </c>
      <c r="J19" s="18">
        <v>72.680000000000007</v>
      </c>
      <c r="K19" s="18">
        <v>72.680000000000007</v>
      </c>
      <c r="L19" s="18"/>
      <c r="M19" s="18"/>
      <c r="N19" s="18"/>
      <c r="O19" s="18"/>
      <c r="P19" s="18">
        <f t="shared" si="3"/>
        <v>145.36000000000001</v>
      </c>
      <c r="Q19" s="15">
        <f>$P19*'Allocation %'!J19</f>
        <v>0</v>
      </c>
      <c r="R19" s="15">
        <f>$P19*'Allocation %'!K19</f>
        <v>0</v>
      </c>
      <c r="S19" s="15">
        <f>$P19*'Allocation %'!M19</f>
        <v>0</v>
      </c>
      <c r="T19" s="15">
        <f>$P19*'Allocation %'!N19</f>
        <v>0</v>
      </c>
      <c r="U19" s="15">
        <f>$P19*'Allocation %'!O19</f>
        <v>145.36000000000001</v>
      </c>
      <c r="V19" s="15">
        <f>$P19*'Allocation %'!P19</f>
        <v>0</v>
      </c>
      <c r="W19" s="15">
        <f>$P19*'Allocation %'!Q19</f>
        <v>0</v>
      </c>
      <c r="X19" s="15">
        <f>$P19*'Allocation %'!R19</f>
        <v>0</v>
      </c>
      <c r="Y19" s="15">
        <f>$P19*'Allocation %'!S19</f>
        <v>0</v>
      </c>
      <c r="Z19" s="15">
        <f>$P19*'Allocation %'!T19</f>
        <v>0</v>
      </c>
      <c r="AA19" s="15">
        <f>$P19*'Allocation %'!U19</f>
        <v>0</v>
      </c>
      <c r="AB19" s="15">
        <f>$P19*'Allocation %'!V19</f>
        <v>0</v>
      </c>
      <c r="AC19" s="15">
        <f>$P19*'Allocation %'!W19</f>
        <v>0</v>
      </c>
      <c r="AD19" s="15">
        <f>$P19*'Allocation %'!X19</f>
        <v>0</v>
      </c>
      <c r="AE19" s="15">
        <f>$P19*'Allocation %'!Y19</f>
        <v>0</v>
      </c>
      <c r="AF19" s="15">
        <f>$P19*'Allocation %'!Z19</f>
        <v>0</v>
      </c>
      <c r="AG19" s="15">
        <f>$P19*'Allocation %'!AA19</f>
        <v>0</v>
      </c>
      <c r="AH19" s="15">
        <f>$P19*'Allocation %'!AB19</f>
        <v>0</v>
      </c>
      <c r="AI19" s="15">
        <f>$P19*'Allocation %'!AC19</f>
        <v>0</v>
      </c>
      <c r="AJ19" s="15">
        <f>$P19*'Allocation %'!AD19</f>
        <v>0</v>
      </c>
      <c r="AK19" s="15">
        <f>$P19*'Allocation %'!AE19</f>
        <v>0</v>
      </c>
      <c r="AL19" s="15">
        <f>$P19*'Allocation %'!AF19</f>
        <v>0</v>
      </c>
      <c r="AM19" s="15">
        <f>$P19*'Allocation %'!AG19</f>
        <v>0</v>
      </c>
      <c r="AN19" s="15">
        <f>$P19*'Allocation %'!AH19</f>
        <v>0</v>
      </c>
      <c r="AO19" s="89">
        <f t="shared" si="2"/>
        <v>145.36000000000001</v>
      </c>
      <c r="AP19" s="19">
        <f t="shared" si="4"/>
        <v>0</v>
      </c>
    </row>
    <row r="20" spans="1:42" s="16" customFormat="1" ht="10.5" x14ac:dyDescent="0.25">
      <c r="A20" s="11">
        <f>Salary!A20</f>
        <v>17</v>
      </c>
      <c r="B20" s="17" t="str">
        <f>'Allocation %'!B20</f>
        <v>Johnson, Amanda</v>
      </c>
      <c r="C20" s="17">
        <v>17</v>
      </c>
      <c r="D20" s="17" t="str">
        <f>'Allocation %'!D20</f>
        <v>USJP</v>
      </c>
      <c r="E20" s="17">
        <f>'Allocation %'!E20</f>
        <v>0</v>
      </c>
      <c r="F20" s="18">
        <v>721</v>
      </c>
      <c r="G20" s="18">
        <f>F20*$G$3</f>
        <v>18746</v>
      </c>
      <c r="H20" s="18"/>
      <c r="I20" s="18">
        <f>SUM(G20:H20)</f>
        <v>18746</v>
      </c>
      <c r="J20" s="18"/>
      <c r="K20" s="18"/>
      <c r="L20" s="18"/>
      <c r="M20" s="18"/>
      <c r="N20" s="18"/>
      <c r="O20" s="18"/>
      <c r="P20" s="18">
        <f t="shared" si="3"/>
        <v>0</v>
      </c>
      <c r="Q20" s="15">
        <f>$P20*'Allocation %'!J20</f>
        <v>0</v>
      </c>
      <c r="R20" s="15">
        <f>$P20*'Allocation %'!K20</f>
        <v>0</v>
      </c>
      <c r="S20" s="15">
        <f>$P20*'Allocation %'!M20</f>
        <v>0</v>
      </c>
      <c r="T20" s="15">
        <f>$P20*'Allocation %'!N20</f>
        <v>0</v>
      </c>
      <c r="U20" s="15">
        <f>$P20*'Allocation %'!O20</f>
        <v>0</v>
      </c>
      <c r="V20" s="15">
        <f>$P20*'Allocation %'!P20</f>
        <v>0</v>
      </c>
      <c r="W20" s="15">
        <f>$P20*'Allocation %'!Q20</f>
        <v>0</v>
      </c>
      <c r="X20" s="15">
        <f>$P20*'Allocation %'!R20</f>
        <v>0</v>
      </c>
      <c r="Y20" s="15">
        <f>$P20*'Allocation %'!S20</f>
        <v>0</v>
      </c>
      <c r="Z20" s="15">
        <f>$P20*'Allocation %'!T20</f>
        <v>0</v>
      </c>
      <c r="AA20" s="15">
        <f>$P20*'Allocation %'!U20</f>
        <v>0</v>
      </c>
      <c r="AB20" s="15">
        <f>$P20*'Allocation %'!V20</f>
        <v>0</v>
      </c>
      <c r="AC20" s="15">
        <f>$P20*'Allocation %'!W20</f>
        <v>0</v>
      </c>
      <c r="AD20" s="15">
        <f>$P20*'Allocation %'!X20</f>
        <v>0</v>
      </c>
      <c r="AE20" s="15">
        <f>$P20*'Allocation %'!Y20</f>
        <v>0</v>
      </c>
      <c r="AF20" s="15">
        <f>$P20*'Allocation %'!Z20</f>
        <v>0</v>
      </c>
      <c r="AG20" s="15">
        <f>$P20*'Allocation %'!AA20</f>
        <v>0</v>
      </c>
      <c r="AH20" s="15">
        <f>$P20*'Allocation %'!AB20</f>
        <v>0</v>
      </c>
      <c r="AI20" s="15">
        <f>$P20*'Allocation %'!AC20</f>
        <v>0</v>
      </c>
      <c r="AJ20" s="15">
        <f>$P20*'Allocation %'!AD20</f>
        <v>0</v>
      </c>
      <c r="AK20" s="15">
        <f>$P20*'Allocation %'!AE20</f>
        <v>0</v>
      </c>
      <c r="AL20" s="15">
        <f>$P20*'Allocation %'!AF20</f>
        <v>0</v>
      </c>
      <c r="AM20" s="15">
        <f>$P20*'Allocation %'!AG20</f>
        <v>0</v>
      </c>
      <c r="AN20" s="15">
        <f>$P20*'Allocation %'!AH20</f>
        <v>0</v>
      </c>
      <c r="AO20" s="89">
        <f t="shared" si="2"/>
        <v>0</v>
      </c>
      <c r="AP20" s="19">
        <f t="shared" si="4"/>
        <v>0</v>
      </c>
    </row>
    <row r="21" spans="1:42" s="16" customFormat="1" ht="10.5" x14ac:dyDescent="0.25">
      <c r="A21" s="11">
        <f>Salary!A21</f>
        <v>18</v>
      </c>
      <c r="B21" s="17" t="str">
        <f>'Allocation %'!B21</f>
        <v>Leake, Rahmel</v>
      </c>
      <c r="C21" s="17">
        <v>18</v>
      </c>
      <c r="D21" s="17" t="str">
        <f>'Allocation %'!D21</f>
        <v>USJP</v>
      </c>
      <c r="E21" s="17">
        <f>'Allocation %'!E21</f>
        <v>0</v>
      </c>
      <c r="F21" s="18">
        <v>1538.47</v>
      </c>
      <c r="G21" s="18">
        <f>F21*$G$3</f>
        <v>40000.22</v>
      </c>
      <c r="H21" s="18"/>
      <c r="I21" s="18">
        <f>SUM(G21:H21)</f>
        <v>40000.22</v>
      </c>
      <c r="J21" s="18"/>
      <c r="K21" s="18"/>
      <c r="L21" s="18"/>
      <c r="M21" s="18"/>
      <c r="N21" s="18"/>
      <c r="O21" s="18"/>
      <c r="P21" s="18">
        <f t="shared" si="3"/>
        <v>0</v>
      </c>
      <c r="Q21" s="15">
        <f>$P21*'Allocation %'!J21</f>
        <v>0</v>
      </c>
      <c r="R21" s="15">
        <f>$P21*'Allocation %'!K21</f>
        <v>0</v>
      </c>
      <c r="S21" s="15">
        <f>$P21*'Allocation %'!M21</f>
        <v>0</v>
      </c>
      <c r="T21" s="15">
        <f>$P21*'Allocation %'!N21</f>
        <v>0</v>
      </c>
      <c r="U21" s="15">
        <f>$P21*'Allocation %'!O21</f>
        <v>0</v>
      </c>
      <c r="V21" s="15">
        <f>$P21*'Allocation %'!P21</f>
        <v>0</v>
      </c>
      <c r="W21" s="15">
        <f>$P21*'Allocation %'!Q21</f>
        <v>0</v>
      </c>
      <c r="X21" s="15">
        <f>$P21*'Allocation %'!R21</f>
        <v>0</v>
      </c>
      <c r="Y21" s="15">
        <f>$P21*'Allocation %'!S21</f>
        <v>0</v>
      </c>
      <c r="Z21" s="15">
        <f>$P21*'Allocation %'!T21</f>
        <v>0</v>
      </c>
      <c r="AA21" s="15">
        <f>$P21*'Allocation %'!U21</f>
        <v>0</v>
      </c>
      <c r="AB21" s="15">
        <f>$P21*'Allocation %'!V21</f>
        <v>0</v>
      </c>
      <c r="AC21" s="15">
        <f>$P21*'Allocation %'!W21</f>
        <v>0</v>
      </c>
      <c r="AD21" s="15">
        <f>$P21*'Allocation %'!X21</f>
        <v>0</v>
      </c>
      <c r="AE21" s="15">
        <f>$P21*'Allocation %'!Y21</f>
        <v>0</v>
      </c>
      <c r="AF21" s="15">
        <f>$P21*'Allocation %'!Z21</f>
        <v>0</v>
      </c>
      <c r="AG21" s="15">
        <f>$P21*'Allocation %'!AA21</f>
        <v>0</v>
      </c>
      <c r="AH21" s="15">
        <f>$P21*'Allocation %'!AB21</f>
        <v>0</v>
      </c>
      <c r="AI21" s="15">
        <f>$P21*'Allocation %'!AC21</f>
        <v>0</v>
      </c>
      <c r="AJ21" s="15">
        <f>$P21*'Allocation %'!AD21</f>
        <v>0</v>
      </c>
      <c r="AK21" s="15">
        <f>$P21*'Allocation %'!AE21</f>
        <v>0</v>
      </c>
      <c r="AL21" s="15">
        <f>$P21*'Allocation %'!AF21</f>
        <v>0</v>
      </c>
      <c r="AM21" s="15">
        <f>$P21*'Allocation %'!AG21</f>
        <v>0</v>
      </c>
      <c r="AN21" s="15">
        <f>$P21*'Allocation %'!AH21</f>
        <v>0</v>
      </c>
      <c r="AO21" s="89">
        <f t="shared" si="2"/>
        <v>0</v>
      </c>
      <c r="AP21" s="19">
        <f t="shared" si="4"/>
        <v>0</v>
      </c>
    </row>
    <row r="22" spans="1:42" s="16" customFormat="1" ht="10.5" x14ac:dyDescent="0.25">
      <c r="A22" s="11">
        <f>Salary!A22</f>
        <v>19</v>
      </c>
      <c r="B22" s="17" t="str">
        <f>'Allocation %'!B22</f>
        <v>Lindsey, Victoria - July</v>
      </c>
      <c r="C22" s="17">
        <v>19</v>
      </c>
      <c r="D22" s="17" t="str">
        <f>'Allocation %'!D22</f>
        <v>NRTC, Housing, PARS, ESG</v>
      </c>
      <c r="E22" s="17">
        <f>'Allocation %'!E22</f>
        <v>0</v>
      </c>
      <c r="F22" s="18">
        <v>2500</v>
      </c>
      <c r="G22" s="18">
        <f t="shared" ref="G22:G23" si="6">F22*$G$3</f>
        <v>65000</v>
      </c>
      <c r="H22" s="18"/>
      <c r="I22" s="18">
        <f t="shared" ref="I22:I30" si="7">SUM(G22:H22)</f>
        <v>65000</v>
      </c>
      <c r="J22" s="18">
        <v>98.62</v>
      </c>
      <c r="K22" s="18">
        <v>98.62</v>
      </c>
      <c r="L22" s="18"/>
      <c r="M22" s="18"/>
      <c r="N22" s="18"/>
      <c r="O22" s="18"/>
      <c r="P22" s="18">
        <f t="shared" si="3"/>
        <v>197.24</v>
      </c>
      <c r="Q22" s="15">
        <f>$P22*'Allocation %'!J22</f>
        <v>0</v>
      </c>
      <c r="R22" s="15">
        <f>$P22*'Allocation %'!K22</f>
        <v>0</v>
      </c>
      <c r="S22" s="15">
        <f>$P22*'Allocation %'!M22</f>
        <v>0</v>
      </c>
      <c r="T22" s="15">
        <f>$P22*'Allocation %'!N22</f>
        <v>0</v>
      </c>
      <c r="U22" s="15">
        <f>$P22*'Allocation %'!O22</f>
        <v>0</v>
      </c>
      <c r="V22" s="15">
        <f>$P22*'Allocation %'!P22</f>
        <v>0</v>
      </c>
      <c r="W22" s="15">
        <f>$P22*'Allocation %'!Q22</f>
        <v>0</v>
      </c>
      <c r="X22" s="15">
        <f>$P22*'Allocation %'!R22</f>
        <v>49.31</v>
      </c>
      <c r="Y22" s="15">
        <f>$P22*'Allocation %'!S22</f>
        <v>35.5032</v>
      </c>
      <c r="Z22" s="15">
        <f>$P22*'Allocation %'!T22</f>
        <v>13.806800000000003</v>
      </c>
      <c r="AA22" s="15">
        <f>$P22*'Allocation %'!U22</f>
        <v>49.31</v>
      </c>
      <c r="AB22" s="15">
        <f>$P22*'Allocation %'!V22</f>
        <v>49.31</v>
      </c>
      <c r="AC22" s="15">
        <f>$P22*'Allocation %'!W22</f>
        <v>0</v>
      </c>
      <c r="AD22" s="15">
        <f>$P22*'Allocation %'!X22</f>
        <v>0</v>
      </c>
      <c r="AE22" s="15">
        <f>$P22*'Allocation %'!Y22</f>
        <v>0</v>
      </c>
      <c r="AF22" s="15">
        <f>$P22*'Allocation %'!Z22</f>
        <v>0</v>
      </c>
      <c r="AG22" s="15">
        <f>$P22*'Allocation %'!AA22</f>
        <v>0</v>
      </c>
      <c r="AH22" s="15">
        <f>$P22*'Allocation %'!AB22</f>
        <v>0</v>
      </c>
      <c r="AI22" s="15">
        <f>$P22*'Allocation %'!AC22</f>
        <v>0</v>
      </c>
      <c r="AJ22" s="15">
        <f>$P22*'Allocation %'!AD22</f>
        <v>0</v>
      </c>
      <c r="AK22" s="15">
        <f>$P22*'Allocation %'!AE22</f>
        <v>0</v>
      </c>
      <c r="AL22" s="15">
        <f>$P22*'Allocation %'!AF22</f>
        <v>0</v>
      </c>
      <c r="AM22" s="15">
        <f>$P22*'Allocation %'!AG22</f>
        <v>0</v>
      </c>
      <c r="AN22" s="15">
        <f>$P22*'Allocation %'!AH22</f>
        <v>0</v>
      </c>
      <c r="AO22" s="89">
        <f t="shared" si="2"/>
        <v>197.24</v>
      </c>
      <c r="AP22" s="19">
        <f t="shared" si="4"/>
        <v>0</v>
      </c>
    </row>
    <row r="23" spans="1:42" s="16" customFormat="1" ht="10.5" x14ac:dyDescent="0.25">
      <c r="A23" s="11">
        <f>Salary!A23</f>
        <v>20</v>
      </c>
      <c r="B23" s="17" t="str">
        <f>'Allocation %'!B23</f>
        <v>LOFTIN, NIQUITA</v>
      </c>
      <c r="C23" s="17">
        <v>20</v>
      </c>
      <c r="D23" s="17" t="str">
        <f>'Allocation %'!D23</f>
        <v>Abbott</v>
      </c>
      <c r="E23" s="17" t="str">
        <f>'Allocation %'!E23</f>
        <v>Teacher Asst</v>
      </c>
      <c r="F23" s="18">
        <v>1176</v>
      </c>
      <c r="G23" s="18">
        <f t="shared" si="6"/>
        <v>30576</v>
      </c>
      <c r="H23" s="18"/>
      <c r="I23" s="18">
        <f t="shared" si="7"/>
        <v>30576</v>
      </c>
      <c r="J23" s="18"/>
      <c r="K23" s="18"/>
      <c r="L23" s="18"/>
      <c r="M23" s="18"/>
      <c r="N23" s="18"/>
      <c r="O23" s="18"/>
      <c r="P23" s="18">
        <f t="shared" si="3"/>
        <v>0</v>
      </c>
      <c r="Q23" s="15">
        <f>$P23*'Allocation %'!J23</f>
        <v>0</v>
      </c>
      <c r="R23" s="15">
        <f>$P23*'Allocation %'!K23</f>
        <v>0</v>
      </c>
      <c r="S23" s="15">
        <f>$P23*'Allocation %'!M23</f>
        <v>0</v>
      </c>
      <c r="T23" s="15">
        <f>$P23*'Allocation %'!N23</f>
        <v>0</v>
      </c>
      <c r="U23" s="15">
        <f>$P23*'Allocation %'!O23</f>
        <v>0</v>
      </c>
      <c r="V23" s="15">
        <f>$P23*'Allocation %'!P23</f>
        <v>0</v>
      </c>
      <c r="W23" s="15">
        <f>$P23*'Allocation %'!Q23</f>
        <v>0</v>
      </c>
      <c r="X23" s="15">
        <f>$P23*'Allocation %'!R23</f>
        <v>0</v>
      </c>
      <c r="Y23" s="15">
        <f>$P23*'Allocation %'!S23</f>
        <v>0</v>
      </c>
      <c r="Z23" s="15">
        <f>$P23*'Allocation %'!T23</f>
        <v>0</v>
      </c>
      <c r="AA23" s="15">
        <f>$P23*'Allocation %'!U23</f>
        <v>0</v>
      </c>
      <c r="AB23" s="15">
        <f>$P23*'Allocation %'!V23</f>
        <v>0</v>
      </c>
      <c r="AC23" s="15">
        <f>$P23*'Allocation %'!W23</f>
        <v>0</v>
      </c>
      <c r="AD23" s="15">
        <f>$P23*'Allocation %'!X23</f>
        <v>0</v>
      </c>
      <c r="AE23" s="15">
        <f>$P23*'Allocation %'!Y23</f>
        <v>0</v>
      </c>
      <c r="AF23" s="15">
        <f>$P23*'Allocation %'!Z23</f>
        <v>0</v>
      </c>
      <c r="AG23" s="15">
        <f>$P23*'Allocation %'!AA23</f>
        <v>0</v>
      </c>
      <c r="AH23" s="15">
        <f>$P23*'Allocation %'!AB23</f>
        <v>0</v>
      </c>
      <c r="AI23" s="15">
        <f>$P23*'Allocation %'!AC23</f>
        <v>0</v>
      </c>
      <c r="AJ23" s="15">
        <f>$P23*'Allocation %'!AD23</f>
        <v>0</v>
      </c>
      <c r="AK23" s="15">
        <f>$P23*'Allocation %'!AE23</f>
        <v>0</v>
      </c>
      <c r="AL23" s="15">
        <f>$P23*'Allocation %'!AF23</f>
        <v>0</v>
      </c>
      <c r="AM23" s="15">
        <f>$P23*'Allocation %'!AG23</f>
        <v>0</v>
      </c>
      <c r="AN23" s="15">
        <f>$P23*'Allocation %'!AH23</f>
        <v>0</v>
      </c>
      <c r="AO23" s="89">
        <f t="shared" si="2"/>
        <v>0</v>
      </c>
      <c r="AP23" s="19">
        <f t="shared" si="4"/>
        <v>0</v>
      </c>
    </row>
    <row r="24" spans="1:42" s="16" customFormat="1" ht="10.5" x14ac:dyDescent="0.25">
      <c r="A24" s="11">
        <f>Salary!A24</f>
        <v>21</v>
      </c>
      <c r="B24" s="17" t="str">
        <f>'Allocation %'!B24</f>
        <v>Love, Charles</v>
      </c>
      <c r="C24" s="17">
        <v>21</v>
      </c>
      <c r="D24" s="17" t="str">
        <f>'Allocation %'!D24</f>
        <v>PACE</v>
      </c>
      <c r="E24" s="17">
        <f>'Allocation %'!E24</f>
        <v>0</v>
      </c>
      <c r="F24" s="18">
        <v>1200</v>
      </c>
      <c r="G24" s="18">
        <f>F24*$G$3</f>
        <v>31200</v>
      </c>
      <c r="H24" s="18"/>
      <c r="I24" s="18">
        <f t="shared" si="7"/>
        <v>31200</v>
      </c>
      <c r="J24" s="18"/>
      <c r="K24" s="18"/>
      <c r="L24" s="18"/>
      <c r="M24" s="18"/>
      <c r="N24" s="18"/>
      <c r="O24" s="18"/>
      <c r="P24" s="18">
        <f t="shared" si="3"/>
        <v>0</v>
      </c>
      <c r="Q24" s="15">
        <f>$P24*'Allocation %'!J24</f>
        <v>0</v>
      </c>
      <c r="R24" s="15">
        <f>$P24*'Allocation %'!K24</f>
        <v>0</v>
      </c>
      <c r="S24" s="15">
        <f>$P24*'Allocation %'!M24</f>
        <v>0</v>
      </c>
      <c r="T24" s="15">
        <f>$P24*'Allocation %'!N24</f>
        <v>0</v>
      </c>
      <c r="U24" s="15">
        <f>$P24*'Allocation %'!O24</f>
        <v>0</v>
      </c>
      <c r="V24" s="15">
        <f>$P24*'Allocation %'!P24</f>
        <v>0</v>
      </c>
      <c r="W24" s="15">
        <f>$P24*'Allocation %'!Q24</f>
        <v>0</v>
      </c>
      <c r="X24" s="15">
        <f>$P24*'Allocation %'!R24</f>
        <v>0</v>
      </c>
      <c r="Y24" s="15">
        <f>$P24*'Allocation %'!S24</f>
        <v>0</v>
      </c>
      <c r="Z24" s="15">
        <f>$P24*'Allocation %'!T24</f>
        <v>0</v>
      </c>
      <c r="AA24" s="15">
        <f>$P24*'Allocation %'!U24</f>
        <v>0</v>
      </c>
      <c r="AB24" s="15">
        <f>$P24*'Allocation %'!V24</f>
        <v>0</v>
      </c>
      <c r="AC24" s="15">
        <f>$P24*'Allocation %'!W24</f>
        <v>0</v>
      </c>
      <c r="AD24" s="15">
        <f>$P24*'Allocation %'!X24</f>
        <v>0</v>
      </c>
      <c r="AE24" s="15">
        <f>$P24*'Allocation %'!Y24</f>
        <v>0</v>
      </c>
      <c r="AF24" s="15">
        <f>$P24*'Allocation %'!Z24</f>
        <v>0</v>
      </c>
      <c r="AG24" s="15">
        <f>$P24*'Allocation %'!AA24</f>
        <v>0</v>
      </c>
      <c r="AH24" s="15">
        <f>$P24*'Allocation %'!AB24</f>
        <v>0</v>
      </c>
      <c r="AI24" s="15">
        <f>$P24*'Allocation %'!AC24</f>
        <v>0</v>
      </c>
      <c r="AJ24" s="15">
        <f>$P24*'Allocation %'!AD24</f>
        <v>0</v>
      </c>
      <c r="AK24" s="15">
        <f>$P24*'Allocation %'!AE24</f>
        <v>0</v>
      </c>
      <c r="AL24" s="15">
        <f>$P24*'Allocation %'!AF24</f>
        <v>0</v>
      </c>
      <c r="AM24" s="15">
        <f>$P24*'Allocation %'!AG24</f>
        <v>0</v>
      </c>
      <c r="AN24" s="15">
        <f>$P24*'Allocation %'!AH24</f>
        <v>0</v>
      </c>
      <c r="AO24" s="89">
        <f t="shared" si="2"/>
        <v>0</v>
      </c>
      <c r="AP24" s="19">
        <f t="shared" si="4"/>
        <v>0</v>
      </c>
    </row>
    <row r="25" spans="1:42" s="16" customFormat="1" ht="10.5" x14ac:dyDescent="0.25">
      <c r="A25" s="11">
        <f>Salary!A25</f>
        <v>22</v>
      </c>
      <c r="B25" s="17" t="str">
        <f>'Allocation %'!B25</f>
        <v>MARTINEZ, Joanna</v>
      </c>
      <c r="C25" s="17">
        <v>22</v>
      </c>
      <c r="D25" s="17" t="str">
        <f>'Allocation %'!D25</f>
        <v>USJP</v>
      </c>
      <c r="E25" s="17">
        <f>'Allocation %'!E25</f>
        <v>0</v>
      </c>
      <c r="F25" s="18">
        <v>1538.47</v>
      </c>
      <c r="G25" s="18">
        <f t="shared" si="0"/>
        <v>40000.22</v>
      </c>
      <c r="H25" s="18"/>
      <c r="I25" s="18">
        <f t="shared" si="7"/>
        <v>40000.22</v>
      </c>
      <c r="J25" s="18">
        <v>122.97</v>
      </c>
      <c r="K25" s="18">
        <v>122.97</v>
      </c>
      <c r="L25" s="18"/>
      <c r="M25" s="18"/>
      <c r="N25" s="18"/>
      <c r="O25" s="18"/>
      <c r="P25" s="18">
        <f t="shared" si="3"/>
        <v>245.94</v>
      </c>
      <c r="Q25" s="15">
        <f>$P25*'Allocation %'!J25</f>
        <v>0</v>
      </c>
      <c r="R25" s="15">
        <f>$P25*'Allocation %'!K25</f>
        <v>0</v>
      </c>
      <c r="S25" s="15">
        <f>$P25*'Allocation %'!M25</f>
        <v>0</v>
      </c>
      <c r="T25" s="15">
        <f>$P25*'Allocation %'!N25</f>
        <v>233.643</v>
      </c>
      <c r="U25" s="15">
        <f>$P25*'Allocation %'!O25</f>
        <v>0</v>
      </c>
      <c r="V25" s="15">
        <f>$P25*'Allocation %'!P25</f>
        <v>0</v>
      </c>
      <c r="W25" s="15">
        <f>$P25*'Allocation %'!Q25</f>
        <v>0</v>
      </c>
      <c r="X25" s="15">
        <f>$P25*'Allocation %'!R25</f>
        <v>0</v>
      </c>
      <c r="Y25" s="15">
        <f>$P25*'Allocation %'!S25</f>
        <v>0</v>
      </c>
      <c r="Z25" s="15">
        <f>$P25*'Allocation %'!T25</f>
        <v>0</v>
      </c>
      <c r="AA25" s="15">
        <f>$P25*'Allocation %'!U25</f>
        <v>0</v>
      </c>
      <c r="AB25" s="15">
        <f>$P25*'Allocation %'!V25</f>
        <v>0</v>
      </c>
      <c r="AC25" s="15">
        <f>$P25*'Allocation %'!W25</f>
        <v>0</v>
      </c>
      <c r="AD25" s="15">
        <f>$P25*'Allocation %'!X25</f>
        <v>0</v>
      </c>
      <c r="AE25" s="15">
        <f>$P25*'Allocation %'!Y25</f>
        <v>0</v>
      </c>
      <c r="AF25" s="15">
        <f>$P25*'Allocation %'!Z25</f>
        <v>0</v>
      </c>
      <c r="AG25" s="15">
        <f>$P25*'Allocation %'!AA25</f>
        <v>0</v>
      </c>
      <c r="AH25" s="15">
        <f>$P25*'Allocation %'!AB25</f>
        <v>0</v>
      </c>
      <c r="AI25" s="15">
        <f>$P25*'Allocation %'!AC25</f>
        <v>0</v>
      </c>
      <c r="AJ25" s="15">
        <f>$P25*'Allocation %'!AD25</f>
        <v>0</v>
      </c>
      <c r="AK25" s="15">
        <f>$P25*'Allocation %'!AE25</f>
        <v>12.297000000000001</v>
      </c>
      <c r="AL25" s="15">
        <f>$P25*'Allocation %'!AF25</f>
        <v>0</v>
      </c>
      <c r="AM25" s="15">
        <f>$P25*'Allocation %'!AG25</f>
        <v>0</v>
      </c>
      <c r="AN25" s="15">
        <f>$P25*'Allocation %'!AH25</f>
        <v>0</v>
      </c>
      <c r="AO25" s="89">
        <f t="shared" si="2"/>
        <v>245.94</v>
      </c>
      <c r="AP25" s="19">
        <f t="shared" si="4"/>
        <v>0</v>
      </c>
    </row>
    <row r="26" spans="1:42" s="16" customFormat="1" ht="10.5" x14ac:dyDescent="0.25">
      <c r="A26" s="11">
        <f>Salary!A26</f>
        <v>23</v>
      </c>
      <c r="B26" s="17" t="str">
        <f>'Allocation %'!B26</f>
        <v>McDaniels, Curtis</v>
      </c>
      <c r="C26" s="17">
        <v>23</v>
      </c>
      <c r="D26" s="17" t="str">
        <f>'Allocation %'!D26</f>
        <v>Neigh Revit</v>
      </c>
      <c r="E26" s="17">
        <f>'Allocation %'!E26</f>
        <v>0</v>
      </c>
      <c r="F26" s="18">
        <v>1442.31</v>
      </c>
      <c r="G26" s="18">
        <f>F26*$G$3</f>
        <v>37500.06</v>
      </c>
      <c r="H26" s="18"/>
      <c r="I26" s="18">
        <f t="shared" si="7"/>
        <v>37500.06</v>
      </c>
      <c r="J26" s="18"/>
      <c r="K26" s="18"/>
      <c r="L26" s="18"/>
      <c r="M26" s="18"/>
      <c r="N26" s="18"/>
      <c r="O26" s="18"/>
      <c r="P26" s="18">
        <f t="shared" si="3"/>
        <v>0</v>
      </c>
      <c r="Q26" s="15">
        <f>$P26*'Allocation %'!J26</f>
        <v>0</v>
      </c>
      <c r="R26" s="15">
        <f>$P26*'Allocation %'!K26</f>
        <v>0</v>
      </c>
      <c r="S26" s="15">
        <f>$P26*'Allocation %'!M26</f>
        <v>0</v>
      </c>
      <c r="T26" s="15">
        <f>$P26*'Allocation %'!N26</f>
        <v>0</v>
      </c>
      <c r="U26" s="15">
        <f>$P26*'Allocation %'!O26</f>
        <v>0</v>
      </c>
      <c r="V26" s="15">
        <f>$P26*'Allocation %'!P26</f>
        <v>0</v>
      </c>
      <c r="W26" s="15">
        <f>$P26*'Allocation %'!Q26</f>
        <v>0</v>
      </c>
      <c r="X26" s="15">
        <f>$P26*'Allocation %'!R26</f>
        <v>0</v>
      </c>
      <c r="Y26" s="15">
        <f>$P26*'Allocation %'!S26</f>
        <v>0</v>
      </c>
      <c r="Z26" s="15">
        <f>$P26*'Allocation %'!T26</f>
        <v>0</v>
      </c>
      <c r="AA26" s="15">
        <f>$P26*'Allocation %'!U26</f>
        <v>0</v>
      </c>
      <c r="AB26" s="15">
        <f>$P26*'Allocation %'!V26</f>
        <v>0</v>
      </c>
      <c r="AC26" s="15">
        <f>$P26*'Allocation %'!W26</f>
        <v>0</v>
      </c>
      <c r="AD26" s="15">
        <f>$P26*'Allocation %'!X26</f>
        <v>0</v>
      </c>
      <c r="AE26" s="15">
        <f>$P26*'Allocation %'!Y26</f>
        <v>0</v>
      </c>
      <c r="AF26" s="15">
        <f>$P26*'Allocation %'!Z26</f>
        <v>0</v>
      </c>
      <c r="AG26" s="15">
        <f>$P26*'Allocation %'!AA26</f>
        <v>0</v>
      </c>
      <c r="AH26" s="15">
        <f>$P26*'Allocation %'!AB26</f>
        <v>0</v>
      </c>
      <c r="AI26" s="15">
        <f>$P26*'Allocation %'!AC26</f>
        <v>0</v>
      </c>
      <c r="AJ26" s="15">
        <f>$P26*'Allocation %'!AD26</f>
        <v>0</v>
      </c>
      <c r="AK26" s="15">
        <f>$P26*'Allocation %'!AE26</f>
        <v>0</v>
      </c>
      <c r="AL26" s="15">
        <f>$P26*'Allocation %'!AF26</f>
        <v>0</v>
      </c>
      <c r="AM26" s="15">
        <f>$P26*'Allocation %'!AG26</f>
        <v>0</v>
      </c>
      <c r="AN26" s="15">
        <f>$P26*'Allocation %'!AH26</f>
        <v>0</v>
      </c>
      <c r="AO26" s="89">
        <f t="shared" si="2"/>
        <v>0</v>
      </c>
      <c r="AP26" s="19">
        <f t="shared" si="4"/>
        <v>0</v>
      </c>
    </row>
    <row r="27" spans="1:42" s="16" customFormat="1" ht="10.5" x14ac:dyDescent="0.25">
      <c r="A27" s="11">
        <f>Salary!A27</f>
        <v>24</v>
      </c>
      <c r="B27" s="17" t="str">
        <f>'Allocation %'!B27</f>
        <v>MCMILLIAN, Daphne L.</v>
      </c>
      <c r="C27" s="17">
        <v>24</v>
      </c>
      <c r="D27" s="17" t="str">
        <f>'Allocation %'!D27</f>
        <v>Abbott</v>
      </c>
      <c r="E27" s="17" t="str">
        <f>'Allocation %'!E27</f>
        <v>Family Worker</v>
      </c>
      <c r="F27" s="18">
        <v>1216.3599999999999</v>
      </c>
      <c r="G27" s="18">
        <f t="shared" si="0"/>
        <v>31625.359999999997</v>
      </c>
      <c r="H27" s="18"/>
      <c r="I27" s="18">
        <f t="shared" si="7"/>
        <v>31625.359999999997</v>
      </c>
      <c r="J27" s="18">
        <v>84.82</v>
      </c>
      <c r="K27" s="18"/>
      <c r="L27" s="18"/>
      <c r="M27" s="18"/>
      <c r="N27" s="18"/>
      <c r="O27" s="18"/>
      <c r="P27" s="18">
        <f t="shared" si="3"/>
        <v>84.82</v>
      </c>
      <c r="Q27" s="15">
        <f>$P27*'Allocation %'!J27</f>
        <v>84.82</v>
      </c>
      <c r="R27" s="15">
        <f>$P27*'Allocation %'!K27</f>
        <v>0</v>
      </c>
      <c r="S27" s="15">
        <f>$P27*'Allocation %'!M27</f>
        <v>0</v>
      </c>
      <c r="T27" s="15">
        <f>$P27*'Allocation %'!N27</f>
        <v>0</v>
      </c>
      <c r="U27" s="15">
        <f>$P27*'Allocation %'!O27</f>
        <v>0</v>
      </c>
      <c r="V27" s="15">
        <f>$P27*'Allocation %'!P27</f>
        <v>0</v>
      </c>
      <c r="W27" s="15">
        <f>$P27*'Allocation %'!Q27</f>
        <v>0</v>
      </c>
      <c r="X27" s="15">
        <f>$P27*'Allocation %'!R27</f>
        <v>0</v>
      </c>
      <c r="Y27" s="15">
        <f>$P27*'Allocation %'!S27</f>
        <v>0</v>
      </c>
      <c r="Z27" s="15">
        <f>$P27*'Allocation %'!T27</f>
        <v>0</v>
      </c>
      <c r="AA27" s="15">
        <f>$P27*'Allocation %'!U27</f>
        <v>0</v>
      </c>
      <c r="AB27" s="15">
        <f>$P27*'Allocation %'!V27</f>
        <v>0</v>
      </c>
      <c r="AC27" s="15">
        <f>$P27*'Allocation %'!W27</f>
        <v>0</v>
      </c>
      <c r="AD27" s="15">
        <f>$P27*'Allocation %'!X27</f>
        <v>0</v>
      </c>
      <c r="AE27" s="15">
        <f>$P27*'Allocation %'!Y27</f>
        <v>0</v>
      </c>
      <c r="AF27" s="15">
        <f>$P27*'Allocation %'!Z27</f>
        <v>0</v>
      </c>
      <c r="AG27" s="15">
        <f>$P27*'Allocation %'!AA27</f>
        <v>0</v>
      </c>
      <c r="AH27" s="15">
        <f>$P27*'Allocation %'!AB27</f>
        <v>0</v>
      </c>
      <c r="AI27" s="15">
        <f>$P27*'Allocation %'!AC27</f>
        <v>0</v>
      </c>
      <c r="AJ27" s="15">
        <f>$P27*'Allocation %'!AD27</f>
        <v>0</v>
      </c>
      <c r="AK27" s="15">
        <f>$P27*'Allocation %'!AE27</f>
        <v>0</v>
      </c>
      <c r="AL27" s="15">
        <f>$P27*'Allocation %'!AF27</f>
        <v>0</v>
      </c>
      <c r="AM27" s="15">
        <f>$P27*'Allocation %'!AG27</f>
        <v>0</v>
      </c>
      <c r="AN27" s="15">
        <f>$P27*'Allocation %'!AH27</f>
        <v>0</v>
      </c>
      <c r="AO27" s="89">
        <f t="shared" si="2"/>
        <v>84.82</v>
      </c>
      <c r="AP27" s="19">
        <f t="shared" si="4"/>
        <v>0</v>
      </c>
    </row>
    <row r="28" spans="1:42" s="16" customFormat="1" ht="10.5" x14ac:dyDescent="0.25">
      <c r="A28" s="11">
        <f>Salary!A28</f>
        <v>25</v>
      </c>
      <c r="B28" s="17" t="str">
        <f>'Allocation %'!B28</f>
        <v>Mitchell, Felicia</v>
      </c>
      <c r="C28" s="17">
        <v>25</v>
      </c>
      <c r="D28" s="17" t="str">
        <f>'Allocation %'!D28</f>
        <v>Abbott</v>
      </c>
      <c r="E28" s="17" t="str">
        <f>'Allocation %'!E28</f>
        <v>Teacher</v>
      </c>
      <c r="F28" s="18">
        <v>1114.7</v>
      </c>
      <c r="G28" s="20">
        <f>F28*$G$3</f>
        <v>28982.2</v>
      </c>
      <c r="H28" s="18"/>
      <c r="I28" s="18">
        <f t="shared" si="7"/>
        <v>28982.2</v>
      </c>
      <c r="J28" s="18"/>
      <c r="K28" s="18"/>
      <c r="L28" s="18"/>
      <c r="M28" s="18"/>
      <c r="N28" s="18"/>
      <c r="O28" s="18"/>
      <c r="P28" s="18">
        <f t="shared" si="3"/>
        <v>0</v>
      </c>
      <c r="Q28" s="15">
        <f>$P28*'Allocation %'!J28</f>
        <v>0</v>
      </c>
      <c r="R28" s="15">
        <f>$P28*'Allocation %'!K28</f>
        <v>0</v>
      </c>
      <c r="S28" s="15">
        <f>$P28*'Allocation %'!M28</f>
        <v>0</v>
      </c>
      <c r="T28" s="15">
        <f>$P28*'Allocation %'!N28</f>
        <v>0</v>
      </c>
      <c r="U28" s="15">
        <f>$P28*'Allocation %'!O28</f>
        <v>0</v>
      </c>
      <c r="V28" s="15">
        <f>$P28*'Allocation %'!P28</f>
        <v>0</v>
      </c>
      <c r="W28" s="15">
        <f>$P28*'Allocation %'!Q28</f>
        <v>0</v>
      </c>
      <c r="X28" s="15">
        <f>$P28*'Allocation %'!R28</f>
        <v>0</v>
      </c>
      <c r="Y28" s="15">
        <f>$P28*'Allocation %'!S28</f>
        <v>0</v>
      </c>
      <c r="Z28" s="15">
        <f>$P28*'Allocation %'!T28</f>
        <v>0</v>
      </c>
      <c r="AA28" s="15">
        <f>$P28*'Allocation %'!U28</f>
        <v>0</v>
      </c>
      <c r="AB28" s="15">
        <f>$P28*'Allocation %'!V28</f>
        <v>0</v>
      </c>
      <c r="AC28" s="15">
        <f>$P28*'Allocation %'!W28</f>
        <v>0</v>
      </c>
      <c r="AD28" s="15">
        <f>$P28*'Allocation %'!X28</f>
        <v>0</v>
      </c>
      <c r="AE28" s="15">
        <f>$P28*'Allocation %'!Y28</f>
        <v>0</v>
      </c>
      <c r="AF28" s="15">
        <f>$P28*'Allocation %'!Z28</f>
        <v>0</v>
      </c>
      <c r="AG28" s="15">
        <f>$P28*'Allocation %'!AA28</f>
        <v>0</v>
      </c>
      <c r="AH28" s="15">
        <f>$P28*'Allocation %'!AB28</f>
        <v>0</v>
      </c>
      <c r="AI28" s="15">
        <f>$P28*'Allocation %'!AC28</f>
        <v>0</v>
      </c>
      <c r="AJ28" s="15">
        <f>$P28*'Allocation %'!AD28</f>
        <v>0</v>
      </c>
      <c r="AK28" s="15">
        <f>$P28*'Allocation %'!AE28</f>
        <v>0</v>
      </c>
      <c r="AL28" s="15">
        <f>$P28*'Allocation %'!AF28</f>
        <v>0</v>
      </c>
      <c r="AM28" s="15">
        <f>$P28*'Allocation %'!AG28</f>
        <v>0</v>
      </c>
      <c r="AN28" s="15">
        <f>$P28*'Allocation %'!AH28</f>
        <v>0</v>
      </c>
      <c r="AO28" s="89">
        <f t="shared" si="2"/>
        <v>0</v>
      </c>
      <c r="AP28" s="19">
        <f t="shared" si="4"/>
        <v>0</v>
      </c>
    </row>
    <row r="29" spans="1:42" s="16" customFormat="1" ht="10.5" x14ac:dyDescent="0.25">
      <c r="A29" s="11">
        <f>Salary!A29</f>
        <v>26</v>
      </c>
      <c r="B29" s="17" t="str">
        <f>'Allocation %'!B29</f>
        <v>MORRIS, GWEN</v>
      </c>
      <c r="C29" s="17">
        <v>26</v>
      </c>
      <c r="D29" s="17" t="str">
        <f>'Allocation %'!D29</f>
        <v>USJP</v>
      </c>
      <c r="E29" s="17">
        <f>'Allocation %'!E29</f>
        <v>0</v>
      </c>
      <c r="F29" s="18">
        <v>2500</v>
      </c>
      <c r="G29" s="18">
        <f t="shared" si="0"/>
        <v>65000</v>
      </c>
      <c r="H29" s="18"/>
      <c r="I29" s="18">
        <f t="shared" si="7"/>
        <v>65000</v>
      </c>
      <c r="J29" s="18">
        <v>95.42</v>
      </c>
      <c r="K29" s="18">
        <v>95.42</v>
      </c>
      <c r="L29" s="18"/>
      <c r="M29" s="18"/>
      <c r="N29" s="18"/>
      <c r="O29" s="18"/>
      <c r="P29" s="18">
        <f t="shared" si="3"/>
        <v>190.84</v>
      </c>
      <c r="Q29" s="15">
        <f>$P29*'Allocation %'!J29</f>
        <v>0</v>
      </c>
      <c r="R29" s="15">
        <f>$P29*'Allocation %'!K29</f>
        <v>0</v>
      </c>
      <c r="S29" s="15">
        <f>$P29*'Allocation %'!M29</f>
        <v>0</v>
      </c>
      <c r="T29" s="15">
        <f>$P29*'Allocation %'!N29</f>
        <v>190.84</v>
      </c>
      <c r="U29" s="15">
        <f>$P29*'Allocation %'!O29</f>
        <v>0</v>
      </c>
      <c r="V29" s="15">
        <f>$P29*'Allocation %'!P29</f>
        <v>0</v>
      </c>
      <c r="W29" s="15">
        <f>$P29*'Allocation %'!Q29</f>
        <v>0</v>
      </c>
      <c r="X29" s="15">
        <f>$P29*'Allocation %'!R29</f>
        <v>0</v>
      </c>
      <c r="Y29" s="15">
        <f>$P29*'Allocation %'!S29</f>
        <v>0</v>
      </c>
      <c r="Z29" s="15">
        <f>$P29*'Allocation %'!T29</f>
        <v>0</v>
      </c>
      <c r="AA29" s="15">
        <f>$P29*'Allocation %'!U29</f>
        <v>0</v>
      </c>
      <c r="AB29" s="15">
        <f>$P29*'Allocation %'!V29</f>
        <v>0</v>
      </c>
      <c r="AC29" s="15">
        <f>$P29*'Allocation %'!W29</f>
        <v>0</v>
      </c>
      <c r="AD29" s="15">
        <f>$P29*'Allocation %'!X29</f>
        <v>0</v>
      </c>
      <c r="AE29" s="15">
        <f>$P29*'Allocation %'!Y29</f>
        <v>0</v>
      </c>
      <c r="AF29" s="15">
        <f>$P29*'Allocation %'!Z29</f>
        <v>0</v>
      </c>
      <c r="AG29" s="15">
        <f>$P29*'Allocation %'!AA29</f>
        <v>0</v>
      </c>
      <c r="AH29" s="15">
        <f>$P29*'Allocation %'!AB29</f>
        <v>0</v>
      </c>
      <c r="AI29" s="15">
        <f>$P29*'Allocation %'!AC29</f>
        <v>0</v>
      </c>
      <c r="AJ29" s="15">
        <f>$P29*'Allocation %'!AD29</f>
        <v>0</v>
      </c>
      <c r="AK29" s="15">
        <f>$P29*'Allocation %'!AE29</f>
        <v>0</v>
      </c>
      <c r="AL29" s="15">
        <f>$P29*'Allocation %'!AF29</f>
        <v>0</v>
      </c>
      <c r="AM29" s="15">
        <f>$P29*'Allocation %'!AG29</f>
        <v>0</v>
      </c>
      <c r="AN29" s="15">
        <f>$P29*'Allocation %'!AH29</f>
        <v>0</v>
      </c>
      <c r="AO29" s="89">
        <f t="shared" si="2"/>
        <v>190.84</v>
      </c>
      <c r="AP29" s="19">
        <f t="shared" si="4"/>
        <v>0</v>
      </c>
    </row>
    <row r="30" spans="1:42" s="16" customFormat="1" ht="10.5" x14ac:dyDescent="0.25">
      <c r="A30" s="11">
        <f>Salary!A30</f>
        <v>27</v>
      </c>
      <c r="B30" s="17" t="str">
        <f>'Allocation %'!B30</f>
        <v>RAMBARAN, Sharaini J.</v>
      </c>
      <c r="C30" s="17">
        <v>27</v>
      </c>
      <c r="D30" s="17" t="str">
        <f>'Allocation %'!D30</f>
        <v>Abbott</v>
      </c>
      <c r="E30" s="17" t="str">
        <f>'Allocation %'!E30</f>
        <v>Floater</v>
      </c>
      <c r="F30" s="18">
        <v>996.3</v>
      </c>
      <c r="G30" s="18">
        <f t="shared" si="0"/>
        <v>25903.8</v>
      </c>
      <c r="H30" s="18"/>
      <c r="I30" s="18">
        <f t="shared" si="7"/>
        <v>25903.8</v>
      </c>
      <c r="J30" s="18"/>
      <c r="K30" s="18"/>
      <c r="L30" s="18"/>
      <c r="M30" s="18"/>
      <c r="N30" s="18"/>
      <c r="O30" s="18"/>
      <c r="P30" s="18">
        <f t="shared" si="3"/>
        <v>0</v>
      </c>
      <c r="Q30" s="15">
        <f>$P30*'Allocation %'!J30</f>
        <v>0</v>
      </c>
      <c r="R30" s="15">
        <f>$P30*'Allocation %'!K30</f>
        <v>0</v>
      </c>
      <c r="S30" s="15">
        <f>$P30*'Allocation %'!M30</f>
        <v>0</v>
      </c>
      <c r="T30" s="15">
        <f>$P30*'Allocation %'!N30</f>
        <v>0</v>
      </c>
      <c r="U30" s="15">
        <f>$P30*'Allocation %'!O30</f>
        <v>0</v>
      </c>
      <c r="V30" s="15">
        <f>$P30*'Allocation %'!P30</f>
        <v>0</v>
      </c>
      <c r="W30" s="15">
        <f>$P30*'Allocation %'!Q30</f>
        <v>0</v>
      </c>
      <c r="X30" s="15">
        <f>$P30*'Allocation %'!R30</f>
        <v>0</v>
      </c>
      <c r="Y30" s="15">
        <f>$P30*'Allocation %'!S30</f>
        <v>0</v>
      </c>
      <c r="Z30" s="15">
        <f>$P30*'Allocation %'!T30</f>
        <v>0</v>
      </c>
      <c r="AA30" s="15">
        <f>$P30*'Allocation %'!U30</f>
        <v>0</v>
      </c>
      <c r="AB30" s="15">
        <f>$P30*'Allocation %'!V30</f>
        <v>0</v>
      </c>
      <c r="AC30" s="15">
        <f>$P30*'Allocation %'!W30</f>
        <v>0</v>
      </c>
      <c r="AD30" s="15">
        <f>$P30*'Allocation %'!X30</f>
        <v>0</v>
      </c>
      <c r="AE30" s="15">
        <f>$P30*'Allocation %'!Y30</f>
        <v>0</v>
      </c>
      <c r="AF30" s="15">
        <f>$P30*'Allocation %'!Z30</f>
        <v>0</v>
      </c>
      <c r="AG30" s="15">
        <f>$P30*'Allocation %'!AA30</f>
        <v>0</v>
      </c>
      <c r="AH30" s="15">
        <f>$P30*'Allocation %'!AB30</f>
        <v>0</v>
      </c>
      <c r="AI30" s="15">
        <f>$P30*'Allocation %'!AC30</f>
        <v>0</v>
      </c>
      <c r="AJ30" s="15">
        <f>$P30*'Allocation %'!AD30</f>
        <v>0</v>
      </c>
      <c r="AK30" s="15">
        <f>$P30*'Allocation %'!AE30</f>
        <v>0</v>
      </c>
      <c r="AL30" s="15">
        <f>$P30*'Allocation %'!AF30</f>
        <v>0</v>
      </c>
      <c r="AM30" s="15">
        <f>$P30*'Allocation %'!AG30</f>
        <v>0</v>
      </c>
      <c r="AN30" s="15">
        <f>$P30*'Allocation %'!AH30</f>
        <v>0</v>
      </c>
      <c r="AO30" s="89">
        <f t="shared" si="2"/>
        <v>0</v>
      </c>
      <c r="AP30" s="19">
        <f t="shared" si="4"/>
        <v>0</v>
      </c>
    </row>
    <row r="31" spans="1:42" s="16" customFormat="1" ht="10.5" x14ac:dyDescent="0.25">
      <c r="A31" s="11">
        <f>Salary!A31</f>
        <v>28</v>
      </c>
      <c r="B31" s="17" t="str">
        <f>'Allocation %'!B31</f>
        <v>Robbins, Leonard</v>
      </c>
      <c r="C31" s="17">
        <v>28</v>
      </c>
      <c r="D31" s="17" t="str">
        <f>'Allocation %'!D31</f>
        <v>Opportunity Corp</v>
      </c>
      <c r="E31" s="17">
        <f>'Allocation %'!E31</f>
        <v>0</v>
      </c>
      <c r="F31" s="27">
        <v>2769.23</v>
      </c>
      <c r="G31" s="27">
        <f t="shared" si="0"/>
        <v>71999.98</v>
      </c>
      <c r="H31" s="18">
        <v>3076.93</v>
      </c>
      <c r="I31" s="28">
        <f>H31*$G$3</f>
        <v>80000.179999999993</v>
      </c>
      <c r="J31" s="18"/>
      <c r="K31" s="18"/>
      <c r="L31" s="28"/>
      <c r="M31" s="28"/>
      <c r="N31" s="28"/>
      <c r="O31" s="28"/>
      <c r="P31" s="18">
        <f t="shared" si="3"/>
        <v>0</v>
      </c>
      <c r="Q31" s="15">
        <f>$P31*'Allocation %'!J31</f>
        <v>0</v>
      </c>
      <c r="R31" s="15">
        <f>$P31*'Allocation %'!K31</f>
        <v>0</v>
      </c>
      <c r="S31" s="15">
        <f>$P31*'Allocation %'!M31</f>
        <v>0</v>
      </c>
      <c r="T31" s="15">
        <f>$P31*'Allocation %'!N31</f>
        <v>0</v>
      </c>
      <c r="U31" s="15">
        <f>$P31*'Allocation %'!O31</f>
        <v>0</v>
      </c>
      <c r="V31" s="15">
        <f>$P31*'Allocation %'!P31</f>
        <v>0</v>
      </c>
      <c r="W31" s="15">
        <f>$P31*'Allocation %'!Q31</f>
        <v>0</v>
      </c>
      <c r="X31" s="15">
        <f>$P31*'Allocation %'!R31</f>
        <v>0</v>
      </c>
      <c r="Y31" s="15">
        <f>$P31*'Allocation %'!S31</f>
        <v>0</v>
      </c>
      <c r="Z31" s="15">
        <f>$P31*'Allocation %'!T31</f>
        <v>0</v>
      </c>
      <c r="AA31" s="15">
        <f>$P31*'Allocation %'!U31</f>
        <v>0</v>
      </c>
      <c r="AB31" s="15">
        <f>$P31*'Allocation %'!V31</f>
        <v>0</v>
      </c>
      <c r="AC31" s="15">
        <f>$P31*'Allocation %'!W31</f>
        <v>0</v>
      </c>
      <c r="AD31" s="15">
        <f>$P31*'Allocation %'!X31</f>
        <v>0</v>
      </c>
      <c r="AE31" s="15">
        <f>$P31*'Allocation %'!Y31</f>
        <v>0</v>
      </c>
      <c r="AF31" s="15">
        <f>$P31*'Allocation %'!Z31</f>
        <v>0</v>
      </c>
      <c r="AG31" s="15">
        <f>$P31*'Allocation %'!AA31</f>
        <v>0</v>
      </c>
      <c r="AH31" s="15">
        <f>$P31*'Allocation %'!AB31</f>
        <v>0</v>
      </c>
      <c r="AI31" s="15">
        <f>$P31*'Allocation %'!AC31</f>
        <v>0</v>
      </c>
      <c r="AJ31" s="15">
        <f>$P31*'Allocation %'!AD31</f>
        <v>0</v>
      </c>
      <c r="AK31" s="15">
        <f>$P31*'Allocation %'!AE31</f>
        <v>0</v>
      </c>
      <c r="AL31" s="15">
        <f>$P31*'Allocation %'!AF31</f>
        <v>0</v>
      </c>
      <c r="AM31" s="15">
        <f>$P31*'Allocation %'!AG31</f>
        <v>0</v>
      </c>
      <c r="AN31" s="15">
        <f>$P31*'Allocation %'!AH31</f>
        <v>0</v>
      </c>
      <c r="AO31" s="89">
        <f t="shared" si="2"/>
        <v>0</v>
      </c>
      <c r="AP31" s="19">
        <f t="shared" si="4"/>
        <v>0</v>
      </c>
    </row>
    <row r="32" spans="1:42" s="16" customFormat="1" ht="10.5" x14ac:dyDescent="0.25">
      <c r="A32" s="11">
        <f>Salary!A32</f>
        <v>29</v>
      </c>
      <c r="B32" s="17" t="str">
        <f>'Allocation %'!B32</f>
        <v>SERMON, Patricia April</v>
      </c>
      <c r="C32" s="17">
        <v>29</v>
      </c>
      <c r="D32" s="17" t="str">
        <f>'Allocation %'!D32</f>
        <v>FOC, Housing, OICA, COO</v>
      </c>
      <c r="E32" s="17">
        <f>'Allocation %'!E32</f>
        <v>0</v>
      </c>
      <c r="F32" s="29">
        <v>3153.85</v>
      </c>
      <c r="G32" s="29">
        <f t="shared" si="0"/>
        <v>82000.099999999991</v>
      </c>
      <c r="H32" s="18">
        <v>3461.54</v>
      </c>
      <c r="I32" s="28">
        <f>H32*$G$3</f>
        <v>90000.04</v>
      </c>
      <c r="J32" s="18">
        <v>98.62</v>
      </c>
      <c r="K32" s="18">
        <v>98.62</v>
      </c>
      <c r="L32" s="28"/>
      <c r="M32" s="28"/>
      <c r="N32" s="28"/>
      <c r="O32" s="28"/>
      <c r="P32" s="18">
        <f t="shared" si="3"/>
        <v>197.24</v>
      </c>
      <c r="Q32" s="15">
        <f>$P32*'Allocation %'!J32</f>
        <v>0</v>
      </c>
      <c r="R32" s="15">
        <f>$P32*'Allocation %'!K32</f>
        <v>0</v>
      </c>
      <c r="S32" s="15">
        <f>$P32*'Allocation %'!M32</f>
        <v>0</v>
      </c>
      <c r="T32" s="15">
        <f>$P32*'Allocation %'!N32</f>
        <v>39.448000000000008</v>
      </c>
      <c r="U32" s="15">
        <f>$P32*'Allocation %'!O32</f>
        <v>0</v>
      </c>
      <c r="V32" s="15">
        <f>$P32*'Allocation %'!P32</f>
        <v>47.337600000000002</v>
      </c>
      <c r="W32" s="15">
        <f>$P32*'Allocation %'!Q32</f>
        <v>0</v>
      </c>
      <c r="X32" s="15">
        <f>$P32*'Allocation %'!R32</f>
        <v>0</v>
      </c>
      <c r="Y32" s="15">
        <f>$P32*'Allocation %'!S32</f>
        <v>0</v>
      </c>
      <c r="Z32" s="15">
        <f>$P32*'Allocation %'!T32</f>
        <v>9.8620000000000019</v>
      </c>
      <c r="AA32" s="15">
        <f>$P32*'Allocation %'!U32</f>
        <v>7.8896000000000006</v>
      </c>
      <c r="AB32" s="15">
        <f>$P32*'Allocation %'!V32</f>
        <v>3.9448000000000003</v>
      </c>
      <c r="AC32" s="15">
        <f>$P32*'Allocation %'!W32</f>
        <v>11.8344</v>
      </c>
      <c r="AD32" s="15">
        <f>$P32*'Allocation %'!X32</f>
        <v>76.923600000000008</v>
      </c>
      <c r="AE32" s="15">
        <f>$P32*'Allocation %'!Y32</f>
        <v>0</v>
      </c>
      <c r="AF32" s="15">
        <f>$P32*'Allocation %'!Z32</f>
        <v>0</v>
      </c>
      <c r="AG32" s="15">
        <f>$P32*'Allocation %'!AA32</f>
        <v>0</v>
      </c>
      <c r="AH32" s="15">
        <f>$P32*'Allocation %'!AB32</f>
        <v>0</v>
      </c>
      <c r="AI32" s="15">
        <f>$P32*'Allocation %'!AC32</f>
        <v>0</v>
      </c>
      <c r="AJ32" s="15">
        <f>$P32*'Allocation %'!AD32</f>
        <v>0</v>
      </c>
      <c r="AK32" s="15">
        <f>$P32*'Allocation %'!AE32</f>
        <v>0</v>
      </c>
      <c r="AL32" s="15">
        <f>$P32*'Allocation %'!AF32</f>
        <v>0</v>
      </c>
      <c r="AM32" s="15">
        <f>$P32*'Allocation %'!AG32</f>
        <v>0</v>
      </c>
      <c r="AN32" s="15">
        <f>$P32*'Allocation %'!AH32</f>
        <v>0</v>
      </c>
      <c r="AO32" s="89">
        <f t="shared" si="2"/>
        <v>197.24</v>
      </c>
      <c r="AP32" s="19">
        <f t="shared" si="4"/>
        <v>0</v>
      </c>
    </row>
    <row r="33" spans="1:42" s="16" customFormat="1" ht="10.5" x14ac:dyDescent="0.25">
      <c r="A33" s="11">
        <f>Salary!A33</f>
        <v>30</v>
      </c>
      <c r="B33" s="17" t="str">
        <f>'Allocation %'!B33</f>
        <v>SHARIF, Darrin S. - April</v>
      </c>
      <c r="C33" s="17">
        <v>30</v>
      </c>
      <c r="D33" s="17" t="str">
        <f>'Allocation %'!D33</f>
        <v>Admin, Coding, WF</v>
      </c>
      <c r="E33" s="17">
        <f>'Allocation %'!E33</f>
        <v>0</v>
      </c>
      <c r="F33" s="27">
        <v>3269</v>
      </c>
      <c r="G33" s="27">
        <f t="shared" si="0"/>
        <v>84994</v>
      </c>
      <c r="H33" s="18"/>
      <c r="I33" s="18">
        <f t="shared" ref="I33:I39" si="8">SUM(G33:H33)</f>
        <v>84994</v>
      </c>
      <c r="J33" s="18">
        <v>95.42</v>
      </c>
      <c r="K33" s="18">
        <v>95.42</v>
      </c>
      <c r="L33" s="18"/>
      <c r="M33" s="18"/>
      <c r="N33" s="18"/>
      <c r="O33" s="18"/>
      <c r="P33" s="18">
        <f t="shared" si="3"/>
        <v>190.84</v>
      </c>
      <c r="Q33" s="15">
        <f>$P33*'Allocation %'!J33</f>
        <v>0</v>
      </c>
      <c r="R33" s="15">
        <f>$P33*'Allocation %'!K33</f>
        <v>0</v>
      </c>
      <c r="S33" s="15">
        <f>$P33*'Allocation %'!M33</f>
        <v>0</v>
      </c>
      <c r="T33" s="15">
        <f>$P33*'Allocation %'!N33</f>
        <v>0</v>
      </c>
      <c r="U33" s="15">
        <f>$P33*'Allocation %'!O33</f>
        <v>0</v>
      </c>
      <c r="V33" s="15">
        <f>$P33*'Allocation %'!P33</f>
        <v>0</v>
      </c>
      <c r="W33" s="15">
        <f>$P33*'Allocation %'!Q33</f>
        <v>0</v>
      </c>
      <c r="X33" s="15">
        <f>$P33*'Allocation %'!R33</f>
        <v>0</v>
      </c>
      <c r="Y33" s="15">
        <f>$P33*'Allocation %'!S33</f>
        <v>0</v>
      </c>
      <c r="Z33" s="15">
        <f>$P33*'Allocation %'!T33</f>
        <v>0</v>
      </c>
      <c r="AA33" s="15">
        <f>$P33*'Allocation %'!U33</f>
        <v>0</v>
      </c>
      <c r="AB33" s="15">
        <f>$P33*'Allocation %'!V33</f>
        <v>0</v>
      </c>
      <c r="AC33" s="15">
        <f>$P33*'Allocation %'!W33</f>
        <v>0</v>
      </c>
      <c r="AD33" s="15">
        <f>$P33*'Allocation %'!X33</f>
        <v>0</v>
      </c>
      <c r="AE33" s="15">
        <f>$P33*'Allocation %'!Y33</f>
        <v>0</v>
      </c>
      <c r="AF33" s="15">
        <f>$P33*'Allocation %'!Z33</f>
        <v>0</v>
      </c>
      <c r="AG33" s="15">
        <f>$P33*'Allocation %'!AA33</f>
        <v>51.526800000000001</v>
      </c>
      <c r="AH33" s="15">
        <f>$P33*'Allocation %'!AB33</f>
        <v>55.343599999999995</v>
      </c>
      <c r="AI33" s="15">
        <f>$P33*'Allocation %'!AC33</f>
        <v>83.9696</v>
      </c>
      <c r="AJ33" s="15">
        <f>$P33*'Allocation %'!AD33</f>
        <v>0</v>
      </c>
      <c r="AK33" s="15">
        <f>$P33*'Allocation %'!AE33</f>
        <v>0</v>
      </c>
      <c r="AL33" s="15">
        <f>$P33*'Allocation %'!AF33</f>
        <v>0</v>
      </c>
      <c r="AM33" s="15">
        <f>$P33*'Allocation %'!AG33</f>
        <v>0</v>
      </c>
      <c r="AN33" s="15">
        <f>$P33*'Allocation %'!AH33</f>
        <v>0</v>
      </c>
      <c r="AO33" s="89">
        <f t="shared" si="2"/>
        <v>190.83999999999997</v>
      </c>
      <c r="AP33" s="19">
        <f t="shared" si="4"/>
        <v>0</v>
      </c>
    </row>
    <row r="34" spans="1:42" s="16" customFormat="1" ht="10.5" x14ac:dyDescent="0.25">
      <c r="A34" s="11">
        <f>Salary!A34</f>
        <v>31</v>
      </c>
      <c r="B34" s="17" t="str">
        <f>'Allocation %'!B34</f>
        <v>SIMMONS, Bertrilla R.</v>
      </c>
      <c r="C34" s="17">
        <v>31</v>
      </c>
      <c r="D34" s="17" t="str">
        <f>'Allocation %'!D34</f>
        <v>Abbott</v>
      </c>
      <c r="E34" s="17" t="str">
        <f>'Allocation %'!E34</f>
        <v>Teacher</v>
      </c>
      <c r="F34" s="27">
        <v>2684.05</v>
      </c>
      <c r="G34" s="32">
        <f t="shared" si="0"/>
        <v>69785.3</v>
      </c>
      <c r="H34" s="18"/>
      <c r="I34" s="18">
        <f t="shared" si="8"/>
        <v>69785.3</v>
      </c>
      <c r="J34" s="18">
        <v>97.13</v>
      </c>
      <c r="K34" s="18">
        <v>97.13</v>
      </c>
      <c r="L34" s="18"/>
      <c r="M34" s="18"/>
      <c r="N34" s="18"/>
      <c r="O34" s="18"/>
      <c r="P34" s="18">
        <f t="shared" si="3"/>
        <v>194.26</v>
      </c>
      <c r="Q34" s="15">
        <f>$P34*'Allocation %'!J34</f>
        <v>194.26</v>
      </c>
      <c r="R34" s="15">
        <f>$P34*'Allocation %'!K34</f>
        <v>0</v>
      </c>
      <c r="S34" s="15">
        <f>$P34*'Allocation %'!M34</f>
        <v>0</v>
      </c>
      <c r="T34" s="15">
        <f>$P34*'Allocation %'!N34</f>
        <v>0</v>
      </c>
      <c r="U34" s="15">
        <f>$P34*'Allocation %'!O34</f>
        <v>0</v>
      </c>
      <c r="V34" s="15">
        <f>$P34*'Allocation %'!P34</f>
        <v>0</v>
      </c>
      <c r="W34" s="15">
        <f>$P34*'Allocation %'!Q34</f>
        <v>0</v>
      </c>
      <c r="X34" s="15">
        <f>$P34*'Allocation %'!R34</f>
        <v>0</v>
      </c>
      <c r="Y34" s="15">
        <f>$P34*'Allocation %'!S34</f>
        <v>0</v>
      </c>
      <c r="Z34" s="15">
        <f>$P34*'Allocation %'!T34</f>
        <v>0</v>
      </c>
      <c r="AA34" s="15">
        <f>$P34*'Allocation %'!U34</f>
        <v>0</v>
      </c>
      <c r="AB34" s="15">
        <f>$P34*'Allocation %'!V34</f>
        <v>0</v>
      </c>
      <c r="AC34" s="15">
        <f>$P34*'Allocation %'!W34</f>
        <v>0</v>
      </c>
      <c r="AD34" s="15">
        <f>$P34*'Allocation %'!X34</f>
        <v>0</v>
      </c>
      <c r="AE34" s="15">
        <f>$P34*'Allocation %'!Y34</f>
        <v>0</v>
      </c>
      <c r="AF34" s="15">
        <f>$P34*'Allocation %'!Z34</f>
        <v>0</v>
      </c>
      <c r="AG34" s="15">
        <f>$P34*'Allocation %'!AA34</f>
        <v>0</v>
      </c>
      <c r="AH34" s="15">
        <f>$P34*'Allocation %'!AB34</f>
        <v>0</v>
      </c>
      <c r="AI34" s="15">
        <f>$P34*'Allocation %'!AC34</f>
        <v>0</v>
      </c>
      <c r="AJ34" s="15">
        <f>$P34*'Allocation %'!AD34</f>
        <v>0</v>
      </c>
      <c r="AK34" s="15">
        <f>$P34*'Allocation %'!AE34</f>
        <v>0</v>
      </c>
      <c r="AL34" s="15">
        <f>$P34*'Allocation %'!AF34</f>
        <v>0</v>
      </c>
      <c r="AM34" s="15">
        <f>$P34*'Allocation %'!AG34</f>
        <v>0</v>
      </c>
      <c r="AN34" s="15">
        <f>$P34*'Allocation %'!AH34</f>
        <v>0</v>
      </c>
      <c r="AO34" s="89">
        <f t="shared" si="2"/>
        <v>194.26</v>
      </c>
      <c r="AP34" s="19">
        <f t="shared" si="4"/>
        <v>0</v>
      </c>
    </row>
    <row r="35" spans="1:42" s="16" customFormat="1" ht="10.5" x14ac:dyDescent="0.25">
      <c r="A35" s="11">
        <f>Salary!A35</f>
        <v>32</v>
      </c>
      <c r="B35" s="17" t="str">
        <f>'Allocation %'!B35</f>
        <v>STEWART, Robin D</v>
      </c>
      <c r="C35" s="17">
        <v>32</v>
      </c>
      <c r="D35" s="17" t="str">
        <f>'Allocation %'!D35</f>
        <v>Abbott</v>
      </c>
      <c r="E35" s="17" t="str">
        <f>'Allocation %'!E35</f>
        <v>Teacher Asst</v>
      </c>
      <c r="F35" s="27">
        <v>1611.08</v>
      </c>
      <c r="G35" s="27">
        <f>F35*$G$3</f>
        <v>41888.080000000002</v>
      </c>
      <c r="H35" s="18"/>
      <c r="I35" s="18">
        <f t="shared" si="8"/>
        <v>41888.080000000002</v>
      </c>
      <c r="J35" s="18">
        <v>134.94999999999999</v>
      </c>
      <c r="K35" s="18">
        <v>134.94999999999999</v>
      </c>
      <c r="L35" s="18"/>
      <c r="M35" s="18"/>
      <c r="N35" s="18"/>
      <c r="O35" s="18"/>
      <c r="P35" s="18">
        <f t="shared" si="3"/>
        <v>269.89999999999998</v>
      </c>
      <c r="Q35" s="15">
        <f>$P35*'Allocation %'!J35</f>
        <v>269.89999999999998</v>
      </c>
      <c r="R35" s="15">
        <f>$P35*'Allocation %'!K35</f>
        <v>0</v>
      </c>
      <c r="S35" s="15">
        <f>$P35*'Allocation %'!M35</f>
        <v>0</v>
      </c>
      <c r="T35" s="15">
        <f>$P35*'Allocation %'!N35</f>
        <v>0</v>
      </c>
      <c r="U35" s="15">
        <f>$P35*'Allocation %'!O35</f>
        <v>0</v>
      </c>
      <c r="V35" s="15">
        <f>$P35*'Allocation %'!P35</f>
        <v>0</v>
      </c>
      <c r="W35" s="15">
        <f>$P35*'Allocation %'!Q35</f>
        <v>0</v>
      </c>
      <c r="X35" s="15">
        <f>$P35*'Allocation %'!R35</f>
        <v>0</v>
      </c>
      <c r="Y35" s="15">
        <f>$P35*'Allocation %'!S35</f>
        <v>0</v>
      </c>
      <c r="Z35" s="15">
        <f>$P35*'Allocation %'!T35</f>
        <v>0</v>
      </c>
      <c r="AA35" s="15">
        <f>$P35*'Allocation %'!U35</f>
        <v>0</v>
      </c>
      <c r="AB35" s="15">
        <f>$P35*'Allocation %'!V35</f>
        <v>0</v>
      </c>
      <c r="AC35" s="15">
        <f>$P35*'Allocation %'!W35</f>
        <v>0</v>
      </c>
      <c r="AD35" s="15">
        <f>$P35*'Allocation %'!X35</f>
        <v>0</v>
      </c>
      <c r="AE35" s="15">
        <f>$P35*'Allocation %'!Y35</f>
        <v>0</v>
      </c>
      <c r="AF35" s="15">
        <f>$P35*'Allocation %'!Z35</f>
        <v>0</v>
      </c>
      <c r="AG35" s="15">
        <f>$P35*'Allocation %'!AA35</f>
        <v>0</v>
      </c>
      <c r="AH35" s="15">
        <f>$P35*'Allocation %'!AB35</f>
        <v>0</v>
      </c>
      <c r="AI35" s="15">
        <f>$P35*'Allocation %'!AC35</f>
        <v>0</v>
      </c>
      <c r="AJ35" s="15">
        <f>$P35*'Allocation %'!AD35</f>
        <v>0</v>
      </c>
      <c r="AK35" s="15">
        <f>$P35*'Allocation %'!AE35</f>
        <v>0</v>
      </c>
      <c r="AL35" s="15">
        <f>$P35*'Allocation %'!AF35</f>
        <v>0</v>
      </c>
      <c r="AM35" s="15">
        <f>$P35*'Allocation %'!AG35</f>
        <v>0</v>
      </c>
      <c r="AN35" s="15">
        <f>$P35*'Allocation %'!AH35</f>
        <v>0</v>
      </c>
      <c r="AO35" s="89">
        <f t="shared" si="2"/>
        <v>269.89999999999998</v>
      </c>
      <c r="AP35" s="19">
        <f t="shared" si="4"/>
        <v>0</v>
      </c>
    </row>
    <row r="36" spans="1:42" s="16" customFormat="1" ht="10.5" x14ac:dyDescent="0.25">
      <c r="A36" s="11">
        <f>Salary!A36</f>
        <v>33</v>
      </c>
      <c r="B36" s="17" t="str">
        <f>'Allocation %'!B36</f>
        <v>TYLER, Patricia</v>
      </c>
      <c r="C36" s="17">
        <v>33</v>
      </c>
      <c r="D36" s="17" t="str">
        <f>'Allocation %'!D36</f>
        <v>Abbott</v>
      </c>
      <c r="E36" s="17" t="str">
        <f>'Allocation %'!E36</f>
        <v>Cook</v>
      </c>
      <c r="F36" s="27">
        <v>454.96</v>
      </c>
      <c r="G36" s="27">
        <f t="shared" si="0"/>
        <v>11828.96</v>
      </c>
      <c r="H36" s="18"/>
      <c r="I36" s="18">
        <f t="shared" si="8"/>
        <v>11828.96</v>
      </c>
      <c r="J36" s="18"/>
      <c r="K36" s="18"/>
      <c r="L36" s="18"/>
      <c r="M36" s="18"/>
      <c r="N36" s="18"/>
      <c r="O36" s="18"/>
      <c r="P36" s="18">
        <f t="shared" si="3"/>
        <v>0</v>
      </c>
      <c r="Q36" s="15">
        <f>$P36*'Allocation %'!J36</f>
        <v>0</v>
      </c>
      <c r="R36" s="15">
        <f>$P36*'Allocation %'!K36</f>
        <v>0</v>
      </c>
      <c r="S36" s="15">
        <f>$P36*'Allocation %'!M36</f>
        <v>0</v>
      </c>
      <c r="T36" s="15">
        <f>$P36*'Allocation %'!N36</f>
        <v>0</v>
      </c>
      <c r="U36" s="15">
        <f>$P36*'Allocation %'!O36</f>
        <v>0</v>
      </c>
      <c r="V36" s="15">
        <f>$P36*'Allocation %'!P36</f>
        <v>0</v>
      </c>
      <c r="W36" s="15">
        <f>$P36*'Allocation %'!Q36</f>
        <v>0</v>
      </c>
      <c r="X36" s="15">
        <f>$P36*'Allocation %'!R36</f>
        <v>0</v>
      </c>
      <c r="Y36" s="15">
        <f>$P36*'Allocation %'!S36</f>
        <v>0</v>
      </c>
      <c r="Z36" s="15">
        <f>$P36*'Allocation %'!T36</f>
        <v>0</v>
      </c>
      <c r="AA36" s="15">
        <f>$P36*'Allocation %'!U36</f>
        <v>0</v>
      </c>
      <c r="AB36" s="15">
        <f>$P36*'Allocation %'!V36</f>
        <v>0</v>
      </c>
      <c r="AC36" s="15">
        <f>$P36*'Allocation %'!W36</f>
        <v>0</v>
      </c>
      <c r="AD36" s="15">
        <f>$P36*'Allocation %'!X36</f>
        <v>0</v>
      </c>
      <c r="AE36" s="15">
        <f>$P36*'Allocation %'!Y36</f>
        <v>0</v>
      </c>
      <c r="AF36" s="15">
        <f>$P36*'Allocation %'!Z36</f>
        <v>0</v>
      </c>
      <c r="AG36" s="15">
        <f>$P36*'Allocation %'!AA36</f>
        <v>0</v>
      </c>
      <c r="AH36" s="15">
        <f>$P36*'Allocation %'!AB36</f>
        <v>0</v>
      </c>
      <c r="AI36" s="15">
        <f>$P36*'Allocation %'!AC36</f>
        <v>0</v>
      </c>
      <c r="AJ36" s="15">
        <f>$P36*'Allocation %'!AD36</f>
        <v>0</v>
      </c>
      <c r="AK36" s="15">
        <f>$P36*'Allocation %'!AE36</f>
        <v>0</v>
      </c>
      <c r="AL36" s="15">
        <f>$P36*'Allocation %'!AF36</f>
        <v>0</v>
      </c>
      <c r="AM36" s="15">
        <f>$P36*'Allocation %'!AG36</f>
        <v>0</v>
      </c>
      <c r="AN36" s="15">
        <f>$P36*'Allocation %'!AH36</f>
        <v>0</v>
      </c>
      <c r="AO36" s="89">
        <f t="shared" si="2"/>
        <v>0</v>
      </c>
      <c r="AP36" s="19">
        <f t="shared" si="4"/>
        <v>0</v>
      </c>
    </row>
    <row r="37" spans="1:42" s="16" customFormat="1" ht="10.5" x14ac:dyDescent="0.25">
      <c r="A37" s="11">
        <f>Salary!A37</f>
        <v>34</v>
      </c>
      <c r="B37" s="17" t="str">
        <f>'Allocation %'!B37</f>
        <v>WARD, Richard G. - Off Jan 1</v>
      </c>
      <c r="C37" s="17">
        <v>34</v>
      </c>
      <c r="D37" s="17" t="str">
        <f>'Allocation %'!D37</f>
        <v>Admin</v>
      </c>
      <c r="E37" s="17">
        <f>'Allocation %'!E37</f>
        <v>0</v>
      </c>
      <c r="F37" s="29">
        <v>4230.7700000000004</v>
      </c>
      <c r="G37" s="29">
        <f t="shared" si="0"/>
        <v>110000.02000000002</v>
      </c>
      <c r="H37" s="18"/>
      <c r="I37" s="22">
        <f t="shared" si="8"/>
        <v>110000.02000000002</v>
      </c>
      <c r="J37" s="18">
        <v>98.62</v>
      </c>
      <c r="K37" s="18">
        <v>98.62</v>
      </c>
      <c r="L37" s="22"/>
      <c r="M37" s="22"/>
      <c r="N37" s="22"/>
      <c r="O37" s="22"/>
      <c r="P37" s="18">
        <f t="shared" si="3"/>
        <v>197.24</v>
      </c>
      <c r="Q37" s="15">
        <f>$P37*'Allocation %'!J37</f>
        <v>0</v>
      </c>
      <c r="R37" s="15">
        <f>$P37*'Allocation %'!K37</f>
        <v>0</v>
      </c>
      <c r="S37" s="15">
        <f>$P37*'Allocation %'!M37</f>
        <v>0</v>
      </c>
      <c r="T37" s="15">
        <f>$P37*'Allocation %'!N37</f>
        <v>0</v>
      </c>
      <c r="U37" s="15">
        <f>$P37*'Allocation %'!O37</f>
        <v>0</v>
      </c>
      <c r="V37" s="15">
        <f>$P37*'Allocation %'!P37</f>
        <v>0</v>
      </c>
      <c r="W37" s="15">
        <f>$P37*'Allocation %'!Q37</f>
        <v>0</v>
      </c>
      <c r="X37" s="15">
        <f>$P37*'Allocation %'!R37</f>
        <v>0</v>
      </c>
      <c r="Y37" s="15">
        <f>$P37*'Allocation %'!S37</f>
        <v>0</v>
      </c>
      <c r="Z37" s="15">
        <f>$P37*'Allocation %'!T37</f>
        <v>0</v>
      </c>
      <c r="AA37" s="15">
        <f>$P37*'Allocation %'!U37</f>
        <v>0</v>
      </c>
      <c r="AB37" s="15">
        <f>$P37*'Allocation %'!V37</f>
        <v>0</v>
      </c>
      <c r="AC37" s="15">
        <f>$P37*'Allocation %'!W37</f>
        <v>0</v>
      </c>
      <c r="AD37" s="15">
        <f>$P37*'Allocation %'!X37</f>
        <v>0</v>
      </c>
      <c r="AE37" s="15">
        <f>$P37*'Allocation %'!Y37</f>
        <v>0</v>
      </c>
      <c r="AF37" s="15">
        <f>$P37*'Allocation %'!Z37</f>
        <v>0</v>
      </c>
      <c r="AG37" s="15">
        <f>$P37*'Allocation %'!AA37</f>
        <v>3.9448000000000003</v>
      </c>
      <c r="AH37" s="15">
        <f>$P37*'Allocation %'!AB37</f>
        <v>17.7516</v>
      </c>
      <c r="AI37" s="15">
        <f>$P37*'Allocation %'!AC37</f>
        <v>0</v>
      </c>
      <c r="AJ37" s="15">
        <f>$P37*'Allocation %'!AD37</f>
        <v>0</v>
      </c>
      <c r="AK37" s="15">
        <f>$P37*'Allocation %'!AE37</f>
        <v>175.5436</v>
      </c>
      <c r="AL37" s="15">
        <f>$P37*'Allocation %'!AF37</f>
        <v>0</v>
      </c>
      <c r="AM37" s="15">
        <f>$P37*'Allocation %'!AG37</f>
        <v>0</v>
      </c>
      <c r="AN37" s="15">
        <f>$P37*'Allocation %'!AH37</f>
        <v>0</v>
      </c>
      <c r="AO37" s="89">
        <f t="shared" si="2"/>
        <v>197.24</v>
      </c>
      <c r="AP37" s="19">
        <f t="shared" si="4"/>
        <v>0</v>
      </c>
    </row>
    <row r="38" spans="1:42" s="16" customFormat="1" ht="10.5" x14ac:dyDescent="0.25">
      <c r="A38" s="11">
        <f>Salary!A38</f>
        <v>35</v>
      </c>
      <c r="B38" s="17" t="str">
        <f>'Allocation %'!B38</f>
        <v xml:space="preserve">Williams, Kyneisha - Career Coach </v>
      </c>
      <c r="C38" s="17">
        <v>35</v>
      </c>
      <c r="D38" s="17" t="str">
        <f>'Allocation %'!D38</f>
        <v>United Airlines, PACE June 30</v>
      </c>
      <c r="E38" s="17">
        <f>'Allocation %'!E38</f>
        <v>0</v>
      </c>
      <c r="F38" s="27">
        <v>1538.47</v>
      </c>
      <c r="G38" s="27">
        <f>F38*$G$3</f>
        <v>40000.22</v>
      </c>
      <c r="H38" s="18"/>
      <c r="I38" s="18">
        <f>SUM(G38:H38)</f>
        <v>40000.22</v>
      </c>
      <c r="J38" s="18">
        <v>57.7</v>
      </c>
      <c r="K38" s="18">
        <v>57.7</v>
      </c>
      <c r="L38" s="18"/>
      <c r="M38" s="18"/>
      <c r="N38" s="18"/>
      <c r="O38" s="18"/>
      <c r="P38" s="18">
        <f t="shared" si="3"/>
        <v>115.4</v>
      </c>
      <c r="Q38" s="15">
        <f>$P38*'Allocation %'!J38</f>
        <v>0</v>
      </c>
      <c r="R38" s="15">
        <f>$P38*'Allocation %'!K38</f>
        <v>0</v>
      </c>
      <c r="S38" s="15">
        <f>$P38*'Allocation %'!M38</f>
        <v>0</v>
      </c>
      <c r="T38" s="15">
        <f>$P38*'Allocation %'!N38</f>
        <v>0</v>
      </c>
      <c r="U38" s="15">
        <f>$P38*'Allocation %'!O38</f>
        <v>0</v>
      </c>
      <c r="V38" s="15">
        <f>$P38*'Allocation %'!P38</f>
        <v>0</v>
      </c>
      <c r="W38" s="15">
        <f>$P38*'Allocation %'!Q38</f>
        <v>115.4</v>
      </c>
      <c r="X38" s="15">
        <f>$P38*'Allocation %'!R38</f>
        <v>0</v>
      </c>
      <c r="Y38" s="15">
        <f>$P38*'Allocation %'!S38</f>
        <v>0</v>
      </c>
      <c r="Z38" s="15">
        <f>$P38*'Allocation %'!T38</f>
        <v>0</v>
      </c>
      <c r="AA38" s="15">
        <f>$P38*'Allocation %'!U38</f>
        <v>0</v>
      </c>
      <c r="AB38" s="15">
        <f>$P38*'Allocation %'!V38</f>
        <v>0</v>
      </c>
      <c r="AC38" s="15">
        <f>$P38*'Allocation %'!W38</f>
        <v>0</v>
      </c>
      <c r="AD38" s="15">
        <f>$P38*'Allocation %'!X38</f>
        <v>0</v>
      </c>
      <c r="AE38" s="15">
        <f>$P38*'Allocation %'!Y38</f>
        <v>0</v>
      </c>
      <c r="AF38" s="15">
        <f>$P38*'Allocation %'!Z38</f>
        <v>0</v>
      </c>
      <c r="AG38" s="15">
        <f>$P38*'Allocation %'!AA38</f>
        <v>0</v>
      </c>
      <c r="AH38" s="15">
        <f>$P38*'Allocation %'!AB38</f>
        <v>0</v>
      </c>
      <c r="AI38" s="15">
        <f>$P38*'Allocation %'!AC38</f>
        <v>0</v>
      </c>
      <c r="AJ38" s="15">
        <f>$P38*'Allocation %'!AD38</f>
        <v>0</v>
      </c>
      <c r="AK38" s="15">
        <f>$P38*'Allocation %'!AE38</f>
        <v>0</v>
      </c>
      <c r="AL38" s="15">
        <f>$P38*'Allocation %'!AF38</f>
        <v>0</v>
      </c>
      <c r="AM38" s="15">
        <f>$P38*'Allocation %'!AG38</f>
        <v>0</v>
      </c>
      <c r="AN38" s="15">
        <f>$P38*'Allocation %'!AH38</f>
        <v>0</v>
      </c>
      <c r="AO38" s="89">
        <f t="shared" si="2"/>
        <v>115.4</v>
      </c>
      <c r="AP38" s="19">
        <f t="shared" si="4"/>
        <v>0</v>
      </c>
    </row>
    <row r="39" spans="1:42" s="16" customFormat="1" ht="10.5" x14ac:dyDescent="0.25">
      <c r="A39" s="11">
        <f>Salary!A39</f>
        <v>36</v>
      </c>
      <c r="B39" s="17" t="str">
        <f>'Allocation %'!B39</f>
        <v>WOODRIDGE, Rosalind</v>
      </c>
      <c r="C39" s="17">
        <v>36</v>
      </c>
      <c r="D39" s="17" t="str">
        <f>'Allocation %'!D39</f>
        <v>Wrap</v>
      </c>
      <c r="E39" s="17" t="str">
        <f>'Allocation %'!E39</f>
        <v>Wrap Teacher</v>
      </c>
      <c r="F39" s="18">
        <v>510</v>
      </c>
      <c r="G39" s="18">
        <f t="shared" si="0"/>
        <v>13260</v>
      </c>
      <c r="H39" s="18"/>
      <c r="I39" s="18">
        <f t="shared" si="8"/>
        <v>13260</v>
      </c>
      <c r="J39" s="18"/>
      <c r="K39" s="18"/>
      <c r="L39" s="18"/>
      <c r="M39" s="18"/>
      <c r="N39" s="18"/>
      <c r="O39" s="18"/>
      <c r="P39" s="18">
        <f t="shared" si="3"/>
        <v>0</v>
      </c>
      <c r="Q39" s="15">
        <f>$P39*'Allocation %'!J39</f>
        <v>0</v>
      </c>
      <c r="R39" s="15">
        <f>$P39*'Allocation %'!K39</f>
        <v>0</v>
      </c>
      <c r="S39" s="15">
        <f>$P39*'Allocation %'!M39</f>
        <v>0</v>
      </c>
      <c r="T39" s="15">
        <f>$P39*'Allocation %'!N39</f>
        <v>0</v>
      </c>
      <c r="U39" s="15">
        <f>$P39*'Allocation %'!O39</f>
        <v>0</v>
      </c>
      <c r="V39" s="15">
        <f>$P39*'Allocation %'!P39</f>
        <v>0</v>
      </c>
      <c r="W39" s="15">
        <f>$P39*'Allocation %'!Q39</f>
        <v>0</v>
      </c>
      <c r="X39" s="15">
        <f>$P39*'Allocation %'!R39</f>
        <v>0</v>
      </c>
      <c r="Y39" s="15">
        <f>$P39*'Allocation %'!S39</f>
        <v>0</v>
      </c>
      <c r="Z39" s="15">
        <f>$P39*'Allocation %'!T39</f>
        <v>0</v>
      </c>
      <c r="AA39" s="15">
        <f>$P39*'Allocation %'!U39</f>
        <v>0</v>
      </c>
      <c r="AB39" s="15">
        <f>$P39*'Allocation %'!V39</f>
        <v>0</v>
      </c>
      <c r="AC39" s="15">
        <f>$P39*'Allocation %'!W39</f>
        <v>0</v>
      </c>
      <c r="AD39" s="15">
        <f>$P39*'Allocation %'!X39</f>
        <v>0</v>
      </c>
      <c r="AE39" s="15">
        <f>$P39*'Allocation %'!Y39</f>
        <v>0</v>
      </c>
      <c r="AF39" s="15">
        <f>$P39*'Allocation %'!Z39</f>
        <v>0</v>
      </c>
      <c r="AG39" s="15">
        <f>$P39*'Allocation %'!AA39</f>
        <v>0</v>
      </c>
      <c r="AH39" s="15">
        <f>$P39*'Allocation %'!AB39</f>
        <v>0</v>
      </c>
      <c r="AI39" s="15">
        <f>$P39*'Allocation %'!AC39</f>
        <v>0</v>
      </c>
      <c r="AJ39" s="15">
        <f>$P39*'Allocation %'!AD39</f>
        <v>0</v>
      </c>
      <c r="AK39" s="15">
        <f>$P39*'Allocation %'!AE39</f>
        <v>0</v>
      </c>
      <c r="AL39" s="15">
        <f>$P39*'Allocation %'!AF39</f>
        <v>0</v>
      </c>
      <c r="AM39" s="15">
        <f>$P39*'Allocation %'!AG39</f>
        <v>0</v>
      </c>
      <c r="AN39" s="15">
        <f>$P39*'Allocation %'!AH39</f>
        <v>0</v>
      </c>
      <c r="AO39" s="89">
        <f t="shared" si="2"/>
        <v>0</v>
      </c>
      <c r="AP39" s="19">
        <f t="shared" si="4"/>
        <v>0</v>
      </c>
    </row>
    <row r="40" spans="1:42" s="16" customFormat="1" ht="10.5" x14ac:dyDescent="0.25">
      <c r="A40" s="11"/>
      <c r="B40" s="17"/>
      <c r="C40" s="17"/>
      <c r="D40" s="17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f t="shared" si="3"/>
        <v>0</v>
      </c>
      <c r="Q40" s="15">
        <f>$P40*'Allocation %'!J40</f>
        <v>0</v>
      </c>
      <c r="R40" s="15">
        <f>$P40*'Allocation %'!K40</f>
        <v>0</v>
      </c>
      <c r="S40" s="15">
        <f>$P40*'Allocation %'!M40</f>
        <v>0</v>
      </c>
      <c r="T40" s="15">
        <f>$P40*'Allocation %'!N40</f>
        <v>0</v>
      </c>
      <c r="U40" s="15">
        <f>$P40*'Allocation %'!O40</f>
        <v>0</v>
      </c>
      <c r="V40" s="15">
        <f>$P40*'Allocation %'!P40</f>
        <v>0</v>
      </c>
      <c r="W40" s="15">
        <f>$P40*'Allocation %'!Q40</f>
        <v>0</v>
      </c>
      <c r="X40" s="15">
        <f>$P40*'Allocation %'!R40</f>
        <v>0</v>
      </c>
      <c r="Y40" s="15">
        <f>$P40*'Allocation %'!S40</f>
        <v>0</v>
      </c>
      <c r="Z40" s="15">
        <f>$P40*'Allocation %'!T40</f>
        <v>0</v>
      </c>
      <c r="AA40" s="15">
        <f>$P40*'Allocation %'!U40</f>
        <v>0</v>
      </c>
      <c r="AB40" s="15">
        <f>$P40*'Allocation %'!V40</f>
        <v>0</v>
      </c>
      <c r="AC40" s="15">
        <f>$P40*'Allocation %'!W40</f>
        <v>0</v>
      </c>
      <c r="AD40" s="15">
        <f>$P40*'Allocation %'!X40</f>
        <v>0</v>
      </c>
      <c r="AE40" s="15">
        <f>$P40*'Allocation %'!Y40</f>
        <v>0</v>
      </c>
      <c r="AF40" s="15">
        <f>$P40*'Allocation %'!Z40</f>
        <v>0</v>
      </c>
      <c r="AG40" s="15">
        <f>$P40*'Allocation %'!AA40</f>
        <v>0</v>
      </c>
      <c r="AH40" s="15">
        <f>$P40*'Allocation %'!AB40</f>
        <v>0</v>
      </c>
      <c r="AI40" s="15">
        <f>$P40*'Allocation %'!AC40</f>
        <v>0</v>
      </c>
      <c r="AJ40" s="15">
        <f>$P40*'Allocation %'!AD40</f>
        <v>0</v>
      </c>
      <c r="AK40" s="15">
        <f>$P40*'Allocation %'!AE40</f>
        <v>0</v>
      </c>
      <c r="AL40" s="15">
        <f>$P40*'Allocation %'!AF40</f>
        <v>0</v>
      </c>
      <c r="AM40" s="15">
        <f>$P40*'Allocation %'!AG40</f>
        <v>0</v>
      </c>
      <c r="AN40" s="15">
        <f>$P40*'Allocation %'!AH40</f>
        <v>0</v>
      </c>
      <c r="AO40" s="89">
        <f t="shared" si="2"/>
        <v>0</v>
      </c>
      <c r="AP40" s="19">
        <f t="shared" si="4"/>
        <v>0</v>
      </c>
    </row>
    <row r="41" spans="1:42" s="16" customFormat="1" ht="11" thickBot="1" x14ac:dyDescent="0.3">
      <c r="A41" s="11"/>
      <c r="B41" s="17"/>
      <c r="C41" s="17"/>
      <c r="D41" s="33"/>
      <c r="E41" s="33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89">
        <f t="shared" si="2"/>
        <v>0</v>
      </c>
      <c r="AP41" s="19">
        <f t="shared" si="4"/>
        <v>0</v>
      </c>
    </row>
    <row r="42" spans="1:42" s="37" customFormat="1" ht="11" thickBot="1" x14ac:dyDescent="0.3">
      <c r="A42" s="34"/>
      <c r="B42" s="17"/>
      <c r="C42" s="17"/>
      <c r="D42" s="33"/>
      <c r="E42" s="33"/>
      <c r="F42" s="35">
        <f>SUM(F4:F41)</f>
        <v>62760.78</v>
      </c>
      <c r="G42" s="35">
        <f t="shared" ref="G42:AO42" si="9">SUM(G4:G41)</f>
        <v>1631780.28</v>
      </c>
      <c r="H42" s="35">
        <f t="shared" si="9"/>
        <v>6538.4699999999993</v>
      </c>
      <c r="I42" s="35">
        <f t="shared" si="9"/>
        <v>1647780.42</v>
      </c>
      <c r="J42" s="35">
        <f t="shared" si="9"/>
        <v>1599.3300000000002</v>
      </c>
      <c r="K42" s="35">
        <f t="shared" si="9"/>
        <v>1514.5100000000004</v>
      </c>
      <c r="L42" s="35">
        <f t="shared" si="9"/>
        <v>0</v>
      </c>
      <c r="M42" s="35">
        <f t="shared" si="9"/>
        <v>0</v>
      </c>
      <c r="N42" s="35">
        <f t="shared" si="9"/>
        <v>0</v>
      </c>
      <c r="O42" s="35">
        <f t="shared" si="9"/>
        <v>0</v>
      </c>
      <c r="P42" s="75">
        <f t="shared" si="9"/>
        <v>3113.8400000000006</v>
      </c>
      <c r="Q42" s="35">
        <f t="shared" si="9"/>
        <v>981.4455999999999</v>
      </c>
      <c r="R42" s="35">
        <f t="shared" si="9"/>
        <v>83.15440000000001</v>
      </c>
      <c r="S42" s="35">
        <f t="shared" si="9"/>
        <v>371.9</v>
      </c>
      <c r="T42" s="35">
        <f t="shared" si="9"/>
        <v>661.17100000000005</v>
      </c>
      <c r="U42" s="35">
        <f t="shared" si="9"/>
        <v>145.36000000000001</v>
      </c>
      <c r="V42" s="35">
        <f t="shared" ref="V42" si="10">SUM(V4:V41)</f>
        <v>47.337600000000002</v>
      </c>
      <c r="W42" s="35">
        <f t="shared" ref="W42" si="11">SUM(W4:W41)</f>
        <v>115.4</v>
      </c>
      <c r="X42" s="35">
        <f t="shared" si="9"/>
        <v>49.31</v>
      </c>
      <c r="Y42" s="35">
        <f t="shared" ref="Y42" si="12">SUM(Y4:Y41)</f>
        <v>35.5032</v>
      </c>
      <c r="Z42" s="35">
        <f t="shared" ref="Z42:AB42" si="13">SUM(Z4:Z41)</f>
        <v>23.668800000000005</v>
      </c>
      <c r="AA42" s="35">
        <f t="shared" si="13"/>
        <v>57.199600000000004</v>
      </c>
      <c r="AB42" s="35">
        <f t="shared" si="13"/>
        <v>53.254800000000003</v>
      </c>
      <c r="AC42" s="35">
        <f t="shared" ref="AC42:AF42" si="14">SUM(AC4:AC41)</f>
        <v>11.8344</v>
      </c>
      <c r="AD42" s="35">
        <f t="shared" si="14"/>
        <v>76.923600000000008</v>
      </c>
      <c r="AE42" s="35">
        <f t="shared" si="14"/>
        <v>0</v>
      </c>
      <c r="AF42" s="35">
        <f t="shared" si="14"/>
        <v>0</v>
      </c>
      <c r="AG42" s="35">
        <f t="shared" si="9"/>
        <v>55.471600000000002</v>
      </c>
      <c r="AH42" s="35">
        <f t="shared" si="9"/>
        <v>73.095199999999991</v>
      </c>
      <c r="AI42" s="35">
        <f t="shared" si="9"/>
        <v>83.9696</v>
      </c>
      <c r="AJ42" s="35">
        <f t="shared" si="9"/>
        <v>0</v>
      </c>
      <c r="AK42" s="35">
        <f t="shared" si="9"/>
        <v>187.84059999999999</v>
      </c>
      <c r="AL42" s="35">
        <f t="shared" si="9"/>
        <v>0</v>
      </c>
      <c r="AM42" s="35">
        <f t="shared" si="9"/>
        <v>0</v>
      </c>
      <c r="AN42" s="35">
        <f t="shared" si="9"/>
        <v>0</v>
      </c>
      <c r="AO42" s="90">
        <f t="shared" si="9"/>
        <v>3113.8400000000006</v>
      </c>
      <c r="AP42" s="36"/>
    </row>
    <row r="43" spans="1:42" s="10" customFormat="1" ht="15" x14ac:dyDescent="0.4">
      <c r="A43" s="15"/>
      <c r="B43" s="29"/>
      <c r="C43" s="29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9">
        <f t="shared" ref="Q43:V43" si="15">Q42/$AO$42</f>
        <v>0.31518819207152576</v>
      </c>
      <c r="R43" s="39">
        <f t="shared" si="15"/>
        <v>2.6704776096395447E-2</v>
      </c>
      <c r="S43" s="39">
        <f t="shared" si="15"/>
        <v>0.11943452457415921</v>
      </c>
      <c r="T43" s="39">
        <f t="shared" si="15"/>
        <v>0.21233300362253676</v>
      </c>
      <c r="U43" s="39">
        <f t="shared" si="15"/>
        <v>4.6681910438558176E-2</v>
      </c>
      <c r="V43" s="39">
        <f t="shared" si="15"/>
        <v>1.5202322534234255E-2</v>
      </c>
      <c r="W43" s="39">
        <f t="shared" ref="W43" si="16">W42/$AO$42</f>
        <v>3.7060349921640159E-2</v>
      </c>
      <c r="X43" s="39">
        <f>X42/$AO$42</f>
        <v>1.5835752639827349E-2</v>
      </c>
      <c r="Y43" s="39">
        <f>Y42/$AO$42</f>
        <v>1.140174190067569E-2</v>
      </c>
      <c r="Z43" s="39">
        <f t="shared" ref="Z43:AB43" si="17">Z42/$AO$42</f>
        <v>7.6011612671171283E-3</v>
      </c>
      <c r="AA43" s="39">
        <f t="shared" si="17"/>
        <v>1.8369473062199725E-2</v>
      </c>
      <c r="AB43" s="39">
        <f t="shared" si="17"/>
        <v>1.7102612851013537E-2</v>
      </c>
      <c r="AC43" s="39">
        <f t="shared" ref="AC43" si="18">AC42/$AO$42</f>
        <v>3.8005806335585637E-3</v>
      </c>
      <c r="AD43" s="39">
        <f t="shared" ref="AD43" si="19">AD42/$AO$42</f>
        <v>2.4703774118130666E-2</v>
      </c>
      <c r="AE43" s="39">
        <f t="shared" ref="AE43" si="20">AE42/$AO$42</f>
        <v>0</v>
      </c>
      <c r="AF43" s="39">
        <f t="shared" ref="AF43" si="21">AF42/$AO$42</f>
        <v>0</v>
      </c>
      <c r="AG43" s="39">
        <f t="shared" ref="AG43:AN43" si="22">AG42/$AO$42</f>
        <v>1.7814531254014332E-2</v>
      </c>
      <c r="AH43" s="39">
        <f t="shared" si="22"/>
        <v>2.3474295403745848E-2</v>
      </c>
      <c r="AI43" s="39">
        <f t="shared" si="22"/>
        <v>2.6966575032756977E-2</v>
      </c>
      <c r="AJ43" s="39">
        <f t="shared" si="22"/>
        <v>0</v>
      </c>
      <c r="AK43" s="39">
        <f t="shared" si="22"/>
        <v>6.0324422577910222E-2</v>
      </c>
      <c r="AL43" s="39">
        <f t="shared" si="22"/>
        <v>0</v>
      </c>
      <c r="AM43" s="39">
        <f t="shared" si="22"/>
        <v>0</v>
      </c>
      <c r="AN43" s="39">
        <f t="shared" si="22"/>
        <v>0</v>
      </c>
      <c r="AO43" s="39">
        <f>SUM(Q43:AN43)</f>
        <v>0.99999999999999978</v>
      </c>
    </row>
    <row r="44" spans="1:42" ht="15" thickBot="1" x14ac:dyDescent="0.4"/>
    <row r="45" spans="1:42" ht="15" thickBot="1" x14ac:dyDescent="0.4">
      <c r="Q45" s="71" t="str">
        <f>Q2</f>
        <v>Abbott</v>
      </c>
      <c r="R45" s="71" t="str">
        <f t="shared" ref="R45:AN45" si="23">R2</f>
        <v>Abbott - Other</v>
      </c>
      <c r="S45" s="71" t="str">
        <f t="shared" si="23"/>
        <v>Toddlers</v>
      </c>
      <c r="T45" s="71" t="str">
        <f t="shared" si="23"/>
        <v>USJP</v>
      </c>
      <c r="U45" s="71" t="str">
        <f t="shared" si="23"/>
        <v>Workforce UA</v>
      </c>
      <c r="V45" s="71" t="str">
        <f t="shared" ref="V45" si="24">V2</f>
        <v>Pru -Workforce</v>
      </c>
      <c r="W45" s="71" t="str">
        <f t="shared" ref="W45" si="25">W2</f>
        <v>PACE</v>
      </c>
      <c r="X45" s="71" t="str">
        <f t="shared" si="23"/>
        <v>Housing ESG</v>
      </c>
      <c r="Y45" s="71" t="str">
        <f t="shared" ref="Y45" si="26">Y2</f>
        <v>NRTC18</v>
      </c>
      <c r="Z45" s="71" t="str">
        <f t="shared" ref="Z45:AB45" si="27">Z2</f>
        <v>NRTC 20</v>
      </c>
      <c r="AA45" s="71" t="str">
        <f t="shared" si="27"/>
        <v>CDBG</v>
      </c>
      <c r="AB45" s="71" t="str">
        <f t="shared" si="27"/>
        <v>PARS</v>
      </c>
      <c r="AC45" s="71" t="str">
        <f t="shared" ref="AC45:AF45" si="28">AC2</f>
        <v>Save Up2</v>
      </c>
      <c r="AD45" s="71" t="str">
        <f t="shared" si="28"/>
        <v>LISC 2020</v>
      </c>
      <c r="AE45" s="71" t="str">
        <f t="shared" si="28"/>
        <v xml:space="preserve">PRU -FOC </v>
      </c>
      <c r="AF45" s="71" t="str">
        <f t="shared" si="28"/>
        <v>NRTC 18</v>
      </c>
      <c r="AG45" s="71" t="str">
        <f t="shared" si="23"/>
        <v>Real Estate/NRTC</v>
      </c>
      <c r="AH45" s="71" t="str">
        <f t="shared" si="23"/>
        <v>Coding</v>
      </c>
      <c r="AI45" s="71" t="str">
        <f t="shared" si="23"/>
        <v>Neigh Revit</v>
      </c>
      <c r="AJ45" s="71" t="str">
        <f t="shared" si="23"/>
        <v>CEO</v>
      </c>
      <c r="AK45" s="71" t="str">
        <f t="shared" si="23"/>
        <v>CFO</v>
      </c>
      <c r="AL45" s="71" t="str">
        <f t="shared" si="23"/>
        <v>Fundraising</v>
      </c>
      <c r="AM45" s="71" t="str">
        <f t="shared" si="23"/>
        <v>Opprt Corp</v>
      </c>
      <c r="AN45" s="71">
        <f t="shared" si="23"/>
        <v>0</v>
      </c>
      <c r="AO45" s="47" t="s">
        <v>35</v>
      </c>
    </row>
    <row r="46" spans="1:42" x14ac:dyDescent="0.35">
      <c r="I46" s="44" t="s">
        <v>36</v>
      </c>
      <c r="Q46" s="48">
        <v>14</v>
      </c>
      <c r="R46" s="48"/>
      <c r="S46" s="48">
        <v>2</v>
      </c>
      <c r="T46" s="48">
        <v>4</v>
      </c>
      <c r="U46" s="48">
        <v>4</v>
      </c>
      <c r="V46" s="48"/>
      <c r="W46" s="48">
        <v>5</v>
      </c>
      <c r="X46" s="48">
        <v>2</v>
      </c>
      <c r="Y46" s="48"/>
      <c r="Z46" s="48"/>
      <c r="AA46" s="48"/>
      <c r="AB46" s="48"/>
      <c r="AC46" s="48"/>
      <c r="AD46" s="48"/>
      <c r="AE46" s="48">
        <v>2</v>
      </c>
      <c r="AF46" s="48"/>
      <c r="AG46" s="48">
        <v>1.5</v>
      </c>
      <c r="AH46" s="48">
        <v>1.5</v>
      </c>
      <c r="AI46" s="48">
        <v>1.5</v>
      </c>
      <c r="AJ46" s="48">
        <v>2</v>
      </c>
      <c r="AK46" s="48">
        <v>2</v>
      </c>
      <c r="AL46" s="48"/>
      <c r="AM46" s="48">
        <v>1</v>
      </c>
      <c r="AN46" s="48"/>
      <c r="AO46" s="39">
        <f>SUM(Q46:AN46)</f>
        <v>42.5</v>
      </c>
    </row>
    <row r="48" spans="1:42" x14ac:dyDescent="0.35">
      <c r="I48" s="44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8"/>
  <sheetViews>
    <sheetView topLeftCell="A5" workbookViewId="0">
      <selection activeCell="Q5" sqref="Q1:W1048576"/>
    </sheetView>
  </sheetViews>
  <sheetFormatPr defaultRowHeight="14.5" x14ac:dyDescent="0.35"/>
  <cols>
    <col min="1" max="1" width="6.81640625" style="11" customWidth="1"/>
    <col min="2" max="2" width="35.7265625" style="40" customWidth="1"/>
    <col min="3" max="3" width="4.7265625" style="40" customWidth="1"/>
    <col min="4" max="4" width="22.81640625" style="41" customWidth="1"/>
    <col min="5" max="5" width="22.7265625" style="42" customWidth="1"/>
    <col min="6" max="6" width="19.453125" style="43" hidden="1" customWidth="1"/>
    <col min="7" max="8" width="19.453125" style="44" hidden="1" customWidth="1"/>
    <col min="9" max="11" width="14" style="44" customWidth="1"/>
    <col min="12" max="15" width="14" style="44" hidden="1" customWidth="1"/>
    <col min="16" max="16" width="14" style="44" customWidth="1"/>
    <col min="17" max="18" width="16.1796875" hidden="1" customWidth="1"/>
    <col min="19" max="19" width="10.7265625" hidden="1" customWidth="1"/>
    <col min="20" max="20" width="11.54296875" hidden="1" customWidth="1"/>
    <col min="21" max="23" width="15.81640625" hidden="1" customWidth="1"/>
    <col min="24" max="30" width="13.81640625" customWidth="1"/>
    <col min="31" max="32" width="15.1796875" customWidth="1"/>
    <col min="33" max="33" width="12.54296875" customWidth="1"/>
    <col min="34" max="35" width="11.54296875" bestFit="1" customWidth="1"/>
    <col min="36" max="37" width="11.7265625" bestFit="1" customWidth="1"/>
    <col min="38" max="38" width="11.7265625" customWidth="1"/>
    <col min="39" max="39" width="10.7265625" bestFit="1" customWidth="1"/>
    <col min="40" max="40" width="11.54296875" bestFit="1" customWidth="1"/>
    <col min="41" max="41" width="12.1796875" customWidth="1"/>
    <col min="42" max="42" width="11.81640625" customWidth="1"/>
  </cols>
  <sheetData>
    <row r="1" spans="1:44" ht="15" thickBot="1" x14ac:dyDescent="0.4">
      <c r="B1" s="40" t="s">
        <v>58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</row>
    <row r="2" spans="1:44" ht="18.75" customHeight="1" thickBot="1" x14ac:dyDescent="0.4">
      <c r="A2" s="1"/>
      <c r="B2" s="2" t="s">
        <v>0</v>
      </c>
      <c r="C2" s="3"/>
      <c r="D2" s="4" t="s">
        <v>1</v>
      </c>
      <c r="E2" s="4"/>
      <c r="F2" s="5" t="s">
        <v>2</v>
      </c>
      <c r="G2" s="4" t="s">
        <v>3</v>
      </c>
      <c r="H2" s="4" t="s">
        <v>4</v>
      </c>
      <c r="I2" s="4" t="s">
        <v>5</v>
      </c>
      <c r="J2" s="72">
        <v>43843</v>
      </c>
      <c r="K2" s="72">
        <v>43857</v>
      </c>
      <c r="L2" s="72"/>
      <c r="M2" s="72"/>
      <c r="N2" s="72"/>
      <c r="O2" s="72"/>
      <c r="P2" s="72" t="s">
        <v>73</v>
      </c>
      <c r="Q2" s="69" t="str">
        <f>'Emp''ee Health'!Q2</f>
        <v>Abbott</v>
      </c>
      <c r="R2" s="69" t="str">
        <f>'Emp''ee Health'!R2</f>
        <v>Abbott - Other</v>
      </c>
      <c r="S2" s="69" t="str">
        <f>'Emp''ee Health'!S2</f>
        <v>Toddlers</v>
      </c>
      <c r="T2" s="69" t="str">
        <f>'Emp''ee Health'!T2</f>
        <v>USJP</v>
      </c>
      <c r="U2" s="78" t="str">
        <f>'Emp''ee Health'!U2</f>
        <v>Workforce UA</v>
      </c>
      <c r="V2" s="78" t="str">
        <f>'Emp''ee Health'!V2</f>
        <v>Pru -Workforce</v>
      </c>
      <c r="W2" s="78" t="str">
        <f>'Emp''ee Health'!W2</f>
        <v>PACE</v>
      </c>
      <c r="X2" s="83" t="str">
        <f>'Emp''ee Health'!X2</f>
        <v>Housing ESG</v>
      </c>
      <c r="Y2" s="83" t="str">
        <f>'Emp''ee Health'!Y2</f>
        <v>NRTC18</v>
      </c>
      <c r="Z2" s="83" t="str">
        <f>'Emp''ee Health'!Z2</f>
        <v>NRTC 20</v>
      </c>
      <c r="AA2" s="83" t="str">
        <f>'Emp''ee Health'!AA2</f>
        <v>CDBG</v>
      </c>
      <c r="AB2" s="83" t="str">
        <f>'Emp''ee Health'!AB2</f>
        <v>PARS</v>
      </c>
      <c r="AC2" s="84" t="str">
        <f>'Emp''ee Health'!AC2</f>
        <v>Save Up2</v>
      </c>
      <c r="AD2" s="84" t="str">
        <f>'Emp''ee Health'!AD2</f>
        <v>LISC 2020</v>
      </c>
      <c r="AE2" s="84" t="str">
        <f>'Emp''ee Health'!AE2</f>
        <v xml:space="preserve">PRU -FOC </v>
      </c>
      <c r="AF2" s="84" t="str">
        <f>'Emp''ee Health'!AF2</f>
        <v>NRTC 18</v>
      </c>
      <c r="AG2" s="86" t="str">
        <f>'Emp''ee Health'!AG2</f>
        <v>Real Estate/NRTC</v>
      </c>
      <c r="AH2" s="86" t="str">
        <f>'Emp''ee Health'!AH2</f>
        <v>Coding</v>
      </c>
      <c r="AI2" s="86" t="str">
        <f>'Emp''ee Health'!AI2</f>
        <v>Neigh Revit</v>
      </c>
      <c r="AJ2" s="69" t="str">
        <f>'Emp''ee Health'!AJ2</f>
        <v>CEO</v>
      </c>
      <c r="AK2" s="69" t="str">
        <f>'Emp''ee Health'!AK2</f>
        <v>CFO</v>
      </c>
      <c r="AL2" s="69" t="str">
        <f>'Emp''ee Health'!AL2</f>
        <v>Fundraising</v>
      </c>
      <c r="AM2" s="69" t="str">
        <f>'Emp''ee Health'!AM2</f>
        <v>Opprt Corp</v>
      </c>
      <c r="AN2" s="87">
        <f>'Emp''ee Health'!AN2</f>
        <v>0</v>
      </c>
      <c r="AO2" s="88"/>
    </row>
    <row r="3" spans="1:44" s="16" customFormat="1" ht="10.5" x14ac:dyDescent="0.25">
      <c r="A3" s="11"/>
      <c r="B3" s="12"/>
      <c r="C3" s="12"/>
      <c r="D3" s="13"/>
      <c r="E3" s="13"/>
      <c r="F3" s="14"/>
      <c r="G3" s="13">
        <v>26</v>
      </c>
      <c r="H3" s="13"/>
      <c r="I3" s="13"/>
      <c r="J3" s="13"/>
      <c r="K3" s="13"/>
      <c r="L3" s="13"/>
      <c r="M3" s="13"/>
      <c r="N3" s="13"/>
      <c r="O3" s="13"/>
      <c r="P3" s="13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89"/>
    </row>
    <row r="4" spans="1:44" s="16" customFormat="1" ht="10.5" x14ac:dyDescent="0.25">
      <c r="A4" s="11">
        <f>Salary!A4</f>
        <v>1</v>
      </c>
      <c r="B4" s="17" t="str">
        <f>'Allocation %'!B4</f>
        <v>ANDREWS, Cora</v>
      </c>
      <c r="C4" s="17">
        <v>1</v>
      </c>
      <c r="D4" s="17" t="str">
        <f>'Allocation %'!D4</f>
        <v>Abbott</v>
      </c>
      <c r="E4" s="17" t="str">
        <f>'Allocation %'!E4</f>
        <v>Security</v>
      </c>
      <c r="F4" s="18">
        <v>1120</v>
      </c>
      <c r="G4" s="18">
        <f t="shared" ref="G4:G39" si="0">F4*$G$3</f>
        <v>29120</v>
      </c>
      <c r="H4" s="18"/>
      <c r="I4" s="18">
        <f t="shared" ref="I4:I9" si="1">SUM(G4:H4)</f>
        <v>29120</v>
      </c>
      <c r="J4" s="18"/>
      <c r="K4" s="18"/>
      <c r="L4" s="18"/>
      <c r="M4" s="18"/>
      <c r="N4" s="18"/>
      <c r="O4" s="18"/>
      <c r="P4" s="18">
        <f>SUM(J4:O4)</f>
        <v>0</v>
      </c>
      <c r="Q4" s="15">
        <f>$P4*'Allocation %'!J4</f>
        <v>0</v>
      </c>
      <c r="R4" s="15">
        <f>$P4*'Allocation %'!K4</f>
        <v>0</v>
      </c>
      <c r="S4" s="15">
        <f>$P4*'Allocation %'!M4</f>
        <v>0</v>
      </c>
      <c r="T4" s="15">
        <f>$P4*'Allocation %'!N4</f>
        <v>0</v>
      </c>
      <c r="U4" s="15">
        <f>$P4*'Allocation %'!O4</f>
        <v>0</v>
      </c>
      <c r="V4" s="15">
        <f>$P4*'Allocation %'!P4</f>
        <v>0</v>
      </c>
      <c r="W4" s="15">
        <f>$P4*'Allocation %'!Q4</f>
        <v>0</v>
      </c>
      <c r="X4" s="15">
        <f>$P4*'Allocation %'!R4</f>
        <v>0</v>
      </c>
      <c r="Y4" s="15">
        <f>$P4*'Allocation %'!S4</f>
        <v>0</v>
      </c>
      <c r="Z4" s="15">
        <f>$P4*'Allocation %'!T4</f>
        <v>0</v>
      </c>
      <c r="AA4" s="15">
        <f>$P4*'Allocation %'!U4</f>
        <v>0</v>
      </c>
      <c r="AB4" s="15">
        <f>$P4*'Allocation %'!V4</f>
        <v>0</v>
      </c>
      <c r="AC4" s="15">
        <f>$P4*'Allocation %'!W4</f>
        <v>0</v>
      </c>
      <c r="AD4" s="15">
        <f>$P4*'Allocation %'!X4</f>
        <v>0</v>
      </c>
      <c r="AE4" s="15">
        <f>$P4*'Allocation %'!Y4</f>
        <v>0</v>
      </c>
      <c r="AF4" s="15">
        <f>$P4*'Allocation %'!Z4</f>
        <v>0</v>
      </c>
      <c r="AG4" s="15">
        <f>$P4*'Allocation %'!AA4</f>
        <v>0</v>
      </c>
      <c r="AH4" s="15">
        <f>$P4*'Allocation %'!AB4</f>
        <v>0</v>
      </c>
      <c r="AI4" s="15">
        <f>$P4*'Allocation %'!AC4</f>
        <v>0</v>
      </c>
      <c r="AJ4" s="15">
        <f>$P4*'Allocation %'!AD4</f>
        <v>0</v>
      </c>
      <c r="AK4" s="15">
        <f>$P4*'Allocation %'!AE4</f>
        <v>0</v>
      </c>
      <c r="AL4" s="15">
        <f>$P4*'Allocation %'!AF4</f>
        <v>0</v>
      </c>
      <c r="AM4" s="15">
        <f>$P4*'Allocation %'!AG4</f>
        <v>0</v>
      </c>
      <c r="AN4" s="15">
        <f>$P4*'Allocation %'!AH4</f>
        <v>0</v>
      </c>
      <c r="AO4" s="89">
        <f t="shared" ref="AO4:AO41" si="2">SUM(Q4:AN4)</f>
        <v>0</v>
      </c>
      <c r="AP4" s="19">
        <f>P4-AO4</f>
        <v>0</v>
      </c>
    </row>
    <row r="5" spans="1:44" s="16" customFormat="1" ht="10.5" x14ac:dyDescent="0.25">
      <c r="A5" s="11">
        <f>Salary!A5</f>
        <v>2</v>
      </c>
      <c r="B5" s="17" t="str">
        <f>'Allocation %'!B5</f>
        <v>Bennett, Patricia A.</v>
      </c>
      <c r="C5" s="17">
        <v>2</v>
      </c>
      <c r="D5" s="17" t="str">
        <f>'Allocation %'!D5</f>
        <v>Abbott, Admin</v>
      </c>
      <c r="E5" s="17" t="str">
        <f>'Allocation %'!E5</f>
        <v>Custodian</v>
      </c>
      <c r="F5" s="18">
        <v>650</v>
      </c>
      <c r="G5" s="20">
        <f>F5*$G$3</f>
        <v>16900</v>
      </c>
      <c r="H5" s="18"/>
      <c r="I5" s="18">
        <f>SUM(G5:H5)</f>
        <v>16900</v>
      </c>
      <c r="J5" s="18"/>
      <c r="K5" s="18"/>
      <c r="L5" s="18"/>
      <c r="M5" s="18"/>
      <c r="N5" s="18"/>
      <c r="O5" s="18"/>
      <c r="P5" s="18">
        <f t="shared" ref="P5:P40" si="3">SUM(J5:O5)</f>
        <v>0</v>
      </c>
      <c r="Q5" s="15">
        <f>$P5*'Allocation %'!J5</f>
        <v>0</v>
      </c>
      <c r="R5" s="15">
        <f>$P5*'Allocation %'!K5</f>
        <v>0</v>
      </c>
      <c r="S5" s="15">
        <f>$P5*'Allocation %'!M5</f>
        <v>0</v>
      </c>
      <c r="T5" s="15">
        <f>$P5*'Allocation %'!N5</f>
        <v>0</v>
      </c>
      <c r="U5" s="15">
        <f>$P5*'Allocation %'!O5</f>
        <v>0</v>
      </c>
      <c r="V5" s="15">
        <f>$P5*'Allocation %'!P5</f>
        <v>0</v>
      </c>
      <c r="W5" s="15">
        <f>$P5*'Allocation %'!Q5</f>
        <v>0</v>
      </c>
      <c r="X5" s="15">
        <f>$P5*'Allocation %'!R5</f>
        <v>0</v>
      </c>
      <c r="Y5" s="15">
        <f>$P5*'Allocation %'!S5</f>
        <v>0</v>
      </c>
      <c r="Z5" s="15">
        <f>$P5*'Allocation %'!T5</f>
        <v>0</v>
      </c>
      <c r="AA5" s="15">
        <f>$P5*'Allocation %'!U5</f>
        <v>0</v>
      </c>
      <c r="AB5" s="15">
        <f>$P5*'Allocation %'!V5</f>
        <v>0</v>
      </c>
      <c r="AC5" s="15">
        <f>$P5*'Allocation %'!W5</f>
        <v>0</v>
      </c>
      <c r="AD5" s="15">
        <f>$P5*'Allocation %'!X5</f>
        <v>0</v>
      </c>
      <c r="AE5" s="15">
        <f>$P5*'Allocation %'!Y5</f>
        <v>0</v>
      </c>
      <c r="AF5" s="15">
        <f>$P5*'Allocation %'!Z5</f>
        <v>0</v>
      </c>
      <c r="AG5" s="15">
        <f>$P5*'Allocation %'!AA5</f>
        <v>0</v>
      </c>
      <c r="AH5" s="15">
        <f>$P5*'Allocation %'!AB5</f>
        <v>0</v>
      </c>
      <c r="AI5" s="15">
        <f>$P5*'Allocation %'!AC5</f>
        <v>0</v>
      </c>
      <c r="AJ5" s="15">
        <f>$P5*'Allocation %'!AD5</f>
        <v>0</v>
      </c>
      <c r="AK5" s="15">
        <f>$P5*'Allocation %'!AE5</f>
        <v>0</v>
      </c>
      <c r="AL5" s="15">
        <f>$P5*'Allocation %'!AF5</f>
        <v>0</v>
      </c>
      <c r="AM5" s="15">
        <f>$P5*'Allocation %'!AG5</f>
        <v>0</v>
      </c>
      <c r="AN5" s="15">
        <f>$P5*'Allocation %'!AH5</f>
        <v>0</v>
      </c>
      <c r="AO5" s="89">
        <f t="shared" si="2"/>
        <v>0</v>
      </c>
      <c r="AP5" s="19">
        <f t="shared" ref="AP5:AP41" si="4">P5-AO5</f>
        <v>0</v>
      </c>
    </row>
    <row r="6" spans="1:44" s="16" customFormat="1" ht="10.5" x14ac:dyDescent="0.25">
      <c r="A6" s="11">
        <f>Salary!A6</f>
        <v>3</v>
      </c>
      <c r="B6" s="17" t="str">
        <f>'Allocation %'!B6</f>
        <v>Bishop-Shakoor, Ayesha</v>
      </c>
      <c r="C6" s="17">
        <v>3</v>
      </c>
      <c r="D6" s="17" t="str">
        <f>'Allocation %'!D6</f>
        <v>Abbott, Admin</v>
      </c>
      <c r="E6" s="17">
        <f>'Allocation %'!E6</f>
        <v>0</v>
      </c>
      <c r="F6" s="18"/>
      <c r="G6" s="20"/>
      <c r="H6" s="18"/>
      <c r="I6" s="18"/>
      <c r="J6" s="18"/>
      <c r="K6" s="18"/>
      <c r="L6" s="18"/>
      <c r="M6" s="18"/>
      <c r="N6" s="18"/>
      <c r="O6" s="18"/>
      <c r="P6" s="18"/>
      <c r="Q6" s="15">
        <f>$P6*'Allocation %'!J6</f>
        <v>0</v>
      </c>
      <c r="R6" s="15">
        <f>$P6*'Allocation %'!K6</f>
        <v>0</v>
      </c>
      <c r="S6" s="15">
        <f>$P6*'Allocation %'!M6</f>
        <v>0</v>
      </c>
      <c r="T6" s="15">
        <f>$P6*'Allocation %'!N6</f>
        <v>0</v>
      </c>
      <c r="U6" s="15">
        <f>$P6*'Allocation %'!O6</f>
        <v>0</v>
      </c>
      <c r="V6" s="15">
        <f>$P6*'Allocation %'!P6</f>
        <v>0</v>
      </c>
      <c r="W6" s="15">
        <f>$P6*'Allocation %'!Q6</f>
        <v>0</v>
      </c>
      <c r="X6" s="15">
        <f>$P6*'Allocation %'!R6</f>
        <v>0</v>
      </c>
      <c r="Y6" s="15">
        <f>$P6*'Allocation %'!S6</f>
        <v>0</v>
      </c>
      <c r="Z6" s="15">
        <f>$P6*'Allocation %'!T6</f>
        <v>0</v>
      </c>
      <c r="AA6" s="15">
        <f>$P6*'Allocation %'!U6</f>
        <v>0</v>
      </c>
      <c r="AB6" s="15">
        <f>$P6*'Allocation %'!V6</f>
        <v>0</v>
      </c>
      <c r="AC6" s="15">
        <f>$P6*'Allocation %'!W6</f>
        <v>0</v>
      </c>
      <c r="AD6" s="15">
        <f>$P6*'Allocation %'!X6</f>
        <v>0</v>
      </c>
      <c r="AE6" s="15">
        <f>$P6*'Allocation %'!Y6</f>
        <v>0</v>
      </c>
      <c r="AF6" s="15">
        <f>$P6*'Allocation %'!Z6</f>
        <v>0</v>
      </c>
      <c r="AG6" s="15">
        <f>$P6*'Allocation %'!AA6</f>
        <v>0</v>
      </c>
      <c r="AH6" s="15">
        <f>$P6*'Allocation %'!AB6</f>
        <v>0</v>
      </c>
      <c r="AI6" s="15">
        <f>$P6*'Allocation %'!AC6</f>
        <v>0</v>
      </c>
      <c r="AJ6" s="15">
        <f>$P6*'Allocation %'!AD6</f>
        <v>0</v>
      </c>
      <c r="AK6" s="15">
        <f>$P6*'Allocation %'!AE6</f>
        <v>0</v>
      </c>
      <c r="AL6" s="15">
        <f>$P6*'Allocation %'!AF6</f>
        <v>0</v>
      </c>
      <c r="AM6" s="15">
        <f>$P6*'Allocation %'!AG6</f>
        <v>0</v>
      </c>
      <c r="AN6" s="15">
        <f>$P6*'Allocation %'!AH6</f>
        <v>0</v>
      </c>
      <c r="AO6" s="89">
        <f t="shared" si="2"/>
        <v>0</v>
      </c>
      <c r="AP6" s="19">
        <f t="shared" si="4"/>
        <v>0</v>
      </c>
    </row>
    <row r="7" spans="1:44" s="16" customFormat="1" ht="10.5" x14ac:dyDescent="0.25">
      <c r="A7" s="11">
        <f>Salary!A7</f>
        <v>4</v>
      </c>
      <c r="B7" s="17" t="str">
        <f>'Allocation %'!B7</f>
        <v>BROWN,Denise- Wrap</v>
      </c>
      <c r="C7" s="17">
        <v>4</v>
      </c>
      <c r="D7" s="17" t="str">
        <f>'Allocation %'!D7</f>
        <v>Wrap</v>
      </c>
      <c r="E7" s="17" t="str">
        <f>'Allocation %'!E7</f>
        <v>Wrap Teacher</v>
      </c>
      <c r="F7" s="18">
        <v>520</v>
      </c>
      <c r="G7" s="18">
        <f t="shared" si="0"/>
        <v>13520</v>
      </c>
      <c r="H7" s="18"/>
      <c r="I7" s="18">
        <f t="shared" si="1"/>
        <v>13520</v>
      </c>
      <c r="J7" s="18"/>
      <c r="K7" s="18"/>
      <c r="L7" s="18"/>
      <c r="M7" s="18"/>
      <c r="N7" s="18"/>
      <c r="O7" s="18"/>
      <c r="P7" s="18">
        <f t="shared" si="3"/>
        <v>0</v>
      </c>
      <c r="Q7" s="15">
        <f>$P7*'Allocation %'!J7</f>
        <v>0</v>
      </c>
      <c r="R7" s="15">
        <f>$P7*'Allocation %'!K7</f>
        <v>0</v>
      </c>
      <c r="S7" s="15">
        <f>$P7*'Allocation %'!M7</f>
        <v>0</v>
      </c>
      <c r="T7" s="15">
        <f>$P7*'Allocation %'!N7</f>
        <v>0</v>
      </c>
      <c r="U7" s="15">
        <f>$P7*'Allocation %'!O7</f>
        <v>0</v>
      </c>
      <c r="V7" s="15">
        <f>$P7*'Allocation %'!P7</f>
        <v>0</v>
      </c>
      <c r="W7" s="15">
        <f>$P7*'Allocation %'!Q7</f>
        <v>0</v>
      </c>
      <c r="X7" s="15">
        <f>$P7*'Allocation %'!R7</f>
        <v>0</v>
      </c>
      <c r="Y7" s="15">
        <f>$P7*'Allocation %'!S7</f>
        <v>0</v>
      </c>
      <c r="Z7" s="15">
        <f>$P7*'Allocation %'!T7</f>
        <v>0</v>
      </c>
      <c r="AA7" s="15">
        <f>$P7*'Allocation %'!U7</f>
        <v>0</v>
      </c>
      <c r="AB7" s="15">
        <f>$P7*'Allocation %'!V7</f>
        <v>0</v>
      </c>
      <c r="AC7" s="15">
        <f>$P7*'Allocation %'!W7</f>
        <v>0</v>
      </c>
      <c r="AD7" s="15">
        <f>$P7*'Allocation %'!X7</f>
        <v>0</v>
      </c>
      <c r="AE7" s="15">
        <f>$P7*'Allocation %'!Y7</f>
        <v>0</v>
      </c>
      <c r="AF7" s="15">
        <f>$P7*'Allocation %'!Z7</f>
        <v>0</v>
      </c>
      <c r="AG7" s="15">
        <f>$P7*'Allocation %'!AA7</f>
        <v>0</v>
      </c>
      <c r="AH7" s="15">
        <f>$P7*'Allocation %'!AB7</f>
        <v>0</v>
      </c>
      <c r="AI7" s="15">
        <f>$P7*'Allocation %'!AC7</f>
        <v>0</v>
      </c>
      <c r="AJ7" s="15">
        <f>$P7*'Allocation %'!AD7</f>
        <v>0</v>
      </c>
      <c r="AK7" s="15">
        <f>$P7*'Allocation %'!AE7</f>
        <v>0</v>
      </c>
      <c r="AL7" s="15">
        <f>$P7*'Allocation %'!AF7</f>
        <v>0</v>
      </c>
      <c r="AM7" s="15">
        <f>$P7*'Allocation %'!AG7</f>
        <v>0</v>
      </c>
      <c r="AN7" s="15">
        <f>$P7*'Allocation %'!AH7</f>
        <v>0</v>
      </c>
      <c r="AO7" s="89">
        <f t="shared" si="2"/>
        <v>0</v>
      </c>
      <c r="AP7" s="19">
        <f t="shared" si="4"/>
        <v>0</v>
      </c>
    </row>
    <row r="8" spans="1:44" s="16" customFormat="1" ht="10.5" x14ac:dyDescent="0.25">
      <c r="A8" s="11">
        <f>Salary!A8</f>
        <v>5</v>
      </c>
      <c r="B8" s="17" t="str">
        <f>'Allocation %'!B8</f>
        <v>BRYANT, Roni</v>
      </c>
      <c r="C8" s="17">
        <v>5</v>
      </c>
      <c r="D8" s="17" t="str">
        <f>'Allocation %'!D8</f>
        <v>Abbott</v>
      </c>
      <c r="E8" s="17" t="str">
        <f>'Allocation %'!E8</f>
        <v>Teacher Asst</v>
      </c>
      <c r="F8" s="18">
        <v>1347.23</v>
      </c>
      <c r="G8" s="18">
        <f>F8*$G$3</f>
        <v>35027.980000000003</v>
      </c>
      <c r="H8" s="18"/>
      <c r="I8" s="18">
        <f t="shared" si="1"/>
        <v>35027.980000000003</v>
      </c>
      <c r="J8" s="18"/>
      <c r="K8" s="18"/>
      <c r="L8" s="18"/>
      <c r="M8" s="18"/>
      <c r="N8" s="18"/>
      <c r="O8" s="18"/>
      <c r="P8" s="18">
        <f t="shared" si="3"/>
        <v>0</v>
      </c>
      <c r="Q8" s="15">
        <f>$P8*'Allocation %'!J8</f>
        <v>0</v>
      </c>
      <c r="R8" s="15">
        <f>$P8*'Allocation %'!K8</f>
        <v>0</v>
      </c>
      <c r="S8" s="15">
        <f>$P8*'Allocation %'!M8</f>
        <v>0</v>
      </c>
      <c r="T8" s="15">
        <f>$P8*'Allocation %'!N8</f>
        <v>0</v>
      </c>
      <c r="U8" s="15">
        <f>$P8*'Allocation %'!O8</f>
        <v>0</v>
      </c>
      <c r="V8" s="15">
        <f>$P8*'Allocation %'!P8</f>
        <v>0</v>
      </c>
      <c r="W8" s="15">
        <f>$P8*'Allocation %'!Q8</f>
        <v>0</v>
      </c>
      <c r="X8" s="15">
        <f>$P8*'Allocation %'!R8</f>
        <v>0</v>
      </c>
      <c r="Y8" s="15">
        <f>$P8*'Allocation %'!S8</f>
        <v>0</v>
      </c>
      <c r="Z8" s="15">
        <f>$P8*'Allocation %'!T8</f>
        <v>0</v>
      </c>
      <c r="AA8" s="15">
        <f>$P8*'Allocation %'!U8</f>
        <v>0</v>
      </c>
      <c r="AB8" s="15">
        <f>$P8*'Allocation %'!V8</f>
        <v>0</v>
      </c>
      <c r="AC8" s="15">
        <f>$P8*'Allocation %'!W8</f>
        <v>0</v>
      </c>
      <c r="AD8" s="15">
        <f>$P8*'Allocation %'!X8</f>
        <v>0</v>
      </c>
      <c r="AE8" s="15">
        <f>$P8*'Allocation %'!Y8</f>
        <v>0</v>
      </c>
      <c r="AF8" s="15">
        <f>$P8*'Allocation %'!Z8</f>
        <v>0</v>
      </c>
      <c r="AG8" s="15">
        <f>$P8*'Allocation %'!AA8</f>
        <v>0</v>
      </c>
      <c r="AH8" s="15">
        <f>$P8*'Allocation %'!AB8</f>
        <v>0</v>
      </c>
      <c r="AI8" s="15">
        <f>$P8*'Allocation %'!AC8</f>
        <v>0</v>
      </c>
      <c r="AJ8" s="15">
        <f>$P8*'Allocation %'!AD8</f>
        <v>0</v>
      </c>
      <c r="AK8" s="15">
        <f>$P8*'Allocation %'!AE8</f>
        <v>0</v>
      </c>
      <c r="AL8" s="15">
        <f>$P8*'Allocation %'!AF8</f>
        <v>0</v>
      </c>
      <c r="AM8" s="15">
        <f>$P8*'Allocation %'!AG8</f>
        <v>0</v>
      </c>
      <c r="AN8" s="15">
        <f>$P8*'Allocation %'!AH8</f>
        <v>0</v>
      </c>
      <c r="AO8" s="89">
        <f t="shared" si="2"/>
        <v>0</v>
      </c>
      <c r="AP8" s="19">
        <f t="shared" si="4"/>
        <v>0</v>
      </c>
    </row>
    <row r="9" spans="1:44" s="16" customFormat="1" ht="10.5" x14ac:dyDescent="0.25">
      <c r="A9" s="11">
        <f>Salary!A9</f>
        <v>6</v>
      </c>
      <c r="B9" s="17" t="str">
        <f>'Allocation %'!B9</f>
        <v>CERNA, Irene</v>
      </c>
      <c r="C9" s="17">
        <v>6</v>
      </c>
      <c r="D9" s="17" t="str">
        <f>'Allocation %'!D9</f>
        <v>USJP</v>
      </c>
      <c r="E9" s="17">
        <f>'Allocation %'!E9</f>
        <v>0</v>
      </c>
      <c r="F9" s="18">
        <v>1153.8499999999999</v>
      </c>
      <c r="G9" s="18">
        <f t="shared" si="0"/>
        <v>30000.1</v>
      </c>
      <c r="H9" s="18"/>
      <c r="I9" s="18">
        <f t="shared" si="1"/>
        <v>30000.1</v>
      </c>
      <c r="J9" s="18">
        <v>3.28</v>
      </c>
      <c r="K9" s="18">
        <v>3.28</v>
      </c>
      <c r="L9" s="18"/>
      <c r="M9" s="18"/>
      <c r="N9" s="18"/>
      <c r="O9" s="18"/>
      <c r="P9" s="18">
        <f t="shared" si="3"/>
        <v>6.56</v>
      </c>
      <c r="Q9" s="15">
        <f>$P9*'Allocation %'!J9</f>
        <v>0</v>
      </c>
      <c r="R9" s="15">
        <f>$P9*'Allocation %'!K9</f>
        <v>0</v>
      </c>
      <c r="S9" s="15">
        <f>$P9*'Allocation %'!M9</f>
        <v>0</v>
      </c>
      <c r="T9" s="15">
        <f>$P9*'Allocation %'!N9</f>
        <v>6.56</v>
      </c>
      <c r="U9" s="15">
        <f>$P9*'Allocation %'!O9</f>
        <v>0</v>
      </c>
      <c r="V9" s="15">
        <f>$P9*'Allocation %'!P9</f>
        <v>0</v>
      </c>
      <c r="W9" s="15">
        <f>$P9*'Allocation %'!Q9</f>
        <v>0</v>
      </c>
      <c r="X9" s="15">
        <f>$P9*'Allocation %'!R9</f>
        <v>0</v>
      </c>
      <c r="Y9" s="15">
        <f>$P9*'Allocation %'!S9</f>
        <v>0</v>
      </c>
      <c r="Z9" s="15">
        <f>$P9*'Allocation %'!T9</f>
        <v>0</v>
      </c>
      <c r="AA9" s="15">
        <f>$P9*'Allocation %'!U9</f>
        <v>0</v>
      </c>
      <c r="AB9" s="15">
        <f>$P9*'Allocation %'!V9</f>
        <v>0</v>
      </c>
      <c r="AC9" s="15">
        <f>$P9*'Allocation %'!W9</f>
        <v>0</v>
      </c>
      <c r="AD9" s="15">
        <f>$P9*'Allocation %'!X9</f>
        <v>0</v>
      </c>
      <c r="AE9" s="15">
        <f>$P9*'Allocation %'!Y9</f>
        <v>0</v>
      </c>
      <c r="AF9" s="15">
        <f>$P9*'Allocation %'!Z9</f>
        <v>0</v>
      </c>
      <c r="AG9" s="15">
        <f>$P9*'Allocation %'!AA9</f>
        <v>0</v>
      </c>
      <c r="AH9" s="15">
        <f>$P9*'Allocation %'!AB9</f>
        <v>0</v>
      </c>
      <c r="AI9" s="15">
        <f>$P9*'Allocation %'!AC9</f>
        <v>0</v>
      </c>
      <c r="AJ9" s="15">
        <f>$P9*'Allocation %'!AD9</f>
        <v>0</v>
      </c>
      <c r="AK9" s="15">
        <f>$P9*'Allocation %'!AE9</f>
        <v>0</v>
      </c>
      <c r="AL9" s="15">
        <f>$P9*'Allocation %'!AF9</f>
        <v>0</v>
      </c>
      <c r="AM9" s="15">
        <f>$P9*'Allocation %'!AG9</f>
        <v>0</v>
      </c>
      <c r="AN9" s="15">
        <f>$P9*'Allocation %'!AH9</f>
        <v>0</v>
      </c>
      <c r="AO9" s="89">
        <f t="shared" si="2"/>
        <v>6.56</v>
      </c>
      <c r="AP9" s="19">
        <f t="shared" si="4"/>
        <v>0</v>
      </c>
    </row>
    <row r="10" spans="1:44" s="16" customFormat="1" ht="10.5" x14ac:dyDescent="0.25">
      <c r="A10" s="11">
        <f>Salary!A10</f>
        <v>7</v>
      </c>
      <c r="B10" s="17" t="str">
        <f>'Allocation %'!B10</f>
        <v>Cooper, Cassandra</v>
      </c>
      <c r="C10" s="17">
        <v>7</v>
      </c>
      <c r="D10" s="17" t="str">
        <f>'Allocation %'!D10</f>
        <v>FOC</v>
      </c>
      <c r="E10" s="17" t="str">
        <f>'Allocation %'!E10</f>
        <v>Clerical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5">
        <f>$P10*'Allocation %'!J10</f>
        <v>0</v>
      </c>
      <c r="R10" s="15">
        <f>$P10*'Allocation %'!K10</f>
        <v>0</v>
      </c>
      <c r="S10" s="15">
        <f>$P10*'Allocation %'!M10</f>
        <v>0</v>
      </c>
      <c r="T10" s="15">
        <f>$P10*'Allocation %'!N10</f>
        <v>0</v>
      </c>
      <c r="U10" s="15">
        <f>$P10*'Allocation %'!O10</f>
        <v>0</v>
      </c>
      <c r="V10" s="15">
        <f>$P10*'Allocation %'!P10</f>
        <v>0</v>
      </c>
      <c r="W10" s="15">
        <f>$P10*'Allocation %'!Q10</f>
        <v>0</v>
      </c>
      <c r="X10" s="15">
        <f>$P10*'Allocation %'!R10</f>
        <v>0</v>
      </c>
      <c r="Y10" s="15">
        <f>$P10*'Allocation %'!S10</f>
        <v>0</v>
      </c>
      <c r="Z10" s="15">
        <f>$P10*'Allocation %'!T10</f>
        <v>0</v>
      </c>
      <c r="AA10" s="15">
        <f>$P10*'Allocation %'!U10</f>
        <v>0</v>
      </c>
      <c r="AB10" s="15">
        <f>$P10*'Allocation %'!V10</f>
        <v>0</v>
      </c>
      <c r="AC10" s="15">
        <f>$P10*'Allocation %'!W10</f>
        <v>0</v>
      </c>
      <c r="AD10" s="15">
        <f>$P10*'Allocation %'!X10</f>
        <v>0</v>
      </c>
      <c r="AE10" s="15">
        <f>$P10*'Allocation %'!Y10</f>
        <v>0</v>
      </c>
      <c r="AF10" s="15">
        <f>$P10*'Allocation %'!Z10</f>
        <v>0</v>
      </c>
      <c r="AG10" s="15">
        <f>$P10*'Allocation %'!AA10</f>
        <v>0</v>
      </c>
      <c r="AH10" s="15">
        <f>$P10*'Allocation %'!AB10</f>
        <v>0</v>
      </c>
      <c r="AI10" s="15">
        <f>$P10*'Allocation %'!AC10</f>
        <v>0</v>
      </c>
      <c r="AJ10" s="15">
        <f>$P10*'Allocation %'!AD10</f>
        <v>0</v>
      </c>
      <c r="AK10" s="15">
        <f>$P10*'Allocation %'!AE10</f>
        <v>0</v>
      </c>
      <c r="AL10" s="15">
        <f>$P10*'Allocation %'!AF10</f>
        <v>0</v>
      </c>
      <c r="AM10" s="15">
        <f>$P10*'Allocation %'!AG10</f>
        <v>0</v>
      </c>
      <c r="AN10" s="15">
        <f>$P10*'Allocation %'!AH10</f>
        <v>0</v>
      </c>
      <c r="AO10" s="89">
        <f t="shared" si="2"/>
        <v>0</v>
      </c>
      <c r="AP10" s="19">
        <f t="shared" si="4"/>
        <v>0</v>
      </c>
    </row>
    <row r="11" spans="1:44" s="16" customFormat="1" ht="10.5" x14ac:dyDescent="0.25">
      <c r="A11" s="11">
        <f>Salary!A11</f>
        <v>8</v>
      </c>
      <c r="B11" s="17" t="str">
        <f>'Allocation %'!B11</f>
        <v>DANCE-WILSON, Heather</v>
      </c>
      <c r="C11" s="17">
        <v>8</v>
      </c>
      <c r="D11" s="17" t="str">
        <f>'Allocation %'!D11</f>
        <v>Abbott</v>
      </c>
      <c r="E11" s="17" t="str">
        <f>'Allocation %'!E11</f>
        <v>Director</v>
      </c>
      <c r="F11" s="22">
        <v>2692.31</v>
      </c>
      <c r="G11" s="20">
        <f t="shared" si="0"/>
        <v>70000.06</v>
      </c>
      <c r="H11" s="18"/>
      <c r="I11" s="18">
        <f>SUM(G11:H11)</f>
        <v>70000.06</v>
      </c>
      <c r="J11" s="18">
        <v>5.94</v>
      </c>
      <c r="K11" s="18">
        <v>5.94</v>
      </c>
      <c r="L11" s="18"/>
      <c r="M11" s="18"/>
      <c r="N11" s="18"/>
      <c r="O11" s="18"/>
      <c r="P11" s="18">
        <f t="shared" si="3"/>
        <v>11.88</v>
      </c>
      <c r="Q11" s="15">
        <f>$P11*'Allocation %'!J11</f>
        <v>8.5535999999999994</v>
      </c>
      <c r="R11" s="15">
        <f>$P11*'Allocation %'!K11</f>
        <v>3.3264000000000005</v>
      </c>
      <c r="S11" s="15">
        <f>$P11*'Allocation %'!M11</f>
        <v>0</v>
      </c>
      <c r="T11" s="15">
        <f>$P11*'Allocation %'!N11</f>
        <v>0</v>
      </c>
      <c r="U11" s="15">
        <f>$P11*'Allocation %'!O11</f>
        <v>0</v>
      </c>
      <c r="V11" s="15">
        <f>$P11*'Allocation %'!P11</f>
        <v>0</v>
      </c>
      <c r="W11" s="15">
        <f>$P11*'Allocation %'!Q11</f>
        <v>0</v>
      </c>
      <c r="X11" s="15">
        <f>$P11*'Allocation %'!R11</f>
        <v>0</v>
      </c>
      <c r="Y11" s="15">
        <f>$P11*'Allocation %'!S11</f>
        <v>0</v>
      </c>
      <c r="Z11" s="15">
        <f>$P11*'Allocation %'!T11</f>
        <v>0</v>
      </c>
      <c r="AA11" s="15">
        <f>$P11*'Allocation %'!U11</f>
        <v>0</v>
      </c>
      <c r="AB11" s="15">
        <f>$P11*'Allocation %'!V11</f>
        <v>0</v>
      </c>
      <c r="AC11" s="15">
        <f>$P11*'Allocation %'!W11</f>
        <v>0</v>
      </c>
      <c r="AD11" s="15">
        <f>$P11*'Allocation %'!X11</f>
        <v>0</v>
      </c>
      <c r="AE11" s="15">
        <f>$P11*'Allocation %'!Y11</f>
        <v>0</v>
      </c>
      <c r="AF11" s="15">
        <f>$P11*'Allocation %'!Z11</f>
        <v>0</v>
      </c>
      <c r="AG11" s="15">
        <f>$P11*'Allocation %'!AA11</f>
        <v>0</v>
      </c>
      <c r="AH11" s="15">
        <f>$P11*'Allocation %'!AB11</f>
        <v>0</v>
      </c>
      <c r="AI11" s="15">
        <f>$P11*'Allocation %'!AC11</f>
        <v>0</v>
      </c>
      <c r="AJ11" s="15">
        <f>$P11*'Allocation %'!AD11</f>
        <v>0</v>
      </c>
      <c r="AK11" s="15">
        <f>$P11*'Allocation %'!AE11</f>
        <v>0</v>
      </c>
      <c r="AL11" s="15">
        <f>$P11*'Allocation %'!AF11</f>
        <v>0</v>
      </c>
      <c r="AM11" s="15">
        <f>$P11*'Allocation %'!AG11</f>
        <v>0</v>
      </c>
      <c r="AN11" s="15">
        <f>$P11*'Allocation %'!AH11</f>
        <v>0</v>
      </c>
      <c r="AO11" s="89">
        <f t="shared" si="2"/>
        <v>11.879999999999999</v>
      </c>
      <c r="AP11" s="19">
        <f t="shared" si="4"/>
        <v>0</v>
      </c>
    </row>
    <row r="12" spans="1:44" s="16" customFormat="1" ht="10.5" x14ac:dyDescent="0.25">
      <c r="A12" s="11">
        <f>Salary!A12</f>
        <v>9</v>
      </c>
      <c r="B12" s="17" t="str">
        <f>'Allocation %'!B12</f>
        <v>FITZPATRICK, Cynthia E.  - Toddlers</v>
      </c>
      <c r="C12" s="17">
        <v>9</v>
      </c>
      <c r="D12" s="17" t="str">
        <f>'Allocation %'!D12</f>
        <v>EHS/ Toddlers</v>
      </c>
      <c r="E12" s="17">
        <f>'Allocation %'!E12</f>
        <v>0</v>
      </c>
      <c r="F12" s="18">
        <v>969.96</v>
      </c>
      <c r="G12" s="20">
        <f t="shared" si="0"/>
        <v>25218.959999999999</v>
      </c>
      <c r="H12" s="18"/>
      <c r="I12" s="18">
        <f>SUM(G12:H12)</f>
        <v>25218.959999999999</v>
      </c>
      <c r="J12" s="18">
        <v>3.28</v>
      </c>
      <c r="K12" s="18">
        <v>3.28</v>
      </c>
      <c r="L12" s="18"/>
      <c r="M12" s="18"/>
      <c r="N12" s="18"/>
      <c r="O12" s="18"/>
      <c r="P12" s="18">
        <f t="shared" si="3"/>
        <v>6.56</v>
      </c>
      <c r="Q12" s="15">
        <f>$P12*'Allocation %'!J12</f>
        <v>0</v>
      </c>
      <c r="R12" s="15">
        <f>$P12*'Allocation %'!K12</f>
        <v>0</v>
      </c>
      <c r="S12" s="15">
        <f>$P12*'Allocation %'!M12</f>
        <v>6.56</v>
      </c>
      <c r="T12" s="15">
        <f>$P12*'Allocation %'!N12</f>
        <v>0</v>
      </c>
      <c r="U12" s="15">
        <f>$P12*'Allocation %'!O12</f>
        <v>0</v>
      </c>
      <c r="V12" s="15">
        <f>$P12*'Allocation %'!P12</f>
        <v>0</v>
      </c>
      <c r="W12" s="15">
        <f>$P12*'Allocation %'!Q12</f>
        <v>0</v>
      </c>
      <c r="X12" s="15">
        <f>$P12*'Allocation %'!R12</f>
        <v>0</v>
      </c>
      <c r="Y12" s="15">
        <f>$P12*'Allocation %'!S12</f>
        <v>0</v>
      </c>
      <c r="Z12" s="15">
        <f>$P12*'Allocation %'!T12</f>
        <v>0</v>
      </c>
      <c r="AA12" s="15">
        <f>$P12*'Allocation %'!U12</f>
        <v>0</v>
      </c>
      <c r="AB12" s="15">
        <f>$P12*'Allocation %'!V12</f>
        <v>0</v>
      </c>
      <c r="AC12" s="15">
        <f>$P12*'Allocation %'!W12</f>
        <v>0</v>
      </c>
      <c r="AD12" s="15">
        <f>$P12*'Allocation %'!X12</f>
        <v>0</v>
      </c>
      <c r="AE12" s="15">
        <f>$P12*'Allocation %'!Y12</f>
        <v>0</v>
      </c>
      <c r="AF12" s="15">
        <f>$P12*'Allocation %'!Z12</f>
        <v>0</v>
      </c>
      <c r="AG12" s="15">
        <f>$P12*'Allocation %'!AA12</f>
        <v>0</v>
      </c>
      <c r="AH12" s="15">
        <f>$P12*'Allocation %'!AB12</f>
        <v>0</v>
      </c>
      <c r="AI12" s="15">
        <f>$P12*'Allocation %'!AC12</f>
        <v>0</v>
      </c>
      <c r="AJ12" s="15">
        <f>$P12*'Allocation %'!AD12</f>
        <v>0</v>
      </c>
      <c r="AK12" s="15">
        <f>$P12*'Allocation %'!AE12</f>
        <v>0</v>
      </c>
      <c r="AL12" s="15">
        <f>$P12*'Allocation %'!AF12</f>
        <v>0</v>
      </c>
      <c r="AM12" s="15">
        <f>$P12*'Allocation %'!AG12</f>
        <v>0</v>
      </c>
      <c r="AN12" s="15">
        <f>$P12*'Allocation %'!AH12</f>
        <v>0</v>
      </c>
      <c r="AO12" s="89">
        <f t="shared" si="2"/>
        <v>6.56</v>
      </c>
      <c r="AP12" s="19">
        <f t="shared" si="4"/>
        <v>0</v>
      </c>
    </row>
    <row r="13" spans="1:44" s="16" customFormat="1" ht="10.5" x14ac:dyDescent="0.25">
      <c r="A13" s="11">
        <f>Salary!A13</f>
        <v>10</v>
      </c>
      <c r="B13" s="17" t="str">
        <f>'Allocation %'!B13</f>
        <v>FRASER, Vivian Cox</v>
      </c>
      <c r="C13" s="17">
        <v>10</v>
      </c>
      <c r="D13" s="17" t="str">
        <f>'Allocation %'!D13</f>
        <v>Admin</v>
      </c>
      <c r="E13" s="17">
        <f>'Allocation %'!E13</f>
        <v>0</v>
      </c>
      <c r="F13" s="18">
        <v>5961.54</v>
      </c>
      <c r="G13" s="18">
        <f t="shared" si="0"/>
        <v>155000.04</v>
      </c>
      <c r="H13" s="18"/>
      <c r="I13" s="18">
        <f>SUM(G13:H13)</f>
        <v>155000.04</v>
      </c>
      <c r="J13" s="18">
        <v>14.35</v>
      </c>
      <c r="K13" s="18">
        <v>14.35</v>
      </c>
      <c r="L13" s="18"/>
      <c r="M13" s="18"/>
      <c r="N13" s="18"/>
      <c r="O13" s="18"/>
      <c r="P13" s="18">
        <f t="shared" si="3"/>
        <v>28.7</v>
      </c>
      <c r="Q13" s="15">
        <f>$P13*'Allocation %'!J13</f>
        <v>0</v>
      </c>
      <c r="R13" s="15">
        <f>$P13*'Allocation %'!K13</f>
        <v>0</v>
      </c>
      <c r="S13" s="15">
        <f>$P13*'Allocation %'!M13</f>
        <v>0</v>
      </c>
      <c r="T13" s="15">
        <f>$P13*'Allocation %'!N13</f>
        <v>0</v>
      </c>
      <c r="U13" s="15">
        <f>$P13*'Allocation %'!O13</f>
        <v>0</v>
      </c>
      <c r="V13" s="15">
        <f>$P13*'Allocation %'!P13</f>
        <v>0</v>
      </c>
      <c r="W13" s="15">
        <f>$P13*'Allocation %'!Q13</f>
        <v>0</v>
      </c>
      <c r="X13" s="15">
        <f>$P13*'Allocation %'!R13</f>
        <v>0</v>
      </c>
      <c r="Y13" s="15">
        <f>$P13*'Allocation %'!S13</f>
        <v>0</v>
      </c>
      <c r="Z13" s="15">
        <f>$P13*'Allocation %'!T13</f>
        <v>0</v>
      </c>
      <c r="AA13" s="15">
        <f>$P13*'Allocation %'!U13</f>
        <v>0</v>
      </c>
      <c r="AB13" s="15">
        <f>$P13*'Allocation %'!V13</f>
        <v>0</v>
      </c>
      <c r="AC13" s="15">
        <f>$P13*'Allocation %'!W13</f>
        <v>0</v>
      </c>
      <c r="AD13" s="15">
        <f>$P13*'Allocation %'!X13</f>
        <v>0</v>
      </c>
      <c r="AE13" s="15">
        <f>$P13*'Allocation %'!Y13</f>
        <v>0</v>
      </c>
      <c r="AF13" s="15">
        <f>$P13*'Allocation %'!Z13</f>
        <v>0</v>
      </c>
      <c r="AG13" s="15">
        <f>$P13*'Allocation %'!AA13</f>
        <v>0</v>
      </c>
      <c r="AH13" s="15">
        <f>$P13*'Allocation %'!AB13</f>
        <v>0</v>
      </c>
      <c r="AI13" s="15">
        <f>$P13*'Allocation %'!AC13</f>
        <v>0</v>
      </c>
      <c r="AJ13" s="15">
        <f>$P13*'Allocation %'!AD13</f>
        <v>25.83</v>
      </c>
      <c r="AK13" s="15">
        <f>$P13*'Allocation %'!AE13</f>
        <v>0</v>
      </c>
      <c r="AL13" s="15">
        <f>$P13*'Allocation %'!AF13</f>
        <v>2.87</v>
      </c>
      <c r="AM13" s="15">
        <f>$P13*'Allocation %'!AG13</f>
        <v>0</v>
      </c>
      <c r="AN13" s="15">
        <f>$P13*'Allocation %'!AH13</f>
        <v>0</v>
      </c>
      <c r="AO13" s="89">
        <f t="shared" si="2"/>
        <v>28.7</v>
      </c>
      <c r="AP13" s="19">
        <f t="shared" si="4"/>
        <v>0</v>
      </c>
    </row>
    <row r="14" spans="1:44" s="16" customFormat="1" ht="10.5" x14ac:dyDescent="0.25">
      <c r="A14" s="11">
        <f>Salary!A14</f>
        <v>11</v>
      </c>
      <c r="B14" s="17" t="str">
        <f>'Allocation %'!B14</f>
        <v xml:space="preserve">FRAZIER, Alice </v>
      </c>
      <c r="C14" s="17">
        <v>11</v>
      </c>
      <c r="D14" s="17" t="str">
        <f>'Allocation %'!D14</f>
        <v>Workforce</v>
      </c>
      <c r="E14" s="17">
        <f>'Allocation %'!E14</f>
        <v>0</v>
      </c>
      <c r="F14" s="18">
        <v>3153.85</v>
      </c>
      <c r="G14" s="18">
        <f t="shared" si="0"/>
        <v>82000.099999999991</v>
      </c>
      <c r="H14" s="18"/>
      <c r="I14" s="18">
        <f t="shared" ref="I14:I16" si="5">SUM(G14:H14)</f>
        <v>82000.099999999991</v>
      </c>
      <c r="J14" s="18"/>
      <c r="K14" s="18"/>
      <c r="L14" s="18"/>
      <c r="M14" s="18"/>
      <c r="N14" s="18"/>
      <c r="O14" s="18"/>
      <c r="P14" s="18">
        <f t="shared" si="3"/>
        <v>0</v>
      </c>
      <c r="Q14" s="15">
        <f>$P14*'Allocation %'!J14</f>
        <v>0</v>
      </c>
      <c r="R14" s="15">
        <f>$P14*'Allocation %'!K14</f>
        <v>0</v>
      </c>
      <c r="S14" s="15">
        <f>$P14*'Allocation %'!M14</f>
        <v>0</v>
      </c>
      <c r="T14" s="15">
        <f>$P14*'Allocation %'!N14</f>
        <v>0</v>
      </c>
      <c r="U14" s="15">
        <f>$P14*'Allocation %'!O14</f>
        <v>0</v>
      </c>
      <c r="V14" s="15">
        <f>$P14*'Allocation %'!P14</f>
        <v>0</v>
      </c>
      <c r="W14" s="15">
        <f>$P14*'Allocation %'!Q14</f>
        <v>0</v>
      </c>
      <c r="X14" s="15">
        <f>$P14*'Allocation %'!R14</f>
        <v>0</v>
      </c>
      <c r="Y14" s="15">
        <f>$P14*'Allocation %'!S14</f>
        <v>0</v>
      </c>
      <c r="Z14" s="15">
        <f>$P14*'Allocation %'!T14</f>
        <v>0</v>
      </c>
      <c r="AA14" s="15">
        <f>$P14*'Allocation %'!U14</f>
        <v>0</v>
      </c>
      <c r="AB14" s="15">
        <f>$P14*'Allocation %'!V14</f>
        <v>0</v>
      </c>
      <c r="AC14" s="15">
        <f>$P14*'Allocation %'!W14</f>
        <v>0</v>
      </c>
      <c r="AD14" s="15">
        <f>$P14*'Allocation %'!X14</f>
        <v>0</v>
      </c>
      <c r="AE14" s="15">
        <f>$P14*'Allocation %'!Y14</f>
        <v>0</v>
      </c>
      <c r="AF14" s="15">
        <f>$P14*'Allocation %'!Z14</f>
        <v>0</v>
      </c>
      <c r="AG14" s="15">
        <f>$P14*'Allocation %'!AA14</f>
        <v>0</v>
      </c>
      <c r="AH14" s="15">
        <f>$P14*'Allocation %'!AB14</f>
        <v>0</v>
      </c>
      <c r="AI14" s="15">
        <f>$P14*'Allocation %'!AC14</f>
        <v>0</v>
      </c>
      <c r="AJ14" s="15">
        <f>$P14*'Allocation %'!AD14</f>
        <v>0</v>
      </c>
      <c r="AK14" s="15">
        <f>$P14*'Allocation %'!AE14</f>
        <v>0</v>
      </c>
      <c r="AL14" s="15">
        <f>$P14*'Allocation %'!AF14</f>
        <v>0</v>
      </c>
      <c r="AM14" s="15">
        <f>$P14*'Allocation %'!AG14</f>
        <v>0</v>
      </c>
      <c r="AN14" s="15">
        <f>$P14*'Allocation %'!AH14</f>
        <v>0</v>
      </c>
      <c r="AO14" s="89">
        <f t="shared" si="2"/>
        <v>0</v>
      </c>
      <c r="AP14" s="19">
        <f t="shared" si="4"/>
        <v>0</v>
      </c>
    </row>
    <row r="15" spans="1:44" s="16" customFormat="1" ht="10.5" x14ac:dyDescent="0.25">
      <c r="A15" s="11">
        <f>Salary!A15</f>
        <v>12</v>
      </c>
      <c r="B15" s="17" t="str">
        <f>'Allocation %'!B15</f>
        <v xml:space="preserve">GREEN, Yolanda - </v>
      </c>
      <c r="C15" s="17">
        <v>12</v>
      </c>
      <c r="D15" s="17" t="str">
        <f>'Allocation %'!D15</f>
        <v>EHS/ Toddlers</v>
      </c>
      <c r="E15" s="17">
        <f>'Allocation %'!E15</f>
        <v>0</v>
      </c>
      <c r="F15" s="18">
        <v>1278.8800000000001</v>
      </c>
      <c r="G15" s="20">
        <f t="shared" si="0"/>
        <v>33250.880000000005</v>
      </c>
      <c r="H15" s="18"/>
      <c r="I15" s="18">
        <f t="shared" si="5"/>
        <v>33250.880000000005</v>
      </c>
      <c r="J15" s="18">
        <v>3.28</v>
      </c>
      <c r="K15" s="18">
        <v>3.28</v>
      </c>
      <c r="L15" s="18"/>
      <c r="M15" s="18"/>
      <c r="N15" s="18"/>
      <c r="O15" s="18"/>
      <c r="P15" s="18">
        <f t="shared" si="3"/>
        <v>6.56</v>
      </c>
      <c r="Q15" s="15">
        <f>$P15*'Allocation %'!J15</f>
        <v>0</v>
      </c>
      <c r="R15" s="15">
        <f>$P15*'Allocation %'!K15</f>
        <v>0</v>
      </c>
      <c r="S15" s="15">
        <f>$P15*'Allocation %'!M15</f>
        <v>6.56</v>
      </c>
      <c r="T15" s="15">
        <f>$P15*'Allocation %'!N15</f>
        <v>0</v>
      </c>
      <c r="U15" s="15">
        <f>$P15*'Allocation %'!O15</f>
        <v>0</v>
      </c>
      <c r="V15" s="15">
        <f>$P15*'Allocation %'!P15</f>
        <v>0</v>
      </c>
      <c r="W15" s="15">
        <f>$P15*'Allocation %'!Q15</f>
        <v>0</v>
      </c>
      <c r="X15" s="15">
        <f>$P15*'Allocation %'!R15</f>
        <v>0</v>
      </c>
      <c r="Y15" s="15">
        <f>$P15*'Allocation %'!S15</f>
        <v>0</v>
      </c>
      <c r="Z15" s="15">
        <f>$P15*'Allocation %'!T15</f>
        <v>0</v>
      </c>
      <c r="AA15" s="15">
        <f>$P15*'Allocation %'!U15</f>
        <v>0</v>
      </c>
      <c r="AB15" s="15">
        <f>$P15*'Allocation %'!V15</f>
        <v>0</v>
      </c>
      <c r="AC15" s="15">
        <f>$P15*'Allocation %'!W15</f>
        <v>0</v>
      </c>
      <c r="AD15" s="15">
        <f>$P15*'Allocation %'!X15</f>
        <v>0</v>
      </c>
      <c r="AE15" s="15">
        <f>$P15*'Allocation %'!Y15</f>
        <v>0</v>
      </c>
      <c r="AF15" s="15">
        <f>$P15*'Allocation %'!Z15</f>
        <v>0</v>
      </c>
      <c r="AG15" s="15">
        <f>$P15*'Allocation %'!AA15</f>
        <v>0</v>
      </c>
      <c r="AH15" s="15">
        <f>$P15*'Allocation %'!AB15</f>
        <v>0</v>
      </c>
      <c r="AI15" s="15">
        <f>$P15*'Allocation %'!AC15</f>
        <v>0</v>
      </c>
      <c r="AJ15" s="15">
        <f>$P15*'Allocation %'!AD15</f>
        <v>0</v>
      </c>
      <c r="AK15" s="15">
        <f>$P15*'Allocation %'!AE15</f>
        <v>0</v>
      </c>
      <c r="AL15" s="15">
        <f>$P15*'Allocation %'!AF15</f>
        <v>0</v>
      </c>
      <c r="AM15" s="15">
        <f>$P15*'Allocation %'!AG15</f>
        <v>0</v>
      </c>
      <c r="AN15" s="15">
        <f>$P15*'Allocation %'!AH15</f>
        <v>0</v>
      </c>
      <c r="AO15" s="89">
        <f t="shared" si="2"/>
        <v>6.56</v>
      </c>
      <c r="AP15" s="19">
        <f t="shared" si="4"/>
        <v>0</v>
      </c>
    </row>
    <row r="16" spans="1:44" s="16" customFormat="1" ht="10.5" x14ac:dyDescent="0.25">
      <c r="A16" s="11">
        <f>Salary!A16</f>
        <v>13</v>
      </c>
      <c r="B16" s="17" t="str">
        <f>'Allocation %'!B16</f>
        <v>Guerra, Karime</v>
      </c>
      <c r="C16" s="17">
        <v>13</v>
      </c>
      <c r="D16" s="17" t="str">
        <f>'Allocation %'!D16</f>
        <v>Housing</v>
      </c>
      <c r="E16" s="17">
        <f>'Allocation %'!E16</f>
        <v>0</v>
      </c>
      <c r="F16" s="18">
        <v>1788.47</v>
      </c>
      <c r="G16" s="18">
        <f t="shared" si="0"/>
        <v>46500.22</v>
      </c>
      <c r="H16" s="18"/>
      <c r="I16" s="18">
        <f t="shared" si="5"/>
        <v>46500.22</v>
      </c>
      <c r="J16" s="18"/>
      <c r="K16" s="18"/>
      <c r="L16" s="18"/>
      <c r="M16" s="18"/>
      <c r="N16" s="18"/>
      <c r="O16" s="18"/>
      <c r="P16" s="18">
        <f t="shared" si="3"/>
        <v>0</v>
      </c>
      <c r="Q16" s="15">
        <f>$P16*'Allocation %'!J16</f>
        <v>0</v>
      </c>
      <c r="R16" s="15">
        <f>$P16*'Allocation %'!K16</f>
        <v>0</v>
      </c>
      <c r="S16" s="15">
        <f>$P16*'Allocation %'!M16</f>
        <v>0</v>
      </c>
      <c r="T16" s="15">
        <f>$P16*'Allocation %'!N16</f>
        <v>0</v>
      </c>
      <c r="U16" s="15">
        <f>$P16*'Allocation %'!O16</f>
        <v>0</v>
      </c>
      <c r="V16" s="15">
        <f>$P16*'Allocation %'!P16</f>
        <v>0</v>
      </c>
      <c r="W16" s="15">
        <f>$P16*'Allocation %'!Q16</f>
        <v>0</v>
      </c>
      <c r="X16" s="15">
        <f>$P16*'Allocation %'!R16</f>
        <v>0</v>
      </c>
      <c r="Y16" s="15">
        <f>$P16*'Allocation %'!S16</f>
        <v>0</v>
      </c>
      <c r="Z16" s="15">
        <f>$P16*'Allocation %'!T16</f>
        <v>0</v>
      </c>
      <c r="AA16" s="15">
        <f>$P16*'Allocation %'!U16</f>
        <v>0</v>
      </c>
      <c r="AB16" s="15">
        <f>$P16*'Allocation %'!V16</f>
        <v>0</v>
      </c>
      <c r="AC16" s="15">
        <f>$P16*'Allocation %'!W16</f>
        <v>0</v>
      </c>
      <c r="AD16" s="15">
        <f>$P16*'Allocation %'!X16</f>
        <v>0</v>
      </c>
      <c r="AE16" s="15">
        <f>$P16*'Allocation %'!Y16</f>
        <v>0</v>
      </c>
      <c r="AF16" s="15">
        <f>$P16*'Allocation %'!Z16</f>
        <v>0</v>
      </c>
      <c r="AG16" s="15">
        <f>$P16*'Allocation %'!AA16</f>
        <v>0</v>
      </c>
      <c r="AH16" s="15">
        <f>$P16*'Allocation %'!AB16</f>
        <v>0</v>
      </c>
      <c r="AI16" s="15">
        <f>$P16*'Allocation %'!AC16</f>
        <v>0</v>
      </c>
      <c r="AJ16" s="15">
        <f>$P16*'Allocation %'!AD16</f>
        <v>0</v>
      </c>
      <c r="AK16" s="15">
        <f>$P16*'Allocation %'!AE16</f>
        <v>0</v>
      </c>
      <c r="AL16" s="15">
        <f>$P16*'Allocation %'!AF16</f>
        <v>0</v>
      </c>
      <c r="AM16" s="15">
        <f>$P16*'Allocation %'!AG16</f>
        <v>0</v>
      </c>
      <c r="AN16" s="15">
        <f>$P16*'Allocation %'!AH16</f>
        <v>0</v>
      </c>
      <c r="AO16" s="89">
        <f t="shared" si="2"/>
        <v>0</v>
      </c>
      <c r="AP16" s="19">
        <f t="shared" si="4"/>
        <v>0</v>
      </c>
    </row>
    <row r="17" spans="1:42" s="16" customFormat="1" ht="10.5" x14ac:dyDescent="0.25">
      <c r="A17" s="11">
        <f>Salary!A17</f>
        <v>14</v>
      </c>
      <c r="B17" s="17" t="str">
        <f>'Allocation %'!B17</f>
        <v xml:space="preserve">HIGGINS, Rosa M. </v>
      </c>
      <c r="C17" s="17">
        <v>14</v>
      </c>
      <c r="D17" s="17" t="str">
        <f>'Allocation %'!D17</f>
        <v>FOC</v>
      </c>
      <c r="E17" s="17">
        <f>'Allocation %'!E17</f>
        <v>0</v>
      </c>
      <c r="F17" s="22">
        <v>1538.46</v>
      </c>
      <c r="G17" s="22">
        <f t="shared" si="0"/>
        <v>39999.96</v>
      </c>
      <c r="H17" s="18"/>
      <c r="I17" s="22">
        <f>SUM(G17:H17)</f>
        <v>39999.96</v>
      </c>
      <c r="J17" s="18"/>
      <c r="K17" s="18"/>
      <c r="L17" s="22"/>
      <c r="M17" s="22"/>
      <c r="N17" s="22"/>
      <c r="O17" s="22"/>
      <c r="P17" s="18">
        <f t="shared" si="3"/>
        <v>0</v>
      </c>
      <c r="Q17" s="15">
        <f>$P17*'Allocation %'!J17</f>
        <v>0</v>
      </c>
      <c r="R17" s="15">
        <f>$P17*'Allocation %'!K17</f>
        <v>0</v>
      </c>
      <c r="S17" s="15">
        <f>$P17*'Allocation %'!M17</f>
        <v>0</v>
      </c>
      <c r="T17" s="15">
        <f>$P17*'Allocation %'!N17</f>
        <v>0</v>
      </c>
      <c r="U17" s="15">
        <f>$P17*'Allocation %'!O17</f>
        <v>0</v>
      </c>
      <c r="V17" s="15">
        <f>$P17*'Allocation %'!P17</f>
        <v>0</v>
      </c>
      <c r="W17" s="15">
        <f>$P17*'Allocation %'!Q17</f>
        <v>0</v>
      </c>
      <c r="X17" s="15">
        <f>$P17*'Allocation %'!R17</f>
        <v>0</v>
      </c>
      <c r="Y17" s="15">
        <f>$P17*'Allocation %'!S17</f>
        <v>0</v>
      </c>
      <c r="Z17" s="15">
        <f>$P17*'Allocation %'!T17</f>
        <v>0</v>
      </c>
      <c r="AA17" s="15">
        <f>$P17*'Allocation %'!U17</f>
        <v>0</v>
      </c>
      <c r="AB17" s="15">
        <f>$P17*'Allocation %'!V17</f>
        <v>0</v>
      </c>
      <c r="AC17" s="15">
        <f>$P17*'Allocation %'!W17</f>
        <v>0</v>
      </c>
      <c r="AD17" s="15">
        <f>$P17*'Allocation %'!X17</f>
        <v>0</v>
      </c>
      <c r="AE17" s="15">
        <f>$P17*'Allocation %'!Y17</f>
        <v>0</v>
      </c>
      <c r="AF17" s="15">
        <f>$P17*'Allocation %'!Z17</f>
        <v>0</v>
      </c>
      <c r="AG17" s="15">
        <f>$P17*'Allocation %'!AA17</f>
        <v>0</v>
      </c>
      <c r="AH17" s="15">
        <f>$P17*'Allocation %'!AB17</f>
        <v>0</v>
      </c>
      <c r="AI17" s="15">
        <f>$P17*'Allocation %'!AC17</f>
        <v>0</v>
      </c>
      <c r="AJ17" s="15">
        <f>$P17*'Allocation %'!AD17</f>
        <v>0</v>
      </c>
      <c r="AK17" s="15">
        <f>$P17*'Allocation %'!AE17</f>
        <v>0</v>
      </c>
      <c r="AL17" s="15">
        <f>$P17*'Allocation %'!AF17</f>
        <v>0</v>
      </c>
      <c r="AM17" s="15">
        <f>$P17*'Allocation %'!AG17</f>
        <v>0</v>
      </c>
      <c r="AN17" s="15">
        <f>$P17*'Allocation %'!AH17</f>
        <v>0</v>
      </c>
      <c r="AO17" s="89">
        <f t="shared" si="2"/>
        <v>0</v>
      </c>
      <c r="AP17" s="19">
        <f t="shared" si="4"/>
        <v>0</v>
      </c>
    </row>
    <row r="18" spans="1:42" s="16" customFormat="1" ht="10.5" x14ac:dyDescent="0.25">
      <c r="A18" s="11">
        <f>Salary!A18</f>
        <v>15</v>
      </c>
      <c r="B18" s="17" t="str">
        <f>'Allocation %'!B18</f>
        <v>HOLLINS, QUINTELLA</v>
      </c>
      <c r="C18" s="17">
        <v>15</v>
      </c>
      <c r="D18" s="17" t="str">
        <f>'Allocation %'!D18</f>
        <v>Abbott</v>
      </c>
      <c r="E18" s="17" t="str">
        <f>'Allocation %'!E18</f>
        <v xml:space="preserve">Teacher   </v>
      </c>
      <c r="F18" s="18">
        <v>2305.8200000000002</v>
      </c>
      <c r="G18" s="20">
        <f t="shared" si="0"/>
        <v>59951.320000000007</v>
      </c>
      <c r="H18" s="18"/>
      <c r="I18" s="18">
        <f>SUM(G18:H18)</f>
        <v>59951.320000000007</v>
      </c>
      <c r="J18" s="18"/>
      <c r="K18" s="18"/>
      <c r="L18" s="18"/>
      <c r="M18" s="18"/>
      <c r="N18" s="18"/>
      <c r="O18" s="18"/>
      <c r="P18" s="18">
        <f t="shared" si="3"/>
        <v>0</v>
      </c>
      <c r="Q18" s="15">
        <f>$P18*'Allocation %'!J18</f>
        <v>0</v>
      </c>
      <c r="R18" s="15">
        <f>$P18*'Allocation %'!K18</f>
        <v>0</v>
      </c>
      <c r="S18" s="15">
        <f>$P18*'Allocation %'!M18</f>
        <v>0</v>
      </c>
      <c r="T18" s="15">
        <f>$P18*'Allocation %'!N18</f>
        <v>0</v>
      </c>
      <c r="U18" s="15">
        <f>$P18*'Allocation %'!O18</f>
        <v>0</v>
      </c>
      <c r="V18" s="15">
        <f>$P18*'Allocation %'!P18</f>
        <v>0</v>
      </c>
      <c r="W18" s="15">
        <f>$P18*'Allocation %'!Q18</f>
        <v>0</v>
      </c>
      <c r="X18" s="15">
        <f>$P18*'Allocation %'!R18</f>
        <v>0</v>
      </c>
      <c r="Y18" s="15">
        <f>$P18*'Allocation %'!S18</f>
        <v>0</v>
      </c>
      <c r="Z18" s="15">
        <f>$P18*'Allocation %'!T18</f>
        <v>0</v>
      </c>
      <c r="AA18" s="15">
        <f>$P18*'Allocation %'!U18</f>
        <v>0</v>
      </c>
      <c r="AB18" s="15">
        <f>$P18*'Allocation %'!V18</f>
        <v>0</v>
      </c>
      <c r="AC18" s="15">
        <f>$P18*'Allocation %'!W18</f>
        <v>0</v>
      </c>
      <c r="AD18" s="15">
        <f>$P18*'Allocation %'!X18</f>
        <v>0</v>
      </c>
      <c r="AE18" s="15">
        <f>$P18*'Allocation %'!Y18</f>
        <v>0</v>
      </c>
      <c r="AF18" s="15">
        <f>$P18*'Allocation %'!Z18</f>
        <v>0</v>
      </c>
      <c r="AG18" s="15">
        <f>$P18*'Allocation %'!AA18</f>
        <v>0</v>
      </c>
      <c r="AH18" s="15">
        <f>$P18*'Allocation %'!AB18</f>
        <v>0</v>
      </c>
      <c r="AI18" s="15">
        <f>$P18*'Allocation %'!AC18</f>
        <v>0</v>
      </c>
      <c r="AJ18" s="15">
        <f>$P18*'Allocation %'!AD18</f>
        <v>0</v>
      </c>
      <c r="AK18" s="15">
        <f>$P18*'Allocation %'!AE18</f>
        <v>0</v>
      </c>
      <c r="AL18" s="15">
        <f>$P18*'Allocation %'!AF18</f>
        <v>0</v>
      </c>
      <c r="AM18" s="15">
        <f>$P18*'Allocation %'!AG18</f>
        <v>0</v>
      </c>
      <c r="AN18" s="15">
        <f>$P18*'Allocation %'!AH18</f>
        <v>0</v>
      </c>
      <c r="AO18" s="89">
        <f t="shared" si="2"/>
        <v>0</v>
      </c>
      <c r="AP18" s="19">
        <f t="shared" si="4"/>
        <v>0</v>
      </c>
    </row>
    <row r="19" spans="1:42" s="16" customFormat="1" ht="10.5" x14ac:dyDescent="0.25">
      <c r="A19" s="11">
        <f>Salary!A19</f>
        <v>16</v>
      </c>
      <c r="B19" s="17" t="str">
        <f>'Allocation %'!B19</f>
        <v>Howard, Theresa</v>
      </c>
      <c r="C19" s="17">
        <v>16</v>
      </c>
      <c r="D19" s="17" t="str">
        <f>'Allocation %'!D19</f>
        <v>United Airlines</v>
      </c>
      <c r="E19" s="17">
        <f>'Allocation %'!E19</f>
        <v>0</v>
      </c>
      <c r="F19" s="18">
        <v>2115.39</v>
      </c>
      <c r="G19" s="18">
        <f>F19*$G$3</f>
        <v>55000.14</v>
      </c>
      <c r="H19" s="18"/>
      <c r="I19" s="18">
        <f>SUM(G19:H19)</f>
        <v>55000.14</v>
      </c>
      <c r="J19" s="18">
        <v>3.28</v>
      </c>
      <c r="K19" s="18">
        <v>3.28</v>
      </c>
      <c r="L19" s="18"/>
      <c r="M19" s="18"/>
      <c r="N19" s="18"/>
      <c r="O19" s="18"/>
      <c r="P19" s="18">
        <f t="shared" si="3"/>
        <v>6.56</v>
      </c>
      <c r="Q19" s="15">
        <f>$P19*'Allocation %'!J19</f>
        <v>0</v>
      </c>
      <c r="R19" s="15">
        <f>$P19*'Allocation %'!K19</f>
        <v>0</v>
      </c>
      <c r="S19" s="15">
        <f>$P19*'Allocation %'!M19</f>
        <v>0</v>
      </c>
      <c r="T19" s="15">
        <f>$P19*'Allocation %'!N19</f>
        <v>0</v>
      </c>
      <c r="U19" s="15">
        <f>$P19*'Allocation %'!O19</f>
        <v>6.56</v>
      </c>
      <c r="V19" s="15">
        <f>$P19*'Allocation %'!P19</f>
        <v>0</v>
      </c>
      <c r="W19" s="15">
        <f>$P19*'Allocation %'!Q19</f>
        <v>0</v>
      </c>
      <c r="X19" s="15">
        <f>$P19*'Allocation %'!R19</f>
        <v>0</v>
      </c>
      <c r="Y19" s="15">
        <f>$P19*'Allocation %'!S19</f>
        <v>0</v>
      </c>
      <c r="Z19" s="15">
        <f>$P19*'Allocation %'!T19</f>
        <v>0</v>
      </c>
      <c r="AA19" s="15">
        <f>$P19*'Allocation %'!U19</f>
        <v>0</v>
      </c>
      <c r="AB19" s="15">
        <f>$P19*'Allocation %'!V19</f>
        <v>0</v>
      </c>
      <c r="AC19" s="15">
        <f>$P19*'Allocation %'!W19</f>
        <v>0</v>
      </c>
      <c r="AD19" s="15">
        <f>$P19*'Allocation %'!X19</f>
        <v>0</v>
      </c>
      <c r="AE19" s="15">
        <f>$P19*'Allocation %'!Y19</f>
        <v>0</v>
      </c>
      <c r="AF19" s="15">
        <f>$P19*'Allocation %'!Z19</f>
        <v>0</v>
      </c>
      <c r="AG19" s="15">
        <f>$P19*'Allocation %'!AA19</f>
        <v>0</v>
      </c>
      <c r="AH19" s="15">
        <f>$P19*'Allocation %'!AB19</f>
        <v>0</v>
      </c>
      <c r="AI19" s="15">
        <f>$P19*'Allocation %'!AC19</f>
        <v>0</v>
      </c>
      <c r="AJ19" s="15">
        <f>$P19*'Allocation %'!AD19</f>
        <v>0</v>
      </c>
      <c r="AK19" s="15">
        <f>$P19*'Allocation %'!AE19</f>
        <v>0</v>
      </c>
      <c r="AL19" s="15">
        <f>$P19*'Allocation %'!AF19</f>
        <v>0</v>
      </c>
      <c r="AM19" s="15">
        <f>$P19*'Allocation %'!AG19</f>
        <v>0</v>
      </c>
      <c r="AN19" s="15">
        <f>$P19*'Allocation %'!AH19</f>
        <v>0</v>
      </c>
      <c r="AO19" s="89">
        <f t="shared" si="2"/>
        <v>6.56</v>
      </c>
      <c r="AP19" s="19">
        <f t="shared" si="4"/>
        <v>0</v>
      </c>
    </row>
    <row r="20" spans="1:42" s="16" customFormat="1" ht="10.5" x14ac:dyDescent="0.25">
      <c r="A20" s="11">
        <f>Salary!A20</f>
        <v>17</v>
      </c>
      <c r="B20" s="17" t="str">
        <f>'Allocation %'!B20</f>
        <v>Johnson, Amanda</v>
      </c>
      <c r="C20" s="17">
        <v>17</v>
      </c>
      <c r="D20" s="17" t="str">
        <f>'Allocation %'!D20</f>
        <v>USJP</v>
      </c>
      <c r="E20" s="17">
        <f>'Allocation %'!E20</f>
        <v>0</v>
      </c>
      <c r="F20" s="18">
        <v>721</v>
      </c>
      <c r="G20" s="18">
        <f>F20*$G$3</f>
        <v>18746</v>
      </c>
      <c r="H20" s="18"/>
      <c r="I20" s="18">
        <f>SUM(G20:H20)</f>
        <v>18746</v>
      </c>
      <c r="J20" s="18"/>
      <c r="K20" s="18"/>
      <c r="L20" s="18"/>
      <c r="M20" s="18"/>
      <c r="N20" s="18"/>
      <c r="O20" s="18"/>
      <c r="P20" s="18">
        <f t="shared" si="3"/>
        <v>0</v>
      </c>
      <c r="Q20" s="15">
        <f>$P20*'Allocation %'!J20</f>
        <v>0</v>
      </c>
      <c r="R20" s="15">
        <f>$P20*'Allocation %'!K20</f>
        <v>0</v>
      </c>
      <c r="S20" s="15">
        <f>$P20*'Allocation %'!M20</f>
        <v>0</v>
      </c>
      <c r="T20" s="15">
        <f>$P20*'Allocation %'!N20</f>
        <v>0</v>
      </c>
      <c r="U20" s="15">
        <f>$P20*'Allocation %'!O20</f>
        <v>0</v>
      </c>
      <c r="V20" s="15">
        <f>$P20*'Allocation %'!P20</f>
        <v>0</v>
      </c>
      <c r="W20" s="15">
        <f>$P20*'Allocation %'!Q20</f>
        <v>0</v>
      </c>
      <c r="X20" s="15">
        <f>$P20*'Allocation %'!R20</f>
        <v>0</v>
      </c>
      <c r="Y20" s="15">
        <f>$P20*'Allocation %'!S20</f>
        <v>0</v>
      </c>
      <c r="Z20" s="15">
        <f>$P20*'Allocation %'!T20</f>
        <v>0</v>
      </c>
      <c r="AA20" s="15">
        <f>$P20*'Allocation %'!U20</f>
        <v>0</v>
      </c>
      <c r="AB20" s="15">
        <f>$P20*'Allocation %'!V20</f>
        <v>0</v>
      </c>
      <c r="AC20" s="15">
        <f>$P20*'Allocation %'!W20</f>
        <v>0</v>
      </c>
      <c r="AD20" s="15">
        <f>$P20*'Allocation %'!X20</f>
        <v>0</v>
      </c>
      <c r="AE20" s="15">
        <f>$P20*'Allocation %'!Y20</f>
        <v>0</v>
      </c>
      <c r="AF20" s="15">
        <f>$P20*'Allocation %'!Z20</f>
        <v>0</v>
      </c>
      <c r="AG20" s="15">
        <f>$P20*'Allocation %'!AA20</f>
        <v>0</v>
      </c>
      <c r="AH20" s="15">
        <f>$P20*'Allocation %'!AB20</f>
        <v>0</v>
      </c>
      <c r="AI20" s="15">
        <f>$P20*'Allocation %'!AC20</f>
        <v>0</v>
      </c>
      <c r="AJ20" s="15">
        <f>$P20*'Allocation %'!AD20</f>
        <v>0</v>
      </c>
      <c r="AK20" s="15">
        <f>$P20*'Allocation %'!AE20</f>
        <v>0</v>
      </c>
      <c r="AL20" s="15">
        <f>$P20*'Allocation %'!AF20</f>
        <v>0</v>
      </c>
      <c r="AM20" s="15">
        <f>$P20*'Allocation %'!AG20</f>
        <v>0</v>
      </c>
      <c r="AN20" s="15">
        <f>$P20*'Allocation %'!AH20</f>
        <v>0</v>
      </c>
      <c r="AO20" s="89">
        <f t="shared" si="2"/>
        <v>0</v>
      </c>
      <c r="AP20" s="19">
        <f t="shared" si="4"/>
        <v>0</v>
      </c>
    </row>
    <row r="21" spans="1:42" s="16" customFormat="1" ht="10.5" x14ac:dyDescent="0.25">
      <c r="A21" s="11">
        <f>Salary!A21</f>
        <v>18</v>
      </c>
      <c r="B21" s="17" t="str">
        <f>'Allocation %'!B21</f>
        <v>Leake, Rahmel</v>
      </c>
      <c r="C21" s="17">
        <v>18</v>
      </c>
      <c r="D21" s="17" t="str">
        <f>'Allocation %'!D21</f>
        <v>USJP</v>
      </c>
      <c r="E21" s="17">
        <f>'Allocation %'!E21</f>
        <v>0</v>
      </c>
      <c r="F21" s="18">
        <v>1538.47</v>
      </c>
      <c r="G21" s="18">
        <f>F21*$G$3</f>
        <v>40000.22</v>
      </c>
      <c r="H21" s="18"/>
      <c r="I21" s="18">
        <f>SUM(G21:H21)</f>
        <v>40000.22</v>
      </c>
      <c r="J21" s="18"/>
      <c r="K21" s="18"/>
      <c r="L21" s="18"/>
      <c r="M21" s="18"/>
      <c r="N21" s="18"/>
      <c r="O21" s="18"/>
      <c r="P21" s="18">
        <f t="shared" si="3"/>
        <v>0</v>
      </c>
      <c r="Q21" s="15">
        <f>$P21*'Allocation %'!J21</f>
        <v>0</v>
      </c>
      <c r="R21" s="15">
        <f>$P21*'Allocation %'!K21</f>
        <v>0</v>
      </c>
      <c r="S21" s="15">
        <f>$P21*'Allocation %'!M21</f>
        <v>0</v>
      </c>
      <c r="T21" s="15">
        <f>$P21*'Allocation %'!N21</f>
        <v>0</v>
      </c>
      <c r="U21" s="15">
        <f>$P21*'Allocation %'!O21</f>
        <v>0</v>
      </c>
      <c r="V21" s="15">
        <f>$P21*'Allocation %'!P21</f>
        <v>0</v>
      </c>
      <c r="W21" s="15">
        <f>$P21*'Allocation %'!Q21</f>
        <v>0</v>
      </c>
      <c r="X21" s="15">
        <f>$P21*'Allocation %'!R21</f>
        <v>0</v>
      </c>
      <c r="Y21" s="15">
        <f>$P21*'Allocation %'!S21</f>
        <v>0</v>
      </c>
      <c r="Z21" s="15">
        <f>$P21*'Allocation %'!T21</f>
        <v>0</v>
      </c>
      <c r="AA21" s="15">
        <f>$P21*'Allocation %'!U21</f>
        <v>0</v>
      </c>
      <c r="AB21" s="15">
        <f>$P21*'Allocation %'!V21</f>
        <v>0</v>
      </c>
      <c r="AC21" s="15">
        <f>$P21*'Allocation %'!W21</f>
        <v>0</v>
      </c>
      <c r="AD21" s="15">
        <f>$P21*'Allocation %'!X21</f>
        <v>0</v>
      </c>
      <c r="AE21" s="15">
        <f>$P21*'Allocation %'!Y21</f>
        <v>0</v>
      </c>
      <c r="AF21" s="15">
        <f>$P21*'Allocation %'!Z21</f>
        <v>0</v>
      </c>
      <c r="AG21" s="15">
        <f>$P21*'Allocation %'!AA21</f>
        <v>0</v>
      </c>
      <c r="AH21" s="15">
        <f>$P21*'Allocation %'!AB21</f>
        <v>0</v>
      </c>
      <c r="AI21" s="15">
        <f>$P21*'Allocation %'!AC21</f>
        <v>0</v>
      </c>
      <c r="AJ21" s="15">
        <f>$P21*'Allocation %'!AD21</f>
        <v>0</v>
      </c>
      <c r="AK21" s="15">
        <f>$P21*'Allocation %'!AE21</f>
        <v>0</v>
      </c>
      <c r="AL21" s="15">
        <f>$P21*'Allocation %'!AF21</f>
        <v>0</v>
      </c>
      <c r="AM21" s="15">
        <f>$P21*'Allocation %'!AG21</f>
        <v>0</v>
      </c>
      <c r="AN21" s="15">
        <f>$P21*'Allocation %'!AH21</f>
        <v>0</v>
      </c>
      <c r="AO21" s="89">
        <f t="shared" si="2"/>
        <v>0</v>
      </c>
      <c r="AP21" s="19">
        <f t="shared" si="4"/>
        <v>0</v>
      </c>
    </row>
    <row r="22" spans="1:42" s="16" customFormat="1" ht="10.5" x14ac:dyDescent="0.25">
      <c r="A22" s="11">
        <f>Salary!A22</f>
        <v>19</v>
      </c>
      <c r="B22" s="17" t="str">
        <f>'Allocation %'!B22</f>
        <v>Lindsey, Victoria - July</v>
      </c>
      <c r="C22" s="17">
        <v>19</v>
      </c>
      <c r="D22" s="17" t="str">
        <f>'Allocation %'!D22</f>
        <v>NRTC, Housing, PARS, ESG</v>
      </c>
      <c r="E22" s="17">
        <f>'Allocation %'!E22</f>
        <v>0</v>
      </c>
      <c r="F22" s="18">
        <v>2500</v>
      </c>
      <c r="G22" s="18">
        <f t="shared" ref="G22:G23" si="6">F22*$G$3</f>
        <v>65000</v>
      </c>
      <c r="H22" s="18"/>
      <c r="I22" s="18">
        <f t="shared" ref="I22:I30" si="7">SUM(G22:H22)</f>
        <v>65000</v>
      </c>
      <c r="J22" s="18">
        <v>3.28</v>
      </c>
      <c r="K22" s="18">
        <v>3.28</v>
      </c>
      <c r="L22" s="18"/>
      <c r="M22" s="18"/>
      <c r="N22" s="18"/>
      <c r="O22" s="18"/>
      <c r="P22" s="18">
        <f t="shared" si="3"/>
        <v>6.56</v>
      </c>
      <c r="Q22" s="15">
        <f>$P22*'Allocation %'!J22</f>
        <v>0</v>
      </c>
      <c r="R22" s="15">
        <f>$P22*'Allocation %'!K22</f>
        <v>0</v>
      </c>
      <c r="S22" s="15">
        <f>$P22*'Allocation %'!M22</f>
        <v>0</v>
      </c>
      <c r="T22" s="15">
        <f>$P22*'Allocation %'!N22</f>
        <v>0</v>
      </c>
      <c r="U22" s="15">
        <f>$P22*'Allocation %'!O22</f>
        <v>0</v>
      </c>
      <c r="V22" s="15">
        <f>$P22*'Allocation %'!P22</f>
        <v>0</v>
      </c>
      <c r="W22" s="15">
        <f>$P22*'Allocation %'!Q22</f>
        <v>0</v>
      </c>
      <c r="X22" s="15">
        <f>$P22*'Allocation %'!R22</f>
        <v>1.64</v>
      </c>
      <c r="Y22" s="15">
        <f>$P22*'Allocation %'!S22</f>
        <v>1.1807999999999998</v>
      </c>
      <c r="Z22" s="15">
        <f>$P22*'Allocation %'!T22</f>
        <v>0.4592</v>
      </c>
      <c r="AA22" s="15">
        <f>$P22*'Allocation %'!U22</f>
        <v>1.64</v>
      </c>
      <c r="AB22" s="15">
        <f>$P22*'Allocation %'!V22</f>
        <v>1.64</v>
      </c>
      <c r="AC22" s="15">
        <f>$P22*'Allocation %'!W22</f>
        <v>0</v>
      </c>
      <c r="AD22" s="15">
        <f>$P22*'Allocation %'!X22</f>
        <v>0</v>
      </c>
      <c r="AE22" s="15">
        <f>$P22*'Allocation %'!Y22</f>
        <v>0</v>
      </c>
      <c r="AF22" s="15">
        <f>$P22*'Allocation %'!Z22</f>
        <v>0</v>
      </c>
      <c r="AG22" s="15">
        <f>$P22*'Allocation %'!AA22</f>
        <v>0</v>
      </c>
      <c r="AH22" s="15">
        <f>$P22*'Allocation %'!AB22</f>
        <v>0</v>
      </c>
      <c r="AI22" s="15">
        <f>$P22*'Allocation %'!AC22</f>
        <v>0</v>
      </c>
      <c r="AJ22" s="15">
        <f>$P22*'Allocation %'!AD22</f>
        <v>0</v>
      </c>
      <c r="AK22" s="15">
        <f>$P22*'Allocation %'!AE22</f>
        <v>0</v>
      </c>
      <c r="AL22" s="15">
        <f>$P22*'Allocation %'!AF22</f>
        <v>0</v>
      </c>
      <c r="AM22" s="15">
        <f>$P22*'Allocation %'!AG22</f>
        <v>0</v>
      </c>
      <c r="AN22" s="15">
        <f>$P22*'Allocation %'!AH22</f>
        <v>0</v>
      </c>
      <c r="AO22" s="89">
        <f t="shared" si="2"/>
        <v>6.56</v>
      </c>
      <c r="AP22" s="19">
        <f t="shared" si="4"/>
        <v>0</v>
      </c>
    </row>
    <row r="23" spans="1:42" s="16" customFormat="1" ht="10.5" x14ac:dyDescent="0.25">
      <c r="A23" s="11">
        <f>Salary!A23</f>
        <v>20</v>
      </c>
      <c r="B23" s="17" t="str">
        <f>'Allocation %'!B23</f>
        <v>LOFTIN, NIQUITA</v>
      </c>
      <c r="C23" s="17">
        <v>20</v>
      </c>
      <c r="D23" s="17" t="str">
        <f>'Allocation %'!D23</f>
        <v>Abbott</v>
      </c>
      <c r="E23" s="17" t="str">
        <f>'Allocation %'!E23</f>
        <v>Teacher Asst</v>
      </c>
      <c r="F23" s="18">
        <v>1176</v>
      </c>
      <c r="G23" s="18">
        <f t="shared" si="6"/>
        <v>30576</v>
      </c>
      <c r="H23" s="18"/>
      <c r="I23" s="18">
        <f t="shared" si="7"/>
        <v>30576</v>
      </c>
      <c r="J23" s="18"/>
      <c r="K23" s="18"/>
      <c r="L23" s="18"/>
      <c r="M23" s="18"/>
      <c r="N23" s="18"/>
      <c r="O23" s="18"/>
      <c r="P23" s="18">
        <f t="shared" si="3"/>
        <v>0</v>
      </c>
      <c r="Q23" s="15">
        <f>$P23*'Allocation %'!J23</f>
        <v>0</v>
      </c>
      <c r="R23" s="15">
        <f>$P23*'Allocation %'!K23</f>
        <v>0</v>
      </c>
      <c r="S23" s="15">
        <f>$P23*'Allocation %'!M23</f>
        <v>0</v>
      </c>
      <c r="T23" s="15">
        <f>$P23*'Allocation %'!N23</f>
        <v>0</v>
      </c>
      <c r="U23" s="15">
        <f>$P23*'Allocation %'!O23</f>
        <v>0</v>
      </c>
      <c r="V23" s="15">
        <f>$P23*'Allocation %'!P23</f>
        <v>0</v>
      </c>
      <c r="W23" s="15">
        <f>$P23*'Allocation %'!Q23</f>
        <v>0</v>
      </c>
      <c r="X23" s="15">
        <f>$P23*'Allocation %'!R23</f>
        <v>0</v>
      </c>
      <c r="Y23" s="15">
        <f>$P23*'Allocation %'!S23</f>
        <v>0</v>
      </c>
      <c r="Z23" s="15">
        <f>$P23*'Allocation %'!T23</f>
        <v>0</v>
      </c>
      <c r="AA23" s="15">
        <f>$P23*'Allocation %'!U23</f>
        <v>0</v>
      </c>
      <c r="AB23" s="15">
        <f>$P23*'Allocation %'!V23</f>
        <v>0</v>
      </c>
      <c r="AC23" s="15">
        <f>$P23*'Allocation %'!W23</f>
        <v>0</v>
      </c>
      <c r="AD23" s="15">
        <f>$P23*'Allocation %'!X23</f>
        <v>0</v>
      </c>
      <c r="AE23" s="15">
        <f>$P23*'Allocation %'!Y23</f>
        <v>0</v>
      </c>
      <c r="AF23" s="15">
        <f>$P23*'Allocation %'!Z23</f>
        <v>0</v>
      </c>
      <c r="AG23" s="15">
        <f>$P23*'Allocation %'!AA23</f>
        <v>0</v>
      </c>
      <c r="AH23" s="15">
        <f>$P23*'Allocation %'!AB23</f>
        <v>0</v>
      </c>
      <c r="AI23" s="15">
        <f>$P23*'Allocation %'!AC23</f>
        <v>0</v>
      </c>
      <c r="AJ23" s="15">
        <f>$P23*'Allocation %'!AD23</f>
        <v>0</v>
      </c>
      <c r="AK23" s="15">
        <f>$P23*'Allocation %'!AE23</f>
        <v>0</v>
      </c>
      <c r="AL23" s="15">
        <f>$P23*'Allocation %'!AF23</f>
        <v>0</v>
      </c>
      <c r="AM23" s="15">
        <f>$P23*'Allocation %'!AG23</f>
        <v>0</v>
      </c>
      <c r="AN23" s="15">
        <f>$P23*'Allocation %'!AH23</f>
        <v>0</v>
      </c>
      <c r="AO23" s="89">
        <f t="shared" si="2"/>
        <v>0</v>
      </c>
      <c r="AP23" s="19">
        <f t="shared" si="4"/>
        <v>0</v>
      </c>
    </row>
    <row r="24" spans="1:42" s="16" customFormat="1" ht="10.5" x14ac:dyDescent="0.25">
      <c r="A24" s="11">
        <f>Salary!A24</f>
        <v>21</v>
      </c>
      <c r="B24" s="17" t="str">
        <f>'Allocation %'!B24</f>
        <v>Love, Charles</v>
      </c>
      <c r="C24" s="17">
        <v>21</v>
      </c>
      <c r="D24" s="17" t="str">
        <f>'Allocation %'!D24</f>
        <v>PACE</v>
      </c>
      <c r="E24" s="17">
        <f>'Allocation %'!E24</f>
        <v>0</v>
      </c>
      <c r="F24" s="18">
        <v>1200</v>
      </c>
      <c r="G24" s="18">
        <f>F24*$G$3</f>
        <v>31200</v>
      </c>
      <c r="H24" s="18"/>
      <c r="I24" s="18">
        <f t="shared" si="7"/>
        <v>31200</v>
      </c>
      <c r="J24" s="18"/>
      <c r="K24" s="18"/>
      <c r="L24" s="18"/>
      <c r="M24" s="18"/>
      <c r="N24" s="18"/>
      <c r="O24" s="18"/>
      <c r="P24" s="18">
        <f t="shared" si="3"/>
        <v>0</v>
      </c>
      <c r="Q24" s="15">
        <f>$P24*'Allocation %'!J24</f>
        <v>0</v>
      </c>
      <c r="R24" s="15">
        <f>$P24*'Allocation %'!K24</f>
        <v>0</v>
      </c>
      <c r="S24" s="15">
        <f>$P24*'Allocation %'!M24</f>
        <v>0</v>
      </c>
      <c r="T24" s="15">
        <f>$P24*'Allocation %'!N24</f>
        <v>0</v>
      </c>
      <c r="U24" s="15">
        <f>$P24*'Allocation %'!O24</f>
        <v>0</v>
      </c>
      <c r="V24" s="15">
        <f>$P24*'Allocation %'!P24</f>
        <v>0</v>
      </c>
      <c r="W24" s="15">
        <f>$P24*'Allocation %'!Q24</f>
        <v>0</v>
      </c>
      <c r="X24" s="15">
        <f>$P24*'Allocation %'!R24</f>
        <v>0</v>
      </c>
      <c r="Y24" s="15">
        <f>$P24*'Allocation %'!S24</f>
        <v>0</v>
      </c>
      <c r="Z24" s="15">
        <f>$P24*'Allocation %'!T24</f>
        <v>0</v>
      </c>
      <c r="AA24" s="15">
        <f>$P24*'Allocation %'!U24</f>
        <v>0</v>
      </c>
      <c r="AB24" s="15">
        <f>$P24*'Allocation %'!V24</f>
        <v>0</v>
      </c>
      <c r="AC24" s="15">
        <f>$P24*'Allocation %'!W24</f>
        <v>0</v>
      </c>
      <c r="AD24" s="15">
        <f>$P24*'Allocation %'!X24</f>
        <v>0</v>
      </c>
      <c r="AE24" s="15">
        <f>$P24*'Allocation %'!Y24</f>
        <v>0</v>
      </c>
      <c r="AF24" s="15">
        <f>$P24*'Allocation %'!Z24</f>
        <v>0</v>
      </c>
      <c r="AG24" s="15">
        <f>$P24*'Allocation %'!AA24</f>
        <v>0</v>
      </c>
      <c r="AH24" s="15">
        <f>$P24*'Allocation %'!AB24</f>
        <v>0</v>
      </c>
      <c r="AI24" s="15">
        <f>$P24*'Allocation %'!AC24</f>
        <v>0</v>
      </c>
      <c r="AJ24" s="15">
        <f>$P24*'Allocation %'!AD24</f>
        <v>0</v>
      </c>
      <c r="AK24" s="15">
        <f>$P24*'Allocation %'!AE24</f>
        <v>0</v>
      </c>
      <c r="AL24" s="15">
        <f>$P24*'Allocation %'!AF24</f>
        <v>0</v>
      </c>
      <c r="AM24" s="15">
        <f>$P24*'Allocation %'!AG24</f>
        <v>0</v>
      </c>
      <c r="AN24" s="15">
        <f>$P24*'Allocation %'!AH24</f>
        <v>0</v>
      </c>
      <c r="AO24" s="89">
        <f t="shared" si="2"/>
        <v>0</v>
      </c>
      <c r="AP24" s="19">
        <f t="shared" si="4"/>
        <v>0</v>
      </c>
    </row>
    <row r="25" spans="1:42" s="16" customFormat="1" ht="10.5" x14ac:dyDescent="0.25">
      <c r="A25" s="11">
        <f>Salary!A25</f>
        <v>22</v>
      </c>
      <c r="B25" s="17" t="str">
        <f>'Allocation %'!B25</f>
        <v>MARTINEZ, Joanna</v>
      </c>
      <c r="C25" s="17">
        <v>22</v>
      </c>
      <c r="D25" s="17" t="str">
        <f>'Allocation %'!D25</f>
        <v>USJP</v>
      </c>
      <c r="E25" s="17">
        <f>'Allocation %'!E25</f>
        <v>0</v>
      </c>
      <c r="F25" s="18">
        <v>1538.47</v>
      </c>
      <c r="G25" s="18">
        <f t="shared" si="0"/>
        <v>40000.22</v>
      </c>
      <c r="H25" s="18"/>
      <c r="I25" s="18">
        <f t="shared" si="7"/>
        <v>40000.22</v>
      </c>
      <c r="J25" s="18">
        <v>14.35</v>
      </c>
      <c r="K25" s="18">
        <v>14.35</v>
      </c>
      <c r="L25" s="18"/>
      <c r="M25" s="18"/>
      <c r="N25" s="18"/>
      <c r="O25" s="18"/>
      <c r="P25" s="18">
        <f t="shared" si="3"/>
        <v>28.7</v>
      </c>
      <c r="Q25" s="15">
        <f>$P25*'Allocation %'!J25</f>
        <v>0</v>
      </c>
      <c r="R25" s="15">
        <f>$P25*'Allocation %'!K25</f>
        <v>0</v>
      </c>
      <c r="S25" s="15">
        <f>$P25*'Allocation %'!M25</f>
        <v>0</v>
      </c>
      <c r="T25" s="15">
        <f>$P25*'Allocation %'!N25</f>
        <v>27.264999999999997</v>
      </c>
      <c r="U25" s="15">
        <f>$P25*'Allocation %'!O25</f>
        <v>0</v>
      </c>
      <c r="V25" s="15">
        <f>$P25*'Allocation %'!P25</f>
        <v>0</v>
      </c>
      <c r="W25" s="15">
        <f>$P25*'Allocation %'!Q25</f>
        <v>0</v>
      </c>
      <c r="X25" s="15">
        <f>$P25*'Allocation %'!R25</f>
        <v>0</v>
      </c>
      <c r="Y25" s="15">
        <f>$P25*'Allocation %'!S25</f>
        <v>0</v>
      </c>
      <c r="Z25" s="15">
        <f>$P25*'Allocation %'!T25</f>
        <v>0</v>
      </c>
      <c r="AA25" s="15">
        <f>$P25*'Allocation %'!U25</f>
        <v>0</v>
      </c>
      <c r="AB25" s="15">
        <f>$P25*'Allocation %'!V25</f>
        <v>0</v>
      </c>
      <c r="AC25" s="15">
        <f>$P25*'Allocation %'!W25</f>
        <v>0</v>
      </c>
      <c r="AD25" s="15">
        <f>$P25*'Allocation %'!X25</f>
        <v>0</v>
      </c>
      <c r="AE25" s="15">
        <f>$P25*'Allocation %'!Y25</f>
        <v>0</v>
      </c>
      <c r="AF25" s="15">
        <f>$P25*'Allocation %'!Z25</f>
        <v>0</v>
      </c>
      <c r="AG25" s="15">
        <f>$P25*'Allocation %'!AA25</f>
        <v>0</v>
      </c>
      <c r="AH25" s="15">
        <f>$P25*'Allocation %'!AB25</f>
        <v>0</v>
      </c>
      <c r="AI25" s="15">
        <f>$P25*'Allocation %'!AC25</f>
        <v>0</v>
      </c>
      <c r="AJ25" s="15">
        <f>$P25*'Allocation %'!AD25</f>
        <v>0</v>
      </c>
      <c r="AK25" s="15">
        <f>$P25*'Allocation %'!AE25</f>
        <v>1.4350000000000001</v>
      </c>
      <c r="AL25" s="15">
        <f>$P25*'Allocation %'!AF25</f>
        <v>0</v>
      </c>
      <c r="AM25" s="15">
        <f>$P25*'Allocation %'!AG25</f>
        <v>0</v>
      </c>
      <c r="AN25" s="15">
        <f>$P25*'Allocation %'!AH25</f>
        <v>0</v>
      </c>
      <c r="AO25" s="89">
        <f t="shared" si="2"/>
        <v>28.699999999999996</v>
      </c>
      <c r="AP25" s="19">
        <f t="shared" si="4"/>
        <v>0</v>
      </c>
    </row>
    <row r="26" spans="1:42" s="16" customFormat="1" ht="10.5" x14ac:dyDescent="0.25">
      <c r="A26" s="11">
        <f>Salary!A26</f>
        <v>23</v>
      </c>
      <c r="B26" s="17" t="str">
        <f>'Allocation %'!B26</f>
        <v>McDaniels, Curtis</v>
      </c>
      <c r="C26" s="17">
        <v>23</v>
      </c>
      <c r="D26" s="17" t="str">
        <f>'Allocation %'!D26</f>
        <v>Neigh Revit</v>
      </c>
      <c r="E26" s="17">
        <f>'Allocation %'!E26</f>
        <v>0</v>
      </c>
      <c r="F26" s="18">
        <v>1442.31</v>
      </c>
      <c r="G26" s="18">
        <f>F26*$G$3</f>
        <v>37500.06</v>
      </c>
      <c r="H26" s="18"/>
      <c r="I26" s="18">
        <f t="shared" si="7"/>
        <v>37500.06</v>
      </c>
      <c r="J26" s="18"/>
      <c r="K26" s="18"/>
      <c r="L26" s="18"/>
      <c r="M26" s="18"/>
      <c r="N26" s="18"/>
      <c r="O26" s="18"/>
      <c r="P26" s="18">
        <f t="shared" si="3"/>
        <v>0</v>
      </c>
      <c r="Q26" s="15">
        <f>$P26*'Allocation %'!J26</f>
        <v>0</v>
      </c>
      <c r="R26" s="15">
        <f>$P26*'Allocation %'!K26</f>
        <v>0</v>
      </c>
      <c r="S26" s="15">
        <f>$P26*'Allocation %'!M26</f>
        <v>0</v>
      </c>
      <c r="T26" s="15">
        <f>$P26*'Allocation %'!N26</f>
        <v>0</v>
      </c>
      <c r="U26" s="15">
        <f>$P26*'Allocation %'!O26</f>
        <v>0</v>
      </c>
      <c r="V26" s="15">
        <f>$P26*'Allocation %'!P26</f>
        <v>0</v>
      </c>
      <c r="W26" s="15">
        <f>$P26*'Allocation %'!Q26</f>
        <v>0</v>
      </c>
      <c r="X26" s="15">
        <f>$P26*'Allocation %'!R26</f>
        <v>0</v>
      </c>
      <c r="Y26" s="15">
        <f>$P26*'Allocation %'!S26</f>
        <v>0</v>
      </c>
      <c r="Z26" s="15">
        <f>$P26*'Allocation %'!T26</f>
        <v>0</v>
      </c>
      <c r="AA26" s="15">
        <f>$P26*'Allocation %'!U26</f>
        <v>0</v>
      </c>
      <c r="AB26" s="15">
        <f>$P26*'Allocation %'!V26</f>
        <v>0</v>
      </c>
      <c r="AC26" s="15">
        <f>$P26*'Allocation %'!W26</f>
        <v>0</v>
      </c>
      <c r="AD26" s="15">
        <f>$P26*'Allocation %'!X26</f>
        <v>0</v>
      </c>
      <c r="AE26" s="15">
        <f>$P26*'Allocation %'!Y26</f>
        <v>0</v>
      </c>
      <c r="AF26" s="15">
        <f>$P26*'Allocation %'!Z26</f>
        <v>0</v>
      </c>
      <c r="AG26" s="15">
        <f>$P26*'Allocation %'!AA26</f>
        <v>0</v>
      </c>
      <c r="AH26" s="15">
        <f>$P26*'Allocation %'!AB26</f>
        <v>0</v>
      </c>
      <c r="AI26" s="15">
        <f>$P26*'Allocation %'!AC26</f>
        <v>0</v>
      </c>
      <c r="AJ26" s="15">
        <f>$P26*'Allocation %'!AD26</f>
        <v>0</v>
      </c>
      <c r="AK26" s="15">
        <f>$P26*'Allocation %'!AE26</f>
        <v>0</v>
      </c>
      <c r="AL26" s="15">
        <f>$P26*'Allocation %'!AF26</f>
        <v>0</v>
      </c>
      <c r="AM26" s="15">
        <f>$P26*'Allocation %'!AG26</f>
        <v>0</v>
      </c>
      <c r="AN26" s="15">
        <f>$P26*'Allocation %'!AH26</f>
        <v>0</v>
      </c>
      <c r="AO26" s="89">
        <f t="shared" si="2"/>
        <v>0</v>
      </c>
      <c r="AP26" s="19">
        <f t="shared" si="4"/>
        <v>0</v>
      </c>
    </row>
    <row r="27" spans="1:42" s="16" customFormat="1" ht="10.5" x14ac:dyDescent="0.25">
      <c r="A27" s="11">
        <f>Salary!A27</f>
        <v>24</v>
      </c>
      <c r="B27" s="17" t="str">
        <f>'Allocation %'!B27</f>
        <v>MCMILLIAN, Daphne L.</v>
      </c>
      <c r="C27" s="17">
        <v>24</v>
      </c>
      <c r="D27" s="17" t="str">
        <f>'Allocation %'!D27</f>
        <v>Abbott</v>
      </c>
      <c r="E27" s="17" t="str">
        <f>'Allocation %'!E27</f>
        <v>Family Worker</v>
      </c>
      <c r="F27" s="18">
        <v>1216.3599999999999</v>
      </c>
      <c r="G27" s="18">
        <f t="shared" si="0"/>
        <v>31625.359999999997</v>
      </c>
      <c r="H27" s="18"/>
      <c r="I27" s="18">
        <f t="shared" si="7"/>
        <v>31625.359999999997</v>
      </c>
      <c r="J27" s="18"/>
      <c r="K27" s="18"/>
      <c r="L27" s="18"/>
      <c r="M27" s="18"/>
      <c r="N27" s="18"/>
      <c r="O27" s="18"/>
      <c r="P27" s="18">
        <f t="shared" si="3"/>
        <v>0</v>
      </c>
      <c r="Q27" s="15">
        <f>$P27*'Allocation %'!J27</f>
        <v>0</v>
      </c>
      <c r="R27" s="15">
        <f>$P27*'Allocation %'!K27</f>
        <v>0</v>
      </c>
      <c r="S27" s="15">
        <f>$P27*'Allocation %'!M27</f>
        <v>0</v>
      </c>
      <c r="T27" s="15">
        <f>$P27*'Allocation %'!N27</f>
        <v>0</v>
      </c>
      <c r="U27" s="15">
        <f>$P27*'Allocation %'!O27</f>
        <v>0</v>
      </c>
      <c r="V27" s="15">
        <f>$P27*'Allocation %'!P27</f>
        <v>0</v>
      </c>
      <c r="W27" s="15">
        <f>$P27*'Allocation %'!Q27</f>
        <v>0</v>
      </c>
      <c r="X27" s="15">
        <f>$P27*'Allocation %'!R27</f>
        <v>0</v>
      </c>
      <c r="Y27" s="15">
        <f>$P27*'Allocation %'!S27</f>
        <v>0</v>
      </c>
      <c r="Z27" s="15">
        <f>$P27*'Allocation %'!T27</f>
        <v>0</v>
      </c>
      <c r="AA27" s="15">
        <f>$P27*'Allocation %'!U27</f>
        <v>0</v>
      </c>
      <c r="AB27" s="15">
        <f>$P27*'Allocation %'!V27</f>
        <v>0</v>
      </c>
      <c r="AC27" s="15">
        <f>$P27*'Allocation %'!W27</f>
        <v>0</v>
      </c>
      <c r="AD27" s="15">
        <f>$P27*'Allocation %'!X27</f>
        <v>0</v>
      </c>
      <c r="AE27" s="15">
        <f>$P27*'Allocation %'!Y27</f>
        <v>0</v>
      </c>
      <c r="AF27" s="15">
        <f>$P27*'Allocation %'!Z27</f>
        <v>0</v>
      </c>
      <c r="AG27" s="15">
        <f>$P27*'Allocation %'!AA27</f>
        <v>0</v>
      </c>
      <c r="AH27" s="15">
        <f>$P27*'Allocation %'!AB27</f>
        <v>0</v>
      </c>
      <c r="AI27" s="15">
        <f>$P27*'Allocation %'!AC27</f>
        <v>0</v>
      </c>
      <c r="AJ27" s="15">
        <f>$P27*'Allocation %'!AD27</f>
        <v>0</v>
      </c>
      <c r="AK27" s="15">
        <f>$P27*'Allocation %'!AE27</f>
        <v>0</v>
      </c>
      <c r="AL27" s="15">
        <f>$P27*'Allocation %'!AF27</f>
        <v>0</v>
      </c>
      <c r="AM27" s="15">
        <f>$P27*'Allocation %'!AG27</f>
        <v>0</v>
      </c>
      <c r="AN27" s="15">
        <f>$P27*'Allocation %'!AH27</f>
        <v>0</v>
      </c>
      <c r="AO27" s="89">
        <f t="shared" si="2"/>
        <v>0</v>
      </c>
      <c r="AP27" s="19">
        <f t="shared" si="4"/>
        <v>0</v>
      </c>
    </row>
    <row r="28" spans="1:42" s="16" customFormat="1" ht="10.5" x14ac:dyDescent="0.25">
      <c r="A28" s="11">
        <f>Salary!A28</f>
        <v>25</v>
      </c>
      <c r="B28" s="17" t="str">
        <f>'Allocation %'!B28</f>
        <v>Mitchell, Felicia</v>
      </c>
      <c r="C28" s="17">
        <v>25</v>
      </c>
      <c r="D28" s="17" t="str">
        <f>'Allocation %'!D28</f>
        <v>Abbott</v>
      </c>
      <c r="E28" s="17" t="str">
        <f>'Allocation %'!E28</f>
        <v>Teacher</v>
      </c>
      <c r="F28" s="18">
        <v>1114.7</v>
      </c>
      <c r="G28" s="20">
        <f>F28*$G$3</f>
        <v>28982.2</v>
      </c>
      <c r="H28" s="18"/>
      <c r="I28" s="18">
        <f t="shared" si="7"/>
        <v>28982.2</v>
      </c>
      <c r="J28" s="18"/>
      <c r="K28" s="18"/>
      <c r="L28" s="18"/>
      <c r="M28" s="18"/>
      <c r="N28" s="18"/>
      <c r="O28" s="18"/>
      <c r="P28" s="18">
        <f t="shared" si="3"/>
        <v>0</v>
      </c>
      <c r="Q28" s="15">
        <f>$P28*'Allocation %'!J28</f>
        <v>0</v>
      </c>
      <c r="R28" s="15">
        <f>$P28*'Allocation %'!K28</f>
        <v>0</v>
      </c>
      <c r="S28" s="15">
        <f>$P28*'Allocation %'!M28</f>
        <v>0</v>
      </c>
      <c r="T28" s="15">
        <f>$P28*'Allocation %'!N28</f>
        <v>0</v>
      </c>
      <c r="U28" s="15">
        <f>$P28*'Allocation %'!O28</f>
        <v>0</v>
      </c>
      <c r="V28" s="15">
        <f>$P28*'Allocation %'!P28</f>
        <v>0</v>
      </c>
      <c r="W28" s="15">
        <f>$P28*'Allocation %'!Q28</f>
        <v>0</v>
      </c>
      <c r="X28" s="15">
        <f>$P28*'Allocation %'!R28</f>
        <v>0</v>
      </c>
      <c r="Y28" s="15">
        <f>$P28*'Allocation %'!S28</f>
        <v>0</v>
      </c>
      <c r="Z28" s="15">
        <f>$P28*'Allocation %'!T28</f>
        <v>0</v>
      </c>
      <c r="AA28" s="15">
        <f>$P28*'Allocation %'!U28</f>
        <v>0</v>
      </c>
      <c r="AB28" s="15">
        <f>$P28*'Allocation %'!V28</f>
        <v>0</v>
      </c>
      <c r="AC28" s="15">
        <f>$P28*'Allocation %'!W28</f>
        <v>0</v>
      </c>
      <c r="AD28" s="15">
        <f>$P28*'Allocation %'!X28</f>
        <v>0</v>
      </c>
      <c r="AE28" s="15">
        <f>$P28*'Allocation %'!Y28</f>
        <v>0</v>
      </c>
      <c r="AF28" s="15">
        <f>$P28*'Allocation %'!Z28</f>
        <v>0</v>
      </c>
      <c r="AG28" s="15">
        <f>$P28*'Allocation %'!AA28</f>
        <v>0</v>
      </c>
      <c r="AH28" s="15">
        <f>$P28*'Allocation %'!AB28</f>
        <v>0</v>
      </c>
      <c r="AI28" s="15">
        <f>$P28*'Allocation %'!AC28</f>
        <v>0</v>
      </c>
      <c r="AJ28" s="15">
        <f>$P28*'Allocation %'!AD28</f>
        <v>0</v>
      </c>
      <c r="AK28" s="15">
        <f>$P28*'Allocation %'!AE28</f>
        <v>0</v>
      </c>
      <c r="AL28" s="15">
        <f>$P28*'Allocation %'!AF28</f>
        <v>0</v>
      </c>
      <c r="AM28" s="15">
        <f>$P28*'Allocation %'!AG28</f>
        <v>0</v>
      </c>
      <c r="AN28" s="15">
        <f>$P28*'Allocation %'!AH28</f>
        <v>0</v>
      </c>
      <c r="AO28" s="89">
        <f t="shared" si="2"/>
        <v>0</v>
      </c>
      <c r="AP28" s="19">
        <f t="shared" si="4"/>
        <v>0</v>
      </c>
    </row>
    <row r="29" spans="1:42" s="16" customFormat="1" ht="10.5" x14ac:dyDescent="0.25">
      <c r="A29" s="11">
        <f>Salary!A29</f>
        <v>26</v>
      </c>
      <c r="B29" s="17" t="str">
        <f>'Allocation %'!B29</f>
        <v>MORRIS, GWEN</v>
      </c>
      <c r="C29" s="17">
        <v>26</v>
      </c>
      <c r="D29" s="17" t="str">
        <f>'Allocation %'!D29</f>
        <v>USJP</v>
      </c>
      <c r="E29" s="17">
        <f>'Allocation %'!E29</f>
        <v>0</v>
      </c>
      <c r="F29" s="18">
        <v>2500</v>
      </c>
      <c r="G29" s="18">
        <f t="shared" si="0"/>
        <v>65000</v>
      </c>
      <c r="H29" s="18"/>
      <c r="I29" s="18">
        <f t="shared" si="7"/>
        <v>65000</v>
      </c>
      <c r="J29" s="18">
        <v>3.28</v>
      </c>
      <c r="K29" s="18">
        <v>3.28</v>
      </c>
      <c r="L29" s="18"/>
      <c r="M29" s="18"/>
      <c r="N29" s="18"/>
      <c r="O29" s="18"/>
      <c r="P29" s="18">
        <f t="shared" si="3"/>
        <v>6.56</v>
      </c>
      <c r="Q29" s="15">
        <f>$P29*'Allocation %'!J29</f>
        <v>0</v>
      </c>
      <c r="R29" s="15">
        <f>$P29*'Allocation %'!K29</f>
        <v>0</v>
      </c>
      <c r="S29" s="15">
        <f>$P29*'Allocation %'!M29</f>
        <v>0</v>
      </c>
      <c r="T29" s="15">
        <f>$P29*'Allocation %'!N29</f>
        <v>6.56</v>
      </c>
      <c r="U29" s="15">
        <f>$P29*'Allocation %'!O29</f>
        <v>0</v>
      </c>
      <c r="V29" s="15">
        <f>$P29*'Allocation %'!P29</f>
        <v>0</v>
      </c>
      <c r="W29" s="15">
        <f>$P29*'Allocation %'!Q29</f>
        <v>0</v>
      </c>
      <c r="X29" s="15">
        <f>$P29*'Allocation %'!R29</f>
        <v>0</v>
      </c>
      <c r="Y29" s="15">
        <f>$P29*'Allocation %'!S29</f>
        <v>0</v>
      </c>
      <c r="Z29" s="15">
        <f>$P29*'Allocation %'!T29</f>
        <v>0</v>
      </c>
      <c r="AA29" s="15">
        <f>$P29*'Allocation %'!U29</f>
        <v>0</v>
      </c>
      <c r="AB29" s="15">
        <f>$P29*'Allocation %'!V29</f>
        <v>0</v>
      </c>
      <c r="AC29" s="15">
        <f>$P29*'Allocation %'!W29</f>
        <v>0</v>
      </c>
      <c r="AD29" s="15">
        <f>$P29*'Allocation %'!X29</f>
        <v>0</v>
      </c>
      <c r="AE29" s="15">
        <f>$P29*'Allocation %'!Y29</f>
        <v>0</v>
      </c>
      <c r="AF29" s="15">
        <f>$P29*'Allocation %'!Z29</f>
        <v>0</v>
      </c>
      <c r="AG29" s="15">
        <f>$P29*'Allocation %'!AA29</f>
        <v>0</v>
      </c>
      <c r="AH29" s="15">
        <f>$P29*'Allocation %'!AB29</f>
        <v>0</v>
      </c>
      <c r="AI29" s="15">
        <f>$P29*'Allocation %'!AC29</f>
        <v>0</v>
      </c>
      <c r="AJ29" s="15">
        <f>$P29*'Allocation %'!AD29</f>
        <v>0</v>
      </c>
      <c r="AK29" s="15">
        <f>$P29*'Allocation %'!AE29</f>
        <v>0</v>
      </c>
      <c r="AL29" s="15">
        <f>$P29*'Allocation %'!AF29</f>
        <v>0</v>
      </c>
      <c r="AM29" s="15">
        <f>$P29*'Allocation %'!AG29</f>
        <v>0</v>
      </c>
      <c r="AN29" s="15">
        <f>$P29*'Allocation %'!AH29</f>
        <v>0</v>
      </c>
      <c r="AO29" s="89">
        <f t="shared" si="2"/>
        <v>6.56</v>
      </c>
      <c r="AP29" s="19">
        <f t="shared" si="4"/>
        <v>0</v>
      </c>
    </row>
    <row r="30" spans="1:42" s="16" customFormat="1" ht="10.5" x14ac:dyDescent="0.25">
      <c r="A30" s="11">
        <f>Salary!A30</f>
        <v>27</v>
      </c>
      <c r="B30" s="17" t="str">
        <f>'Allocation %'!B30</f>
        <v>RAMBARAN, Sharaini J.</v>
      </c>
      <c r="C30" s="17">
        <v>27</v>
      </c>
      <c r="D30" s="17" t="str">
        <f>'Allocation %'!D30</f>
        <v>Abbott</v>
      </c>
      <c r="E30" s="17" t="str">
        <f>'Allocation %'!E30</f>
        <v>Floater</v>
      </c>
      <c r="F30" s="18">
        <v>996.3</v>
      </c>
      <c r="G30" s="18">
        <f t="shared" si="0"/>
        <v>25903.8</v>
      </c>
      <c r="H30" s="18"/>
      <c r="I30" s="18">
        <f t="shared" si="7"/>
        <v>25903.8</v>
      </c>
      <c r="J30" s="18"/>
      <c r="K30" s="18"/>
      <c r="L30" s="18"/>
      <c r="M30" s="18"/>
      <c r="N30" s="18"/>
      <c r="O30" s="18"/>
      <c r="P30" s="18">
        <f t="shared" si="3"/>
        <v>0</v>
      </c>
      <c r="Q30" s="15">
        <f>$P30*'Allocation %'!J30</f>
        <v>0</v>
      </c>
      <c r="R30" s="15">
        <f>$P30*'Allocation %'!K30</f>
        <v>0</v>
      </c>
      <c r="S30" s="15">
        <f>$P30*'Allocation %'!M30</f>
        <v>0</v>
      </c>
      <c r="T30" s="15">
        <f>$P30*'Allocation %'!N30</f>
        <v>0</v>
      </c>
      <c r="U30" s="15">
        <f>$P30*'Allocation %'!O30</f>
        <v>0</v>
      </c>
      <c r="V30" s="15">
        <f>$P30*'Allocation %'!P30</f>
        <v>0</v>
      </c>
      <c r="W30" s="15">
        <f>$P30*'Allocation %'!Q30</f>
        <v>0</v>
      </c>
      <c r="X30" s="15">
        <f>$P30*'Allocation %'!R30</f>
        <v>0</v>
      </c>
      <c r="Y30" s="15">
        <f>$P30*'Allocation %'!S30</f>
        <v>0</v>
      </c>
      <c r="Z30" s="15">
        <f>$P30*'Allocation %'!T30</f>
        <v>0</v>
      </c>
      <c r="AA30" s="15">
        <f>$P30*'Allocation %'!U30</f>
        <v>0</v>
      </c>
      <c r="AB30" s="15">
        <f>$P30*'Allocation %'!V30</f>
        <v>0</v>
      </c>
      <c r="AC30" s="15">
        <f>$P30*'Allocation %'!W30</f>
        <v>0</v>
      </c>
      <c r="AD30" s="15">
        <f>$P30*'Allocation %'!X30</f>
        <v>0</v>
      </c>
      <c r="AE30" s="15">
        <f>$P30*'Allocation %'!Y30</f>
        <v>0</v>
      </c>
      <c r="AF30" s="15">
        <f>$P30*'Allocation %'!Z30</f>
        <v>0</v>
      </c>
      <c r="AG30" s="15">
        <f>$P30*'Allocation %'!AA30</f>
        <v>0</v>
      </c>
      <c r="AH30" s="15">
        <f>$P30*'Allocation %'!AB30</f>
        <v>0</v>
      </c>
      <c r="AI30" s="15">
        <f>$P30*'Allocation %'!AC30</f>
        <v>0</v>
      </c>
      <c r="AJ30" s="15">
        <f>$P30*'Allocation %'!AD30</f>
        <v>0</v>
      </c>
      <c r="AK30" s="15">
        <f>$P30*'Allocation %'!AE30</f>
        <v>0</v>
      </c>
      <c r="AL30" s="15">
        <f>$P30*'Allocation %'!AF30</f>
        <v>0</v>
      </c>
      <c r="AM30" s="15">
        <f>$P30*'Allocation %'!AG30</f>
        <v>0</v>
      </c>
      <c r="AN30" s="15">
        <f>$P30*'Allocation %'!AH30</f>
        <v>0</v>
      </c>
      <c r="AO30" s="89">
        <f t="shared" si="2"/>
        <v>0</v>
      </c>
      <c r="AP30" s="19">
        <f t="shared" si="4"/>
        <v>0</v>
      </c>
    </row>
    <row r="31" spans="1:42" s="16" customFormat="1" ht="10.5" x14ac:dyDescent="0.25">
      <c r="A31" s="11">
        <f>Salary!A31</f>
        <v>28</v>
      </c>
      <c r="B31" s="17" t="str">
        <f>'Allocation %'!B31</f>
        <v>Robbins, Leonard</v>
      </c>
      <c r="C31" s="17">
        <v>28</v>
      </c>
      <c r="D31" s="17" t="str">
        <f>'Allocation %'!D31</f>
        <v>Opportunity Corp</v>
      </c>
      <c r="E31" s="17">
        <f>'Allocation %'!E31</f>
        <v>0</v>
      </c>
      <c r="F31" s="27">
        <v>2769.23</v>
      </c>
      <c r="G31" s="27">
        <f t="shared" si="0"/>
        <v>71999.98</v>
      </c>
      <c r="H31" s="18">
        <v>3076.93</v>
      </c>
      <c r="I31" s="28">
        <f>H31*$G$3</f>
        <v>80000.179999999993</v>
      </c>
      <c r="J31" s="18"/>
      <c r="K31" s="18"/>
      <c r="L31" s="28"/>
      <c r="M31" s="28"/>
      <c r="N31" s="28"/>
      <c r="O31" s="28"/>
      <c r="P31" s="18">
        <f t="shared" si="3"/>
        <v>0</v>
      </c>
      <c r="Q31" s="15">
        <f>$P31*'Allocation %'!J31</f>
        <v>0</v>
      </c>
      <c r="R31" s="15">
        <f>$P31*'Allocation %'!K31</f>
        <v>0</v>
      </c>
      <c r="S31" s="15">
        <f>$P31*'Allocation %'!M31</f>
        <v>0</v>
      </c>
      <c r="T31" s="15">
        <f>$P31*'Allocation %'!N31</f>
        <v>0</v>
      </c>
      <c r="U31" s="15">
        <f>$P31*'Allocation %'!O31</f>
        <v>0</v>
      </c>
      <c r="V31" s="15">
        <f>$P31*'Allocation %'!P31</f>
        <v>0</v>
      </c>
      <c r="W31" s="15">
        <f>$P31*'Allocation %'!Q31</f>
        <v>0</v>
      </c>
      <c r="X31" s="15">
        <f>$P31*'Allocation %'!R31</f>
        <v>0</v>
      </c>
      <c r="Y31" s="15">
        <f>$P31*'Allocation %'!S31</f>
        <v>0</v>
      </c>
      <c r="Z31" s="15">
        <f>$P31*'Allocation %'!T31</f>
        <v>0</v>
      </c>
      <c r="AA31" s="15">
        <f>$P31*'Allocation %'!U31</f>
        <v>0</v>
      </c>
      <c r="AB31" s="15">
        <f>$P31*'Allocation %'!V31</f>
        <v>0</v>
      </c>
      <c r="AC31" s="15">
        <f>$P31*'Allocation %'!W31</f>
        <v>0</v>
      </c>
      <c r="AD31" s="15">
        <f>$P31*'Allocation %'!X31</f>
        <v>0</v>
      </c>
      <c r="AE31" s="15">
        <f>$P31*'Allocation %'!Y31</f>
        <v>0</v>
      </c>
      <c r="AF31" s="15">
        <f>$P31*'Allocation %'!Z31</f>
        <v>0</v>
      </c>
      <c r="AG31" s="15">
        <f>$P31*'Allocation %'!AA31</f>
        <v>0</v>
      </c>
      <c r="AH31" s="15">
        <f>$P31*'Allocation %'!AB31</f>
        <v>0</v>
      </c>
      <c r="AI31" s="15">
        <f>$P31*'Allocation %'!AC31</f>
        <v>0</v>
      </c>
      <c r="AJ31" s="15">
        <f>$P31*'Allocation %'!AD31</f>
        <v>0</v>
      </c>
      <c r="AK31" s="15">
        <f>$P31*'Allocation %'!AE31</f>
        <v>0</v>
      </c>
      <c r="AL31" s="15">
        <f>$P31*'Allocation %'!AF31</f>
        <v>0</v>
      </c>
      <c r="AM31" s="15">
        <f>$P31*'Allocation %'!AG31</f>
        <v>0</v>
      </c>
      <c r="AN31" s="15">
        <f>$P31*'Allocation %'!AH31</f>
        <v>0</v>
      </c>
      <c r="AO31" s="89">
        <f t="shared" si="2"/>
        <v>0</v>
      </c>
      <c r="AP31" s="19">
        <f t="shared" si="4"/>
        <v>0</v>
      </c>
    </row>
    <row r="32" spans="1:42" s="16" customFormat="1" ht="10.5" x14ac:dyDescent="0.25">
      <c r="A32" s="11">
        <f>Salary!A32</f>
        <v>29</v>
      </c>
      <c r="B32" s="17" t="str">
        <f>'Allocation %'!B32</f>
        <v>SERMON, Patricia April</v>
      </c>
      <c r="C32" s="17">
        <v>29</v>
      </c>
      <c r="D32" s="17" t="str">
        <f>'Allocation %'!D32</f>
        <v>FOC, Housing, OICA, COO</v>
      </c>
      <c r="E32" s="17">
        <f>'Allocation %'!E32</f>
        <v>0</v>
      </c>
      <c r="F32" s="29">
        <v>3153.85</v>
      </c>
      <c r="G32" s="29">
        <f t="shared" si="0"/>
        <v>82000.099999999991</v>
      </c>
      <c r="H32" s="18">
        <v>3461.54</v>
      </c>
      <c r="I32" s="28">
        <f>H32*$G$3</f>
        <v>90000.04</v>
      </c>
      <c r="J32" s="18">
        <v>7.94</v>
      </c>
      <c r="K32" s="18">
        <v>7.94</v>
      </c>
      <c r="L32" s="28"/>
      <c r="M32" s="28"/>
      <c r="N32" s="28"/>
      <c r="O32" s="28"/>
      <c r="P32" s="18">
        <f t="shared" si="3"/>
        <v>15.88</v>
      </c>
      <c r="Q32" s="15">
        <f>$P32*'Allocation %'!J32</f>
        <v>0</v>
      </c>
      <c r="R32" s="15">
        <f>$P32*'Allocation %'!K32</f>
        <v>0</v>
      </c>
      <c r="S32" s="15">
        <f>$P32*'Allocation %'!M32</f>
        <v>0</v>
      </c>
      <c r="T32" s="15">
        <f>$P32*'Allocation %'!N32</f>
        <v>3.1760000000000002</v>
      </c>
      <c r="U32" s="15">
        <f>$P32*'Allocation %'!O32</f>
        <v>0</v>
      </c>
      <c r="V32" s="15">
        <f>$P32*'Allocation %'!P32</f>
        <v>3.8111999999999999</v>
      </c>
      <c r="W32" s="15">
        <f>$P32*'Allocation %'!Q32</f>
        <v>0</v>
      </c>
      <c r="X32" s="15">
        <f>$P32*'Allocation %'!R32</f>
        <v>0</v>
      </c>
      <c r="Y32" s="15">
        <f>$P32*'Allocation %'!S32</f>
        <v>0</v>
      </c>
      <c r="Z32" s="15">
        <f>$P32*'Allocation %'!T32</f>
        <v>0.79400000000000004</v>
      </c>
      <c r="AA32" s="15">
        <f>$P32*'Allocation %'!U32</f>
        <v>0.6352000000000001</v>
      </c>
      <c r="AB32" s="15">
        <f>$P32*'Allocation %'!V32</f>
        <v>0.31760000000000005</v>
      </c>
      <c r="AC32" s="15">
        <f>$P32*'Allocation %'!W32</f>
        <v>0.95279999999999998</v>
      </c>
      <c r="AD32" s="15">
        <f>$P32*'Allocation %'!X32</f>
        <v>6.1932000000000009</v>
      </c>
      <c r="AE32" s="15">
        <f>$P32*'Allocation %'!Y32</f>
        <v>0</v>
      </c>
      <c r="AF32" s="15">
        <f>$P32*'Allocation %'!Z32</f>
        <v>0</v>
      </c>
      <c r="AG32" s="15">
        <f>$P32*'Allocation %'!AA32</f>
        <v>0</v>
      </c>
      <c r="AH32" s="15">
        <f>$P32*'Allocation %'!AB32</f>
        <v>0</v>
      </c>
      <c r="AI32" s="15">
        <f>$P32*'Allocation %'!AC32</f>
        <v>0</v>
      </c>
      <c r="AJ32" s="15">
        <f>$P32*'Allocation %'!AD32</f>
        <v>0</v>
      </c>
      <c r="AK32" s="15">
        <f>$P32*'Allocation %'!AE32</f>
        <v>0</v>
      </c>
      <c r="AL32" s="15">
        <f>$P32*'Allocation %'!AF32</f>
        <v>0</v>
      </c>
      <c r="AM32" s="15">
        <f>$P32*'Allocation %'!AG32</f>
        <v>0</v>
      </c>
      <c r="AN32" s="15">
        <f>$P32*'Allocation %'!AH32</f>
        <v>0</v>
      </c>
      <c r="AO32" s="89">
        <f t="shared" si="2"/>
        <v>15.88</v>
      </c>
      <c r="AP32" s="19">
        <f t="shared" si="4"/>
        <v>0</v>
      </c>
    </row>
    <row r="33" spans="1:42" s="16" customFormat="1" ht="10.5" x14ac:dyDescent="0.25">
      <c r="A33" s="11">
        <f>Salary!A33</f>
        <v>30</v>
      </c>
      <c r="B33" s="17" t="str">
        <f>'Allocation %'!B33</f>
        <v>SHARIF, Darrin S. - April</v>
      </c>
      <c r="C33" s="17">
        <v>30</v>
      </c>
      <c r="D33" s="17" t="str">
        <f>'Allocation %'!D33</f>
        <v>Admin, Coding, WF</v>
      </c>
      <c r="E33" s="17">
        <f>'Allocation %'!E33</f>
        <v>0</v>
      </c>
      <c r="F33" s="27">
        <v>3269</v>
      </c>
      <c r="G33" s="27">
        <f t="shared" si="0"/>
        <v>84994</v>
      </c>
      <c r="H33" s="18"/>
      <c r="I33" s="18">
        <f t="shared" ref="I33:I39" si="8">SUM(G33:H33)</f>
        <v>84994</v>
      </c>
      <c r="J33" s="18">
        <v>7.94</v>
      </c>
      <c r="K33" s="18">
        <v>7.94</v>
      </c>
      <c r="L33" s="18"/>
      <c r="M33" s="18"/>
      <c r="N33" s="18"/>
      <c r="O33" s="18"/>
      <c r="P33" s="18">
        <f t="shared" si="3"/>
        <v>15.88</v>
      </c>
      <c r="Q33" s="15">
        <f>$P33*'Allocation %'!J33</f>
        <v>0</v>
      </c>
      <c r="R33" s="15">
        <f>$P33*'Allocation %'!K33</f>
        <v>0</v>
      </c>
      <c r="S33" s="15">
        <f>$P33*'Allocation %'!M33</f>
        <v>0</v>
      </c>
      <c r="T33" s="15">
        <f>$P33*'Allocation %'!N33</f>
        <v>0</v>
      </c>
      <c r="U33" s="15">
        <f>$P33*'Allocation %'!O33</f>
        <v>0</v>
      </c>
      <c r="V33" s="15">
        <f>$P33*'Allocation %'!P33</f>
        <v>0</v>
      </c>
      <c r="W33" s="15">
        <f>$P33*'Allocation %'!Q33</f>
        <v>0</v>
      </c>
      <c r="X33" s="15">
        <f>$P33*'Allocation %'!R33</f>
        <v>0</v>
      </c>
      <c r="Y33" s="15">
        <f>$P33*'Allocation %'!S33</f>
        <v>0</v>
      </c>
      <c r="Z33" s="15">
        <f>$P33*'Allocation %'!T33</f>
        <v>0</v>
      </c>
      <c r="AA33" s="15">
        <f>$P33*'Allocation %'!U33</f>
        <v>0</v>
      </c>
      <c r="AB33" s="15">
        <f>$P33*'Allocation %'!V33</f>
        <v>0</v>
      </c>
      <c r="AC33" s="15">
        <f>$P33*'Allocation %'!W33</f>
        <v>0</v>
      </c>
      <c r="AD33" s="15">
        <f>$P33*'Allocation %'!X33</f>
        <v>0</v>
      </c>
      <c r="AE33" s="15">
        <f>$P33*'Allocation %'!Y33</f>
        <v>0</v>
      </c>
      <c r="AF33" s="15">
        <f>$P33*'Allocation %'!Z33</f>
        <v>0</v>
      </c>
      <c r="AG33" s="15">
        <f>$P33*'Allocation %'!AA33</f>
        <v>4.2876000000000003</v>
      </c>
      <c r="AH33" s="15">
        <f>$P33*'Allocation %'!AB33</f>
        <v>4.6052</v>
      </c>
      <c r="AI33" s="15">
        <f>$P33*'Allocation %'!AC33</f>
        <v>6.9872000000000005</v>
      </c>
      <c r="AJ33" s="15">
        <f>$P33*'Allocation %'!AD33</f>
        <v>0</v>
      </c>
      <c r="AK33" s="15">
        <f>$P33*'Allocation %'!AE33</f>
        <v>0</v>
      </c>
      <c r="AL33" s="15">
        <f>$P33*'Allocation %'!AF33</f>
        <v>0</v>
      </c>
      <c r="AM33" s="15">
        <f>$P33*'Allocation %'!AG33</f>
        <v>0</v>
      </c>
      <c r="AN33" s="15">
        <f>$P33*'Allocation %'!AH33</f>
        <v>0</v>
      </c>
      <c r="AO33" s="89">
        <f t="shared" si="2"/>
        <v>15.880000000000003</v>
      </c>
      <c r="AP33" s="19">
        <f t="shared" si="4"/>
        <v>0</v>
      </c>
    </row>
    <row r="34" spans="1:42" s="16" customFormat="1" ht="10.5" x14ac:dyDescent="0.25">
      <c r="A34" s="11">
        <f>Salary!A34</f>
        <v>31</v>
      </c>
      <c r="B34" s="17" t="str">
        <f>'Allocation %'!B34</f>
        <v>SIMMONS, Bertrilla R.</v>
      </c>
      <c r="C34" s="17">
        <v>31</v>
      </c>
      <c r="D34" s="17" t="str">
        <f>'Allocation %'!D34</f>
        <v>Abbott</v>
      </c>
      <c r="E34" s="17" t="str">
        <f>'Allocation %'!E34</f>
        <v>Teacher</v>
      </c>
      <c r="F34" s="27">
        <v>2684.05</v>
      </c>
      <c r="G34" s="32">
        <f t="shared" si="0"/>
        <v>69785.3</v>
      </c>
      <c r="H34" s="18"/>
      <c r="I34" s="18">
        <f t="shared" si="8"/>
        <v>69785.3</v>
      </c>
      <c r="J34" s="18">
        <v>4.5</v>
      </c>
      <c r="K34" s="18">
        <v>4.5</v>
      </c>
      <c r="L34" s="18"/>
      <c r="M34" s="18"/>
      <c r="N34" s="18"/>
      <c r="O34" s="18"/>
      <c r="P34" s="18">
        <f t="shared" si="3"/>
        <v>9</v>
      </c>
      <c r="Q34" s="15">
        <f>$P34*'Allocation %'!J34</f>
        <v>9</v>
      </c>
      <c r="R34" s="15">
        <f>$P34*'Allocation %'!K34</f>
        <v>0</v>
      </c>
      <c r="S34" s="15">
        <f>$P34*'Allocation %'!M34</f>
        <v>0</v>
      </c>
      <c r="T34" s="15">
        <f>$P34*'Allocation %'!N34</f>
        <v>0</v>
      </c>
      <c r="U34" s="15">
        <f>$P34*'Allocation %'!O34</f>
        <v>0</v>
      </c>
      <c r="V34" s="15">
        <f>$P34*'Allocation %'!P34</f>
        <v>0</v>
      </c>
      <c r="W34" s="15">
        <f>$P34*'Allocation %'!Q34</f>
        <v>0</v>
      </c>
      <c r="X34" s="15">
        <f>$P34*'Allocation %'!R34</f>
        <v>0</v>
      </c>
      <c r="Y34" s="15">
        <f>$P34*'Allocation %'!S34</f>
        <v>0</v>
      </c>
      <c r="Z34" s="15">
        <f>$P34*'Allocation %'!T34</f>
        <v>0</v>
      </c>
      <c r="AA34" s="15">
        <f>$P34*'Allocation %'!U34</f>
        <v>0</v>
      </c>
      <c r="AB34" s="15">
        <f>$P34*'Allocation %'!V34</f>
        <v>0</v>
      </c>
      <c r="AC34" s="15">
        <f>$P34*'Allocation %'!W34</f>
        <v>0</v>
      </c>
      <c r="AD34" s="15">
        <f>$P34*'Allocation %'!X34</f>
        <v>0</v>
      </c>
      <c r="AE34" s="15">
        <f>$P34*'Allocation %'!Y34</f>
        <v>0</v>
      </c>
      <c r="AF34" s="15">
        <f>$P34*'Allocation %'!Z34</f>
        <v>0</v>
      </c>
      <c r="AG34" s="15">
        <f>$P34*'Allocation %'!AA34</f>
        <v>0</v>
      </c>
      <c r="AH34" s="15">
        <f>$P34*'Allocation %'!AB34</f>
        <v>0</v>
      </c>
      <c r="AI34" s="15">
        <f>$P34*'Allocation %'!AC34</f>
        <v>0</v>
      </c>
      <c r="AJ34" s="15">
        <f>$P34*'Allocation %'!AD34</f>
        <v>0</v>
      </c>
      <c r="AK34" s="15">
        <f>$P34*'Allocation %'!AE34</f>
        <v>0</v>
      </c>
      <c r="AL34" s="15">
        <f>$P34*'Allocation %'!AF34</f>
        <v>0</v>
      </c>
      <c r="AM34" s="15">
        <f>$P34*'Allocation %'!AG34</f>
        <v>0</v>
      </c>
      <c r="AN34" s="15">
        <f>$P34*'Allocation %'!AH34</f>
        <v>0</v>
      </c>
      <c r="AO34" s="89">
        <f t="shared" si="2"/>
        <v>9</v>
      </c>
      <c r="AP34" s="19">
        <f t="shared" si="4"/>
        <v>0</v>
      </c>
    </row>
    <row r="35" spans="1:42" s="16" customFormat="1" ht="10.5" x14ac:dyDescent="0.25">
      <c r="A35" s="11">
        <f>Salary!A35</f>
        <v>32</v>
      </c>
      <c r="B35" s="17" t="str">
        <f>'Allocation %'!B35</f>
        <v>STEWART, Robin D</v>
      </c>
      <c r="C35" s="17">
        <v>32</v>
      </c>
      <c r="D35" s="17" t="str">
        <f>'Allocation %'!D35</f>
        <v>Abbott</v>
      </c>
      <c r="E35" s="17" t="str">
        <f>'Allocation %'!E35</f>
        <v>Teacher Asst</v>
      </c>
      <c r="F35" s="27">
        <v>1611.08</v>
      </c>
      <c r="G35" s="27">
        <f>F35*$G$3</f>
        <v>41888.080000000002</v>
      </c>
      <c r="H35" s="18"/>
      <c r="I35" s="18">
        <f t="shared" si="8"/>
        <v>41888.080000000002</v>
      </c>
      <c r="J35" s="18">
        <v>4.5</v>
      </c>
      <c r="K35" s="18">
        <v>4.5</v>
      </c>
      <c r="L35" s="18"/>
      <c r="M35" s="18"/>
      <c r="N35" s="18"/>
      <c r="O35" s="18"/>
      <c r="P35" s="18">
        <f t="shared" si="3"/>
        <v>9</v>
      </c>
      <c r="Q35" s="15">
        <f>$P35*'Allocation %'!J35</f>
        <v>9</v>
      </c>
      <c r="R35" s="15">
        <f>$P35*'Allocation %'!K35</f>
        <v>0</v>
      </c>
      <c r="S35" s="15">
        <f>$P35*'Allocation %'!M35</f>
        <v>0</v>
      </c>
      <c r="T35" s="15">
        <f>$P35*'Allocation %'!N35</f>
        <v>0</v>
      </c>
      <c r="U35" s="15">
        <f>$P35*'Allocation %'!O35</f>
        <v>0</v>
      </c>
      <c r="V35" s="15">
        <f>$P35*'Allocation %'!P35</f>
        <v>0</v>
      </c>
      <c r="W35" s="15">
        <f>$P35*'Allocation %'!Q35</f>
        <v>0</v>
      </c>
      <c r="X35" s="15">
        <f>$P35*'Allocation %'!R35</f>
        <v>0</v>
      </c>
      <c r="Y35" s="15">
        <f>$P35*'Allocation %'!S35</f>
        <v>0</v>
      </c>
      <c r="Z35" s="15">
        <f>$P35*'Allocation %'!T35</f>
        <v>0</v>
      </c>
      <c r="AA35" s="15">
        <f>$P35*'Allocation %'!U35</f>
        <v>0</v>
      </c>
      <c r="AB35" s="15">
        <f>$P35*'Allocation %'!V35</f>
        <v>0</v>
      </c>
      <c r="AC35" s="15">
        <f>$P35*'Allocation %'!W35</f>
        <v>0</v>
      </c>
      <c r="AD35" s="15">
        <f>$P35*'Allocation %'!X35</f>
        <v>0</v>
      </c>
      <c r="AE35" s="15">
        <f>$P35*'Allocation %'!Y35</f>
        <v>0</v>
      </c>
      <c r="AF35" s="15">
        <f>$P35*'Allocation %'!Z35</f>
        <v>0</v>
      </c>
      <c r="AG35" s="15">
        <f>$P35*'Allocation %'!AA35</f>
        <v>0</v>
      </c>
      <c r="AH35" s="15">
        <f>$P35*'Allocation %'!AB35</f>
        <v>0</v>
      </c>
      <c r="AI35" s="15">
        <f>$P35*'Allocation %'!AC35</f>
        <v>0</v>
      </c>
      <c r="AJ35" s="15">
        <f>$P35*'Allocation %'!AD35</f>
        <v>0</v>
      </c>
      <c r="AK35" s="15">
        <f>$P35*'Allocation %'!AE35</f>
        <v>0</v>
      </c>
      <c r="AL35" s="15">
        <f>$P35*'Allocation %'!AF35</f>
        <v>0</v>
      </c>
      <c r="AM35" s="15">
        <f>$P35*'Allocation %'!AG35</f>
        <v>0</v>
      </c>
      <c r="AN35" s="15">
        <f>$P35*'Allocation %'!AH35</f>
        <v>0</v>
      </c>
      <c r="AO35" s="89">
        <f t="shared" si="2"/>
        <v>9</v>
      </c>
      <c r="AP35" s="19">
        <f t="shared" si="4"/>
        <v>0</v>
      </c>
    </row>
    <row r="36" spans="1:42" s="16" customFormat="1" ht="10.5" x14ac:dyDescent="0.25">
      <c r="A36" s="11">
        <f>Salary!A36</f>
        <v>33</v>
      </c>
      <c r="B36" s="17" t="str">
        <f>'Allocation %'!B36</f>
        <v>TYLER, Patricia</v>
      </c>
      <c r="C36" s="17">
        <v>33</v>
      </c>
      <c r="D36" s="17" t="str">
        <f>'Allocation %'!D36</f>
        <v>Abbott</v>
      </c>
      <c r="E36" s="17" t="str">
        <f>'Allocation %'!E36</f>
        <v>Cook</v>
      </c>
      <c r="F36" s="27">
        <v>454.96</v>
      </c>
      <c r="G36" s="27">
        <f t="shared" si="0"/>
        <v>11828.96</v>
      </c>
      <c r="H36" s="18"/>
      <c r="I36" s="18">
        <f t="shared" si="8"/>
        <v>11828.96</v>
      </c>
      <c r="J36" s="18"/>
      <c r="K36" s="18"/>
      <c r="L36" s="18"/>
      <c r="M36" s="18"/>
      <c r="N36" s="18"/>
      <c r="O36" s="18"/>
      <c r="P36" s="18">
        <f t="shared" si="3"/>
        <v>0</v>
      </c>
      <c r="Q36" s="15">
        <f>$P36*'Allocation %'!J36</f>
        <v>0</v>
      </c>
      <c r="R36" s="15">
        <f>$P36*'Allocation %'!K36</f>
        <v>0</v>
      </c>
      <c r="S36" s="15">
        <f>$P36*'Allocation %'!M36</f>
        <v>0</v>
      </c>
      <c r="T36" s="15">
        <f>$P36*'Allocation %'!N36</f>
        <v>0</v>
      </c>
      <c r="U36" s="15">
        <f>$P36*'Allocation %'!O36</f>
        <v>0</v>
      </c>
      <c r="V36" s="15">
        <f>$P36*'Allocation %'!P36</f>
        <v>0</v>
      </c>
      <c r="W36" s="15">
        <f>$P36*'Allocation %'!Q36</f>
        <v>0</v>
      </c>
      <c r="X36" s="15">
        <f>$P36*'Allocation %'!R36</f>
        <v>0</v>
      </c>
      <c r="Y36" s="15">
        <f>$P36*'Allocation %'!S36</f>
        <v>0</v>
      </c>
      <c r="Z36" s="15">
        <f>$P36*'Allocation %'!T36</f>
        <v>0</v>
      </c>
      <c r="AA36" s="15">
        <f>$P36*'Allocation %'!U36</f>
        <v>0</v>
      </c>
      <c r="AB36" s="15">
        <f>$P36*'Allocation %'!V36</f>
        <v>0</v>
      </c>
      <c r="AC36" s="15">
        <f>$P36*'Allocation %'!W36</f>
        <v>0</v>
      </c>
      <c r="AD36" s="15">
        <f>$P36*'Allocation %'!X36</f>
        <v>0</v>
      </c>
      <c r="AE36" s="15">
        <f>$P36*'Allocation %'!Y36</f>
        <v>0</v>
      </c>
      <c r="AF36" s="15">
        <f>$P36*'Allocation %'!Z36</f>
        <v>0</v>
      </c>
      <c r="AG36" s="15">
        <f>$P36*'Allocation %'!AA36</f>
        <v>0</v>
      </c>
      <c r="AH36" s="15">
        <f>$P36*'Allocation %'!AB36</f>
        <v>0</v>
      </c>
      <c r="AI36" s="15">
        <f>$P36*'Allocation %'!AC36</f>
        <v>0</v>
      </c>
      <c r="AJ36" s="15">
        <f>$P36*'Allocation %'!AD36</f>
        <v>0</v>
      </c>
      <c r="AK36" s="15">
        <f>$P36*'Allocation %'!AE36</f>
        <v>0</v>
      </c>
      <c r="AL36" s="15">
        <f>$P36*'Allocation %'!AF36</f>
        <v>0</v>
      </c>
      <c r="AM36" s="15">
        <f>$P36*'Allocation %'!AG36</f>
        <v>0</v>
      </c>
      <c r="AN36" s="15">
        <f>$P36*'Allocation %'!AH36</f>
        <v>0</v>
      </c>
      <c r="AO36" s="89">
        <f t="shared" si="2"/>
        <v>0</v>
      </c>
      <c r="AP36" s="19">
        <f t="shared" si="4"/>
        <v>0</v>
      </c>
    </row>
    <row r="37" spans="1:42" s="16" customFormat="1" ht="10.5" x14ac:dyDescent="0.25">
      <c r="A37" s="11">
        <f>Salary!A37</f>
        <v>34</v>
      </c>
      <c r="B37" s="17" t="str">
        <f>'Allocation %'!B37</f>
        <v>WARD, Richard G. - Off Jan 1</v>
      </c>
      <c r="C37" s="17">
        <v>34</v>
      </c>
      <c r="D37" s="17" t="str">
        <f>'Allocation %'!D37</f>
        <v>Admin</v>
      </c>
      <c r="E37" s="17">
        <f>'Allocation %'!E37</f>
        <v>0</v>
      </c>
      <c r="F37" s="29">
        <v>4230.7700000000004</v>
      </c>
      <c r="G37" s="29">
        <f t="shared" si="0"/>
        <v>110000.02000000002</v>
      </c>
      <c r="H37" s="18"/>
      <c r="I37" s="22">
        <f t="shared" si="8"/>
        <v>110000.02000000002</v>
      </c>
      <c r="J37" s="18">
        <v>7.94</v>
      </c>
      <c r="K37" s="18">
        <v>7.94</v>
      </c>
      <c r="L37" s="22"/>
      <c r="M37" s="22"/>
      <c r="N37" s="22"/>
      <c r="O37" s="22"/>
      <c r="P37" s="18">
        <f t="shared" si="3"/>
        <v>15.88</v>
      </c>
      <c r="Q37" s="15">
        <f>$P37*'Allocation %'!J37</f>
        <v>0</v>
      </c>
      <c r="R37" s="15">
        <f>$P37*'Allocation %'!K37</f>
        <v>0</v>
      </c>
      <c r="S37" s="15">
        <f>$P37*'Allocation %'!M37</f>
        <v>0</v>
      </c>
      <c r="T37" s="15">
        <f>$P37*'Allocation %'!N37</f>
        <v>0</v>
      </c>
      <c r="U37" s="15">
        <f>$P37*'Allocation %'!O37</f>
        <v>0</v>
      </c>
      <c r="V37" s="15">
        <f>$P37*'Allocation %'!P37</f>
        <v>0</v>
      </c>
      <c r="W37" s="15">
        <f>$P37*'Allocation %'!Q37</f>
        <v>0</v>
      </c>
      <c r="X37" s="15">
        <f>$P37*'Allocation %'!R37</f>
        <v>0</v>
      </c>
      <c r="Y37" s="15">
        <f>$P37*'Allocation %'!S37</f>
        <v>0</v>
      </c>
      <c r="Z37" s="15">
        <f>$P37*'Allocation %'!T37</f>
        <v>0</v>
      </c>
      <c r="AA37" s="15">
        <f>$P37*'Allocation %'!U37</f>
        <v>0</v>
      </c>
      <c r="AB37" s="15">
        <f>$P37*'Allocation %'!V37</f>
        <v>0</v>
      </c>
      <c r="AC37" s="15">
        <f>$P37*'Allocation %'!W37</f>
        <v>0</v>
      </c>
      <c r="AD37" s="15">
        <f>$P37*'Allocation %'!X37</f>
        <v>0</v>
      </c>
      <c r="AE37" s="15">
        <f>$P37*'Allocation %'!Y37</f>
        <v>0</v>
      </c>
      <c r="AF37" s="15">
        <f>$P37*'Allocation %'!Z37</f>
        <v>0</v>
      </c>
      <c r="AG37" s="15">
        <f>$P37*'Allocation %'!AA37</f>
        <v>0.31760000000000005</v>
      </c>
      <c r="AH37" s="15">
        <f>$P37*'Allocation %'!AB37</f>
        <v>1.4292</v>
      </c>
      <c r="AI37" s="15">
        <f>$P37*'Allocation %'!AC37</f>
        <v>0</v>
      </c>
      <c r="AJ37" s="15">
        <f>$P37*'Allocation %'!AD37</f>
        <v>0</v>
      </c>
      <c r="AK37" s="15">
        <f>$P37*'Allocation %'!AE37</f>
        <v>14.1332</v>
      </c>
      <c r="AL37" s="15">
        <f>$P37*'Allocation %'!AF37</f>
        <v>0</v>
      </c>
      <c r="AM37" s="15">
        <f>$P37*'Allocation %'!AG37</f>
        <v>0</v>
      </c>
      <c r="AN37" s="15">
        <f>$P37*'Allocation %'!AH37</f>
        <v>0</v>
      </c>
      <c r="AO37" s="89">
        <f t="shared" si="2"/>
        <v>15.88</v>
      </c>
      <c r="AP37" s="19">
        <f t="shared" si="4"/>
        <v>0</v>
      </c>
    </row>
    <row r="38" spans="1:42" s="16" customFormat="1" ht="10.5" x14ac:dyDescent="0.25">
      <c r="A38" s="11">
        <f>Salary!A38</f>
        <v>35</v>
      </c>
      <c r="B38" s="17" t="str">
        <f>'Allocation %'!B38</f>
        <v xml:space="preserve">Williams, Kyneisha - Career Coach </v>
      </c>
      <c r="C38" s="17">
        <v>35</v>
      </c>
      <c r="D38" s="17" t="str">
        <f>'Allocation %'!D38</f>
        <v>United Airlines, PACE June 30</v>
      </c>
      <c r="E38" s="17">
        <f>'Allocation %'!E38</f>
        <v>0</v>
      </c>
      <c r="F38" s="27">
        <v>1538.47</v>
      </c>
      <c r="G38" s="27">
        <f>F38*$G$3</f>
        <v>40000.22</v>
      </c>
      <c r="H38" s="18"/>
      <c r="I38" s="18">
        <f>SUM(G38:H38)</f>
        <v>40000.22</v>
      </c>
      <c r="J38" s="18">
        <v>7.94</v>
      </c>
      <c r="K38" s="18">
        <v>7.94</v>
      </c>
      <c r="L38" s="18"/>
      <c r="M38" s="18"/>
      <c r="N38" s="18"/>
      <c r="O38" s="18"/>
      <c r="P38" s="18">
        <f t="shared" si="3"/>
        <v>15.88</v>
      </c>
      <c r="Q38" s="15">
        <f>$P38*'Allocation %'!J38</f>
        <v>0</v>
      </c>
      <c r="R38" s="15">
        <f>$P38*'Allocation %'!K38</f>
        <v>0</v>
      </c>
      <c r="S38" s="15">
        <f>$P38*'Allocation %'!M38</f>
        <v>0</v>
      </c>
      <c r="T38" s="15">
        <f>$P38*'Allocation %'!N38</f>
        <v>0</v>
      </c>
      <c r="U38" s="15">
        <f>$P38*'Allocation %'!O38</f>
        <v>0</v>
      </c>
      <c r="V38" s="15">
        <f>$P38*'Allocation %'!P38</f>
        <v>0</v>
      </c>
      <c r="W38" s="15">
        <f>$P38*'Allocation %'!Q38</f>
        <v>15.88</v>
      </c>
      <c r="X38" s="15">
        <f>$P38*'Allocation %'!R38</f>
        <v>0</v>
      </c>
      <c r="Y38" s="15">
        <f>$P38*'Allocation %'!S38</f>
        <v>0</v>
      </c>
      <c r="Z38" s="15">
        <f>$P38*'Allocation %'!T38</f>
        <v>0</v>
      </c>
      <c r="AA38" s="15">
        <f>$P38*'Allocation %'!U38</f>
        <v>0</v>
      </c>
      <c r="AB38" s="15">
        <f>$P38*'Allocation %'!V38</f>
        <v>0</v>
      </c>
      <c r="AC38" s="15">
        <f>$P38*'Allocation %'!W38</f>
        <v>0</v>
      </c>
      <c r="AD38" s="15">
        <f>$P38*'Allocation %'!X38</f>
        <v>0</v>
      </c>
      <c r="AE38" s="15">
        <f>$P38*'Allocation %'!Y38</f>
        <v>0</v>
      </c>
      <c r="AF38" s="15">
        <f>$P38*'Allocation %'!Z38</f>
        <v>0</v>
      </c>
      <c r="AG38" s="15">
        <f>$P38*'Allocation %'!AA38</f>
        <v>0</v>
      </c>
      <c r="AH38" s="15">
        <f>$P38*'Allocation %'!AB38</f>
        <v>0</v>
      </c>
      <c r="AI38" s="15">
        <f>$P38*'Allocation %'!AC38</f>
        <v>0</v>
      </c>
      <c r="AJ38" s="15">
        <f>$P38*'Allocation %'!AD38</f>
        <v>0</v>
      </c>
      <c r="AK38" s="15">
        <f>$P38*'Allocation %'!AE38</f>
        <v>0</v>
      </c>
      <c r="AL38" s="15">
        <f>$P38*'Allocation %'!AF38</f>
        <v>0</v>
      </c>
      <c r="AM38" s="15">
        <f>$P38*'Allocation %'!AG38</f>
        <v>0</v>
      </c>
      <c r="AN38" s="15">
        <f>$P38*'Allocation %'!AH38</f>
        <v>0</v>
      </c>
      <c r="AO38" s="89">
        <f t="shared" si="2"/>
        <v>15.88</v>
      </c>
      <c r="AP38" s="19">
        <f t="shared" si="4"/>
        <v>0</v>
      </c>
    </row>
    <row r="39" spans="1:42" s="16" customFormat="1" ht="10.5" x14ac:dyDescent="0.25">
      <c r="A39" s="11">
        <f>Salary!A39</f>
        <v>36</v>
      </c>
      <c r="B39" s="17" t="str">
        <f>'Allocation %'!B39</f>
        <v>WOODRIDGE, Rosalind</v>
      </c>
      <c r="C39" s="17">
        <v>36</v>
      </c>
      <c r="D39" s="17" t="str">
        <f>'Allocation %'!D39</f>
        <v>Wrap</v>
      </c>
      <c r="E39" s="17" t="str">
        <f>'Allocation %'!E39</f>
        <v>Wrap Teacher</v>
      </c>
      <c r="F39" s="18">
        <v>510</v>
      </c>
      <c r="G39" s="18">
        <f t="shared" si="0"/>
        <v>13260</v>
      </c>
      <c r="H39" s="18"/>
      <c r="I39" s="18">
        <f t="shared" si="8"/>
        <v>13260</v>
      </c>
      <c r="J39" s="18"/>
      <c r="K39" s="18"/>
      <c r="L39" s="18"/>
      <c r="M39" s="18"/>
      <c r="N39" s="18"/>
      <c r="O39" s="18"/>
      <c r="P39" s="18">
        <f t="shared" si="3"/>
        <v>0</v>
      </c>
      <c r="Q39" s="15">
        <f>$P39*'Allocation %'!J39</f>
        <v>0</v>
      </c>
      <c r="R39" s="15">
        <f>$P39*'Allocation %'!K39</f>
        <v>0</v>
      </c>
      <c r="S39" s="15">
        <f>$P39*'Allocation %'!M39</f>
        <v>0</v>
      </c>
      <c r="T39" s="15">
        <f>$P39*'Allocation %'!N39</f>
        <v>0</v>
      </c>
      <c r="U39" s="15">
        <f>$P39*'Allocation %'!O39</f>
        <v>0</v>
      </c>
      <c r="V39" s="15">
        <f>$P39*'Allocation %'!P39</f>
        <v>0</v>
      </c>
      <c r="W39" s="15">
        <f>$P39*'Allocation %'!Q39</f>
        <v>0</v>
      </c>
      <c r="X39" s="15">
        <f>$P39*'Allocation %'!R39</f>
        <v>0</v>
      </c>
      <c r="Y39" s="15">
        <f>$P39*'Allocation %'!S39</f>
        <v>0</v>
      </c>
      <c r="Z39" s="15">
        <f>$P39*'Allocation %'!T39</f>
        <v>0</v>
      </c>
      <c r="AA39" s="15">
        <f>$P39*'Allocation %'!U39</f>
        <v>0</v>
      </c>
      <c r="AB39" s="15">
        <f>$P39*'Allocation %'!V39</f>
        <v>0</v>
      </c>
      <c r="AC39" s="15">
        <f>$P39*'Allocation %'!W39</f>
        <v>0</v>
      </c>
      <c r="AD39" s="15">
        <f>$P39*'Allocation %'!X39</f>
        <v>0</v>
      </c>
      <c r="AE39" s="15">
        <f>$P39*'Allocation %'!Y39</f>
        <v>0</v>
      </c>
      <c r="AF39" s="15">
        <f>$P39*'Allocation %'!Z39</f>
        <v>0</v>
      </c>
      <c r="AG39" s="15">
        <f>$P39*'Allocation %'!AA39</f>
        <v>0</v>
      </c>
      <c r="AH39" s="15">
        <f>$P39*'Allocation %'!AB39</f>
        <v>0</v>
      </c>
      <c r="AI39" s="15">
        <f>$P39*'Allocation %'!AC39</f>
        <v>0</v>
      </c>
      <c r="AJ39" s="15">
        <f>$P39*'Allocation %'!AD39</f>
        <v>0</v>
      </c>
      <c r="AK39" s="15">
        <f>$P39*'Allocation %'!AE39</f>
        <v>0</v>
      </c>
      <c r="AL39" s="15">
        <f>$P39*'Allocation %'!AF39</f>
        <v>0</v>
      </c>
      <c r="AM39" s="15">
        <f>$P39*'Allocation %'!AG39</f>
        <v>0</v>
      </c>
      <c r="AN39" s="15">
        <f>$P39*'Allocation %'!AH39</f>
        <v>0</v>
      </c>
      <c r="AO39" s="89">
        <f t="shared" si="2"/>
        <v>0</v>
      </c>
      <c r="AP39" s="19">
        <f t="shared" si="4"/>
        <v>0</v>
      </c>
    </row>
    <row r="40" spans="1:42" s="16" customFormat="1" ht="10.5" x14ac:dyDescent="0.25">
      <c r="A40" s="11"/>
      <c r="B40" s="17"/>
      <c r="C40" s="17"/>
      <c r="D40" s="17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f t="shared" si="3"/>
        <v>0</v>
      </c>
      <c r="Q40" s="15">
        <f>$P40*'Allocation %'!J40</f>
        <v>0</v>
      </c>
      <c r="R40" s="15">
        <f>$P40*'Allocation %'!K40</f>
        <v>0</v>
      </c>
      <c r="S40" s="15">
        <f>$P40*'Allocation %'!M40</f>
        <v>0</v>
      </c>
      <c r="T40" s="15">
        <f>$P40*'Allocation %'!N40</f>
        <v>0</v>
      </c>
      <c r="U40" s="15">
        <f>$P40*'Allocation %'!O40</f>
        <v>0</v>
      </c>
      <c r="V40" s="15">
        <f>$P40*'Allocation %'!P40</f>
        <v>0</v>
      </c>
      <c r="W40" s="15">
        <f>$P40*'Allocation %'!Q40</f>
        <v>0</v>
      </c>
      <c r="X40" s="15">
        <f>$P40*'Allocation %'!R40</f>
        <v>0</v>
      </c>
      <c r="Y40" s="15">
        <f>$P40*'Allocation %'!S40</f>
        <v>0</v>
      </c>
      <c r="Z40" s="15">
        <f>$P40*'Allocation %'!T40</f>
        <v>0</v>
      </c>
      <c r="AA40" s="15">
        <f>$P40*'Allocation %'!U40</f>
        <v>0</v>
      </c>
      <c r="AB40" s="15">
        <f>$P40*'Allocation %'!V40</f>
        <v>0</v>
      </c>
      <c r="AC40" s="15">
        <f>$P40*'Allocation %'!W40</f>
        <v>0</v>
      </c>
      <c r="AD40" s="15">
        <f>$P40*'Allocation %'!X40</f>
        <v>0</v>
      </c>
      <c r="AE40" s="15">
        <f>$P40*'Allocation %'!Y40</f>
        <v>0</v>
      </c>
      <c r="AF40" s="15">
        <f>$P40*'Allocation %'!Z40</f>
        <v>0</v>
      </c>
      <c r="AG40" s="15">
        <f>$P40*'Allocation %'!AA40</f>
        <v>0</v>
      </c>
      <c r="AH40" s="15">
        <f>$P40*'Allocation %'!AB40</f>
        <v>0</v>
      </c>
      <c r="AI40" s="15">
        <f>$P40*'Allocation %'!AC40</f>
        <v>0</v>
      </c>
      <c r="AJ40" s="15">
        <f>$P40*'Allocation %'!AD40</f>
        <v>0</v>
      </c>
      <c r="AK40" s="15">
        <f>$P40*'Allocation %'!AE40</f>
        <v>0</v>
      </c>
      <c r="AL40" s="15">
        <f>$P40*'Allocation %'!AF40</f>
        <v>0</v>
      </c>
      <c r="AM40" s="15">
        <f>$P40*'Allocation %'!AG40</f>
        <v>0</v>
      </c>
      <c r="AN40" s="15">
        <f>$P40*'Allocation %'!AH40</f>
        <v>0</v>
      </c>
      <c r="AO40" s="89">
        <f t="shared" si="2"/>
        <v>0</v>
      </c>
      <c r="AP40" s="19">
        <f t="shared" si="4"/>
        <v>0</v>
      </c>
    </row>
    <row r="41" spans="1:42" s="16" customFormat="1" ht="11" thickBot="1" x14ac:dyDescent="0.3">
      <c r="A41" s="11"/>
      <c r="B41" s="17"/>
      <c r="C41" s="17"/>
      <c r="D41" s="33"/>
      <c r="E41" s="33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89">
        <f t="shared" si="2"/>
        <v>0</v>
      </c>
      <c r="AP41" s="19">
        <f t="shared" si="4"/>
        <v>0</v>
      </c>
    </row>
    <row r="42" spans="1:42" s="37" customFormat="1" ht="11" thickBot="1" x14ac:dyDescent="0.3">
      <c r="A42" s="34"/>
      <c r="B42" s="17"/>
      <c r="C42" s="17"/>
      <c r="D42" s="33"/>
      <c r="E42" s="33"/>
      <c r="F42" s="35">
        <f>SUM(F4:F41)</f>
        <v>62760.78</v>
      </c>
      <c r="G42" s="35">
        <f t="shared" ref="G42:AO42" si="9">SUM(G4:G41)</f>
        <v>1631780.28</v>
      </c>
      <c r="H42" s="35">
        <f t="shared" si="9"/>
        <v>6538.4699999999993</v>
      </c>
      <c r="I42" s="35">
        <f t="shared" si="9"/>
        <v>1647780.42</v>
      </c>
      <c r="J42" s="35">
        <f t="shared" si="9"/>
        <v>95.08</v>
      </c>
      <c r="K42" s="35">
        <f t="shared" si="9"/>
        <v>95.08</v>
      </c>
      <c r="L42" s="35">
        <f t="shared" si="9"/>
        <v>0</v>
      </c>
      <c r="M42" s="35">
        <f t="shared" si="9"/>
        <v>0</v>
      </c>
      <c r="N42" s="35">
        <f t="shared" si="9"/>
        <v>0</v>
      </c>
      <c r="O42" s="35">
        <f t="shared" si="9"/>
        <v>0</v>
      </c>
      <c r="P42" s="75">
        <f t="shared" si="9"/>
        <v>190.16</v>
      </c>
      <c r="Q42" s="35">
        <f t="shared" si="9"/>
        <v>26.553599999999999</v>
      </c>
      <c r="R42" s="35">
        <f t="shared" si="9"/>
        <v>3.3264000000000005</v>
      </c>
      <c r="S42" s="35">
        <f t="shared" si="9"/>
        <v>13.12</v>
      </c>
      <c r="T42" s="35">
        <f t="shared" si="9"/>
        <v>43.561</v>
      </c>
      <c r="U42" s="35">
        <f t="shared" si="9"/>
        <v>6.56</v>
      </c>
      <c r="V42" s="35">
        <f t="shared" ref="V42" si="10">SUM(V4:V41)</f>
        <v>3.8111999999999999</v>
      </c>
      <c r="W42" s="35">
        <f t="shared" ref="W42:X42" si="11">SUM(W4:W41)</f>
        <v>15.88</v>
      </c>
      <c r="X42" s="35">
        <f t="shared" si="11"/>
        <v>1.64</v>
      </c>
      <c r="Y42" s="35">
        <f t="shared" ref="Y42" si="12">SUM(Y4:Y41)</f>
        <v>1.1807999999999998</v>
      </c>
      <c r="Z42" s="35">
        <f t="shared" ref="Z42:AB42" si="13">SUM(Z4:Z41)</f>
        <v>1.2532000000000001</v>
      </c>
      <c r="AA42" s="35">
        <f t="shared" si="13"/>
        <v>2.2751999999999999</v>
      </c>
      <c r="AB42" s="35">
        <f t="shared" si="13"/>
        <v>1.9576</v>
      </c>
      <c r="AC42" s="35">
        <f t="shared" ref="AC42:AF42" si="14">SUM(AC4:AC41)</f>
        <v>0.95279999999999998</v>
      </c>
      <c r="AD42" s="35">
        <f t="shared" si="14"/>
        <v>6.1932000000000009</v>
      </c>
      <c r="AE42" s="35">
        <f t="shared" si="14"/>
        <v>0</v>
      </c>
      <c r="AF42" s="35">
        <f t="shared" si="14"/>
        <v>0</v>
      </c>
      <c r="AG42" s="35">
        <f t="shared" si="9"/>
        <v>4.6052</v>
      </c>
      <c r="AH42" s="35">
        <f t="shared" si="9"/>
        <v>6.0343999999999998</v>
      </c>
      <c r="AI42" s="35">
        <f t="shared" si="9"/>
        <v>6.9872000000000005</v>
      </c>
      <c r="AJ42" s="35">
        <f t="shared" si="9"/>
        <v>25.83</v>
      </c>
      <c r="AK42" s="35">
        <f t="shared" si="9"/>
        <v>15.568200000000001</v>
      </c>
      <c r="AL42" s="35">
        <f t="shared" si="9"/>
        <v>2.87</v>
      </c>
      <c r="AM42" s="35">
        <f t="shared" si="9"/>
        <v>0</v>
      </c>
      <c r="AN42" s="35">
        <f t="shared" si="9"/>
        <v>0</v>
      </c>
      <c r="AO42" s="90">
        <f t="shared" si="9"/>
        <v>190.15999999999997</v>
      </c>
      <c r="AP42" s="36"/>
    </row>
    <row r="43" spans="1:42" s="10" customFormat="1" ht="15" x14ac:dyDescent="0.4">
      <c r="A43" s="15"/>
      <c r="B43" s="29"/>
      <c r="C43" s="29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9">
        <f t="shared" ref="Q43:Y43" si="15">Q42/$AO$42</f>
        <v>0.13963819941102232</v>
      </c>
      <c r="R43" s="39">
        <f t="shared" si="15"/>
        <v>1.7492637778712669E-2</v>
      </c>
      <c r="S43" s="39">
        <f t="shared" si="15"/>
        <v>6.8994530921329414E-2</v>
      </c>
      <c r="T43" s="39">
        <f t="shared" si="15"/>
        <v>0.22907551535549014</v>
      </c>
      <c r="U43" s="39">
        <f t="shared" si="15"/>
        <v>3.4497265460664707E-2</v>
      </c>
      <c r="V43" s="39">
        <f t="shared" si="15"/>
        <v>2.0042069835927642E-2</v>
      </c>
      <c r="W43" s="39">
        <f t="shared" si="15"/>
        <v>8.3508624316365188E-2</v>
      </c>
      <c r="X43" s="39">
        <f t="shared" si="15"/>
        <v>8.6243163651661767E-3</v>
      </c>
      <c r="Y43" s="39">
        <f t="shared" si="15"/>
        <v>6.209507782919647E-3</v>
      </c>
      <c r="Z43" s="39">
        <f t="shared" ref="Z43:AB43" si="16">Z42/$AO$42</f>
        <v>6.5902397980647891E-3</v>
      </c>
      <c r="AA43" s="39">
        <f t="shared" si="16"/>
        <v>1.1964661337820783E-2</v>
      </c>
      <c r="AB43" s="39">
        <f t="shared" si="16"/>
        <v>1.0294488851493481E-2</v>
      </c>
      <c r="AC43" s="39">
        <f t="shared" ref="AC43" si="17">AC42/$AO$42</f>
        <v>5.0105174589819106E-3</v>
      </c>
      <c r="AD43" s="39">
        <f t="shared" ref="AD43" si="18">AD42/$AO$42</f>
        <v>3.2568363483382427E-2</v>
      </c>
      <c r="AE43" s="39">
        <f t="shared" ref="AE43" si="19">AE42/$AO$42</f>
        <v>0</v>
      </c>
      <c r="AF43" s="39">
        <f t="shared" ref="AF43" si="20">AF42/$AO$42</f>
        <v>0</v>
      </c>
      <c r="AG43" s="39">
        <f t="shared" ref="AG43:AN43" si="21">AG42/$AO$42</f>
        <v>2.4217501051745902E-2</v>
      </c>
      <c r="AH43" s="39">
        <f t="shared" si="21"/>
        <v>3.1733277240218766E-2</v>
      </c>
      <c r="AI43" s="39">
        <f t="shared" si="21"/>
        <v>3.674379469920068E-2</v>
      </c>
      <c r="AJ43" s="39">
        <f t="shared" si="21"/>
        <v>0.13583298275136729</v>
      </c>
      <c r="AK43" s="39">
        <f t="shared" si="21"/>
        <v>8.1868952461085415E-2</v>
      </c>
      <c r="AL43" s="39">
        <f t="shared" si="21"/>
        <v>1.5092553639040811E-2</v>
      </c>
      <c r="AM43" s="39">
        <f t="shared" si="21"/>
        <v>0</v>
      </c>
      <c r="AN43" s="39">
        <f t="shared" si="21"/>
        <v>0</v>
      </c>
      <c r="AO43" s="39">
        <f>SUM(Q43:AN43)</f>
        <v>1.0000000000000002</v>
      </c>
    </row>
    <row r="44" spans="1:42" ht="15" thickBot="1" x14ac:dyDescent="0.4"/>
    <row r="45" spans="1:42" ht="15" thickBot="1" x14ac:dyDescent="0.4">
      <c r="Q45" s="71" t="str">
        <f>Q2</f>
        <v>Abbott</v>
      </c>
      <c r="R45" s="71" t="str">
        <f t="shared" ref="R45:AN45" si="22">R2</f>
        <v>Abbott - Other</v>
      </c>
      <c r="S45" s="71" t="str">
        <f t="shared" si="22"/>
        <v>Toddlers</v>
      </c>
      <c r="T45" s="71" t="str">
        <f t="shared" si="22"/>
        <v>USJP</v>
      </c>
      <c r="U45" s="71" t="str">
        <f t="shared" si="22"/>
        <v>Workforce UA</v>
      </c>
      <c r="V45" s="71" t="str">
        <f t="shared" ref="V45" si="23">V2</f>
        <v>Pru -Workforce</v>
      </c>
      <c r="W45" s="71" t="str">
        <f t="shared" ref="W45:X45" si="24">W2</f>
        <v>PACE</v>
      </c>
      <c r="X45" s="71" t="str">
        <f t="shared" si="24"/>
        <v>Housing ESG</v>
      </c>
      <c r="Y45" s="71" t="str">
        <f t="shared" ref="Y45" si="25">Y2</f>
        <v>NRTC18</v>
      </c>
      <c r="Z45" s="71" t="str">
        <f t="shared" ref="Z45:AB45" si="26">Z2</f>
        <v>NRTC 20</v>
      </c>
      <c r="AA45" s="71" t="str">
        <f t="shared" si="26"/>
        <v>CDBG</v>
      </c>
      <c r="AB45" s="71" t="str">
        <f t="shared" si="26"/>
        <v>PARS</v>
      </c>
      <c r="AC45" s="71" t="str">
        <f t="shared" ref="AC45:AF45" si="27">AC2</f>
        <v>Save Up2</v>
      </c>
      <c r="AD45" s="71" t="str">
        <f t="shared" si="27"/>
        <v>LISC 2020</v>
      </c>
      <c r="AE45" s="71" t="str">
        <f t="shared" si="27"/>
        <v xml:space="preserve">PRU -FOC </v>
      </c>
      <c r="AF45" s="71" t="str">
        <f t="shared" si="27"/>
        <v>NRTC 18</v>
      </c>
      <c r="AG45" s="71" t="str">
        <f t="shared" si="22"/>
        <v>Real Estate/NRTC</v>
      </c>
      <c r="AH45" s="71" t="str">
        <f t="shared" si="22"/>
        <v>Coding</v>
      </c>
      <c r="AI45" s="71" t="str">
        <f t="shared" si="22"/>
        <v>Neigh Revit</v>
      </c>
      <c r="AJ45" s="71" t="str">
        <f t="shared" si="22"/>
        <v>CEO</v>
      </c>
      <c r="AK45" s="71" t="str">
        <f t="shared" si="22"/>
        <v>CFO</v>
      </c>
      <c r="AL45" s="71" t="str">
        <f t="shared" si="22"/>
        <v>Fundraising</v>
      </c>
      <c r="AM45" s="71" t="str">
        <f t="shared" si="22"/>
        <v>Opprt Corp</v>
      </c>
      <c r="AN45" s="71">
        <f t="shared" si="22"/>
        <v>0</v>
      </c>
      <c r="AO45" s="47" t="s">
        <v>35</v>
      </c>
    </row>
    <row r="46" spans="1:42" x14ac:dyDescent="0.35">
      <c r="I46" s="44" t="s">
        <v>36</v>
      </c>
      <c r="Q46" s="48">
        <v>14</v>
      </c>
      <c r="R46" s="48"/>
      <c r="S46" s="48">
        <v>2</v>
      </c>
      <c r="T46" s="48">
        <v>4</v>
      </c>
      <c r="U46" s="48">
        <v>4</v>
      </c>
      <c r="V46" s="48"/>
      <c r="W46" s="48">
        <v>5</v>
      </c>
      <c r="X46" s="48">
        <v>6</v>
      </c>
      <c r="Y46" s="48"/>
      <c r="Z46" s="48"/>
      <c r="AA46" s="48"/>
      <c r="AB46" s="48"/>
      <c r="AC46" s="48"/>
      <c r="AD46" s="48"/>
      <c r="AE46" s="48">
        <v>2</v>
      </c>
      <c r="AF46" s="48"/>
      <c r="AG46" s="48">
        <v>1.5</v>
      </c>
      <c r="AH46" s="48">
        <v>1.5</v>
      </c>
      <c r="AI46" s="48">
        <v>1.5</v>
      </c>
      <c r="AJ46" s="48">
        <v>2</v>
      </c>
      <c r="AK46" s="48">
        <v>2</v>
      </c>
      <c r="AL46" s="48"/>
      <c r="AM46" s="48">
        <v>1</v>
      </c>
      <c r="AN46" s="48"/>
      <c r="AO46" s="39">
        <f>SUM(Q46:AN46)</f>
        <v>46.5</v>
      </c>
    </row>
    <row r="48" spans="1:42" x14ac:dyDescent="0.35">
      <c r="I48" s="44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8"/>
  <sheetViews>
    <sheetView topLeftCell="W5" workbookViewId="0">
      <selection activeCell="Y46" sqref="Y46"/>
    </sheetView>
  </sheetViews>
  <sheetFormatPr defaultRowHeight="14.5" x14ac:dyDescent="0.35"/>
  <cols>
    <col min="1" max="1" width="6.81640625" style="11" customWidth="1"/>
    <col min="2" max="2" width="35.7265625" style="40" customWidth="1"/>
    <col min="3" max="3" width="4.7265625" style="40" customWidth="1"/>
    <col min="4" max="4" width="22.81640625" style="41" customWidth="1"/>
    <col min="5" max="5" width="22.7265625" style="42" customWidth="1"/>
    <col min="6" max="6" width="19.453125" style="43" hidden="1" customWidth="1"/>
    <col min="7" max="8" width="19.453125" style="44" hidden="1" customWidth="1"/>
    <col min="9" max="11" width="14" style="44" customWidth="1"/>
    <col min="12" max="15" width="14" style="44" hidden="1" customWidth="1"/>
    <col min="16" max="16" width="14" style="44" customWidth="1"/>
    <col min="17" max="17" width="16.1796875" bestFit="1" customWidth="1"/>
    <col min="18" max="18" width="16.1796875" customWidth="1"/>
    <col min="19" max="19" width="10.7265625" bestFit="1" customWidth="1"/>
    <col min="20" max="20" width="11.54296875" bestFit="1" customWidth="1"/>
    <col min="21" max="23" width="15.81640625" customWidth="1"/>
    <col min="24" max="32" width="13.81640625" customWidth="1"/>
    <col min="33" max="33" width="12.54296875" customWidth="1"/>
    <col min="34" max="35" width="11.54296875" bestFit="1" customWidth="1"/>
    <col min="36" max="37" width="11.7265625" bestFit="1" customWidth="1"/>
    <col min="38" max="38" width="11.7265625" customWidth="1"/>
    <col min="39" max="39" width="10.7265625" bestFit="1" customWidth="1"/>
    <col min="40" max="40" width="11.54296875" bestFit="1" customWidth="1"/>
    <col min="41" max="41" width="12.1796875" customWidth="1"/>
    <col min="42" max="42" width="11.81640625" customWidth="1"/>
  </cols>
  <sheetData>
    <row r="1" spans="1:44" ht="15" thickBot="1" x14ac:dyDescent="0.4">
      <c r="B1" s="40" t="s">
        <v>58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</row>
    <row r="2" spans="1:44" ht="18.75" customHeight="1" thickBot="1" x14ac:dyDescent="0.4">
      <c r="A2" s="1"/>
      <c r="B2" s="2" t="s">
        <v>0</v>
      </c>
      <c r="C2" s="3"/>
      <c r="D2" s="4" t="s">
        <v>1</v>
      </c>
      <c r="E2" s="4"/>
      <c r="F2" s="5" t="s">
        <v>2</v>
      </c>
      <c r="G2" s="4" t="s">
        <v>3</v>
      </c>
      <c r="H2" s="4" t="s">
        <v>4</v>
      </c>
      <c r="I2" s="4" t="s">
        <v>5</v>
      </c>
      <c r="J2" s="72">
        <v>43843</v>
      </c>
      <c r="K2" s="72">
        <v>43857</v>
      </c>
      <c r="L2" s="72"/>
      <c r="M2" s="72"/>
      <c r="N2" s="72"/>
      <c r="O2" s="72"/>
      <c r="P2" s="72" t="s">
        <v>73</v>
      </c>
      <c r="Q2" s="69" t="str">
        <f>'Emp''ee Dental '!Q2</f>
        <v>Abbott</v>
      </c>
      <c r="R2" s="69" t="str">
        <f>'Emp''ee Dental '!R2</f>
        <v>Abbott - Other</v>
      </c>
      <c r="S2" s="69" t="str">
        <f>'Emp''ee Dental '!S2</f>
        <v>Toddlers</v>
      </c>
      <c r="T2" s="69" t="str">
        <f>'Emp''ee Dental '!T2</f>
        <v>USJP</v>
      </c>
      <c r="U2" s="78" t="str">
        <f>'Emp''ee Dental '!U2</f>
        <v>Workforce UA</v>
      </c>
      <c r="V2" s="78" t="str">
        <f>'Emp''ee Dental '!V2</f>
        <v>Pru -Workforce</v>
      </c>
      <c r="W2" s="78" t="str">
        <f>'Emp''ee Dental '!W2</f>
        <v>PACE</v>
      </c>
      <c r="X2" s="83" t="str">
        <f>'Emp''ee Dental '!X2</f>
        <v>Housing ESG</v>
      </c>
      <c r="Y2" s="83" t="str">
        <f>'Emp''ee Dental '!Y2</f>
        <v>NRTC18</v>
      </c>
      <c r="Z2" s="83" t="str">
        <f>'Emp''ee Dental '!Z2</f>
        <v>NRTC 20</v>
      </c>
      <c r="AA2" s="83" t="str">
        <f>'Emp''ee Dental '!AA2</f>
        <v>CDBG</v>
      </c>
      <c r="AB2" s="83" t="str">
        <f>'Emp''ee Dental '!AB2</f>
        <v>PARS</v>
      </c>
      <c r="AC2" s="84" t="str">
        <f>'Emp''ee Dental '!AC2</f>
        <v>Save Up2</v>
      </c>
      <c r="AD2" s="84" t="str">
        <f>'Emp''ee Dental '!AD2</f>
        <v>LISC 2020</v>
      </c>
      <c r="AE2" s="84" t="str">
        <f>'Emp''ee Dental '!AE2</f>
        <v xml:space="preserve">PRU -FOC </v>
      </c>
      <c r="AF2" s="84" t="str">
        <f>'Emp''ee Dental '!AF2</f>
        <v>NRTC 18</v>
      </c>
      <c r="AG2" s="86" t="str">
        <f>'Emp''ee Dental '!AG2</f>
        <v>Real Estate/NRTC</v>
      </c>
      <c r="AH2" s="86" t="str">
        <f>'Emp''ee Dental '!AH2</f>
        <v>Coding</v>
      </c>
      <c r="AI2" s="86" t="str">
        <f>'Emp''ee Dental '!AI2</f>
        <v>Neigh Revit</v>
      </c>
      <c r="AJ2" s="69" t="str">
        <f>'Emp''ee Dental '!AJ2</f>
        <v>CEO</v>
      </c>
      <c r="AK2" s="69" t="str">
        <f>'Emp''ee Dental '!AK2</f>
        <v>CFO</v>
      </c>
      <c r="AL2" s="69" t="str">
        <f>'Emp''ee Dental '!AL2</f>
        <v>Fundraising</v>
      </c>
      <c r="AM2" s="69" t="str">
        <f>'Emp''ee Dental '!AM2</f>
        <v>Opprt Corp</v>
      </c>
      <c r="AN2" s="87"/>
      <c r="AO2" s="88" t="s">
        <v>73</v>
      </c>
    </row>
    <row r="3" spans="1:44" s="16" customFormat="1" ht="10.5" x14ac:dyDescent="0.25">
      <c r="A3" s="11"/>
      <c r="B3" s="12"/>
      <c r="C3" s="12"/>
      <c r="D3" s="13"/>
      <c r="E3" s="13"/>
      <c r="F3" s="14"/>
      <c r="G3" s="13">
        <v>26</v>
      </c>
      <c r="H3" s="13"/>
      <c r="I3" s="13"/>
      <c r="J3" s="13"/>
      <c r="K3" s="13"/>
      <c r="L3" s="13"/>
      <c r="M3" s="13"/>
      <c r="N3" s="13"/>
      <c r="O3" s="13"/>
      <c r="P3" s="13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89"/>
    </row>
    <row r="4" spans="1:44" s="16" customFormat="1" ht="10.5" x14ac:dyDescent="0.25">
      <c r="A4" s="11">
        <f>Salary!A4</f>
        <v>1</v>
      </c>
      <c r="B4" s="17" t="str">
        <f>'Allocation %'!B4</f>
        <v>ANDREWS, Cora</v>
      </c>
      <c r="C4" s="17">
        <v>1</v>
      </c>
      <c r="D4" s="17" t="str">
        <f>'Allocation %'!D4</f>
        <v>Abbott</v>
      </c>
      <c r="E4" s="17" t="str">
        <f>'Allocation %'!E4</f>
        <v>Security</v>
      </c>
      <c r="F4" s="18">
        <v>1120</v>
      </c>
      <c r="G4" s="18">
        <f t="shared" ref="G4:G39" si="0">F4*$G$3</f>
        <v>29120</v>
      </c>
      <c r="H4" s="18"/>
      <c r="I4" s="18">
        <f t="shared" ref="I4:I9" si="1">SUM(G4:H4)</f>
        <v>29120</v>
      </c>
      <c r="J4" s="18">
        <v>50</v>
      </c>
      <c r="K4" s="18">
        <v>50</v>
      </c>
      <c r="L4" s="18"/>
      <c r="M4" s="18"/>
      <c r="N4" s="18"/>
      <c r="O4" s="18"/>
      <c r="P4" s="18">
        <f>SUM(J4:O4)</f>
        <v>100</v>
      </c>
      <c r="Q4" s="15">
        <f>$P4*'Allocation %'!J4</f>
        <v>100</v>
      </c>
      <c r="R4" s="15">
        <f>$P4*'Allocation %'!K4</f>
        <v>0</v>
      </c>
      <c r="S4" s="15">
        <f>$P4*'Allocation %'!M4</f>
        <v>0</v>
      </c>
      <c r="T4" s="15">
        <f>$P4*'Allocation %'!N4</f>
        <v>0</v>
      </c>
      <c r="U4" s="15">
        <f>$P4*'Allocation %'!O4</f>
        <v>0</v>
      </c>
      <c r="V4" s="15">
        <f>$P4*'Allocation %'!P4</f>
        <v>0</v>
      </c>
      <c r="W4" s="15">
        <f>$P4*'Allocation %'!Q4</f>
        <v>0</v>
      </c>
      <c r="X4" s="15">
        <f>$P4*'Allocation %'!R4</f>
        <v>0</v>
      </c>
      <c r="Y4" s="15">
        <f>$P4*'Allocation %'!S4</f>
        <v>0</v>
      </c>
      <c r="Z4" s="15">
        <f>$P4*'Allocation %'!T4</f>
        <v>0</v>
      </c>
      <c r="AA4" s="15">
        <f>$P4*'Allocation %'!U4</f>
        <v>0</v>
      </c>
      <c r="AB4" s="15">
        <f>$P4*'Allocation %'!V4</f>
        <v>0</v>
      </c>
      <c r="AC4" s="15">
        <f>$P4*'Allocation %'!W4</f>
        <v>0</v>
      </c>
      <c r="AD4" s="15">
        <f>$P4*'Allocation %'!X4</f>
        <v>0</v>
      </c>
      <c r="AE4" s="15">
        <f>$P4*'Allocation %'!Y4</f>
        <v>0</v>
      </c>
      <c r="AF4" s="15">
        <f>$P4*'Allocation %'!Z4</f>
        <v>0</v>
      </c>
      <c r="AG4" s="15">
        <f>$P4*'Allocation %'!AA4</f>
        <v>0</v>
      </c>
      <c r="AH4" s="15">
        <f>$P4*'Allocation %'!AB4</f>
        <v>0</v>
      </c>
      <c r="AI4" s="15">
        <f>$P4*'Allocation %'!AC4</f>
        <v>0</v>
      </c>
      <c r="AJ4" s="15">
        <f>$P4*'Allocation %'!AD4</f>
        <v>0</v>
      </c>
      <c r="AK4" s="15">
        <f>$P4*'Allocation %'!AE4</f>
        <v>0</v>
      </c>
      <c r="AL4" s="15">
        <f>$P4*'Allocation %'!AF4</f>
        <v>0</v>
      </c>
      <c r="AM4" s="15">
        <f>$P4*'Allocation %'!AG4</f>
        <v>0</v>
      </c>
      <c r="AN4" s="15">
        <f>$P4*'Allocation %'!AH4</f>
        <v>0</v>
      </c>
      <c r="AO4" s="89">
        <f t="shared" ref="AO4:AO41" si="2">SUM(Q4:AN4)</f>
        <v>100</v>
      </c>
      <c r="AP4" s="19">
        <f t="shared" ref="AP4:AP41" si="3">P4-AO4</f>
        <v>0</v>
      </c>
    </row>
    <row r="5" spans="1:44" s="16" customFormat="1" ht="10.5" x14ac:dyDescent="0.25">
      <c r="A5" s="11">
        <f>Salary!A5</f>
        <v>2</v>
      </c>
      <c r="B5" s="17" t="str">
        <f>'Allocation %'!B5</f>
        <v>Bennett, Patricia A.</v>
      </c>
      <c r="C5" s="17">
        <v>2</v>
      </c>
      <c r="D5" s="17" t="str">
        <f>'Allocation %'!D5</f>
        <v>Abbott, Admin</v>
      </c>
      <c r="E5" s="17" t="str">
        <f>'Allocation %'!E5</f>
        <v>Custodian</v>
      </c>
      <c r="F5" s="18">
        <v>650</v>
      </c>
      <c r="G5" s="20">
        <f>F5*$G$3</f>
        <v>16900</v>
      </c>
      <c r="H5" s="18"/>
      <c r="I5" s="18">
        <f>SUM(G5:H5)</f>
        <v>16900</v>
      </c>
      <c r="J5" s="18"/>
      <c r="K5" s="18"/>
      <c r="L5" s="18"/>
      <c r="M5" s="18"/>
      <c r="N5" s="18"/>
      <c r="O5" s="18"/>
      <c r="P5" s="18">
        <f t="shared" ref="P5:P40" si="4">SUM(J5:O5)</f>
        <v>0</v>
      </c>
      <c r="Q5" s="15">
        <f>$P5*'Allocation %'!J5</f>
        <v>0</v>
      </c>
      <c r="R5" s="15">
        <f>$P5*'Allocation %'!K5</f>
        <v>0</v>
      </c>
      <c r="S5" s="15">
        <f>$P5*'Allocation %'!M5</f>
        <v>0</v>
      </c>
      <c r="T5" s="15">
        <f>$P5*'Allocation %'!N5</f>
        <v>0</v>
      </c>
      <c r="U5" s="15">
        <f>$P5*'Allocation %'!O5</f>
        <v>0</v>
      </c>
      <c r="V5" s="15">
        <f>$P5*'Allocation %'!P5</f>
        <v>0</v>
      </c>
      <c r="W5" s="15">
        <f>$P5*'Allocation %'!Q5</f>
        <v>0</v>
      </c>
      <c r="X5" s="15">
        <f>$P5*'Allocation %'!R5</f>
        <v>0</v>
      </c>
      <c r="Y5" s="15">
        <f>$P5*'Allocation %'!S5</f>
        <v>0</v>
      </c>
      <c r="Z5" s="15">
        <f>$P5*'Allocation %'!T5</f>
        <v>0</v>
      </c>
      <c r="AA5" s="15">
        <f>$P5*'Allocation %'!U5</f>
        <v>0</v>
      </c>
      <c r="AB5" s="15">
        <f>$P5*'Allocation %'!V5</f>
        <v>0</v>
      </c>
      <c r="AC5" s="15">
        <f>$P5*'Allocation %'!W5</f>
        <v>0</v>
      </c>
      <c r="AD5" s="15">
        <f>$P5*'Allocation %'!X5</f>
        <v>0</v>
      </c>
      <c r="AE5" s="15">
        <f>$P5*'Allocation %'!Y5</f>
        <v>0</v>
      </c>
      <c r="AF5" s="15">
        <f>$P5*'Allocation %'!Z5</f>
        <v>0</v>
      </c>
      <c r="AG5" s="15">
        <f>$P5*'Allocation %'!AA5</f>
        <v>0</v>
      </c>
      <c r="AH5" s="15">
        <f>$P5*'Allocation %'!AB5</f>
        <v>0</v>
      </c>
      <c r="AI5" s="15">
        <f>$P5*'Allocation %'!AC5</f>
        <v>0</v>
      </c>
      <c r="AJ5" s="15">
        <f>$P5*'Allocation %'!AD5</f>
        <v>0</v>
      </c>
      <c r="AK5" s="15">
        <f>$P5*'Allocation %'!AE5</f>
        <v>0</v>
      </c>
      <c r="AL5" s="15">
        <f>$P5*'Allocation %'!AF5</f>
        <v>0</v>
      </c>
      <c r="AM5" s="15">
        <f>$P5*'Allocation %'!AG5</f>
        <v>0</v>
      </c>
      <c r="AN5" s="15">
        <f>$P5*'Allocation %'!AH5</f>
        <v>0</v>
      </c>
      <c r="AO5" s="89">
        <f t="shared" si="2"/>
        <v>0</v>
      </c>
      <c r="AP5" s="19">
        <f t="shared" si="3"/>
        <v>0</v>
      </c>
    </row>
    <row r="6" spans="1:44" s="16" customFormat="1" ht="10.5" x14ac:dyDescent="0.25">
      <c r="A6" s="11">
        <f>Salary!A6</f>
        <v>3</v>
      </c>
      <c r="B6" s="17" t="str">
        <f>'Allocation %'!B6</f>
        <v>Bishop-Shakoor, Ayesha</v>
      </c>
      <c r="C6" s="17">
        <v>3</v>
      </c>
      <c r="D6" s="17" t="str">
        <f>'Allocation %'!D6</f>
        <v>Abbott, Admin</v>
      </c>
      <c r="E6" s="17">
        <f>'Allocation %'!E6</f>
        <v>0</v>
      </c>
      <c r="F6" s="18"/>
      <c r="G6" s="20"/>
      <c r="H6" s="18"/>
      <c r="I6" s="18"/>
      <c r="J6" s="18"/>
      <c r="K6" s="18"/>
      <c r="L6" s="18"/>
      <c r="M6" s="18"/>
      <c r="N6" s="18"/>
      <c r="O6" s="18"/>
      <c r="P6" s="18"/>
      <c r="Q6" s="15">
        <f>$P6*'Allocation %'!J6</f>
        <v>0</v>
      </c>
      <c r="R6" s="15">
        <f>$P6*'Allocation %'!K6</f>
        <v>0</v>
      </c>
      <c r="S6" s="15">
        <f>$P6*'Allocation %'!M6</f>
        <v>0</v>
      </c>
      <c r="T6" s="15">
        <f>$P6*'Allocation %'!N6</f>
        <v>0</v>
      </c>
      <c r="U6" s="15">
        <f>$P6*'Allocation %'!O6</f>
        <v>0</v>
      </c>
      <c r="V6" s="15">
        <f>$P6*'Allocation %'!P6</f>
        <v>0</v>
      </c>
      <c r="W6" s="15">
        <f>$P6*'Allocation %'!Q6</f>
        <v>0</v>
      </c>
      <c r="X6" s="15">
        <f>$P6*'Allocation %'!R6</f>
        <v>0</v>
      </c>
      <c r="Y6" s="15">
        <f>$P6*'Allocation %'!S6</f>
        <v>0</v>
      </c>
      <c r="Z6" s="15">
        <f>$P6*'Allocation %'!T6</f>
        <v>0</v>
      </c>
      <c r="AA6" s="15">
        <f>$P6*'Allocation %'!U6</f>
        <v>0</v>
      </c>
      <c r="AB6" s="15">
        <f>$P6*'Allocation %'!V6</f>
        <v>0</v>
      </c>
      <c r="AC6" s="15">
        <f>$P6*'Allocation %'!W6</f>
        <v>0</v>
      </c>
      <c r="AD6" s="15">
        <f>$P6*'Allocation %'!X6</f>
        <v>0</v>
      </c>
      <c r="AE6" s="15">
        <f>$P6*'Allocation %'!Y6</f>
        <v>0</v>
      </c>
      <c r="AF6" s="15">
        <f>$P6*'Allocation %'!Z6</f>
        <v>0</v>
      </c>
      <c r="AG6" s="15">
        <f>$P6*'Allocation %'!AA6</f>
        <v>0</v>
      </c>
      <c r="AH6" s="15">
        <f>$P6*'Allocation %'!AB6</f>
        <v>0</v>
      </c>
      <c r="AI6" s="15">
        <f>$P6*'Allocation %'!AC6</f>
        <v>0</v>
      </c>
      <c r="AJ6" s="15">
        <f>$P6*'Allocation %'!AD6</f>
        <v>0</v>
      </c>
      <c r="AK6" s="15">
        <f>$P6*'Allocation %'!AE6</f>
        <v>0</v>
      </c>
      <c r="AL6" s="15">
        <f>$P6*'Allocation %'!AF6</f>
        <v>0</v>
      </c>
      <c r="AM6" s="15">
        <f>$P6*'Allocation %'!AG6</f>
        <v>0</v>
      </c>
      <c r="AN6" s="15">
        <f>$P6*'Allocation %'!AH6</f>
        <v>0</v>
      </c>
      <c r="AO6" s="89">
        <f t="shared" si="2"/>
        <v>0</v>
      </c>
      <c r="AP6" s="19">
        <f t="shared" si="3"/>
        <v>0</v>
      </c>
    </row>
    <row r="7" spans="1:44" s="16" customFormat="1" ht="10.5" x14ac:dyDescent="0.25">
      <c r="A7" s="11">
        <f>Salary!A7</f>
        <v>4</v>
      </c>
      <c r="B7" s="17" t="str">
        <f>'Allocation %'!B7</f>
        <v>BROWN,Denise- Wrap</v>
      </c>
      <c r="C7" s="17">
        <v>4</v>
      </c>
      <c r="D7" s="17" t="str">
        <f>'Allocation %'!D7</f>
        <v>Wrap</v>
      </c>
      <c r="E7" s="17" t="str">
        <f>'Allocation %'!E7</f>
        <v>Wrap Teacher</v>
      </c>
      <c r="F7" s="18">
        <v>520</v>
      </c>
      <c r="G7" s="18">
        <f t="shared" si="0"/>
        <v>13520</v>
      </c>
      <c r="H7" s="18"/>
      <c r="I7" s="18">
        <f t="shared" si="1"/>
        <v>13520</v>
      </c>
      <c r="J7" s="18"/>
      <c r="K7" s="18"/>
      <c r="L7" s="18"/>
      <c r="M7" s="18"/>
      <c r="N7" s="18"/>
      <c r="O7" s="18"/>
      <c r="P7" s="18">
        <f t="shared" si="4"/>
        <v>0</v>
      </c>
      <c r="Q7" s="15">
        <f>$P7*'Allocation %'!J7</f>
        <v>0</v>
      </c>
      <c r="R7" s="15">
        <f>$P7*'Allocation %'!K7</f>
        <v>0</v>
      </c>
      <c r="S7" s="15">
        <f>$P7*'Allocation %'!M7</f>
        <v>0</v>
      </c>
      <c r="T7" s="15">
        <f>$P7*'Allocation %'!N7</f>
        <v>0</v>
      </c>
      <c r="U7" s="15">
        <f>$P7*'Allocation %'!O7</f>
        <v>0</v>
      </c>
      <c r="V7" s="15">
        <f>$P7*'Allocation %'!P7</f>
        <v>0</v>
      </c>
      <c r="W7" s="15">
        <f>$P7*'Allocation %'!Q7</f>
        <v>0</v>
      </c>
      <c r="X7" s="15">
        <f>$P7*'Allocation %'!R7</f>
        <v>0</v>
      </c>
      <c r="Y7" s="15">
        <f>$P7*'Allocation %'!S7</f>
        <v>0</v>
      </c>
      <c r="Z7" s="15">
        <f>$P7*'Allocation %'!T7</f>
        <v>0</v>
      </c>
      <c r="AA7" s="15">
        <f>$P7*'Allocation %'!U7</f>
        <v>0</v>
      </c>
      <c r="AB7" s="15">
        <f>$P7*'Allocation %'!V7</f>
        <v>0</v>
      </c>
      <c r="AC7" s="15">
        <f>$P7*'Allocation %'!W7</f>
        <v>0</v>
      </c>
      <c r="AD7" s="15">
        <f>$P7*'Allocation %'!X7</f>
        <v>0</v>
      </c>
      <c r="AE7" s="15">
        <f>$P7*'Allocation %'!Y7</f>
        <v>0</v>
      </c>
      <c r="AF7" s="15">
        <f>$P7*'Allocation %'!Z7</f>
        <v>0</v>
      </c>
      <c r="AG7" s="15">
        <f>$P7*'Allocation %'!AA7</f>
        <v>0</v>
      </c>
      <c r="AH7" s="15">
        <f>$P7*'Allocation %'!AB7</f>
        <v>0</v>
      </c>
      <c r="AI7" s="15">
        <f>$P7*'Allocation %'!AC7</f>
        <v>0</v>
      </c>
      <c r="AJ7" s="15">
        <f>$P7*'Allocation %'!AD7</f>
        <v>0</v>
      </c>
      <c r="AK7" s="15">
        <f>$P7*'Allocation %'!AE7</f>
        <v>0</v>
      </c>
      <c r="AL7" s="15">
        <f>$P7*'Allocation %'!AF7</f>
        <v>0</v>
      </c>
      <c r="AM7" s="15">
        <f>$P7*'Allocation %'!AG7</f>
        <v>0</v>
      </c>
      <c r="AN7" s="15">
        <f>$P7*'Allocation %'!AH7</f>
        <v>0</v>
      </c>
      <c r="AO7" s="89">
        <f t="shared" si="2"/>
        <v>0</v>
      </c>
      <c r="AP7" s="19">
        <f t="shared" si="3"/>
        <v>0</v>
      </c>
    </row>
    <row r="8" spans="1:44" s="16" customFormat="1" ht="10.5" x14ac:dyDescent="0.25">
      <c r="A8" s="11">
        <f>Salary!A8</f>
        <v>5</v>
      </c>
      <c r="B8" s="17" t="str">
        <f>'Allocation %'!B8</f>
        <v>BRYANT, Roni</v>
      </c>
      <c r="C8" s="17">
        <v>5</v>
      </c>
      <c r="D8" s="17" t="str">
        <f>'Allocation %'!D8</f>
        <v>Abbott</v>
      </c>
      <c r="E8" s="17" t="str">
        <f>'Allocation %'!E8</f>
        <v>Teacher Asst</v>
      </c>
      <c r="F8" s="18">
        <v>1347.23</v>
      </c>
      <c r="G8" s="18">
        <f>F8*$G$3</f>
        <v>35027.980000000003</v>
      </c>
      <c r="H8" s="18"/>
      <c r="I8" s="18">
        <f t="shared" si="1"/>
        <v>35027.980000000003</v>
      </c>
      <c r="J8" s="18"/>
      <c r="K8" s="18"/>
      <c r="L8" s="18"/>
      <c r="M8" s="18"/>
      <c r="N8" s="18"/>
      <c r="O8" s="18"/>
      <c r="P8" s="18">
        <f t="shared" si="4"/>
        <v>0</v>
      </c>
      <c r="Q8" s="15">
        <f>$P8*'Allocation %'!J8</f>
        <v>0</v>
      </c>
      <c r="R8" s="15">
        <f>$P8*'Allocation %'!K8</f>
        <v>0</v>
      </c>
      <c r="S8" s="15">
        <f>$P8*'Allocation %'!M8</f>
        <v>0</v>
      </c>
      <c r="T8" s="15">
        <f>$P8*'Allocation %'!N8</f>
        <v>0</v>
      </c>
      <c r="U8" s="15">
        <f>$P8*'Allocation %'!O8</f>
        <v>0</v>
      </c>
      <c r="V8" s="15">
        <f>$P8*'Allocation %'!P8</f>
        <v>0</v>
      </c>
      <c r="W8" s="15">
        <f>$P8*'Allocation %'!Q8</f>
        <v>0</v>
      </c>
      <c r="X8" s="15">
        <f>$P8*'Allocation %'!R8</f>
        <v>0</v>
      </c>
      <c r="Y8" s="15">
        <f>$P8*'Allocation %'!S8</f>
        <v>0</v>
      </c>
      <c r="Z8" s="15">
        <f>$P8*'Allocation %'!T8</f>
        <v>0</v>
      </c>
      <c r="AA8" s="15">
        <f>$P8*'Allocation %'!U8</f>
        <v>0</v>
      </c>
      <c r="AB8" s="15">
        <f>$P8*'Allocation %'!V8</f>
        <v>0</v>
      </c>
      <c r="AC8" s="15">
        <f>$P8*'Allocation %'!W8</f>
        <v>0</v>
      </c>
      <c r="AD8" s="15">
        <f>$P8*'Allocation %'!X8</f>
        <v>0</v>
      </c>
      <c r="AE8" s="15">
        <f>$P8*'Allocation %'!Y8</f>
        <v>0</v>
      </c>
      <c r="AF8" s="15">
        <f>$P8*'Allocation %'!Z8</f>
        <v>0</v>
      </c>
      <c r="AG8" s="15">
        <f>$P8*'Allocation %'!AA8</f>
        <v>0</v>
      </c>
      <c r="AH8" s="15">
        <f>$P8*'Allocation %'!AB8</f>
        <v>0</v>
      </c>
      <c r="AI8" s="15">
        <f>$P8*'Allocation %'!AC8</f>
        <v>0</v>
      </c>
      <c r="AJ8" s="15">
        <f>$P8*'Allocation %'!AD8</f>
        <v>0</v>
      </c>
      <c r="AK8" s="15">
        <f>$P8*'Allocation %'!AE8</f>
        <v>0</v>
      </c>
      <c r="AL8" s="15">
        <f>$P8*'Allocation %'!AF8</f>
        <v>0</v>
      </c>
      <c r="AM8" s="15">
        <f>$P8*'Allocation %'!AG8</f>
        <v>0</v>
      </c>
      <c r="AN8" s="15">
        <f>$P8*'Allocation %'!AH8</f>
        <v>0</v>
      </c>
      <c r="AO8" s="89">
        <f t="shared" si="2"/>
        <v>0</v>
      </c>
      <c r="AP8" s="19">
        <f t="shared" si="3"/>
        <v>0</v>
      </c>
    </row>
    <row r="9" spans="1:44" s="16" customFormat="1" ht="10.5" x14ac:dyDescent="0.25">
      <c r="A9" s="11">
        <f>Salary!A9</f>
        <v>6</v>
      </c>
      <c r="B9" s="17" t="str">
        <f>'Allocation %'!B9</f>
        <v>CERNA, Irene</v>
      </c>
      <c r="C9" s="17">
        <v>6</v>
      </c>
      <c r="D9" s="17" t="str">
        <f>'Allocation %'!D9</f>
        <v>USJP</v>
      </c>
      <c r="E9" s="17">
        <f>'Allocation %'!E9</f>
        <v>0</v>
      </c>
      <c r="F9" s="18">
        <v>1153.8499999999999</v>
      </c>
      <c r="G9" s="18">
        <f t="shared" si="0"/>
        <v>30000.1</v>
      </c>
      <c r="H9" s="18"/>
      <c r="I9" s="18">
        <f t="shared" si="1"/>
        <v>30000.1</v>
      </c>
      <c r="J9" s="18"/>
      <c r="K9" s="18"/>
      <c r="L9" s="18"/>
      <c r="M9" s="18"/>
      <c r="N9" s="18"/>
      <c r="O9" s="18"/>
      <c r="P9" s="18">
        <f t="shared" si="4"/>
        <v>0</v>
      </c>
      <c r="Q9" s="15">
        <f>$P9*'Allocation %'!J9</f>
        <v>0</v>
      </c>
      <c r="R9" s="15">
        <f>$P9*'Allocation %'!K9</f>
        <v>0</v>
      </c>
      <c r="S9" s="15">
        <f>$P9*'Allocation %'!M9</f>
        <v>0</v>
      </c>
      <c r="T9" s="15">
        <f>$P9*'Allocation %'!N9</f>
        <v>0</v>
      </c>
      <c r="U9" s="15">
        <f>$P9*'Allocation %'!O9</f>
        <v>0</v>
      </c>
      <c r="V9" s="15">
        <f>$P9*'Allocation %'!P9</f>
        <v>0</v>
      </c>
      <c r="W9" s="15">
        <f>$P9*'Allocation %'!Q9</f>
        <v>0</v>
      </c>
      <c r="X9" s="15">
        <f>$P9*'Allocation %'!R9</f>
        <v>0</v>
      </c>
      <c r="Y9" s="15">
        <f>$P9*'Allocation %'!S9</f>
        <v>0</v>
      </c>
      <c r="Z9" s="15">
        <f>$P9*'Allocation %'!T9</f>
        <v>0</v>
      </c>
      <c r="AA9" s="15">
        <f>$P9*'Allocation %'!U9</f>
        <v>0</v>
      </c>
      <c r="AB9" s="15">
        <f>$P9*'Allocation %'!V9</f>
        <v>0</v>
      </c>
      <c r="AC9" s="15">
        <f>$P9*'Allocation %'!W9</f>
        <v>0</v>
      </c>
      <c r="AD9" s="15">
        <f>$P9*'Allocation %'!X9</f>
        <v>0</v>
      </c>
      <c r="AE9" s="15">
        <f>$P9*'Allocation %'!Y9</f>
        <v>0</v>
      </c>
      <c r="AF9" s="15">
        <f>$P9*'Allocation %'!Z9</f>
        <v>0</v>
      </c>
      <c r="AG9" s="15">
        <f>$P9*'Allocation %'!AA9</f>
        <v>0</v>
      </c>
      <c r="AH9" s="15">
        <f>$P9*'Allocation %'!AB9</f>
        <v>0</v>
      </c>
      <c r="AI9" s="15">
        <f>$P9*'Allocation %'!AC9</f>
        <v>0</v>
      </c>
      <c r="AJ9" s="15">
        <f>$P9*'Allocation %'!AD9</f>
        <v>0</v>
      </c>
      <c r="AK9" s="15">
        <f>$P9*'Allocation %'!AE9</f>
        <v>0</v>
      </c>
      <c r="AL9" s="15">
        <f>$P9*'Allocation %'!AF9</f>
        <v>0</v>
      </c>
      <c r="AM9" s="15">
        <f>$P9*'Allocation %'!AG9</f>
        <v>0</v>
      </c>
      <c r="AN9" s="15">
        <f>$P9*'Allocation %'!AH9</f>
        <v>0</v>
      </c>
      <c r="AO9" s="89">
        <f t="shared" si="2"/>
        <v>0</v>
      </c>
      <c r="AP9" s="19">
        <f t="shared" si="3"/>
        <v>0</v>
      </c>
    </row>
    <row r="10" spans="1:44" s="16" customFormat="1" ht="10.5" x14ac:dyDescent="0.25">
      <c r="A10" s="11">
        <f>Salary!A10</f>
        <v>7</v>
      </c>
      <c r="B10" s="17" t="str">
        <f>'Allocation %'!B10</f>
        <v>Cooper, Cassandra</v>
      </c>
      <c r="C10" s="17">
        <v>7</v>
      </c>
      <c r="D10" s="17" t="str">
        <f>'Allocation %'!D10</f>
        <v>FOC</v>
      </c>
      <c r="E10" s="17" t="str">
        <f>'Allocation %'!E10</f>
        <v>Clerical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5">
        <f>$P10*'Allocation %'!J10</f>
        <v>0</v>
      </c>
      <c r="R10" s="15">
        <f>$P10*'Allocation %'!K10</f>
        <v>0</v>
      </c>
      <c r="S10" s="15">
        <f>$P10*'Allocation %'!M10</f>
        <v>0</v>
      </c>
      <c r="T10" s="15">
        <f>$P10*'Allocation %'!N10</f>
        <v>0</v>
      </c>
      <c r="U10" s="15">
        <f>$P10*'Allocation %'!O10</f>
        <v>0</v>
      </c>
      <c r="V10" s="15">
        <f>$P10*'Allocation %'!P10</f>
        <v>0</v>
      </c>
      <c r="W10" s="15">
        <f>$P10*'Allocation %'!Q10</f>
        <v>0</v>
      </c>
      <c r="X10" s="15">
        <f>$P10*'Allocation %'!R10</f>
        <v>0</v>
      </c>
      <c r="Y10" s="15">
        <f>$P10*'Allocation %'!S10</f>
        <v>0</v>
      </c>
      <c r="Z10" s="15">
        <f>$P10*'Allocation %'!T10</f>
        <v>0</v>
      </c>
      <c r="AA10" s="15">
        <f>$P10*'Allocation %'!U10</f>
        <v>0</v>
      </c>
      <c r="AB10" s="15">
        <f>$P10*'Allocation %'!V10</f>
        <v>0</v>
      </c>
      <c r="AC10" s="15">
        <f>$P10*'Allocation %'!W10</f>
        <v>0</v>
      </c>
      <c r="AD10" s="15">
        <f>$P10*'Allocation %'!X10</f>
        <v>0</v>
      </c>
      <c r="AE10" s="15">
        <f>$P10*'Allocation %'!Y10</f>
        <v>0</v>
      </c>
      <c r="AF10" s="15">
        <f>$P10*'Allocation %'!Z10</f>
        <v>0</v>
      </c>
      <c r="AG10" s="15">
        <f>$P10*'Allocation %'!AA10</f>
        <v>0</v>
      </c>
      <c r="AH10" s="15">
        <f>$P10*'Allocation %'!AB10</f>
        <v>0</v>
      </c>
      <c r="AI10" s="15">
        <f>$P10*'Allocation %'!AC10</f>
        <v>0</v>
      </c>
      <c r="AJ10" s="15">
        <f>$P10*'Allocation %'!AD10</f>
        <v>0</v>
      </c>
      <c r="AK10" s="15">
        <f>$P10*'Allocation %'!AE10</f>
        <v>0</v>
      </c>
      <c r="AL10" s="15">
        <f>$P10*'Allocation %'!AF10</f>
        <v>0</v>
      </c>
      <c r="AM10" s="15">
        <f>$P10*'Allocation %'!AG10</f>
        <v>0</v>
      </c>
      <c r="AN10" s="15">
        <f>$P10*'Allocation %'!AH10</f>
        <v>0</v>
      </c>
      <c r="AO10" s="89">
        <f t="shared" si="2"/>
        <v>0</v>
      </c>
      <c r="AP10" s="19">
        <f t="shared" si="3"/>
        <v>0</v>
      </c>
    </row>
    <row r="11" spans="1:44" s="16" customFormat="1" ht="10.5" x14ac:dyDescent="0.25">
      <c r="A11" s="11">
        <f>Salary!A11</f>
        <v>8</v>
      </c>
      <c r="B11" s="17" t="str">
        <f>'Allocation %'!B11</f>
        <v>DANCE-WILSON, Heather</v>
      </c>
      <c r="C11" s="17">
        <v>8</v>
      </c>
      <c r="D11" s="17" t="str">
        <f>'Allocation %'!D11</f>
        <v>Abbott</v>
      </c>
      <c r="E11" s="17" t="str">
        <f>'Allocation %'!E11</f>
        <v>Director</v>
      </c>
      <c r="F11" s="22">
        <v>2692.31</v>
      </c>
      <c r="G11" s="20">
        <f t="shared" si="0"/>
        <v>70000.06</v>
      </c>
      <c r="H11" s="18"/>
      <c r="I11" s="18">
        <f>SUM(G11:H11)</f>
        <v>70000.06</v>
      </c>
      <c r="J11" s="18">
        <v>134.62</v>
      </c>
      <c r="K11" s="18">
        <v>134.62</v>
      </c>
      <c r="L11" s="18"/>
      <c r="M11" s="18"/>
      <c r="N11" s="18"/>
      <c r="O11" s="18"/>
      <c r="P11" s="18">
        <f t="shared" si="4"/>
        <v>269.24</v>
      </c>
      <c r="Q11" s="15">
        <f>$P11*'Allocation %'!J11</f>
        <v>193.8528</v>
      </c>
      <c r="R11" s="15">
        <f>$P11*'Allocation %'!K11</f>
        <v>75.387200000000007</v>
      </c>
      <c r="S11" s="15">
        <f>$P11*'Allocation %'!M11</f>
        <v>0</v>
      </c>
      <c r="T11" s="15">
        <f>$P11*'Allocation %'!N11</f>
        <v>0</v>
      </c>
      <c r="U11" s="15">
        <f>$P11*'Allocation %'!O11</f>
        <v>0</v>
      </c>
      <c r="V11" s="15">
        <f>$P11*'Allocation %'!P11</f>
        <v>0</v>
      </c>
      <c r="W11" s="15">
        <f>$P11*'Allocation %'!Q11</f>
        <v>0</v>
      </c>
      <c r="X11" s="15">
        <f>$P11*'Allocation %'!R11</f>
        <v>0</v>
      </c>
      <c r="Y11" s="15">
        <f>$P11*'Allocation %'!S11</f>
        <v>0</v>
      </c>
      <c r="Z11" s="15">
        <f>$P11*'Allocation %'!T11</f>
        <v>0</v>
      </c>
      <c r="AA11" s="15">
        <f>$P11*'Allocation %'!U11</f>
        <v>0</v>
      </c>
      <c r="AB11" s="15">
        <f>$P11*'Allocation %'!V11</f>
        <v>0</v>
      </c>
      <c r="AC11" s="15">
        <f>$P11*'Allocation %'!W11</f>
        <v>0</v>
      </c>
      <c r="AD11" s="15">
        <f>$P11*'Allocation %'!X11</f>
        <v>0</v>
      </c>
      <c r="AE11" s="15">
        <f>$P11*'Allocation %'!Y11</f>
        <v>0</v>
      </c>
      <c r="AF11" s="15">
        <f>$P11*'Allocation %'!Z11</f>
        <v>0</v>
      </c>
      <c r="AG11" s="15">
        <f>$P11*'Allocation %'!AA11</f>
        <v>0</v>
      </c>
      <c r="AH11" s="15">
        <f>$P11*'Allocation %'!AB11</f>
        <v>0</v>
      </c>
      <c r="AI11" s="15">
        <f>$P11*'Allocation %'!AC11</f>
        <v>0</v>
      </c>
      <c r="AJ11" s="15">
        <f>$P11*'Allocation %'!AD11</f>
        <v>0</v>
      </c>
      <c r="AK11" s="15">
        <f>$P11*'Allocation %'!AE11</f>
        <v>0</v>
      </c>
      <c r="AL11" s="15">
        <f>$P11*'Allocation %'!AF11</f>
        <v>0</v>
      </c>
      <c r="AM11" s="15">
        <f>$P11*'Allocation %'!AG11</f>
        <v>0</v>
      </c>
      <c r="AN11" s="15">
        <f>$P11*'Allocation %'!AH11</f>
        <v>0</v>
      </c>
      <c r="AO11" s="89">
        <f t="shared" si="2"/>
        <v>269.24</v>
      </c>
      <c r="AP11" s="19">
        <f t="shared" si="3"/>
        <v>0</v>
      </c>
    </row>
    <row r="12" spans="1:44" s="16" customFormat="1" ht="10.5" x14ac:dyDescent="0.25">
      <c r="A12" s="11">
        <f>Salary!A12</f>
        <v>9</v>
      </c>
      <c r="B12" s="17" t="str">
        <f>'Allocation %'!B12</f>
        <v>FITZPATRICK, Cynthia E.  - Toddlers</v>
      </c>
      <c r="C12" s="17">
        <v>9</v>
      </c>
      <c r="D12" s="17" t="str">
        <f>'Allocation %'!D12</f>
        <v>EHS/ Toddlers</v>
      </c>
      <c r="E12" s="17">
        <f>'Allocation %'!E12</f>
        <v>0</v>
      </c>
      <c r="F12" s="18">
        <v>969.96</v>
      </c>
      <c r="G12" s="20">
        <f t="shared" si="0"/>
        <v>25218.959999999999</v>
      </c>
      <c r="H12" s="18"/>
      <c r="I12" s="18">
        <f>SUM(G12:H12)</f>
        <v>25218.959999999999</v>
      </c>
      <c r="J12" s="18">
        <v>25</v>
      </c>
      <c r="K12" s="18">
        <v>25</v>
      </c>
      <c r="L12" s="18"/>
      <c r="M12" s="18"/>
      <c r="N12" s="18"/>
      <c r="O12" s="18"/>
      <c r="P12" s="18">
        <f t="shared" si="4"/>
        <v>50</v>
      </c>
      <c r="Q12" s="15">
        <f>$P12*'Allocation %'!J12</f>
        <v>0</v>
      </c>
      <c r="R12" s="15">
        <f>$P12*'Allocation %'!K12</f>
        <v>0</v>
      </c>
      <c r="S12" s="15">
        <f>$P12*'Allocation %'!M12</f>
        <v>50</v>
      </c>
      <c r="T12" s="15">
        <f>$P12*'Allocation %'!N12</f>
        <v>0</v>
      </c>
      <c r="U12" s="15">
        <f>$P12*'Allocation %'!O12</f>
        <v>0</v>
      </c>
      <c r="V12" s="15">
        <f>$P12*'Allocation %'!P12</f>
        <v>0</v>
      </c>
      <c r="W12" s="15">
        <f>$P12*'Allocation %'!Q12</f>
        <v>0</v>
      </c>
      <c r="X12" s="15">
        <f>$P12*'Allocation %'!R12</f>
        <v>0</v>
      </c>
      <c r="Y12" s="15">
        <f>$P12*'Allocation %'!S12</f>
        <v>0</v>
      </c>
      <c r="Z12" s="15">
        <f>$P12*'Allocation %'!T12</f>
        <v>0</v>
      </c>
      <c r="AA12" s="15">
        <f>$P12*'Allocation %'!U12</f>
        <v>0</v>
      </c>
      <c r="AB12" s="15">
        <f>$P12*'Allocation %'!V12</f>
        <v>0</v>
      </c>
      <c r="AC12" s="15">
        <f>$P12*'Allocation %'!W12</f>
        <v>0</v>
      </c>
      <c r="AD12" s="15">
        <f>$P12*'Allocation %'!X12</f>
        <v>0</v>
      </c>
      <c r="AE12" s="15">
        <f>$P12*'Allocation %'!Y12</f>
        <v>0</v>
      </c>
      <c r="AF12" s="15">
        <f>$P12*'Allocation %'!Z12</f>
        <v>0</v>
      </c>
      <c r="AG12" s="15">
        <f>$P12*'Allocation %'!AA12</f>
        <v>0</v>
      </c>
      <c r="AH12" s="15">
        <f>$P12*'Allocation %'!AB12</f>
        <v>0</v>
      </c>
      <c r="AI12" s="15">
        <f>$P12*'Allocation %'!AC12</f>
        <v>0</v>
      </c>
      <c r="AJ12" s="15">
        <f>$P12*'Allocation %'!AD12</f>
        <v>0</v>
      </c>
      <c r="AK12" s="15">
        <f>$P12*'Allocation %'!AE12</f>
        <v>0</v>
      </c>
      <c r="AL12" s="15">
        <f>$P12*'Allocation %'!AF12</f>
        <v>0</v>
      </c>
      <c r="AM12" s="15">
        <f>$P12*'Allocation %'!AG12</f>
        <v>0</v>
      </c>
      <c r="AN12" s="15">
        <f>$P12*'Allocation %'!AH12</f>
        <v>0</v>
      </c>
      <c r="AO12" s="89">
        <f t="shared" si="2"/>
        <v>50</v>
      </c>
      <c r="AP12" s="19">
        <f t="shared" si="3"/>
        <v>0</v>
      </c>
    </row>
    <row r="13" spans="1:44" s="16" customFormat="1" ht="10.5" x14ac:dyDescent="0.25">
      <c r="A13" s="11">
        <f>Salary!A13</f>
        <v>10</v>
      </c>
      <c r="B13" s="17" t="str">
        <f>'Allocation %'!B13</f>
        <v>FRASER, Vivian Cox</v>
      </c>
      <c r="C13" s="17">
        <v>10</v>
      </c>
      <c r="D13" s="17" t="str">
        <f>'Allocation %'!D13</f>
        <v>Admin</v>
      </c>
      <c r="E13" s="17">
        <f>'Allocation %'!E13</f>
        <v>0</v>
      </c>
      <c r="F13" s="18">
        <v>5961.54</v>
      </c>
      <c r="G13" s="18">
        <f t="shared" si="0"/>
        <v>155000.04</v>
      </c>
      <c r="H13" s="18"/>
      <c r="I13" s="18">
        <f>SUM(G13:H13)</f>
        <v>155000.04</v>
      </c>
      <c r="J13" s="18">
        <v>423.08</v>
      </c>
      <c r="K13" s="18">
        <v>423.08</v>
      </c>
      <c r="L13" s="18"/>
      <c r="M13" s="18"/>
      <c r="N13" s="18"/>
      <c r="O13" s="18"/>
      <c r="P13" s="18">
        <f t="shared" si="4"/>
        <v>846.16</v>
      </c>
      <c r="Q13" s="15">
        <f>$P13*'Allocation %'!J13</f>
        <v>0</v>
      </c>
      <c r="R13" s="15">
        <f>$P13*'Allocation %'!K13</f>
        <v>0</v>
      </c>
      <c r="S13" s="15">
        <f>$P13*'Allocation %'!M13</f>
        <v>0</v>
      </c>
      <c r="T13" s="15">
        <f>$P13*'Allocation %'!N13</f>
        <v>0</v>
      </c>
      <c r="U13" s="15">
        <f>$P13*'Allocation %'!O13</f>
        <v>0</v>
      </c>
      <c r="V13" s="15">
        <f>$P13*'Allocation %'!P13</f>
        <v>0</v>
      </c>
      <c r="W13" s="15">
        <f>$P13*'Allocation %'!Q13</f>
        <v>0</v>
      </c>
      <c r="X13" s="15">
        <f>$P13*'Allocation %'!R13</f>
        <v>0</v>
      </c>
      <c r="Y13" s="15">
        <f>$P13*'Allocation %'!S13</f>
        <v>0</v>
      </c>
      <c r="Z13" s="15">
        <f>$P13*'Allocation %'!T13</f>
        <v>0</v>
      </c>
      <c r="AA13" s="15">
        <f>$P13*'Allocation %'!U13</f>
        <v>0</v>
      </c>
      <c r="AB13" s="15">
        <f>$P13*'Allocation %'!V13</f>
        <v>0</v>
      </c>
      <c r="AC13" s="15">
        <f>$P13*'Allocation %'!W13</f>
        <v>0</v>
      </c>
      <c r="AD13" s="15">
        <f>$P13*'Allocation %'!X13</f>
        <v>0</v>
      </c>
      <c r="AE13" s="15">
        <f>$P13*'Allocation %'!Y13</f>
        <v>0</v>
      </c>
      <c r="AF13" s="15">
        <f>$P13*'Allocation %'!Z13</f>
        <v>0</v>
      </c>
      <c r="AG13" s="15">
        <f>$P13*'Allocation %'!AA13</f>
        <v>0</v>
      </c>
      <c r="AH13" s="15">
        <f>$P13*'Allocation %'!AB13</f>
        <v>0</v>
      </c>
      <c r="AI13" s="15">
        <f>$P13*'Allocation %'!AC13</f>
        <v>0</v>
      </c>
      <c r="AJ13" s="15">
        <f>$P13*'Allocation %'!AD13</f>
        <v>761.54399999999998</v>
      </c>
      <c r="AK13" s="15">
        <f>$P13*'Allocation %'!AE13</f>
        <v>0</v>
      </c>
      <c r="AL13" s="15">
        <f>$P13*'Allocation %'!AF13</f>
        <v>84.616</v>
      </c>
      <c r="AM13" s="15">
        <f>$P13*'Allocation %'!AG13</f>
        <v>0</v>
      </c>
      <c r="AN13" s="15">
        <f>$P13*'Allocation %'!AH13</f>
        <v>0</v>
      </c>
      <c r="AO13" s="89">
        <f t="shared" si="2"/>
        <v>846.16</v>
      </c>
      <c r="AP13" s="19">
        <f t="shared" si="3"/>
        <v>0</v>
      </c>
    </row>
    <row r="14" spans="1:44" s="16" customFormat="1" ht="10.5" x14ac:dyDescent="0.25">
      <c r="A14" s="11">
        <f>Salary!A14</f>
        <v>11</v>
      </c>
      <c r="B14" s="17" t="str">
        <f>'Allocation %'!B14</f>
        <v xml:space="preserve">FRAZIER, Alice </v>
      </c>
      <c r="C14" s="17">
        <v>11</v>
      </c>
      <c r="D14" s="17" t="str">
        <f>'Allocation %'!D14</f>
        <v>Workforce</v>
      </c>
      <c r="E14" s="17">
        <f>'Allocation %'!E14</f>
        <v>0</v>
      </c>
      <c r="F14" s="18">
        <v>3153.85</v>
      </c>
      <c r="G14" s="18">
        <f t="shared" si="0"/>
        <v>82000.099999999991</v>
      </c>
      <c r="H14" s="18"/>
      <c r="I14" s="18">
        <f t="shared" ref="I14:I16" si="5">SUM(G14:H14)</f>
        <v>82000.099999999991</v>
      </c>
      <c r="J14" s="18">
        <v>500</v>
      </c>
      <c r="K14" s="18">
        <v>500</v>
      </c>
      <c r="L14" s="18"/>
      <c r="M14" s="18"/>
      <c r="N14" s="18"/>
      <c r="O14" s="18"/>
      <c r="P14" s="18">
        <f t="shared" si="4"/>
        <v>1000</v>
      </c>
      <c r="Q14" s="15">
        <f>$P14*'Allocation %'!J14</f>
        <v>0</v>
      </c>
      <c r="R14" s="15">
        <f>$P14*'Allocation %'!K14</f>
        <v>0</v>
      </c>
      <c r="S14" s="15">
        <f>$P14*'Allocation %'!M14</f>
        <v>0</v>
      </c>
      <c r="T14" s="15">
        <f>$P14*'Allocation %'!N14</f>
        <v>0</v>
      </c>
      <c r="U14" s="15">
        <f>$P14*'Allocation %'!O14</f>
        <v>330</v>
      </c>
      <c r="V14" s="15">
        <f>$P14*'Allocation %'!P14</f>
        <v>670</v>
      </c>
      <c r="W14" s="15">
        <f>$P14*'Allocation %'!Q14</f>
        <v>0</v>
      </c>
      <c r="X14" s="15">
        <f>$P14*'Allocation %'!R14</f>
        <v>0</v>
      </c>
      <c r="Y14" s="15">
        <f>$P14*'Allocation %'!S14</f>
        <v>0</v>
      </c>
      <c r="Z14" s="15">
        <f>$P14*'Allocation %'!T14</f>
        <v>0</v>
      </c>
      <c r="AA14" s="15">
        <f>$P14*'Allocation %'!U14</f>
        <v>0</v>
      </c>
      <c r="AB14" s="15">
        <f>$P14*'Allocation %'!V14</f>
        <v>0</v>
      </c>
      <c r="AC14" s="15">
        <f>$P14*'Allocation %'!W14</f>
        <v>0</v>
      </c>
      <c r="AD14" s="15">
        <f>$P14*'Allocation %'!X14</f>
        <v>0</v>
      </c>
      <c r="AE14" s="15">
        <f>$P14*'Allocation %'!Y14</f>
        <v>0</v>
      </c>
      <c r="AF14" s="15">
        <f>$P14*'Allocation %'!Z14</f>
        <v>0</v>
      </c>
      <c r="AG14" s="15">
        <f>$P14*'Allocation %'!AA14</f>
        <v>0</v>
      </c>
      <c r="AH14" s="15">
        <f>$P14*'Allocation %'!AB14</f>
        <v>0</v>
      </c>
      <c r="AI14" s="15">
        <f>$P14*'Allocation %'!AC14</f>
        <v>0</v>
      </c>
      <c r="AJ14" s="15">
        <f>$P14*'Allocation %'!AD14</f>
        <v>0</v>
      </c>
      <c r="AK14" s="15">
        <f>$P14*'Allocation %'!AE14</f>
        <v>0</v>
      </c>
      <c r="AL14" s="15">
        <f>$P14*'Allocation %'!AF14</f>
        <v>0</v>
      </c>
      <c r="AM14" s="15">
        <f>$P14*'Allocation %'!AG14</f>
        <v>0</v>
      </c>
      <c r="AN14" s="15">
        <f>$P14*'Allocation %'!AH14</f>
        <v>0</v>
      </c>
      <c r="AO14" s="89">
        <f t="shared" si="2"/>
        <v>1000</v>
      </c>
      <c r="AP14" s="19">
        <f t="shared" si="3"/>
        <v>0</v>
      </c>
    </row>
    <row r="15" spans="1:44" s="16" customFormat="1" ht="10.5" x14ac:dyDescent="0.25">
      <c r="A15" s="11">
        <f>Salary!A15</f>
        <v>12</v>
      </c>
      <c r="B15" s="17" t="str">
        <f>'Allocation %'!B15</f>
        <v xml:space="preserve">GREEN, Yolanda - </v>
      </c>
      <c r="C15" s="17">
        <v>12</v>
      </c>
      <c r="D15" s="17" t="str">
        <f>'Allocation %'!D15</f>
        <v>EHS/ Toddlers</v>
      </c>
      <c r="E15" s="17">
        <f>'Allocation %'!E15</f>
        <v>0</v>
      </c>
      <c r="F15" s="18">
        <v>1278.8800000000001</v>
      </c>
      <c r="G15" s="20">
        <f t="shared" si="0"/>
        <v>33250.880000000005</v>
      </c>
      <c r="H15" s="18"/>
      <c r="I15" s="18">
        <f t="shared" si="5"/>
        <v>33250.880000000005</v>
      </c>
      <c r="J15" s="18">
        <v>30</v>
      </c>
      <c r="K15" s="18">
        <v>30</v>
      </c>
      <c r="L15" s="18"/>
      <c r="M15" s="18"/>
      <c r="N15" s="18"/>
      <c r="O15" s="18"/>
      <c r="P15" s="18">
        <f t="shared" si="4"/>
        <v>60</v>
      </c>
      <c r="Q15" s="15">
        <f>$P15*'Allocation %'!J15</f>
        <v>0</v>
      </c>
      <c r="R15" s="15">
        <f>$P15*'Allocation %'!K15</f>
        <v>0</v>
      </c>
      <c r="S15" s="15">
        <f>$P15*'Allocation %'!M15</f>
        <v>60</v>
      </c>
      <c r="T15" s="15">
        <f>$P15*'Allocation %'!N15</f>
        <v>0</v>
      </c>
      <c r="U15" s="15">
        <f>$P15*'Allocation %'!O15</f>
        <v>0</v>
      </c>
      <c r="V15" s="15">
        <f>$P15*'Allocation %'!P15</f>
        <v>0</v>
      </c>
      <c r="W15" s="15">
        <f>$P15*'Allocation %'!Q15</f>
        <v>0</v>
      </c>
      <c r="X15" s="15">
        <f>$P15*'Allocation %'!R15</f>
        <v>0</v>
      </c>
      <c r="Y15" s="15">
        <f>$P15*'Allocation %'!S15</f>
        <v>0</v>
      </c>
      <c r="Z15" s="15">
        <f>$P15*'Allocation %'!T15</f>
        <v>0</v>
      </c>
      <c r="AA15" s="15">
        <f>$P15*'Allocation %'!U15</f>
        <v>0</v>
      </c>
      <c r="AB15" s="15">
        <f>$P15*'Allocation %'!V15</f>
        <v>0</v>
      </c>
      <c r="AC15" s="15">
        <f>$P15*'Allocation %'!W15</f>
        <v>0</v>
      </c>
      <c r="AD15" s="15">
        <f>$P15*'Allocation %'!X15</f>
        <v>0</v>
      </c>
      <c r="AE15" s="15">
        <f>$P15*'Allocation %'!Y15</f>
        <v>0</v>
      </c>
      <c r="AF15" s="15">
        <f>$P15*'Allocation %'!Z15</f>
        <v>0</v>
      </c>
      <c r="AG15" s="15">
        <f>$P15*'Allocation %'!AA15</f>
        <v>0</v>
      </c>
      <c r="AH15" s="15">
        <f>$P15*'Allocation %'!AB15</f>
        <v>0</v>
      </c>
      <c r="AI15" s="15">
        <f>$P15*'Allocation %'!AC15</f>
        <v>0</v>
      </c>
      <c r="AJ15" s="15">
        <f>$P15*'Allocation %'!AD15</f>
        <v>0</v>
      </c>
      <c r="AK15" s="15">
        <f>$P15*'Allocation %'!AE15</f>
        <v>0</v>
      </c>
      <c r="AL15" s="15">
        <f>$P15*'Allocation %'!AF15</f>
        <v>0</v>
      </c>
      <c r="AM15" s="15">
        <f>$P15*'Allocation %'!AG15</f>
        <v>0</v>
      </c>
      <c r="AN15" s="15">
        <f>$P15*'Allocation %'!AH15</f>
        <v>0</v>
      </c>
      <c r="AO15" s="89">
        <f t="shared" si="2"/>
        <v>60</v>
      </c>
      <c r="AP15" s="19">
        <f t="shared" si="3"/>
        <v>0</v>
      </c>
    </row>
    <row r="16" spans="1:44" s="16" customFormat="1" ht="10.5" x14ac:dyDescent="0.25">
      <c r="A16" s="11">
        <f>Salary!A16</f>
        <v>13</v>
      </c>
      <c r="B16" s="17" t="str">
        <f>'Allocation %'!B16</f>
        <v>Guerra, Karime</v>
      </c>
      <c r="C16" s="17">
        <v>13</v>
      </c>
      <c r="D16" s="17" t="str">
        <f>'Allocation %'!D16</f>
        <v>Housing</v>
      </c>
      <c r="E16" s="17">
        <f>'Allocation %'!E16</f>
        <v>0</v>
      </c>
      <c r="F16" s="18">
        <v>1788.47</v>
      </c>
      <c r="G16" s="18">
        <f t="shared" si="0"/>
        <v>46500.22</v>
      </c>
      <c r="H16" s="18"/>
      <c r="I16" s="18">
        <f t="shared" si="5"/>
        <v>46500.22</v>
      </c>
      <c r="J16" s="18"/>
      <c r="K16" s="18"/>
      <c r="L16" s="18"/>
      <c r="M16" s="18"/>
      <c r="N16" s="18"/>
      <c r="O16" s="18"/>
      <c r="P16" s="18">
        <f t="shared" si="4"/>
        <v>0</v>
      </c>
      <c r="Q16" s="15">
        <f>$P16*'Allocation %'!J16</f>
        <v>0</v>
      </c>
      <c r="R16" s="15">
        <f>$P16*'Allocation %'!K16</f>
        <v>0</v>
      </c>
      <c r="S16" s="15">
        <f>$P16*'Allocation %'!M16</f>
        <v>0</v>
      </c>
      <c r="T16" s="15">
        <f>$P16*'Allocation %'!N16</f>
        <v>0</v>
      </c>
      <c r="U16" s="15">
        <f>$P16*'Allocation %'!O16</f>
        <v>0</v>
      </c>
      <c r="V16" s="15">
        <f>$P16*'Allocation %'!P16</f>
        <v>0</v>
      </c>
      <c r="W16" s="15">
        <f>$P16*'Allocation %'!Q16</f>
        <v>0</v>
      </c>
      <c r="X16" s="15">
        <f>$P16*'Allocation %'!R16</f>
        <v>0</v>
      </c>
      <c r="Y16" s="15">
        <f>$P16*'Allocation %'!S16</f>
        <v>0</v>
      </c>
      <c r="Z16" s="15">
        <f>$P16*'Allocation %'!T16</f>
        <v>0</v>
      </c>
      <c r="AA16" s="15">
        <f>$P16*'Allocation %'!U16</f>
        <v>0</v>
      </c>
      <c r="AB16" s="15">
        <f>$P16*'Allocation %'!V16</f>
        <v>0</v>
      </c>
      <c r="AC16" s="15">
        <f>$P16*'Allocation %'!W16</f>
        <v>0</v>
      </c>
      <c r="AD16" s="15">
        <f>$P16*'Allocation %'!X16</f>
        <v>0</v>
      </c>
      <c r="AE16" s="15">
        <f>$P16*'Allocation %'!Y16</f>
        <v>0</v>
      </c>
      <c r="AF16" s="15">
        <f>$P16*'Allocation %'!Z16</f>
        <v>0</v>
      </c>
      <c r="AG16" s="15">
        <f>$P16*'Allocation %'!AA16</f>
        <v>0</v>
      </c>
      <c r="AH16" s="15">
        <f>$P16*'Allocation %'!AB16</f>
        <v>0</v>
      </c>
      <c r="AI16" s="15">
        <f>$P16*'Allocation %'!AC16</f>
        <v>0</v>
      </c>
      <c r="AJ16" s="15">
        <f>$P16*'Allocation %'!AD16</f>
        <v>0</v>
      </c>
      <c r="AK16" s="15">
        <f>$P16*'Allocation %'!AE16</f>
        <v>0</v>
      </c>
      <c r="AL16" s="15">
        <f>$P16*'Allocation %'!AF16</f>
        <v>0</v>
      </c>
      <c r="AM16" s="15">
        <f>$P16*'Allocation %'!AG16</f>
        <v>0</v>
      </c>
      <c r="AN16" s="15">
        <f>$P16*'Allocation %'!AH16</f>
        <v>0</v>
      </c>
      <c r="AO16" s="89">
        <f t="shared" si="2"/>
        <v>0</v>
      </c>
      <c r="AP16" s="19">
        <f t="shared" si="3"/>
        <v>0</v>
      </c>
    </row>
    <row r="17" spans="1:42" s="16" customFormat="1" ht="10.5" x14ac:dyDescent="0.25">
      <c r="A17" s="11">
        <f>Salary!A17</f>
        <v>14</v>
      </c>
      <c r="B17" s="17" t="str">
        <f>'Allocation %'!B17</f>
        <v xml:space="preserve">HIGGINS, Rosa M. </v>
      </c>
      <c r="C17" s="17">
        <v>14</v>
      </c>
      <c r="D17" s="17" t="str">
        <f>'Allocation %'!D17</f>
        <v>FOC</v>
      </c>
      <c r="E17" s="17">
        <f>'Allocation %'!E17</f>
        <v>0</v>
      </c>
      <c r="F17" s="22">
        <v>1538.46</v>
      </c>
      <c r="G17" s="22">
        <f t="shared" si="0"/>
        <v>39999.96</v>
      </c>
      <c r="H17" s="18"/>
      <c r="I17" s="22">
        <f>SUM(G17:H17)</f>
        <v>39999.96</v>
      </c>
      <c r="J17" s="18"/>
      <c r="K17" s="18"/>
      <c r="L17" s="22"/>
      <c r="M17" s="22"/>
      <c r="N17" s="22"/>
      <c r="O17" s="22"/>
      <c r="P17" s="18">
        <f t="shared" si="4"/>
        <v>0</v>
      </c>
      <c r="Q17" s="15">
        <f>$P17*'Allocation %'!J17</f>
        <v>0</v>
      </c>
      <c r="R17" s="15">
        <f>$P17*'Allocation %'!K17</f>
        <v>0</v>
      </c>
      <c r="S17" s="15">
        <f>$P17*'Allocation %'!M17</f>
        <v>0</v>
      </c>
      <c r="T17" s="15">
        <f>$P17*'Allocation %'!N17</f>
        <v>0</v>
      </c>
      <c r="U17" s="15">
        <f>$P17*'Allocation %'!O17</f>
        <v>0</v>
      </c>
      <c r="V17" s="15">
        <f>$P17*'Allocation %'!P17</f>
        <v>0</v>
      </c>
      <c r="W17" s="15">
        <f>$P17*'Allocation %'!Q17</f>
        <v>0</v>
      </c>
      <c r="X17" s="15">
        <f>$P17*'Allocation %'!R17</f>
        <v>0</v>
      </c>
      <c r="Y17" s="15">
        <f>$P17*'Allocation %'!S17</f>
        <v>0</v>
      </c>
      <c r="Z17" s="15">
        <f>$P17*'Allocation %'!T17</f>
        <v>0</v>
      </c>
      <c r="AA17" s="15">
        <f>$P17*'Allocation %'!U17</f>
        <v>0</v>
      </c>
      <c r="AB17" s="15">
        <f>$P17*'Allocation %'!V17</f>
        <v>0</v>
      </c>
      <c r="AC17" s="15">
        <f>$P17*'Allocation %'!W17</f>
        <v>0</v>
      </c>
      <c r="AD17" s="15">
        <f>$P17*'Allocation %'!X17</f>
        <v>0</v>
      </c>
      <c r="AE17" s="15">
        <f>$P17*'Allocation %'!Y17</f>
        <v>0</v>
      </c>
      <c r="AF17" s="15">
        <f>$P17*'Allocation %'!Z17</f>
        <v>0</v>
      </c>
      <c r="AG17" s="15">
        <f>$P17*'Allocation %'!AA17</f>
        <v>0</v>
      </c>
      <c r="AH17" s="15">
        <f>$P17*'Allocation %'!AB17</f>
        <v>0</v>
      </c>
      <c r="AI17" s="15">
        <f>$P17*'Allocation %'!AC17</f>
        <v>0</v>
      </c>
      <c r="AJ17" s="15">
        <f>$P17*'Allocation %'!AD17</f>
        <v>0</v>
      </c>
      <c r="AK17" s="15">
        <f>$P17*'Allocation %'!AE17</f>
        <v>0</v>
      </c>
      <c r="AL17" s="15">
        <f>$P17*'Allocation %'!AF17</f>
        <v>0</v>
      </c>
      <c r="AM17" s="15">
        <f>$P17*'Allocation %'!AG17</f>
        <v>0</v>
      </c>
      <c r="AN17" s="15">
        <f>$P17*'Allocation %'!AH17</f>
        <v>0</v>
      </c>
      <c r="AO17" s="89">
        <f t="shared" si="2"/>
        <v>0</v>
      </c>
      <c r="AP17" s="19">
        <f t="shared" si="3"/>
        <v>0</v>
      </c>
    </row>
    <row r="18" spans="1:42" s="16" customFormat="1" ht="10.5" x14ac:dyDescent="0.25">
      <c r="A18" s="11">
        <f>Salary!A18</f>
        <v>15</v>
      </c>
      <c r="B18" s="17" t="str">
        <f>'Allocation %'!B18</f>
        <v>HOLLINS, QUINTELLA</v>
      </c>
      <c r="C18" s="17">
        <v>15</v>
      </c>
      <c r="D18" s="17" t="str">
        <f>'Allocation %'!D18</f>
        <v>Abbott</v>
      </c>
      <c r="E18" s="17" t="str">
        <f>'Allocation %'!E18</f>
        <v xml:space="preserve">Teacher   </v>
      </c>
      <c r="F18" s="18">
        <v>2305.8200000000002</v>
      </c>
      <c r="G18" s="20">
        <f t="shared" si="0"/>
        <v>59951.320000000007</v>
      </c>
      <c r="H18" s="18"/>
      <c r="I18" s="18">
        <f>SUM(G18:H18)</f>
        <v>59951.320000000007</v>
      </c>
      <c r="J18" s="18"/>
      <c r="K18" s="18"/>
      <c r="L18" s="18"/>
      <c r="M18" s="18"/>
      <c r="N18" s="18"/>
      <c r="O18" s="18"/>
      <c r="P18" s="18">
        <f t="shared" si="4"/>
        <v>0</v>
      </c>
      <c r="Q18" s="15">
        <f>$P18*'Allocation %'!J18</f>
        <v>0</v>
      </c>
      <c r="R18" s="15">
        <f>$P18*'Allocation %'!K18</f>
        <v>0</v>
      </c>
      <c r="S18" s="15">
        <f>$P18*'Allocation %'!M18</f>
        <v>0</v>
      </c>
      <c r="T18" s="15">
        <f>$P18*'Allocation %'!N18</f>
        <v>0</v>
      </c>
      <c r="U18" s="15">
        <f>$P18*'Allocation %'!O18</f>
        <v>0</v>
      </c>
      <c r="V18" s="15">
        <f>$P18*'Allocation %'!P18</f>
        <v>0</v>
      </c>
      <c r="W18" s="15">
        <f>$P18*'Allocation %'!Q18</f>
        <v>0</v>
      </c>
      <c r="X18" s="15">
        <f>$P18*'Allocation %'!R18</f>
        <v>0</v>
      </c>
      <c r="Y18" s="15">
        <f>$P18*'Allocation %'!S18</f>
        <v>0</v>
      </c>
      <c r="Z18" s="15">
        <f>$P18*'Allocation %'!T18</f>
        <v>0</v>
      </c>
      <c r="AA18" s="15">
        <f>$P18*'Allocation %'!U18</f>
        <v>0</v>
      </c>
      <c r="AB18" s="15">
        <f>$P18*'Allocation %'!V18</f>
        <v>0</v>
      </c>
      <c r="AC18" s="15">
        <f>$P18*'Allocation %'!W18</f>
        <v>0</v>
      </c>
      <c r="AD18" s="15">
        <f>$P18*'Allocation %'!X18</f>
        <v>0</v>
      </c>
      <c r="AE18" s="15">
        <f>$P18*'Allocation %'!Y18</f>
        <v>0</v>
      </c>
      <c r="AF18" s="15">
        <f>$P18*'Allocation %'!Z18</f>
        <v>0</v>
      </c>
      <c r="AG18" s="15">
        <f>$P18*'Allocation %'!AA18</f>
        <v>0</v>
      </c>
      <c r="AH18" s="15">
        <f>$P18*'Allocation %'!AB18</f>
        <v>0</v>
      </c>
      <c r="AI18" s="15">
        <f>$P18*'Allocation %'!AC18</f>
        <v>0</v>
      </c>
      <c r="AJ18" s="15">
        <f>$P18*'Allocation %'!AD18</f>
        <v>0</v>
      </c>
      <c r="AK18" s="15">
        <f>$P18*'Allocation %'!AE18</f>
        <v>0</v>
      </c>
      <c r="AL18" s="15">
        <f>$P18*'Allocation %'!AF18</f>
        <v>0</v>
      </c>
      <c r="AM18" s="15">
        <f>$P18*'Allocation %'!AG18</f>
        <v>0</v>
      </c>
      <c r="AN18" s="15">
        <f>$P18*'Allocation %'!AH18</f>
        <v>0</v>
      </c>
      <c r="AO18" s="89">
        <f t="shared" si="2"/>
        <v>0</v>
      </c>
      <c r="AP18" s="19">
        <f t="shared" si="3"/>
        <v>0</v>
      </c>
    </row>
    <row r="19" spans="1:42" s="16" customFormat="1" ht="10.5" x14ac:dyDescent="0.25">
      <c r="A19" s="11">
        <f>Salary!A19</f>
        <v>16</v>
      </c>
      <c r="B19" s="17" t="str">
        <f>'Allocation %'!B19</f>
        <v>Howard, Theresa</v>
      </c>
      <c r="C19" s="17">
        <v>16</v>
      </c>
      <c r="D19" s="17" t="str">
        <f>'Allocation %'!D19</f>
        <v>United Airlines</v>
      </c>
      <c r="E19" s="17">
        <f>'Allocation %'!E19</f>
        <v>0</v>
      </c>
      <c r="F19" s="18">
        <v>2115.39</v>
      </c>
      <c r="G19" s="18">
        <f>F19*$G$3</f>
        <v>55000.14</v>
      </c>
      <c r="H19" s="18"/>
      <c r="I19" s="18">
        <f>SUM(G19:H19)</f>
        <v>55000.14</v>
      </c>
      <c r="J19" s="18"/>
      <c r="K19" s="18"/>
      <c r="L19" s="18"/>
      <c r="M19" s="18"/>
      <c r="N19" s="18"/>
      <c r="O19" s="18"/>
      <c r="P19" s="18">
        <f t="shared" si="4"/>
        <v>0</v>
      </c>
      <c r="Q19" s="15">
        <f>$P19*'Allocation %'!J19</f>
        <v>0</v>
      </c>
      <c r="R19" s="15">
        <f>$P19*'Allocation %'!K19</f>
        <v>0</v>
      </c>
      <c r="S19" s="15">
        <f>$P19*'Allocation %'!M19</f>
        <v>0</v>
      </c>
      <c r="T19" s="15">
        <f>$P19*'Allocation %'!N19</f>
        <v>0</v>
      </c>
      <c r="U19" s="15">
        <f>$P19*'Allocation %'!O19</f>
        <v>0</v>
      </c>
      <c r="V19" s="15">
        <f>$P19*'Allocation %'!P19</f>
        <v>0</v>
      </c>
      <c r="W19" s="15">
        <f>$P19*'Allocation %'!Q19</f>
        <v>0</v>
      </c>
      <c r="X19" s="15">
        <f>$P19*'Allocation %'!R19</f>
        <v>0</v>
      </c>
      <c r="Y19" s="15">
        <f>$P19*'Allocation %'!S19</f>
        <v>0</v>
      </c>
      <c r="Z19" s="15">
        <f>$P19*'Allocation %'!T19</f>
        <v>0</v>
      </c>
      <c r="AA19" s="15">
        <f>$P19*'Allocation %'!U19</f>
        <v>0</v>
      </c>
      <c r="AB19" s="15">
        <f>$P19*'Allocation %'!V19</f>
        <v>0</v>
      </c>
      <c r="AC19" s="15">
        <f>$P19*'Allocation %'!W19</f>
        <v>0</v>
      </c>
      <c r="AD19" s="15">
        <f>$P19*'Allocation %'!X19</f>
        <v>0</v>
      </c>
      <c r="AE19" s="15">
        <f>$P19*'Allocation %'!Y19</f>
        <v>0</v>
      </c>
      <c r="AF19" s="15">
        <f>$P19*'Allocation %'!Z19</f>
        <v>0</v>
      </c>
      <c r="AG19" s="15">
        <f>$P19*'Allocation %'!AA19</f>
        <v>0</v>
      </c>
      <c r="AH19" s="15">
        <f>$P19*'Allocation %'!AB19</f>
        <v>0</v>
      </c>
      <c r="AI19" s="15">
        <f>$P19*'Allocation %'!AC19</f>
        <v>0</v>
      </c>
      <c r="AJ19" s="15">
        <f>$P19*'Allocation %'!AD19</f>
        <v>0</v>
      </c>
      <c r="AK19" s="15">
        <f>$P19*'Allocation %'!AE19</f>
        <v>0</v>
      </c>
      <c r="AL19" s="15">
        <f>$P19*'Allocation %'!AF19</f>
        <v>0</v>
      </c>
      <c r="AM19" s="15">
        <f>$P19*'Allocation %'!AG19</f>
        <v>0</v>
      </c>
      <c r="AN19" s="15">
        <f>$P19*'Allocation %'!AH19</f>
        <v>0</v>
      </c>
      <c r="AO19" s="89">
        <f t="shared" si="2"/>
        <v>0</v>
      </c>
      <c r="AP19" s="19">
        <f t="shared" si="3"/>
        <v>0</v>
      </c>
    </row>
    <row r="20" spans="1:42" s="16" customFormat="1" ht="10.5" x14ac:dyDescent="0.25">
      <c r="A20" s="11">
        <f>Salary!A20</f>
        <v>17</v>
      </c>
      <c r="B20" s="17" t="str">
        <f>'Allocation %'!B20</f>
        <v>Johnson, Amanda</v>
      </c>
      <c r="C20" s="17">
        <v>17</v>
      </c>
      <c r="D20" s="17" t="str">
        <f>'Allocation %'!D20</f>
        <v>USJP</v>
      </c>
      <c r="E20" s="17">
        <f>'Allocation %'!E20</f>
        <v>0</v>
      </c>
      <c r="F20" s="18">
        <v>721</v>
      </c>
      <c r="G20" s="18">
        <f>F20*$G$3</f>
        <v>18746</v>
      </c>
      <c r="H20" s="18"/>
      <c r="I20" s="18">
        <f>SUM(G20:H20)</f>
        <v>18746</v>
      </c>
      <c r="J20" s="18"/>
      <c r="K20" s="18"/>
      <c r="L20" s="18"/>
      <c r="M20" s="18"/>
      <c r="N20" s="18"/>
      <c r="O20" s="18"/>
      <c r="P20" s="18">
        <f t="shared" si="4"/>
        <v>0</v>
      </c>
      <c r="Q20" s="15">
        <f>$P20*'Allocation %'!J20</f>
        <v>0</v>
      </c>
      <c r="R20" s="15">
        <f>$P20*'Allocation %'!K20</f>
        <v>0</v>
      </c>
      <c r="S20" s="15">
        <f>$P20*'Allocation %'!M20</f>
        <v>0</v>
      </c>
      <c r="T20" s="15">
        <f>$P20*'Allocation %'!N20</f>
        <v>0</v>
      </c>
      <c r="U20" s="15">
        <f>$P20*'Allocation %'!O20</f>
        <v>0</v>
      </c>
      <c r="V20" s="15">
        <f>$P20*'Allocation %'!P20</f>
        <v>0</v>
      </c>
      <c r="W20" s="15">
        <f>$P20*'Allocation %'!Q20</f>
        <v>0</v>
      </c>
      <c r="X20" s="15">
        <f>$P20*'Allocation %'!R20</f>
        <v>0</v>
      </c>
      <c r="Y20" s="15">
        <f>$P20*'Allocation %'!S20</f>
        <v>0</v>
      </c>
      <c r="Z20" s="15">
        <f>$P20*'Allocation %'!T20</f>
        <v>0</v>
      </c>
      <c r="AA20" s="15">
        <f>$P20*'Allocation %'!U20</f>
        <v>0</v>
      </c>
      <c r="AB20" s="15">
        <f>$P20*'Allocation %'!V20</f>
        <v>0</v>
      </c>
      <c r="AC20" s="15">
        <f>$P20*'Allocation %'!W20</f>
        <v>0</v>
      </c>
      <c r="AD20" s="15">
        <f>$P20*'Allocation %'!X20</f>
        <v>0</v>
      </c>
      <c r="AE20" s="15">
        <f>$P20*'Allocation %'!Y20</f>
        <v>0</v>
      </c>
      <c r="AF20" s="15">
        <f>$P20*'Allocation %'!Z20</f>
        <v>0</v>
      </c>
      <c r="AG20" s="15">
        <f>$P20*'Allocation %'!AA20</f>
        <v>0</v>
      </c>
      <c r="AH20" s="15">
        <f>$P20*'Allocation %'!AB20</f>
        <v>0</v>
      </c>
      <c r="AI20" s="15">
        <f>$P20*'Allocation %'!AC20</f>
        <v>0</v>
      </c>
      <c r="AJ20" s="15">
        <f>$P20*'Allocation %'!AD20</f>
        <v>0</v>
      </c>
      <c r="AK20" s="15">
        <f>$P20*'Allocation %'!AE20</f>
        <v>0</v>
      </c>
      <c r="AL20" s="15">
        <f>$P20*'Allocation %'!AF20</f>
        <v>0</v>
      </c>
      <c r="AM20" s="15">
        <f>$P20*'Allocation %'!AG20</f>
        <v>0</v>
      </c>
      <c r="AN20" s="15">
        <f>$P20*'Allocation %'!AH20</f>
        <v>0</v>
      </c>
      <c r="AO20" s="89">
        <f t="shared" si="2"/>
        <v>0</v>
      </c>
      <c r="AP20" s="19">
        <f t="shared" si="3"/>
        <v>0</v>
      </c>
    </row>
    <row r="21" spans="1:42" s="16" customFormat="1" ht="10.5" x14ac:dyDescent="0.25">
      <c r="A21" s="11">
        <f>Salary!A21</f>
        <v>18</v>
      </c>
      <c r="B21" s="17" t="str">
        <f>'Allocation %'!B21</f>
        <v>Leake, Rahmel</v>
      </c>
      <c r="C21" s="17">
        <v>18</v>
      </c>
      <c r="D21" s="17" t="str">
        <f>'Allocation %'!D21</f>
        <v>USJP</v>
      </c>
      <c r="E21" s="17">
        <f>'Allocation %'!E21</f>
        <v>0</v>
      </c>
      <c r="F21" s="18">
        <v>1538.47</v>
      </c>
      <c r="G21" s="18">
        <f>F21*$G$3</f>
        <v>40000.22</v>
      </c>
      <c r="H21" s="18"/>
      <c r="I21" s="18">
        <f>SUM(G21:H21)</f>
        <v>40000.22</v>
      </c>
      <c r="J21" s="18"/>
      <c r="K21" s="18"/>
      <c r="L21" s="18"/>
      <c r="M21" s="18"/>
      <c r="N21" s="18"/>
      <c r="O21" s="18"/>
      <c r="P21" s="18">
        <f t="shared" si="4"/>
        <v>0</v>
      </c>
      <c r="Q21" s="15">
        <f>$P21*'Allocation %'!J21</f>
        <v>0</v>
      </c>
      <c r="R21" s="15">
        <f>$P21*'Allocation %'!K21</f>
        <v>0</v>
      </c>
      <c r="S21" s="15">
        <f>$P21*'Allocation %'!M21</f>
        <v>0</v>
      </c>
      <c r="T21" s="15">
        <f>$P21*'Allocation %'!N21</f>
        <v>0</v>
      </c>
      <c r="U21" s="15">
        <f>$P21*'Allocation %'!O21</f>
        <v>0</v>
      </c>
      <c r="V21" s="15">
        <f>$P21*'Allocation %'!P21</f>
        <v>0</v>
      </c>
      <c r="W21" s="15">
        <f>$P21*'Allocation %'!Q21</f>
        <v>0</v>
      </c>
      <c r="X21" s="15">
        <f>$P21*'Allocation %'!R21</f>
        <v>0</v>
      </c>
      <c r="Y21" s="15">
        <f>$P21*'Allocation %'!S21</f>
        <v>0</v>
      </c>
      <c r="Z21" s="15">
        <f>$P21*'Allocation %'!T21</f>
        <v>0</v>
      </c>
      <c r="AA21" s="15">
        <f>$P21*'Allocation %'!U21</f>
        <v>0</v>
      </c>
      <c r="AB21" s="15">
        <f>$P21*'Allocation %'!V21</f>
        <v>0</v>
      </c>
      <c r="AC21" s="15">
        <f>$P21*'Allocation %'!W21</f>
        <v>0</v>
      </c>
      <c r="AD21" s="15">
        <f>$P21*'Allocation %'!X21</f>
        <v>0</v>
      </c>
      <c r="AE21" s="15">
        <f>$P21*'Allocation %'!Y21</f>
        <v>0</v>
      </c>
      <c r="AF21" s="15">
        <f>$P21*'Allocation %'!Z21</f>
        <v>0</v>
      </c>
      <c r="AG21" s="15">
        <f>$P21*'Allocation %'!AA21</f>
        <v>0</v>
      </c>
      <c r="AH21" s="15">
        <f>$P21*'Allocation %'!AB21</f>
        <v>0</v>
      </c>
      <c r="AI21" s="15">
        <f>$P21*'Allocation %'!AC21</f>
        <v>0</v>
      </c>
      <c r="AJ21" s="15">
        <f>$P21*'Allocation %'!AD21</f>
        <v>0</v>
      </c>
      <c r="AK21" s="15">
        <f>$P21*'Allocation %'!AE21</f>
        <v>0</v>
      </c>
      <c r="AL21" s="15">
        <f>$P21*'Allocation %'!AF21</f>
        <v>0</v>
      </c>
      <c r="AM21" s="15">
        <f>$P21*'Allocation %'!AG21</f>
        <v>0</v>
      </c>
      <c r="AN21" s="15">
        <f>$P21*'Allocation %'!AH21</f>
        <v>0</v>
      </c>
      <c r="AO21" s="89">
        <f t="shared" si="2"/>
        <v>0</v>
      </c>
      <c r="AP21" s="19">
        <f t="shared" si="3"/>
        <v>0</v>
      </c>
    </row>
    <row r="22" spans="1:42" s="16" customFormat="1" ht="10.5" x14ac:dyDescent="0.25">
      <c r="A22" s="11">
        <f>Salary!A22</f>
        <v>19</v>
      </c>
      <c r="B22" s="17" t="str">
        <f>'Allocation %'!B22</f>
        <v>Lindsey, Victoria - July</v>
      </c>
      <c r="C22" s="17">
        <v>19</v>
      </c>
      <c r="D22" s="17" t="str">
        <f>'Allocation %'!D22</f>
        <v>NRTC, Housing, PARS, ESG</v>
      </c>
      <c r="E22" s="17">
        <f>'Allocation %'!E22</f>
        <v>0</v>
      </c>
      <c r="F22" s="18">
        <v>2500</v>
      </c>
      <c r="G22" s="18">
        <f t="shared" ref="G22:G23" si="6">F22*$G$3</f>
        <v>65000</v>
      </c>
      <c r="H22" s="18"/>
      <c r="I22" s="18">
        <f t="shared" ref="I22:I30" si="7">SUM(G22:H22)</f>
        <v>65000</v>
      </c>
      <c r="J22" s="18"/>
      <c r="K22" s="18"/>
      <c r="L22" s="18"/>
      <c r="M22" s="18"/>
      <c r="N22" s="18"/>
      <c r="O22" s="18"/>
      <c r="P22" s="18">
        <f t="shared" si="4"/>
        <v>0</v>
      </c>
      <c r="Q22" s="15">
        <f>$P22*'Allocation %'!J22</f>
        <v>0</v>
      </c>
      <c r="R22" s="15">
        <f>$P22*'Allocation %'!K22</f>
        <v>0</v>
      </c>
      <c r="S22" s="15">
        <f>$P22*'Allocation %'!M22</f>
        <v>0</v>
      </c>
      <c r="T22" s="15">
        <f>$P22*'Allocation %'!N22</f>
        <v>0</v>
      </c>
      <c r="U22" s="15">
        <f>$P22*'Allocation %'!O22</f>
        <v>0</v>
      </c>
      <c r="V22" s="15">
        <f>$P22*'Allocation %'!P22</f>
        <v>0</v>
      </c>
      <c r="W22" s="15">
        <f>$P22*'Allocation %'!Q22</f>
        <v>0</v>
      </c>
      <c r="X22" s="15">
        <f>$P22*'Allocation %'!R22</f>
        <v>0</v>
      </c>
      <c r="Y22" s="15">
        <f>$P22*'Allocation %'!S22</f>
        <v>0</v>
      </c>
      <c r="Z22" s="15">
        <f>$P22*'Allocation %'!T22</f>
        <v>0</v>
      </c>
      <c r="AA22" s="15">
        <f>$P22*'Allocation %'!U22</f>
        <v>0</v>
      </c>
      <c r="AB22" s="15">
        <f>$P22*'Allocation %'!V22</f>
        <v>0</v>
      </c>
      <c r="AC22" s="15">
        <f>$P22*'Allocation %'!W22</f>
        <v>0</v>
      </c>
      <c r="AD22" s="15">
        <f>$P22*'Allocation %'!X22</f>
        <v>0</v>
      </c>
      <c r="AE22" s="15">
        <f>$P22*'Allocation %'!Y22</f>
        <v>0</v>
      </c>
      <c r="AF22" s="15">
        <f>$P22*'Allocation %'!Z22</f>
        <v>0</v>
      </c>
      <c r="AG22" s="15">
        <f>$P22*'Allocation %'!AA22</f>
        <v>0</v>
      </c>
      <c r="AH22" s="15">
        <f>$P22*'Allocation %'!AB22</f>
        <v>0</v>
      </c>
      <c r="AI22" s="15">
        <f>$P22*'Allocation %'!AC22</f>
        <v>0</v>
      </c>
      <c r="AJ22" s="15">
        <f>$P22*'Allocation %'!AD22</f>
        <v>0</v>
      </c>
      <c r="AK22" s="15">
        <f>$P22*'Allocation %'!AE22</f>
        <v>0</v>
      </c>
      <c r="AL22" s="15">
        <f>$P22*'Allocation %'!AF22</f>
        <v>0</v>
      </c>
      <c r="AM22" s="15">
        <f>$P22*'Allocation %'!AG22</f>
        <v>0</v>
      </c>
      <c r="AN22" s="15">
        <f>$P22*'Allocation %'!AH22</f>
        <v>0</v>
      </c>
      <c r="AO22" s="89">
        <f t="shared" si="2"/>
        <v>0</v>
      </c>
      <c r="AP22" s="19">
        <f t="shared" si="3"/>
        <v>0</v>
      </c>
    </row>
    <row r="23" spans="1:42" s="16" customFormat="1" ht="10.5" x14ac:dyDescent="0.25">
      <c r="A23" s="11">
        <f>Salary!A23</f>
        <v>20</v>
      </c>
      <c r="B23" s="17" t="str">
        <f>'Allocation %'!B23</f>
        <v>LOFTIN, NIQUITA</v>
      </c>
      <c r="C23" s="17">
        <v>20</v>
      </c>
      <c r="D23" s="17" t="str">
        <f>'Allocation %'!D23</f>
        <v>Abbott</v>
      </c>
      <c r="E23" s="17" t="str">
        <f>'Allocation %'!E23</f>
        <v>Teacher Asst</v>
      </c>
      <c r="F23" s="18">
        <v>1176</v>
      </c>
      <c r="G23" s="18">
        <f t="shared" si="6"/>
        <v>30576</v>
      </c>
      <c r="H23" s="18"/>
      <c r="I23" s="18">
        <f t="shared" si="7"/>
        <v>30576</v>
      </c>
      <c r="J23" s="18"/>
      <c r="K23" s="18"/>
      <c r="L23" s="18"/>
      <c r="M23" s="18"/>
      <c r="N23" s="18"/>
      <c r="O23" s="18"/>
      <c r="P23" s="18">
        <f t="shared" si="4"/>
        <v>0</v>
      </c>
      <c r="Q23" s="15">
        <f>$P23*'Allocation %'!J23</f>
        <v>0</v>
      </c>
      <c r="R23" s="15">
        <f>$P23*'Allocation %'!K23</f>
        <v>0</v>
      </c>
      <c r="S23" s="15">
        <f>$P23*'Allocation %'!M23</f>
        <v>0</v>
      </c>
      <c r="T23" s="15">
        <f>$P23*'Allocation %'!N23</f>
        <v>0</v>
      </c>
      <c r="U23" s="15">
        <f>$P23*'Allocation %'!O23</f>
        <v>0</v>
      </c>
      <c r="V23" s="15">
        <f>$P23*'Allocation %'!P23</f>
        <v>0</v>
      </c>
      <c r="W23" s="15">
        <f>$P23*'Allocation %'!Q23</f>
        <v>0</v>
      </c>
      <c r="X23" s="15">
        <f>$P23*'Allocation %'!R23</f>
        <v>0</v>
      </c>
      <c r="Y23" s="15">
        <f>$P23*'Allocation %'!S23</f>
        <v>0</v>
      </c>
      <c r="Z23" s="15">
        <f>$P23*'Allocation %'!T23</f>
        <v>0</v>
      </c>
      <c r="AA23" s="15">
        <f>$P23*'Allocation %'!U23</f>
        <v>0</v>
      </c>
      <c r="AB23" s="15">
        <f>$P23*'Allocation %'!V23</f>
        <v>0</v>
      </c>
      <c r="AC23" s="15">
        <f>$P23*'Allocation %'!W23</f>
        <v>0</v>
      </c>
      <c r="AD23" s="15">
        <f>$P23*'Allocation %'!X23</f>
        <v>0</v>
      </c>
      <c r="AE23" s="15">
        <f>$P23*'Allocation %'!Y23</f>
        <v>0</v>
      </c>
      <c r="AF23" s="15">
        <f>$P23*'Allocation %'!Z23</f>
        <v>0</v>
      </c>
      <c r="AG23" s="15">
        <f>$P23*'Allocation %'!AA23</f>
        <v>0</v>
      </c>
      <c r="AH23" s="15">
        <f>$P23*'Allocation %'!AB23</f>
        <v>0</v>
      </c>
      <c r="AI23" s="15">
        <f>$P23*'Allocation %'!AC23</f>
        <v>0</v>
      </c>
      <c r="AJ23" s="15">
        <f>$P23*'Allocation %'!AD23</f>
        <v>0</v>
      </c>
      <c r="AK23" s="15">
        <f>$P23*'Allocation %'!AE23</f>
        <v>0</v>
      </c>
      <c r="AL23" s="15">
        <f>$P23*'Allocation %'!AF23</f>
        <v>0</v>
      </c>
      <c r="AM23" s="15">
        <f>$P23*'Allocation %'!AG23</f>
        <v>0</v>
      </c>
      <c r="AN23" s="15">
        <f>$P23*'Allocation %'!AH23</f>
        <v>0</v>
      </c>
      <c r="AO23" s="89">
        <f t="shared" si="2"/>
        <v>0</v>
      </c>
      <c r="AP23" s="19">
        <f t="shared" si="3"/>
        <v>0</v>
      </c>
    </row>
    <row r="24" spans="1:42" s="16" customFormat="1" ht="10.5" x14ac:dyDescent="0.25">
      <c r="A24" s="11">
        <f>Salary!A24</f>
        <v>21</v>
      </c>
      <c r="B24" s="17" t="str">
        <f>'Allocation %'!B24</f>
        <v>Love, Charles</v>
      </c>
      <c r="C24" s="17">
        <v>21</v>
      </c>
      <c r="D24" s="17" t="str">
        <f>'Allocation %'!D24</f>
        <v>PACE</v>
      </c>
      <c r="E24" s="17">
        <f>'Allocation %'!E24</f>
        <v>0</v>
      </c>
      <c r="F24" s="18">
        <v>1200</v>
      </c>
      <c r="G24" s="18">
        <f>F24*$G$3</f>
        <v>31200</v>
      </c>
      <c r="H24" s="18"/>
      <c r="I24" s="18">
        <f t="shared" si="7"/>
        <v>31200</v>
      </c>
      <c r="J24" s="18"/>
      <c r="K24" s="18"/>
      <c r="L24" s="18"/>
      <c r="M24" s="18"/>
      <c r="N24" s="18"/>
      <c r="O24" s="18"/>
      <c r="P24" s="18">
        <f t="shared" si="4"/>
        <v>0</v>
      </c>
      <c r="Q24" s="15">
        <f>$P24*'Allocation %'!J24</f>
        <v>0</v>
      </c>
      <c r="R24" s="15">
        <f>$P24*'Allocation %'!K24</f>
        <v>0</v>
      </c>
      <c r="S24" s="15">
        <f>$P24*'Allocation %'!M24</f>
        <v>0</v>
      </c>
      <c r="T24" s="15">
        <f>$P24*'Allocation %'!N24</f>
        <v>0</v>
      </c>
      <c r="U24" s="15">
        <f>$P24*'Allocation %'!O24</f>
        <v>0</v>
      </c>
      <c r="V24" s="15">
        <f>$P24*'Allocation %'!P24</f>
        <v>0</v>
      </c>
      <c r="W24" s="15">
        <f>$P24*'Allocation %'!Q24</f>
        <v>0</v>
      </c>
      <c r="X24" s="15">
        <f>$P24*'Allocation %'!R24</f>
        <v>0</v>
      </c>
      <c r="Y24" s="15">
        <f>$P24*'Allocation %'!S24</f>
        <v>0</v>
      </c>
      <c r="Z24" s="15">
        <f>$P24*'Allocation %'!T24</f>
        <v>0</v>
      </c>
      <c r="AA24" s="15">
        <f>$P24*'Allocation %'!U24</f>
        <v>0</v>
      </c>
      <c r="AB24" s="15">
        <f>$P24*'Allocation %'!V24</f>
        <v>0</v>
      </c>
      <c r="AC24" s="15">
        <f>$P24*'Allocation %'!W24</f>
        <v>0</v>
      </c>
      <c r="AD24" s="15">
        <f>$P24*'Allocation %'!X24</f>
        <v>0</v>
      </c>
      <c r="AE24" s="15">
        <f>$P24*'Allocation %'!Y24</f>
        <v>0</v>
      </c>
      <c r="AF24" s="15">
        <f>$P24*'Allocation %'!Z24</f>
        <v>0</v>
      </c>
      <c r="AG24" s="15">
        <f>$P24*'Allocation %'!AA24</f>
        <v>0</v>
      </c>
      <c r="AH24" s="15">
        <f>$P24*'Allocation %'!AB24</f>
        <v>0</v>
      </c>
      <c r="AI24" s="15">
        <f>$P24*'Allocation %'!AC24</f>
        <v>0</v>
      </c>
      <c r="AJ24" s="15">
        <f>$P24*'Allocation %'!AD24</f>
        <v>0</v>
      </c>
      <c r="AK24" s="15">
        <f>$P24*'Allocation %'!AE24</f>
        <v>0</v>
      </c>
      <c r="AL24" s="15">
        <f>$P24*'Allocation %'!AF24</f>
        <v>0</v>
      </c>
      <c r="AM24" s="15">
        <f>$P24*'Allocation %'!AG24</f>
        <v>0</v>
      </c>
      <c r="AN24" s="15">
        <f>$P24*'Allocation %'!AH24</f>
        <v>0</v>
      </c>
      <c r="AO24" s="89">
        <f t="shared" si="2"/>
        <v>0</v>
      </c>
      <c r="AP24" s="19">
        <f t="shared" si="3"/>
        <v>0</v>
      </c>
    </row>
    <row r="25" spans="1:42" s="16" customFormat="1" ht="10.5" x14ac:dyDescent="0.25">
      <c r="A25" s="11">
        <f>Salary!A25</f>
        <v>22</v>
      </c>
      <c r="B25" s="17" t="str">
        <f>'Allocation %'!B25</f>
        <v>MARTINEZ, Joanna</v>
      </c>
      <c r="C25" s="17">
        <v>22</v>
      </c>
      <c r="D25" s="17" t="str">
        <f>'Allocation %'!D25</f>
        <v>USJP</v>
      </c>
      <c r="E25" s="17">
        <f>'Allocation %'!E25</f>
        <v>0</v>
      </c>
      <c r="F25" s="18">
        <v>1538.47</v>
      </c>
      <c r="G25" s="18">
        <f t="shared" si="0"/>
        <v>40000.22</v>
      </c>
      <c r="H25" s="18"/>
      <c r="I25" s="18">
        <f t="shared" si="7"/>
        <v>40000.22</v>
      </c>
      <c r="J25" s="18"/>
      <c r="K25" s="18"/>
      <c r="L25" s="18"/>
      <c r="M25" s="18"/>
      <c r="N25" s="18"/>
      <c r="O25" s="18"/>
      <c r="P25" s="18">
        <f t="shared" si="4"/>
        <v>0</v>
      </c>
      <c r="Q25" s="15">
        <f>$P25*'Allocation %'!J25</f>
        <v>0</v>
      </c>
      <c r="R25" s="15">
        <f>$P25*'Allocation %'!K25</f>
        <v>0</v>
      </c>
      <c r="S25" s="15">
        <f>$P25*'Allocation %'!M25</f>
        <v>0</v>
      </c>
      <c r="T25" s="15">
        <f>$P25*'Allocation %'!N25</f>
        <v>0</v>
      </c>
      <c r="U25" s="15">
        <f>$P25*'Allocation %'!O25</f>
        <v>0</v>
      </c>
      <c r="V25" s="15">
        <f>$P25*'Allocation %'!P25</f>
        <v>0</v>
      </c>
      <c r="W25" s="15">
        <f>$P25*'Allocation %'!Q25</f>
        <v>0</v>
      </c>
      <c r="X25" s="15">
        <f>$P25*'Allocation %'!R25</f>
        <v>0</v>
      </c>
      <c r="Y25" s="15">
        <f>$P25*'Allocation %'!S25</f>
        <v>0</v>
      </c>
      <c r="Z25" s="15">
        <f>$P25*'Allocation %'!T25</f>
        <v>0</v>
      </c>
      <c r="AA25" s="15">
        <f>$P25*'Allocation %'!U25</f>
        <v>0</v>
      </c>
      <c r="AB25" s="15">
        <f>$P25*'Allocation %'!V25</f>
        <v>0</v>
      </c>
      <c r="AC25" s="15">
        <f>$P25*'Allocation %'!W25</f>
        <v>0</v>
      </c>
      <c r="AD25" s="15">
        <f>$P25*'Allocation %'!X25</f>
        <v>0</v>
      </c>
      <c r="AE25" s="15">
        <f>$P25*'Allocation %'!Y25</f>
        <v>0</v>
      </c>
      <c r="AF25" s="15">
        <f>$P25*'Allocation %'!Z25</f>
        <v>0</v>
      </c>
      <c r="AG25" s="15">
        <f>$P25*'Allocation %'!AA25</f>
        <v>0</v>
      </c>
      <c r="AH25" s="15">
        <f>$P25*'Allocation %'!AB25</f>
        <v>0</v>
      </c>
      <c r="AI25" s="15">
        <f>$P25*'Allocation %'!AC25</f>
        <v>0</v>
      </c>
      <c r="AJ25" s="15">
        <f>$P25*'Allocation %'!AD25</f>
        <v>0</v>
      </c>
      <c r="AK25" s="15">
        <f>$P25*'Allocation %'!AE25</f>
        <v>0</v>
      </c>
      <c r="AL25" s="15">
        <f>$P25*'Allocation %'!AF25</f>
        <v>0</v>
      </c>
      <c r="AM25" s="15">
        <f>$P25*'Allocation %'!AG25</f>
        <v>0</v>
      </c>
      <c r="AN25" s="15">
        <f>$P25*'Allocation %'!AH25</f>
        <v>0</v>
      </c>
      <c r="AO25" s="89">
        <f t="shared" si="2"/>
        <v>0</v>
      </c>
      <c r="AP25" s="19">
        <f t="shared" si="3"/>
        <v>0</v>
      </c>
    </row>
    <row r="26" spans="1:42" s="16" customFormat="1" ht="10.5" x14ac:dyDescent="0.25">
      <c r="A26" s="11">
        <f>Salary!A26</f>
        <v>23</v>
      </c>
      <c r="B26" s="17" t="str">
        <f>'Allocation %'!B26</f>
        <v>McDaniels, Curtis</v>
      </c>
      <c r="C26" s="17">
        <v>23</v>
      </c>
      <c r="D26" s="17" t="str">
        <f>'Allocation %'!D26</f>
        <v>Neigh Revit</v>
      </c>
      <c r="E26" s="17">
        <f>'Allocation %'!E26</f>
        <v>0</v>
      </c>
      <c r="F26" s="18">
        <v>1442.31</v>
      </c>
      <c r="G26" s="18">
        <f>F26*$G$3</f>
        <v>37500.06</v>
      </c>
      <c r="H26" s="18"/>
      <c r="I26" s="18">
        <f t="shared" si="7"/>
        <v>37500.06</v>
      </c>
      <c r="J26" s="18"/>
      <c r="K26" s="18"/>
      <c r="L26" s="18"/>
      <c r="M26" s="18"/>
      <c r="N26" s="18"/>
      <c r="O26" s="18"/>
      <c r="P26" s="18">
        <f t="shared" si="4"/>
        <v>0</v>
      </c>
      <c r="Q26" s="15">
        <f>$P26*'Allocation %'!J26</f>
        <v>0</v>
      </c>
      <c r="R26" s="15">
        <f>$P26*'Allocation %'!K26</f>
        <v>0</v>
      </c>
      <c r="S26" s="15">
        <f>$P26*'Allocation %'!M26</f>
        <v>0</v>
      </c>
      <c r="T26" s="15">
        <f>$P26*'Allocation %'!N26</f>
        <v>0</v>
      </c>
      <c r="U26" s="15">
        <f>$P26*'Allocation %'!O26</f>
        <v>0</v>
      </c>
      <c r="V26" s="15">
        <f>$P26*'Allocation %'!P26</f>
        <v>0</v>
      </c>
      <c r="W26" s="15">
        <f>$P26*'Allocation %'!Q26</f>
        <v>0</v>
      </c>
      <c r="X26" s="15">
        <f>$P26*'Allocation %'!R26</f>
        <v>0</v>
      </c>
      <c r="Y26" s="15">
        <f>$P26*'Allocation %'!S26</f>
        <v>0</v>
      </c>
      <c r="Z26" s="15">
        <f>$P26*'Allocation %'!T26</f>
        <v>0</v>
      </c>
      <c r="AA26" s="15">
        <f>$P26*'Allocation %'!U26</f>
        <v>0</v>
      </c>
      <c r="AB26" s="15">
        <f>$P26*'Allocation %'!V26</f>
        <v>0</v>
      </c>
      <c r="AC26" s="15">
        <f>$P26*'Allocation %'!W26</f>
        <v>0</v>
      </c>
      <c r="AD26" s="15">
        <f>$P26*'Allocation %'!X26</f>
        <v>0</v>
      </c>
      <c r="AE26" s="15">
        <f>$P26*'Allocation %'!Y26</f>
        <v>0</v>
      </c>
      <c r="AF26" s="15">
        <f>$P26*'Allocation %'!Z26</f>
        <v>0</v>
      </c>
      <c r="AG26" s="15">
        <f>$P26*'Allocation %'!AA26</f>
        <v>0</v>
      </c>
      <c r="AH26" s="15">
        <f>$P26*'Allocation %'!AB26</f>
        <v>0</v>
      </c>
      <c r="AI26" s="15">
        <f>$P26*'Allocation %'!AC26</f>
        <v>0</v>
      </c>
      <c r="AJ26" s="15">
        <f>$P26*'Allocation %'!AD26</f>
        <v>0</v>
      </c>
      <c r="AK26" s="15">
        <f>$P26*'Allocation %'!AE26</f>
        <v>0</v>
      </c>
      <c r="AL26" s="15">
        <f>$P26*'Allocation %'!AF26</f>
        <v>0</v>
      </c>
      <c r="AM26" s="15">
        <f>$P26*'Allocation %'!AG26</f>
        <v>0</v>
      </c>
      <c r="AN26" s="15">
        <f>$P26*'Allocation %'!AH26</f>
        <v>0</v>
      </c>
      <c r="AO26" s="89">
        <f t="shared" si="2"/>
        <v>0</v>
      </c>
      <c r="AP26" s="19">
        <f t="shared" si="3"/>
        <v>0</v>
      </c>
    </row>
    <row r="27" spans="1:42" s="16" customFormat="1" ht="10.5" x14ac:dyDescent="0.25">
      <c r="A27" s="11">
        <f>Salary!A27</f>
        <v>24</v>
      </c>
      <c r="B27" s="17" t="str">
        <f>'Allocation %'!B27</f>
        <v>MCMILLIAN, Daphne L.</v>
      </c>
      <c r="C27" s="17">
        <v>24</v>
      </c>
      <c r="D27" s="17" t="str">
        <f>'Allocation %'!D27</f>
        <v>Abbott</v>
      </c>
      <c r="E27" s="17" t="str">
        <f>'Allocation %'!E27</f>
        <v>Family Worker</v>
      </c>
      <c r="F27" s="18">
        <v>1216.3599999999999</v>
      </c>
      <c r="G27" s="18">
        <f t="shared" si="0"/>
        <v>31625.359999999997</v>
      </c>
      <c r="H27" s="18"/>
      <c r="I27" s="18">
        <f t="shared" si="7"/>
        <v>31625.359999999997</v>
      </c>
      <c r="J27" s="18"/>
      <c r="K27" s="18"/>
      <c r="L27" s="18"/>
      <c r="M27" s="18"/>
      <c r="N27" s="18"/>
      <c r="O27" s="18"/>
      <c r="P27" s="18">
        <f t="shared" si="4"/>
        <v>0</v>
      </c>
      <c r="Q27" s="15">
        <f>$P27*'Allocation %'!J27</f>
        <v>0</v>
      </c>
      <c r="R27" s="15">
        <f>$P27*'Allocation %'!K27</f>
        <v>0</v>
      </c>
      <c r="S27" s="15">
        <f>$P27*'Allocation %'!M27</f>
        <v>0</v>
      </c>
      <c r="T27" s="15">
        <f>$P27*'Allocation %'!N27</f>
        <v>0</v>
      </c>
      <c r="U27" s="15">
        <f>$P27*'Allocation %'!O27</f>
        <v>0</v>
      </c>
      <c r="V27" s="15">
        <f>$P27*'Allocation %'!P27</f>
        <v>0</v>
      </c>
      <c r="W27" s="15">
        <f>$P27*'Allocation %'!Q27</f>
        <v>0</v>
      </c>
      <c r="X27" s="15">
        <f>$P27*'Allocation %'!R27</f>
        <v>0</v>
      </c>
      <c r="Y27" s="15">
        <f>$P27*'Allocation %'!S27</f>
        <v>0</v>
      </c>
      <c r="Z27" s="15">
        <f>$P27*'Allocation %'!T27</f>
        <v>0</v>
      </c>
      <c r="AA27" s="15">
        <f>$P27*'Allocation %'!U27</f>
        <v>0</v>
      </c>
      <c r="AB27" s="15">
        <f>$P27*'Allocation %'!V27</f>
        <v>0</v>
      </c>
      <c r="AC27" s="15">
        <f>$P27*'Allocation %'!W27</f>
        <v>0</v>
      </c>
      <c r="AD27" s="15">
        <f>$P27*'Allocation %'!X27</f>
        <v>0</v>
      </c>
      <c r="AE27" s="15">
        <f>$P27*'Allocation %'!Y27</f>
        <v>0</v>
      </c>
      <c r="AF27" s="15">
        <f>$P27*'Allocation %'!Z27</f>
        <v>0</v>
      </c>
      <c r="AG27" s="15">
        <f>$P27*'Allocation %'!AA27</f>
        <v>0</v>
      </c>
      <c r="AH27" s="15">
        <f>$P27*'Allocation %'!AB27</f>
        <v>0</v>
      </c>
      <c r="AI27" s="15">
        <f>$P27*'Allocation %'!AC27</f>
        <v>0</v>
      </c>
      <c r="AJ27" s="15">
        <f>$P27*'Allocation %'!AD27</f>
        <v>0</v>
      </c>
      <c r="AK27" s="15">
        <f>$P27*'Allocation %'!AE27</f>
        <v>0</v>
      </c>
      <c r="AL27" s="15">
        <f>$P27*'Allocation %'!AF27</f>
        <v>0</v>
      </c>
      <c r="AM27" s="15">
        <f>$P27*'Allocation %'!AG27</f>
        <v>0</v>
      </c>
      <c r="AN27" s="15">
        <f>$P27*'Allocation %'!AH27</f>
        <v>0</v>
      </c>
      <c r="AO27" s="89">
        <f t="shared" si="2"/>
        <v>0</v>
      </c>
      <c r="AP27" s="19">
        <f t="shared" si="3"/>
        <v>0</v>
      </c>
    </row>
    <row r="28" spans="1:42" s="16" customFormat="1" ht="10.5" x14ac:dyDescent="0.25">
      <c r="A28" s="11">
        <f>Salary!A28</f>
        <v>25</v>
      </c>
      <c r="B28" s="17" t="str">
        <f>'Allocation %'!B28</f>
        <v>Mitchell, Felicia</v>
      </c>
      <c r="C28" s="17">
        <v>25</v>
      </c>
      <c r="D28" s="17" t="str">
        <f>'Allocation %'!D28</f>
        <v>Abbott</v>
      </c>
      <c r="E28" s="17" t="str">
        <f>'Allocation %'!E28</f>
        <v>Teacher</v>
      </c>
      <c r="F28" s="18">
        <v>1114.7</v>
      </c>
      <c r="G28" s="20">
        <f>F28*$G$3</f>
        <v>28982.2</v>
      </c>
      <c r="H28" s="18"/>
      <c r="I28" s="18">
        <f t="shared" si="7"/>
        <v>28982.2</v>
      </c>
      <c r="J28" s="18"/>
      <c r="K28" s="18"/>
      <c r="L28" s="18"/>
      <c r="M28" s="18"/>
      <c r="N28" s="18"/>
      <c r="O28" s="18"/>
      <c r="P28" s="18">
        <f t="shared" si="4"/>
        <v>0</v>
      </c>
      <c r="Q28" s="15">
        <f>$P28*'Allocation %'!J28</f>
        <v>0</v>
      </c>
      <c r="R28" s="15">
        <f>$P28*'Allocation %'!K28</f>
        <v>0</v>
      </c>
      <c r="S28" s="15">
        <f>$P28*'Allocation %'!M28</f>
        <v>0</v>
      </c>
      <c r="T28" s="15">
        <f>$P28*'Allocation %'!N28</f>
        <v>0</v>
      </c>
      <c r="U28" s="15">
        <f>$P28*'Allocation %'!O28</f>
        <v>0</v>
      </c>
      <c r="V28" s="15">
        <f>$P28*'Allocation %'!P28</f>
        <v>0</v>
      </c>
      <c r="W28" s="15">
        <f>$P28*'Allocation %'!Q28</f>
        <v>0</v>
      </c>
      <c r="X28" s="15">
        <f>$P28*'Allocation %'!R28</f>
        <v>0</v>
      </c>
      <c r="Y28" s="15">
        <f>$P28*'Allocation %'!S28</f>
        <v>0</v>
      </c>
      <c r="Z28" s="15">
        <f>$P28*'Allocation %'!T28</f>
        <v>0</v>
      </c>
      <c r="AA28" s="15">
        <f>$P28*'Allocation %'!U28</f>
        <v>0</v>
      </c>
      <c r="AB28" s="15">
        <f>$P28*'Allocation %'!V28</f>
        <v>0</v>
      </c>
      <c r="AC28" s="15">
        <f>$P28*'Allocation %'!W28</f>
        <v>0</v>
      </c>
      <c r="AD28" s="15">
        <f>$P28*'Allocation %'!X28</f>
        <v>0</v>
      </c>
      <c r="AE28" s="15">
        <f>$P28*'Allocation %'!Y28</f>
        <v>0</v>
      </c>
      <c r="AF28" s="15">
        <f>$P28*'Allocation %'!Z28</f>
        <v>0</v>
      </c>
      <c r="AG28" s="15">
        <f>$P28*'Allocation %'!AA28</f>
        <v>0</v>
      </c>
      <c r="AH28" s="15">
        <f>$P28*'Allocation %'!AB28</f>
        <v>0</v>
      </c>
      <c r="AI28" s="15">
        <f>$P28*'Allocation %'!AC28</f>
        <v>0</v>
      </c>
      <c r="AJ28" s="15">
        <f>$P28*'Allocation %'!AD28</f>
        <v>0</v>
      </c>
      <c r="AK28" s="15">
        <f>$P28*'Allocation %'!AE28</f>
        <v>0</v>
      </c>
      <c r="AL28" s="15">
        <f>$P28*'Allocation %'!AF28</f>
        <v>0</v>
      </c>
      <c r="AM28" s="15">
        <f>$P28*'Allocation %'!AG28</f>
        <v>0</v>
      </c>
      <c r="AN28" s="15">
        <f>$P28*'Allocation %'!AH28</f>
        <v>0</v>
      </c>
      <c r="AO28" s="89">
        <f t="shared" si="2"/>
        <v>0</v>
      </c>
      <c r="AP28" s="19">
        <f t="shared" si="3"/>
        <v>0</v>
      </c>
    </row>
    <row r="29" spans="1:42" s="16" customFormat="1" ht="10.5" x14ac:dyDescent="0.25">
      <c r="A29" s="11">
        <f>Salary!A29</f>
        <v>26</v>
      </c>
      <c r="B29" s="17" t="str">
        <f>'Allocation %'!B29</f>
        <v>MORRIS, GWEN</v>
      </c>
      <c r="C29" s="17">
        <v>26</v>
      </c>
      <c r="D29" s="17" t="str">
        <f>'Allocation %'!D29</f>
        <v>USJP</v>
      </c>
      <c r="E29" s="17">
        <f>'Allocation %'!E29</f>
        <v>0</v>
      </c>
      <c r="F29" s="18">
        <v>2500</v>
      </c>
      <c r="G29" s="18">
        <f t="shared" si="0"/>
        <v>65000</v>
      </c>
      <c r="H29" s="18"/>
      <c r="I29" s="18">
        <f t="shared" si="7"/>
        <v>65000</v>
      </c>
      <c r="J29" s="18"/>
      <c r="K29" s="18"/>
      <c r="L29" s="18"/>
      <c r="M29" s="18"/>
      <c r="N29" s="18"/>
      <c r="O29" s="18"/>
      <c r="P29" s="18">
        <f t="shared" si="4"/>
        <v>0</v>
      </c>
      <c r="Q29" s="15">
        <f>$P29*'Allocation %'!J29</f>
        <v>0</v>
      </c>
      <c r="R29" s="15">
        <f>$P29*'Allocation %'!K29</f>
        <v>0</v>
      </c>
      <c r="S29" s="15">
        <f>$P29*'Allocation %'!M29</f>
        <v>0</v>
      </c>
      <c r="T29" s="15">
        <f>$P29*'Allocation %'!N29</f>
        <v>0</v>
      </c>
      <c r="U29" s="15">
        <f>$P29*'Allocation %'!O29</f>
        <v>0</v>
      </c>
      <c r="V29" s="15">
        <f>$P29*'Allocation %'!P29</f>
        <v>0</v>
      </c>
      <c r="W29" s="15">
        <f>$P29*'Allocation %'!Q29</f>
        <v>0</v>
      </c>
      <c r="X29" s="15">
        <f>$P29*'Allocation %'!R29</f>
        <v>0</v>
      </c>
      <c r="Y29" s="15">
        <f>$P29*'Allocation %'!S29</f>
        <v>0</v>
      </c>
      <c r="Z29" s="15">
        <f>$P29*'Allocation %'!T29</f>
        <v>0</v>
      </c>
      <c r="AA29" s="15">
        <f>$P29*'Allocation %'!U29</f>
        <v>0</v>
      </c>
      <c r="AB29" s="15">
        <f>$P29*'Allocation %'!V29</f>
        <v>0</v>
      </c>
      <c r="AC29" s="15">
        <f>$P29*'Allocation %'!W29</f>
        <v>0</v>
      </c>
      <c r="AD29" s="15">
        <f>$P29*'Allocation %'!X29</f>
        <v>0</v>
      </c>
      <c r="AE29" s="15">
        <f>$P29*'Allocation %'!Y29</f>
        <v>0</v>
      </c>
      <c r="AF29" s="15">
        <f>$P29*'Allocation %'!Z29</f>
        <v>0</v>
      </c>
      <c r="AG29" s="15">
        <f>$P29*'Allocation %'!AA29</f>
        <v>0</v>
      </c>
      <c r="AH29" s="15">
        <f>$P29*'Allocation %'!AB29</f>
        <v>0</v>
      </c>
      <c r="AI29" s="15">
        <f>$P29*'Allocation %'!AC29</f>
        <v>0</v>
      </c>
      <c r="AJ29" s="15">
        <f>$P29*'Allocation %'!AD29</f>
        <v>0</v>
      </c>
      <c r="AK29" s="15">
        <f>$P29*'Allocation %'!AE29</f>
        <v>0</v>
      </c>
      <c r="AL29" s="15">
        <f>$P29*'Allocation %'!AF29</f>
        <v>0</v>
      </c>
      <c r="AM29" s="15">
        <f>$P29*'Allocation %'!AG29</f>
        <v>0</v>
      </c>
      <c r="AN29" s="15">
        <f>$P29*'Allocation %'!AH29</f>
        <v>0</v>
      </c>
      <c r="AO29" s="89">
        <f t="shared" si="2"/>
        <v>0</v>
      </c>
      <c r="AP29" s="19">
        <f t="shared" si="3"/>
        <v>0</v>
      </c>
    </row>
    <row r="30" spans="1:42" s="16" customFormat="1" ht="10.5" x14ac:dyDescent="0.25">
      <c r="A30" s="11">
        <f>Salary!A30</f>
        <v>27</v>
      </c>
      <c r="B30" s="17" t="str">
        <f>'Allocation %'!B30</f>
        <v>RAMBARAN, Sharaini J.</v>
      </c>
      <c r="C30" s="17">
        <v>27</v>
      </c>
      <c r="D30" s="17" t="str">
        <f>'Allocation %'!D30</f>
        <v>Abbott</v>
      </c>
      <c r="E30" s="17" t="str">
        <f>'Allocation %'!E30</f>
        <v>Floater</v>
      </c>
      <c r="F30" s="18">
        <v>996.3</v>
      </c>
      <c r="G30" s="18">
        <f t="shared" si="0"/>
        <v>25903.8</v>
      </c>
      <c r="H30" s="18"/>
      <c r="I30" s="18">
        <f t="shared" si="7"/>
        <v>25903.8</v>
      </c>
      <c r="J30" s="18"/>
      <c r="K30" s="18"/>
      <c r="L30" s="18"/>
      <c r="M30" s="18"/>
      <c r="N30" s="18"/>
      <c r="O30" s="18"/>
      <c r="P30" s="18">
        <f t="shared" si="4"/>
        <v>0</v>
      </c>
      <c r="Q30" s="15">
        <f>$P30*'Allocation %'!J30</f>
        <v>0</v>
      </c>
      <c r="R30" s="15">
        <f>$P30*'Allocation %'!K30</f>
        <v>0</v>
      </c>
      <c r="S30" s="15">
        <f>$P30*'Allocation %'!M30</f>
        <v>0</v>
      </c>
      <c r="T30" s="15">
        <f>$P30*'Allocation %'!N30</f>
        <v>0</v>
      </c>
      <c r="U30" s="15">
        <f>$P30*'Allocation %'!O30</f>
        <v>0</v>
      </c>
      <c r="V30" s="15">
        <f>$P30*'Allocation %'!P30</f>
        <v>0</v>
      </c>
      <c r="W30" s="15">
        <f>$P30*'Allocation %'!Q30</f>
        <v>0</v>
      </c>
      <c r="X30" s="15">
        <f>$P30*'Allocation %'!R30</f>
        <v>0</v>
      </c>
      <c r="Y30" s="15">
        <f>$P30*'Allocation %'!S30</f>
        <v>0</v>
      </c>
      <c r="Z30" s="15">
        <f>$P30*'Allocation %'!T30</f>
        <v>0</v>
      </c>
      <c r="AA30" s="15">
        <f>$P30*'Allocation %'!U30</f>
        <v>0</v>
      </c>
      <c r="AB30" s="15">
        <f>$P30*'Allocation %'!V30</f>
        <v>0</v>
      </c>
      <c r="AC30" s="15">
        <f>$P30*'Allocation %'!W30</f>
        <v>0</v>
      </c>
      <c r="AD30" s="15">
        <f>$P30*'Allocation %'!X30</f>
        <v>0</v>
      </c>
      <c r="AE30" s="15">
        <f>$P30*'Allocation %'!Y30</f>
        <v>0</v>
      </c>
      <c r="AF30" s="15">
        <f>$P30*'Allocation %'!Z30</f>
        <v>0</v>
      </c>
      <c r="AG30" s="15">
        <f>$P30*'Allocation %'!AA30</f>
        <v>0</v>
      </c>
      <c r="AH30" s="15">
        <f>$P30*'Allocation %'!AB30</f>
        <v>0</v>
      </c>
      <c r="AI30" s="15">
        <f>$P30*'Allocation %'!AC30</f>
        <v>0</v>
      </c>
      <c r="AJ30" s="15">
        <f>$P30*'Allocation %'!AD30</f>
        <v>0</v>
      </c>
      <c r="AK30" s="15">
        <f>$P30*'Allocation %'!AE30</f>
        <v>0</v>
      </c>
      <c r="AL30" s="15">
        <f>$P30*'Allocation %'!AF30</f>
        <v>0</v>
      </c>
      <c r="AM30" s="15">
        <f>$P30*'Allocation %'!AG30</f>
        <v>0</v>
      </c>
      <c r="AN30" s="15">
        <f>$P30*'Allocation %'!AH30</f>
        <v>0</v>
      </c>
      <c r="AO30" s="89">
        <f t="shared" si="2"/>
        <v>0</v>
      </c>
      <c r="AP30" s="19">
        <f t="shared" si="3"/>
        <v>0</v>
      </c>
    </row>
    <row r="31" spans="1:42" s="16" customFormat="1" ht="10.5" x14ac:dyDescent="0.25">
      <c r="A31" s="11">
        <f>Salary!A31</f>
        <v>28</v>
      </c>
      <c r="B31" s="17" t="str">
        <f>'Allocation %'!B31</f>
        <v>Robbins, Leonard</v>
      </c>
      <c r="C31" s="17">
        <v>28</v>
      </c>
      <c r="D31" s="17" t="str">
        <f>'Allocation %'!D31</f>
        <v>Opportunity Corp</v>
      </c>
      <c r="E31" s="17">
        <f>'Allocation %'!E31</f>
        <v>0</v>
      </c>
      <c r="F31" s="27">
        <v>2769.23</v>
      </c>
      <c r="G31" s="27">
        <f t="shared" si="0"/>
        <v>71999.98</v>
      </c>
      <c r="H31" s="18">
        <v>3076.93</v>
      </c>
      <c r="I31" s="28">
        <f>H31*$G$3</f>
        <v>80000.179999999993</v>
      </c>
      <c r="J31" s="18"/>
      <c r="K31" s="18"/>
      <c r="L31" s="28"/>
      <c r="M31" s="28"/>
      <c r="N31" s="28"/>
      <c r="O31" s="28"/>
      <c r="P31" s="18">
        <f t="shared" si="4"/>
        <v>0</v>
      </c>
      <c r="Q31" s="15">
        <f>$P31*'Allocation %'!J31</f>
        <v>0</v>
      </c>
      <c r="R31" s="15">
        <f>$P31*'Allocation %'!K31</f>
        <v>0</v>
      </c>
      <c r="S31" s="15">
        <f>$P31*'Allocation %'!M31</f>
        <v>0</v>
      </c>
      <c r="T31" s="15">
        <f>$P31*'Allocation %'!N31</f>
        <v>0</v>
      </c>
      <c r="U31" s="15">
        <f>$P31*'Allocation %'!O31</f>
        <v>0</v>
      </c>
      <c r="V31" s="15">
        <f>$P31*'Allocation %'!P31</f>
        <v>0</v>
      </c>
      <c r="W31" s="15">
        <f>$P31*'Allocation %'!Q31</f>
        <v>0</v>
      </c>
      <c r="X31" s="15">
        <f>$P31*'Allocation %'!R31</f>
        <v>0</v>
      </c>
      <c r="Y31" s="15">
        <f>$P31*'Allocation %'!S31</f>
        <v>0</v>
      </c>
      <c r="Z31" s="15">
        <f>$P31*'Allocation %'!T31</f>
        <v>0</v>
      </c>
      <c r="AA31" s="15">
        <f>$P31*'Allocation %'!U31</f>
        <v>0</v>
      </c>
      <c r="AB31" s="15">
        <f>$P31*'Allocation %'!V31</f>
        <v>0</v>
      </c>
      <c r="AC31" s="15">
        <f>$P31*'Allocation %'!W31</f>
        <v>0</v>
      </c>
      <c r="AD31" s="15">
        <f>$P31*'Allocation %'!X31</f>
        <v>0</v>
      </c>
      <c r="AE31" s="15">
        <f>$P31*'Allocation %'!Y31</f>
        <v>0</v>
      </c>
      <c r="AF31" s="15">
        <f>$P31*'Allocation %'!Z31</f>
        <v>0</v>
      </c>
      <c r="AG31" s="15">
        <f>$P31*'Allocation %'!AA31</f>
        <v>0</v>
      </c>
      <c r="AH31" s="15">
        <f>$P31*'Allocation %'!AB31</f>
        <v>0</v>
      </c>
      <c r="AI31" s="15">
        <f>$P31*'Allocation %'!AC31</f>
        <v>0</v>
      </c>
      <c r="AJ31" s="15">
        <f>$P31*'Allocation %'!AD31</f>
        <v>0</v>
      </c>
      <c r="AK31" s="15">
        <f>$P31*'Allocation %'!AE31</f>
        <v>0</v>
      </c>
      <c r="AL31" s="15">
        <f>$P31*'Allocation %'!AF31</f>
        <v>0</v>
      </c>
      <c r="AM31" s="15">
        <f>$P31*'Allocation %'!AG31</f>
        <v>0</v>
      </c>
      <c r="AN31" s="15">
        <f>$P31*'Allocation %'!AH31</f>
        <v>0</v>
      </c>
      <c r="AO31" s="89">
        <f t="shared" si="2"/>
        <v>0</v>
      </c>
      <c r="AP31" s="19">
        <f t="shared" si="3"/>
        <v>0</v>
      </c>
    </row>
    <row r="32" spans="1:42" s="16" customFormat="1" ht="10.5" x14ac:dyDescent="0.25">
      <c r="A32" s="11">
        <f>Salary!A32</f>
        <v>29</v>
      </c>
      <c r="B32" s="17" t="str">
        <f>'Allocation %'!B32</f>
        <v>SERMON, Patricia April</v>
      </c>
      <c r="C32" s="17">
        <v>29</v>
      </c>
      <c r="D32" s="17" t="str">
        <f>'Allocation %'!D32</f>
        <v>FOC, Housing, OICA, COO</v>
      </c>
      <c r="E32" s="17">
        <f>'Allocation %'!E32</f>
        <v>0</v>
      </c>
      <c r="F32" s="29">
        <v>3153.85</v>
      </c>
      <c r="G32" s="29">
        <f t="shared" si="0"/>
        <v>82000.099999999991</v>
      </c>
      <c r="H32" s="18">
        <v>3461.54</v>
      </c>
      <c r="I32" s="28">
        <f>H32*$G$3</f>
        <v>90000.04</v>
      </c>
      <c r="J32" s="18">
        <v>400</v>
      </c>
      <c r="K32" s="18">
        <v>400</v>
      </c>
      <c r="L32" s="28"/>
      <c r="M32" s="28"/>
      <c r="N32" s="28"/>
      <c r="O32" s="28"/>
      <c r="P32" s="18">
        <f t="shared" si="4"/>
        <v>800</v>
      </c>
      <c r="Q32" s="15">
        <f>$P32*'Allocation %'!J32</f>
        <v>0</v>
      </c>
      <c r="R32" s="15">
        <f>$P32*'Allocation %'!K32</f>
        <v>0</v>
      </c>
      <c r="S32" s="15">
        <f>$P32*'Allocation %'!M32</f>
        <v>0</v>
      </c>
      <c r="T32" s="15">
        <f>$P32*'Allocation %'!N32</f>
        <v>160</v>
      </c>
      <c r="U32" s="15">
        <f>$P32*'Allocation %'!O32</f>
        <v>0</v>
      </c>
      <c r="V32" s="15">
        <f>$P32*'Allocation %'!P32</f>
        <v>192</v>
      </c>
      <c r="W32" s="15">
        <f>$P32*'Allocation %'!Q32</f>
        <v>0</v>
      </c>
      <c r="X32" s="15">
        <f>$P32*'Allocation %'!R32</f>
        <v>0</v>
      </c>
      <c r="Y32" s="15">
        <f>$P32*'Allocation %'!S32</f>
        <v>0</v>
      </c>
      <c r="Z32" s="15">
        <f>$P32*'Allocation %'!T32</f>
        <v>40</v>
      </c>
      <c r="AA32" s="15">
        <f>$P32*'Allocation %'!U32</f>
        <v>32</v>
      </c>
      <c r="AB32" s="15">
        <f>$P32*'Allocation %'!V32</f>
        <v>16</v>
      </c>
      <c r="AC32" s="15">
        <f>$P32*'Allocation %'!W32</f>
        <v>48</v>
      </c>
      <c r="AD32" s="15">
        <f>$P32*'Allocation %'!X32</f>
        <v>312</v>
      </c>
      <c r="AE32" s="15">
        <f>$P32*'Allocation %'!Y32</f>
        <v>0</v>
      </c>
      <c r="AF32" s="15">
        <f>$P32*'Allocation %'!Z32</f>
        <v>0</v>
      </c>
      <c r="AG32" s="15">
        <f>$P32*'Allocation %'!AA32</f>
        <v>0</v>
      </c>
      <c r="AH32" s="15">
        <f>$P32*'Allocation %'!AB32</f>
        <v>0</v>
      </c>
      <c r="AI32" s="15">
        <f>$P32*'Allocation %'!AC32</f>
        <v>0</v>
      </c>
      <c r="AJ32" s="15">
        <f>$P32*'Allocation %'!AD32</f>
        <v>0</v>
      </c>
      <c r="AK32" s="15">
        <f>$P32*'Allocation %'!AE32</f>
        <v>0</v>
      </c>
      <c r="AL32" s="15">
        <f>$P32*'Allocation %'!AF32</f>
        <v>0</v>
      </c>
      <c r="AM32" s="15">
        <f>$P32*'Allocation %'!AG32</f>
        <v>0</v>
      </c>
      <c r="AN32" s="15">
        <f>$P32*'Allocation %'!AH32</f>
        <v>0</v>
      </c>
      <c r="AO32" s="89">
        <f t="shared" si="2"/>
        <v>800</v>
      </c>
      <c r="AP32" s="19">
        <f t="shared" si="3"/>
        <v>0</v>
      </c>
    </row>
    <row r="33" spans="1:42" s="16" customFormat="1" ht="10.5" x14ac:dyDescent="0.25">
      <c r="A33" s="11">
        <f>Salary!A33</f>
        <v>30</v>
      </c>
      <c r="B33" s="17" t="str">
        <f>'Allocation %'!B33</f>
        <v>SHARIF, Darrin S. - April</v>
      </c>
      <c r="C33" s="17">
        <v>30</v>
      </c>
      <c r="D33" s="17" t="str">
        <f>'Allocation %'!D33</f>
        <v>Admin, Coding, WF</v>
      </c>
      <c r="E33" s="17">
        <f>'Allocation %'!E33</f>
        <v>0</v>
      </c>
      <c r="F33" s="27">
        <v>3269</v>
      </c>
      <c r="G33" s="27">
        <f t="shared" si="0"/>
        <v>84994</v>
      </c>
      <c r="H33" s="18"/>
      <c r="I33" s="18">
        <f t="shared" ref="I33:I39" si="8">SUM(G33:H33)</f>
        <v>84994</v>
      </c>
      <c r="J33" s="18"/>
      <c r="K33" s="18"/>
      <c r="L33" s="18"/>
      <c r="M33" s="18"/>
      <c r="N33" s="18"/>
      <c r="O33" s="18"/>
      <c r="P33" s="18">
        <f t="shared" si="4"/>
        <v>0</v>
      </c>
      <c r="Q33" s="15">
        <f>$P33*'Allocation %'!J33</f>
        <v>0</v>
      </c>
      <c r="R33" s="15">
        <f>$P33*'Allocation %'!K33</f>
        <v>0</v>
      </c>
      <c r="S33" s="15">
        <f>$P33*'Allocation %'!M33</f>
        <v>0</v>
      </c>
      <c r="T33" s="15">
        <f>$P33*'Allocation %'!N33</f>
        <v>0</v>
      </c>
      <c r="U33" s="15">
        <f>$P33*'Allocation %'!O33</f>
        <v>0</v>
      </c>
      <c r="V33" s="15">
        <f>$P33*'Allocation %'!P33</f>
        <v>0</v>
      </c>
      <c r="W33" s="15">
        <f>$P33*'Allocation %'!Q33</f>
        <v>0</v>
      </c>
      <c r="X33" s="15">
        <f>$P33*'Allocation %'!R33</f>
        <v>0</v>
      </c>
      <c r="Y33" s="15">
        <f>$P33*'Allocation %'!S33</f>
        <v>0</v>
      </c>
      <c r="Z33" s="15">
        <f>$P33*'Allocation %'!T33</f>
        <v>0</v>
      </c>
      <c r="AA33" s="15">
        <f>$P33*'Allocation %'!U33</f>
        <v>0</v>
      </c>
      <c r="AB33" s="15">
        <f>$P33*'Allocation %'!V33</f>
        <v>0</v>
      </c>
      <c r="AC33" s="15">
        <f>$P33*'Allocation %'!W33</f>
        <v>0</v>
      </c>
      <c r="AD33" s="15">
        <f>$P33*'Allocation %'!X33</f>
        <v>0</v>
      </c>
      <c r="AE33" s="15">
        <f>$P33*'Allocation %'!Y33</f>
        <v>0</v>
      </c>
      <c r="AF33" s="15">
        <f>$P33*'Allocation %'!Z33</f>
        <v>0</v>
      </c>
      <c r="AG33" s="15">
        <f>$P33*'Allocation %'!AA33</f>
        <v>0</v>
      </c>
      <c r="AH33" s="15">
        <f>$P33*'Allocation %'!AB33</f>
        <v>0</v>
      </c>
      <c r="AI33" s="15">
        <f>$P33*'Allocation %'!AC33</f>
        <v>0</v>
      </c>
      <c r="AJ33" s="15">
        <f>$P33*'Allocation %'!AD33</f>
        <v>0</v>
      </c>
      <c r="AK33" s="15">
        <f>$P33*'Allocation %'!AE33</f>
        <v>0</v>
      </c>
      <c r="AL33" s="15">
        <f>$P33*'Allocation %'!AF33</f>
        <v>0</v>
      </c>
      <c r="AM33" s="15">
        <f>$P33*'Allocation %'!AG33</f>
        <v>0</v>
      </c>
      <c r="AN33" s="15">
        <f>$P33*'Allocation %'!AH33</f>
        <v>0</v>
      </c>
      <c r="AO33" s="89">
        <f t="shared" si="2"/>
        <v>0</v>
      </c>
      <c r="AP33" s="19">
        <f t="shared" si="3"/>
        <v>0</v>
      </c>
    </row>
    <row r="34" spans="1:42" s="16" customFormat="1" ht="10.5" x14ac:dyDescent="0.25">
      <c r="A34" s="11">
        <f>Salary!A34</f>
        <v>31</v>
      </c>
      <c r="B34" s="17" t="str">
        <f>'Allocation %'!B34</f>
        <v>SIMMONS, Bertrilla R.</v>
      </c>
      <c r="C34" s="17">
        <v>31</v>
      </c>
      <c r="D34" s="17" t="str">
        <f>'Allocation %'!D34</f>
        <v>Abbott</v>
      </c>
      <c r="E34" s="17" t="str">
        <f>'Allocation %'!E34</f>
        <v>Teacher</v>
      </c>
      <c r="F34" s="27">
        <v>2684.05</v>
      </c>
      <c r="G34" s="32">
        <f t="shared" si="0"/>
        <v>69785.3</v>
      </c>
      <c r="H34" s="18"/>
      <c r="I34" s="18">
        <f t="shared" si="8"/>
        <v>69785.3</v>
      </c>
      <c r="J34" s="18"/>
      <c r="K34" s="18"/>
      <c r="L34" s="18"/>
      <c r="M34" s="18"/>
      <c r="N34" s="18"/>
      <c r="O34" s="18"/>
      <c r="P34" s="18">
        <f t="shared" si="4"/>
        <v>0</v>
      </c>
      <c r="Q34" s="15">
        <f>$P34*'Allocation %'!J34</f>
        <v>0</v>
      </c>
      <c r="R34" s="15">
        <f>$P34*'Allocation %'!K34</f>
        <v>0</v>
      </c>
      <c r="S34" s="15">
        <f>$P34*'Allocation %'!M34</f>
        <v>0</v>
      </c>
      <c r="T34" s="15">
        <f>$P34*'Allocation %'!N34</f>
        <v>0</v>
      </c>
      <c r="U34" s="15">
        <f>$P34*'Allocation %'!O34</f>
        <v>0</v>
      </c>
      <c r="V34" s="15">
        <f>$P34*'Allocation %'!P34</f>
        <v>0</v>
      </c>
      <c r="W34" s="15">
        <f>$P34*'Allocation %'!Q34</f>
        <v>0</v>
      </c>
      <c r="X34" s="15">
        <f>$P34*'Allocation %'!R34</f>
        <v>0</v>
      </c>
      <c r="Y34" s="15">
        <f>$P34*'Allocation %'!S34</f>
        <v>0</v>
      </c>
      <c r="Z34" s="15">
        <f>$P34*'Allocation %'!T34</f>
        <v>0</v>
      </c>
      <c r="AA34" s="15">
        <f>$P34*'Allocation %'!U34</f>
        <v>0</v>
      </c>
      <c r="AB34" s="15">
        <f>$P34*'Allocation %'!V34</f>
        <v>0</v>
      </c>
      <c r="AC34" s="15">
        <f>$P34*'Allocation %'!W34</f>
        <v>0</v>
      </c>
      <c r="AD34" s="15">
        <f>$P34*'Allocation %'!X34</f>
        <v>0</v>
      </c>
      <c r="AE34" s="15">
        <f>$P34*'Allocation %'!Y34</f>
        <v>0</v>
      </c>
      <c r="AF34" s="15">
        <f>$P34*'Allocation %'!Z34</f>
        <v>0</v>
      </c>
      <c r="AG34" s="15">
        <f>$P34*'Allocation %'!AA34</f>
        <v>0</v>
      </c>
      <c r="AH34" s="15">
        <f>$P34*'Allocation %'!AB34</f>
        <v>0</v>
      </c>
      <c r="AI34" s="15">
        <f>$P34*'Allocation %'!AC34</f>
        <v>0</v>
      </c>
      <c r="AJ34" s="15">
        <f>$P34*'Allocation %'!AD34</f>
        <v>0</v>
      </c>
      <c r="AK34" s="15">
        <f>$P34*'Allocation %'!AE34</f>
        <v>0</v>
      </c>
      <c r="AL34" s="15">
        <f>$P34*'Allocation %'!AF34</f>
        <v>0</v>
      </c>
      <c r="AM34" s="15">
        <f>$P34*'Allocation %'!AG34</f>
        <v>0</v>
      </c>
      <c r="AN34" s="15">
        <f>$P34*'Allocation %'!AH34</f>
        <v>0</v>
      </c>
      <c r="AO34" s="89">
        <f t="shared" si="2"/>
        <v>0</v>
      </c>
      <c r="AP34" s="19">
        <f t="shared" si="3"/>
        <v>0</v>
      </c>
    </row>
    <row r="35" spans="1:42" s="16" customFormat="1" ht="10.5" x14ac:dyDescent="0.25">
      <c r="A35" s="11">
        <f>Salary!A35</f>
        <v>32</v>
      </c>
      <c r="B35" s="17" t="str">
        <f>'Allocation %'!B35</f>
        <v>STEWART, Robin D</v>
      </c>
      <c r="C35" s="17">
        <v>32</v>
      </c>
      <c r="D35" s="17" t="str">
        <f>'Allocation %'!D35</f>
        <v>Abbott</v>
      </c>
      <c r="E35" s="17" t="str">
        <f>'Allocation %'!E35</f>
        <v>Teacher Asst</v>
      </c>
      <c r="F35" s="27">
        <v>1611.08</v>
      </c>
      <c r="G35" s="27">
        <f>F35*$G$3</f>
        <v>41888.080000000002</v>
      </c>
      <c r="H35" s="18"/>
      <c r="I35" s="18">
        <f t="shared" si="8"/>
        <v>41888.080000000002</v>
      </c>
      <c r="J35" s="18">
        <v>20</v>
      </c>
      <c r="K35" s="18">
        <v>20</v>
      </c>
      <c r="L35" s="18"/>
      <c r="M35" s="18"/>
      <c r="N35" s="18"/>
      <c r="O35" s="18"/>
      <c r="P35" s="18">
        <f t="shared" si="4"/>
        <v>40</v>
      </c>
      <c r="Q35" s="15">
        <f>$P35*'Allocation %'!J35</f>
        <v>40</v>
      </c>
      <c r="R35" s="15">
        <f>$P35*'Allocation %'!K35</f>
        <v>0</v>
      </c>
      <c r="S35" s="15">
        <f>$P35*'Allocation %'!M35</f>
        <v>0</v>
      </c>
      <c r="T35" s="15">
        <f>$P35*'Allocation %'!N35</f>
        <v>0</v>
      </c>
      <c r="U35" s="15">
        <f>$P35*'Allocation %'!O35</f>
        <v>0</v>
      </c>
      <c r="V35" s="15">
        <f>$P35*'Allocation %'!P35</f>
        <v>0</v>
      </c>
      <c r="W35" s="15">
        <f>$P35*'Allocation %'!Q35</f>
        <v>0</v>
      </c>
      <c r="X35" s="15">
        <f>$P35*'Allocation %'!R35</f>
        <v>0</v>
      </c>
      <c r="Y35" s="15">
        <f>$P35*'Allocation %'!S35</f>
        <v>0</v>
      </c>
      <c r="Z35" s="15">
        <f>$P35*'Allocation %'!T35</f>
        <v>0</v>
      </c>
      <c r="AA35" s="15">
        <f>$P35*'Allocation %'!U35</f>
        <v>0</v>
      </c>
      <c r="AB35" s="15">
        <f>$P35*'Allocation %'!V35</f>
        <v>0</v>
      </c>
      <c r="AC35" s="15">
        <f>$P35*'Allocation %'!W35</f>
        <v>0</v>
      </c>
      <c r="AD35" s="15">
        <f>$P35*'Allocation %'!X35</f>
        <v>0</v>
      </c>
      <c r="AE35" s="15">
        <f>$P35*'Allocation %'!Y35</f>
        <v>0</v>
      </c>
      <c r="AF35" s="15">
        <f>$P35*'Allocation %'!Z35</f>
        <v>0</v>
      </c>
      <c r="AG35" s="15">
        <f>$P35*'Allocation %'!AA35</f>
        <v>0</v>
      </c>
      <c r="AH35" s="15">
        <f>$P35*'Allocation %'!AB35</f>
        <v>0</v>
      </c>
      <c r="AI35" s="15">
        <f>$P35*'Allocation %'!AC35</f>
        <v>0</v>
      </c>
      <c r="AJ35" s="15">
        <f>$P35*'Allocation %'!AD35</f>
        <v>0</v>
      </c>
      <c r="AK35" s="15">
        <f>$P35*'Allocation %'!AE35</f>
        <v>0</v>
      </c>
      <c r="AL35" s="15">
        <f>$P35*'Allocation %'!AF35</f>
        <v>0</v>
      </c>
      <c r="AM35" s="15">
        <f>$P35*'Allocation %'!AG35</f>
        <v>0</v>
      </c>
      <c r="AN35" s="15">
        <f>$P35*'Allocation %'!AH35</f>
        <v>0</v>
      </c>
      <c r="AO35" s="89">
        <f t="shared" si="2"/>
        <v>40</v>
      </c>
      <c r="AP35" s="19">
        <f t="shared" si="3"/>
        <v>0</v>
      </c>
    </row>
    <row r="36" spans="1:42" s="16" customFormat="1" ht="10.5" x14ac:dyDescent="0.25">
      <c r="A36" s="11">
        <f>Salary!A36</f>
        <v>33</v>
      </c>
      <c r="B36" s="17" t="str">
        <f>'Allocation %'!B36</f>
        <v>TYLER, Patricia</v>
      </c>
      <c r="C36" s="17">
        <v>33</v>
      </c>
      <c r="D36" s="17" t="str">
        <f>'Allocation %'!D36</f>
        <v>Abbott</v>
      </c>
      <c r="E36" s="17" t="str">
        <f>'Allocation %'!E36</f>
        <v>Cook</v>
      </c>
      <c r="F36" s="27">
        <v>454.96</v>
      </c>
      <c r="G36" s="27">
        <f t="shared" si="0"/>
        <v>11828.96</v>
      </c>
      <c r="H36" s="18"/>
      <c r="I36" s="18">
        <f t="shared" si="8"/>
        <v>11828.96</v>
      </c>
      <c r="J36" s="18"/>
      <c r="K36" s="18"/>
      <c r="L36" s="18"/>
      <c r="M36" s="18"/>
      <c r="N36" s="18"/>
      <c r="O36" s="18"/>
      <c r="P36" s="18">
        <f t="shared" si="4"/>
        <v>0</v>
      </c>
      <c r="Q36" s="15">
        <f>$P36*'Allocation %'!J36</f>
        <v>0</v>
      </c>
      <c r="R36" s="15">
        <f>$P36*'Allocation %'!K36</f>
        <v>0</v>
      </c>
      <c r="S36" s="15">
        <f>$P36*'Allocation %'!M36</f>
        <v>0</v>
      </c>
      <c r="T36" s="15">
        <f>$P36*'Allocation %'!N36</f>
        <v>0</v>
      </c>
      <c r="U36" s="15">
        <f>$P36*'Allocation %'!O36</f>
        <v>0</v>
      </c>
      <c r="V36" s="15">
        <f>$P36*'Allocation %'!P36</f>
        <v>0</v>
      </c>
      <c r="W36" s="15">
        <f>$P36*'Allocation %'!Q36</f>
        <v>0</v>
      </c>
      <c r="X36" s="15">
        <f>$P36*'Allocation %'!R36</f>
        <v>0</v>
      </c>
      <c r="Y36" s="15">
        <f>$P36*'Allocation %'!S36</f>
        <v>0</v>
      </c>
      <c r="Z36" s="15">
        <f>$P36*'Allocation %'!T36</f>
        <v>0</v>
      </c>
      <c r="AA36" s="15">
        <f>$P36*'Allocation %'!U36</f>
        <v>0</v>
      </c>
      <c r="AB36" s="15">
        <f>$P36*'Allocation %'!V36</f>
        <v>0</v>
      </c>
      <c r="AC36" s="15">
        <f>$P36*'Allocation %'!W36</f>
        <v>0</v>
      </c>
      <c r="AD36" s="15">
        <f>$P36*'Allocation %'!X36</f>
        <v>0</v>
      </c>
      <c r="AE36" s="15">
        <f>$P36*'Allocation %'!Y36</f>
        <v>0</v>
      </c>
      <c r="AF36" s="15">
        <f>$P36*'Allocation %'!Z36</f>
        <v>0</v>
      </c>
      <c r="AG36" s="15">
        <f>$P36*'Allocation %'!AA36</f>
        <v>0</v>
      </c>
      <c r="AH36" s="15">
        <f>$P36*'Allocation %'!AB36</f>
        <v>0</v>
      </c>
      <c r="AI36" s="15">
        <f>$P36*'Allocation %'!AC36</f>
        <v>0</v>
      </c>
      <c r="AJ36" s="15">
        <f>$P36*'Allocation %'!AD36</f>
        <v>0</v>
      </c>
      <c r="AK36" s="15">
        <f>$P36*'Allocation %'!AE36</f>
        <v>0</v>
      </c>
      <c r="AL36" s="15">
        <f>$P36*'Allocation %'!AF36</f>
        <v>0</v>
      </c>
      <c r="AM36" s="15">
        <f>$P36*'Allocation %'!AG36</f>
        <v>0</v>
      </c>
      <c r="AN36" s="15">
        <f>$P36*'Allocation %'!AH36</f>
        <v>0</v>
      </c>
      <c r="AO36" s="89">
        <f t="shared" si="2"/>
        <v>0</v>
      </c>
      <c r="AP36" s="19">
        <f t="shared" si="3"/>
        <v>0</v>
      </c>
    </row>
    <row r="37" spans="1:42" s="16" customFormat="1" ht="10.5" x14ac:dyDescent="0.25">
      <c r="A37" s="11">
        <f>Salary!A37</f>
        <v>34</v>
      </c>
      <c r="B37" s="17" t="str">
        <f>'Allocation %'!B37</f>
        <v>WARD, Richard G. - Off Jan 1</v>
      </c>
      <c r="C37" s="17">
        <v>34</v>
      </c>
      <c r="D37" s="17" t="str">
        <f>'Allocation %'!D37</f>
        <v>Admin</v>
      </c>
      <c r="E37" s="17">
        <f>'Allocation %'!E37</f>
        <v>0</v>
      </c>
      <c r="F37" s="29">
        <v>4230.7700000000004</v>
      </c>
      <c r="G37" s="29">
        <f t="shared" si="0"/>
        <v>110000.02000000002</v>
      </c>
      <c r="H37" s="18"/>
      <c r="I37" s="22">
        <f t="shared" si="8"/>
        <v>110000.02000000002</v>
      </c>
      <c r="J37" s="18">
        <v>211.54</v>
      </c>
      <c r="K37" s="18">
        <v>211.54</v>
      </c>
      <c r="L37" s="22"/>
      <c r="M37" s="22"/>
      <c r="N37" s="22"/>
      <c r="O37" s="22"/>
      <c r="P37" s="18">
        <f t="shared" si="4"/>
        <v>423.08</v>
      </c>
      <c r="Q37" s="15">
        <f>$P37*'Allocation %'!J37</f>
        <v>0</v>
      </c>
      <c r="R37" s="15">
        <f>$P37*'Allocation %'!K37</f>
        <v>0</v>
      </c>
      <c r="S37" s="15">
        <f>$P37*'Allocation %'!M37</f>
        <v>0</v>
      </c>
      <c r="T37" s="15">
        <f>$P37*'Allocation %'!N37</f>
        <v>0</v>
      </c>
      <c r="U37" s="15">
        <f>$P37*'Allocation %'!O37</f>
        <v>0</v>
      </c>
      <c r="V37" s="15">
        <f>$P37*'Allocation %'!P37</f>
        <v>0</v>
      </c>
      <c r="W37" s="15">
        <f>$P37*'Allocation %'!Q37</f>
        <v>0</v>
      </c>
      <c r="X37" s="15">
        <f>$P37*'Allocation %'!R37</f>
        <v>0</v>
      </c>
      <c r="Y37" s="15">
        <f>$P37*'Allocation %'!S37</f>
        <v>0</v>
      </c>
      <c r="Z37" s="15">
        <f>$P37*'Allocation %'!T37</f>
        <v>0</v>
      </c>
      <c r="AA37" s="15">
        <f>$P37*'Allocation %'!U37</f>
        <v>0</v>
      </c>
      <c r="AB37" s="15">
        <f>$P37*'Allocation %'!V37</f>
        <v>0</v>
      </c>
      <c r="AC37" s="15">
        <f>$P37*'Allocation %'!W37</f>
        <v>0</v>
      </c>
      <c r="AD37" s="15">
        <f>$P37*'Allocation %'!X37</f>
        <v>0</v>
      </c>
      <c r="AE37" s="15">
        <f>$P37*'Allocation %'!Y37</f>
        <v>0</v>
      </c>
      <c r="AF37" s="15">
        <f>$P37*'Allocation %'!Z37</f>
        <v>0</v>
      </c>
      <c r="AG37" s="15">
        <f>$P37*'Allocation %'!AA37</f>
        <v>8.4616000000000007</v>
      </c>
      <c r="AH37" s="15">
        <f>$P37*'Allocation %'!AB37</f>
        <v>38.077199999999998</v>
      </c>
      <c r="AI37" s="15">
        <f>$P37*'Allocation %'!AC37</f>
        <v>0</v>
      </c>
      <c r="AJ37" s="15">
        <f>$P37*'Allocation %'!AD37</f>
        <v>0</v>
      </c>
      <c r="AK37" s="15">
        <f>$P37*'Allocation %'!AE37</f>
        <v>376.5412</v>
      </c>
      <c r="AL37" s="15">
        <f>$P37*'Allocation %'!AF37</f>
        <v>0</v>
      </c>
      <c r="AM37" s="15">
        <f>$P37*'Allocation %'!AG37</f>
        <v>0</v>
      </c>
      <c r="AN37" s="15">
        <f>$P37*'Allocation %'!AH37</f>
        <v>0</v>
      </c>
      <c r="AO37" s="89">
        <f t="shared" si="2"/>
        <v>423.08</v>
      </c>
      <c r="AP37" s="19">
        <f t="shared" si="3"/>
        <v>0</v>
      </c>
    </row>
    <row r="38" spans="1:42" s="16" customFormat="1" ht="10.5" x14ac:dyDescent="0.25">
      <c r="A38" s="11">
        <f>Salary!A38</f>
        <v>35</v>
      </c>
      <c r="B38" s="17" t="str">
        <f>'Allocation %'!B38</f>
        <v xml:space="preserve">Williams, Kyneisha - Career Coach </v>
      </c>
      <c r="C38" s="17">
        <v>35</v>
      </c>
      <c r="D38" s="17" t="str">
        <f>'Allocation %'!D38</f>
        <v>United Airlines, PACE June 30</v>
      </c>
      <c r="E38" s="17">
        <f>'Allocation %'!E38</f>
        <v>0</v>
      </c>
      <c r="F38" s="27">
        <v>1538.47</v>
      </c>
      <c r="G38" s="27">
        <f>F38*$G$3</f>
        <v>40000.22</v>
      </c>
      <c r="H38" s="18"/>
      <c r="I38" s="18">
        <f>SUM(G38:H38)</f>
        <v>40000.22</v>
      </c>
      <c r="J38" s="18"/>
      <c r="K38" s="18"/>
      <c r="L38" s="18"/>
      <c r="M38" s="18"/>
      <c r="N38" s="18"/>
      <c r="O38" s="18"/>
      <c r="P38" s="18">
        <f t="shared" si="4"/>
        <v>0</v>
      </c>
      <c r="Q38" s="15">
        <f>$P38*'Allocation %'!J38</f>
        <v>0</v>
      </c>
      <c r="R38" s="15">
        <f>$P38*'Allocation %'!K38</f>
        <v>0</v>
      </c>
      <c r="S38" s="15">
        <f>$P38*'Allocation %'!M38</f>
        <v>0</v>
      </c>
      <c r="T38" s="15">
        <f>$P38*'Allocation %'!N38</f>
        <v>0</v>
      </c>
      <c r="U38" s="15">
        <f>$P38*'Allocation %'!O38</f>
        <v>0</v>
      </c>
      <c r="V38" s="15">
        <f>$P38*'Allocation %'!P38</f>
        <v>0</v>
      </c>
      <c r="W38" s="15">
        <f>$P38*'Allocation %'!Q38</f>
        <v>0</v>
      </c>
      <c r="X38" s="15">
        <f>$P38*'Allocation %'!R38</f>
        <v>0</v>
      </c>
      <c r="Y38" s="15">
        <f>$P38*'Allocation %'!S38</f>
        <v>0</v>
      </c>
      <c r="Z38" s="15">
        <f>$P38*'Allocation %'!T38</f>
        <v>0</v>
      </c>
      <c r="AA38" s="15">
        <f>$P38*'Allocation %'!U38</f>
        <v>0</v>
      </c>
      <c r="AB38" s="15">
        <f>$P38*'Allocation %'!V38</f>
        <v>0</v>
      </c>
      <c r="AC38" s="15">
        <f>$P38*'Allocation %'!W38</f>
        <v>0</v>
      </c>
      <c r="AD38" s="15">
        <f>$P38*'Allocation %'!X38</f>
        <v>0</v>
      </c>
      <c r="AE38" s="15">
        <f>$P38*'Allocation %'!Y38</f>
        <v>0</v>
      </c>
      <c r="AF38" s="15">
        <f>$P38*'Allocation %'!Z38</f>
        <v>0</v>
      </c>
      <c r="AG38" s="15">
        <f>$P38*'Allocation %'!AA38</f>
        <v>0</v>
      </c>
      <c r="AH38" s="15">
        <f>$P38*'Allocation %'!AB38</f>
        <v>0</v>
      </c>
      <c r="AI38" s="15">
        <f>$P38*'Allocation %'!AC38</f>
        <v>0</v>
      </c>
      <c r="AJ38" s="15">
        <f>$P38*'Allocation %'!AD38</f>
        <v>0</v>
      </c>
      <c r="AK38" s="15">
        <f>$P38*'Allocation %'!AE38</f>
        <v>0</v>
      </c>
      <c r="AL38" s="15">
        <f>$P38*'Allocation %'!AF38</f>
        <v>0</v>
      </c>
      <c r="AM38" s="15">
        <f>$P38*'Allocation %'!AG38</f>
        <v>0</v>
      </c>
      <c r="AN38" s="15">
        <f>$P38*'Allocation %'!AH38</f>
        <v>0</v>
      </c>
      <c r="AO38" s="89">
        <f t="shared" si="2"/>
        <v>0</v>
      </c>
      <c r="AP38" s="19">
        <f t="shared" si="3"/>
        <v>0</v>
      </c>
    </row>
    <row r="39" spans="1:42" s="16" customFormat="1" ht="10.5" x14ac:dyDescent="0.25">
      <c r="A39" s="11">
        <f>Salary!A39</f>
        <v>36</v>
      </c>
      <c r="B39" s="17" t="str">
        <f>'Allocation %'!B39</f>
        <v>WOODRIDGE, Rosalind</v>
      </c>
      <c r="C39" s="17">
        <v>36</v>
      </c>
      <c r="D39" s="17" t="str">
        <f>'Allocation %'!D39</f>
        <v>Wrap</v>
      </c>
      <c r="E39" s="17" t="str">
        <f>'Allocation %'!E39</f>
        <v>Wrap Teacher</v>
      </c>
      <c r="F39" s="18">
        <v>510</v>
      </c>
      <c r="G39" s="18">
        <f t="shared" si="0"/>
        <v>13260</v>
      </c>
      <c r="H39" s="18"/>
      <c r="I39" s="18">
        <f t="shared" si="8"/>
        <v>13260</v>
      </c>
      <c r="J39" s="18"/>
      <c r="K39" s="18"/>
      <c r="L39" s="18"/>
      <c r="M39" s="18"/>
      <c r="N39" s="18"/>
      <c r="O39" s="18"/>
      <c r="P39" s="18">
        <f t="shared" si="4"/>
        <v>0</v>
      </c>
      <c r="Q39" s="15">
        <f>$P39*'Allocation %'!J39</f>
        <v>0</v>
      </c>
      <c r="R39" s="15">
        <f>$P39*'Allocation %'!K39</f>
        <v>0</v>
      </c>
      <c r="S39" s="15">
        <f>$P39*'Allocation %'!M39</f>
        <v>0</v>
      </c>
      <c r="T39" s="15">
        <f>$P39*'Allocation %'!N39</f>
        <v>0</v>
      </c>
      <c r="U39" s="15">
        <f>$P39*'Allocation %'!O39</f>
        <v>0</v>
      </c>
      <c r="V39" s="15">
        <f>$P39*'Allocation %'!P39</f>
        <v>0</v>
      </c>
      <c r="W39" s="15">
        <f>$P39*'Allocation %'!Q39</f>
        <v>0</v>
      </c>
      <c r="X39" s="15">
        <f>$P39*'Allocation %'!R39</f>
        <v>0</v>
      </c>
      <c r="Y39" s="15">
        <f>$P39*'Allocation %'!S39</f>
        <v>0</v>
      </c>
      <c r="Z39" s="15">
        <f>$P39*'Allocation %'!T39</f>
        <v>0</v>
      </c>
      <c r="AA39" s="15">
        <f>$P39*'Allocation %'!U39</f>
        <v>0</v>
      </c>
      <c r="AB39" s="15">
        <f>$P39*'Allocation %'!V39</f>
        <v>0</v>
      </c>
      <c r="AC39" s="15">
        <f>$P39*'Allocation %'!W39</f>
        <v>0</v>
      </c>
      <c r="AD39" s="15">
        <f>$P39*'Allocation %'!X39</f>
        <v>0</v>
      </c>
      <c r="AE39" s="15">
        <f>$P39*'Allocation %'!Y39</f>
        <v>0</v>
      </c>
      <c r="AF39" s="15">
        <f>$P39*'Allocation %'!Z39</f>
        <v>0</v>
      </c>
      <c r="AG39" s="15">
        <f>$P39*'Allocation %'!AA39</f>
        <v>0</v>
      </c>
      <c r="AH39" s="15">
        <f>$P39*'Allocation %'!AB39</f>
        <v>0</v>
      </c>
      <c r="AI39" s="15">
        <f>$P39*'Allocation %'!AC39</f>
        <v>0</v>
      </c>
      <c r="AJ39" s="15">
        <f>$P39*'Allocation %'!AD39</f>
        <v>0</v>
      </c>
      <c r="AK39" s="15">
        <f>$P39*'Allocation %'!AE39</f>
        <v>0</v>
      </c>
      <c r="AL39" s="15">
        <f>$P39*'Allocation %'!AF39</f>
        <v>0</v>
      </c>
      <c r="AM39" s="15">
        <f>$P39*'Allocation %'!AG39</f>
        <v>0</v>
      </c>
      <c r="AN39" s="15">
        <f>$P39*'Allocation %'!AH39</f>
        <v>0</v>
      </c>
      <c r="AO39" s="89">
        <f t="shared" si="2"/>
        <v>0</v>
      </c>
      <c r="AP39" s="19">
        <f t="shared" si="3"/>
        <v>0</v>
      </c>
    </row>
    <row r="40" spans="1:42" s="16" customFormat="1" ht="10.5" x14ac:dyDescent="0.25">
      <c r="A40" s="11"/>
      <c r="B40" s="17"/>
      <c r="C40" s="17"/>
      <c r="D40" s="17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f t="shared" si="4"/>
        <v>0</v>
      </c>
      <c r="Q40" s="15">
        <f>$P40*'Allocation %'!J40</f>
        <v>0</v>
      </c>
      <c r="R40" s="15">
        <f>$P40*'Allocation %'!K40</f>
        <v>0</v>
      </c>
      <c r="S40" s="15">
        <f>$P40*'Allocation %'!M40</f>
        <v>0</v>
      </c>
      <c r="T40" s="15">
        <f>$P40*'Allocation %'!N40</f>
        <v>0</v>
      </c>
      <c r="U40" s="15">
        <f>$P40*'Allocation %'!O40</f>
        <v>0</v>
      </c>
      <c r="V40" s="15">
        <f>$P40*'Allocation %'!P40</f>
        <v>0</v>
      </c>
      <c r="W40" s="15">
        <f>$P40*'Allocation %'!Q40</f>
        <v>0</v>
      </c>
      <c r="X40" s="15">
        <f>$P40*'Allocation %'!R40</f>
        <v>0</v>
      </c>
      <c r="Y40" s="15">
        <f>$P40*'Allocation %'!S40</f>
        <v>0</v>
      </c>
      <c r="Z40" s="15">
        <f>$P40*'Allocation %'!T40</f>
        <v>0</v>
      </c>
      <c r="AA40" s="15">
        <f>$P40*'Allocation %'!U40</f>
        <v>0</v>
      </c>
      <c r="AB40" s="15">
        <f>$P40*'Allocation %'!V40</f>
        <v>0</v>
      </c>
      <c r="AC40" s="15">
        <f>$P40*'Allocation %'!W40</f>
        <v>0</v>
      </c>
      <c r="AD40" s="15">
        <f>$P40*'Allocation %'!X40</f>
        <v>0</v>
      </c>
      <c r="AE40" s="15">
        <f>$P40*'Allocation %'!Y40</f>
        <v>0</v>
      </c>
      <c r="AF40" s="15">
        <f>$P40*'Allocation %'!Z40</f>
        <v>0</v>
      </c>
      <c r="AG40" s="15">
        <f>$P40*'Allocation %'!AA40</f>
        <v>0</v>
      </c>
      <c r="AH40" s="15">
        <f>$P40*'Allocation %'!AB40</f>
        <v>0</v>
      </c>
      <c r="AI40" s="15">
        <f>$P40*'Allocation %'!AC40</f>
        <v>0</v>
      </c>
      <c r="AJ40" s="15">
        <f>$P40*'Allocation %'!AD40</f>
        <v>0</v>
      </c>
      <c r="AK40" s="15">
        <f>$P40*'Allocation %'!AE40</f>
        <v>0</v>
      </c>
      <c r="AL40" s="15">
        <f>$P40*'Allocation %'!AF40</f>
        <v>0</v>
      </c>
      <c r="AM40" s="15">
        <f>$P40*'Allocation %'!AG40</f>
        <v>0</v>
      </c>
      <c r="AN40" s="15">
        <f>$P40*'Allocation %'!AH40</f>
        <v>0</v>
      </c>
      <c r="AO40" s="89">
        <f t="shared" si="2"/>
        <v>0</v>
      </c>
      <c r="AP40" s="19">
        <f t="shared" si="3"/>
        <v>0</v>
      </c>
    </row>
    <row r="41" spans="1:42" s="16" customFormat="1" ht="11" thickBot="1" x14ac:dyDescent="0.3">
      <c r="A41" s="11"/>
      <c r="B41" s="17"/>
      <c r="C41" s="17"/>
      <c r="D41" s="33"/>
      <c r="E41" s="33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89">
        <f t="shared" si="2"/>
        <v>0</v>
      </c>
      <c r="AP41" s="19">
        <f t="shared" si="3"/>
        <v>0</v>
      </c>
    </row>
    <row r="42" spans="1:42" s="37" customFormat="1" ht="11" thickBot="1" x14ac:dyDescent="0.3">
      <c r="A42" s="34"/>
      <c r="B42" s="17"/>
      <c r="C42" s="17"/>
      <c r="D42" s="33"/>
      <c r="E42" s="33"/>
      <c r="F42" s="35">
        <f>SUM(F4:F41)</f>
        <v>62760.78</v>
      </c>
      <c r="G42" s="35">
        <f t="shared" ref="G42:AO42" si="9">SUM(G4:G41)</f>
        <v>1631780.28</v>
      </c>
      <c r="H42" s="35">
        <f t="shared" si="9"/>
        <v>6538.4699999999993</v>
      </c>
      <c r="I42" s="35">
        <f t="shared" si="9"/>
        <v>1647780.42</v>
      </c>
      <c r="J42" s="35">
        <f t="shared" si="9"/>
        <v>1794.24</v>
      </c>
      <c r="K42" s="35">
        <f t="shared" si="9"/>
        <v>1794.24</v>
      </c>
      <c r="L42" s="35">
        <f t="shared" si="9"/>
        <v>0</v>
      </c>
      <c r="M42" s="35">
        <f t="shared" si="9"/>
        <v>0</v>
      </c>
      <c r="N42" s="35">
        <f t="shared" si="9"/>
        <v>0</v>
      </c>
      <c r="O42" s="35">
        <f t="shared" si="9"/>
        <v>0</v>
      </c>
      <c r="P42" s="75">
        <f t="shared" si="9"/>
        <v>3588.48</v>
      </c>
      <c r="Q42" s="35">
        <f t="shared" si="9"/>
        <v>333.8528</v>
      </c>
      <c r="R42" s="35">
        <f t="shared" si="9"/>
        <v>75.387200000000007</v>
      </c>
      <c r="S42" s="35">
        <f t="shared" si="9"/>
        <v>110</v>
      </c>
      <c r="T42" s="35">
        <f t="shared" si="9"/>
        <v>160</v>
      </c>
      <c r="U42" s="35">
        <f t="shared" si="9"/>
        <v>330</v>
      </c>
      <c r="V42" s="35">
        <f t="shared" ref="V42" si="10">SUM(V4:V41)</f>
        <v>862</v>
      </c>
      <c r="W42" s="35">
        <f t="shared" ref="W42:X42" si="11">SUM(W4:W41)</f>
        <v>0</v>
      </c>
      <c r="X42" s="35">
        <f t="shared" si="11"/>
        <v>0</v>
      </c>
      <c r="Y42" s="35">
        <f t="shared" ref="Y42" si="12">SUM(Y4:Y41)</f>
        <v>0</v>
      </c>
      <c r="Z42" s="35">
        <f t="shared" ref="Z42:AB42" si="13">SUM(Z4:Z41)</f>
        <v>40</v>
      </c>
      <c r="AA42" s="35">
        <f t="shared" si="13"/>
        <v>32</v>
      </c>
      <c r="AB42" s="35">
        <f t="shared" si="13"/>
        <v>16</v>
      </c>
      <c r="AC42" s="35">
        <f t="shared" ref="AC42:AF42" si="14">SUM(AC4:AC41)</f>
        <v>48</v>
      </c>
      <c r="AD42" s="35">
        <f t="shared" si="14"/>
        <v>312</v>
      </c>
      <c r="AE42" s="35">
        <f t="shared" si="14"/>
        <v>0</v>
      </c>
      <c r="AF42" s="35">
        <f t="shared" si="14"/>
        <v>0</v>
      </c>
      <c r="AG42" s="35">
        <f t="shared" si="9"/>
        <v>8.4616000000000007</v>
      </c>
      <c r="AH42" s="35">
        <f t="shared" si="9"/>
        <v>38.077199999999998</v>
      </c>
      <c r="AI42" s="35">
        <f t="shared" si="9"/>
        <v>0</v>
      </c>
      <c r="AJ42" s="35">
        <f t="shared" si="9"/>
        <v>761.54399999999998</v>
      </c>
      <c r="AK42" s="35">
        <f t="shared" si="9"/>
        <v>376.5412</v>
      </c>
      <c r="AL42" s="35">
        <f t="shared" si="9"/>
        <v>84.616</v>
      </c>
      <c r="AM42" s="35">
        <f t="shared" si="9"/>
        <v>0</v>
      </c>
      <c r="AN42" s="35">
        <f t="shared" si="9"/>
        <v>0</v>
      </c>
      <c r="AO42" s="90">
        <f t="shared" si="9"/>
        <v>3588.48</v>
      </c>
      <c r="AP42" s="36"/>
    </row>
    <row r="43" spans="1:42" s="10" customFormat="1" ht="15" x14ac:dyDescent="0.4">
      <c r="A43" s="15"/>
      <c r="B43" s="29"/>
      <c r="C43" s="29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9">
        <f t="shared" ref="Q43:Y43" si="15">Q42/$AO$42</f>
        <v>9.3034599607633314E-2</v>
      </c>
      <c r="R43" s="39">
        <f t="shared" si="15"/>
        <v>2.1008114856429463E-2</v>
      </c>
      <c r="S43" s="39">
        <f t="shared" si="15"/>
        <v>3.0653647226680934E-2</v>
      </c>
      <c r="T43" s="39">
        <f t="shared" si="15"/>
        <v>4.4587123238808632E-2</v>
      </c>
      <c r="U43" s="39">
        <f t="shared" si="15"/>
        <v>9.1960941680042804E-2</v>
      </c>
      <c r="V43" s="39">
        <f t="shared" si="15"/>
        <v>0.24021312644908149</v>
      </c>
      <c r="W43" s="39">
        <f t="shared" si="15"/>
        <v>0</v>
      </c>
      <c r="X43" s="39">
        <f t="shared" si="15"/>
        <v>0</v>
      </c>
      <c r="Y43" s="39">
        <f t="shared" si="15"/>
        <v>0</v>
      </c>
      <c r="Z43" s="39">
        <f t="shared" ref="Z43:AB43" si="16">Z42/$AO$42</f>
        <v>1.1146780809702158E-2</v>
      </c>
      <c r="AA43" s="39">
        <f t="shared" si="16"/>
        <v>8.9174246477617264E-3</v>
      </c>
      <c r="AB43" s="39">
        <f t="shared" si="16"/>
        <v>4.4587123238808632E-3</v>
      </c>
      <c r="AC43" s="39">
        <f t="shared" ref="AC43" si="17">AC42/$AO$42</f>
        <v>1.337613697164259E-2</v>
      </c>
      <c r="AD43" s="39">
        <f t="shared" ref="AD43" si="18">AD42/$AO$42</f>
        <v>8.6944890315676829E-2</v>
      </c>
      <c r="AE43" s="39">
        <f t="shared" ref="AE43" si="19">AE42/$AO$42</f>
        <v>0</v>
      </c>
      <c r="AF43" s="39">
        <f t="shared" ref="AF43" si="20">AF42/$AO$42</f>
        <v>0</v>
      </c>
      <c r="AG43" s="39">
        <f t="shared" ref="AG43:AN43" si="21">AG42/$AO$42</f>
        <v>2.3579900124843945E-3</v>
      </c>
      <c r="AH43" s="39">
        <f t="shared" si="21"/>
        <v>1.0610955056179774E-2</v>
      </c>
      <c r="AI43" s="39">
        <f t="shared" si="21"/>
        <v>0</v>
      </c>
      <c r="AJ43" s="39">
        <f t="shared" si="21"/>
        <v>0.21221910112359549</v>
      </c>
      <c r="AK43" s="39">
        <f t="shared" si="21"/>
        <v>0.10493055555555555</v>
      </c>
      <c r="AL43" s="39">
        <f t="shared" si="21"/>
        <v>2.3579900124843945E-2</v>
      </c>
      <c r="AM43" s="39">
        <f t="shared" si="21"/>
        <v>0</v>
      </c>
      <c r="AN43" s="39">
        <f t="shared" si="21"/>
        <v>0</v>
      </c>
      <c r="AO43" s="39">
        <f>SUM(Q43:AN43)</f>
        <v>0.99999999999999989</v>
      </c>
    </row>
    <row r="44" spans="1:42" ht="15" thickBot="1" x14ac:dyDescent="0.4"/>
    <row r="45" spans="1:42" ht="15" thickBot="1" x14ac:dyDescent="0.4">
      <c r="Q45" s="71" t="str">
        <f>Q2</f>
        <v>Abbott</v>
      </c>
      <c r="R45" s="71" t="str">
        <f t="shared" ref="R45:AN45" si="22">R2</f>
        <v>Abbott - Other</v>
      </c>
      <c r="S45" s="71" t="str">
        <f t="shared" si="22"/>
        <v>Toddlers</v>
      </c>
      <c r="T45" s="71" t="str">
        <f t="shared" si="22"/>
        <v>USJP</v>
      </c>
      <c r="U45" s="71" t="str">
        <f t="shared" si="22"/>
        <v>Workforce UA</v>
      </c>
      <c r="V45" s="71" t="str">
        <f t="shared" ref="V45" si="23">V2</f>
        <v>Pru -Workforce</v>
      </c>
      <c r="W45" s="71" t="str">
        <f t="shared" ref="W45:X45" si="24">W2</f>
        <v>PACE</v>
      </c>
      <c r="X45" s="71" t="str">
        <f t="shared" si="24"/>
        <v>Housing ESG</v>
      </c>
      <c r="Y45" s="71" t="str">
        <f t="shared" ref="Y45" si="25">Y2</f>
        <v>NRTC18</v>
      </c>
      <c r="Z45" s="71" t="str">
        <f t="shared" ref="Z45:AB45" si="26">Z2</f>
        <v>NRTC 20</v>
      </c>
      <c r="AA45" s="71" t="str">
        <f t="shared" si="26"/>
        <v>CDBG</v>
      </c>
      <c r="AB45" s="71" t="str">
        <f t="shared" si="26"/>
        <v>PARS</v>
      </c>
      <c r="AC45" s="71" t="str">
        <f t="shared" ref="AC45:AF45" si="27">AC2</f>
        <v>Save Up2</v>
      </c>
      <c r="AD45" s="71" t="str">
        <f t="shared" si="27"/>
        <v>LISC 2020</v>
      </c>
      <c r="AE45" s="71" t="str">
        <f t="shared" si="27"/>
        <v xml:space="preserve">PRU -FOC </v>
      </c>
      <c r="AF45" s="71" t="str">
        <f t="shared" si="27"/>
        <v>NRTC 18</v>
      </c>
      <c r="AG45" s="71" t="str">
        <f t="shared" si="22"/>
        <v>Real Estate/NRTC</v>
      </c>
      <c r="AH45" s="71" t="str">
        <f t="shared" si="22"/>
        <v>Coding</v>
      </c>
      <c r="AI45" s="71" t="str">
        <f t="shared" si="22"/>
        <v>Neigh Revit</v>
      </c>
      <c r="AJ45" s="71" t="str">
        <f t="shared" si="22"/>
        <v>CEO</v>
      </c>
      <c r="AK45" s="71" t="str">
        <f t="shared" si="22"/>
        <v>CFO</v>
      </c>
      <c r="AL45" s="71" t="str">
        <f t="shared" si="22"/>
        <v>Fundraising</v>
      </c>
      <c r="AM45" s="71" t="str">
        <f t="shared" si="22"/>
        <v>Opprt Corp</v>
      </c>
      <c r="AN45" s="71">
        <f t="shared" si="22"/>
        <v>0</v>
      </c>
      <c r="AO45" s="47" t="s">
        <v>35</v>
      </c>
    </row>
    <row r="46" spans="1:42" x14ac:dyDescent="0.35">
      <c r="I46" s="44" t="s">
        <v>36</v>
      </c>
      <c r="Q46" s="48">
        <v>14</v>
      </c>
      <c r="R46" s="48"/>
      <c r="S46" s="48">
        <v>2</v>
      </c>
      <c r="T46" s="48">
        <v>4</v>
      </c>
      <c r="U46" s="48">
        <v>4</v>
      </c>
      <c r="V46" s="48"/>
      <c r="W46" s="48">
        <v>5</v>
      </c>
      <c r="X46" s="48">
        <v>6</v>
      </c>
      <c r="Y46" s="48"/>
      <c r="Z46" s="48"/>
      <c r="AA46" s="48"/>
      <c r="AB46" s="48"/>
      <c r="AC46" s="48"/>
      <c r="AD46" s="48"/>
      <c r="AE46" s="48"/>
      <c r="AF46" s="48"/>
      <c r="AG46" s="48">
        <v>1.5</v>
      </c>
      <c r="AH46" s="48">
        <v>1.5</v>
      </c>
      <c r="AI46" s="48">
        <v>1.5</v>
      </c>
      <c r="AJ46" s="48">
        <v>2</v>
      </c>
      <c r="AK46" s="48">
        <v>2</v>
      </c>
      <c r="AL46" s="48"/>
      <c r="AM46" s="48">
        <v>1</v>
      </c>
      <c r="AN46" s="48"/>
      <c r="AO46" s="39">
        <f>SUM(Q46:AN46)</f>
        <v>44.5</v>
      </c>
    </row>
    <row r="48" spans="1:42" x14ac:dyDescent="0.35">
      <c r="I48" s="4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Salary Alloc</vt:lpstr>
      <vt:lpstr>Allocation %</vt:lpstr>
      <vt:lpstr>Salary</vt:lpstr>
      <vt:lpstr>Health</vt:lpstr>
      <vt:lpstr>Life and Dental</vt:lpstr>
      <vt:lpstr>Emp'ee Health</vt:lpstr>
      <vt:lpstr>Emp'ee Dental </vt:lpstr>
      <vt:lpstr>EmpEE 403B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Ward</dc:creator>
  <cp:lastModifiedBy>Peter Schmitt</cp:lastModifiedBy>
  <dcterms:created xsi:type="dcterms:W3CDTF">2020-01-29T17:13:09Z</dcterms:created>
  <dcterms:modified xsi:type="dcterms:W3CDTF">2020-02-22T14:02:53Z</dcterms:modified>
</cp:coreProperties>
</file>